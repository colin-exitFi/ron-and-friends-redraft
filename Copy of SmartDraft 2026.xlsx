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Board" sheetId="1" r:id="rId4"/>
    <sheet state="visible" name="Keepers" sheetId="2" r:id="rId5"/>
    <sheet state="visible" name="Drafted" sheetId="3" r:id="rId6"/>
    <sheet state="visible" name="Best Available" sheetId="4" r:id="rId7"/>
    <sheet state="visible" name="Manual Data Import" sheetId="5" r:id="rId8"/>
    <sheet state="hidden" name="Data Format" sheetId="6" r:id="rId9"/>
    <sheet state="hidden" name="Misc" sheetId="7" r:id="rId10"/>
    <sheet state="visible" name="About" sheetId="8" r:id="rId11"/>
  </sheets>
  <definedNames>
    <definedName localSheetId="1" name="Tom">#REF!</definedName>
    <definedName name="Tom">#REF!</definedName>
  </definedNames>
  <calcPr/>
</workbook>
</file>

<file path=xl/sharedStrings.xml><?xml version="1.0" encoding="utf-8"?>
<sst xmlns="http://schemas.openxmlformats.org/spreadsheetml/2006/main" count="1694" uniqueCount="1666">
  <si>
    <t>ALL</t>
  </si>
  <si>
    <t>RB</t>
  </si>
  <si>
    <t>WR</t>
  </si>
  <si>
    <t>QB</t>
  </si>
  <si>
    <t>TE</t>
  </si>
  <si>
    <t>DEF</t>
  </si>
  <si>
    <t>PK</t>
  </si>
  <si>
    <r>
      <rPr>
        <rFont val="Roboto"/>
        <b/>
        <color rgb="FF000000"/>
        <sz val="10.0"/>
      </rPr>
      <t>Buy Me A Beer</t>
    </r>
    <r>
      <rPr>
        <rFont val="Roboto"/>
        <b/>
        <color rgb="FF000000"/>
        <sz val="10.0"/>
      </rPr>
      <t xml:space="preserve">
</t>
    </r>
    <r>
      <rPr>
        <rFont val="Roboto"/>
        <b/>
        <color rgb="FF1155CC"/>
        <sz val="10.0"/>
        <u/>
      </rPr>
      <t>paypal</t>
    </r>
    <r>
      <rPr>
        <rFont val="Roboto"/>
        <b/>
        <color rgb="FF000000"/>
        <sz val="10.0"/>
      </rPr>
      <t xml:space="preserve">  </t>
    </r>
    <r>
      <rPr>
        <rFont val="Roboto"/>
        <b/>
        <color rgb="FF1155CC"/>
        <sz val="10.0"/>
        <u/>
      </rPr>
      <t>venmo</t>
    </r>
    <r>
      <rPr>
        <rFont val="Roboto"/>
        <b/>
        <color rgb="FF000000"/>
        <sz val="10.0"/>
      </rPr>
      <t xml:space="preserve">  </t>
    </r>
    <r>
      <rPr>
        <rFont val="Roboto"/>
        <b/>
        <color rgb="FF1155CC"/>
        <sz val="10.0"/>
        <u/>
      </rPr>
      <t>cashapp</t>
    </r>
    <r>
      <rPr>
        <rFont val="Roboto"/>
        <b/>
        <color rgb="FF000000"/>
        <sz val="10.0"/>
      </rPr>
      <t xml:space="preserve"> </t>
    </r>
    <r>
      <rPr>
        <rFont val="Roboto"/>
        <b/>
        <color rgb="FF1155CC"/>
        <sz val="10.0"/>
        <u/>
      </rPr>
      <t>dsa</t>
    </r>
    <r>
      <rPr>
        <rFont val="Roboto"/>
        <b/>
        <color rgb="FF000000"/>
        <sz val="10.0"/>
      </rPr>
      <t xml:space="preserve"> </t>
    </r>
    <r>
      <rPr>
        <rFont val="Roboto"/>
        <b/>
        <color rgb="FF1155CC"/>
        <sz val="10.0"/>
        <u/>
      </rPr>
      <t>coffee</t>
    </r>
  </si>
  <si>
    <t>Top Available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</si>
  <si>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</si>
  <si>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</si>
  <si>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</si>
  <si>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</si>
  <si>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</si>
  <si>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</si>
  <si>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</si>
  <si>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</si>
  <si>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</si>
  <si>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</si>
  <si>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</si>
  <si>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</si>
  <si>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</si>
  <si>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</si>
  <si>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</si>
  <si>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</si>
  <si>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Team 17</t>
  </si>
  <si>
    <t>Team 18</t>
  </si>
  <si>
    <t>Team 19</t>
  </si>
  <si>
    <t>Team 20</t>
  </si>
  <si>
    <t>Rank</t>
  </si>
  <si>
    <t>→</t>
  </si>
  <si>
    <t>Player (Bye)</t>
  </si>
  <si>
    <t>POS</t>
  </si>
  <si>
    <t>ESPN</t>
  </si>
  <si>
    <t>Sleeper</t>
  </si>
  <si>
    <t>CBS</t>
  </si>
  <si>
    <t>RTSports</t>
  </si>
  <si>
    <t>Fantrax</t>
  </si>
  <si>
    <t>AVG</t>
  </si>
  <si>
    <t>Real-Time</t>
  </si>
  <si>
    <t>https://www.fantasypros.com/nfl/adp/overall.php</t>
  </si>
  <si>
    <t>←</t>
  </si>
  <si>
    <t>Jahmyr Gibbs  DET (6)</t>
  </si>
  <si>
    <t>RB1</t>
  </si>
  <si>
    <t>Bijan Robinson  ATL (11)</t>
  </si>
  <si>
    <t>RB2</t>
  </si>
  <si>
    <t>Ja'Marr Chase  CIN (6)</t>
  </si>
  <si>
    <t>WR1</t>
  </si>
  <si>
    <t>Puka Nacua  LAR (11)</t>
  </si>
  <si>
    <t>WR2</t>
  </si>
  <si>
    <t>Christian McCaffrey  SF (8)</t>
  </si>
  <si>
    <t>RB3</t>
  </si>
  <si>
    <t>Jaxon Smith-Njigba  SEA (11)</t>
  </si>
  <si>
    <t>WR3</t>
  </si>
  <si>
    <t>Jonathan Taylor  IND (13)</t>
  </si>
  <si>
    <t>RB4</t>
  </si>
  <si>
    <t>Amon-Ra St. Brown  DET (6)</t>
  </si>
  <si>
    <t>WR4</t>
  </si>
  <si>
    <t>James Cook III  BUF (7)</t>
  </si>
  <si>
    <t>RB5</t>
  </si>
  <si>
    <t>10 -1</t>
  </si>
  <si>
    <t>De'Von Achane  MIA (6)</t>
  </si>
  <si>
    <t>RB6</t>
  </si>
  <si>
    <t>13 -3</t>
  </si>
  <si>
    <t>CeeDee Lamb  DAL (14)</t>
  </si>
  <si>
    <t>WR5</t>
  </si>
  <si>
    <t>9 +2</t>
  </si>
  <si>
    <t>Justin Jefferson  MIN (6)</t>
  </si>
  <si>
    <t>WR6</t>
  </si>
  <si>
    <t>Saquon Barkley  PHI (10)</t>
  </si>
  <si>
    <t>RB7</t>
  </si>
  <si>
    <t>11 +2</t>
  </si>
  <si>
    <t>Chase Brown  CIN (6)</t>
  </si>
  <si>
    <t>RB8</t>
  </si>
  <si>
    <t>Ashton Jeanty  LV (13)</t>
  </si>
  <si>
    <t>RB9</t>
  </si>
  <si>
    <t>20 -5</t>
  </si>
  <si>
    <t>Derrick Henry  BAL (13)</t>
  </si>
  <si>
    <t>RB10</t>
  </si>
  <si>
    <t>18 -2</t>
  </si>
  <si>
    <t>Omarion Hampton  LAC (7)</t>
  </si>
  <si>
    <t>RB11</t>
  </si>
  <si>
    <t>15 +2</t>
  </si>
  <si>
    <t>Kenneth Walker III  KC (5)</t>
  </si>
  <si>
    <t>RB12</t>
  </si>
  <si>
    <t>16 +2</t>
  </si>
  <si>
    <t>Drake London  ATL (11)</t>
  </si>
  <si>
    <t>WR7</t>
  </si>
  <si>
    <t>A.J. Brown  NE (11)</t>
  </si>
  <si>
    <t>WR8</t>
  </si>
  <si>
    <t>17 +3</t>
  </si>
  <si>
    <t>Trey McBride  ARI (14)</t>
  </si>
  <si>
    <t>TE1</t>
  </si>
  <si>
    <t>25 -4</t>
  </si>
  <si>
    <t>Brock Bowers  LV (13)</t>
  </si>
  <si>
    <t>TE2</t>
  </si>
  <si>
    <t>Josh Allen  BUF (7)</t>
  </si>
  <si>
    <t>QB1</t>
  </si>
  <si>
    <t>24 -1</t>
  </si>
  <si>
    <t>Nico Collins  HOU (8)</t>
  </si>
  <si>
    <t>WR9</t>
  </si>
  <si>
    <t>21 +3</t>
  </si>
  <si>
    <t>George Pickens  DAL (14)</t>
  </si>
  <si>
    <t>WR10</t>
  </si>
  <si>
    <t>23 +2</t>
  </si>
  <si>
    <t>Rashee Rice  KC (5)</t>
  </si>
  <si>
    <t>WR11</t>
  </si>
  <si>
    <t>30 -4</t>
  </si>
  <si>
    <t>Chris Olave  NO (8)</t>
  </si>
  <si>
    <t>WR12</t>
  </si>
  <si>
    <t>28 -1</t>
  </si>
  <si>
    <t>Jeremiyah Love  ARI (14)</t>
  </si>
  <si>
    <t>RB13</t>
  </si>
  <si>
    <t>31 -3</t>
  </si>
  <si>
    <t>Malik Nabers  NYG (8)</t>
  </si>
  <si>
    <t>WR13</t>
  </si>
  <si>
    <t>26 +3</t>
  </si>
  <si>
    <t>Kyren Williams  LAR (11)</t>
  </si>
  <si>
    <t>RB14</t>
  </si>
  <si>
    <t>27 +3</t>
  </si>
  <si>
    <t>Javonte Williams  DAL (14)</t>
  </si>
  <si>
    <t>RB15</t>
  </si>
  <si>
    <t>32 -1</t>
  </si>
  <si>
    <t>Josh Jacobs  GB (11)</t>
  </si>
  <si>
    <t>RB16</t>
  </si>
  <si>
    <t>33 -1</t>
  </si>
  <si>
    <t>Breece Hall  NYJ (13)</t>
  </si>
  <si>
    <t>RB17</t>
  </si>
  <si>
    <t>35 -2</t>
  </si>
  <si>
    <t>DeVonta Smith  PHI (10)</t>
  </si>
  <si>
    <t>WR14</t>
  </si>
  <si>
    <t>29 +5</t>
  </si>
  <si>
    <t>Zay Flowers  BAL (13)</t>
  </si>
  <si>
    <t>WR15</t>
  </si>
  <si>
    <t>36 -1</t>
  </si>
  <si>
    <t>Travis Etienne Jr.  NO (8)</t>
  </si>
  <si>
    <t>RB18</t>
  </si>
  <si>
    <t>42 -6</t>
  </si>
  <si>
    <t>Cam Skattebo  NYG (8)</t>
  </si>
  <si>
    <t>RB19</t>
  </si>
  <si>
    <t>45 -8</t>
  </si>
  <si>
    <t>Tetairoa McMillan  CAR (5)</t>
  </si>
  <si>
    <t>WR16</t>
  </si>
  <si>
    <t>39 -1</t>
  </si>
  <si>
    <t>Garrett Wilson  NYJ (13)</t>
  </si>
  <si>
    <t>WR17</t>
  </si>
  <si>
    <t>44 -5</t>
  </si>
  <si>
    <t>Emeka Egbuka  TB (10)</t>
  </si>
  <si>
    <t>WR18</t>
  </si>
  <si>
    <t>41 -1</t>
  </si>
  <si>
    <t>Lamar Jackson  BAL (13)</t>
  </si>
  <si>
    <t>QB2</t>
  </si>
  <si>
    <t>37 +4</t>
  </si>
  <si>
    <t>Tee Higgins  CIN (6)</t>
  </si>
  <si>
    <t>WR19</t>
  </si>
  <si>
    <t>34 +8</t>
  </si>
  <si>
    <t>Colston Loveland  CHI (10)</t>
  </si>
  <si>
    <t>TE3</t>
  </si>
  <si>
    <t>Ladd McConkey  LAC (7)</t>
  </si>
  <si>
    <t>WR20</t>
  </si>
  <si>
    <t>38 +6</t>
  </si>
  <si>
    <t>Bucky Irving  TB (10)</t>
  </si>
  <si>
    <t>RB20</t>
  </si>
  <si>
    <t>47 -2</t>
  </si>
  <si>
    <t>D'Andre Swift  CHI (10)</t>
  </si>
  <si>
    <t>RB21</t>
  </si>
  <si>
    <t>Quinshon Judkins  CLE (11)</t>
  </si>
  <si>
    <t>RB22</t>
  </si>
  <si>
    <t>52 -5</t>
  </si>
  <si>
    <t>Jaylen Waddle  DEN (10)</t>
  </si>
  <si>
    <t>WR21</t>
  </si>
  <si>
    <t>40 +8</t>
  </si>
  <si>
    <t>Davante Adams  LAR (11)</t>
  </si>
  <si>
    <t>WR22</t>
  </si>
  <si>
    <t>54 -5</t>
  </si>
  <si>
    <t>David Montgomery  HOU (8)</t>
  </si>
  <si>
    <t>RB23</t>
  </si>
  <si>
    <t>48 +2</t>
  </si>
  <si>
    <t>DJ Moore  BUF (7)</t>
  </si>
  <si>
    <t>WR23</t>
  </si>
  <si>
    <t>50 +1</t>
  </si>
  <si>
    <t>Tyler Warren  IND (13)</t>
  </si>
  <si>
    <t>TE4</t>
  </si>
  <si>
    <t>49 +3</t>
  </si>
  <si>
    <t>Drake Maye  NE (11)</t>
  </si>
  <si>
    <t>QB3</t>
  </si>
  <si>
    <t>51 +2</t>
  </si>
  <si>
    <t>Joe Burrow  CIN (6)</t>
  </si>
  <si>
    <t>QB4</t>
  </si>
  <si>
    <t>56 -2</t>
  </si>
  <si>
    <t>Terry McLaurin  WAS (7)</t>
  </si>
  <si>
    <t>WR24</t>
  </si>
  <si>
    <t>53 +2</t>
  </si>
  <si>
    <t>Luther Burden III  CHI (10)</t>
  </si>
  <si>
    <t>WR25</t>
  </si>
  <si>
    <t>55 +1</t>
  </si>
  <si>
    <t>Bhayshul Tuten  JAC (7)</t>
  </si>
  <si>
    <t>RB24</t>
  </si>
  <si>
    <t>Jameson Williams  DET (6)</t>
  </si>
  <si>
    <t>WR26</t>
  </si>
  <si>
    <t>59 -1</t>
  </si>
  <si>
    <t>TreVeyon Henderson  NE (11)</t>
  </si>
  <si>
    <t>RB25</t>
  </si>
  <si>
    <t>60 -1</t>
  </si>
  <si>
    <t>Jadarian Price  SEA (11)</t>
  </si>
  <si>
    <t>RB26</t>
  </si>
  <si>
    <t>61 -1</t>
  </si>
  <si>
    <t>Rome Odunze  CHI (10)</t>
  </si>
  <si>
    <t>WR27</t>
  </si>
  <si>
    <t>58 +3</t>
  </si>
  <si>
    <t>Jayden Daniels  WAS (7)</t>
  </si>
  <si>
    <t>QB5</t>
  </si>
  <si>
    <t>65 -3</t>
  </si>
  <si>
    <t>Jalen Hurts  PHI (10)</t>
  </si>
  <si>
    <t>QB6</t>
  </si>
  <si>
    <t>Mike Evans  SF (8)</t>
  </si>
  <si>
    <t>WR28</t>
  </si>
  <si>
    <t>62 +2</t>
  </si>
  <si>
    <t>Rhamondre Stevenson  NE (11)</t>
  </si>
  <si>
    <t>RB27</t>
  </si>
  <si>
    <t>76 -11</t>
  </si>
  <si>
    <t>Harold Fannin Jr.  CLE (11)</t>
  </si>
  <si>
    <t>TE5</t>
  </si>
  <si>
    <t>72 -6</t>
  </si>
  <si>
    <t>Christian Watson  GB (11)</t>
  </si>
  <si>
    <t>WR29</t>
  </si>
  <si>
    <t>64 +3</t>
  </si>
  <si>
    <t>Jaylen Warren  PIT (9)</t>
  </si>
  <si>
    <t>RB28</t>
  </si>
  <si>
    <t>70 -2</t>
  </si>
  <si>
    <t>Kyle Pitts Sr.  ATL (11)</t>
  </si>
  <si>
    <t>TE6</t>
  </si>
  <si>
    <t>74 -5</t>
  </si>
  <si>
    <t>Tucker Kraft  GB (11)</t>
  </si>
  <si>
    <t>TE7</t>
  </si>
  <si>
    <t>66 +4</t>
  </si>
  <si>
    <t>Parker Washington  JAC (7)</t>
  </si>
  <si>
    <t>WR30</t>
  </si>
  <si>
    <t>68 +3</t>
  </si>
  <si>
    <t>Carnell Tate  TEN (9)</t>
  </si>
  <si>
    <t>WR31</t>
  </si>
  <si>
    <t>69 +3</t>
  </si>
  <si>
    <t>Formatted</t>
  </si>
  <si>
    <t>Sam LaPorta  DET (6)</t>
  </si>
  <si>
    <t>TE8</t>
  </si>
  <si>
    <t>Available</t>
  </si>
  <si>
    <t>67 +6</t>
  </si>
  <si>
    <t>Marvin Harrison Jr.  ARI (14)</t>
  </si>
  <si>
    <t>WR32</t>
  </si>
  <si>
    <t>71 +3</t>
  </si>
  <si>
    <t>Dak Prescott  DAL (14)</t>
  </si>
  <si>
    <t>QB7</t>
  </si>
  <si>
    <t>79 -4</t>
  </si>
  <si>
    <t>Courtland Sutton  DEN (10)</t>
  </si>
  <si>
    <t>WR33</t>
  </si>
  <si>
    <t>Total</t>
  </si>
  <si>
    <t>81 -5</t>
  </si>
  <si>
    <t>Caleb Williams  CHI (10)</t>
  </si>
  <si>
    <t>QB8</t>
  </si>
  <si>
    <t>73 +4</t>
  </si>
  <si>
    <t>Rico Dowdle  PIT (9)</t>
  </si>
  <si>
    <t>RB29</t>
  </si>
  <si>
    <t>80 -2</t>
  </si>
  <si>
    <t>Brian Thomas Jr.  JAC (7)</t>
  </si>
  <si>
    <t>WR34</t>
  </si>
  <si>
    <t>77 +2</t>
  </si>
  <si>
    <t>Tony Pollard  TEN (9)</t>
  </si>
  <si>
    <t>RB30</t>
  </si>
  <si>
    <t>78 +2</t>
  </si>
  <si>
    <t>DK Metcalf  PIT (9)</t>
  </si>
  <si>
    <t>WR35</t>
  </si>
  <si>
    <t>75 +6</t>
  </si>
  <si>
    <t>Jonathon Brooks  CAR (5)</t>
  </si>
  <si>
    <t>RB31</t>
  </si>
  <si>
    <t>85 -3</t>
  </si>
  <si>
    <t>Trevor Lawrence  JAC (7)</t>
  </si>
  <si>
    <t>QB9</t>
  </si>
  <si>
    <t>95 -12</t>
  </si>
  <si>
    <t>RJ Harvey  DEN (10)</t>
  </si>
  <si>
    <t>RB32</t>
  </si>
  <si>
    <t>87 -3</t>
  </si>
  <si>
    <t>Michael Wilson  ARI (14)</t>
  </si>
  <si>
    <t>WR36</t>
  </si>
  <si>
    <t>86 -1</t>
  </si>
  <si>
    <t>Justin Herbert  LAC (7)</t>
  </si>
  <si>
    <t>QB10</t>
  </si>
  <si>
    <t>83 +3</t>
  </si>
  <si>
    <t>J.K. Dobbins  DEN (10)</t>
  </si>
  <si>
    <t>RB33</t>
  </si>
  <si>
    <t>88 -1</t>
  </si>
  <si>
    <t>George Kittle  SF (8)</t>
  </si>
  <si>
    <t>TE9</t>
  </si>
  <si>
    <t>84 +4</t>
  </si>
  <si>
    <t>Chuba Hubbard  CAR (5)</t>
  </si>
  <si>
    <t>RB34</t>
  </si>
  <si>
    <t>Matthew Stafford  LAR (11)</t>
  </si>
  <si>
    <t>QB11</t>
  </si>
  <si>
    <t>111 -21</t>
  </si>
  <si>
    <t>Jaxson Dart  NYG (8)</t>
  </si>
  <si>
    <t>QB12</t>
  </si>
  <si>
    <t>104 -13</t>
  </si>
  <si>
    <t>Alec Pierce  IND (13)</t>
  </si>
  <si>
    <t>WR37</t>
  </si>
  <si>
    <t>101 -9</t>
  </si>
  <si>
    <t>Michael Pittman Jr.  PIT (9)</t>
  </si>
  <si>
    <t>WR38</t>
  </si>
  <si>
    <t>99 -6</t>
  </si>
  <si>
    <t>Chris Godwin Jr.  TB (10)</t>
  </si>
  <si>
    <t>WR39</t>
  </si>
  <si>
    <t>82 +12</t>
  </si>
  <si>
    <t>Travis Kelce  KC (5)</t>
  </si>
  <si>
    <t>TE10</t>
  </si>
  <si>
    <t>91 +4</t>
  </si>
  <si>
    <t>Wan'Dale Robinson  TEN (9)</t>
  </si>
  <si>
    <t>WR40</t>
  </si>
  <si>
    <t>108 -12</t>
  </si>
  <si>
    <t>Brandon Aubrey  DAL (14)</t>
  </si>
  <si>
    <t>K1</t>
  </si>
  <si>
    <t>122 -25</t>
  </si>
  <si>
    <t>Houston Texans DST  (8)</t>
  </si>
  <si>
    <t>DST1</t>
  </si>
  <si>
    <t>124 -26</t>
  </si>
  <si>
    <t>Kenny Gainwell  TB (10)</t>
  </si>
  <si>
    <t>RB35</t>
  </si>
  <si>
    <t>107 -8</t>
  </si>
  <si>
    <t>Kyle Monangai  CHI (10)</t>
  </si>
  <si>
    <t>RB36</t>
  </si>
  <si>
    <t>103 -3</t>
  </si>
  <si>
    <t>Blake Corum  LAR (11)</t>
  </si>
  <si>
    <t>RB37</t>
  </si>
  <si>
    <t>94 +7</t>
  </si>
  <si>
    <t>Patrick Mahomes II  KC (5)</t>
  </si>
  <si>
    <t>QB13</t>
  </si>
  <si>
    <t>115 -13</t>
  </si>
  <si>
    <t>Stefon Diggs  WAS (7)</t>
  </si>
  <si>
    <t>WR41</t>
  </si>
  <si>
    <t>96 +7</t>
  </si>
  <si>
    <t>Jordan Mason  MIN (6)</t>
  </si>
  <si>
    <t>RB38</t>
  </si>
  <si>
    <t>98 +6</t>
  </si>
  <si>
    <t>Jacory Croskey-Merritt  WAS (7)</t>
  </si>
  <si>
    <t>RB39</t>
  </si>
  <si>
    <t>102 +3</t>
  </si>
  <si>
    <t>Isaiah Likely  NYG (8)</t>
  </si>
  <si>
    <t>TE11</t>
  </si>
  <si>
    <t>105 +1</t>
  </si>
  <si>
    <t>Jordan Addison  MIN (6)</t>
  </si>
  <si>
    <t>WR42</t>
  </si>
  <si>
    <t>93 +14</t>
  </si>
  <si>
    <t>Bo Nix  DEN (10)</t>
  </si>
  <si>
    <t>QB14</t>
  </si>
  <si>
    <t>114 -6</t>
  </si>
  <si>
    <t>Brock Purdy  SF (8)</t>
  </si>
  <si>
    <t>QB15</t>
  </si>
  <si>
    <t>118 -9</t>
  </si>
  <si>
    <t>Quentin Johnston  LAC (7)</t>
  </si>
  <si>
    <t>WR43</t>
  </si>
  <si>
    <t>106 +4</t>
  </si>
  <si>
    <t>Jake Ferguson  DAL (14)</t>
  </si>
  <si>
    <t>TE12</t>
  </si>
  <si>
    <t>113 -2</t>
  </si>
  <si>
    <t>Dallas Goedert  PHI (10)</t>
  </si>
  <si>
    <t>TE13</t>
  </si>
  <si>
    <t>110 +2</t>
  </si>
  <si>
    <t>Josh Downs  IND (13)</t>
  </si>
  <si>
    <t>WR44</t>
  </si>
  <si>
    <t>97 +16</t>
  </si>
  <si>
    <t>Jakobi Meyers  JAC (7)</t>
  </si>
  <si>
    <t>WR45</t>
  </si>
  <si>
    <t>123 -9</t>
  </si>
  <si>
    <t>Makai Lemon  PHI (10)</t>
  </si>
  <si>
    <t>WR46</t>
  </si>
  <si>
    <t>92 +23</t>
  </si>
  <si>
    <t>Denver Broncos DST  (10)</t>
  </si>
  <si>
    <t>DST2</t>
  </si>
  <si>
    <t>132 -16</t>
  </si>
  <si>
    <t>Los Angeles Rams DST  (11)</t>
  </si>
  <si>
    <t>DST3</t>
  </si>
  <si>
    <t>121 -4</t>
  </si>
  <si>
    <t>Rachaad White  WAS (7)</t>
  </si>
  <si>
    <t>RB40</t>
  </si>
  <si>
    <t>119 -1</t>
  </si>
  <si>
    <t>Jayden Reed  GB (11)</t>
  </si>
  <si>
    <t>WR47</t>
  </si>
  <si>
    <t>100 +19</t>
  </si>
  <si>
    <t>Aaron Jones Sr.  MIN (6)</t>
  </si>
  <si>
    <t>RB41</t>
  </si>
  <si>
    <t>Dalton Kincaid  BUF (7)</t>
  </si>
  <si>
    <t>TE14</t>
  </si>
  <si>
    <t>90 +31</t>
  </si>
  <si>
    <t>Seattle Seahawks DST  (11)</t>
  </si>
  <si>
    <t>DST4</t>
  </si>
  <si>
    <t>130 -8</t>
  </si>
  <si>
    <t>De'Zhaun Stribling  SF (8)</t>
  </si>
  <si>
    <t>WR48</t>
  </si>
  <si>
    <t>109 +14</t>
  </si>
  <si>
    <t>Matthew Golden  GB (11)</t>
  </si>
  <si>
    <t>WR49</t>
  </si>
  <si>
    <t>116 +8</t>
  </si>
  <si>
    <t>Jared Goff  DET (6)</t>
  </si>
  <si>
    <t>QB16</t>
  </si>
  <si>
    <t>135 -10</t>
  </si>
  <si>
    <t>KC Concepcion  CLE (11)</t>
  </si>
  <si>
    <t>WR50</t>
  </si>
  <si>
    <t>112 +14</t>
  </si>
  <si>
    <t>Mark Andrews  BAL (13)</t>
  </si>
  <si>
    <t>TE15</t>
  </si>
  <si>
    <t>125 +2</t>
  </si>
  <si>
    <t>Xavier Worthy  KC (5)</t>
  </si>
  <si>
    <t>WR51</t>
  </si>
  <si>
    <t>131 -3</t>
  </si>
  <si>
    <t>Deebo Samuel Sr.  SF (8)</t>
  </si>
  <si>
    <t>WR52</t>
  </si>
  <si>
    <t>127 +2</t>
  </si>
  <si>
    <t>Cameron Dicker  LAC (7)</t>
  </si>
  <si>
    <t>K2</t>
  </si>
  <si>
    <t>141 -11</t>
  </si>
  <si>
    <t>Romeo Doubs  NE (11)</t>
  </si>
  <si>
    <t>WR53</t>
  </si>
  <si>
    <t>128 +3</t>
  </si>
  <si>
    <t>Woody Marks  HOU (8)</t>
  </si>
  <si>
    <t>RB42</t>
  </si>
  <si>
    <t>138 -6</t>
  </si>
  <si>
    <t>Jordyn Tyson  NO (8)</t>
  </si>
  <si>
    <t>WR54</t>
  </si>
  <si>
    <t>117 +16</t>
  </si>
  <si>
    <t>Baker Mayfield  TB (10)</t>
  </si>
  <si>
    <t>QB17</t>
  </si>
  <si>
    <t>155 -21</t>
  </si>
  <si>
    <t>Jason Myers  SEA (11)</t>
  </si>
  <si>
    <t>K3</t>
  </si>
  <si>
    <t>139 -4</t>
  </si>
  <si>
    <t>Ka'imi Fairbairn  HOU (8)</t>
  </si>
  <si>
    <t>K4</t>
  </si>
  <si>
    <t>143 -7</t>
  </si>
  <si>
    <t>Khalil Shakir  BUF (7)</t>
  </si>
  <si>
    <t>WR55</t>
  </si>
  <si>
    <t>136 +1</t>
  </si>
  <si>
    <t>Kyler Murray  MIN (6)</t>
  </si>
  <si>
    <t>QB18</t>
  </si>
  <si>
    <t>140 -2</t>
  </si>
  <si>
    <t>Philadelphia Eagles DST  (10)</t>
  </si>
  <si>
    <t>DST5</t>
  </si>
  <si>
    <t>144 -5</t>
  </si>
  <si>
    <t>Chris Rodriguez Jr.  JAC (7)</t>
  </si>
  <si>
    <t>RB43</t>
  </si>
  <si>
    <t>126 +14</t>
  </si>
  <si>
    <t>Zach Charbonnet  SEA (11)</t>
  </si>
  <si>
    <t>RB44</t>
  </si>
  <si>
    <t>142 -1</t>
  </si>
  <si>
    <t>Rashid Shaheed  SEA (11)</t>
  </si>
  <si>
    <t>WR56</t>
  </si>
  <si>
    <t>137 +5</t>
  </si>
  <si>
    <t>Tyler Allgeier  ARI (14)</t>
  </si>
  <si>
    <t>RB45</t>
  </si>
  <si>
    <t>133 +10</t>
  </si>
  <si>
    <t>Mike Washington Jr.  LV (13)</t>
  </si>
  <si>
    <t>RB46</t>
  </si>
  <si>
    <t>134 +10</t>
  </si>
  <si>
    <t>Tyjae Spears  TEN (9)</t>
  </si>
  <si>
    <t>RB47</t>
  </si>
  <si>
    <t>Jalen Coker  CAR (5)</t>
  </si>
  <si>
    <t>WR57</t>
  </si>
  <si>
    <t>129 +17</t>
  </si>
  <si>
    <t>Jordan Love  GB (11)</t>
  </si>
  <si>
    <t>QB19</t>
  </si>
  <si>
    <t>149 -2</t>
  </si>
  <si>
    <t>Cam Little  JAC (7)</t>
  </si>
  <si>
    <t>K5</t>
  </si>
  <si>
    <t>150 -2</t>
  </si>
  <si>
    <t>Tyler Shough  NO (8)</t>
  </si>
  <si>
    <t>QB20</t>
  </si>
  <si>
    <t>183 -34</t>
  </si>
  <si>
    <t>Pittsburgh Steelers DST  (9)</t>
  </si>
  <si>
    <t>DST6</t>
  </si>
  <si>
    <t>197 -47</t>
  </si>
  <si>
    <t>Alvin Kamara  NO (8)</t>
  </si>
  <si>
    <t>RB48</t>
  </si>
  <si>
    <t>158 -7</t>
  </si>
  <si>
    <t>Juwan Johnson  NO (8)</t>
  </si>
  <si>
    <t>TE16</t>
  </si>
  <si>
    <t>151 +1</t>
  </si>
  <si>
    <t>Isiah Pacheco  DET (6)</t>
  </si>
  <si>
    <t>RB49</t>
  </si>
  <si>
    <t>181 -28</t>
  </si>
  <si>
    <t>New England Patriots DST  (11)</t>
  </si>
  <si>
    <t>DST7</t>
  </si>
  <si>
    <t>165 -11</t>
  </si>
  <si>
    <t>Keaton Mitchell  LAC (7)</t>
  </si>
  <si>
    <t>RB50</t>
  </si>
  <si>
    <t>154 +1</t>
  </si>
  <si>
    <t>Hunter Henry  NE (11)</t>
  </si>
  <si>
    <t>TE17</t>
  </si>
  <si>
    <t>146 +10</t>
  </si>
  <si>
    <t>Brenton Strange  JAC (7)</t>
  </si>
  <si>
    <t>TE18</t>
  </si>
  <si>
    <t>153 +4</t>
  </si>
  <si>
    <t>Tyrone Tracy Jr.  NYG (8)</t>
  </si>
  <si>
    <t>RB51</t>
  </si>
  <si>
    <t>152 +6</t>
  </si>
  <si>
    <t>Baltimore Ravens DST  (13)</t>
  </si>
  <si>
    <t>DST8</t>
  </si>
  <si>
    <t>162 -3</t>
  </si>
  <si>
    <t>Kenyon Sadiq  NYJ (13)</t>
  </si>
  <si>
    <t>TE19</t>
  </si>
  <si>
    <t>164 -4</t>
  </si>
  <si>
    <t>T.J. Hockenson  MIN (6)</t>
  </si>
  <si>
    <t>TE20</t>
  </si>
  <si>
    <t>168 -7</t>
  </si>
  <si>
    <t>Minnesota Vikings DST  (6)</t>
  </si>
  <si>
    <t>DST9</t>
  </si>
  <si>
    <t>169 -7</t>
  </si>
  <si>
    <t>Brian Robinson Jr.  ATL (11)</t>
  </si>
  <si>
    <t>RB52</t>
  </si>
  <si>
    <t>157 +6</t>
  </si>
  <si>
    <t>Jonah Coleman  DEN (10)</t>
  </si>
  <si>
    <t>RB53</t>
  </si>
  <si>
    <t>148 +16</t>
  </si>
  <si>
    <t>Malik Willis  MIA (6)</t>
  </si>
  <si>
    <t>QB21</t>
  </si>
  <si>
    <t>177 -12</t>
  </si>
  <si>
    <t>Denzel Boston  CLE (11)</t>
  </si>
  <si>
    <t>WR58</t>
  </si>
  <si>
    <t>147 +19</t>
  </si>
  <si>
    <t>Jake Bates  DET (6)</t>
  </si>
  <si>
    <t>K6</t>
  </si>
  <si>
    <t>170 -3</t>
  </si>
  <si>
    <t>Tank Dell  HOU (8)</t>
  </si>
  <si>
    <t>WR59</t>
  </si>
  <si>
    <t>182 -14</t>
  </si>
  <si>
    <t>Tank Bigsby  PHI (10)</t>
  </si>
  <si>
    <t>RB54</t>
  </si>
  <si>
    <t>161 +8</t>
  </si>
  <si>
    <t>Keenan Allen  IND (13)</t>
  </si>
  <si>
    <t>WR60</t>
  </si>
  <si>
    <t>160 +10</t>
  </si>
  <si>
    <t>Harrison Mevis  LAR (11)</t>
  </si>
  <si>
    <t>K7</t>
  </si>
  <si>
    <t>180 -9</t>
  </si>
  <si>
    <t>Ja'Kobi Lane  BAL (13)</t>
  </si>
  <si>
    <t>WR61</t>
  </si>
  <si>
    <t>159 +13</t>
  </si>
  <si>
    <t>Jacksonville Jaguars DST  (7)</t>
  </si>
  <si>
    <t>DST10</t>
  </si>
  <si>
    <t>187 -14</t>
  </si>
  <si>
    <t>Los Angeles Chargers DST  (7)</t>
  </si>
  <si>
    <t>DST11</t>
  </si>
  <si>
    <t>188 -14</t>
  </si>
  <si>
    <t>Daniel Jones  IND (13)</t>
  </si>
  <si>
    <t>QB22</t>
  </si>
  <si>
    <t>193 -18</t>
  </si>
  <si>
    <t>Detroit Lions DST  (6)</t>
  </si>
  <si>
    <t>DST12</t>
  </si>
  <si>
    <t>190 -14</t>
  </si>
  <si>
    <t>Jerry Jeudy  CLE (11)</t>
  </si>
  <si>
    <t>WR62</t>
  </si>
  <si>
    <t>179 -2</t>
  </si>
  <si>
    <t>C.J. Stroud  HOU (8)</t>
  </si>
  <si>
    <t>QB23</t>
  </si>
  <si>
    <t>214 -36</t>
  </si>
  <si>
    <t>Dalton Schultz  HOU (8)</t>
  </si>
  <si>
    <t>TE21</t>
  </si>
  <si>
    <t>175 +4</t>
  </si>
  <si>
    <t>Chig Okonkwo  WAS (7)</t>
  </si>
  <si>
    <t>TE22</t>
  </si>
  <si>
    <t>163 +17</t>
  </si>
  <si>
    <t>Tre Tucker  LV (13)</t>
  </si>
  <si>
    <t>WR63</t>
  </si>
  <si>
    <t>171 +10</t>
  </si>
  <si>
    <t>Harrison Butker  KC (5)</t>
  </si>
  <si>
    <t>K8</t>
  </si>
  <si>
    <t>217 -35</t>
  </si>
  <si>
    <t>Eddy Pineiro  SF (8)</t>
  </si>
  <si>
    <t>K9</t>
  </si>
  <si>
    <t>207 -24</t>
  </si>
  <si>
    <t>Tyler Loop  BAL (13)</t>
  </si>
  <si>
    <t>K10</t>
  </si>
  <si>
    <t>205 -21</t>
  </si>
  <si>
    <t>Sam Darnold  SEA (11)</t>
  </si>
  <si>
    <t>QB24</t>
  </si>
  <si>
    <t>172 +13</t>
  </si>
  <si>
    <t>Green Bay Packers DST  (11)</t>
  </si>
  <si>
    <t>DST13</t>
  </si>
  <si>
    <t>211 -25</t>
  </si>
  <si>
    <t>Dallas Cowboys DST  (14)</t>
  </si>
  <si>
    <t>DST14</t>
  </si>
  <si>
    <t>212 -25</t>
  </si>
  <si>
    <t>Evan McPherson  CIN (6)</t>
  </si>
  <si>
    <t>K11</t>
  </si>
  <si>
    <t>203 -15</t>
  </si>
  <si>
    <t>MarShawn Lloyd  GB (11)</t>
  </si>
  <si>
    <t>RB55</t>
  </si>
  <si>
    <t>166 +23</t>
  </si>
  <si>
    <t>Will Reichard  MIN (6)</t>
  </si>
  <si>
    <t>K12</t>
  </si>
  <si>
    <t>195 -5</t>
  </si>
  <si>
    <t>Calvin Ridley  TEN (9)</t>
  </si>
  <si>
    <t>WR64</t>
  </si>
  <si>
    <t>249 -58</t>
  </si>
  <si>
    <t>Buffalo Bills DST  (7)</t>
  </si>
  <si>
    <t>DST15</t>
  </si>
  <si>
    <t>242 -50</t>
  </si>
  <si>
    <t>Kansas City Chiefs DST  (5)</t>
  </si>
  <si>
    <t>DST16</t>
  </si>
  <si>
    <t>231 -38</t>
  </si>
  <si>
    <t>Oronde Gadsden II  LAC (7)</t>
  </si>
  <si>
    <t>TE23</t>
  </si>
  <si>
    <t>156 +38</t>
  </si>
  <si>
    <t>Chicago Bears DST  (10)</t>
  </si>
  <si>
    <t>DST17</t>
  </si>
  <si>
    <t>273 -78</t>
  </si>
  <si>
    <t>Dylan Sampson  CLE (11)</t>
  </si>
  <si>
    <t>RB56</t>
  </si>
  <si>
    <t>176 +20</t>
  </si>
  <si>
    <t>Cairo Santos  CHI (10)</t>
  </si>
  <si>
    <t>K13</t>
  </si>
  <si>
    <t>240 -43</t>
  </si>
  <si>
    <t>Jalen Nailor  LV (13)</t>
  </si>
  <si>
    <t>WR65</t>
  </si>
  <si>
    <t>167 +31</t>
  </si>
  <si>
    <t>Braelon Allen  NYJ (13)</t>
  </si>
  <si>
    <t>RB57</t>
  </si>
  <si>
    <t>186 +13</t>
  </si>
  <si>
    <t>Cyrus Allen  KC (5)</t>
  </si>
  <si>
    <t>WR66</t>
  </si>
  <si>
    <t>178 +22</t>
  </si>
  <si>
    <t>Cleveland Browns DST  (11)</t>
  </si>
  <si>
    <t>DST18</t>
  </si>
  <si>
    <t>236 -35</t>
  </si>
  <si>
    <t>Terrance Ferguson  LAR (11)</t>
  </si>
  <si>
    <t>TE24</t>
  </si>
  <si>
    <t>199 +3</t>
  </si>
  <si>
    <t>Jauan Jennings  MIN (6)</t>
  </si>
  <si>
    <t>WR67</t>
  </si>
  <si>
    <t>189 +14</t>
  </si>
  <si>
    <t>Jalen McMillan  TB (10)</t>
  </si>
  <si>
    <t>WR68</t>
  </si>
  <si>
    <t>201 +3</t>
  </si>
  <si>
    <t>Chase McLaughlin  TB (10)</t>
  </si>
  <si>
    <t>K14</t>
  </si>
  <si>
    <t>274 -69</t>
  </si>
  <si>
    <t>AJ Barner  SEA (11)</t>
  </si>
  <si>
    <t>TE25</t>
  </si>
  <si>
    <t>185 +21</t>
  </si>
  <si>
    <t>Chris Boswell  PIT (9)</t>
  </si>
  <si>
    <t>K15</t>
  </si>
  <si>
    <t>192 +15</t>
  </si>
  <si>
    <t>Wil Lutz  DEN (10)</t>
  </si>
  <si>
    <t>K16</t>
  </si>
  <si>
    <t>263 -55</t>
  </si>
  <si>
    <t>David Njoku  LAC (7)</t>
  </si>
  <si>
    <t>TE26</t>
  </si>
  <si>
    <t>266 -57</t>
  </si>
  <si>
    <t>Cooper Kupp  SEA (11)</t>
  </si>
  <si>
    <t>WR69</t>
  </si>
  <si>
    <t>196 +14</t>
  </si>
  <si>
    <t>Cam Ward  TEN (9)</t>
  </si>
  <si>
    <t>QB25</t>
  </si>
  <si>
    <t>213 -2</t>
  </si>
  <si>
    <t>James Conner  ARI (14)</t>
  </si>
  <si>
    <t>RB58</t>
  </si>
  <si>
    <t>238 -26</t>
  </si>
  <si>
    <t>Caleb Douglas  MIA (6)</t>
  </si>
  <si>
    <t>WR70</t>
  </si>
  <si>
    <t>209 +4</t>
  </si>
  <si>
    <t>Greg Dulcich  MIA (6)</t>
  </si>
  <si>
    <t>TE27</t>
  </si>
  <si>
    <t>246 -32</t>
  </si>
  <si>
    <t>Trey Smack  GB (11)</t>
  </si>
  <si>
    <t>K17</t>
  </si>
  <si>
    <t>220 -5</t>
  </si>
  <si>
    <t>Adonai Mitchell  NYJ (13)</t>
  </si>
  <si>
    <t>WR71</t>
  </si>
  <si>
    <t>194 +22</t>
  </si>
  <si>
    <t>Tyreek Hill</t>
  </si>
  <si>
    <t>WR72</t>
  </si>
  <si>
    <t>232 -15</t>
  </si>
  <si>
    <t>New York Giants DST  (8)</t>
  </si>
  <si>
    <t>DST19</t>
  </si>
  <si>
    <t>271 -53</t>
  </si>
  <si>
    <t>Kaelon Black  SF (8)</t>
  </si>
  <si>
    <t>RB59</t>
  </si>
  <si>
    <t>228 -9</t>
  </si>
  <si>
    <t>Malachi Fields  NYG (8)</t>
  </si>
  <si>
    <t>WR73</t>
  </si>
  <si>
    <t>210 +10</t>
  </si>
  <si>
    <t>Omar Cooper Jr.  NYJ (13)</t>
  </si>
  <si>
    <t>WR74</t>
  </si>
  <si>
    <t>184 +37</t>
  </si>
  <si>
    <t>Malik Washington  MIA (6)</t>
  </si>
  <si>
    <t>WR75</t>
  </si>
  <si>
    <t>174 +48</t>
  </si>
  <si>
    <t>Kayshon Boutte  HOU (8)</t>
  </si>
  <si>
    <t>WR76</t>
  </si>
  <si>
    <t>198 +25</t>
  </si>
  <si>
    <t>Justice Hill  BAL (13)</t>
  </si>
  <si>
    <t>RB60</t>
  </si>
  <si>
    <t>245 -21</t>
  </si>
  <si>
    <t>Zachariah Branch  ATL (11)</t>
  </si>
  <si>
    <t>WR77</t>
  </si>
  <si>
    <t>206 +19</t>
  </si>
  <si>
    <t>Fernando Mendoza  LV (13)</t>
  </si>
  <si>
    <t>QB26</t>
  </si>
  <si>
    <t>200 +26</t>
  </si>
  <si>
    <t>Tre' Harris  LAC (7)</t>
  </si>
  <si>
    <t>WR78</t>
  </si>
  <si>
    <t>229 -2</t>
  </si>
  <si>
    <t>Emmett Johnson  KC (5)</t>
  </si>
  <si>
    <t>RB61</t>
  </si>
  <si>
    <t>191 +37</t>
  </si>
  <si>
    <t>Jaydon Blue  DAL (14)</t>
  </si>
  <si>
    <t>RB62</t>
  </si>
  <si>
    <t>215 +14</t>
  </si>
  <si>
    <t>Ray Davis  BUF (7)</t>
  </si>
  <si>
    <t>RB63</t>
  </si>
  <si>
    <t>204 +26</t>
  </si>
  <si>
    <t>Bryce Young  CAR (5)</t>
  </si>
  <si>
    <t>QB27</t>
  </si>
  <si>
    <t>223 +8</t>
  </si>
  <si>
    <t>Andy Borregales  NE (11)</t>
  </si>
  <si>
    <t>K18</t>
  </si>
  <si>
    <t>225 +7</t>
  </si>
  <si>
    <t>Tyler Bass  BUF (7)</t>
  </si>
  <si>
    <t>K19</t>
  </si>
  <si>
    <t>267 -34</t>
  </si>
  <si>
    <t>San Francisco 49ers DST  (8)</t>
  </si>
  <si>
    <t>DST20</t>
  </si>
  <si>
    <t>243 -9</t>
  </si>
  <si>
    <t>Atlanta Falcons DST  (11)</t>
  </si>
  <si>
    <t>DST21</t>
  </si>
  <si>
    <t>Nicholas Singleton  TEN (9)</t>
  </si>
  <si>
    <t>RB64</t>
  </si>
  <si>
    <t>227 +9</t>
  </si>
  <si>
    <t>Aaron Rodgers  PIT (9)</t>
  </si>
  <si>
    <t>QB28</t>
  </si>
  <si>
    <t>264 -27</t>
  </si>
  <si>
    <t>Pat Freiermuth  PIT (9)</t>
  </si>
  <si>
    <t>TE28</t>
  </si>
  <si>
    <t>275 -37</t>
  </si>
  <si>
    <t>Kaytron Allen  WAS (7)</t>
  </si>
  <si>
    <t>RB65</t>
  </si>
  <si>
    <t>226 +13</t>
  </si>
  <si>
    <t>Cade Otton  TB (10)</t>
  </si>
  <si>
    <t>TE29</t>
  </si>
  <si>
    <t>250 -10</t>
  </si>
  <si>
    <t>Najee Harris  NYG (8)</t>
  </si>
  <si>
    <t>RB66</t>
  </si>
  <si>
    <t>244 -3</t>
  </si>
  <si>
    <t>Sean Tucker  TB (10)</t>
  </si>
  <si>
    <t>RB67</t>
  </si>
  <si>
    <t>221 +21</t>
  </si>
  <si>
    <t>Jake Elliott  PHI (10)</t>
  </si>
  <si>
    <t>K20</t>
  </si>
  <si>
    <t>272 -29</t>
  </si>
  <si>
    <t>Travis Hunter  JAC (7)</t>
  </si>
  <si>
    <t>WR79</t>
  </si>
  <si>
    <t>173 +71</t>
  </si>
  <si>
    <t>New Orleans Saints DST  (8)</t>
  </si>
  <si>
    <t>DST22</t>
  </si>
  <si>
    <t>Jacoby Brissett  ARI (14)</t>
  </si>
  <si>
    <t>QB29</t>
  </si>
  <si>
    <t>254 -8</t>
  </si>
  <si>
    <t>Shedeur Sanders  CLE (11)</t>
  </si>
  <si>
    <t>QB30</t>
  </si>
  <si>
    <t>257 -10</t>
  </si>
  <si>
    <t>J.J. McCarthy  MIN (6)</t>
  </si>
  <si>
    <t>QB31</t>
  </si>
  <si>
    <t>Jaylen Wright  MIA (6)</t>
  </si>
  <si>
    <t>RB68</t>
  </si>
  <si>
    <t>247 +2</t>
  </si>
  <si>
    <t>Chris Bell  MIA (6)</t>
  </si>
  <si>
    <t>WR80</t>
  </si>
  <si>
    <t>230 +20</t>
  </si>
  <si>
    <t>Demond Claiborne  MIN (6)</t>
  </si>
  <si>
    <t>RB69</t>
  </si>
  <si>
    <t>248 +3</t>
  </si>
  <si>
    <t>Carolina Panthers DST  (5)</t>
  </si>
  <si>
    <t>DST23</t>
  </si>
  <si>
    <t>Devaughn Vele  NO (8)</t>
  </si>
  <si>
    <t>WR81</t>
  </si>
  <si>
    <t>234 +19</t>
  </si>
  <si>
    <t>Cincinnati Bengals DST  (6)</t>
  </si>
  <si>
    <t>DST24</t>
  </si>
  <si>
    <t>Tampa Bay Buccaneers DST  (10)</t>
  </si>
  <si>
    <t>DST25</t>
  </si>
  <si>
    <t>Dontayvion Wicks  PHI (10)</t>
  </si>
  <si>
    <t>WR82</t>
  </si>
  <si>
    <t>216 +40</t>
  </si>
  <si>
    <t>Christian Kirk  SF (8)</t>
  </si>
  <si>
    <t>WR83</t>
  </si>
  <si>
    <t>Isaac TeSlaa  DET (6)</t>
  </si>
  <si>
    <t>WR84</t>
  </si>
  <si>
    <t>237 +21</t>
  </si>
  <si>
    <t>Eli Stowers  PHI (10)</t>
  </si>
  <si>
    <t>TE30</t>
  </si>
  <si>
    <t>233 +26</t>
  </si>
  <si>
    <t>Jordan James  SF (8)</t>
  </si>
  <si>
    <t>RB70</t>
  </si>
  <si>
    <t>279 -19</t>
  </si>
  <si>
    <t>George Holani  SEA (11)</t>
  </si>
  <si>
    <t>RB71</t>
  </si>
  <si>
    <t>259 +2</t>
  </si>
  <si>
    <t>Ryan Flournoy  DAL (14)</t>
  </si>
  <si>
    <t>WR85</t>
  </si>
  <si>
    <t>224 +38</t>
  </si>
  <si>
    <t>Ty Simpson  LAR (11)</t>
  </si>
  <si>
    <t>QB32</t>
  </si>
  <si>
    <t>Las Vegas Raiders DST  (13)</t>
  </si>
  <si>
    <t>DST26</t>
  </si>
  <si>
    <t>Brandon Aiyuk  SF (8)</t>
  </si>
  <si>
    <t>WR86</t>
  </si>
  <si>
    <t>Kyle Williams  NE (11)</t>
  </si>
  <si>
    <t>WR87</t>
  </si>
  <si>
    <t>Kimani Vidal  LAC (7)</t>
  </si>
  <si>
    <t>RB72</t>
  </si>
  <si>
    <t>260 +7</t>
  </si>
  <si>
    <t>Nick Folk  ATL (11)</t>
  </si>
  <si>
    <t>K21</t>
  </si>
  <si>
    <t>222 +46</t>
  </si>
  <si>
    <t>Antonio Williams  WAS (7)</t>
  </si>
  <si>
    <t>WR88</t>
  </si>
  <si>
    <t>270 -1</t>
  </si>
  <si>
    <t>Indianapolis Colts DST  (13)</t>
  </si>
  <si>
    <t>DST27</t>
  </si>
  <si>
    <t>Gunnar Helm  TEN (9)</t>
  </si>
  <si>
    <t>TE31</t>
  </si>
  <si>
    <t>241 +30</t>
  </si>
  <si>
    <t>Germie Bernard  PIT (9)</t>
  </si>
  <si>
    <t>WR89</t>
  </si>
  <si>
    <t>269 +3</t>
  </si>
  <si>
    <t>Jaylin Noel  HOU (8)</t>
  </si>
  <si>
    <t>WR90</t>
  </si>
  <si>
    <t>268 +5</t>
  </si>
  <si>
    <t>Rashod Bateman  BAL (13)</t>
  </si>
  <si>
    <t>WR91</t>
  </si>
  <si>
    <t>255 +19</t>
  </si>
  <si>
    <t>Tennessee Titans DST  (9)</t>
  </si>
  <si>
    <t>DST28</t>
  </si>
  <si>
    <t>278 -3</t>
  </si>
  <si>
    <t>Washington Commanders DST  (7)</t>
  </si>
  <si>
    <t>DST29</t>
  </si>
  <si>
    <t>Pat Bryant  DEN (10)</t>
  </si>
  <si>
    <t>WR92</t>
  </si>
  <si>
    <t>202 +75</t>
  </si>
  <si>
    <t>Joe Mixon</t>
  </si>
  <si>
    <t>RB73</t>
  </si>
  <si>
    <t>253 +25</t>
  </si>
  <si>
    <t>Troy Franklin  DEN (10)</t>
  </si>
  <si>
    <t>WR93</t>
  </si>
  <si>
    <t>Ted Hurst III  TB (10)</t>
  </si>
  <si>
    <t>WR94</t>
  </si>
  <si>
    <t>262 +18</t>
  </si>
  <si>
    <t>Michael Penix Jr.  ATL (11)</t>
  </si>
  <si>
    <t>QB33</t>
  </si>
  <si>
    <t>Mason Taylor  NYJ (13)</t>
  </si>
  <si>
    <t>TE32</t>
  </si>
  <si>
    <t>Tua Tagovailoa  ATL (11)</t>
  </si>
  <si>
    <t>QB34</t>
  </si>
  <si>
    <t>Darnell Washington  PIT (9)</t>
  </si>
  <si>
    <t>TE33</t>
  </si>
  <si>
    <t>Matt Gay  LV (13)</t>
  </si>
  <si>
    <t>K22</t>
  </si>
  <si>
    <t>Darnell Mooney  NYG (8)</t>
  </si>
  <si>
    <t>WR95</t>
  </si>
  <si>
    <t>Miami Dolphins DST  (6)</t>
  </si>
  <si>
    <t>DST30</t>
  </si>
  <si>
    <t>Cole Kmet  CHI (10)</t>
  </si>
  <si>
    <t>TE34</t>
  </si>
  <si>
    <t>Marvin Mims Jr.  DEN (10)</t>
  </si>
  <si>
    <t>WR96</t>
  </si>
  <si>
    <t>280 +9</t>
  </si>
  <si>
    <t>Jack Bech  LV (13)</t>
  </si>
  <si>
    <t>WR97</t>
  </si>
  <si>
    <t>219 +71</t>
  </si>
  <si>
    <t>Keon Coleman  BUF (7)</t>
  </si>
  <si>
    <t>WR98</t>
  </si>
  <si>
    <t>218 +73</t>
  </si>
  <si>
    <t>Kirk Cousins  LV (13)</t>
  </si>
  <si>
    <t>QB35</t>
  </si>
  <si>
    <t>Tory Horton  SEA (11)</t>
  </si>
  <si>
    <t>WR99</t>
  </si>
  <si>
    <t>Riley Patterson  MIA (6)</t>
  </si>
  <si>
    <t>K23</t>
  </si>
  <si>
    <t>Devin Singletary  NYG (8)</t>
  </si>
  <si>
    <t>RB74</t>
  </si>
  <si>
    <t>Emanuel Wilson  SEA (11)</t>
  </si>
  <si>
    <t>RB75</t>
  </si>
  <si>
    <t>Jake Tonges  SF (8)</t>
  </si>
  <si>
    <t>TE35</t>
  </si>
  <si>
    <t>276 +21</t>
  </si>
  <si>
    <t>Colby Parkinson  LAR (11)</t>
  </si>
  <si>
    <t>TE36</t>
  </si>
  <si>
    <t>258 +40</t>
  </si>
  <si>
    <t>Drew Stevens  WAS (7)</t>
  </si>
  <si>
    <t>K24</t>
  </si>
  <si>
    <t>Arizona Cardinals DST  (14)</t>
  </si>
  <si>
    <t>DST31</t>
  </si>
  <si>
    <t>Blake Grupe  IND (13)</t>
  </si>
  <si>
    <t>K25</t>
  </si>
  <si>
    <t>Jameis Winston  NYG (8)</t>
  </si>
  <si>
    <t>QB36</t>
  </si>
  <si>
    <t>Dawson Knox  BUF (7)</t>
  </si>
  <si>
    <t>TE37</t>
  </si>
  <si>
    <t>Elic Ayomanor  TEN (9)</t>
  </si>
  <si>
    <t>WR100</t>
  </si>
  <si>
    <t>Drew Allar  PIT (9)</t>
  </si>
  <si>
    <t>QB37</t>
  </si>
  <si>
    <t>Hollywood Brown  PHI (10)</t>
  </si>
  <si>
    <t>WR101</t>
  </si>
  <si>
    <t>Luke McCaffrey  WAS (7)</t>
  </si>
  <si>
    <t>WR102</t>
  </si>
  <si>
    <t>Ben Sauls  NYG (8)</t>
  </si>
  <si>
    <t>K26</t>
  </si>
  <si>
    <t>Carson Beck  ARI (14)</t>
  </si>
  <si>
    <t>QB38</t>
  </si>
  <si>
    <t>Jason Sanders  NYJ (13)</t>
  </si>
  <si>
    <t>K27</t>
  </si>
  <si>
    <t>Chad Ryland  ARI (14)</t>
  </si>
  <si>
    <t>K28</t>
  </si>
  <si>
    <t>Kendre Miller  NO (8)</t>
  </si>
  <si>
    <t>RB76</t>
  </si>
  <si>
    <t>265 +47</t>
  </si>
  <si>
    <t>Devontez Walker  BAL (13)</t>
  </si>
  <si>
    <t>WR103</t>
  </si>
  <si>
    <t>Malik Davis  DAL (14)</t>
  </si>
  <si>
    <t>RB77</t>
  </si>
  <si>
    <t>Joe Flacco  CIN (6)</t>
  </si>
  <si>
    <t>QB39</t>
  </si>
  <si>
    <t>Trey Benson  ARI (14)</t>
  </si>
  <si>
    <t>RB78</t>
  </si>
  <si>
    <t>Brashard Smith  KC (5)</t>
  </si>
  <si>
    <t>RB79</t>
  </si>
  <si>
    <t>Theo Johnson  NYG (8)</t>
  </si>
  <si>
    <t>TE38</t>
  </si>
  <si>
    <t>Andre Szmyt  CLE (11)</t>
  </si>
  <si>
    <t>K29</t>
  </si>
  <si>
    <t>Kaleb Johnson  PIT (9)</t>
  </si>
  <si>
    <t>RB80</t>
  </si>
  <si>
    <t>239 +81</t>
  </si>
  <si>
    <t>Kyle Allen  BUF (7)</t>
  </si>
  <si>
    <t>QB40</t>
  </si>
  <si>
    <t>Justin Fields  KC (5)</t>
  </si>
  <si>
    <t>QB41</t>
  </si>
  <si>
    <t>Chimere Dike  TEN (9)</t>
  </si>
  <si>
    <t>WR104</t>
  </si>
  <si>
    <t>261 +62</t>
  </si>
  <si>
    <t>Ja'Tavion Sanders  CAR (5)</t>
  </si>
  <si>
    <t>TE39</t>
  </si>
  <si>
    <t>Ryan Fitzgerald  CAR (5)</t>
  </si>
  <si>
    <t>K30</t>
  </si>
  <si>
    <t>Elijah Arroyo  SEA (11)</t>
  </si>
  <si>
    <t>TE40</t>
  </si>
  <si>
    <t>Jake Moody</t>
  </si>
  <si>
    <t>K31</t>
  </si>
  <si>
    <t>Colbie Young  CIN (6)</t>
  </si>
  <si>
    <t>WR105</t>
  </si>
  <si>
    <t>Joey Slye  TEN (9)</t>
  </si>
  <si>
    <t>K32</t>
  </si>
  <si>
    <t>Joshua Palmer  BUF (7)</t>
  </si>
  <si>
    <t>WR106</t>
  </si>
  <si>
    <t>Elijah Sarratt  BAL (13)</t>
  </si>
  <si>
    <t>WR107</t>
  </si>
  <si>
    <t>Mac Jones  SF (8)</t>
  </si>
  <si>
    <t>QB42</t>
  </si>
  <si>
    <t>Eli Raridon  NE (11)</t>
  </si>
  <si>
    <t>TE41</t>
  </si>
  <si>
    <t>J.J. Taylor</t>
  </si>
  <si>
    <t>RB81</t>
  </si>
  <si>
    <t>Tyler Higbee  LAR (11)</t>
  </si>
  <si>
    <t>TE42</t>
  </si>
  <si>
    <t>Josh Williams  TB (10)</t>
  </si>
  <si>
    <t>RB82</t>
  </si>
  <si>
    <t>Devin Neal  NO (8)</t>
  </si>
  <si>
    <t>RB83</t>
  </si>
  <si>
    <t>256 +81</t>
  </si>
  <si>
    <t>Spencer Shrader  IND (13)</t>
  </si>
  <si>
    <t>K33</t>
  </si>
  <si>
    <t>Odell Beckham Jr.  NYG (8)</t>
  </si>
  <si>
    <t>WR108</t>
  </si>
  <si>
    <t>Justin Tucker</t>
  </si>
  <si>
    <t>K34</t>
  </si>
  <si>
    <t>Philip Rivers</t>
  </si>
  <si>
    <t>QB43</t>
  </si>
  <si>
    <t>Cade Klubnik  NYJ (13)</t>
  </si>
  <si>
    <t>QB44</t>
  </si>
  <si>
    <t>KaVontae Turpin  DAL (14)</t>
  </si>
  <si>
    <t>WR109</t>
  </si>
  <si>
    <t>Younghoe Koo</t>
  </si>
  <si>
    <t>K35</t>
  </si>
  <si>
    <t>Jordan Whittington  LAR (11)</t>
  </si>
  <si>
    <t>WR110</t>
  </si>
  <si>
    <t>Zavion Thomas  CHI (10)</t>
  </si>
  <si>
    <t>WR111</t>
  </si>
  <si>
    <t>Max Klare  LAR (11)</t>
  </si>
  <si>
    <t>TE43</t>
  </si>
  <si>
    <t>Evan Engram  DEN (10)</t>
  </si>
  <si>
    <t>TE44</t>
  </si>
  <si>
    <t>Lil'Jordan Humphrey  DEN (10)</t>
  </si>
  <si>
    <t>WR112</t>
  </si>
  <si>
    <t>Noah Gray  KC (5)</t>
  </si>
  <si>
    <t>TE45</t>
  </si>
  <si>
    <t>Mike Gesicki  CIN (6)</t>
  </si>
  <si>
    <t>TE46</t>
  </si>
  <si>
    <t>Dominic Zvada  NYG (8)</t>
  </si>
  <si>
    <t>K36</t>
  </si>
  <si>
    <t>Tommy Tremble  CAR (5)</t>
  </si>
  <si>
    <t>TE47</t>
  </si>
  <si>
    <t>Konata Mumpfield  LAR (11)</t>
  </si>
  <si>
    <t>WR113</t>
  </si>
  <si>
    <t>Mack Hollins  NE (11)</t>
  </si>
  <si>
    <t>WR114</t>
  </si>
  <si>
    <t>Will Kacmarek  MIA (6)</t>
  </si>
  <si>
    <t>TE48</t>
  </si>
  <si>
    <t>Caden Davis</t>
  </si>
  <si>
    <t>K37</t>
  </si>
  <si>
    <t>Sal Cannella</t>
  </si>
  <si>
    <t>TE49</t>
  </si>
  <si>
    <t>Tommy DeVito  NE (11)</t>
  </si>
  <si>
    <t>QB45</t>
  </si>
  <si>
    <t>Brock Wright  DET (6)</t>
  </si>
  <si>
    <t>TE50</t>
  </si>
  <si>
    <t>Quinn Ewers  MIA (6)</t>
  </si>
  <si>
    <t>QB46</t>
  </si>
  <si>
    <t>Luke Schoonmaker  DAL (14)</t>
  </si>
  <si>
    <t>TE51</t>
  </si>
  <si>
    <t>Ezekiel Elliott</t>
  </si>
  <si>
    <t>RB84</t>
  </si>
  <si>
    <t>Kadarius Toney</t>
  </si>
  <si>
    <t>WR115</t>
  </si>
  <si>
    <t>Emari Demercado  KC (5)</t>
  </si>
  <si>
    <t>RB85</t>
  </si>
  <si>
    <t>Samaje Perine  CIN (6)</t>
  </si>
  <si>
    <t>RB86</t>
  </si>
  <si>
    <t>235 +131</t>
  </si>
  <si>
    <t>Noah Fant  NO (8)</t>
  </si>
  <si>
    <t>TE52</t>
  </si>
  <si>
    <t>Geno Smith  NYJ (13)</t>
  </si>
  <si>
    <t>QB47</t>
  </si>
  <si>
    <t>252 +116</t>
  </si>
  <si>
    <t>Josh Oliver  MIN (6)</t>
  </si>
  <si>
    <t>TE53</t>
  </si>
  <si>
    <t>Kyle Juszczyk  SF (8)</t>
  </si>
  <si>
    <t>RB87</t>
  </si>
  <si>
    <t>Audric Estime  NO (8)</t>
  </si>
  <si>
    <t>RB88</t>
  </si>
  <si>
    <t>Joshua Dobbs  DET (6)</t>
  </si>
  <si>
    <t>QB48</t>
  </si>
  <si>
    <t>Elijah Higgins  ARI (14)</t>
  </si>
  <si>
    <t>TE54</t>
  </si>
  <si>
    <t>Efton Chism III  NE (11)</t>
  </si>
  <si>
    <t>WR116</t>
  </si>
  <si>
    <t>Jermar Jefferson  MIN (6)</t>
  </si>
  <si>
    <t>RB89</t>
  </si>
  <si>
    <t>Tyrod Taylor  GB (11)</t>
  </si>
  <si>
    <t>QB49</t>
  </si>
  <si>
    <t>Joe Milton III  DAL (14)</t>
  </si>
  <si>
    <t>QB50</t>
  </si>
  <si>
    <t>Tyler Huntley  BAL (13)</t>
  </si>
  <si>
    <t>QB51</t>
  </si>
  <si>
    <t>DeWayne McBride</t>
  </si>
  <si>
    <t>RB90</t>
  </si>
  <si>
    <t>Luke Lachey</t>
  </si>
  <si>
    <t>TE55</t>
  </si>
  <si>
    <t>Charles McClelland</t>
  </si>
  <si>
    <t>RB91</t>
  </si>
  <si>
    <t>Luke Musgrave  GB (11)</t>
  </si>
  <si>
    <t>TE56</t>
  </si>
  <si>
    <t>AJ Dillon  CAR (5)</t>
  </si>
  <si>
    <t>RB92</t>
  </si>
  <si>
    <t>Deshaun Watson  CLE (11)</t>
  </si>
  <si>
    <t>QB52</t>
  </si>
  <si>
    <t>Sam Wiglusz</t>
  </si>
  <si>
    <t>WR117</t>
  </si>
  <si>
    <t>Skyler Bell  BUF (7)</t>
  </si>
  <si>
    <t>WR118</t>
  </si>
  <si>
    <t>Jarquez Hunter  LAR (11)</t>
  </si>
  <si>
    <t>RB93</t>
  </si>
  <si>
    <t>Jaelen Gill</t>
  </si>
  <si>
    <t>WR119</t>
  </si>
  <si>
    <t>Israel Abanikanda  DAL (14)</t>
  </si>
  <si>
    <t>RB94</t>
  </si>
  <si>
    <t>Brandon McManus</t>
  </si>
  <si>
    <t>K38</t>
  </si>
  <si>
    <t>Ollie Gordon II  MIA (6)</t>
  </si>
  <si>
    <t>RB95</t>
  </si>
  <si>
    <t>277 +114</t>
  </si>
  <si>
    <t>Matt Prater</t>
  </si>
  <si>
    <t>K39</t>
  </si>
  <si>
    <t>Michael Pratt</t>
  </si>
  <si>
    <t>QB53</t>
  </si>
  <si>
    <t>Andy Dalton  PHI (10)</t>
  </si>
  <si>
    <t>QB54</t>
  </si>
  <si>
    <t>Ja'Corey Brooks</t>
  </si>
  <si>
    <t>WR120</t>
  </si>
  <si>
    <t>Malachi Corley  CLE (11)</t>
  </si>
  <si>
    <t>WR121</t>
  </si>
  <si>
    <t>Chris Brooks  GB (11)</t>
  </si>
  <si>
    <t>RB96</t>
  </si>
  <si>
    <t>Keelan Marion  ATL (11)</t>
  </si>
  <si>
    <t>WR122</t>
  </si>
  <si>
    <t>LeQuint Allen Jr.  JAC (7)</t>
  </si>
  <si>
    <t>RB97</t>
  </si>
  <si>
    <t>Ross Dwelley</t>
  </si>
  <si>
    <t>TE57</t>
  </si>
  <si>
    <t>Jelani Woods  NYJ (13)</t>
  </si>
  <si>
    <t>TE58</t>
  </si>
  <si>
    <t>Andrei Iosivas  CIN (6)</t>
  </si>
  <si>
    <t>WR123</t>
  </si>
  <si>
    <t>Alex Larson</t>
  </si>
  <si>
    <t>TE59</t>
  </si>
  <si>
    <t>Kenny Pickett  CAR (5)</t>
  </si>
  <si>
    <t>QB55</t>
  </si>
  <si>
    <t>Coleman Owen  IND (13)</t>
  </si>
  <si>
    <t>WR124</t>
  </si>
  <si>
    <t>Jake Browning  TB (10)</t>
  </si>
  <si>
    <t>QB56</t>
  </si>
  <si>
    <t>Darren Waller  CAR (5)</t>
  </si>
  <si>
    <t>TE60</t>
  </si>
  <si>
    <t>251 +156</t>
  </si>
  <si>
    <t>Jahdae Walker  CHI (10)</t>
  </si>
  <si>
    <t>WR125</t>
  </si>
  <si>
    <t>DJ Giddens  IND (13)</t>
  </si>
  <si>
    <t>RB98</t>
  </si>
  <si>
    <t>Camden Brown  DAL (14)</t>
  </si>
  <si>
    <t>WR126</t>
  </si>
  <si>
    <t>Kaden Wetjen  PIT (9)</t>
  </si>
  <si>
    <t>WR127</t>
  </si>
  <si>
    <t>Ray-Ray McCloud III  CHI (10)</t>
  </si>
  <si>
    <t>WR128</t>
  </si>
  <si>
    <t>Zach Mathis</t>
  </si>
  <si>
    <t>WR129</t>
  </si>
  <si>
    <t>Bryce Lance  NO (8)</t>
  </si>
  <si>
    <t>WR130</t>
  </si>
  <si>
    <t>Tanner Gentry</t>
  </si>
  <si>
    <t>WR131</t>
  </si>
  <si>
    <t>Daniel Carlson  NO (8)</t>
  </si>
  <si>
    <t>K40</t>
  </si>
  <si>
    <t>Ramel Keyton</t>
  </si>
  <si>
    <t>WR132</t>
  </si>
  <si>
    <t>D.J. Foster</t>
  </si>
  <si>
    <t>RB99</t>
  </si>
  <si>
    <t>Tyquan Thornton  KC (5)</t>
  </si>
  <si>
    <t>WR133</t>
  </si>
  <si>
    <t>Xavier Smith  LAR (11)</t>
  </si>
  <si>
    <t>WR134</t>
  </si>
  <si>
    <t>Jude McAtamney</t>
  </si>
  <si>
    <t>K41</t>
  </si>
  <si>
    <t>Jacob Kibodi</t>
  </si>
  <si>
    <t>RB100</t>
  </si>
  <si>
    <t>Jarveon Howard</t>
  </si>
  <si>
    <t>RB101</t>
  </si>
  <si>
    <t>Alex Ellis</t>
  </si>
  <si>
    <t>TE61</t>
  </si>
  <si>
    <t>John Samuel Shenker</t>
  </si>
  <si>
    <t>TE62</t>
  </si>
  <si>
    <t>Tommy Mellott</t>
  </si>
  <si>
    <t>WR135</t>
  </si>
  <si>
    <t>Lincoln Sefcik</t>
  </si>
  <si>
    <t>TE63</t>
  </si>
  <si>
    <t>Junior Bergen  NYJ (13)</t>
  </si>
  <si>
    <t>WR136</t>
  </si>
  <si>
    <t>Kenjon Barner</t>
  </si>
  <si>
    <t>RB102</t>
  </si>
  <si>
    <t>Alex Armah Jr.</t>
  </si>
  <si>
    <t>RB103</t>
  </si>
  <si>
    <t>Jalen Royals  KC (5)</t>
  </si>
  <si>
    <t>WR137</t>
  </si>
  <si>
    <t>Michael Trigg  DAL (14)</t>
  </si>
  <si>
    <t>TE64</t>
  </si>
  <si>
    <t>Xavier Legette  CAR (5)</t>
  </si>
  <si>
    <t>WR138</t>
  </si>
  <si>
    <t>Justin Joly  DEN (10)</t>
  </si>
  <si>
    <t>TE65</t>
  </si>
  <si>
    <t>Demarcus Robinson  SF (8)</t>
  </si>
  <si>
    <t>WR139</t>
  </si>
  <si>
    <t>Darius Slayton  NYG (8)</t>
  </si>
  <si>
    <t>WR140</t>
  </si>
  <si>
    <t>Tim Boyle</t>
  </si>
  <si>
    <t>QB57</t>
  </si>
  <si>
    <t>Dylan Drummond  ATL (11)</t>
  </si>
  <si>
    <t>WR141</t>
  </si>
  <si>
    <t>Tahj Brooks  CIN (6)</t>
  </si>
  <si>
    <t>RB104</t>
  </si>
  <si>
    <t>Charlie Smyth  NO (8)</t>
  </si>
  <si>
    <t>K42</t>
  </si>
  <si>
    <t>Elijah McGuire</t>
  </si>
  <si>
    <t>RB105</t>
  </si>
  <si>
    <t>Michael Mayer  LV (13)</t>
  </si>
  <si>
    <t>TE66</t>
  </si>
  <si>
    <t>Malik Benson  LV (13)</t>
  </si>
  <si>
    <t>WR142</t>
  </si>
  <si>
    <t>Charlie Kolar  LAC (7)</t>
  </si>
  <si>
    <t>TE67</t>
  </si>
  <si>
    <t>Martavis Bryant</t>
  </si>
  <si>
    <t>WR143</t>
  </si>
  <si>
    <t>Marcus Mariota  WAS (7)</t>
  </si>
  <si>
    <t>QB58</t>
  </si>
  <si>
    <t>JJ Laap</t>
  </si>
  <si>
    <t>WR144</t>
  </si>
  <si>
    <t>Roman Wilson  PIT (9)</t>
  </si>
  <si>
    <t>WR145</t>
  </si>
  <si>
    <t>Josh Adams</t>
  </si>
  <si>
    <t>RB106</t>
  </si>
  <si>
    <t>Adam Trautman  DEN (10)</t>
  </si>
  <si>
    <t>TE68</t>
  </si>
  <si>
    <t>Trey Lance  LAC (7)</t>
  </si>
  <si>
    <t>QB59</t>
  </si>
  <si>
    <t>Montrell Washington</t>
  </si>
  <si>
    <t>WR146</t>
  </si>
  <si>
    <t>Jackson Hawes  BUF (7)</t>
  </si>
  <si>
    <t>TE69</t>
  </si>
  <si>
    <t>Jimmy Horn Jr.  CAR (5)</t>
  </si>
  <si>
    <t>WR147</t>
  </si>
  <si>
    <t>KeAndre Lambert-Smith  LAC (7)</t>
  </si>
  <si>
    <t>WR148</t>
  </si>
  <si>
    <t>Osirus Mitchell</t>
  </si>
  <si>
    <t>WR149</t>
  </si>
  <si>
    <t>Salvon Ahmed  CHI (10)</t>
  </si>
  <si>
    <t>RB107</t>
  </si>
  <si>
    <t>Barion Brown  NO (8)</t>
  </si>
  <si>
    <t>WR150</t>
  </si>
  <si>
    <t>Bryce Love</t>
  </si>
  <si>
    <t>RB108</t>
  </si>
  <si>
    <t>Tanner McKee  PHI (10)</t>
  </si>
  <si>
    <t>QB60</t>
  </si>
  <si>
    <t>Briley Moore</t>
  </si>
  <si>
    <t>TE70</t>
  </si>
  <si>
    <t>Brevyn Spann-Ford  DAL (14)</t>
  </si>
  <si>
    <t>TE71</t>
  </si>
  <si>
    <t>Tai Felton  MIN (6)</t>
  </si>
  <si>
    <t>WR151</t>
  </si>
  <si>
    <t>Robert Tonyan  PIT (9)</t>
  </si>
  <si>
    <t>TE72</t>
  </si>
  <si>
    <t>Jonathan Mingo  DAL (14)</t>
  </si>
  <si>
    <t>WR152</t>
  </si>
  <si>
    <t>Dean Connors  LAR (11)</t>
  </si>
  <si>
    <t>RB109</t>
  </si>
  <si>
    <t>Standard</t>
  </si>
  <si>
    <t>Anthony Richardson Sr.  IND (13)</t>
  </si>
  <si>
    <t>QB61</t>
  </si>
  <si>
    <t>Sage Surratt</t>
  </si>
  <si>
    <t>WR153</t>
  </si>
  <si>
    <t>Austin Hooper  ATL (11)</t>
  </si>
  <si>
    <t>TE73</t>
  </si>
  <si>
    <t>Drew Lock  SEA (11)</t>
  </si>
  <si>
    <t>QB62</t>
  </si>
  <si>
    <t>Will Shipley  PHI (10)</t>
  </si>
  <si>
    <t>RB110</t>
  </si>
  <si>
    <t>Cade York</t>
  </si>
  <si>
    <t>K43</t>
  </si>
  <si>
    <t>Myles Price  MIN (6)</t>
  </si>
  <si>
    <t>WR154</t>
  </si>
  <si>
    <t>Trayveon Williams  DET (6)</t>
  </si>
  <si>
    <t>RB111</t>
  </si>
  <si>
    <t>Isaiah Bond  CLE (11)</t>
  </si>
  <si>
    <t>WR155</t>
  </si>
  <si>
    <t>Mecole Hardman Jr.  BUF (7)</t>
  </si>
  <si>
    <t>WR156</t>
  </si>
  <si>
    <t>Matt Seybert</t>
  </si>
  <si>
    <t>TE74</t>
  </si>
  <si>
    <t>Marquez Valdes-Scantling  DAL (14)</t>
  </si>
  <si>
    <t>WR157</t>
  </si>
  <si>
    <t>PPR</t>
  </si>
  <si>
    <t>https://www.fantasypros.com/nfl/adp/ppr-overall.php</t>
  </si>
  <si>
    <t>Stetson Bennett IV  LAR (11)</t>
  </si>
  <si>
    <t>QB63</t>
  </si>
  <si>
    <t>Chamon Metayer</t>
  </si>
  <si>
    <t>TE75</t>
  </si>
  <si>
    <t>Messiah Swinson  GB (11)</t>
  </si>
  <si>
    <t>TE76</t>
  </si>
  <si>
    <t>Mason Rudolph  PIT (9)</t>
  </si>
  <si>
    <t>QB64</t>
  </si>
  <si>
    <t>Dalvin Cook</t>
  </si>
  <si>
    <t>RB112</t>
  </si>
  <si>
    <t>Tyree Mayfield</t>
  </si>
  <si>
    <t>TE77</t>
  </si>
  <si>
    <t>John Ross</t>
  </si>
  <si>
    <t>WR158</t>
  </si>
  <si>
    <t>Jalen Hurd</t>
  </si>
  <si>
    <t>WR159</t>
  </si>
  <si>
    <t>Greg Dortch  DET (6)</t>
  </si>
  <si>
    <t>WR160</t>
  </si>
  <si>
    <t>DeAndre Hopkins  BAL (13)</t>
  </si>
  <si>
    <t>WR161</t>
  </si>
  <si>
    <t>Reggie White Jr.</t>
  </si>
  <si>
    <t>WR162</t>
  </si>
  <si>
    <t>Andrew Peasley</t>
  </si>
  <si>
    <t>QB65</t>
  </si>
  <si>
    <t>Tanner Koziol  JAC (7)</t>
  </si>
  <si>
    <t>TE78</t>
  </si>
  <si>
    <t>MyCole Pruitt</t>
  </si>
  <si>
    <t>TE79</t>
  </si>
  <si>
    <t>Tanner Brown  NO (8)</t>
  </si>
  <si>
    <t>K44</t>
  </si>
  <si>
    <t>Jacardia Wright  SEA (11)</t>
  </si>
  <si>
    <t>RB113</t>
  </si>
  <si>
    <t>Matt Colburn II</t>
  </si>
  <si>
    <t>RB114</t>
  </si>
  <si>
    <t>Half-PPR</t>
  </si>
  <si>
    <t>Jordan Travis</t>
  </si>
  <si>
    <t>QB66</t>
  </si>
  <si>
    <t>https://www.fantasypros.com/nfl/adp/half-point-ppr-overall.php</t>
  </si>
  <si>
    <t>Dont'e Thornton Jr.  LV (13)</t>
  </si>
  <si>
    <t>WR163</t>
  </si>
  <si>
    <t>Parker Romo</t>
  </si>
  <si>
    <t>K45</t>
  </si>
  <si>
    <t>Rookies</t>
  </si>
  <si>
    <t>D.J. Williams</t>
  </si>
  <si>
    <t>RB115</t>
  </si>
  <si>
    <t>https://www.fantasypros.com/nfl/adp/rookies.php</t>
  </si>
  <si>
    <t>Marlin Klein  HOU (8)</t>
  </si>
  <si>
    <t>TE80</t>
  </si>
  <si>
    <t>Jalen Tolbert  MIA (6)</t>
  </si>
  <si>
    <t>WR164</t>
  </si>
  <si>
    <t>Next Team:</t>
  </si>
  <si>
    <t>Thayer Thomas</t>
  </si>
  <si>
    <t>WR165</t>
  </si>
  <si>
    <t>New York Jets DST  (13)</t>
  </si>
  <si>
    <t>DST32</t>
  </si>
  <si>
    <t>Rounds:</t>
  </si>
  <si>
    <t xml:space="preserve"> </t>
  </si>
  <si>
    <t>Offline Backup</t>
  </si>
  <si>
    <t>Trenton Cannon</t>
  </si>
  <si>
    <t>RB116</t>
  </si>
  <si>
    <t>Jarrett Stidham  DEN (10)</t>
  </si>
  <si>
    <t>QB67</t>
  </si>
  <si>
    <t>Jeremiah Haydel</t>
  </si>
  <si>
    <t>WR166</t>
  </si>
  <si>
    <t>Tez Johnson  TB (10)</t>
  </si>
  <si>
    <t>WR167</t>
  </si>
  <si>
    <t>Ty Johnson  BUF (7)</t>
  </si>
  <si>
    <t>RB117</t>
  </si>
  <si>
    <t>Tyson Bagent  CHI (10)</t>
  </si>
  <si>
    <t>QB68</t>
  </si>
  <si>
    <t>Sam Howell  DAL (14)</t>
  </si>
  <si>
    <t>QB69</t>
  </si>
  <si>
    <t>Garrett Gilbert</t>
  </si>
  <si>
    <t>QB70</t>
  </si>
  <si>
    <t>Kalif Raymond  CHI (10)</t>
  </si>
  <si>
    <t>WR168</t>
  </si>
  <si>
    <t>Drew Sample  CIN (6)</t>
  </si>
  <si>
    <t>TE81</t>
  </si>
  <si>
    <t>Steven Montez</t>
  </si>
  <si>
    <t>QB71</t>
  </si>
  <si>
    <t>SmartDraft</t>
  </si>
  <si>
    <t>Cade Stover  HOU (8)</t>
  </si>
  <si>
    <t>Creted By</t>
  </si>
  <si>
    <t>TE82</t>
  </si>
  <si>
    <t>https://www.reddit.com/u/basmith7</t>
  </si>
  <si>
    <t>Mo Alie-Cox  IND (13)</t>
  </si>
  <si>
    <t>TE83</t>
  </si>
  <si>
    <t>Devin Gray</t>
  </si>
  <si>
    <t>WR169</t>
  </si>
  <si>
    <t>Reddit Post</t>
  </si>
  <si>
    <t>Ashton Dulin  IND (13)</t>
  </si>
  <si>
    <t>WR170</t>
  </si>
  <si>
    <t>Jahan Dotson  ATL (11)</t>
  </si>
  <si>
    <t>WR171</t>
  </si>
  <si>
    <t>John Franklin III</t>
  </si>
  <si>
    <t>WR172</t>
  </si>
  <si>
    <t>Seth McGowan  IND (13)</t>
  </si>
  <si>
    <t>RB118</t>
  </si>
  <si>
    <t>Carlos Washington Jr.  MIA (6)</t>
  </si>
  <si>
    <t>RB119</t>
  </si>
  <si>
    <t>Brenen Thompson  LAC (7)</t>
  </si>
  <si>
    <t>WR173</t>
  </si>
  <si>
    <t>Connor Heyward  LV (13)</t>
  </si>
  <si>
    <t>TE84</t>
  </si>
  <si>
    <t>Justin Watson  HOU (8)</t>
  </si>
  <si>
    <t>WR174</t>
  </si>
  <si>
    <t>Jeshaun Jones  MIN (6)</t>
  </si>
  <si>
    <t>WR175</t>
  </si>
  <si>
    <t>Jeremy Ruckert  NYJ (13)</t>
  </si>
  <si>
    <t>TE85</t>
  </si>
  <si>
    <t>Josh Pederson</t>
  </si>
  <si>
    <t>TE86</t>
  </si>
  <si>
    <t>Hunter Luepke  DAL (14)</t>
  </si>
  <si>
    <t>RB120</t>
  </si>
  <si>
    <t>Rashod Owens</t>
  </si>
  <si>
    <t>WR176</t>
  </si>
  <si>
    <t>Zane Gonzalez</t>
  </si>
  <si>
    <t>K46</t>
  </si>
  <si>
    <t>Raheim Sanders  CLE (11)</t>
  </si>
  <si>
    <t>RB121</t>
  </si>
  <si>
    <t>Bo Melton  GB (11)</t>
  </si>
  <si>
    <t>WR177</t>
  </si>
  <si>
    <t>Colton Dowell</t>
  </si>
  <si>
    <t>WR178</t>
  </si>
  <si>
    <t>Jaylin Lane  WAS (7)</t>
  </si>
  <si>
    <t>WR179</t>
  </si>
  <si>
    <t>Matthew Slater</t>
  </si>
  <si>
    <t>WR180</t>
  </si>
  <si>
    <t>CJ Daniels  LAR (11)</t>
  </si>
  <si>
    <t>WR181</t>
  </si>
  <si>
    <t>JaQuan Hardy</t>
  </si>
  <si>
    <t>RB122</t>
  </si>
  <si>
    <t>James Washington</t>
  </si>
  <si>
    <t>WR182</t>
  </si>
  <si>
    <t>Tyler Conklin  DET (6)</t>
  </si>
  <si>
    <t>TE87</t>
  </si>
  <si>
    <t>T.J. Vasher</t>
  </si>
  <si>
    <t>WR183</t>
  </si>
  <si>
    <t>Sam Roush  CHI (10)</t>
  </si>
  <si>
    <t>TE88</t>
  </si>
  <si>
    <t>Darius Cooper  PHI (10)</t>
  </si>
  <si>
    <t>WR184</t>
  </si>
  <si>
    <t>Max Bredeson  MIN (6)</t>
  </si>
  <si>
    <t>RB123</t>
  </si>
  <si>
    <t>Patrick Ricard  NYG (8)</t>
  </si>
  <si>
    <t>RB124</t>
  </si>
  <si>
    <t>Isaiah Davis  NYJ (13)</t>
  </si>
  <si>
    <t>RB125</t>
  </si>
  <si>
    <t>Ben Bryant</t>
  </si>
  <si>
    <t>QB72</t>
  </si>
  <si>
    <t>Ben Skowronek  PIT (9)</t>
  </si>
  <si>
    <t>WR185</t>
  </si>
  <si>
    <t>Isaac Guerendo  SF (8)</t>
  </si>
  <si>
    <t>RB126</t>
  </si>
  <si>
    <t>Braxton Berrios  NYG (8)</t>
  </si>
  <si>
    <t>WR186</t>
  </si>
  <si>
    <t>Skyy Moore  GB (11)</t>
  </si>
  <si>
    <t>WR187</t>
  </si>
  <si>
    <t>David Moore  CAR (5)</t>
  </si>
  <si>
    <t>WR188</t>
  </si>
  <si>
    <t>John Metchie III  CAR (5)</t>
  </si>
  <si>
    <t>WR189</t>
  </si>
  <si>
    <t>Carson Wentz  MIN (6)</t>
  </si>
  <si>
    <t>QB73</t>
  </si>
  <si>
    <t>Kareem Hunt</t>
  </si>
  <si>
    <t>RB127</t>
  </si>
  <si>
    <t>Dylan McDuffie</t>
  </si>
  <si>
    <t>RB128</t>
  </si>
  <si>
    <t>Gardner Minshew II  ARI (14)</t>
  </si>
  <si>
    <t>QB74</t>
  </si>
  <si>
    <t>Albert Okwuegbunam Jr.  LV (13)</t>
  </si>
  <si>
    <t>TE89</t>
  </si>
  <si>
    <t>Jake Herslow</t>
  </si>
  <si>
    <t>WR190</t>
  </si>
  <si>
    <t>Zach Wilson  NO (8)</t>
  </si>
  <si>
    <t>QB75</t>
  </si>
  <si>
    <t>Jordan Moore  CIN (6)</t>
  </si>
  <si>
    <t>WR191</t>
  </si>
  <si>
    <t>D.J. Montgomery  IND (13)</t>
  </si>
  <si>
    <t>WR192</t>
  </si>
  <si>
    <t>Jawhar Jordan  HOU (8)</t>
  </si>
  <si>
    <t>RB129</t>
  </si>
  <si>
    <t>Roschon Johnson  CHI (10)</t>
  </si>
  <si>
    <t>RB130</t>
  </si>
  <si>
    <t>Jordon Vaughn</t>
  </si>
  <si>
    <t>RB131</t>
  </si>
  <si>
    <t>Jake Bobo  SEA (11)</t>
  </si>
  <si>
    <t>WR193</t>
  </si>
  <si>
    <t>Trevor Etienne  CAR (5)</t>
  </si>
  <si>
    <t>RB132</t>
  </si>
  <si>
    <t>Luke Drzewiecki</t>
  </si>
  <si>
    <t>K47</t>
  </si>
  <si>
    <t>Carson Steele  PHI (10)</t>
  </si>
  <si>
    <t>RB133</t>
  </si>
  <si>
    <t>Frank Gore Jr.  BUF (7)</t>
  </si>
  <si>
    <t>RB134</t>
  </si>
  <si>
    <t>Xavier Johnson  CIN (6)</t>
  </si>
  <si>
    <t>WR194</t>
  </si>
  <si>
    <t>Daniel Bellinger  TEN (9)</t>
  </si>
  <si>
    <t>TE90</t>
  </si>
  <si>
    <t>Olamide Zaccheaus  ATL (11)</t>
  </si>
  <si>
    <t>WR195</t>
  </si>
  <si>
    <t>Dillon Gabriel  CLE (11)</t>
  </si>
  <si>
    <t>QB76</t>
  </si>
  <si>
    <t>Logan Woodside</t>
  </si>
  <si>
    <t>QB77</t>
  </si>
  <si>
    <t>Jalen Milroe  SEA (11)</t>
  </si>
  <si>
    <t>QB78</t>
  </si>
  <si>
    <t>Kenny McIntosh</t>
  </si>
  <si>
    <t>RB135</t>
  </si>
  <si>
    <t>Ulysses Bentley IV  IND (13)</t>
  </si>
  <si>
    <t>RB136</t>
  </si>
  <si>
    <t>Taysom Hill</t>
  </si>
  <si>
    <t>TE91</t>
  </si>
  <si>
    <t>Equanimeous St. Brown</t>
  </si>
  <si>
    <t>WR196</t>
  </si>
  <si>
    <t>Austin Seibert</t>
  </si>
  <si>
    <t>K48</t>
  </si>
  <si>
    <t>JuJu Smith-Schuster</t>
  </si>
  <si>
    <t>WR197</t>
  </si>
  <si>
    <t>Deontay Burnett</t>
  </si>
  <si>
    <t>WR198</t>
  </si>
  <si>
    <t>Tutu Atwell  MIA (6)</t>
  </si>
  <si>
    <t>WR199</t>
  </si>
  <si>
    <t>Austin Ekeler</t>
  </si>
  <si>
    <t>RB137</t>
  </si>
  <si>
    <t>Amari Cooper</t>
  </si>
  <si>
    <t>WR200</t>
  </si>
  <si>
    <t>Derek Carr</t>
  </si>
  <si>
    <t>QB79</t>
  </si>
  <si>
    <t>Zach Ertz</t>
  </si>
  <si>
    <t>TE92</t>
  </si>
  <si>
    <t>Jimmy Garoppolo  LAR (11)</t>
  </si>
  <si>
    <t>QB80</t>
  </si>
  <si>
    <t>Dustin Hopkins</t>
  </si>
  <si>
    <t>K49</t>
  </si>
  <si>
    <t>Kevin Coleman Jr.  MIA (6)</t>
  </si>
  <si>
    <t>WR201</t>
  </si>
  <si>
    <t>Greg Zuerlein</t>
  </si>
  <si>
    <t>K50</t>
  </si>
  <si>
    <t>Nick Westbrook-Ikhine  IND (13)</t>
  </si>
  <si>
    <t>WR202</t>
  </si>
  <si>
    <t>Antonio Gibson</t>
  </si>
  <si>
    <t>RB138</t>
  </si>
  <si>
    <t>DeMario Douglas  NE (11)</t>
  </si>
  <si>
    <t>WR203</t>
  </si>
  <si>
    <t>Joshua Karty</t>
  </si>
  <si>
    <t>K51</t>
  </si>
  <si>
    <t>Adam Randall  BAL (13)</t>
  </si>
  <si>
    <t>RB139</t>
  </si>
  <si>
    <t>Brenden Rice</t>
  </si>
  <si>
    <t>WR204</t>
  </si>
  <si>
    <t>Devin Leary</t>
  </si>
  <si>
    <t>QB81</t>
  </si>
  <si>
    <t>Thomas Odukoya</t>
  </si>
  <si>
    <t>TE93</t>
  </si>
  <si>
    <t>Riley Leonard  IND (13)</t>
  </si>
  <si>
    <t>QB82</t>
  </si>
  <si>
    <t>Aaron Shampklin</t>
  </si>
  <si>
    <t>RB140</t>
  </si>
  <si>
    <t>Xavier Hutchinson  HOU (8)</t>
  </si>
  <si>
    <t>WR205</t>
  </si>
  <si>
    <t>Jermaine Jackson</t>
  </si>
  <si>
    <t>WR206</t>
  </si>
  <si>
    <t>Treylon Burks  WAS (7)</t>
  </si>
  <si>
    <t>WR207</t>
  </si>
  <si>
    <t>Jacob Saylors  DET (6)</t>
  </si>
  <si>
    <t>RB141</t>
  </si>
  <si>
    <t>Kendrick Bourne  ARI (14)</t>
  </si>
  <si>
    <t>WR208</t>
  </si>
  <si>
    <t>Durham Smythe  BAL (13)</t>
  </si>
  <si>
    <t>TE94</t>
  </si>
  <si>
    <t>Dyami Brown  WAS (7)</t>
  </si>
  <si>
    <t>WR209</t>
  </si>
  <si>
    <t>Jerome Ford  WAS (7)</t>
  </si>
  <si>
    <t>RB142</t>
  </si>
  <si>
    <t>Isaiah Williams  NYJ (13)</t>
  </si>
  <si>
    <t>WR210</t>
  </si>
  <si>
    <t>John Bates  WAS (7)</t>
  </si>
  <si>
    <t>TE95</t>
  </si>
  <si>
    <t>Oscar Delp  NO (8)</t>
  </si>
  <si>
    <t>TE96</t>
  </si>
  <si>
    <t>Tanner Hudson  CIN (6)</t>
  </si>
  <si>
    <t>TE97</t>
  </si>
  <si>
    <t>Nate Boerkircher  JAC (7)</t>
  </si>
  <si>
    <t>TE98</t>
  </si>
  <si>
    <t>Ben Sinnott  WAS (7)</t>
  </si>
  <si>
    <t>TE99</t>
  </si>
  <si>
    <t>Davis Allen  LAR (11)</t>
  </si>
  <si>
    <t>TE100</t>
  </si>
  <si>
    <t>Jaleel McLaughlin  DEN (10)</t>
  </si>
  <si>
    <t>RB143</t>
  </si>
  <si>
    <t>Alec Ingold  LAC (7)</t>
  </si>
  <si>
    <t>RB144</t>
  </si>
  <si>
    <t>Savion Williams  GB (11)</t>
  </si>
  <si>
    <t>WR211</t>
  </si>
  <si>
    <t>Joe Royer  CLE (11)</t>
  </si>
  <si>
    <t>TE101</t>
  </si>
  <si>
    <t>Tyrell Shavers  BUF (7)</t>
  </si>
  <si>
    <t>WR212</t>
  </si>
  <si>
    <t>Chris Brazzell II  CAR (5)</t>
  </si>
  <si>
    <t>WR213</t>
  </si>
  <si>
    <t>Adam Prentice  DEN (10)</t>
  </si>
  <si>
    <t>RB145</t>
  </si>
  <si>
    <t>Michael Burton  CLE (11)</t>
  </si>
  <si>
    <t>RB146</t>
  </si>
  <si>
    <t>Brendan Sorsby</t>
  </si>
  <si>
    <t>QB83</t>
  </si>
  <si>
    <t>Luke Farrell  SF (8)</t>
  </si>
  <si>
    <t>TE102</t>
  </si>
  <si>
    <t>Mitch Tinsley  CIN (6)</t>
  </si>
  <si>
    <t>WR214</t>
  </si>
  <si>
    <t>CJ Dippre  NE (11)</t>
  </si>
  <si>
    <t>TE103</t>
  </si>
  <si>
    <t>Spencer Rattler  NO (8)</t>
  </si>
  <si>
    <t>QB84</t>
  </si>
  <si>
    <t>Josh Whyle  GB (11)</t>
  </si>
  <si>
    <t>TE104</t>
  </si>
  <si>
    <t>Eric Saubert  SEA (11)</t>
  </si>
  <si>
    <t>TE105</t>
  </si>
  <si>
    <t>Andrew Beck  NYJ (13)</t>
  </si>
  <si>
    <t>TE106</t>
  </si>
  <si>
    <t>Riley Nowakowski  PIT (9)</t>
  </si>
  <si>
    <t>TE107</t>
  </si>
  <si>
    <t>Reggie Virgil  ARI (14)</t>
  </si>
  <si>
    <t>WR215</t>
  </si>
  <si>
    <t>Reggie Gilliam  NE (11)</t>
  </si>
  <si>
    <t>RB147</t>
  </si>
  <si>
    <t>Mitchell Trubisky  TEN (9)</t>
  </si>
  <si>
    <t>QB85</t>
  </si>
  <si>
    <t>Cedric Tillman  CLE (11)</t>
  </si>
  <si>
    <t>WR216</t>
  </si>
  <si>
    <t>Chris Manhertz  NYG (8)</t>
  </si>
  <si>
    <t>TE108</t>
  </si>
  <si>
    <t>Arian Smith  NYJ (13)</t>
  </si>
  <si>
    <t>WR217</t>
  </si>
  <si>
    <t>Charlie Jones  CIN (6)</t>
  </si>
  <si>
    <t>WR218</t>
  </si>
  <si>
    <t>British Brooks  HOU (8)</t>
  </si>
  <si>
    <t>RB148</t>
  </si>
  <si>
    <t>LaJohntay Wester  BAL (13)</t>
  </si>
  <si>
    <t>WR219</t>
  </si>
  <si>
    <t>Britain Covey  PHI (10)</t>
  </si>
  <si>
    <t>WR220</t>
  </si>
  <si>
    <t>Josh Cameron  JAC (7)</t>
  </si>
  <si>
    <t>WR221</t>
  </si>
  <si>
    <t>Mason Kinsey  TEN (9)</t>
  </si>
  <si>
    <t>WR222</t>
  </si>
  <si>
    <t>River Cracraft</t>
  </si>
  <si>
    <t>WR223</t>
  </si>
  <si>
    <t>Cedrick Wilson Jr.  DET (6)</t>
  </si>
  <si>
    <t>WR224</t>
  </si>
  <si>
    <t>Cooper Rush  ATL (11)</t>
  </si>
  <si>
    <t>QB86</t>
  </si>
  <si>
    <t>Dare Ogunbowale  LV (13)</t>
  </si>
  <si>
    <t>RB149</t>
  </si>
  <si>
    <t>Phillip Dorsett II  LV (13)</t>
  </si>
  <si>
    <t>WR225</t>
  </si>
  <si>
    <t>Scotty Miller  CHI (10)</t>
  </si>
  <si>
    <t>WR226</t>
  </si>
  <si>
    <t>Travis Homer  PIT (9)</t>
  </si>
  <si>
    <t>RB150</t>
  </si>
  <si>
    <t>Tim Patrick  NYJ (13)</t>
  </si>
  <si>
    <t>WR227</t>
  </si>
  <si>
    <t>Case Keenum  CHI (10)</t>
  </si>
  <si>
    <t>QB87</t>
  </si>
  <si>
    <t>Josh Johnson  CIN (6)</t>
  </si>
  <si>
    <t>QB88</t>
  </si>
  <si>
    <t>Gunner Olszewski  NYG (8)</t>
  </si>
  <si>
    <t>WR228</t>
  </si>
  <si>
    <t>Tom Kennedy  DET (6)</t>
  </si>
  <si>
    <t>WR229</t>
  </si>
  <si>
    <t>Van Jefferson  WAS (7)</t>
  </si>
  <si>
    <t>WR230</t>
  </si>
  <si>
    <t>Quez Watkins  PHI (10)</t>
  </si>
  <si>
    <t>WR231</t>
  </si>
  <si>
    <t>Michael Carter  TEN (9)</t>
  </si>
  <si>
    <t>RB151</t>
  </si>
  <si>
    <t>Elijah Moore  PHI (10)</t>
  </si>
  <si>
    <t>WR232</t>
  </si>
  <si>
    <t>Ihmir Smith-Marsette  ARI (14)</t>
  </si>
  <si>
    <t>WR233</t>
  </si>
  <si>
    <t>Cody White  SEA (11)</t>
  </si>
  <si>
    <t>WR234</t>
  </si>
  <si>
    <t>Patrick Taylor Jr.  SF (8)</t>
  </si>
  <si>
    <t>RB152</t>
  </si>
  <si>
    <t>Zamir White  NO (8)</t>
  </si>
  <si>
    <t>RB153</t>
  </si>
  <si>
    <t>Grant Calcaterra  PHI (10)</t>
  </si>
  <si>
    <t>TE109</t>
  </si>
  <si>
    <t>Ty Chandler  NO (8)</t>
  </si>
  <si>
    <t>RB154</t>
  </si>
  <si>
    <t>Bailey Zappe  NYJ (13)</t>
  </si>
  <si>
    <t>QB89</t>
  </si>
  <si>
    <t>Julius Chestnut  TEN (9)</t>
  </si>
  <si>
    <t>RB155</t>
  </si>
  <si>
    <t>Ronnie Rivers  LAR (11)</t>
  </si>
  <si>
    <t>RB156</t>
  </si>
  <si>
    <t>Will Levis  TEN (9)</t>
  </si>
  <si>
    <t>QB90</t>
  </si>
  <si>
    <t>Aidan O'Connell  LV (13)</t>
  </si>
  <si>
    <t>QB91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</si>
</sst>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0.0"/>
      <color rgb="FF222222"/>
    </font>
    <font>
      <b/>
      <sz val="12.0"/>
      <name val="Roboto"/>
    </font>
    <font>
      <sz val="8.0"/>
      <name val="Arial"/>
    </font>
    <font>
      <sz val="8.0"/>
    </font>
    <font>
      <b/>
      <sz val="10.0"/>
      <color rgb="FF000000"/>
      <name val="Roboto"/>
    </font>
    <font>
      <b/>
      <sz val="18.0"/>
      <name val="Roboto"/>
    </font>
    <font>
      <b/>
      <sz val="10.0"/>
      <name val="Roboto"/>
    </font>
    <font>
      <b/>
      <color rgb="FF000000"/>
      <name val="Helvetica Neue"/>
    </font>
    <font/>
    <font>
      <u/>
      <sz val="17.0"/>
      <color rgb="FF0000FF"/>
    </font>
    <font>
      <color rgb="FF000000"/>
      <name val="Helvetica Neue"/>
    </font>
    <font>
      <sz val="12.0"/>
      <name val="Roboto"/>
    </font>
    <font>
      <b/>
      <color rgb="FF222222"/>
      <name val="Courier New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4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5" fontId="3" numFmtId="0" xfId="0" applyAlignment="1" applyFill="1" applyFont="1">
      <alignment horizontal="center" vertical="bottom"/>
    </xf>
    <xf borderId="0" fillId="2" fontId="5" numFmtId="0" xfId="0" applyAlignment="1" applyFill="1" applyFont="1">
      <alignment horizontal="center" readingOrder="0" shrinkToFit="0" vertical="center" wrapText="1"/>
    </xf>
    <xf borderId="0" fillId="6" fontId="3" numFmtId="0" xfId="0" applyAlignment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2" fontId="6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wrapText="1"/>
    </xf>
    <xf borderId="0" fillId="0" fontId="7" numFmtId="0" xfId="0" applyAlignment="1" applyFont="1">
      <alignment horizontal="center" readingOrder="0" shrinkToFit="0" vertical="center" wrapText="1"/>
    </xf>
    <xf borderId="1" fillId="9" fontId="8" numFmtId="0" xfId="0" applyAlignment="1" applyBorder="1" applyFill="1" applyFont="1">
      <alignment readingOrder="0" vertical="top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1" fillId="10" fontId="8" numFmtId="0" xfId="0" applyAlignment="1" applyBorder="1" applyFill="1" applyFont="1">
      <alignment readingOrder="0" vertical="top"/>
    </xf>
    <xf borderId="1" fillId="0" fontId="11" numFmtId="0" xfId="0" applyAlignment="1" applyBorder="1" applyFont="1">
      <alignment readingOrder="0" vertical="top"/>
    </xf>
    <xf borderId="0" fillId="0" fontId="9" numFmtId="0" xfId="0" applyAlignment="1" applyFont="1">
      <alignment horizontal="right" readingOrder="0"/>
    </xf>
    <xf borderId="0" fillId="2" fontId="12" numFmtId="0" xfId="0" applyAlignment="1" applyFill="1" applyFont="1">
      <alignment horizontal="center" readingOrder="0" shrinkToFit="0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3" fontId="13" numFmtId="0" xfId="0" applyAlignment="1" applyFill="1" applyFont="1">
      <alignment horizontal="center" shrinkToFit="0" wrapText="1"/>
    </xf>
    <xf borderId="0" fillId="0" fontId="9" numFmtId="0" xfId="0" applyFont="1"/>
    <xf borderId="0" fillId="4" fontId="13" numFmtId="0" xfId="0" applyAlignment="1" applyFill="1" applyFont="1">
      <alignment horizontal="center" shrinkToFit="0" wrapText="1"/>
    </xf>
    <xf borderId="1" fillId="0" fontId="9" numFmtId="0" xfId="0" applyAlignment="1" applyBorder="1" applyFont="1">
      <alignment vertical="top"/>
    </xf>
    <xf borderId="0" fillId="0" fontId="9" numFmtId="0" xfId="0" applyAlignment="1" applyFont="1">
      <alignment horizontal="left"/>
    </xf>
    <xf borderId="0" fillId="5" fontId="13" numFmtId="0" xfId="0" applyAlignment="1" applyFill="1" applyFont="1">
      <alignment horizontal="center" shrinkToFit="0" wrapText="1"/>
    </xf>
    <xf borderId="0" fillId="6" fontId="13" numFmtId="0" xfId="0" applyAlignment="1" applyFill="1" applyFont="1">
      <alignment horizontal="center" shrinkToFit="0" wrapText="1"/>
    </xf>
    <xf borderId="0" fillId="7" fontId="13" numFmtId="0" xfId="0" applyAlignment="1" applyFill="1" applyFont="1">
      <alignment horizontal="center" shrinkToFit="0" wrapText="1"/>
    </xf>
    <xf borderId="0" fillId="0" fontId="14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9" numFmtId="0" xfId="0" applyAlignment="1" applyBorder="1" applyFont="1">
      <alignment vertical="top"/>
    </xf>
    <xf borderId="0" fillId="0" fontId="9" numFmtId="0" xfId="0" applyAlignment="1" applyFont="1">
      <alignment horizontal="left"/>
    </xf>
    <xf borderId="0" fillId="0" fontId="9" numFmtId="0" xfId="0" applyAlignment="1" applyFont="1">
      <alignment readingOrder="0"/>
    </xf>
    <xf borderId="0" fillId="8" fontId="13" numFmtId="0" xfId="0" applyAlignment="1" applyFill="1" applyFont="1">
      <alignment horizontal="center" shrinkToFit="0" wrapText="1"/>
    </xf>
  </cellXfs>
  <cellStyles count="1">
    <cellStyle xfId="0" name="Normal" builtinId="0"/>
  </cellStyles>
  <dxfs count="1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21</xdr:row>
      <xdr:rowOff>352425</xdr:rowOff>
    </xdr:from>
    <xdr:ext cx="3114675" cy="638175"/>
    <xdr:sp>
      <xdr:nvSpPr>
        <xdr:cNvPr id="4" name="Shape 4"/>
        <xdr:cNvSpPr txBox="1"/>
      </xdr:nvSpPr>
      <xdr:spPr>
        <a:xfrm>
          <a:off x="3138325" y="1904375"/>
          <a:ext cx="3099600" cy="615600"/>
        </a:xfrm>
        <a:prstGeom prst="rect">
          <a:avLst/>
        </a:prstGeom>
        <a:solidFill>
          <a:srgbClr val="FFFF00"/>
        </a:solidFill>
        <a:ln cap="flat" cmpd="sng" w="762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Use either Standard or Auction Tabs.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Hide the unused one. </a:t>
          </a:r>
          <a:r>
            <a:rPr b="1" lang="en-US" sz="1400"/>
            <a:t>Don’t Delete</a:t>
          </a:r>
          <a:r>
            <a:rPr lang="en-US" sz="1400"/>
            <a:t>. </a:t>
          </a:r>
          <a:endParaRPr sz="1400"/>
        </a:p>
      </xdr:txBody>
    </xdr:sp>
    <xdr:clientData fLocksWithSheet="0"/>
  </xdr:oneCellAnchor>
  <xdr:oneCellAnchor>
    <xdr:from>
      <xdr:col>2</xdr:col>
      <xdr:colOff>552450</xdr:colOff>
      <xdr:row>2</xdr:row>
      <xdr:rowOff>123825</xdr:rowOff>
    </xdr:from>
    <xdr:ext cx="4257675" cy="2981325"/>
    <xdr:sp>
      <xdr:nvSpPr>
        <xdr:cNvPr id="5" name="Shape 5"/>
        <xdr:cNvSpPr txBox="1"/>
      </xdr:nvSpPr>
      <xdr:spPr>
        <a:xfrm>
          <a:off x="2679200" y="1942200"/>
          <a:ext cx="4235700" cy="2961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rgbClr val="FFFFFF"/>
              </a:solidFill>
              <a:highlight>
                <a:srgbClr val="FF0000"/>
              </a:highlight>
            </a:rPr>
            <a:t>YOU NEED TO UPDATE PLAYER DATA MANUALLY</a:t>
          </a:r>
          <a:br>
            <a:rPr b="1" lang="en-US" sz="1300">
              <a:solidFill>
                <a:srgbClr val="FFFFFF"/>
              </a:solidFill>
              <a:highlight>
                <a:srgbClr val="FF0000"/>
              </a:highlight>
            </a:rPr>
          </a:br>
          <a:r>
            <a:rPr b="1" lang="en-US" sz="1300">
              <a:solidFill>
                <a:srgbClr val="FFFFFF"/>
              </a:solidFill>
              <a:highlight>
                <a:srgbClr val="FF0000"/>
              </a:highlight>
            </a:rPr>
            <a:t>CHECK THE MANUAL DATA IMPORT TAB</a:t>
          </a:r>
          <a:endParaRPr b="1" sz="1300">
            <a:solidFill>
              <a:srgbClr val="FFFFFF"/>
            </a:solidFill>
            <a:highlight>
              <a:srgbClr val="FF0000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highlight>
                <a:srgbClr val="FFFFFF"/>
              </a:highlight>
            </a:rPr>
            <a:t>How to Draft</a:t>
          </a:r>
          <a:endParaRPr b="1"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highlight>
                <a:srgbClr val="FFFFFF"/>
              </a:highlight>
            </a:rPr>
            <a:t>Double click or start typing player name in cell to show list.</a:t>
          </a:r>
          <a:endParaRPr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highlight>
                <a:srgbClr val="FFFFFF"/>
              </a:highlight>
            </a:rPr>
            <a:t>Clear cell to undraft player.</a:t>
          </a:r>
          <a:endParaRPr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highlight>
                <a:srgbClr val="FFFFFF"/>
              </a:highlight>
            </a:rPr>
            <a:t>How to Customize</a:t>
          </a:r>
          <a:endParaRPr b="1"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highlight>
                <a:srgbClr val="FFFFFF"/>
              </a:highlight>
            </a:rPr>
            <a:t>Delete columns to delete extra teams. </a:t>
          </a:r>
          <a:endParaRPr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highlight>
                <a:srgbClr val="FFFFFF"/>
              </a:highlight>
            </a:rPr>
            <a:t>Delete rows to delete extra rounds. </a:t>
          </a:r>
          <a:endParaRPr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highlight>
                <a:srgbClr val="FFFFFF"/>
              </a:highlight>
            </a:rPr>
            <a:t>Rename teams in Row 2.</a:t>
          </a:r>
          <a:endParaRPr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highlight>
                <a:srgbClr val="FFFFFF"/>
              </a:highlight>
            </a:rPr>
            <a:t>Ctrl + Shift + F to minimize Control Bar</a:t>
          </a:r>
          <a:endParaRPr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highlight>
                <a:srgbClr val="FFFFFF"/>
              </a:highlight>
            </a:rPr>
            <a:t>Delete this box.</a:t>
          </a:r>
          <a:endParaRPr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>
            <a:highlight>
              <a:srgbClr val="FFFFFF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highlight>
                <a:srgbClr val="FFFFFF"/>
              </a:highlight>
            </a:rPr>
            <a:t>Send questions, comments, concerns, and draft tips to reddit.com/u/basmith7</a:t>
          </a:r>
          <a:endParaRPr b="1" sz="1000">
            <a:highlight>
              <a:srgbClr val="FFFFFF"/>
            </a:highlight>
          </a:endParaRPr>
        </a:p>
      </xdr:txBody>
    </xdr:sp>
    <xdr:clientData fLocksWithSheet="0"/>
  </xdr:oneCellAnchor>
  <xdr:oneCellAnchor>
    <xdr:from>
      <xdr:col>6</xdr:col>
      <xdr:colOff>485775</xdr:colOff>
      <xdr:row>8</xdr:row>
      <xdr:rowOff>342900</xdr:rowOff>
    </xdr:from>
    <xdr:ext cx="7915275" cy="4162425"/>
    <xdr:grpSp>
      <xdr:nvGrpSpPr>
        <xdr:cNvPr id="2" name="Shape 2" title="Drawing"/>
        <xdr:cNvGrpSpPr/>
      </xdr:nvGrpSpPr>
      <xdr:grpSpPr>
        <a:xfrm>
          <a:off x="152400" y="152400"/>
          <a:ext cx="11430000" cy="6000750"/>
          <a:chOff x="152400" y="152400"/>
          <a:chExt cx="11430000" cy="6000750"/>
        </a:xfrm>
      </xdr:grpSpPr>
      <xdr:pic>
        <xdr:nvPicPr>
          <xdr:cNvPr id="6" name="Shape 6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1430000" cy="60007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7</xdr:col>
      <xdr:colOff>1019175</xdr:colOff>
      <xdr:row>3</xdr:row>
      <xdr:rowOff>142875</xdr:rowOff>
    </xdr:from>
    <xdr:ext cx="4572000" cy="1457325"/>
    <xdr:sp>
      <xdr:nvSpPr>
        <xdr:cNvPr id="7" name="Shape 7"/>
        <xdr:cNvSpPr txBox="1"/>
      </xdr:nvSpPr>
      <xdr:spPr>
        <a:xfrm>
          <a:off x="2679200" y="1942200"/>
          <a:ext cx="4552800" cy="1436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500">
              <a:highlight>
                <a:srgbClr val="F4CCCC"/>
              </a:highlight>
            </a:rPr>
            <a:t>This is old now, try </a:t>
          </a:r>
          <a:endParaRPr b="1" sz="3500">
            <a:highlight>
              <a:srgbClr val="F4CCCC"/>
            </a:highlight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500">
              <a:highlight>
                <a:srgbClr val="F4CCCC"/>
              </a:highlight>
            </a:rPr>
            <a:t>smartdraft.app</a:t>
          </a:r>
          <a:endParaRPr b="1" sz="3200">
            <a:highlight>
              <a:srgbClr val="F4CCCC"/>
            </a:highlight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3</xdr:row>
      <xdr:rowOff>238125</xdr:rowOff>
    </xdr:from>
    <xdr:ext cx="5505450" cy="1733550"/>
    <xdr:sp>
      <xdr:nvSpPr>
        <xdr:cNvPr id="3" name="Shape 3"/>
        <xdr:cNvSpPr txBox="1"/>
      </xdr:nvSpPr>
      <xdr:spPr>
        <a:xfrm>
          <a:off x="3552825" y="1876425"/>
          <a:ext cx="5486400" cy="1714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Use this sheet to list Keepers that do not take up a pick. It will remove that player from the available list. </a:t>
          </a:r>
          <a:br>
            <a:rPr lang="en-US" sz="1400"/>
          </a:br>
          <a:br>
            <a:rPr lang="en-US" sz="1400"/>
          </a:br>
          <a:r>
            <a:rPr lang="en-US" sz="1400"/>
            <a:t>If a keeper takes up a draft pick, </a:t>
          </a:r>
          <a:r>
            <a:rPr lang="en-US" sz="1400"/>
            <a:t>it's</a:t>
          </a:r>
          <a:r>
            <a:rPr lang="en-US" sz="1400"/>
            <a:t> probably better to put them on the draft board in place of that pick.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ypal.me/basmith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ntasypros.com/nfl/adp/overall.php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ntasypros.com/nfl/adp/overall.php" TargetMode="External"/><Relationship Id="rId2" Type="http://schemas.openxmlformats.org/officeDocument/2006/relationships/hyperlink" Target="https://www.fantasypros.com/nfl/adp/ppr-overall.php" TargetMode="External"/><Relationship Id="rId3" Type="http://schemas.openxmlformats.org/officeDocument/2006/relationships/hyperlink" Target="https://www.fantasypros.com/nfl/adp/half-point-ppr-overall.php" TargetMode="External"/><Relationship Id="rId4" Type="http://schemas.openxmlformats.org/officeDocument/2006/relationships/hyperlink" Target="https://www.fantasypros.com/nfl/adp/rookies.php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dit.com/u/basmith7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2" width="3.13"/>
    <col customWidth="1" min="3" max="22" width="17.63"/>
    <col customWidth="1" min="23" max="23" width="3.75"/>
  </cols>
  <sheetData>
    <row r="1">
      <c r="A1" s="14" t="s">
        <v>7</v>
      </c>
      <c r="D1" s="18" t="str">
        <f>IFERROR(__xludf.DUMMYFUNCTION("IF(COUNTA(C3:L17)-COUNTUNIQUE(C3:L17)&lt;&gt;0,""DUPLICATE PICKS DETECTED"",""Next Pick: ""&amp;Misc!W25)"),"Next Pick: Team 1")</f>
        <v>Next Pick: Team 1</v>
      </c>
      <c r="W1" s="18"/>
    </row>
    <row r="2">
      <c r="A2" s="19" t="s">
        <v>8</v>
      </c>
      <c r="B2" s="8"/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8"/>
    </row>
    <row r="3">
      <c r="A3" s="20" t="str">
        <f>IFERROR(__xludf.DUMMYFUNCTION("IFERROR(QUERY('Data Format'!A2:B31,""SELECT B WHERE B IS NOT NULL LIMIT ""&amp;ROWS($B$3:$B$24)),""Wait for it..."")"),"Wait for it...")</f>
        <v>Wait for it...</v>
      </c>
      <c r="B3" s="9">
        <v>1.0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18" t="s">
        <v>30</v>
      </c>
    </row>
    <row r="4">
      <c r="A4" s="20"/>
      <c r="B4" s="9">
        <v>2.0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18" t="s">
        <v>41</v>
      </c>
    </row>
    <row r="5">
      <c r="A5" s="20"/>
      <c r="B5" s="9">
        <v>3.0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18" t="s">
        <v>30</v>
      </c>
    </row>
    <row r="6">
      <c r="A6" s="20"/>
      <c r="B6" s="9">
        <v>4.0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18" t="s">
        <v>41</v>
      </c>
    </row>
    <row r="7">
      <c r="A7" s="20"/>
      <c r="B7" s="9">
        <v>5.0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18" t="s">
        <v>30</v>
      </c>
    </row>
    <row r="8">
      <c r="A8" s="20"/>
      <c r="B8" s="9">
        <v>6.0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18" t="s">
        <v>41</v>
      </c>
    </row>
    <row r="9">
      <c r="A9" s="20"/>
      <c r="B9" s="9">
        <v>7.0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18" t="s">
        <v>30</v>
      </c>
    </row>
    <row r="10">
      <c r="A10" s="20"/>
      <c r="B10" s="9">
        <v>8.0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18" t="s">
        <v>41</v>
      </c>
    </row>
    <row r="11">
      <c r="A11" s="20"/>
      <c r="B11" s="9">
        <v>9.0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18" t="s">
        <v>30</v>
      </c>
    </row>
    <row r="12">
      <c r="A12" s="20"/>
      <c r="B12" s="9">
        <v>10.0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18" t="s">
        <v>41</v>
      </c>
    </row>
    <row r="13">
      <c r="A13" s="20"/>
      <c r="B13" s="9">
        <v>11.0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18" t="s">
        <v>30</v>
      </c>
    </row>
    <row r="14">
      <c r="A14" s="20"/>
      <c r="B14" s="9">
        <v>12.0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18" t="s">
        <v>41</v>
      </c>
    </row>
    <row r="15">
      <c r="A15" s="20"/>
      <c r="B15" s="9">
        <v>13.0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18" t="s">
        <v>30</v>
      </c>
    </row>
    <row r="16">
      <c r="A16" s="20"/>
      <c r="B16" s="9">
        <v>14.0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18" t="s">
        <v>41</v>
      </c>
    </row>
    <row r="17">
      <c r="A17" s="20"/>
      <c r="B17" s="9">
        <v>15.0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18" t="s">
        <v>30</v>
      </c>
    </row>
    <row r="18">
      <c r="A18" s="20"/>
      <c r="B18" s="9">
        <v>16.0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18" t="s">
        <v>41</v>
      </c>
    </row>
    <row r="19">
      <c r="A19" s="20"/>
      <c r="B19" s="9">
        <v>17.0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18" t="s">
        <v>30</v>
      </c>
    </row>
    <row r="20">
      <c r="A20" s="20"/>
      <c r="B20" s="9">
        <v>18.0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18" t="s">
        <v>41</v>
      </c>
    </row>
    <row r="21">
      <c r="A21" s="20"/>
      <c r="B21" s="9">
        <v>19.0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18" t="s">
        <v>30</v>
      </c>
    </row>
    <row r="22">
      <c r="A22" s="20"/>
      <c r="B22" s="9">
        <v>20.0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18" t="s">
        <v>41</v>
      </c>
    </row>
    <row r="23">
      <c r="A23" s="20"/>
      <c r="B23" s="9">
        <v>21.0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18" t="s">
        <v>30</v>
      </c>
    </row>
    <row r="24">
      <c r="A24" s="20"/>
      <c r="B24" s="9">
        <v>22.0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18" t="s">
        <v>41</v>
      </c>
    </row>
    <row r="25">
      <c r="A25" s="9" t="s">
        <v>255</v>
      </c>
      <c r="B25" s="27"/>
      <c r="C25" s="9" t="str">
        <f t="shared" ref="C25:V25" si="1">C2</f>
        <v>Team 1</v>
      </c>
      <c r="D25" s="9" t="str">
        <f t="shared" si="1"/>
        <v>Team 2</v>
      </c>
      <c r="E25" s="9" t="str">
        <f t="shared" si="1"/>
        <v>Team 3</v>
      </c>
      <c r="F25" s="9" t="str">
        <f t="shared" si="1"/>
        <v>Team 4</v>
      </c>
      <c r="G25" s="9" t="str">
        <f t="shared" si="1"/>
        <v>Team 5</v>
      </c>
      <c r="H25" s="9" t="str">
        <f t="shared" si="1"/>
        <v>Team 6</v>
      </c>
      <c r="I25" s="9" t="str">
        <f t="shared" si="1"/>
        <v>Team 7</v>
      </c>
      <c r="J25" s="9" t="str">
        <f t="shared" si="1"/>
        <v>Team 8</v>
      </c>
      <c r="K25" s="9" t="str">
        <f t="shared" si="1"/>
        <v>Team 9</v>
      </c>
      <c r="L25" s="9" t="str">
        <f t="shared" si="1"/>
        <v>Team 10</v>
      </c>
      <c r="M25" s="9" t="str">
        <f t="shared" si="1"/>
        <v>Team 11</v>
      </c>
      <c r="N25" s="9" t="str">
        <f t="shared" si="1"/>
        <v>Team 12</v>
      </c>
      <c r="O25" s="9" t="str">
        <f t="shared" si="1"/>
        <v>Team 13</v>
      </c>
      <c r="P25" s="9" t="str">
        <f t="shared" si="1"/>
        <v>Team 14</v>
      </c>
      <c r="Q25" s="9" t="str">
        <f t="shared" si="1"/>
        <v>Team 15</v>
      </c>
      <c r="R25" s="9" t="str">
        <f t="shared" si="1"/>
        <v>Team 16</v>
      </c>
      <c r="S25" s="9" t="str">
        <f t="shared" si="1"/>
        <v>Team 17</v>
      </c>
      <c r="T25" s="9" t="str">
        <f t="shared" si="1"/>
        <v>Team 18</v>
      </c>
      <c r="U25" s="9" t="str">
        <f t="shared" si="1"/>
        <v>Team 19</v>
      </c>
      <c r="V25" s="9" t="str">
        <f t="shared" si="1"/>
        <v>Team 20</v>
      </c>
      <c r="W25" s="8"/>
    </row>
    <row r="26">
      <c r="A26" s="31" t="str">
        <f>"RB:  "&amp;COUNTIF($C$3:$V$24,"*RB -*")</f>
        <v>RB:  0</v>
      </c>
      <c r="C26" s="31" t="str">
        <f t="array" ref="C26">"RB:  "&amp;COUNTIF({C$3:C$24;Keepers!B$2:B$21},"*RB -*")</f>
        <v>RB:  0</v>
      </c>
      <c r="D26" s="31" t="str">
        <f t="array" ref="D26">"RB:  "&amp;COUNTIF({D$3:D$24;Keepers!C$2:C$21},"*RB -*")</f>
        <v>RB:  0</v>
      </c>
      <c r="E26" s="31" t="str">
        <f t="array" ref="E26">"RB:  "&amp;COUNTIF({E$3:E$24;Keepers!D$2:D$21},"*RB -*")</f>
        <v>RB:  0</v>
      </c>
      <c r="F26" s="31" t="str">
        <f t="array" ref="F26">"RB:  "&amp;COUNTIF({F$3:F$24;Keepers!E$2:E$21},"*RB -*")</f>
        <v>RB:  0</v>
      </c>
      <c r="G26" s="31" t="str">
        <f t="array" ref="G26">"RB:  "&amp;COUNTIF({G$3:G$24;Keepers!F$2:F$21},"*RB -*")</f>
        <v>RB:  0</v>
      </c>
      <c r="H26" s="31" t="str">
        <f t="array" ref="H26">"RB:  "&amp;COUNTIF({H$3:H$24;Keepers!G$2:G$21},"*RB -*")</f>
        <v>RB:  0</v>
      </c>
      <c r="I26" s="31" t="str">
        <f t="array" ref="I26">"RB:  "&amp;COUNTIF({I$3:I$24;Keepers!H$2:H$21},"*RB -*")</f>
        <v>RB:  0</v>
      </c>
      <c r="J26" s="31" t="str">
        <f t="array" ref="J26">"RB:  "&amp;COUNTIF({J$3:J$24;Keepers!I$2:I$21},"*RB -*")</f>
        <v>RB:  0</v>
      </c>
      <c r="K26" s="31" t="str">
        <f t="array" ref="K26">"RB:  "&amp;COUNTIF({K$3:K$24;Keepers!J$2:J$21},"*RB -*")</f>
        <v>RB:  0</v>
      </c>
      <c r="L26" s="31" t="str">
        <f t="array" ref="L26">"RB:  "&amp;COUNTIF({L$3:L$24;Keepers!K$2:K$21},"*RB -*")</f>
        <v>RB:  0</v>
      </c>
      <c r="M26" s="31" t="str">
        <f t="array" ref="M26">"RB:  "&amp;COUNTIF({M$3:M$24;Keepers!L$2:L$21},"*RB -*")</f>
        <v>RB:  0</v>
      </c>
      <c r="N26" s="31" t="str">
        <f t="array" ref="N26">"RB:  "&amp;COUNTIF({N$3:N$24;Keepers!M$2:M$21},"*RB -*")</f>
        <v>RB:  0</v>
      </c>
      <c r="O26" s="31" t="str">
        <f t="array" ref="O26">"RB:  "&amp;COUNTIF({O$3:O$24;Keepers!N$2:N$21},"*RB -*")</f>
        <v>RB:  0</v>
      </c>
      <c r="P26" s="31" t="str">
        <f t="array" ref="P26">"RB:  "&amp;COUNTIF({P$3:P$24;Keepers!O$2:O$21},"*RB -*")</f>
        <v>RB:  0</v>
      </c>
      <c r="Q26" s="31" t="str">
        <f t="array" ref="Q26">"RB:  "&amp;COUNTIF({Q$3:Q$24;Keepers!P$2:P$21},"*RB -*")</f>
        <v>RB:  0</v>
      </c>
      <c r="R26" s="31" t="str">
        <f t="array" ref="R26">"RB:  "&amp;COUNTIF({R$3:R$24;Keepers!Q$2:Q$21},"*RB -*")</f>
        <v>RB:  0</v>
      </c>
      <c r="S26" s="31" t="str">
        <f t="array" ref="S26">"RB:  "&amp;COUNTIF({S$3:S$24;Keepers!R$2:R$21},"*RB -*")</f>
        <v>RB:  0</v>
      </c>
      <c r="T26" s="31" t="str">
        <f t="array" ref="T26">"RB:  "&amp;COUNTIF({T$3:T$24;Keepers!S$2:S$21},"*RB -*")</f>
        <v>RB:  0</v>
      </c>
      <c r="U26" s="31" t="str">
        <f t="array" ref="U26">"RB:  "&amp;COUNTIF({U$3:U$24;Keepers!T$2:T$21},"*RB -*")</f>
        <v>RB:  0</v>
      </c>
      <c r="V26" s="31" t="str">
        <f t="array" ref="V26">"RB:  "&amp;COUNTIF({V$3:V$24;Keepers!U$2:U$21},"*RB -*")</f>
        <v>RB:  0</v>
      </c>
    </row>
    <row r="27">
      <c r="A27" s="33" t="str">
        <f>"WR:  "&amp;COUNTIF($C$3:$V$24,"*WR -*")</f>
        <v>WR:  0</v>
      </c>
      <c r="C27" s="33" t="str">
        <f t="array" ref="C27">"WR:  "&amp;COUNTIF({C$3:C$24;Keepers!B$2:B$21},"*WR -*")</f>
        <v>WR:  0</v>
      </c>
      <c r="D27" s="33" t="str">
        <f t="array" ref="D27">"WR:  "&amp;COUNTIF({D$3:D$24;Keepers!C$2:C$21},"*WR -*")</f>
        <v>WR:  0</v>
      </c>
      <c r="E27" s="33" t="str">
        <f t="array" ref="E27">"WR:  "&amp;COUNTIF({E$3:E$24;Keepers!D$2:D$21},"*WR -*")</f>
        <v>WR:  0</v>
      </c>
      <c r="F27" s="33" t="str">
        <f t="array" ref="F27">"WR:  "&amp;COUNTIF({F$3:F$24;Keepers!E$2:E$21},"*WR -*")</f>
        <v>WR:  0</v>
      </c>
      <c r="G27" s="33" t="str">
        <f t="array" ref="G27">"WR:  "&amp;COUNTIF({G$3:G$24;Keepers!F$2:F$21},"*WR -*")</f>
        <v>WR:  0</v>
      </c>
      <c r="H27" s="33" t="str">
        <f t="array" ref="H27">"WR:  "&amp;COUNTIF({H$3:H$24;Keepers!G$2:G$21},"*WR -*")</f>
        <v>WR:  0</v>
      </c>
      <c r="I27" s="33" t="str">
        <f t="array" ref="I27">"WR:  "&amp;COUNTIF({I$3:I$24;Keepers!H$2:H$21},"*WR -*")</f>
        <v>WR:  0</v>
      </c>
      <c r="J27" s="33" t="str">
        <f t="array" ref="J27">"WR:  "&amp;COUNTIF({J$3:J$24;Keepers!I$2:I$21},"*WR -*")</f>
        <v>WR:  0</v>
      </c>
      <c r="K27" s="33" t="str">
        <f t="array" ref="K27">"WR:  "&amp;COUNTIF({K$3:K$24;Keepers!J$2:J$21},"*WR -*")</f>
        <v>WR:  0</v>
      </c>
      <c r="L27" s="33" t="str">
        <f t="array" ref="L27">"WR:  "&amp;COUNTIF({L$3:L$24;Keepers!K$2:K$21},"*WR -*")</f>
        <v>WR:  0</v>
      </c>
      <c r="M27" s="33" t="str">
        <f t="array" ref="M27">"WR:  "&amp;COUNTIF({M$3:M$24;Keepers!L$2:L$21},"*WR -*")</f>
        <v>WR:  0</v>
      </c>
      <c r="N27" s="33" t="str">
        <f t="array" ref="N27">"WR:  "&amp;COUNTIF({N$3:N$24;Keepers!M$2:M$21},"*WR -*")</f>
        <v>WR:  0</v>
      </c>
      <c r="O27" s="33" t="str">
        <f t="array" ref="O27">"WR:  "&amp;COUNTIF({O$3:O$24;Keepers!N$2:N$21},"*WR -*")</f>
        <v>WR:  0</v>
      </c>
      <c r="P27" s="33" t="str">
        <f t="array" ref="P27">"WR:  "&amp;COUNTIF({P$3:P$24;Keepers!O$2:O$21},"*WR -*")</f>
        <v>WR:  0</v>
      </c>
      <c r="Q27" s="33" t="str">
        <f t="array" ref="Q27">"WR:  "&amp;COUNTIF({Q$3:Q$24;Keepers!P$2:P$21},"*WR -*")</f>
        <v>WR:  0</v>
      </c>
      <c r="R27" s="33" t="str">
        <f t="array" ref="R27">"WR:  "&amp;COUNTIF({R$3:R$24;Keepers!Q$2:Q$21},"*WR -*")</f>
        <v>WR:  0</v>
      </c>
      <c r="S27" s="33" t="str">
        <f t="array" ref="S27">"WR:  "&amp;COUNTIF({S$3:S$24;Keepers!R$2:R$21},"*WR -*")</f>
        <v>WR:  0</v>
      </c>
      <c r="T27" s="33" t="str">
        <f t="array" ref="T27">"WR:  "&amp;COUNTIF({T$3:T$24;Keepers!S$2:S$21},"*WR -*")</f>
        <v>WR:  0</v>
      </c>
      <c r="U27" s="33" t="str">
        <f t="array" ref="U27">"WR:  "&amp;COUNTIF({U$3:U$24;Keepers!T$2:T$21},"*WR -*")</f>
        <v>WR:  0</v>
      </c>
      <c r="V27" s="33" t="str">
        <f t="array" ref="V27">"WR:  "&amp;COUNTIF({V$3:V$24;Keepers!U$2:U$21},"*WR -*")</f>
        <v>WR:  0</v>
      </c>
    </row>
    <row r="28">
      <c r="A28" s="36" t="str">
        <f>"QB:  "&amp;COUNTIF($C$3:$V$24,"*QB -*")</f>
        <v>QB:  0</v>
      </c>
      <c r="C28" s="36" t="str">
        <f t="array" ref="C28">"QB:  "&amp;COUNTIF({C$3:C$24;Keepers!B$2:B$21},"*QB -*")</f>
        <v>QB:  0</v>
      </c>
      <c r="D28" s="36" t="str">
        <f t="array" ref="D28">"QB:  "&amp;COUNTIF({D$3:D$24;Keepers!C$2:C$21},"*QB -*")</f>
        <v>QB:  0</v>
      </c>
      <c r="E28" s="36" t="str">
        <f t="array" ref="E28">"QB:  "&amp;COUNTIF({E$3:E$24;Keepers!D$2:D$21},"*QB -*")</f>
        <v>QB:  0</v>
      </c>
      <c r="F28" s="36" t="str">
        <f t="array" ref="F28">"QB:  "&amp;COUNTIF({F$3:F$24;Keepers!E$2:E$21},"*QB -*")</f>
        <v>QB:  0</v>
      </c>
      <c r="G28" s="36" t="str">
        <f t="array" ref="G28">"QB:  "&amp;COUNTIF({G$3:G$24;Keepers!F$2:F$21},"*QB -*")</f>
        <v>QB:  0</v>
      </c>
      <c r="H28" s="36" t="str">
        <f t="array" ref="H28">"QB:  "&amp;COUNTIF({H$3:H$24;Keepers!G$2:G$21},"*QB -*")</f>
        <v>QB:  0</v>
      </c>
      <c r="I28" s="36" t="str">
        <f t="array" ref="I28">"QB:  "&amp;COUNTIF({I$3:I$24;Keepers!H$2:H$21},"*QB -*")</f>
        <v>QB:  0</v>
      </c>
      <c r="J28" s="36" t="str">
        <f t="array" ref="J28">"QB:  "&amp;COUNTIF({J$3:J$24;Keepers!I$2:I$21},"*QB -*")</f>
        <v>QB:  0</v>
      </c>
      <c r="K28" s="36" t="str">
        <f t="array" ref="K28">"QB:  "&amp;COUNTIF({K$3:K$24;Keepers!J$2:J$21},"*QB -*")</f>
        <v>QB:  0</v>
      </c>
      <c r="L28" s="36" t="str">
        <f t="array" ref="L28">"QB:  "&amp;COUNTIF({L$3:L$24;Keepers!K$2:K$21},"*QB -*")</f>
        <v>QB:  0</v>
      </c>
      <c r="M28" s="36" t="str">
        <f t="array" ref="M28">"QB:  "&amp;COUNTIF({M$3:M$24;Keepers!L$2:L$21},"*QB -*")</f>
        <v>QB:  0</v>
      </c>
      <c r="N28" s="36" t="str">
        <f t="array" ref="N28">"QB:  "&amp;COUNTIF({N$3:N$24;Keepers!M$2:M$21},"*QB -*")</f>
        <v>QB:  0</v>
      </c>
      <c r="O28" s="36" t="str">
        <f t="array" ref="O28">"QB:  "&amp;COUNTIF({O$3:O$24;Keepers!N$2:N$21},"*QB -*")</f>
        <v>QB:  0</v>
      </c>
      <c r="P28" s="36" t="str">
        <f t="array" ref="P28">"QB:  "&amp;COUNTIF({P$3:P$24;Keepers!O$2:O$21},"*QB -*")</f>
        <v>QB:  0</v>
      </c>
      <c r="Q28" s="36" t="str">
        <f t="array" ref="Q28">"QB:  "&amp;COUNTIF({Q$3:Q$24;Keepers!P$2:P$21},"*QB -*")</f>
        <v>QB:  0</v>
      </c>
      <c r="R28" s="36" t="str">
        <f t="array" ref="R28">"QB:  "&amp;COUNTIF({R$3:R$24;Keepers!Q$2:Q$21},"*QB -*")</f>
        <v>QB:  0</v>
      </c>
      <c r="S28" s="36" t="str">
        <f t="array" ref="S28">"QB:  "&amp;COUNTIF({S$3:S$24;Keepers!R$2:R$21},"*QB -*")</f>
        <v>QB:  0</v>
      </c>
      <c r="T28" s="36" t="str">
        <f t="array" ref="T28">"QB:  "&amp;COUNTIF({T$3:T$24;Keepers!S$2:S$21},"*QB -*")</f>
        <v>QB:  0</v>
      </c>
      <c r="U28" s="36" t="str">
        <f t="array" ref="U28">"QB:  "&amp;COUNTIF({U$3:U$24;Keepers!T$2:T$21},"*QB -*")</f>
        <v>QB:  0</v>
      </c>
      <c r="V28" s="36" t="str">
        <f t="array" ref="V28">"QB:  "&amp;COUNTIF({V$3:V$24;Keepers!U$2:U$21},"*QB -*")</f>
        <v>QB:  0</v>
      </c>
    </row>
    <row r="29">
      <c r="A29" s="37" t="str">
        <f>"TE:  "&amp;COUNTIF($C$3:$V$24,"*TE -*")</f>
        <v>TE:  0</v>
      </c>
      <c r="C29" s="37" t="str">
        <f t="array" ref="C29">"TE:  "&amp;COUNTIF({C$3:C$24;Keepers!B$2:B$21},"*TE -*")</f>
        <v>TE:  0</v>
      </c>
      <c r="D29" s="37" t="str">
        <f t="array" ref="D29">"TE:  "&amp;COUNTIF({D$3:D$24;Keepers!C$2:C$21},"*TE -*")</f>
        <v>TE:  0</v>
      </c>
      <c r="E29" s="37" t="str">
        <f t="array" ref="E29">"TE:  "&amp;COUNTIF({E$3:E$24;Keepers!D$2:D$21},"*TE -*")</f>
        <v>TE:  0</v>
      </c>
      <c r="F29" s="37" t="str">
        <f t="array" ref="F29">"TE:  "&amp;COUNTIF({F$3:F$24;Keepers!E$2:E$21},"*TE -*")</f>
        <v>TE:  0</v>
      </c>
      <c r="G29" s="37" t="str">
        <f t="array" ref="G29">"TE:  "&amp;COUNTIF({G$3:G$24;Keepers!F$2:F$21},"*TE -*")</f>
        <v>TE:  0</v>
      </c>
      <c r="H29" s="37" t="str">
        <f t="array" ref="H29">"TE:  "&amp;COUNTIF({H$3:H$24;Keepers!G$2:G$21},"*TE -*")</f>
        <v>TE:  0</v>
      </c>
      <c r="I29" s="37" t="str">
        <f t="array" ref="I29">"TE:  "&amp;COUNTIF({I$3:I$24;Keepers!H$2:H$21},"*TE -*")</f>
        <v>TE:  0</v>
      </c>
      <c r="J29" s="37" t="str">
        <f t="array" ref="J29">"TE:  "&amp;COUNTIF({J$3:J$24;Keepers!I$2:I$21},"*TE -*")</f>
        <v>TE:  0</v>
      </c>
      <c r="K29" s="37" t="str">
        <f t="array" ref="K29">"TE:  "&amp;COUNTIF({K$3:K$24;Keepers!J$2:J$21},"*TE -*")</f>
        <v>TE:  0</v>
      </c>
      <c r="L29" s="37" t="str">
        <f t="array" ref="L29">"TE:  "&amp;COUNTIF({L$3:L$24;Keepers!K$2:K$21},"*TE -*")</f>
        <v>TE:  0</v>
      </c>
      <c r="M29" s="37" t="str">
        <f t="array" ref="M29">"TE:  "&amp;COUNTIF({M$3:M$24;Keepers!L$2:L$21},"*TE -*")</f>
        <v>TE:  0</v>
      </c>
      <c r="N29" s="37" t="str">
        <f t="array" ref="N29">"TE:  "&amp;COUNTIF({N$3:N$24;Keepers!M$2:M$21},"*TE -*")</f>
        <v>TE:  0</v>
      </c>
      <c r="O29" s="37" t="str">
        <f t="array" ref="O29">"TE:  "&amp;COUNTIF({O$3:O$24;Keepers!N$2:N$21},"*TE -*")</f>
        <v>TE:  0</v>
      </c>
      <c r="P29" s="37" t="str">
        <f t="array" ref="P29">"TE:  "&amp;COUNTIF({P$3:P$24;Keepers!O$2:O$21},"*TE -*")</f>
        <v>TE:  0</v>
      </c>
      <c r="Q29" s="37" t="str">
        <f t="array" ref="Q29">"TE:  "&amp;COUNTIF({Q$3:Q$24;Keepers!P$2:P$21},"*TE -*")</f>
        <v>TE:  0</v>
      </c>
      <c r="R29" s="37" t="str">
        <f t="array" ref="R29">"TE:  "&amp;COUNTIF({R$3:R$24;Keepers!Q$2:Q$21},"*TE -*")</f>
        <v>TE:  0</v>
      </c>
      <c r="S29" s="37" t="str">
        <f t="array" ref="S29">"TE:  "&amp;COUNTIF({S$3:S$24;Keepers!R$2:R$21},"*TE -*")</f>
        <v>TE:  0</v>
      </c>
      <c r="T29" s="37" t="str">
        <f t="array" ref="T29">"TE:  "&amp;COUNTIF({T$3:T$24;Keepers!S$2:S$21},"*TE -*")</f>
        <v>TE:  0</v>
      </c>
      <c r="U29" s="37" t="str">
        <f t="array" ref="U29">"TE:  "&amp;COUNTIF({U$3:U$24;Keepers!T$2:T$21},"*TE -*")</f>
        <v>TE:  0</v>
      </c>
      <c r="V29" s="37" t="str">
        <f t="array" ref="V29">"TE:  "&amp;COUNTIF({V$3:V$24;Keepers!U$2:U$21},"*TE -*")</f>
        <v>TE:  0</v>
      </c>
    </row>
    <row r="30">
      <c r="A30" s="38" t="str">
        <f>"DST: "&amp;COUNTIF($C$3:$V$24,"*DST -*")</f>
        <v>DST: 0</v>
      </c>
      <c r="C30" s="38" t="str">
        <f t="array" ref="C30">"DST: "&amp;COUNTIF({C$3:C$24;Keepers!B$2:B$21},"*DST -*")</f>
        <v>DST: 0</v>
      </c>
      <c r="D30" s="38" t="str">
        <f t="array" ref="D30">"DST: "&amp;COUNTIF({D$3:D$24;Keepers!C$2:C$21},"*DST -*")</f>
        <v>DST: 0</v>
      </c>
      <c r="E30" s="38" t="str">
        <f t="array" ref="E30">"DST: "&amp;COUNTIF({E$3:E$24;Keepers!D$2:D$21},"*DST -*")</f>
        <v>DST: 0</v>
      </c>
      <c r="F30" s="38" t="str">
        <f t="array" ref="F30">"DST: "&amp;COUNTIF({F$3:F$24;Keepers!E$2:E$21},"*DST -*")</f>
        <v>DST: 0</v>
      </c>
      <c r="G30" s="38" t="str">
        <f t="array" ref="G30">"DST: "&amp;COUNTIF({G$3:G$24;Keepers!F$2:F$21},"*DST -*")</f>
        <v>DST: 0</v>
      </c>
      <c r="H30" s="38" t="str">
        <f t="array" ref="H30">"DST: "&amp;COUNTIF({H$3:H$24;Keepers!G$2:G$21},"*DST -*")</f>
        <v>DST: 0</v>
      </c>
      <c r="I30" s="38" t="str">
        <f t="array" ref="I30">"DST: "&amp;COUNTIF({I$3:I$24;Keepers!H$2:H$21},"*DST -*")</f>
        <v>DST: 0</v>
      </c>
      <c r="J30" s="38" t="str">
        <f t="array" ref="J30">"DST: "&amp;COUNTIF({J$3:J$24;Keepers!I$2:I$21},"*DST -*")</f>
        <v>DST: 0</v>
      </c>
      <c r="K30" s="38" t="str">
        <f t="array" ref="K30">"DST: "&amp;COUNTIF({K$3:K$24;Keepers!J$2:J$21},"*DST -*")</f>
        <v>DST: 0</v>
      </c>
      <c r="L30" s="38" t="str">
        <f t="array" ref="L30">"DST: "&amp;COUNTIF({L$3:L$24;Keepers!K$2:K$21},"*DST -*")</f>
        <v>DST: 0</v>
      </c>
      <c r="M30" s="38" t="str">
        <f t="array" ref="M30">"DST: "&amp;COUNTIF({M$3:M$24;Keepers!L$2:L$21},"*DST -*")</f>
        <v>DST: 0</v>
      </c>
      <c r="N30" s="38" t="str">
        <f t="array" ref="N30">"DST: "&amp;COUNTIF({N$3:N$24;Keepers!M$2:M$21},"*DST -*")</f>
        <v>DST: 0</v>
      </c>
      <c r="O30" s="38" t="str">
        <f t="array" ref="O30">"DST: "&amp;COUNTIF({O$3:O$24;Keepers!N$2:N$21},"*DST -*")</f>
        <v>DST: 0</v>
      </c>
      <c r="P30" s="38" t="str">
        <f t="array" ref="P30">"DST: "&amp;COUNTIF({P$3:P$24;Keepers!O$2:O$21},"*DST -*")</f>
        <v>DST: 0</v>
      </c>
      <c r="Q30" s="38" t="str">
        <f t="array" ref="Q30">"DST: "&amp;COUNTIF({Q$3:Q$24;Keepers!P$2:P$21},"*DST -*")</f>
        <v>DST: 0</v>
      </c>
      <c r="R30" s="38" t="str">
        <f t="array" ref="R30">"DST: "&amp;COUNTIF({R$3:R$24;Keepers!Q$2:Q$21},"*DST -*")</f>
        <v>DST: 0</v>
      </c>
      <c r="S30" s="38" t="str">
        <f t="array" ref="S30">"DST: "&amp;COUNTIF({S$3:S$24;Keepers!R$2:R$21},"*DST -*")</f>
        <v>DST: 0</v>
      </c>
      <c r="T30" s="38" t="str">
        <f t="array" ref="T30">"DST: "&amp;COUNTIF({T$3:T$24;Keepers!S$2:S$21},"*DST -*")</f>
        <v>DST: 0</v>
      </c>
      <c r="U30" s="38" t="str">
        <f t="array" ref="U30">"DST: "&amp;COUNTIF({U$3:U$24;Keepers!T$2:T$21},"*DST -*")</f>
        <v>DST: 0</v>
      </c>
      <c r="V30" s="38" t="str">
        <f t="array" ref="V30">"DST: "&amp;COUNTIF({V$3:V$24;Keepers!U$2:U$21},"*DST -*")</f>
        <v>DST: 0</v>
      </c>
    </row>
    <row r="31">
      <c r="A31" s="44" t="str">
        <f>"K:   "&amp;COUNTIF($C$3:$V$24,"*K -*")</f>
        <v>K:   0</v>
      </c>
      <c r="C31" s="44" t="str">
        <f t="array" ref="C31">"K:   "&amp;COUNTIF({C$3:C$24;Keepers!B$2:B$21},"*K -*")</f>
        <v>K:   0</v>
      </c>
      <c r="D31" s="44" t="str">
        <f t="array" ref="D31">"K:   "&amp;COUNTIF({D$3:D$24;Keepers!C$2:C$21},"*K -*")</f>
        <v>K:   0</v>
      </c>
      <c r="E31" s="44" t="str">
        <f t="array" ref="E31">"K:   "&amp;COUNTIF({E$3:E$24;Keepers!D$2:D$21},"*K -*")</f>
        <v>K:   0</v>
      </c>
      <c r="F31" s="44" t="str">
        <f t="array" ref="F31">"K:   "&amp;COUNTIF({F$3:F$24;Keepers!E$2:E$21},"*K -*")</f>
        <v>K:   0</v>
      </c>
      <c r="G31" s="44" t="str">
        <f t="array" ref="G31">"K:   "&amp;COUNTIF({G$3:G$24;Keepers!F$2:F$21},"*K -*")</f>
        <v>K:   0</v>
      </c>
      <c r="H31" s="44" t="str">
        <f t="array" ref="H31">"K:   "&amp;COUNTIF({H$3:H$24;Keepers!G$2:G$21},"*K -*")</f>
        <v>K:   0</v>
      </c>
      <c r="I31" s="44" t="str">
        <f t="array" ref="I31">"K:   "&amp;COUNTIF({I$3:I$24;Keepers!H$2:H$21},"*K -*")</f>
        <v>K:   0</v>
      </c>
      <c r="J31" s="44" t="str">
        <f t="array" ref="J31">"K:   "&amp;COUNTIF({J$3:J$24;Keepers!I$2:I$21},"*K -*")</f>
        <v>K:   0</v>
      </c>
      <c r="K31" s="44" t="str">
        <f t="array" ref="K31">"K:   "&amp;COUNTIF({K$3:K$24;Keepers!J$2:J$21},"*K -*")</f>
        <v>K:   0</v>
      </c>
      <c r="L31" s="44" t="str">
        <f t="array" ref="L31">"K:   "&amp;COUNTIF({L$3:L$24;Keepers!K$2:K$21},"*K -*")</f>
        <v>K:   0</v>
      </c>
      <c r="M31" s="44" t="str">
        <f t="array" ref="M31">"K:   "&amp;COUNTIF({M$3:M$24;Keepers!L$2:L$21},"*K -*")</f>
        <v>K:   0</v>
      </c>
      <c r="N31" s="44" t="str">
        <f t="array" ref="N31">"K:   "&amp;COUNTIF({N$3:N$24;Keepers!M$2:M$21},"*K -*")</f>
        <v>K:   0</v>
      </c>
      <c r="O31" s="44" t="str">
        <f t="array" ref="O31">"K:   "&amp;COUNTIF({O$3:O$24;Keepers!N$2:N$21},"*K -*")</f>
        <v>K:   0</v>
      </c>
      <c r="P31" s="44" t="str">
        <f t="array" ref="P31">"K:   "&amp;COUNTIF({P$3:P$24;Keepers!O$2:O$21},"*K -*")</f>
        <v>K:   0</v>
      </c>
      <c r="Q31" s="44" t="str">
        <f t="array" ref="Q31">"K:   "&amp;COUNTIF({Q$3:Q$24;Keepers!P$2:P$21},"*K -*")</f>
        <v>K:   0</v>
      </c>
      <c r="R31" s="44" t="str">
        <f t="array" ref="R31">"K:   "&amp;COUNTIF({R$3:R$24;Keepers!Q$2:Q$21},"*K -*")</f>
        <v>K:   0</v>
      </c>
      <c r="S31" s="44" t="str">
        <f t="array" ref="S31">"K:   "&amp;COUNTIF({S$3:S$24;Keepers!R$2:R$21},"*K -*")</f>
        <v>K:   0</v>
      </c>
      <c r="T31" s="44" t="str">
        <f t="array" ref="T31">"K:   "&amp;COUNTIF({T$3:T$24;Keepers!S$2:S$21},"*K -*")</f>
        <v>K:   0</v>
      </c>
      <c r="U31" s="44" t="str">
        <f t="array" ref="U31">"K:   "&amp;COUNTIF({U$3:U$24;Keepers!T$2:T$21},"*K -*")</f>
        <v>K:   0</v>
      </c>
      <c r="V31" s="44" t="str">
        <f t="array" ref="V31">"K:   "&amp;COUNTIF({V$3:V$24;Keepers!U$2:U$21},"*K -*")</f>
        <v>K:   0</v>
      </c>
    </row>
  </sheetData>
  <mergeCells count="4">
    <mergeCell ref="A1:C1"/>
    <mergeCell ref="D1:V1"/>
    <mergeCell ref="B25:B31"/>
    <mergeCell ref="W25:W31"/>
  </mergeCells>
  <conditionalFormatting sqref="C3:V24">
    <cfRule type="expression" dxfId="6" priority="1">
      <formula>COUNTIF($C$3:$V$24, INDIRECT(ADDRESS(ROW(), COLUMN(), 4))) &gt; 1</formula>
    </cfRule>
  </conditionalFormatting>
  <conditionalFormatting sqref="A3:A24 C3:V24">
    <cfRule type="containsText" dxfId="0" priority="2" operator="containsText" text="RB -">
      <formula>NOT(ISERROR(SEARCH(("RB -"),(A3))))</formula>
    </cfRule>
  </conditionalFormatting>
  <conditionalFormatting sqref="A3:A24 C3:V24">
    <cfRule type="containsText" dxfId="1" priority="3" operator="containsText" text="QB -">
      <formula>NOT(ISERROR(SEARCH(("QB -"),(A3))))</formula>
    </cfRule>
  </conditionalFormatting>
  <conditionalFormatting sqref="A3:A24 C3:V24">
    <cfRule type="containsText" dxfId="2" priority="4" operator="containsText" text="TE -">
      <formula>NOT(ISERROR(SEARCH(("TE -"),(A3))))</formula>
    </cfRule>
  </conditionalFormatting>
  <conditionalFormatting sqref="A3:A24 C3:V24">
    <cfRule type="containsText" dxfId="3" priority="5" operator="containsText" text="WR -">
      <formula>NOT(ISERROR(SEARCH(("WR -"),(A3))))</formula>
    </cfRule>
  </conditionalFormatting>
  <conditionalFormatting sqref="A3:A24 C3:V24">
    <cfRule type="containsText" dxfId="4" priority="6" operator="containsText" text="DST -">
      <formula>NOT(ISERROR(SEARCH(("DST -"),(A3))))</formula>
    </cfRule>
  </conditionalFormatting>
  <conditionalFormatting sqref="A3:A24 C3:V24">
    <cfRule type="containsText" dxfId="5" priority="7" operator="containsText" text="K -">
      <formula>NOT(ISERROR(SEARCH(("K -"),(A3))))</formula>
    </cfRule>
  </conditionalFormatting>
  <conditionalFormatting sqref="A3:A24 C3:V24">
    <cfRule type="containsText" dxfId="7" priority="8" operator="containsText" text="LB -">
      <formula>NOT(ISERROR(SEARCH(("LB -"),(A3))))</formula>
    </cfRule>
  </conditionalFormatting>
  <conditionalFormatting sqref="A3:A24 C3:V24">
    <cfRule type="containsText" dxfId="8" priority="9" operator="containsText" text="S -">
      <formula>NOT(ISERROR(SEARCH(("S -"),(A3))))</formula>
    </cfRule>
  </conditionalFormatting>
  <conditionalFormatting sqref="A3:A24 C3:V24">
    <cfRule type="containsText" dxfId="9" priority="10" operator="containsText" text="DE -">
      <formula>NOT(ISERROR(SEARCH(("DE -"),(A3))))</formula>
    </cfRule>
  </conditionalFormatting>
  <conditionalFormatting sqref="A3:A24 C3:V24">
    <cfRule type="containsText" dxfId="10" priority="11" operator="containsText" text="DT -">
      <formula>NOT(ISERROR(SEARCH(("DT -"),(A3))))</formula>
    </cfRule>
  </conditionalFormatting>
  <conditionalFormatting sqref="A3:A24 C3:V24">
    <cfRule type="containsText" dxfId="11" priority="12" operator="containsText" text="CB -">
      <formula>NOT(ISERROR(SEARCH(("CB -"),(A3))))</formula>
    </cfRule>
  </conditionalFormatting>
  <dataValidations>
    <dataValidation type="list" allowBlank="1" showDropDown="1" sqref="C3:V24">
      <formula1>'Data Format'!$B$2:$B31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16.88"/>
    <col customWidth="1" min="3" max="21" width="15.38"/>
  </cols>
  <sheetData>
    <row r="1">
      <c r="A1" s="8"/>
      <c r="B1" s="9" t="str">
        <f>'Draft Board'!C2</f>
        <v>Team 1</v>
      </c>
      <c r="C1" s="9" t="str">
        <f>'Draft Board'!D2</f>
        <v>Team 2</v>
      </c>
      <c r="D1" s="9" t="str">
        <f>'Draft Board'!E2</f>
        <v>Team 3</v>
      </c>
      <c r="E1" s="9" t="str">
        <f>'Draft Board'!F2</f>
        <v>Team 4</v>
      </c>
      <c r="F1" s="9" t="str">
        <f>'Draft Board'!G2</f>
        <v>Team 5</v>
      </c>
      <c r="G1" s="9" t="str">
        <f>'Draft Board'!H2</f>
        <v>Team 6</v>
      </c>
      <c r="H1" s="9" t="str">
        <f>'Draft Board'!I2</f>
        <v>Team 7</v>
      </c>
      <c r="I1" s="9" t="str">
        <f>'Draft Board'!J2</f>
        <v>Team 8</v>
      </c>
      <c r="J1" s="9" t="str">
        <f>'Draft Board'!K2</f>
        <v>Team 9</v>
      </c>
      <c r="K1" s="9" t="str">
        <f>'Draft Board'!L2</f>
        <v>Team 10</v>
      </c>
      <c r="L1" s="9" t="str">
        <f>'Draft Board'!M2</f>
        <v>Team 11</v>
      </c>
      <c r="M1" s="9" t="str">
        <f>'Draft Board'!N2</f>
        <v>Team 12</v>
      </c>
      <c r="N1" s="9" t="str">
        <f>'Draft Board'!O2</f>
        <v>Team 13</v>
      </c>
      <c r="O1" s="9" t="str">
        <f>'Draft Board'!P2</f>
        <v>Team 14</v>
      </c>
      <c r="P1" s="9" t="str">
        <f>'Draft Board'!Q2</f>
        <v>Team 15</v>
      </c>
      <c r="Q1" s="9" t="str">
        <f>'Draft Board'!R2</f>
        <v>Team 16</v>
      </c>
      <c r="R1" s="9" t="str">
        <f>'Draft Board'!S2</f>
        <v>Team 17</v>
      </c>
      <c r="S1" s="9" t="str">
        <f>'Draft Board'!T2</f>
        <v>Team 18</v>
      </c>
      <c r="T1" s="9" t="str">
        <f>'Draft Board'!U2</f>
        <v>Team 19</v>
      </c>
      <c r="U1" s="9" t="str">
        <f>'Draft Board'!V2</f>
        <v>Team 20</v>
      </c>
    </row>
    <row r="2" ht="28.5" customHeight="1">
      <c r="A2" s="9">
        <v>1.0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28.5" customHeight="1">
      <c r="A3" s="9">
        <v>2.0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ht="28.5" customHeight="1">
      <c r="A4" s="9">
        <v>3.0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ht="28.5" customHeight="1">
      <c r="A5" s="9">
        <v>4.0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ht="28.5" customHeight="1">
      <c r="A6" s="9">
        <v>5.0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ht="28.5" customHeight="1">
      <c r="A7" s="9">
        <v>6.0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ht="28.5" customHeight="1">
      <c r="A8" s="9">
        <v>7.0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ht="28.5" customHeight="1">
      <c r="A9" s="9">
        <v>8.0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ht="28.5" customHeight="1">
      <c r="A10" s="9">
        <v>9.0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28.5" customHeight="1">
      <c r="A11" s="9">
        <v>10.0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ht="28.5" customHeight="1">
      <c r="A12" s="9">
        <v>11.0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28.5" customHeight="1">
      <c r="A13" s="9">
        <v>12.0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ht="28.5" customHeight="1">
      <c r="A14" s="9">
        <v>13.0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28.5" customHeight="1">
      <c r="A15" s="9">
        <v>14.0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28.5" customHeight="1">
      <c r="A16" s="9">
        <v>15.0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28.5" customHeight="1">
      <c r="A17" s="9">
        <v>16.0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28.5" customHeight="1">
      <c r="A18" s="9">
        <v>17.0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28.5" customHeight="1">
      <c r="A19" s="9">
        <v>18.0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ht="28.5" customHeight="1">
      <c r="A20" s="9">
        <v>19.0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28.5" customHeight="1">
      <c r="A21" s="9">
        <v>20.0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>
      <c r="A22" s="27"/>
      <c r="B22" s="9" t="str">
        <f t="shared" ref="B22:U22" si="1">B1</f>
        <v>Team 1</v>
      </c>
      <c r="C22" s="9" t="str">
        <f t="shared" si="1"/>
        <v>Team 2</v>
      </c>
      <c r="D22" s="9" t="str">
        <f t="shared" si="1"/>
        <v>Team 3</v>
      </c>
      <c r="E22" s="9" t="str">
        <f t="shared" si="1"/>
        <v>Team 4</v>
      </c>
      <c r="F22" s="9" t="str">
        <f t="shared" si="1"/>
        <v>Team 5</v>
      </c>
      <c r="G22" s="9" t="str">
        <f t="shared" si="1"/>
        <v>Team 6</v>
      </c>
      <c r="H22" s="9" t="str">
        <f t="shared" si="1"/>
        <v>Team 7</v>
      </c>
      <c r="I22" s="9" t="str">
        <f t="shared" si="1"/>
        <v>Team 8</v>
      </c>
      <c r="J22" s="9" t="str">
        <f t="shared" si="1"/>
        <v>Team 9</v>
      </c>
      <c r="K22" s="9" t="str">
        <f t="shared" si="1"/>
        <v>Team 10</v>
      </c>
      <c r="L22" s="9" t="str">
        <f t="shared" si="1"/>
        <v>Team 11</v>
      </c>
      <c r="M22" s="9" t="str">
        <f t="shared" si="1"/>
        <v>Team 12</v>
      </c>
      <c r="N22" s="9" t="str">
        <f t="shared" si="1"/>
        <v>Team 13</v>
      </c>
      <c r="O22" s="9" t="str">
        <f t="shared" si="1"/>
        <v>Team 14</v>
      </c>
      <c r="P22" s="9" t="str">
        <f t="shared" si="1"/>
        <v>Team 15</v>
      </c>
      <c r="Q22" s="9" t="str">
        <f t="shared" si="1"/>
        <v>Team 16</v>
      </c>
      <c r="R22" s="9" t="str">
        <f t="shared" si="1"/>
        <v>Team 17</v>
      </c>
      <c r="S22" s="9" t="str">
        <f t="shared" si="1"/>
        <v>Team 18</v>
      </c>
      <c r="T22" s="9" t="str">
        <f t="shared" si="1"/>
        <v>Team 19</v>
      </c>
      <c r="U22" s="9" t="str">
        <f t="shared" si="1"/>
        <v>Team 20</v>
      </c>
    </row>
  </sheetData>
  <conditionalFormatting sqref="B2:U21">
    <cfRule type="expression" dxfId="6" priority="1">
      <formula>COUNTIF($B$2:$U$21, INDIRECT(ADDRESS(ROW(), COLUMN(), 4))) &gt; 1</formula>
    </cfRule>
  </conditionalFormatting>
  <conditionalFormatting sqref="B2:U21">
    <cfRule type="containsText" dxfId="0" priority="2" operator="containsText" text="RB -">
      <formula>NOT(ISERROR(SEARCH(("RB -"),(B2))))</formula>
    </cfRule>
  </conditionalFormatting>
  <conditionalFormatting sqref="B2:U21">
    <cfRule type="containsText" dxfId="1" priority="3" operator="containsText" text="QB -">
      <formula>NOT(ISERROR(SEARCH(("QB -"),(B2))))</formula>
    </cfRule>
  </conditionalFormatting>
  <conditionalFormatting sqref="B2:U21">
    <cfRule type="containsText" dxfId="2" priority="4" operator="containsText" text="TE -">
      <formula>NOT(ISERROR(SEARCH(("TE -"),(B2))))</formula>
    </cfRule>
  </conditionalFormatting>
  <conditionalFormatting sqref="B2:U21">
    <cfRule type="containsText" dxfId="3" priority="5" operator="containsText" text="WR -">
      <formula>NOT(ISERROR(SEARCH(("WR -"),(B2))))</formula>
    </cfRule>
  </conditionalFormatting>
  <conditionalFormatting sqref="B2:U21">
    <cfRule type="containsText" dxfId="4" priority="6" operator="containsText" text="DST -">
      <formula>NOT(ISERROR(SEARCH(("DST -"),(B2))))</formula>
    </cfRule>
  </conditionalFormatting>
  <conditionalFormatting sqref="B2:U21">
    <cfRule type="containsText" dxfId="5" priority="7" operator="containsText" text="K -">
      <formula>NOT(ISERROR(SEARCH(("K -"),(B2))))</formula>
    </cfRule>
  </conditionalFormatting>
  <conditionalFormatting sqref="B2:U21">
    <cfRule type="containsText" dxfId="7" priority="8" operator="containsText" text="LB -">
      <formula>NOT(ISERROR(SEARCH(("LB -"),(B2))))</formula>
    </cfRule>
  </conditionalFormatting>
  <conditionalFormatting sqref="B2:U21">
    <cfRule type="containsText" dxfId="8" priority="9" operator="containsText" text="S -">
      <formula>NOT(ISERROR(SEARCH(("S -"),(B2))))</formula>
    </cfRule>
  </conditionalFormatting>
  <conditionalFormatting sqref="B2:U21">
    <cfRule type="containsText" dxfId="9" priority="10" operator="containsText" text="DE -">
      <formula>NOT(ISERROR(SEARCH(("DE -"),(B2))))</formula>
    </cfRule>
  </conditionalFormatting>
  <conditionalFormatting sqref="B2:U21">
    <cfRule type="containsText" dxfId="10" priority="11" operator="containsText" text="DT -">
      <formula>NOT(ISERROR(SEARCH(("DT -"),(B2))))</formula>
    </cfRule>
  </conditionalFormatting>
  <conditionalFormatting sqref="B2:U21">
    <cfRule type="containsText" dxfId="11" priority="12" operator="containsText" text="CB -">
      <formula>NOT(ISERROR(SEARCH(("CB -"),(B2))))</formula>
    </cfRule>
  </conditionalFormatting>
  <dataValidations>
    <dataValidation type="list" allowBlank="1" showDropDown="1" sqref="B2:U21">
      <formula1>'Data Format'!$B$2:$B$585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4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>
      <c r="A2" s="12" t="str">
        <f>IFERROR(__xludf.DUMMYFUNCTION("{ArrayFormula(unique(transpose(split(concatenate('Draft Board'!C3:V24&amp;""%""),""%""))));SORT(UNIQUE({'Auction Draft Board'!C6:C25;'Auction Draft Board'!E6:E25;'Auction Draft Board'!G6:G25;'Auction Draft Board'!I6:I25;'Auction Draft Board'!K6:K25;'Auction D"&amp;"raft Board'!M6:M25;'Auction Draft Board'!O6:O25;'Auction Draft Board'!Q6:Q25;'Auction Draft Board'!S6:S25;'Auction Draft Board'!U6:U25;'Auction Draft Board'!W6:W25;'Auction Draft Board'!Y6:Y25;'Auction Draft Board'!AA6:AA25;'Auction Draft Board'!AC6:AC25;"&amp;"'Auction Draft Board'!AE6:AE25;'Auction Draft Board'!AG6:AG25;'Auction Draft Board'!AI6:AI25;'Auction Draft Board'!AK6:AK25;'Auction Draft Board'!AM6:AM25;'Auction Draft Board'!AO6:AO25}))}"),"%%%%%%%%%%%%%%%%%%%%%%%%%%%%%%%%%%%%%%%%%%%%%%%%%%%%%%%%%%%%%%%%%%%%%%%%%%%%%%%%%%%%%%%%%%%%%%%%%%%%%%%%%%%%%%%%%%%%%%%%%%%%%%%%%%%%%%%%%%%%%%%%%%%%%%%%%%%%%%%%%%%%%%%%%%%%%%%%%%%%%%%%%%%%%%%%%%%%%%%%%%%%%%%%%%%%%%%%%%%%%%%%%%%%%%%%%%%%%%%%%%%%%%%%%%%%%%%"&amp;"%%%%%%%%%%%%%%%%%%%%%%%%%%%%%%%%%%%%%%%%%%%%%%%%%%%%%%%%%%%%%%%%%%%%%%%%%%%%%%%%%%%%%%%%%%%%%%%%%%%%%%%%%%%%%%%%%%%%%%%%%%%%%%%%%%%%%%%%%%%%%%%%%%%%%%%%%%%%%%%%%%%%%%%%%%%%%%%%%%%%%%%%%")</f>
        <v>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%</v>
      </c>
      <c r="B2" s="12" t="str">
        <f>IFERROR(__xludf.DUMMYFUNCTION("IFERROR(QUERY($A:$A,""SELECT A WHERE A CONTAINS 'RB -'""),"""")"),"")</f>
        <v/>
      </c>
      <c r="C2" s="12" t="str">
        <f>IFERROR(__xludf.DUMMYFUNCTION("IFERROR(QUERY($A:$A,""SELECT A WHERE A CONTAINS 'WR -'""),"""")"),"")</f>
        <v/>
      </c>
      <c r="D2" s="12" t="str">
        <f>IFERROR(__xludf.DUMMYFUNCTION("IFERROR(QUERY($A:$A,""SELECT A WHERE A CONTAINS 'QB -'""),"""")"),"")</f>
        <v/>
      </c>
      <c r="E2" s="12" t="str">
        <f>IFERROR(__xludf.DUMMYFUNCTION("IFERROR(QUERY($A:$A,""SELECT A WHERE A CONTAINS 'TE -'""),"""")"),"")</f>
        <v/>
      </c>
      <c r="F2" s="12" t="str">
        <f>IFERROR(__xludf.DUMMYFUNCTION("IFERROR(QUERY($A:$A,""SELECT A WHERE A CONTAINS 'DST -'""),"""")"),"")</f>
        <v/>
      </c>
      <c r="G2" s="12" t="str">
        <f>IFERROR(__xludf.DUMMYFUNCTION("IFERROR(QUERY($A:$A,""SELECT A WHERE A CONTAINS 'PK -'""),"""")"),"")</f>
        <v/>
      </c>
    </row>
    <row r="3">
      <c r="A3" s="12" t="str">
        <f>IFERROR(__xludf.DUMMYFUNCTION("""COMPUTED_VALUE"""),"#REF!")</f>
        <v>#REF!</v>
      </c>
      <c r="B3" s="12"/>
      <c r="C3" s="12"/>
      <c r="D3" s="12"/>
      <c r="E3" s="12"/>
      <c r="F3" s="12"/>
      <c r="G3" s="12"/>
    </row>
    <row r="4">
      <c r="A4" s="12"/>
      <c r="B4" s="12"/>
      <c r="C4" s="12"/>
      <c r="D4" s="12"/>
      <c r="E4" s="12"/>
      <c r="F4" s="12"/>
      <c r="G4" s="12"/>
    </row>
    <row r="5">
      <c r="A5" s="12"/>
      <c r="B5" s="12"/>
      <c r="C5" s="12"/>
      <c r="D5" s="12"/>
      <c r="E5" s="12"/>
      <c r="F5" s="12"/>
      <c r="G5" s="12"/>
    </row>
    <row r="6">
      <c r="A6" s="12"/>
      <c r="B6" s="12"/>
      <c r="C6" s="12"/>
      <c r="D6" s="12"/>
      <c r="E6" s="12"/>
      <c r="F6" s="12"/>
      <c r="G6" s="12"/>
    </row>
    <row r="7">
      <c r="A7" s="12"/>
      <c r="B7" s="12"/>
      <c r="C7" s="12"/>
      <c r="D7" s="12"/>
      <c r="E7" s="12"/>
      <c r="F7" s="12"/>
      <c r="G7" s="12"/>
    </row>
    <row r="8">
      <c r="A8" s="12"/>
      <c r="B8" s="12"/>
      <c r="C8" s="12"/>
      <c r="D8" s="12"/>
      <c r="E8" s="12"/>
      <c r="F8" s="12"/>
      <c r="G8" s="12"/>
    </row>
    <row r="9">
      <c r="A9" s="12"/>
      <c r="B9" s="12"/>
      <c r="C9" s="12"/>
      <c r="D9" s="12"/>
      <c r="E9" s="12"/>
      <c r="F9" s="12"/>
      <c r="G9" s="12"/>
    </row>
    <row r="10">
      <c r="A10" s="12"/>
      <c r="B10" s="12"/>
      <c r="C10" s="12"/>
      <c r="D10" s="12"/>
      <c r="E10" s="12"/>
      <c r="F10" s="12"/>
      <c r="G10" s="12"/>
    </row>
    <row r="11">
      <c r="A11" s="12"/>
      <c r="B11" s="12"/>
      <c r="C11" s="12"/>
      <c r="D11" s="12"/>
      <c r="E11" s="12"/>
      <c r="F11" s="12"/>
      <c r="G11" s="12"/>
    </row>
    <row r="12">
      <c r="A12" s="12"/>
      <c r="B12" s="12"/>
      <c r="C12" s="12"/>
      <c r="D12" s="12"/>
      <c r="E12" s="12"/>
      <c r="F12" s="12"/>
      <c r="G12" s="12"/>
    </row>
    <row r="13">
      <c r="A13" s="12"/>
      <c r="B13" s="12"/>
      <c r="C13" s="12"/>
      <c r="D13" s="12"/>
      <c r="E13" s="12"/>
      <c r="F13" s="12"/>
      <c r="G13" s="12"/>
    </row>
    <row r="14">
      <c r="A14" s="12"/>
      <c r="B14" s="12"/>
      <c r="C14" s="12"/>
      <c r="D14" s="12"/>
      <c r="E14" s="12"/>
      <c r="F14" s="12"/>
      <c r="G14" s="12"/>
    </row>
    <row r="15">
      <c r="A15" s="12"/>
      <c r="B15" s="12"/>
      <c r="C15" s="12"/>
      <c r="D15" s="12"/>
      <c r="E15" s="12"/>
      <c r="F15" s="12"/>
      <c r="G15" s="12"/>
    </row>
    <row r="16">
      <c r="A16" s="12"/>
      <c r="B16" s="12"/>
      <c r="C16" s="12"/>
      <c r="D16" s="12"/>
      <c r="E16" s="12"/>
      <c r="F16" s="12"/>
      <c r="G16" s="12"/>
    </row>
    <row r="17">
      <c r="A17" s="12"/>
      <c r="B17" s="12"/>
      <c r="C17" s="12"/>
      <c r="D17" s="12"/>
      <c r="E17" s="12"/>
      <c r="F17" s="12"/>
      <c r="G17" s="12"/>
    </row>
    <row r="18">
      <c r="A18" s="12"/>
      <c r="B18" s="12"/>
      <c r="C18" s="12"/>
      <c r="D18" s="12"/>
      <c r="E18" s="12"/>
      <c r="F18" s="12"/>
      <c r="G18" s="12"/>
    </row>
    <row r="19">
      <c r="A19" s="12"/>
      <c r="B19" s="12"/>
      <c r="C19" s="12"/>
      <c r="D19" s="12"/>
      <c r="E19" s="12"/>
      <c r="F19" s="12"/>
      <c r="G19" s="12"/>
    </row>
    <row r="20">
      <c r="A20" s="12"/>
      <c r="B20" s="12"/>
      <c r="C20" s="12"/>
      <c r="D20" s="12"/>
      <c r="E20" s="12"/>
      <c r="F20" s="12"/>
      <c r="G20" s="12"/>
    </row>
    <row r="21">
      <c r="A21" s="12"/>
      <c r="B21" s="12"/>
      <c r="C21" s="12"/>
      <c r="D21" s="12"/>
      <c r="E21" s="12"/>
      <c r="F21" s="12"/>
      <c r="G21" s="12"/>
    </row>
    <row r="22">
      <c r="A22" s="12"/>
      <c r="B22" s="12"/>
      <c r="C22" s="12"/>
      <c r="D22" s="12"/>
      <c r="E22" s="12"/>
      <c r="F22" s="12"/>
      <c r="G22" s="12"/>
    </row>
    <row r="23">
      <c r="A23" s="12"/>
      <c r="B23" s="12"/>
      <c r="C23" s="12"/>
      <c r="D23" s="12"/>
      <c r="E23" s="12"/>
      <c r="F23" s="12"/>
      <c r="G23" s="12"/>
    </row>
    <row r="24">
      <c r="A24" s="12"/>
      <c r="B24" s="12"/>
      <c r="C24" s="12"/>
      <c r="D24" s="12"/>
      <c r="E24" s="12"/>
      <c r="F24" s="12"/>
      <c r="G24" s="12"/>
    </row>
    <row r="25">
      <c r="A25" s="12"/>
      <c r="B25" s="12"/>
      <c r="C25" s="12"/>
      <c r="D25" s="12"/>
      <c r="E25" s="12"/>
      <c r="F25" s="12"/>
      <c r="G25" s="12"/>
    </row>
    <row r="26">
      <c r="A26" s="12"/>
      <c r="B26" s="12"/>
      <c r="C26" s="12"/>
      <c r="D26" s="12"/>
      <c r="E26" s="12"/>
      <c r="F26" s="12"/>
      <c r="G26" s="12"/>
    </row>
    <row r="27">
      <c r="A27" s="12"/>
      <c r="B27" s="12"/>
      <c r="C27" s="12"/>
      <c r="D27" s="12"/>
      <c r="E27" s="12"/>
      <c r="F27" s="12"/>
      <c r="G27" s="12"/>
    </row>
    <row r="28">
      <c r="A28" s="12"/>
      <c r="B28" s="12"/>
      <c r="C28" s="12"/>
      <c r="D28" s="12"/>
      <c r="E28" s="12"/>
      <c r="F28" s="12"/>
      <c r="G28" s="12"/>
    </row>
    <row r="29">
      <c r="A29" s="12"/>
      <c r="B29" s="12"/>
      <c r="C29" s="12"/>
      <c r="D29" s="12"/>
      <c r="E29" s="12"/>
      <c r="F29" s="12"/>
      <c r="G29" s="12"/>
    </row>
    <row r="30">
      <c r="A30" s="12"/>
      <c r="B30" s="12"/>
      <c r="C30" s="12"/>
      <c r="D30" s="12"/>
      <c r="E30" s="12"/>
      <c r="F30" s="12"/>
      <c r="G30" s="12"/>
    </row>
    <row r="31">
      <c r="A31" s="12"/>
      <c r="B31" s="12"/>
      <c r="C31" s="12"/>
      <c r="D31" s="12"/>
      <c r="E31" s="12"/>
      <c r="F31" s="12"/>
      <c r="G31" s="12"/>
    </row>
    <row r="32">
      <c r="A32" s="12"/>
      <c r="B32" s="12"/>
      <c r="C32" s="12"/>
      <c r="D32" s="12"/>
      <c r="E32" s="12"/>
      <c r="F32" s="12"/>
      <c r="G32" s="12"/>
    </row>
    <row r="33">
      <c r="A33" s="12"/>
      <c r="B33" s="12"/>
      <c r="C33" s="12"/>
      <c r="D33" s="12"/>
      <c r="E33" s="12"/>
      <c r="F33" s="12"/>
      <c r="G33" s="12"/>
    </row>
    <row r="34">
      <c r="A34" s="12"/>
      <c r="B34" s="12"/>
      <c r="C34" s="12"/>
      <c r="D34" s="12"/>
      <c r="E34" s="12"/>
      <c r="F34" s="12"/>
      <c r="G34" s="12"/>
    </row>
    <row r="35">
      <c r="A35" s="12"/>
      <c r="B35" s="12"/>
      <c r="C35" s="12"/>
      <c r="D35" s="12"/>
      <c r="E35" s="12"/>
      <c r="F35" s="12"/>
      <c r="G35" s="12"/>
    </row>
    <row r="36">
      <c r="A36" s="12"/>
      <c r="B36" s="12"/>
      <c r="C36" s="12"/>
      <c r="D36" s="12"/>
      <c r="E36" s="12"/>
      <c r="F36" s="12"/>
      <c r="G36" s="12"/>
    </row>
    <row r="37">
      <c r="A37" s="12"/>
      <c r="B37" s="12"/>
      <c r="C37" s="12"/>
      <c r="D37" s="12"/>
      <c r="E37" s="12"/>
      <c r="F37" s="12"/>
      <c r="G37" s="12"/>
    </row>
    <row r="38">
      <c r="A38" s="12"/>
      <c r="B38" s="12"/>
      <c r="C38" s="12"/>
      <c r="D38" s="12"/>
      <c r="E38" s="12"/>
      <c r="F38" s="12"/>
      <c r="G38" s="12"/>
    </row>
    <row r="39">
      <c r="A39" s="12"/>
      <c r="B39" s="12"/>
      <c r="C39" s="12"/>
      <c r="D39" s="12"/>
      <c r="E39" s="12"/>
      <c r="F39" s="12"/>
      <c r="G39" s="12"/>
    </row>
    <row r="40">
      <c r="A40" s="12"/>
      <c r="B40" s="12"/>
      <c r="C40" s="12"/>
      <c r="D40" s="12"/>
      <c r="E40" s="12"/>
      <c r="F40" s="12"/>
      <c r="G40" s="12"/>
    </row>
    <row r="41">
      <c r="A41" s="12"/>
      <c r="B41" s="12"/>
      <c r="C41" s="12"/>
      <c r="D41" s="12"/>
      <c r="E41" s="12"/>
      <c r="F41" s="12"/>
      <c r="G41" s="12"/>
    </row>
    <row r="42">
      <c r="A42" s="12"/>
      <c r="B42" s="12"/>
      <c r="C42" s="12"/>
      <c r="D42" s="12"/>
      <c r="E42" s="12"/>
      <c r="F42" s="12"/>
      <c r="G42" s="12"/>
    </row>
    <row r="43">
      <c r="A43" s="12"/>
      <c r="B43" s="12"/>
      <c r="C43" s="12"/>
      <c r="D43" s="12"/>
      <c r="E43" s="12"/>
      <c r="F43" s="12"/>
      <c r="G43" s="12"/>
    </row>
    <row r="44">
      <c r="A44" s="12"/>
      <c r="B44" s="12"/>
      <c r="C44" s="12"/>
      <c r="D44" s="12"/>
      <c r="E44" s="12"/>
      <c r="F44" s="12"/>
      <c r="G44" s="12"/>
    </row>
    <row r="45">
      <c r="A45" s="12"/>
      <c r="B45" s="12"/>
      <c r="C45" s="12"/>
      <c r="D45" s="12"/>
      <c r="E45" s="12"/>
      <c r="F45" s="12"/>
      <c r="G45" s="12"/>
    </row>
    <row r="46">
      <c r="A46" s="12"/>
      <c r="B46" s="12"/>
      <c r="C46" s="12"/>
      <c r="D46" s="12"/>
      <c r="E46" s="12"/>
      <c r="F46" s="12"/>
      <c r="G46" s="12"/>
    </row>
    <row r="47">
      <c r="A47" s="12"/>
      <c r="B47" s="12"/>
      <c r="C47" s="12"/>
      <c r="D47" s="12"/>
      <c r="E47" s="12"/>
      <c r="F47" s="12"/>
      <c r="G47" s="12"/>
    </row>
    <row r="48">
      <c r="A48" s="12"/>
      <c r="B48" s="12"/>
      <c r="C48" s="12"/>
      <c r="D48" s="12"/>
      <c r="E48" s="12"/>
      <c r="F48" s="12"/>
      <c r="G48" s="12"/>
    </row>
    <row r="49">
      <c r="A49" s="12"/>
      <c r="B49" s="12"/>
      <c r="C49" s="12"/>
      <c r="D49" s="12"/>
      <c r="E49" s="12"/>
      <c r="F49" s="12"/>
      <c r="G49" s="12"/>
    </row>
    <row r="50">
      <c r="A50" s="12"/>
      <c r="B50" s="12"/>
      <c r="C50" s="12"/>
      <c r="D50" s="12"/>
      <c r="E50" s="12"/>
      <c r="F50" s="12"/>
      <c r="G50" s="12"/>
    </row>
    <row r="51">
      <c r="A51" s="12"/>
      <c r="B51" s="12"/>
      <c r="C51" s="12"/>
      <c r="D51" s="12"/>
      <c r="E51" s="12"/>
      <c r="F51" s="12"/>
      <c r="G51" s="12"/>
    </row>
    <row r="52">
      <c r="A52" s="12"/>
      <c r="B52" s="12"/>
      <c r="C52" s="12"/>
      <c r="D52" s="12"/>
      <c r="E52" s="12"/>
      <c r="F52" s="12"/>
      <c r="G52" s="12"/>
    </row>
    <row r="53">
      <c r="A53" s="12"/>
      <c r="B53" s="12"/>
      <c r="C53" s="12"/>
      <c r="D53" s="12"/>
      <c r="E53" s="12"/>
      <c r="F53" s="12"/>
      <c r="G53" s="12"/>
    </row>
    <row r="54">
      <c r="A54" s="12"/>
      <c r="B54" s="12"/>
      <c r="C54" s="12"/>
      <c r="D54" s="12"/>
      <c r="E54" s="12"/>
      <c r="F54" s="12"/>
      <c r="G54" s="12"/>
    </row>
    <row r="55">
      <c r="A55" s="12"/>
      <c r="B55" s="12"/>
      <c r="C55" s="12"/>
      <c r="D55" s="12"/>
      <c r="E55" s="12"/>
      <c r="F55" s="12"/>
      <c r="G55" s="12"/>
    </row>
    <row r="56">
      <c r="A56" s="12"/>
      <c r="B56" s="12"/>
      <c r="C56" s="12"/>
      <c r="D56" s="12"/>
      <c r="E56" s="12"/>
      <c r="F56" s="12"/>
      <c r="G56" s="12"/>
    </row>
    <row r="57">
      <c r="A57" s="12"/>
      <c r="B57" s="12"/>
      <c r="C57" s="12"/>
      <c r="D57" s="12"/>
      <c r="E57" s="12"/>
      <c r="F57" s="12"/>
      <c r="G57" s="12"/>
    </row>
    <row r="58">
      <c r="A58" s="12"/>
      <c r="B58" s="12"/>
      <c r="C58" s="12"/>
      <c r="D58" s="12"/>
      <c r="E58" s="12"/>
      <c r="F58" s="12"/>
      <c r="G58" s="12"/>
    </row>
    <row r="59">
      <c r="A59" s="12"/>
      <c r="B59" s="12"/>
      <c r="C59" s="12"/>
      <c r="D59" s="12"/>
      <c r="E59" s="12"/>
      <c r="F59" s="12"/>
      <c r="G59" s="12"/>
    </row>
    <row r="60">
      <c r="A60" s="12"/>
      <c r="B60" s="12"/>
      <c r="C60" s="12"/>
      <c r="D60" s="12"/>
      <c r="E60" s="12"/>
      <c r="F60" s="12"/>
      <c r="G60" s="12"/>
    </row>
    <row r="61">
      <c r="A61" s="12"/>
      <c r="B61" s="12"/>
      <c r="C61" s="12"/>
      <c r="D61" s="12"/>
      <c r="E61" s="12"/>
      <c r="F61" s="12"/>
      <c r="G61" s="12"/>
    </row>
    <row r="62">
      <c r="A62" s="12"/>
      <c r="B62" s="12"/>
      <c r="C62" s="12"/>
      <c r="D62" s="12"/>
      <c r="E62" s="12"/>
      <c r="F62" s="12"/>
      <c r="G62" s="12"/>
    </row>
    <row r="63">
      <c r="A63" s="12"/>
      <c r="B63" s="12"/>
      <c r="C63" s="12"/>
      <c r="D63" s="12"/>
      <c r="E63" s="12"/>
      <c r="F63" s="12"/>
      <c r="G63" s="12"/>
    </row>
    <row r="64">
      <c r="A64" s="12"/>
      <c r="B64" s="12"/>
      <c r="C64" s="12"/>
      <c r="D64" s="12"/>
      <c r="E64" s="12"/>
      <c r="F64" s="12"/>
      <c r="G64" s="12"/>
    </row>
    <row r="65">
      <c r="A65" s="12"/>
      <c r="B65" s="12"/>
      <c r="C65" s="12"/>
      <c r="D65" s="12"/>
      <c r="E65" s="12"/>
      <c r="F65" s="12"/>
      <c r="G65" s="12"/>
    </row>
    <row r="66">
      <c r="A66" s="12"/>
      <c r="B66" s="12"/>
      <c r="C66" s="12"/>
      <c r="D66" s="12"/>
      <c r="E66" s="12"/>
      <c r="F66" s="12"/>
      <c r="G66" s="12"/>
    </row>
    <row r="67">
      <c r="A67" s="12"/>
      <c r="B67" s="12"/>
      <c r="C67" s="12"/>
      <c r="D67" s="12"/>
      <c r="E67" s="12"/>
      <c r="F67" s="12"/>
      <c r="G67" s="12"/>
    </row>
    <row r="68">
      <c r="A68" s="12"/>
      <c r="B68" s="12"/>
      <c r="C68" s="12"/>
      <c r="D68" s="12"/>
      <c r="E68" s="12"/>
      <c r="F68" s="12"/>
      <c r="G68" s="12"/>
    </row>
    <row r="69">
      <c r="A69" s="12"/>
      <c r="B69" s="12"/>
      <c r="C69" s="12"/>
      <c r="D69" s="12"/>
      <c r="E69" s="12"/>
      <c r="F69" s="12"/>
      <c r="G69" s="12"/>
    </row>
    <row r="70">
      <c r="A70" s="12"/>
      <c r="B70" s="12"/>
      <c r="C70" s="12"/>
      <c r="D70" s="12"/>
      <c r="E70" s="12"/>
      <c r="F70" s="12"/>
      <c r="G70" s="12"/>
    </row>
    <row r="71">
      <c r="A71" s="12"/>
      <c r="B71" s="12"/>
      <c r="C71" s="12"/>
      <c r="D71" s="12"/>
      <c r="E71" s="12"/>
      <c r="F71" s="12"/>
      <c r="G71" s="12"/>
    </row>
    <row r="72">
      <c r="A72" s="12"/>
      <c r="B72" s="12"/>
      <c r="C72" s="12"/>
      <c r="D72" s="12"/>
      <c r="E72" s="12"/>
      <c r="F72" s="12"/>
      <c r="G72" s="12"/>
    </row>
    <row r="73">
      <c r="A73" s="12"/>
      <c r="B73" s="12"/>
      <c r="C73" s="12"/>
      <c r="D73" s="12"/>
      <c r="E73" s="12"/>
      <c r="F73" s="12"/>
      <c r="G73" s="12"/>
    </row>
    <row r="74">
      <c r="A74" s="12"/>
      <c r="B74" s="12"/>
      <c r="C74" s="12"/>
      <c r="D74" s="12"/>
      <c r="E74" s="12"/>
      <c r="F74" s="12"/>
      <c r="G74" s="12"/>
    </row>
    <row r="75">
      <c r="A75" s="12"/>
      <c r="B75" s="12"/>
      <c r="C75" s="12"/>
      <c r="D75" s="12"/>
      <c r="E75" s="12"/>
      <c r="F75" s="12"/>
      <c r="G75" s="12"/>
    </row>
    <row r="76">
      <c r="A76" s="12"/>
      <c r="B76" s="12"/>
      <c r="C76" s="12"/>
      <c r="D76" s="12"/>
      <c r="E76" s="12"/>
      <c r="F76" s="12"/>
      <c r="G76" s="12"/>
    </row>
    <row r="77">
      <c r="A77" s="12"/>
      <c r="B77" s="12"/>
      <c r="C77" s="12"/>
      <c r="D77" s="12"/>
      <c r="E77" s="12"/>
      <c r="F77" s="12"/>
      <c r="G77" s="12"/>
    </row>
    <row r="78">
      <c r="A78" s="12"/>
      <c r="B78" s="12"/>
      <c r="C78" s="12"/>
      <c r="D78" s="12"/>
      <c r="E78" s="12"/>
      <c r="F78" s="12"/>
      <c r="G78" s="12"/>
    </row>
    <row r="79">
      <c r="A79" s="12"/>
      <c r="B79" s="12"/>
      <c r="C79" s="12"/>
      <c r="D79" s="12"/>
      <c r="E79" s="12"/>
      <c r="F79" s="12"/>
      <c r="G79" s="12"/>
    </row>
    <row r="80">
      <c r="A80" s="12"/>
      <c r="B80" s="12"/>
      <c r="C80" s="12"/>
      <c r="D80" s="12"/>
      <c r="E80" s="12"/>
      <c r="F80" s="12"/>
      <c r="G80" s="12"/>
    </row>
    <row r="81">
      <c r="A81" s="12"/>
      <c r="B81" s="12"/>
      <c r="C81" s="12"/>
      <c r="D81" s="12"/>
      <c r="E81" s="12"/>
      <c r="F81" s="12"/>
      <c r="G81" s="12"/>
    </row>
    <row r="82">
      <c r="A82" s="12"/>
      <c r="B82" s="12"/>
      <c r="C82" s="12"/>
      <c r="D82" s="12"/>
      <c r="E82" s="12"/>
      <c r="F82" s="12"/>
      <c r="G82" s="12"/>
    </row>
    <row r="83">
      <c r="A83" s="12"/>
      <c r="B83" s="12"/>
      <c r="C83" s="12"/>
      <c r="D83" s="12"/>
      <c r="E83" s="12"/>
      <c r="F83" s="12"/>
      <c r="G83" s="12"/>
    </row>
    <row r="84">
      <c r="A84" s="12"/>
      <c r="B84" s="12"/>
      <c r="C84" s="12"/>
      <c r="D84" s="12"/>
      <c r="E84" s="12"/>
      <c r="F84" s="12"/>
      <c r="G84" s="12"/>
    </row>
    <row r="85">
      <c r="A85" s="12"/>
      <c r="B85" s="12"/>
      <c r="C85" s="12"/>
      <c r="D85" s="12"/>
      <c r="E85" s="12"/>
      <c r="F85" s="12"/>
      <c r="G85" s="12"/>
    </row>
    <row r="86">
      <c r="A86" s="12"/>
      <c r="B86" s="12"/>
      <c r="C86" s="12"/>
      <c r="D86" s="12"/>
      <c r="E86" s="12"/>
      <c r="F86" s="12"/>
      <c r="G86" s="12"/>
    </row>
    <row r="87">
      <c r="A87" s="12"/>
      <c r="B87" s="12"/>
      <c r="C87" s="12"/>
      <c r="D87" s="12"/>
      <c r="E87" s="12"/>
      <c r="F87" s="12"/>
      <c r="G87" s="12"/>
    </row>
    <row r="88">
      <c r="A88" s="12"/>
      <c r="B88" s="12"/>
      <c r="C88" s="12"/>
      <c r="D88" s="12"/>
      <c r="E88" s="12"/>
      <c r="F88" s="12"/>
      <c r="G88" s="12"/>
    </row>
    <row r="89">
      <c r="A89" s="12"/>
      <c r="B89" s="12"/>
      <c r="C89" s="12"/>
      <c r="D89" s="12"/>
      <c r="E89" s="12"/>
      <c r="F89" s="12"/>
      <c r="G89" s="12"/>
    </row>
    <row r="90">
      <c r="A90" s="12"/>
      <c r="B90" s="12"/>
      <c r="C90" s="12"/>
      <c r="D90" s="12"/>
      <c r="E90" s="12"/>
      <c r="F90" s="12"/>
      <c r="G90" s="12"/>
    </row>
    <row r="91">
      <c r="A91" s="12"/>
      <c r="B91" s="12"/>
      <c r="C91" s="12"/>
      <c r="D91" s="12"/>
      <c r="E91" s="12"/>
      <c r="F91" s="12"/>
      <c r="G91" s="12"/>
    </row>
    <row r="92">
      <c r="A92" s="12"/>
      <c r="B92" s="12"/>
      <c r="C92" s="12"/>
      <c r="D92" s="12"/>
      <c r="E92" s="12"/>
      <c r="F92" s="12"/>
      <c r="G92" s="12"/>
    </row>
    <row r="93">
      <c r="A93" s="12"/>
      <c r="B93" s="12"/>
      <c r="C93" s="12"/>
      <c r="D93" s="12"/>
      <c r="E93" s="12"/>
      <c r="F93" s="12"/>
      <c r="G93" s="12"/>
    </row>
    <row r="94">
      <c r="A94" s="12"/>
      <c r="B94" s="12"/>
      <c r="C94" s="12"/>
      <c r="D94" s="12"/>
      <c r="E94" s="12"/>
      <c r="F94" s="12"/>
      <c r="G94" s="12"/>
    </row>
    <row r="95">
      <c r="A95" s="12"/>
      <c r="B95" s="12"/>
      <c r="C95" s="12"/>
      <c r="D95" s="12"/>
      <c r="E95" s="12"/>
      <c r="F95" s="12"/>
      <c r="G95" s="12"/>
    </row>
    <row r="96">
      <c r="A96" s="12"/>
      <c r="B96" s="12"/>
      <c r="C96" s="12"/>
      <c r="D96" s="12"/>
      <c r="E96" s="12"/>
      <c r="F96" s="12"/>
      <c r="G96" s="12"/>
    </row>
    <row r="97">
      <c r="A97" s="12"/>
      <c r="B97" s="12"/>
      <c r="C97" s="12"/>
      <c r="D97" s="12"/>
      <c r="E97" s="12"/>
      <c r="F97" s="12"/>
      <c r="G97" s="12"/>
    </row>
    <row r="98">
      <c r="A98" s="12"/>
      <c r="B98" s="12"/>
      <c r="C98" s="12"/>
      <c r="D98" s="12"/>
      <c r="E98" s="12"/>
      <c r="F98" s="12"/>
      <c r="G98" s="12"/>
    </row>
    <row r="99">
      <c r="A99" s="12"/>
      <c r="B99" s="12"/>
      <c r="C99" s="12"/>
      <c r="D99" s="12"/>
      <c r="E99" s="12"/>
      <c r="F99" s="12"/>
      <c r="G99" s="12"/>
    </row>
    <row r="100">
      <c r="A100" s="12"/>
      <c r="B100" s="12"/>
      <c r="C100" s="12"/>
      <c r="D100" s="12"/>
      <c r="E100" s="12"/>
      <c r="F100" s="12"/>
      <c r="G100" s="12"/>
    </row>
    <row r="101">
      <c r="A101" s="12"/>
      <c r="B101" s="12"/>
      <c r="C101" s="12"/>
      <c r="D101" s="12"/>
      <c r="E101" s="12"/>
      <c r="F101" s="12"/>
      <c r="G101" s="12"/>
    </row>
    <row r="102">
      <c r="A102" s="12"/>
      <c r="B102" s="12"/>
      <c r="C102" s="12"/>
      <c r="D102" s="12"/>
      <c r="E102" s="12"/>
      <c r="F102" s="12"/>
      <c r="G102" s="12"/>
    </row>
    <row r="103">
      <c r="A103" s="12"/>
      <c r="B103" s="12"/>
      <c r="C103" s="12"/>
      <c r="D103" s="12"/>
      <c r="E103" s="12"/>
      <c r="F103" s="12"/>
      <c r="G103" s="12"/>
    </row>
    <row r="104">
      <c r="A104" s="12"/>
      <c r="B104" s="12"/>
      <c r="C104" s="12"/>
      <c r="D104" s="12"/>
      <c r="E104" s="12"/>
      <c r="F104" s="12"/>
      <c r="G104" s="12"/>
    </row>
    <row r="105">
      <c r="A105" s="12"/>
      <c r="B105" s="12"/>
      <c r="C105" s="12"/>
      <c r="D105" s="12"/>
      <c r="E105" s="12"/>
      <c r="F105" s="12"/>
      <c r="G105" s="12"/>
    </row>
    <row r="106">
      <c r="A106" s="12"/>
      <c r="B106" s="12"/>
      <c r="C106" s="12"/>
      <c r="D106" s="12"/>
      <c r="E106" s="12"/>
      <c r="F106" s="12"/>
      <c r="G106" s="12"/>
    </row>
    <row r="107">
      <c r="A107" s="12"/>
      <c r="B107" s="12"/>
      <c r="C107" s="12"/>
      <c r="D107" s="12"/>
      <c r="E107" s="12"/>
      <c r="F107" s="12"/>
      <c r="G107" s="12"/>
    </row>
    <row r="108">
      <c r="A108" s="12"/>
      <c r="B108" s="12"/>
      <c r="C108" s="12"/>
      <c r="D108" s="12"/>
      <c r="E108" s="12"/>
      <c r="F108" s="12"/>
      <c r="G108" s="12"/>
    </row>
    <row r="109">
      <c r="A109" s="12"/>
      <c r="B109" s="12"/>
      <c r="C109" s="12"/>
      <c r="D109" s="12"/>
      <c r="E109" s="12"/>
      <c r="F109" s="12"/>
      <c r="G109" s="12"/>
    </row>
    <row r="110">
      <c r="A110" s="12"/>
      <c r="B110" s="12"/>
      <c r="C110" s="12"/>
      <c r="D110" s="12"/>
      <c r="E110" s="12"/>
      <c r="F110" s="12"/>
      <c r="G110" s="12"/>
    </row>
    <row r="111">
      <c r="A111" s="12"/>
      <c r="B111" s="12"/>
      <c r="C111" s="12"/>
      <c r="D111" s="12"/>
      <c r="E111" s="12"/>
      <c r="F111" s="12"/>
      <c r="G111" s="12"/>
    </row>
    <row r="112">
      <c r="A112" s="12"/>
      <c r="B112" s="12"/>
      <c r="C112" s="12"/>
      <c r="D112" s="12"/>
      <c r="E112" s="12"/>
      <c r="F112" s="12"/>
      <c r="G112" s="12"/>
    </row>
    <row r="113">
      <c r="A113" s="12"/>
      <c r="B113" s="12"/>
      <c r="C113" s="12"/>
      <c r="D113" s="12"/>
      <c r="E113" s="12"/>
      <c r="F113" s="12"/>
      <c r="G113" s="12"/>
    </row>
    <row r="114">
      <c r="A114" s="12"/>
      <c r="B114" s="12"/>
      <c r="C114" s="12"/>
      <c r="D114" s="12"/>
      <c r="E114" s="12"/>
      <c r="F114" s="12"/>
      <c r="G114" s="12"/>
    </row>
    <row r="115">
      <c r="A115" s="12"/>
      <c r="B115" s="12"/>
      <c r="C115" s="12"/>
      <c r="D115" s="12"/>
      <c r="E115" s="12"/>
      <c r="F115" s="12"/>
      <c r="G115" s="12"/>
    </row>
    <row r="116">
      <c r="A116" s="12"/>
      <c r="B116" s="12"/>
      <c r="C116" s="12"/>
      <c r="D116" s="12"/>
      <c r="E116" s="12"/>
      <c r="F116" s="12"/>
      <c r="G116" s="12"/>
    </row>
    <row r="117">
      <c r="A117" s="12"/>
      <c r="B117" s="12"/>
      <c r="C117" s="12"/>
      <c r="D117" s="12"/>
      <c r="E117" s="12"/>
      <c r="F117" s="12"/>
      <c r="G117" s="12"/>
    </row>
    <row r="118">
      <c r="A118" s="12"/>
      <c r="B118" s="12"/>
      <c r="C118" s="12"/>
      <c r="D118" s="12"/>
      <c r="E118" s="12"/>
      <c r="F118" s="12"/>
      <c r="G118" s="12"/>
    </row>
    <row r="119">
      <c r="A119" s="12"/>
      <c r="B119" s="12"/>
      <c r="C119" s="12"/>
      <c r="D119" s="12"/>
      <c r="E119" s="12"/>
      <c r="F119" s="12"/>
      <c r="G119" s="12"/>
    </row>
    <row r="120">
      <c r="A120" s="12"/>
      <c r="B120" s="12"/>
      <c r="C120" s="12"/>
      <c r="D120" s="12"/>
      <c r="E120" s="12"/>
      <c r="F120" s="12"/>
      <c r="G120" s="12"/>
    </row>
    <row r="121">
      <c r="A121" s="12"/>
      <c r="B121" s="12"/>
      <c r="C121" s="12"/>
      <c r="D121" s="12"/>
      <c r="E121" s="12"/>
      <c r="F121" s="12"/>
      <c r="G121" s="12"/>
    </row>
    <row r="122">
      <c r="A122" s="12"/>
      <c r="B122" s="12"/>
      <c r="C122" s="12"/>
      <c r="D122" s="12"/>
      <c r="E122" s="12"/>
      <c r="F122" s="12"/>
      <c r="G122" s="12"/>
    </row>
    <row r="123">
      <c r="A123" s="12"/>
      <c r="B123" s="12"/>
      <c r="C123" s="12"/>
      <c r="D123" s="12"/>
      <c r="E123" s="12"/>
      <c r="F123" s="12"/>
      <c r="G123" s="12"/>
    </row>
    <row r="124">
      <c r="A124" s="12"/>
      <c r="B124" s="12"/>
      <c r="C124" s="12"/>
      <c r="D124" s="12"/>
      <c r="E124" s="12"/>
      <c r="F124" s="12"/>
      <c r="G124" s="12"/>
    </row>
    <row r="125">
      <c r="A125" s="12"/>
      <c r="B125" s="12"/>
      <c r="C125" s="12"/>
      <c r="D125" s="12"/>
      <c r="E125" s="12"/>
      <c r="F125" s="12"/>
      <c r="G125" s="12"/>
    </row>
    <row r="126">
      <c r="A126" s="12"/>
      <c r="B126" s="12"/>
      <c r="C126" s="12"/>
      <c r="D126" s="12"/>
      <c r="E126" s="12"/>
      <c r="F126" s="12"/>
      <c r="G126" s="12"/>
    </row>
    <row r="127">
      <c r="A127" s="12"/>
      <c r="B127" s="12"/>
      <c r="C127" s="12"/>
      <c r="D127" s="12"/>
      <c r="E127" s="12"/>
      <c r="F127" s="12"/>
      <c r="G127" s="12"/>
    </row>
    <row r="128">
      <c r="A128" s="12"/>
      <c r="B128" s="12"/>
      <c r="C128" s="12"/>
      <c r="D128" s="12"/>
      <c r="E128" s="12"/>
      <c r="F128" s="12"/>
      <c r="G128" s="12"/>
    </row>
    <row r="129">
      <c r="A129" s="12"/>
      <c r="B129" s="12"/>
      <c r="C129" s="12"/>
      <c r="D129" s="12"/>
      <c r="E129" s="12"/>
      <c r="F129" s="12"/>
      <c r="G129" s="12"/>
    </row>
    <row r="130">
      <c r="A130" s="12"/>
      <c r="B130" s="12"/>
      <c r="C130" s="12"/>
      <c r="D130" s="12"/>
      <c r="E130" s="12"/>
      <c r="F130" s="12"/>
      <c r="G130" s="12"/>
    </row>
    <row r="131">
      <c r="A131" s="12"/>
      <c r="B131" s="12"/>
      <c r="C131" s="12"/>
      <c r="D131" s="12"/>
      <c r="E131" s="12"/>
      <c r="F131" s="12"/>
      <c r="G131" s="12"/>
    </row>
    <row r="132">
      <c r="A132" s="12"/>
      <c r="B132" s="12"/>
      <c r="C132" s="12"/>
      <c r="D132" s="12"/>
      <c r="E132" s="12"/>
      <c r="F132" s="12"/>
      <c r="G132" s="12"/>
    </row>
    <row r="133">
      <c r="A133" s="12"/>
      <c r="B133" s="12"/>
      <c r="C133" s="12"/>
      <c r="D133" s="12"/>
      <c r="E133" s="12"/>
      <c r="F133" s="12"/>
      <c r="G133" s="12"/>
    </row>
    <row r="134">
      <c r="A134" s="12"/>
      <c r="B134" s="12"/>
      <c r="C134" s="12"/>
      <c r="D134" s="12"/>
      <c r="E134" s="12"/>
      <c r="F134" s="12"/>
      <c r="G134" s="12"/>
    </row>
    <row r="135">
      <c r="A135" s="12"/>
      <c r="B135" s="12"/>
      <c r="C135" s="12"/>
      <c r="D135" s="12"/>
      <c r="E135" s="12"/>
      <c r="F135" s="12"/>
      <c r="G135" s="12"/>
    </row>
    <row r="136">
      <c r="A136" s="12"/>
      <c r="B136" s="12"/>
      <c r="C136" s="12"/>
      <c r="D136" s="12"/>
      <c r="E136" s="12"/>
      <c r="F136" s="12"/>
      <c r="G136" s="12"/>
    </row>
    <row r="137">
      <c r="A137" s="12"/>
      <c r="B137" s="12"/>
      <c r="C137" s="12"/>
      <c r="D137" s="12"/>
      <c r="E137" s="12"/>
      <c r="F137" s="12"/>
      <c r="G137" s="12"/>
    </row>
    <row r="138">
      <c r="A138" s="12"/>
      <c r="B138" s="12"/>
      <c r="C138" s="12"/>
      <c r="D138" s="12"/>
      <c r="E138" s="12"/>
      <c r="F138" s="12"/>
      <c r="G138" s="12"/>
    </row>
    <row r="139">
      <c r="A139" s="12"/>
      <c r="B139" s="12"/>
      <c r="C139" s="12"/>
      <c r="D139" s="12"/>
      <c r="E139" s="12"/>
      <c r="F139" s="12"/>
      <c r="G139" s="12"/>
    </row>
    <row r="140">
      <c r="A140" s="12"/>
      <c r="B140" s="12"/>
      <c r="C140" s="12"/>
      <c r="D140" s="12"/>
      <c r="E140" s="12"/>
      <c r="F140" s="12"/>
      <c r="G140" s="12"/>
    </row>
    <row r="141">
      <c r="A141" s="12"/>
      <c r="B141" s="12"/>
      <c r="C141" s="12"/>
      <c r="D141" s="12"/>
      <c r="E141" s="12"/>
      <c r="F141" s="12"/>
      <c r="G141" s="12"/>
    </row>
    <row r="142">
      <c r="A142" s="12"/>
      <c r="B142" s="12"/>
      <c r="C142" s="12"/>
      <c r="D142" s="12"/>
      <c r="E142" s="12"/>
      <c r="F142" s="12"/>
      <c r="G142" s="12"/>
    </row>
    <row r="143">
      <c r="A143" s="12"/>
      <c r="B143" s="12"/>
      <c r="C143" s="12"/>
      <c r="D143" s="12"/>
      <c r="E143" s="12"/>
      <c r="F143" s="12"/>
      <c r="G143" s="12"/>
    </row>
    <row r="144">
      <c r="A144" s="12"/>
      <c r="B144" s="12"/>
      <c r="C144" s="12"/>
      <c r="D144" s="12"/>
      <c r="E144" s="12"/>
      <c r="F144" s="12"/>
      <c r="G144" s="12"/>
    </row>
    <row r="145">
      <c r="A145" s="12"/>
      <c r="B145" s="12"/>
      <c r="C145" s="12"/>
      <c r="D145" s="12"/>
      <c r="E145" s="12"/>
      <c r="F145" s="12"/>
      <c r="G145" s="12"/>
    </row>
    <row r="146">
      <c r="A146" s="12"/>
      <c r="B146" s="12"/>
      <c r="C146" s="12"/>
      <c r="D146" s="12"/>
      <c r="E146" s="12"/>
      <c r="F146" s="12"/>
      <c r="G146" s="12"/>
    </row>
    <row r="147">
      <c r="A147" s="12"/>
      <c r="B147" s="12"/>
      <c r="C147" s="12"/>
      <c r="D147" s="12"/>
      <c r="E147" s="12"/>
      <c r="F147" s="12"/>
      <c r="G147" s="12"/>
    </row>
    <row r="148">
      <c r="A148" s="12"/>
      <c r="B148" s="12"/>
      <c r="C148" s="12"/>
      <c r="D148" s="12"/>
      <c r="E148" s="12"/>
      <c r="F148" s="12"/>
      <c r="G148" s="12"/>
    </row>
    <row r="149">
      <c r="A149" s="12"/>
      <c r="B149" s="12"/>
      <c r="C149" s="12"/>
      <c r="D149" s="12"/>
      <c r="E149" s="12"/>
      <c r="F149" s="12"/>
      <c r="G149" s="12"/>
    </row>
    <row r="150">
      <c r="A150" s="12"/>
      <c r="B150" s="12"/>
      <c r="C150" s="12"/>
      <c r="D150" s="12"/>
      <c r="E150" s="12"/>
      <c r="F150" s="12"/>
      <c r="G150" s="12"/>
    </row>
    <row r="151">
      <c r="A151" s="12"/>
      <c r="B151" s="12"/>
      <c r="C151" s="12"/>
      <c r="D151" s="12"/>
      <c r="E151" s="12"/>
      <c r="F151" s="12"/>
      <c r="G151" s="12"/>
    </row>
    <row r="152">
      <c r="A152" s="12"/>
      <c r="B152" s="12"/>
      <c r="C152" s="12"/>
      <c r="D152" s="12"/>
      <c r="E152" s="12"/>
      <c r="F152" s="12"/>
      <c r="G152" s="12"/>
    </row>
    <row r="153">
      <c r="A153" s="12"/>
      <c r="B153" s="12"/>
      <c r="C153" s="12"/>
      <c r="D153" s="12"/>
      <c r="E153" s="12"/>
      <c r="F153" s="12"/>
      <c r="G153" s="12"/>
    </row>
    <row r="154">
      <c r="A154" s="12"/>
      <c r="B154" s="12"/>
      <c r="C154" s="12"/>
      <c r="D154" s="12"/>
      <c r="E154" s="12"/>
      <c r="F154" s="12"/>
      <c r="G154" s="12"/>
    </row>
    <row r="155">
      <c r="A155" s="12"/>
      <c r="B155" s="12"/>
      <c r="C155" s="12"/>
      <c r="D155" s="12"/>
      <c r="E155" s="12"/>
      <c r="F155" s="12"/>
      <c r="G155" s="12"/>
    </row>
    <row r="156">
      <c r="A156" s="12"/>
      <c r="B156" s="12"/>
      <c r="C156" s="12"/>
      <c r="D156" s="12"/>
      <c r="E156" s="12"/>
      <c r="F156" s="12"/>
      <c r="G156" s="12"/>
    </row>
    <row r="157">
      <c r="A157" s="12"/>
      <c r="B157" s="12"/>
      <c r="C157" s="12"/>
      <c r="D157" s="12"/>
      <c r="E157" s="12"/>
      <c r="F157" s="12"/>
      <c r="G157" s="12"/>
    </row>
    <row r="158">
      <c r="A158" s="12"/>
      <c r="B158" s="12"/>
      <c r="C158" s="12"/>
      <c r="D158" s="12"/>
      <c r="E158" s="12"/>
      <c r="F158" s="12"/>
      <c r="G158" s="12"/>
    </row>
    <row r="159">
      <c r="A159" s="12"/>
      <c r="B159" s="12"/>
      <c r="C159" s="12"/>
      <c r="D159" s="12"/>
      <c r="E159" s="12"/>
      <c r="F159" s="12"/>
      <c r="G159" s="12"/>
    </row>
    <row r="160">
      <c r="A160" s="12"/>
      <c r="B160" s="12"/>
      <c r="C160" s="12"/>
      <c r="D160" s="12"/>
      <c r="E160" s="12"/>
      <c r="F160" s="12"/>
      <c r="G160" s="12"/>
    </row>
    <row r="161">
      <c r="A161" s="12"/>
      <c r="B161" s="12"/>
      <c r="C161" s="12"/>
      <c r="D161" s="12"/>
      <c r="E161" s="12"/>
      <c r="F161" s="12"/>
      <c r="G161" s="12"/>
    </row>
    <row r="162">
      <c r="A162" s="12"/>
      <c r="B162" s="12"/>
      <c r="C162" s="12"/>
      <c r="D162" s="12"/>
      <c r="E162" s="12"/>
      <c r="F162" s="12"/>
      <c r="G162" s="12"/>
    </row>
    <row r="163">
      <c r="A163" s="12"/>
      <c r="B163" s="12"/>
      <c r="C163" s="12"/>
      <c r="D163" s="12"/>
      <c r="E163" s="12"/>
      <c r="F163" s="12"/>
      <c r="G163" s="12"/>
    </row>
    <row r="164">
      <c r="A164" s="12"/>
      <c r="B164" s="12"/>
      <c r="C164" s="12"/>
      <c r="D164" s="12"/>
      <c r="E164" s="12"/>
      <c r="F164" s="12"/>
      <c r="G164" s="12"/>
    </row>
    <row r="165">
      <c r="A165" s="12"/>
      <c r="B165" s="12"/>
      <c r="C165" s="12"/>
      <c r="D165" s="12"/>
      <c r="E165" s="12"/>
      <c r="F165" s="12"/>
      <c r="G165" s="12"/>
    </row>
    <row r="166">
      <c r="A166" s="12"/>
      <c r="B166" s="12"/>
      <c r="C166" s="12"/>
      <c r="D166" s="12"/>
      <c r="E166" s="12"/>
      <c r="F166" s="12"/>
      <c r="G166" s="12"/>
    </row>
    <row r="167">
      <c r="A167" s="12"/>
      <c r="B167" s="12"/>
      <c r="C167" s="12"/>
      <c r="D167" s="12"/>
      <c r="E167" s="12"/>
      <c r="F167" s="12"/>
      <c r="G167" s="12"/>
    </row>
    <row r="168">
      <c r="A168" s="12"/>
      <c r="B168" s="12"/>
      <c r="C168" s="12"/>
      <c r="D168" s="12"/>
      <c r="E168" s="12"/>
      <c r="F168" s="12"/>
      <c r="G168" s="12"/>
    </row>
    <row r="169">
      <c r="A169" s="12"/>
      <c r="B169" s="12"/>
      <c r="C169" s="12"/>
      <c r="D169" s="12"/>
      <c r="E169" s="12"/>
      <c r="F169" s="12"/>
      <c r="G169" s="12"/>
    </row>
    <row r="170">
      <c r="A170" s="12"/>
      <c r="B170" s="12"/>
      <c r="C170" s="12"/>
      <c r="D170" s="12"/>
      <c r="E170" s="12"/>
      <c r="F170" s="12"/>
      <c r="G170" s="12"/>
    </row>
    <row r="171">
      <c r="A171" s="12"/>
      <c r="B171" s="12"/>
      <c r="C171" s="12"/>
      <c r="D171" s="12"/>
      <c r="E171" s="12"/>
      <c r="F171" s="12"/>
      <c r="G171" s="12"/>
    </row>
    <row r="172">
      <c r="A172" s="12"/>
      <c r="B172" s="12"/>
      <c r="C172" s="12"/>
      <c r="D172" s="12"/>
      <c r="E172" s="12"/>
      <c r="F172" s="12"/>
      <c r="G172" s="12"/>
    </row>
    <row r="173">
      <c r="A173" s="12"/>
      <c r="B173" s="12"/>
      <c r="C173" s="12"/>
      <c r="D173" s="12"/>
      <c r="E173" s="12"/>
      <c r="F173" s="12"/>
      <c r="G173" s="12"/>
    </row>
    <row r="174">
      <c r="A174" s="12"/>
      <c r="B174" s="12"/>
      <c r="C174" s="12"/>
      <c r="D174" s="12"/>
      <c r="E174" s="12"/>
      <c r="F174" s="12"/>
      <c r="G174" s="12"/>
    </row>
    <row r="175">
      <c r="A175" s="12"/>
      <c r="B175" s="12"/>
      <c r="C175" s="12"/>
      <c r="D175" s="12"/>
      <c r="E175" s="12"/>
      <c r="F175" s="12"/>
      <c r="G175" s="12"/>
    </row>
    <row r="176">
      <c r="A176" s="12"/>
      <c r="B176" s="12"/>
      <c r="C176" s="12"/>
      <c r="D176" s="12"/>
      <c r="E176" s="12"/>
      <c r="F176" s="12"/>
      <c r="G176" s="12"/>
    </row>
    <row r="177">
      <c r="A177" s="12"/>
      <c r="B177" s="12"/>
      <c r="C177" s="12"/>
      <c r="D177" s="12"/>
      <c r="E177" s="12"/>
      <c r="F177" s="12"/>
      <c r="G177" s="12"/>
    </row>
    <row r="178">
      <c r="A178" s="12"/>
      <c r="B178" s="12"/>
      <c r="C178" s="12"/>
      <c r="D178" s="12"/>
      <c r="E178" s="12"/>
      <c r="F178" s="12"/>
      <c r="G178" s="12"/>
    </row>
    <row r="179">
      <c r="A179" s="12"/>
      <c r="B179" s="12"/>
      <c r="C179" s="12"/>
      <c r="D179" s="12"/>
      <c r="E179" s="12"/>
      <c r="F179" s="12"/>
      <c r="G179" s="12"/>
    </row>
    <row r="180">
      <c r="A180" s="12"/>
      <c r="B180" s="12"/>
      <c r="C180" s="12"/>
      <c r="D180" s="12"/>
      <c r="E180" s="12"/>
      <c r="F180" s="12"/>
      <c r="G180" s="12"/>
    </row>
    <row r="181">
      <c r="A181" s="12"/>
      <c r="B181" s="12"/>
      <c r="C181" s="12"/>
      <c r="D181" s="12"/>
      <c r="E181" s="12"/>
      <c r="F181" s="12"/>
      <c r="G181" s="12"/>
    </row>
    <row r="182">
      <c r="A182" s="12"/>
      <c r="B182" s="12"/>
      <c r="C182" s="12"/>
      <c r="D182" s="12"/>
      <c r="E182" s="12"/>
      <c r="F182" s="12"/>
      <c r="G182" s="12"/>
    </row>
    <row r="183">
      <c r="A183" s="12"/>
      <c r="B183" s="12"/>
      <c r="C183" s="12"/>
      <c r="D183" s="12"/>
      <c r="E183" s="12"/>
      <c r="F183" s="12"/>
      <c r="G183" s="12"/>
    </row>
    <row r="184">
      <c r="A184" s="12"/>
      <c r="B184" s="12"/>
      <c r="C184" s="12"/>
      <c r="D184" s="12"/>
      <c r="E184" s="12"/>
      <c r="F184" s="12"/>
      <c r="G184" s="12"/>
    </row>
    <row r="185">
      <c r="A185" s="12"/>
      <c r="B185" s="12"/>
      <c r="C185" s="12"/>
      <c r="D185" s="12"/>
      <c r="E185" s="12"/>
      <c r="F185" s="12"/>
      <c r="G185" s="12"/>
    </row>
    <row r="186">
      <c r="A186" s="12"/>
      <c r="B186" s="12"/>
      <c r="C186" s="12"/>
      <c r="D186" s="12"/>
      <c r="E186" s="12"/>
      <c r="F186" s="12"/>
      <c r="G186" s="12"/>
    </row>
    <row r="187">
      <c r="A187" s="12"/>
      <c r="B187" s="12"/>
      <c r="C187" s="12"/>
      <c r="D187" s="12"/>
      <c r="E187" s="12"/>
      <c r="F187" s="12"/>
      <c r="G187" s="12"/>
    </row>
    <row r="188">
      <c r="A188" s="12"/>
      <c r="B188" s="12"/>
      <c r="C188" s="12"/>
      <c r="D188" s="12"/>
      <c r="E188" s="12"/>
      <c r="F188" s="12"/>
      <c r="G188" s="12"/>
    </row>
    <row r="189">
      <c r="A189" s="12"/>
      <c r="B189" s="12"/>
      <c r="C189" s="12"/>
      <c r="D189" s="12"/>
      <c r="E189" s="12"/>
      <c r="F189" s="12"/>
      <c r="G189" s="12"/>
    </row>
    <row r="190">
      <c r="A190" s="12"/>
      <c r="B190" s="12"/>
      <c r="C190" s="12"/>
      <c r="D190" s="12"/>
      <c r="E190" s="12"/>
      <c r="F190" s="12"/>
      <c r="G190" s="12"/>
    </row>
    <row r="191">
      <c r="A191" s="12"/>
      <c r="B191" s="12"/>
      <c r="C191" s="12"/>
      <c r="D191" s="12"/>
      <c r="E191" s="12"/>
      <c r="F191" s="12"/>
      <c r="G191" s="12"/>
    </row>
    <row r="192">
      <c r="A192" s="12"/>
      <c r="B192" s="12"/>
      <c r="C192" s="12"/>
      <c r="D192" s="12"/>
      <c r="E192" s="12"/>
      <c r="F192" s="12"/>
      <c r="G192" s="12"/>
    </row>
    <row r="193">
      <c r="A193" s="12"/>
      <c r="B193" s="12"/>
      <c r="C193" s="12"/>
      <c r="D193" s="12"/>
      <c r="E193" s="12"/>
      <c r="F193" s="12"/>
      <c r="G193" s="12"/>
    </row>
    <row r="194">
      <c r="A194" s="12"/>
      <c r="B194" s="12"/>
      <c r="C194" s="12"/>
      <c r="D194" s="12"/>
      <c r="E194" s="12"/>
      <c r="F194" s="12"/>
      <c r="G194" s="12"/>
    </row>
    <row r="195">
      <c r="A195" s="12"/>
      <c r="B195" s="12"/>
      <c r="C195" s="12"/>
      <c r="D195" s="12"/>
      <c r="E195" s="12"/>
      <c r="F195" s="12"/>
      <c r="G195" s="12"/>
    </row>
    <row r="196">
      <c r="A196" s="12"/>
      <c r="B196" s="12"/>
      <c r="C196" s="12"/>
      <c r="D196" s="12"/>
      <c r="E196" s="12"/>
      <c r="F196" s="12"/>
      <c r="G196" s="12"/>
    </row>
    <row r="197">
      <c r="A197" s="12"/>
      <c r="B197" s="12"/>
      <c r="C197" s="12"/>
      <c r="D197" s="12"/>
      <c r="E197" s="12"/>
      <c r="F197" s="12"/>
      <c r="G197" s="12"/>
    </row>
    <row r="198">
      <c r="A198" s="12"/>
      <c r="B198" s="12"/>
      <c r="C198" s="12"/>
      <c r="D198" s="12"/>
      <c r="E198" s="12"/>
      <c r="F198" s="12"/>
      <c r="G198" s="12"/>
    </row>
    <row r="199">
      <c r="A199" s="12"/>
      <c r="B199" s="12"/>
      <c r="C199" s="12"/>
      <c r="D199" s="12"/>
      <c r="E199" s="12"/>
      <c r="F199" s="12"/>
      <c r="G199" s="12"/>
    </row>
    <row r="200">
      <c r="A200" s="12"/>
      <c r="B200" s="12"/>
      <c r="C200" s="12"/>
      <c r="D200" s="12"/>
      <c r="E200" s="12"/>
      <c r="F200" s="12"/>
      <c r="G200" s="12"/>
    </row>
    <row r="201">
      <c r="A201" s="12"/>
      <c r="B201" s="12"/>
      <c r="C201" s="12"/>
      <c r="D201" s="12"/>
      <c r="E201" s="12"/>
      <c r="F201" s="12"/>
      <c r="G201" s="12"/>
    </row>
    <row r="202">
      <c r="A202" s="12"/>
      <c r="B202" s="12"/>
      <c r="C202" s="12"/>
      <c r="D202" s="12"/>
      <c r="E202" s="12"/>
      <c r="F202" s="12"/>
      <c r="G202" s="12"/>
    </row>
    <row r="203">
      <c r="A203" s="12"/>
      <c r="B203" s="12"/>
      <c r="C203" s="12"/>
      <c r="D203" s="12"/>
      <c r="E203" s="12"/>
      <c r="F203" s="12"/>
      <c r="G203" s="12"/>
    </row>
    <row r="204">
      <c r="A204" s="12"/>
      <c r="B204" s="12"/>
      <c r="C204" s="12"/>
      <c r="D204" s="12"/>
      <c r="E204" s="12"/>
      <c r="F204" s="12"/>
      <c r="G204" s="12"/>
    </row>
    <row r="205">
      <c r="A205" s="12"/>
      <c r="B205" s="12"/>
      <c r="C205" s="12"/>
      <c r="D205" s="12"/>
      <c r="E205" s="12"/>
      <c r="F205" s="12"/>
      <c r="G205" s="12"/>
    </row>
    <row r="206">
      <c r="A206" s="12"/>
      <c r="B206" s="12"/>
      <c r="C206" s="12"/>
      <c r="D206" s="12"/>
      <c r="E206" s="12"/>
      <c r="F206" s="12"/>
      <c r="G206" s="12"/>
    </row>
    <row r="207">
      <c r="A207" s="12"/>
      <c r="B207" s="12"/>
      <c r="C207" s="12"/>
      <c r="D207" s="12"/>
      <c r="E207" s="12"/>
      <c r="F207" s="12"/>
      <c r="G207" s="12"/>
    </row>
    <row r="208">
      <c r="A208" s="12"/>
      <c r="B208" s="12"/>
      <c r="C208" s="12"/>
      <c r="D208" s="12"/>
      <c r="E208" s="12"/>
      <c r="F208" s="12"/>
      <c r="G208" s="12"/>
    </row>
    <row r="209">
      <c r="A209" s="12"/>
      <c r="B209" s="12"/>
      <c r="C209" s="12"/>
      <c r="D209" s="12"/>
      <c r="E209" s="12"/>
      <c r="F209" s="12"/>
      <c r="G209" s="12"/>
    </row>
    <row r="210">
      <c r="A210" s="12"/>
      <c r="B210" s="12"/>
      <c r="C210" s="12"/>
      <c r="D210" s="12"/>
      <c r="E210" s="12"/>
      <c r="F210" s="12"/>
      <c r="G210" s="12"/>
    </row>
    <row r="211">
      <c r="A211" s="12"/>
      <c r="B211" s="12"/>
      <c r="C211" s="12"/>
      <c r="D211" s="12"/>
      <c r="E211" s="12"/>
      <c r="F211" s="12"/>
      <c r="G211" s="12"/>
    </row>
    <row r="212">
      <c r="A212" s="12"/>
      <c r="B212" s="12"/>
      <c r="C212" s="12"/>
      <c r="D212" s="12"/>
      <c r="E212" s="12"/>
      <c r="F212" s="12"/>
      <c r="G212" s="12"/>
    </row>
    <row r="213">
      <c r="A213" s="12"/>
      <c r="B213" s="12"/>
      <c r="C213" s="12"/>
      <c r="D213" s="12"/>
      <c r="E213" s="12"/>
      <c r="F213" s="12"/>
      <c r="G213" s="12"/>
    </row>
    <row r="214">
      <c r="A214" s="12"/>
      <c r="B214" s="12"/>
      <c r="C214" s="12"/>
      <c r="D214" s="12"/>
      <c r="E214" s="12"/>
      <c r="F214" s="12"/>
      <c r="G214" s="12"/>
    </row>
    <row r="215">
      <c r="A215" s="12"/>
      <c r="B215" s="12"/>
      <c r="C215" s="12"/>
      <c r="D215" s="12"/>
      <c r="E215" s="12"/>
      <c r="F215" s="12"/>
      <c r="G215" s="12"/>
    </row>
    <row r="216">
      <c r="A216" s="12"/>
      <c r="B216" s="12"/>
      <c r="C216" s="12"/>
      <c r="D216" s="12"/>
      <c r="E216" s="12"/>
      <c r="F216" s="12"/>
      <c r="G216" s="12"/>
    </row>
    <row r="217">
      <c r="A217" s="12"/>
      <c r="B217" s="12"/>
      <c r="C217" s="12"/>
      <c r="D217" s="12"/>
      <c r="E217" s="12"/>
      <c r="F217" s="12"/>
      <c r="G217" s="12"/>
    </row>
    <row r="218">
      <c r="A218" s="12"/>
      <c r="B218" s="12"/>
      <c r="C218" s="12"/>
      <c r="D218" s="12"/>
      <c r="E218" s="12"/>
      <c r="F218" s="12"/>
      <c r="G218" s="12"/>
    </row>
    <row r="219">
      <c r="A219" s="12"/>
      <c r="B219" s="12"/>
      <c r="C219" s="12"/>
      <c r="D219" s="12"/>
      <c r="E219" s="12"/>
      <c r="F219" s="12"/>
      <c r="G219" s="12"/>
    </row>
    <row r="220">
      <c r="A220" s="12"/>
      <c r="B220" s="12"/>
      <c r="C220" s="12"/>
      <c r="D220" s="12"/>
      <c r="E220" s="12"/>
      <c r="F220" s="12"/>
      <c r="G220" s="12"/>
    </row>
    <row r="221">
      <c r="A221" s="12"/>
      <c r="B221" s="12"/>
      <c r="C221" s="12"/>
      <c r="D221" s="12"/>
      <c r="E221" s="12"/>
      <c r="F221" s="12"/>
      <c r="G221" s="12"/>
    </row>
    <row r="222">
      <c r="A222" s="12"/>
      <c r="B222" s="12"/>
      <c r="C222" s="12"/>
      <c r="D222" s="12"/>
      <c r="E222" s="12"/>
      <c r="F222" s="12"/>
      <c r="G222" s="12"/>
    </row>
    <row r="223">
      <c r="A223" s="12"/>
      <c r="B223" s="12"/>
      <c r="C223" s="12"/>
      <c r="D223" s="12"/>
      <c r="E223" s="12"/>
      <c r="F223" s="12"/>
      <c r="G223" s="12"/>
    </row>
    <row r="224">
      <c r="A224" s="12"/>
      <c r="B224" s="12"/>
      <c r="C224" s="12"/>
      <c r="D224" s="12"/>
      <c r="E224" s="12"/>
      <c r="F224" s="12"/>
      <c r="G224" s="12"/>
    </row>
    <row r="225">
      <c r="A225" s="12"/>
      <c r="B225" s="12"/>
      <c r="C225" s="12"/>
      <c r="D225" s="12"/>
      <c r="E225" s="12"/>
      <c r="F225" s="12"/>
      <c r="G225" s="12"/>
    </row>
    <row r="226">
      <c r="A226" s="12"/>
      <c r="B226" s="12"/>
      <c r="C226" s="12"/>
      <c r="D226" s="12"/>
      <c r="E226" s="12"/>
      <c r="F226" s="12"/>
      <c r="G226" s="12"/>
    </row>
    <row r="227">
      <c r="A227" s="12"/>
      <c r="B227" s="12"/>
      <c r="C227" s="12"/>
      <c r="D227" s="12"/>
      <c r="E227" s="12"/>
      <c r="F227" s="12"/>
      <c r="G227" s="12"/>
    </row>
    <row r="228">
      <c r="A228" s="12"/>
      <c r="B228" s="12"/>
      <c r="C228" s="12"/>
      <c r="D228" s="12"/>
      <c r="E228" s="12"/>
      <c r="F228" s="12"/>
      <c r="G228" s="12"/>
    </row>
    <row r="229">
      <c r="A229" s="12"/>
      <c r="B229" s="12"/>
      <c r="C229" s="12"/>
      <c r="D229" s="12"/>
      <c r="E229" s="12"/>
      <c r="F229" s="12"/>
      <c r="G229" s="12"/>
    </row>
    <row r="230">
      <c r="A230" s="12"/>
      <c r="B230" s="12"/>
      <c r="C230" s="12"/>
      <c r="D230" s="12"/>
      <c r="E230" s="12"/>
      <c r="F230" s="12"/>
      <c r="G230" s="12"/>
    </row>
    <row r="231">
      <c r="A231" s="12"/>
      <c r="B231" s="12"/>
      <c r="C231" s="12"/>
      <c r="D231" s="12"/>
      <c r="E231" s="12"/>
      <c r="F231" s="12"/>
      <c r="G231" s="12"/>
    </row>
    <row r="232">
      <c r="A232" s="12"/>
      <c r="B232" s="12"/>
      <c r="C232" s="12"/>
      <c r="D232" s="12"/>
      <c r="E232" s="12"/>
      <c r="F232" s="12"/>
      <c r="G232" s="12"/>
    </row>
    <row r="233">
      <c r="A233" s="12"/>
      <c r="B233" s="12"/>
      <c r="C233" s="12"/>
      <c r="D233" s="12"/>
      <c r="E233" s="12"/>
      <c r="F233" s="12"/>
      <c r="G233" s="12"/>
    </row>
    <row r="234">
      <c r="A234" s="12"/>
      <c r="B234" s="12"/>
      <c r="C234" s="12"/>
      <c r="D234" s="12"/>
      <c r="E234" s="12"/>
      <c r="F234" s="12"/>
      <c r="G234" s="12"/>
    </row>
    <row r="235">
      <c r="A235" s="12"/>
      <c r="B235" s="12"/>
      <c r="C235" s="12"/>
      <c r="D235" s="12"/>
      <c r="E235" s="12"/>
      <c r="F235" s="12"/>
      <c r="G235" s="12"/>
    </row>
    <row r="236">
      <c r="A236" s="12"/>
      <c r="B236" s="12"/>
      <c r="C236" s="12"/>
      <c r="D236" s="12"/>
      <c r="E236" s="12"/>
      <c r="F236" s="12"/>
      <c r="G236" s="12"/>
    </row>
    <row r="237">
      <c r="A237" s="12"/>
      <c r="B237" s="12"/>
      <c r="C237" s="12"/>
      <c r="D237" s="12"/>
      <c r="E237" s="12"/>
      <c r="F237" s="12"/>
      <c r="G237" s="12"/>
    </row>
    <row r="238">
      <c r="A238" s="12"/>
      <c r="B238" s="12"/>
      <c r="C238" s="12"/>
      <c r="D238" s="12"/>
      <c r="E238" s="12"/>
      <c r="F238" s="12"/>
      <c r="G238" s="12"/>
    </row>
    <row r="239">
      <c r="A239" s="12"/>
      <c r="B239" s="12"/>
      <c r="C239" s="12"/>
      <c r="D239" s="12"/>
      <c r="E239" s="12"/>
      <c r="F239" s="12"/>
      <c r="G239" s="12"/>
    </row>
    <row r="240">
      <c r="A240" s="12"/>
      <c r="B240" s="12"/>
      <c r="C240" s="12"/>
      <c r="D240" s="12"/>
      <c r="E240" s="12"/>
      <c r="F240" s="12"/>
      <c r="G240" s="12"/>
    </row>
    <row r="241">
      <c r="A241" s="12"/>
      <c r="B241" s="12"/>
      <c r="C241" s="12"/>
      <c r="D241" s="12"/>
      <c r="E241" s="12"/>
      <c r="F241" s="12"/>
      <c r="G241" s="12"/>
    </row>
    <row r="242">
      <c r="A242" s="12"/>
      <c r="B242" s="12"/>
      <c r="C242" s="12"/>
      <c r="D242" s="12"/>
      <c r="E242" s="12"/>
      <c r="F242" s="12"/>
      <c r="G242" s="12"/>
    </row>
    <row r="243">
      <c r="A243" s="12"/>
      <c r="B243" s="12"/>
      <c r="C243" s="12"/>
      <c r="D243" s="12"/>
      <c r="E243" s="12"/>
      <c r="F243" s="12"/>
      <c r="G243" s="12"/>
    </row>
    <row r="244">
      <c r="A244" s="12"/>
      <c r="B244" s="12"/>
      <c r="C244" s="12"/>
      <c r="D244" s="12"/>
      <c r="E244" s="12"/>
      <c r="F244" s="12"/>
      <c r="G244" s="12"/>
    </row>
    <row r="245">
      <c r="A245" s="12"/>
      <c r="B245" s="12"/>
      <c r="C245" s="12"/>
      <c r="D245" s="12"/>
      <c r="E245" s="12"/>
      <c r="F245" s="12"/>
      <c r="G245" s="12"/>
    </row>
    <row r="246">
      <c r="A246" s="12"/>
      <c r="B246" s="12"/>
      <c r="C246" s="12"/>
      <c r="D246" s="12"/>
      <c r="E246" s="12"/>
      <c r="F246" s="12"/>
      <c r="G246" s="12"/>
    </row>
    <row r="247">
      <c r="A247" s="12"/>
      <c r="B247" s="12"/>
      <c r="C247" s="12"/>
      <c r="D247" s="12"/>
      <c r="E247" s="12"/>
      <c r="F247" s="12"/>
      <c r="G247" s="12"/>
    </row>
    <row r="248">
      <c r="A248" s="12"/>
      <c r="B248" s="12"/>
      <c r="C248" s="12"/>
      <c r="D248" s="12"/>
      <c r="E248" s="12"/>
      <c r="F248" s="12"/>
      <c r="G248" s="12"/>
    </row>
    <row r="249">
      <c r="A249" s="12"/>
      <c r="B249" s="12"/>
      <c r="C249" s="12"/>
      <c r="D249" s="12"/>
      <c r="E249" s="12"/>
      <c r="F249" s="12"/>
      <c r="G249" s="12"/>
    </row>
    <row r="250">
      <c r="A250" s="12"/>
      <c r="B250" s="12"/>
      <c r="C250" s="12"/>
      <c r="D250" s="12"/>
      <c r="E250" s="12"/>
      <c r="F250" s="12"/>
      <c r="G250" s="12"/>
    </row>
    <row r="251">
      <c r="A251" s="12"/>
      <c r="B251" s="12"/>
      <c r="C251" s="12"/>
      <c r="D251" s="12"/>
      <c r="E251" s="12"/>
      <c r="F251" s="12"/>
      <c r="G251" s="12"/>
    </row>
    <row r="252">
      <c r="A252" s="12"/>
      <c r="B252" s="12"/>
      <c r="C252" s="12"/>
      <c r="D252" s="12"/>
      <c r="E252" s="12"/>
      <c r="F252" s="12"/>
      <c r="G252" s="12"/>
    </row>
    <row r="253">
      <c r="A253" s="12"/>
      <c r="B253" s="12"/>
      <c r="C253" s="12"/>
      <c r="D253" s="12"/>
      <c r="E253" s="12"/>
      <c r="F253" s="12"/>
      <c r="G253" s="12"/>
    </row>
    <row r="254">
      <c r="A254" s="12"/>
      <c r="B254" s="12"/>
      <c r="C254" s="12"/>
      <c r="D254" s="12"/>
      <c r="E254" s="12"/>
      <c r="F254" s="12"/>
      <c r="G254" s="12"/>
    </row>
    <row r="255">
      <c r="A255" s="12"/>
      <c r="B255" s="12"/>
      <c r="C255" s="12"/>
      <c r="D255" s="12"/>
      <c r="E255" s="12"/>
      <c r="F255" s="12"/>
      <c r="G255" s="12"/>
    </row>
    <row r="256">
      <c r="A256" s="12"/>
      <c r="B256" s="12"/>
      <c r="C256" s="12"/>
      <c r="D256" s="12"/>
      <c r="E256" s="12"/>
      <c r="F256" s="12"/>
      <c r="G256" s="12"/>
    </row>
    <row r="257">
      <c r="A257" s="12"/>
      <c r="B257" s="12"/>
      <c r="C257" s="12"/>
      <c r="D257" s="12"/>
      <c r="E257" s="12"/>
      <c r="F257" s="12"/>
      <c r="G257" s="12"/>
    </row>
    <row r="258">
      <c r="A258" s="12"/>
      <c r="B258" s="12"/>
      <c r="C258" s="12"/>
      <c r="D258" s="12"/>
      <c r="E258" s="12"/>
      <c r="F258" s="12"/>
      <c r="G258" s="12"/>
    </row>
    <row r="259">
      <c r="A259" s="12"/>
      <c r="B259" s="12"/>
      <c r="C259" s="12"/>
      <c r="D259" s="12"/>
      <c r="E259" s="12"/>
      <c r="F259" s="12"/>
      <c r="G259" s="12"/>
    </row>
    <row r="260">
      <c r="A260" s="12"/>
      <c r="B260" s="12"/>
      <c r="C260" s="12"/>
      <c r="D260" s="12"/>
      <c r="E260" s="12"/>
      <c r="F260" s="12"/>
      <c r="G260" s="12"/>
    </row>
    <row r="261">
      <c r="A261" s="12"/>
      <c r="B261" s="12"/>
      <c r="C261" s="12"/>
      <c r="D261" s="12"/>
      <c r="E261" s="12"/>
      <c r="F261" s="12"/>
      <c r="G261" s="12"/>
    </row>
    <row r="262">
      <c r="A262" s="12"/>
      <c r="B262" s="12"/>
      <c r="C262" s="12"/>
      <c r="D262" s="12"/>
      <c r="E262" s="12"/>
      <c r="F262" s="12"/>
      <c r="G262" s="12"/>
    </row>
    <row r="263">
      <c r="A263" s="12"/>
      <c r="B263" s="12"/>
      <c r="C263" s="12"/>
      <c r="D263" s="12"/>
      <c r="E263" s="12"/>
      <c r="F263" s="12"/>
      <c r="G263" s="12"/>
    </row>
    <row r="264">
      <c r="A264" s="12"/>
      <c r="B264" s="12"/>
      <c r="C264" s="12"/>
      <c r="D264" s="12"/>
      <c r="E264" s="12"/>
      <c r="F264" s="12"/>
      <c r="G264" s="12"/>
    </row>
    <row r="265">
      <c r="A265" s="12"/>
      <c r="B265" s="12"/>
      <c r="C265" s="12"/>
      <c r="D265" s="12"/>
      <c r="E265" s="12"/>
      <c r="F265" s="12"/>
      <c r="G265" s="12"/>
    </row>
    <row r="266">
      <c r="A266" s="12"/>
      <c r="B266" s="12"/>
      <c r="C266" s="12"/>
      <c r="D266" s="12"/>
      <c r="E266" s="12"/>
      <c r="F266" s="12"/>
      <c r="G266" s="12"/>
    </row>
    <row r="267">
      <c r="A267" s="12"/>
      <c r="B267" s="12"/>
      <c r="C267" s="12"/>
      <c r="D267" s="12"/>
      <c r="E267" s="12"/>
      <c r="F267" s="12"/>
      <c r="G267" s="12"/>
    </row>
    <row r="268">
      <c r="A268" s="12"/>
      <c r="B268" s="12"/>
      <c r="C268" s="12"/>
      <c r="D268" s="12"/>
      <c r="E268" s="12"/>
      <c r="F268" s="12"/>
      <c r="G268" s="12"/>
    </row>
    <row r="269">
      <c r="A269" s="12"/>
      <c r="B269" s="12"/>
      <c r="C269" s="12"/>
      <c r="D269" s="12"/>
      <c r="E269" s="12"/>
      <c r="F269" s="12"/>
      <c r="G269" s="12"/>
    </row>
    <row r="270">
      <c r="A270" s="12"/>
      <c r="B270" s="12"/>
      <c r="C270" s="12"/>
      <c r="D270" s="12"/>
      <c r="E270" s="12"/>
      <c r="F270" s="12"/>
      <c r="G270" s="12"/>
    </row>
    <row r="271">
      <c r="A271" s="12"/>
      <c r="B271" s="12"/>
      <c r="C271" s="12"/>
      <c r="D271" s="12"/>
      <c r="E271" s="12"/>
      <c r="F271" s="12"/>
      <c r="G271" s="12"/>
    </row>
    <row r="272">
      <c r="A272" s="12"/>
      <c r="B272" s="12"/>
      <c r="C272" s="12"/>
      <c r="D272" s="12"/>
      <c r="E272" s="12"/>
      <c r="F272" s="12"/>
      <c r="G272" s="12"/>
    </row>
    <row r="273">
      <c r="A273" s="12"/>
      <c r="B273" s="12"/>
      <c r="C273" s="12"/>
      <c r="D273" s="12"/>
      <c r="E273" s="12"/>
      <c r="F273" s="12"/>
      <c r="G273" s="12"/>
    </row>
    <row r="274">
      <c r="A274" s="12"/>
      <c r="B274" s="12"/>
      <c r="C274" s="12"/>
      <c r="D274" s="12"/>
      <c r="E274" s="12"/>
      <c r="F274" s="12"/>
      <c r="G274" s="12"/>
    </row>
    <row r="275">
      <c r="A275" s="12"/>
      <c r="B275" s="12"/>
      <c r="C275" s="12"/>
      <c r="D275" s="12"/>
      <c r="E275" s="12"/>
      <c r="F275" s="12"/>
      <c r="G275" s="12"/>
    </row>
    <row r="276">
      <c r="A276" s="12"/>
      <c r="B276" s="12"/>
      <c r="C276" s="12"/>
      <c r="D276" s="12"/>
      <c r="E276" s="12"/>
      <c r="F276" s="12"/>
      <c r="G276" s="12"/>
    </row>
    <row r="277">
      <c r="A277" s="12"/>
      <c r="B277" s="12"/>
      <c r="C277" s="12"/>
      <c r="D277" s="12"/>
      <c r="E277" s="12"/>
      <c r="F277" s="12"/>
      <c r="G277" s="12"/>
    </row>
    <row r="278">
      <c r="A278" s="12"/>
      <c r="B278" s="12"/>
      <c r="C278" s="12"/>
      <c r="D278" s="12"/>
      <c r="E278" s="12"/>
      <c r="F278" s="12"/>
      <c r="G278" s="12"/>
    </row>
    <row r="279">
      <c r="A279" s="12"/>
      <c r="B279" s="12"/>
      <c r="C279" s="12"/>
      <c r="D279" s="12"/>
      <c r="E279" s="12"/>
      <c r="F279" s="12"/>
      <c r="G279" s="12"/>
    </row>
    <row r="280">
      <c r="A280" s="12"/>
      <c r="B280" s="12"/>
      <c r="C280" s="12"/>
      <c r="D280" s="12"/>
      <c r="E280" s="12"/>
      <c r="F280" s="12"/>
      <c r="G280" s="12"/>
    </row>
    <row r="281">
      <c r="A281" s="12"/>
      <c r="B281" s="12"/>
      <c r="C281" s="12"/>
      <c r="D281" s="12"/>
      <c r="E281" s="12"/>
      <c r="F281" s="12"/>
      <c r="G281" s="12"/>
    </row>
    <row r="282">
      <c r="A282" s="12"/>
      <c r="B282" s="12"/>
      <c r="C282" s="12"/>
      <c r="D282" s="12"/>
      <c r="E282" s="12"/>
      <c r="F282" s="12"/>
      <c r="G282" s="12"/>
    </row>
    <row r="283">
      <c r="A283" s="12"/>
      <c r="B283" s="12"/>
      <c r="C283" s="12"/>
      <c r="D283" s="12"/>
      <c r="E283" s="12"/>
      <c r="F283" s="12"/>
      <c r="G283" s="12"/>
    </row>
    <row r="284">
      <c r="A284" s="12"/>
      <c r="B284" s="12"/>
      <c r="C284" s="12"/>
      <c r="D284" s="12"/>
      <c r="E284" s="12"/>
      <c r="F284" s="12"/>
      <c r="G284" s="12"/>
    </row>
    <row r="285">
      <c r="A285" s="12"/>
      <c r="B285" s="12"/>
      <c r="C285" s="12"/>
      <c r="D285" s="12"/>
      <c r="E285" s="12"/>
      <c r="F285" s="12"/>
      <c r="G285" s="12"/>
    </row>
    <row r="286">
      <c r="A286" s="12"/>
      <c r="B286" s="12"/>
      <c r="C286" s="12"/>
      <c r="D286" s="12"/>
      <c r="E286" s="12"/>
      <c r="F286" s="12"/>
      <c r="G286" s="12"/>
    </row>
    <row r="287">
      <c r="A287" s="12"/>
      <c r="B287" s="12"/>
      <c r="C287" s="12"/>
      <c r="D287" s="12"/>
      <c r="E287" s="12"/>
      <c r="F287" s="12"/>
      <c r="G287" s="12"/>
    </row>
    <row r="288">
      <c r="A288" s="12"/>
      <c r="B288" s="12"/>
      <c r="C288" s="12"/>
      <c r="D288" s="12"/>
      <c r="E288" s="12"/>
      <c r="F288" s="12"/>
      <c r="G288" s="12"/>
    </row>
    <row r="289">
      <c r="A289" s="12"/>
      <c r="B289" s="12"/>
      <c r="C289" s="12"/>
      <c r="D289" s="12"/>
      <c r="E289" s="12"/>
      <c r="F289" s="12"/>
      <c r="G289" s="12"/>
    </row>
    <row r="290">
      <c r="A290" s="12"/>
      <c r="B290" s="12"/>
      <c r="C290" s="12"/>
      <c r="D290" s="12"/>
      <c r="E290" s="12"/>
      <c r="F290" s="12"/>
      <c r="G290" s="12"/>
    </row>
    <row r="291">
      <c r="A291" s="12"/>
      <c r="B291" s="12"/>
      <c r="C291" s="12"/>
      <c r="D291" s="12"/>
      <c r="E291" s="12"/>
      <c r="F291" s="12"/>
      <c r="G291" s="12"/>
    </row>
    <row r="292">
      <c r="A292" s="12"/>
      <c r="B292" s="12"/>
      <c r="C292" s="12"/>
      <c r="D292" s="12"/>
      <c r="E292" s="12"/>
      <c r="F292" s="12"/>
      <c r="G292" s="12"/>
    </row>
    <row r="293">
      <c r="A293" s="12"/>
      <c r="B293" s="12"/>
      <c r="C293" s="12"/>
      <c r="D293" s="12"/>
      <c r="E293" s="12"/>
      <c r="F293" s="12"/>
      <c r="G293" s="12"/>
    </row>
    <row r="294">
      <c r="A294" s="12"/>
      <c r="B294" s="12"/>
      <c r="C294" s="12"/>
      <c r="D294" s="12"/>
      <c r="E294" s="12"/>
      <c r="F294" s="12"/>
      <c r="G294" s="12"/>
    </row>
    <row r="295">
      <c r="A295" s="12"/>
      <c r="B295" s="12"/>
      <c r="C295" s="12"/>
      <c r="D295" s="12"/>
      <c r="E295" s="12"/>
      <c r="F295" s="12"/>
      <c r="G295" s="12"/>
    </row>
    <row r="296">
      <c r="A296" s="12"/>
      <c r="B296" s="12"/>
      <c r="C296" s="12"/>
      <c r="D296" s="12"/>
      <c r="E296" s="12"/>
      <c r="F296" s="12"/>
      <c r="G296" s="12"/>
    </row>
    <row r="297">
      <c r="A297" s="12"/>
      <c r="B297" s="12"/>
      <c r="C297" s="12"/>
      <c r="D297" s="12"/>
      <c r="E297" s="12"/>
      <c r="F297" s="12"/>
      <c r="G297" s="12"/>
    </row>
    <row r="298">
      <c r="A298" s="12"/>
      <c r="B298" s="12"/>
      <c r="C298" s="12"/>
      <c r="D298" s="12"/>
      <c r="E298" s="12"/>
      <c r="F298" s="12"/>
      <c r="G298" s="12"/>
    </row>
    <row r="299">
      <c r="A299" s="12"/>
      <c r="B299" s="12"/>
      <c r="C299" s="12"/>
      <c r="D299" s="12"/>
      <c r="E299" s="12"/>
      <c r="F299" s="12"/>
      <c r="G299" s="12"/>
    </row>
    <row r="300">
      <c r="A300" s="12"/>
      <c r="B300" s="12"/>
      <c r="C300" s="12"/>
      <c r="D300" s="12"/>
      <c r="E300" s="12"/>
      <c r="F300" s="12"/>
      <c r="G300" s="12"/>
    </row>
    <row r="301">
      <c r="A301" s="12"/>
      <c r="B301" s="12"/>
      <c r="C301" s="12"/>
      <c r="D301" s="12"/>
      <c r="E301" s="12"/>
      <c r="F301" s="12"/>
      <c r="G301" s="12"/>
    </row>
    <row r="302">
      <c r="A302" s="12"/>
      <c r="B302" s="12"/>
      <c r="C302" s="12"/>
      <c r="D302" s="12"/>
      <c r="E302" s="12"/>
      <c r="F302" s="12"/>
      <c r="G302" s="12"/>
    </row>
    <row r="303">
      <c r="A303" s="12"/>
      <c r="B303" s="12"/>
      <c r="C303" s="12"/>
      <c r="D303" s="12"/>
      <c r="E303" s="12"/>
      <c r="F303" s="12"/>
      <c r="G303" s="12"/>
    </row>
    <row r="304">
      <c r="A304" s="12"/>
      <c r="B304" s="12"/>
      <c r="C304" s="12"/>
      <c r="D304" s="12"/>
      <c r="E304" s="12"/>
      <c r="F304" s="12"/>
      <c r="G304" s="12"/>
    </row>
    <row r="305">
      <c r="A305" s="12"/>
      <c r="B305" s="12"/>
      <c r="C305" s="12"/>
      <c r="D305" s="12"/>
      <c r="E305" s="12"/>
      <c r="F305" s="12"/>
      <c r="G305" s="12"/>
    </row>
    <row r="306">
      <c r="A306" s="12"/>
      <c r="B306" s="12"/>
      <c r="C306" s="12"/>
      <c r="D306" s="12"/>
      <c r="E306" s="12"/>
      <c r="F306" s="12"/>
      <c r="G306" s="12"/>
    </row>
    <row r="307">
      <c r="A307" s="12"/>
      <c r="B307" s="12"/>
      <c r="C307" s="12"/>
      <c r="D307" s="12"/>
      <c r="E307" s="12"/>
      <c r="F307" s="12"/>
      <c r="G307" s="12"/>
    </row>
    <row r="308">
      <c r="A308" s="12"/>
      <c r="B308" s="12"/>
      <c r="C308" s="12"/>
      <c r="D308" s="12"/>
      <c r="E308" s="12"/>
      <c r="F308" s="12"/>
      <c r="G308" s="12"/>
    </row>
    <row r="309">
      <c r="A309" s="12"/>
      <c r="B309" s="12"/>
      <c r="C309" s="12"/>
      <c r="D309" s="12"/>
      <c r="E309" s="12"/>
      <c r="F309" s="12"/>
      <c r="G309" s="12"/>
    </row>
    <row r="310">
      <c r="A310" s="12"/>
      <c r="B310" s="12"/>
      <c r="C310" s="12"/>
      <c r="D310" s="12"/>
      <c r="E310" s="12"/>
      <c r="F310" s="12"/>
      <c r="G310" s="12"/>
    </row>
    <row r="311">
      <c r="A311" s="12"/>
      <c r="B311" s="12"/>
      <c r="C311" s="12"/>
      <c r="D311" s="12"/>
      <c r="E311" s="12"/>
      <c r="F311" s="12"/>
      <c r="G311" s="12"/>
    </row>
    <row r="312">
      <c r="A312" s="12"/>
      <c r="B312" s="12"/>
      <c r="C312" s="12"/>
      <c r="D312" s="12"/>
      <c r="E312" s="12"/>
      <c r="F312" s="12"/>
      <c r="G312" s="12"/>
    </row>
    <row r="313">
      <c r="A313" s="12"/>
      <c r="B313" s="12"/>
      <c r="C313" s="12"/>
      <c r="D313" s="12"/>
      <c r="E313" s="12"/>
      <c r="F313" s="12"/>
      <c r="G313" s="12"/>
    </row>
    <row r="314">
      <c r="A314" s="12"/>
      <c r="B314" s="12"/>
      <c r="C314" s="12"/>
      <c r="D314" s="12"/>
      <c r="E314" s="12"/>
      <c r="F314" s="12"/>
      <c r="G314" s="12"/>
    </row>
    <row r="315">
      <c r="A315" s="12"/>
      <c r="B315" s="12"/>
      <c r="C315" s="12"/>
      <c r="D315" s="12"/>
      <c r="E315" s="12"/>
      <c r="F315" s="12"/>
      <c r="G315" s="12"/>
    </row>
    <row r="316">
      <c r="A316" s="12"/>
      <c r="B316" s="12"/>
      <c r="C316" s="12"/>
      <c r="D316" s="12"/>
      <c r="E316" s="12"/>
      <c r="F316" s="12"/>
      <c r="G316" s="12"/>
    </row>
    <row r="317">
      <c r="A317" s="12"/>
      <c r="B317" s="12"/>
      <c r="C317" s="12"/>
      <c r="D317" s="12"/>
      <c r="E317" s="12"/>
      <c r="F317" s="12"/>
      <c r="G317" s="12"/>
    </row>
    <row r="318">
      <c r="A318" s="12"/>
      <c r="B318" s="12"/>
      <c r="C318" s="12"/>
      <c r="D318" s="12"/>
      <c r="E318" s="12"/>
      <c r="F318" s="12"/>
      <c r="G318" s="12"/>
    </row>
    <row r="319">
      <c r="A319" s="12"/>
      <c r="B319" s="12"/>
      <c r="C319" s="12"/>
      <c r="D319" s="12"/>
      <c r="E319" s="12"/>
      <c r="F319" s="12"/>
      <c r="G319" s="12"/>
    </row>
    <row r="320">
      <c r="A320" s="12"/>
      <c r="B320" s="12"/>
      <c r="C320" s="12"/>
      <c r="D320" s="12"/>
      <c r="E320" s="12"/>
      <c r="F320" s="12"/>
      <c r="G320" s="12"/>
    </row>
    <row r="321">
      <c r="A321" s="12"/>
      <c r="B321" s="12"/>
      <c r="C321" s="12"/>
      <c r="D321" s="12"/>
      <c r="E321" s="12"/>
      <c r="F321" s="12"/>
      <c r="G321" s="12"/>
    </row>
    <row r="322">
      <c r="A322" s="12"/>
      <c r="B322" s="12"/>
      <c r="C322" s="12"/>
      <c r="D322" s="12"/>
      <c r="E322" s="12"/>
      <c r="F322" s="12"/>
      <c r="G322" s="12"/>
    </row>
    <row r="323">
      <c r="A323" s="12"/>
      <c r="B323" s="12"/>
      <c r="C323" s="12"/>
      <c r="D323" s="12"/>
      <c r="E323" s="12"/>
      <c r="F323" s="12"/>
      <c r="G323" s="12"/>
    </row>
    <row r="324">
      <c r="A324" s="12"/>
      <c r="B324" s="12"/>
      <c r="C324" s="12"/>
      <c r="D324" s="12"/>
      <c r="E324" s="12"/>
      <c r="F324" s="12"/>
      <c r="G324" s="12"/>
    </row>
    <row r="325">
      <c r="A325" s="12"/>
      <c r="B325" s="12"/>
      <c r="C325" s="12"/>
      <c r="D325" s="12"/>
      <c r="E325" s="12"/>
      <c r="F325" s="12"/>
      <c r="G325" s="12"/>
    </row>
    <row r="326">
      <c r="A326" s="12"/>
      <c r="B326" s="12"/>
      <c r="C326" s="12"/>
      <c r="D326" s="12"/>
      <c r="E326" s="12"/>
      <c r="F326" s="12"/>
      <c r="G326" s="12"/>
    </row>
    <row r="327">
      <c r="A327" s="12"/>
      <c r="B327" s="12"/>
      <c r="C327" s="12"/>
      <c r="D327" s="12"/>
      <c r="E327" s="12"/>
      <c r="F327" s="12"/>
      <c r="G327" s="12"/>
    </row>
    <row r="328">
      <c r="A328" s="12"/>
      <c r="B328" s="12"/>
      <c r="C328" s="12"/>
      <c r="D328" s="12"/>
      <c r="E328" s="12"/>
      <c r="F328" s="12"/>
      <c r="G328" s="12"/>
    </row>
    <row r="329">
      <c r="A329" s="12"/>
      <c r="B329" s="12"/>
      <c r="C329" s="12"/>
      <c r="D329" s="12"/>
      <c r="E329" s="12"/>
      <c r="F329" s="12"/>
      <c r="G329" s="12"/>
    </row>
    <row r="330">
      <c r="A330" s="12"/>
      <c r="B330" s="12"/>
      <c r="C330" s="12"/>
      <c r="D330" s="12"/>
      <c r="E330" s="12"/>
      <c r="F330" s="12"/>
      <c r="G330" s="12"/>
    </row>
    <row r="331">
      <c r="A331" s="12"/>
      <c r="B331" s="12"/>
      <c r="C331" s="12"/>
      <c r="D331" s="12"/>
      <c r="E331" s="12"/>
      <c r="F331" s="12"/>
      <c r="G331" s="12"/>
    </row>
    <row r="332">
      <c r="A332" s="12"/>
      <c r="B332" s="12"/>
      <c r="C332" s="12"/>
      <c r="D332" s="12"/>
      <c r="E332" s="12"/>
      <c r="F332" s="12"/>
      <c r="G332" s="12"/>
    </row>
    <row r="333">
      <c r="A333" s="12"/>
      <c r="B333" s="12"/>
      <c r="C333" s="12"/>
      <c r="D333" s="12"/>
      <c r="E333" s="12"/>
      <c r="F333" s="12"/>
      <c r="G333" s="12"/>
    </row>
    <row r="334">
      <c r="A334" s="12"/>
      <c r="B334" s="12"/>
      <c r="C334" s="12"/>
      <c r="D334" s="12"/>
      <c r="E334" s="12"/>
      <c r="F334" s="12"/>
      <c r="G334" s="12"/>
    </row>
    <row r="335">
      <c r="A335" s="12"/>
      <c r="B335" s="12"/>
      <c r="C335" s="12"/>
      <c r="D335" s="12"/>
      <c r="E335" s="12"/>
      <c r="F335" s="12"/>
      <c r="G335" s="12"/>
    </row>
    <row r="336">
      <c r="A336" s="12"/>
      <c r="B336" s="12"/>
      <c r="C336" s="12"/>
      <c r="D336" s="12"/>
      <c r="E336" s="12"/>
      <c r="F336" s="12"/>
      <c r="G336" s="12"/>
    </row>
    <row r="337">
      <c r="A337" s="12"/>
      <c r="B337" s="12"/>
      <c r="C337" s="12"/>
      <c r="D337" s="12"/>
      <c r="E337" s="12"/>
      <c r="F337" s="12"/>
      <c r="G337" s="12"/>
    </row>
    <row r="338">
      <c r="A338" s="12"/>
      <c r="B338" s="12"/>
      <c r="C338" s="12"/>
      <c r="D338" s="12"/>
      <c r="E338" s="12"/>
      <c r="F338" s="12"/>
      <c r="G338" s="12"/>
    </row>
    <row r="339">
      <c r="A339" s="12"/>
      <c r="B339" s="12"/>
      <c r="C339" s="12"/>
      <c r="D339" s="12"/>
      <c r="E339" s="12"/>
      <c r="F339" s="12"/>
      <c r="G339" s="12"/>
    </row>
    <row r="340">
      <c r="A340" s="12"/>
      <c r="B340" s="12"/>
      <c r="C340" s="12"/>
      <c r="D340" s="12"/>
      <c r="E340" s="12"/>
      <c r="F340" s="12"/>
      <c r="G340" s="12"/>
    </row>
    <row r="341">
      <c r="A341" s="12"/>
      <c r="B341" s="12"/>
      <c r="C341" s="12"/>
      <c r="D341" s="12"/>
      <c r="E341" s="12"/>
      <c r="F341" s="12"/>
      <c r="G341" s="12"/>
    </row>
    <row r="342">
      <c r="A342" s="12"/>
      <c r="B342" s="12"/>
      <c r="C342" s="12"/>
      <c r="D342" s="12"/>
      <c r="E342" s="12"/>
      <c r="F342" s="12"/>
      <c r="G342" s="12"/>
    </row>
    <row r="343">
      <c r="A343" s="12"/>
      <c r="B343" s="12"/>
      <c r="C343" s="12"/>
      <c r="D343" s="12"/>
      <c r="E343" s="12"/>
      <c r="F343" s="12"/>
      <c r="G343" s="12"/>
    </row>
    <row r="344">
      <c r="A344" s="12"/>
      <c r="B344" s="12"/>
      <c r="C344" s="12"/>
      <c r="D344" s="12"/>
      <c r="E344" s="12"/>
      <c r="F344" s="12"/>
      <c r="G344" s="12"/>
    </row>
    <row r="345">
      <c r="A345" s="12"/>
      <c r="B345" s="12"/>
      <c r="C345" s="12"/>
      <c r="D345" s="12"/>
      <c r="E345" s="12"/>
      <c r="F345" s="12"/>
      <c r="G345" s="12"/>
    </row>
    <row r="346">
      <c r="A346" s="12"/>
      <c r="B346" s="12"/>
      <c r="C346" s="12"/>
      <c r="D346" s="12"/>
      <c r="E346" s="12"/>
      <c r="F346" s="12"/>
      <c r="G346" s="12"/>
    </row>
    <row r="347">
      <c r="A347" s="12"/>
      <c r="B347" s="12"/>
      <c r="C347" s="12"/>
      <c r="D347" s="12"/>
      <c r="E347" s="12"/>
      <c r="F347" s="12"/>
      <c r="G347" s="12"/>
    </row>
    <row r="348">
      <c r="A348" s="12"/>
      <c r="B348" s="12"/>
      <c r="C348" s="12"/>
      <c r="D348" s="12"/>
      <c r="E348" s="12"/>
      <c r="F348" s="12"/>
      <c r="G348" s="12"/>
    </row>
    <row r="349">
      <c r="A349" s="12"/>
      <c r="B349" s="12"/>
      <c r="C349" s="12"/>
      <c r="D349" s="12"/>
      <c r="E349" s="12"/>
      <c r="F349" s="12"/>
      <c r="G349" s="12"/>
    </row>
    <row r="350">
      <c r="A350" s="12"/>
      <c r="B350" s="12"/>
      <c r="C350" s="12"/>
      <c r="D350" s="12"/>
      <c r="E350" s="12"/>
      <c r="F350" s="12"/>
      <c r="G350" s="12"/>
    </row>
    <row r="351">
      <c r="A351" s="12"/>
      <c r="B351" s="12"/>
      <c r="C351" s="12"/>
      <c r="D351" s="12"/>
      <c r="E351" s="12"/>
      <c r="F351" s="12"/>
      <c r="G351" s="12"/>
    </row>
    <row r="352">
      <c r="A352" s="12"/>
      <c r="B352" s="12"/>
      <c r="C352" s="12"/>
      <c r="D352" s="12"/>
      <c r="E352" s="12"/>
      <c r="F352" s="12"/>
      <c r="G352" s="12"/>
    </row>
    <row r="353">
      <c r="A353" s="12"/>
      <c r="B353" s="12"/>
      <c r="C353" s="12"/>
      <c r="D353" s="12"/>
      <c r="E353" s="12"/>
      <c r="F353" s="12"/>
      <c r="G353" s="12"/>
    </row>
    <row r="354">
      <c r="A354" s="12"/>
      <c r="B354" s="12"/>
      <c r="C354" s="12"/>
      <c r="D354" s="12"/>
      <c r="E354" s="12"/>
      <c r="F354" s="12"/>
      <c r="G354" s="12"/>
    </row>
    <row r="355">
      <c r="A355" s="12"/>
      <c r="B355" s="12"/>
      <c r="C355" s="12"/>
      <c r="D355" s="12"/>
      <c r="E355" s="12"/>
      <c r="F355" s="12"/>
      <c r="G355" s="12"/>
    </row>
    <row r="356">
      <c r="A356" s="12"/>
      <c r="B356" s="12"/>
      <c r="C356" s="12"/>
      <c r="D356" s="12"/>
      <c r="E356" s="12"/>
      <c r="F356" s="12"/>
      <c r="G356" s="12"/>
    </row>
    <row r="357">
      <c r="A357" s="12"/>
      <c r="B357" s="12"/>
      <c r="C357" s="12"/>
      <c r="D357" s="12"/>
      <c r="E357" s="12"/>
      <c r="F357" s="12"/>
      <c r="G357" s="12"/>
    </row>
    <row r="358">
      <c r="A358" s="12"/>
      <c r="B358" s="12"/>
      <c r="C358" s="12"/>
      <c r="D358" s="12"/>
      <c r="E358" s="12"/>
      <c r="F358" s="12"/>
      <c r="G358" s="12"/>
    </row>
    <row r="359">
      <c r="A359" s="12"/>
      <c r="B359" s="12"/>
      <c r="C359" s="12"/>
      <c r="D359" s="12"/>
      <c r="E359" s="12"/>
      <c r="F359" s="12"/>
      <c r="G359" s="12"/>
    </row>
    <row r="360">
      <c r="A360" s="12"/>
      <c r="B360" s="12"/>
      <c r="C360" s="12"/>
      <c r="D360" s="12"/>
      <c r="E360" s="12"/>
      <c r="F360" s="12"/>
      <c r="G360" s="12"/>
    </row>
    <row r="361">
      <c r="A361" s="12"/>
      <c r="B361" s="12"/>
      <c r="C361" s="12"/>
      <c r="D361" s="12"/>
      <c r="E361" s="12"/>
      <c r="F361" s="12"/>
      <c r="G361" s="12"/>
    </row>
    <row r="362">
      <c r="A362" s="12"/>
      <c r="B362" s="12"/>
      <c r="C362" s="12"/>
      <c r="D362" s="12"/>
      <c r="E362" s="12"/>
      <c r="F362" s="12"/>
      <c r="G362" s="12"/>
    </row>
    <row r="363">
      <c r="A363" s="12"/>
      <c r="B363" s="12"/>
      <c r="C363" s="12"/>
      <c r="D363" s="12"/>
      <c r="E363" s="12"/>
      <c r="F363" s="12"/>
      <c r="G363" s="12"/>
    </row>
    <row r="364">
      <c r="A364" s="12"/>
      <c r="B364" s="12"/>
      <c r="C364" s="12"/>
      <c r="D364" s="12"/>
      <c r="E364" s="12"/>
      <c r="F364" s="12"/>
      <c r="G364" s="12"/>
    </row>
    <row r="365">
      <c r="A365" s="12"/>
      <c r="B365" s="12"/>
      <c r="C365" s="12"/>
      <c r="D365" s="12"/>
      <c r="E365" s="12"/>
      <c r="F365" s="12"/>
      <c r="G365" s="12"/>
    </row>
    <row r="366">
      <c r="A366" s="12"/>
      <c r="B366" s="12"/>
      <c r="C366" s="12"/>
      <c r="D366" s="12"/>
      <c r="E366" s="12"/>
      <c r="F366" s="12"/>
      <c r="G366" s="12"/>
    </row>
    <row r="367">
      <c r="A367" s="12"/>
      <c r="B367" s="12"/>
      <c r="C367" s="12"/>
      <c r="D367" s="12"/>
      <c r="E367" s="12"/>
      <c r="F367" s="12"/>
      <c r="G367" s="12"/>
    </row>
    <row r="368">
      <c r="A368" s="12"/>
      <c r="B368" s="12"/>
      <c r="C368" s="12"/>
      <c r="D368" s="12"/>
      <c r="E368" s="12"/>
      <c r="F368" s="12"/>
      <c r="G368" s="12"/>
    </row>
    <row r="369">
      <c r="A369" s="12"/>
      <c r="B369" s="12"/>
      <c r="C369" s="12"/>
      <c r="D369" s="12"/>
      <c r="E369" s="12"/>
      <c r="F369" s="12"/>
      <c r="G369" s="12"/>
    </row>
    <row r="370">
      <c r="A370" s="12"/>
      <c r="B370" s="12"/>
      <c r="C370" s="12"/>
      <c r="D370" s="12"/>
      <c r="E370" s="12"/>
      <c r="F370" s="12"/>
      <c r="G370" s="12"/>
    </row>
    <row r="371">
      <c r="A371" s="12"/>
      <c r="B371" s="12"/>
      <c r="C371" s="12"/>
      <c r="D371" s="12"/>
      <c r="E371" s="12"/>
      <c r="F371" s="12"/>
      <c r="G371" s="12"/>
    </row>
    <row r="372">
      <c r="A372" s="12"/>
      <c r="B372" s="12"/>
      <c r="C372" s="12"/>
      <c r="D372" s="12"/>
      <c r="E372" s="12"/>
      <c r="F372" s="12"/>
      <c r="G372" s="12"/>
    </row>
    <row r="373">
      <c r="A373" s="12"/>
      <c r="B373" s="12"/>
      <c r="C373" s="12"/>
      <c r="D373" s="12"/>
      <c r="E373" s="12"/>
      <c r="F373" s="12"/>
      <c r="G373" s="12"/>
    </row>
    <row r="374">
      <c r="A374" s="12"/>
      <c r="B374" s="12"/>
      <c r="C374" s="12"/>
      <c r="D374" s="12"/>
      <c r="E374" s="12"/>
      <c r="F374" s="12"/>
      <c r="G374" s="12"/>
    </row>
    <row r="375">
      <c r="A375" s="12"/>
      <c r="B375" s="12"/>
      <c r="C375" s="12"/>
      <c r="D375" s="12"/>
      <c r="E375" s="12"/>
      <c r="F375" s="12"/>
      <c r="G375" s="12"/>
    </row>
    <row r="376">
      <c r="A376" s="12"/>
      <c r="B376" s="12"/>
      <c r="C376" s="12"/>
      <c r="D376" s="12"/>
      <c r="E376" s="12"/>
      <c r="F376" s="12"/>
      <c r="G376" s="12"/>
    </row>
    <row r="377">
      <c r="A377" s="12"/>
      <c r="B377" s="12"/>
      <c r="C377" s="12"/>
      <c r="D377" s="12"/>
      <c r="E377" s="12"/>
      <c r="F377" s="12"/>
      <c r="G377" s="12"/>
    </row>
    <row r="378">
      <c r="A378" s="12"/>
      <c r="B378" s="12"/>
      <c r="C378" s="12"/>
      <c r="D378" s="12"/>
      <c r="E378" s="12"/>
      <c r="F378" s="12"/>
      <c r="G378" s="12"/>
    </row>
    <row r="379">
      <c r="A379" s="12"/>
      <c r="B379" s="12"/>
      <c r="C379" s="12"/>
      <c r="D379" s="12"/>
      <c r="E379" s="12"/>
      <c r="F379" s="12"/>
      <c r="G379" s="12"/>
    </row>
    <row r="380">
      <c r="A380" s="12"/>
      <c r="B380" s="12"/>
      <c r="C380" s="12"/>
      <c r="D380" s="12"/>
      <c r="E380" s="12"/>
      <c r="F380" s="12"/>
      <c r="G380" s="12"/>
    </row>
    <row r="381">
      <c r="A381" s="12"/>
      <c r="B381" s="12"/>
      <c r="C381" s="12"/>
      <c r="D381" s="12"/>
      <c r="E381" s="12"/>
      <c r="F381" s="12"/>
      <c r="G381" s="12"/>
    </row>
    <row r="382">
      <c r="A382" s="12"/>
      <c r="B382" s="12"/>
      <c r="C382" s="12"/>
      <c r="D382" s="12"/>
      <c r="E382" s="12"/>
      <c r="F382" s="12"/>
      <c r="G382" s="12"/>
    </row>
    <row r="383">
      <c r="A383" s="12"/>
      <c r="B383" s="12"/>
      <c r="C383" s="12"/>
      <c r="D383" s="12"/>
      <c r="E383" s="12"/>
      <c r="F383" s="12"/>
      <c r="G383" s="12"/>
    </row>
    <row r="384">
      <c r="A384" s="12"/>
      <c r="B384" s="12"/>
      <c r="C384" s="12"/>
      <c r="D384" s="12"/>
      <c r="E384" s="12"/>
      <c r="F384" s="12"/>
      <c r="G384" s="12"/>
    </row>
    <row r="385">
      <c r="A385" s="12"/>
      <c r="B385" s="12"/>
      <c r="C385" s="12"/>
      <c r="D385" s="12"/>
      <c r="E385" s="12"/>
      <c r="F385" s="12"/>
      <c r="G385" s="12"/>
    </row>
    <row r="386">
      <c r="A386" s="12"/>
      <c r="B386" s="12"/>
      <c r="C386" s="12"/>
      <c r="D386" s="12"/>
      <c r="E386" s="12"/>
      <c r="F386" s="12"/>
      <c r="G386" s="12"/>
    </row>
    <row r="387">
      <c r="A387" s="12"/>
      <c r="B387" s="12"/>
      <c r="C387" s="12"/>
      <c r="D387" s="12"/>
      <c r="E387" s="12"/>
      <c r="F387" s="12"/>
      <c r="G387" s="12"/>
    </row>
    <row r="388">
      <c r="A388" s="12"/>
      <c r="B388" s="12"/>
      <c r="C388" s="12"/>
      <c r="D388" s="12"/>
      <c r="E388" s="12"/>
      <c r="F388" s="12"/>
      <c r="G388" s="12"/>
    </row>
    <row r="389">
      <c r="A389" s="12"/>
      <c r="B389" s="12"/>
      <c r="C389" s="12"/>
      <c r="D389" s="12"/>
      <c r="E389" s="12"/>
      <c r="F389" s="12"/>
      <c r="G389" s="12"/>
    </row>
    <row r="390">
      <c r="A390" s="12"/>
      <c r="B390" s="12"/>
      <c r="C390" s="12"/>
      <c r="D390" s="12"/>
      <c r="E390" s="12"/>
      <c r="F390" s="12"/>
      <c r="G390" s="12"/>
    </row>
    <row r="391">
      <c r="A391" s="12"/>
      <c r="B391" s="12"/>
      <c r="C391" s="12"/>
      <c r="D391" s="12"/>
      <c r="E391" s="12"/>
      <c r="F391" s="12"/>
      <c r="G391" s="12"/>
    </row>
    <row r="392">
      <c r="A392" s="12"/>
      <c r="B392" s="12"/>
      <c r="C392" s="12"/>
      <c r="D392" s="12"/>
      <c r="E392" s="12"/>
      <c r="F392" s="12"/>
      <c r="G392" s="12"/>
    </row>
    <row r="393">
      <c r="A393" s="12"/>
      <c r="B393" s="12"/>
      <c r="C393" s="12"/>
      <c r="D393" s="12"/>
      <c r="E393" s="12"/>
      <c r="F393" s="12"/>
      <c r="G393" s="12"/>
    </row>
    <row r="394">
      <c r="A394" s="12"/>
      <c r="B394" s="12"/>
      <c r="C394" s="12"/>
      <c r="D394" s="12"/>
      <c r="E394" s="12"/>
      <c r="F394" s="12"/>
      <c r="G394" s="12"/>
    </row>
    <row r="395">
      <c r="A395" s="12"/>
      <c r="B395" s="12"/>
      <c r="C395" s="12"/>
      <c r="D395" s="12"/>
      <c r="E395" s="12"/>
      <c r="F395" s="12"/>
      <c r="G395" s="12"/>
    </row>
    <row r="396">
      <c r="A396" s="12"/>
      <c r="B396" s="12"/>
      <c r="C396" s="12"/>
      <c r="D396" s="12"/>
      <c r="E396" s="12"/>
      <c r="F396" s="12"/>
      <c r="G396" s="12"/>
    </row>
    <row r="397">
      <c r="A397" s="12"/>
      <c r="B397" s="12"/>
      <c r="C397" s="12"/>
      <c r="D397" s="12"/>
      <c r="E397" s="12"/>
      <c r="F397" s="12"/>
      <c r="G397" s="12"/>
    </row>
    <row r="398">
      <c r="A398" s="12"/>
      <c r="B398" s="12"/>
      <c r="C398" s="12"/>
      <c r="D398" s="12"/>
      <c r="E398" s="12"/>
      <c r="F398" s="12"/>
      <c r="G398" s="12"/>
    </row>
    <row r="399">
      <c r="A399" s="12"/>
      <c r="B399" s="12"/>
      <c r="C399" s="12"/>
      <c r="D399" s="12"/>
      <c r="E399" s="12"/>
      <c r="F399" s="12"/>
      <c r="G399" s="12"/>
    </row>
    <row r="400">
      <c r="A400" s="12"/>
      <c r="B400" s="12"/>
      <c r="C400" s="12"/>
      <c r="D400" s="12"/>
      <c r="E400" s="12"/>
      <c r="F400" s="12"/>
      <c r="G400" s="12"/>
    </row>
    <row r="401">
      <c r="A401" s="12"/>
      <c r="B401" s="12"/>
      <c r="C401" s="12"/>
      <c r="D401" s="12"/>
      <c r="E401" s="12"/>
      <c r="F401" s="12"/>
      <c r="G401" s="12"/>
    </row>
    <row r="402">
      <c r="A402" s="12"/>
      <c r="B402" s="12"/>
      <c r="C402" s="12"/>
      <c r="D402" s="12"/>
      <c r="E402" s="12"/>
      <c r="F402" s="12"/>
      <c r="G402" s="12"/>
    </row>
    <row r="403">
      <c r="A403" s="12"/>
      <c r="B403" s="12"/>
      <c r="C403" s="12"/>
      <c r="D403" s="12"/>
      <c r="E403" s="12"/>
      <c r="F403" s="12"/>
      <c r="G403" s="12"/>
    </row>
    <row r="404">
      <c r="A404" s="12"/>
      <c r="B404" s="12"/>
      <c r="C404" s="12"/>
      <c r="D404" s="12"/>
      <c r="E404" s="12"/>
      <c r="F404" s="12"/>
      <c r="G404" s="12"/>
    </row>
    <row r="405">
      <c r="A405" s="12"/>
      <c r="B405" s="12"/>
      <c r="C405" s="12"/>
      <c r="D405" s="12"/>
      <c r="E405" s="12"/>
      <c r="F405" s="12"/>
      <c r="G405" s="12"/>
    </row>
    <row r="406">
      <c r="A406" s="12"/>
      <c r="B406" s="12"/>
      <c r="C406" s="12"/>
      <c r="D406" s="12"/>
      <c r="E406" s="12"/>
      <c r="F406" s="12"/>
      <c r="G406" s="12"/>
    </row>
    <row r="407">
      <c r="A407" s="12"/>
      <c r="B407" s="12"/>
      <c r="C407" s="12"/>
      <c r="D407" s="12"/>
      <c r="E407" s="12"/>
      <c r="F407" s="12"/>
      <c r="G407" s="12"/>
    </row>
    <row r="408">
      <c r="A408" s="12"/>
      <c r="B408" s="12"/>
      <c r="C408" s="12"/>
      <c r="D408" s="12"/>
      <c r="E408" s="12"/>
      <c r="F408" s="12"/>
      <c r="G408" s="12"/>
    </row>
    <row r="409">
      <c r="A409" s="12"/>
      <c r="B409" s="12"/>
      <c r="C409" s="12"/>
      <c r="D409" s="12"/>
      <c r="E409" s="12"/>
      <c r="F409" s="12"/>
      <c r="G409" s="12"/>
    </row>
    <row r="410">
      <c r="A410" s="12"/>
      <c r="B410" s="12"/>
      <c r="C410" s="12"/>
      <c r="D410" s="12"/>
      <c r="E410" s="12"/>
      <c r="F410" s="12"/>
      <c r="G410" s="12"/>
    </row>
    <row r="411">
      <c r="A411" s="12"/>
      <c r="B411" s="12"/>
      <c r="C411" s="12"/>
      <c r="D411" s="12"/>
      <c r="E411" s="12"/>
      <c r="F411" s="12"/>
      <c r="G411" s="12"/>
    </row>
    <row r="412">
      <c r="A412" s="12"/>
      <c r="B412" s="12"/>
      <c r="C412" s="12"/>
      <c r="D412" s="12"/>
      <c r="E412" s="12"/>
      <c r="F412" s="12"/>
      <c r="G412" s="12"/>
    </row>
    <row r="413">
      <c r="A413" s="12"/>
      <c r="B413" s="12"/>
      <c r="C413" s="12"/>
      <c r="D413" s="12"/>
      <c r="E413" s="12"/>
      <c r="F413" s="12"/>
      <c r="G413" s="12"/>
    </row>
    <row r="414">
      <c r="A414" s="12"/>
      <c r="B414" s="12"/>
      <c r="C414" s="12"/>
      <c r="D414" s="12"/>
      <c r="E414" s="12"/>
      <c r="F414" s="12"/>
      <c r="G414" s="12"/>
    </row>
    <row r="415">
      <c r="A415" s="12"/>
      <c r="B415" s="12"/>
      <c r="C415" s="12"/>
      <c r="D415" s="12"/>
      <c r="E415" s="12"/>
      <c r="F415" s="12"/>
      <c r="G415" s="12"/>
    </row>
    <row r="416">
      <c r="A416" s="12"/>
      <c r="B416" s="12"/>
      <c r="C416" s="12"/>
      <c r="D416" s="12"/>
      <c r="E416" s="12"/>
      <c r="F416" s="12"/>
      <c r="G416" s="12"/>
    </row>
    <row r="417">
      <c r="A417" s="12"/>
      <c r="B417" s="12"/>
      <c r="C417" s="12"/>
      <c r="D417" s="12"/>
      <c r="E417" s="12"/>
      <c r="F417" s="12"/>
      <c r="G417" s="12"/>
    </row>
    <row r="418">
      <c r="A418" s="12"/>
      <c r="B418" s="12"/>
      <c r="C418" s="12"/>
      <c r="D418" s="12"/>
      <c r="E418" s="12"/>
      <c r="F418" s="12"/>
      <c r="G418" s="12"/>
    </row>
    <row r="419">
      <c r="A419" s="12"/>
      <c r="B419" s="12"/>
      <c r="C419" s="12"/>
      <c r="D419" s="12"/>
      <c r="E419" s="12"/>
      <c r="F419" s="12"/>
      <c r="G419" s="12"/>
    </row>
    <row r="420">
      <c r="A420" s="12"/>
      <c r="B420" s="12"/>
      <c r="C420" s="12"/>
      <c r="D420" s="12"/>
      <c r="E420" s="12"/>
      <c r="F420" s="12"/>
      <c r="G420" s="12"/>
    </row>
    <row r="421">
      <c r="A421" s="12"/>
      <c r="B421" s="12"/>
      <c r="C421" s="12"/>
      <c r="D421" s="12"/>
      <c r="E421" s="12"/>
      <c r="F421" s="12"/>
      <c r="G421" s="12"/>
    </row>
    <row r="422">
      <c r="A422" s="12"/>
      <c r="B422" s="12"/>
      <c r="C422" s="12"/>
      <c r="D422" s="12"/>
      <c r="E422" s="12"/>
      <c r="F422" s="12"/>
      <c r="G422" s="12"/>
    </row>
    <row r="423">
      <c r="A423" s="12"/>
      <c r="B423" s="12"/>
      <c r="C423" s="12"/>
      <c r="D423" s="12"/>
      <c r="E423" s="12"/>
      <c r="F423" s="12"/>
      <c r="G423" s="12"/>
    </row>
    <row r="424">
      <c r="A424" s="12"/>
      <c r="B424" s="12"/>
      <c r="C424" s="12"/>
      <c r="D424" s="12"/>
      <c r="E424" s="12"/>
      <c r="F424" s="12"/>
      <c r="G424" s="12"/>
    </row>
    <row r="425">
      <c r="A425" s="12"/>
      <c r="B425" s="12"/>
      <c r="C425" s="12"/>
      <c r="D425" s="12"/>
      <c r="E425" s="12"/>
      <c r="F425" s="12"/>
      <c r="G425" s="12"/>
    </row>
    <row r="426">
      <c r="A426" s="12"/>
      <c r="B426" s="12"/>
      <c r="C426" s="12"/>
      <c r="D426" s="12"/>
      <c r="E426" s="12"/>
      <c r="F426" s="12"/>
      <c r="G426" s="12"/>
    </row>
    <row r="427">
      <c r="A427" s="12"/>
      <c r="B427" s="12"/>
      <c r="C427" s="12"/>
      <c r="D427" s="12"/>
      <c r="E427" s="12"/>
      <c r="F427" s="12"/>
      <c r="G427" s="12"/>
    </row>
    <row r="428">
      <c r="A428" s="12"/>
      <c r="B428" s="12"/>
      <c r="C428" s="12"/>
      <c r="D428" s="12"/>
      <c r="E428" s="12"/>
      <c r="F428" s="12"/>
      <c r="G428" s="12"/>
    </row>
    <row r="429">
      <c r="A429" s="12"/>
      <c r="B429" s="12"/>
      <c r="C429" s="12"/>
      <c r="D429" s="12"/>
      <c r="E429" s="12"/>
      <c r="F429" s="12"/>
      <c r="G429" s="12"/>
    </row>
    <row r="430">
      <c r="A430" s="12"/>
      <c r="B430" s="12"/>
      <c r="C430" s="12"/>
      <c r="D430" s="12"/>
      <c r="E430" s="12"/>
      <c r="F430" s="12"/>
      <c r="G430" s="12"/>
    </row>
    <row r="431">
      <c r="A431" s="12"/>
      <c r="B431" s="12"/>
      <c r="C431" s="12"/>
      <c r="D431" s="12"/>
      <c r="E431" s="12"/>
      <c r="F431" s="12"/>
      <c r="G431" s="12"/>
    </row>
    <row r="432">
      <c r="A432" s="12"/>
      <c r="B432" s="12"/>
      <c r="C432" s="12"/>
      <c r="D432" s="12"/>
      <c r="E432" s="12"/>
      <c r="F432" s="12"/>
      <c r="G432" s="12"/>
    </row>
    <row r="433">
      <c r="A433" s="12"/>
      <c r="B433" s="12"/>
      <c r="C433" s="12"/>
      <c r="D433" s="12"/>
      <c r="E433" s="12"/>
      <c r="F433" s="12"/>
      <c r="G433" s="12"/>
    </row>
    <row r="434">
      <c r="A434" s="12"/>
      <c r="B434" s="12"/>
      <c r="C434" s="12"/>
      <c r="D434" s="12"/>
      <c r="E434" s="12"/>
      <c r="F434" s="12"/>
      <c r="G434" s="12"/>
    </row>
    <row r="435">
      <c r="A435" s="12"/>
      <c r="B435" s="12"/>
      <c r="C435" s="12"/>
      <c r="D435" s="12"/>
      <c r="E435" s="12"/>
      <c r="F435" s="12"/>
      <c r="G435" s="12"/>
    </row>
    <row r="436">
      <c r="A436" s="12"/>
      <c r="B436" s="12"/>
      <c r="C436" s="12"/>
      <c r="D436" s="12"/>
      <c r="E436" s="12"/>
      <c r="F436" s="12"/>
      <c r="G436" s="12"/>
    </row>
    <row r="437">
      <c r="A437" s="12"/>
      <c r="B437" s="12"/>
      <c r="C437" s="12"/>
      <c r="D437" s="12"/>
      <c r="E437" s="12"/>
      <c r="F437" s="12"/>
      <c r="G437" s="12"/>
    </row>
    <row r="438">
      <c r="A438" s="12"/>
      <c r="B438" s="12"/>
      <c r="C438" s="12"/>
      <c r="D438" s="12"/>
      <c r="E438" s="12"/>
      <c r="F438" s="12"/>
      <c r="G438" s="12"/>
    </row>
    <row r="439">
      <c r="A439" s="12"/>
      <c r="B439" s="12"/>
      <c r="C439" s="12"/>
      <c r="D439" s="12"/>
      <c r="E439" s="12"/>
      <c r="F439" s="12"/>
      <c r="G439" s="12"/>
    </row>
    <row r="440">
      <c r="A440" s="12"/>
      <c r="B440" s="12"/>
      <c r="C440" s="12"/>
      <c r="D440" s="12"/>
      <c r="E440" s="12"/>
      <c r="F440" s="12"/>
      <c r="G440" s="12"/>
    </row>
    <row r="441">
      <c r="A441" s="12"/>
      <c r="B441" s="12"/>
      <c r="C441" s="12"/>
      <c r="D441" s="12"/>
      <c r="E441" s="12"/>
      <c r="F441" s="12"/>
      <c r="G441" s="12"/>
    </row>
    <row r="442">
      <c r="A442" s="12"/>
      <c r="B442" s="12"/>
      <c r="C442" s="12"/>
      <c r="D442" s="12"/>
      <c r="E442" s="12"/>
      <c r="F442" s="12"/>
      <c r="G442" s="12"/>
    </row>
    <row r="443">
      <c r="A443" s="12"/>
      <c r="B443" s="12"/>
      <c r="C443" s="12"/>
      <c r="D443" s="12"/>
      <c r="E443" s="12"/>
      <c r="F443" s="12"/>
      <c r="G443" s="12"/>
    </row>
    <row r="444">
      <c r="A444" s="12"/>
      <c r="B444" s="12"/>
      <c r="C444" s="12"/>
      <c r="D444" s="12"/>
      <c r="E444" s="12"/>
      <c r="F444" s="12"/>
      <c r="G444" s="12"/>
    </row>
    <row r="445">
      <c r="A445" s="12"/>
      <c r="B445" s="12"/>
      <c r="C445" s="12"/>
      <c r="D445" s="12"/>
      <c r="E445" s="12"/>
      <c r="F445" s="12"/>
      <c r="G445" s="12"/>
    </row>
    <row r="446">
      <c r="A446" s="12"/>
      <c r="B446" s="12"/>
      <c r="C446" s="12"/>
      <c r="D446" s="12"/>
      <c r="E446" s="12"/>
      <c r="F446" s="12"/>
      <c r="G446" s="12"/>
    </row>
    <row r="447">
      <c r="A447" s="12"/>
      <c r="B447" s="12"/>
      <c r="C447" s="12"/>
      <c r="D447" s="12"/>
      <c r="E447" s="12"/>
      <c r="F447" s="12"/>
      <c r="G447" s="12"/>
    </row>
    <row r="448">
      <c r="A448" s="12"/>
      <c r="B448" s="12"/>
      <c r="C448" s="12"/>
      <c r="D448" s="12"/>
      <c r="E448" s="12"/>
      <c r="F448" s="12"/>
      <c r="G448" s="12"/>
    </row>
    <row r="449">
      <c r="A449" s="12"/>
      <c r="B449" s="12"/>
      <c r="C449" s="12"/>
      <c r="D449" s="12"/>
      <c r="E449" s="12"/>
      <c r="F449" s="12"/>
      <c r="G449" s="12"/>
    </row>
    <row r="450">
      <c r="A450" s="12"/>
      <c r="B450" s="12"/>
      <c r="C450" s="12"/>
      <c r="D450" s="12"/>
      <c r="E450" s="12"/>
      <c r="F450" s="12"/>
      <c r="G450" s="12"/>
    </row>
    <row r="451">
      <c r="A451" s="12"/>
      <c r="B451" s="12"/>
      <c r="C451" s="12"/>
      <c r="D451" s="12"/>
      <c r="E451" s="12"/>
      <c r="F451" s="12"/>
      <c r="G451" s="12"/>
    </row>
    <row r="452">
      <c r="A452" s="12"/>
      <c r="B452" s="12"/>
      <c r="C452" s="12"/>
      <c r="D452" s="12"/>
      <c r="E452" s="12"/>
      <c r="F452" s="12"/>
      <c r="G452" s="12"/>
    </row>
    <row r="453">
      <c r="A453" s="12"/>
      <c r="B453" s="12"/>
      <c r="C453" s="12"/>
      <c r="D453" s="12"/>
      <c r="E453" s="12"/>
      <c r="F453" s="12"/>
      <c r="G453" s="12"/>
    </row>
    <row r="454">
      <c r="A454" s="12"/>
      <c r="B454" s="12"/>
      <c r="C454" s="12"/>
      <c r="D454" s="12"/>
      <c r="E454" s="12"/>
      <c r="F454" s="12"/>
      <c r="G454" s="12"/>
    </row>
    <row r="455">
      <c r="A455" s="12"/>
      <c r="B455" s="12"/>
      <c r="C455" s="12"/>
      <c r="D455" s="12"/>
      <c r="E455" s="12"/>
      <c r="F455" s="12"/>
      <c r="G455" s="12"/>
    </row>
    <row r="456">
      <c r="A456" s="12"/>
      <c r="B456" s="12"/>
      <c r="C456" s="12"/>
      <c r="D456" s="12"/>
      <c r="E456" s="12"/>
      <c r="F456" s="12"/>
      <c r="G456" s="12"/>
    </row>
    <row r="457">
      <c r="A457" s="12"/>
      <c r="B457" s="12"/>
      <c r="C457" s="12"/>
      <c r="D457" s="12"/>
      <c r="E457" s="12"/>
      <c r="F457" s="12"/>
      <c r="G457" s="12"/>
    </row>
    <row r="458">
      <c r="A458" s="12"/>
      <c r="B458" s="12"/>
      <c r="C458" s="12"/>
      <c r="D458" s="12"/>
      <c r="E458" s="12"/>
      <c r="F458" s="12"/>
      <c r="G458" s="12"/>
    </row>
    <row r="459">
      <c r="A459" s="12"/>
      <c r="B459" s="12"/>
      <c r="C459" s="12"/>
      <c r="D459" s="12"/>
      <c r="E459" s="12"/>
      <c r="F459" s="12"/>
      <c r="G459" s="12"/>
    </row>
    <row r="460">
      <c r="A460" s="12"/>
      <c r="B460" s="12"/>
      <c r="C460" s="12"/>
      <c r="D460" s="12"/>
      <c r="E460" s="12"/>
      <c r="F460" s="12"/>
      <c r="G460" s="12"/>
    </row>
    <row r="461">
      <c r="A461" s="12"/>
      <c r="B461" s="12"/>
      <c r="C461" s="12"/>
      <c r="D461" s="12"/>
      <c r="E461" s="12"/>
      <c r="F461" s="12"/>
      <c r="G461" s="12"/>
    </row>
    <row r="462">
      <c r="A462" s="12"/>
      <c r="B462" s="12"/>
      <c r="C462" s="12"/>
      <c r="D462" s="12"/>
      <c r="E462" s="12"/>
      <c r="F462" s="12"/>
      <c r="G462" s="12"/>
    </row>
    <row r="463">
      <c r="A463" s="12"/>
      <c r="B463" s="12"/>
      <c r="C463" s="12"/>
      <c r="D463" s="12"/>
      <c r="E463" s="12"/>
      <c r="F463" s="12"/>
      <c r="G463" s="12"/>
    </row>
    <row r="464">
      <c r="A464" s="12"/>
      <c r="B464" s="12"/>
      <c r="C464" s="12"/>
      <c r="D464" s="12"/>
      <c r="E464" s="12"/>
      <c r="F464" s="12"/>
      <c r="G464" s="12"/>
    </row>
    <row r="465">
      <c r="A465" s="12"/>
      <c r="B465" s="12"/>
      <c r="C465" s="12"/>
      <c r="D465" s="12"/>
      <c r="E465" s="12"/>
      <c r="F465" s="12"/>
      <c r="G465" s="12"/>
    </row>
    <row r="466">
      <c r="A466" s="12"/>
      <c r="B466" s="12"/>
      <c r="C466" s="12"/>
      <c r="D466" s="12"/>
      <c r="E466" s="12"/>
      <c r="F466" s="12"/>
      <c r="G466" s="12"/>
    </row>
    <row r="467">
      <c r="A467" s="12"/>
      <c r="B467" s="12"/>
      <c r="C467" s="12"/>
      <c r="D467" s="12"/>
      <c r="E467" s="12"/>
      <c r="F467" s="12"/>
      <c r="G467" s="12"/>
    </row>
    <row r="468">
      <c r="A468" s="12"/>
      <c r="B468" s="12"/>
      <c r="C468" s="12"/>
      <c r="D468" s="12"/>
      <c r="E468" s="12"/>
      <c r="F468" s="12"/>
      <c r="G468" s="12"/>
    </row>
    <row r="469">
      <c r="A469" s="12"/>
      <c r="B469" s="12"/>
      <c r="C469" s="12"/>
      <c r="D469" s="12"/>
      <c r="E469" s="12"/>
      <c r="F469" s="12"/>
      <c r="G469" s="12"/>
    </row>
    <row r="470">
      <c r="A470" s="12"/>
      <c r="B470" s="12"/>
      <c r="C470" s="12"/>
      <c r="D470" s="12"/>
      <c r="E470" s="12"/>
      <c r="F470" s="12"/>
      <c r="G470" s="12"/>
    </row>
    <row r="471">
      <c r="A471" s="12"/>
      <c r="B471" s="12"/>
      <c r="C471" s="12"/>
      <c r="D471" s="12"/>
      <c r="E471" s="12"/>
      <c r="F471" s="12"/>
      <c r="G471" s="12"/>
    </row>
    <row r="472">
      <c r="A472" s="12"/>
      <c r="B472" s="12"/>
      <c r="C472" s="12"/>
      <c r="D472" s="12"/>
      <c r="E472" s="12"/>
      <c r="F472" s="12"/>
      <c r="G472" s="12"/>
    </row>
    <row r="473">
      <c r="A473" s="12"/>
      <c r="B473" s="12"/>
      <c r="C473" s="12"/>
      <c r="D473" s="12"/>
      <c r="E473" s="12"/>
      <c r="F473" s="12"/>
      <c r="G473" s="12"/>
    </row>
    <row r="474">
      <c r="A474" s="12"/>
      <c r="B474" s="12"/>
      <c r="C474" s="12"/>
      <c r="D474" s="12"/>
      <c r="E474" s="12"/>
      <c r="F474" s="12"/>
      <c r="G474" s="12"/>
    </row>
    <row r="475">
      <c r="A475" s="12"/>
      <c r="B475" s="12"/>
      <c r="C475" s="12"/>
      <c r="D475" s="12"/>
      <c r="E475" s="12"/>
      <c r="F475" s="12"/>
      <c r="G475" s="12"/>
    </row>
    <row r="476">
      <c r="A476" s="12"/>
      <c r="B476" s="12"/>
      <c r="C476" s="12"/>
      <c r="D476" s="12"/>
      <c r="E476" s="12"/>
      <c r="F476" s="12"/>
      <c r="G476" s="12"/>
    </row>
    <row r="477">
      <c r="A477" s="12"/>
      <c r="B477" s="12"/>
      <c r="C477" s="12"/>
      <c r="D477" s="12"/>
      <c r="E477" s="12"/>
      <c r="F477" s="12"/>
      <c r="G477" s="12"/>
    </row>
    <row r="478">
      <c r="A478" s="12"/>
      <c r="B478" s="12"/>
      <c r="C478" s="12"/>
      <c r="D478" s="12"/>
      <c r="E478" s="12"/>
      <c r="F478" s="12"/>
      <c r="G478" s="12"/>
    </row>
    <row r="479">
      <c r="A479" s="12"/>
      <c r="B479" s="12"/>
      <c r="C479" s="12"/>
      <c r="D479" s="12"/>
      <c r="E479" s="12"/>
      <c r="F479" s="12"/>
      <c r="G479" s="12"/>
    </row>
    <row r="480">
      <c r="A480" s="12"/>
      <c r="B480" s="12"/>
      <c r="C480" s="12"/>
      <c r="D480" s="12"/>
      <c r="E480" s="12"/>
      <c r="F480" s="12"/>
      <c r="G480" s="12"/>
    </row>
    <row r="481">
      <c r="A481" s="12"/>
      <c r="B481" s="12"/>
      <c r="C481" s="12"/>
      <c r="D481" s="12"/>
      <c r="E481" s="12"/>
      <c r="F481" s="12"/>
      <c r="G481" s="12"/>
    </row>
    <row r="482">
      <c r="A482" s="12"/>
      <c r="B482" s="12"/>
      <c r="C482" s="12"/>
      <c r="D482" s="12"/>
      <c r="E482" s="12"/>
      <c r="F482" s="12"/>
      <c r="G482" s="12"/>
    </row>
    <row r="483">
      <c r="A483" s="12"/>
      <c r="B483" s="12"/>
      <c r="C483" s="12"/>
      <c r="D483" s="12"/>
      <c r="E483" s="12"/>
      <c r="F483" s="12"/>
      <c r="G483" s="12"/>
    </row>
    <row r="484">
      <c r="A484" s="12"/>
      <c r="B484" s="12"/>
      <c r="C484" s="12"/>
      <c r="D484" s="12"/>
      <c r="E484" s="12"/>
      <c r="F484" s="12"/>
      <c r="G484" s="12"/>
    </row>
    <row r="485">
      <c r="A485" s="12"/>
      <c r="B485" s="12"/>
      <c r="C485" s="12"/>
      <c r="D485" s="12"/>
      <c r="E485" s="12"/>
      <c r="F485" s="12"/>
      <c r="G485" s="12"/>
    </row>
    <row r="486">
      <c r="A486" s="12"/>
      <c r="B486" s="12"/>
      <c r="C486" s="12"/>
      <c r="D486" s="12"/>
      <c r="E486" s="12"/>
      <c r="F486" s="12"/>
      <c r="G486" s="12"/>
    </row>
    <row r="487">
      <c r="A487" s="12"/>
      <c r="B487" s="12"/>
      <c r="C487" s="12"/>
      <c r="D487" s="12"/>
      <c r="E487" s="12"/>
      <c r="F487" s="12"/>
      <c r="G487" s="12"/>
    </row>
    <row r="488">
      <c r="A488" s="12"/>
      <c r="B488" s="12"/>
      <c r="C488" s="12"/>
      <c r="D488" s="12"/>
      <c r="E488" s="12"/>
      <c r="F488" s="12"/>
      <c r="G488" s="12"/>
    </row>
    <row r="489">
      <c r="A489" s="12"/>
      <c r="B489" s="12"/>
      <c r="C489" s="12"/>
      <c r="D489" s="12"/>
      <c r="E489" s="12"/>
      <c r="F489" s="12"/>
      <c r="G489" s="12"/>
    </row>
    <row r="490">
      <c r="A490" s="12"/>
      <c r="B490" s="12"/>
      <c r="C490" s="12"/>
      <c r="D490" s="12"/>
      <c r="E490" s="12"/>
      <c r="F490" s="12"/>
      <c r="G490" s="12"/>
    </row>
    <row r="491">
      <c r="A491" s="12"/>
      <c r="B491" s="12"/>
      <c r="C491" s="12"/>
      <c r="D491" s="12"/>
      <c r="E491" s="12"/>
      <c r="F491" s="12"/>
      <c r="G491" s="12"/>
    </row>
    <row r="492">
      <c r="A492" s="12"/>
      <c r="B492" s="12"/>
      <c r="C492" s="12"/>
      <c r="D492" s="12"/>
      <c r="E492" s="12"/>
      <c r="F492" s="12"/>
      <c r="G492" s="12"/>
    </row>
    <row r="493">
      <c r="A493" s="12"/>
      <c r="B493" s="12"/>
      <c r="C493" s="12"/>
      <c r="D493" s="12"/>
      <c r="E493" s="12"/>
      <c r="F493" s="12"/>
      <c r="G493" s="12"/>
    </row>
    <row r="494">
      <c r="A494" s="12"/>
      <c r="B494" s="12"/>
      <c r="C494" s="12"/>
      <c r="D494" s="12"/>
      <c r="E494" s="12"/>
      <c r="F494" s="12"/>
      <c r="G494" s="12"/>
    </row>
    <row r="495">
      <c r="A495" s="12"/>
      <c r="B495" s="12"/>
      <c r="C495" s="12"/>
      <c r="D495" s="12"/>
      <c r="E495" s="12"/>
      <c r="F495" s="12"/>
      <c r="G495" s="12"/>
    </row>
    <row r="496">
      <c r="A496" s="12"/>
      <c r="B496" s="12"/>
      <c r="C496" s="12"/>
      <c r="D496" s="12"/>
      <c r="E496" s="12"/>
      <c r="F496" s="12"/>
      <c r="G496" s="12"/>
    </row>
    <row r="497">
      <c r="A497" s="12"/>
      <c r="B497" s="12"/>
      <c r="C497" s="12"/>
      <c r="D497" s="12"/>
      <c r="E497" s="12"/>
      <c r="F497" s="12"/>
      <c r="G497" s="12"/>
    </row>
    <row r="498">
      <c r="A498" s="12"/>
      <c r="B498" s="12"/>
      <c r="C498" s="12"/>
      <c r="D498" s="12"/>
      <c r="E498" s="12"/>
      <c r="F498" s="12"/>
      <c r="G498" s="12"/>
    </row>
    <row r="499">
      <c r="A499" s="12"/>
      <c r="B499" s="12"/>
      <c r="C499" s="12"/>
      <c r="D499" s="12"/>
      <c r="E499" s="12"/>
      <c r="F499" s="12"/>
      <c r="G499" s="12"/>
    </row>
    <row r="500">
      <c r="A500" s="12"/>
      <c r="B500" s="12"/>
      <c r="C500" s="12"/>
      <c r="D500" s="12"/>
      <c r="E500" s="12"/>
      <c r="F500" s="12"/>
      <c r="G500" s="12"/>
    </row>
    <row r="501">
      <c r="A501" s="12"/>
      <c r="B501" s="12"/>
      <c r="C501" s="12"/>
      <c r="D501" s="12"/>
      <c r="E501" s="12"/>
      <c r="F501" s="12"/>
      <c r="G501" s="12"/>
    </row>
    <row r="502">
      <c r="A502" s="12"/>
      <c r="B502" s="12"/>
      <c r="C502" s="12"/>
      <c r="D502" s="12"/>
      <c r="E502" s="12"/>
      <c r="F502" s="12"/>
      <c r="G502" s="12"/>
    </row>
    <row r="503">
      <c r="A503" s="12"/>
      <c r="B503" s="12"/>
      <c r="C503" s="12"/>
      <c r="D503" s="12"/>
      <c r="E503" s="12"/>
      <c r="F503" s="12"/>
      <c r="G503" s="12"/>
    </row>
  </sheetData>
  <conditionalFormatting sqref="A2:G503">
    <cfRule type="containsText" dxfId="0" priority="1" operator="containsText" text="RB -">
      <formula>NOT(ISERROR(SEARCH(("RB -"),(A2))))</formula>
    </cfRule>
  </conditionalFormatting>
  <conditionalFormatting sqref="A2:G503">
    <cfRule type="containsText" dxfId="1" priority="2" operator="containsText" text="QB -">
      <formula>NOT(ISERROR(SEARCH(("QB -"),(A2))))</formula>
    </cfRule>
  </conditionalFormatting>
  <conditionalFormatting sqref="A2:G503">
    <cfRule type="containsText" dxfId="2" priority="3" operator="containsText" text="TE -">
      <formula>NOT(ISERROR(SEARCH(("TE -"),(A2))))</formula>
    </cfRule>
  </conditionalFormatting>
  <conditionalFormatting sqref="A2:G503">
    <cfRule type="containsText" dxfId="3" priority="4" operator="containsText" text="WR -">
      <formula>NOT(ISERROR(SEARCH(("WR -"),(A2))))</formula>
    </cfRule>
  </conditionalFormatting>
  <conditionalFormatting sqref="A2:G503">
    <cfRule type="containsText" dxfId="4" priority="5" operator="containsText" text="DST -">
      <formula>NOT(ISERROR(SEARCH(("DST -"),(A2))))</formula>
    </cfRule>
  </conditionalFormatting>
  <conditionalFormatting sqref="A2:G503">
    <cfRule type="containsText" dxfId="5" priority="6" operator="containsText" text="K -">
      <formula>NOT(ISERROR(SEARCH(("K -"),(A2))))</formula>
    </cfRule>
  </conditionalFormatting>
  <conditionalFormatting sqref="A2">
    <cfRule type="containsText" dxfId="12" priority="7" operator="containsText" text="%">
      <formula>NOT(ISERROR(SEARCH(("%"),(A2))))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9.63"/>
    <col customWidth="1" min="3" max="3" width="20.5"/>
    <col customWidth="1" min="4" max="4" width="17.75"/>
    <col customWidth="1" min="5" max="5" width="19.25"/>
    <col customWidth="1" min="6" max="6" width="19.63"/>
    <col customWidth="1" min="7" max="7" width="17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>
      <c r="A2" s="10" t="str">
        <f>IFERROR(__xludf.DUMMYFUNCTION("QUERY('Data Format'!A2:B21,""SELECT B WHERE B IS NOT NULL LIMIT ""&amp;ROWs(A2:A21))"),"#N/A")</f>
        <v>#N/A</v>
      </c>
      <c r="B2" s="11" t="str">
        <f>IFERROR(__xludf.DUMMYFUNCTION("QUERY('Data Format'!A2:B21,""SELECT B WHERE B CONTAINS 'RB -' LIMIT ""&amp;ROWs(A2:A21))"),"#N/A")</f>
        <v>#N/A</v>
      </c>
      <c r="C2" s="10" t="str">
        <f>IFERROR(__xludf.DUMMYFUNCTION("QUERY('Data Format'!A2:B21,""SELECT B WHERE B CONTAINS 'WR -' LIMIT ""&amp;ROWs(A2:A21))"),"#N/A")</f>
        <v>#N/A</v>
      </c>
      <c r="D2" s="13" t="str">
        <f>IFERROR(__xludf.DUMMYFUNCTION("QUERY('Data Format'!A2:B21,""SELECT B WHERE B CONTAINS 'QB -' LIMIT ""&amp;ROWs(A2:A21))"),"#N/A")</f>
        <v>#N/A</v>
      </c>
      <c r="E2" s="15" t="str">
        <f>IFERROR(__xludf.DUMMYFUNCTION("QUERY('Data Format'!A2:B21,""SELECT B WHERE B CONTAINS 'TE -' LIMIT ""&amp;ROWs(A2:A21))"),"#N/A")</f>
        <v>#N/A</v>
      </c>
      <c r="F2" s="16" t="str">
        <f>IFERROR(__xludf.DUMMYFUNCTION("QUERY('Data Format'!A2:B21,""SELECT B WHERE B CONTAINS 'DST -' LIMIT ""&amp;ROWs(A2:A21))"),"#N/A")</f>
        <v>#N/A</v>
      </c>
      <c r="G2" s="17" t="str">
        <f>IFERROR(__xludf.DUMMYFUNCTION("QUERY('Data Format'!A2:B21,""SELECT B WHERE B CONTAINS 'K -' LIMIT ""&amp;ROWs(A2:A21))"),"#N/A")</f>
        <v>#N/A</v>
      </c>
    </row>
    <row r="3">
      <c r="A3" s="12"/>
      <c r="B3" s="12"/>
      <c r="C3" s="12"/>
      <c r="D3" s="12"/>
      <c r="E3" s="12"/>
      <c r="F3" s="12"/>
      <c r="G3" s="12"/>
    </row>
    <row r="4">
      <c r="A4" s="12"/>
      <c r="B4" s="12"/>
      <c r="C4" s="12"/>
      <c r="D4" s="12"/>
      <c r="E4" s="12"/>
      <c r="F4" s="12"/>
      <c r="G4" s="12"/>
    </row>
    <row r="5">
      <c r="A5" s="12"/>
      <c r="B5" s="12"/>
      <c r="C5" s="12"/>
      <c r="D5" s="12"/>
      <c r="E5" s="12"/>
      <c r="F5" s="12"/>
      <c r="G5" s="12"/>
    </row>
    <row r="6">
      <c r="A6" s="12"/>
      <c r="B6" s="12"/>
      <c r="C6" s="12"/>
      <c r="D6" s="12"/>
      <c r="E6" s="12"/>
      <c r="F6" s="12"/>
      <c r="G6" s="12"/>
    </row>
    <row r="7">
      <c r="A7" s="12"/>
      <c r="B7" s="12"/>
      <c r="C7" s="12"/>
      <c r="D7" s="12"/>
      <c r="E7" s="12"/>
      <c r="F7" s="12"/>
      <c r="G7" s="12"/>
    </row>
    <row r="8">
      <c r="A8" s="12"/>
      <c r="B8" s="12"/>
      <c r="C8" s="12"/>
      <c r="D8" s="12"/>
      <c r="E8" s="12"/>
      <c r="F8" s="12"/>
      <c r="G8" s="12"/>
    </row>
    <row r="9">
      <c r="A9" s="12"/>
      <c r="B9" s="12"/>
      <c r="C9" s="12"/>
      <c r="D9" s="12"/>
      <c r="E9" s="12"/>
      <c r="F9" s="12"/>
      <c r="G9" s="12"/>
    </row>
    <row r="10">
      <c r="A10" s="12"/>
      <c r="B10" s="12"/>
      <c r="C10" s="12"/>
      <c r="D10" s="12"/>
      <c r="E10" s="12"/>
      <c r="F10" s="12"/>
      <c r="G10" s="12"/>
    </row>
    <row r="11">
      <c r="A11" s="12"/>
      <c r="B11" s="12"/>
      <c r="C11" s="12"/>
      <c r="D11" s="12"/>
      <c r="E11" s="12"/>
      <c r="F11" s="12"/>
      <c r="G11" s="12"/>
    </row>
    <row r="12">
      <c r="A12" s="12"/>
      <c r="B12" s="12"/>
      <c r="C12" s="12"/>
      <c r="D12" s="12"/>
      <c r="E12" s="12"/>
      <c r="F12" s="12"/>
      <c r="G12" s="12"/>
    </row>
    <row r="13">
      <c r="A13" s="12"/>
      <c r="B13" s="12"/>
      <c r="C13" s="12"/>
      <c r="D13" s="12"/>
      <c r="E13" s="12"/>
      <c r="F13" s="12"/>
      <c r="G13" s="12"/>
    </row>
    <row r="14">
      <c r="A14" s="12"/>
      <c r="B14" s="12"/>
      <c r="C14" s="12"/>
      <c r="D14" s="12"/>
      <c r="E14" s="12"/>
      <c r="F14" s="12"/>
      <c r="G14" s="12"/>
    </row>
    <row r="15">
      <c r="A15" s="12"/>
      <c r="B15" s="12"/>
      <c r="C15" s="12"/>
      <c r="D15" s="12"/>
      <c r="E15" s="12"/>
      <c r="F15" s="12"/>
      <c r="G15" s="12"/>
    </row>
    <row r="16">
      <c r="A16" s="12"/>
      <c r="B16" s="12"/>
      <c r="C16" s="12"/>
      <c r="D16" s="12"/>
      <c r="E16" s="12"/>
      <c r="F16" s="12"/>
      <c r="G16" s="12"/>
    </row>
    <row r="17">
      <c r="A17" s="12"/>
      <c r="B17" s="12"/>
      <c r="C17" s="12"/>
      <c r="D17" s="12"/>
      <c r="E17" s="12"/>
      <c r="F17" s="12"/>
      <c r="G17" s="12"/>
    </row>
    <row r="18">
      <c r="A18" s="12"/>
      <c r="B18" s="12"/>
      <c r="C18" s="12"/>
      <c r="D18" s="12"/>
      <c r="E18" s="12"/>
      <c r="F18" s="12"/>
      <c r="G18" s="12"/>
    </row>
    <row r="19">
      <c r="A19" s="12"/>
      <c r="B19" s="12"/>
      <c r="C19" s="12"/>
      <c r="D19" s="12"/>
      <c r="E19" s="12"/>
      <c r="F19" s="12"/>
      <c r="G19" s="12"/>
    </row>
    <row r="20">
      <c r="A20" s="12"/>
      <c r="B20" s="12"/>
      <c r="C20" s="12"/>
      <c r="D20" s="12"/>
      <c r="E20" s="12"/>
      <c r="F20" s="12"/>
      <c r="G20" s="12"/>
    </row>
    <row r="21">
      <c r="A21" s="12"/>
      <c r="B21" s="12"/>
      <c r="C21" s="12"/>
      <c r="D21" s="12"/>
      <c r="E21" s="12"/>
      <c r="F21" s="12"/>
      <c r="G21" s="12"/>
    </row>
  </sheetData>
  <conditionalFormatting sqref="A2:A21 B2:G21">
    <cfRule type="containsText" dxfId="0" priority="1" operator="containsText" text="RB -">
      <formula>NOT(ISERROR(SEARCH(("RB -"),(A2))))</formula>
    </cfRule>
  </conditionalFormatting>
  <conditionalFormatting sqref="A2:A21 B2:G21">
    <cfRule type="containsText" dxfId="1" priority="2" operator="containsText" text="QB -">
      <formula>NOT(ISERROR(SEARCH(("QB -"),(A2))))</formula>
    </cfRule>
  </conditionalFormatting>
  <conditionalFormatting sqref="A2:A21 B2:G21">
    <cfRule type="containsText" dxfId="2" priority="3" operator="containsText" text="TE -">
      <formula>NOT(ISERROR(SEARCH(("TE -"),(A2))))</formula>
    </cfRule>
  </conditionalFormatting>
  <conditionalFormatting sqref="A2:A21 B2:G21">
    <cfRule type="containsText" dxfId="3" priority="4" operator="containsText" text="WR -">
      <formula>NOT(ISERROR(SEARCH(("WR -"),(A2))))</formula>
    </cfRule>
  </conditionalFormatting>
  <conditionalFormatting sqref="A2:A21 B2:G21">
    <cfRule type="containsText" dxfId="4" priority="5" operator="containsText" text="DST -">
      <formula>NOT(ISERROR(SEARCH(("DST -"),(A2))))</formula>
    </cfRule>
  </conditionalFormatting>
  <conditionalFormatting sqref="A2:A21 B2:G21">
    <cfRule type="containsText" dxfId="5" priority="6" operator="containsText" text="K -">
      <formula>NOT(ISERROR(SEARCH(("K -"),(A2))))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7.75"/>
    <col customWidth="1" min="3" max="3" width="6.5"/>
    <col customWidth="1" min="4" max="4" width="5.5"/>
    <col customWidth="1" min="5" max="5" width="7.0"/>
    <col customWidth="1" min="6" max="6" width="4.5"/>
    <col customWidth="1" min="7" max="7" width="8.5"/>
    <col customWidth="1" min="8" max="8" width="7.0"/>
    <col customWidth="1" min="9" max="9" width="5.13"/>
    <col customWidth="1" min="10" max="10" width="9.13"/>
    <col customWidth="1" min="11" max="14" width="8.63"/>
    <col customWidth="1" min="15" max="15" width="61.0"/>
    <col customWidth="1" min="16" max="19" width="8.63"/>
  </cols>
  <sheetData>
    <row r="1">
      <c r="A1" s="21" t="s">
        <v>29</v>
      </c>
      <c r="B1" s="21" t="s">
        <v>31</v>
      </c>
      <c r="C1" s="21" t="s">
        <v>32</v>
      </c>
      <c r="D1" s="21" t="s">
        <v>33</v>
      </c>
      <c r="E1" s="21" t="s">
        <v>34</v>
      </c>
      <c r="F1" s="21" t="s">
        <v>35</v>
      </c>
      <c r="G1" s="21" t="s">
        <v>36</v>
      </c>
      <c r="H1" s="21" t="s">
        <v>37</v>
      </c>
      <c r="I1" s="21" t="s">
        <v>38</v>
      </c>
      <c r="J1" s="21" t="s">
        <v>39</v>
      </c>
      <c r="K1" s="22"/>
      <c r="L1" s="22"/>
      <c r="M1" s="22"/>
      <c r="N1" s="22"/>
      <c r="O1" s="23" t="s">
        <v>40</v>
      </c>
    </row>
    <row r="2">
      <c r="A2" s="24">
        <v>1.0</v>
      </c>
      <c r="B2" s="25" t="s">
        <v>42</v>
      </c>
      <c r="C2" s="25" t="s">
        <v>43</v>
      </c>
      <c r="D2" s="25">
        <v>1.0</v>
      </c>
      <c r="E2" s="25">
        <v>1.0</v>
      </c>
      <c r="F2" s="25">
        <v>1.0</v>
      </c>
      <c r="G2" s="25">
        <v>1.0</v>
      </c>
      <c r="H2" s="25">
        <v>1.0</v>
      </c>
      <c r="I2" s="25">
        <v>1.0</v>
      </c>
      <c r="J2" s="25">
        <v>1.0</v>
      </c>
      <c r="K2" s="26"/>
      <c r="L2" s="26"/>
      <c r="M2" s="26"/>
      <c r="N2" s="26"/>
      <c r="O2" s="26"/>
      <c r="P2" s="26"/>
      <c r="Q2" s="26"/>
      <c r="R2" s="26"/>
      <c r="S2" s="26"/>
    </row>
    <row r="3">
      <c r="A3" s="24">
        <v>2.0</v>
      </c>
      <c r="B3" s="25" t="s">
        <v>44</v>
      </c>
      <c r="C3" s="25" t="s">
        <v>45</v>
      </c>
      <c r="D3" s="25">
        <v>2.0</v>
      </c>
      <c r="E3" s="25">
        <v>2.0</v>
      </c>
      <c r="F3" s="25">
        <v>2.0</v>
      </c>
      <c r="G3" s="25">
        <v>2.0</v>
      </c>
      <c r="H3" s="25">
        <v>2.0</v>
      </c>
      <c r="I3" s="25">
        <v>2.0</v>
      </c>
      <c r="J3" s="25">
        <v>2.0</v>
      </c>
      <c r="K3" s="26"/>
      <c r="L3" s="26"/>
      <c r="M3" s="26"/>
      <c r="N3" s="26"/>
      <c r="O3" s="26"/>
      <c r="P3" s="26"/>
      <c r="Q3" s="26"/>
      <c r="R3" s="26"/>
      <c r="S3" s="26"/>
    </row>
    <row r="4">
      <c r="A4" s="24">
        <v>3.0</v>
      </c>
      <c r="B4" s="25" t="s">
        <v>46</v>
      </c>
      <c r="C4" s="25" t="s">
        <v>47</v>
      </c>
      <c r="D4" s="25">
        <v>3.0</v>
      </c>
      <c r="E4" s="25">
        <v>3.0</v>
      </c>
      <c r="F4" s="25">
        <v>3.0</v>
      </c>
      <c r="G4" s="25">
        <v>3.0</v>
      </c>
      <c r="H4" s="25">
        <v>3.0</v>
      </c>
      <c r="I4" s="25">
        <v>3.0</v>
      </c>
      <c r="J4" s="25">
        <v>3.0</v>
      </c>
      <c r="K4" s="26"/>
      <c r="L4" s="26"/>
      <c r="M4" s="26"/>
      <c r="N4" s="26"/>
      <c r="O4" s="26"/>
      <c r="P4" s="26"/>
      <c r="Q4" s="26"/>
      <c r="R4" s="26"/>
      <c r="S4" s="26"/>
    </row>
    <row r="5">
      <c r="A5" s="24">
        <v>4.0</v>
      </c>
      <c r="B5" s="25" t="s">
        <v>48</v>
      </c>
      <c r="C5" s="25" t="s">
        <v>49</v>
      </c>
      <c r="D5" s="25">
        <v>4.0</v>
      </c>
      <c r="E5" s="25">
        <v>4.0</v>
      </c>
      <c r="F5" s="25">
        <v>5.0</v>
      </c>
      <c r="G5" s="25">
        <v>4.0</v>
      </c>
      <c r="H5" s="25">
        <v>4.0</v>
      </c>
      <c r="I5" s="25">
        <v>4.2</v>
      </c>
      <c r="J5" s="25">
        <v>4.0</v>
      </c>
      <c r="K5" s="26"/>
      <c r="L5" s="26"/>
      <c r="M5" s="26"/>
      <c r="N5" s="26"/>
      <c r="O5" s="26"/>
      <c r="P5" s="26"/>
      <c r="Q5" s="26"/>
      <c r="R5" s="26"/>
      <c r="S5" s="26"/>
    </row>
    <row r="6">
      <c r="A6" s="24">
        <v>5.0</v>
      </c>
      <c r="B6" s="25" t="s">
        <v>50</v>
      </c>
      <c r="C6" s="25" t="s">
        <v>51</v>
      </c>
      <c r="D6" s="25">
        <v>6.0</v>
      </c>
      <c r="E6" s="25">
        <v>5.0</v>
      </c>
      <c r="F6" s="25">
        <v>7.0</v>
      </c>
      <c r="G6" s="25">
        <v>5.0</v>
      </c>
      <c r="H6" s="25">
        <v>5.0</v>
      </c>
      <c r="I6" s="25">
        <v>5.6</v>
      </c>
      <c r="J6" s="25">
        <v>5.0</v>
      </c>
      <c r="K6" s="22"/>
      <c r="L6" s="22"/>
      <c r="M6" s="22"/>
      <c r="N6" s="22"/>
      <c r="O6" s="22"/>
      <c r="P6" s="22"/>
      <c r="Q6" s="22"/>
      <c r="R6" s="22"/>
      <c r="S6" s="22"/>
    </row>
    <row r="7">
      <c r="A7" s="24">
        <v>6.0</v>
      </c>
      <c r="B7" s="25" t="s">
        <v>52</v>
      </c>
      <c r="C7" s="25" t="s">
        <v>53</v>
      </c>
      <c r="D7" s="25">
        <v>5.0</v>
      </c>
      <c r="E7" s="25">
        <v>6.0</v>
      </c>
      <c r="F7" s="25">
        <v>6.0</v>
      </c>
      <c r="G7" s="25">
        <v>6.0</v>
      </c>
      <c r="H7" s="25">
        <v>6.0</v>
      </c>
      <c r="I7" s="25">
        <v>5.8</v>
      </c>
      <c r="J7" s="25">
        <v>6.0</v>
      </c>
      <c r="K7" s="22"/>
      <c r="L7" s="22"/>
      <c r="M7" s="22"/>
      <c r="N7" s="22"/>
      <c r="O7" s="22"/>
      <c r="P7" s="22"/>
      <c r="Q7" s="22"/>
      <c r="R7" s="22"/>
      <c r="S7" s="22"/>
    </row>
    <row r="8">
      <c r="A8" s="24">
        <v>7.0</v>
      </c>
      <c r="B8" s="25" t="s">
        <v>54</v>
      </c>
      <c r="C8" s="25" t="s">
        <v>55</v>
      </c>
      <c r="D8" s="25">
        <v>7.0</v>
      </c>
      <c r="E8" s="25">
        <v>7.0</v>
      </c>
      <c r="F8" s="25">
        <v>4.0</v>
      </c>
      <c r="G8" s="25">
        <v>7.0</v>
      </c>
      <c r="H8" s="25">
        <v>7.0</v>
      </c>
      <c r="I8" s="25">
        <v>6.4</v>
      </c>
      <c r="J8" s="25">
        <v>7.0</v>
      </c>
      <c r="K8" s="22"/>
      <c r="L8" s="22"/>
      <c r="M8" s="22"/>
      <c r="N8" s="22"/>
      <c r="O8" s="22"/>
      <c r="P8" s="22"/>
      <c r="Q8" s="22"/>
      <c r="R8" s="22"/>
      <c r="S8" s="22"/>
    </row>
    <row r="9">
      <c r="A9" s="24">
        <v>8.0</v>
      </c>
      <c r="B9" s="25" t="s">
        <v>56</v>
      </c>
      <c r="C9" s="25" t="s">
        <v>57</v>
      </c>
      <c r="D9" s="25">
        <v>8.0</v>
      </c>
      <c r="E9" s="25">
        <v>8.0</v>
      </c>
      <c r="F9" s="25">
        <v>8.0</v>
      </c>
      <c r="G9" s="25">
        <v>8.0</v>
      </c>
      <c r="H9" s="25">
        <v>8.0</v>
      </c>
      <c r="I9" s="25">
        <v>8.0</v>
      </c>
      <c r="J9" s="25">
        <v>8.0</v>
      </c>
      <c r="K9" s="22"/>
      <c r="L9" s="22"/>
      <c r="M9" s="22"/>
      <c r="N9" s="22"/>
      <c r="O9" s="22"/>
      <c r="P9" s="22"/>
      <c r="Q9" s="22"/>
      <c r="R9" s="22"/>
      <c r="S9" s="22"/>
    </row>
    <row r="10">
      <c r="A10" s="24">
        <v>9.0</v>
      </c>
      <c r="B10" s="25" t="s">
        <v>58</v>
      </c>
      <c r="C10" s="25" t="s">
        <v>59</v>
      </c>
      <c r="D10" s="25">
        <v>12.0</v>
      </c>
      <c r="E10" s="25">
        <v>10.0</v>
      </c>
      <c r="F10" s="25">
        <v>9.0</v>
      </c>
      <c r="G10" s="25">
        <v>9.0</v>
      </c>
      <c r="H10" s="25">
        <v>9.0</v>
      </c>
      <c r="I10" s="25">
        <v>9.8</v>
      </c>
      <c r="J10" s="25" t="s">
        <v>60</v>
      </c>
      <c r="K10" s="26"/>
      <c r="L10" s="26"/>
      <c r="M10" s="26"/>
      <c r="N10" s="26"/>
      <c r="O10" s="26"/>
      <c r="P10" s="26"/>
      <c r="Q10" s="26"/>
      <c r="R10" s="26"/>
      <c r="S10" s="26"/>
    </row>
    <row r="11">
      <c r="A11" s="24">
        <v>10.0</v>
      </c>
      <c r="B11" s="25" t="s">
        <v>61</v>
      </c>
      <c r="C11" s="25" t="s">
        <v>62</v>
      </c>
      <c r="D11" s="25">
        <v>10.0</v>
      </c>
      <c r="E11" s="25">
        <v>12.0</v>
      </c>
      <c r="F11" s="25">
        <v>10.0</v>
      </c>
      <c r="G11" s="25">
        <v>10.0</v>
      </c>
      <c r="H11" s="25">
        <v>13.0</v>
      </c>
      <c r="I11" s="25">
        <v>11.0</v>
      </c>
      <c r="J11" s="25" t="s">
        <v>63</v>
      </c>
      <c r="K11" s="22"/>
      <c r="L11" s="22"/>
      <c r="M11" s="22"/>
      <c r="N11" s="22"/>
      <c r="O11" s="22"/>
      <c r="P11" s="22"/>
      <c r="Q11" s="22"/>
      <c r="R11" s="22"/>
      <c r="S11" s="22"/>
    </row>
    <row r="12">
      <c r="A12" s="24">
        <v>11.0</v>
      </c>
      <c r="B12" s="25" t="s">
        <v>64</v>
      </c>
      <c r="C12" s="25" t="s">
        <v>65</v>
      </c>
      <c r="D12" s="25">
        <v>9.0</v>
      </c>
      <c r="E12" s="25">
        <v>9.0</v>
      </c>
      <c r="F12" s="25">
        <v>14.0</v>
      </c>
      <c r="G12" s="25">
        <v>13.0</v>
      </c>
      <c r="H12" s="25">
        <v>11.0</v>
      </c>
      <c r="I12" s="25">
        <v>11.2</v>
      </c>
      <c r="J12" s="25" t="s">
        <v>66</v>
      </c>
      <c r="K12" s="22"/>
      <c r="L12" s="22"/>
      <c r="M12" s="22"/>
      <c r="N12" s="22"/>
      <c r="O12" s="22"/>
      <c r="P12" s="22"/>
      <c r="Q12" s="22"/>
      <c r="R12" s="22"/>
      <c r="S12" s="22"/>
    </row>
    <row r="13">
      <c r="A13" s="24">
        <v>12.0</v>
      </c>
      <c r="B13" s="25" t="s">
        <v>67</v>
      </c>
      <c r="C13" s="25" t="s">
        <v>68</v>
      </c>
      <c r="D13" s="25">
        <v>11.0</v>
      </c>
      <c r="E13" s="25">
        <v>11.0</v>
      </c>
      <c r="F13" s="25">
        <v>16.0</v>
      </c>
      <c r="G13" s="25">
        <v>12.0</v>
      </c>
      <c r="H13" s="25">
        <v>10.0</v>
      </c>
      <c r="I13" s="25">
        <v>12.0</v>
      </c>
      <c r="J13" s="25">
        <v>12.0</v>
      </c>
      <c r="K13" s="22"/>
      <c r="L13" s="22"/>
      <c r="M13" s="22"/>
      <c r="N13" s="22"/>
      <c r="O13" s="22"/>
      <c r="P13" s="22"/>
      <c r="Q13" s="22"/>
      <c r="R13" s="22"/>
      <c r="S13" s="22"/>
    </row>
    <row r="14">
      <c r="A14" s="24">
        <v>13.0</v>
      </c>
      <c r="B14" s="25" t="s">
        <v>69</v>
      </c>
      <c r="C14" s="25" t="s">
        <v>70</v>
      </c>
      <c r="D14" s="25">
        <v>13.0</v>
      </c>
      <c r="E14" s="25">
        <v>13.0</v>
      </c>
      <c r="F14" s="25">
        <v>13.0</v>
      </c>
      <c r="G14" s="25">
        <v>14.0</v>
      </c>
      <c r="H14" s="25">
        <v>14.0</v>
      </c>
      <c r="I14" s="25">
        <v>13.4</v>
      </c>
      <c r="J14" s="25" t="s">
        <v>71</v>
      </c>
      <c r="K14" s="22"/>
      <c r="L14" s="22"/>
      <c r="M14" s="22"/>
      <c r="N14" s="22"/>
      <c r="O14" s="22"/>
      <c r="P14" s="22"/>
      <c r="Q14" s="22"/>
      <c r="R14" s="22"/>
      <c r="S14" s="22"/>
    </row>
    <row r="15">
      <c r="A15" s="24">
        <v>14.0</v>
      </c>
      <c r="B15" s="25" t="s">
        <v>72</v>
      </c>
      <c r="C15" s="25" t="s">
        <v>73</v>
      </c>
      <c r="D15" s="25">
        <v>20.0</v>
      </c>
      <c r="E15" s="25">
        <v>16.0</v>
      </c>
      <c r="F15" s="25">
        <v>11.0</v>
      </c>
      <c r="G15" s="25">
        <v>11.0</v>
      </c>
      <c r="H15" s="25">
        <v>12.0</v>
      </c>
      <c r="I15" s="25">
        <v>14.0</v>
      </c>
      <c r="J15" s="25">
        <v>14.0</v>
      </c>
      <c r="K15" s="26"/>
      <c r="L15" s="26"/>
      <c r="M15" s="26"/>
      <c r="N15" s="26"/>
      <c r="O15" s="26"/>
      <c r="P15" s="26"/>
      <c r="Q15" s="26"/>
      <c r="R15" s="26"/>
      <c r="S15" s="26"/>
    </row>
    <row r="16">
      <c r="A16" s="24">
        <v>15.0</v>
      </c>
      <c r="B16" s="25" t="s">
        <v>74</v>
      </c>
      <c r="C16" s="25" t="s">
        <v>75</v>
      </c>
      <c r="D16" s="25">
        <v>14.0</v>
      </c>
      <c r="E16" s="25">
        <v>14.0</v>
      </c>
      <c r="F16" s="25">
        <v>15.0</v>
      </c>
      <c r="G16" s="25">
        <v>16.0</v>
      </c>
      <c r="H16" s="25">
        <v>18.0</v>
      </c>
      <c r="I16" s="25">
        <v>15.4</v>
      </c>
      <c r="J16" s="25" t="s">
        <v>76</v>
      </c>
      <c r="K16" s="26"/>
      <c r="L16" s="26"/>
      <c r="M16" s="26"/>
      <c r="N16" s="26"/>
      <c r="O16" s="26"/>
      <c r="P16" s="26"/>
      <c r="Q16" s="26"/>
      <c r="R16" s="26"/>
      <c r="S16" s="26"/>
    </row>
    <row r="17">
      <c r="A17" s="24">
        <v>16.0</v>
      </c>
      <c r="B17" s="25" t="s">
        <v>77</v>
      </c>
      <c r="C17" s="25" t="s">
        <v>78</v>
      </c>
      <c r="D17" s="25">
        <v>16.0</v>
      </c>
      <c r="E17" s="25">
        <v>20.0</v>
      </c>
      <c r="F17" s="25">
        <v>12.0</v>
      </c>
      <c r="G17" s="25">
        <v>18.0</v>
      </c>
      <c r="H17" s="25">
        <v>20.0</v>
      </c>
      <c r="I17" s="25">
        <v>17.2</v>
      </c>
      <c r="J17" s="25" t="s">
        <v>79</v>
      </c>
      <c r="K17" s="26"/>
      <c r="L17" s="26"/>
      <c r="M17" s="26"/>
      <c r="N17" s="26"/>
      <c r="O17" s="26"/>
      <c r="P17" s="26"/>
      <c r="Q17" s="26"/>
      <c r="R17" s="26"/>
      <c r="S17" s="26"/>
    </row>
    <row r="18">
      <c r="A18" s="24">
        <v>17.0</v>
      </c>
      <c r="B18" s="25" t="s">
        <v>80</v>
      </c>
      <c r="C18" s="25" t="s">
        <v>81</v>
      </c>
      <c r="D18" s="25">
        <v>24.0</v>
      </c>
      <c r="E18" s="25">
        <v>15.0</v>
      </c>
      <c r="F18" s="25">
        <v>20.0</v>
      </c>
      <c r="G18" s="25">
        <v>15.0</v>
      </c>
      <c r="H18" s="25">
        <v>15.0</v>
      </c>
      <c r="I18" s="25">
        <v>17.8</v>
      </c>
      <c r="J18" s="25" t="s">
        <v>82</v>
      </c>
      <c r="K18" s="26"/>
      <c r="L18" s="26"/>
      <c r="M18" s="26"/>
      <c r="N18" s="26"/>
      <c r="O18" s="26"/>
      <c r="P18" s="26"/>
      <c r="Q18" s="26"/>
      <c r="R18" s="26"/>
      <c r="S18" s="26"/>
    </row>
    <row r="19">
      <c r="A19" s="24">
        <v>18.0</v>
      </c>
      <c r="B19" s="25" t="s">
        <v>83</v>
      </c>
      <c r="C19" s="25" t="s">
        <v>84</v>
      </c>
      <c r="D19" s="25">
        <v>21.0</v>
      </c>
      <c r="E19" s="25">
        <v>19.0</v>
      </c>
      <c r="F19" s="25">
        <v>17.0</v>
      </c>
      <c r="G19" s="25">
        <v>17.0</v>
      </c>
      <c r="H19" s="25">
        <v>16.0</v>
      </c>
      <c r="I19" s="25">
        <v>18.0</v>
      </c>
      <c r="J19" s="25" t="s">
        <v>85</v>
      </c>
      <c r="K19" s="22"/>
      <c r="L19" s="22"/>
      <c r="M19" s="22"/>
      <c r="N19" s="22"/>
      <c r="O19" s="22"/>
      <c r="P19" s="22"/>
      <c r="Q19" s="22"/>
      <c r="R19" s="22"/>
      <c r="S19" s="22"/>
    </row>
    <row r="20">
      <c r="A20" s="24">
        <v>19.0</v>
      </c>
      <c r="B20" s="25" t="s">
        <v>86</v>
      </c>
      <c r="C20" s="25" t="s">
        <v>87</v>
      </c>
      <c r="D20" s="25">
        <v>15.0</v>
      </c>
      <c r="E20" s="25">
        <v>17.0</v>
      </c>
      <c r="F20" s="25">
        <v>18.0</v>
      </c>
      <c r="G20" s="25">
        <v>21.0</v>
      </c>
      <c r="H20" s="25">
        <v>21.0</v>
      </c>
      <c r="I20" s="25">
        <v>18.4</v>
      </c>
      <c r="J20" s="25">
        <v>19.0</v>
      </c>
      <c r="K20" s="22"/>
      <c r="L20" s="22"/>
      <c r="M20" s="22"/>
      <c r="N20" s="22"/>
      <c r="O20" s="22"/>
      <c r="P20" s="22"/>
      <c r="Q20" s="22"/>
      <c r="R20" s="22"/>
      <c r="S20" s="22"/>
    </row>
    <row r="21">
      <c r="A21" s="24">
        <v>20.0</v>
      </c>
      <c r="B21" s="25" t="s">
        <v>88</v>
      </c>
      <c r="C21" s="25" t="s">
        <v>89</v>
      </c>
      <c r="D21" s="25">
        <v>25.0</v>
      </c>
      <c r="E21" s="25">
        <v>18.0</v>
      </c>
      <c r="F21" s="25">
        <v>21.0</v>
      </c>
      <c r="G21" s="25">
        <v>19.0</v>
      </c>
      <c r="H21" s="25">
        <v>17.0</v>
      </c>
      <c r="I21" s="25">
        <v>20.0</v>
      </c>
      <c r="J21" s="25" t="s">
        <v>90</v>
      </c>
      <c r="K21" s="22"/>
      <c r="L21" s="22"/>
      <c r="M21" s="22"/>
      <c r="N21" s="22"/>
      <c r="O21" s="22"/>
      <c r="P21" s="22"/>
      <c r="Q21" s="22"/>
      <c r="R21" s="22"/>
      <c r="S21" s="22"/>
    </row>
    <row r="22">
      <c r="A22" s="24">
        <v>21.0</v>
      </c>
      <c r="B22" s="25" t="s">
        <v>91</v>
      </c>
      <c r="C22" s="25" t="s">
        <v>92</v>
      </c>
      <c r="D22" s="25">
        <v>17.0</v>
      </c>
      <c r="E22" s="25">
        <v>21.0</v>
      </c>
      <c r="F22" s="25">
        <v>28.0</v>
      </c>
      <c r="G22" s="25">
        <v>20.0</v>
      </c>
      <c r="H22" s="25">
        <v>25.0</v>
      </c>
      <c r="I22" s="25">
        <v>22.2</v>
      </c>
      <c r="J22" s="25" t="s">
        <v>93</v>
      </c>
      <c r="K22" s="22"/>
      <c r="L22" s="22"/>
      <c r="M22" s="22"/>
      <c r="N22" s="22"/>
      <c r="O22" s="22"/>
      <c r="P22" s="22"/>
      <c r="Q22" s="22"/>
      <c r="R22" s="22"/>
      <c r="S22" s="22"/>
    </row>
    <row r="23">
      <c r="A23" s="24">
        <v>22.0</v>
      </c>
      <c r="B23" s="25" t="s">
        <v>94</v>
      </c>
      <c r="C23" s="25" t="s">
        <v>95</v>
      </c>
      <c r="D23" s="25">
        <v>23.0</v>
      </c>
      <c r="E23" s="25">
        <v>23.0</v>
      </c>
      <c r="F23" s="25">
        <v>27.0</v>
      </c>
      <c r="G23" s="25">
        <v>24.0</v>
      </c>
      <c r="H23" s="25">
        <v>19.0</v>
      </c>
      <c r="I23" s="25">
        <v>23.2</v>
      </c>
      <c r="J23" s="25">
        <v>22.0</v>
      </c>
      <c r="K23" s="22"/>
      <c r="L23" s="22"/>
      <c r="M23" s="22"/>
      <c r="N23" s="22"/>
      <c r="O23" s="22"/>
      <c r="P23" s="22"/>
      <c r="Q23" s="22"/>
      <c r="R23" s="22"/>
      <c r="S23" s="22"/>
    </row>
    <row r="24">
      <c r="A24" s="24">
        <v>23.0</v>
      </c>
      <c r="B24" s="25" t="s">
        <v>96</v>
      </c>
      <c r="C24" s="25" t="s">
        <v>97</v>
      </c>
      <c r="D24" s="25">
        <v>18.0</v>
      </c>
      <c r="E24" s="25">
        <v>22.0</v>
      </c>
      <c r="F24" s="25">
        <v>19.0</v>
      </c>
      <c r="G24" s="25">
        <v>27.0</v>
      </c>
      <c r="H24" s="25">
        <v>31.0</v>
      </c>
      <c r="I24" s="25">
        <v>23.4</v>
      </c>
      <c r="J24" s="25" t="s">
        <v>98</v>
      </c>
      <c r="K24" s="22"/>
      <c r="L24" s="22"/>
      <c r="M24" s="22"/>
      <c r="N24" s="22"/>
      <c r="O24" s="22"/>
      <c r="P24" s="22"/>
      <c r="Q24" s="22"/>
      <c r="R24" s="22"/>
      <c r="S24" s="22"/>
    </row>
    <row r="25">
      <c r="A25" s="24">
        <v>24.0</v>
      </c>
      <c r="B25" s="25" t="s">
        <v>99</v>
      </c>
      <c r="C25" s="25" t="s">
        <v>100</v>
      </c>
      <c r="D25" s="25">
        <v>26.0</v>
      </c>
      <c r="E25" s="25">
        <v>25.0</v>
      </c>
      <c r="F25" s="25">
        <v>25.0</v>
      </c>
      <c r="G25" s="25">
        <v>25.0</v>
      </c>
      <c r="H25" s="25">
        <v>22.0</v>
      </c>
      <c r="I25" s="25">
        <v>24.6</v>
      </c>
      <c r="J25" s="25" t="s">
        <v>101</v>
      </c>
      <c r="K25" s="22"/>
      <c r="L25" s="22"/>
      <c r="M25" s="22"/>
      <c r="N25" s="22"/>
      <c r="O25" s="22"/>
      <c r="P25" s="22"/>
      <c r="Q25" s="22"/>
      <c r="R25" s="22"/>
      <c r="S25" s="22"/>
    </row>
    <row r="26">
      <c r="A26" s="24">
        <v>25.0</v>
      </c>
      <c r="B26" s="25" t="s">
        <v>102</v>
      </c>
      <c r="C26" s="25" t="s">
        <v>103</v>
      </c>
      <c r="D26" s="25">
        <v>27.0</v>
      </c>
      <c r="E26" s="25">
        <v>24.0</v>
      </c>
      <c r="F26" s="25">
        <v>22.0</v>
      </c>
      <c r="G26" s="25">
        <v>26.0</v>
      </c>
      <c r="H26" s="25">
        <v>26.0</v>
      </c>
      <c r="I26" s="25">
        <v>25.0</v>
      </c>
      <c r="J26" s="25" t="s">
        <v>104</v>
      </c>
      <c r="K26" s="26"/>
      <c r="L26" s="26"/>
      <c r="M26" s="26"/>
      <c r="N26" s="26"/>
      <c r="O26" s="26"/>
      <c r="P26" s="26"/>
      <c r="Q26" s="26"/>
      <c r="R26" s="26"/>
      <c r="S26" s="26"/>
    </row>
    <row r="27">
      <c r="A27" s="24">
        <v>26.0</v>
      </c>
      <c r="B27" s="25" t="s">
        <v>105</v>
      </c>
      <c r="C27" s="25" t="s">
        <v>106</v>
      </c>
      <c r="D27" s="25">
        <v>19.0</v>
      </c>
      <c r="E27" s="25">
        <v>27.0</v>
      </c>
      <c r="F27" s="25">
        <v>23.0</v>
      </c>
      <c r="G27" s="25">
        <v>33.0</v>
      </c>
      <c r="H27" s="25">
        <v>28.0</v>
      </c>
      <c r="I27" s="25">
        <v>26.0</v>
      </c>
      <c r="J27" s="25" t="s">
        <v>107</v>
      </c>
      <c r="K27" s="22"/>
      <c r="L27" s="22"/>
      <c r="M27" s="22"/>
      <c r="N27" s="22"/>
      <c r="O27" s="22"/>
      <c r="P27" s="22"/>
      <c r="Q27" s="22"/>
      <c r="R27" s="22"/>
      <c r="S27" s="22"/>
    </row>
    <row r="28">
      <c r="A28" s="24">
        <v>27.0</v>
      </c>
      <c r="B28" s="25" t="s">
        <v>108</v>
      </c>
      <c r="C28" s="25" t="s">
        <v>109</v>
      </c>
      <c r="D28" s="25">
        <v>28.0</v>
      </c>
      <c r="E28" s="25">
        <v>30.0</v>
      </c>
      <c r="F28" s="25">
        <v>29.0</v>
      </c>
      <c r="G28" s="25">
        <v>22.0</v>
      </c>
      <c r="H28" s="25">
        <v>24.0</v>
      </c>
      <c r="I28" s="25">
        <v>26.6</v>
      </c>
      <c r="J28" s="25" t="s">
        <v>110</v>
      </c>
      <c r="K28" s="22"/>
      <c r="L28" s="22"/>
      <c r="M28" s="22"/>
      <c r="N28" s="22"/>
      <c r="O28" s="22"/>
      <c r="P28" s="22"/>
      <c r="Q28" s="22"/>
      <c r="R28" s="22"/>
      <c r="S28" s="22"/>
    </row>
    <row r="29">
      <c r="A29" s="24">
        <v>28.0</v>
      </c>
      <c r="B29" s="25" t="s">
        <v>111</v>
      </c>
      <c r="C29" s="25" t="s">
        <v>112</v>
      </c>
      <c r="D29" s="25">
        <v>22.0</v>
      </c>
      <c r="E29" s="25">
        <v>26.0</v>
      </c>
      <c r="F29" s="25">
        <v>30.0</v>
      </c>
      <c r="G29" s="25">
        <v>29.0</v>
      </c>
      <c r="H29" s="25">
        <v>33.0</v>
      </c>
      <c r="I29" s="25">
        <v>28.0</v>
      </c>
      <c r="J29" s="25" t="s">
        <v>113</v>
      </c>
      <c r="K29" s="22"/>
      <c r="L29" s="22"/>
      <c r="M29" s="22"/>
      <c r="N29" s="22"/>
      <c r="O29" s="22"/>
      <c r="P29" s="22"/>
      <c r="Q29" s="22"/>
      <c r="R29" s="22"/>
      <c r="S29" s="22"/>
    </row>
    <row r="30">
      <c r="A30" s="24">
        <v>29.0</v>
      </c>
      <c r="B30" s="25" t="s">
        <v>114</v>
      </c>
      <c r="C30" s="25" t="s">
        <v>115</v>
      </c>
      <c r="D30" s="25">
        <v>30.0</v>
      </c>
      <c r="E30" s="25">
        <v>28.0</v>
      </c>
      <c r="F30" s="25">
        <v>31.0</v>
      </c>
      <c r="G30" s="25">
        <v>28.0</v>
      </c>
      <c r="H30" s="25">
        <v>23.0</v>
      </c>
      <c r="I30" s="25">
        <v>28.0</v>
      </c>
      <c r="J30" s="25" t="s">
        <v>116</v>
      </c>
      <c r="K30" s="22"/>
      <c r="L30" s="22"/>
      <c r="M30" s="22"/>
      <c r="N30" s="22"/>
      <c r="O30" s="22"/>
      <c r="P30" s="22"/>
      <c r="Q30" s="22"/>
      <c r="R30" s="22"/>
      <c r="S30" s="22"/>
    </row>
    <row r="31">
      <c r="A31" s="24">
        <v>30.0</v>
      </c>
      <c r="B31" s="25" t="s">
        <v>117</v>
      </c>
      <c r="C31" s="25" t="s">
        <v>118</v>
      </c>
      <c r="D31" s="25">
        <v>38.0</v>
      </c>
      <c r="E31" s="25">
        <v>29.0</v>
      </c>
      <c r="F31" s="25">
        <v>24.0</v>
      </c>
      <c r="G31" s="25">
        <v>30.0</v>
      </c>
      <c r="H31" s="25">
        <v>27.0</v>
      </c>
      <c r="I31" s="25">
        <v>29.6</v>
      </c>
      <c r="J31" s="25" t="s">
        <v>119</v>
      </c>
      <c r="K31" s="22"/>
      <c r="L31" s="22"/>
      <c r="M31" s="22"/>
      <c r="N31" s="22"/>
      <c r="O31" s="22"/>
      <c r="P31" s="22"/>
      <c r="Q31" s="22"/>
      <c r="R31" s="22"/>
      <c r="S31" s="22"/>
    </row>
    <row r="32">
      <c r="A32" s="24">
        <v>31.0</v>
      </c>
      <c r="B32" s="25" t="s">
        <v>120</v>
      </c>
      <c r="C32" s="25" t="s">
        <v>121</v>
      </c>
      <c r="D32" s="25">
        <v>31.0</v>
      </c>
      <c r="E32" s="25">
        <v>35.0</v>
      </c>
      <c r="F32" s="25">
        <v>33.0</v>
      </c>
      <c r="G32" s="25">
        <v>23.0</v>
      </c>
      <c r="H32" s="25">
        <v>30.0</v>
      </c>
      <c r="I32" s="25">
        <v>30.4</v>
      </c>
      <c r="J32" s="25" t="s">
        <v>122</v>
      </c>
      <c r="K32" s="22"/>
      <c r="L32" s="22"/>
      <c r="M32" s="22"/>
      <c r="N32" s="22"/>
      <c r="O32" s="22"/>
      <c r="P32" s="22"/>
      <c r="Q32" s="22"/>
      <c r="R32" s="22"/>
      <c r="S32" s="22"/>
    </row>
    <row r="33">
      <c r="A33" s="24">
        <v>32.0</v>
      </c>
      <c r="B33" s="25" t="s">
        <v>123</v>
      </c>
      <c r="C33" s="25" t="s">
        <v>124</v>
      </c>
      <c r="D33" s="25">
        <v>33.0</v>
      </c>
      <c r="E33" s="25">
        <v>31.0</v>
      </c>
      <c r="F33" s="25">
        <v>26.0</v>
      </c>
      <c r="G33" s="25">
        <v>31.0</v>
      </c>
      <c r="H33" s="25">
        <v>40.0</v>
      </c>
      <c r="I33" s="25">
        <v>32.2</v>
      </c>
      <c r="J33" s="25" t="s">
        <v>125</v>
      </c>
      <c r="K33" s="22"/>
      <c r="L33" s="22"/>
      <c r="M33" s="22"/>
      <c r="N33" s="22"/>
      <c r="O33" s="22"/>
      <c r="P33" s="22"/>
      <c r="Q33" s="22"/>
      <c r="R33" s="22"/>
      <c r="S33" s="22"/>
    </row>
    <row r="34">
      <c r="A34" s="24">
        <v>33.0</v>
      </c>
      <c r="B34" s="25" t="s">
        <v>126</v>
      </c>
      <c r="C34" s="25" t="s">
        <v>127</v>
      </c>
      <c r="D34" s="25">
        <v>29.0</v>
      </c>
      <c r="E34" s="25">
        <v>33.0</v>
      </c>
      <c r="F34" s="25">
        <v>37.0</v>
      </c>
      <c r="G34" s="25">
        <v>32.0</v>
      </c>
      <c r="H34" s="25">
        <v>32.0</v>
      </c>
      <c r="I34" s="25">
        <v>32.6</v>
      </c>
      <c r="J34" s="25" t="s">
        <v>128</v>
      </c>
      <c r="K34" s="22"/>
      <c r="L34" s="22"/>
      <c r="M34" s="22"/>
      <c r="N34" s="22"/>
      <c r="O34" s="22"/>
      <c r="P34" s="22"/>
      <c r="Q34" s="22"/>
      <c r="R34" s="22"/>
      <c r="S34" s="22"/>
    </row>
    <row r="35">
      <c r="A35" s="24">
        <v>34.0</v>
      </c>
      <c r="B35" s="25" t="s">
        <v>129</v>
      </c>
      <c r="C35" s="25" t="s">
        <v>130</v>
      </c>
      <c r="D35" s="25">
        <v>36.0</v>
      </c>
      <c r="E35" s="25">
        <v>36.0</v>
      </c>
      <c r="F35" s="25">
        <v>36.0</v>
      </c>
      <c r="G35" s="25">
        <v>36.0</v>
      </c>
      <c r="H35" s="25">
        <v>29.0</v>
      </c>
      <c r="I35" s="25">
        <v>34.6</v>
      </c>
      <c r="J35" s="25" t="s">
        <v>131</v>
      </c>
      <c r="K35" s="26"/>
      <c r="L35" s="26"/>
      <c r="M35" s="26"/>
      <c r="N35" s="26"/>
      <c r="O35" s="26"/>
      <c r="P35" s="26"/>
      <c r="Q35" s="26"/>
      <c r="R35" s="26"/>
      <c r="S35" s="26"/>
    </row>
    <row r="36">
      <c r="A36" s="24">
        <v>35.0</v>
      </c>
      <c r="B36" s="25" t="s">
        <v>132</v>
      </c>
      <c r="C36" s="25" t="s">
        <v>133</v>
      </c>
      <c r="D36" s="25">
        <v>35.0</v>
      </c>
      <c r="E36" s="25">
        <v>42.0</v>
      </c>
      <c r="F36" s="25">
        <v>34.0</v>
      </c>
      <c r="G36" s="25">
        <v>38.0</v>
      </c>
      <c r="H36" s="25">
        <v>34.0</v>
      </c>
      <c r="I36" s="25">
        <v>36.6</v>
      </c>
      <c r="J36" s="25" t="s">
        <v>134</v>
      </c>
      <c r="K36" s="22"/>
      <c r="L36" s="22"/>
      <c r="M36" s="22"/>
      <c r="N36" s="22"/>
      <c r="O36" s="22"/>
      <c r="P36" s="22"/>
      <c r="Q36" s="22"/>
      <c r="R36" s="22"/>
      <c r="S36" s="22"/>
    </row>
    <row r="37">
      <c r="A37" s="24">
        <v>36.0</v>
      </c>
      <c r="B37" s="25" t="s">
        <v>135</v>
      </c>
      <c r="C37" s="25" t="s">
        <v>136</v>
      </c>
      <c r="D37" s="25">
        <v>39.0</v>
      </c>
      <c r="E37" s="25">
        <v>44.0</v>
      </c>
      <c r="F37" s="25">
        <v>38.0</v>
      </c>
      <c r="G37" s="25">
        <v>34.0</v>
      </c>
      <c r="H37" s="25">
        <v>36.0</v>
      </c>
      <c r="I37" s="25">
        <v>38.2</v>
      </c>
      <c r="J37" s="25" t="s">
        <v>137</v>
      </c>
      <c r="K37" s="22"/>
      <c r="L37" s="22"/>
      <c r="M37" s="22"/>
      <c r="N37" s="22"/>
      <c r="O37" s="22"/>
      <c r="P37" s="22"/>
      <c r="Q37" s="22"/>
      <c r="R37" s="22"/>
      <c r="S37" s="22"/>
    </row>
    <row r="38">
      <c r="A38" s="24">
        <v>37.0</v>
      </c>
      <c r="B38" s="25" t="s">
        <v>138</v>
      </c>
      <c r="C38" s="25" t="s">
        <v>139</v>
      </c>
      <c r="D38" s="25">
        <v>40.0</v>
      </c>
      <c r="E38" s="25">
        <v>43.0</v>
      </c>
      <c r="F38" s="25">
        <v>32.0</v>
      </c>
      <c r="G38" s="25">
        <v>42.0</v>
      </c>
      <c r="H38" s="25">
        <v>41.0</v>
      </c>
      <c r="I38" s="25">
        <v>39.6</v>
      </c>
      <c r="J38" s="25" t="s">
        <v>140</v>
      </c>
      <c r="K38" s="26"/>
      <c r="L38" s="26"/>
      <c r="M38" s="26"/>
      <c r="N38" s="26"/>
      <c r="O38" s="26"/>
      <c r="P38" s="26"/>
      <c r="Q38" s="26"/>
      <c r="R38" s="26"/>
      <c r="S38" s="26"/>
    </row>
    <row r="39">
      <c r="A39" s="24">
        <v>38.0</v>
      </c>
      <c r="B39" s="25" t="s">
        <v>141</v>
      </c>
      <c r="C39" s="25" t="s">
        <v>142</v>
      </c>
      <c r="D39" s="25">
        <v>37.0</v>
      </c>
      <c r="E39" s="25">
        <v>37.0</v>
      </c>
      <c r="F39" s="25">
        <v>44.0</v>
      </c>
      <c r="G39" s="25">
        <v>45.0</v>
      </c>
      <c r="H39" s="25">
        <v>35.0</v>
      </c>
      <c r="I39" s="25">
        <v>39.6</v>
      </c>
      <c r="J39" s="25" t="s">
        <v>143</v>
      </c>
      <c r="K39" s="22"/>
      <c r="L39" s="22"/>
      <c r="M39" s="22"/>
      <c r="N39" s="22"/>
      <c r="O39" s="22"/>
      <c r="P39" s="22"/>
      <c r="Q39" s="22"/>
      <c r="R39" s="22"/>
      <c r="S39" s="22"/>
    </row>
    <row r="40">
      <c r="A40" s="24">
        <v>39.0</v>
      </c>
      <c r="B40" s="25" t="s">
        <v>144</v>
      </c>
      <c r="C40" s="25" t="s">
        <v>145</v>
      </c>
      <c r="D40" s="25">
        <v>32.0</v>
      </c>
      <c r="E40" s="25">
        <v>45.0</v>
      </c>
      <c r="F40" s="25">
        <v>46.0</v>
      </c>
      <c r="G40" s="25">
        <v>40.0</v>
      </c>
      <c r="H40" s="25">
        <v>39.0</v>
      </c>
      <c r="I40" s="25">
        <v>40.4</v>
      </c>
      <c r="J40" s="25" t="s">
        <v>146</v>
      </c>
      <c r="K40" s="22"/>
      <c r="L40" s="22"/>
      <c r="M40" s="22"/>
      <c r="N40" s="22"/>
      <c r="O40" s="22"/>
      <c r="P40" s="22"/>
      <c r="Q40" s="22"/>
      <c r="R40" s="22"/>
      <c r="S40" s="22"/>
    </row>
    <row r="41">
      <c r="A41" s="24">
        <v>40.0</v>
      </c>
      <c r="B41" s="25" t="s">
        <v>147</v>
      </c>
      <c r="C41" s="25" t="s">
        <v>148</v>
      </c>
      <c r="D41" s="25">
        <v>44.0</v>
      </c>
      <c r="E41" s="25">
        <v>40.0</v>
      </c>
      <c r="F41" s="25">
        <v>42.0</v>
      </c>
      <c r="G41" s="25">
        <v>41.0</v>
      </c>
      <c r="H41" s="25">
        <v>38.0</v>
      </c>
      <c r="I41" s="25">
        <v>41.0</v>
      </c>
      <c r="J41" s="25" t="s">
        <v>149</v>
      </c>
      <c r="K41" s="22"/>
      <c r="L41" s="22"/>
      <c r="M41" s="22"/>
      <c r="N41" s="22"/>
      <c r="O41" s="22"/>
      <c r="P41" s="22"/>
      <c r="Q41" s="22"/>
      <c r="R41" s="22"/>
      <c r="S41" s="22"/>
    </row>
    <row r="42">
      <c r="A42" s="24">
        <v>41.0</v>
      </c>
      <c r="B42" s="25" t="s">
        <v>150</v>
      </c>
      <c r="C42" s="25" t="s">
        <v>151</v>
      </c>
      <c r="D42" s="25">
        <v>34.0</v>
      </c>
      <c r="E42" s="25">
        <v>32.0</v>
      </c>
      <c r="F42" s="25">
        <v>41.0</v>
      </c>
      <c r="G42" s="25">
        <v>54.0</v>
      </c>
      <c r="H42" s="25">
        <v>46.0</v>
      </c>
      <c r="I42" s="25">
        <v>41.4</v>
      </c>
      <c r="J42" s="25" t="s">
        <v>152</v>
      </c>
      <c r="K42" s="22"/>
      <c r="L42" s="22"/>
      <c r="M42" s="22"/>
      <c r="N42" s="22"/>
      <c r="O42" s="22"/>
      <c r="P42" s="22"/>
      <c r="Q42" s="22"/>
      <c r="R42" s="22"/>
      <c r="S42" s="22"/>
    </row>
    <row r="43">
      <c r="A43" s="24">
        <v>42.0</v>
      </c>
      <c r="B43" s="25" t="s">
        <v>153</v>
      </c>
      <c r="C43" s="25" t="s">
        <v>154</v>
      </c>
      <c r="D43" s="25">
        <v>51.0</v>
      </c>
      <c r="E43" s="25">
        <v>34.0</v>
      </c>
      <c r="F43" s="25">
        <v>39.0</v>
      </c>
      <c r="G43" s="25">
        <v>51.0</v>
      </c>
      <c r="H43" s="25">
        <v>37.0</v>
      </c>
      <c r="I43" s="25">
        <v>42.4</v>
      </c>
      <c r="J43" s="25" t="s">
        <v>155</v>
      </c>
      <c r="K43" s="22"/>
      <c r="L43" s="22"/>
      <c r="M43" s="22"/>
      <c r="N43" s="22"/>
      <c r="O43" s="22"/>
      <c r="P43" s="22"/>
      <c r="Q43" s="22"/>
      <c r="R43" s="22"/>
      <c r="S43" s="22"/>
    </row>
    <row r="44">
      <c r="A44" s="24">
        <v>43.0</v>
      </c>
      <c r="B44" s="25" t="s">
        <v>156</v>
      </c>
      <c r="C44" s="25" t="s">
        <v>157</v>
      </c>
      <c r="D44" s="25">
        <v>41.0</v>
      </c>
      <c r="E44" s="25">
        <v>39.0</v>
      </c>
      <c r="F44" s="25">
        <v>45.0</v>
      </c>
      <c r="G44" s="25">
        <v>48.0</v>
      </c>
      <c r="H44" s="25">
        <v>42.0</v>
      </c>
      <c r="I44" s="25">
        <v>43.0</v>
      </c>
      <c r="J44" s="25">
        <v>43.0</v>
      </c>
      <c r="K44" s="22"/>
      <c r="L44" s="22"/>
      <c r="M44" s="22"/>
      <c r="N44" s="22"/>
      <c r="O44" s="22"/>
      <c r="P44" s="22"/>
      <c r="Q44" s="22"/>
      <c r="R44" s="22"/>
      <c r="S44" s="22"/>
    </row>
    <row r="45">
      <c r="A45" s="24">
        <v>44.0</v>
      </c>
      <c r="B45" s="25" t="s">
        <v>158</v>
      </c>
      <c r="C45" s="25" t="s">
        <v>159</v>
      </c>
      <c r="D45" s="25">
        <v>45.0</v>
      </c>
      <c r="E45" s="25">
        <v>38.0</v>
      </c>
      <c r="F45" s="25">
        <v>43.0</v>
      </c>
      <c r="G45" s="25">
        <v>44.0</v>
      </c>
      <c r="H45" s="25">
        <v>54.0</v>
      </c>
      <c r="I45" s="25">
        <v>44.8</v>
      </c>
      <c r="J45" s="25" t="s">
        <v>160</v>
      </c>
      <c r="K45" s="22"/>
      <c r="L45" s="22"/>
      <c r="M45" s="22"/>
      <c r="N45" s="22"/>
      <c r="O45" s="22"/>
      <c r="P45" s="22"/>
      <c r="Q45" s="22"/>
      <c r="R45" s="22"/>
      <c r="S45" s="22"/>
    </row>
    <row r="46">
      <c r="A46" s="24">
        <v>45.0</v>
      </c>
      <c r="B46" s="25" t="s">
        <v>161</v>
      </c>
      <c r="C46" s="25" t="s">
        <v>162</v>
      </c>
      <c r="D46" s="25">
        <v>49.0</v>
      </c>
      <c r="E46" s="25">
        <v>41.0</v>
      </c>
      <c r="F46" s="25">
        <v>40.0</v>
      </c>
      <c r="G46" s="25">
        <v>39.0</v>
      </c>
      <c r="H46" s="25">
        <v>57.0</v>
      </c>
      <c r="I46" s="25">
        <v>45.2</v>
      </c>
      <c r="J46" s="25" t="s">
        <v>163</v>
      </c>
      <c r="K46" s="22"/>
      <c r="L46" s="22"/>
      <c r="M46" s="22"/>
      <c r="N46" s="22"/>
      <c r="O46" s="22"/>
      <c r="P46" s="22"/>
      <c r="Q46" s="22"/>
      <c r="R46" s="22"/>
      <c r="S46" s="22"/>
    </row>
    <row r="47">
      <c r="A47" s="24">
        <v>46.0</v>
      </c>
      <c r="B47" s="25" t="s">
        <v>164</v>
      </c>
      <c r="C47" s="25" t="s">
        <v>165</v>
      </c>
      <c r="D47" s="25">
        <v>56.0</v>
      </c>
      <c r="E47" s="25">
        <v>56.0</v>
      </c>
      <c r="F47" s="25">
        <v>35.0</v>
      </c>
      <c r="G47" s="25">
        <v>43.0</v>
      </c>
      <c r="H47" s="25">
        <v>44.0</v>
      </c>
      <c r="I47" s="25">
        <v>46.8</v>
      </c>
      <c r="J47" s="25">
        <v>46.0</v>
      </c>
      <c r="K47" s="22"/>
      <c r="L47" s="22"/>
      <c r="M47" s="22"/>
      <c r="N47" s="22"/>
      <c r="O47" s="22"/>
      <c r="P47" s="22"/>
      <c r="Q47" s="22"/>
      <c r="R47" s="22"/>
      <c r="S47" s="22"/>
    </row>
    <row r="48">
      <c r="A48" s="24">
        <v>47.0</v>
      </c>
      <c r="B48" s="25" t="s">
        <v>166</v>
      </c>
      <c r="C48" s="25" t="s">
        <v>167</v>
      </c>
      <c r="D48" s="25">
        <v>50.0</v>
      </c>
      <c r="E48" s="25">
        <v>54.0</v>
      </c>
      <c r="F48" s="25">
        <v>48.0</v>
      </c>
      <c r="G48" s="25">
        <v>37.0</v>
      </c>
      <c r="H48" s="25">
        <v>48.0</v>
      </c>
      <c r="I48" s="25">
        <v>47.4</v>
      </c>
      <c r="J48" s="25" t="s">
        <v>168</v>
      </c>
      <c r="K48" s="22"/>
      <c r="L48" s="22"/>
      <c r="M48" s="22"/>
      <c r="N48" s="22"/>
      <c r="O48" s="22"/>
      <c r="P48" s="22"/>
      <c r="Q48" s="22"/>
      <c r="R48" s="22"/>
      <c r="S48" s="22"/>
    </row>
    <row r="49">
      <c r="A49" s="24">
        <v>48.0</v>
      </c>
      <c r="B49" s="25" t="s">
        <v>169</v>
      </c>
      <c r="C49" s="25" t="s">
        <v>170</v>
      </c>
      <c r="D49" s="25">
        <v>52.0</v>
      </c>
      <c r="E49" s="25">
        <v>46.0</v>
      </c>
      <c r="F49" s="25">
        <v>50.0</v>
      </c>
      <c r="G49" s="25">
        <v>52.0</v>
      </c>
      <c r="H49" s="25">
        <v>43.0</v>
      </c>
      <c r="I49" s="25">
        <v>48.6</v>
      </c>
      <c r="J49" s="25" t="s">
        <v>171</v>
      </c>
      <c r="K49" s="22"/>
      <c r="L49" s="22"/>
      <c r="M49" s="22"/>
      <c r="N49" s="22"/>
      <c r="O49" s="22"/>
      <c r="P49" s="22"/>
      <c r="Q49" s="22"/>
      <c r="R49" s="22"/>
      <c r="S49" s="22"/>
    </row>
    <row r="50">
      <c r="A50" s="24">
        <v>49.0</v>
      </c>
      <c r="B50" s="25" t="s">
        <v>172</v>
      </c>
      <c r="C50" s="25" t="s">
        <v>173</v>
      </c>
      <c r="D50" s="25">
        <v>42.0</v>
      </c>
      <c r="E50" s="25">
        <v>50.0</v>
      </c>
      <c r="F50" s="25">
        <v>56.0</v>
      </c>
      <c r="G50" s="25">
        <v>57.0</v>
      </c>
      <c r="H50" s="25">
        <v>45.0</v>
      </c>
      <c r="I50" s="25">
        <v>50.0</v>
      </c>
      <c r="J50" s="25" t="s">
        <v>174</v>
      </c>
      <c r="K50" s="22"/>
      <c r="L50" s="22"/>
      <c r="M50" s="22"/>
      <c r="N50" s="22"/>
      <c r="O50" s="22"/>
      <c r="P50" s="22"/>
      <c r="Q50" s="22"/>
      <c r="R50" s="22"/>
      <c r="S50" s="22"/>
    </row>
    <row r="51">
      <c r="A51" s="24">
        <v>50.0</v>
      </c>
      <c r="B51" s="25" t="s">
        <v>175</v>
      </c>
      <c r="C51" s="25" t="s">
        <v>176</v>
      </c>
      <c r="D51" s="25">
        <v>60.0</v>
      </c>
      <c r="E51" s="25">
        <v>49.0</v>
      </c>
      <c r="F51" s="25">
        <v>47.0</v>
      </c>
      <c r="G51" s="25">
        <v>47.0</v>
      </c>
      <c r="H51" s="25">
        <v>47.0</v>
      </c>
      <c r="I51" s="25">
        <v>50.0</v>
      </c>
      <c r="J51" s="25" t="s">
        <v>177</v>
      </c>
      <c r="K51" s="22"/>
      <c r="L51" s="22"/>
      <c r="M51" s="22"/>
      <c r="N51" s="22"/>
      <c r="O51" s="22"/>
      <c r="P51" s="22"/>
      <c r="Q51" s="22"/>
      <c r="R51" s="22"/>
      <c r="S51" s="22"/>
    </row>
    <row r="52">
      <c r="A52" s="24">
        <v>51.0</v>
      </c>
      <c r="B52" s="25" t="s">
        <v>178</v>
      </c>
      <c r="C52" s="25" t="s">
        <v>179</v>
      </c>
      <c r="D52" s="25">
        <v>55.0</v>
      </c>
      <c r="E52" s="25">
        <v>57.0</v>
      </c>
      <c r="F52" s="25">
        <v>53.0</v>
      </c>
      <c r="G52" s="25">
        <v>35.0</v>
      </c>
      <c r="H52" s="25">
        <v>52.0</v>
      </c>
      <c r="I52" s="25">
        <v>50.4</v>
      </c>
      <c r="J52" s="25" t="s">
        <v>180</v>
      </c>
      <c r="K52" s="22"/>
      <c r="L52" s="22"/>
      <c r="M52" s="22"/>
      <c r="N52" s="22"/>
      <c r="O52" s="22"/>
      <c r="P52" s="22"/>
      <c r="Q52" s="22"/>
      <c r="R52" s="22"/>
      <c r="S52" s="22"/>
    </row>
    <row r="53">
      <c r="A53" s="24">
        <v>52.0</v>
      </c>
      <c r="B53" s="25" t="s">
        <v>181</v>
      </c>
      <c r="C53" s="25" t="s">
        <v>182</v>
      </c>
      <c r="D53" s="25">
        <v>46.0</v>
      </c>
      <c r="E53" s="25">
        <v>48.0</v>
      </c>
      <c r="F53" s="25">
        <v>59.0</v>
      </c>
      <c r="G53" s="25">
        <v>55.0</v>
      </c>
      <c r="H53" s="25">
        <v>51.0</v>
      </c>
      <c r="I53" s="25">
        <v>51.8</v>
      </c>
      <c r="J53" s="25" t="s">
        <v>183</v>
      </c>
      <c r="K53" s="22"/>
      <c r="L53" s="22"/>
      <c r="M53" s="22"/>
      <c r="N53" s="22"/>
      <c r="O53" s="22"/>
      <c r="P53" s="22"/>
      <c r="Q53" s="22"/>
      <c r="R53" s="22"/>
      <c r="S53" s="22"/>
    </row>
    <row r="54">
      <c r="A54" s="24">
        <v>53.0</v>
      </c>
      <c r="B54" s="25" t="s">
        <v>184</v>
      </c>
      <c r="C54" s="25" t="s">
        <v>185</v>
      </c>
      <c r="D54" s="25">
        <v>43.0</v>
      </c>
      <c r="E54" s="25">
        <v>47.0</v>
      </c>
      <c r="F54" s="25">
        <v>51.0</v>
      </c>
      <c r="G54" s="25">
        <v>65.0</v>
      </c>
      <c r="H54" s="25">
        <v>55.0</v>
      </c>
      <c r="I54" s="25">
        <v>52.2</v>
      </c>
      <c r="J54" s="25" t="s">
        <v>186</v>
      </c>
      <c r="K54" s="22"/>
      <c r="L54" s="22"/>
      <c r="M54" s="22"/>
      <c r="N54" s="22"/>
      <c r="O54" s="22"/>
      <c r="P54" s="22"/>
      <c r="Q54" s="22"/>
      <c r="R54" s="22"/>
      <c r="S54" s="22"/>
    </row>
    <row r="55">
      <c r="A55" s="24">
        <v>54.0</v>
      </c>
      <c r="B55" s="25" t="s">
        <v>187</v>
      </c>
      <c r="C55" s="25" t="s">
        <v>188</v>
      </c>
      <c r="D55" s="25">
        <v>53.0</v>
      </c>
      <c r="E55" s="25">
        <v>51.0</v>
      </c>
      <c r="F55" s="25">
        <v>49.0</v>
      </c>
      <c r="G55" s="25">
        <v>63.0</v>
      </c>
      <c r="H55" s="25">
        <v>53.0</v>
      </c>
      <c r="I55" s="25">
        <v>53.8</v>
      </c>
      <c r="J55" s="25" t="s">
        <v>189</v>
      </c>
      <c r="K55" s="26"/>
      <c r="L55" s="26"/>
      <c r="M55" s="26"/>
      <c r="N55" s="26"/>
      <c r="O55" s="26"/>
      <c r="P55" s="26"/>
      <c r="Q55" s="26"/>
      <c r="R55" s="26"/>
      <c r="S55" s="26"/>
    </row>
    <row r="56">
      <c r="A56" s="24">
        <v>55.0</v>
      </c>
      <c r="B56" s="25" t="s">
        <v>190</v>
      </c>
      <c r="C56" s="25" t="s">
        <v>191</v>
      </c>
      <c r="D56" s="25">
        <v>54.0</v>
      </c>
      <c r="E56" s="25">
        <v>55.0</v>
      </c>
      <c r="F56" s="25">
        <v>55.0</v>
      </c>
      <c r="G56" s="25">
        <v>56.0</v>
      </c>
      <c r="H56" s="25">
        <v>50.0</v>
      </c>
      <c r="I56" s="25">
        <v>54.0</v>
      </c>
      <c r="J56" s="25" t="s">
        <v>192</v>
      </c>
      <c r="K56" s="22"/>
      <c r="L56" s="22"/>
      <c r="M56" s="22"/>
      <c r="N56" s="22"/>
      <c r="O56" s="22"/>
      <c r="P56" s="22"/>
      <c r="Q56" s="22"/>
      <c r="R56" s="22"/>
      <c r="S56" s="22"/>
    </row>
    <row r="57">
      <c r="A57" s="24">
        <v>56.0</v>
      </c>
      <c r="B57" s="25" t="s">
        <v>193</v>
      </c>
      <c r="C57" s="25" t="s">
        <v>194</v>
      </c>
      <c r="D57" s="25">
        <v>66.0</v>
      </c>
      <c r="E57" s="25">
        <v>52.0</v>
      </c>
      <c r="F57" s="25">
        <v>60.0</v>
      </c>
      <c r="G57" s="25">
        <v>46.0</v>
      </c>
      <c r="H57" s="25">
        <v>49.0</v>
      </c>
      <c r="I57" s="25">
        <v>54.6</v>
      </c>
      <c r="J57" s="25" t="s">
        <v>195</v>
      </c>
      <c r="K57" s="22"/>
      <c r="L57" s="22"/>
      <c r="M57" s="22"/>
      <c r="N57" s="22"/>
      <c r="O57" s="22"/>
      <c r="P57" s="22"/>
      <c r="Q57" s="22"/>
      <c r="R57" s="22"/>
      <c r="S57" s="22"/>
    </row>
    <row r="58">
      <c r="A58" s="24">
        <v>57.0</v>
      </c>
      <c r="B58" s="25" t="s">
        <v>196</v>
      </c>
      <c r="C58" s="25" t="s">
        <v>197</v>
      </c>
      <c r="D58" s="25">
        <v>62.0</v>
      </c>
      <c r="E58" s="25">
        <v>62.0</v>
      </c>
      <c r="F58" s="25">
        <v>52.0</v>
      </c>
      <c r="G58" s="25">
        <v>49.0</v>
      </c>
      <c r="H58" s="25">
        <v>60.0</v>
      </c>
      <c r="I58" s="25">
        <v>57.0</v>
      </c>
      <c r="J58" s="25">
        <v>57.0</v>
      </c>
      <c r="K58" s="22"/>
      <c r="L58" s="22"/>
      <c r="M58" s="22"/>
      <c r="N58" s="22"/>
      <c r="O58" s="22"/>
      <c r="P58" s="22"/>
      <c r="Q58" s="22"/>
      <c r="R58" s="22"/>
      <c r="S58" s="22"/>
    </row>
    <row r="59">
      <c r="A59" s="24">
        <v>58.0</v>
      </c>
      <c r="B59" s="25" t="s">
        <v>198</v>
      </c>
      <c r="C59" s="25" t="s">
        <v>199</v>
      </c>
      <c r="D59" s="25">
        <v>59.0</v>
      </c>
      <c r="E59" s="25">
        <v>58.0</v>
      </c>
      <c r="F59" s="25">
        <v>54.0</v>
      </c>
      <c r="G59" s="25">
        <v>59.0</v>
      </c>
      <c r="H59" s="25">
        <v>56.0</v>
      </c>
      <c r="I59" s="25">
        <v>57.2</v>
      </c>
      <c r="J59" s="25" t="s">
        <v>200</v>
      </c>
      <c r="K59" s="22"/>
      <c r="L59" s="22"/>
      <c r="M59" s="22"/>
      <c r="N59" s="22"/>
      <c r="O59" s="22"/>
      <c r="P59" s="22"/>
      <c r="Q59" s="22"/>
      <c r="R59" s="22"/>
      <c r="S59" s="22"/>
    </row>
    <row r="60">
      <c r="A60" s="24">
        <v>59.0</v>
      </c>
      <c r="B60" s="25" t="s">
        <v>201</v>
      </c>
      <c r="C60" s="25" t="s">
        <v>202</v>
      </c>
      <c r="D60" s="25">
        <v>68.0</v>
      </c>
      <c r="E60" s="25">
        <v>53.0</v>
      </c>
      <c r="F60" s="25">
        <v>61.0</v>
      </c>
      <c r="G60" s="25">
        <v>53.0</v>
      </c>
      <c r="H60" s="25">
        <v>62.0</v>
      </c>
      <c r="I60" s="25">
        <v>59.4</v>
      </c>
      <c r="J60" s="25" t="s">
        <v>203</v>
      </c>
      <c r="K60" s="22"/>
      <c r="L60" s="22"/>
      <c r="M60" s="22"/>
      <c r="N60" s="22"/>
      <c r="O60" s="22"/>
      <c r="P60" s="22"/>
      <c r="Q60" s="22"/>
      <c r="R60" s="22"/>
      <c r="S60" s="22"/>
    </row>
    <row r="61">
      <c r="A61" s="24">
        <v>60.0</v>
      </c>
      <c r="B61" s="25" t="s">
        <v>204</v>
      </c>
      <c r="C61" s="25" t="s">
        <v>205</v>
      </c>
      <c r="D61" s="25">
        <v>64.0</v>
      </c>
      <c r="E61" s="25">
        <v>67.0</v>
      </c>
      <c r="F61" s="25">
        <v>57.0</v>
      </c>
      <c r="G61" s="25">
        <v>50.0</v>
      </c>
      <c r="H61" s="25">
        <v>66.0</v>
      </c>
      <c r="I61" s="25">
        <v>60.8</v>
      </c>
      <c r="J61" s="25" t="s">
        <v>206</v>
      </c>
      <c r="K61" s="22"/>
      <c r="L61" s="22"/>
      <c r="M61" s="22"/>
      <c r="N61" s="22"/>
      <c r="O61" s="22"/>
      <c r="P61" s="22"/>
      <c r="Q61" s="22"/>
      <c r="R61" s="22"/>
      <c r="S61" s="22"/>
    </row>
    <row r="62">
      <c r="A62" s="24">
        <v>61.0</v>
      </c>
      <c r="B62" s="25" t="s">
        <v>207</v>
      </c>
      <c r="C62" s="25" t="s">
        <v>208</v>
      </c>
      <c r="D62" s="25">
        <v>57.0</v>
      </c>
      <c r="E62" s="25">
        <v>65.0</v>
      </c>
      <c r="F62" s="25">
        <v>64.0</v>
      </c>
      <c r="G62" s="25">
        <v>58.0</v>
      </c>
      <c r="H62" s="25">
        <v>65.0</v>
      </c>
      <c r="I62" s="25">
        <v>61.8</v>
      </c>
      <c r="J62" s="25" t="s">
        <v>209</v>
      </c>
      <c r="K62" s="26"/>
      <c r="L62" s="26"/>
      <c r="M62" s="26"/>
      <c r="N62" s="26"/>
      <c r="O62" s="26"/>
      <c r="P62" s="26"/>
      <c r="Q62" s="26"/>
      <c r="R62" s="26"/>
      <c r="S62" s="26"/>
    </row>
    <row r="63">
      <c r="A63" s="24">
        <v>62.0</v>
      </c>
      <c r="B63" s="25" t="s">
        <v>210</v>
      </c>
      <c r="C63" s="25" t="s">
        <v>211</v>
      </c>
      <c r="D63" s="25">
        <v>47.0</v>
      </c>
      <c r="E63" s="25">
        <v>63.0</v>
      </c>
      <c r="F63" s="25">
        <v>63.0</v>
      </c>
      <c r="G63" s="25">
        <v>75.0</v>
      </c>
      <c r="H63" s="25">
        <v>67.0</v>
      </c>
      <c r="I63" s="25">
        <v>63.0</v>
      </c>
      <c r="J63" s="25" t="s">
        <v>212</v>
      </c>
      <c r="K63" s="22"/>
      <c r="L63" s="22"/>
      <c r="M63" s="22"/>
      <c r="N63" s="22"/>
      <c r="O63" s="22"/>
      <c r="P63" s="22"/>
      <c r="Q63" s="22"/>
      <c r="R63" s="22"/>
      <c r="S63" s="22"/>
    </row>
    <row r="64">
      <c r="A64" s="24">
        <v>63.0</v>
      </c>
      <c r="B64" s="25" t="s">
        <v>213</v>
      </c>
      <c r="C64" s="25" t="s">
        <v>214</v>
      </c>
      <c r="D64" s="25">
        <v>48.0</v>
      </c>
      <c r="E64" s="25">
        <v>60.0</v>
      </c>
      <c r="F64" s="25">
        <v>65.0</v>
      </c>
      <c r="G64" s="25">
        <v>76.0</v>
      </c>
      <c r="H64" s="25">
        <v>71.0</v>
      </c>
      <c r="I64" s="25">
        <v>64.0</v>
      </c>
      <c r="J64" s="25">
        <v>63.0</v>
      </c>
      <c r="K64" s="22"/>
      <c r="L64" s="22"/>
      <c r="M64" s="22"/>
      <c r="N64" s="22"/>
      <c r="O64" s="22"/>
      <c r="P64" s="22"/>
      <c r="Q64" s="22"/>
      <c r="R64" s="22"/>
      <c r="S64" s="22"/>
    </row>
    <row r="65">
      <c r="A65" s="24">
        <v>64.0</v>
      </c>
      <c r="B65" s="25" t="s">
        <v>215</v>
      </c>
      <c r="C65" s="25" t="s">
        <v>216</v>
      </c>
      <c r="D65" s="25">
        <v>82.0</v>
      </c>
      <c r="E65" s="25">
        <v>61.0</v>
      </c>
      <c r="F65" s="25">
        <v>62.0</v>
      </c>
      <c r="G65" s="25">
        <v>66.0</v>
      </c>
      <c r="H65" s="25">
        <v>64.0</v>
      </c>
      <c r="I65" s="25">
        <v>67.0</v>
      </c>
      <c r="J65" s="25" t="s">
        <v>217</v>
      </c>
      <c r="K65" s="22"/>
      <c r="L65" s="22"/>
      <c r="M65" s="22"/>
      <c r="N65" s="22"/>
      <c r="O65" s="22"/>
      <c r="P65" s="22"/>
      <c r="Q65" s="22"/>
      <c r="R65" s="22"/>
      <c r="S65" s="22"/>
    </row>
    <row r="66">
      <c r="A66" s="24">
        <v>65.0</v>
      </c>
      <c r="B66" s="25" t="s">
        <v>218</v>
      </c>
      <c r="C66" s="25" t="s">
        <v>219</v>
      </c>
      <c r="D66" s="25">
        <v>71.0</v>
      </c>
      <c r="E66" s="25">
        <v>81.0</v>
      </c>
      <c r="F66" s="25">
        <v>74.0</v>
      </c>
      <c r="G66" s="25">
        <v>62.0</v>
      </c>
      <c r="H66" s="25">
        <v>58.0</v>
      </c>
      <c r="I66" s="25">
        <v>69.2</v>
      </c>
      <c r="J66" s="25" t="s">
        <v>220</v>
      </c>
      <c r="K66" s="22"/>
      <c r="L66" s="22"/>
      <c r="M66" s="22"/>
      <c r="N66" s="22"/>
      <c r="O66" s="22"/>
      <c r="P66" s="22"/>
      <c r="Q66" s="22"/>
      <c r="R66" s="22"/>
      <c r="S66" s="22"/>
    </row>
    <row r="67">
      <c r="A67" s="24">
        <v>66.0</v>
      </c>
      <c r="B67" s="25" t="s">
        <v>221</v>
      </c>
      <c r="C67" s="25" t="s">
        <v>222</v>
      </c>
      <c r="D67" s="25">
        <v>63.0</v>
      </c>
      <c r="E67" s="25">
        <v>68.0</v>
      </c>
      <c r="F67" s="25">
        <v>79.0</v>
      </c>
      <c r="G67" s="25">
        <v>64.0</v>
      </c>
      <c r="H67" s="25">
        <v>76.0</v>
      </c>
      <c r="I67" s="25">
        <v>70.0</v>
      </c>
      <c r="J67" s="25" t="s">
        <v>223</v>
      </c>
      <c r="K67" s="22"/>
      <c r="L67" s="22"/>
      <c r="M67" s="22"/>
      <c r="N67" s="22"/>
      <c r="O67" s="22"/>
      <c r="P67" s="22"/>
      <c r="Q67" s="22"/>
      <c r="R67" s="22"/>
      <c r="S67" s="22"/>
    </row>
    <row r="68">
      <c r="A68" s="24">
        <v>67.0</v>
      </c>
      <c r="B68" s="25" t="s">
        <v>224</v>
      </c>
      <c r="C68" s="25" t="s">
        <v>225</v>
      </c>
      <c r="D68" s="25">
        <v>85.0</v>
      </c>
      <c r="E68" s="25">
        <v>70.0</v>
      </c>
      <c r="F68" s="25">
        <v>68.0</v>
      </c>
      <c r="G68" s="25">
        <v>71.0</v>
      </c>
      <c r="H68" s="25">
        <v>59.0</v>
      </c>
      <c r="I68" s="25">
        <v>70.6</v>
      </c>
      <c r="J68" s="25" t="s">
        <v>226</v>
      </c>
      <c r="K68" s="22"/>
      <c r="L68" s="22"/>
      <c r="M68" s="22"/>
      <c r="N68" s="22"/>
      <c r="O68" s="22"/>
      <c r="P68" s="22"/>
      <c r="Q68" s="22"/>
      <c r="R68" s="22"/>
      <c r="S68" s="22"/>
    </row>
    <row r="69">
      <c r="A69" s="24">
        <v>68.0</v>
      </c>
      <c r="B69" s="25" t="s">
        <v>227</v>
      </c>
      <c r="C69" s="25" t="s">
        <v>228</v>
      </c>
      <c r="D69" s="25">
        <v>87.0</v>
      </c>
      <c r="E69" s="25">
        <v>72.0</v>
      </c>
      <c r="F69" s="25">
        <v>67.0</v>
      </c>
      <c r="G69" s="25">
        <v>60.0</v>
      </c>
      <c r="H69" s="25">
        <v>72.0</v>
      </c>
      <c r="I69" s="25">
        <v>71.6</v>
      </c>
      <c r="J69" s="25" t="s">
        <v>229</v>
      </c>
      <c r="K69" s="22"/>
      <c r="L69" s="22"/>
      <c r="M69" s="22"/>
      <c r="N69" s="22"/>
      <c r="O69" s="22"/>
      <c r="P69" s="22"/>
      <c r="Q69" s="22"/>
      <c r="R69" s="22"/>
      <c r="S69" s="22"/>
    </row>
    <row r="70">
      <c r="A70" s="24">
        <v>69.0</v>
      </c>
      <c r="B70" s="25" t="s">
        <v>230</v>
      </c>
      <c r="C70" s="25" t="s">
        <v>231</v>
      </c>
      <c r="D70" s="25">
        <v>58.0</v>
      </c>
      <c r="E70" s="25">
        <v>69.0</v>
      </c>
      <c r="F70" s="25">
        <v>66.0</v>
      </c>
      <c r="G70" s="25">
        <v>85.0</v>
      </c>
      <c r="H70" s="25">
        <v>81.0</v>
      </c>
      <c r="I70" s="25">
        <v>71.8</v>
      </c>
      <c r="J70" s="25" t="s">
        <v>232</v>
      </c>
      <c r="K70" s="22"/>
      <c r="L70" s="22"/>
      <c r="M70" s="22"/>
      <c r="N70" s="22"/>
      <c r="O70" s="22"/>
      <c r="P70" s="22"/>
      <c r="Q70" s="22"/>
      <c r="R70" s="22"/>
      <c r="S70" s="22"/>
    </row>
    <row r="71">
      <c r="A71" s="24">
        <v>70.0</v>
      </c>
      <c r="B71" s="25" t="s">
        <v>233</v>
      </c>
      <c r="C71" s="25" t="s">
        <v>234</v>
      </c>
      <c r="D71" s="25">
        <v>78.0</v>
      </c>
      <c r="E71" s="25">
        <v>64.0</v>
      </c>
      <c r="F71" s="25">
        <v>73.0</v>
      </c>
      <c r="G71" s="25">
        <v>72.0</v>
      </c>
      <c r="H71" s="25">
        <v>74.0</v>
      </c>
      <c r="I71" s="25">
        <v>72.2</v>
      </c>
      <c r="J71" s="25" t="s">
        <v>235</v>
      </c>
      <c r="K71" s="22"/>
      <c r="L71" s="22"/>
      <c r="M71" s="22"/>
      <c r="N71" s="22"/>
      <c r="O71" s="22"/>
      <c r="P71" s="22"/>
      <c r="Q71" s="22"/>
      <c r="R71" s="22"/>
      <c r="S71" s="22"/>
    </row>
    <row r="72">
      <c r="A72" s="24">
        <v>71.0</v>
      </c>
      <c r="B72" s="25" t="s">
        <v>236</v>
      </c>
      <c r="C72" s="25" t="s">
        <v>237</v>
      </c>
      <c r="D72" s="25">
        <v>84.0</v>
      </c>
      <c r="E72" s="25">
        <v>76.0</v>
      </c>
      <c r="F72" s="25">
        <v>78.0</v>
      </c>
      <c r="G72" s="25">
        <v>68.0</v>
      </c>
      <c r="H72" s="25">
        <v>61.0</v>
      </c>
      <c r="I72" s="25">
        <v>73.4</v>
      </c>
      <c r="J72" s="25" t="s">
        <v>238</v>
      </c>
      <c r="K72" s="22"/>
      <c r="L72" s="22"/>
      <c r="M72" s="22"/>
      <c r="N72" s="22"/>
      <c r="O72" s="22"/>
      <c r="P72" s="22"/>
      <c r="Q72" s="22"/>
      <c r="R72" s="22"/>
      <c r="S72" s="22"/>
    </row>
    <row r="73">
      <c r="A73" s="24">
        <v>72.0</v>
      </c>
      <c r="B73" s="25" t="s">
        <v>239</v>
      </c>
      <c r="C73" s="25" t="s">
        <v>240</v>
      </c>
      <c r="D73" s="25">
        <v>67.0</v>
      </c>
      <c r="E73" s="25">
        <v>66.0</v>
      </c>
      <c r="F73" s="25">
        <v>88.0</v>
      </c>
      <c r="G73" s="25">
        <v>80.0</v>
      </c>
      <c r="H73" s="25">
        <v>68.0</v>
      </c>
      <c r="I73" s="25">
        <v>73.8</v>
      </c>
      <c r="J73" s="25" t="s">
        <v>241</v>
      </c>
      <c r="K73" s="22"/>
      <c r="L73" s="22"/>
      <c r="M73" s="22"/>
      <c r="N73" s="22"/>
      <c r="O73" s="22"/>
      <c r="P73" s="22"/>
      <c r="Q73" s="22"/>
      <c r="R73" s="22"/>
      <c r="S73" s="22"/>
    </row>
    <row r="74">
      <c r="A74" s="24">
        <v>73.0</v>
      </c>
      <c r="B74" s="25" t="s">
        <v>243</v>
      </c>
      <c r="C74" s="25" t="s">
        <v>244</v>
      </c>
      <c r="D74" s="25">
        <v>61.0</v>
      </c>
      <c r="E74" s="25">
        <v>59.0</v>
      </c>
      <c r="F74" s="25">
        <v>72.0</v>
      </c>
      <c r="G74" s="25">
        <v>95.0</v>
      </c>
      <c r="H74" s="25">
        <v>83.0</v>
      </c>
      <c r="I74" s="25">
        <v>74.0</v>
      </c>
      <c r="J74" s="25" t="s">
        <v>246</v>
      </c>
      <c r="K74" s="22"/>
      <c r="L74" s="22"/>
      <c r="M74" s="22"/>
      <c r="N74" s="22"/>
      <c r="O74" s="22"/>
      <c r="P74" s="22"/>
      <c r="Q74" s="22"/>
      <c r="R74" s="22"/>
      <c r="S74" s="22"/>
    </row>
    <row r="75">
      <c r="A75" s="24">
        <v>74.0</v>
      </c>
      <c r="B75" s="25" t="s">
        <v>247</v>
      </c>
      <c r="C75" s="25" t="s">
        <v>248</v>
      </c>
      <c r="D75" s="25">
        <v>73.0</v>
      </c>
      <c r="E75" s="25">
        <v>75.0</v>
      </c>
      <c r="F75" s="25">
        <v>69.0</v>
      </c>
      <c r="G75" s="25">
        <v>81.0</v>
      </c>
      <c r="H75" s="25">
        <v>73.0</v>
      </c>
      <c r="I75" s="25">
        <v>74.2</v>
      </c>
      <c r="J75" s="25" t="s">
        <v>249</v>
      </c>
      <c r="K75" s="22"/>
      <c r="L75" s="22"/>
      <c r="M75" s="22"/>
      <c r="N75" s="22"/>
      <c r="O75" s="22"/>
      <c r="P75" s="22"/>
      <c r="Q75" s="22"/>
      <c r="R75" s="22"/>
      <c r="S75" s="22"/>
    </row>
    <row r="76">
      <c r="A76" s="24">
        <v>75.0</v>
      </c>
      <c r="B76" s="25" t="s">
        <v>250</v>
      </c>
      <c r="C76" s="25" t="s">
        <v>251</v>
      </c>
      <c r="D76" s="25">
        <v>72.0</v>
      </c>
      <c r="E76" s="25">
        <v>78.0</v>
      </c>
      <c r="F76" s="25">
        <v>58.0</v>
      </c>
      <c r="G76" s="25">
        <v>91.0</v>
      </c>
      <c r="H76" s="25">
        <v>80.0</v>
      </c>
      <c r="I76" s="25">
        <v>75.8</v>
      </c>
      <c r="J76" s="25" t="s">
        <v>252</v>
      </c>
      <c r="K76" s="22"/>
      <c r="L76" s="22"/>
      <c r="M76" s="22"/>
      <c r="N76" s="22"/>
      <c r="O76" s="22"/>
      <c r="P76" s="22"/>
      <c r="Q76" s="22"/>
      <c r="R76" s="22"/>
      <c r="S76" s="22"/>
    </row>
    <row r="77">
      <c r="A77" s="24">
        <v>76.0</v>
      </c>
      <c r="B77" s="25" t="s">
        <v>253</v>
      </c>
      <c r="C77" s="25" t="s">
        <v>254</v>
      </c>
      <c r="D77" s="25">
        <v>69.0</v>
      </c>
      <c r="E77" s="25">
        <v>79.0</v>
      </c>
      <c r="F77" s="25">
        <v>77.0</v>
      </c>
      <c r="G77" s="25">
        <v>79.0</v>
      </c>
      <c r="H77" s="25">
        <v>77.0</v>
      </c>
      <c r="I77" s="25">
        <v>76.2</v>
      </c>
      <c r="J77" s="25" t="s">
        <v>256</v>
      </c>
      <c r="K77" s="26"/>
      <c r="L77" s="26"/>
      <c r="M77" s="26"/>
      <c r="N77" s="26"/>
      <c r="O77" s="26"/>
      <c r="P77" s="26"/>
      <c r="Q77" s="26"/>
      <c r="R77" s="26"/>
      <c r="S77" s="26"/>
    </row>
    <row r="78">
      <c r="A78" s="24">
        <v>77.0</v>
      </c>
      <c r="B78" s="25" t="s">
        <v>257</v>
      </c>
      <c r="C78" s="25" t="s">
        <v>258</v>
      </c>
      <c r="D78" s="25">
        <v>80.0</v>
      </c>
      <c r="E78" s="25">
        <v>71.0</v>
      </c>
      <c r="F78" s="25">
        <v>70.0</v>
      </c>
      <c r="G78" s="25">
        <v>90.0</v>
      </c>
      <c r="H78" s="25">
        <v>70.0</v>
      </c>
      <c r="I78" s="25">
        <v>76.2</v>
      </c>
      <c r="J78" s="25" t="s">
        <v>259</v>
      </c>
      <c r="K78" s="22"/>
      <c r="L78" s="22"/>
      <c r="M78" s="22"/>
      <c r="N78" s="22"/>
      <c r="O78" s="22"/>
      <c r="P78" s="22"/>
      <c r="Q78" s="22"/>
      <c r="R78" s="22"/>
      <c r="S78" s="22"/>
    </row>
    <row r="79">
      <c r="A79" s="24">
        <v>78.0</v>
      </c>
      <c r="B79" s="25" t="s">
        <v>260</v>
      </c>
      <c r="C79" s="25" t="s">
        <v>261</v>
      </c>
      <c r="D79" s="25">
        <v>95.0</v>
      </c>
      <c r="E79" s="25">
        <v>85.0</v>
      </c>
      <c r="F79" s="25">
        <v>75.0</v>
      </c>
      <c r="G79" s="25">
        <v>61.0</v>
      </c>
      <c r="H79" s="25">
        <v>84.0</v>
      </c>
      <c r="I79" s="25">
        <v>80.0</v>
      </c>
      <c r="J79" s="25" t="s">
        <v>262</v>
      </c>
      <c r="K79" s="22"/>
      <c r="L79" s="22"/>
      <c r="M79" s="22"/>
      <c r="N79" s="22"/>
      <c r="O79" s="22"/>
      <c r="P79" s="22"/>
      <c r="Q79" s="22"/>
      <c r="R79" s="22"/>
      <c r="S79" s="22"/>
    </row>
    <row r="80">
      <c r="A80" s="24">
        <v>79.0</v>
      </c>
      <c r="B80" s="25" t="s">
        <v>263</v>
      </c>
      <c r="C80" s="25" t="s">
        <v>264</v>
      </c>
      <c r="D80" s="25">
        <v>93.0</v>
      </c>
      <c r="E80" s="25">
        <v>73.0</v>
      </c>
      <c r="F80" s="25">
        <v>81.0</v>
      </c>
      <c r="G80" s="25">
        <v>86.0</v>
      </c>
      <c r="H80" s="25">
        <v>69.0</v>
      </c>
      <c r="I80" s="25">
        <v>80.4</v>
      </c>
      <c r="J80" s="25" t="s">
        <v>265</v>
      </c>
      <c r="K80" s="22"/>
      <c r="L80" s="22"/>
      <c r="M80" s="22"/>
      <c r="N80" s="22"/>
      <c r="O80" s="22"/>
      <c r="P80" s="22"/>
      <c r="Q80" s="22"/>
      <c r="R80" s="22"/>
      <c r="S80" s="22"/>
    </row>
    <row r="81">
      <c r="A81" s="24">
        <v>80.0</v>
      </c>
      <c r="B81" s="25" t="s">
        <v>266</v>
      </c>
      <c r="C81" s="25" t="s">
        <v>267</v>
      </c>
      <c r="D81" s="25">
        <v>96.0</v>
      </c>
      <c r="E81" s="25">
        <v>84.0</v>
      </c>
      <c r="F81" s="25">
        <v>71.0</v>
      </c>
      <c r="G81" s="25">
        <v>73.0</v>
      </c>
      <c r="H81" s="25">
        <v>78.0</v>
      </c>
      <c r="I81" s="25">
        <v>80.4</v>
      </c>
      <c r="J81" s="25" t="s">
        <v>268</v>
      </c>
      <c r="K81" s="22"/>
      <c r="L81" s="22"/>
      <c r="M81" s="22"/>
      <c r="N81" s="22"/>
      <c r="O81" s="22"/>
      <c r="P81" s="22"/>
      <c r="Q81" s="22"/>
      <c r="R81" s="22"/>
      <c r="S81" s="22"/>
    </row>
    <row r="82">
      <c r="A82" s="24">
        <v>81.0</v>
      </c>
      <c r="B82" s="25" t="s">
        <v>269</v>
      </c>
      <c r="C82" s="25" t="s">
        <v>270</v>
      </c>
      <c r="D82" s="25">
        <v>75.0</v>
      </c>
      <c r="E82" s="25">
        <v>74.0</v>
      </c>
      <c r="F82" s="25">
        <v>90.0</v>
      </c>
      <c r="G82" s="25">
        <v>88.0</v>
      </c>
      <c r="H82" s="25">
        <v>79.0</v>
      </c>
      <c r="I82" s="25">
        <v>81.2</v>
      </c>
      <c r="J82" s="25" t="s">
        <v>271</v>
      </c>
      <c r="K82" s="22"/>
      <c r="L82" s="22"/>
      <c r="M82" s="22"/>
      <c r="N82" s="22"/>
      <c r="O82" s="22"/>
      <c r="P82" s="22"/>
      <c r="Q82" s="22"/>
      <c r="R82" s="22"/>
      <c r="S82" s="22"/>
    </row>
    <row r="83">
      <c r="A83" s="24">
        <v>82.0</v>
      </c>
      <c r="B83" s="25" t="s">
        <v>272</v>
      </c>
      <c r="C83" s="25" t="s">
        <v>273</v>
      </c>
      <c r="D83" s="25">
        <v>106.0</v>
      </c>
      <c r="E83" s="25">
        <v>108.0</v>
      </c>
      <c r="F83" s="25">
        <v>84.0</v>
      </c>
      <c r="G83" s="25">
        <v>67.0</v>
      </c>
      <c r="H83" s="25">
        <v>63.0</v>
      </c>
      <c r="I83" s="25">
        <v>85.6</v>
      </c>
      <c r="J83" s="25" t="s">
        <v>274</v>
      </c>
      <c r="K83" s="22"/>
      <c r="L83" s="22"/>
      <c r="M83" s="22"/>
      <c r="N83" s="22"/>
      <c r="O83" s="22"/>
      <c r="P83" s="22"/>
      <c r="Q83" s="22"/>
      <c r="R83" s="22"/>
      <c r="S83" s="22"/>
    </row>
    <row r="84">
      <c r="A84" s="24">
        <v>83.0</v>
      </c>
      <c r="B84" s="25" t="s">
        <v>275</v>
      </c>
      <c r="C84" s="25" t="s">
        <v>276</v>
      </c>
      <c r="D84" s="25">
        <v>81.0</v>
      </c>
      <c r="E84" s="25">
        <v>100.0</v>
      </c>
      <c r="F84" s="25">
        <v>76.0</v>
      </c>
      <c r="G84" s="25">
        <v>92.0</v>
      </c>
      <c r="H84" s="25">
        <v>88.0</v>
      </c>
      <c r="I84" s="25">
        <v>87.4</v>
      </c>
      <c r="J84" s="25" t="s">
        <v>277</v>
      </c>
      <c r="K84" s="22"/>
      <c r="L84" s="22"/>
      <c r="M84" s="22"/>
      <c r="N84" s="22"/>
      <c r="O84" s="22"/>
      <c r="P84" s="22"/>
      <c r="Q84" s="22"/>
      <c r="R84" s="22"/>
      <c r="S84" s="22"/>
    </row>
    <row r="85">
      <c r="A85" s="24">
        <v>84.0</v>
      </c>
      <c r="B85" s="25" t="s">
        <v>278</v>
      </c>
      <c r="C85" s="25" t="s">
        <v>279</v>
      </c>
      <c r="D85" s="25">
        <v>134.0</v>
      </c>
      <c r="E85" s="25">
        <v>80.0</v>
      </c>
      <c r="F85" s="25">
        <v>85.0</v>
      </c>
      <c r="G85" s="25">
        <v>70.0</v>
      </c>
      <c r="H85" s="25">
        <v>75.0</v>
      </c>
      <c r="I85" s="25">
        <v>88.8</v>
      </c>
      <c r="J85" s="25" t="s">
        <v>280</v>
      </c>
      <c r="K85" s="22"/>
      <c r="L85" s="22"/>
      <c r="M85" s="22"/>
      <c r="N85" s="22"/>
      <c r="O85" s="22"/>
      <c r="P85" s="22"/>
      <c r="Q85" s="22"/>
      <c r="R85" s="22"/>
      <c r="S85" s="22"/>
    </row>
    <row r="86">
      <c r="A86" s="24">
        <v>85.0</v>
      </c>
      <c r="B86" s="25" t="s">
        <v>281</v>
      </c>
      <c r="C86" s="25" t="s">
        <v>282</v>
      </c>
      <c r="D86" s="25">
        <v>94.0</v>
      </c>
      <c r="E86" s="25">
        <v>83.0</v>
      </c>
      <c r="F86" s="25">
        <v>101.0</v>
      </c>
      <c r="G86" s="25">
        <v>74.0</v>
      </c>
      <c r="H86" s="25">
        <v>92.0</v>
      </c>
      <c r="I86" s="25">
        <v>88.8</v>
      </c>
      <c r="J86" s="25" t="s">
        <v>283</v>
      </c>
      <c r="K86" s="22"/>
      <c r="L86" s="22"/>
      <c r="M86" s="22"/>
      <c r="N86" s="22"/>
      <c r="O86" s="22"/>
      <c r="P86" s="22"/>
      <c r="Q86" s="22"/>
      <c r="R86" s="22"/>
      <c r="S86" s="22"/>
    </row>
    <row r="87">
      <c r="A87" s="24">
        <v>86.0</v>
      </c>
      <c r="B87" s="25" t="s">
        <v>284</v>
      </c>
      <c r="C87" s="25" t="s">
        <v>285</v>
      </c>
      <c r="D87" s="25">
        <v>97.0</v>
      </c>
      <c r="E87" s="25">
        <v>82.0</v>
      </c>
      <c r="F87" s="25">
        <v>86.0</v>
      </c>
      <c r="G87" s="25">
        <v>96.0</v>
      </c>
      <c r="H87" s="25">
        <v>85.0</v>
      </c>
      <c r="I87" s="25">
        <v>89.2</v>
      </c>
      <c r="J87" s="25" t="s">
        <v>286</v>
      </c>
      <c r="K87" s="22"/>
      <c r="L87" s="22"/>
      <c r="M87" s="22"/>
      <c r="N87" s="22"/>
      <c r="O87" s="22"/>
      <c r="P87" s="22"/>
      <c r="Q87" s="22"/>
      <c r="R87" s="22"/>
      <c r="S87" s="22"/>
    </row>
    <row r="88">
      <c r="A88" s="24">
        <v>87.0</v>
      </c>
      <c r="B88" s="25" t="s">
        <v>287</v>
      </c>
      <c r="C88" s="25" t="s">
        <v>288</v>
      </c>
      <c r="D88" s="25">
        <v>107.0</v>
      </c>
      <c r="E88" s="25">
        <v>94.0</v>
      </c>
      <c r="F88" s="25">
        <v>83.0</v>
      </c>
      <c r="G88" s="25">
        <v>84.0</v>
      </c>
      <c r="H88" s="25">
        <v>93.0</v>
      </c>
      <c r="I88" s="25">
        <v>92.2</v>
      </c>
      <c r="J88" s="25" t="s">
        <v>289</v>
      </c>
      <c r="K88" s="22"/>
      <c r="L88" s="22"/>
      <c r="M88" s="22"/>
      <c r="N88" s="22"/>
      <c r="O88" s="22"/>
      <c r="P88" s="22"/>
      <c r="Q88" s="22"/>
      <c r="R88" s="22"/>
      <c r="S88" s="22"/>
    </row>
    <row r="89">
      <c r="A89" s="24">
        <v>88.0</v>
      </c>
      <c r="B89" s="25" t="s">
        <v>290</v>
      </c>
      <c r="C89" s="25" t="s">
        <v>291</v>
      </c>
      <c r="D89" s="25">
        <v>83.0</v>
      </c>
      <c r="E89" s="25">
        <v>91.0</v>
      </c>
      <c r="F89" s="25">
        <v>87.0</v>
      </c>
      <c r="G89" s="25">
        <v>98.0</v>
      </c>
      <c r="H89" s="25">
        <v>102.0</v>
      </c>
      <c r="I89" s="25">
        <v>92.2</v>
      </c>
      <c r="J89" s="25" t="s">
        <v>292</v>
      </c>
      <c r="K89" s="22"/>
      <c r="L89" s="22"/>
      <c r="M89" s="22"/>
      <c r="N89" s="22"/>
      <c r="O89" s="22"/>
      <c r="P89" s="22"/>
      <c r="Q89" s="22"/>
      <c r="R89" s="22"/>
      <c r="S89" s="22"/>
    </row>
    <row r="90">
      <c r="A90" s="24">
        <v>89.0</v>
      </c>
      <c r="B90" s="25" t="s">
        <v>293</v>
      </c>
      <c r="C90" s="25" t="s">
        <v>294</v>
      </c>
      <c r="D90" s="25">
        <v>114.0</v>
      </c>
      <c r="E90" s="25">
        <v>77.0</v>
      </c>
      <c r="F90" s="25">
        <v>98.0</v>
      </c>
      <c r="G90" s="25">
        <v>83.0</v>
      </c>
      <c r="H90" s="25">
        <v>90.0</v>
      </c>
      <c r="I90" s="25">
        <v>92.4</v>
      </c>
      <c r="J90" s="25">
        <v>89.0</v>
      </c>
      <c r="K90" s="22"/>
      <c r="L90" s="22"/>
      <c r="M90" s="22"/>
      <c r="N90" s="22"/>
      <c r="O90" s="22"/>
      <c r="P90" s="22"/>
      <c r="Q90" s="22"/>
      <c r="R90" s="22"/>
      <c r="S90" s="22"/>
    </row>
    <row r="91">
      <c r="A91" s="24">
        <v>90.0</v>
      </c>
      <c r="B91" s="25" t="s">
        <v>295</v>
      </c>
      <c r="C91" s="25" t="s">
        <v>296</v>
      </c>
      <c r="D91" s="25">
        <v>70.0</v>
      </c>
      <c r="E91" s="25">
        <v>95.0</v>
      </c>
      <c r="F91" s="25">
        <v>91.0</v>
      </c>
      <c r="G91" s="25">
        <v>120.0</v>
      </c>
      <c r="H91" s="25">
        <v>94.0</v>
      </c>
      <c r="I91" s="25">
        <v>94.0</v>
      </c>
      <c r="J91" s="25" t="s">
        <v>297</v>
      </c>
      <c r="K91" s="22"/>
      <c r="L91" s="22"/>
      <c r="M91" s="22"/>
      <c r="N91" s="22"/>
      <c r="O91" s="22"/>
      <c r="P91" s="22"/>
      <c r="Q91" s="22"/>
      <c r="R91" s="22"/>
      <c r="S91" s="22"/>
    </row>
    <row r="92">
      <c r="A92" s="24">
        <v>91.0</v>
      </c>
      <c r="B92" s="25" t="s">
        <v>298</v>
      </c>
      <c r="C92" s="25" t="s">
        <v>299</v>
      </c>
      <c r="D92" s="25">
        <v>65.0</v>
      </c>
      <c r="E92" s="25">
        <v>90.0</v>
      </c>
      <c r="F92" s="25">
        <v>106.0</v>
      </c>
      <c r="G92" s="25">
        <v>111.0</v>
      </c>
      <c r="H92" s="25">
        <v>106.0</v>
      </c>
      <c r="I92" s="25">
        <v>95.6</v>
      </c>
      <c r="J92" s="25" t="s">
        <v>300</v>
      </c>
      <c r="K92" s="22"/>
      <c r="L92" s="22"/>
      <c r="M92" s="22"/>
      <c r="N92" s="22"/>
      <c r="O92" s="22"/>
      <c r="P92" s="22"/>
      <c r="Q92" s="22"/>
      <c r="R92" s="22"/>
      <c r="S92" s="22"/>
    </row>
    <row r="93">
      <c r="A93" s="24">
        <v>92.0</v>
      </c>
      <c r="B93" s="25" t="s">
        <v>301</v>
      </c>
      <c r="C93" s="25" t="s">
        <v>302</v>
      </c>
      <c r="D93" s="25">
        <v>90.0</v>
      </c>
      <c r="E93" s="25">
        <v>101.0</v>
      </c>
      <c r="F93" s="25">
        <v>82.0</v>
      </c>
      <c r="G93" s="25">
        <v>105.0</v>
      </c>
      <c r="H93" s="25">
        <v>108.0</v>
      </c>
      <c r="I93" s="25">
        <v>97.2</v>
      </c>
      <c r="J93" s="25" t="s">
        <v>303</v>
      </c>
      <c r="K93" s="22"/>
      <c r="L93" s="22"/>
      <c r="M93" s="22"/>
      <c r="N93" s="22"/>
      <c r="O93" s="22"/>
      <c r="P93" s="22"/>
      <c r="Q93" s="22"/>
      <c r="R93" s="22"/>
      <c r="S93" s="22"/>
    </row>
    <row r="94">
      <c r="A94" s="24">
        <v>93.0</v>
      </c>
      <c r="B94" s="25" t="s">
        <v>304</v>
      </c>
      <c r="C94" s="25" t="s">
        <v>305</v>
      </c>
      <c r="D94" s="25">
        <v>79.0</v>
      </c>
      <c r="E94" s="25">
        <v>102.0</v>
      </c>
      <c r="F94" s="25">
        <v>112.0</v>
      </c>
      <c r="G94" s="25">
        <v>101.0</v>
      </c>
      <c r="H94" s="25">
        <v>95.0</v>
      </c>
      <c r="I94" s="25">
        <v>97.8</v>
      </c>
      <c r="J94" s="25" t="s">
        <v>306</v>
      </c>
      <c r="K94" s="26"/>
      <c r="L94" s="26"/>
      <c r="M94" s="26"/>
      <c r="N94" s="26"/>
      <c r="O94" s="26"/>
      <c r="P94" s="26"/>
      <c r="Q94" s="26"/>
      <c r="R94" s="26"/>
      <c r="S94" s="26"/>
    </row>
    <row r="95">
      <c r="A95" s="24">
        <v>94.0</v>
      </c>
      <c r="B95" s="25" t="s">
        <v>307</v>
      </c>
      <c r="C95" s="25" t="s">
        <v>308</v>
      </c>
      <c r="D95" s="25">
        <v>138.0</v>
      </c>
      <c r="E95" s="25">
        <v>96.0</v>
      </c>
      <c r="F95" s="25">
        <v>93.0</v>
      </c>
      <c r="G95" s="25">
        <v>77.0</v>
      </c>
      <c r="H95" s="25">
        <v>86.0</v>
      </c>
      <c r="I95" s="25">
        <v>98.0</v>
      </c>
      <c r="J95" s="25" t="s">
        <v>309</v>
      </c>
      <c r="K95" s="22"/>
      <c r="L95" s="22"/>
      <c r="M95" s="22"/>
      <c r="N95" s="22"/>
      <c r="O95" s="22"/>
      <c r="P95" s="22"/>
      <c r="Q95" s="22"/>
      <c r="R95" s="22"/>
      <c r="S95" s="22"/>
    </row>
    <row r="96">
      <c r="A96" s="24">
        <v>95.0</v>
      </c>
      <c r="B96" s="25" t="s">
        <v>310</v>
      </c>
      <c r="C96" s="25" t="s">
        <v>311</v>
      </c>
      <c r="D96" s="25">
        <v>86.0</v>
      </c>
      <c r="E96" s="25">
        <v>92.0</v>
      </c>
      <c r="F96" s="25">
        <v>99.0</v>
      </c>
      <c r="G96" s="25">
        <v>102.0</v>
      </c>
      <c r="H96" s="25">
        <v>114.0</v>
      </c>
      <c r="I96" s="25">
        <v>98.6</v>
      </c>
      <c r="J96" s="25" t="s">
        <v>312</v>
      </c>
      <c r="K96" s="22"/>
      <c r="L96" s="22"/>
      <c r="M96" s="22"/>
      <c r="N96" s="22"/>
      <c r="O96" s="22"/>
      <c r="P96" s="22"/>
      <c r="Q96" s="22"/>
      <c r="R96" s="22"/>
      <c r="S96" s="22"/>
    </row>
    <row r="97">
      <c r="A97" s="24">
        <v>96.0</v>
      </c>
      <c r="B97" s="25" t="s">
        <v>313</v>
      </c>
      <c r="C97" s="25" t="s">
        <v>314</v>
      </c>
      <c r="D97" s="25">
        <v>104.0</v>
      </c>
      <c r="E97" s="25">
        <v>116.0</v>
      </c>
      <c r="F97" s="25">
        <v>107.0</v>
      </c>
      <c r="G97" s="25">
        <v>69.0</v>
      </c>
      <c r="H97" s="25">
        <v>100.0</v>
      </c>
      <c r="I97" s="25">
        <v>99.2</v>
      </c>
      <c r="J97" s="25" t="s">
        <v>315</v>
      </c>
      <c r="K97" s="22"/>
      <c r="L97" s="22"/>
      <c r="M97" s="22"/>
      <c r="N97" s="22"/>
      <c r="O97" s="22"/>
      <c r="P97" s="22"/>
      <c r="Q97" s="22"/>
      <c r="R97" s="22"/>
      <c r="S97" s="22"/>
    </row>
    <row r="98">
      <c r="A98" s="24">
        <v>97.0</v>
      </c>
      <c r="B98" s="25" t="s">
        <v>316</v>
      </c>
      <c r="C98" s="25" t="s">
        <v>317</v>
      </c>
      <c r="D98" s="25">
        <v>76.0</v>
      </c>
      <c r="E98" s="25">
        <v>93.0</v>
      </c>
      <c r="F98" s="25">
        <v>105.0</v>
      </c>
      <c r="G98" s="25">
        <v>114.0</v>
      </c>
      <c r="H98" s="25">
        <v>119.0</v>
      </c>
      <c r="I98" s="25">
        <v>101.4</v>
      </c>
      <c r="J98" s="25" t="s">
        <v>318</v>
      </c>
      <c r="K98" s="22"/>
      <c r="L98" s="22"/>
      <c r="M98" s="22"/>
      <c r="N98" s="22"/>
      <c r="O98" s="22"/>
      <c r="P98" s="22"/>
      <c r="Q98" s="22"/>
      <c r="R98" s="22"/>
      <c r="S98" s="22"/>
    </row>
    <row r="99">
      <c r="A99" s="24">
        <v>98.0</v>
      </c>
      <c r="B99" s="25" t="s">
        <v>319</v>
      </c>
      <c r="C99" s="25" t="s">
        <v>320</v>
      </c>
      <c r="D99" s="25">
        <v>77.0</v>
      </c>
      <c r="E99" s="25">
        <v>97.0</v>
      </c>
      <c r="F99" s="25">
        <v>100.0</v>
      </c>
      <c r="G99" s="25">
        <v>130.0</v>
      </c>
      <c r="H99" s="25">
        <v>103.0</v>
      </c>
      <c r="I99" s="25">
        <v>101.4</v>
      </c>
      <c r="J99" s="25" t="s">
        <v>321</v>
      </c>
      <c r="K99" s="22"/>
      <c r="L99" s="22"/>
      <c r="M99" s="22"/>
      <c r="N99" s="22"/>
      <c r="O99" s="22"/>
      <c r="P99" s="22"/>
      <c r="Q99" s="22"/>
      <c r="R99" s="22"/>
      <c r="S99" s="22"/>
    </row>
    <row r="100">
      <c r="A100" s="24">
        <v>99.0</v>
      </c>
      <c r="B100" s="25" t="s">
        <v>322</v>
      </c>
      <c r="C100" s="25" t="s">
        <v>323</v>
      </c>
      <c r="D100" s="25">
        <v>108.0</v>
      </c>
      <c r="E100" s="25">
        <v>112.0</v>
      </c>
      <c r="F100" s="25">
        <v>94.0</v>
      </c>
      <c r="G100" s="25">
        <v>94.0</v>
      </c>
      <c r="H100" s="25">
        <v>101.0</v>
      </c>
      <c r="I100" s="25">
        <v>101.8</v>
      </c>
      <c r="J100" s="25" t="s">
        <v>324</v>
      </c>
      <c r="K100" s="22"/>
      <c r="L100" s="22"/>
      <c r="M100" s="22"/>
      <c r="N100" s="22"/>
      <c r="O100" s="22"/>
      <c r="P100" s="22"/>
      <c r="Q100" s="22"/>
      <c r="R100" s="22"/>
      <c r="S100" s="22"/>
    </row>
    <row r="101">
      <c r="A101" s="24">
        <v>100.0</v>
      </c>
      <c r="B101" s="25" t="s">
        <v>325</v>
      </c>
      <c r="C101" s="25" t="s">
        <v>326</v>
      </c>
      <c r="D101" s="25">
        <v>119.0</v>
      </c>
      <c r="E101" s="25">
        <v>99.0</v>
      </c>
      <c r="F101" s="25">
        <v>108.0</v>
      </c>
      <c r="G101" s="25">
        <v>89.0</v>
      </c>
      <c r="H101" s="25">
        <v>98.0</v>
      </c>
      <c r="I101" s="25">
        <v>102.6</v>
      </c>
      <c r="J101" s="25" t="s">
        <v>327</v>
      </c>
      <c r="K101" s="22"/>
      <c r="L101" s="22"/>
      <c r="M101" s="22"/>
      <c r="N101" s="22"/>
      <c r="O101" s="22"/>
      <c r="P101" s="22"/>
      <c r="Q101" s="22"/>
      <c r="R101" s="22"/>
      <c r="S101" s="22"/>
    </row>
    <row r="102">
      <c r="A102" s="24">
        <v>101.0</v>
      </c>
      <c r="B102" s="25" t="s">
        <v>328</v>
      </c>
      <c r="C102" s="25" t="s">
        <v>329</v>
      </c>
      <c r="D102" s="25">
        <v>128.0</v>
      </c>
      <c r="E102" s="25">
        <v>104.0</v>
      </c>
      <c r="F102" s="25">
        <v>104.0</v>
      </c>
      <c r="G102" s="25">
        <v>87.0</v>
      </c>
      <c r="H102" s="25">
        <v>97.0</v>
      </c>
      <c r="I102" s="25">
        <v>104.0</v>
      </c>
      <c r="J102" s="25" t="s">
        <v>330</v>
      </c>
      <c r="K102" s="22"/>
      <c r="L102" s="22"/>
      <c r="M102" s="22"/>
      <c r="N102" s="22"/>
      <c r="O102" s="22"/>
      <c r="P102" s="22"/>
      <c r="Q102" s="22"/>
      <c r="R102" s="22"/>
      <c r="S102" s="22"/>
    </row>
    <row r="103">
      <c r="A103" s="24">
        <v>102.0</v>
      </c>
      <c r="B103" s="25" t="s">
        <v>331</v>
      </c>
      <c r="C103" s="25" t="s">
        <v>332</v>
      </c>
      <c r="D103" s="25">
        <v>98.0</v>
      </c>
      <c r="E103" s="25">
        <v>106.0</v>
      </c>
      <c r="F103" s="25">
        <v>97.0</v>
      </c>
      <c r="G103" s="25">
        <v>119.0</v>
      </c>
      <c r="H103" s="25">
        <v>105.0</v>
      </c>
      <c r="I103" s="25">
        <v>105.0</v>
      </c>
      <c r="J103" s="25" t="s">
        <v>333</v>
      </c>
      <c r="K103" s="22"/>
      <c r="L103" s="22"/>
      <c r="M103" s="22"/>
      <c r="N103" s="22"/>
      <c r="O103" s="22"/>
      <c r="P103" s="22"/>
      <c r="Q103" s="22"/>
      <c r="R103" s="22"/>
      <c r="S103" s="22"/>
    </row>
    <row r="104">
      <c r="A104" s="24">
        <v>103.0</v>
      </c>
      <c r="B104" s="25" t="s">
        <v>334</v>
      </c>
      <c r="C104" s="25" t="s">
        <v>335</v>
      </c>
      <c r="D104" s="25">
        <v>117.0</v>
      </c>
      <c r="E104" s="25">
        <v>111.0</v>
      </c>
      <c r="F104" s="25">
        <v>115.0</v>
      </c>
      <c r="G104" s="25">
        <v>103.0</v>
      </c>
      <c r="H104" s="25">
        <v>82.0</v>
      </c>
      <c r="I104" s="25">
        <v>105.6</v>
      </c>
      <c r="J104" s="25" t="s">
        <v>336</v>
      </c>
      <c r="K104" s="22"/>
      <c r="L104" s="22"/>
      <c r="M104" s="22"/>
      <c r="N104" s="22"/>
      <c r="O104" s="22"/>
      <c r="P104" s="22"/>
      <c r="Q104" s="22"/>
      <c r="R104" s="22"/>
      <c r="S104" s="22"/>
    </row>
    <row r="105">
      <c r="A105" s="24">
        <v>104.0</v>
      </c>
      <c r="B105" s="25" t="s">
        <v>337</v>
      </c>
      <c r="C105" s="25" t="s">
        <v>338</v>
      </c>
      <c r="D105" s="25">
        <v>135.0</v>
      </c>
      <c r="E105" s="25">
        <v>117.0</v>
      </c>
      <c r="F105" s="25">
        <v>96.0</v>
      </c>
      <c r="G105" s="25">
        <v>78.0</v>
      </c>
      <c r="H105" s="25">
        <v>104.0</v>
      </c>
      <c r="I105" s="25">
        <v>106.0</v>
      </c>
      <c r="J105" s="25" t="s">
        <v>339</v>
      </c>
      <c r="K105" s="22"/>
      <c r="L105" s="22"/>
      <c r="M105" s="22"/>
      <c r="N105" s="22"/>
      <c r="O105" s="22"/>
      <c r="P105" s="22"/>
      <c r="Q105" s="22"/>
      <c r="R105" s="22"/>
      <c r="S105" s="22"/>
    </row>
    <row r="106">
      <c r="A106" s="24">
        <v>105.0</v>
      </c>
      <c r="B106" s="25" t="s">
        <v>340</v>
      </c>
      <c r="C106" s="25" t="s">
        <v>341</v>
      </c>
      <c r="D106" s="25">
        <v>121.0</v>
      </c>
      <c r="E106" s="25">
        <v>115.0</v>
      </c>
      <c r="F106" s="25">
        <v>103.0</v>
      </c>
      <c r="G106" s="25">
        <v>82.0</v>
      </c>
      <c r="H106" s="25">
        <v>113.0</v>
      </c>
      <c r="I106" s="25">
        <v>106.8</v>
      </c>
      <c r="J106" s="25" t="s">
        <v>342</v>
      </c>
      <c r="K106" s="22"/>
      <c r="L106" s="22"/>
      <c r="M106" s="22"/>
      <c r="N106" s="22"/>
      <c r="O106" s="22"/>
      <c r="P106" s="22"/>
      <c r="Q106" s="22"/>
      <c r="R106" s="22"/>
      <c r="S106" s="22"/>
    </row>
    <row r="107">
      <c r="A107" s="24">
        <v>106.0</v>
      </c>
      <c r="B107" s="25" t="s">
        <v>343</v>
      </c>
      <c r="C107" s="25" t="s">
        <v>344</v>
      </c>
      <c r="D107" s="25">
        <v>118.0</v>
      </c>
      <c r="E107" s="25">
        <v>109.0</v>
      </c>
      <c r="F107" s="25">
        <v>95.0</v>
      </c>
      <c r="G107" s="25">
        <v>93.0</v>
      </c>
      <c r="H107" s="25">
        <v>123.0</v>
      </c>
      <c r="I107" s="25">
        <v>107.6</v>
      </c>
      <c r="J107" s="25" t="s">
        <v>345</v>
      </c>
      <c r="K107" s="22"/>
      <c r="L107" s="22"/>
      <c r="M107" s="22"/>
      <c r="N107" s="22"/>
      <c r="O107" s="22"/>
      <c r="P107" s="22"/>
      <c r="Q107" s="22"/>
      <c r="R107" s="22"/>
      <c r="S107" s="22"/>
    </row>
    <row r="108">
      <c r="A108" s="24">
        <v>107.0</v>
      </c>
      <c r="B108" s="25" t="s">
        <v>346</v>
      </c>
      <c r="C108" s="25" t="s">
        <v>347</v>
      </c>
      <c r="D108" s="25">
        <v>105.0</v>
      </c>
      <c r="E108" s="25">
        <v>103.0</v>
      </c>
      <c r="F108" s="25">
        <v>116.0</v>
      </c>
      <c r="G108" s="25">
        <v>107.0</v>
      </c>
      <c r="H108" s="25">
        <v>107.0</v>
      </c>
      <c r="I108" s="25">
        <v>107.6</v>
      </c>
      <c r="J108" s="25" t="s">
        <v>348</v>
      </c>
      <c r="K108" s="22"/>
      <c r="L108" s="22"/>
      <c r="M108" s="22"/>
      <c r="N108" s="22"/>
      <c r="O108" s="22"/>
      <c r="P108" s="22"/>
      <c r="Q108" s="22"/>
      <c r="R108" s="22"/>
      <c r="S108" s="22"/>
    </row>
    <row r="109">
      <c r="A109" s="24">
        <v>108.0</v>
      </c>
      <c r="B109" s="25" t="s">
        <v>349</v>
      </c>
      <c r="C109" s="25" t="s">
        <v>350</v>
      </c>
      <c r="D109" s="25">
        <v>74.0</v>
      </c>
      <c r="E109" s="25">
        <v>120.0</v>
      </c>
      <c r="F109" s="25">
        <v>117.0</v>
      </c>
      <c r="G109" s="25">
        <v>113.0</v>
      </c>
      <c r="H109" s="25">
        <v>116.0</v>
      </c>
      <c r="I109" s="25">
        <v>108.0</v>
      </c>
      <c r="J109" s="25" t="s">
        <v>351</v>
      </c>
      <c r="K109" s="22"/>
      <c r="L109" s="22"/>
      <c r="M109" s="22"/>
      <c r="N109" s="22"/>
      <c r="O109" s="22"/>
      <c r="P109" s="22"/>
      <c r="Q109" s="22"/>
      <c r="R109" s="22"/>
      <c r="S109" s="22"/>
    </row>
    <row r="110">
      <c r="A110" s="24">
        <v>109.0</v>
      </c>
      <c r="B110" s="25" t="s">
        <v>352</v>
      </c>
      <c r="C110" s="25" t="s">
        <v>353</v>
      </c>
      <c r="D110" s="25">
        <v>92.0</v>
      </c>
      <c r="E110" s="25">
        <v>121.0</v>
      </c>
      <c r="F110" s="25">
        <v>92.0</v>
      </c>
      <c r="G110" s="25">
        <v>123.0</v>
      </c>
      <c r="H110" s="25">
        <v>112.0</v>
      </c>
      <c r="I110" s="25">
        <v>108.0</v>
      </c>
      <c r="J110" s="25" t="s">
        <v>354</v>
      </c>
      <c r="K110" s="22"/>
      <c r="L110" s="22"/>
      <c r="M110" s="22"/>
      <c r="N110" s="22"/>
      <c r="O110" s="22"/>
      <c r="P110" s="22"/>
      <c r="Q110" s="22"/>
      <c r="R110" s="22"/>
      <c r="S110" s="22"/>
    </row>
    <row r="111">
      <c r="A111" s="24">
        <v>110.0</v>
      </c>
      <c r="B111" s="25" t="s">
        <v>355</v>
      </c>
      <c r="C111" s="25" t="s">
        <v>356</v>
      </c>
      <c r="D111" s="25">
        <v>133.0</v>
      </c>
      <c r="E111" s="25">
        <v>113.0</v>
      </c>
      <c r="F111" s="25">
        <v>102.0</v>
      </c>
      <c r="G111" s="25">
        <v>108.0</v>
      </c>
      <c r="H111" s="25">
        <v>89.0</v>
      </c>
      <c r="I111" s="25">
        <v>109.0</v>
      </c>
      <c r="J111" s="25" t="s">
        <v>357</v>
      </c>
      <c r="K111" s="22"/>
      <c r="L111" s="22"/>
      <c r="M111" s="22"/>
      <c r="N111" s="22"/>
      <c r="O111" s="22"/>
      <c r="P111" s="22"/>
      <c r="Q111" s="22"/>
      <c r="R111" s="22"/>
      <c r="S111" s="22"/>
    </row>
    <row r="112">
      <c r="A112" s="24">
        <v>111.0</v>
      </c>
      <c r="B112" s="25" t="s">
        <v>358</v>
      </c>
      <c r="C112" s="25" t="s">
        <v>359</v>
      </c>
      <c r="D112" s="25">
        <v>102.0</v>
      </c>
      <c r="E112" s="25">
        <v>98.0</v>
      </c>
      <c r="F112" s="25">
        <v>118.0</v>
      </c>
      <c r="G112" s="25">
        <v>125.0</v>
      </c>
      <c r="H112" s="25">
        <v>109.0</v>
      </c>
      <c r="I112" s="25">
        <v>110.4</v>
      </c>
      <c r="J112" s="25" t="s">
        <v>360</v>
      </c>
      <c r="K112" s="26"/>
      <c r="L112" s="26"/>
      <c r="M112" s="26"/>
      <c r="N112" s="26"/>
      <c r="O112" s="26"/>
      <c r="P112" s="26"/>
      <c r="Q112" s="26"/>
      <c r="R112" s="26"/>
      <c r="S112" s="26"/>
    </row>
    <row r="113">
      <c r="A113" s="24">
        <v>112.0</v>
      </c>
      <c r="B113" s="25" t="s">
        <v>361</v>
      </c>
      <c r="C113" s="25" t="s">
        <v>362</v>
      </c>
      <c r="D113" s="25">
        <v>88.0</v>
      </c>
      <c r="E113" s="25">
        <v>123.0</v>
      </c>
      <c r="F113" s="25">
        <v>80.0</v>
      </c>
      <c r="G113" s="25">
        <v>138.0</v>
      </c>
      <c r="H113" s="25">
        <v>124.0</v>
      </c>
      <c r="I113" s="25">
        <v>110.6</v>
      </c>
      <c r="J113" s="25" t="s">
        <v>363</v>
      </c>
      <c r="K113" s="22"/>
      <c r="L113" s="22"/>
      <c r="M113" s="22"/>
      <c r="N113" s="22"/>
      <c r="O113" s="22"/>
      <c r="P113" s="22"/>
      <c r="Q113" s="22"/>
      <c r="R113" s="22"/>
      <c r="S113" s="22"/>
    </row>
    <row r="114">
      <c r="A114" s="24">
        <v>113.0</v>
      </c>
      <c r="B114" s="25" t="s">
        <v>364</v>
      </c>
      <c r="C114" s="25" t="s">
        <v>365</v>
      </c>
      <c r="D114" s="25">
        <v>131.0</v>
      </c>
      <c r="E114" s="25">
        <v>107.0</v>
      </c>
      <c r="F114" s="25">
        <v>114.0</v>
      </c>
      <c r="G114" s="25">
        <v>104.0</v>
      </c>
      <c r="H114" s="25">
        <v>99.0</v>
      </c>
      <c r="I114" s="25">
        <v>111.0</v>
      </c>
      <c r="J114" s="25" t="s">
        <v>366</v>
      </c>
      <c r="K114" s="22"/>
      <c r="L114" s="22"/>
      <c r="M114" s="22"/>
      <c r="N114" s="22"/>
      <c r="O114" s="22"/>
      <c r="P114" s="22"/>
      <c r="Q114" s="22"/>
      <c r="R114" s="22"/>
      <c r="S114" s="22"/>
    </row>
    <row r="115">
      <c r="A115" s="24">
        <v>114.0</v>
      </c>
      <c r="B115" s="25" t="s">
        <v>367</v>
      </c>
      <c r="C115" s="25" t="s">
        <v>368</v>
      </c>
      <c r="D115" s="25">
        <v>103.0</v>
      </c>
      <c r="E115" s="25">
        <v>110.0</v>
      </c>
      <c r="F115" s="25">
        <v>124.0</v>
      </c>
      <c r="G115" s="25">
        <v>115.0</v>
      </c>
      <c r="H115" s="25">
        <v>111.0</v>
      </c>
      <c r="I115" s="25">
        <v>112.6</v>
      </c>
      <c r="J115" s="25" t="s">
        <v>369</v>
      </c>
      <c r="K115" s="22"/>
      <c r="L115" s="22"/>
      <c r="M115" s="22"/>
      <c r="N115" s="22"/>
      <c r="O115" s="22"/>
      <c r="P115" s="22"/>
      <c r="Q115" s="22"/>
      <c r="R115" s="22"/>
      <c r="S115" s="22"/>
    </row>
    <row r="116">
      <c r="A116" s="24">
        <v>115.0</v>
      </c>
      <c r="B116" s="25" t="s">
        <v>370</v>
      </c>
      <c r="C116" s="25" t="s">
        <v>371</v>
      </c>
      <c r="D116" s="25">
        <v>137.0</v>
      </c>
      <c r="E116" s="25">
        <v>87.0</v>
      </c>
      <c r="F116" s="25">
        <v>132.0</v>
      </c>
      <c r="G116" s="25">
        <v>112.0</v>
      </c>
      <c r="H116" s="25">
        <v>96.0</v>
      </c>
      <c r="I116" s="25">
        <v>112.8</v>
      </c>
      <c r="J116" s="25" t="s">
        <v>372</v>
      </c>
      <c r="K116" s="22"/>
      <c r="L116" s="22"/>
      <c r="M116" s="22"/>
      <c r="N116" s="22"/>
      <c r="O116" s="22"/>
      <c r="P116" s="22"/>
      <c r="Q116" s="22"/>
      <c r="R116" s="22"/>
      <c r="S116" s="22"/>
    </row>
    <row r="117">
      <c r="A117" s="24">
        <v>116.0</v>
      </c>
      <c r="B117" s="25" t="s">
        <v>373</v>
      </c>
      <c r="C117" s="25" t="s">
        <v>374</v>
      </c>
      <c r="D117" s="25">
        <v>89.0</v>
      </c>
      <c r="E117" s="25">
        <v>119.0</v>
      </c>
      <c r="F117" s="25">
        <v>89.0</v>
      </c>
      <c r="G117" s="25">
        <v>141.0</v>
      </c>
      <c r="H117" s="25">
        <v>127.0</v>
      </c>
      <c r="I117" s="25">
        <v>113.0</v>
      </c>
      <c r="J117" s="25" t="s">
        <v>375</v>
      </c>
      <c r="K117" s="22"/>
      <c r="L117" s="22"/>
      <c r="M117" s="22"/>
      <c r="N117" s="22"/>
      <c r="O117" s="22"/>
      <c r="P117" s="22"/>
      <c r="Q117" s="22"/>
      <c r="R117" s="22"/>
      <c r="S117" s="22"/>
    </row>
    <row r="118">
      <c r="A118" s="24">
        <v>117.0</v>
      </c>
      <c r="B118" s="25" t="s">
        <v>376</v>
      </c>
      <c r="C118" s="25" t="s">
        <v>377</v>
      </c>
      <c r="D118" s="25">
        <v>99.0</v>
      </c>
      <c r="E118" s="25">
        <v>88.0</v>
      </c>
      <c r="F118" s="25">
        <v>110.0</v>
      </c>
      <c r="G118" s="25">
        <v>142.0</v>
      </c>
      <c r="H118" s="25">
        <v>129.0</v>
      </c>
      <c r="I118" s="25">
        <v>113.6</v>
      </c>
      <c r="J118" s="25" t="s">
        <v>378</v>
      </c>
      <c r="K118" s="22"/>
      <c r="L118" s="22"/>
      <c r="M118" s="22"/>
      <c r="N118" s="22"/>
      <c r="O118" s="22"/>
      <c r="P118" s="22"/>
      <c r="Q118" s="22"/>
      <c r="R118" s="22"/>
      <c r="S118" s="22"/>
    </row>
    <row r="119">
      <c r="A119" s="24">
        <v>118.0</v>
      </c>
      <c r="B119" s="25" t="s">
        <v>379</v>
      </c>
      <c r="C119" s="25" t="s">
        <v>380</v>
      </c>
      <c r="D119" s="25">
        <v>130.0</v>
      </c>
      <c r="E119" s="25">
        <v>131.0</v>
      </c>
      <c r="F119" s="25">
        <v>122.0</v>
      </c>
      <c r="G119" s="25">
        <v>100.0</v>
      </c>
      <c r="H119" s="25">
        <v>87.0</v>
      </c>
      <c r="I119" s="25">
        <v>114.0</v>
      </c>
      <c r="J119" s="25" t="s">
        <v>381</v>
      </c>
      <c r="K119" s="22"/>
      <c r="L119" s="22"/>
      <c r="M119" s="22"/>
      <c r="N119" s="22"/>
      <c r="O119" s="22"/>
      <c r="P119" s="22"/>
      <c r="Q119" s="22"/>
      <c r="R119" s="22"/>
      <c r="S119" s="22"/>
    </row>
    <row r="120">
      <c r="A120" s="24">
        <v>119.0</v>
      </c>
      <c r="B120" s="25" t="s">
        <v>382</v>
      </c>
      <c r="C120" s="25" t="s">
        <v>383</v>
      </c>
      <c r="D120" s="25">
        <v>116.0</v>
      </c>
      <c r="E120" s="25">
        <v>114.0</v>
      </c>
      <c r="F120" s="25">
        <v>128.0</v>
      </c>
      <c r="G120" s="25">
        <v>109.0</v>
      </c>
      <c r="H120" s="25">
        <v>110.0</v>
      </c>
      <c r="I120" s="25">
        <v>115.4</v>
      </c>
      <c r="J120" s="25" t="s">
        <v>384</v>
      </c>
      <c r="K120" s="22"/>
      <c r="L120" s="22"/>
      <c r="M120" s="22"/>
      <c r="N120" s="22"/>
      <c r="O120" s="22"/>
      <c r="P120" s="22"/>
      <c r="Q120" s="22"/>
      <c r="R120" s="22"/>
      <c r="S120" s="22"/>
    </row>
    <row r="121">
      <c r="A121" s="24">
        <v>120.0</v>
      </c>
      <c r="B121" s="25" t="s">
        <v>385</v>
      </c>
      <c r="C121" s="25" t="s">
        <v>386</v>
      </c>
      <c r="D121" s="25">
        <v>123.0</v>
      </c>
      <c r="E121" s="25">
        <v>124.0</v>
      </c>
      <c r="F121" s="25">
        <v>111.0</v>
      </c>
      <c r="G121" s="25">
        <v>110.0</v>
      </c>
      <c r="H121" s="25">
        <v>115.0</v>
      </c>
      <c r="I121" s="25">
        <v>116.6</v>
      </c>
      <c r="J121" s="25">
        <v>120.0</v>
      </c>
      <c r="K121" s="22"/>
      <c r="L121" s="22"/>
      <c r="M121" s="22"/>
      <c r="N121" s="22"/>
      <c r="O121" s="22"/>
      <c r="P121" s="22"/>
      <c r="Q121" s="22"/>
      <c r="R121" s="22"/>
      <c r="S121" s="22"/>
    </row>
    <row r="122">
      <c r="A122" s="24">
        <v>121.0</v>
      </c>
      <c r="B122" s="25" t="s">
        <v>387</v>
      </c>
      <c r="C122" s="25" t="s">
        <v>388</v>
      </c>
      <c r="D122" s="25">
        <v>122.0</v>
      </c>
      <c r="E122" s="25">
        <v>89.0</v>
      </c>
      <c r="F122" s="25">
        <v>123.0</v>
      </c>
      <c r="G122" s="25">
        <v>129.0</v>
      </c>
      <c r="H122" s="25">
        <v>130.0</v>
      </c>
      <c r="I122" s="25">
        <v>118.6</v>
      </c>
      <c r="J122" s="25" t="s">
        <v>389</v>
      </c>
      <c r="K122" s="22"/>
      <c r="L122" s="22"/>
      <c r="M122" s="22"/>
      <c r="N122" s="22"/>
      <c r="O122" s="22"/>
      <c r="P122" s="22"/>
      <c r="Q122" s="22"/>
      <c r="R122" s="22"/>
      <c r="S122" s="22"/>
    </row>
    <row r="123">
      <c r="A123" s="24">
        <v>122.0</v>
      </c>
      <c r="B123" s="25" t="s">
        <v>390</v>
      </c>
      <c r="C123" s="25" t="s">
        <v>391</v>
      </c>
      <c r="D123" s="25">
        <v>101.0</v>
      </c>
      <c r="E123" s="25">
        <v>105.0</v>
      </c>
      <c r="F123" s="25">
        <v>113.0</v>
      </c>
      <c r="G123" s="25">
        <v>145.0</v>
      </c>
      <c r="H123" s="25">
        <v>142.0</v>
      </c>
      <c r="I123" s="25">
        <v>121.2</v>
      </c>
      <c r="J123" s="25" t="s">
        <v>392</v>
      </c>
      <c r="K123" s="22"/>
      <c r="L123" s="22"/>
      <c r="M123" s="22"/>
      <c r="N123" s="22"/>
      <c r="O123" s="22"/>
      <c r="P123" s="22"/>
      <c r="Q123" s="22"/>
      <c r="R123" s="22"/>
      <c r="S123" s="22"/>
    </row>
    <row r="124">
      <c r="A124" s="24">
        <v>123.0</v>
      </c>
      <c r="B124" s="25" t="s">
        <v>393</v>
      </c>
      <c r="C124" s="25" t="s">
        <v>394</v>
      </c>
      <c r="D124" s="25">
        <v>147.0</v>
      </c>
      <c r="E124" s="25">
        <v>156.0</v>
      </c>
      <c r="F124" s="25">
        <v>119.0</v>
      </c>
      <c r="G124" s="25">
        <v>97.0</v>
      </c>
      <c r="H124" s="25">
        <v>91.0</v>
      </c>
      <c r="I124" s="25">
        <v>122.0</v>
      </c>
      <c r="J124" s="25" t="s">
        <v>395</v>
      </c>
      <c r="K124" s="22"/>
      <c r="L124" s="22"/>
      <c r="M124" s="22"/>
      <c r="N124" s="22"/>
      <c r="O124" s="22"/>
      <c r="P124" s="22"/>
      <c r="Q124" s="22"/>
      <c r="R124" s="22"/>
      <c r="S124" s="22"/>
    </row>
    <row r="125">
      <c r="A125" s="24">
        <v>124.0</v>
      </c>
      <c r="B125" s="25" t="s">
        <v>396</v>
      </c>
      <c r="C125" s="25" t="s">
        <v>397</v>
      </c>
      <c r="D125" s="25">
        <v>91.0</v>
      </c>
      <c r="E125" s="25">
        <v>128.0</v>
      </c>
      <c r="F125" s="25">
        <v>135.0</v>
      </c>
      <c r="G125" s="25">
        <v>136.0</v>
      </c>
      <c r="H125" s="25">
        <v>125.0</v>
      </c>
      <c r="I125" s="25">
        <v>123.0</v>
      </c>
      <c r="J125" s="25" t="s">
        <v>398</v>
      </c>
      <c r="K125" s="22"/>
      <c r="L125" s="22"/>
      <c r="M125" s="22"/>
      <c r="N125" s="22"/>
      <c r="O125" s="22"/>
      <c r="P125" s="22"/>
      <c r="Q125" s="22"/>
      <c r="R125" s="22"/>
      <c r="S125" s="22"/>
    </row>
    <row r="126">
      <c r="A126" s="24">
        <v>125.0</v>
      </c>
      <c r="B126" s="25" t="s">
        <v>399</v>
      </c>
      <c r="C126" s="25" t="s">
        <v>400</v>
      </c>
      <c r="D126" s="25">
        <v>132.0</v>
      </c>
      <c r="E126" s="25">
        <v>133.0</v>
      </c>
      <c r="F126" s="25">
        <v>109.0</v>
      </c>
      <c r="G126" s="25">
        <v>124.0</v>
      </c>
      <c r="H126" s="25">
        <v>117.0</v>
      </c>
      <c r="I126" s="25">
        <v>123.0</v>
      </c>
      <c r="J126" s="25" t="s">
        <v>401</v>
      </c>
      <c r="K126" s="22"/>
      <c r="L126" s="22"/>
      <c r="M126" s="22"/>
      <c r="N126" s="22"/>
      <c r="O126" s="22"/>
      <c r="P126" s="22"/>
      <c r="Q126" s="22"/>
      <c r="R126" s="22"/>
      <c r="S126" s="22"/>
    </row>
    <row r="127">
      <c r="A127" s="24">
        <v>126.0</v>
      </c>
      <c r="B127" s="25" t="s">
        <v>402</v>
      </c>
      <c r="C127" s="25" t="s">
        <v>403</v>
      </c>
      <c r="D127" s="25">
        <v>140.0</v>
      </c>
      <c r="E127" s="25">
        <v>122.0</v>
      </c>
      <c r="F127" s="25">
        <v>127.0</v>
      </c>
      <c r="G127" s="25">
        <v>117.0</v>
      </c>
      <c r="H127" s="25">
        <v>118.0</v>
      </c>
      <c r="I127" s="25">
        <v>124.8</v>
      </c>
      <c r="J127" s="25" t="s">
        <v>404</v>
      </c>
      <c r="K127" s="22"/>
      <c r="L127" s="22"/>
      <c r="M127" s="22"/>
      <c r="N127" s="22"/>
      <c r="O127" s="22"/>
      <c r="P127" s="22"/>
      <c r="Q127" s="22"/>
      <c r="R127" s="22"/>
      <c r="S127" s="22"/>
    </row>
    <row r="128">
      <c r="A128" s="24">
        <v>127.0</v>
      </c>
      <c r="B128" s="25" t="s">
        <v>405</v>
      </c>
      <c r="C128" s="25" t="s">
        <v>406</v>
      </c>
      <c r="D128" s="25">
        <v>111.0</v>
      </c>
      <c r="E128" s="25">
        <v>129.0</v>
      </c>
      <c r="F128" s="25">
        <v>120.0</v>
      </c>
      <c r="G128" s="25">
        <v>133.0</v>
      </c>
      <c r="H128" s="25">
        <v>139.0</v>
      </c>
      <c r="I128" s="25">
        <v>126.4</v>
      </c>
      <c r="J128" s="25" t="s">
        <v>407</v>
      </c>
      <c r="K128" s="22"/>
      <c r="L128" s="22"/>
      <c r="M128" s="22"/>
      <c r="N128" s="22"/>
      <c r="O128" s="22"/>
      <c r="P128" s="22"/>
      <c r="Q128" s="22"/>
      <c r="R128" s="22"/>
      <c r="S128" s="22"/>
    </row>
    <row r="129">
      <c r="A129" s="24">
        <v>128.0</v>
      </c>
      <c r="B129" s="25" t="s">
        <v>408</v>
      </c>
      <c r="C129" s="25" t="s">
        <v>409</v>
      </c>
      <c r="D129" s="25">
        <v>113.0</v>
      </c>
      <c r="E129" s="25">
        <v>139.0</v>
      </c>
      <c r="F129" s="25">
        <v>141.0</v>
      </c>
      <c r="G129" s="25">
        <v>146.0</v>
      </c>
      <c r="H129" s="25">
        <v>128.0</v>
      </c>
      <c r="I129" s="25">
        <v>133.4</v>
      </c>
      <c r="J129" s="25" t="s">
        <v>410</v>
      </c>
      <c r="K129" s="22"/>
      <c r="L129" s="22"/>
      <c r="M129" s="22"/>
      <c r="N129" s="22"/>
      <c r="O129" s="22"/>
      <c r="P129" s="22"/>
      <c r="Q129" s="22"/>
      <c r="R129" s="22"/>
      <c r="S129" s="22"/>
    </row>
    <row r="130">
      <c r="A130" s="24">
        <v>129.0</v>
      </c>
      <c r="B130" s="25" t="s">
        <v>411</v>
      </c>
      <c r="C130" s="25" t="s">
        <v>412</v>
      </c>
      <c r="D130" s="25">
        <v>120.0</v>
      </c>
      <c r="E130" s="25">
        <v>137.0</v>
      </c>
      <c r="F130" s="25">
        <v>126.0</v>
      </c>
      <c r="G130" s="25">
        <v>144.0</v>
      </c>
      <c r="H130" s="25">
        <v>145.0</v>
      </c>
      <c r="I130" s="25">
        <v>134.4</v>
      </c>
      <c r="J130" s="25" t="s">
        <v>413</v>
      </c>
      <c r="K130" s="22"/>
      <c r="L130" s="22"/>
      <c r="M130" s="22"/>
      <c r="N130" s="22"/>
      <c r="O130" s="22"/>
      <c r="P130" s="22"/>
      <c r="Q130" s="22"/>
      <c r="R130" s="22"/>
      <c r="S130" s="22"/>
    </row>
    <row r="131">
      <c r="A131" s="24">
        <v>130.0</v>
      </c>
      <c r="B131" s="25" t="s">
        <v>414</v>
      </c>
      <c r="C131" s="25" t="s">
        <v>415</v>
      </c>
      <c r="D131" s="25">
        <v>100.0</v>
      </c>
      <c r="E131" s="25">
        <v>118.0</v>
      </c>
      <c r="F131" s="25">
        <v>140.0</v>
      </c>
      <c r="G131" s="25">
        <v>149.0</v>
      </c>
      <c r="H131" s="25">
        <v>172.0</v>
      </c>
      <c r="I131" s="25">
        <v>135.8</v>
      </c>
      <c r="J131" s="25" t="s">
        <v>416</v>
      </c>
      <c r="K131" s="22"/>
      <c r="L131" s="22"/>
      <c r="M131" s="22"/>
      <c r="N131" s="22"/>
      <c r="O131" s="22"/>
      <c r="P131" s="22"/>
      <c r="Q131" s="22"/>
      <c r="R131" s="22"/>
      <c r="S131" s="22"/>
    </row>
    <row r="132">
      <c r="A132" s="24">
        <v>131.0</v>
      </c>
      <c r="B132" s="25" t="s">
        <v>417</v>
      </c>
      <c r="C132" s="25" t="s">
        <v>418</v>
      </c>
      <c r="D132" s="25">
        <v>149.0</v>
      </c>
      <c r="E132" s="25">
        <v>132.0</v>
      </c>
      <c r="F132" s="25">
        <v>146.0</v>
      </c>
      <c r="G132" s="25">
        <v>131.0</v>
      </c>
      <c r="H132" s="25">
        <v>122.0</v>
      </c>
      <c r="I132" s="25">
        <v>136.0</v>
      </c>
      <c r="J132" s="25" t="s">
        <v>419</v>
      </c>
      <c r="K132" s="22"/>
      <c r="L132" s="22"/>
      <c r="M132" s="22"/>
      <c r="N132" s="22"/>
      <c r="O132" s="22"/>
      <c r="P132" s="22"/>
      <c r="Q132" s="22"/>
      <c r="R132" s="22"/>
      <c r="S132" s="22"/>
    </row>
    <row r="133">
      <c r="A133" s="24">
        <v>132.0</v>
      </c>
      <c r="B133" s="25" t="s">
        <v>420</v>
      </c>
      <c r="C133" s="25" t="s">
        <v>421</v>
      </c>
      <c r="D133" s="25">
        <v>145.0</v>
      </c>
      <c r="E133" s="25">
        <v>159.0</v>
      </c>
      <c r="F133" s="25">
        <v>136.0</v>
      </c>
      <c r="G133" s="25">
        <v>99.0</v>
      </c>
      <c r="H133" s="25">
        <v>144.0</v>
      </c>
      <c r="I133" s="25">
        <v>136.6</v>
      </c>
      <c r="J133" s="25" t="s">
        <v>422</v>
      </c>
      <c r="K133" s="22"/>
      <c r="L133" s="22"/>
      <c r="M133" s="22"/>
      <c r="N133" s="22"/>
      <c r="O133" s="22"/>
      <c r="P133" s="22"/>
      <c r="Q133" s="22"/>
      <c r="R133" s="22"/>
      <c r="S133" s="22"/>
    </row>
    <row r="134">
      <c r="A134" s="24">
        <v>133.0</v>
      </c>
      <c r="B134" s="25" t="s">
        <v>423</v>
      </c>
      <c r="C134" s="25" t="s">
        <v>424</v>
      </c>
      <c r="D134" s="25">
        <v>178.0</v>
      </c>
      <c r="E134" s="25">
        <v>86.0</v>
      </c>
      <c r="F134" s="25">
        <v>143.0</v>
      </c>
      <c r="G134" s="25">
        <v>140.0</v>
      </c>
      <c r="H134" s="25">
        <v>143.0</v>
      </c>
      <c r="I134" s="25">
        <v>138.0</v>
      </c>
      <c r="J134" s="25" t="s">
        <v>425</v>
      </c>
      <c r="K134" s="22"/>
      <c r="L134" s="22"/>
      <c r="M134" s="22"/>
      <c r="N134" s="22"/>
      <c r="O134" s="22"/>
      <c r="P134" s="22"/>
      <c r="Q134" s="22"/>
      <c r="R134" s="22"/>
      <c r="S134" s="22"/>
    </row>
    <row r="135">
      <c r="A135" s="24">
        <v>134.0</v>
      </c>
      <c r="B135" s="25" t="s">
        <v>426</v>
      </c>
      <c r="C135" s="25" t="s">
        <v>427</v>
      </c>
      <c r="D135" s="25">
        <v>144.0</v>
      </c>
      <c r="E135" s="25">
        <v>141.0</v>
      </c>
      <c r="F135" s="25">
        <v>129.0</v>
      </c>
      <c r="G135" s="25">
        <v>143.0</v>
      </c>
      <c r="H135" s="25">
        <v>134.0</v>
      </c>
      <c r="I135" s="25">
        <v>138.2</v>
      </c>
      <c r="J135" s="25" t="s">
        <v>428</v>
      </c>
      <c r="K135" s="22"/>
      <c r="L135" s="22"/>
      <c r="M135" s="22"/>
      <c r="N135" s="22"/>
      <c r="O135" s="22"/>
      <c r="P135" s="22"/>
      <c r="Q135" s="22"/>
      <c r="R135" s="22"/>
      <c r="S135" s="22"/>
    </row>
    <row r="136">
      <c r="A136" s="24">
        <v>135.0</v>
      </c>
      <c r="B136" s="25" t="s">
        <v>429</v>
      </c>
      <c r="C136" s="25" t="s">
        <v>430</v>
      </c>
      <c r="D136" s="25">
        <v>110.0</v>
      </c>
      <c r="E136" s="25">
        <v>126.0</v>
      </c>
      <c r="F136" s="25">
        <v>121.0</v>
      </c>
      <c r="G136" s="25">
        <v>166.0</v>
      </c>
      <c r="H136" s="25">
        <v>169.0</v>
      </c>
      <c r="I136" s="25">
        <v>138.4</v>
      </c>
      <c r="J136" s="25" t="s">
        <v>431</v>
      </c>
      <c r="K136" s="22"/>
      <c r="L136" s="22"/>
      <c r="M136" s="22"/>
      <c r="N136" s="22"/>
      <c r="O136" s="22"/>
      <c r="P136" s="22"/>
      <c r="Q136" s="22"/>
      <c r="R136" s="22"/>
      <c r="S136" s="22"/>
    </row>
    <row r="137">
      <c r="A137" s="24">
        <v>136.0</v>
      </c>
      <c r="B137" s="25" t="s">
        <v>432</v>
      </c>
      <c r="C137" s="25" t="s">
        <v>433</v>
      </c>
      <c r="D137" s="25">
        <v>127.0</v>
      </c>
      <c r="E137" s="25">
        <v>130.0</v>
      </c>
      <c r="F137" s="25">
        <v>131.0</v>
      </c>
      <c r="G137" s="25">
        <v>155.0</v>
      </c>
      <c r="H137" s="25">
        <v>151.0</v>
      </c>
      <c r="I137" s="25">
        <v>138.8</v>
      </c>
      <c r="J137" s="25" t="s">
        <v>434</v>
      </c>
      <c r="K137" s="22"/>
      <c r="L137" s="22"/>
      <c r="M137" s="22"/>
      <c r="N137" s="22"/>
      <c r="O137" s="22"/>
      <c r="P137" s="22"/>
      <c r="Q137" s="22"/>
      <c r="R137" s="22"/>
      <c r="S137" s="22"/>
    </row>
    <row r="138">
      <c r="A138" s="24">
        <v>137.0</v>
      </c>
      <c r="B138" s="25" t="s">
        <v>435</v>
      </c>
      <c r="C138" s="25" t="s">
        <v>436</v>
      </c>
      <c r="D138" s="25">
        <v>115.0</v>
      </c>
      <c r="E138" s="25">
        <v>140.0</v>
      </c>
      <c r="F138" s="25">
        <v>159.0</v>
      </c>
      <c r="G138" s="25">
        <v>150.0</v>
      </c>
      <c r="H138" s="25">
        <v>135.0</v>
      </c>
      <c r="I138" s="25">
        <v>139.8</v>
      </c>
      <c r="J138" s="25" t="s">
        <v>437</v>
      </c>
      <c r="K138" s="22"/>
      <c r="L138" s="22"/>
      <c r="M138" s="22"/>
      <c r="N138" s="22"/>
      <c r="O138" s="22"/>
      <c r="P138" s="22"/>
      <c r="Q138" s="22"/>
      <c r="R138" s="22"/>
      <c r="S138" s="22"/>
    </row>
    <row r="139">
      <c r="A139" s="24">
        <v>138.0</v>
      </c>
      <c r="B139" s="25" t="s">
        <v>438</v>
      </c>
      <c r="C139" s="25" t="s">
        <v>439</v>
      </c>
      <c r="D139" s="25">
        <v>142.0</v>
      </c>
      <c r="E139" s="25">
        <v>160.0</v>
      </c>
      <c r="F139" s="25">
        <v>134.0</v>
      </c>
      <c r="G139" s="25">
        <v>139.0</v>
      </c>
      <c r="H139" s="25">
        <v>126.0</v>
      </c>
      <c r="I139" s="25">
        <v>140.2</v>
      </c>
      <c r="J139" s="25" t="s">
        <v>440</v>
      </c>
      <c r="K139" s="22"/>
      <c r="L139" s="22"/>
      <c r="M139" s="22"/>
      <c r="N139" s="22"/>
      <c r="O139" s="22"/>
      <c r="P139" s="22"/>
      <c r="Q139" s="22"/>
      <c r="R139" s="22"/>
      <c r="S139" s="22"/>
    </row>
    <row r="140">
      <c r="A140" s="24">
        <v>139.0</v>
      </c>
      <c r="B140" s="25" t="s">
        <v>441</v>
      </c>
      <c r="C140" s="25" t="s">
        <v>442</v>
      </c>
      <c r="D140" s="25">
        <v>129.0</v>
      </c>
      <c r="E140" s="25">
        <v>125.0</v>
      </c>
      <c r="F140" s="25">
        <v>130.0</v>
      </c>
      <c r="G140" s="25">
        <v>156.0</v>
      </c>
      <c r="H140" s="25">
        <v>163.0</v>
      </c>
      <c r="I140" s="25">
        <v>140.6</v>
      </c>
      <c r="J140" s="25" t="s">
        <v>443</v>
      </c>
      <c r="K140" s="22"/>
      <c r="L140" s="22"/>
      <c r="M140" s="22"/>
      <c r="N140" s="22"/>
      <c r="O140" s="22"/>
      <c r="P140" s="22"/>
      <c r="Q140" s="22"/>
      <c r="R140" s="22"/>
      <c r="S140" s="22"/>
    </row>
    <row r="141">
      <c r="A141" s="24">
        <v>140.0</v>
      </c>
      <c r="B141" s="25" t="s">
        <v>444</v>
      </c>
      <c r="C141" s="25" t="s">
        <v>445</v>
      </c>
      <c r="D141" s="25">
        <v>175.0</v>
      </c>
      <c r="E141" s="25">
        <v>142.0</v>
      </c>
      <c r="F141" s="25">
        <v>137.0</v>
      </c>
      <c r="G141" s="25">
        <v>122.0</v>
      </c>
      <c r="H141" s="25">
        <v>132.0</v>
      </c>
      <c r="I141" s="25">
        <v>141.6</v>
      </c>
      <c r="J141" s="25" t="s">
        <v>446</v>
      </c>
      <c r="K141" s="22"/>
      <c r="L141" s="22"/>
      <c r="M141" s="22"/>
      <c r="N141" s="22"/>
      <c r="O141" s="22"/>
      <c r="P141" s="22"/>
      <c r="Q141" s="22"/>
      <c r="R141" s="22"/>
      <c r="S141" s="22"/>
    </row>
    <row r="142">
      <c r="A142" s="24">
        <v>141.0</v>
      </c>
      <c r="B142" s="25" t="s">
        <v>447</v>
      </c>
      <c r="C142" s="25" t="s">
        <v>448</v>
      </c>
      <c r="D142" s="25">
        <v>155.0</v>
      </c>
      <c r="E142" s="25">
        <v>146.0</v>
      </c>
      <c r="F142" s="25">
        <v>139.0</v>
      </c>
      <c r="G142" s="25">
        <v>127.0</v>
      </c>
      <c r="H142" s="25">
        <v>148.0</v>
      </c>
      <c r="I142" s="25">
        <v>143.0</v>
      </c>
      <c r="J142" s="25" t="s">
        <v>449</v>
      </c>
      <c r="K142" s="22"/>
      <c r="L142" s="22"/>
      <c r="M142" s="22"/>
      <c r="N142" s="22"/>
      <c r="O142" s="22"/>
      <c r="P142" s="22"/>
      <c r="Q142" s="22"/>
      <c r="R142" s="22"/>
      <c r="S142" s="22"/>
    </row>
    <row r="143">
      <c r="A143" s="24">
        <v>142.0</v>
      </c>
      <c r="B143" s="25" t="s">
        <v>450</v>
      </c>
      <c r="C143" s="25" t="s">
        <v>451</v>
      </c>
      <c r="D143" s="25">
        <v>151.0</v>
      </c>
      <c r="E143" s="25">
        <v>147.0</v>
      </c>
      <c r="F143" s="25">
        <v>142.0</v>
      </c>
      <c r="G143" s="25">
        <v>128.0</v>
      </c>
      <c r="H143" s="25">
        <v>147.0</v>
      </c>
      <c r="I143" s="25">
        <v>143.0</v>
      </c>
      <c r="J143" s="25" t="s">
        <v>452</v>
      </c>
      <c r="K143" s="22"/>
      <c r="L143" s="22"/>
      <c r="M143" s="22"/>
      <c r="N143" s="22"/>
      <c r="O143" s="22"/>
      <c r="P143" s="22"/>
      <c r="Q143" s="22"/>
      <c r="R143" s="22"/>
      <c r="S143" s="22"/>
    </row>
    <row r="144">
      <c r="A144" s="24">
        <v>143.0</v>
      </c>
      <c r="B144" s="25" t="s">
        <v>453</v>
      </c>
      <c r="C144" s="25" t="s">
        <v>454</v>
      </c>
      <c r="D144" s="25">
        <v>164.0</v>
      </c>
      <c r="E144" s="25">
        <v>145.0</v>
      </c>
      <c r="F144" s="25">
        <v>152.0</v>
      </c>
      <c r="G144" s="25">
        <v>118.0</v>
      </c>
      <c r="H144" s="25">
        <v>140.0</v>
      </c>
      <c r="I144" s="25">
        <v>143.8</v>
      </c>
      <c r="J144" s="25" t="s">
        <v>455</v>
      </c>
      <c r="K144" s="22"/>
      <c r="L144" s="22"/>
      <c r="M144" s="22"/>
      <c r="N144" s="22"/>
      <c r="O144" s="22"/>
      <c r="P144" s="22"/>
      <c r="Q144" s="22"/>
      <c r="R144" s="22"/>
      <c r="S144" s="22"/>
    </row>
    <row r="145">
      <c r="A145" s="24">
        <v>144.0</v>
      </c>
      <c r="B145" s="25" t="s">
        <v>456</v>
      </c>
      <c r="C145" s="25" t="s">
        <v>457</v>
      </c>
      <c r="D145" s="25">
        <v>169.0</v>
      </c>
      <c r="E145" s="25">
        <v>172.0</v>
      </c>
      <c r="F145" s="25">
        <v>138.0</v>
      </c>
      <c r="G145" s="25">
        <v>106.0</v>
      </c>
      <c r="H145" s="25">
        <v>141.0</v>
      </c>
      <c r="I145" s="25">
        <v>145.2</v>
      </c>
      <c r="J145" s="25" t="s">
        <v>458</v>
      </c>
      <c r="K145" s="22"/>
      <c r="L145" s="22"/>
      <c r="M145" s="22"/>
      <c r="N145" s="22"/>
      <c r="O145" s="22"/>
      <c r="P145" s="22"/>
      <c r="Q145" s="22"/>
      <c r="R145" s="22"/>
      <c r="S145" s="22"/>
    </row>
    <row r="146">
      <c r="A146" s="24">
        <v>145.0</v>
      </c>
      <c r="B146" s="25" t="s">
        <v>459</v>
      </c>
      <c r="C146" s="25" t="s">
        <v>460</v>
      </c>
      <c r="D146" s="25">
        <v>160.0</v>
      </c>
      <c r="E146" s="25">
        <v>166.0</v>
      </c>
      <c r="F146" s="25">
        <v>144.0</v>
      </c>
      <c r="G146" s="25">
        <v>116.0</v>
      </c>
      <c r="H146" s="25">
        <v>149.0</v>
      </c>
      <c r="I146" s="25">
        <v>147.0</v>
      </c>
      <c r="J146" s="25">
        <v>145.0</v>
      </c>
      <c r="K146" s="22"/>
      <c r="L146" s="22"/>
      <c r="M146" s="22"/>
      <c r="N146" s="22"/>
      <c r="O146" s="22"/>
      <c r="P146" s="22"/>
      <c r="Q146" s="22"/>
      <c r="R146" s="22"/>
      <c r="S146" s="22"/>
    </row>
    <row r="147">
      <c r="A147" s="24">
        <v>146.0</v>
      </c>
      <c r="B147" s="25" t="s">
        <v>461</v>
      </c>
      <c r="C147" s="25" t="s">
        <v>462</v>
      </c>
      <c r="D147" s="25">
        <v>159.0</v>
      </c>
      <c r="E147" s="25">
        <v>144.0</v>
      </c>
      <c r="F147" s="25">
        <v>154.0</v>
      </c>
      <c r="G147" s="25">
        <v>147.0</v>
      </c>
      <c r="H147" s="25">
        <v>133.0</v>
      </c>
      <c r="I147" s="25">
        <v>147.4</v>
      </c>
      <c r="J147" s="25" t="s">
        <v>463</v>
      </c>
      <c r="K147" s="22"/>
      <c r="L147" s="22"/>
      <c r="M147" s="22"/>
      <c r="N147" s="22"/>
      <c r="O147" s="22"/>
      <c r="P147" s="22"/>
      <c r="Q147" s="22"/>
      <c r="R147" s="22"/>
      <c r="S147" s="22"/>
    </row>
    <row r="148">
      <c r="A148" s="24">
        <v>147.0</v>
      </c>
      <c r="B148" s="25" t="s">
        <v>464</v>
      </c>
      <c r="C148" s="25" t="s">
        <v>465</v>
      </c>
      <c r="D148" s="25">
        <v>157.0</v>
      </c>
      <c r="E148" s="25">
        <v>148.0</v>
      </c>
      <c r="F148" s="25">
        <v>149.0</v>
      </c>
      <c r="G148" s="25">
        <v>162.0</v>
      </c>
      <c r="H148" s="25">
        <v>131.0</v>
      </c>
      <c r="I148" s="25">
        <v>149.4</v>
      </c>
      <c r="J148" s="25" t="s">
        <v>466</v>
      </c>
      <c r="K148" s="22"/>
      <c r="L148" s="22"/>
      <c r="M148" s="22"/>
      <c r="N148" s="22"/>
      <c r="O148" s="22"/>
      <c r="P148" s="22"/>
      <c r="Q148" s="22"/>
      <c r="R148" s="22"/>
      <c r="S148" s="22"/>
    </row>
    <row r="149">
      <c r="A149" s="24">
        <v>148.0</v>
      </c>
      <c r="B149" s="25" t="s">
        <v>467</v>
      </c>
      <c r="C149" s="25" t="s">
        <v>468</v>
      </c>
      <c r="D149" s="25">
        <v>136.0</v>
      </c>
      <c r="E149" s="25">
        <v>134.0</v>
      </c>
      <c r="F149" s="25">
        <v>164.0</v>
      </c>
      <c r="G149" s="25">
        <v>161.0</v>
      </c>
      <c r="H149" s="25">
        <v>171.0</v>
      </c>
      <c r="I149" s="25">
        <v>153.2</v>
      </c>
      <c r="J149" s="25" t="s">
        <v>469</v>
      </c>
      <c r="K149" s="22"/>
      <c r="L149" s="22"/>
      <c r="M149" s="22"/>
      <c r="N149" s="22"/>
      <c r="O149" s="22"/>
      <c r="P149" s="22"/>
      <c r="Q149" s="22"/>
      <c r="R149" s="22"/>
      <c r="S149" s="22"/>
    </row>
    <row r="150">
      <c r="A150" s="24">
        <v>149.0</v>
      </c>
      <c r="B150" s="25" t="s">
        <v>470</v>
      </c>
      <c r="C150" s="25" t="s">
        <v>471</v>
      </c>
      <c r="D150" s="25">
        <v>154.0</v>
      </c>
      <c r="E150" s="25">
        <v>184.0</v>
      </c>
      <c r="F150" s="25">
        <v>153.0</v>
      </c>
      <c r="G150" s="25">
        <v>154.0</v>
      </c>
      <c r="H150" s="25">
        <v>138.0</v>
      </c>
      <c r="I150" s="25">
        <v>156.6</v>
      </c>
      <c r="J150" s="25" t="s">
        <v>472</v>
      </c>
      <c r="K150" s="22"/>
      <c r="L150" s="22"/>
      <c r="M150" s="22"/>
      <c r="N150" s="22"/>
      <c r="O150" s="22"/>
      <c r="P150" s="22"/>
      <c r="Q150" s="22"/>
      <c r="R150" s="22"/>
      <c r="S150" s="22"/>
    </row>
    <row r="151">
      <c r="A151" s="24">
        <v>150.0</v>
      </c>
      <c r="B151" s="25" t="s">
        <v>473</v>
      </c>
      <c r="C151" s="25" t="s">
        <v>474</v>
      </c>
      <c r="D151" s="25">
        <v>109.0</v>
      </c>
      <c r="E151" s="25">
        <v>161.0</v>
      </c>
      <c r="F151" s="25">
        <v>150.0</v>
      </c>
      <c r="G151" s="25">
        <v>186.0</v>
      </c>
      <c r="H151" s="25">
        <v>178.0</v>
      </c>
      <c r="I151" s="25">
        <v>156.8</v>
      </c>
      <c r="J151" s="25" t="s">
        <v>475</v>
      </c>
      <c r="K151" s="22"/>
      <c r="L151" s="22"/>
      <c r="M151" s="22"/>
      <c r="N151" s="22"/>
      <c r="O151" s="22"/>
      <c r="P151" s="22"/>
      <c r="Q151" s="22"/>
      <c r="R151" s="22"/>
      <c r="S151" s="22"/>
    </row>
    <row r="152">
      <c r="A152" s="24">
        <v>151.0</v>
      </c>
      <c r="B152" s="25" t="s">
        <v>476</v>
      </c>
      <c r="C152" s="25" t="s">
        <v>477</v>
      </c>
      <c r="D152" s="25">
        <v>161.0</v>
      </c>
      <c r="E152" s="25">
        <v>162.0</v>
      </c>
      <c r="F152" s="25">
        <v>156.0</v>
      </c>
      <c r="G152" s="25">
        <v>152.0</v>
      </c>
      <c r="H152" s="25">
        <v>156.0</v>
      </c>
      <c r="I152" s="25">
        <v>157.4</v>
      </c>
      <c r="J152" s="25" t="s">
        <v>478</v>
      </c>
      <c r="K152" s="22"/>
      <c r="L152" s="22"/>
      <c r="M152" s="22"/>
      <c r="N152" s="22"/>
      <c r="O152" s="22"/>
      <c r="P152" s="22"/>
      <c r="Q152" s="22"/>
      <c r="R152" s="22"/>
      <c r="S152" s="22"/>
    </row>
    <row r="153">
      <c r="A153" s="24">
        <v>152.0</v>
      </c>
      <c r="B153" s="25" t="s">
        <v>479</v>
      </c>
      <c r="C153" s="25" t="s">
        <v>480</v>
      </c>
      <c r="D153" s="25">
        <v>163.0</v>
      </c>
      <c r="E153" s="25">
        <v>187.0</v>
      </c>
      <c r="F153" s="25">
        <v>148.0</v>
      </c>
      <c r="G153" s="25">
        <v>134.0</v>
      </c>
      <c r="H153" s="25">
        <v>157.0</v>
      </c>
      <c r="I153" s="25">
        <v>157.8</v>
      </c>
      <c r="J153" s="25" t="s">
        <v>481</v>
      </c>
      <c r="K153" s="22"/>
      <c r="L153" s="22"/>
      <c r="M153" s="22"/>
      <c r="N153" s="22"/>
      <c r="O153" s="22"/>
      <c r="P153" s="22"/>
      <c r="Q153" s="22"/>
      <c r="R153" s="22"/>
      <c r="S153" s="22"/>
    </row>
    <row r="154">
      <c r="A154" s="24">
        <v>153.0</v>
      </c>
      <c r="B154" s="25" t="s">
        <v>482</v>
      </c>
      <c r="C154" s="25" t="s">
        <v>483</v>
      </c>
      <c r="D154" s="25">
        <v>165.0</v>
      </c>
      <c r="E154" s="25">
        <v>185.0</v>
      </c>
      <c r="F154" s="25">
        <v>151.0</v>
      </c>
      <c r="G154" s="25">
        <v>137.0</v>
      </c>
      <c r="H154" s="25">
        <v>153.0</v>
      </c>
      <c r="I154" s="25">
        <v>158.2</v>
      </c>
      <c r="J154" s="25" t="s">
        <v>484</v>
      </c>
      <c r="K154" s="22"/>
      <c r="L154" s="22"/>
      <c r="M154" s="22"/>
      <c r="N154" s="22"/>
      <c r="O154" s="22"/>
      <c r="P154" s="22"/>
      <c r="Q154" s="22"/>
      <c r="R154" s="22"/>
      <c r="S154" s="22"/>
    </row>
    <row r="155">
      <c r="A155" s="24">
        <v>154.0</v>
      </c>
      <c r="B155" s="25" t="s">
        <v>485</v>
      </c>
      <c r="C155" s="25" t="s">
        <v>486</v>
      </c>
      <c r="D155" s="25">
        <v>148.0</v>
      </c>
      <c r="E155" s="25">
        <v>136.0</v>
      </c>
      <c r="F155" s="25">
        <v>155.0</v>
      </c>
      <c r="G155" s="25">
        <v>179.0</v>
      </c>
      <c r="H155" s="25">
        <v>174.0</v>
      </c>
      <c r="I155" s="25">
        <v>158.4</v>
      </c>
      <c r="J155" s="25" t="s">
        <v>487</v>
      </c>
      <c r="K155" s="22"/>
      <c r="L155" s="22"/>
      <c r="M155" s="22"/>
      <c r="N155" s="22"/>
      <c r="O155" s="22"/>
      <c r="P155" s="22"/>
      <c r="Q155" s="22"/>
      <c r="R155" s="22"/>
      <c r="S155" s="22"/>
    </row>
    <row r="156">
      <c r="A156" s="24">
        <v>155.0</v>
      </c>
      <c r="B156" s="25" t="s">
        <v>488</v>
      </c>
      <c r="C156" s="25" t="s">
        <v>489</v>
      </c>
      <c r="D156" s="25">
        <v>195.0</v>
      </c>
      <c r="E156" s="25">
        <v>180.0</v>
      </c>
      <c r="F156" s="25">
        <v>163.0</v>
      </c>
      <c r="G156" s="25">
        <v>132.0</v>
      </c>
      <c r="H156" s="25">
        <v>137.0</v>
      </c>
      <c r="I156" s="25">
        <v>161.4</v>
      </c>
      <c r="J156" s="25" t="s">
        <v>490</v>
      </c>
      <c r="K156" s="22"/>
      <c r="L156" s="22"/>
      <c r="M156" s="22"/>
      <c r="N156" s="22"/>
      <c r="O156" s="22"/>
      <c r="P156" s="22"/>
      <c r="Q156" s="22"/>
      <c r="R156" s="22"/>
      <c r="S156" s="22"/>
    </row>
    <row r="157">
      <c r="A157" s="24">
        <v>156.0</v>
      </c>
      <c r="B157" s="25" t="s">
        <v>491</v>
      </c>
      <c r="C157" s="25" t="s">
        <v>492</v>
      </c>
      <c r="D157" s="25">
        <v>139.0</v>
      </c>
      <c r="E157" s="25">
        <v>138.0</v>
      </c>
      <c r="F157" s="25">
        <v>170.0</v>
      </c>
      <c r="G157" s="25">
        <v>168.0</v>
      </c>
      <c r="H157" s="25">
        <v>194.0</v>
      </c>
      <c r="I157" s="25">
        <v>161.8</v>
      </c>
      <c r="J157" s="25" t="s">
        <v>493</v>
      </c>
      <c r="K157" s="22"/>
      <c r="L157" s="22"/>
      <c r="M157" s="22"/>
      <c r="N157" s="22"/>
      <c r="O157" s="22"/>
      <c r="P157" s="22"/>
      <c r="Q157" s="22"/>
      <c r="R157" s="22"/>
      <c r="S157" s="22"/>
    </row>
    <row r="158">
      <c r="A158" s="24">
        <v>157.0</v>
      </c>
      <c r="B158" s="25" t="s">
        <v>494</v>
      </c>
      <c r="C158" s="25" t="s">
        <v>495</v>
      </c>
      <c r="D158" s="25">
        <v>185.0</v>
      </c>
      <c r="E158" s="25">
        <v>152.0</v>
      </c>
      <c r="F158" s="25">
        <v>147.0</v>
      </c>
      <c r="G158" s="25">
        <v>177.0</v>
      </c>
      <c r="H158" s="25">
        <v>154.0</v>
      </c>
      <c r="I158" s="25">
        <v>163.0</v>
      </c>
      <c r="J158" s="25" t="s">
        <v>496</v>
      </c>
      <c r="K158" s="22"/>
      <c r="L158" s="22"/>
      <c r="M158" s="22"/>
      <c r="N158" s="22"/>
      <c r="O158" s="22"/>
      <c r="P158" s="22"/>
      <c r="Q158" s="22"/>
      <c r="R158" s="22"/>
      <c r="S158" s="22"/>
    </row>
    <row r="159">
      <c r="A159" s="24">
        <v>158.0</v>
      </c>
      <c r="B159" s="25" t="s">
        <v>497</v>
      </c>
      <c r="C159" s="25" t="s">
        <v>498</v>
      </c>
      <c r="D159" s="25">
        <v>255.0</v>
      </c>
      <c r="E159" s="25">
        <v>163.0</v>
      </c>
      <c r="F159" s="25">
        <v>133.0</v>
      </c>
      <c r="G159" s="25">
        <v>135.0</v>
      </c>
      <c r="H159" s="25">
        <v>136.0</v>
      </c>
      <c r="I159" s="25">
        <v>164.4</v>
      </c>
      <c r="J159" s="25" t="s">
        <v>499</v>
      </c>
      <c r="K159" s="22"/>
      <c r="L159" s="22"/>
      <c r="M159" s="22"/>
      <c r="N159" s="22"/>
      <c r="O159" s="22"/>
      <c r="P159" s="22"/>
      <c r="Q159" s="22"/>
      <c r="R159" s="22"/>
      <c r="S159" s="22"/>
    </row>
    <row r="160">
      <c r="A160" s="24">
        <v>159.0</v>
      </c>
      <c r="B160" s="25" t="s">
        <v>500</v>
      </c>
      <c r="C160" s="25" t="s">
        <v>501</v>
      </c>
      <c r="D160" s="25">
        <v>126.0</v>
      </c>
      <c r="E160" s="25">
        <v>135.0</v>
      </c>
      <c r="F160" s="25">
        <v>160.0</v>
      </c>
      <c r="G160" s="25">
        <v>219.0</v>
      </c>
      <c r="H160" s="25">
        <v>185.0</v>
      </c>
      <c r="I160" s="25">
        <v>165.0</v>
      </c>
      <c r="J160" s="25" t="s">
        <v>502</v>
      </c>
      <c r="K160" s="22"/>
      <c r="L160" s="22"/>
      <c r="M160" s="22"/>
      <c r="N160" s="22"/>
      <c r="O160" s="22"/>
      <c r="P160" s="22"/>
      <c r="Q160" s="22"/>
      <c r="R160" s="22"/>
      <c r="S160" s="22"/>
    </row>
    <row r="161">
      <c r="A161" s="24">
        <v>160.0</v>
      </c>
      <c r="B161" s="25" t="s">
        <v>503</v>
      </c>
      <c r="C161" s="25" t="s">
        <v>504</v>
      </c>
      <c r="D161" s="25">
        <v>143.0</v>
      </c>
      <c r="E161" s="25">
        <v>151.0</v>
      </c>
      <c r="F161" s="25">
        <v>183.0</v>
      </c>
      <c r="G161" s="25">
        <v>169.0</v>
      </c>
      <c r="H161" s="25">
        <v>180.0</v>
      </c>
      <c r="I161" s="25">
        <v>165.2</v>
      </c>
      <c r="J161" s="25" t="s">
        <v>505</v>
      </c>
      <c r="K161" s="22"/>
      <c r="L161" s="22"/>
      <c r="M161" s="22"/>
      <c r="N161" s="22"/>
      <c r="O161" s="22"/>
      <c r="P161" s="22"/>
      <c r="Q161" s="22"/>
      <c r="R161" s="22"/>
      <c r="S161" s="22"/>
    </row>
    <row r="162">
      <c r="A162" s="24">
        <v>161.0</v>
      </c>
      <c r="B162" s="25" t="s">
        <v>506</v>
      </c>
      <c r="C162" s="25" t="s">
        <v>507</v>
      </c>
      <c r="D162" s="25">
        <v>125.0</v>
      </c>
      <c r="E162" s="25">
        <v>164.0</v>
      </c>
      <c r="F162" s="25">
        <v>196.0</v>
      </c>
      <c r="G162" s="25">
        <v>170.0</v>
      </c>
      <c r="H162" s="25">
        <v>175.0</v>
      </c>
      <c r="I162" s="25">
        <v>166.0</v>
      </c>
      <c r="J162" s="25" t="s">
        <v>508</v>
      </c>
      <c r="K162" s="22"/>
      <c r="L162" s="22"/>
      <c r="M162" s="22"/>
      <c r="N162" s="22"/>
      <c r="O162" s="22"/>
      <c r="P162" s="22"/>
      <c r="Q162" s="22"/>
      <c r="R162" s="22"/>
      <c r="S162" s="22"/>
    </row>
    <row r="163">
      <c r="A163" s="24">
        <v>162.0</v>
      </c>
      <c r="B163" s="25" t="s">
        <v>509</v>
      </c>
      <c r="C163" s="25" t="s">
        <v>510</v>
      </c>
      <c r="D163" s="25">
        <v>193.0</v>
      </c>
      <c r="E163" s="25">
        <v>150.0</v>
      </c>
      <c r="F163" s="25">
        <v>125.0</v>
      </c>
      <c r="G163" s="25">
        <v>183.0</v>
      </c>
      <c r="H163" s="25">
        <v>179.0</v>
      </c>
      <c r="I163" s="25">
        <v>166.0</v>
      </c>
      <c r="J163" s="25" t="s">
        <v>511</v>
      </c>
      <c r="K163" s="22"/>
      <c r="L163" s="22"/>
      <c r="M163" s="22"/>
      <c r="N163" s="22"/>
      <c r="O163" s="22"/>
      <c r="P163" s="22"/>
      <c r="Q163" s="22"/>
      <c r="R163" s="22"/>
      <c r="S163" s="22"/>
    </row>
    <row r="164">
      <c r="A164" s="24">
        <v>163.0</v>
      </c>
      <c r="B164" s="25" t="s">
        <v>512</v>
      </c>
      <c r="C164" s="25" t="s">
        <v>513</v>
      </c>
      <c r="D164" s="25">
        <v>170.0</v>
      </c>
      <c r="E164" s="25">
        <v>154.0</v>
      </c>
      <c r="F164" s="25">
        <v>184.0</v>
      </c>
      <c r="G164" s="25">
        <v>153.0</v>
      </c>
      <c r="H164" s="25">
        <v>170.0</v>
      </c>
      <c r="I164" s="25">
        <v>166.2</v>
      </c>
      <c r="J164" s="25" t="s">
        <v>514</v>
      </c>
      <c r="K164" s="22"/>
      <c r="L164" s="22"/>
      <c r="M164" s="22"/>
      <c r="N164" s="22"/>
      <c r="O164" s="22"/>
      <c r="P164" s="22"/>
      <c r="Q164" s="22"/>
      <c r="R164" s="22"/>
      <c r="S164" s="22"/>
    </row>
    <row r="165">
      <c r="A165" s="24">
        <v>164.0</v>
      </c>
      <c r="B165" s="25" t="s">
        <v>515</v>
      </c>
      <c r="C165" s="25" t="s">
        <v>516</v>
      </c>
      <c r="D165" s="25">
        <v>207.0</v>
      </c>
      <c r="E165" s="25">
        <v>167.0</v>
      </c>
      <c r="F165" s="25">
        <v>161.0</v>
      </c>
      <c r="G165" s="25">
        <v>121.0</v>
      </c>
      <c r="H165" s="25">
        <v>176.0</v>
      </c>
      <c r="I165" s="25">
        <v>166.4</v>
      </c>
      <c r="J165" s="25" t="s">
        <v>517</v>
      </c>
      <c r="K165" s="22"/>
      <c r="L165" s="22"/>
      <c r="M165" s="22"/>
      <c r="N165" s="22"/>
      <c r="O165" s="22"/>
      <c r="P165" s="22"/>
      <c r="Q165" s="22"/>
      <c r="R165" s="22"/>
      <c r="S165" s="22"/>
    </row>
    <row r="166">
      <c r="A166" s="24">
        <v>165.0</v>
      </c>
      <c r="B166" s="25" t="s">
        <v>518</v>
      </c>
      <c r="C166" s="25" t="s">
        <v>519</v>
      </c>
      <c r="D166" s="25">
        <v>179.0</v>
      </c>
      <c r="E166" s="25">
        <v>193.0</v>
      </c>
      <c r="F166" s="25">
        <v>162.0</v>
      </c>
      <c r="G166" s="25">
        <v>165.0</v>
      </c>
      <c r="H166" s="25">
        <v>146.0</v>
      </c>
      <c r="I166" s="25">
        <v>169.0</v>
      </c>
      <c r="J166" s="25" t="s">
        <v>520</v>
      </c>
      <c r="K166" s="22"/>
      <c r="L166" s="22"/>
      <c r="M166" s="22"/>
      <c r="N166" s="22"/>
      <c r="O166" s="22"/>
      <c r="P166" s="22"/>
      <c r="Q166" s="22"/>
      <c r="R166" s="22"/>
      <c r="S166" s="22"/>
    </row>
    <row r="167">
      <c r="A167" s="24">
        <v>166.0</v>
      </c>
      <c r="B167" s="25" t="s">
        <v>521</v>
      </c>
      <c r="C167" s="25" t="s">
        <v>522</v>
      </c>
      <c r="D167" s="25">
        <v>176.0</v>
      </c>
      <c r="E167" s="25">
        <v>165.0</v>
      </c>
      <c r="F167" s="25">
        <v>177.0</v>
      </c>
      <c r="G167" s="25">
        <v>172.0</v>
      </c>
      <c r="H167" s="25">
        <v>158.0</v>
      </c>
      <c r="I167" s="25">
        <v>169.6</v>
      </c>
      <c r="J167" s="25" t="s">
        <v>523</v>
      </c>
      <c r="K167" s="22"/>
      <c r="L167" s="22"/>
      <c r="M167" s="22"/>
      <c r="N167" s="22"/>
      <c r="O167" s="22"/>
      <c r="P167" s="22"/>
      <c r="Q167" s="22"/>
      <c r="R167" s="22"/>
      <c r="S167" s="22"/>
    </row>
    <row r="168">
      <c r="A168" s="24">
        <v>167.0</v>
      </c>
      <c r="B168" s="25" t="s">
        <v>524</v>
      </c>
      <c r="C168" s="25" t="s">
        <v>525</v>
      </c>
      <c r="D168" s="25">
        <v>156.0</v>
      </c>
      <c r="E168" s="25">
        <v>143.0</v>
      </c>
      <c r="F168" s="25">
        <v>166.0</v>
      </c>
      <c r="G168" s="25">
        <v>199.0</v>
      </c>
      <c r="H168" s="25">
        <v>191.0</v>
      </c>
      <c r="I168" s="25">
        <v>171.0</v>
      </c>
      <c r="J168" s="25" t="s">
        <v>526</v>
      </c>
      <c r="K168" s="22"/>
      <c r="L168" s="22"/>
      <c r="M168" s="22"/>
      <c r="N168" s="22"/>
      <c r="O168" s="22"/>
      <c r="P168" s="22"/>
      <c r="Q168" s="22"/>
      <c r="R168" s="22"/>
      <c r="S168" s="22"/>
    </row>
    <row r="169">
      <c r="A169" s="24">
        <v>168.0</v>
      </c>
      <c r="B169" s="25" t="s">
        <v>527</v>
      </c>
      <c r="C169" s="25" t="s">
        <v>528</v>
      </c>
      <c r="D169" s="25">
        <v>152.0</v>
      </c>
      <c r="E169" s="25">
        <v>174.0</v>
      </c>
      <c r="F169" s="25">
        <v>176.0</v>
      </c>
      <c r="G169" s="25">
        <v>175.0</v>
      </c>
      <c r="H169" s="25">
        <v>189.0</v>
      </c>
      <c r="I169" s="25">
        <v>173.2</v>
      </c>
      <c r="J169" s="25" t="s">
        <v>529</v>
      </c>
      <c r="K169" s="22"/>
      <c r="L169" s="22"/>
      <c r="M169" s="22"/>
      <c r="N169" s="22"/>
      <c r="O169" s="22"/>
      <c r="P169" s="22"/>
      <c r="Q169" s="22"/>
      <c r="R169" s="22"/>
      <c r="S169" s="22"/>
    </row>
    <row r="170">
      <c r="A170" s="24">
        <v>169.0</v>
      </c>
      <c r="B170" s="25" t="s">
        <v>530</v>
      </c>
      <c r="C170" s="25" t="s">
        <v>531</v>
      </c>
      <c r="D170" s="25">
        <v>202.0</v>
      </c>
      <c r="E170" s="25">
        <v>177.0</v>
      </c>
      <c r="F170" s="25">
        <v>174.0</v>
      </c>
      <c r="G170" s="25">
        <v>148.0</v>
      </c>
      <c r="H170" s="25">
        <v>166.0</v>
      </c>
      <c r="I170" s="25">
        <v>173.4</v>
      </c>
      <c r="J170" s="25" t="s">
        <v>532</v>
      </c>
      <c r="K170" s="26"/>
      <c r="L170" s="26"/>
      <c r="M170" s="26"/>
      <c r="N170" s="26"/>
      <c r="O170" s="26"/>
      <c r="P170" s="26"/>
      <c r="Q170" s="26"/>
      <c r="R170" s="26"/>
      <c r="S170" s="26"/>
    </row>
    <row r="171">
      <c r="A171" s="24">
        <v>170.0</v>
      </c>
      <c r="B171" s="25" t="s">
        <v>533</v>
      </c>
      <c r="C171" s="25" t="s">
        <v>534</v>
      </c>
      <c r="D171" s="25">
        <v>180.0</v>
      </c>
      <c r="E171" s="25">
        <v>196.0</v>
      </c>
      <c r="F171" s="25">
        <v>180.0</v>
      </c>
      <c r="G171" s="25">
        <v>193.0</v>
      </c>
      <c r="H171" s="25">
        <v>121.0</v>
      </c>
      <c r="I171" s="25">
        <v>174.0</v>
      </c>
      <c r="J171" s="25" t="s">
        <v>535</v>
      </c>
      <c r="K171" s="22"/>
      <c r="L171" s="22"/>
      <c r="M171" s="22"/>
      <c r="N171" s="22"/>
      <c r="O171" s="22"/>
      <c r="P171" s="22"/>
      <c r="Q171" s="22"/>
      <c r="R171" s="22"/>
      <c r="S171" s="22"/>
    </row>
    <row r="172">
      <c r="A172" s="24">
        <v>171.0</v>
      </c>
      <c r="B172" s="25" t="s">
        <v>536</v>
      </c>
      <c r="C172" s="25" t="s">
        <v>537</v>
      </c>
      <c r="D172" s="25">
        <v>124.0</v>
      </c>
      <c r="E172" s="25">
        <v>149.0</v>
      </c>
      <c r="F172" s="25">
        <v>182.0</v>
      </c>
      <c r="G172" s="25">
        <v>215.0</v>
      </c>
      <c r="H172" s="25">
        <v>204.0</v>
      </c>
      <c r="I172" s="25">
        <v>174.8</v>
      </c>
      <c r="J172" s="25" t="s">
        <v>538</v>
      </c>
      <c r="K172" s="22"/>
      <c r="L172" s="22"/>
      <c r="M172" s="22"/>
      <c r="N172" s="22"/>
      <c r="O172" s="22"/>
      <c r="P172" s="22"/>
      <c r="Q172" s="22"/>
      <c r="R172" s="22"/>
      <c r="S172" s="22"/>
    </row>
    <row r="173">
      <c r="A173" s="24">
        <v>172.0</v>
      </c>
      <c r="B173" s="25" t="s">
        <v>539</v>
      </c>
      <c r="C173" s="25" t="s">
        <v>540</v>
      </c>
      <c r="D173" s="25">
        <v>182.0</v>
      </c>
      <c r="E173" s="25">
        <v>157.0</v>
      </c>
      <c r="F173" s="25">
        <v>169.0</v>
      </c>
      <c r="G173" s="25">
        <v>160.0</v>
      </c>
      <c r="H173" s="25">
        <v>226.0</v>
      </c>
      <c r="I173" s="25">
        <v>178.8</v>
      </c>
      <c r="J173" s="25" t="s">
        <v>541</v>
      </c>
      <c r="K173" s="22"/>
      <c r="L173" s="22"/>
      <c r="M173" s="22"/>
      <c r="N173" s="22"/>
      <c r="O173" s="22"/>
      <c r="P173" s="22"/>
      <c r="Q173" s="22"/>
      <c r="R173" s="22"/>
      <c r="S173" s="22"/>
    </row>
    <row r="174">
      <c r="A174" s="24">
        <v>173.0</v>
      </c>
      <c r="B174" s="25" t="s">
        <v>542</v>
      </c>
      <c r="C174" s="25" t="s">
        <v>543</v>
      </c>
      <c r="D174" s="25">
        <v>186.0</v>
      </c>
      <c r="E174" s="25">
        <v>169.0</v>
      </c>
      <c r="F174" s="25">
        <v>181.0</v>
      </c>
      <c r="G174" s="25">
        <v>182.0</v>
      </c>
      <c r="H174" s="25">
        <v>181.0</v>
      </c>
      <c r="I174" s="25">
        <v>179.8</v>
      </c>
      <c r="J174" s="25" t="s">
        <v>544</v>
      </c>
      <c r="K174" s="22"/>
      <c r="L174" s="22"/>
      <c r="M174" s="22"/>
      <c r="N174" s="22"/>
      <c r="O174" s="22"/>
      <c r="P174" s="22"/>
      <c r="Q174" s="22"/>
      <c r="R174" s="22"/>
      <c r="S174" s="22"/>
    </row>
    <row r="175">
      <c r="A175" s="24">
        <v>174.0</v>
      </c>
      <c r="B175" s="25" t="s">
        <v>545</v>
      </c>
      <c r="C175" s="25" t="s">
        <v>546</v>
      </c>
      <c r="D175" s="25">
        <v>168.0</v>
      </c>
      <c r="E175" s="25">
        <v>178.0</v>
      </c>
      <c r="F175" s="25">
        <v>167.0</v>
      </c>
      <c r="G175" s="25">
        <v>212.0</v>
      </c>
      <c r="H175" s="25">
        <v>186.0</v>
      </c>
      <c r="I175" s="25">
        <v>182.2</v>
      </c>
      <c r="J175" s="25" t="s">
        <v>547</v>
      </c>
      <c r="K175" s="22"/>
      <c r="L175" s="22"/>
      <c r="M175" s="22"/>
      <c r="N175" s="22"/>
      <c r="O175" s="22"/>
      <c r="P175" s="22"/>
      <c r="Q175" s="22"/>
      <c r="R175" s="22"/>
      <c r="S175" s="22"/>
    </row>
    <row r="176">
      <c r="A176" s="24">
        <v>175.0</v>
      </c>
      <c r="B176" s="25" t="s">
        <v>548</v>
      </c>
      <c r="C176" s="25" t="s">
        <v>549</v>
      </c>
      <c r="D176" s="25">
        <v>158.0</v>
      </c>
      <c r="E176" s="25">
        <v>204.0</v>
      </c>
      <c r="F176" s="25">
        <v>157.0</v>
      </c>
      <c r="G176" s="25">
        <v>201.0</v>
      </c>
      <c r="H176" s="25">
        <v>197.0</v>
      </c>
      <c r="I176" s="25">
        <v>183.4</v>
      </c>
      <c r="J176" s="25" t="s">
        <v>550</v>
      </c>
      <c r="K176" s="22"/>
      <c r="L176" s="22"/>
      <c r="M176" s="22"/>
      <c r="N176" s="22"/>
      <c r="O176" s="22"/>
      <c r="P176" s="22"/>
      <c r="Q176" s="22"/>
      <c r="R176" s="22"/>
      <c r="S176" s="22"/>
    </row>
    <row r="177">
      <c r="A177" s="24">
        <v>176.0</v>
      </c>
      <c r="B177" s="25" t="s">
        <v>551</v>
      </c>
      <c r="C177" s="25" t="s">
        <v>552</v>
      </c>
      <c r="D177" s="25">
        <v>150.0</v>
      </c>
      <c r="E177" s="25">
        <v>153.0</v>
      </c>
      <c r="F177" s="25">
        <v>172.0</v>
      </c>
      <c r="G177" s="25">
        <v>229.0</v>
      </c>
      <c r="H177" s="25">
        <v>215.0</v>
      </c>
      <c r="I177" s="25">
        <v>183.8</v>
      </c>
      <c r="J177" s="25" t="s">
        <v>553</v>
      </c>
      <c r="K177" s="22"/>
      <c r="L177" s="22"/>
      <c r="M177" s="22"/>
      <c r="N177" s="22"/>
      <c r="O177" s="22"/>
      <c r="P177" s="22"/>
      <c r="Q177" s="22"/>
      <c r="R177" s="22"/>
      <c r="S177" s="22"/>
    </row>
    <row r="178">
      <c r="A178" s="24">
        <v>177.0</v>
      </c>
      <c r="B178" s="25" t="s">
        <v>554</v>
      </c>
      <c r="C178" s="25" t="s">
        <v>555</v>
      </c>
      <c r="D178" s="25">
        <v>174.0</v>
      </c>
      <c r="E178" s="25">
        <v>190.0</v>
      </c>
      <c r="F178" s="25">
        <v>192.0</v>
      </c>
      <c r="G178" s="25">
        <v>173.0</v>
      </c>
      <c r="H178" s="25">
        <v>195.0</v>
      </c>
      <c r="I178" s="25">
        <v>184.8</v>
      </c>
      <c r="J178" s="25" t="s">
        <v>556</v>
      </c>
      <c r="K178" s="22"/>
      <c r="L178" s="22"/>
      <c r="M178" s="22"/>
      <c r="N178" s="22"/>
      <c r="O178" s="22"/>
      <c r="P178" s="22"/>
      <c r="Q178" s="22"/>
      <c r="R178" s="22"/>
      <c r="S178" s="22"/>
    </row>
    <row r="179">
      <c r="A179" s="24">
        <v>178.0</v>
      </c>
      <c r="B179" s="25" t="s">
        <v>557</v>
      </c>
      <c r="C179" s="25" t="s">
        <v>558</v>
      </c>
      <c r="D179" s="25">
        <v>172.0</v>
      </c>
      <c r="E179" s="25">
        <v>203.0</v>
      </c>
      <c r="F179" s="25">
        <v>165.0</v>
      </c>
      <c r="G179" s="25">
        <v>197.0</v>
      </c>
      <c r="H179" s="25">
        <v>190.0</v>
      </c>
      <c r="I179" s="25">
        <v>185.4</v>
      </c>
      <c r="J179" s="25" t="s">
        <v>559</v>
      </c>
      <c r="K179" s="22"/>
      <c r="L179" s="22"/>
      <c r="M179" s="22"/>
      <c r="N179" s="22"/>
      <c r="O179" s="22"/>
      <c r="P179" s="22"/>
      <c r="Q179" s="22"/>
      <c r="R179" s="22"/>
      <c r="S179" s="22"/>
    </row>
    <row r="180">
      <c r="A180" s="24">
        <v>179.0</v>
      </c>
      <c r="B180" s="25" t="s">
        <v>560</v>
      </c>
      <c r="C180" s="25" t="s">
        <v>561</v>
      </c>
      <c r="D180" s="25">
        <v>187.0</v>
      </c>
      <c r="E180" s="25">
        <v>192.0</v>
      </c>
      <c r="F180" s="25">
        <v>173.0</v>
      </c>
      <c r="G180" s="25">
        <v>195.0</v>
      </c>
      <c r="H180" s="25">
        <v>184.0</v>
      </c>
      <c r="I180" s="25">
        <v>186.2</v>
      </c>
      <c r="J180" s="25" t="s">
        <v>562</v>
      </c>
      <c r="K180" s="22"/>
      <c r="L180" s="22"/>
      <c r="M180" s="22"/>
      <c r="N180" s="22"/>
      <c r="O180" s="22"/>
      <c r="P180" s="22"/>
      <c r="Q180" s="22"/>
      <c r="R180" s="22"/>
      <c r="S180" s="22"/>
    </row>
    <row r="181">
      <c r="A181" s="24">
        <v>180.0</v>
      </c>
      <c r="B181" s="25" t="s">
        <v>563</v>
      </c>
      <c r="C181" s="25" t="s">
        <v>564</v>
      </c>
      <c r="D181" s="25">
        <v>229.0</v>
      </c>
      <c r="E181" s="25">
        <v>186.0</v>
      </c>
      <c r="F181" s="25">
        <v>188.0</v>
      </c>
      <c r="G181" s="25">
        <v>167.0</v>
      </c>
      <c r="H181" s="25">
        <v>162.0</v>
      </c>
      <c r="I181" s="25">
        <v>186.4</v>
      </c>
      <c r="J181" s="25" t="s">
        <v>565</v>
      </c>
      <c r="K181" s="22"/>
      <c r="L181" s="22"/>
      <c r="M181" s="22"/>
      <c r="N181" s="22"/>
      <c r="O181" s="22"/>
      <c r="P181" s="22"/>
      <c r="Q181" s="22"/>
      <c r="R181" s="22"/>
      <c r="S181" s="22"/>
    </row>
    <row r="182">
      <c r="A182" s="24">
        <v>181.0</v>
      </c>
      <c r="B182" s="25" t="s">
        <v>566</v>
      </c>
      <c r="C182" s="25" t="s">
        <v>567</v>
      </c>
      <c r="D182" s="25">
        <v>188.0</v>
      </c>
      <c r="E182" s="25">
        <v>202.0</v>
      </c>
      <c r="F182" s="25">
        <v>186.0</v>
      </c>
      <c r="G182" s="25">
        <v>208.0</v>
      </c>
      <c r="H182" s="25">
        <v>160.0</v>
      </c>
      <c r="I182" s="25">
        <v>188.8</v>
      </c>
      <c r="J182" s="25" t="s">
        <v>568</v>
      </c>
      <c r="K182" s="22"/>
      <c r="L182" s="22"/>
      <c r="M182" s="22"/>
      <c r="N182" s="22"/>
      <c r="O182" s="22"/>
      <c r="P182" s="22"/>
      <c r="Q182" s="22"/>
      <c r="R182" s="22"/>
      <c r="S182" s="22"/>
    </row>
    <row r="183">
      <c r="A183" s="24">
        <v>182.0</v>
      </c>
      <c r="B183" s="25" t="s">
        <v>569</v>
      </c>
      <c r="C183" s="25" t="s">
        <v>570</v>
      </c>
      <c r="D183" s="25">
        <v>141.0</v>
      </c>
      <c r="E183" s="25">
        <v>175.0</v>
      </c>
      <c r="F183" s="25">
        <v>187.0</v>
      </c>
      <c r="G183" s="25">
        <v>224.0</v>
      </c>
      <c r="H183" s="25">
        <v>219.0</v>
      </c>
      <c r="I183" s="25">
        <v>189.2</v>
      </c>
      <c r="J183" s="25" t="s">
        <v>571</v>
      </c>
      <c r="K183" s="22"/>
      <c r="L183" s="22"/>
      <c r="M183" s="22"/>
      <c r="N183" s="22"/>
      <c r="O183" s="22"/>
      <c r="P183" s="22"/>
      <c r="Q183" s="22"/>
      <c r="R183" s="22"/>
      <c r="S183" s="22"/>
    </row>
    <row r="184">
      <c r="A184" s="24">
        <v>183.0</v>
      </c>
      <c r="B184" s="25" t="s">
        <v>572</v>
      </c>
      <c r="C184" s="25" t="s">
        <v>573</v>
      </c>
      <c r="D184" s="25">
        <v>146.0</v>
      </c>
      <c r="E184" s="25">
        <v>171.0</v>
      </c>
      <c r="F184" s="25">
        <v>198.0</v>
      </c>
      <c r="G184" s="25">
        <v>227.0</v>
      </c>
      <c r="H184" s="25">
        <v>210.0</v>
      </c>
      <c r="I184" s="25">
        <v>190.4</v>
      </c>
      <c r="J184" s="25" t="s">
        <v>574</v>
      </c>
      <c r="K184" s="22"/>
      <c r="L184" s="22"/>
      <c r="M184" s="22"/>
      <c r="N184" s="22"/>
      <c r="O184" s="22"/>
      <c r="P184" s="22"/>
      <c r="Q184" s="22"/>
      <c r="R184" s="22"/>
      <c r="S184" s="22"/>
    </row>
    <row r="185">
      <c r="A185" s="24">
        <v>184.0</v>
      </c>
      <c r="B185" s="25" t="s">
        <v>575</v>
      </c>
      <c r="C185" s="25" t="s">
        <v>576</v>
      </c>
      <c r="D185" s="25">
        <v>171.0</v>
      </c>
      <c r="E185" s="25">
        <v>199.0</v>
      </c>
      <c r="F185" s="25">
        <v>204.0</v>
      </c>
      <c r="G185" s="25">
        <v>206.0</v>
      </c>
      <c r="H185" s="25">
        <v>182.0</v>
      </c>
      <c r="I185" s="25">
        <v>192.4</v>
      </c>
      <c r="J185" s="25" t="s">
        <v>577</v>
      </c>
      <c r="K185" s="22"/>
      <c r="L185" s="22"/>
      <c r="M185" s="22"/>
      <c r="N185" s="22"/>
      <c r="O185" s="22"/>
      <c r="P185" s="22"/>
      <c r="Q185" s="22"/>
      <c r="R185" s="22"/>
      <c r="S185" s="22"/>
    </row>
    <row r="186">
      <c r="A186" s="24">
        <v>185.0</v>
      </c>
      <c r="B186" s="25" t="s">
        <v>578</v>
      </c>
      <c r="C186" s="25" t="s">
        <v>579</v>
      </c>
      <c r="D186" s="25">
        <v>162.0</v>
      </c>
      <c r="E186" s="25">
        <v>176.0</v>
      </c>
      <c r="F186" s="25">
        <v>145.0</v>
      </c>
      <c r="G186" s="25">
        <v>174.0</v>
      </c>
      <c r="H186" s="25">
        <v>309.0</v>
      </c>
      <c r="I186" s="25">
        <v>193.2</v>
      </c>
      <c r="J186" s="25" t="s">
        <v>580</v>
      </c>
      <c r="K186" s="22"/>
      <c r="L186" s="22"/>
      <c r="M186" s="22"/>
      <c r="N186" s="22"/>
      <c r="O186" s="22"/>
      <c r="P186" s="22"/>
      <c r="Q186" s="22"/>
      <c r="R186" s="22"/>
      <c r="S186" s="22"/>
    </row>
    <row r="187">
      <c r="A187" s="24">
        <v>186.0</v>
      </c>
      <c r="B187" s="25" t="s">
        <v>581</v>
      </c>
      <c r="C187" s="25" t="s">
        <v>582</v>
      </c>
      <c r="D187" s="25">
        <v>191.0</v>
      </c>
      <c r="E187" s="25">
        <v>201.0</v>
      </c>
      <c r="F187" s="25">
        <v>211.0</v>
      </c>
      <c r="G187" s="25">
        <v>220.0</v>
      </c>
      <c r="H187" s="25">
        <v>209.0</v>
      </c>
      <c r="I187" s="25">
        <v>206.4</v>
      </c>
      <c r="J187" s="25" t="s">
        <v>583</v>
      </c>
      <c r="K187" s="22"/>
      <c r="L187" s="22"/>
      <c r="M187" s="22"/>
      <c r="N187" s="22"/>
      <c r="O187" s="22"/>
      <c r="P187" s="22"/>
      <c r="Q187" s="22"/>
      <c r="R187" s="22"/>
      <c r="S187" s="22"/>
    </row>
    <row r="188">
      <c r="A188" s="24">
        <v>187.0</v>
      </c>
      <c r="B188" s="25" t="s">
        <v>584</v>
      </c>
      <c r="C188" s="25" t="s">
        <v>585</v>
      </c>
      <c r="D188" s="25">
        <v>177.0</v>
      </c>
      <c r="E188" s="25">
        <v>198.0</v>
      </c>
      <c r="F188" s="25">
        <v>191.0</v>
      </c>
      <c r="G188" s="25">
        <v>218.0</v>
      </c>
      <c r="H188" s="25">
        <v>255.0</v>
      </c>
      <c r="I188" s="25">
        <v>207.8</v>
      </c>
      <c r="J188" s="25" t="s">
        <v>586</v>
      </c>
      <c r="K188" s="22"/>
      <c r="L188" s="22"/>
      <c r="M188" s="22"/>
      <c r="N188" s="22"/>
      <c r="O188" s="22"/>
      <c r="P188" s="22"/>
      <c r="Q188" s="22"/>
      <c r="R188" s="22"/>
      <c r="S188" s="22"/>
    </row>
    <row r="189">
      <c r="A189" s="24">
        <v>188.0</v>
      </c>
      <c r="B189" s="25" t="s">
        <v>587</v>
      </c>
      <c r="C189" s="25" t="s">
        <v>588</v>
      </c>
      <c r="D189" s="25">
        <v>203.0</v>
      </c>
      <c r="E189" s="25">
        <v>181.0</v>
      </c>
      <c r="F189" s="25">
        <v>206.0</v>
      </c>
      <c r="G189" s="25">
        <v>238.0</v>
      </c>
      <c r="H189" s="25">
        <v>214.0</v>
      </c>
      <c r="I189" s="25">
        <v>208.4</v>
      </c>
      <c r="J189" s="25" t="s">
        <v>589</v>
      </c>
      <c r="K189" s="22"/>
      <c r="L189" s="22"/>
      <c r="M189" s="22"/>
      <c r="N189" s="22"/>
      <c r="O189" s="22"/>
      <c r="P189" s="22"/>
      <c r="Q189" s="22"/>
      <c r="R189" s="22"/>
      <c r="S189" s="22"/>
    </row>
    <row r="190">
      <c r="A190" s="24">
        <v>189.0</v>
      </c>
      <c r="B190" s="25" t="s">
        <v>590</v>
      </c>
      <c r="C190" s="25" t="s">
        <v>591</v>
      </c>
      <c r="D190" s="34"/>
      <c r="E190" s="25">
        <v>197.0</v>
      </c>
      <c r="F190" s="25">
        <v>158.0</v>
      </c>
      <c r="G190" s="25">
        <v>126.0</v>
      </c>
      <c r="H190" s="25">
        <v>120.0</v>
      </c>
      <c r="I190" s="25">
        <v>150.3</v>
      </c>
      <c r="J190" s="25" t="s">
        <v>592</v>
      </c>
      <c r="K190" s="22"/>
      <c r="L190" s="22"/>
      <c r="M190" s="22"/>
      <c r="N190" s="22"/>
      <c r="O190" s="22"/>
      <c r="P190" s="22"/>
      <c r="Q190" s="22"/>
      <c r="R190" s="22"/>
      <c r="S190" s="22"/>
    </row>
    <row r="191">
      <c r="A191" s="24">
        <v>190.0</v>
      </c>
      <c r="B191" s="25" t="s">
        <v>593</v>
      </c>
      <c r="C191" s="25" t="s">
        <v>594</v>
      </c>
      <c r="D191" s="25">
        <v>181.0</v>
      </c>
      <c r="E191" s="25">
        <v>170.0</v>
      </c>
      <c r="F191" s="25">
        <v>203.0</v>
      </c>
      <c r="G191" s="25">
        <v>232.0</v>
      </c>
      <c r="H191" s="25">
        <v>259.0</v>
      </c>
      <c r="I191" s="25">
        <v>209.0</v>
      </c>
      <c r="J191" s="25" t="s">
        <v>595</v>
      </c>
      <c r="K191" s="22"/>
      <c r="L191" s="22"/>
      <c r="M191" s="22"/>
      <c r="N191" s="22"/>
      <c r="O191" s="22"/>
      <c r="P191" s="22"/>
      <c r="Q191" s="22"/>
      <c r="R191" s="22"/>
      <c r="S191" s="22"/>
    </row>
    <row r="192">
      <c r="A192" s="24">
        <v>191.0</v>
      </c>
      <c r="B192" s="25" t="s">
        <v>596</v>
      </c>
      <c r="C192" s="25" t="s">
        <v>597</v>
      </c>
      <c r="D192" s="25">
        <v>189.0</v>
      </c>
      <c r="E192" s="25">
        <v>322.0</v>
      </c>
      <c r="F192" s="25">
        <v>193.0</v>
      </c>
      <c r="G192" s="25">
        <v>151.0</v>
      </c>
      <c r="H192" s="25">
        <v>201.0</v>
      </c>
      <c r="I192" s="25">
        <v>211.2</v>
      </c>
      <c r="J192" s="25" t="s">
        <v>598</v>
      </c>
      <c r="K192" s="22"/>
      <c r="L192" s="22"/>
      <c r="M192" s="22"/>
      <c r="N192" s="22"/>
      <c r="O192" s="22"/>
      <c r="P192" s="22"/>
      <c r="Q192" s="22"/>
      <c r="R192" s="22"/>
      <c r="S192" s="22"/>
    </row>
    <row r="193">
      <c r="A193" s="24">
        <v>192.0</v>
      </c>
      <c r="B193" s="25" t="s">
        <v>599</v>
      </c>
      <c r="C193" s="25" t="s">
        <v>600</v>
      </c>
      <c r="D193" s="25">
        <v>197.0</v>
      </c>
      <c r="E193" s="25">
        <v>219.0</v>
      </c>
      <c r="F193" s="25">
        <v>190.0</v>
      </c>
      <c r="G193" s="25">
        <v>233.0</v>
      </c>
      <c r="H193" s="25">
        <v>223.0</v>
      </c>
      <c r="I193" s="25">
        <v>212.4</v>
      </c>
      <c r="J193" s="25" t="s">
        <v>601</v>
      </c>
      <c r="K193" s="22"/>
      <c r="L193" s="22"/>
      <c r="M193" s="22"/>
      <c r="N193" s="22"/>
      <c r="O193" s="22"/>
      <c r="P193" s="22"/>
      <c r="Q193" s="22"/>
      <c r="R193" s="22"/>
      <c r="S193" s="22"/>
    </row>
    <row r="194">
      <c r="A194" s="24">
        <v>193.0</v>
      </c>
      <c r="B194" s="25" t="s">
        <v>602</v>
      </c>
      <c r="C194" s="25" t="s">
        <v>603</v>
      </c>
      <c r="D194" s="25">
        <v>167.0</v>
      </c>
      <c r="E194" s="25">
        <v>234.0</v>
      </c>
      <c r="F194" s="25">
        <v>207.0</v>
      </c>
      <c r="G194" s="25">
        <v>239.0</v>
      </c>
      <c r="H194" s="25">
        <v>216.0</v>
      </c>
      <c r="I194" s="25">
        <v>212.6</v>
      </c>
      <c r="J194" s="25" t="s">
        <v>604</v>
      </c>
      <c r="K194" s="22"/>
      <c r="L194" s="22"/>
      <c r="M194" s="22"/>
      <c r="N194" s="22"/>
      <c r="O194" s="22"/>
      <c r="P194" s="22"/>
      <c r="Q194" s="22"/>
      <c r="R194" s="22"/>
      <c r="S194" s="22"/>
    </row>
    <row r="195">
      <c r="A195" s="24">
        <v>194.0</v>
      </c>
      <c r="B195" s="25" t="s">
        <v>605</v>
      </c>
      <c r="C195" s="25" t="s">
        <v>606</v>
      </c>
      <c r="D195" s="34"/>
      <c r="E195" s="25">
        <v>127.0</v>
      </c>
      <c r="F195" s="25">
        <v>199.0</v>
      </c>
      <c r="G195" s="25">
        <v>180.0</v>
      </c>
      <c r="H195" s="25">
        <v>155.0</v>
      </c>
      <c r="I195" s="25">
        <v>165.3</v>
      </c>
      <c r="J195" s="25" t="s">
        <v>607</v>
      </c>
      <c r="K195" s="22"/>
      <c r="L195" s="22"/>
      <c r="M195" s="22"/>
      <c r="N195" s="22"/>
      <c r="O195" s="22"/>
      <c r="P195" s="22"/>
      <c r="Q195" s="22"/>
      <c r="R195" s="22"/>
      <c r="S195" s="22"/>
    </row>
    <row r="196">
      <c r="A196" s="24">
        <v>195.0</v>
      </c>
      <c r="B196" s="25" t="s">
        <v>608</v>
      </c>
      <c r="C196" s="25" t="s">
        <v>609</v>
      </c>
      <c r="D196" s="25">
        <v>209.0</v>
      </c>
      <c r="E196" s="25">
        <v>229.0</v>
      </c>
      <c r="F196" s="25">
        <v>202.0</v>
      </c>
      <c r="G196" s="25">
        <v>241.0</v>
      </c>
      <c r="H196" s="25">
        <v>233.0</v>
      </c>
      <c r="I196" s="25">
        <v>222.8</v>
      </c>
      <c r="J196" s="25" t="s">
        <v>610</v>
      </c>
      <c r="K196" s="22"/>
      <c r="L196" s="22"/>
      <c r="M196" s="22"/>
      <c r="N196" s="22"/>
      <c r="O196" s="22"/>
      <c r="P196" s="22"/>
      <c r="Q196" s="22"/>
      <c r="R196" s="22"/>
      <c r="S196" s="22"/>
    </row>
    <row r="197">
      <c r="A197" s="24">
        <v>196.0</v>
      </c>
      <c r="B197" s="25" t="s">
        <v>611</v>
      </c>
      <c r="C197" s="25" t="s">
        <v>612</v>
      </c>
      <c r="D197" s="34"/>
      <c r="E197" s="25">
        <v>188.0</v>
      </c>
      <c r="F197" s="25">
        <v>168.0</v>
      </c>
      <c r="G197" s="25">
        <v>158.0</v>
      </c>
      <c r="H197" s="25">
        <v>161.0</v>
      </c>
      <c r="I197" s="25">
        <v>168.8</v>
      </c>
      <c r="J197" s="25" t="s">
        <v>613</v>
      </c>
      <c r="K197" s="22"/>
      <c r="L197" s="22"/>
      <c r="M197" s="22"/>
      <c r="N197" s="22"/>
      <c r="O197" s="22"/>
      <c r="P197" s="22"/>
      <c r="Q197" s="22"/>
      <c r="R197" s="22"/>
      <c r="S197" s="22"/>
    </row>
    <row r="198">
      <c r="A198" s="24">
        <v>197.0</v>
      </c>
      <c r="B198" s="25" t="s">
        <v>614</v>
      </c>
      <c r="C198" s="25" t="s">
        <v>615</v>
      </c>
      <c r="D198" s="25">
        <v>190.0</v>
      </c>
      <c r="E198" s="25">
        <v>256.0</v>
      </c>
      <c r="F198" s="25">
        <v>197.0</v>
      </c>
      <c r="G198" s="25">
        <v>240.0</v>
      </c>
      <c r="H198" s="25">
        <v>254.0</v>
      </c>
      <c r="I198" s="25">
        <v>227.4</v>
      </c>
      <c r="J198" s="25" t="s">
        <v>616</v>
      </c>
      <c r="K198" s="22"/>
      <c r="L198" s="22"/>
      <c r="M198" s="22"/>
      <c r="N198" s="22"/>
      <c r="O198" s="22"/>
      <c r="P198" s="22"/>
      <c r="Q198" s="22"/>
      <c r="R198" s="22"/>
      <c r="S198" s="22"/>
    </row>
    <row r="199">
      <c r="A199" s="24">
        <v>198.0</v>
      </c>
      <c r="B199" s="25" t="s">
        <v>617</v>
      </c>
      <c r="C199" s="25" t="s">
        <v>618</v>
      </c>
      <c r="D199" s="34"/>
      <c r="E199" s="25">
        <v>182.0</v>
      </c>
      <c r="F199" s="25">
        <v>194.0</v>
      </c>
      <c r="G199" s="25">
        <v>157.0</v>
      </c>
      <c r="H199" s="25">
        <v>167.0</v>
      </c>
      <c r="I199" s="25">
        <v>175.0</v>
      </c>
      <c r="J199" s="25" t="s">
        <v>619</v>
      </c>
      <c r="K199" s="22"/>
      <c r="L199" s="22"/>
      <c r="M199" s="22"/>
      <c r="N199" s="22"/>
      <c r="O199" s="22"/>
      <c r="P199" s="22"/>
      <c r="Q199" s="22"/>
      <c r="R199" s="22"/>
      <c r="S199" s="22"/>
    </row>
    <row r="200">
      <c r="A200" s="24">
        <v>199.0</v>
      </c>
      <c r="B200" s="25" t="s">
        <v>620</v>
      </c>
      <c r="C200" s="25" t="s">
        <v>621</v>
      </c>
      <c r="D200" s="34"/>
      <c r="E200" s="25">
        <v>206.0</v>
      </c>
      <c r="F200" s="25">
        <v>171.0</v>
      </c>
      <c r="G200" s="25">
        <v>163.0</v>
      </c>
      <c r="H200" s="25">
        <v>177.0</v>
      </c>
      <c r="I200" s="25">
        <v>179.3</v>
      </c>
      <c r="J200" s="25" t="s">
        <v>622</v>
      </c>
      <c r="K200" s="22"/>
      <c r="L200" s="22"/>
      <c r="M200" s="22"/>
      <c r="N200" s="22"/>
      <c r="O200" s="22"/>
      <c r="P200" s="22"/>
      <c r="Q200" s="22"/>
      <c r="R200" s="22"/>
      <c r="S200" s="22"/>
    </row>
    <row r="201">
      <c r="A201" s="24">
        <v>200.0</v>
      </c>
      <c r="B201" s="25" t="s">
        <v>623</v>
      </c>
      <c r="C201" s="25" t="s">
        <v>624</v>
      </c>
      <c r="D201" s="25">
        <v>212.0</v>
      </c>
      <c r="E201" s="25">
        <v>173.0</v>
      </c>
      <c r="F201" s="34"/>
      <c r="G201" s="25">
        <v>185.0</v>
      </c>
      <c r="H201" s="25">
        <v>150.0</v>
      </c>
      <c r="I201" s="25">
        <v>180.0</v>
      </c>
      <c r="J201" s="25" t="s">
        <v>625</v>
      </c>
      <c r="K201" s="22"/>
      <c r="L201" s="22"/>
      <c r="M201" s="22"/>
      <c r="N201" s="22"/>
      <c r="O201" s="22"/>
      <c r="P201" s="22"/>
      <c r="Q201" s="22"/>
      <c r="R201" s="22"/>
      <c r="S201" s="22"/>
    </row>
    <row r="202">
      <c r="A202" s="24">
        <v>201.0</v>
      </c>
      <c r="B202" s="25" t="s">
        <v>626</v>
      </c>
      <c r="C202" s="25" t="s">
        <v>627</v>
      </c>
      <c r="D202" s="25">
        <v>153.0</v>
      </c>
      <c r="E202" s="25">
        <v>355.0</v>
      </c>
      <c r="F202" s="25">
        <v>205.0</v>
      </c>
      <c r="G202" s="25">
        <v>237.0</v>
      </c>
      <c r="H202" s="25">
        <v>222.0</v>
      </c>
      <c r="I202" s="25">
        <v>234.4</v>
      </c>
      <c r="J202" s="25" t="s">
        <v>628</v>
      </c>
      <c r="K202" s="22"/>
      <c r="L202" s="22"/>
      <c r="M202" s="22"/>
      <c r="N202" s="22"/>
      <c r="O202" s="22"/>
      <c r="P202" s="22"/>
      <c r="Q202" s="22"/>
      <c r="R202" s="22"/>
      <c r="S202" s="22"/>
    </row>
    <row r="203">
      <c r="A203" s="24">
        <v>202.0</v>
      </c>
      <c r="B203" s="25" t="s">
        <v>629</v>
      </c>
      <c r="C203" s="25" t="s">
        <v>630</v>
      </c>
      <c r="D203" s="25">
        <v>173.0</v>
      </c>
      <c r="E203" s="25">
        <v>208.0</v>
      </c>
      <c r="F203" s="34"/>
      <c r="G203" s="25">
        <v>213.0</v>
      </c>
      <c r="H203" s="25">
        <v>159.0</v>
      </c>
      <c r="I203" s="25">
        <v>188.3</v>
      </c>
      <c r="J203" s="25" t="s">
        <v>631</v>
      </c>
      <c r="K203" s="22"/>
      <c r="L203" s="22"/>
      <c r="M203" s="22"/>
      <c r="N203" s="22"/>
      <c r="O203" s="22"/>
      <c r="P203" s="22"/>
      <c r="Q203" s="22"/>
      <c r="R203" s="22"/>
      <c r="S203" s="22"/>
    </row>
    <row r="204">
      <c r="A204" s="24">
        <v>203.0</v>
      </c>
      <c r="B204" s="25" t="s">
        <v>632</v>
      </c>
      <c r="C204" s="25" t="s">
        <v>633</v>
      </c>
      <c r="D204" s="34"/>
      <c r="E204" s="25">
        <v>195.0</v>
      </c>
      <c r="F204" s="25">
        <v>213.0</v>
      </c>
      <c r="G204" s="25">
        <v>211.0</v>
      </c>
      <c r="H204" s="25">
        <v>152.0</v>
      </c>
      <c r="I204" s="25">
        <v>192.8</v>
      </c>
      <c r="J204" s="25" t="s">
        <v>634</v>
      </c>
      <c r="K204" s="22"/>
      <c r="L204" s="22"/>
      <c r="M204" s="22"/>
      <c r="N204" s="22"/>
      <c r="O204" s="22"/>
      <c r="P204" s="22"/>
      <c r="Q204" s="22"/>
      <c r="R204" s="22"/>
      <c r="S204" s="22"/>
    </row>
    <row r="205">
      <c r="A205" s="24">
        <v>204.0</v>
      </c>
      <c r="B205" s="25" t="s">
        <v>635</v>
      </c>
      <c r="C205" s="25" t="s">
        <v>636</v>
      </c>
      <c r="D205" s="25">
        <v>192.0</v>
      </c>
      <c r="E205" s="25">
        <v>207.0</v>
      </c>
      <c r="F205" s="34"/>
      <c r="G205" s="25">
        <v>214.0</v>
      </c>
      <c r="H205" s="25">
        <v>168.0</v>
      </c>
      <c r="I205" s="25">
        <v>195.3</v>
      </c>
      <c r="J205" s="25" t="s">
        <v>637</v>
      </c>
      <c r="K205" s="22"/>
      <c r="L205" s="22"/>
      <c r="M205" s="22"/>
      <c r="N205" s="22"/>
      <c r="O205" s="22"/>
      <c r="P205" s="22"/>
      <c r="Q205" s="22"/>
      <c r="R205" s="22"/>
      <c r="S205" s="22"/>
    </row>
    <row r="206">
      <c r="A206" s="24">
        <v>205.0</v>
      </c>
      <c r="B206" s="25" t="s">
        <v>638</v>
      </c>
      <c r="C206" s="25" t="s">
        <v>639</v>
      </c>
      <c r="D206" s="25">
        <v>287.0</v>
      </c>
      <c r="E206" s="25">
        <v>230.0</v>
      </c>
      <c r="F206" s="25">
        <v>208.0</v>
      </c>
      <c r="G206" s="25">
        <v>236.0</v>
      </c>
      <c r="H206" s="25">
        <v>266.0</v>
      </c>
      <c r="I206" s="25">
        <v>245.4</v>
      </c>
      <c r="J206" s="25" t="s">
        <v>640</v>
      </c>
      <c r="K206" s="26"/>
      <c r="L206" s="26"/>
      <c r="M206" s="26"/>
      <c r="N206" s="26"/>
      <c r="O206" s="26"/>
      <c r="P206" s="26"/>
      <c r="Q206" s="26"/>
      <c r="R206" s="26"/>
      <c r="S206" s="26"/>
    </row>
    <row r="207">
      <c r="A207" s="24">
        <v>206.0</v>
      </c>
      <c r="B207" s="25" t="s">
        <v>641</v>
      </c>
      <c r="C207" s="25" t="s">
        <v>642</v>
      </c>
      <c r="D207" s="25">
        <v>208.0</v>
      </c>
      <c r="E207" s="25">
        <v>183.0</v>
      </c>
      <c r="F207" s="25">
        <v>201.0</v>
      </c>
      <c r="G207" s="34"/>
      <c r="H207" s="25">
        <v>208.0</v>
      </c>
      <c r="I207" s="25">
        <v>200.0</v>
      </c>
      <c r="J207" s="25" t="s">
        <v>643</v>
      </c>
      <c r="K207" s="22"/>
      <c r="L207" s="22"/>
      <c r="M207" s="22"/>
      <c r="N207" s="22"/>
      <c r="O207" s="22"/>
      <c r="P207" s="22"/>
      <c r="Q207" s="22"/>
      <c r="R207" s="22"/>
      <c r="S207" s="22"/>
    </row>
    <row r="208">
      <c r="A208" s="24">
        <v>207.0</v>
      </c>
      <c r="B208" s="25" t="s">
        <v>644</v>
      </c>
      <c r="C208" s="25" t="s">
        <v>645</v>
      </c>
      <c r="D208" s="25">
        <v>166.0</v>
      </c>
      <c r="E208" s="25">
        <v>158.0</v>
      </c>
      <c r="F208" s="34"/>
      <c r="G208" s="25">
        <v>230.0</v>
      </c>
      <c r="H208" s="25">
        <v>265.0</v>
      </c>
      <c r="I208" s="25">
        <v>204.8</v>
      </c>
      <c r="J208" s="25" t="s">
        <v>646</v>
      </c>
      <c r="K208" s="22"/>
      <c r="L208" s="22"/>
      <c r="M208" s="22"/>
      <c r="N208" s="22"/>
      <c r="O208" s="22"/>
      <c r="P208" s="22"/>
      <c r="Q208" s="22"/>
      <c r="R208" s="22"/>
      <c r="S208" s="22"/>
    </row>
    <row r="209">
      <c r="A209" s="24">
        <v>208.0</v>
      </c>
      <c r="B209" s="25" t="s">
        <v>647</v>
      </c>
      <c r="C209" s="25" t="s">
        <v>648</v>
      </c>
      <c r="D209" s="25">
        <v>220.0</v>
      </c>
      <c r="E209" s="25">
        <v>323.0</v>
      </c>
      <c r="F209" s="25">
        <v>214.0</v>
      </c>
      <c r="G209" s="25">
        <v>231.0</v>
      </c>
      <c r="H209" s="25">
        <v>276.0</v>
      </c>
      <c r="I209" s="25">
        <v>252.8</v>
      </c>
      <c r="J209" s="25" t="s">
        <v>649</v>
      </c>
      <c r="K209" s="22"/>
      <c r="L209" s="22"/>
      <c r="M209" s="22"/>
      <c r="N209" s="22"/>
      <c r="O209" s="22"/>
      <c r="P209" s="22"/>
      <c r="Q209" s="22"/>
      <c r="R209" s="22"/>
      <c r="S209" s="22"/>
    </row>
    <row r="210">
      <c r="A210" s="24">
        <v>209.0</v>
      </c>
      <c r="B210" s="25" t="s">
        <v>650</v>
      </c>
      <c r="C210" s="25" t="s">
        <v>651</v>
      </c>
      <c r="D210" s="25">
        <v>216.0</v>
      </c>
      <c r="E210" s="25">
        <v>205.0</v>
      </c>
      <c r="F210" s="34"/>
      <c r="G210" s="25">
        <v>164.0</v>
      </c>
      <c r="H210" s="25">
        <v>242.0</v>
      </c>
      <c r="I210" s="25">
        <v>206.8</v>
      </c>
      <c r="J210" s="25" t="s">
        <v>652</v>
      </c>
      <c r="K210" s="22"/>
      <c r="L210" s="22"/>
      <c r="M210" s="22"/>
      <c r="N210" s="22"/>
      <c r="O210" s="22"/>
      <c r="P210" s="22"/>
      <c r="Q210" s="22"/>
      <c r="R210" s="22"/>
      <c r="S210" s="22"/>
    </row>
    <row r="211">
      <c r="A211" s="24">
        <v>210.0</v>
      </c>
      <c r="B211" s="25" t="s">
        <v>653</v>
      </c>
      <c r="C211" s="25" t="s">
        <v>654</v>
      </c>
      <c r="D211" s="25">
        <v>198.0</v>
      </c>
      <c r="E211" s="25">
        <v>226.0</v>
      </c>
      <c r="F211" s="25">
        <v>200.0</v>
      </c>
      <c r="G211" s="34"/>
      <c r="H211" s="25">
        <v>212.0</v>
      </c>
      <c r="I211" s="25">
        <v>209.0</v>
      </c>
      <c r="J211" s="25" t="s">
        <v>655</v>
      </c>
      <c r="K211" s="22"/>
      <c r="L211" s="22"/>
      <c r="M211" s="22"/>
      <c r="N211" s="22"/>
      <c r="O211" s="22"/>
      <c r="P211" s="22"/>
      <c r="Q211" s="22"/>
      <c r="R211" s="22"/>
      <c r="S211" s="22"/>
    </row>
    <row r="212">
      <c r="A212" s="24">
        <v>211.0</v>
      </c>
      <c r="B212" s="25" t="s">
        <v>656</v>
      </c>
      <c r="C212" s="25" t="s">
        <v>657</v>
      </c>
      <c r="D212" s="25">
        <v>201.0</v>
      </c>
      <c r="E212" s="25">
        <v>213.0</v>
      </c>
      <c r="F212" s="34"/>
      <c r="G212" s="25">
        <v>223.0</v>
      </c>
      <c r="H212" s="25">
        <v>200.0</v>
      </c>
      <c r="I212" s="25">
        <v>209.3</v>
      </c>
      <c r="J212" s="25" t="s">
        <v>658</v>
      </c>
      <c r="K212" s="22"/>
      <c r="L212" s="22"/>
      <c r="M212" s="22"/>
      <c r="N212" s="22"/>
      <c r="O212" s="22"/>
      <c r="P212" s="22"/>
      <c r="Q212" s="22"/>
      <c r="R212" s="22"/>
      <c r="S212" s="22"/>
    </row>
    <row r="213">
      <c r="A213" s="24">
        <v>212.0</v>
      </c>
      <c r="B213" s="25" t="s">
        <v>659</v>
      </c>
      <c r="C213" s="25" t="s">
        <v>660</v>
      </c>
      <c r="D213" s="34"/>
      <c r="E213" s="25">
        <v>216.0</v>
      </c>
      <c r="F213" s="25">
        <v>210.0</v>
      </c>
      <c r="G213" s="25">
        <v>204.0</v>
      </c>
      <c r="H213" s="25">
        <v>207.0</v>
      </c>
      <c r="I213" s="25">
        <v>209.3</v>
      </c>
      <c r="J213" s="25" t="s">
        <v>661</v>
      </c>
      <c r="K213" s="22"/>
      <c r="L213" s="22"/>
      <c r="M213" s="22"/>
      <c r="N213" s="22"/>
      <c r="O213" s="22"/>
      <c r="P213" s="22"/>
      <c r="Q213" s="22"/>
      <c r="R213" s="22"/>
      <c r="S213" s="22"/>
    </row>
    <row r="214">
      <c r="A214" s="24">
        <v>213.0</v>
      </c>
      <c r="B214" s="25" t="s">
        <v>662</v>
      </c>
      <c r="C214" s="25" t="s">
        <v>663</v>
      </c>
      <c r="D214" s="25">
        <v>206.0</v>
      </c>
      <c r="E214" s="25">
        <v>218.0</v>
      </c>
      <c r="F214" s="34"/>
      <c r="G214" s="25">
        <v>189.0</v>
      </c>
      <c r="H214" s="25">
        <v>240.0</v>
      </c>
      <c r="I214" s="25">
        <v>213.3</v>
      </c>
      <c r="J214" s="25" t="s">
        <v>664</v>
      </c>
      <c r="K214" s="22"/>
      <c r="L214" s="22"/>
      <c r="M214" s="22"/>
      <c r="N214" s="22"/>
      <c r="O214" s="22"/>
      <c r="P214" s="22"/>
      <c r="Q214" s="22"/>
      <c r="R214" s="22"/>
      <c r="S214" s="22"/>
    </row>
    <row r="215">
      <c r="A215" s="24">
        <v>214.0</v>
      </c>
      <c r="B215" s="25" t="s">
        <v>665</v>
      </c>
      <c r="C215" s="25" t="s">
        <v>666</v>
      </c>
      <c r="D215" s="34"/>
      <c r="E215" s="25">
        <v>247.0</v>
      </c>
      <c r="F215" s="25">
        <v>209.0</v>
      </c>
      <c r="G215" s="25">
        <v>187.0</v>
      </c>
      <c r="H215" s="25">
        <v>211.0</v>
      </c>
      <c r="I215" s="25">
        <v>213.5</v>
      </c>
      <c r="J215" s="25" t="s">
        <v>667</v>
      </c>
      <c r="K215" s="22"/>
      <c r="L215" s="22"/>
      <c r="M215" s="22"/>
      <c r="N215" s="22"/>
      <c r="O215" s="22"/>
      <c r="P215" s="22"/>
      <c r="Q215" s="22"/>
      <c r="R215" s="22"/>
      <c r="S215" s="22"/>
    </row>
    <row r="216">
      <c r="A216" s="24">
        <v>215.0</v>
      </c>
      <c r="B216" s="25" t="s">
        <v>668</v>
      </c>
      <c r="C216" s="25" t="s">
        <v>669</v>
      </c>
      <c r="D216" s="25">
        <v>184.0</v>
      </c>
      <c r="E216" s="25">
        <v>217.0</v>
      </c>
      <c r="F216" s="34"/>
      <c r="G216" s="25">
        <v>228.0</v>
      </c>
      <c r="H216" s="25">
        <v>268.0</v>
      </c>
      <c r="I216" s="25">
        <v>224.3</v>
      </c>
      <c r="J216" s="25" t="s">
        <v>670</v>
      </c>
      <c r="K216" s="22"/>
      <c r="L216" s="22"/>
      <c r="M216" s="22"/>
      <c r="N216" s="22"/>
      <c r="O216" s="22"/>
      <c r="P216" s="22"/>
      <c r="Q216" s="22"/>
      <c r="R216" s="22"/>
      <c r="S216" s="22"/>
    </row>
    <row r="217">
      <c r="A217" s="24">
        <v>216.0</v>
      </c>
      <c r="B217" s="25" t="s">
        <v>671</v>
      </c>
      <c r="C217" s="25" t="s">
        <v>672</v>
      </c>
      <c r="D217" s="25">
        <v>260.0</v>
      </c>
      <c r="E217" s="25">
        <v>258.0</v>
      </c>
      <c r="F217" s="34"/>
      <c r="G217" s="25">
        <v>190.0</v>
      </c>
      <c r="H217" s="25">
        <v>203.0</v>
      </c>
      <c r="I217" s="25">
        <v>227.8</v>
      </c>
      <c r="J217" s="25" t="s">
        <v>673</v>
      </c>
      <c r="K217" s="22"/>
      <c r="L217" s="22"/>
      <c r="M217" s="22"/>
      <c r="N217" s="22"/>
      <c r="O217" s="22"/>
      <c r="P217" s="22"/>
      <c r="Q217" s="22"/>
      <c r="R217" s="22"/>
      <c r="S217" s="22"/>
    </row>
    <row r="218">
      <c r="A218" s="24">
        <v>217.0</v>
      </c>
      <c r="B218" s="25" t="s">
        <v>674</v>
      </c>
      <c r="C218" s="25" t="s">
        <v>675</v>
      </c>
      <c r="D218" s="25">
        <v>230.0</v>
      </c>
      <c r="E218" s="25">
        <v>214.0</v>
      </c>
      <c r="F218" s="34"/>
      <c r="G218" s="25">
        <v>222.0</v>
      </c>
      <c r="H218" s="25">
        <v>249.0</v>
      </c>
      <c r="I218" s="25">
        <v>228.8</v>
      </c>
      <c r="J218" s="25" t="s">
        <v>676</v>
      </c>
      <c r="K218" s="22"/>
      <c r="L218" s="22"/>
      <c r="M218" s="22"/>
      <c r="N218" s="22"/>
      <c r="O218" s="22"/>
      <c r="P218" s="22"/>
      <c r="Q218" s="22"/>
      <c r="R218" s="22"/>
      <c r="S218" s="22"/>
    </row>
    <row r="219">
      <c r="A219" s="24">
        <v>218.0</v>
      </c>
      <c r="B219" s="25" t="s">
        <v>677</v>
      </c>
      <c r="C219" s="25" t="s">
        <v>678</v>
      </c>
      <c r="D219" s="25">
        <v>210.0</v>
      </c>
      <c r="E219" s="25">
        <v>269.0</v>
      </c>
      <c r="F219" s="34"/>
      <c r="G219" s="25">
        <v>226.0</v>
      </c>
      <c r="H219" s="25">
        <v>262.0</v>
      </c>
      <c r="I219" s="25">
        <v>241.8</v>
      </c>
      <c r="J219" s="25" t="s">
        <v>679</v>
      </c>
      <c r="K219" s="22"/>
      <c r="L219" s="22"/>
      <c r="M219" s="22"/>
      <c r="N219" s="22"/>
      <c r="O219" s="22"/>
      <c r="P219" s="22"/>
      <c r="Q219" s="22"/>
      <c r="R219" s="22"/>
      <c r="S219" s="22"/>
    </row>
    <row r="220">
      <c r="A220" s="24">
        <v>219.0</v>
      </c>
      <c r="B220" s="25" t="s">
        <v>680</v>
      </c>
      <c r="C220" s="25" t="s">
        <v>681</v>
      </c>
      <c r="D220" s="34"/>
      <c r="E220" s="34"/>
      <c r="F220" s="25">
        <v>179.0</v>
      </c>
      <c r="G220" s="25">
        <v>171.0</v>
      </c>
      <c r="H220" s="25">
        <v>183.0</v>
      </c>
      <c r="I220" s="25">
        <v>177.7</v>
      </c>
      <c r="J220" s="25" t="s">
        <v>682</v>
      </c>
      <c r="K220" s="22"/>
      <c r="L220" s="22"/>
      <c r="M220" s="22"/>
      <c r="N220" s="22"/>
      <c r="O220" s="22"/>
      <c r="P220" s="22"/>
      <c r="Q220" s="22"/>
      <c r="R220" s="22"/>
      <c r="S220" s="22"/>
    </row>
    <row r="221">
      <c r="A221" s="24">
        <v>220.0</v>
      </c>
      <c r="B221" s="25" t="s">
        <v>683</v>
      </c>
      <c r="C221" s="25" t="s">
        <v>684</v>
      </c>
      <c r="D221" s="25">
        <v>310.0</v>
      </c>
      <c r="E221" s="25">
        <v>228.0</v>
      </c>
      <c r="F221" s="34"/>
      <c r="G221" s="25">
        <v>196.0</v>
      </c>
      <c r="H221" s="25">
        <v>244.0</v>
      </c>
      <c r="I221" s="25">
        <v>244.5</v>
      </c>
      <c r="J221" s="25" t="s">
        <v>685</v>
      </c>
      <c r="K221" s="22"/>
      <c r="L221" s="22"/>
      <c r="M221" s="22"/>
      <c r="N221" s="22"/>
      <c r="O221" s="22"/>
      <c r="P221" s="22"/>
      <c r="Q221" s="22"/>
      <c r="R221" s="22"/>
      <c r="S221" s="22"/>
    </row>
    <row r="222">
      <c r="A222" s="24">
        <v>221.0</v>
      </c>
      <c r="B222" s="25" t="s">
        <v>686</v>
      </c>
      <c r="C222" s="25" t="s">
        <v>687</v>
      </c>
      <c r="D222" s="34"/>
      <c r="E222" s="25">
        <v>189.0</v>
      </c>
      <c r="F222" s="34"/>
      <c r="G222" s="25">
        <v>207.0</v>
      </c>
      <c r="H222" s="25">
        <v>165.0</v>
      </c>
      <c r="I222" s="25">
        <v>187.0</v>
      </c>
      <c r="J222" s="25" t="s">
        <v>688</v>
      </c>
      <c r="K222" s="22"/>
      <c r="L222" s="22"/>
      <c r="M222" s="22"/>
      <c r="N222" s="22"/>
      <c r="O222" s="22"/>
      <c r="P222" s="22"/>
      <c r="Q222" s="22"/>
      <c r="R222" s="22"/>
      <c r="S222" s="22"/>
    </row>
    <row r="223">
      <c r="A223" s="24">
        <v>222.0</v>
      </c>
      <c r="B223" s="25" t="s">
        <v>689</v>
      </c>
      <c r="C223" s="25" t="s">
        <v>690</v>
      </c>
      <c r="D223" s="34"/>
      <c r="E223" s="25">
        <v>200.0</v>
      </c>
      <c r="F223" s="34"/>
      <c r="G223" s="25">
        <v>192.0</v>
      </c>
      <c r="H223" s="25">
        <v>173.0</v>
      </c>
      <c r="I223" s="25">
        <v>188.3</v>
      </c>
      <c r="J223" s="25" t="s">
        <v>691</v>
      </c>
      <c r="K223" s="22"/>
      <c r="L223" s="22"/>
      <c r="M223" s="22"/>
      <c r="N223" s="22"/>
      <c r="O223" s="22"/>
      <c r="P223" s="22"/>
      <c r="Q223" s="22"/>
      <c r="R223" s="22"/>
      <c r="S223" s="22"/>
    </row>
    <row r="224">
      <c r="A224" s="24">
        <v>223.0</v>
      </c>
      <c r="B224" s="25" t="s">
        <v>692</v>
      </c>
      <c r="C224" s="25" t="s">
        <v>693</v>
      </c>
      <c r="D224" s="34"/>
      <c r="E224" s="25">
        <v>251.0</v>
      </c>
      <c r="F224" s="34"/>
      <c r="G224" s="25">
        <v>159.0</v>
      </c>
      <c r="H224" s="25">
        <v>164.0</v>
      </c>
      <c r="I224" s="25">
        <v>191.3</v>
      </c>
      <c r="J224" s="25" t="s">
        <v>694</v>
      </c>
      <c r="K224" s="22"/>
      <c r="L224" s="22"/>
      <c r="M224" s="22"/>
      <c r="N224" s="22"/>
      <c r="O224" s="22"/>
      <c r="P224" s="22"/>
      <c r="Q224" s="22"/>
      <c r="R224" s="22"/>
      <c r="S224" s="22"/>
    </row>
    <row r="225">
      <c r="A225" s="24">
        <v>224.0</v>
      </c>
      <c r="B225" s="25" t="s">
        <v>695</v>
      </c>
      <c r="C225" s="25" t="s">
        <v>696</v>
      </c>
      <c r="D225" s="34"/>
      <c r="E225" s="34"/>
      <c r="F225" s="25">
        <v>215.0</v>
      </c>
      <c r="G225" s="25">
        <v>191.0</v>
      </c>
      <c r="H225" s="25">
        <v>192.0</v>
      </c>
      <c r="I225" s="25">
        <v>199.3</v>
      </c>
      <c r="J225" s="25" t="s">
        <v>697</v>
      </c>
      <c r="K225" s="22"/>
      <c r="L225" s="22"/>
      <c r="M225" s="22"/>
      <c r="N225" s="22"/>
      <c r="O225" s="22"/>
      <c r="P225" s="22"/>
      <c r="Q225" s="22"/>
      <c r="R225" s="22"/>
      <c r="S225" s="22"/>
    </row>
    <row r="226">
      <c r="A226" s="24">
        <v>225.0</v>
      </c>
      <c r="B226" s="25" t="s">
        <v>698</v>
      </c>
      <c r="C226" s="25" t="s">
        <v>699</v>
      </c>
      <c r="D226" s="34"/>
      <c r="E226" s="25">
        <v>191.0</v>
      </c>
      <c r="F226" s="34"/>
      <c r="G226" s="25">
        <v>205.0</v>
      </c>
      <c r="H226" s="25">
        <v>217.0</v>
      </c>
      <c r="I226" s="25">
        <v>204.3</v>
      </c>
      <c r="J226" s="25" t="s">
        <v>700</v>
      </c>
      <c r="K226" s="22"/>
      <c r="L226" s="22"/>
      <c r="M226" s="22"/>
      <c r="N226" s="22"/>
      <c r="O226" s="22"/>
      <c r="P226" s="22"/>
      <c r="Q226" s="22"/>
      <c r="R226" s="22"/>
      <c r="S226" s="22"/>
    </row>
    <row r="227">
      <c r="A227" s="24">
        <v>226.0</v>
      </c>
      <c r="B227" s="25" t="s">
        <v>701</v>
      </c>
      <c r="C227" s="25" t="s">
        <v>702</v>
      </c>
      <c r="D227" s="25">
        <v>183.0</v>
      </c>
      <c r="E227" s="25">
        <v>179.0</v>
      </c>
      <c r="F227" s="34"/>
      <c r="G227" s="34"/>
      <c r="H227" s="25">
        <v>260.0</v>
      </c>
      <c r="I227" s="25">
        <v>207.3</v>
      </c>
      <c r="J227" s="25" t="s">
        <v>703</v>
      </c>
      <c r="K227" s="22"/>
      <c r="L227" s="22"/>
      <c r="M227" s="22"/>
      <c r="N227" s="22"/>
      <c r="O227" s="22"/>
      <c r="P227" s="22"/>
      <c r="Q227" s="22"/>
      <c r="R227" s="22"/>
      <c r="S227" s="22"/>
    </row>
    <row r="228">
      <c r="A228" s="24">
        <v>227.0</v>
      </c>
      <c r="B228" s="25" t="s">
        <v>704</v>
      </c>
      <c r="C228" s="25" t="s">
        <v>705</v>
      </c>
      <c r="D228" s="34"/>
      <c r="E228" s="25">
        <v>250.0</v>
      </c>
      <c r="F228" s="34"/>
      <c r="G228" s="25">
        <v>181.0</v>
      </c>
      <c r="H228" s="25">
        <v>193.0</v>
      </c>
      <c r="I228" s="25">
        <v>208.0</v>
      </c>
      <c r="J228" s="25" t="s">
        <v>706</v>
      </c>
      <c r="K228" s="22"/>
      <c r="L228" s="22"/>
      <c r="M228" s="22"/>
      <c r="N228" s="22"/>
      <c r="O228" s="22"/>
      <c r="P228" s="22"/>
      <c r="Q228" s="22"/>
      <c r="R228" s="22"/>
      <c r="S228" s="22"/>
    </row>
    <row r="229">
      <c r="A229" s="24">
        <v>228.0</v>
      </c>
      <c r="B229" s="25" t="s">
        <v>707</v>
      </c>
      <c r="C229" s="25" t="s">
        <v>708</v>
      </c>
      <c r="D229" s="34"/>
      <c r="E229" s="25">
        <v>209.0</v>
      </c>
      <c r="F229" s="34"/>
      <c r="G229" s="25">
        <v>198.0</v>
      </c>
      <c r="H229" s="25">
        <v>220.0</v>
      </c>
      <c r="I229" s="25">
        <v>209.0</v>
      </c>
      <c r="J229" s="25" t="s">
        <v>709</v>
      </c>
      <c r="K229" s="22"/>
      <c r="L229" s="22"/>
      <c r="M229" s="22"/>
      <c r="N229" s="22"/>
      <c r="O229" s="22"/>
      <c r="P229" s="22"/>
      <c r="Q229" s="22"/>
      <c r="R229" s="22"/>
      <c r="S229" s="22"/>
    </row>
    <row r="230">
      <c r="A230" s="24">
        <v>229.0</v>
      </c>
      <c r="B230" s="25" t="s">
        <v>710</v>
      </c>
      <c r="C230" s="25" t="s">
        <v>711</v>
      </c>
      <c r="D230" s="34"/>
      <c r="E230" s="25">
        <v>241.0</v>
      </c>
      <c r="F230" s="34"/>
      <c r="G230" s="25">
        <v>188.0</v>
      </c>
      <c r="H230" s="25">
        <v>199.0</v>
      </c>
      <c r="I230" s="25">
        <v>209.3</v>
      </c>
      <c r="J230" s="25" t="s">
        <v>712</v>
      </c>
      <c r="K230" s="22"/>
      <c r="L230" s="22"/>
      <c r="M230" s="22"/>
      <c r="N230" s="22"/>
      <c r="O230" s="22"/>
      <c r="P230" s="22"/>
      <c r="Q230" s="22"/>
      <c r="R230" s="22"/>
      <c r="S230" s="22"/>
    </row>
    <row r="231">
      <c r="A231" s="24">
        <v>230.0</v>
      </c>
      <c r="B231" s="25" t="s">
        <v>713</v>
      </c>
      <c r="C231" s="25" t="s">
        <v>714</v>
      </c>
      <c r="D231" s="34"/>
      <c r="E231" s="25">
        <v>236.0</v>
      </c>
      <c r="F231" s="34"/>
      <c r="G231" s="25">
        <v>203.0</v>
      </c>
      <c r="H231" s="25">
        <v>196.0</v>
      </c>
      <c r="I231" s="25">
        <v>211.7</v>
      </c>
      <c r="J231" s="25" t="s">
        <v>715</v>
      </c>
      <c r="K231" s="35"/>
      <c r="L231" s="35"/>
      <c r="M231" s="35"/>
      <c r="N231" s="35"/>
      <c r="O231" s="35"/>
      <c r="P231" s="35"/>
      <c r="Q231" s="35"/>
      <c r="R231" s="35"/>
      <c r="S231" s="35"/>
    </row>
    <row r="232">
      <c r="A232" s="24">
        <v>231.0</v>
      </c>
      <c r="B232" s="25" t="s">
        <v>716</v>
      </c>
      <c r="C232" s="25" t="s">
        <v>717</v>
      </c>
      <c r="D232" s="25">
        <v>196.0</v>
      </c>
      <c r="E232" s="25">
        <v>238.0</v>
      </c>
      <c r="F232" s="34"/>
      <c r="G232" s="34"/>
      <c r="H232" s="25">
        <v>205.0</v>
      </c>
      <c r="I232" s="25">
        <v>213.0</v>
      </c>
      <c r="J232" s="25" t="s">
        <v>718</v>
      </c>
      <c r="K232" s="22"/>
      <c r="L232" s="22"/>
      <c r="M232" s="22"/>
      <c r="N232" s="22"/>
      <c r="O232" s="22"/>
      <c r="P232" s="22"/>
      <c r="Q232" s="22"/>
      <c r="R232" s="22"/>
      <c r="S232" s="22"/>
    </row>
    <row r="233">
      <c r="A233" s="24">
        <v>232.0</v>
      </c>
      <c r="B233" s="25" t="s">
        <v>719</v>
      </c>
      <c r="C233" s="25" t="s">
        <v>720</v>
      </c>
      <c r="D233" s="34"/>
      <c r="E233" s="25">
        <v>155.0</v>
      </c>
      <c r="F233" s="34"/>
      <c r="G233" s="25">
        <v>235.0</v>
      </c>
      <c r="H233" s="25">
        <v>257.0</v>
      </c>
      <c r="I233" s="25">
        <v>215.7</v>
      </c>
      <c r="J233" s="25" t="s">
        <v>721</v>
      </c>
      <c r="K233" s="22"/>
      <c r="L233" s="22"/>
      <c r="M233" s="22"/>
      <c r="N233" s="22"/>
      <c r="O233" s="22"/>
      <c r="P233" s="22"/>
      <c r="Q233" s="22"/>
      <c r="R233" s="22"/>
      <c r="S233" s="22"/>
    </row>
    <row r="234">
      <c r="A234" s="24">
        <v>233.0</v>
      </c>
      <c r="B234" s="25" t="s">
        <v>722</v>
      </c>
      <c r="C234" s="25" t="s">
        <v>723</v>
      </c>
      <c r="D234" s="25">
        <v>214.0</v>
      </c>
      <c r="E234" s="25">
        <v>399.0</v>
      </c>
      <c r="F234" s="34"/>
      <c r="G234" s="25">
        <v>234.0</v>
      </c>
      <c r="H234" s="25">
        <v>246.0</v>
      </c>
      <c r="I234" s="25">
        <v>273.3</v>
      </c>
      <c r="J234" s="25" t="s">
        <v>724</v>
      </c>
      <c r="K234" s="22"/>
      <c r="L234" s="22"/>
      <c r="M234" s="22"/>
      <c r="N234" s="22"/>
      <c r="O234" s="22"/>
      <c r="P234" s="22"/>
      <c r="Q234" s="22"/>
      <c r="R234" s="22"/>
      <c r="S234" s="22"/>
    </row>
    <row r="235">
      <c r="A235" s="24">
        <v>234.0</v>
      </c>
      <c r="B235" s="25" t="s">
        <v>725</v>
      </c>
      <c r="C235" s="25" t="s">
        <v>726</v>
      </c>
      <c r="D235" s="25">
        <v>194.0</v>
      </c>
      <c r="E235" s="25">
        <v>224.0</v>
      </c>
      <c r="F235" s="34"/>
      <c r="G235" s="34"/>
      <c r="H235" s="25">
        <v>236.0</v>
      </c>
      <c r="I235" s="25">
        <v>218.0</v>
      </c>
      <c r="J235" s="25" t="s">
        <v>727</v>
      </c>
      <c r="K235" s="22"/>
      <c r="L235" s="22"/>
      <c r="M235" s="22"/>
      <c r="N235" s="22"/>
      <c r="O235" s="22"/>
      <c r="P235" s="22"/>
      <c r="Q235" s="22"/>
      <c r="R235" s="22"/>
      <c r="S235" s="22"/>
    </row>
    <row r="236">
      <c r="A236" s="24">
        <v>235.0</v>
      </c>
      <c r="B236" s="25" t="s">
        <v>728</v>
      </c>
      <c r="C236" s="25" t="s">
        <v>729</v>
      </c>
      <c r="D236" s="34"/>
      <c r="E236" s="25">
        <v>242.0</v>
      </c>
      <c r="F236" s="25">
        <v>189.0</v>
      </c>
      <c r="G236" s="34"/>
      <c r="H236" s="25">
        <v>237.0</v>
      </c>
      <c r="I236" s="25">
        <v>222.7</v>
      </c>
      <c r="J236" s="34"/>
      <c r="K236" s="35"/>
      <c r="L236" s="35"/>
      <c r="M236" s="35"/>
      <c r="N236" s="35"/>
      <c r="O236" s="35"/>
      <c r="P236" s="35"/>
      <c r="Q236" s="35"/>
      <c r="R236" s="35"/>
      <c r="S236" s="35"/>
    </row>
    <row r="237">
      <c r="A237" s="24">
        <v>236.0</v>
      </c>
      <c r="B237" s="25" t="s">
        <v>730</v>
      </c>
      <c r="C237" s="25" t="s">
        <v>731</v>
      </c>
      <c r="D237" s="34"/>
      <c r="E237" s="25">
        <v>211.0</v>
      </c>
      <c r="F237" s="34"/>
      <c r="G237" s="25">
        <v>209.0</v>
      </c>
      <c r="H237" s="25">
        <v>250.0</v>
      </c>
      <c r="I237" s="25">
        <v>223.3</v>
      </c>
      <c r="J237" s="25" t="s">
        <v>732</v>
      </c>
      <c r="K237" s="22"/>
      <c r="L237" s="22"/>
      <c r="M237" s="22"/>
      <c r="N237" s="22"/>
      <c r="O237" s="22"/>
      <c r="P237" s="22"/>
      <c r="Q237" s="22"/>
      <c r="R237" s="22"/>
      <c r="S237" s="22"/>
    </row>
    <row r="238">
      <c r="A238" s="24">
        <v>237.0</v>
      </c>
      <c r="B238" s="25" t="s">
        <v>733</v>
      </c>
      <c r="C238" s="25" t="s">
        <v>734</v>
      </c>
      <c r="D238" s="25">
        <v>204.0</v>
      </c>
      <c r="E238" s="25">
        <v>244.0</v>
      </c>
      <c r="F238" s="34"/>
      <c r="G238" s="34"/>
      <c r="H238" s="25">
        <v>229.0</v>
      </c>
      <c r="I238" s="25">
        <v>225.7</v>
      </c>
      <c r="J238" s="25" t="s">
        <v>735</v>
      </c>
      <c r="K238" s="22"/>
      <c r="L238" s="22"/>
      <c r="M238" s="22"/>
      <c r="N238" s="22"/>
      <c r="O238" s="22"/>
      <c r="P238" s="22"/>
      <c r="Q238" s="22"/>
      <c r="R238" s="22"/>
      <c r="S238" s="22"/>
    </row>
    <row r="239">
      <c r="A239" s="24">
        <v>238.0</v>
      </c>
      <c r="B239" s="25" t="s">
        <v>736</v>
      </c>
      <c r="C239" s="25" t="s">
        <v>737</v>
      </c>
      <c r="D239" s="25">
        <v>200.0</v>
      </c>
      <c r="E239" s="25">
        <v>275.0</v>
      </c>
      <c r="F239" s="34"/>
      <c r="G239" s="34"/>
      <c r="H239" s="25">
        <v>221.0</v>
      </c>
      <c r="I239" s="25">
        <v>232.0</v>
      </c>
      <c r="J239" s="25" t="s">
        <v>738</v>
      </c>
      <c r="K239" s="22"/>
      <c r="L239" s="22"/>
      <c r="M239" s="22"/>
      <c r="N239" s="22"/>
      <c r="O239" s="22"/>
      <c r="P239" s="22"/>
      <c r="Q239" s="22"/>
      <c r="R239" s="22"/>
      <c r="S239" s="22"/>
    </row>
    <row r="240">
      <c r="A240" s="24">
        <v>239.0</v>
      </c>
      <c r="B240" s="25" t="s">
        <v>739</v>
      </c>
      <c r="C240" s="25" t="s">
        <v>740</v>
      </c>
      <c r="D240" s="34"/>
      <c r="E240" s="25">
        <v>272.0</v>
      </c>
      <c r="F240" s="34"/>
      <c r="G240" s="25">
        <v>184.0</v>
      </c>
      <c r="H240" s="25">
        <v>241.0</v>
      </c>
      <c r="I240" s="25">
        <v>232.3</v>
      </c>
      <c r="J240" s="25" t="s">
        <v>741</v>
      </c>
      <c r="K240" s="22"/>
      <c r="L240" s="22"/>
      <c r="M240" s="22"/>
      <c r="N240" s="22"/>
      <c r="O240" s="22"/>
      <c r="P240" s="22"/>
      <c r="Q240" s="22"/>
      <c r="R240" s="22"/>
      <c r="S240" s="22"/>
    </row>
    <row r="241">
      <c r="A241" s="24">
        <v>240.0</v>
      </c>
      <c r="B241" s="25" t="s">
        <v>742</v>
      </c>
      <c r="C241" s="25" t="s">
        <v>743</v>
      </c>
      <c r="D241" s="34"/>
      <c r="E241" s="25">
        <v>259.0</v>
      </c>
      <c r="F241" s="25">
        <v>212.0</v>
      </c>
      <c r="G241" s="34"/>
      <c r="H241" s="25">
        <v>227.0</v>
      </c>
      <c r="I241" s="25">
        <v>232.7</v>
      </c>
      <c r="J241" s="25" t="s">
        <v>744</v>
      </c>
      <c r="K241" s="22"/>
      <c r="L241" s="22"/>
      <c r="M241" s="22"/>
      <c r="N241" s="22"/>
      <c r="O241" s="22"/>
      <c r="P241" s="22"/>
      <c r="Q241" s="22"/>
      <c r="R241" s="22"/>
      <c r="S241" s="22"/>
    </row>
    <row r="242">
      <c r="A242" s="24">
        <v>241.0</v>
      </c>
      <c r="B242" s="25" t="s">
        <v>745</v>
      </c>
      <c r="C242" s="25" t="s">
        <v>746</v>
      </c>
      <c r="D242" s="34"/>
      <c r="E242" s="25">
        <v>225.0</v>
      </c>
      <c r="F242" s="34"/>
      <c r="G242" s="25">
        <v>178.0</v>
      </c>
      <c r="H242" s="25">
        <v>307.0</v>
      </c>
      <c r="I242" s="25">
        <v>236.7</v>
      </c>
      <c r="J242" s="25" t="s">
        <v>747</v>
      </c>
      <c r="K242" s="22"/>
      <c r="L242" s="22"/>
      <c r="M242" s="22"/>
      <c r="N242" s="22"/>
      <c r="O242" s="22"/>
      <c r="P242" s="22"/>
      <c r="Q242" s="22"/>
      <c r="R242" s="22"/>
      <c r="S242" s="22"/>
    </row>
    <row r="243">
      <c r="A243" s="24">
        <v>242.0</v>
      </c>
      <c r="B243" s="25" t="s">
        <v>748</v>
      </c>
      <c r="C243" s="25" t="s">
        <v>749</v>
      </c>
      <c r="D243" s="34"/>
      <c r="E243" s="25">
        <v>292.0</v>
      </c>
      <c r="F243" s="34"/>
      <c r="G243" s="25">
        <v>194.0</v>
      </c>
      <c r="H243" s="25">
        <v>224.0</v>
      </c>
      <c r="I243" s="25">
        <v>236.7</v>
      </c>
      <c r="J243" s="25" t="s">
        <v>750</v>
      </c>
      <c r="K243" s="22"/>
      <c r="L243" s="22"/>
      <c r="M243" s="22"/>
      <c r="N243" s="22"/>
      <c r="O243" s="22"/>
      <c r="P243" s="22"/>
      <c r="Q243" s="22"/>
      <c r="R243" s="22"/>
      <c r="S243" s="22"/>
    </row>
    <row r="244">
      <c r="A244" s="24">
        <v>243.0</v>
      </c>
      <c r="B244" s="25" t="s">
        <v>751</v>
      </c>
      <c r="C244" s="25" t="s">
        <v>752</v>
      </c>
      <c r="D244" s="25">
        <v>199.0</v>
      </c>
      <c r="E244" s="25">
        <v>221.0</v>
      </c>
      <c r="F244" s="34"/>
      <c r="G244" s="34"/>
      <c r="H244" s="25">
        <v>290.0</v>
      </c>
      <c r="I244" s="25">
        <v>236.7</v>
      </c>
      <c r="J244" s="25" t="s">
        <v>753</v>
      </c>
      <c r="K244" s="35"/>
      <c r="L244" s="35"/>
      <c r="M244" s="35"/>
      <c r="N244" s="35"/>
      <c r="O244" s="35"/>
      <c r="P244" s="35"/>
      <c r="Q244" s="35"/>
      <c r="R244" s="35"/>
      <c r="S244" s="35"/>
    </row>
    <row r="245">
      <c r="A245" s="24">
        <v>244.0</v>
      </c>
      <c r="B245" s="25" t="s">
        <v>754</v>
      </c>
      <c r="C245" s="25" t="s">
        <v>755</v>
      </c>
      <c r="D245" s="25">
        <v>112.0</v>
      </c>
      <c r="E245" s="25">
        <v>168.0</v>
      </c>
      <c r="F245" s="34"/>
      <c r="G245" s="34"/>
      <c r="H245" s="34"/>
      <c r="I245" s="25">
        <v>140.0</v>
      </c>
      <c r="J245" s="25" t="s">
        <v>756</v>
      </c>
      <c r="K245" s="22"/>
      <c r="L245" s="22"/>
      <c r="M245" s="22"/>
      <c r="N245" s="22"/>
      <c r="O245" s="22"/>
      <c r="P245" s="22"/>
      <c r="Q245" s="22"/>
      <c r="R245" s="22"/>
      <c r="S245" s="22"/>
    </row>
    <row r="246">
      <c r="A246" s="24">
        <v>245.0</v>
      </c>
      <c r="B246" s="25" t="s">
        <v>757</v>
      </c>
      <c r="C246" s="25" t="s">
        <v>758</v>
      </c>
      <c r="D246" s="34"/>
      <c r="E246" s="25">
        <v>296.0</v>
      </c>
      <c r="F246" s="25">
        <v>185.0</v>
      </c>
      <c r="G246" s="34"/>
      <c r="H246" s="25">
        <v>251.0</v>
      </c>
      <c r="I246" s="25">
        <v>244.0</v>
      </c>
      <c r="J246" s="34"/>
      <c r="K246" s="22"/>
      <c r="L246" s="22"/>
      <c r="M246" s="22"/>
      <c r="N246" s="22"/>
      <c r="O246" s="22"/>
      <c r="P246" s="22"/>
      <c r="Q246" s="22"/>
      <c r="R246" s="22"/>
      <c r="S246" s="22"/>
    </row>
    <row r="247">
      <c r="A247" s="24">
        <v>246.0</v>
      </c>
      <c r="B247" s="25" t="s">
        <v>759</v>
      </c>
      <c r="C247" s="25" t="s">
        <v>760</v>
      </c>
      <c r="D247" s="34"/>
      <c r="E247" s="25">
        <v>289.0</v>
      </c>
      <c r="F247" s="34"/>
      <c r="G247" s="25">
        <v>225.0</v>
      </c>
      <c r="H247" s="25">
        <v>218.0</v>
      </c>
      <c r="I247" s="25">
        <v>244.0</v>
      </c>
      <c r="J247" s="25" t="s">
        <v>761</v>
      </c>
      <c r="K247" s="22"/>
      <c r="L247" s="22"/>
      <c r="M247" s="22"/>
      <c r="N247" s="22"/>
      <c r="O247" s="22"/>
      <c r="P247" s="22"/>
      <c r="Q247" s="22"/>
      <c r="R247" s="22"/>
      <c r="S247" s="22"/>
    </row>
    <row r="248">
      <c r="A248" s="24">
        <v>247.0</v>
      </c>
      <c r="B248" s="25" t="s">
        <v>762</v>
      </c>
      <c r="C248" s="25" t="s">
        <v>763</v>
      </c>
      <c r="D248" s="25">
        <v>218.0</v>
      </c>
      <c r="E248" s="25">
        <v>261.0</v>
      </c>
      <c r="F248" s="34"/>
      <c r="G248" s="34"/>
      <c r="H248" s="25">
        <v>267.0</v>
      </c>
      <c r="I248" s="25">
        <v>248.7</v>
      </c>
      <c r="J248" s="25" t="s">
        <v>764</v>
      </c>
      <c r="K248" s="35"/>
      <c r="L248" s="35"/>
      <c r="M248" s="35"/>
      <c r="N248" s="35"/>
      <c r="O248" s="35"/>
      <c r="P248" s="35"/>
      <c r="Q248" s="35"/>
      <c r="R248" s="35"/>
      <c r="S248" s="35"/>
    </row>
    <row r="249">
      <c r="A249" s="24">
        <v>248.0</v>
      </c>
      <c r="B249" s="25" t="s">
        <v>765</v>
      </c>
      <c r="C249" s="25" t="s">
        <v>766</v>
      </c>
      <c r="D249" s="25">
        <v>222.0</v>
      </c>
      <c r="E249" s="25">
        <v>231.0</v>
      </c>
      <c r="F249" s="34"/>
      <c r="G249" s="34"/>
      <c r="H249" s="25">
        <v>308.0</v>
      </c>
      <c r="I249" s="25">
        <v>253.7</v>
      </c>
      <c r="J249" s="34"/>
      <c r="K249" s="22"/>
      <c r="L249" s="22"/>
      <c r="M249" s="22"/>
      <c r="N249" s="22"/>
      <c r="O249" s="22"/>
      <c r="P249" s="22"/>
      <c r="Q249" s="22"/>
      <c r="R249" s="22"/>
      <c r="S249" s="22"/>
    </row>
    <row r="250">
      <c r="A250" s="24">
        <v>249.0</v>
      </c>
      <c r="B250" s="25" t="s">
        <v>767</v>
      </c>
      <c r="C250" s="25" t="s">
        <v>768</v>
      </c>
      <c r="D250" s="34"/>
      <c r="E250" s="25">
        <v>304.0</v>
      </c>
      <c r="F250" s="34"/>
      <c r="G250" s="25">
        <v>216.0</v>
      </c>
      <c r="H250" s="25">
        <v>248.0</v>
      </c>
      <c r="I250" s="25">
        <v>256.0</v>
      </c>
      <c r="J250" s="25" t="s">
        <v>769</v>
      </c>
      <c r="K250" s="22"/>
      <c r="L250" s="22"/>
      <c r="M250" s="22"/>
      <c r="N250" s="22"/>
      <c r="O250" s="22"/>
      <c r="P250" s="22"/>
      <c r="Q250" s="22"/>
      <c r="R250" s="22"/>
      <c r="S250" s="22"/>
    </row>
    <row r="251">
      <c r="A251" s="24">
        <v>250.0</v>
      </c>
      <c r="B251" s="25" t="s">
        <v>770</v>
      </c>
      <c r="C251" s="25" t="s">
        <v>771</v>
      </c>
      <c r="D251" s="34"/>
      <c r="E251" s="25">
        <v>278.0</v>
      </c>
      <c r="F251" s="34"/>
      <c r="G251" s="25">
        <v>221.0</v>
      </c>
      <c r="H251" s="25">
        <v>277.0</v>
      </c>
      <c r="I251" s="25">
        <v>258.7</v>
      </c>
      <c r="J251" s="25" t="s">
        <v>772</v>
      </c>
      <c r="K251" s="35"/>
      <c r="L251" s="35"/>
      <c r="M251" s="35"/>
      <c r="N251" s="35"/>
      <c r="O251" s="35"/>
      <c r="P251" s="35"/>
      <c r="Q251" s="35"/>
      <c r="R251" s="35"/>
      <c r="S251" s="35"/>
    </row>
    <row r="252">
      <c r="A252" s="24">
        <v>251.0</v>
      </c>
      <c r="B252" s="25" t="s">
        <v>773</v>
      </c>
      <c r="C252" s="25" t="s">
        <v>774</v>
      </c>
      <c r="D252" s="34"/>
      <c r="E252" s="25">
        <v>287.0</v>
      </c>
      <c r="F252" s="34"/>
      <c r="G252" s="25">
        <v>210.0</v>
      </c>
      <c r="H252" s="25">
        <v>280.0</v>
      </c>
      <c r="I252" s="25">
        <v>259.0</v>
      </c>
      <c r="J252" s="25" t="s">
        <v>775</v>
      </c>
      <c r="K252" s="22"/>
      <c r="L252" s="22"/>
      <c r="M252" s="22"/>
      <c r="N252" s="22"/>
      <c r="O252" s="22"/>
      <c r="P252" s="22"/>
      <c r="Q252" s="22"/>
      <c r="R252" s="22"/>
      <c r="S252" s="22"/>
    </row>
    <row r="253">
      <c r="A253" s="24">
        <v>252.0</v>
      </c>
      <c r="B253" s="25" t="s">
        <v>776</v>
      </c>
      <c r="C253" s="25" t="s">
        <v>777</v>
      </c>
      <c r="D253" s="25">
        <v>232.0</v>
      </c>
      <c r="E253" s="25">
        <v>268.0</v>
      </c>
      <c r="F253" s="34"/>
      <c r="G253" s="34"/>
      <c r="H253" s="25">
        <v>282.0</v>
      </c>
      <c r="I253" s="25">
        <v>260.7</v>
      </c>
      <c r="J253" s="34"/>
      <c r="K253" s="22"/>
      <c r="L253" s="22"/>
      <c r="M253" s="22"/>
      <c r="N253" s="22"/>
      <c r="O253" s="22"/>
      <c r="P253" s="22"/>
      <c r="Q253" s="22"/>
      <c r="R253" s="22"/>
      <c r="S253" s="22"/>
    </row>
    <row r="254">
      <c r="A254" s="24">
        <v>253.0</v>
      </c>
      <c r="B254" s="25" t="s">
        <v>778</v>
      </c>
      <c r="C254" s="25" t="s">
        <v>779</v>
      </c>
      <c r="D254" s="34"/>
      <c r="E254" s="25">
        <v>274.0</v>
      </c>
      <c r="F254" s="34"/>
      <c r="G254" s="25">
        <v>200.0</v>
      </c>
      <c r="H254" s="25">
        <v>314.0</v>
      </c>
      <c r="I254" s="25">
        <v>262.7</v>
      </c>
      <c r="J254" s="25" t="s">
        <v>780</v>
      </c>
      <c r="K254" s="22"/>
      <c r="L254" s="22"/>
      <c r="M254" s="22"/>
      <c r="N254" s="22"/>
      <c r="O254" s="22"/>
      <c r="P254" s="22"/>
      <c r="Q254" s="22"/>
      <c r="R254" s="22"/>
      <c r="S254" s="22"/>
    </row>
    <row r="255">
      <c r="A255" s="24">
        <v>254.0</v>
      </c>
      <c r="B255" s="25" t="s">
        <v>781</v>
      </c>
      <c r="C255" s="25" t="s">
        <v>782</v>
      </c>
      <c r="D255" s="25">
        <v>240.0</v>
      </c>
      <c r="E255" s="25">
        <v>280.0</v>
      </c>
      <c r="F255" s="34"/>
      <c r="G255" s="34"/>
      <c r="H255" s="25">
        <v>292.0</v>
      </c>
      <c r="I255" s="25">
        <v>270.7</v>
      </c>
      <c r="J255" s="34"/>
      <c r="K255" s="22"/>
      <c r="L255" s="22"/>
      <c r="M255" s="22"/>
      <c r="N255" s="22"/>
      <c r="O255" s="22"/>
      <c r="P255" s="22"/>
      <c r="Q255" s="22"/>
      <c r="R255" s="22"/>
      <c r="S255" s="22"/>
    </row>
    <row r="256">
      <c r="A256" s="24">
        <v>255.0</v>
      </c>
      <c r="B256" s="25" t="s">
        <v>783</v>
      </c>
      <c r="C256" s="25" t="s">
        <v>784</v>
      </c>
      <c r="D256" s="25">
        <v>309.0</v>
      </c>
      <c r="E256" s="25">
        <v>253.0</v>
      </c>
      <c r="F256" s="34"/>
      <c r="G256" s="34"/>
      <c r="H256" s="25">
        <v>252.0</v>
      </c>
      <c r="I256" s="25">
        <v>271.3</v>
      </c>
      <c r="J256" s="34"/>
      <c r="K256" s="22"/>
      <c r="L256" s="22"/>
      <c r="M256" s="22"/>
      <c r="N256" s="22"/>
      <c r="O256" s="22"/>
      <c r="P256" s="22"/>
      <c r="Q256" s="22"/>
      <c r="R256" s="22"/>
      <c r="S256" s="22"/>
    </row>
    <row r="257">
      <c r="A257" s="24">
        <v>256.0</v>
      </c>
      <c r="B257" s="25" t="s">
        <v>785</v>
      </c>
      <c r="C257" s="25" t="s">
        <v>786</v>
      </c>
      <c r="D257" s="34"/>
      <c r="E257" s="34"/>
      <c r="F257" s="34"/>
      <c r="G257" s="25">
        <v>176.0</v>
      </c>
      <c r="H257" s="25">
        <v>202.0</v>
      </c>
      <c r="I257" s="25">
        <v>189.0</v>
      </c>
      <c r="J257" s="25" t="s">
        <v>787</v>
      </c>
      <c r="K257" s="22"/>
      <c r="L257" s="22"/>
      <c r="M257" s="22"/>
      <c r="N257" s="22"/>
      <c r="O257" s="22"/>
      <c r="P257" s="22"/>
      <c r="Q257" s="22"/>
      <c r="R257" s="22"/>
      <c r="S257" s="22"/>
    </row>
    <row r="258">
      <c r="A258" s="24">
        <v>257.0</v>
      </c>
      <c r="B258" s="25" t="s">
        <v>788</v>
      </c>
      <c r="C258" s="25" t="s">
        <v>789</v>
      </c>
      <c r="D258" s="25">
        <v>276.0</v>
      </c>
      <c r="E258" s="25">
        <v>283.0</v>
      </c>
      <c r="F258" s="34"/>
      <c r="G258" s="34"/>
      <c r="H258" s="25">
        <v>272.0</v>
      </c>
      <c r="I258" s="25">
        <v>277.0</v>
      </c>
      <c r="J258" s="34"/>
      <c r="K258" s="35"/>
      <c r="L258" s="35"/>
      <c r="M258" s="35"/>
      <c r="N258" s="35"/>
      <c r="O258" s="35"/>
      <c r="P258" s="35"/>
      <c r="Q258" s="35"/>
      <c r="R258" s="35"/>
      <c r="S258" s="35"/>
    </row>
    <row r="259">
      <c r="A259" s="24">
        <v>258.0</v>
      </c>
      <c r="B259" s="25" t="s">
        <v>790</v>
      </c>
      <c r="C259" s="25" t="s">
        <v>791</v>
      </c>
      <c r="D259" s="34"/>
      <c r="E259" s="25">
        <v>210.0</v>
      </c>
      <c r="F259" s="34"/>
      <c r="G259" s="34"/>
      <c r="H259" s="25">
        <v>188.0</v>
      </c>
      <c r="I259" s="25">
        <v>199.0</v>
      </c>
      <c r="J259" s="25" t="s">
        <v>792</v>
      </c>
      <c r="K259" s="35"/>
      <c r="L259" s="35"/>
      <c r="M259" s="35"/>
      <c r="N259" s="35"/>
      <c r="O259" s="35"/>
      <c r="P259" s="35"/>
      <c r="Q259" s="35"/>
      <c r="R259" s="35"/>
      <c r="S259" s="35"/>
    </row>
    <row r="260">
      <c r="A260" s="24">
        <v>259.0</v>
      </c>
      <c r="B260" s="25" t="s">
        <v>793</v>
      </c>
      <c r="C260" s="25" t="s">
        <v>794</v>
      </c>
      <c r="D260" s="25">
        <v>313.0</v>
      </c>
      <c r="E260" s="25">
        <v>270.0</v>
      </c>
      <c r="F260" s="34"/>
      <c r="G260" s="34"/>
      <c r="H260" s="25">
        <v>273.0</v>
      </c>
      <c r="I260" s="25">
        <v>285.3</v>
      </c>
      <c r="J260" s="25" t="s">
        <v>795</v>
      </c>
      <c r="K260" s="22"/>
      <c r="L260" s="22"/>
      <c r="M260" s="22"/>
      <c r="N260" s="22"/>
      <c r="O260" s="22"/>
      <c r="P260" s="22"/>
      <c r="Q260" s="22"/>
      <c r="R260" s="22"/>
      <c r="S260" s="22"/>
    </row>
    <row r="261">
      <c r="A261" s="24">
        <v>260.0</v>
      </c>
      <c r="B261" s="25" t="s">
        <v>796</v>
      </c>
      <c r="C261" s="25" t="s">
        <v>797</v>
      </c>
      <c r="D261" s="34"/>
      <c r="E261" s="34"/>
      <c r="F261" s="25">
        <v>195.0</v>
      </c>
      <c r="G261" s="34"/>
      <c r="H261" s="25">
        <v>228.0</v>
      </c>
      <c r="I261" s="25">
        <v>211.5</v>
      </c>
      <c r="J261" s="25" t="s">
        <v>798</v>
      </c>
      <c r="K261" s="35"/>
      <c r="L261" s="35"/>
      <c r="M261" s="35"/>
      <c r="N261" s="35"/>
      <c r="O261" s="35"/>
      <c r="P261" s="35"/>
      <c r="Q261" s="35"/>
      <c r="R261" s="35"/>
      <c r="S261" s="35"/>
    </row>
    <row r="262">
      <c r="A262" s="24">
        <v>261.0</v>
      </c>
      <c r="B262" s="25" t="s">
        <v>799</v>
      </c>
      <c r="C262" s="25" t="s">
        <v>800</v>
      </c>
      <c r="D262" s="34"/>
      <c r="E262" s="34"/>
      <c r="F262" s="34"/>
      <c r="G262" s="25">
        <v>202.0</v>
      </c>
      <c r="H262" s="25">
        <v>230.0</v>
      </c>
      <c r="I262" s="25">
        <v>216.0</v>
      </c>
      <c r="J262" s="25" t="s">
        <v>801</v>
      </c>
      <c r="K262" s="22"/>
      <c r="L262" s="22"/>
      <c r="M262" s="22"/>
      <c r="N262" s="22"/>
      <c r="O262" s="22"/>
      <c r="P262" s="22"/>
      <c r="Q262" s="22"/>
      <c r="R262" s="22"/>
      <c r="S262" s="22"/>
    </row>
    <row r="263">
      <c r="A263" s="24">
        <v>262.0</v>
      </c>
      <c r="B263" s="25" t="s">
        <v>802</v>
      </c>
      <c r="C263" s="25" t="s">
        <v>803</v>
      </c>
      <c r="D263" s="34"/>
      <c r="E263" s="25">
        <v>249.0</v>
      </c>
      <c r="F263" s="34"/>
      <c r="G263" s="34"/>
      <c r="H263" s="25">
        <v>187.0</v>
      </c>
      <c r="I263" s="25">
        <v>218.0</v>
      </c>
      <c r="J263" s="25" t="s">
        <v>804</v>
      </c>
      <c r="K263" s="35"/>
      <c r="L263" s="35"/>
      <c r="M263" s="35"/>
      <c r="N263" s="35"/>
      <c r="O263" s="35"/>
      <c r="P263" s="35"/>
      <c r="Q263" s="35"/>
      <c r="R263" s="35"/>
      <c r="S263" s="35"/>
    </row>
    <row r="264">
      <c r="A264" s="24">
        <v>263.0</v>
      </c>
      <c r="B264" s="25" t="s">
        <v>805</v>
      </c>
      <c r="C264" s="25" t="s">
        <v>806</v>
      </c>
      <c r="D264" s="25">
        <v>273.0</v>
      </c>
      <c r="E264" s="25">
        <v>285.0</v>
      </c>
      <c r="F264" s="34"/>
      <c r="G264" s="34"/>
      <c r="H264" s="25">
        <v>323.0</v>
      </c>
      <c r="I264" s="25">
        <v>293.7</v>
      </c>
      <c r="J264" s="34"/>
      <c r="K264" s="35"/>
      <c r="L264" s="35"/>
      <c r="M264" s="35"/>
      <c r="N264" s="35"/>
      <c r="O264" s="35"/>
      <c r="P264" s="35"/>
      <c r="Q264" s="35"/>
      <c r="R264" s="35"/>
      <c r="S264" s="35"/>
    </row>
    <row r="265">
      <c r="A265" s="24">
        <v>264.0</v>
      </c>
      <c r="B265" s="25" t="s">
        <v>807</v>
      </c>
      <c r="C265" s="25" t="s">
        <v>808</v>
      </c>
      <c r="D265" s="25">
        <v>225.0</v>
      </c>
      <c r="E265" s="25">
        <v>378.0</v>
      </c>
      <c r="F265" s="34"/>
      <c r="G265" s="34"/>
      <c r="H265" s="25">
        <v>284.0</v>
      </c>
      <c r="I265" s="25">
        <v>295.7</v>
      </c>
      <c r="J265" s="34"/>
      <c r="K265" s="35"/>
      <c r="L265" s="35"/>
      <c r="M265" s="35"/>
      <c r="N265" s="35"/>
      <c r="O265" s="35"/>
      <c r="P265" s="35"/>
      <c r="Q265" s="35"/>
      <c r="R265" s="35"/>
      <c r="S265" s="35"/>
    </row>
    <row r="266">
      <c r="A266" s="24">
        <v>265.0</v>
      </c>
      <c r="B266" s="25" t="s">
        <v>809</v>
      </c>
      <c r="C266" s="25" t="s">
        <v>810</v>
      </c>
      <c r="D266" s="25">
        <v>281.0</v>
      </c>
      <c r="E266" s="25">
        <v>317.0</v>
      </c>
      <c r="F266" s="34"/>
      <c r="G266" s="34"/>
      <c r="H266" s="25">
        <v>291.0</v>
      </c>
      <c r="I266" s="25">
        <v>296.3</v>
      </c>
      <c r="J266" s="34"/>
      <c r="K266" s="22"/>
      <c r="L266" s="22"/>
      <c r="M266" s="22"/>
      <c r="N266" s="22"/>
      <c r="O266" s="22"/>
      <c r="P266" s="22"/>
      <c r="Q266" s="22"/>
      <c r="R266" s="22"/>
      <c r="S266" s="22"/>
    </row>
    <row r="267">
      <c r="A267" s="24">
        <v>266.0</v>
      </c>
      <c r="B267" s="25" t="s">
        <v>811</v>
      </c>
      <c r="C267" s="25" t="s">
        <v>812</v>
      </c>
      <c r="D267" s="25">
        <v>279.0</v>
      </c>
      <c r="E267" s="25">
        <v>227.0</v>
      </c>
      <c r="F267" s="34"/>
      <c r="G267" s="34"/>
      <c r="H267" s="25">
        <v>391.0</v>
      </c>
      <c r="I267" s="25">
        <v>299.0</v>
      </c>
      <c r="J267" s="34"/>
      <c r="K267" s="22"/>
      <c r="L267" s="22"/>
      <c r="M267" s="22"/>
      <c r="N267" s="22"/>
      <c r="O267" s="22"/>
      <c r="P267" s="22"/>
      <c r="Q267" s="22"/>
      <c r="R267" s="22"/>
      <c r="S267" s="22"/>
    </row>
    <row r="268">
      <c r="A268" s="24">
        <v>267.0</v>
      </c>
      <c r="B268" s="25" t="s">
        <v>813</v>
      </c>
      <c r="C268" s="25" t="s">
        <v>814</v>
      </c>
      <c r="D268" s="34"/>
      <c r="E268" s="25">
        <v>265.0</v>
      </c>
      <c r="F268" s="34"/>
      <c r="G268" s="34"/>
      <c r="H268" s="25">
        <v>198.0</v>
      </c>
      <c r="I268" s="25">
        <v>231.5</v>
      </c>
      <c r="J268" s="25" t="s">
        <v>815</v>
      </c>
      <c r="K268" s="35"/>
      <c r="L268" s="35"/>
      <c r="M268" s="35"/>
      <c r="N268" s="35"/>
      <c r="O268" s="35"/>
      <c r="P268" s="35"/>
      <c r="Q268" s="35"/>
      <c r="R268" s="35"/>
      <c r="S268" s="35"/>
    </row>
    <row r="269">
      <c r="A269" s="24">
        <v>268.0</v>
      </c>
      <c r="B269" s="25" t="s">
        <v>816</v>
      </c>
      <c r="C269" s="25" t="s">
        <v>817</v>
      </c>
      <c r="D269" s="34"/>
      <c r="E269" s="25">
        <v>384.0</v>
      </c>
      <c r="F269" s="25">
        <v>178.0</v>
      </c>
      <c r="G269" s="34"/>
      <c r="H269" s="25">
        <v>346.0</v>
      </c>
      <c r="I269" s="25">
        <v>302.7</v>
      </c>
      <c r="J269" s="25" t="s">
        <v>818</v>
      </c>
      <c r="K269" s="35"/>
      <c r="L269" s="35"/>
      <c r="M269" s="35"/>
      <c r="N269" s="35"/>
      <c r="O269" s="35"/>
      <c r="P269" s="35"/>
      <c r="Q269" s="35"/>
      <c r="R269" s="35"/>
      <c r="S269" s="35"/>
    </row>
    <row r="270">
      <c r="A270" s="24">
        <v>269.0</v>
      </c>
      <c r="B270" s="25" t="s">
        <v>819</v>
      </c>
      <c r="C270" s="25" t="s">
        <v>820</v>
      </c>
      <c r="D270" s="34"/>
      <c r="E270" s="25">
        <v>260.0</v>
      </c>
      <c r="F270" s="34"/>
      <c r="G270" s="34"/>
      <c r="H270" s="25">
        <v>206.0</v>
      </c>
      <c r="I270" s="25">
        <v>233.0</v>
      </c>
      <c r="J270" s="25" t="s">
        <v>821</v>
      </c>
      <c r="K270" s="35"/>
      <c r="L270" s="35"/>
      <c r="M270" s="35"/>
      <c r="N270" s="35"/>
      <c r="O270" s="35"/>
      <c r="P270" s="35"/>
      <c r="Q270" s="35"/>
      <c r="R270" s="35"/>
      <c r="S270" s="35"/>
    </row>
    <row r="271">
      <c r="A271" s="24">
        <v>270.0</v>
      </c>
      <c r="B271" s="25" t="s">
        <v>822</v>
      </c>
      <c r="C271" s="25" t="s">
        <v>823</v>
      </c>
      <c r="D271" s="34"/>
      <c r="E271" s="25">
        <v>222.0</v>
      </c>
      <c r="F271" s="34"/>
      <c r="G271" s="34"/>
      <c r="H271" s="25">
        <v>256.0</v>
      </c>
      <c r="I271" s="25">
        <v>239.0</v>
      </c>
      <c r="J271" s="34"/>
      <c r="K271" s="22"/>
      <c r="L271" s="22"/>
      <c r="M271" s="22"/>
      <c r="N271" s="22"/>
      <c r="O271" s="22"/>
      <c r="P271" s="22"/>
      <c r="Q271" s="22"/>
      <c r="R271" s="22"/>
      <c r="S271" s="22"/>
    </row>
    <row r="272">
      <c r="A272" s="24">
        <v>271.0</v>
      </c>
      <c r="B272" s="25" t="s">
        <v>824</v>
      </c>
      <c r="C272" s="25" t="s">
        <v>825</v>
      </c>
      <c r="D272" s="34"/>
      <c r="E272" s="25">
        <v>255.0</v>
      </c>
      <c r="F272" s="34"/>
      <c r="G272" s="34"/>
      <c r="H272" s="25">
        <v>232.0</v>
      </c>
      <c r="I272" s="25">
        <v>243.5</v>
      </c>
      <c r="J272" s="25" t="s">
        <v>826</v>
      </c>
      <c r="K272" s="22"/>
      <c r="L272" s="22"/>
      <c r="M272" s="22"/>
      <c r="N272" s="22"/>
      <c r="O272" s="22"/>
      <c r="P272" s="22"/>
      <c r="Q272" s="22"/>
      <c r="R272" s="22"/>
      <c r="S272" s="22"/>
    </row>
    <row r="273">
      <c r="A273" s="24">
        <v>272.0</v>
      </c>
      <c r="B273" s="25" t="s">
        <v>827</v>
      </c>
      <c r="C273" s="25" t="s">
        <v>828</v>
      </c>
      <c r="D273" s="34"/>
      <c r="E273" s="25">
        <v>248.0</v>
      </c>
      <c r="F273" s="34"/>
      <c r="G273" s="34"/>
      <c r="H273" s="25">
        <v>245.0</v>
      </c>
      <c r="I273" s="25">
        <v>246.5</v>
      </c>
      <c r="J273" s="25" t="s">
        <v>829</v>
      </c>
      <c r="K273" s="22"/>
      <c r="L273" s="22"/>
      <c r="M273" s="22"/>
      <c r="N273" s="22"/>
      <c r="O273" s="22"/>
      <c r="P273" s="22"/>
      <c r="Q273" s="22"/>
      <c r="R273" s="22"/>
      <c r="S273" s="22"/>
    </row>
    <row r="274">
      <c r="A274" s="24">
        <v>273.0</v>
      </c>
      <c r="B274" s="25" t="s">
        <v>830</v>
      </c>
      <c r="C274" s="25" t="s">
        <v>831</v>
      </c>
      <c r="D274" s="34"/>
      <c r="E274" s="25">
        <v>215.0</v>
      </c>
      <c r="F274" s="34"/>
      <c r="G274" s="34"/>
      <c r="H274" s="25">
        <v>279.0</v>
      </c>
      <c r="I274" s="25">
        <v>247.0</v>
      </c>
      <c r="J274" s="25" t="s">
        <v>832</v>
      </c>
      <c r="K274" s="35"/>
      <c r="L274" s="35"/>
      <c r="M274" s="35"/>
      <c r="N274" s="35"/>
      <c r="O274" s="35"/>
      <c r="P274" s="35"/>
      <c r="Q274" s="35"/>
      <c r="R274" s="35"/>
      <c r="S274" s="35"/>
    </row>
    <row r="275">
      <c r="A275" s="24">
        <v>274.0</v>
      </c>
      <c r="B275" s="25" t="s">
        <v>833</v>
      </c>
      <c r="C275" s="25" t="s">
        <v>834</v>
      </c>
      <c r="D275" s="34"/>
      <c r="E275" s="25">
        <v>254.0</v>
      </c>
      <c r="F275" s="34"/>
      <c r="G275" s="34"/>
      <c r="H275" s="25">
        <v>243.0</v>
      </c>
      <c r="I275" s="25">
        <v>248.5</v>
      </c>
      <c r="J275" s="25" t="s">
        <v>835</v>
      </c>
      <c r="K275" s="35"/>
      <c r="L275" s="35"/>
      <c r="M275" s="35"/>
      <c r="N275" s="35"/>
      <c r="O275" s="35"/>
      <c r="P275" s="35"/>
      <c r="Q275" s="35"/>
      <c r="R275" s="35"/>
      <c r="S275" s="35"/>
    </row>
    <row r="276">
      <c r="A276" s="24">
        <v>275.0</v>
      </c>
      <c r="B276" s="25" t="s">
        <v>836</v>
      </c>
      <c r="C276" s="25" t="s">
        <v>837</v>
      </c>
      <c r="D276" s="25">
        <v>291.0</v>
      </c>
      <c r="E276" s="25">
        <v>364.0</v>
      </c>
      <c r="F276" s="34"/>
      <c r="G276" s="34"/>
      <c r="H276" s="25">
        <v>285.0</v>
      </c>
      <c r="I276" s="25">
        <v>313.3</v>
      </c>
      <c r="J276" s="25" t="s">
        <v>838</v>
      </c>
      <c r="K276" s="22"/>
      <c r="L276" s="22"/>
      <c r="M276" s="22"/>
      <c r="N276" s="22"/>
      <c r="O276" s="22"/>
      <c r="P276" s="22"/>
      <c r="Q276" s="22"/>
      <c r="R276" s="22"/>
      <c r="S276" s="22"/>
    </row>
    <row r="277">
      <c r="A277" s="24">
        <v>276.0</v>
      </c>
      <c r="B277" s="25" t="s">
        <v>839</v>
      </c>
      <c r="C277" s="25" t="s">
        <v>840</v>
      </c>
      <c r="D277" s="25">
        <v>221.0</v>
      </c>
      <c r="E277" s="34"/>
      <c r="F277" s="34"/>
      <c r="G277" s="34"/>
      <c r="H277" s="25">
        <v>278.0</v>
      </c>
      <c r="I277" s="25">
        <v>249.5</v>
      </c>
      <c r="J277" s="34"/>
      <c r="K277" s="22"/>
      <c r="L277" s="22"/>
      <c r="M277" s="22"/>
      <c r="N277" s="22"/>
      <c r="O277" s="22"/>
      <c r="P277" s="22"/>
      <c r="Q277" s="22"/>
      <c r="R277" s="22"/>
      <c r="S277" s="22"/>
    </row>
    <row r="278">
      <c r="A278" s="24">
        <v>277.0</v>
      </c>
      <c r="B278" s="25" t="s">
        <v>841</v>
      </c>
      <c r="C278" s="25" t="s">
        <v>842</v>
      </c>
      <c r="D278" s="34"/>
      <c r="E278" s="25">
        <v>237.0</v>
      </c>
      <c r="F278" s="34"/>
      <c r="G278" s="34"/>
      <c r="H278" s="25">
        <v>270.0</v>
      </c>
      <c r="I278" s="25">
        <v>253.5</v>
      </c>
      <c r="J278" s="25" t="s">
        <v>843</v>
      </c>
      <c r="K278" s="22"/>
      <c r="L278" s="22"/>
      <c r="M278" s="22"/>
      <c r="N278" s="22"/>
      <c r="O278" s="22"/>
      <c r="P278" s="22"/>
      <c r="Q278" s="22"/>
      <c r="R278" s="22"/>
      <c r="S278" s="22"/>
    </row>
    <row r="279">
      <c r="A279" s="24">
        <v>278.0</v>
      </c>
      <c r="B279" s="25" t="s">
        <v>844</v>
      </c>
      <c r="C279" s="25" t="s">
        <v>845</v>
      </c>
      <c r="D279" s="25">
        <v>339.0</v>
      </c>
      <c r="E279" s="25">
        <v>239.0</v>
      </c>
      <c r="F279" s="34"/>
      <c r="G279" s="34"/>
      <c r="H279" s="25">
        <v>373.0</v>
      </c>
      <c r="I279" s="25">
        <v>317.0</v>
      </c>
      <c r="J279" s="25" t="s">
        <v>846</v>
      </c>
      <c r="K279" s="22"/>
      <c r="L279" s="22"/>
      <c r="M279" s="22"/>
      <c r="N279" s="22"/>
      <c r="O279" s="22"/>
      <c r="P279" s="22"/>
      <c r="Q279" s="22"/>
      <c r="R279" s="22"/>
      <c r="S279" s="22"/>
    </row>
    <row r="280">
      <c r="A280" s="24">
        <v>279.0</v>
      </c>
      <c r="B280" s="25" t="s">
        <v>847</v>
      </c>
      <c r="C280" s="25" t="s">
        <v>848</v>
      </c>
      <c r="D280" s="34"/>
      <c r="E280" s="25">
        <v>284.0</v>
      </c>
      <c r="F280" s="34"/>
      <c r="G280" s="34"/>
      <c r="H280" s="25">
        <v>225.0</v>
      </c>
      <c r="I280" s="25">
        <v>254.5</v>
      </c>
      <c r="J280" s="34"/>
      <c r="K280" s="35"/>
      <c r="L280" s="35"/>
      <c r="M280" s="35"/>
      <c r="N280" s="35"/>
      <c r="O280" s="35"/>
      <c r="P280" s="35"/>
      <c r="Q280" s="35"/>
      <c r="R280" s="35"/>
      <c r="S280" s="35"/>
    </row>
    <row r="281">
      <c r="A281" s="24">
        <v>280.0</v>
      </c>
      <c r="B281" s="25" t="s">
        <v>849</v>
      </c>
      <c r="C281" s="25" t="s">
        <v>850</v>
      </c>
      <c r="D281" s="34"/>
      <c r="E281" s="25">
        <v>273.0</v>
      </c>
      <c r="F281" s="34"/>
      <c r="G281" s="34"/>
      <c r="H281" s="25">
        <v>238.0</v>
      </c>
      <c r="I281" s="25">
        <v>255.5</v>
      </c>
      <c r="J281" s="25" t="s">
        <v>851</v>
      </c>
      <c r="K281" s="35"/>
      <c r="L281" s="35"/>
      <c r="M281" s="35"/>
      <c r="N281" s="35"/>
      <c r="O281" s="35"/>
      <c r="P281" s="35"/>
      <c r="Q281" s="35"/>
      <c r="R281" s="35"/>
      <c r="S281" s="35"/>
    </row>
    <row r="282">
      <c r="A282" s="24">
        <v>281.0</v>
      </c>
      <c r="B282" s="25" t="s">
        <v>852</v>
      </c>
      <c r="C282" s="25" t="s">
        <v>853</v>
      </c>
      <c r="D282" s="34"/>
      <c r="E282" s="25">
        <v>240.0</v>
      </c>
      <c r="F282" s="34"/>
      <c r="G282" s="34"/>
      <c r="H282" s="25">
        <v>271.0</v>
      </c>
      <c r="I282" s="25">
        <v>255.5</v>
      </c>
      <c r="J282" s="34"/>
      <c r="K282" s="35"/>
      <c r="L282" s="35"/>
      <c r="M282" s="35"/>
      <c r="N282" s="35"/>
      <c r="O282" s="35"/>
      <c r="P282" s="35"/>
      <c r="Q282" s="35"/>
      <c r="R282" s="35"/>
      <c r="S282" s="35"/>
    </row>
    <row r="283">
      <c r="A283" s="24">
        <v>282.0</v>
      </c>
      <c r="B283" s="25" t="s">
        <v>854</v>
      </c>
      <c r="C283" s="25" t="s">
        <v>855</v>
      </c>
      <c r="D283" s="34"/>
      <c r="E283" s="25">
        <v>232.0</v>
      </c>
      <c r="F283" s="34"/>
      <c r="G283" s="34"/>
      <c r="H283" s="25">
        <v>281.0</v>
      </c>
      <c r="I283" s="25">
        <v>256.5</v>
      </c>
      <c r="J283" s="34"/>
      <c r="K283" s="35"/>
      <c r="L283" s="35"/>
      <c r="M283" s="35"/>
      <c r="N283" s="35"/>
      <c r="O283" s="35"/>
      <c r="P283" s="35"/>
      <c r="Q283" s="35"/>
      <c r="R283" s="35"/>
      <c r="S283" s="35"/>
    </row>
    <row r="284">
      <c r="A284" s="24">
        <v>283.0</v>
      </c>
      <c r="B284" s="25" t="s">
        <v>856</v>
      </c>
      <c r="C284" s="25" t="s">
        <v>857</v>
      </c>
      <c r="D284" s="34"/>
      <c r="E284" s="25">
        <v>262.0</v>
      </c>
      <c r="F284" s="34"/>
      <c r="G284" s="34"/>
      <c r="H284" s="25">
        <v>253.0</v>
      </c>
      <c r="I284" s="25">
        <v>257.5</v>
      </c>
      <c r="J284" s="34"/>
      <c r="K284" s="35"/>
      <c r="L284" s="35"/>
      <c r="M284" s="35"/>
      <c r="N284" s="35"/>
      <c r="O284" s="35"/>
      <c r="P284" s="35"/>
      <c r="Q284" s="35"/>
      <c r="R284" s="35"/>
      <c r="S284" s="35"/>
    </row>
    <row r="285">
      <c r="A285" s="24">
        <v>284.0</v>
      </c>
      <c r="B285" s="25" t="s">
        <v>858</v>
      </c>
      <c r="C285" s="25" t="s">
        <v>859</v>
      </c>
      <c r="D285" s="25">
        <v>217.0</v>
      </c>
      <c r="E285" s="34"/>
      <c r="F285" s="34"/>
      <c r="G285" s="34"/>
      <c r="H285" s="25">
        <v>300.0</v>
      </c>
      <c r="I285" s="25">
        <v>258.5</v>
      </c>
      <c r="J285" s="34"/>
      <c r="K285" s="35"/>
      <c r="L285" s="35"/>
      <c r="M285" s="35"/>
      <c r="N285" s="35"/>
      <c r="O285" s="35"/>
      <c r="P285" s="35"/>
      <c r="Q285" s="35"/>
      <c r="R285" s="35"/>
      <c r="S285" s="35"/>
    </row>
    <row r="286">
      <c r="A286" s="24">
        <v>285.0</v>
      </c>
      <c r="B286" s="25" t="s">
        <v>860</v>
      </c>
      <c r="C286" s="25" t="s">
        <v>861</v>
      </c>
      <c r="D286" s="25">
        <v>211.0</v>
      </c>
      <c r="E286" s="25">
        <v>348.0</v>
      </c>
      <c r="F286" s="34"/>
      <c r="G286" s="34"/>
      <c r="H286" s="25">
        <v>403.0</v>
      </c>
      <c r="I286" s="25">
        <v>320.7</v>
      </c>
      <c r="J286" s="34"/>
      <c r="K286" s="35"/>
      <c r="L286" s="35"/>
      <c r="M286" s="35"/>
      <c r="N286" s="35"/>
      <c r="O286" s="35"/>
      <c r="P286" s="35"/>
      <c r="Q286" s="35"/>
      <c r="R286" s="35"/>
      <c r="S286" s="35"/>
    </row>
    <row r="287">
      <c r="A287" s="24">
        <v>286.0</v>
      </c>
      <c r="B287" s="25" t="s">
        <v>862</v>
      </c>
      <c r="C287" s="25" t="s">
        <v>863</v>
      </c>
      <c r="D287" s="34"/>
      <c r="E287" s="25">
        <v>311.0</v>
      </c>
      <c r="F287" s="34"/>
      <c r="G287" s="34"/>
      <c r="H287" s="25">
        <v>213.0</v>
      </c>
      <c r="I287" s="25">
        <v>262.0</v>
      </c>
      <c r="J287" s="34"/>
      <c r="K287" s="22"/>
      <c r="L287" s="22"/>
      <c r="M287" s="22"/>
      <c r="N287" s="22"/>
      <c r="O287" s="22"/>
      <c r="P287" s="22"/>
      <c r="Q287" s="22"/>
      <c r="R287" s="22"/>
      <c r="S287" s="22"/>
    </row>
    <row r="288">
      <c r="A288" s="24">
        <v>287.0</v>
      </c>
      <c r="B288" s="25" t="s">
        <v>864</v>
      </c>
      <c r="C288" s="25" t="s">
        <v>865</v>
      </c>
      <c r="D288" s="25">
        <v>213.0</v>
      </c>
      <c r="E288" s="25">
        <v>400.0</v>
      </c>
      <c r="F288" s="34"/>
      <c r="G288" s="34"/>
      <c r="H288" s="25">
        <v>354.0</v>
      </c>
      <c r="I288" s="25">
        <v>322.3</v>
      </c>
      <c r="J288" s="34"/>
      <c r="K288" s="35"/>
      <c r="L288" s="35"/>
      <c r="M288" s="35"/>
      <c r="N288" s="35"/>
      <c r="O288" s="35"/>
      <c r="P288" s="35"/>
      <c r="Q288" s="35"/>
      <c r="R288" s="35"/>
      <c r="S288" s="35"/>
    </row>
    <row r="289">
      <c r="A289" s="24">
        <v>288.0</v>
      </c>
      <c r="B289" s="25" t="s">
        <v>866</v>
      </c>
      <c r="C289" s="25" t="s">
        <v>867</v>
      </c>
      <c r="D289" s="25">
        <v>223.0</v>
      </c>
      <c r="E289" s="34"/>
      <c r="F289" s="34"/>
      <c r="G289" s="34"/>
      <c r="H289" s="25">
        <v>304.0</v>
      </c>
      <c r="I289" s="25">
        <v>263.5</v>
      </c>
      <c r="J289" s="34"/>
      <c r="K289" s="35"/>
      <c r="L289" s="35"/>
      <c r="M289" s="35"/>
      <c r="N289" s="35"/>
      <c r="O289" s="35"/>
      <c r="P289" s="35"/>
      <c r="Q289" s="35"/>
      <c r="R289" s="35"/>
      <c r="S289" s="35"/>
    </row>
    <row r="290">
      <c r="A290" s="24">
        <v>289.0</v>
      </c>
      <c r="B290" s="25" t="s">
        <v>868</v>
      </c>
      <c r="C290" s="25" t="s">
        <v>869</v>
      </c>
      <c r="D290" s="34"/>
      <c r="E290" s="25">
        <v>223.0</v>
      </c>
      <c r="F290" s="34"/>
      <c r="G290" s="34"/>
      <c r="H290" s="25">
        <v>305.0</v>
      </c>
      <c r="I290" s="25">
        <v>264.0</v>
      </c>
      <c r="J290" s="25" t="s">
        <v>870</v>
      </c>
      <c r="K290" s="35"/>
      <c r="L290" s="35"/>
      <c r="M290" s="35"/>
      <c r="N290" s="35"/>
      <c r="O290" s="35"/>
      <c r="P290" s="35"/>
      <c r="Q290" s="35"/>
      <c r="R290" s="35"/>
      <c r="S290" s="35"/>
    </row>
    <row r="291">
      <c r="A291" s="24">
        <v>290.0</v>
      </c>
      <c r="B291" s="25" t="s">
        <v>871</v>
      </c>
      <c r="C291" s="25" t="s">
        <v>872</v>
      </c>
      <c r="D291" s="34"/>
      <c r="E291" s="25">
        <v>267.0</v>
      </c>
      <c r="F291" s="34"/>
      <c r="G291" s="34"/>
      <c r="H291" s="25">
        <v>264.0</v>
      </c>
      <c r="I291" s="25">
        <v>265.5</v>
      </c>
      <c r="J291" s="25" t="s">
        <v>873</v>
      </c>
      <c r="K291" s="35"/>
      <c r="L291" s="35"/>
      <c r="M291" s="35"/>
      <c r="N291" s="35"/>
      <c r="O291" s="35"/>
      <c r="P291" s="35"/>
      <c r="Q291" s="35"/>
      <c r="R291" s="35"/>
      <c r="S291" s="35"/>
    </row>
    <row r="292">
      <c r="A292" s="24">
        <v>291.0</v>
      </c>
      <c r="B292" s="25" t="s">
        <v>874</v>
      </c>
      <c r="C292" s="25" t="s">
        <v>875</v>
      </c>
      <c r="D292" s="34"/>
      <c r="E292" s="25">
        <v>257.0</v>
      </c>
      <c r="F292" s="34"/>
      <c r="G292" s="34"/>
      <c r="H292" s="25">
        <v>275.0</v>
      </c>
      <c r="I292" s="25">
        <v>266.0</v>
      </c>
      <c r="J292" s="25" t="s">
        <v>876</v>
      </c>
      <c r="K292" s="35"/>
      <c r="L292" s="35"/>
      <c r="M292" s="35"/>
      <c r="N292" s="35"/>
      <c r="O292" s="35"/>
      <c r="P292" s="35"/>
      <c r="Q292" s="35"/>
      <c r="R292" s="35"/>
      <c r="S292" s="35"/>
    </row>
    <row r="293">
      <c r="A293" s="24">
        <v>292.0</v>
      </c>
      <c r="B293" s="25" t="s">
        <v>877</v>
      </c>
      <c r="C293" s="25" t="s">
        <v>878</v>
      </c>
      <c r="D293" s="25">
        <v>288.0</v>
      </c>
      <c r="E293" s="34"/>
      <c r="F293" s="34"/>
      <c r="G293" s="34"/>
      <c r="H293" s="25">
        <v>247.0</v>
      </c>
      <c r="I293" s="25">
        <v>267.5</v>
      </c>
      <c r="J293" s="34"/>
      <c r="K293" s="22"/>
      <c r="L293" s="22"/>
      <c r="M293" s="22"/>
      <c r="N293" s="22"/>
      <c r="O293" s="22"/>
      <c r="P293" s="22"/>
      <c r="Q293" s="22"/>
      <c r="R293" s="22"/>
      <c r="S293" s="22"/>
    </row>
    <row r="294">
      <c r="A294" s="24">
        <v>293.0</v>
      </c>
      <c r="B294" s="25" t="s">
        <v>879</v>
      </c>
      <c r="C294" s="25" t="s">
        <v>880</v>
      </c>
      <c r="D294" s="34"/>
      <c r="E294" s="25">
        <v>243.0</v>
      </c>
      <c r="F294" s="34"/>
      <c r="G294" s="34"/>
      <c r="H294" s="25">
        <v>298.0</v>
      </c>
      <c r="I294" s="25">
        <v>270.5</v>
      </c>
      <c r="J294" s="34"/>
      <c r="K294" s="35"/>
      <c r="L294" s="35"/>
      <c r="M294" s="35"/>
      <c r="N294" s="35"/>
      <c r="O294" s="35"/>
      <c r="P294" s="35"/>
      <c r="Q294" s="35"/>
      <c r="R294" s="35"/>
      <c r="S294" s="35"/>
    </row>
    <row r="295">
      <c r="A295" s="24">
        <v>294.0</v>
      </c>
      <c r="B295" s="25" t="s">
        <v>881</v>
      </c>
      <c r="C295" s="25" t="s">
        <v>882</v>
      </c>
      <c r="D295" s="25">
        <v>252.0</v>
      </c>
      <c r="E295" s="25">
        <v>357.0</v>
      </c>
      <c r="F295" s="34"/>
      <c r="G295" s="34"/>
      <c r="H295" s="25">
        <v>375.0</v>
      </c>
      <c r="I295" s="25">
        <v>328.0</v>
      </c>
      <c r="J295" s="34"/>
      <c r="K295" s="35"/>
      <c r="L295" s="35"/>
      <c r="M295" s="35"/>
      <c r="N295" s="35"/>
      <c r="O295" s="35"/>
      <c r="P295" s="35"/>
      <c r="Q295" s="35"/>
      <c r="R295" s="35"/>
      <c r="S295" s="35"/>
    </row>
    <row r="296">
      <c r="A296" s="24">
        <v>295.0</v>
      </c>
      <c r="B296" s="25" t="s">
        <v>883</v>
      </c>
      <c r="C296" s="25" t="s">
        <v>884</v>
      </c>
      <c r="D296" s="25">
        <v>477.0</v>
      </c>
      <c r="E296" s="34"/>
      <c r="F296" s="34"/>
      <c r="G296" s="25">
        <v>217.0</v>
      </c>
      <c r="H296" s="25">
        <v>324.0</v>
      </c>
      <c r="I296" s="25">
        <v>339.3</v>
      </c>
      <c r="J296" s="34"/>
      <c r="K296" s="35"/>
      <c r="L296" s="35"/>
      <c r="M296" s="35"/>
      <c r="N296" s="35"/>
      <c r="O296" s="35"/>
      <c r="P296" s="35"/>
      <c r="Q296" s="35"/>
      <c r="R296" s="35"/>
      <c r="S296" s="35"/>
    </row>
    <row r="297">
      <c r="A297" s="24">
        <v>296.0</v>
      </c>
      <c r="B297" s="25" t="s">
        <v>885</v>
      </c>
      <c r="C297" s="25" t="s">
        <v>886</v>
      </c>
      <c r="D297" s="34"/>
      <c r="E297" s="25">
        <v>313.0</v>
      </c>
      <c r="F297" s="34"/>
      <c r="G297" s="34"/>
      <c r="H297" s="25">
        <v>231.0</v>
      </c>
      <c r="I297" s="25">
        <v>272.0</v>
      </c>
      <c r="J297" s="34"/>
      <c r="K297" s="35"/>
      <c r="L297" s="35"/>
      <c r="M297" s="35"/>
      <c r="N297" s="35"/>
      <c r="O297" s="35"/>
      <c r="P297" s="35"/>
      <c r="Q297" s="35"/>
      <c r="R297" s="35"/>
      <c r="S297" s="35"/>
    </row>
    <row r="298">
      <c r="A298" s="24">
        <v>297.0</v>
      </c>
      <c r="B298" s="25" t="s">
        <v>887</v>
      </c>
      <c r="C298" s="25" t="s">
        <v>888</v>
      </c>
      <c r="D298" s="34"/>
      <c r="E298" s="25">
        <v>281.0</v>
      </c>
      <c r="F298" s="34"/>
      <c r="G298" s="34"/>
      <c r="H298" s="25">
        <v>269.0</v>
      </c>
      <c r="I298" s="25">
        <v>275.0</v>
      </c>
      <c r="J298" s="25" t="s">
        <v>889</v>
      </c>
      <c r="K298" s="35"/>
      <c r="L298" s="35"/>
      <c r="M298" s="35"/>
      <c r="N298" s="35"/>
      <c r="O298" s="35"/>
      <c r="P298" s="35"/>
      <c r="Q298" s="35"/>
      <c r="R298" s="35"/>
      <c r="S298" s="35"/>
    </row>
    <row r="299">
      <c r="A299" s="24">
        <v>298.0</v>
      </c>
      <c r="B299" s="25" t="s">
        <v>890</v>
      </c>
      <c r="C299" s="25" t="s">
        <v>891</v>
      </c>
      <c r="D299" s="34"/>
      <c r="E299" s="25">
        <v>318.0</v>
      </c>
      <c r="F299" s="34"/>
      <c r="G299" s="34"/>
      <c r="H299" s="25">
        <v>234.0</v>
      </c>
      <c r="I299" s="25">
        <v>276.0</v>
      </c>
      <c r="J299" s="25" t="s">
        <v>892</v>
      </c>
      <c r="K299" s="35"/>
      <c r="L299" s="35"/>
      <c r="M299" s="35"/>
      <c r="N299" s="35"/>
      <c r="O299" s="35"/>
      <c r="P299" s="35"/>
      <c r="Q299" s="35"/>
      <c r="R299" s="35"/>
      <c r="S299" s="35"/>
    </row>
    <row r="300">
      <c r="A300" s="24">
        <v>299.0</v>
      </c>
      <c r="B300" s="25" t="s">
        <v>893</v>
      </c>
      <c r="C300" s="25" t="s">
        <v>894</v>
      </c>
      <c r="D300" s="25">
        <v>251.0</v>
      </c>
      <c r="E300" s="34"/>
      <c r="F300" s="34"/>
      <c r="G300" s="34"/>
      <c r="H300" s="25">
        <v>303.0</v>
      </c>
      <c r="I300" s="25">
        <v>277.0</v>
      </c>
      <c r="J300" s="34"/>
      <c r="K300" s="22"/>
      <c r="L300" s="22"/>
      <c r="M300" s="22"/>
      <c r="N300" s="22"/>
      <c r="O300" s="22"/>
      <c r="P300" s="22"/>
      <c r="Q300" s="22"/>
      <c r="R300" s="22"/>
      <c r="S300" s="22"/>
    </row>
    <row r="301">
      <c r="A301" s="24">
        <v>300.0</v>
      </c>
      <c r="B301" s="25" t="s">
        <v>895</v>
      </c>
      <c r="C301" s="25" t="s">
        <v>896</v>
      </c>
      <c r="D301" s="25">
        <v>231.0</v>
      </c>
      <c r="E301" s="25">
        <v>368.0</v>
      </c>
      <c r="F301" s="34"/>
      <c r="G301" s="34"/>
      <c r="H301" s="25">
        <v>407.0</v>
      </c>
      <c r="I301" s="25">
        <v>335.3</v>
      </c>
      <c r="J301" s="34"/>
      <c r="K301" s="22"/>
      <c r="L301" s="22"/>
      <c r="M301" s="22"/>
      <c r="N301" s="22"/>
      <c r="O301" s="22"/>
      <c r="P301" s="22"/>
      <c r="Q301" s="22"/>
      <c r="R301" s="22"/>
      <c r="S301" s="22"/>
    </row>
    <row r="302">
      <c r="A302" s="24">
        <v>301.0</v>
      </c>
      <c r="B302" s="25" t="s">
        <v>897</v>
      </c>
      <c r="C302" s="25" t="s">
        <v>898</v>
      </c>
      <c r="D302" s="34"/>
      <c r="E302" s="34"/>
      <c r="F302" s="25">
        <v>175.0</v>
      </c>
      <c r="G302" s="34"/>
      <c r="H302" s="25">
        <v>394.0</v>
      </c>
      <c r="I302" s="25">
        <v>284.5</v>
      </c>
      <c r="J302" s="34"/>
      <c r="K302" s="35"/>
      <c r="L302" s="35"/>
      <c r="M302" s="35"/>
      <c r="N302" s="35"/>
      <c r="O302" s="35"/>
      <c r="P302" s="35"/>
      <c r="Q302" s="35"/>
      <c r="R302" s="35"/>
      <c r="S302" s="35"/>
    </row>
    <row r="303">
      <c r="A303" s="24">
        <v>302.0</v>
      </c>
      <c r="B303" s="25" t="s">
        <v>899</v>
      </c>
      <c r="C303" s="25" t="s">
        <v>900</v>
      </c>
      <c r="D303" s="25">
        <v>263.0</v>
      </c>
      <c r="E303" s="34"/>
      <c r="F303" s="34"/>
      <c r="G303" s="34"/>
      <c r="H303" s="25">
        <v>306.0</v>
      </c>
      <c r="I303" s="25">
        <v>284.5</v>
      </c>
      <c r="J303" s="34"/>
      <c r="K303" s="22"/>
      <c r="L303" s="22"/>
      <c r="M303" s="22"/>
      <c r="N303" s="22"/>
      <c r="O303" s="22"/>
      <c r="P303" s="22"/>
      <c r="Q303" s="22"/>
      <c r="R303" s="22"/>
      <c r="S303" s="22"/>
    </row>
    <row r="304">
      <c r="A304" s="24">
        <v>303.0</v>
      </c>
      <c r="B304" s="25" t="s">
        <v>901</v>
      </c>
      <c r="C304" s="25" t="s">
        <v>902</v>
      </c>
      <c r="D304" s="25">
        <v>226.0</v>
      </c>
      <c r="E304" s="34"/>
      <c r="F304" s="34"/>
      <c r="G304" s="34"/>
      <c r="H304" s="25">
        <v>347.0</v>
      </c>
      <c r="I304" s="25">
        <v>286.5</v>
      </c>
      <c r="J304" s="34"/>
      <c r="K304" s="22"/>
      <c r="L304" s="22"/>
      <c r="M304" s="22"/>
      <c r="N304" s="22"/>
      <c r="O304" s="22"/>
      <c r="P304" s="22"/>
      <c r="Q304" s="22"/>
      <c r="R304" s="22"/>
      <c r="S304" s="22"/>
    </row>
    <row r="305">
      <c r="A305" s="24">
        <v>304.0</v>
      </c>
      <c r="B305" s="25" t="s">
        <v>903</v>
      </c>
      <c r="C305" s="25" t="s">
        <v>904</v>
      </c>
      <c r="D305" s="34"/>
      <c r="E305" s="25">
        <v>282.0</v>
      </c>
      <c r="F305" s="34"/>
      <c r="G305" s="34"/>
      <c r="H305" s="25">
        <v>294.0</v>
      </c>
      <c r="I305" s="25">
        <v>288.0</v>
      </c>
      <c r="J305" s="34"/>
      <c r="K305" s="35"/>
      <c r="L305" s="35"/>
      <c r="M305" s="35"/>
      <c r="N305" s="35"/>
      <c r="O305" s="35"/>
      <c r="P305" s="35"/>
      <c r="Q305" s="35"/>
      <c r="R305" s="35"/>
      <c r="S305" s="35"/>
    </row>
    <row r="306">
      <c r="A306" s="24">
        <v>305.0</v>
      </c>
      <c r="B306" s="25" t="s">
        <v>905</v>
      </c>
      <c r="C306" s="25" t="s">
        <v>906</v>
      </c>
      <c r="D306" s="25">
        <v>245.0</v>
      </c>
      <c r="E306" s="34"/>
      <c r="F306" s="34"/>
      <c r="G306" s="34"/>
      <c r="H306" s="25">
        <v>334.0</v>
      </c>
      <c r="I306" s="25">
        <v>289.5</v>
      </c>
      <c r="J306" s="34"/>
      <c r="K306" s="22"/>
      <c r="L306" s="22"/>
      <c r="M306" s="22"/>
      <c r="N306" s="22"/>
      <c r="O306" s="22"/>
      <c r="P306" s="22"/>
      <c r="Q306" s="22"/>
      <c r="R306" s="22"/>
      <c r="S306" s="22"/>
    </row>
    <row r="307">
      <c r="A307" s="24">
        <v>306.0</v>
      </c>
      <c r="B307" s="25" t="s">
        <v>907</v>
      </c>
      <c r="C307" s="25" t="s">
        <v>908</v>
      </c>
      <c r="D307" s="25">
        <v>292.0</v>
      </c>
      <c r="E307" s="34"/>
      <c r="F307" s="34"/>
      <c r="G307" s="34"/>
      <c r="H307" s="25">
        <v>287.0</v>
      </c>
      <c r="I307" s="25">
        <v>289.5</v>
      </c>
      <c r="J307" s="34"/>
      <c r="K307" s="35"/>
      <c r="L307" s="35"/>
      <c r="M307" s="35"/>
      <c r="N307" s="35"/>
      <c r="O307" s="35"/>
      <c r="P307" s="35"/>
      <c r="Q307" s="35"/>
      <c r="R307" s="35"/>
      <c r="S307" s="35"/>
    </row>
    <row r="308">
      <c r="A308" s="24">
        <v>307.0</v>
      </c>
      <c r="B308" s="25" t="s">
        <v>909</v>
      </c>
      <c r="C308" s="25" t="s">
        <v>910</v>
      </c>
      <c r="D308" s="25">
        <v>254.0</v>
      </c>
      <c r="E308" s="34"/>
      <c r="F308" s="34"/>
      <c r="G308" s="34"/>
      <c r="H308" s="25">
        <v>331.0</v>
      </c>
      <c r="I308" s="25">
        <v>292.5</v>
      </c>
      <c r="J308" s="34"/>
      <c r="K308" s="35"/>
      <c r="L308" s="35"/>
      <c r="M308" s="35"/>
      <c r="N308" s="35"/>
      <c r="O308" s="35"/>
      <c r="P308" s="35"/>
      <c r="Q308" s="35"/>
      <c r="R308" s="35"/>
      <c r="S308" s="35"/>
    </row>
    <row r="309">
      <c r="A309" s="24">
        <v>308.0</v>
      </c>
      <c r="B309" s="25" t="s">
        <v>911</v>
      </c>
      <c r="C309" s="25" t="s">
        <v>912</v>
      </c>
      <c r="D309" s="25">
        <v>228.0</v>
      </c>
      <c r="E309" s="34"/>
      <c r="F309" s="34"/>
      <c r="G309" s="34"/>
      <c r="H309" s="25">
        <v>358.0</v>
      </c>
      <c r="I309" s="25">
        <v>293.0</v>
      </c>
      <c r="J309" s="34"/>
      <c r="K309" s="35"/>
      <c r="L309" s="35"/>
      <c r="M309" s="35"/>
      <c r="N309" s="35"/>
      <c r="O309" s="35"/>
      <c r="P309" s="35"/>
      <c r="Q309" s="35"/>
      <c r="R309" s="35"/>
      <c r="S309" s="35"/>
    </row>
    <row r="310">
      <c r="A310" s="24">
        <v>309.0</v>
      </c>
      <c r="B310" s="25" t="s">
        <v>913</v>
      </c>
      <c r="C310" s="25" t="s">
        <v>914</v>
      </c>
      <c r="D310" s="25">
        <v>289.0</v>
      </c>
      <c r="E310" s="34"/>
      <c r="F310" s="34"/>
      <c r="G310" s="34"/>
      <c r="H310" s="25">
        <v>299.0</v>
      </c>
      <c r="I310" s="25">
        <v>294.0</v>
      </c>
      <c r="J310" s="34"/>
      <c r="K310" s="35"/>
      <c r="L310" s="35"/>
      <c r="M310" s="35"/>
      <c r="N310" s="35"/>
      <c r="O310" s="35"/>
      <c r="P310" s="35"/>
      <c r="Q310" s="35"/>
      <c r="R310" s="35"/>
      <c r="S310" s="35"/>
    </row>
    <row r="311">
      <c r="A311" s="24">
        <v>310.0</v>
      </c>
      <c r="B311" s="25" t="s">
        <v>915</v>
      </c>
      <c r="C311" s="25" t="s">
        <v>916</v>
      </c>
      <c r="D311" s="25">
        <v>233.0</v>
      </c>
      <c r="E311" s="34"/>
      <c r="F311" s="34"/>
      <c r="G311" s="34"/>
      <c r="H311" s="25">
        <v>365.0</v>
      </c>
      <c r="I311" s="25">
        <v>299.0</v>
      </c>
      <c r="J311" s="34"/>
      <c r="K311" s="35"/>
      <c r="L311" s="35"/>
      <c r="M311" s="35"/>
      <c r="N311" s="35"/>
      <c r="O311" s="35"/>
      <c r="P311" s="35"/>
      <c r="Q311" s="35"/>
      <c r="R311" s="35"/>
      <c r="S311" s="35"/>
    </row>
    <row r="312">
      <c r="A312" s="24">
        <v>311.0</v>
      </c>
      <c r="B312" s="25" t="s">
        <v>917</v>
      </c>
      <c r="C312" s="25" t="s">
        <v>918</v>
      </c>
      <c r="D312" s="25">
        <v>243.0</v>
      </c>
      <c r="E312" s="34"/>
      <c r="F312" s="34"/>
      <c r="G312" s="34"/>
      <c r="H312" s="25">
        <v>355.0</v>
      </c>
      <c r="I312" s="25">
        <v>299.0</v>
      </c>
      <c r="J312" s="34"/>
      <c r="K312" s="35"/>
      <c r="L312" s="35"/>
      <c r="M312" s="35"/>
      <c r="N312" s="35"/>
      <c r="O312" s="35"/>
      <c r="P312" s="35"/>
      <c r="Q312" s="35"/>
      <c r="R312" s="35"/>
      <c r="S312" s="35"/>
    </row>
    <row r="313">
      <c r="A313" s="24">
        <v>312.0</v>
      </c>
      <c r="B313" s="25" t="s">
        <v>919</v>
      </c>
      <c r="C313" s="25" t="s">
        <v>920</v>
      </c>
      <c r="D313" s="34"/>
      <c r="E313" s="25">
        <v>233.0</v>
      </c>
      <c r="F313" s="34"/>
      <c r="G313" s="34"/>
      <c r="H313" s="25">
        <v>366.0</v>
      </c>
      <c r="I313" s="25">
        <v>299.5</v>
      </c>
      <c r="J313" s="25" t="s">
        <v>921</v>
      </c>
      <c r="K313" s="35"/>
      <c r="L313" s="35"/>
      <c r="M313" s="35"/>
      <c r="N313" s="35"/>
      <c r="O313" s="35"/>
      <c r="P313" s="35"/>
      <c r="Q313" s="35"/>
      <c r="R313" s="35"/>
      <c r="S313" s="35"/>
    </row>
    <row r="314">
      <c r="A314" s="24">
        <v>313.0</v>
      </c>
      <c r="B314" s="25" t="s">
        <v>922</v>
      </c>
      <c r="C314" s="25" t="s">
        <v>923</v>
      </c>
      <c r="D314" s="25">
        <v>314.0</v>
      </c>
      <c r="E314" s="34"/>
      <c r="F314" s="34"/>
      <c r="G314" s="34"/>
      <c r="H314" s="25">
        <v>286.0</v>
      </c>
      <c r="I314" s="25">
        <v>300.0</v>
      </c>
      <c r="J314" s="34"/>
      <c r="K314" s="35"/>
      <c r="L314" s="35"/>
      <c r="M314" s="35"/>
      <c r="N314" s="35"/>
      <c r="O314" s="35"/>
      <c r="P314" s="35"/>
      <c r="Q314" s="35"/>
      <c r="R314" s="35"/>
      <c r="S314" s="35"/>
    </row>
    <row r="315">
      <c r="A315" s="24">
        <v>314.0</v>
      </c>
      <c r="B315" s="25" t="s">
        <v>924</v>
      </c>
      <c r="C315" s="25" t="s">
        <v>925</v>
      </c>
      <c r="D315" s="25">
        <v>299.0</v>
      </c>
      <c r="E315" s="34"/>
      <c r="F315" s="34"/>
      <c r="G315" s="34"/>
      <c r="H315" s="25">
        <v>301.0</v>
      </c>
      <c r="I315" s="25">
        <v>300.0</v>
      </c>
      <c r="J315" s="34"/>
      <c r="K315" s="35"/>
      <c r="L315" s="35"/>
      <c r="M315" s="35"/>
      <c r="N315" s="35"/>
      <c r="O315" s="35"/>
      <c r="P315" s="35"/>
      <c r="Q315" s="35"/>
      <c r="R315" s="35"/>
      <c r="S315" s="35"/>
    </row>
    <row r="316">
      <c r="A316" s="24">
        <v>315.0</v>
      </c>
      <c r="B316" s="25" t="s">
        <v>926</v>
      </c>
      <c r="C316" s="25" t="s">
        <v>927</v>
      </c>
      <c r="D316" s="25">
        <v>261.0</v>
      </c>
      <c r="E316" s="34"/>
      <c r="F316" s="34"/>
      <c r="G316" s="34"/>
      <c r="H316" s="25">
        <v>340.0</v>
      </c>
      <c r="I316" s="25">
        <v>300.5</v>
      </c>
      <c r="J316" s="34"/>
      <c r="K316" s="35"/>
      <c r="L316" s="35"/>
      <c r="M316" s="35"/>
      <c r="N316" s="35"/>
      <c r="O316" s="35"/>
      <c r="P316" s="35"/>
      <c r="Q316" s="35"/>
      <c r="R316" s="35"/>
      <c r="S316" s="35"/>
    </row>
    <row r="317">
      <c r="A317" s="24">
        <v>316.0</v>
      </c>
      <c r="B317" s="25" t="s">
        <v>928</v>
      </c>
      <c r="C317" s="25" t="s">
        <v>929</v>
      </c>
      <c r="D317" s="25">
        <v>300.0</v>
      </c>
      <c r="E317" s="25">
        <v>326.0</v>
      </c>
      <c r="F317" s="34"/>
      <c r="G317" s="34"/>
      <c r="H317" s="25">
        <v>420.0</v>
      </c>
      <c r="I317" s="25">
        <v>348.7</v>
      </c>
      <c r="J317" s="34"/>
      <c r="K317" s="35"/>
      <c r="L317" s="35"/>
      <c r="M317" s="35"/>
      <c r="N317" s="35"/>
      <c r="O317" s="35"/>
      <c r="P317" s="35"/>
      <c r="Q317" s="35"/>
      <c r="R317" s="35"/>
      <c r="S317" s="35"/>
    </row>
    <row r="318">
      <c r="A318" s="24">
        <v>317.0</v>
      </c>
      <c r="B318" s="25" t="s">
        <v>930</v>
      </c>
      <c r="C318" s="25" t="s">
        <v>931</v>
      </c>
      <c r="D318" s="34"/>
      <c r="E318" s="25">
        <v>235.0</v>
      </c>
      <c r="F318" s="34"/>
      <c r="G318" s="34"/>
      <c r="H318" s="25">
        <v>369.0</v>
      </c>
      <c r="I318" s="25">
        <v>302.0</v>
      </c>
      <c r="J318" s="34"/>
      <c r="K318" s="35"/>
      <c r="L318" s="35"/>
      <c r="M318" s="35"/>
      <c r="N318" s="35"/>
      <c r="O318" s="35"/>
      <c r="P318" s="35"/>
      <c r="Q318" s="35"/>
      <c r="R318" s="35"/>
      <c r="S318" s="35"/>
    </row>
    <row r="319">
      <c r="A319" s="24">
        <v>318.0</v>
      </c>
      <c r="B319" s="25" t="s">
        <v>932</v>
      </c>
      <c r="C319" s="25" t="s">
        <v>933</v>
      </c>
      <c r="D319" s="34"/>
      <c r="E319" s="25">
        <v>252.0</v>
      </c>
      <c r="F319" s="34"/>
      <c r="G319" s="34"/>
      <c r="H319" s="25">
        <v>353.0</v>
      </c>
      <c r="I319" s="25">
        <v>302.5</v>
      </c>
      <c r="J319" s="34"/>
      <c r="K319" s="35"/>
      <c r="L319" s="35"/>
      <c r="M319" s="35"/>
      <c r="N319" s="35"/>
      <c r="O319" s="35"/>
      <c r="P319" s="35"/>
      <c r="Q319" s="35"/>
      <c r="R319" s="35"/>
      <c r="S319" s="35"/>
    </row>
    <row r="320">
      <c r="A320" s="24">
        <v>319.0</v>
      </c>
      <c r="B320" s="25" t="s">
        <v>934</v>
      </c>
      <c r="C320" s="25" t="s">
        <v>935</v>
      </c>
      <c r="D320" s="25">
        <v>244.0</v>
      </c>
      <c r="E320" s="34"/>
      <c r="F320" s="34"/>
      <c r="G320" s="34"/>
      <c r="H320" s="25">
        <v>371.0</v>
      </c>
      <c r="I320" s="25">
        <v>307.5</v>
      </c>
      <c r="J320" s="34"/>
      <c r="K320" s="35"/>
      <c r="L320" s="35"/>
      <c r="M320" s="35"/>
      <c r="N320" s="35"/>
      <c r="O320" s="35"/>
      <c r="P320" s="35"/>
      <c r="Q320" s="35"/>
      <c r="R320" s="35"/>
      <c r="S320" s="35"/>
    </row>
    <row r="321">
      <c r="A321" s="24">
        <v>320.0</v>
      </c>
      <c r="B321" s="25" t="s">
        <v>936</v>
      </c>
      <c r="C321" s="25" t="s">
        <v>937</v>
      </c>
      <c r="D321" s="34"/>
      <c r="E321" s="25">
        <v>220.0</v>
      </c>
      <c r="F321" s="34"/>
      <c r="G321" s="34"/>
      <c r="H321" s="25">
        <v>397.0</v>
      </c>
      <c r="I321" s="25">
        <v>308.5</v>
      </c>
      <c r="J321" s="25" t="s">
        <v>938</v>
      </c>
      <c r="K321" s="35"/>
      <c r="L321" s="35"/>
      <c r="M321" s="35"/>
      <c r="N321" s="35"/>
      <c r="O321" s="35"/>
      <c r="P321" s="35"/>
      <c r="Q321" s="35"/>
      <c r="R321" s="35"/>
      <c r="S321" s="35"/>
    </row>
    <row r="322">
      <c r="A322" s="24">
        <v>321.0</v>
      </c>
      <c r="B322" s="25" t="s">
        <v>939</v>
      </c>
      <c r="C322" s="25" t="s">
        <v>940</v>
      </c>
      <c r="D322" s="25">
        <v>296.0</v>
      </c>
      <c r="E322" s="34"/>
      <c r="F322" s="34"/>
      <c r="G322" s="34"/>
      <c r="H322" s="25">
        <v>325.0</v>
      </c>
      <c r="I322" s="25">
        <v>310.5</v>
      </c>
      <c r="J322" s="34"/>
      <c r="K322" s="35"/>
      <c r="L322" s="35"/>
      <c r="M322" s="35"/>
      <c r="N322" s="35"/>
      <c r="O322" s="35"/>
      <c r="P322" s="35"/>
      <c r="Q322" s="35"/>
      <c r="R322" s="35"/>
      <c r="S322" s="35"/>
    </row>
    <row r="323">
      <c r="A323" s="24">
        <v>322.0</v>
      </c>
      <c r="B323" s="25" t="s">
        <v>941</v>
      </c>
      <c r="C323" s="25" t="s">
        <v>942</v>
      </c>
      <c r="D323" s="25">
        <v>311.0</v>
      </c>
      <c r="E323" s="34"/>
      <c r="F323" s="34"/>
      <c r="G323" s="34"/>
      <c r="H323" s="25">
        <v>310.0</v>
      </c>
      <c r="I323" s="25">
        <v>310.5</v>
      </c>
      <c r="J323" s="34"/>
      <c r="K323" s="35"/>
      <c r="L323" s="35"/>
      <c r="M323" s="35"/>
      <c r="N323" s="35"/>
      <c r="O323" s="35"/>
      <c r="P323" s="35"/>
      <c r="Q323" s="35"/>
      <c r="R323" s="35"/>
      <c r="S323" s="35"/>
    </row>
    <row r="324">
      <c r="A324" s="24">
        <v>323.0</v>
      </c>
      <c r="B324" s="25" t="s">
        <v>943</v>
      </c>
      <c r="C324" s="25" t="s">
        <v>944</v>
      </c>
      <c r="D324" s="34"/>
      <c r="E324" s="25">
        <v>246.0</v>
      </c>
      <c r="F324" s="34"/>
      <c r="G324" s="34"/>
      <c r="H324" s="25">
        <v>377.0</v>
      </c>
      <c r="I324" s="25">
        <v>311.5</v>
      </c>
      <c r="J324" s="25" t="s">
        <v>945</v>
      </c>
      <c r="K324" s="22"/>
      <c r="L324" s="22"/>
      <c r="M324" s="22"/>
      <c r="N324" s="22"/>
      <c r="O324" s="22"/>
      <c r="P324" s="22"/>
      <c r="Q324" s="22"/>
      <c r="R324" s="22"/>
      <c r="S324" s="22"/>
    </row>
    <row r="325">
      <c r="A325" s="24">
        <v>324.0</v>
      </c>
      <c r="B325" s="25" t="s">
        <v>946</v>
      </c>
      <c r="C325" s="25" t="s">
        <v>947</v>
      </c>
      <c r="D325" s="25">
        <v>262.0</v>
      </c>
      <c r="E325" s="34"/>
      <c r="F325" s="34"/>
      <c r="G325" s="34"/>
      <c r="H325" s="25">
        <v>361.0</v>
      </c>
      <c r="I325" s="25">
        <v>311.5</v>
      </c>
      <c r="J325" s="34"/>
      <c r="K325" s="35"/>
      <c r="L325" s="35"/>
      <c r="M325" s="35"/>
      <c r="N325" s="35"/>
      <c r="O325" s="35"/>
      <c r="P325" s="35"/>
      <c r="Q325" s="35"/>
      <c r="R325" s="35"/>
      <c r="S325" s="35"/>
    </row>
    <row r="326">
      <c r="A326" s="24">
        <v>325.0</v>
      </c>
      <c r="B326" s="25" t="s">
        <v>948</v>
      </c>
      <c r="C326" s="25" t="s">
        <v>949</v>
      </c>
      <c r="D326" s="25">
        <v>227.0</v>
      </c>
      <c r="E326" s="34"/>
      <c r="F326" s="34"/>
      <c r="G326" s="34"/>
      <c r="H326" s="25">
        <v>399.0</v>
      </c>
      <c r="I326" s="25">
        <v>313.0</v>
      </c>
      <c r="J326" s="34"/>
      <c r="K326" s="35"/>
      <c r="L326" s="35"/>
      <c r="M326" s="35"/>
      <c r="N326" s="35"/>
      <c r="O326" s="35"/>
      <c r="P326" s="35"/>
      <c r="Q326" s="35"/>
      <c r="R326" s="35"/>
      <c r="S326" s="35"/>
    </row>
    <row r="327">
      <c r="A327" s="24">
        <v>326.0</v>
      </c>
      <c r="B327" s="25" t="s">
        <v>950</v>
      </c>
      <c r="C327" s="25" t="s">
        <v>951</v>
      </c>
      <c r="D327" s="25">
        <v>248.0</v>
      </c>
      <c r="E327" s="34"/>
      <c r="F327" s="34"/>
      <c r="G327" s="34"/>
      <c r="H327" s="25">
        <v>378.0</v>
      </c>
      <c r="I327" s="25">
        <v>313.0</v>
      </c>
      <c r="J327" s="34"/>
      <c r="K327" s="35"/>
      <c r="L327" s="35"/>
      <c r="M327" s="35"/>
      <c r="N327" s="35"/>
      <c r="O327" s="35"/>
      <c r="P327" s="35"/>
      <c r="Q327" s="35"/>
      <c r="R327" s="35"/>
      <c r="S327" s="35"/>
    </row>
    <row r="328">
      <c r="A328" s="24">
        <v>327.0</v>
      </c>
      <c r="B328" s="25" t="s">
        <v>952</v>
      </c>
      <c r="C328" s="25" t="s">
        <v>953</v>
      </c>
      <c r="D328" s="25">
        <v>259.0</v>
      </c>
      <c r="E328" s="34"/>
      <c r="F328" s="34"/>
      <c r="G328" s="34"/>
      <c r="H328" s="25">
        <v>367.0</v>
      </c>
      <c r="I328" s="25">
        <v>313.0</v>
      </c>
      <c r="J328" s="34"/>
      <c r="K328" s="35"/>
      <c r="L328" s="35"/>
      <c r="M328" s="35"/>
      <c r="N328" s="35"/>
      <c r="O328" s="35"/>
      <c r="P328" s="35"/>
      <c r="Q328" s="35"/>
      <c r="R328" s="35"/>
      <c r="S328" s="35"/>
    </row>
    <row r="329">
      <c r="A329" s="24">
        <v>328.0</v>
      </c>
      <c r="B329" s="25" t="s">
        <v>954</v>
      </c>
      <c r="C329" s="25" t="s">
        <v>955</v>
      </c>
      <c r="D329" s="25">
        <v>317.0</v>
      </c>
      <c r="E329" s="34"/>
      <c r="F329" s="34"/>
      <c r="G329" s="34"/>
      <c r="H329" s="25">
        <v>311.0</v>
      </c>
      <c r="I329" s="25">
        <v>314.0</v>
      </c>
      <c r="J329" s="34"/>
      <c r="K329" s="35"/>
      <c r="L329" s="35"/>
      <c r="M329" s="35"/>
      <c r="N329" s="35"/>
      <c r="O329" s="35"/>
      <c r="P329" s="35"/>
      <c r="Q329" s="35"/>
      <c r="R329" s="35"/>
      <c r="S329" s="35"/>
    </row>
    <row r="330">
      <c r="A330" s="24">
        <v>329.0</v>
      </c>
      <c r="B330" s="25" t="s">
        <v>956</v>
      </c>
      <c r="C330" s="25" t="s">
        <v>957</v>
      </c>
      <c r="D330" s="25">
        <v>235.0</v>
      </c>
      <c r="E330" s="34"/>
      <c r="F330" s="34"/>
      <c r="G330" s="34"/>
      <c r="H330" s="25">
        <v>395.0</v>
      </c>
      <c r="I330" s="25">
        <v>315.0</v>
      </c>
      <c r="J330" s="34"/>
      <c r="K330" s="35"/>
      <c r="L330" s="35"/>
      <c r="M330" s="35"/>
      <c r="N330" s="35"/>
      <c r="O330" s="35"/>
      <c r="P330" s="35"/>
      <c r="Q330" s="35"/>
      <c r="R330" s="35"/>
      <c r="S330" s="35"/>
    </row>
    <row r="331">
      <c r="A331" s="24">
        <v>330.0</v>
      </c>
      <c r="B331" s="25" t="s">
        <v>958</v>
      </c>
      <c r="C331" s="25" t="s">
        <v>959</v>
      </c>
      <c r="D331" s="25">
        <v>274.0</v>
      </c>
      <c r="E331" s="34"/>
      <c r="F331" s="34"/>
      <c r="G331" s="34"/>
      <c r="H331" s="25">
        <v>357.0</v>
      </c>
      <c r="I331" s="25">
        <v>315.5</v>
      </c>
      <c r="J331" s="34"/>
      <c r="K331" s="35"/>
      <c r="L331" s="35"/>
      <c r="M331" s="35"/>
      <c r="N331" s="35"/>
      <c r="O331" s="35"/>
      <c r="P331" s="35"/>
      <c r="Q331" s="35"/>
      <c r="R331" s="35"/>
      <c r="S331" s="35"/>
    </row>
    <row r="332">
      <c r="A332" s="24">
        <v>331.0</v>
      </c>
      <c r="B332" s="25" t="s">
        <v>960</v>
      </c>
      <c r="C332" s="25" t="s">
        <v>961</v>
      </c>
      <c r="D332" s="25">
        <v>427.0</v>
      </c>
      <c r="E332" s="25">
        <v>245.0</v>
      </c>
      <c r="F332" s="34"/>
      <c r="G332" s="34"/>
      <c r="H332" s="25">
        <v>402.0</v>
      </c>
      <c r="I332" s="25">
        <v>358.0</v>
      </c>
      <c r="J332" s="34"/>
      <c r="K332" s="35"/>
      <c r="L332" s="35"/>
      <c r="M332" s="35"/>
      <c r="N332" s="35"/>
      <c r="O332" s="35"/>
      <c r="P332" s="35"/>
      <c r="Q332" s="35"/>
      <c r="R332" s="35"/>
      <c r="S332" s="35"/>
    </row>
    <row r="333">
      <c r="A333" s="24">
        <v>332.0</v>
      </c>
      <c r="B333" s="25" t="s">
        <v>962</v>
      </c>
      <c r="C333" s="25" t="s">
        <v>963</v>
      </c>
      <c r="D333" s="25">
        <v>312.0</v>
      </c>
      <c r="E333" s="34"/>
      <c r="F333" s="34"/>
      <c r="G333" s="34"/>
      <c r="H333" s="25">
        <v>320.0</v>
      </c>
      <c r="I333" s="25">
        <v>316.0</v>
      </c>
      <c r="J333" s="34"/>
      <c r="K333" s="35"/>
      <c r="L333" s="35"/>
      <c r="M333" s="35"/>
      <c r="N333" s="35"/>
      <c r="O333" s="35"/>
      <c r="P333" s="35"/>
      <c r="Q333" s="35"/>
      <c r="R333" s="35"/>
      <c r="S333" s="35"/>
    </row>
    <row r="334">
      <c r="A334" s="24">
        <v>333.0</v>
      </c>
      <c r="B334" s="25" t="s">
        <v>964</v>
      </c>
      <c r="C334" s="25" t="s">
        <v>965</v>
      </c>
      <c r="D334" s="25">
        <v>277.0</v>
      </c>
      <c r="E334" s="34"/>
      <c r="F334" s="34"/>
      <c r="G334" s="34"/>
      <c r="H334" s="25">
        <v>356.0</v>
      </c>
      <c r="I334" s="25">
        <v>316.5</v>
      </c>
      <c r="J334" s="34"/>
      <c r="K334" s="35"/>
      <c r="L334" s="35"/>
      <c r="M334" s="35"/>
      <c r="N334" s="35"/>
      <c r="O334" s="35"/>
      <c r="P334" s="35"/>
      <c r="Q334" s="35"/>
      <c r="R334" s="35"/>
      <c r="S334" s="35"/>
    </row>
    <row r="335">
      <c r="A335" s="24">
        <v>334.0</v>
      </c>
      <c r="B335" s="25" t="s">
        <v>966</v>
      </c>
      <c r="C335" s="25" t="s">
        <v>967</v>
      </c>
      <c r="D335" s="25">
        <v>303.0</v>
      </c>
      <c r="E335" s="25">
        <v>330.0</v>
      </c>
      <c r="F335" s="34"/>
      <c r="G335" s="34"/>
      <c r="H335" s="34"/>
      <c r="I335" s="25">
        <v>316.5</v>
      </c>
      <c r="J335" s="34"/>
      <c r="K335" s="35"/>
      <c r="L335" s="35"/>
      <c r="M335" s="35"/>
      <c r="N335" s="35"/>
      <c r="O335" s="35"/>
      <c r="P335" s="35"/>
      <c r="Q335" s="35"/>
      <c r="R335" s="35"/>
      <c r="S335" s="35"/>
    </row>
    <row r="336">
      <c r="A336" s="24">
        <v>335.0</v>
      </c>
      <c r="B336" s="25" t="s">
        <v>968</v>
      </c>
      <c r="C336" s="25" t="s">
        <v>969</v>
      </c>
      <c r="D336" s="25">
        <v>234.0</v>
      </c>
      <c r="E336" s="34"/>
      <c r="F336" s="34"/>
      <c r="G336" s="34"/>
      <c r="H336" s="25">
        <v>400.0</v>
      </c>
      <c r="I336" s="25">
        <v>317.0</v>
      </c>
      <c r="J336" s="34"/>
      <c r="K336" s="35"/>
      <c r="L336" s="35"/>
      <c r="M336" s="35"/>
      <c r="N336" s="35"/>
      <c r="O336" s="35"/>
      <c r="P336" s="35"/>
      <c r="Q336" s="35"/>
      <c r="R336" s="35"/>
      <c r="S336" s="35"/>
    </row>
    <row r="337">
      <c r="A337" s="24">
        <v>336.0</v>
      </c>
      <c r="B337" s="25" t="s">
        <v>970</v>
      </c>
      <c r="C337" s="25" t="s">
        <v>971</v>
      </c>
      <c r="D337" s="25">
        <v>290.0</v>
      </c>
      <c r="E337" s="34"/>
      <c r="F337" s="34"/>
      <c r="G337" s="34"/>
      <c r="H337" s="25">
        <v>344.0</v>
      </c>
      <c r="I337" s="25">
        <v>317.0</v>
      </c>
      <c r="J337" s="34"/>
      <c r="K337" s="35"/>
      <c r="L337" s="35"/>
      <c r="M337" s="35"/>
      <c r="N337" s="35"/>
      <c r="O337" s="35"/>
      <c r="P337" s="35"/>
      <c r="Q337" s="35"/>
      <c r="R337" s="35"/>
      <c r="S337" s="35"/>
    </row>
    <row r="338">
      <c r="A338" s="24">
        <v>337.0</v>
      </c>
      <c r="B338" s="25" t="s">
        <v>972</v>
      </c>
      <c r="C338" s="25" t="s">
        <v>973</v>
      </c>
      <c r="D338" s="34"/>
      <c r="E338" s="25">
        <v>212.0</v>
      </c>
      <c r="F338" s="34"/>
      <c r="G338" s="34"/>
      <c r="H338" s="25">
        <v>433.0</v>
      </c>
      <c r="I338" s="25">
        <v>322.5</v>
      </c>
      <c r="J338" s="25" t="s">
        <v>974</v>
      </c>
      <c r="K338" s="35"/>
      <c r="L338" s="35"/>
      <c r="M338" s="35"/>
      <c r="N338" s="35"/>
      <c r="O338" s="35"/>
      <c r="P338" s="35"/>
      <c r="Q338" s="35"/>
      <c r="R338" s="35"/>
      <c r="S338" s="35"/>
    </row>
    <row r="339">
      <c r="A339" s="24">
        <v>338.0</v>
      </c>
      <c r="B339" s="25" t="s">
        <v>975</v>
      </c>
      <c r="C339" s="25" t="s">
        <v>976</v>
      </c>
      <c r="D339" s="25">
        <v>241.0</v>
      </c>
      <c r="E339" s="34"/>
      <c r="F339" s="34"/>
      <c r="G339" s="34"/>
      <c r="H339" s="25">
        <v>404.0</v>
      </c>
      <c r="I339" s="25">
        <v>322.5</v>
      </c>
      <c r="J339" s="34"/>
      <c r="K339" s="35"/>
      <c r="L339" s="35"/>
      <c r="M339" s="35"/>
      <c r="N339" s="35"/>
      <c r="O339" s="35"/>
      <c r="P339" s="35"/>
      <c r="Q339" s="35"/>
      <c r="R339" s="35"/>
      <c r="S339" s="35"/>
    </row>
    <row r="340">
      <c r="A340" s="24">
        <v>339.0</v>
      </c>
      <c r="B340" s="25" t="s">
        <v>977</v>
      </c>
      <c r="C340" s="25" t="s">
        <v>978</v>
      </c>
      <c r="D340" s="25">
        <v>205.0</v>
      </c>
      <c r="E340" s="34"/>
      <c r="F340" s="34"/>
      <c r="G340" s="34"/>
      <c r="H340" s="34"/>
      <c r="I340" s="25">
        <v>205.0</v>
      </c>
      <c r="J340" s="34"/>
      <c r="K340" s="35"/>
      <c r="L340" s="35"/>
      <c r="M340" s="35"/>
      <c r="N340" s="35"/>
      <c r="O340" s="35"/>
      <c r="P340" s="35"/>
      <c r="Q340" s="35"/>
      <c r="R340" s="35"/>
      <c r="S340" s="35"/>
    </row>
    <row r="341">
      <c r="A341" s="24">
        <v>340.0</v>
      </c>
      <c r="B341" s="25" t="s">
        <v>979</v>
      </c>
      <c r="C341" s="25" t="s">
        <v>980</v>
      </c>
      <c r="D341" s="25">
        <v>215.0</v>
      </c>
      <c r="E341" s="34"/>
      <c r="F341" s="34"/>
      <c r="G341" s="34"/>
      <c r="H341" s="34"/>
      <c r="I341" s="25">
        <v>215.0</v>
      </c>
      <c r="J341" s="34"/>
      <c r="K341" s="35"/>
      <c r="L341" s="35"/>
      <c r="M341" s="35"/>
      <c r="N341" s="35"/>
      <c r="O341" s="35"/>
      <c r="P341" s="35"/>
      <c r="Q341" s="35"/>
      <c r="R341" s="35"/>
      <c r="S341" s="35"/>
    </row>
    <row r="342">
      <c r="A342" s="24">
        <v>341.0</v>
      </c>
      <c r="B342" s="25" t="s">
        <v>981</v>
      </c>
      <c r="C342" s="25" t="s">
        <v>982</v>
      </c>
      <c r="D342" s="25">
        <v>219.0</v>
      </c>
      <c r="E342" s="34"/>
      <c r="F342" s="34"/>
      <c r="G342" s="34"/>
      <c r="H342" s="34"/>
      <c r="I342" s="25">
        <v>219.0</v>
      </c>
      <c r="J342" s="34"/>
      <c r="K342" s="35"/>
      <c r="L342" s="35"/>
      <c r="M342" s="35"/>
      <c r="N342" s="35"/>
      <c r="O342" s="35"/>
      <c r="P342" s="35"/>
      <c r="Q342" s="35"/>
      <c r="R342" s="35"/>
      <c r="S342" s="35"/>
    </row>
    <row r="343">
      <c r="A343" s="24">
        <v>342.0</v>
      </c>
      <c r="B343" s="25" t="s">
        <v>983</v>
      </c>
      <c r="C343" s="25" t="s">
        <v>984</v>
      </c>
      <c r="D343" s="25">
        <v>331.0</v>
      </c>
      <c r="E343" s="34"/>
      <c r="F343" s="34"/>
      <c r="G343" s="34"/>
      <c r="H343" s="25">
        <v>332.0</v>
      </c>
      <c r="I343" s="25">
        <v>331.5</v>
      </c>
      <c r="J343" s="34"/>
      <c r="K343" s="35"/>
      <c r="L343" s="35"/>
      <c r="M343" s="35"/>
      <c r="N343" s="35"/>
      <c r="O343" s="35"/>
      <c r="P343" s="35"/>
      <c r="Q343" s="35"/>
      <c r="R343" s="35"/>
      <c r="S343" s="35"/>
    </row>
    <row r="344">
      <c r="A344" s="24">
        <v>343.0</v>
      </c>
      <c r="B344" s="25" t="s">
        <v>985</v>
      </c>
      <c r="C344" s="25" t="s">
        <v>986</v>
      </c>
      <c r="D344" s="25">
        <v>239.0</v>
      </c>
      <c r="E344" s="34"/>
      <c r="F344" s="34"/>
      <c r="G344" s="34"/>
      <c r="H344" s="25">
        <v>427.0</v>
      </c>
      <c r="I344" s="25">
        <v>333.0</v>
      </c>
      <c r="J344" s="34"/>
      <c r="K344" s="35"/>
      <c r="L344" s="35"/>
      <c r="M344" s="35"/>
      <c r="N344" s="35"/>
      <c r="O344" s="35"/>
      <c r="P344" s="35"/>
      <c r="Q344" s="35"/>
      <c r="R344" s="35"/>
      <c r="S344" s="35"/>
    </row>
    <row r="345">
      <c r="A345" s="24">
        <v>344.0</v>
      </c>
      <c r="B345" s="25" t="s">
        <v>987</v>
      </c>
      <c r="C345" s="25" t="s">
        <v>988</v>
      </c>
      <c r="D345" s="25">
        <v>224.0</v>
      </c>
      <c r="E345" s="34"/>
      <c r="F345" s="34"/>
      <c r="G345" s="34"/>
      <c r="H345" s="34"/>
      <c r="I345" s="25">
        <v>224.0</v>
      </c>
      <c r="J345" s="34"/>
      <c r="K345" s="35"/>
      <c r="L345" s="35"/>
      <c r="M345" s="35"/>
      <c r="N345" s="35"/>
      <c r="O345" s="35"/>
      <c r="P345" s="35"/>
      <c r="Q345" s="35"/>
      <c r="R345" s="35"/>
      <c r="S345" s="35"/>
    </row>
    <row r="346">
      <c r="A346" s="24">
        <v>345.0</v>
      </c>
      <c r="B346" s="25" t="s">
        <v>989</v>
      </c>
      <c r="C346" s="25" t="s">
        <v>990</v>
      </c>
      <c r="D346" s="25">
        <v>293.0</v>
      </c>
      <c r="E346" s="34"/>
      <c r="F346" s="34"/>
      <c r="G346" s="34"/>
      <c r="H346" s="25">
        <v>374.0</v>
      </c>
      <c r="I346" s="25">
        <v>333.5</v>
      </c>
      <c r="J346" s="34"/>
      <c r="K346" s="35"/>
      <c r="L346" s="35"/>
      <c r="M346" s="35"/>
      <c r="N346" s="35"/>
      <c r="O346" s="35"/>
      <c r="P346" s="35"/>
      <c r="Q346" s="35"/>
      <c r="R346" s="35"/>
      <c r="S346" s="35"/>
    </row>
    <row r="347">
      <c r="A347" s="24">
        <v>346.0</v>
      </c>
      <c r="B347" s="25" t="s">
        <v>991</v>
      </c>
      <c r="C347" s="25" t="s">
        <v>992</v>
      </c>
      <c r="D347" s="25">
        <v>318.0</v>
      </c>
      <c r="E347" s="34"/>
      <c r="F347" s="34"/>
      <c r="G347" s="34"/>
      <c r="H347" s="25">
        <v>351.0</v>
      </c>
      <c r="I347" s="25">
        <v>334.5</v>
      </c>
      <c r="J347" s="34"/>
      <c r="K347" s="35"/>
      <c r="L347" s="35"/>
      <c r="M347" s="35"/>
      <c r="N347" s="35"/>
      <c r="O347" s="35"/>
      <c r="P347" s="35"/>
      <c r="Q347" s="35"/>
      <c r="R347" s="35"/>
      <c r="S347" s="35"/>
    </row>
    <row r="348">
      <c r="A348" s="24">
        <v>347.0</v>
      </c>
      <c r="B348" s="25" t="s">
        <v>993</v>
      </c>
      <c r="C348" s="25" t="s">
        <v>994</v>
      </c>
      <c r="D348" s="25">
        <v>419.0</v>
      </c>
      <c r="E348" s="25">
        <v>307.0</v>
      </c>
      <c r="F348" s="34"/>
      <c r="G348" s="34"/>
      <c r="H348" s="25">
        <v>389.0</v>
      </c>
      <c r="I348" s="25">
        <v>371.7</v>
      </c>
      <c r="J348" s="34"/>
      <c r="K348" s="35"/>
      <c r="L348" s="35"/>
      <c r="M348" s="35"/>
      <c r="N348" s="35"/>
      <c r="O348" s="35"/>
      <c r="P348" s="35"/>
      <c r="Q348" s="35"/>
      <c r="R348" s="35"/>
      <c r="S348" s="35"/>
    </row>
    <row r="349">
      <c r="A349" s="24">
        <v>348.0</v>
      </c>
      <c r="B349" s="25" t="s">
        <v>995</v>
      </c>
      <c r="C349" s="25" t="s">
        <v>996</v>
      </c>
      <c r="D349" s="34"/>
      <c r="E349" s="34"/>
      <c r="F349" s="34"/>
      <c r="G349" s="34"/>
      <c r="H349" s="25">
        <v>235.0</v>
      </c>
      <c r="I349" s="25">
        <v>235.0</v>
      </c>
      <c r="J349" s="34"/>
      <c r="K349" s="35"/>
      <c r="L349" s="35"/>
      <c r="M349" s="35"/>
      <c r="N349" s="35"/>
      <c r="O349" s="35"/>
      <c r="P349" s="35"/>
      <c r="Q349" s="35"/>
      <c r="R349" s="35"/>
      <c r="S349" s="35"/>
    </row>
    <row r="350">
      <c r="A350" s="24">
        <v>349.0</v>
      </c>
      <c r="B350" s="25" t="s">
        <v>997</v>
      </c>
      <c r="C350" s="25" t="s">
        <v>998</v>
      </c>
      <c r="D350" s="25">
        <v>236.0</v>
      </c>
      <c r="E350" s="34"/>
      <c r="F350" s="34"/>
      <c r="G350" s="34"/>
      <c r="H350" s="34"/>
      <c r="I350" s="25">
        <v>236.0</v>
      </c>
      <c r="J350" s="34"/>
      <c r="K350" s="35"/>
      <c r="L350" s="35"/>
      <c r="M350" s="35"/>
      <c r="N350" s="35"/>
      <c r="O350" s="35"/>
      <c r="P350" s="35"/>
      <c r="Q350" s="35"/>
      <c r="R350" s="35"/>
      <c r="S350" s="35"/>
    </row>
    <row r="351">
      <c r="A351" s="24">
        <v>350.0</v>
      </c>
      <c r="B351" s="25" t="s">
        <v>999</v>
      </c>
      <c r="C351" s="25" t="s">
        <v>1000</v>
      </c>
      <c r="D351" s="25">
        <v>249.0</v>
      </c>
      <c r="E351" s="34"/>
      <c r="F351" s="34"/>
      <c r="G351" s="34"/>
      <c r="H351" s="25">
        <v>430.0</v>
      </c>
      <c r="I351" s="25">
        <v>339.5</v>
      </c>
      <c r="J351" s="34"/>
      <c r="K351" s="35"/>
      <c r="L351" s="35"/>
      <c r="M351" s="35"/>
      <c r="N351" s="35"/>
      <c r="O351" s="35"/>
      <c r="P351" s="35"/>
      <c r="Q351" s="35"/>
      <c r="R351" s="35"/>
      <c r="S351" s="35"/>
    </row>
    <row r="352">
      <c r="A352" s="24">
        <v>351.0</v>
      </c>
      <c r="B352" s="25" t="s">
        <v>1001</v>
      </c>
      <c r="C352" s="25" t="s">
        <v>1002</v>
      </c>
      <c r="D352" s="34"/>
      <c r="E352" s="34"/>
      <c r="F352" s="34"/>
      <c r="G352" s="34"/>
      <c r="H352" s="25">
        <v>239.0</v>
      </c>
      <c r="I352" s="25">
        <v>239.0</v>
      </c>
      <c r="J352" s="34"/>
      <c r="K352" s="35"/>
      <c r="L352" s="35"/>
      <c r="M352" s="35"/>
      <c r="N352" s="35"/>
      <c r="O352" s="35"/>
      <c r="P352" s="35"/>
      <c r="Q352" s="35"/>
      <c r="R352" s="35"/>
      <c r="S352" s="35"/>
    </row>
    <row r="353">
      <c r="A353" s="24">
        <v>352.0</v>
      </c>
      <c r="B353" s="25" t="s">
        <v>1003</v>
      </c>
      <c r="C353" s="25" t="s">
        <v>1004</v>
      </c>
      <c r="D353" s="25">
        <v>242.0</v>
      </c>
      <c r="E353" s="34"/>
      <c r="F353" s="34"/>
      <c r="G353" s="34"/>
      <c r="H353" s="34"/>
      <c r="I353" s="25">
        <v>242.0</v>
      </c>
      <c r="J353" s="34"/>
      <c r="K353" s="35"/>
      <c r="L353" s="35"/>
      <c r="M353" s="35"/>
      <c r="N353" s="35"/>
      <c r="O353" s="35"/>
      <c r="P353" s="35"/>
      <c r="Q353" s="35"/>
      <c r="R353" s="35"/>
      <c r="S353" s="35"/>
    </row>
    <row r="354">
      <c r="A354" s="24">
        <v>353.0</v>
      </c>
      <c r="B354" s="25" t="s">
        <v>1005</v>
      </c>
      <c r="C354" s="25" t="s">
        <v>1006</v>
      </c>
      <c r="D354" s="25">
        <v>272.0</v>
      </c>
      <c r="E354" s="34"/>
      <c r="F354" s="34"/>
      <c r="G354" s="34"/>
      <c r="H354" s="25">
        <v>414.0</v>
      </c>
      <c r="I354" s="25">
        <v>343.0</v>
      </c>
      <c r="J354" s="34"/>
      <c r="K354" s="35"/>
      <c r="L354" s="35"/>
      <c r="M354" s="35"/>
      <c r="N354" s="35"/>
      <c r="O354" s="35"/>
      <c r="P354" s="35"/>
      <c r="Q354" s="35"/>
      <c r="R354" s="35"/>
      <c r="S354" s="35"/>
    </row>
    <row r="355">
      <c r="A355" s="24">
        <v>354.0</v>
      </c>
      <c r="B355" s="25" t="s">
        <v>1007</v>
      </c>
      <c r="C355" s="25" t="s">
        <v>1008</v>
      </c>
      <c r="D355" s="25">
        <v>359.0</v>
      </c>
      <c r="E355" s="34"/>
      <c r="F355" s="34"/>
      <c r="G355" s="34"/>
      <c r="H355" s="25">
        <v>327.0</v>
      </c>
      <c r="I355" s="25">
        <v>343.0</v>
      </c>
      <c r="J355" s="34"/>
      <c r="K355" s="35"/>
      <c r="L355" s="35"/>
      <c r="M355" s="35"/>
      <c r="N355" s="35"/>
      <c r="O355" s="35"/>
      <c r="P355" s="35"/>
      <c r="Q355" s="35"/>
      <c r="R355" s="35"/>
      <c r="S355" s="35"/>
    </row>
    <row r="356">
      <c r="A356" s="24">
        <v>355.0</v>
      </c>
      <c r="B356" s="25" t="s">
        <v>1009</v>
      </c>
      <c r="C356" s="25" t="s">
        <v>1010</v>
      </c>
      <c r="D356" s="25">
        <v>278.0</v>
      </c>
      <c r="E356" s="34"/>
      <c r="F356" s="34"/>
      <c r="G356" s="34"/>
      <c r="H356" s="25">
        <v>409.0</v>
      </c>
      <c r="I356" s="25">
        <v>343.5</v>
      </c>
      <c r="J356" s="34"/>
      <c r="K356" s="35"/>
      <c r="L356" s="35"/>
      <c r="M356" s="35"/>
      <c r="N356" s="35"/>
      <c r="O356" s="35"/>
      <c r="P356" s="35"/>
      <c r="Q356" s="35"/>
      <c r="R356" s="35"/>
      <c r="S356" s="35"/>
    </row>
    <row r="357">
      <c r="A357" s="24">
        <v>356.0</v>
      </c>
      <c r="B357" s="25" t="s">
        <v>1011</v>
      </c>
      <c r="C357" s="25" t="s">
        <v>1012</v>
      </c>
      <c r="D357" s="25">
        <v>316.0</v>
      </c>
      <c r="E357" s="34"/>
      <c r="F357" s="34"/>
      <c r="G357" s="34"/>
      <c r="H357" s="25">
        <v>372.0</v>
      </c>
      <c r="I357" s="25">
        <v>344.0</v>
      </c>
      <c r="J357" s="34"/>
      <c r="K357" s="35"/>
      <c r="L357" s="35"/>
      <c r="M357" s="35"/>
      <c r="N357" s="35"/>
      <c r="O357" s="35"/>
      <c r="P357" s="35"/>
      <c r="Q357" s="35"/>
      <c r="R357" s="35"/>
      <c r="S357" s="35"/>
    </row>
    <row r="358">
      <c r="A358" s="24">
        <v>357.0</v>
      </c>
      <c r="B358" s="25" t="s">
        <v>1013</v>
      </c>
      <c r="C358" s="25" t="s">
        <v>1014</v>
      </c>
      <c r="D358" s="25">
        <v>246.0</v>
      </c>
      <c r="E358" s="34"/>
      <c r="F358" s="34"/>
      <c r="G358" s="34"/>
      <c r="H358" s="34"/>
      <c r="I358" s="25">
        <v>246.0</v>
      </c>
      <c r="J358" s="34"/>
      <c r="K358" s="35"/>
      <c r="L358" s="35"/>
      <c r="M358" s="35"/>
      <c r="N358" s="35"/>
      <c r="O358" s="35"/>
      <c r="P358" s="35"/>
      <c r="Q358" s="35"/>
      <c r="R358" s="35"/>
      <c r="S358" s="35"/>
    </row>
    <row r="359">
      <c r="A359" s="24">
        <v>358.0</v>
      </c>
      <c r="B359" s="25" t="s">
        <v>1015</v>
      </c>
      <c r="C359" s="25" t="s">
        <v>1016</v>
      </c>
      <c r="D359" s="25">
        <v>247.0</v>
      </c>
      <c r="E359" s="34"/>
      <c r="F359" s="34"/>
      <c r="G359" s="34"/>
      <c r="H359" s="34"/>
      <c r="I359" s="25">
        <v>247.0</v>
      </c>
      <c r="J359" s="34"/>
      <c r="K359" s="35"/>
      <c r="L359" s="35"/>
      <c r="M359" s="35"/>
      <c r="N359" s="35"/>
      <c r="O359" s="35"/>
      <c r="P359" s="35"/>
      <c r="Q359" s="35"/>
      <c r="R359" s="35"/>
      <c r="S359" s="35"/>
    </row>
    <row r="360">
      <c r="A360" s="24">
        <v>359.0</v>
      </c>
      <c r="B360" s="25" t="s">
        <v>1017</v>
      </c>
      <c r="C360" s="25" t="s">
        <v>1018</v>
      </c>
      <c r="D360" s="25">
        <v>250.0</v>
      </c>
      <c r="E360" s="34"/>
      <c r="F360" s="34"/>
      <c r="G360" s="34"/>
      <c r="H360" s="34"/>
      <c r="I360" s="25">
        <v>250.0</v>
      </c>
      <c r="J360" s="34"/>
      <c r="K360" s="35"/>
      <c r="L360" s="35"/>
      <c r="M360" s="35"/>
      <c r="N360" s="35"/>
      <c r="O360" s="35"/>
      <c r="P360" s="35"/>
      <c r="Q360" s="35"/>
      <c r="R360" s="35"/>
      <c r="S360" s="35"/>
    </row>
    <row r="361">
      <c r="A361" s="24">
        <v>360.0</v>
      </c>
      <c r="B361" s="25" t="s">
        <v>1019</v>
      </c>
      <c r="C361" s="25" t="s">
        <v>1020</v>
      </c>
      <c r="D361" s="25">
        <v>253.0</v>
      </c>
      <c r="E361" s="34"/>
      <c r="F361" s="34"/>
      <c r="G361" s="34"/>
      <c r="H361" s="34"/>
      <c r="I361" s="25">
        <v>253.0</v>
      </c>
      <c r="J361" s="34"/>
      <c r="K361" s="35"/>
      <c r="L361" s="35"/>
      <c r="M361" s="35"/>
      <c r="N361" s="35"/>
      <c r="O361" s="35"/>
      <c r="P361" s="35"/>
      <c r="Q361" s="35"/>
      <c r="R361" s="35"/>
      <c r="S361" s="35"/>
    </row>
    <row r="362">
      <c r="A362" s="24">
        <v>361.0</v>
      </c>
      <c r="B362" s="25" t="s">
        <v>1021</v>
      </c>
      <c r="C362" s="25" t="s">
        <v>1022</v>
      </c>
      <c r="D362" s="25">
        <v>333.0</v>
      </c>
      <c r="E362" s="34"/>
      <c r="F362" s="34"/>
      <c r="G362" s="34"/>
      <c r="H362" s="25">
        <v>364.0</v>
      </c>
      <c r="I362" s="25">
        <v>348.5</v>
      </c>
      <c r="J362" s="34"/>
      <c r="K362" s="35"/>
      <c r="L362" s="35"/>
      <c r="M362" s="35"/>
      <c r="N362" s="35"/>
      <c r="O362" s="35"/>
      <c r="P362" s="35"/>
      <c r="Q362" s="35"/>
      <c r="R362" s="35"/>
      <c r="S362" s="35"/>
    </row>
    <row r="363">
      <c r="A363" s="24">
        <v>362.0</v>
      </c>
      <c r="B363" s="25" t="s">
        <v>1023</v>
      </c>
      <c r="C363" s="25" t="s">
        <v>1024</v>
      </c>
      <c r="D363" s="25">
        <v>256.0</v>
      </c>
      <c r="E363" s="34"/>
      <c r="F363" s="34"/>
      <c r="G363" s="34"/>
      <c r="H363" s="34"/>
      <c r="I363" s="25">
        <v>256.0</v>
      </c>
      <c r="J363" s="34"/>
      <c r="K363" s="35"/>
      <c r="L363" s="35"/>
      <c r="M363" s="35"/>
      <c r="N363" s="35"/>
      <c r="O363" s="35"/>
      <c r="P363" s="35"/>
      <c r="Q363" s="35"/>
      <c r="R363" s="35"/>
      <c r="S363" s="35"/>
    </row>
    <row r="364">
      <c r="A364" s="24">
        <v>363.0</v>
      </c>
      <c r="B364" s="25" t="s">
        <v>1025</v>
      </c>
      <c r="C364" s="25" t="s">
        <v>1026</v>
      </c>
      <c r="D364" s="25">
        <v>257.0</v>
      </c>
      <c r="E364" s="34"/>
      <c r="F364" s="34"/>
      <c r="G364" s="34"/>
      <c r="H364" s="34"/>
      <c r="I364" s="25">
        <v>257.0</v>
      </c>
      <c r="J364" s="34"/>
      <c r="K364" s="35"/>
      <c r="L364" s="35"/>
      <c r="M364" s="35"/>
      <c r="N364" s="35"/>
      <c r="O364" s="35"/>
      <c r="P364" s="35"/>
      <c r="Q364" s="35"/>
      <c r="R364" s="35"/>
      <c r="S364" s="35"/>
    </row>
    <row r="365">
      <c r="A365" s="24">
        <v>364.0</v>
      </c>
      <c r="B365" s="25" t="s">
        <v>1027</v>
      </c>
      <c r="C365" s="25" t="s">
        <v>1028</v>
      </c>
      <c r="D365" s="25">
        <v>258.0</v>
      </c>
      <c r="E365" s="34"/>
      <c r="F365" s="34"/>
      <c r="G365" s="34"/>
      <c r="H365" s="34"/>
      <c r="I365" s="25">
        <v>258.0</v>
      </c>
      <c r="J365" s="34"/>
      <c r="K365" s="35"/>
      <c r="L365" s="35"/>
      <c r="M365" s="35"/>
      <c r="N365" s="35"/>
      <c r="O365" s="35"/>
      <c r="P365" s="35"/>
      <c r="Q365" s="35"/>
      <c r="R365" s="35"/>
      <c r="S365" s="35"/>
    </row>
    <row r="366">
      <c r="A366" s="24">
        <v>365.0</v>
      </c>
      <c r="B366" s="25" t="s">
        <v>1029</v>
      </c>
      <c r="C366" s="25" t="s">
        <v>1030</v>
      </c>
      <c r="D366" s="34"/>
      <c r="E366" s="34"/>
      <c r="F366" s="34"/>
      <c r="G366" s="34"/>
      <c r="H366" s="25">
        <v>258.0</v>
      </c>
      <c r="I366" s="25">
        <v>258.0</v>
      </c>
      <c r="J366" s="34"/>
      <c r="K366" s="35"/>
      <c r="L366" s="35"/>
      <c r="M366" s="35"/>
      <c r="N366" s="35"/>
      <c r="O366" s="35"/>
      <c r="P366" s="35"/>
      <c r="Q366" s="35"/>
      <c r="R366" s="35"/>
      <c r="S366" s="35"/>
    </row>
    <row r="367">
      <c r="A367" s="24">
        <v>366.0</v>
      </c>
      <c r="B367" s="25" t="s">
        <v>1031</v>
      </c>
      <c r="C367" s="25" t="s">
        <v>1032</v>
      </c>
      <c r="D367" s="34"/>
      <c r="E367" s="34"/>
      <c r="F367" s="34"/>
      <c r="G367" s="34"/>
      <c r="H367" s="25">
        <v>261.0</v>
      </c>
      <c r="I367" s="25">
        <v>261.0</v>
      </c>
      <c r="J367" s="25" t="s">
        <v>1033</v>
      </c>
      <c r="K367" s="35"/>
      <c r="L367" s="35"/>
      <c r="M367" s="35"/>
      <c r="N367" s="35"/>
      <c r="O367" s="35"/>
      <c r="P367" s="35"/>
      <c r="Q367" s="35"/>
      <c r="R367" s="35"/>
      <c r="S367" s="35"/>
    </row>
    <row r="368">
      <c r="A368" s="24">
        <v>367.0</v>
      </c>
      <c r="B368" s="25" t="s">
        <v>1034</v>
      </c>
      <c r="C368" s="25" t="s">
        <v>1035</v>
      </c>
      <c r="D368" s="25">
        <v>319.0</v>
      </c>
      <c r="E368" s="34"/>
      <c r="F368" s="34"/>
      <c r="G368" s="34"/>
      <c r="H368" s="25">
        <v>385.0</v>
      </c>
      <c r="I368" s="25">
        <v>352.0</v>
      </c>
      <c r="J368" s="34"/>
      <c r="K368" s="35"/>
      <c r="L368" s="35"/>
      <c r="M368" s="35"/>
      <c r="N368" s="35"/>
      <c r="O368" s="35"/>
      <c r="P368" s="35"/>
      <c r="Q368" s="35"/>
      <c r="R368" s="35"/>
      <c r="S368" s="35"/>
    </row>
    <row r="369">
      <c r="A369" s="24">
        <v>368.0</v>
      </c>
      <c r="B369" s="25" t="s">
        <v>1036</v>
      </c>
      <c r="C369" s="25" t="s">
        <v>1037</v>
      </c>
      <c r="D369" s="34"/>
      <c r="E369" s="34"/>
      <c r="F369" s="34"/>
      <c r="G369" s="34"/>
      <c r="H369" s="25">
        <v>263.0</v>
      </c>
      <c r="I369" s="25">
        <v>263.0</v>
      </c>
      <c r="J369" s="25" t="s">
        <v>1038</v>
      </c>
      <c r="K369" s="35"/>
      <c r="L369" s="35"/>
      <c r="M369" s="35"/>
      <c r="N369" s="35"/>
      <c r="O369" s="35"/>
      <c r="P369" s="35"/>
      <c r="Q369" s="35"/>
      <c r="R369" s="35"/>
      <c r="S369" s="35"/>
    </row>
    <row r="370">
      <c r="A370" s="24">
        <v>369.0</v>
      </c>
      <c r="B370" s="25" t="s">
        <v>1039</v>
      </c>
      <c r="C370" s="25" t="s">
        <v>1040</v>
      </c>
      <c r="D370" s="25">
        <v>275.0</v>
      </c>
      <c r="E370" s="34"/>
      <c r="F370" s="34"/>
      <c r="G370" s="34"/>
      <c r="H370" s="25">
        <v>431.0</v>
      </c>
      <c r="I370" s="25">
        <v>353.0</v>
      </c>
      <c r="J370" s="34"/>
      <c r="K370" s="35"/>
      <c r="L370" s="35"/>
      <c r="M370" s="35"/>
      <c r="N370" s="35"/>
      <c r="O370" s="35"/>
      <c r="P370" s="35"/>
      <c r="Q370" s="35"/>
      <c r="R370" s="35"/>
      <c r="S370" s="35"/>
    </row>
    <row r="371">
      <c r="A371" s="24">
        <v>370.0</v>
      </c>
      <c r="B371" s="25" t="s">
        <v>1041</v>
      </c>
      <c r="C371" s="25" t="s">
        <v>1042</v>
      </c>
      <c r="D371" s="25">
        <v>264.0</v>
      </c>
      <c r="E371" s="34"/>
      <c r="F371" s="34"/>
      <c r="G371" s="34"/>
      <c r="H371" s="34"/>
      <c r="I371" s="25">
        <v>264.0</v>
      </c>
      <c r="J371" s="34"/>
      <c r="K371" s="35"/>
      <c r="L371" s="35"/>
      <c r="M371" s="35"/>
      <c r="N371" s="35"/>
      <c r="O371" s="35"/>
      <c r="P371" s="35"/>
      <c r="Q371" s="35"/>
      <c r="R371" s="35"/>
      <c r="S371" s="35"/>
    </row>
    <row r="372">
      <c r="A372" s="24">
        <v>371.0</v>
      </c>
      <c r="B372" s="25" t="s">
        <v>1043</v>
      </c>
      <c r="C372" s="25" t="s">
        <v>1044</v>
      </c>
      <c r="D372" s="34"/>
      <c r="E372" s="25">
        <v>264.0</v>
      </c>
      <c r="F372" s="34"/>
      <c r="G372" s="34"/>
      <c r="H372" s="34"/>
      <c r="I372" s="25">
        <v>264.0</v>
      </c>
      <c r="J372" s="34"/>
      <c r="K372" s="35"/>
      <c r="L372" s="35"/>
      <c r="M372" s="35"/>
      <c r="N372" s="35"/>
      <c r="O372" s="35"/>
      <c r="P372" s="35"/>
      <c r="Q372" s="35"/>
      <c r="R372" s="35"/>
      <c r="S372" s="35"/>
    </row>
    <row r="373">
      <c r="A373" s="24">
        <v>372.0</v>
      </c>
      <c r="B373" s="25" t="s">
        <v>1045</v>
      </c>
      <c r="C373" s="25" t="s">
        <v>1046</v>
      </c>
      <c r="D373" s="25">
        <v>265.0</v>
      </c>
      <c r="E373" s="34"/>
      <c r="F373" s="34"/>
      <c r="G373" s="34"/>
      <c r="H373" s="34"/>
      <c r="I373" s="25">
        <v>265.0</v>
      </c>
      <c r="J373" s="34"/>
      <c r="K373" s="35"/>
      <c r="L373" s="35"/>
      <c r="M373" s="35"/>
      <c r="N373" s="35"/>
      <c r="O373" s="35"/>
      <c r="P373" s="35"/>
      <c r="Q373" s="35"/>
      <c r="R373" s="35"/>
      <c r="S373" s="35"/>
    </row>
    <row r="374">
      <c r="A374" s="24">
        <v>373.0</v>
      </c>
      <c r="B374" s="25" t="s">
        <v>1047</v>
      </c>
      <c r="C374" s="25" t="s">
        <v>1048</v>
      </c>
      <c r="D374" s="25">
        <v>315.0</v>
      </c>
      <c r="E374" s="34"/>
      <c r="F374" s="34"/>
      <c r="G374" s="34"/>
      <c r="H374" s="25">
        <v>393.0</v>
      </c>
      <c r="I374" s="25">
        <v>354.0</v>
      </c>
      <c r="J374" s="34"/>
      <c r="K374" s="35"/>
      <c r="L374" s="35"/>
      <c r="M374" s="35"/>
      <c r="N374" s="35"/>
      <c r="O374" s="35"/>
      <c r="P374" s="35"/>
      <c r="Q374" s="35"/>
      <c r="R374" s="35"/>
      <c r="S374" s="35"/>
    </row>
    <row r="375">
      <c r="A375" s="24">
        <v>374.0</v>
      </c>
      <c r="B375" s="25" t="s">
        <v>1049</v>
      </c>
      <c r="C375" s="25" t="s">
        <v>1050</v>
      </c>
      <c r="D375" s="25">
        <v>266.0</v>
      </c>
      <c r="E375" s="34"/>
      <c r="F375" s="34"/>
      <c r="G375" s="34"/>
      <c r="H375" s="34"/>
      <c r="I375" s="25">
        <v>266.0</v>
      </c>
      <c r="J375" s="34"/>
      <c r="K375" s="35"/>
      <c r="L375" s="35"/>
      <c r="M375" s="35"/>
      <c r="N375" s="35"/>
      <c r="O375" s="35"/>
      <c r="P375" s="35"/>
      <c r="Q375" s="35"/>
      <c r="R375" s="35"/>
      <c r="S375" s="35"/>
    </row>
    <row r="376">
      <c r="A376" s="24">
        <v>375.0</v>
      </c>
      <c r="B376" s="25" t="s">
        <v>1051</v>
      </c>
      <c r="C376" s="25" t="s">
        <v>1052</v>
      </c>
      <c r="D376" s="25">
        <v>267.0</v>
      </c>
      <c r="E376" s="34"/>
      <c r="F376" s="34"/>
      <c r="G376" s="34"/>
      <c r="H376" s="34"/>
      <c r="I376" s="25">
        <v>267.0</v>
      </c>
      <c r="J376" s="34"/>
      <c r="K376" s="35"/>
      <c r="L376" s="35"/>
      <c r="M376" s="35"/>
      <c r="N376" s="35"/>
      <c r="O376" s="35"/>
      <c r="P376" s="35"/>
      <c r="Q376" s="35"/>
      <c r="R376" s="35"/>
      <c r="S376" s="35"/>
    </row>
    <row r="377">
      <c r="A377" s="24">
        <v>376.0</v>
      </c>
      <c r="B377" s="25" t="s">
        <v>1053</v>
      </c>
      <c r="C377" s="25" t="s">
        <v>1054</v>
      </c>
      <c r="D377" s="25">
        <v>374.0</v>
      </c>
      <c r="E377" s="34"/>
      <c r="F377" s="34"/>
      <c r="G377" s="34"/>
      <c r="H377" s="25">
        <v>337.0</v>
      </c>
      <c r="I377" s="25">
        <v>355.5</v>
      </c>
      <c r="J377" s="34"/>
      <c r="K377" s="35"/>
      <c r="L377" s="35"/>
      <c r="M377" s="35"/>
      <c r="N377" s="35"/>
      <c r="O377" s="35"/>
      <c r="P377" s="35"/>
      <c r="Q377" s="35"/>
      <c r="R377" s="35"/>
      <c r="S377" s="35"/>
    </row>
    <row r="378">
      <c r="A378" s="24">
        <v>377.0</v>
      </c>
      <c r="B378" s="25" t="s">
        <v>1055</v>
      </c>
      <c r="C378" s="25" t="s">
        <v>1056</v>
      </c>
      <c r="D378" s="25">
        <v>269.0</v>
      </c>
      <c r="E378" s="34"/>
      <c r="F378" s="34"/>
      <c r="G378" s="34"/>
      <c r="H378" s="34"/>
      <c r="I378" s="25">
        <v>269.0</v>
      </c>
      <c r="J378" s="34"/>
      <c r="K378" s="35"/>
      <c r="L378" s="35"/>
      <c r="M378" s="35"/>
      <c r="N378" s="35"/>
      <c r="O378" s="35"/>
      <c r="P378" s="35"/>
      <c r="Q378" s="35"/>
      <c r="R378" s="35"/>
      <c r="S378" s="35"/>
    </row>
    <row r="379">
      <c r="A379" s="24">
        <v>378.0</v>
      </c>
      <c r="B379" s="25" t="s">
        <v>1057</v>
      </c>
      <c r="C379" s="25" t="s">
        <v>1058</v>
      </c>
      <c r="D379" s="25">
        <v>377.0</v>
      </c>
      <c r="E379" s="34"/>
      <c r="F379" s="34"/>
      <c r="G379" s="34"/>
      <c r="H379" s="25">
        <v>335.0</v>
      </c>
      <c r="I379" s="25">
        <v>356.0</v>
      </c>
      <c r="J379" s="34"/>
      <c r="K379" s="35"/>
      <c r="L379" s="35"/>
      <c r="M379" s="35"/>
      <c r="N379" s="35"/>
      <c r="O379" s="35"/>
      <c r="P379" s="35"/>
      <c r="Q379" s="35"/>
      <c r="R379" s="35"/>
      <c r="S379" s="35"/>
    </row>
    <row r="380">
      <c r="A380" s="24">
        <v>379.0</v>
      </c>
      <c r="B380" s="25" t="s">
        <v>1059</v>
      </c>
      <c r="C380" s="25" t="s">
        <v>1060</v>
      </c>
      <c r="D380" s="25">
        <v>270.0</v>
      </c>
      <c r="E380" s="34"/>
      <c r="F380" s="34"/>
      <c r="G380" s="34"/>
      <c r="H380" s="34"/>
      <c r="I380" s="25">
        <v>270.0</v>
      </c>
      <c r="J380" s="34"/>
      <c r="K380" s="35"/>
      <c r="L380" s="35"/>
      <c r="M380" s="35"/>
      <c r="N380" s="35"/>
      <c r="O380" s="35"/>
      <c r="P380" s="35"/>
      <c r="Q380" s="35"/>
      <c r="R380" s="35"/>
      <c r="S380" s="35"/>
    </row>
    <row r="381">
      <c r="A381" s="24">
        <v>380.0</v>
      </c>
      <c r="B381" s="25" t="s">
        <v>1061</v>
      </c>
      <c r="C381" s="25" t="s">
        <v>1062</v>
      </c>
      <c r="D381" s="25">
        <v>271.0</v>
      </c>
      <c r="E381" s="34"/>
      <c r="F381" s="34"/>
      <c r="G381" s="34"/>
      <c r="H381" s="34"/>
      <c r="I381" s="25">
        <v>271.0</v>
      </c>
      <c r="J381" s="34"/>
      <c r="K381" s="35"/>
      <c r="L381" s="35"/>
      <c r="M381" s="35"/>
      <c r="N381" s="35"/>
      <c r="O381" s="35"/>
      <c r="P381" s="35"/>
      <c r="Q381" s="35"/>
      <c r="R381" s="35"/>
      <c r="S381" s="35"/>
    </row>
    <row r="382">
      <c r="A382" s="24">
        <v>381.0</v>
      </c>
      <c r="B382" s="25" t="s">
        <v>1063</v>
      </c>
      <c r="C382" s="25" t="s">
        <v>1064</v>
      </c>
      <c r="D382" s="34"/>
      <c r="E382" s="25">
        <v>271.0</v>
      </c>
      <c r="F382" s="34"/>
      <c r="G382" s="34"/>
      <c r="H382" s="34"/>
      <c r="I382" s="25">
        <v>271.0</v>
      </c>
      <c r="J382" s="34"/>
      <c r="K382" s="35"/>
      <c r="L382" s="35"/>
      <c r="M382" s="35"/>
      <c r="N382" s="35"/>
      <c r="O382" s="35"/>
      <c r="P382" s="35"/>
      <c r="Q382" s="35"/>
      <c r="R382" s="35"/>
      <c r="S382" s="35"/>
    </row>
    <row r="383">
      <c r="A383" s="24">
        <v>382.0</v>
      </c>
      <c r="B383" s="25" t="s">
        <v>1065</v>
      </c>
      <c r="C383" s="25" t="s">
        <v>1066</v>
      </c>
      <c r="D383" s="25">
        <v>280.0</v>
      </c>
      <c r="E383" s="34"/>
      <c r="F383" s="34"/>
      <c r="G383" s="34"/>
      <c r="H383" s="25">
        <v>435.0</v>
      </c>
      <c r="I383" s="25">
        <v>357.5</v>
      </c>
      <c r="J383" s="34"/>
      <c r="K383" s="35"/>
      <c r="L383" s="35"/>
      <c r="M383" s="35"/>
      <c r="N383" s="35"/>
      <c r="O383" s="35"/>
      <c r="P383" s="35"/>
      <c r="Q383" s="35"/>
      <c r="R383" s="35"/>
      <c r="S383" s="35"/>
    </row>
    <row r="384">
      <c r="A384" s="24">
        <v>383.0</v>
      </c>
      <c r="B384" s="25" t="s">
        <v>1067</v>
      </c>
      <c r="C384" s="25" t="s">
        <v>1068</v>
      </c>
      <c r="D384" s="25">
        <v>387.0</v>
      </c>
      <c r="E384" s="34"/>
      <c r="F384" s="34"/>
      <c r="G384" s="34"/>
      <c r="H384" s="25">
        <v>328.0</v>
      </c>
      <c r="I384" s="25">
        <v>357.5</v>
      </c>
      <c r="J384" s="34"/>
      <c r="K384" s="35"/>
      <c r="L384" s="35"/>
      <c r="M384" s="35"/>
      <c r="N384" s="35"/>
      <c r="O384" s="35"/>
      <c r="P384" s="35"/>
      <c r="Q384" s="35"/>
      <c r="R384" s="35"/>
      <c r="S384" s="35"/>
    </row>
    <row r="385">
      <c r="A385" s="24">
        <v>384.0</v>
      </c>
      <c r="B385" s="25" t="s">
        <v>1069</v>
      </c>
      <c r="C385" s="25" t="s">
        <v>1070</v>
      </c>
      <c r="D385" s="34"/>
      <c r="E385" s="34"/>
      <c r="F385" s="34"/>
      <c r="G385" s="34"/>
      <c r="H385" s="25">
        <v>274.0</v>
      </c>
      <c r="I385" s="25">
        <v>274.0</v>
      </c>
      <c r="J385" s="34"/>
      <c r="K385" s="35"/>
      <c r="L385" s="35"/>
      <c r="M385" s="35"/>
      <c r="N385" s="35"/>
      <c r="O385" s="35"/>
      <c r="P385" s="35"/>
      <c r="Q385" s="35"/>
      <c r="R385" s="35"/>
      <c r="S385" s="35"/>
    </row>
    <row r="386">
      <c r="A386" s="24">
        <v>385.0</v>
      </c>
      <c r="B386" s="25" t="s">
        <v>1071</v>
      </c>
      <c r="C386" s="25" t="s">
        <v>1072</v>
      </c>
      <c r="D386" s="34"/>
      <c r="E386" s="25">
        <v>276.0</v>
      </c>
      <c r="F386" s="34"/>
      <c r="G386" s="34"/>
      <c r="H386" s="34"/>
      <c r="I386" s="25">
        <v>276.0</v>
      </c>
      <c r="J386" s="34"/>
      <c r="K386" s="35"/>
      <c r="L386" s="35"/>
      <c r="M386" s="35"/>
      <c r="N386" s="35"/>
      <c r="O386" s="35"/>
      <c r="P386" s="35"/>
      <c r="Q386" s="35"/>
      <c r="R386" s="35"/>
      <c r="S386" s="35"/>
    </row>
    <row r="387">
      <c r="A387" s="24">
        <v>386.0</v>
      </c>
      <c r="B387" s="25" t="s">
        <v>1073</v>
      </c>
      <c r="C387" s="25" t="s">
        <v>1074</v>
      </c>
      <c r="D387" s="25">
        <v>360.0</v>
      </c>
      <c r="E387" s="34"/>
      <c r="F387" s="34"/>
      <c r="G387" s="34"/>
      <c r="H387" s="25">
        <v>359.0</v>
      </c>
      <c r="I387" s="25">
        <v>359.5</v>
      </c>
      <c r="J387" s="34"/>
      <c r="K387" s="35"/>
      <c r="L387" s="35"/>
      <c r="M387" s="35"/>
      <c r="N387" s="35"/>
      <c r="O387" s="35"/>
      <c r="P387" s="35"/>
      <c r="Q387" s="35"/>
      <c r="R387" s="35"/>
      <c r="S387" s="35"/>
    </row>
    <row r="388">
      <c r="A388" s="24">
        <v>387.0</v>
      </c>
      <c r="B388" s="25" t="s">
        <v>1075</v>
      </c>
      <c r="C388" s="25" t="s">
        <v>1076</v>
      </c>
      <c r="D388" s="34"/>
      <c r="E388" s="25">
        <v>277.0</v>
      </c>
      <c r="F388" s="34"/>
      <c r="G388" s="34"/>
      <c r="H388" s="34"/>
      <c r="I388" s="25">
        <v>277.0</v>
      </c>
      <c r="J388" s="34"/>
      <c r="K388" s="35"/>
      <c r="L388" s="35"/>
      <c r="M388" s="35"/>
      <c r="N388" s="35"/>
      <c r="O388" s="35"/>
      <c r="P388" s="35"/>
      <c r="Q388" s="35"/>
      <c r="R388" s="35"/>
      <c r="S388" s="35"/>
    </row>
    <row r="389">
      <c r="A389" s="24">
        <v>388.0</v>
      </c>
      <c r="B389" s="25" t="s">
        <v>1077</v>
      </c>
      <c r="C389" s="25" t="s">
        <v>1078</v>
      </c>
      <c r="D389" s="34"/>
      <c r="E389" s="25">
        <v>279.0</v>
      </c>
      <c r="F389" s="34"/>
      <c r="G389" s="34"/>
      <c r="H389" s="34"/>
      <c r="I389" s="25">
        <v>279.0</v>
      </c>
      <c r="J389" s="34"/>
      <c r="K389" s="35"/>
      <c r="L389" s="35"/>
      <c r="M389" s="35"/>
      <c r="N389" s="35"/>
      <c r="O389" s="35"/>
      <c r="P389" s="35"/>
      <c r="Q389" s="35"/>
      <c r="R389" s="35"/>
      <c r="S389" s="35"/>
    </row>
    <row r="390">
      <c r="A390" s="24">
        <v>389.0</v>
      </c>
      <c r="B390" s="25" t="s">
        <v>1079</v>
      </c>
      <c r="C390" s="25" t="s">
        <v>1080</v>
      </c>
      <c r="D390" s="25">
        <v>282.0</v>
      </c>
      <c r="E390" s="34"/>
      <c r="F390" s="34"/>
      <c r="G390" s="34"/>
      <c r="H390" s="34"/>
      <c r="I390" s="25">
        <v>282.0</v>
      </c>
      <c r="J390" s="34"/>
      <c r="K390" s="35"/>
      <c r="L390" s="35"/>
      <c r="M390" s="35"/>
      <c r="N390" s="35"/>
      <c r="O390" s="35"/>
      <c r="P390" s="35"/>
      <c r="Q390" s="35"/>
      <c r="R390" s="35"/>
      <c r="S390" s="35"/>
    </row>
    <row r="391">
      <c r="A391" s="24">
        <v>390.0</v>
      </c>
      <c r="B391" s="25" t="s">
        <v>1081</v>
      </c>
      <c r="C391" s="25" t="s">
        <v>1082</v>
      </c>
      <c r="D391" s="25">
        <v>283.0</v>
      </c>
      <c r="E391" s="34"/>
      <c r="F391" s="34"/>
      <c r="G391" s="34"/>
      <c r="H391" s="34"/>
      <c r="I391" s="25">
        <v>283.0</v>
      </c>
      <c r="J391" s="34"/>
      <c r="K391" s="22"/>
      <c r="L391" s="22"/>
      <c r="M391" s="22"/>
      <c r="N391" s="22"/>
      <c r="O391" s="22"/>
      <c r="P391" s="22"/>
      <c r="Q391" s="22"/>
      <c r="R391" s="22"/>
      <c r="S391" s="22"/>
    </row>
    <row r="392">
      <c r="A392" s="24">
        <v>391.0</v>
      </c>
      <c r="B392" s="25" t="s">
        <v>1083</v>
      </c>
      <c r="C392" s="25" t="s">
        <v>1084</v>
      </c>
      <c r="D392" s="34"/>
      <c r="E392" s="34"/>
      <c r="F392" s="34"/>
      <c r="G392" s="34"/>
      <c r="H392" s="25">
        <v>283.0</v>
      </c>
      <c r="I392" s="25">
        <v>283.0</v>
      </c>
      <c r="J392" s="25" t="s">
        <v>1085</v>
      </c>
      <c r="K392" s="35"/>
      <c r="L392" s="35"/>
      <c r="M392" s="35"/>
      <c r="N392" s="35"/>
      <c r="O392" s="35"/>
      <c r="P392" s="35"/>
      <c r="Q392" s="35"/>
      <c r="R392" s="35"/>
      <c r="S392" s="35"/>
    </row>
    <row r="393">
      <c r="A393" s="24">
        <v>392.0</v>
      </c>
      <c r="B393" s="25" t="s">
        <v>1086</v>
      </c>
      <c r="C393" s="25" t="s">
        <v>1087</v>
      </c>
      <c r="D393" s="25">
        <v>284.0</v>
      </c>
      <c r="E393" s="34"/>
      <c r="F393" s="34"/>
      <c r="G393" s="34"/>
      <c r="H393" s="34"/>
      <c r="I393" s="25">
        <v>284.0</v>
      </c>
      <c r="J393" s="34"/>
      <c r="K393" s="35"/>
      <c r="L393" s="35"/>
      <c r="M393" s="35"/>
      <c r="N393" s="35"/>
      <c r="O393" s="35"/>
      <c r="P393" s="35"/>
      <c r="Q393" s="35"/>
      <c r="R393" s="35"/>
      <c r="S393" s="35"/>
    </row>
    <row r="394">
      <c r="A394" s="24">
        <v>393.0</v>
      </c>
      <c r="B394" s="25" t="s">
        <v>1088</v>
      </c>
      <c r="C394" s="25" t="s">
        <v>1089</v>
      </c>
      <c r="D394" s="25">
        <v>285.0</v>
      </c>
      <c r="E394" s="34"/>
      <c r="F394" s="34"/>
      <c r="G394" s="34"/>
      <c r="H394" s="34"/>
      <c r="I394" s="25">
        <v>285.0</v>
      </c>
      <c r="J394" s="34"/>
      <c r="K394" s="35"/>
      <c r="L394" s="35"/>
      <c r="M394" s="35"/>
      <c r="N394" s="35"/>
      <c r="O394" s="35"/>
      <c r="P394" s="35"/>
      <c r="Q394" s="35"/>
      <c r="R394" s="35"/>
      <c r="S394" s="35"/>
    </row>
    <row r="395">
      <c r="A395" s="24">
        <v>394.0</v>
      </c>
      <c r="B395" s="25" t="s">
        <v>1090</v>
      </c>
      <c r="C395" s="25" t="s">
        <v>1091</v>
      </c>
      <c r="D395" s="25">
        <v>386.0</v>
      </c>
      <c r="E395" s="34"/>
      <c r="F395" s="34"/>
      <c r="G395" s="34"/>
      <c r="H395" s="25">
        <v>342.0</v>
      </c>
      <c r="I395" s="25">
        <v>364.0</v>
      </c>
      <c r="J395" s="34"/>
      <c r="K395" s="35"/>
      <c r="L395" s="35"/>
      <c r="M395" s="35"/>
      <c r="N395" s="35"/>
      <c r="O395" s="35"/>
      <c r="P395" s="35"/>
      <c r="Q395" s="35"/>
      <c r="R395" s="35"/>
      <c r="S395" s="35"/>
    </row>
    <row r="396">
      <c r="A396" s="24">
        <v>395.0</v>
      </c>
      <c r="B396" s="25" t="s">
        <v>1092</v>
      </c>
      <c r="C396" s="25" t="s">
        <v>1093</v>
      </c>
      <c r="D396" s="25">
        <v>286.0</v>
      </c>
      <c r="E396" s="34"/>
      <c r="F396" s="34"/>
      <c r="G396" s="34"/>
      <c r="H396" s="34"/>
      <c r="I396" s="25">
        <v>286.0</v>
      </c>
      <c r="J396" s="34"/>
      <c r="K396" s="35"/>
      <c r="L396" s="35"/>
      <c r="M396" s="35"/>
      <c r="N396" s="35"/>
      <c r="O396" s="35"/>
      <c r="P396" s="35"/>
      <c r="Q396" s="35"/>
      <c r="R396" s="35"/>
      <c r="S396" s="35"/>
    </row>
    <row r="397">
      <c r="A397" s="24">
        <v>396.0</v>
      </c>
      <c r="B397" s="25" t="s">
        <v>1094</v>
      </c>
      <c r="C397" s="25" t="s">
        <v>1095</v>
      </c>
      <c r="D397" s="34"/>
      <c r="E397" s="25">
        <v>286.0</v>
      </c>
      <c r="F397" s="34"/>
      <c r="G397" s="34"/>
      <c r="H397" s="34"/>
      <c r="I397" s="25">
        <v>286.0</v>
      </c>
      <c r="J397" s="34"/>
      <c r="K397" s="35"/>
      <c r="L397" s="35"/>
      <c r="M397" s="35"/>
      <c r="N397" s="35"/>
      <c r="O397" s="35"/>
      <c r="P397" s="35"/>
      <c r="Q397" s="35"/>
      <c r="R397" s="35"/>
      <c r="S397" s="35"/>
    </row>
    <row r="398">
      <c r="A398" s="24">
        <v>397.0</v>
      </c>
      <c r="B398" s="25" t="s">
        <v>1096</v>
      </c>
      <c r="C398" s="25" t="s">
        <v>1097</v>
      </c>
      <c r="D398" s="34"/>
      <c r="E398" s="34"/>
      <c r="F398" s="34"/>
      <c r="G398" s="34"/>
      <c r="H398" s="25">
        <v>288.0</v>
      </c>
      <c r="I398" s="25">
        <v>288.0</v>
      </c>
      <c r="J398" s="34"/>
      <c r="K398" s="35"/>
      <c r="L398" s="35"/>
      <c r="M398" s="35"/>
      <c r="N398" s="35"/>
      <c r="O398" s="35"/>
      <c r="P398" s="35"/>
      <c r="Q398" s="35"/>
      <c r="R398" s="35"/>
      <c r="S398" s="35"/>
    </row>
    <row r="399">
      <c r="A399" s="24">
        <v>398.0</v>
      </c>
      <c r="B399" s="25" t="s">
        <v>1098</v>
      </c>
      <c r="C399" s="25" t="s">
        <v>1099</v>
      </c>
      <c r="D399" s="34"/>
      <c r="E399" s="25">
        <v>288.0</v>
      </c>
      <c r="F399" s="34"/>
      <c r="G399" s="34"/>
      <c r="H399" s="34"/>
      <c r="I399" s="25">
        <v>288.0</v>
      </c>
      <c r="J399" s="34"/>
      <c r="K399" s="35"/>
      <c r="L399" s="35"/>
      <c r="M399" s="35"/>
      <c r="N399" s="35"/>
      <c r="O399" s="35"/>
      <c r="P399" s="35"/>
      <c r="Q399" s="35"/>
      <c r="R399" s="35"/>
      <c r="S399" s="35"/>
    </row>
    <row r="400">
      <c r="A400" s="24">
        <v>399.0</v>
      </c>
      <c r="B400" s="25" t="s">
        <v>1100</v>
      </c>
      <c r="C400" s="25" t="s">
        <v>1101</v>
      </c>
      <c r="D400" s="34"/>
      <c r="E400" s="34"/>
      <c r="F400" s="34"/>
      <c r="G400" s="34"/>
      <c r="H400" s="25">
        <v>289.0</v>
      </c>
      <c r="I400" s="25">
        <v>289.0</v>
      </c>
      <c r="J400" s="34"/>
      <c r="K400" s="35"/>
      <c r="L400" s="35"/>
      <c r="M400" s="35"/>
      <c r="N400" s="35"/>
      <c r="O400" s="35"/>
      <c r="P400" s="35"/>
      <c r="Q400" s="35"/>
      <c r="R400" s="35"/>
      <c r="S400" s="35"/>
    </row>
    <row r="401">
      <c r="A401" s="24">
        <v>400.0</v>
      </c>
      <c r="B401" s="25" t="s">
        <v>1102</v>
      </c>
      <c r="C401" s="25" t="s">
        <v>1103</v>
      </c>
      <c r="D401" s="34"/>
      <c r="E401" s="25">
        <v>290.0</v>
      </c>
      <c r="F401" s="34"/>
      <c r="G401" s="34"/>
      <c r="H401" s="34"/>
      <c r="I401" s="25">
        <v>290.0</v>
      </c>
      <c r="J401" s="34"/>
      <c r="K401" s="35"/>
      <c r="L401" s="35"/>
      <c r="M401" s="35"/>
      <c r="N401" s="35"/>
      <c r="O401" s="35"/>
      <c r="P401" s="35"/>
      <c r="Q401" s="35"/>
      <c r="R401" s="35"/>
      <c r="S401" s="35"/>
    </row>
    <row r="402">
      <c r="A402" s="24">
        <v>401.0</v>
      </c>
      <c r="B402" s="25" t="s">
        <v>1104</v>
      </c>
      <c r="C402" s="25" t="s">
        <v>1105</v>
      </c>
      <c r="D402" s="34"/>
      <c r="E402" s="25">
        <v>291.0</v>
      </c>
      <c r="F402" s="34"/>
      <c r="G402" s="34"/>
      <c r="H402" s="34"/>
      <c r="I402" s="25">
        <v>291.0</v>
      </c>
      <c r="J402" s="34"/>
      <c r="K402" s="35"/>
      <c r="L402" s="35"/>
      <c r="M402" s="35"/>
      <c r="N402" s="35"/>
      <c r="O402" s="35"/>
      <c r="P402" s="35"/>
      <c r="Q402" s="35"/>
      <c r="R402" s="35"/>
      <c r="S402" s="35"/>
    </row>
    <row r="403">
      <c r="A403" s="24">
        <v>402.0</v>
      </c>
      <c r="B403" s="25" t="s">
        <v>1106</v>
      </c>
      <c r="C403" s="25" t="s">
        <v>1107</v>
      </c>
      <c r="D403" s="34"/>
      <c r="E403" s="34"/>
      <c r="F403" s="34"/>
      <c r="G403" s="34"/>
      <c r="H403" s="25">
        <v>293.0</v>
      </c>
      <c r="I403" s="25">
        <v>293.0</v>
      </c>
      <c r="J403" s="34"/>
      <c r="K403" s="35"/>
      <c r="L403" s="35"/>
      <c r="M403" s="35"/>
      <c r="N403" s="35"/>
      <c r="O403" s="35"/>
      <c r="P403" s="35"/>
      <c r="Q403" s="35"/>
      <c r="R403" s="35"/>
      <c r="S403" s="35"/>
    </row>
    <row r="404">
      <c r="A404" s="24">
        <v>403.0</v>
      </c>
      <c r="B404" s="25" t="s">
        <v>1108</v>
      </c>
      <c r="C404" s="25" t="s">
        <v>1109</v>
      </c>
      <c r="D404" s="34"/>
      <c r="E404" s="25">
        <v>293.0</v>
      </c>
      <c r="F404" s="34"/>
      <c r="G404" s="34"/>
      <c r="H404" s="34"/>
      <c r="I404" s="25">
        <v>293.0</v>
      </c>
      <c r="J404" s="34"/>
      <c r="K404" s="35"/>
      <c r="L404" s="35"/>
      <c r="M404" s="35"/>
      <c r="N404" s="35"/>
      <c r="O404" s="35"/>
      <c r="P404" s="35"/>
      <c r="Q404" s="35"/>
      <c r="R404" s="35"/>
      <c r="S404" s="35"/>
    </row>
    <row r="405">
      <c r="A405" s="24">
        <v>404.0</v>
      </c>
      <c r="B405" s="25" t="s">
        <v>1110</v>
      </c>
      <c r="C405" s="25" t="s">
        <v>1111</v>
      </c>
      <c r="D405" s="25">
        <v>294.0</v>
      </c>
      <c r="E405" s="34"/>
      <c r="F405" s="34"/>
      <c r="G405" s="34"/>
      <c r="H405" s="34"/>
      <c r="I405" s="25">
        <v>294.0</v>
      </c>
      <c r="J405" s="34"/>
      <c r="K405" s="35"/>
      <c r="L405" s="35"/>
      <c r="M405" s="35"/>
      <c r="N405" s="35"/>
      <c r="O405" s="35"/>
      <c r="P405" s="35"/>
      <c r="Q405" s="35"/>
      <c r="R405" s="35"/>
      <c r="S405" s="35"/>
    </row>
    <row r="406">
      <c r="A406" s="24">
        <v>405.0</v>
      </c>
      <c r="B406" s="25" t="s">
        <v>1112</v>
      </c>
      <c r="C406" s="25" t="s">
        <v>1113</v>
      </c>
      <c r="D406" s="34"/>
      <c r="E406" s="25">
        <v>294.0</v>
      </c>
      <c r="F406" s="34"/>
      <c r="G406" s="34"/>
      <c r="H406" s="34"/>
      <c r="I406" s="25">
        <v>294.0</v>
      </c>
      <c r="J406" s="34"/>
      <c r="K406" s="35"/>
      <c r="L406" s="35"/>
      <c r="M406" s="35"/>
      <c r="N406" s="35"/>
      <c r="O406" s="35"/>
      <c r="P406" s="35"/>
      <c r="Q406" s="35"/>
      <c r="R406" s="35"/>
      <c r="S406" s="35"/>
    </row>
    <row r="407">
      <c r="A407" s="24">
        <v>406.0</v>
      </c>
      <c r="B407" s="25" t="s">
        <v>1114</v>
      </c>
      <c r="C407" s="25" t="s">
        <v>1115</v>
      </c>
      <c r="D407" s="25">
        <v>420.0</v>
      </c>
      <c r="E407" s="34"/>
      <c r="F407" s="34"/>
      <c r="G407" s="34"/>
      <c r="H407" s="25">
        <v>317.0</v>
      </c>
      <c r="I407" s="25">
        <v>368.5</v>
      </c>
      <c r="J407" s="34"/>
      <c r="K407" s="35"/>
      <c r="L407" s="35"/>
      <c r="M407" s="35"/>
      <c r="N407" s="35"/>
      <c r="O407" s="35"/>
      <c r="P407" s="35"/>
      <c r="Q407" s="35"/>
      <c r="R407" s="35"/>
      <c r="S407" s="35"/>
    </row>
    <row r="408">
      <c r="A408" s="24">
        <v>407.0</v>
      </c>
      <c r="B408" s="25" t="s">
        <v>1116</v>
      </c>
      <c r="C408" s="25" t="s">
        <v>1117</v>
      </c>
      <c r="D408" s="34"/>
      <c r="E408" s="34"/>
      <c r="F408" s="34"/>
      <c r="G408" s="34"/>
      <c r="H408" s="25">
        <v>295.0</v>
      </c>
      <c r="I408" s="25">
        <v>295.0</v>
      </c>
      <c r="J408" s="25" t="s">
        <v>1118</v>
      </c>
      <c r="K408" s="35"/>
      <c r="L408" s="35"/>
      <c r="M408" s="35"/>
      <c r="N408" s="35"/>
      <c r="O408" s="35"/>
      <c r="P408" s="35"/>
      <c r="Q408" s="35"/>
      <c r="R408" s="35"/>
      <c r="S408" s="35"/>
    </row>
    <row r="409">
      <c r="A409" s="24">
        <v>408.0</v>
      </c>
      <c r="B409" s="25" t="s">
        <v>1119</v>
      </c>
      <c r="C409" s="25" t="s">
        <v>1120</v>
      </c>
      <c r="D409" s="25">
        <v>295.0</v>
      </c>
      <c r="E409" s="34"/>
      <c r="F409" s="34"/>
      <c r="G409" s="34"/>
      <c r="H409" s="34"/>
      <c r="I409" s="25">
        <v>295.0</v>
      </c>
      <c r="J409" s="34"/>
      <c r="K409" s="35"/>
      <c r="L409" s="35"/>
      <c r="M409" s="35"/>
      <c r="N409" s="35"/>
      <c r="O409" s="35"/>
      <c r="P409" s="35"/>
      <c r="Q409" s="35"/>
      <c r="R409" s="35"/>
      <c r="S409" s="35"/>
    </row>
    <row r="410">
      <c r="A410" s="24">
        <v>409.0</v>
      </c>
      <c r="B410" s="25" t="s">
        <v>1121</v>
      </c>
      <c r="C410" s="25" t="s">
        <v>1122</v>
      </c>
      <c r="D410" s="34"/>
      <c r="E410" s="34"/>
      <c r="F410" s="34"/>
      <c r="G410" s="34"/>
      <c r="H410" s="25">
        <v>296.0</v>
      </c>
      <c r="I410" s="25">
        <v>296.0</v>
      </c>
      <c r="J410" s="34"/>
      <c r="K410" s="35"/>
      <c r="L410" s="35"/>
      <c r="M410" s="35"/>
      <c r="N410" s="35"/>
      <c r="O410" s="35"/>
      <c r="P410" s="35"/>
      <c r="Q410" s="35"/>
      <c r="R410" s="35"/>
      <c r="S410" s="35"/>
    </row>
    <row r="411">
      <c r="A411" s="24">
        <v>410.0</v>
      </c>
      <c r="B411" s="25" t="s">
        <v>1123</v>
      </c>
      <c r="C411" s="25" t="s">
        <v>1124</v>
      </c>
      <c r="D411" s="34"/>
      <c r="E411" s="34"/>
      <c r="F411" s="34"/>
      <c r="G411" s="34"/>
      <c r="H411" s="25">
        <v>297.0</v>
      </c>
      <c r="I411" s="25">
        <v>297.0</v>
      </c>
      <c r="J411" s="34"/>
      <c r="K411" s="35"/>
      <c r="L411" s="35"/>
      <c r="M411" s="35"/>
      <c r="N411" s="35"/>
      <c r="O411" s="35"/>
      <c r="P411" s="35"/>
      <c r="Q411" s="35"/>
      <c r="R411" s="35"/>
      <c r="S411" s="35"/>
    </row>
    <row r="412">
      <c r="A412" s="24">
        <v>411.0</v>
      </c>
      <c r="B412" s="25" t="s">
        <v>1125</v>
      </c>
      <c r="C412" s="25" t="s">
        <v>1126</v>
      </c>
      <c r="D412" s="25">
        <v>297.0</v>
      </c>
      <c r="E412" s="34"/>
      <c r="F412" s="34"/>
      <c r="G412" s="34"/>
      <c r="H412" s="34"/>
      <c r="I412" s="25">
        <v>297.0</v>
      </c>
      <c r="J412" s="34"/>
      <c r="K412" s="35"/>
      <c r="L412" s="35"/>
      <c r="M412" s="35"/>
      <c r="N412" s="35"/>
      <c r="O412" s="35"/>
      <c r="P412" s="35"/>
      <c r="Q412" s="35"/>
      <c r="R412" s="35"/>
      <c r="S412" s="35"/>
    </row>
    <row r="413">
      <c r="A413" s="24">
        <v>412.0</v>
      </c>
      <c r="B413" s="25" t="s">
        <v>1127</v>
      </c>
      <c r="C413" s="25" t="s">
        <v>1128</v>
      </c>
      <c r="D413" s="25">
        <v>298.0</v>
      </c>
      <c r="E413" s="34"/>
      <c r="F413" s="34"/>
      <c r="G413" s="34"/>
      <c r="H413" s="34"/>
      <c r="I413" s="25">
        <v>298.0</v>
      </c>
      <c r="J413" s="34"/>
      <c r="K413" s="35"/>
      <c r="L413" s="35"/>
      <c r="M413" s="35"/>
      <c r="N413" s="35"/>
      <c r="O413" s="35"/>
      <c r="P413" s="35"/>
      <c r="Q413" s="35"/>
      <c r="R413" s="35"/>
      <c r="S413" s="35"/>
    </row>
    <row r="414">
      <c r="A414" s="24">
        <v>413.0</v>
      </c>
      <c r="B414" s="25" t="s">
        <v>1129</v>
      </c>
      <c r="C414" s="25" t="s">
        <v>1130</v>
      </c>
      <c r="D414" s="34"/>
      <c r="E414" s="25">
        <v>298.0</v>
      </c>
      <c r="F414" s="34"/>
      <c r="G414" s="34"/>
      <c r="H414" s="34"/>
      <c r="I414" s="25">
        <v>298.0</v>
      </c>
      <c r="J414" s="34"/>
      <c r="K414" s="35"/>
      <c r="L414" s="35"/>
      <c r="M414" s="35"/>
      <c r="N414" s="35"/>
      <c r="O414" s="35"/>
      <c r="P414" s="35"/>
      <c r="Q414" s="35"/>
      <c r="R414" s="35"/>
      <c r="S414" s="35"/>
    </row>
    <row r="415">
      <c r="A415" s="24">
        <v>414.0</v>
      </c>
      <c r="B415" s="25" t="s">
        <v>1131</v>
      </c>
      <c r="C415" s="25" t="s">
        <v>1132</v>
      </c>
      <c r="D415" s="25">
        <v>424.0</v>
      </c>
      <c r="E415" s="34"/>
      <c r="F415" s="34"/>
      <c r="G415" s="34"/>
      <c r="H415" s="25">
        <v>318.0</v>
      </c>
      <c r="I415" s="25">
        <v>371.0</v>
      </c>
      <c r="J415" s="34"/>
      <c r="K415" s="35"/>
      <c r="L415" s="35"/>
      <c r="M415" s="35"/>
      <c r="N415" s="35"/>
      <c r="O415" s="35"/>
      <c r="P415" s="35"/>
      <c r="Q415" s="35"/>
      <c r="R415" s="35"/>
      <c r="S415" s="35"/>
    </row>
    <row r="416">
      <c r="A416" s="24">
        <v>415.0</v>
      </c>
      <c r="B416" s="25" t="s">
        <v>1133</v>
      </c>
      <c r="C416" s="25" t="s">
        <v>1134</v>
      </c>
      <c r="D416" s="34"/>
      <c r="E416" s="25">
        <v>300.0</v>
      </c>
      <c r="F416" s="34"/>
      <c r="G416" s="34"/>
      <c r="H416" s="34"/>
      <c r="I416" s="25">
        <v>300.0</v>
      </c>
      <c r="J416" s="34"/>
      <c r="K416" s="35"/>
      <c r="L416" s="35"/>
      <c r="M416" s="35"/>
      <c r="N416" s="35"/>
      <c r="O416" s="35"/>
      <c r="P416" s="35"/>
      <c r="Q416" s="35"/>
      <c r="R416" s="35"/>
      <c r="S416" s="35"/>
    </row>
    <row r="417">
      <c r="A417" s="24">
        <v>416.0</v>
      </c>
      <c r="B417" s="25" t="s">
        <v>1135</v>
      </c>
      <c r="C417" s="25" t="s">
        <v>1136</v>
      </c>
      <c r="D417" s="25">
        <v>301.0</v>
      </c>
      <c r="E417" s="34"/>
      <c r="F417" s="34"/>
      <c r="G417" s="34"/>
      <c r="H417" s="34"/>
      <c r="I417" s="25">
        <v>301.0</v>
      </c>
      <c r="J417" s="34"/>
      <c r="K417" s="35"/>
      <c r="L417" s="35"/>
      <c r="M417" s="35"/>
      <c r="N417" s="35"/>
      <c r="O417" s="35"/>
      <c r="P417" s="35"/>
      <c r="Q417" s="35"/>
      <c r="R417" s="35"/>
      <c r="S417" s="35"/>
    </row>
    <row r="418">
      <c r="A418" s="24">
        <v>417.0</v>
      </c>
      <c r="B418" s="25" t="s">
        <v>1137</v>
      </c>
      <c r="C418" s="25" t="s">
        <v>1138</v>
      </c>
      <c r="D418" s="34"/>
      <c r="E418" s="25">
        <v>301.0</v>
      </c>
      <c r="F418" s="34"/>
      <c r="G418" s="34"/>
      <c r="H418" s="34"/>
      <c r="I418" s="25">
        <v>301.0</v>
      </c>
      <c r="J418" s="34"/>
      <c r="K418" s="35"/>
      <c r="L418" s="35"/>
      <c r="M418" s="35"/>
      <c r="N418" s="35"/>
      <c r="O418" s="35"/>
      <c r="P418" s="35"/>
      <c r="Q418" s="35"/>
      <c r="R418" s="35"/>
      <c r="S418" s="35"/>
    </row>
    <row r="419">
      <c r="A419" s="24">
        <v>418.0</v>
      </c>
      <c r="B419" s="25" t="s">
        <v>1139</v>
      </c>
      <c r="C419" s="25" t="s">
        <v>1140</v>
      </c>
      <c r="D419" s="34"/>
      <c r="E419" s="25">
        <v>302.0</v>
      </c>
      <c r="F419" s="34"/>
      <c r="G419" s="34"/>
      <c r="H419" s="34"/>
      <c r="I419" s="25">
        <v>302.0</v>
      </c>
      <c r="J419" s="34"/>
      <c r="K419" s="35"/>
      <c r="L419" s="35"/>
      <c r="M419" s="35"/>
      <c r="N419" s="35"/>
      <c r="O419" s="35"/>
      <c r="P419" s="35"/>
      <c r="Q419" s="35"/>
      <c r="R419" s="35"/>
      <c r="S419" s="35"/>
    </row>
    <row r="420">
      <c r="A420" s="24">
        <v>419.0</v>
      </c>
      <c r="B420" s="25" t="s">
        <v>1141</v>
      </c>
      <c r="C420" s="25" t="s">
        <v>1142</v>
      </c>
      <c r="D420" s="34"/>
      <c r="E420" s="34"/>
      <c r="F420" s="34"/>
      <c r="G420" s="34"/>
      <c r="H420" s="25">
        <v>302.0</v>
      </c>
      <c r="I420" s="25">
        <v>302.0</v>
      </c>
      <c r="J420" s="34"/>
      <c r="K420" s="35"/>
      <c r="L420" s="35"/>
      <c r="M420" s="35"/>
      <c r="N420" s="35"/>
      <c r="O420" s="35"/>
      <c r="P420" s="35"/>
      <c r="Q420" s="35"/>
      <c r="R420" s="35"/>
      <c r="S420" s="35"/>
    </row>
    <row r="421">
      <c r="A421" s="24">
        <v>420.0</v>
      </c>
      <c r="B421" s="25" t="s">
        <v>1143</v>
      </c>
      <c r="C421" s="25" t="s">
        <v>1144</v>
      </c>
      <c r="D421" s="25">
        <v>370.0</v>
      </c>
      <c r="E421" s="34"/>
      <c r="F421" s="34"/>
      <c r="G421" s="34"/>
      <c r="H421" s="25">
        <v>376.0</v>
      </c>
      <c r="I421" s="25">
        <v>373.0</v>
      </c>
      <c r="J421" s="34"/>
      <c r="K421" s="35"/>
      <c r="L421" s="35"/>
      <c r="M421" s="35"/>
      <c r="N421" s="35"/>
      <c r="O421" s="35"/>
      <c r="P421" s="35"/>
      <c r="Q421" s="35"/>
      <c r="R421" s="35"/>
      <c r="S421" s="35"/>
    </row>
    <row r="422">
      <c r="A422" s="24">
        <v>421.0</v>
      </c>
      <c r="B422" s="25" t="s">
        <v>1145</v>
      </c>
      <c r="C422" s="25" t="s">
        <v>1146</v>
      </c>
      <c r="D422" s="25">
        <v>304.0</v>
      </c>
      <c r="E422" s="34"/>
      <c r="F422" s="34"/>
      <c r="G422" s="34"/>
      <c r="H422" s="34"/>
      <c r="I422" s="25">
        <v>304.0</v>
      </c>
      <c r="J422" s="34"/>
      <c r="K422" s="35"/>
      <c r="L422" s="35"/>
      <c r="M422" s="35"/>
      <c r="N422" s="35"/>
      <c r="O422" s="35"/>
      <c r="P422" s="35"/>
      <c r="Q422" s="35"/>
      <c r="R422" s="35"/>
      <c r="S422" s="35"/>
    </row>
    <row r="423">
      <c r="A423" s="24">
        <v>422.0</v>
      </c>
      <c r="B423" s="25" t="s">
        <v>1147</v>
      </c>
      <c r="C423" s="25" t="s">
        <v>1148</v>
      </c>
      <c r="D423" s="25">
        <v>305.0</v>
      </c>
      <c r="E423" s="34"/>
      <c r="F423" s="34"/>
      <c r="G423" s="34"/>
      <c r="H423" s="34"/>
      <c r="I423" s="25">
        <v>305.0</v>
      </c>
      <c r="J423" s="34"/>
      <c r="K423" s="35"/>
      <c r="L423" s="35"/>
      <c r="M423" s="35"/>
      <c r="N423" s="35"/>
      <c r="O423" s="35"/>
      <c r="P423" s="35"/>
      <c r="Q423" s="35"/>
      <c r="R423" s="35"/>
      <c r="S423" s="35"/>
    </row>
    <row r="424">
      <c r="A424" s="24">
        <v>423.0</v>
      </c>
      <c r="B424" s="25" t="s">
        <v>1149</v>
      </c>
      <c r="C424" s="25" t="s">
        <v>1150</v>
      </c>
      <c r="D424" s="34"/>
      <c r="E424" s="25">
        <v>305.0</v>
      </c>
      <c r="F424" s="34"/>
      <c r="G424" s="34"/>
      <c r="H424" s="34"/>
      <c r="I424" s="25">
        <v>305.0</v>
      </c>
      <c r="J424" s="34"/>
      <c r="K424" s="35"/>
      <c r="L424" s="35"/>
      <c r="M424" s="35"/>
      <c r="N424" s="35"/>
      <c r="O424" s="35"/>
      <c r="P424" s="35"/>
      <c r="Q424" s="35"/>
      <c r="R424" s="35"/>
      <c r="S424" s="35"/>
    </row>
    <row r="425">
      <c r="A425" s="24">
        <v>424.0</v>
      </c>
      <c r="B425" s="25" t="s">
        <v>1151</v>
      </c>
      <c r="C425" s="25" t="s">
        <v>1152</v>
      </c>
      <c r="D425" s="34"/>
      <c r="E425" s="25">
        <v>306.0</v>
      </c>
      <c r="F425" s="34"/>
      <c r="G425" s="34"/>
      <c r="H425" s="34"/>
      <c r="I425" s="25">
        <v>306.0</v>
      </c>
      <c r="J425" s="34"/>
      <c r="K425" s="35"/>
      <c r="L425" s="35"/>
      <c r="M425" s="35"/>
      <c r="N425" s="35"/>
      <c r="O425" s="35"/>
      <c r="P425" s="35"/>
      <c r="Q425" s="35"/>
      <c r="R425" s="35"/>
      <c r="S425" s="35"/>
    </row>
    <row r="426">
      <c r="A426" s="24">
        <v>425.0</v>
      </c>
      <c r="B426" s="25" t="s">
        <v>1153</v>
      </c>
      <c r="C426" s="25" t="s">
        <v>1154</v>
      </c>
      <c r="D426" s="25">
        <v>306.0</v>
      </c>
      <c r="E426" s="34"/>
      <c r="F426" s="34"/>
      <c r="G426" s="34"/>
      <c r="H426" s="34"/>
      <c r="I426" s="25">
        <v>306.0</v>
      </c>
      <c r="J426" s="34"/>
      <c r="K426" s="35"/>
      <c r="L426" s="35"/>
      <c r="M426" s="35"/>
      <c r="N426" s="35"/>
      <c r="O426" s="35"/>
      <c r="P426" s="35"/>
      <c r="Q426" s="35"/>
      <c r="R426" s="35"/>
      <c r="S426" s="35"/>
    </row>
    <row r="427">
      <c r="A427" s="24">
        <v>426.0</v>
      </c>
      <c r="B427" s="25" t="s">
        <v>1155</v>
      </c>
      <c r="C427" s="25" t="s">
        <v>1156</v>
      </c>
      <c r="D427" s="25">
        <v>307.0</v>
      </c>
      <c r="E427" s="34"/>
      <c r="F427" s="34"/>
      <c r="G427" s="34"/>
      <c r="H427" s="34"/>
      <c r="I427" s="25">
        <v>307.0</v>
      </c>
      <c r="J427" s="34"/>
      <c r="K427" s="35"/>
      <c r="L427" s="35"/>
      <c r="M427" s="35"/>
      <c r="N427" s="35"/>
      <c r="O427" s="35"/>
      <c r="P427" s="35"/>
      <c r="Q427" s="35"/>
      <c r="R427" s="35"/>
      <c r="S427" s="35"/>
    </row>
    <row r="428">
      <c r="A428" s="24">
        <v>427.0</v>
      </c>
      <c r="B428" s="25" t="s">
        <v>1157</v>
      </c>
      <c r="C428" s="25" t="s">
        <v>1158</v>
      </c>
      <c r="D428" s="34"/>
      <c r="E428" s="25">
        <v>308.0</v>
      </c>
      <c r="F428" s="34"/>
      <c r="G428" s="34"/>
      <c r="H428" s="34"/>
      <c r="I428" s="25">
        <v>308.0</v>
      </c>
      <c r="J428" s="34"/>
      <c r="K428" s="35"/>
      <c r="L428" s="35"/>
      <c r="M428" s="35"/>
      <c r="N428" s="35"/>
      <c r="O428" s="35"/>
      <c r="P428" s="35"/>
      <c r="Q428" s="35"/>
      <c r="R428" s="35"/>
      <c r="S428" s="35"/>
    </row>
    <row r="429">
      <c r="A429" s="24">
        <v>428.0</v>
      </c>
      <c r="B429" s="25" t="s">
        <v>1159</v>
      </c>
      <c r="C429" s="25" t="s">
        <v>1160</v>
      </c>
      <c r="D429" s="25">
        <v>308.0</v>
      </c>
      <c r="E429" s="34"/>
      <c r="F429" s="34"/>
      <c r="G429" s="34"/>
      <c r="H429" s="34"/>
      <c r="I429" s="25">
        <v>308.0</v>
      </c>
      <c r="J429" s="34"/>
      <c r="K429" s="35"/>
      <c r="L429" s="35"/>
      <c r="M429" s="35"/>
      <c r="N429" s="35"/>
      <c r="O429" s="35"/>
      <c r="P429" s="35"/>
      <c r="Q429" s="35"/>
      <c r="R429" s="35"/>
      <c r="S429" s="35"/>
    </row>
    <row r="430">
      <c r="A430" s="24">
        <v>429.0</v>
      </c>
      <c r="B430" s="25" t="s">
        <v>1161</v>
      </c>
      <c r="C430" s="25" t="s">
        <v>1162</v>
      </c>
      <c r="D430" s="34"/>
      <c r="E430" s="25">
        <v>309.0</v>
      </c>
      <c r="F430" s="34"/>
      <c r="G430" s="34"/>
      <c r="H430" s="34"/>
      <c r="I430" s="25">
        <v>309.0</v>
      </c>
      <c r="J430" s="34"/>
      <c r="K430" s="35"/>
      <c r="L430" s="35"/>
      <c r="M430" s="35"/>
      <c r="N430" s="35"/>
      <c r="O430" s="35"/>
      <c r="P430" s="35"/>
      <c r="Q430" s="35"/>
      <c r="R430" s="35"/>
      <c r="S430" s="35"/>
    </row>
    <row r="431">
      <c r="A431" s="24">
        <v>430.0</v>
      </c>
      <c r="B431" s="25" t="s">
        <v>1163</v>
      </c>
      <c r="C431" s="25" t="s">
        <v>1164</v>
      </c>
      <c r="D431" s="34"/>
      <c r="E431" s="25">
        <v>310.0</v>
      </c>
      <c r="F431" s="34"/>
      <c r="G431" s="34"/>
      <c r="H431" s="34"/>
      <c r="I431" s="25">
        <v>310.0</v>
      </c>
      <c r="J431" s="34"/>
      <c r="K431" s="35"/>
      <c r="L431" s="35"/>
      <c r="M431" s="35"/>
      <c r="N431" s="35"/>
      <c r="O431" s="35"/>
      <c r="P431" s="35"/>
      <c r="Q431" s="35"/>
      <c r="R431" s="35"/>
      <c r="S431" s="35"/>
    </row>
    <row r="432">
      <c r="A432" s="24">
        <v>431.0</v>
      </c>
      <c r="B432" s="25" t="s">
        <v>1165</v>
      </c>
      <c r="C432" s="25" t="s">
        <v>1166</v>
      </c>
      <c r="D432" s="25">
        <v>367.0</v>
      </c>
      <c r="E432" s="34"/>
      <c r="F432" s="34"/>
      <c r="G432" s="34"/>
      <c r="H432" s="25">
        <v>387.0</v>
      </c>
      <c r="I432" s="25">
        <v>377.0</v>
      </c>
      <c r="J432" s="34"/>
      <c r="K432" s="35"/>
      <c r="L432" s="35"/>
      <c r="M432" s="35"/>
      <c r="N432" s="35"/>
      <c r="O432" s="35"/>
      <c r="P432" s="35"/>
      <c r="Q432" s="35"/>
      <c r="R432" s="35"/>
      <c r="S432" s="35"/>
    </row>
    <row r="433">
      <c r="A433" s="24">
        <v>432.0</v>
      </c>
      <c r="B433" s="25" t="s">
        <v>1167</v>
      </c>
      <c r="C433" s="25" t="s">
        <v>1168</v>
      </c>
      <c r="D433" s="34"/>
      <c r="E433" s="25">
        <v>312.0</v>
      </c>
      <c r="F433" s="34"/>
      <c r="G433" s="34"/>
      <c r="H433" s="34"/>
      <c r="I433" s="25">
        <v>312.0</v>
      </c>
      <c r="J433" s="34"/>
      <c r="K433" s="35"/>
      <c r="L433" s="35"/>
      <c r="M433" s="35"/>
      <c r="N433" s="35"/>
      <c r="O433" s="35"/>
      <c r="P433" s="35"/>
      <c r="Q433" s="35"/>
      <c r="R433" s="35"/>
      <c r="S433" s="35"/>
    </row>
    <row r="434">
      <c r="A434" s="24">
        <v>433.0</v>
      </c>
      <c r="B434" s="25" t="s">
        <v>1169</v>
      </c>
      <c r="C434" s="25" t="s">
        <v>1170</v>
      </c>
      <c r="D434" s="34"/>
      <c r="E434" s="34"/>
      <c r="F434" s="34"/>
      <c r="G434" s="34"/>
      <c r="H434" s="25">
        <v>312.0</v>
      </c>
      <c r="I434" s="25">
        <v>312.0</v>
      </c>
      <c r="J434" s="34"/>
      <c r="K434" s="35"/>
      <c r="L434" s="35"/>
      <c r="M434" s="35"/>
      <c r="N434" s="35"/>
      <c r="O434" s="35"/>
      <c r="P434" s="35"/>
      <c r="Q434" s="35"/>
      <c r="R434" s="35"/>
      <c r="S434" s="35"/>
    </row>
    <row r="435">
      <c r="A435" s="24">
        <v>434.0</v>
      </c>
      <c r="B435" s="25" t="s">
        <v>1171</v>
      </c>
      <c r="C435" s="25" t="s">
        <v>1172</v>
      </c>
      <c r="D435" s="25">
        <v>372.0</v>
      </c>
      <c r="E435" s="34"/>
      <c r="F435" s="34"/>
      <c r="G435" s="34"/>
      <c r="H435" s="25">
        <v>383.0</v>
      </c>
      <c r="I435" s="25">
        <v>377.5</v>
      </c>
      <c r="J435" s="34"/>
      <c r="K435" s="35"/>
      <c r="L435" s="35"/>
      <c r="M435" s="35"/>
      <c r="N435" s="35"/>
      <c r="O435" s="35"/>
      <c r="P435" s="35"/>
      <c r="Q435" s="35"/>
      <c r="R435" s="35"/>
      <c r="S435" s="35"/>
    </row>
    <row r="436">
      <c r="A436" s="24">
        <v>435.0</v>
      </c>
      <c r="B436" s="25" t="s">
        <v>1173</v>
      </c>
      <c r="C436" s="25" t="s">
        <v>1174</v>
      </c>
      <c r="D436" s="25">
        <v>373.0</v>
      </c>
      <c r="E436" s="34"/>
      <c r="F436" s="34"/>
      <c r="G436" s="34"/>
      <c r="H436" s="25">
        <v>382.0</v>
      </c>
      <c r="I436" s="25">
        <v>377.5</v>
      </c>
      <c r="J436" s="34"/>
      <c r="K436" s="35"/>
      <c r="L436" s="35"/>
      <c r="M436" s="35"/>
      <c r="N436" s="35"/>
      <c r="O436" s="35"/>
      <c r="P436" s="35"/>
      <c r="Q436" s="35"/>
      <c r="R436" s="35"/>
      <c r="S436" s="35"/>
    </row>
    <row r="437">
      <c r="A437" s="24">
        <v>436.0</v>
      </c>
      <c r="B437" s="25" t="s">
        <v>1175</v>
      </c>
      <c r="C437" s="25" t="s">
        <v>1176</v>
      </c>
      <c r="D437" s="34"/>
      <c r="E437" s="34"/>
      <c r="F437" s="34"/>
      <c r="G437" s="34"/>
      <c r="H437" s="25">
        <v>313.0</v>
      </c>
      <c r="I437" s="25">
        <v>313.0</v>
      </c>
      <c r="J437" s="34"/>
      <c r="K437" s="35"/>
      <c r="L437" s="35"/>
      <c r="M437" s="35"/>
      <c r="N437" s="35"/>
      <c r="O437" s="35"/>
      <c r="P437" s="35"/>
      <c r="Q437" s="35"/>
      <c r="R437" s="35"/>
      <c r="S437" s="35"/>
    </row>
    <row r="438">
      <c r="A438" s="24">
        <v>437.0</v>
      </c>
      <c r="B438" s="25" t="s">
        <v>1177</v>
      </c>
      <c r="C438" s="25" t="s">
        <v>1178</v>
      </c>
      <c r="D438" s="34"/>
      <c r="E438" s="25">
        <v>314.0</v>
      </c>
      <c r="F438" s="34"/>
      <c r="G438" s="34"/>
      <c r="H438" s="34"/>
      <c r="I438" s="25">
        <v>314.0</v>
      </c>
      <c r="J438" s="34"/>
      <c r="K438" s="35"/>
      <c r="L438" s="35"/>
      <c r="M438" s="35"/>
      <c r="N438" s="35"/>
      <c r="O438" s="35"/>
      <c r="P438" s="35"/>
      <c r="Q438" s="35"/>
      <c r="R438" s="35"/>
      <c r="S438" s="35"/>
    </row>
    <row r="439">
      <c r="A439" s="24">
        <v>438.0</v>
      </c>
      <c r="B439" s="25" t="s">
        <v>1179</v>
      </c>
      <c r="C439" s="25" t="s">
        <v>1180</v>
      </c>
      <c r="D439" s="34"/>
      <c r="E439" s="25">
        <v>315.0</v>
      </c>
      <c r="F439" s="34"/>
      <c r="G439" s="34"/>
      <c r="H439" s="34"/>
      <c r="I439" s="25">
        <v>315.0</v>
      </c>
      <c r="J439" s="34"/>
      <c r="K439" s="35"/>
      <c r="L439" s="35"/>
      <c r="M439" s="35"/>
      <c r="N439" s="35"/>
      <c r="O439" s="35"/>
      <c r="P439" s="35"/>
      <c r="Q439" s="35"/>
      <c r="R439" s="35"/>
      <c r="S439" s="35"/>
    </row>
    <row r="440">
      <c r="A440" s="24">
        <v>439.0</v>
      </c>
      <c r="B440" s="25" t="s">
        <v>1181</v>
      </c>
      <c r="C440" s="25" t="s">
        <v>1182</v>
      </c>
      <c r="D440" s="34"/>
      <c r="E440" s="34"/>
      <c r="F440" s="34"/>
      <c r="G440" s="34"/>
      <c r="H440" s="25">
        <v>315.0</v>
      </c>
      <c r="I440" s="25">
        <v>315.0</v>
      </c>
      <c r="J440" s="34"/>
      <c r="K440" s="35"/>
      <c r="L440" s="35"/>
      <c r="M440" s="35"/>
      <c r="N440" s="35"/>
      <c r="O440" s="35"/>
      <c r="P440" s="35"/>
      <c r="Q440" s="35"/>
      <c r="R440" s="35"/>
      <c r="S440" s="35"/>
    </row>
    <row r="441">
      <c r="A441" s="24">
        <v>440.0</v>
      </c>
      <c r="B441" s="25" t="s">
        <v>1183</v>
      </c>
      <c r="C441" s="25" t="s">
        <v>1184</v>
      </c>
      <c r="D441" s="34"/>
      <c r="E441" s="25">
        <v>360.0</v>
      </c>
      <c r="F441" s="34"/>
      <c r="G441" s="34"/>
      <c r="H441" s="25">
        <v>398.0</v>
      </c>
      <c r="I441" s="25">
        <v>379.0</v>
      </c>
      <c r="J441" s="34"/>
      <c r="K441" s="35"/>
      <c r="L441" s="35"/>
      <c r="M441" s="35"/>
      <c r="N441" s="35"/>
      <c r="O441" s="35"/>
      <c r="P441" s="35"/>
      <c r="Q441" s="35"/>
      <c r="R441" s="35"/>
      <c r="S441" s="35"/>
    </row>
    <row r="442">
      <c r="A442" s="24">
        <v>441.0</v>
      </c>
      <c r="B442" s="25" t="s">
        <v>1185</v>
      </c>
      <c r="C442" s="25" t="s">
        <v>1186</v>
      </c>
      <c r="D442" s="34"/>
      <c r="E442" s="25">
        <v>316.0</v>
      </c>
      <c r="F442" s="34"/>
      <c r="G442" s="34"/>
      <c r="H442" s="34"/>
      <c r="I442" s="25">
        <v>316.0</v>
      </c>
      <c r="J442" s="34"/>
      <c r="K442" s="35"/>
      <c r="L442" s="35"/>
      <c r="M442" s="35"/>
      <c r="N442" s="35"/>
      <c r="O442" s="35"/>
      <c r="P442" s="35"/>
      <c r="Q442" s="35"/>
      <c r="R442" s="35"/>
      <c r="S442" s="35"/>
    </row>
    <row r="443">
      <c r="A443" s="24">
        <v>442.0</v>
      </c>
      <c r="B443" s="25" t="s">
        <v>1187</v>
      </c>
      <c r="C443" s="25" t="s">
        <v>1188</v>
      </c>
      <c r="D443" s="34"/>
      <c r="E443" s="34"/>
      <c r="F443" s="34"/>
      <c r="G443" s="34"/>
      <c r="H443" s="25">
        <v>316.0</v>
      </c>
      <c r="I443" s="25">
        <v>316.0</v>
      </c>
      <c r="J443" s="34"/>
      <c r="K443" s="35"/>
      <c r="L443" s="35"/>
      <c r="M443" s="35"/>
      <c r="N443" s="35"/>
      <c r="O443" s="35"/>
      <c r="P443" s="35"/>
      <c r="Q443" s="35"/>
      <c r="R443" s="35"/>
      <c r="S443" s="35"/>
    </row>
    <row r="444">
      <c r="A444" s="24">
        <v>443.0</v>
      </c>
      <c r="B444" s="25" t="s">
        <v>1189</v>
      </c>
      <c r="C444" s="25" t="s">
        <v>1190</v>
      </c>
      <c r="D444" s="25">
        <v>421.0</v>
      </c>
      <c r="E444" s="34"/>
      <c r="F444" s="34"/>
      <c r="G444" s="34"/>
      <c r="H444" s="25">
        <v>338.0</v>
      </c>
      <c r="I444" s="25">
        <v>379.5</v>
      </c>
      <c r="J444" s="34"/>
      <c r="K444" s="35"/>
      <c r="L444" s="35"/>
      <c r="M444" s="35"/>
      <c r="N444" s="35"/>
      <c r="O444" s="35"/>
      <c r="P444" s="35"/>
      <c r="Q444" s="35"/>
      <c r="R444" s="35"/>
      <c r="S444" s="35"/>
    </row>
    <row r="445">
      <c r="A445" s="24">
        <v>444.0</v>
      </c>
      <c r="B445" s="25" t="s">
        <v>1191</v>
      </c>
      <c r="C445" s="25" t="s">
        <v>1192</v>
      </c>
      <c r="D445" s="25">
        <v>425.0</v>
      </c>
      <c r="E445" s="34"/>
      <c r="F445" s="34"/>
      <c r="G445" s="34"/>
      <c r="H445" s="25">
        <v>336.0</v>
      </c>
      <c r="I445" s="25">
        <v>380.5</v>
      </c>
      <c r="J445" s="34"/>
      <c r="K445" s="35"/>
      <c r="L445" s="35"/>
      <c r="M445" s="35"/>
      <c r="N445" s="35"/>
      <c r="O445" s="35"/>
      <c r="P445" s="35"/>
      <c r="Q445" s="35"/>
      <c r="R445" s="35"/>
      <c r="S445" s="35"/>
    </row>
    <row r="446">
      <c r="A446" s="24">
        <v>445.0</v>
      </c>
      <c r="B446" s="25" t="s">
        <v>1193</v>
      </c>
      <c r="C446" s="25" t="s">
        <v>1194</v>
      </c>
      <c r="D446" s="34"/>
      <c r="E446" s="25">
        <v>319.0</v>
      </c>
      <c r="F446" s="34"/>
      <c r="G446" s="34"/>
      <c r="H446" s="34"/>
      <c r="I446" s="25">
        <v>319.0</v>
      </c>
      <c r="J446" s="34"/>
      <c r="K446" s="35"/>
      <c r="L446" s="35"/>
      <c r="M446" s="35"/>
      <c r="N446" s="35"/>
      <c r="O446" s="35"/>
      <c r="P446" s="35"/>
      <c r="Q446" s="35"/>
      <c r="R446" s="35"/>
      <c r="S446" s="35"/>
    </row>
    <row r="447">
      <c r="A447" s="24">
        <v>446.0</v>
      </c>
      <c r="B447" s="25" t="s">
        <v>1195</v>
      </c>
      <c r="C447" s="25" t="s">
        <v>1196</v>
      </c>
      <c r="D447" s="34"/>
      <c r="E447" s="34"/>
      <c r="F447" s="34"/>
      <c r="G447" s="34"/>
      <c r="H447" s="25">
        <v>319.0</v>
      </c>
      <c r="I447" s="25">
        <v>319.0</v>
      </c>
      <c r="J447" s="34"/>
      <c r="K447" s="35"/>
      <c r="L447" s="35"/>
      <c r="M447" s="35"/>
      <c r="N447" s="35"/>
      <c r="O447" s="35"/>
      <c r="P447" s="35"/>
      <c r="Q447" s="35"/>
      <c r="R447" s="35"/>
      <c r="S447" s="35"/>
    </row>
    <row r="448">
      <c r="A448" s="24">
        <v>447.0</v>
      </c>
      <c r="B448" s="25" t="s">
        <v>1197</v>
      </c>
      <c r="C448" s="25" t="s">
        <v>1198</v>
      </c>
      <c r="D448" s="34"/>
      <c r="E448" s="25">
        <v>320.0</v>
      </c>
      <c r="F448" s="34"/>
      <c r="G448" s="34"/>
      <c r="H448" s="34"/>
      <c r="I448" s="25">
        <v>320.0</v>
      </c>
      <c r="J448" s="34"/>
      <c r="K448" s="35"/>
      <c r="L448" s="35"/>
      <c r="M448" s="35"/>
      <c r="N448" s="35"/>
      <c r="O448" s="35"/>
      <c r="P448" s="35"/>
      <c r="Q448" s="35"/>
      <c r="R448" s="35"/>
      <c r="S448" s="35"/>
    </row>
    <row r="449">
      <c r="A449" s="24">
        <v>448.0</v>
      </c>
      <c r="B449" s="25" t="s">
        <v>1199</v>
      </c>
      <c r="C449" s="25" t="s">
        <v>1200</v>
      </c>
      <c r="D449" s="25">
        <v>320.0</v>
      </c>
      <c r="E449" s="34"/>
      <c r="F449" s="34"/>
      <c r="G449" s="34"/>
      <c r="H449" s="34"/>
      <c r="I449" s="25">
        <v>320.0</v>
      </c>
      <c r="J449" s="34"/>
      <c r="K449" s="35"/>
      <c r="L449" s="35"/>
      <c r="M449" s="35"/>
      <c r="N449" s="35"/>
      <c r="O449" s="35"/>
      <c r="P449" s="35"/>
      <c r="Q449" s="35"/>
      <c r="R449" s="35"/>
      <c r="S449" s="35"/>
    </row>
    <row r="450">
      <c r="A450" s="24">
        <v>449.0</v>
      </c>
      <c r="B450" s="25" t="s">
        <v>1201</v>
      </c>
      <c r="C450" s="25" t="s">
        <v>1202</v>
      </c>
      <c r="D450" s="34"/>
      <c r="E450" s="25">
        <v>321.0</v>
      </c>
      <c r="F450" s="34"/>
      <c r="G450" s="34"/>
      <c r="H450" s="34"/>
      <c r="I450" s="25">
        <v>321.0</v>
      </c>
      <c r="J450" s="34"/>
      <c r="K450" s="35"/>
      <c r="L450" s="35"/>
      <c r="M450" s="35"/>
      <c r="N450" s="35"/>
      <c r="O450" s="35"/>
      <c r="P450" s="35"/>
      <c r="Q450" s="35"/>
      <c r="R450" s="35"/>
      <c r="S450" s="35"/>
    </row>
    <row r="451">
      <c r="A451" s="24">
        <v>450.0</v>
      </c>
      <c r="B451" s="25" t="s">
        <v>1203</v>
      </c>
      <c r="C451" s="25" t="s">
        <v>1204</v>
      </c>
      <c r="D451" s="25">
        <v>321.0</v>
      </c>
      <c r="E451" s="34"/>
      <c r="F451" s="34"/>
      <c r="G451" s="34"/>
      <c r="H451" s="34"/>
      <c r="I451" s="25">
        <v>321.0</v>
      </c>
      <c r="J451" s="34"/>
      <c r="K451" s="35"/>
      <c r="L451" s="35"/>
      <c r="M451" s="35"/>
      <c r="N451" s="35"/>
      <c r="O451" s="35"/>
      <c r="P451" s="35"/>
      <c r="Q451" s="35"/>
      <c r="R451" s="35"/>
      <c r="S451" s="35"/>
    </row>
    <row r="452">
      <c r="A452" s="24">
        <v>451.0</v>
      </c>
      <c r="B452" s="25" t="s">
        <v>1205</v>
      </c>
      <c r="C452" s="25" t="s">
        <v>1206</v>
      </c>
      <c r="D452" s="25">
        <v>447.0</v>
      </c>
      <c r="E452" s="34"/>
      <c r="F452" s="34"/>
      <c r="G452" s="34"/>
      <c r="H452" s="25">
        <v>321.0</v>
      </c>
      <c r="I452" s="25">
        <v>384.0</v>
      </c>
      <c r="J452" s="34"/>
      <c r="K452" s="35"/>
      <c r="L452" s="35"/>
      <c r="M452" s="35"/>
      <c r="N452" s="35"/>
      <c r="O452" s="35"/>
      <c r="P452" s="35"/>
      <c r="Q452" s="35"/>
      <c r="R452" s="35"/>
      <c r="S452" s="35"/>
    </row>
    <row r="453">
      <c r="A453" s="24">
        <v>452.0</v>
      </c>
      <c r="B453" s="25" t="s">
        <v>1207</v>
      </c>
      <c r="C453" s="25" t="s">
        <v>1208</v>
      </c>
      <c r="D453" s="34"/>
      <c r="E453" s="34"/>
      <c r="F453" s="34"/>
      <c r="G453" s="34"/>
      <c r="H453" s="25">
        <v>322.0</v>
      </c>
      <c r="I453" s="25">
        <v>322.0</v>
      </c>
      <c r="J453" s="34"/>
      <c r="K453" s="35"/>
      <c r="L453" s="35"/>
      <c r="M453" s="35"/>
      <c r="N453" s="35"/>
      <c r="O453" s="35"/>
      <c r="P453" s="35"/>
      <c r="Q453" s="35"/>
      <c r="R453" s="35"/>
      <c r="S453" s="35"/>
    </row>
    <row r="454">
      <c r="A454" s="24">
        <v>453.0</v>
      </c>
      <c r="B454" s="25" t="s">
        <v>1209</v>
      </c>
      <c r="C454" s="25" t="s">
        <v>1210</v>
      </c>
      <c r="D454" s="25">
        <v>322.0</v>
      </c>
      <c r="E454" s="34"/>
      <c r="F454" s="34"/>
      <c r="G454" s="34"/>
      <c r="H454" s="34"/>
      <c r="I454" s="25">
        <v>322.0</v>
      </c>
      <c r="J454" s="34"/>
      <c r="K454" s="35"/>
      <c r="L454" s="35"/>
      <c r="M454" s="35"/>
      <c r="N454" s="35"/>
      <c r="O454" s="35"/>
      <c r="P454" s="35"/>
      <c r="Q454" s="35"/>
      <c r="R454" s="35"/>
      <c r="S454" s="35"/>
    </row>
    <row r="455">
      <c r="A455" s="24">
        <v>454.0</v>
      </c>
      <c r="B455" s="25" t="s">
        <v>1211</v>
      </c>
      <c r="C455" s="25" t="s">
        <v>1212</v>
      </c>
      <c r="D455" s="25">
        <v>323.0</v>
      </c>
      <c r="E455" s="34"/>
      <c r="F455" s="34"/>
      <c r="G455" s="34"/>
      <c r="H455" s="34"/>
      <c r="I455" s="25">
        <v>323.0</v>
      </c>
      <c r="J455" s="34"/>
      <c r="K455" s="35"/>
      <c r="L455" s="35"/>
      <c r="M455" s="35"/>
      <c r="N455" s="35"/>
      <c r="O455" s="35"/>
      <c r="P455" s="35"/>
      <c r="Q455" s="35"/>
      <c r="R455" s="35"/>
      <c r="S455" s="35"/>
    </row>
    <row r="456">
      <c r="A456" s="24">
        <v>455.0</v>
      </c>
      <c r="B456" s="25" t="s">
        <v>1213</v>
      </c>
      <c r="C456" s="25" t="s">
        <v>1214</v>
      </c>
      <c r="D456" s="25">
        <v>324.0</v>
      </c>
      <c r="E456" s="34"/>
      <c r="F456" s="34"/>
      <c r="G456" s="34"/>
      <c r="H456" s="34"/>
      <c r="I456" s="25">
        <v>324.0</v>
      </c>
      <c r="J456" s="34"/>
      <c r="K456" s="35"/>
      <c r="L456" s="35"/>
      <c r="M456" s="35"/>
      <c r="N456" s="35"/>
      <c r="O456" s="35"/>
      <c r="P456" s="35"/>
      <c r="Q456" s="35"/>
      <c r="R456" s="35"/>
      <c r="S456" s="35"/>
    </row>
    <row r="457">
      <c r="A457" s="24">
        <v>456.0</v>
      </c>
      <c r="B457" s="25" t="s">
        <v>1215</v>
      </c>
      <c r="C457" s="25" t="s">
        <v>1216</v>
      </c>
      <c r="D457" s="34"/>
      <c r="E457" s="25">
        <v>325.0</v>
      </c>
      <c r="F457" s="34"/>
      <c r="G457" s="34"/>
      <c r="H457" s="34"/>
      <c r="I457" s="25">
        <v>325.0</v>
      </c>
      <c r="J457" s="34"/>
      <c r="K457" s="35"/>
      <c r="L457" s="35"/>
      <c r="M457" s="35"/>
      <c r="N457" s="35"/>
      <c r="O457" s="35"/>
      <c r="P457" s="35"/>
      <c r="Q457" s="35"/>
      <c r="R457" s="35"/>
      <c r="S457" s="35"/>
    </row>
    <row r="458">
      <c r="A458" s="24">
        <v>457.0</v>
      </c>
      <c r="B458" s="25" t="s">
        <v>1217</v>
      </c>
      <c r="C458" s="25" t="s">
        <v>1218</v>
      </c>
      <c r="D458" s="34"/>
      <c r="E458" s="34"/>
      <c r="F458" s="34"/>
      <c r="G458" s="34"/>
      <c r="H458" s="25">
        <v>326.0</v>
      </c>
      <c r="I458" s="25">
        <v>326.0</v>
      </c>
      <c r="J458" s="34"/>
      <c r="K458" s="35"/>
      <c r="L458" s="35"/>
      <c r="M458" s="35"/>
      <c r="N458" s="35"/>
      <c r="O458" s="35"/>
      <c r="P458" s="35"/>
      <c r="Q458" s="35"/>
      <c r="R458" s="35"/>
      <c r="S458" s="35"/>
    </row>
    <row r="459">
      <c r="A459" s="24">
        <v>458.0</v>
      </c>
      <c r="B459" s="25" t="s">
        <v>1219</v>
      </c>
      <c r="C459" s="25" t="s">
        <v>1220</v>
      </c>
      <c r="D459" s="25">
        <v>326.0</v>
      </c>
      <c r="E459" s="34"/>
      <c r="F459" s="34"/>
      <c r="G459" s="34"/>
      <c r="H459" s="34"/>
      <c r="I459" s="25">
        <v>326.0</v>
      </c>
      <c r="J459" s="34"/>
      <c r="K459" s="35"/>
      <c r="L459" s="35"/>
      <c r="M459" s="35"/>
      <c r="N459" s="35"/>
      <c r="O459" s="35"/>
      <c r="P459" s="35"/>
      <c r="Q459" s="35"/>
      <c r="R459" s="35"/>
      <c r="S459" s="35"/>
    </row>
    <row r="460">
      <c r="A460" s="24">
        <v>459.0</v>
      </c>
      <c r="B460" s="25" t="s">
        <v>1221</v>
      </c>
      <c r="C460" s="25" t="s">
        <v>1222</v>
      </c>
      <c r="D460" s="34"/>
      <c r="E460" s="25">
        <v>327.0</v>
      </c>
      <c r="F460" s="34"/>
      <c r="G460" s="34"/>
      <c r="H460" s="34"/>
      <c r="I460" s="25">
        <v>327.0</v>
      </c>
      <c r="J460" s="34"/>
      <c r="K460" s="35"/>
      <c r="L460" s="35"/>
      <c r="M460" s="35"/>
      <c r="N460" s="35"/>
      <c r="O460" s="35"/>
      <c r="P460" s="35"/>
      <c r="Q460" s="35"/>
      <c r="R460" s="35"/>
      <c r="S460" s="35"/>
    </row>
    <row r="461">
      <c r="A461" s="24">
        <v>460.0</v>
      </c>
      <c r="B461" s="25" t="s">
        <v>1223</v>
      </c>
      <c r="C461" s="25" t="s">
        <v>1224</v>
      </c>
      <c r="D461" s="25">
        <v>327.0</v>
      </c>
      <c r="E461" s="34"/>
      <c r="F461" s="34"/>
      <c r="G461" s="34"/>
      <c r="H461" s="34"/>
      <c r="I461" s="25">
        <v>327.0</v>
      </c>
      <c r="J461" s="34"/>
      <c r="K461" s="35"/>
      <c r="L461" s="35"/>
      <c r="M461" s="35"/>
      <c r="N461" s="35"/>
      <c r="O461" s="35"/>
      <c r="P461" s="35"/>
      <c r="Q461" s="35"/>
      <c r="R461" s="35"/>
      <c r="S461" s="35"/>
    </row>
    <row r="462">
      <c r="A462" s="24">
        <v>461.0</v>
      </c>
      <c r="B462" s="25" t="s">
        <v>1225</v>
      </c>
      <c r="C462" s="25" t="s">
        <v>1226</v>
      </c>
      <c r="D462" s="34"/>
      <c r="E462" s="25">
        <v>328.0</v>
      </c>
      <c r="F462" s="34"/>
      <c r="G462" s="34"/>
      <c r="H462" s="34"/>
      <c r="I462" s="25">
        <v>328.0</v>
      </c>
      <c r="J462" s="34"/>
      <c r="K462" s="35"/>
      <c r="L462" s="35"/>
      <c r="M462" s="35"/>
      <c r="N462" s="35"/>
      <c r="O462" s="35"/>
      <c r="P462" s="35"/>
      <c r="Q462" s="35"/>
      <c r="R462" s="35"/>
      <c r="S462" s="35"/>
    </row>
    <row r="463">
      <c r="A463" s="24">
        <v>462.0</v>
      </c>
      <c r="B463" s="25" t="s">
        <v>1227</v>
      </c>
      <c r="C463" s="25" t="s">
        <v>1228</v>
      </c>
      <c r="D463" s="25">
        <v>328.0</v>
      </c>
      <c r="E463" s="34"/>
      <c r="F463" s="34"/>
      <c r="G463" s="34"/>
      <c r="H463" s="34"/>
      <c r="I463" s="25">
        <v>328.0</v>
      </c>
      <c r="J463" s="34"/>
      <c r="K463" s="35"/>
      <c r="L463" s="35"/>
      <c r="M463" s="35"/>
      <c r="N463" s="35"/>
      <c r="O463" s="35"/>
      <c r="P463" s="35"/>
      <c r="Q463" s="35"/>
      <c r="R463" s="35"/>
      <c r="S463" s="35"/>
    </row>
    <row r="464">
      <c r="A464" s="24">
        <v>463.0</v>
      </c>
      <c r="B464" s="25" t="s">
        <v>1229</v>
      </c>
      <c r="C464" s="25" t="s">
        <v>1230</v>
      </c>
      <c r="D464" s="25">
        <v>329.0</v>
      </c>
      <c r="E464" s="34"/>
      <c r="F464" s="34"/>
      <c r="G464" s="34"/>
      <c r="H464" s="34"/>
      <c r="I464" s="25">
        <v>329.0</v>
      </c>
      <c r="J464" s="34"/>
      <c r="K464" s="35"/>
      <c r="L464" s="35"/>
      <c r="M464" s="35"/>
      <c r="N464" s="35"/>
      <c r="O464" s="35"/>
      <c r="P464" s="35"/>
      <c r="Q464" s="35"/>
      <c r="R464" s="35"/>
      <c r="S464" s="35"/>
    </row>
    <row r="465">
      <c r="A465" s="24">
        <v>464.0</v>
      </c>
      <c r="B465" s="25" t="s">
        <v>1231</v>
      </c>
      <c r="C465" s="25" t="s">
        <v>1232</v>
      </c>
      <c r="D465" s="25">
        <v>469.0</v>
      </c>
      <c r="E465" s="34"/>
      <c r="F465" s="34"/>
      <c r="G465" s="34"/>
      <c r="H465" s="25">
        <v>329.0</v>
      </c>
      <c r="I465" s="25">
        <v>399.0</v>
      </c>
      <c r="J465" s="34"/>
      <c r="K465" s="35"/>
      <c r="L465" s="35"/>
      <c r="M465" s="35"/>
      <c r="N465" s="35"/>
      <c r="O465" s="35"/>
      <c r="P465" s="35"/>
      <c r="Q465" s="35"/>
      <c r="R465" s="35"/>
      <c r="S465" s="35"/>
    </row>
    <row r="466">
      <c r="A466" s="24">
        <v>465.0</v>
      </c>
      <c r="B466" s="25" t="s">
        <v>1233</v>
      </c>
      <c r="C466" s="25" t="s">
        <v>1234</v>
      </c>
      <c r="D466" s="25">
        <v>330.0</v>
      </c>
      <c r="E466" s="34"/>
      <c r="F466" s="34"/>
      <c r="G466" s="34"/>
      <c r="H466" s="34"/>
      <c r="I466" s="25">
        <v>330.0</v>
      </c>
      <c r="J466" s="34"/>
      <c r="K466" s="35"/>
      <c r="L466" s="35"/>
      <c r="M466" s="35"/>
      <c r="N466" s="35"/>
      <c r="O466" s="35"/>
      <c r="P466" s="35"/>
      <c r="Q466" s="35"/>
      <c r="R466" s="35"/>
      <c r="S466" s="35"/>
    </row>
    <row r="467">
      <c r="A467" s="24">
        <v>466.0</v>
      </c>
      <c r="B467" s="25" t="s">
        <v>1235</v>
      </c>
      <c r="C467" s="25" t="s">
        <v>1236</v>
      </c>
      <c r="D467" s="34"/>
      <c r="E467" s="34"/>
      <c r="F467" s="34"/>
      <c r="G467" s="34"/>
      <c r="H467" s="25">
        <v>330.0</v>
      </c>
      <c r="I467" s="25">
        <v>330.0</v>
      </c>
      <c r="J467" s="34"/>
      <c r="K467" s="35"/>
      <c r="L467" s="35"/>
      <c r="M467" s="35"/>
      <c r="N467" s="35"/>
      <c r="O467" s="35"/>
      <c r="P467" s="35"/>
      <c r="Q467" s="35"/>
      <c r="R467" s="35"/>
      <c r="S467" s="35"/>
    </row>
    <row r="468">
      <c r="A468" s="24">
        <v>467.0</v>
      </c>
      <c r="B468" s="25" t="s">
        <v>1238</v>
      </c>
      <c r="C468" s="25" t="s">
        <v>1239</v>
      </c>
      <c r="D468" s="25">
        <v>350.0</v>
      </c>
      <c r="E468" s="34"/>
      <c r="F468" s="34"/>
      <c r="G468" s="34"/>
      <c r="H468" s="25">
        <v>423.0</v>
      </c>
      <c r="I468" s="25">
        <v>386.5</v>
      </c>
      <c r="J468" s="34"/>
      <c r="K468" s="35"/>
      <c r="L468" s="35"/>
      <c r="M468" s="35"/>
      <c r="N468" s="35"/>
      <c r="O468" s="35"/>
      <c r="P468" s="35"/>
      <c r="Q468" s="35"/>
      <c r="R468" s="35"/>
      <c r="S468" s="35"/>
    </row>
    <row r="469">
      <c r="A469" s="24">
        <v>468.0</v>
      </c>
      <c r="B469" s="25" t="s">
        <v>1240</v>
      </c>
      <c r="C469" s="25" t="s">
        <v>1241</v>
      </c>
      <c r="D469" s="34"/>
      <c r="E469" s="25">
        <v>331.0</v>
      </c>
      <c r="F469" s="34"/>
      <c r="G469" s="34"/>
      <c r="H469" s="34"/>
      <c r="I469" s="25">
        <v>331.0</v>
      </c>
      <c r="J469" s="34"/>
      <c r="K469" s="35"/>
      <c r="L469" s="35"/>
      <c r="M469" s="35"/>
      <c r="N469" s="35"/>
      <c r="O469" s="35"/>
      <c r="P469" s="35"/>
      <c r="Q469" s="35"/>
      <c r="R469" s="35"/>
      <c r="S469" s="35"/>
    </row>
    <row r="470">
      <c r="A470" s="24">
        <v>469.0</v>
      </c>
      <c r="B470" s="25" t="s">
        <v>1242</v>
      </c>
      <c r="C470" s="25" t="s">
        <v>1243</v>
      </c>
      <c r="D470" s="25">
        <v>349.0</v>
      </c>
      <c r="E470" s="34"/>
      <c r="F470" s="34"/>
      <c r="G470" s="34"/>
      <c r="H470" s="25">
        <v>425.0</v>
      </c>
      <c r="I470" s="25">
        <v>387.0</v>
      </c>
      <c r="J470" s="34"/>
      <c r="K470" s="35"/>
      <c r="L470" s="35"/>
      <c r="M470" s="35"/>
      <c r="N470" s="35"/>
      <c r="O470" s="35"/>
      <c r="P470" s="35"/>
      <c r="Q470" s="35"/>
      <c r="R470" s="35"/>
      <c r="S470" s="35"/>
    </row>
    <row r="471">
      <c r="A471" s="24">
        <v>470.0</v>
      </c>
      <c r="B471" s="25" t="s">
        <v>1244</v>
      </c>
      <c r="C471" s="25" t="s">
        <v>1245</v>
      </c>
      <c r="D471" s="25">
        <v>332.0</v>
      </c>
      <c r="E471" s="34"/>
      <c r="F471" s="34"/>
      <c r="G471" s="34"/>
      <c r="H471" s="34"/>
      <c r="I471" s="25">
        <v>332.0</v>
      </c>
      <c r="J471" s="34"/>
      <c r="K471" s="35"/>
      <c r="L471" s="35"/>
      <c r="M471" s="35"/>
      <c r="N471" s="35"/>
      <c r="O471" s="35"/>
      <c r="P471" s="35"/>
      <c r="Q471" s="35"/>
      <c r="R471" s="35"/>
      <c r="S471" s="35"/>
    </row>
    <row r="472">
      <c r="A472" s="24">
        <v>471.0</v>
      </c>
      <c r="B472" s="25" t="s">
        <v>1246</v>
      </c>
      <c r="C472" s="25" t="s">
        <v>1247</v>
      </c>
      <c r="D472" s="34"/>
      <c r="E472" s="34"/>
      <c r="F472" s="34"/>
      <c r="G472" s="34"/>
      <c r="H472" s="25">
        <v>333.0</v>
      </c>
      <c r="I472" s="25">
        <v>333.0</v>
      </c>
      <c r="J472" s="34"/>
      <c r="K472" s="35"/>
      <c r="L472" s="35"/>
      <c r="M472" s="35"/>
      <c r="N472" s="35"/>
      <c r="O472" s="35"/>
      <c r="P472" s="35"/>
      <c r="Q472" s="35"/>
      <c r="R472" s="35"/>
      <c r="S472" s="35"/>
    </row>
    <row r="473">
      <c r="A473" s="24">
        <v>472.0</v>
      </c>
      <c r="B473" s="25" t="s">
        <v>1248</v>
      </c>
      <c r="C473" s="25" t="s">
        <v>1249</v>
      </c>
      <c r="D473" s="25">
        <v>344.0</v>
      </c>
      <c r="E473" s="34"/>
      <c r="F473" s="34"/>
      <c r="G473" s="34"/>
      <c r="H473" s="25">
        <v>432.0</v>
      </c>
      <c r="I473" s="25">
        <v>388.0</v>
      </c>
      <c r="J473" s="34"/>
      <c r="K473" s="35"/>
      <c r="L473" s="35"/>
      <c r="M473" s="35"/>
      <c r="N473" s="35"/>
      <c r="O473" s="35"/>
      <c r="P473" s="35"/>
      <c r="Q473" s="35"/>
      <c r="R473" s="35"/>
      <c r="S473" s="35"/>
    </row>
    <row r="474">
      <c r="A474" s="24">
        <v>473.0</v>
      </c>
      <c r="B474" s="25" t="s">
        <v>1250</v>
      </c>
      <c r="C474" s="25" t="s">
        <v>1251</v>
      </c>
      <c r="D474" s="25">
        <v>334.0</v>
      </c>
      <c r="E474" s="34"/>
      <c r="F474" s="34"/>
      <c r="G474" s="34"/>
      <c r="H474" s="34"/>
      <c r="I474" s="25">
        <v>334.0</v>
      </c>
      <c r="J474" s="34"/>
      <c r="K474" s="35"/>
      <c r="L474" s="35"/>
      <c r="M474" s="35"/>
      <c r="N474" s="35"/>
      <c r="O474" s="35"/>
      <c r="P474" s="35"/>
      <c r="Q474" s="35"/>
      <c r="R474" s="35"/>
      <c r="S474" s="35"/>
    </row>
    <row r="475">
      <c r="A475" s="24">
        <v>474.0</v>
      </c>
      <c r="B475" s="25" t="s">
        <v>1252</v>
      </c>
      <c r="C475" s="25" t="s">
        <v>1253</v>
      </c>
      <c r="D475" s="25">
        <v>335.0</v>
      </c>
      <c r="E475" s="34"/>
      <c r="F475" s="34"/>
      <c r="G475" s="34"/>
      <c r="H475" s="34"/>
      <c r="I475" s="25">
        <v>335.0</v>
      </c>
      <c r="J475" s="34"/>
      <c r="K475" s="35"/>
      <c r="L475" s="35"/>
      <c r="M475" s="35"/>
      <c r="N475" s="35"/>
      <c r="O475" s="35"/>
      <c r="P475" s="35"/>
      <c r="Q475" s="35"/>
      <c r="R475" s="35"/>
      <c r="S475" s="35"/>
    </row>
    <row r="476">
      <c r="A476" s="24">
        <v>475.0</v>
      </c>
      <c r="B476" s="25" t="s">
        <v>1254</v>
      </c>
      <c r="C476" s="25" t="s">
        <v>1255</v>
      </c>
      <c r="D476" s="25">
        <v>357.0</v>
      </c>
      <c r="E476" s="34"/>
      <c r="F476" s="34"/>
      <c r="G476" s="34"/>
      <c r="H476" s="25">
        <v>421.0</v>
      </c>
      <c r="I476" s="25">
        <v>389.0</v>
      </c>
      <c r="J476" s="34"/>
      <c r="K476" s="35"/>
      <c r="L476" s="35"/>
      <c r="M476" s="35"/>
      <c r="N476" s="35"/>
      <c r="O476" s="35"/>
      <c r="P476" s="35"/>
      <c r="Q476" s="35"/>
      <c r="R476" s="35"/>
      <c r="S476" s="35"/>
    </row>
    <row r="477">
      <c r="A477" s="24">
        <v>476.0</v>
      </c>
      <c r="B477" s="25" t="s">
        <v>1256</v>
      </c>
      <c r="C477" s="25" t="s">
        <v>1257</v>
      </c>
      <c r="D477" s="25">
        <v>336.0</v>
      </c>
      <c r="E477" s="34"/>
      <c r="F477" s="34"/>
      <c r="G477" s="34"/>
      <c r="H477" s="34"/>
      <c r="I477" s="25">
        <v>336.0</v>
      </c>
      <c r="J477" s="34"/>
      <c r="K477" s="35"/>
      <c r="L477" s="35"/>
      <c r="M477" s="35"/>
      <c r="N477" s="35"/>
      <c r="O477" s="35"/>
      <c r="P477" s="35"/>
      <c r="Q477" s="35"/>
      <c r="R477" s="35"/>
      <c r="S477" s="35"/>
    </row>
    <row r="478">
      <c r="A478" s="24">
        <v>477.0</v>
      </c>
      <c r="B478" s="25" t="s">
        <v>1258</v>
      </c>
      <c r="C478" s="25" t="s">
        <v>1259</v>
      </c>
      <c r="D478" s="34"/>
      <c r="E478" s="25">
        <v>336.0</v>
      </c>
      <c r="F478" s="34"/>
      <c r="G478" s="34"/>
      <c r="H478" s="34"/>
      <c r="I478" s="25">
        <v>336.0</v>
      </c>
      <c r="J478" s="34"/>
      <c r="K478" s="35"/>
      <c r="L478" s="35"/>
      <c r="M478" s="35"/>
      <c r="N478" s="35"/>
      <c r="O478" s="35"/>
      <c r="P478" s="35"/>
      <c r="Q478" s="35"/>
      <c r="R478" s="35"/>
      <c r="S478" s="35"/>
    </row>
    <row r="479">
      <c r="A479" s="24">
        <v>478.0</v>
      </c>
      <c r="B479" s="25" t="s">
        <v>1260</v>
      </c>
      <c r="C479" s="25" t="s">
        <v>1261</v>
      </c>
      <c r="D479" s="25">
        <v>337.0</v>
      </c>
      <c r="E479" s="34"/>
      <c r="F479" s="34"/>
      <c r="G479" s="34"/>
      <c r="H479" s="34"/>
      <c r="I479" s="25">
        <v>337.0</v>
      </c>
      <c r="J479" s="34"/>
      <c r="K479" s="35"/>
      <c r="L479" s="35"/>
      <c r="M479" s="35"/>
      <c r="N479" s="35"/>
      <c r="O479" s="35"/>
      <c r="P479" s="35"/>
      <c r="Q479" s="35"/>
      <c r="R479" s="35"/>
      <c r="S479" s="35"/>
    </row>
    <row r="480">
      <c r="A480" s="24">
        <v>479.0</v>
      </c>
      <c r="B480" s="25" t="s">
        <v>1264</v>
      </c>
      <c r="C480" s="25" t="s">
        <v>1265</v>
      </c>
      <c r="D480" s="25">
        <v>338.0</v>
      </c>
      <c r="E480" s="34"/>
      <c r="F480" s="34"/>
      <c r="G480" s="34"/>
      <c r="H480" s="34"/>
      <c r="I480" s="25">
        <v>338.0</v>
      </c>
      <c r="J480" s="34"/>
      <c r="K480" s="35"/>
      <c r="L480" s="35"/>
      <c r="M480" s="35"/>
      <c r="N480" s="35"/>
      <c r="O480" s="35"/>
      <c r="P480" s="35"/>
      <c r="Q480" s="35"/>
      <c r="R480" s="35"/>
      <c r="S480" s="35"/>
    </row>
    <row r="481">
      <c r="A481" s="24">
        <v>480.0</v>
      </c>
      <c r="B481" s="25" t="s">
        <v>1266</v>
      </c>
      <c r="C481" s="25" t="s">
        <v>1267</v>
      </c>
      <c r="D481" s="34"/>
      <c r="E481" s="25">
        <v>338.0</v>
      </c>
      <c r="F481" s="34"/>
      <c r="G481" s="34"/>
      <c r="H481" s="34"/>
      <c r="I481" s="25">
        <v>338.0</v>
      </c>
      <c r="J481" s="34"/>
      <c r="K481" s="35"/>
      <c r="L481" s="35"/>
      <c r="M481" s="35"/>
      <c r="N481" s="35"/>
      <c r="O481" s="35"/>
      <c r="P481" s="35"/>
      <c r="Q481" s="35"/>
      <c r="R481" s="35"/>
      <c r="S481" s="35"/>
    </row>
    <row r="482">
      <c r="A482" s="24">
        <v>481.0</v>
      </c>
      <c r="B482" s="25" t="s">
        <v>1268</v>
      </c>
      <c r="C482" s="25" t="s">
        <v>1269</v>
      </c>
      <c r="D482" s="34"/>
      <c r="E482" s="25">
        <v>339.0</v>
      </c>
      <c r="F482" s="34"/>
      <c r="G482" s="34"/>
      <c r="H482" s="34"/>
      <c r="I482" s="25">
        <v>339.0</v>
      </c>
      <c r="J482" s="34"/>
      <c r="K482" s="35"/>
      <c r="L482" s="35"/>
      <c r="M482" s="35"/>
      <c r="N482" s="35"/>
      <c r="O482" s="35"/>
      <c r="P482" s="35"/>
      <c r="Q482" s="35"/>
      <c r="R482" s="35"/>
      <c r="S482" s="35"/>
    </row>
    <row r="483">
      <c r="A483" s="24">
        <v>482.0</v>
      </c>
      <c r="B483" s="25" t="s">
        <v>1270</v>
      </c>
      <c r="C483" s="25" t="s">
        <v>1271</v>
      </c>
      <c r="D483" s="25">
        <v>474.0</v>
      </c>
      <c r="E483" s="34"/>
      <c r="F483" s="34"/>
      <c r="G483" s="34"/>
      <c r="H483" s="25">
        <v>339.0</v>
      </c>
      <c r="I483" s="25">
        <v>406.5</v>
      </c>
      <c r="J483" s="34"/>
      <c r="K483" s="35"/>
      <c r="L483" s="35"/>
      <c r="M483" s="35"/>
      <c r="N483" s="35"/>
      <c r="O483" s="35"/>
      <c r="P483" s="35"/>
      <c r="Q483" s="35"/>
      <c r="R483" s="35"/>
      <c r="S483" s="35"/>
    </row>
    <row r="484">
      <c r="A484" s="24">
        <v>483.0</v>
      </c>
      <c r="B484" s="25" t="s">
        <v>1272</v>
      </c>
      <c r="C484" s="25" t="s">
        <v>1273</v>
      </c>
      <c r="D484" s="25">
        <v>340.0</v>
      </c>
      <c r="E484" s="34"/>
      <c r="F484" s="34"/>
      <c r="G484" s="34"/>
      <c r="H484" s="34"/>
      <c r="I484" s="25">
        <v>340.0</v>
      </c>
      <c r="J484" s="34"/>
      <c r="K484" s="35"/>
      <c r="L484" s="35"/>
      <c r="M484" s="35"/>
      <c r="N484" s="35"/>
      <c r="O484" s="35"/>
      <c r="P484" s="35"/>
      <c r="Q484" s="35"/>
      <c r="R484" s="35"/>
      <c r="S484" s="35"/>
    </row>
    <row r="485">
      <c r="A485" s="24">
        <v>484.0</v>
      </c>
      <c r="B485" s="25" t="s">
        <v>1274</v>
      </c>
      <c r="C485" s="25" t="s">
        <v>1275</v>
      </c>
      <c r="D485" s="34"/>
      <c r="E485" s="25">
        <v>340.0</v>
      </c>
      <c r="F485" s="34"/>
      <c r="G485" s="34"/>
      <c r="H485" s="34"/>
      <c r="I485" s="25">
        <v>340.0</v>
      </c>
      <c r="J485" s="34"/>
      <c r="K485" s="35"/>
      <c r="L485" s="35"/>
      <c r="M485" s="35"/>
      <c r="N485" s="35"/>
      <c r="O485" s="35"/>
      <c r="P485" s="35"/>
      <c r="Q485" s="35"/>
      <c r="R485" s="35"/>
      <c r="S485" s="35"/>
    </row>
    <row r="486">
      <c r="A486" s="24">
        <v>485.0</v>
      </c>
      <c r="B486" s="25" t="s">
        <v>1276</v>
      </c>
      <c r="C486" s="25" t="s">
        <v>1277</v>
      </c>
      <c r="D486" s="25">
        <v>341.0</v>
      </c>
      <c r="E486" s="34"/>
      <c r="F486" s="34"/>
      <c r="G486" s="34"/>
      <c r="H486" s="34"/>
      <c r="I486" s="25">
        <v>341.0</v>
      </c>
      <c r="J486" s="34"/>
      <c r="K486" s="35"/>
      <c r="L486" s="35"/>
      <c r="M486" s="35"/>
      <c r="N486" s="35"/>
      <c r="O486" s="35"/>
      <c r="P486" s="35"/>
      <c r="Q486" s="35"/>
      <c r="R486" s="35"/>
      <c r="S486" s="35"/>
    </row>
    <row r="487">
      <c r="A487" s="24">
        <v>486.0</v>
      </c>
      <c r="B487" s="25" t="s">
        <v>1278</v>
      </c>
      <c r="C487" s="25" t="s">
        <v>1279</v>
      </c>
      <c r="D487" s="34"/>
      <c r="E487" s="25">
        <v>341.0</v>
      </c>
      <c r="F487" s="34"/>
      <c r="G487" s="34"/>
      <c r="H487" s="34"/>
      <c r="I487" s="25">
        <v>341.0</v>
      </c>
      <c r="J487" s="34"/>
      <c r="K487" s="35"/>
      <c r="L487" s="35"/>
      <c r="M487" s="35"/>
      <c r="N487" s="35"/>
      <c r="O487" s="35"/>
      <c r="P487" s="35"/>
      <c r="Q487" s="35"/>
      <c r="R487" s="35"/>
      <c r="S487" s="35"/>
    </row>
    <row r="488">
      <c r="A488" s="24">
        <v>487.0</v>
      </c>
      <c r="B488" s="25" t="s">
        <v>1280</v>
      </c>
      <c r="C488" s="25" t="s">
        <v>1281</v>
      </c>
      <c r="D488" s="25">
        <v>368.0</v>
      </c>
      <c r="E488" s="34"/>
      <c r="F488" s="34"/>
      <c r="G488" s="34"/>
      <c r="H488" s="25">
        <v>416.0</v>
      </c>
      <c r="I488" s="25">
        <v>392.0</v>
      </c>
      <c r="J488" s="34"/>
      <c r="K488" s="35"/>
      <c r="L488" s="35"/>
      <c r="M488" s="35"/>
      <c r="N488" s="35"/>
      <c r="O488" s="35"/>
      <c r="P488" s="35"/>
      <c r="Q488" s="35"/>
      <c r="R488" s="35"/>
      <c r="S488" s="35"/>
    </row>
    <row r="489">
      <c r="A489" s="24">
        <v>488.0</v>
      </c>
      <c r="B489" s="25" t="s">
        <v>1282</v>
      </c>
      <c r="C489" s="25" t="s">
        <v>1283</v>
      </c>
      <c r="D489" s="25">
        <v>342.0</v>
      </c>
      <c r="E489" s="34"/>
      <c r="F489" s="34"/>
      <c r="G489" s="34"/>
      <c r="H489" s="34"/>
      <c r="I489" s="25">
        <v>342.0</v>
      </c>
      <c r="J489" s="34"/>
      <c r="K489" s="35"/>
      <c r="L489" s="35"/>
      <c r="M489" s="35"/>
      <c r="N489" s="35"/>
      <c r="O489" s="35"/>
      <c r="P489" s="35"/>
      <c r="Q489" s="35"/>
      <c r="R489" s="35"/>
      <c r="S489" s="35"/>
    </row>
    <row r="490">
      <c r="A490" s="24">
        <v>489.0</v>
      </c>
      <c r="B490" s="25" t="s">
        <v>1284</v>
      </c>
      <c r="C490" s="25" t="s">
        <v>1285</v>
      </c>
      <c r="D490" s="34"/>
      <c r="E490" s="25">
        <v>342.0</v>
      </c>
      <c r="F490" s="34"/>
      <c r="G490" s="34"/>
      <c r="H490" s="34"/>
      <c r="I490" s="25">
        <v>342.0</v>
      </c>
      <c r="J490" s="34"/>
      <c r="K490" s="35"/>
      <c r="L490" s="35"/>
      <c r="M490" s="35"/>
      <c r="N490" s="35"/>
      <c r="O490" s="35"/>
      <c r="P490" s="35"/>
      <c r="Q490" s="35"/>
      <c r="R490" s="35"/>
      <c r="S490" s="35"/>
    </row>
    <row r="491">
      <c r="A491" s="24">
        <v>490.0</v>
      </c>
      <c r="B491" s="25" t="s">
        <v>1286</v>
      </c>
      <c r="C491" s="25" t="s">
        <v>1287</v>
      </c>
      <c r="D491" s="34"/>
      <c r="E491" s="25">
        <v>343.0</v>
      </c>
      <c r="F491" s="34"/>
      <c r="G491" s="34"/>
      <c r="H491" s="34"/>
      <c r="I491" s="25">
        <v>343.0</v>
      </c>
      <c r="J491" s="34"/>
      <c r="K491" s="35"/>
      <c r="L491" s="35"/>
      <c r="M491" s="35"/>
      <c r="N491" s="35"/>
      <c r="O491" s="35"/>
      <c r="P491" s="35"/>
      <c r="Q491" s="35"/>
      <c r="R491" s="35"/>
      <c r="S491" s="35"/>
    </row>
    <row r="492">
      <c r="A492" s="24">
        <v>491.0</v>
      </c>
      <c r="B492" s="25" t="s">
        <v>1288</v>
      </c>
      <c r="C492" s="25" t="s">
        <v>1289</v>
      </c>
      <c r="D492" s="34"/>
      <c r="E492" s="34"/>
      <c r="F492" s="34"/>
      <c r="G492" s="34"/>
      <c r="H492" s="25">
        <v>343.0</v>
      </c>
      <c r="I492" s="25">
        <v>343.0</v>
      </c>
      <c r="J492" s="34"/>
      <c r="K492" s="35"/>
      <c r="L492" s="35"/>
      <c r="M492" s="35"/>
      <c r="N492" s="35"/>
      <c r="O492" s="35"/>
      <c r="P492" s="35"/>
      <c r="Q492" s="35"/>
      <c r="R492" s="35"/>
      <c r="S492" s="35"/>
    </row>
    <row r="493">
      <c r="A493" s="24">
        <v>492.0</v>
      </c>
      <c r="B493" s="25" t="s">
        <v>1290</v>
      </c>
      <c r="C493" s="25" t="s">
        <v>1291</v>
      </c>
      <c r="D493" s="34"/>
      <c r="E493" s="25">
        <v>344.0</v>
      </c>
      <c r="F493" s="34"/>
      <c r="G493" s="34"/>
      <c r="H493" s="34"/>
      <c r="I493" s="25">
        <v>344.0</v>
      </c>
      <c r="J493" s="34"/>
      <c r="K493" s="35"/>
      <c r="L493" s="35"/>
      <c r="M493" s="35"/>
      <c r="N493" s="35"/>
      <c r="O493" s="35"/>
      <c r="P493" s="35"/>
      <c r="Q493" s="35"/>
      <c r="R493" s="35"/>
      <c r="S493" s="35"/>
    </row>
    <row r="494">
      <c r="A494" s="24">
        <v>493.0</v>
      </c>
      <c r="B494" s="25" t="s">
        <v>1292</v>
      </c>
      <c r="C494" s="25" t="s">
        <v>1293</v>
      </c>
      <c r="D494" s="25">
        <v>345.0</v>
      </c>
      <c r="E494" s="34"/>
      <c r="F494" s="34"/>
      <c r="G494" s="34"/>
      <c r="H494" s="34"/>
      <c r="I494" s="25">
        <v>345.0</v>
      </c>
      <c r="J494" s="34"/>
      <c r="K494" s="35"/>
      <c r="L494" s="35"/>
      <c r="M494" s="35"/>
      <c r="N494" s="35"/>
      <c r="O494" s="35"/>
      <c r="P494" s="35"/>
      <c r="Q494" s="35"/>
      <c r="R494" s="35"/>
      <c r="S494" s="35"/>
    </row>
    <row r="495">
      <c r="A495" s="24">
        <v>494.0</v>
      </c>
      <c r="B495" s="25" t="s">
        <v>1294</v>
      </c>
      <c r="C495" s="25" t="s">
        <v>1295</v>
      </c>
      <c r="D495" s="34"/>
      <c r="E495" s="34"/>
      <c r="F495" s="34"/>
      <c r="G495" s="34"/>
      <c r="H495" s="25">
        <v>345.0</v>
      </c>
      <c r="I495" s="25">
        <v>345.0</v>
      </c>
      <c r="J495" s="34"/>
      <c r="K495" s="35"/>
      <c r="L495" s="35"/>
      <c r="M495" s="35"/>
      <c r="N495" s="35"/>
      <c r="O495" s="35"/>
      <c r="P495" s="35"/>
      <c r="Q495" s="35"/>
      <c r="R495" s="35"/>
      <c r="S495" s="35"/>
    </row>
    <row r="496">
      <c r="A496" s="24">
        <v>495.0</v>
      </c>
      <c r="B496" s="25" t="s">
        <v>1296</v>
      </c>
      <c r="C496" s="25" t="s">
        <v>1297</v>
      </c>
      <c r="D496" s="34"/>
      <c r="E496" s="25">
        <v>346.0</v>
      </c>
      <c r="F496" s="34"/>
      <c r="G496" s="34"/>
      <c r="H496" s="34"/>
      <c r="I496" s="25">
        <v>346.0</v>
      </c>
      <c r="J496" s="34"/>
      <c r="K496" s="35"/>
      <c r="L496" s="35"/>
      <c r="M496" s="35"/>
      <c r="N496" s="35"/>
      <c r="O496" s="35"/>
      <c r="P496" s="35"/>
      <c r="Q496" s="35"/>
      <c r="R496" s="35"/>
      <c r="S496" s="35"/>
    </row>
    <row r="497">
      <c r="A497" s="24">
        <v>496.0</v>
      </c>
      <c r="B497" s="25" t="s">
        <v>1299</v>
      </c>
      <c r="C497" s="25" t="s">
        <v>1300</v>
      </c>
      <c r="D497" s="25">
        <v>346.0</v>
      </c>
      <c r="E497" s="34"/>
      <c r="F497" s="34"/>
      <c r="G497" s="34"/>
      <c r="H497" s="34"/>
      <c r="I497" s="25">
        <v>346.0</v>
      </c>
      <c r="J497" s="34"/>
      <c r="K497" s="35"/>
      <c r="L497" s="35"/>
      <c r="M497" s="35"/>
      <c r="N497" s="35"/>
      <c r="O497" s="35"/>
      <c r="P497" s="35"/>
      <c r="Q497" s="35"/>
      <c r="R497" s="35"/>
      <c r="S497" s="35"/>
    </row>
    <row r="498">
      <c r="A498" s="24">
        <v>497.0</v>
      </c>
      <c r="B498" s="25" t="s">
        <v>1302</v>
      </c>
      <c r="C498" s="25" t="s">
        <v>1303</v>
      </c>
      <c r="D498" s="25">
        <v>439.0</v>
      </c>
      <c r="E498" s="34"/>
      <c r="F498" s="34"/>
      <c r="G498" s="34"/>
      <c r="H498" s="25">
        <v>350.0</v>
      </c>
      <c r="I498" s="25">
        <v>394.5</v>
      </c>
      <c r="J498" s="34"/>
      <c r="K498" s="35"/>
      <c r="L498" s="35"/>
      <c r="M498" s="35"/>
      <c r="N498" s="35"/>
      <c r="O498" s="35"/>
      <c r="P498" s="35"/>
      <c r="Q498" s="35"/>
      <c r="R498" s="35"/>
      <c r="S498" s="35"/>
    </row>
    <row r="499">
      <c r="A499" s="24">
        <v>498.0</v>
      </c>
      <c r="B499" s="25" t="s">
        <v>1304</v>
      </c>
      <c r="C499" s="25" t="s">
        <v>1305</v>
      </c>
      <c r="D499" s="25">
        <v>347.0</v>
      </c>
      <c r="E499" s="34"/>
      <c r="F499" s="34"/>
      <c r="G499" s="34"/>
      <c r="H499" s="34"/>
      <c r="I499" s="25">
        <v>347.0</v>
      </c>
      <c r="J499" s="34"/>
      <c r="K499" s="35"/>
      <c r="L499" s="35"/>
      <c r="M499" s="35"/>
      <c r="N499" s="35"/>
      <c r="O499" s="35"/>
      <c r="P499" s="35"/>
      <c r="Q499" s="35"/>
      <c r="R499" s="35"/>
      <c r="S499" s="35"/>
    </row>
    <row r="500">
      <c r="A500" s="24">
        <v>499.0</v>
      </c>
      <c r="B500" s="25" t="s">
        <v>1307</v>
      </c>
      <c r="C500" s="25" t="s">
        <v>1308</v>
      </c>
      <c r="D500" s="25">
        <v>348.0</v>
      </c>
      <c r="E500" s="34"/>
      <c r="F500" s="34"/>
      <c r="G500" s="34"/>
      <c r="H500" s="34"/>
      <c r="I500" s="25">
        <v>348.0</v>
      </c>
      <c r="J500" s="34"/>
      <c r="K500" s="35"/>
      <c r="L500" s="35"/>
      <c r="M500" s="35"/>
      <c r="N500" s="35"/>
      <c r="O500" s="35"/>
      <c r="P500" s="35"/>
      <c r="Q500" s="35"/>
      <c r="R500" s="35"/>
      <c r="S500" s="35"/>
    </row>
    <row r="501">
      <c r="A501" s="24">
        <v>500.0</v>
      </c>
      <c r="B501" s="25" t="s">
        <v>1310</v>
      </c>
      <c r="C501" s="25" t="s">
        <v>1311</v>
      </c>
      <c r="D501" s="25">
        <v>451.0</v>
      </c>
      <c r="E501" s="34"/>
      <c r="F501" s="34"/>
      <c r="G501" s="34"/>
      <c r="H501" s="25">
        <v>348.0</v>
      </c>
      <c r="I501" s="25">
        <v>399.5</v>
      </c>
      <c r="J501" s="34"/>
      <c r="K501" s="35"/>
      <c r="L501" s="35"/>
      <c r="M501" s="35"/>
      <c r="N501" s="35"/>
      <c r="O501" s="35"/>
      <c r="P501" s="35"/>
      <c r="Q501" s="35"/>
      <c r="R501" s="35"/>
      <c r="S501" s="35"/>
    </row>
    <row r="502">
      <c r="A502" s="24">
        <v>501.0</v>
      </c>
      <c r="B502" s="25" t="s">
        <v>1312</v>
      </c>
      <c r="C502" s="25" t="s">
        <v>1313</v>
      </c>
      <c r="D502" s="34"/>
      <c r="E502" s="34"/>
      <c r="F502" s="34"/>
      <c r="G502" s="34"/>
      <c r="H502" s="25">
        <v>349.0</v>
      </c>
      <c r="I502" s="25">
        <v>349.0</v>
      </c>
      <c r="J502" s="34"/>
      <c r="K502" s="35"/>
      <c r="L502" s="35"/>
      <c r="M502" s="35"/>
      <c r="N502" s="35"/>
      <c r="O502" s="35"/>
      <c r="P502" s="35"/>
      <c r="Q502" s="35"/>
      <c r="R502" s="35"/>
      <c r="S502" s="35"/>
    </row>
    <row r="503">
      <c r="A503" s="24">
        <v>502.0</v>
      </c>
      <c r="B503" s="25" t="s">
        <v>1315</v>
      </c>
      <c r="C503" s="25" t="s">
        <v>1316</v>
      </c>
      <c r="D503" s="34"/>
      <c r="E503" s="25">
        <v>349.0</v>
      </c>
      <c r="F503" s="34"/>
      <c r="G503" s="34"/>
      <c r="H503" s="34"/>
      <c r="I503" s="25">
        <v>349.0</v>
      </c>
      <c r="J503" s="34"/>
      <c r="K503" s="35"/>
      <c r="L503" s="35"/>
      <c r="M503" s="35"/>
      <c r="N503" s="35"/>
      <c r="O503" s="35"/>
      <c r="P503" s="35"/>
      <c r="Q503" s="35"/>
      <c r="R503" s="35"/>
      <c r="S503" s="35"/>
    </row>
    <row r="504">
      <c r="A504" s="24">
        <v>503.0</v>
      </c>
      <c r="B504" s="25" t="s">
        <v>1317</v>
      </c>
      <c r="C504" s="25" t="s">
        <v>1318</v>
      </c>
      <c r="D504" s="34"/>
      <c r="E504" s="25">
        <v>381.0</v>
      </c>
      <c r="F504" s="34"/>
      <c r="G504" s="34"/>
      <c r="H504" s="25">
        <v>411.0</v>
      </c>
      <c r="I504" s="25">
        <v>396.0</v>
      </c>
      <c r="J504" s="34"/>
      <c r="K504" s="35"/>
      <c r="L504" s="35"/>
      <c r="M504" s="35"/>
      <c r="N504" s="35"/>
      <c r="O504" s="35"/>
      <c r="P504" s="35"/>
      <c r="Q504" s="35"/>
      <c r="R504" s="35"/>
      <c r="S504" s="35"/>
    </row>
    <row r="505">
      <c r="A505" s="24">
        <v>504.0</v>
      </c>
      <c r="B505" s="25" t="s">
        <v>1322</v>
      </c>
      <c r="C505" s="25" t="s">
        <v>1323</v>
      </c>
      <c r="D505" s="34"/>
      <c r="E505" s="25">
        <v>350.0</v>
      </c>
      <c r="F505" s="34"/>
      <c r="G505" s="34"/>
      <c r="H505" s="34"/>
      <c r="I505" s="25">
        <v>350.0</v>
      </c>
      <c r="J505" s="34"/>
      <c r="K505" s="35"/>
      <c r="L505" s="35"/>
      <c r="M505" s="35"/>
      <c r="N505" s="35"/>
      <c r="O505" s="35"/>
      <c r="P505" s="35"/>
      <c r="Q505" s="35"/>
      <c r="R505" s="35"/>
      <c r="S505" s="35"/>
    </row>
    <row r="506">
      <c r="A506" s="24">
        <v>505.0</v>
      </c>
      <c r="B506" s="25" t="s">
        <v>1324</v>
      </c>
      <c r="C506" s="25" t="s">
        <v>1325</v>
      </c>
      <c r="D506" s="25">
        <v>351.0</v>
      </c>
      <c r="E506" s="34"/>
      <c r="F506" s="34"/>
      <c r="G506" s="34"/>
      <c r="H506" s="34"/>
      <c r="I506" s="25">
        <v>351.0</v>
      </c>
      <c r="J506" s="34"/>
      <c r="K506" s="35"/>
      <c r="L506" s="35"/>
      <c r="M506" s="35"/>
      <c r="N506" s="35"/>
      <c r="O506" s="35"/>
      <c r="P506" s="35"/>
      <c r="Q506" s="35"/>
      <c r="R506" s="35"/>
      <c r="S506" s="35"/>
    </row>
    <row r="507">
      <c r="A507" s="24">
        <v>506.0</v>
      </c>
      <c r="B507" s="25" t="s">
        <v>1326</v>
      </c>
      <c r="C507" s="25" t="s">
        <v>1327</v>
      </c>
      <c r="D507" s="34"/>
      <c r="E507" s="25">
        <v>351.0</v>
      </c>
      <c r="F507" s="34"/>
      <c r="G507" s="34"/>
      <c r="H507" s="34"/>
      <c r="I507" s="25">
        <v>351.0</v>
      </c>
      <c r="J507" s="34"/>
      <c r="K507" s="35"/>
      <c r="L507" s="35"/>
      <c r="M507" s="35"/>
      <c r="N507" s="35"/>
      <c r="O507" s="35"/>
      <c r="P507" s="35"/>
      <c r="Q507" s="35"/>
      <c r="R507" s="35"/>
      <c r="S507" s="35"/>
    </row>
    <row r="508">
      <c r="A508" s="24">
        <v>507.0</v>
      </c>
      <c r="B508" s="25" t="s">
        <v>1328</v>
      </c>
      <c r="C508" s="25" t="s">
        <v>1329</v>
      </c>
      <c r="D508" s="25">
        <v>366.0</v>
      </c>
      <c r="E508" s="34"/>
      <c r="F508" s="34"/>
      <c r="G508" s="34"/>
      <c r="H508" s="25">
        <v>428.0</v>
      </c>
      <c r="I508" s="25">
        <v>397.0</v>
      </c>
      <c r="J508" s="34"/>
      <c r="K508" s="35"/>
      <c r="L508" s="35"/>
      <c r="M508" s="35"/>
      <c r="N508" s="35"/>
      <c r="O508" s="35"/>
      <c r="P508" s="35"/>
      <c r="Q508" s="35"/>
      <c r="R508" s="35"/>
      <c r="S508" s="35"/>
    </row>
    <row r="509">
      <c r="A509" s="24">
        <v>508.0</v>
      </c>
      <c r="B509" s="25" t="s">
        <v>1330</v>
      </c>
      <c r="C509" s="25" t="s">
        <v>1331</v>
      </c>
      <c r="D509" s="34"/>
      <c r="E509" s="34"/>
      <c r="F509" s="34"/>
      <c r="G509" s="34"/>
      <c r="H509" s="25">
        <v>352.0</v>
      </c>
      <c r="I509" s="25">
        <v>352.0</v>
      </c>
      <c r="J509" s="34"/>
      <c r="K509" s="35"/>
      <c r="L509" s="35"/>
      <c r="M509" s="35"/>
      <c r="N509" s="35"/>
      <c r="O509" s="35"/>
      <c r="P509" s="35"/>
      <c r="Q509" s="35"/>
      <c r="R509" s="35"/>
      <c r="S509" s="35"/>
    </row>
    <row r="510">
      <c r="A510" s="24">
        <v>509.0</v>
      </c>
      <c r="B510" s="25" t="s">
        <v>1332</v>
      </c>
      <c r="C510" s="25" t="s">
        <v>1333</v>
      </c>
      <c r="D510" s="25">
        <v>352.0</v>
      </c>
      <c r="E510" s="34"/>
      <c r="F510" s="34"/>
      <c r="G510" s="34"/>
      <c r="H510" s="34"/>
      <c r="I510" s="25">
        <v>352.0</v>
      </c>
      <c r="J510" s="34"/>
      <c r="K510" s="35"/>
      <c r="L510" s="35"/>
      <c r="M510" s="35"/>
      <c r="N510" s="35"/>
      <c r="O510" s="35"/>
      <c r="P510" s="35"/>
      <c r="Q510" s="35"/>
      <c r="R510" s="35"/>
      <c r="S510" s="35"/>
    </row>
    <row r="511">
      <c r="A511" s="24">
        <v>510.0</v>
      </c>
      <c r="B511" s="25" t="s">
        <v>1334</v>
      </c>
      <c r="C511" s="25" t="s">
        <v>1335</v>
      </c>
      <c r="D511" s="25">
        <v>353.0</v>
      </c>
      <c r="E511" s="34"/>
      <c r="F511" s="34"/>
      <c r="G511" s="34"/>
      <c r="H511" s="34"/>
      <c r="I511" s="25">
        <v>353.0</v>
      </c>
      <c r="J511" s="34"/>
      <c r="K511" s="35"/>
      <c r="L511" s="35"/>
      <c r="M511" s="35"/>
      <c r="N511" s="35"/>
      <c r="O511" s="35"/>
      <c r="P511" s="35"/>
      <c r="Q511" s="35"/>
      <c r="R511" s="35"/>
      <c r="S511" s="35"/>
    </row>
    <row r="512">
      <c r="A512" s="24">
        <v>511.0</v>
      </c>
      <c r="B512" s="25" t="s">
        <v>1336</v>
      </c>
      <c r="C512" s="25" t="s">
        <v>1337</v>
      </c>
      <c r="D512" s="34"/>
      <c r="E512" s="25">
        <v>354.0</v>
      </c>
      <c r="F512" s="34"/>
      <c r="G512" s="34"/>
      <c r="H512" s="34"/>
      <c r="I512" s="25">
        <v>354.0</v>
      </c>
      <c r="J512" s="34"/>
      <c r="K512" s="35"/>
      <c r="L512" s="35"/>
      <c r="M512" s="35"/>
      <c r="N512" s="35"/>
      <c r="O512" s="35"/>
      <c r="P512" s="35"/>
      <c r="Q512" s="35"/>
      <c r="R512" s="35"/>
      <c r="S512" s="35"/>
    </row>
    <row r="513">
      <c r="A513" s="24">
        <v>512.0</v>
      </c>
      <c r="B513" s="25" t="s">
        <v>1338</v>
      </c>
      <c r="C513" s="25" t="s">
        <v>1339</v>
      </c>
      <c r="D513" s="25">
        <v>354.0</v>
      </c>
      <c r="E513" s="34"/>
      <c r="F513" s="34"/>
      <c r="G513" s="34"/>
      <c r="H513" s="34"/>
      <c r="I513" s="25">
        <v>354.0</v>
      </c>
      <c r="J513" s="34"/>
      <c r="K513" s="35"/>
      <c r="L513" s="35"/>
      <c r="M513" s="35"/>
      <c r="N513" s="35"/>
      <c r="O513" s="35"/>
      <c r="P513" s="35"/>
      <c r="Q513" s="35"/>
      <c r="R513" s="35"/>
      <c r="S513" s="35"/>
    </row>
    <row r="514">
      <c r="A514" s="24">
        <v>513.0</v>
      </c>
      <c r="B514" s="25" t="s">
        <v>1340</v>
      </c>
      <c r="C514" s="25" t="s">
        <v>1341</v>
      </c>
      <c r="D514" s="25">
        <v>355.0</v>
      </c>
      <c r="E514" s="34"/>
      <c r="F514" s="34"/>
      <c r="G514" s="34"/>
      <c r="H514" s="34"/>
      <c r="I514" s="25">
        <v>355.0</v>
      </c>
      <c r="J514" s="34"/>
      <c r="K514" s="35"/>
      <c r="L514" s="35"/>
      <c r="M514" s="35"/>
      <c r="N514" s="35"/>
      <c r="O514" s="35"/>
      <c r="P514" s="35"/>
      <c r="Q514" s="35"/>
      <c r="R514" s="35"/>
      <c r="S514" s="35"/>
    </row>
    <row r="515">
      <c r="A515" s="24">
        <v>514.0</v>
      </c>
      <c r="B515" s="25" t="s">
        <v>1342</v>
      </c>
      <c r="C515" s="25" t="s">
        <v>1343</v>
      </c>
      <c r="D515" s="34"/>
      <c r="E515" s="25">
        <v>356.0</v>
      </c>
      <c r="F515" s="41"/>
      <c r="G515" s="41"/>
      <c r="H515" s="41"/>
      <c r="I515" s="25">
        <v>356.0</v>
      </c>
      <c r="J515" s="34"/>
      <c r="K515" s="42"/>
      <c r="L515" s="42"/>
      <c r="M515" s="42"/>
      <c r="N515" s="42"/>
      <c r="O515" s="42"/>
      <c r="P515" s="42"/>
      <c r="Q515" s="42"/>
      <c r="R515" s="42"/>
      <c r="S515" s="42"/>
    </row>
    <row r="516">
      <c r="A516" s="24">
        <v>515.0</v>
      </c>
      <c r="B516" s="25" t="s">
        <v>1345</v>
      </c>
      <c r="C516" s="25" t="s">
        <v>1347</v>
      </c>
      <c r="D516" s="25">
        <v>356.0</v>
      </c>
      <c r="E516" s="41"/>
      <c r="F516" s="41"/>
      <c r="G516" s="41"/>
      <c r="H516" s="41"/>
      <c r="I516" s="25">
        <v>356.0</v>
      </c>
      <c r="J516" s="34"/>
      <c r="K516" s="42"/>
      <c r="L516" s="42"/>
      <c r="M516" s="42"/>
      <c r="N516" s="42"/>
      <c r="O516" s="42"/>
      <c r="P516" s="42"/>
      <c r="Q516" s="42"/>
      <c r="R516" s="42"/>
      <c r="S516" s="42"/>
    </row>
    <row r="517">
      <c r="A517" s="24">
        <v>516.0</v>
      </c>
      <c r="B517" s="25" t="s">
        <v>1349</v>
      </c>
      <c r="C517" s="25" t="s">
        <v>1350</v>
      </c>
      <c r="D517" s="25">
        <v>361.0</v>
      </c>
      <c r="E517" s="41"/>
      <c r="F517" s="41"/>
      <c r="G517" s="41"/>
      <c r="H517" s="25">
        <v>439.0</v>
      </c>
      <c r="I517" s="25">
        <v>400.0</v>
      </c>
      <c r="J517" s="34"/>
      <c r="K517" s="42"/>
      <c r="L517" s="42"/>
      <c r="M517" s="42"/>
      <c r="N517" s="42"/>
      <c r="O517" s="42"/>
      <c r="P517" s="42"/>
      <c r="Q517" s="42"/>
      <c r="R517" s="42"/>
      <c r="S517" s="42"/>
    </row>
    <row r="518">
      <c r="A518" s="24">
        <v>517.0</v>
      </c>
      <c r="B518" s="25" t="s">
        <v>1351</v>
      </c>
      <c r="C518" s="25" t="s">
        <v>1352</v>
      </c>
      <c r="D518" s="34"/>
      <c r="E518" s="25">
        <v>358.0</v>
      </c>
      <c r="F518" s="41"/>
      <c r="G518" s="41"/>
      <c r="H518" s="41"/>
      <c r="I518" s="25">
        <v>358.0</v>
      </c>
      <c r="J518" s="34"/>
      <c r="K518" s="42"/>
      <c r="L518" s="42"/>
      <c r="M518" s="42"/>
      <c r="N518" s="42"/>
      <c r="O518" s="42"/>
      <c r="P518" s="42"/>
      <c r="Q518" s="42"/>
      <c r="R518" s="42"/>
      <c r="S518" s="42"/>
    </row>
    <row r="519">
      <c r="A519" s="24">
        <v>518.0</v>
      </c>
      <c r="B519" s="25" t="s">
        <v>1354</v>
      </c>
      <c r="C519" s="25" t="s">
        <v>1355</v>
      </c>
      <c r="D519" s="25">
        <v>358.0</v>
      </c>
      <c r="E519" s="41"/>
      <c r="F519" s="41"/>
      <c r="G519" s="41"/>
      <c r="H519" s="41"/>
      <c r="I519" s="25">
        <v>358.0</v>
      </c>
      <c r="J519" s="34"/>
      <c r="K519" s="42"/>
      <c r="L519" s="42"/>
      <c r="M519" s="42"/>
      <c r="N519" s="42"/>
      <c r="O519" s="42"/>
      <c r="P519" s="42"/>
      <c r="Q519" s="42"/>
      <c r="R519" s="42"/>
      <c r="S519" s="42"/>
    </row>
    <row r="520">
      <c r="A520" s="24">
        <v>519.0</v>
      </c>
      <c r="B520" s="25" t="s">
        <v>1356</v>
      </c>
      <c r="C520" s="25" t="s">
        <v>1357</v>
      </c>
      <c r="D520" s="34"/>
      <c r="E520" s="41"/>
      <c r="F520" s="41"/>
      <c r="G520" s="41"/>
      <c r="H520" s="25">
        <v>360.0</v>
      </c>
      <c r="I520" s="25">
        <v>360.0</v>
      </c>
      <c r="J520" s="34"/>
      <c r="K520" s="42"/>
      <c r="L520" s="42"/>
      <c r="M520" s="42"/>
      <c r="N520" s="42"/>
      <c r="O520" s="42"/>
      <c r="P520" s="42"/>
      <c r="Q520" s="42"/>
      <c r="R520" s="42"/>
      <c r="S520" s="42"/>
    </row>
    <row r="521">
      <c r="A521" s="24">
        <v>520.0</v>
      </c>
      <c r="B521" s="25" t="s">
        <v>1358</v>
      </c>
      <c r="C521" s="25" t="s">
        <v>1359</v>
      </c>
      <c r="D521" s="34"/>
      <c r="E521" s="25">
        <v>361.0</v>
      </c>
      <c r="F521" s="41"/>
      <c r="G521" s="41"/>
      <c r="H521" s="41"/>
      <c r="I521" s="25">
        <v>361.0</v>
      </c>
      <c r="J521" s="34"/>
      <c r="K521" s="42"/>
      <c r="L521" s="42"/>
      <c r="M521" s="42"/>
      <c r="N521" s="42"/>
      <c r="O521" s="42"/>
      <c r="P521" s="42"/>
      <c r="Q521" s="42"/>
      <c r="R521" s="42"/>
      <c r="S521" s="42"/>
    </row>
    <row r="522">
      <c r="A522" s="24">
        <v>521.0</v>
      </c>
      <c r="B522" s="25" t="s">
        <v>1360</v>
      </c>
      <c r="C522" s="25" t="s">
        <v>1361</v>
      </c>
      <c r="D522" s="34"/>
      <c r="E522" s="41"/>
      <c r="F522" s="41"/>
      <c r="G522" s="41"/>
      <c r="H522" s="25">
        <v>362.0</v>
      </c>
      <c r="I522" s="25">
        <v>362.0</v>
      </c>
      <c r="J522" s="34"/>
      <c r="K522" s="42"/>
      <c r="L522" s="42"/>
      <c r="M522" s="42"/>
      <c r="N522" s="42"/>
      <c r="O522" s="42"/>
      <c r="P522" s="42"/>
      <c r="Q522" s="42"/>
      <c r="R522" s="42"/>
      <c r="S522" s="42"/>
    </row>
    <row r="523">
      <c r="A523" s="24">
        <v>522.0</v>
      </c>
      <c r="B523" s="25" t="s">
        <v>1362</v>
      </c>
      <c r="C523" s="25" t="s">
        <v>1363</v>
      </c>
      <c r="D523" s="34"/>
      <c r="E523" s="25">
        <v>362.0</v>
      </c>
      <c r="F523" s="41"/>
      <c r="G523" s="41"/>
      <c r="H523" s="41"/>
      <c r="I523" s="25">
        <v>362.0</v>
      </c>
      <c r="J523" s="34"/>
      <c r="K523" s="42"/>
      <c r="L523" s="42"/>
      <c r="M523" s="42"/>
      <c r="N523" s="42"/>
      <c r="O523" s="42"/>
      <c r="P523" s="42"/>
      <c r="Q523" s="42"/>
      <c r="R523" s="42"/>
      <c r="S523" s="42"/>
    </row>
    <row r="524">
      <c r="A524" s="24">
        <v>523.0</v>
      </c>
      <c r="B524" s="25" t="s">
        <v>1364</v>
      </c>
      <c r="C524" s="25" t="s">
        <v>1365</v>
      </c>
      <c r="D524" s="25">
        <v>362.0</v>
      </c>
      <c r="E524" s="41"/>
      <c r="F524" s="41"/>
      <c r="G524" s="41"/>
      <c r="H524" s="41"/>
      <c r="I524" s="25">
        <v>362.0</v>
      </c>
      <c r="J524" s="34"/>
      <c r="K524" s="42"/>
      <c r="L524" s="42"/>
      <c r="M524" s="42"/>
      <c r="N524" s="42"/>
      <c r="O524" s="42"/>
      <c r="P524" s="42"/>
      <c r="Q524" s="42"/>
      <c r="R524" s="42"/>
      <c r="S524" s="42"/>
    </row>
    <row r="525">
      <c r="A525" s="24">
        <v>524.0</v>
      </c>
      <c r="B525" s="25" t="s">
        <v>1366</v>
      </c>
      <c r="C525" s="25" t="s">
        <v>1367</v>
      </c>
      <c r="D525" s="25">
        <v>442.0</v>
      </c>
      <c r="E525" s="41"/>
      <c r="F525" s="41"/>
      <c r="G525" s="41"/>
      <c r="H525" s="25">
        <v>363.0</v>
      </c>
      <c r="I525" s="25">
        <v>402.5</v>
      </c>
      <c r="J525" s="34"/>
      <c r="K525" s="42"/>
      <c r="L525" s="42"/>
      <c r="M525" s="42"/>
      <c r="N525" s="42"/>
      <c r="O525" s="42"/>
      <c r="P525" s="42"/>
      <c r="Q525" s="42"/>
      <c r="R525" s="42"/>
      <c r="S525" s="42"/>
    </row>
    <row r="526">
      <c r="A526" s="24">
        <v>525.0</v>
      </c>
      <c r="B526" s="25" t="s">
        <v>1368</v>
      </c>
      <c r="C526" s="25" t="s">
        <v>1369</v>
      </c>
      <c r="D526" s="25">
        <v>363.0</v>
      </c>
      <c r="E526" s="41"/>
      <c r="F526" s="41"/>
      <c r="G526" s="41"/>
      <c r="H526" s="41"/>
      <c r="I526" s="25">
        <v>363.0</v>
      </c>
      <c r="J526" s="34"/>
      <c r="K526" s="42"/>
      <c r="L526" s="42"/>
      <c r="M526" s="42"/>
      <c r="N526" s="42"/>
      <c r="O526" s="42"/>
      <c r="P526" s="42"/>
      <c r="Q526" s="42"/>
      <c r="R526" s="42"/>
      <c r="S526" s="42"/>
    </row>
    <row r="527">
      <c r="A527" s="24">
        <v>526.0</v>
      </c>
      <c r="B527" s="25" t="s">
        <v>1370</v>
      </c>
      <c r="C527" s="25" t="s">
        <v>1371</v>
      </c>
      <c r="D527" s="34"/>
      <c r="E527" s="25">
        <v>363.0</v>
      </c>
      <c r="F527" s="41"/>
      <c r="G527" s="41"/>
      <c r="H527" s="41"/>
      <c r="I527" s="25">
        <v>363.0</v>
      </c>
      <c r="J527" s="34"/>
      <c r="K527" s="42"/>
      <c r="L527" s="42"/>
      <c r="M527" s="42"/>
      <c r="N527" s="42"/>
      <c r="O527" s="42"/>
      <c r="P527" s="42"/>
      <c r="Q527" s="42"/>
      <c r="R527" s="42"/>
      <c r="S527" s="42"/>
    </row>
    <row r="528">
      <c r="A528" s="24">
        <v>527.0</v>
      </c>
      <c r="B528" s="25" t="s">
        <v>1372</v>
      </c>
      <c r="C528" s="25" t="s">
        <v>1373</v>
      </c>
      <c r="D528" s="25">
        <v>364.0</v>
      </c>
      <c r="E528" s="41"/>
      <c r="F528" s="41"/>
      <c r="G528" s="41"/>
      <c r="H528" s="41"/>
      <c r="I528" s="25">
        <v>364.0</v>
      </c>
      <c r="J528" s="34"/>
      <c r="K528" s="42"/>
      <c r="L528" s="42"/>
      <c r="M528" s="42"/>
      <c r="N528" s="42"/>
      <c r="O528" s="42"/>
      <c r="P528" s="42"/>
      <c r="Q528" s="42"/>
      <c r="R528" s="42"/>
      <c r="S528" s="42"/>
    </row>
    <row r="529">
      <c r="A529" s="24">
        <v>528.0</v>
      </c>
      <c r="B529" s="25" t="s">
        <v>1374</v>
      </c>
      <c r="C529" s="25" t="s">
        <v>1375</v>
      </c>
      <c r="D529" s="34"/>
      <c r="E529" s="25">
        <v>365.0</v>
      </c>
      <c r="F529" s="41"/>
      <c r="G529" s="41"/>
      <c r="H529" s="41"/>
      <c r="I529" s="25">
        <v>365.0</v>
      </c>
      <c r="J529" s="34"/>
      <c r="K529" s="42"/>
      <c r="L529" s="42"/>
      <c r="M529" s="42"/>
      <c r="N529" s="42"/>
      <c r="O529" s="42"/>
      <c r="P529" s="42"/>
      <c r="Q529" s="42"/>
      <c r="R529" s="42"/>
      <c r="S529" s="42"/>
    </row>
    <row r="530">
      <c r="A530" s="24">
        <v>529.0</v>
      </c>
      <c r="B530" s="25" t="s">
        <v>1376</v>
      </c>
      <c r="C530" s="25" t="s">
        <v>1377</v>
      </c>
      <c r="D530" s="25">
        <v>365.0</v>
      </c>
      <c r="E530" s="41"/>
      <c r="F530" s="41"/>
      <c r="G530" s="41"/>
      <c r="H530" s="41"/>
      <c r="I530" s="25">
        <v>365.0</v>
      </c>
      <c r="J530" s="34"/>
      <c r="K530" s="42"/>
      <c r="L530" s="42"/>
      <c r="M530" s="42"/>
      <c r="N530" s="42"/>
      <c r="O530" s="42"/>
      <c r="P530" s="42"/>
      <c r="Q530" s="42"/>
      <c r="R530" s="42"/>
      <c r="S530" s="42"/>
    </row>
    <row r="531">
      <c r="A531" s="24">
        <v>530.0</v>
      </c>
      <c r="B531" s="25" t="s">
        <v>1378</v>
      </c>
      <c r="C531" s="25" t="s">
        <v>1379</v>
      </c>
      <c r="D531" s="34"/>
      <c r="E531" s="25">
        <v>366.0</v>
      </c>
      <c r="F531" s="41"/>
      <c r="G531" s="41"/>
      <c r="H531" s="41"/>
      <c r="I531" s="25">
        <v>366.0</v>
      </c>
      <c r="J531" s="34"/>
      <c r="K531" s="42"/>
      <c r="L531" s="42"/>
      <c r="M531" s="42"/>
      <c r="N531" s="42"/>
      <c r="O531" s="42"/>
      <c r="P531" s="42"/>
      <c r="Q531" s="42"/>
      <c r="R531" s="42"/>
      <c r="S531" s="42"/>
    </row>
    <row r="532">
      <c r="A532" s="24">
        <v>531.0</v>
      </c>
      <c r="B532" s="25" t="s">
        <v>1380</v>
      </c>
      <c r="C532" s="25" t="s">
        <v>1381</v>
      </c>
      <c r="D532" s="25">
        <v>404.0</v>
      </c>
      <c r="E532" s="41"/>
      <c r="F532" s="41"/>
      <c r="G532" s="41"/>
      <c r="H532" s="25">
        <v>405.0</v>
      </c>
      <c r="I532" s="25">
        <v>404.5</v>
      </c>
      <c r="J532" s="34"/>
      <c r="K532" s="42"/>
      <c r="L532" s="42"/>
      <c r="M532" s="42"/>
      <c r="N532" s="42"/>
      <c r="O532" s="42"/>
      <c r="P532" s="42"/>
      <c r="Q532" s="42"/>
      <c r="R532" s="42"/>
      <c r="S532" s="42"/>
    </row>
    <row r="533">
      <c r="A533" s="24">
        <v>532.0</v>
      </c>
      <c r="B533" s="25" t="s">
        <v>1382</v>
      </c>
      <c r="C533" s="25" t="s">
        <v>1383</v>
      </c>
      <c r="D533" s="34"/>
      <c r="E533" s="41"/>
      <c r="F533" s="41"/>
      <c r="G533" s="41"/>
      <c r="H533" s="25">
        <v>368.0</v>
      </c>
      <c r="I533" s="25">
        <v>368.0</v>
      </c>
      <c r="J533" s="34"/>
      <c r="K533" s="42"/>
      <c r="L533" s="42"/>
      <c r="M533" s="42"/>
      <c r="N533" s="42"/>
      <c r="O533" s="42"/>
      <c r="P533" s="42"/>
      <c r="Q533" s="42"/>
      <c r="R533" s="42"/>
      <c r="S533" s="42"/>
    </row>
    <row r="534">
      <c r="A534" s="24">
        <v>533.0</v>
      </c>
      <c r="B534" s="25" t="s">
        <v>1384</v>
      </c>
      <c r="C534" s="25" t="s">
        <v>1385</v>
      </c>
      <c r="D534" s="25">
        <v>369.0</v>
      </c>
      <c r="E534" s="41"/>
      <c r="F534" s="41"/>
      <c r="G534" s="41"/>
      <c r="H534" s="41"/>
      <c r="I534" s="25">
        <v>369.0</v>
      </c>
      <c r="J534" s="34"/>
      <c r="K534" s="42"/>
      <c r="L534" s="42"/>
      <c r="M534" s="42"/>
      <c r="N534" s="42"/>
      <c r="O534" s="42"/>
      <c r="P534" s="42"/>
      <c r="Q534" s="42"/>
      <c r="R534" s="42"/>
      <c r="S534" s="42"/>
    </row>
    <row r="535">
      <c r="A535" s="24">
        <v>534.0</v>
      </c>
      <c r="B535" s="25" t="s">
        <v>1386</v>
      </c>
      <c r="C535" s="25" t="s">
        <v>1387</v>
      </c>
      <c r="D535" s="34"/>
      <c r="E535" s="25">
        <v>369.0</v>
      </c>
      <c r="F535" s="41"/>
      <c r="G535" s="41"/>
      <c r="H535" s="41"/>
      <c r="I535" s="25">
        <v>369.0</v>
      </c>
      <c r="J535" s="34"/>
      <c r="K535" s="42"/>
      <c r="L535" s="42"/>
      <c r="M535" s="42"/>
      <c r="N535" s="42"/>
      <c r="O535" s="42"/>
      <c r="P535" s="42"/>
      <c r="Q535" s="42"/>
      <c r="R535" s="42"/>
      <c r="S535" s="42"/>
    </row>
    <row r="536">
      <c r="A536" s="24">
        <v>535.0</v>
      </c>
      <c r="B536" s="25" t="s">
        <v>1388</v>
      </c>
      <c r="C536" s="25" t="s">
        <v>1389</v>
      </c>
      <c r="D536" s="34"/>
      <c r="E536" s="41"/>
      <c r="F536" s="41"/>
      <c r="G536" s="41"/>
      <c r="H536" s="25">
        <v>370.0</v>
      </c>
      <c r="I536" s="25">
        <v>370.0</v>
      </c>
      <c r="J536" s="34"/>
      <c r="K536" s="42"/>
      <c r="L536" s="42"/>
      <c r="M536" s="42"/>
      <c r="N536" s="42"/>
      <c r="O536" s="42"/>
      <c r="P536" s="42"/>
      <c r="Q536" s="42"/>
      <c r="R536" s="42"/>
      <c r="S536" s="42"/>
    </row>
    <row r="537">
      <c r="A537" s="24">
        <v>536.0</v>
      </c>
      <c r="B537" s="25" t="s">
        <v>1390</v>
      </c>
      <c r="C537" s="25" t="s">
        <v>1391</v>
      </c>
      <c r="D537" s="34"/>
      <c r="E537" s="25">
        <v>371.0</v>
      </c>
      <c r="F537" s="41"/>
      <c r="G537" s="41"/>
      <c r="H537" s="41"/>
      <c r="I537" s="25">
        <v>371.0</v>
      </c>
      <c r="J537" s="34"/>
      <c r="K537" s="42"/>
      <c r="L537" s="42"/>
      <c r="M537" s="42"/>
      <c r="N537" s="42"/>
      <c r="O537" s="42"/>
      <c r="P537" s="42"/>
      <c r="Q537" s="42"/>
      <c r="R537" s="42"/>
      <c r="S537" s="42"/>
    </row>
    <row r="538">
      <c r="A538" s="24">
        <v>537.0</v>
      </c>
      <c r="B538" s="25" t="s">
        <v>1392</v>
      </c>
      <c r="C538" s="25" t="s">
        <v>1393</v>
      </c>
      <c r="D538" s="25">
        <v>371.0</v>
      </c>
      <c r="E538" s="41"/>
      <c r="F538" s="41"/>
      <c r="G538" s="41"/>
      <c r="H538" s="41"/>
      <c r="I538" s="25">
        <v>371.0</v>
      </c>
      <c r="J538" s="34"/>
      <c r="K538" s="42"/>
      <c r="L538" s="42"/>
      <c r="M538" s="42"/>
      <c r="N538" s="42"/>
      <c r="O538" s="42"/>
      <c r="P538" s="42"/>
      <c r="Q538" s="42"/>
      <c r="R538" s="42"/>
      <c r="S538" s="42"/>
    </row>
    <row r="539">
      <c r="A539" s="24">
        <v>538.0</v>
      </c>
      <c r="B539" s="25" t="s">
        <v>1394</v>
      </c>
      <c r="C539" s="25" t="s">
        <v>1395</v>
      </c>
      <c r="D539" s="34"/>
      <c r="E539" s="25">
        <v>374.0</v>
      </c>
      <c r="F539" s="41"/>
      <c r="G539" s="41"/>
      <c r="H539" s="41"/>
      <c r="I539" s="25">
        <v>374.0</v>
      </c>
      <c r="J539" s="34"/>
      <c r="K539" s="42"/>
      <c r="L539" s="42"/>
      <c r="M539" s="42"/>
      <c r="N539" s="42"/>
      <c r="O539" s="42"/>
      <c r="P539" s="42"/>
      <c r="Q539" s="42"/>
      <c r="R539" s="42"/>
      <c r="S539" s="42"/>
    </row>
    <row r="540">
      <c r="A540" s="24">
        <v>539.0</v>
      </c>
      <c r="B540" s="25" t="s">
        <v>1396</v>
      </c>
      <c r="C540" s="25" t="s">
        <v>1397</v>
      </c>
      <c r="D540" s="34"/>
      <c r="E540" s="25">
        <v>375.0</v>
      </c>
      <c r="F540" s="41"/>
      <c r="G540" s="41"/>
      <c r="H540" s="41"/>
      <c r="I540" s="25">
        <v>375.0</v>
      </c>
      <c r="J540" s="34"/>
      <c r="K540" s="42"/>
      <c r="L540" s="42"/>
      <c r="M540" s="42"/>
      <c r="N540" s="42"/>
      <c r="O540" s="42"/>
      <c r="P540" s="42"/>
      <c r="Q540" s="42"/>
      <c r="R540" s="42"/>
      <c r="S540" s="42"/>
    </row>
    <row r="541">
      <c r="A541" s="24">
        <v>540.0</v>
      </c>
      <c r="B541" s="25" t="s">
        <v>1398</v>
      </c>
      <c r="C541" s="25" t="s">
        <v>1399</v>
      </c>
      <c r="D541" s="25">
        <v>375.0</v>
      </c>
      <c r="E541" s="41"/>
      <c r="F541" s="41"/>
      <c r="G541" s="41"/>
      <c r="H541" s="41"/>
      <c r="I541" s="25">
        <v>375.0</v>
      </c>
      <c r="J541" s="34"/>
      <c r="K541" s="42"/>
      <c r="L541" s="42"/>
      <c r="M541" s="42"/>
      <c r="N541" s="42"/>
      <c r="O541" s="42"/>
      <c r="P541" s="42"/>
      <c r="Q541" s="42"/>
      <c r="R541" s="42"/>
      <c r="S541" s="42"/>
    </row>
    <row r="542">
      <c r="A542" s="24">
        <v>541.0</v>
      </c>
      <c r="B542" s="25" t="s">
        <v>1400</v>
      </c>
      <c r="C542" s="25" t="s">
        <v>1401</v>
      </c>
      <c r="D542" s="34"/>
      <c r="E542" s="25">
        <v>376.0</v>
      </c>
      <c r="F542" s="41"/>
      <c r="G542" s="41"/>
      <c r="H542" s="41"/>
      <c r="I542" s="25">
        <v>376.0</v>
      </c>
      <c r="J542" s="34"/>
      <c r="K542" s="42"/>
      <c r="L542" s="42"/>
      <c r="M542" s="42"/>
      <c r="N542" s="42"/>
      <c r="O542" s="42"/>
      <c r="P542" s="42"/>
      <c r="Q542" s="42"/>
      <c r="R542" s="42"/>
      <c r="S542" s="42"/>
    </row>
    <row r="543">
      <c r="A543" s="24">
        <v>542.0</v>
      </c>
      <c r="B543" s="25" t="s">
        <v>1402</v>
      </c>
      <c r="C543" s="25" t="s">
        <v>1403</v>
      </c>
      <c r="D543" s="25">
        <v>376.0</v>
      </c>
      <c r="E543" s="41"/>
      <c r="F543" s="41"/>
      <c r="G543" s="41"/>
      <c r="H543" s="41"/>
      <c r="I543" s="25">
        <v>376.0</v>
      </c>
      <c r="J543" s="34"/>
      <c r="K543" s="42"/>
      <c r="L543" s="42"/>
      <c r="M543" s="42"/>
      <c r="N543" s="42"/>
      <c r="O543" s="42"/>
      <c r="P543" s="42"/>
      <c r="Q543" s="42"/>
      <c r="R543" s="42"/>
      <c r="S543" s="42"/>
    </row>
    <row r="544">
      <c r="A544" s="24">
        <v>543.0</v>
      </c>
      <c r="B544" s="25" t="s">
        <v>1404</v>
      </c>
      <c r="C544" s="25" t="s">
        <v>1405</v>
      </c>
      <c r="D544" s="25">
        <v>379.0</v>
      </c>
      <c r="E544" s="41"/>
      <c r="F544" s="41"/>
      <c r="G544" s="41"/>
      <c r="H544" s="41"/>
      <c r="I544" s="25">
        <v>379.0</v>
      </c>
      <c r="J544" s="34"/>
      <c r="K544" s="42"/>
      <c r="L544" s="42"/>
      <c r="M544" s="42"/>
      <c r="N544" s="42"/>
      <c r="O544" s="42"/>
      <c r="P544" s="42"/>
      <c r="Q544" s="42"/>
      <c r="R544" s="42"/>
      <c r="S544" s="42"/>
    </row>
    <row r="545">
      <c r="A545" s="24">
        <v>544.0</v>
      </c>
      <c r="B545" s="25" t="s">
        <v>1406</v>
      </c>
      <c r="C545" s="25" t="s">
        <v>1407</v>
      </c>
      <c r="D545" s="25">
        <v>446.0</v>
      </c>
      <c r="E545" s="41"/>
      <c r="F545" s="41"/>
      <c r="G545" s="41"/>
      <c r="H545" s="25">
        <v>379.0</v>
      </c>
      <c r="I545" s="25">
        <v>412.5</v>
      </c>
      <c r="J545" s="34"/>
      <c r="K545" s="42"/>
      <c r="L545" s="42"/>
      <c r="M545" s="42"/>
      <c r="N545" s="42"/>
      <c r="O545" s="42"/>
      <c r="P545" s="42"/>
      <c r="Q545" s="42"/>
      <c r="R545" s="42"/>
      <c r="S545" s="42"/>
    </row>
    <row r="546">
      <c r="A546" s="24">
        <v>545.0</v>
      </c>
      <c r="B546" s="25" t="s">
        <v>1408</v>
      </c>
      <c r="C546" s="25" t="s">
        <v>1409</v>
      </c>
      <c r="D546" s="25">
        <v>380.0</v>
      </c>
      <c r="E546" s="41"/>
      <c r="F546" s="41"/>
      <c r="G546" s="41"/>
      <c r="H546" s="41"/>
      <c r="I546" s="25">
        <v>380.0</v>
      </c>
      <c r="J546" s="34"/>
      <c r="K546" s="42"/>
      <c r="L546" s="42"/>
      <c r="M546" s="42"/>
      <c r="N546" s="42"/>
      <c r="O546" s="42"/>
      <c r="P546" s="42"/>
      <c r="Q546" s="42"/>
      <c r="R546" s="42"/>
      <c r="S546" s="42"/>
    </row>
    <row r="547">
      <c r="A547" s="24">
        <v>546.0</v>
      </c>
      <c r="B547" s="25" t="s">
        <v>1410</v>
      </c>
      <c r="C547" s="25" t="s">
        <v>1411</v>
      </c>
      <c r="D547" s="34"/>
      <c r="E547" s="41"/>
      <c r="F547" s="41"/>
      <c r="G547" s="41"/>
      <c r="H547" s="25">
        <v>380.0</v>
      </c>
      <c r="I547" s="25">
        <v>380.0</v>
      </c>
      <c r="J547" s="34"/>
      <c r="K547" s="42"/>
      <c r="L547" s="42"/>
      <c r="M547" s="42"/>
      <c r="N547" s="42"/>
      <c r="O547" s="42"/>
      <c r="P547" s="42"/>
      <c r="Q547" s="42"/>
      <c r="R547" s="42"/>
      <c r="S547" s="42"/>
    </row>
    <row r="548">
      <c r="A548" s="24">
        <v>547.0</v>
      </c>
      <c r="B548" s="25" t="s">
        <v>1412</v>
      </c>
      <c r="C548" s="25" t="s">
        <v>1413</v>
      </c>
      <c r="D548" s="34"/>
      <c r="E548" s="25">
        <v>380.0</v>
      </c>
      <c r="F548" s="41"/>
      <c r="G548" s="41"/>
      <c r="H548" s="41"/>
      <c r="I548" s="25">
        <v>380.0</v>
      </c>
      <c r="J548" s="34"/>
      <c r="K548" s="42"/>
      <c r="L548" s="42"/>
      <c r="M548" s="42"/>
      <c r="N548" s="42"/>
      <c r="O548" s="42"/>
      <c r="P548" s="42"/>
      <c r="Q548" s="42"/>
      <c r="R548" s="42"/>
      <c r="S548" s="42"/>
    </row>
    <row r="549">
      <c r="A549" s="24">
        <v>548.0</v>
      </c>
      <c r="B549" s="25" t="s">
        <v>1414</v>
      </c>
      <c r="C549" s="25" t="s">
        <v>1415</v>
      </c>
      <c r="D549" s="25">
        <v>381.0</v>
      </c>
      <c r="E549" s="41"/>
      <c r="F549" s="41"/>
      <c r="G549" s="41"/>
      <c r="H549" s="41"/>
      <c r="I549" s="25">
        <v>381.0</v>
      </c>
      <c r="J549" s="34"/>
      <c r="K549" s="42"/>
      <c r="L549" s="42"/>
      <c r="M549" s="42"/>
      <c r="N549" s="42"/>
      <c r="O549" s="42"/>
      <c r="P549" s="42"/>
      <c r="Q549" s="42"/>
      <c r="R549" s="42"/>
      <c r="S549" s="42"/>
    </row>
    <row r="550">
      <c r="A550" s="24">
        <v>549.0</v>
      </c>
      <c r="B550" s="25" t="s">
        <v>1416</v>
      </c>
      <c r="C550" s="25" t="s">
        <v>1417</v>
      </c>
      <c r="D550" s="34"/>
      <c r="E550" s="41"/>
      <c r="F550" s="41"/>
      <c r="G550" s="41"/>
      <c r="H550" s="25">
        <v>381.0</v>
      </c>
      <c r="I550" s="25">
        <v>381.0</v>
      </c>
      <c r="J550" s="34"/>
      <c r="K550" s="42"/>
      <c r="L550" s="42"/>
      <c r="M550" s="42"/>
      <c r="N550" s="42"/>
      <c r="O550" s="42"/>
      <c r="P550" s="42"/>
      <c r="Q550" s="42"/>
      <c r="R550" s="42"/>
      <c r="S550" s="42"/>
    </row>
    <row r="551">
      <c r="A551" s="24">
        <v>550.0</v>
      </c>
      <c r="B551" s="25" t="s">
        <v>1418</v>
      </c>
      <c r="C551" s="25" t="s">
        <v>1419</v>
      </c>
      <c r="D551" s="25">
        <v>382.0</v>
      </c>
      <c r="E551" s="41"/>
      <c r="F551" s="41"/>
      <c r="G551" s="41"/>
      <c r="H551" s="41"/>
      <c r="I551" s="25">
        <v>382.0</v>
      </c>
      <c r="J551" s="34"/>
      <c r="K551" s="42"/>
      <c r="L551" s="42"/>
      <c r="M551" s="42"/>
      <c r="N551" s="42"/>
      <c r="O551" s="42"/>
      <c r="P551" s="42"/>
      <c r="Q551" s="42"/>
      <c r="R551" s="42"/>
      <c r="S551" s="42"/>
    </row>
    <row r="552">
      <c r="A552" s="24">
        <v>551.0</v>
      </c>
      <c r="B552" s="25" t="s">
        <v>1420</v>
      </c>
      <c r="C552" s="25" t="s">
        <v>1421</v>
      </c>
      <c r="D552" s="25">
        <v>383.0</v>
      </c>
      <c r="E552" s="41"/>
      <c r="F552" s="41"/>
      <c r="G552" s="41"/>
      <c r="H552" s="41"/>
      <c r="I552" s="25">
        <v>383.0</v>
      </c>
      <c r="J552" s="34"/>
      <c r="K552" s="42"/>
      <c r="L552" s="42"/>
      <c r="M552" s="42"/>
      <c r="N552" s="42"/>
      <c r="O552" s="42"/>
      <c r="P552" s="42"/>
      <c r="Q552" s="42"/>
      <c r="R552" s="42"/>
      <c r="S552" s="42"/>
    </row>
    <row r="553">
      <c r="A553" s="24">
        <v>552.0</v>
      </c>
      <c r="B553" s="25" t="s">
        <v>1422</v>
      </c>
      <c r="C553" s="25" t="s">
        <v>1423</v>
      </c>
      <c r="D553" s="25">
        <v>384.0</v>
      </c>
      <c r="E553" s="41"/>
      <c r="F553" s="41"/>
      <c r="G553" s="41"/>
      <c r="H553" s="41"/>
      <c r="I553" s="25">
        <v>384.0</v>
      </c>
      <c r="J553" s="34"/>
      <c r="K553" s="42"/>
      <c r="L553" s="42"/>
      <c r="M553" s="42"/>
      <c r="N553" s="42"/>
      <c r="O553" s="42"/>
      <c r="P553" s="42"/>
      <c r="Q553" s="42"/>
      <c r="R553" s="42"/>
      <c r="S553" s="42"/>
    </row>
    <row r="554">
      <c r="A554" s="24">
        <v>553.0</v>
      </c>
      <c r="B554" s="25" t="s">
        <v>1424</v>
      </c>
      <c r="C554" s="25" t="s">
        <v>1425</v>
      </c>
      <c r="D554" s="25">
        <v>491.0</v>
      </c>
      <c r="E554" s="41"/>
      <c r="F554" s="41"/>
      <c r="G554" s="41"/>
      <c r="H554" s="25">
        <v>384.0</v>
      </c>
      <c r="I554" s="25">
        <v>437.5</v>
      </c>
      <c r="J554" s="34"/>
      <c r="K554" s="42"/>
      <c r="L554" s="42"/>
      <c r="M554" s="42"/>
      <c r="N554" s="42"/>
      <c r="O554" s="42"/>
      <c r="P554" s="42"/>
      <c r="Q554" s="42"/>
      <c r="R554" s="42"/>
      <c r="S554" s="42"/>
    </row>
    <row r="555">
      <c r="A555" s="24">
        <v>554.0</v>
      </c>
      <c r="B555" s="25" t="s">
        <v>1426</v>
      </c>
      <c r="C555" s="25" t="s">
        <v>1427</v>
      </c>
      <c r="D555" s="25">
        <v>385.0</v>
      </c>
      <c r="E555" s="41"/>
      <c r="F555" s="41"/>
      <c r="G555" s="41"/>
      <c r="H555" s="41"/>
      <c r="I555" s="25">
        <v>385.0</v>
      </c>
      <c r="J555" s="34"/>
      <c r="K555" s="42"/>
      <c r="L555" s="42"/>
      <c r="M555" s="42"/>
      <c r="N555" s="42"/>
      <c r="O555" s="42"/>
      <c r="P555" s="42"/>
      <c r="Q555" s="42"/>
      <c r="R555" s="42"/>
      <c r="S555" s="42"/>
    </row>
    <row r="556">
      <c r="A556" s="24">
        <v>555.0</v>
      </c>
      <c r="B556" s="25" t="s">
        <v>1428</v>
      </c>
      <c r="C556" s="25" t="s">
        <v>1429</v>
      </c>
      <c r="D556" s="25">
        <v>402.0</v>
      </c>
      <c r="E556" s="41"/>
      <c r="F556" s="41"/>
      <c r="G556" s="41"/>
      <c r="H556" s="25">
        <v>426.0</v>
      </c>
      <c r="I556" s="25">
        <v>414.0</v>
      </c>
      <c r="J556" s="34"/>
      <c r="K556" s="42"/>
      <c r="L556" s="42"/>
      <c r="M556" s="42"/>
      <c r="N556" s="42"/>
      <c r="O556" s="42"/>
      <c r="P556" s="42"/>
      <c r="Q556" s="42"/>
      <c r="R556" s="42"/>
      <c r="S556" s="42"/>
    </row>
    <row r="557">
      <c r="A557" s="24">
        <v>556.0</v>
      </c>
      <c r="B557" s="25" t="s">
        <v>1430</v>
      </c>
      <c r="C557" s="25" t="s">
        <v>1431</v>
      </c>
      <c r="D557" s="34"/>
      <c r="E557" s="25">
        <v>386.0</v>
      </c>
      <c r="F557" s="41"/>
      <c r="G557" s="41"/>
      <c r="H557" s="41"/>
      <c r="I557" s="25">
        <v>386.0</v>
      </c>
      <c r="J557" s="34"/>
      <c r="K557" s="42"/>
      <c r="L557" s="42"/>
      <c r="M557" s="42"/>
      <c r="N557" s="42"/>
      <c r="O557" s="42"/>
      <c r="P557" s="42"/>
      <c r="Q557" s="42"/>
      <c r="R557" s="42"/>
      <c r="S557" s="42"/>
    </row>
    <row r="558">
      <c r="A558" s="24">
        <v>557.0</v>
      </c>
      <c r="B558" s="25" t="s">
        <v>1432</v>
      </c>
      <c r="C558" s="25" t="s">
        <v>1433</v>
      </c>
      <c r="D558" s="25">
        <v>460.0</v>
      </c>
      <c r="E558" s="41"/>
      <c r="F558" s="41"/>
      <c r="G558" s="41"/>
      <c r="H558" s="25">
        <v>386.0</v>
      </c>
      <c r="I558" s="25">
        <v>423.0</v>
      </c>
      <c r="J558" s="34"/>
      <c r="K558" s="42"/>
      <c r="L558" s="42"/>
      <c r="M558" s="42"/>
      <c r="N558" s="42"/>
      <c r="O558" s="42"/>
      <c r="P558" s="42"/>
      <c r="Q558" s="42"/>
      <c r="R558" s="42"/>
      <c r="S558" s="42"/>
    </row>
    <row r="559">
      <c r="A559" s="24">
        <v>558.0</v>
      </c>
      <c r="B559" s="25" t="s">
        <v>1434</v>
      </c>
      <c r="C559" s="25" t="s">
        <v>1435</v>
      </c>
      <c r="D559" s="25">
        <v>388.0</v>
      </c>
      <c r="E559" s="41"/>
      <c r="F559" s="41"/>
      <c r="G559" s="41"/>
      <c r="H559" s="41"/>
      <c r="I559" s="25">
        <v>388.0</v>
      </c>
      <c r="J559" s="34"/>
      <c r="K559" s="42"/>
      <c r="L559" s="42"/>
      <c r="M559" s="42"/>
      <c r="N559" s="42"/>
      <c r="O559" s="42"/>
      <c r="P559" s="42"/>
      <c r="Q559" s="42"/>
      <c r="R559" s="42"/>
      <c r="S559" s="42"/>
    </row>
    <row r="560">
      <c r="A560" s="24">
        <v>559.0</v>
      </c>
      <c r="B560" s="25" t="s">
        <v>1436</v>
      </c>
      <c r="C560" s="25" t="s">
        <v>1437</v>
      </c>
      <c r="D560" s="34"/>
      <c r="E560" s="25">
        <v>388.0</v>
      </c>
      <c r="F560" s="41"/>
      <c r="G560" s="41"/>
      <c r="H560" s="41"/>
      <c r="I560" s="25">
        <v>388.0</v>
      </c>
      <c r="J560" s="34"/>
      <c r="K560" s="42"/>
      <c r="L560" s="42"/>
      <c r="M560" s="42"/>
      <c r="N560" s="42"/>
      <c r="O560" s="42"/>
      <c r="P560" s="42"/>
      <c r="Q560" s="42"/>
      <c r="R560" s="42"/>
      <c r="S560" s="42"/>
    </row>
    <row r="561">
      <c r="A561" s="24">
        <v>560.0</v>
      </c>
      <c r="B561" s="25" t="s">
        <v>1438</v>
      </c>
      <c r="C561" s="25" t="s">
        <v>1439</v>
      </c>
      <c r="D561" s="25">
        <v>389.0</v>
      </c>
      <c r="E561" s="41"/>
      <c r="F561" s="41"/>
      <c r="G561" s="41"/>
      <c r="H561" s="41"/>
      <c r="I561" s="25">
        <v>389.0</v>
      </c>
      <c r="J561" s="34"/>
      <c r="K561" s="42"/>
      <c r="L561" s="42"/>
      <c r="M561" s="42"/>
      <c r="N561" s="42"/>
      <c r="O561" s="42"/>
      <c r="P561" s="42"/>
      <c r="Q561" s="42"/>
      <c r="R561" s="42"/>
      <c r="S561" s="42"/>
    </row>
    <row r="562">
      <c r="A562" s="24">
        <v>561.0</v>
      </c>
      <c r="B562" s="25" t="s">
        <v>1440</v>
      </c>
      <c r="C562" s="25" t="s">
        <v>1441</v>
      </c>
      <c r="D562" s="34"/>
      <c r="E562" s="25">
        <v>389.0</v>
      </c>
      <c r="F562" s="41"/>
      <c r="G562" s="41"/>
      <c r="H562" s="41"/>
      <c r="I562" s="25">
        <v>389.0</v>
      </c>
      <c r="J562" s="34"/>
      <c r="K562" s="42"/>
      <c r="L562" s="42"/>
      <c r="M562" s="42"/>
      <c r="N562" s="42"/>
      <c r="O562" s="42"/>
      <c r="P562" s="42"/>
      <c r="Q562" s="42"/>
      <c r="R562" s="42"/>
      <c r="S562" s="42"/>
    </row>
    <row r="563">
      <c r="A563" s="24">
        <v>562.0</v>
      </c>
      <c r="B563" s="25" t="s">
        <v>1442</v>
      </c>
      <c r="C563" s="25" t="s">
        <v>1443</v>
      </c>
      <c r="D563" s="25">
        <v>390.0</v>
      </c>
      <c r="E563" s="41"/>
      <c r="F563" s="41"/>
      <c r="G563" s="41"/>
      <c r="H563" s="41"/>
      <c r="I563" s="25">
        <v>390.0</v>
      </c>
      <c r="J563" s="34"/>
      <c r="K563" s="42"/>
      <c r="L563" s="42"/>
      <c r="M563" s="42"/>
      <c r="N563" s="42"/>
      <c r="O563" s="42"/>
      <c r="P563" s="42"/>
      <c r="Q563" s="42"/>
      <c r="R563" s="42"/>
      <c r="S563" s="42"/>
    </row>
    <row r="564">
      <c r="A564" s="24">
        <v>563.0</v>
      </c>
      <c r="B564" s="25" t="s">
        <v>1444</v>
      </c>
      <c r="C564" s="25" t="s">
        <v>1445</v>
      </c>
      <c r="D564" s="34"/>
      <c r="E564" s="41"/>
      <c r="F564" s="41"/>
      <c r="G564" s="41"/>
      <c r="H564" s="25">
        <v>390.0</v>
      </c>
      <c r="I564" s="25">
        <v>390.0</v>
      </c>
      <c r="J564" s="34"/>
      <c r="K564" s="42"/>
      <c r="L564" s="42"/>
      <c r="M564" s="42"/>
      <c r="N564" s="42"/>
      <c r="O564" s="42"/>
      <c r="P564" s="42"/>
      <c r="Q564" s="42"/>
      <c r="R564" s="42"/>
      <c r="S564" s="42"/>
    </row>
    <row r="565">
      <c r="A565" s="24">
        <v>564.0</v>
      </c>
      <c r="B565" s="25" t="s">
        <v>1446</v>
      </c>
      <c r="C565" s="25" t="s">
        <v>1447</v>
      </c>
      <c r="D565" s="25">
        <v>391.0</v>
      </c>
      <c r="E565" s="41"/>
      <c r="F565" s="41"/>
      <c r="G565" s="41"/>
      <c r="H565" s="41"/>
      <c r="I565" s="25">
        <v>391.0</v>
      </c>
      <c r="J565" s="34"/>
      <c r="K565" s="42"/>
      <c r="L565" s="42"/>
      <c r="M565" s="42"/>
      <c r="N565" s="42"/>
      <c r="O565" s="42"/>
      <c r="P565" s="42"/>
      <c r="Q565" s="42"/>
      <c r="R565" s="42"/>
      <c r="S565" s="42"/>
    </row>
    <row r="566">
      <c r="A566" s="24">
        <v>565.0</v>
      </c>
      <c r="B566" s="25" t="s">
        <v>1448</v>
      </c>
      <c r="C566" s="25" t="s">
        <v>1449</v>
      </c>
      <c r="D566" s="34"/>
      <c r="E566" s="25">
        <v>391.0</v>
      </c>
      <c r="F566" s="41"/>
      <c r="G566" s="41"/>
      <c r="H566" s="41"/>
      <c r="I566" s="25">
        <v>391.0</v>
      </c>
      <c r="J566" s="34"/>
      <c r="K566" s="42"/>
      <c r="L566" s="42"/>
      <c r="M566" s="42"/>
      <c r="N566" s="42"/>
      <c r="O566" s="42"/>
      <c r="P566" s="42"/>
      <c r="Q566" s="42"/>
      <c r="R566" s="42"/>
      <c r="S566" s="42"/>
    </row>
    <row r="567">
      <c r="A567" s="24">
        <v>566.0</v>
      </c>
      <c r="B567" s="25" t="s">
        <v>1450</v>
      </c>
      <c r="C567" s="25" t="s">
        <v>1451</v>
      </c>
      <c r="D567" s="25">
        <v>392.0</v>
      </c>
      <c r="E567" s="41"/>
      <c r="F567" s="41"/>
      <c r="G567" s="41"/>
      <c r="H567" s="41"/>
      <c r="I567" s="25">
        <v>392.0</v>
      </c>
      <c r="J567" s="34"/>
      <c r="K567" s="42"/>
      <c r="L567" s="42"/>
      <c r="M567" s="42"/>
      <c r="N567" s="42"/>
      <c r="O567" s="42"/>
      <c r="P567" s="42"/>
      <c r="Q567" s="42"/>
      <c r="R567" s="42"/>
      <c r="S567" s="42"/>
    </row>
    <row r="568">
      <c r="A568" s="24">
        <v>567.0</v>
      </c>
      <c r="B568" s="25" t="s">
        <v>1452</v>
      </c>
      <c r="C568" s="25" t="s">
        <v>1453</v>
      </c>
      <c r="D568" s="34"/>
      <c r="E568" s="41"/>
      <c r="F568" s="41"/>
      <c r="G568" s="41"/>
      <c r="H568" s="25">
        <v>392.0</v>
      </c>
      <c r="I568" s="25">
        <v>392.0</v>
      </c>
      <c r="J568" s="34"/>
      <c r="K568" s="42"/>
      <c r="L568" s="42"/>
      <c r="M568" s="42"/>
      <c r="N568" s="42"/>
      <c r="O568" s="42"/>
      <c r="P568" s="42"/>
      <c r="Q568" s="42"/>
      <c r="R568" s="42"/>
      <c r="S568" s="42"/>
    </row>
    <row r="569">
      <c r="A569" s="24">
        <v>568.0</v>
      </c>
      <c r="B569" s="25" t="s">
        <v>1454</v>
      </c>
      <c r="C569" s="25" t="s">
        <v>1455</v>
      </c>
      <c r="D569" s="34"/>
      <c r="E569" s="25">
        <v>392.0</v>
      </c>
      <c r="F569" s="41"/>
      <c r="G569" s="41"/>
      <c r="H569" s="41"/>
      <c r="I569" s="25">
        <v>392.0</v>
      </c>
      <c r="J569" s="34"/>
      <c r="K569" s="42"/>
      <c r="L569" s="42"/>
      <c r="M569" s="42"/>
      <c r="N569" s="42"/>
      <c r="O569" s="42"/>
      <c r="P569" s="42"/>
      <c r="Q569" s="42"/>
      <c r="R569" s="42"/>
      <c r="S569" s="42"/>
    </row>
    <row r="570">
      <c r="A570" s="24">
        <v>569.0</v>
      </c>
      <c r="B570" s="25" t="s">
        <v>1456</v>
      </c>
      <c r="C570" s="25" t="s">
        <v>1457</v>
      </c>
      <c r="D570" s="25">
        <v>393.0</v>
      </c>
      <c r="E570" s="41"/>
      <c r="F570" s="41"/>
      <c r="G570" s="41"/>
      <c r="H570" s="41"/>
      <c r="I570" s="25">
        <v>393.0</v>
      </c>
      <c r="J570" s="34"/>
      <c r="K570" s="42"/>
      <c r="L570" s="42"/>
      <c r="M570" s="42"/>
      <c r="N570" s="42"/>
      <c r="O570" s="42"/>
      <c r="P570" s="42"/>
      <c r="Q570" s="42"/>
      <c r="R570" s="42"/>
      <c r="S570" s="42"/>
    </row>
    <row r="571">
      <c r="A571" s="24">
        <v>570.0</v>
      </c>
      <c r="B571" s="25" t="s">
        <v>1458</v>
      </c>
      <c r="C571" s="25" t="s">
        <v>1459</v>
      </c>
      <c r="D571" s="25">
        <v>394.0</v>
      </c>
      <c r="E571" s="41"/>
      <c r="F571" s="41"/>
      <c r="G571" s="41"/>
      <c r="H571" s="41"/>
      <c r="I571" s="25">
        <v>394.0</v>
      </c>
      <c r="J571" s="34"/>
      <c r="K571" s="42"/>
      <c r="L571" s="42"/>
      <c r="M571" s="42"/>
      <c r="N571" s="42"/>
      <c r="O571" s="42"/>
      <c r="P571" s="42"/>
      <c r="Q571" s="42"/>
      <c r="R571" s="42"/>
      <c r="S571" s="42"/>
    </row>
    <row r="572">
      <c r="A572" s="24">
        <v>571.0</v>
      </c>
      <c r="B572" s="25" t="s">
        <v>1460</v>
      </c>
      <c r="C572" s="25" t="s">
        <v>1461</v>
      </c>
      <c r="D572" s="34"/>
      <c r="E572" s="25">
        <v>394.0</v>
      </c>
      <c r="F572" s="41"/>
      <c r="G572" s="41"/>
      <c r="H572" s="41"/>
      <c r="I572" s="25">
        <v>394.0</v>
      </c>
      <c r="J572" s="34"/>
      <c r="K572" s="42"/>
      <c r="L572" s="42"/>
      <c r="M572" s="42"/>
      <c r="N572" s="42"/>
      <c r="O572" s="42"/>
      <c r="P572" s="42"/>
      <c r="Q572" s="42"/>
      <c r="R572" s="42"/>
      <c r="S572" s="42"/>
    </row>
    <row r="573">
      <c r="A573" s="24">
        <v>572.0</v>
      </c>
      <c r="B573" s="25" t="s">
        <v>1462</v>
      </c>
      <c r="C573" s="25" t="s">
        <v>1463</v>
      </c>
      <c r="D573" s="25">
        <v>431.0</v>
      </c>
      <c r="E573" s="41"/>
      <c r="F573" s="41"/>
      <c r="G573" s="41"/>
      <c r="H573" s="25">
        <v>406.0</v>
      </c>
      <c r="I573" s="25">
        <v>418.5</v>
      </c>
      <c r="J573" s="34"/>
      <c r="K573" s="42"/>
      <c r="L573" s="42"/>
      <c r="M573" s="42"/>
      <c r="N573" s="42"/>
      <c r="O573" s="42"/>
      <c r="P573" s="42"/>
      <c r="Q573" s="42"/>
      <c r="R573" s="42"/>
      <c r="S573" s="42"/>
    </row>
    <row r="574">
      <c r="A574" s="24">
        <v>573.0</v>
      </c>
      <c r="B574" s="25" t="s">
        <v>1464</v>
      </c>
      <c r="C574" s="25" t="s">
        <v>1465</v>
      </c>
      <c r="D574" s="25">
        <v>429.0</v>
      </c>
      <c r="E574" s="41"/>
      <c r="F574" s="41"/>
      <c r="G574" s="41"/>
      <c r="H574" s="25">
        <v>408.0</v>
      </c>
      <c r="I574" s="25">
        <v>418.5</v>
      </c>
      <c r="J574" s="34"/>
      <c r="K574" s="42"/>
      <c r="L574" s="42"/>
      <c r="M574" s="42"/>
      <c r="N574" s="42"/>
      <c r="O574" s="42"/>
      <c r="P574" s="42"/>
      <c r="Q574" s="42"/>
      <c r="R574" s="42"/>
      <c r="S574" s="42"/>
    </row>
    <row r="575">
      <c r="A575" s="24">
        <v>574.0</v>
      </c>
      <c r="B575" s="25" t="s">
        <v>1466</v>
      </c>
      <c r="C575" s="25" t="s">
        <v>1467</v>
      </c>
      <c r="D575" s="25">
        <v>395.0</v>
      </c>
      <c r="E575" s="41"/>
      <c r="F575" s="41"/>
      <c r="G575" s="41"/>
      <c r="H575" s="41"/>
      <c r="I575" s="25">
        <v>395.0</v>
      </c>
      <c r="J575" s="34"/>
      <c r="K575" s="42"/>
      <c r="L575" s="42"/>
      <c r="M575" s="42"/>
      <c r="N575" s="42"/>
      <c r="O575" s="42"/>
      <c r="P575" s="42"/>
      <c r="Q575" s="42"/>
      <c r="R575" s="42"/>
      <c r="S575" s="42"/>
    </row>
    <row r="576">
      <c r="A576" s="24">
        <v>575.0</v>
      </c>
      <c r="B576" s="25" t="s">
        <v>1468</v>
      </c>
      <c r="C576" s="25" t="s">
        <v>1469</v>
      </c>
      <c r="D576" s="34"/>
      <c r="E576" s="25">
        <v>396.0</v>
      </c>
      <c r="F576" s="41"/>
      <c r="G576" s="41"/>
      <c r="H576" s="41"/>
      <c r="I576" s="25">
        <v>396.0</v>
      </c>
      <c r="J576" s="34"/>
      <c r="K576" s="42"/>
      <c r="L576" s="42"/>
      <c r="M576" s="42"/>
      <c r="N576" s="42"/>
      <c r="O576" s="42"/>
      <c r="P576" s="42"/>
      <c r="Q576" s="42"/>
      <c r="R576" s="42"/>
      <c r="S576" s="42"/>
    </row>
    <row r="577">
      <c r="A577" s="24">
        <v>576.0</v>
      </c>
      <c r="B577" s="25" t="s">
        <v>1470</v>
      </c>
      <c r="C577" s="25" t="s">
        <v>1471</v>
      </c>
      <c r="D577" s="25">
        <v>396.0</v>
      </c>
      <c r="E577" s="41"/>
      <c r="F577" s="41"/>
      <c r="G577" s="41"/>
      <c r="H577" s="41"/>
      <c r="I577" s="25">
        <v>396.0</v>
      </c>
      <c r="J577" s="34"/>
      <c r="K577" s="42"/>
      <c r="L577" s="42"/>
      <c r="M577" s="42"/>
      <c r="N577" s="42"/>
      <c r="O577" s="42"/>
      <c r="P577" s="42"/>
      <c r="Q577" s="42"/>
      <c r="R577" s="42"/>
      <c r="S577" s="42"/>
    </row>
    <row r="578">
      <c r="A578" s="24">
        <v>577.0</v>
      </c>
      <c r="B578" s="25" t="s">
        <v>1472</v>
      </c>
      <c r="C578" s="25" t="s">
        <v>1473</v>
      </c>
      <c r="D578" s="34"/>
      <c r="E578" s="41"/>
      <c r="F578" s="41"/>
      <c r="G578" s="41"/>
      <c r="H578" s="25">
        <v>396.0</v>
      </c>
      <c r="I578" s="25">
        <v>396.0</v>
      </c>
      <c r="J578" s="34"/>
      <c r="K578" s="42"/>
      <c r="L578" s="42"/>
      <c r="M578" s="42"/>
      <c r="N578" s="42"/>
      <c r="O578" s="42"/>
      <c r="P578" s="42"/>
      <c r="Q578" s="42"/>
      <c r="R578" s="42"/>
      <c r="S578" s="42"/>
    </row>
    <row r="579">
      <c r="A579" s="24">
        <v>578.0</v>
      </c>
      <c r="B579" s="25" t="s">
        <v>1474</v>
      </c>
      <c r="C579" s="25" t="s">
        <v>1475</v>
      </c>
      <c r="D579" s="25">
        <v>397.0</v>
      </c>
      <c r="E579" s="41"/>
      <c r="F579" s="41"/>
      <c r="G579" s="41"/>
      <c r="H579" s="41"/>
      <c r="I579" s="25">
        <v>397.0</v>
      </c>
      <c r="J579" s="34"/>
      <c r="K579" s="42"/>
      <c r="L579" s="42"/>
      <c r="M579" s="42"/>
      <c r="N579" s="42"/>
      <c r="O579" s="42"/>
      <c r="P579" s="42"/>
      <c r="Q579" s="42"/>
      <c r="R579" s="42"/>
      <c r="S579" s="42"/>
    </row>
    <row r="580">
      <c r="A580" s="24">
        <v>579.0</v>
      </c>
      <c r="B580" s="25" t="s">
        <v>1476</v>
      </c>
      <c r="C580" s="25" t="s">
        <v>1477</v>
      </c>
      <c r="D580" s="25">
        <v>398.0</v>
      </c>
      <c r="E580" s="41"/>
      <c r="F580" s="41"/>
      <c r="G580" s="41"/>
      <c r="H580" s="41"/>
      <c r="I580" s="25">
        <v>398.0</v>
      </c>
      <c r="J580" s="34"/>
      <c r="K580" s="42"/>
      <c r="L580" s="42"/>
      <c r="M580" s="42"/>
      <c r="N580" s="42"/>
      <c r="O580" s="42"/>
      <c r="P580" s="42"/>
      <c r="Q580" s="42"/>
      <c r="R580" s="42"/>
      <c r="S580" s="42"/>
    </row>
    <row r="581">
      <c r="A581" s="24">
        <v>580.0</v>
      </c>
      <c r="B581" s="25" t="s">
        <v>1478</v>
      </c>
      <c r="C581" s="25" t="s">
        <v>1479</v>
      </c>
      <c r="D581" s="25">
        <v>399.0</v>
      </c>
      <c r="E581" s="41"/>
      <c r="F581" s="41"/>
      <c r="G581" s="41"/>
      <c r="H581" s="41"/>
      <c r="I581" s="25">
        <v>399.0</v>
      </c>
      <c r="J581" s="34"/>
      <c r="K581" s="42"/>
      <c r="L581" s="42"/>
      <c r="M581" s="42"/>
      <c r="N581" s="42"/>
      <c r="O581" s="42"/>
      <c r="P581" s="42"/>
      <c r="Q581" s="42"/>
      <c r="R581" s="42"/>
      <c r="S581" s="42"/>
    </row>
    <row r="582">
      <c r="A582" s="24">
        <v>581.0</v>
      </c>
      <c r="B582" s="25" t="s">
        <v>1480</v>
      </c>
      <c r="C582" s="25" t="s">
        <v>1481</v>
      </c>
      <c r="D582" s="25">
        <v>400.0</v>
      </c>
      <c r="E582" s="41"/>
      <c r="F582" s="41"/>
      <c r="G582" s="41"/>
      <c r="H582" s="41"/>
      <c r="I582" s="25">
        <v>400.0</v>
      </c>
      <c r="J582" s="34"/>
      <c r="K582" s="42"/>
      <c r="L582" s="42"/>
      <c r="M582" s="42"/>
      <c r="N582" s="42"/>
      <c r="O582" s="42"/>
      <c r="P582" s="42"/>
      <c r="Q582" s="42"/>
      <c r="R582" s="42"/>
      <c r="S582" s="42"/>
    </row>
    <row r="583">
      <c r="A583" s="24">
        <v>582.0</v>
      </c>
      <c r="B583" s="25" t="s">
        <v>1482</v>
      </c>
      <c r="C583" s="25" t="s">
        <v>1483</v>
      </c>
      <c r="D583" s="25">
        <v>401.0</v>
      </c>
      <c r="E583" s="41"/>
      <c r="F583" s="41"/>
      <c r="G583" s="41"/>
      <c r="H583" s="41"/>
      <c r="I583" s="25">
        <v>401.0</v>
      </c>
      <c r="J583" s="34"/>
      <c r="K583" s="42"/>
      <c r="L583" s="42"/>
      <c r="M583" s="42"/>
      <c r="N583" s="42"/>
      <c r="O583" s="42"/>
      <c r="P583" s="42"/>
      <c r="Q583" s="42"/>
      <c r="R583" s="42"/>
      <c r="S583" s="42"/>
    </row>
    <row r="584">
      <c r="A584" s="24">
        <v>583.0</v>
      </c>
      <c r="B584" s="25" t="s">
        <v>1484</v>
      </c>
      <c r="C584" s="25" t="s">
        <v>1485</v>
      </c>
      <c r="D584" s="34"/>
      <c r="E584" s="25">
        <v>401.0</v>
      </c>
      <c r="F584" s="41"/>
      <c r="G584" s="41"/>
      <c r="H584" s="41"/>
      <c r="I584" s="25">
        <v>401.0</v>
      </c>
      <c r="J584" s="34"/>
      <c r="K584" s="42"/>
      <c r="L584" s="42"/>
      <c r="M584" s="42"/>
      <c r="N584" s="42"/>
      <c r="O584" s="42"/>
      <c r="P584" s="42"/>
      <c r="Q584" s="42"/>
      <c r="R584" s="42"/>
      <c r="S584" s="42"/>
    </row>
    <row r="585">
      <c r="A585" s="24">
        <v>584.0</v>
      </c>
      <c r="B585" s="25" t="s">
        <v>1486</v>
      </c>
      <c r="C585" s="25" t="s">
        <v>1487</v>
      </c>
      <c r="D585" s="34"/>
      <c r="E585" s="41"/>
      <c r="F585" s="41"/>
      <c r="G585" s="41"/>
      <c r="H585" s="25">
        <v>401.0</v>
      </c>
      <c r="I585" s="25">
        <v>401.0</v>
      </c>
      <c r="J585" s="34"/>
      <c r="K585" s="42"/>
      <c r="L585" s="42"/>
      <c r="M585" s="42"/>
      <c r="N585" s="42"/>
      <c r="O585" s="42"/>
      <c r="P585" s="42"/>
      <c r="Q585" s="42"/>
      <c r="R585" s="42"/>
      <c r="S585" s="42"/>
    </row>
    <row r="586">
      <c r="A586" s="24">
        <v>585.0</v>
      </c>
      <c r="B586" s="25" t="s">
        <v>1488</v>
      </c>
      <c r="C586" s="25" t="s">
        <v>1489</v>
      </c>
      <c r="D586" s="25">
        <v>403.0</v>
      </c>
      <c r="E586" s="41"/>
      <c r="F586" s="41"/>
      <c r="G586" s="41"/>
      <c r="H586" s="41"/>
      <c r="I586" s="25">
        <v>403.0</v>
      </c>
      <c r="J586" s="34"/>
      <c r="K586" s="42"/>
      <c r="L586" s="42"/>
      <c r="M586" s="42"/>
      <c r="N586" s="42"/>
      <c r="O586" s="42"/>
      <c r="P586" s="42"/>
      <c r="Q586" s="42"/>
      <c r="R586" s="42"/>
      <c r="S586" s="42"/>
    </row>
    <row r="587">
      <c r="A587" s="24">
        <v>586.0</v>
      </c>
      <c r="B587" s="25" t="s">
        <v>1490</v>
      </c>
      <c r="C587" s="25" t="s">
        <v>1491</v>
      </c>
      <c r="D587" s="25">
        <v>405.0</v>
      </c>
      <c r="E587" s="41"/>
      <c r="F587" s="41"/>
      <c r="G587" s="41"/>
      <c r="H587" s="41"/>
      <c r="I587" s="25">
        <v>405.0</v>
      </c>
      <c r="J587" s="34"/>
      <c r="K587" s="42"/>
      <c r="L587" s="42"/>
      <c r="M587" s="42"/>
      <c r="N587" s="42"/>
      <c r="O587" s="42"/>
      <c r="P587" s="42"/>
      <c r="Q587" s="42"/>
      <c r="R587" s="42"/>
      <c r="S587" s="42"/>
    </row>
    <row r="588">
      <c r="A588" s="24">
        <v>587.0</v>
      </c>
      <c r="B588" s="25" t="s">
        <v>1492</v>
      </c>
      <c r="C588" s="25" t="s">
        <v>1493</v>
      </c>
      <c r="D588" s="25">
        <v>406.0</v>
      </c>
      <c r="E588" s="41"/>
      <c r="F588" s="41"/>
      <c r="G588" s="41"/>
      <c r="H588" s="41"/>
      <c r="I588" s="25">
        <v>406.0</v>
      </c>
      <c r="J588" s="34"/>
      <c r="K588" s="42"/>
      <c r="L588" s="42"/>
      <c r="M588" s="42"/>
      <c r="N588" s="42"/>
      <c r="O588" s="42"/>
      <c r="P588" s="42"/>
      <c r="Q588" s="42"/>
      <c r="R588" s="42"/>
      <c r="S588" s="42"/>
    </row>
    <row r="589">
      <c r="A589" s="24">
        <v>588.0</v>
      </c>
      <c r="B589" s="25" t="s">
        <v>1494</v>
      </c>
      <c r="C589" s="25" t="s">
        <v>1495</v>
      </c>
      <c r="D589" s="25">
        <v>407.0</v>
      </c>
      <c r="E589" s="41"/>
      <c r="F589" s="41"/>
      <c r="G589" s="41"/>
      <c r="H589" s="41"/>
      <c r="I589" s="25">
        <v>407.0</v>
      </c>
      <c r="J589" s="34"/>
      <c r="K589" s="42"/>
      <c r="L589" s="42"/>
      <c r="M589" s="42"/>
      <c r="N589" s="42"/>
      <c r="O589" s="42"/>
      <c r="P589" s="42"/>
      <c r="Q589" s="42"/>
      <c r="R589" s="42"/>
      <c r="S589" s="42"/>
    </row>
    <row r="590">
      <c r="A590" s="24">
        <v>589.0</v>
      </c>
      <c r="B590" s="25" t="s">
        <v>1496</v>
      </c>
      <c r="C590" s="25" t="s">
        <v>1497</v>
      </c>
      <c r="D590" s="25">
        <v>408.0</v>
      </c>
      <c r="E590" s="41"/>
      <c r="F590" s="41"/>
      <c r="G590" s="41"/>
      <c r="H590" s="41"/>
      <c r="I590" s="25">
        <v>408.0</v>
      </c>
      <c r="J590" s="34"/>
      <c r="K590" s="42"/>
      <c r="L590" s="42"/>
      <c r="M590" s="42"/>
      <c r="N590" s="42"/>
      <c r="O590" s="42"/>
      <c r="P590" s="42"/>
      <c r="Q590" s="42"/>
      <c r="R590" s="42"/>
      <c r="S590" s="42"/>
    </row>
    <row r="591">
      <c r="A591" s="24">
        <v>590.0</v>
      </c>
      <c r="B591" s="25" t="s">
        <v>1498</v>
      </c>
      <c r="C591" s="25" t="s">
        <v>1499</v>
      </c>
      <c r="D591" s="25">
        <v>409.0</v>
      </c>
      <c r="E591" s="41"/>
      <c r="F591" s="41"/>
      <c r="G591" s="41"/>
      <c r="H591" s="41"/>
      <c r="I591" s="25">
        <v>409.0</v>
      </c>
      <c r="J591" s="34"/>
      <c r="K591" s="42"/>
      <c r="L591" s="42"/>
      <c r="M591" s="42"/>
      <c r="N591" s="42"/>
      <c r="O591" s="42"/>
      <c r="P591" s="42"/>
      <c r="Q591" s="42"/>
      <c r="R591" s="42"/>
      <c r="S591" s="42"/>
    </row>
    <row r="592">
      <c r="A592" s="24">
        <v>591.0</v>
      </c>
      <c r="B592" s="25" t="s">
        <v>1500</v>
      </c>
      <c r="C592" s="25" t="s">
        <v>1501</v>
      </c>
      <c r="D592" s="25">
        <v>428.0</v>
      </c>
      <c r="E592" s="41"/>
      <c r="F592" s="41"/>
      <c r="G592" s="41"/>
      <c r="H592" s="25">
        <v>424.0</v>
      </c>
      <c r="I592" s="25">
        <v>426.0</v>
      </c>
      <c r="J592" s="34"/>
      <c r="K592" s="42"/>
      <c r="L592" s="42"/>
      <c r="M592" s="42"/>
      <c r="N592" s="42"/>
      <c r="O592" s="42"/>
      <c r="P592" s="42"/>
      <c r="Q592" s="42"/>
      <c r="R592" s="42"/>
      <c r="S592" s="42"/>
    </row>
    <row r="593">
      <c r="A593" s="24">
        <v>592.0</v>
      </c>
      <c r="B593" s="25" t="s">
        <v>1502</v>
      </c>
      <c r="C593" s="25" t="s">
        <v>1503</v>
      </c>
      <c r="D593" s="25">
        <v>410.0</v>
      </c>
      <c r="E593" s="41"/>
      <c r="F593" s="41"/>
      <c r="G593" s="41"/>
      <c r="H593" s="41"/>
      <c r="I593" s="25">
        <v>410.0</v>
      </c>
      <c r="J593" s="34"/>
      <c r="K593" s="42"/>
      <c r="L593" s="42"/>
      <c r="M593" s="42"/>
      <c r="N593" s="42"/>
      <c r="O593" s="42"/>
      <c r="P593" s="42"/>
      <c r="Q593" s="42"/>
      <c r="R593" s="42"/>
      <c r="S593" s="42"/>
    </row>
    <row r="594">
      <c r="A594" s="24">
        <v>593.0</v>
      </c>
      <c r="B594" s="25" t="s">
        <v>1504</v>
      </c>
      <c r="C594" s="25" t="s">
        <v>1505</v>
      </c>
      <c r="D594" s="34"/>
      <c r="E594" s="41"/>
      <c r="F594" s="41"/>
      <c r="G594" s="41"/>
      <c r="H594" s="25">
        <v>410.0</v>
      </c>
      <c r="I594" s="25">
        <v>410.0</v>
      </c>
      <c r="J594" s="34"/>
      <c r="K594" s="42"/>
      <c r="L594" s="42"/>
      <c r="M594" s="42"/>
      <c r="N594" s="42"/>
      <c r="O594" s="42"/>
      <c r="P594" s="42"/>
      <c r="Q594" s="42"/>
      <c r="R594" s="42"/>
      <c r="S594" s="42"/>
    </row>
    <row r="595">
      <c r="A595" s="24">
        <v>594.0</v>
      </c>
      <c r="B595" s="25" t="s">
        <v>1506</v>
      </c>
      <c r="C595" s="25" t="s">
        <v>1507</v>
      </c>
      <c r="D595" s="25">
        <v>411.0</v>
      </c>
      <c r="E595" s="41"/>
      <c r="F595" s="41"/>
      <c r="G595" s="41"/>
      <c r="H595" s="41"/>
      <c r="I595" s="25">
        <v>411.0</v>
      </c>
      <c r="J595" s="34"/>
      <c r="K595" s="42"/>
      <c r="L595" s="42"/>
      <c r="M595" s="42"/>
      <c r="N595" s="42"/>
      <c r="O595" s="42"/>
      <c r="P595" s="42"/>
      <c r="Q595" s="42"/>
      <c r="R595" s="42"/>
      <c r="S595" s="42"/>
    </row>
    <row r="596">
      <c r="A596" s="24">
        <v>595.0</v>
      </c>
      <c r="B596" s="25" t="s">
        <v>1508</v>
      </c>
      <c r="C596" s="25" t="s">
        <v>1509</v>
      </c>
      <c r="D596" s="34"/>
      <c r="E596" s="41"/>
      <c r="F596" s="41"/>
      <c r="G596" s="41"/>
      <c r="H596" s="25">
        <v>412.0</v>
      </c>
      <c r="I596" s="25">
        <v>412.0</v>
      </c>
      <c r="J596" s="34"/>
      <c r="K596" s="42"/>
      <c r="L596" s="42"/>
      <c r="M596" s="42"/>
      <c r="N596" s="42"/>
      <c r="O596" s="42"/>
      <c r="P596" s="42"/>
      <c r="Q596" s="42"/>
      <c r="R596" s="42"/>
      <c r="S596" s="42"/>
    </row>
    <row r="597">
      <c r="A597" s="24">
        <v>596.0</v>
      </c>
      <c r="B597" s="25" t="s">
        <v>1510</v>
      </c>
      <c r="C597" s="25" t="s">
        <v>1511</v>
      </c>
      <c r="D597" s="25">
        <v>412.0</v>
      </c>
      <c r="E597" s="41"/>
      <c r="F597" s="41"/>
      <c r="G597" s="41"/>
      <c r="H597" s="41"/>
      <c r="I597" s="25">
        <v>412.0</v>
      </c>
      <c r="J597" s="34"/>
      <c r="K597" s="42"/>
      <c r="L597" s="42"/>
      <c r="M597" s="42"/>
      <c r="N597" s="42"/>
      <c r="O597" s="42"/>
      <c r="P597" s="42"/>
      <c r="Q597" s="42"/>
      <c r="R597" s="42"/>
      <c r="S597" s="42"/>
    </row>
    <row r="598">
      <c r="A598" s="24">
        <v>597.0</v>
      </c>
      <c r="B598" s="25" t="s">
        <v>1512</v>
      </c>
      <c r="C598" s="25" t="s">
        <v>1513</v>
      </c>
      <c r="D598" s="34"/>
      <c r="E598" s="41"/>
      <c r="F598" s="41"/>
      <c r="G598" s="41"/>
      <c r="H598" s="25">
        <v>413.0</v>
      </c>
      <c r="I598" s="25">
        <v>413.0</v>
      </c>
      <c r="J598" s="34"/>
      <c r="K598" s="42"/>
      <c r="L598" s="42"/>
      <c r="M598" s="42"/>
      <c r="N598" s="42"/>
      <c r="O598" s="42"/>
      <c r="P598" s="42"/>
      <c r="Q598" s="42"/>
      <c r="R598" s="42"/>
      <c r="S598" s="42"/>
    </row>
    <row r="599">
      <c r="A599" s="24">
        <v>598.0</v>
      </c>
      <c r="B599" s="25" t="s">
        <v>1514</v>
      </c>
      <c r="C599" s="25" t="s">
        <v>1515</v>
      </c>
      <c r="D599" s="25">
        <v>413.0</v>
      </c>
      <c r="E599" s="41"/>
      <c r="F599" s="41"/>
      <c r="G599" s="41"/>
      <c r="H599" s="41"/>
      <c r="I599" s="25">
        <v>413.0</v>
      </c>
      <c r="J599" s="41"/>
    </row>
    <row r="600">
      <c r="A600" s="24">
        <v>599.0</v>
      </c>
      <c r="B600" s="25" t="s">
        <v>1516</v>
      </c>
      <c r="C600" s="25" t="s">
        <v>1517</v>
      </c>
      <c r="D600" s="25">
        <v>414.0</v>
      </c>
      <c r="E600" s="41"/>
      <c r="F600" s="41"/>
      <c r="G600" s="41"/>
      <c r="H600" s="41"/>
      <c r="I600" s="25">
        <v>414.0</v>
      </c>
      <c r="J600" s="41"/>
    </row>
    <row r="601">
      <c r="A601" s="24">
        <v>600.0</v>
      </c>
      <c r="B601" s="25" t="s">
        <v>1518</v>
      </c>
      <c r="C601" s="25" t="s">
        <v>1519</v>
      </c>
      <c r="D601" s="25">
        <v>415.0</v>
      </c>
      <c r="E601" s="41"/>
      <c r="F601" s="41"/>
      <c r="G601" s="41"/>
      <c r="H601" s="41"/>
      <c r="I601" s="25">
        <v>415.0</v>
      </c>
      <c r="J601" s="41"/>
    </row>
    <row r="602">
      <c r="A602" s="24">
        <v>601.0</v>
      </c>
      <c r="B602" s="25" t="s">
        <v>1520</v>
      </c>
      <c r="C602" s="25" t="s">
        <v>1521</v>
      </c>
      <c r="D602" s="25">
        <v>448.0</v>
      </c>
      <c r="E602" s="41"/>
      <c r="F602" s="41"/>
      <c r="G602" s="41"/>
      <c r="H602" s="25">
        <v>415.0</v>
      </c>
      <c r="I602" s="25">
        <v>431.5</v>
      </c>
      <c r="J602" s="41"/>
    </row>
    <row r="603">
      <c r="A603" s="24">
        <v>602.0</v>
      </c>
      <c r="B603" s="25" t="s">
        <v>1522</v>
      </c>
      <c r="C603" s="25" t="s">
        <v>1523</v>
      </c>
      <c r="D603" s="25">
        <v>416.0</v>
      </c>
      <c r="E603" s="41"/>
      <c r="F603" s="41"/>
      <c r="G603" s="41"/>
      <c r="H603" s="41"/>
      <c r="I603" s="25">
        <v>416.0</v>
      </c>
      <c r="J603" s="41"/>
    </row>
    <row r="604">
      <c r="A604" s="24">
        <v>603.0</v>
      </c>
      <c r="B604" s="25" t="s">
        <v>1524</v>
      </c>
      <c r="C604" s="25" t="s">
        <v>1525</v>
      </c>
      <c r="D604" s="41"/>
      <c r="E604" s="41"/>
      <c r="F604" s="41"/>
      <c r="G604" s="41"/>
      <c r="H604" s="25">
        <v>417.0</v>
      </c>
      <c r="I604" s="25">
        <v>417.0</v>
      </c>
      <c r="J604" s="41"/>
    </row>
    <row r="605">
      <c r="A605" s="24">
        <v>604.0</v>
      </c>
      <c r="B605" s="25" t="s">
        <v>1526</v>
      </c>
      <c r="C605" s="25" t="s">
        <v>1527</v>
      </c>
      <c r="D605" s="25">
        <v>417.0</v>
      </c>
      <c r="E605" s="41"/>
      <c r="F605" s="41"/>
      <c r="G605" s="41"/>
      <c r="H605" s="41"/>
      <c r="I605" s="25">
        <v>417.0</v>
      </c>
      <c r="J605" s="41"/>
    </row>
    <row r="606">
      <c r="A606" s="24">
        <v>605.0</v>
      </c>
      <c r="B606" s="25" t="s">
        <v>1528</v>
      </c>
      <c r="C606" s="25" t="s">
        <v>1529</v>
      </c>
      <c r="D606" s="41"/>
      <c r="E606" s="41"/>
      <c r="F606" s="41"/>
      <c r="G606" s="41"/>
      <c r="H606" s="25">
        <v>418.0</v>
      </c>
      <c r="I606" s="25">
        <v>418.0</v>
      </c>
      <c r="J606" s="41"/>
    </row>
    <row r="607">
      <c r="A607" s="24">
        <v>606.0</v>
      </c>
      <c r="B607" s="25" t="s">
        <v>1530</v>
      </c>
      <c r="C607" s="25" t="s">
        <v>1531</v>
      </c>
      <c r="D607" s="25">
        <v>418.0</v>
      </c>
      <c r="E607" s="41"/>
      <c r="F607" s="41"/>
      <c r="G607" s="41"/>
      <c r="H607" s="41"/>
      <c r="I607" s="25">
        <v>418.0</v>
      </c>
      <c r="J607" s="41"/>
    </row>
    <row r="608">
      <c r="A608" s="24">
        <v>607.0</v>
      </c>
      <c r="B608" s="25" t="s">
        <v>1532</v>
      </c>
      <c r="C608" s="25" t="s">
        <v>1533</v>
      </c>
      <c r="D608" s="41"/>
      <c r="E608" s="41"/>
      <c r="F608" s="41"/>
      <c r="G608" s="41"/>
      <c r="H608" s="25">
        <v>419.0</v>
      </c>
      <c r="I608" s="25">
        <v>419.0</v>
      </c>
      <c r="J608" s="41"/>
    </row>
    <row r="609">
      <c r="A609" s="24">
        <v>608.0</v>
      </c>
      <c r="B609" s="25" t="s">
        <v>1534</v>
      </c>
      <c r="C609" s="25" t="s">
        <v>1535</v>
      </c>
      <c r="D609" s="25">
        <v>433.0</v>
      </c>
      <c r="E609" s="41"/>
      <c r="F609" s="41"/>
      <c r="G609" s="41"/>
      <c r="H609" s="25">
        <v>429.0</v>
      </c>
      <c r="I609" s="25">
        <v>431.0</v>
      </c>
      <c r="J609" s="41"/>
    </row>
    <row r="610">
      <c r="A610" s="24">
        <v>609.0</v>
      </c>
      <c r="B610" s="25" t="s">
        <v>1536</v>
      </c>
      <c r="C610" s="25" t="s">
        <v>1537</v>
      </c>
      <c r="D610" s="25">
        <v>422.0</v>
      </c>
      <c r="E610" s="41"/>
      <c r="F610" s="41"/>
      <c r="G610" s="41"/>
      <c r="H610" s="41"/>
      <c r="I610" s="25">
        <v>422.0</v>
      </c>
      <c r="J610" s="41"/>
    </row>
    <row r="611">
      <c r="A611" s="24">
        <v>610.0</v>
      </c>
      <c r="B611" s="25" t="s">
        <v>1538</v>
      </c>
      <c r="C611" s="25" t="s">
        <v>1539</v>
      </c>
      <c r="D611" s="25">
        <v>495.0</v>
      </c>
      <c r="E611" s="41"/>
      <c r="F611" s="41"/>
      <c r="G611" s="41"/>
      <c r="H611" s="25">
        <v>422.0</v>
      </c>
      <c r="I611" s="25">
        <v>458.5</v>
      </c>
      <c r="J611" s="41"/>
    </row>
    <row r="612">
      <c r="A612" s="24">
        <v>611.0</v>
      </c>
      <c r="B612" s="25" t="s">
        <v>1540</v>
      </c>
      <c r="C612" s="25" t="s">
        <v>1541</v>
      </c>
      <c r="D612" s="25">
        <v>423.0</v>
      </c>
      <c r="E612" s="41"/>
      <c r="F612" s="41"/>
      <c r="G612" s="41"/>
      <c r="H612" s="41"/>
      <c r="I612" s="25">
        <v>423.0</v>
      </c>
      <c r="J612" s="41"/>
    </row>
    <row r="613">
      <c r="A613" s="24">
        <v>612.0</v>
      </c>
      <c r="B613" s="25" t="s">
        <v>1542</v>
      </c>
      <c r="C613" s="25" t="s">
        <v>1543</v>
      </c>
      <c r="D613" s="25">
        <v>426.0</v>
      </c>
      <c r="E613" s="41"/>
      <c r="F613" s="41"/>
      <c r="G613" s="41"/>
      <c r="H613" s="41"/>
      <c r="I613" s="25">
        <v>426.0</v>
      </c>
      <c r="J613" s="41"/>
    </row>
    <row r="614">
      <c r="A614" s="24">
        <v>613.0</v>
      </c>
      <c r="B614" s="25" t="s">
        <v>1544</v>
      </c>
      <c r="C614" s="25" t="s">
        <v>1545</v>
      </c>
      <c r="D614" s="25">
        <v>436.0</v>
      </c>
      <c r="E614" s="41"/>
      <c r="F614" s="41"/>
      <c r="G614" s="41"/>
      <c r="H614" s="25">
        <v>436.0</v>
      </c>
      <c r="I614" s="25">
        <v>436.0</v>
      </c>
      <c r="J614" s="41"/>
    </row>
    <row r="615">
      <c r="A615" s="24">
        <v>614.0</v>
      </c>
      <c r="B615" s="25" t="s">
        <v>1546</v>
      </c>
      <c r="C615" s="25" t="s">
        <v>1547</v>
      </c>
      <c r="D615" s="25">
        <v>430.0</v>
      </c>
      <c r="E615" s="41"/>
      <c r="F615" s="41"/>
      <c r="G615" s="41"/>
      <c r="H615" s="41"/>
      <c r="I615" s="25">
        <v>430.0</v>
      </c>
      <c r="J615" s="41"/>
    </row>
    <row r="616">
      <c r="A616" s="24">
        <v>615.0</v>
      </c>
      <c r="B616" s="25" t="s">
        <v>1548</v>
      </c>
      <c r="C616" s="25" t="s">
        <v>1549</v>
      </c>
      <c r="D616" s="25">
        <v>435.0</v>
      </c>
      <c r="E616" s="41"/>
      <c r="F616" s="41"/>
      <c r="G616" s="41"/>
      <c r="H616" s="25">
        <v>438.0</v>
      </c>
      <c r="I616" s="25">
        <v>436.5</v>
      </c>
      <c r="J616" s="41"/>
    </row>
    <row r="617">
      <c r="A617" s="24">
        <v>616.0</v>
      </c>
      <c r="B617" s="25" t="s">
        <v>1550</v>
      </c>
      <c r="C617" s="25" t="s">
        <v>1551</v>
      </c>
      <c r="D617" s="25">
        <v>432.0</v>
      </c>
      <c r="E617" s="41"/>
      <c r="F617" s="41"/>
      <c r="G617" s="41"/>
      <c r="H617" s="41"/>
      <c r="I617" s="25">
        <v>432.0</v>
      </c>
      <c r="J617" s="41"/>
    </row>
    <row r="618">
      <c r="A618" s="24">
        <v>617.0</v>
      </c>
      <c r="B618" s="25" t="s">
        <v>1552</v>
      </c>
      <c r="C618" s="25" t="s">
        <v>1553</v>
      </c>
      <c r="D618" s="25">
        <v>434.0</v>
      </c>
      <c r="E618" s="41"/>
      <c r="F618" s="41"/>
      <c r="G618" s="41"/>
      <c r="H618" s="41"/>
      <c r="I618" s="25">
        <v>434.0</v>
      </c>
      <c r="J618" s="41"/>
    </row>
    <row r="619">
      <c r="A619" s="24">
        <v>618.0</v>
      </c>
      <c r="B619" s="25" t="s">
        <v>1554</v>
      </c>
      <c r="C619" s="25" t="s">
        <v>1555</v>
      </c>
      <c r="D619" s="41"/>
      <c r="E619" s="41"/>
      <c r="F619" s="41"/>
      <c r="G619" s="41"/>
      <c r="H619" s="25">
        <v>434.0</v>
      </c>
      <c r="I619" s="25">
        <v>434.0</v>
      </c>
      <c r="J619" s="41"/>
    </row>
    <row r="620">
      <c r="A620" s="24">
        <v>619.0</v>
      </c>
      <c r="B620" s="25" t="s">
        <v>1556</v>
      </c>
      <c r="C620" s="25" t="s">
        <v>1557</v>
      </c>
      <c r="D620" s="25">
        <v>437.0</v>
      </c>
      <c r="E620" s="41"/>
      <c r="F620" s="41"/>
      <c r="G620" s="41"/>
      <c r="H620" s="41"/>
      <c r="I620" s="25">
        <v>437.0</v>
      </c>
      <c r="J620" s="41"/>
    </row>
    <row r="621">
      <c r="A621" s="24">
        <v>620.0</v>
      </c>
      <c r="B621" s="25" t="s">
        <v>1558</v>
      </c>
      <c r="C621" s="25" t="s">
        <v>1559</v>
      </c>
      <c r="D621" s="41"/>
      <c r="E621" s="41"/>
      <c r="F621" s="41"/>
      <c r="G621" s="41"/>
      <c r="H621" s="25">
        <v>437.0</v>
      </c>
      <c r="I621" s="25">
        <v>437.0</v>
      </c>
      <c r="J621" s="41"/>
    </row>
    <row r="622">
      <c r="A622" s="24">
        <v>621.0</v>
      </c>
      <c r="B622" s="25" t="s">
        <v>1560</v>
      </c>
      <c r="C622" s="25" t="s">
        <v>1561</v>
      </c>
      <c r="D622" s="25">
        <v>438.0</v>
      </c>
      <c r="E622" s="41"/>
      <c r="F622" s="41"/>
      <c r="G622" s="41"/>
      <c r="H622" s="41"/>
      <c r="I622" s="25">
        <v>438.0</v>
      </c>
      <c r="J622" s="41"/>
    </row>
    <row r="623">
      <c r="A623" s="24">
        <v>622.0</v>
      </c>
      <c r="B623" s="25" t="s">
        <v>1562</v>
      </c>
      <c r="C623" s="25" t="s">
        <v>1563</v>
      </c>
      <c r="D623" s="25">
        <v>440.0</v>
      </c>
      <c r="E623" s="41"/>
      <c r="F623" s="41"/>
      <c r="G623" s="41"/>
      <c r="H623" s="41"/>
      <c r="I623" s="25">
        <v>440.0</v>
      </c>
      <c r="J623" s="41"/>
    </row>
    <row r="624">
      <c r="A624" s="24">
        <v>623.0</v>
      </c>
      <c r="B624" s="25" t="s">
        <v>1564</v>
      </c>
      <c r="C624" s="25" t="s">
        <v>1565</v>
      </c>
      <c r="D624" s="41"/>
      <c r="E624" s="41"/>
      <c r="F624" s="41"/>
      <c r="G624" s="41"/>
      <c r="H624" s="25">
        <v>440.0</v>
      </c>
      <c r="I624" s="25">
        <v>440.0</v>
      </c>
      <c r="J624" s="41"/>
    </row>
    <row r="625">
      <c r="A625" s="24">
        <v>624.0</v>
      </c>
      <c r="B625" s="25" t="s">
        <v>1566</v>
      </c>
      <c r="C625" s="25" t="s">
        <v>1567</v>
      </c>
      <c r="D625" s="25">
        <v>441.0</v>
      </c>
      <c r="E625" s="41"/>
      <c r="F625" s="41"/>
      <c r="G625" s="41"/>
      <c r="H625" s="41"/>
      <c r="I625" s="25">
        <v>441.0</v>
      </c>
      <c r="J625" s="41"/>
    </row>
    <row r="626">
      <c r="A626" s="24">
        <v>625.0</v>
      </c>
      <c r="B626" s="25" t="s">
        <v>1568</v>
      </c>
      <c r="C626" s="25" t="s">
        <v>1569</v>
      </c>
      <c r="D626" s="25">
        <v>443.0</v>
      </c>
      <c r="E626" s="41"/>
      <c r="F626" s="41"/>
      <c r="G626" s="41"/>
      <c r="H626" s="41"/>
      <c r="I626" s="25">
        <v>443.0</v>
      </c>
      <c r="J626" s="41"/>
    </row>
    <row r="627">
      <c r="A627" s="24">
        <v>626.0</v>
      </c>
      <c r="B627" s="25" t="s">
        <v>1570</v>
      </c>
      <c r="C627" s="25" t="s">
        <v>1571</v>
      </c>
      <c r="D627" s="41"/>
      <c r="E627" s="41"/>
      <c r="F627" s="41"/>
      <c r="G627" s="41"/>
      <c r="H627" s="25">
        <v>443.0</v>
      </c>
      <c r="I627" s="25">
        <v>443.0</v>
      </c>
      <c r="J627" s="41"/>
    </row>
    <row r="628">
      <c r="A628" s="24">
        <v>627.0</v>
      </c>
      <c r="B628" s="25" t="s">
        <v>1572</v>
      </c>
      <c r="C628" s="25" t="s">
        <v>1573</v>
      </c>
      <c r="D628" s="25">
        <v>444.0</v>
      </c>
      <c r="E628" s="41"/>
      <c r="F628" s="41"/>
      <c r="G628" s="41"/>
      <c r="H628" s="41"/>
      <c r="I628" s="25">
        <v>444.0</v>
      </c>
      <c r="J628" s="41"/>
    </row>
    <row r="629">
      <c r="A629" s="24">
        <v>628.0</v>
      </c>
      <c r="B629" s="25" t="s">
        <v>1574</v>
      </c>
      <c r="C629" s="25" t="s">
        <v>1575</v>
      </c>
      <c r="D629" s="25">
        <v>445.0</v>
      </c>
      <c r="E629" s="41"/>
      <c r="F629" s="41"/>
      <c r="G629" s="41"/>
      <c r="H629" s="41"/>
      <c r="I629" s="25">
        <v>445.0</v>
      </c>
      <c r="J629" s="41"/>
    </row>
    <row r="630">
      <c r="A630" s="24">
        <v>629.0</v>
      </c>
      <c r="B630" s="25" t="s">
        <v>1576</v>
      </c>
      <c r="C630" s="25" t="s">
        <v>1577</v>
      </c>
      <c r="D630" s="25">
        <v>449.0</v>
      </c>
      <c r="E630" s="41"/>
      <c r="F630" s="41"/>
      <c r="G630" s="41"/>
      <c r="H630" s="41"/>
      <c r="I630" s="25">
        <v>449.0</v>
      </c>
      <c r="J630" s="41"/>
    </row>
    <row r="631">
      <c r="A631" s="24">
        <v>630.0</v>
      </c>
      <c r="B631" s="25" t="s">
        <v>1578</v>
      </c>
      <c r="C631" s="25" t="s">
        <v>1579</v>
      </c>
      <c r="D631" s="25">
        <v>450.0</v>
      </c>
      <c r="E631" s="41"/>
      <c r="F631" s="41"/>
      <c r="G631" s="41"/>
      <c r="H631" s="41"/>
      <c r="I631" s="25">
        <v>450.0</v>
      </c>
      <c r="J631" s="41"/>
    </row>
    <row r="632">
      <c r="A632" s="24">
        <v>631.0</v>
      </c>
      <c r="B632" s="25" t="s">
        <v>1580</v>
      </c>
      <c r="C632" s="25" t="s">
        <v>1581</v>
      </c>
      <c r="D632" s="25">
        <v>452.0</v>
      </c>
      <c r="E632" s="41"/>
      <c r="F632" s="41"/>
      <c r="G632" s="41"/>
      <c r="H632" s="41"/>
      <c r="I632" s="25">
        <v>452.0</v>
      </c>
      <c r="J632" s="41"/>
    </row>
    <row r="633">
      <c r="A633" s="24">
        <v>632.0</v>
      </c>
      <c r="B633" s="25" t="s">
        <v>1582</v>
      </c>
      <c r="C633" s="25" t="s">
        <v>1583</v>
      </c>
      <c r="D633" s="25">
        <v>453.0</v>
      </c>
      <c r="E633" s="41"/>
      <c r="F633" s="41"/>
      <c r="G633" s="41"/>
      <c r="H633" s="41"/>
      <c r="I633" s="25">
        <v>453.0</v>
      </c>
      <c r="J633" s="41"/>
    </row>
    <row r="634">
      <c r="A634" s="24">
        <v>633.0</v>
      </c>
      <c r="B634" s="25" t="s">
        <v>1584</v>
      </c>
      <c r="C634" s="25" t="s">
        <v>1585</v>
      </c>
      <c r="D634" s="25">
        <v>454.0</v>
      </c>
      <c r="E634" s="41"/>
      <c r="F634" s="41"/>
      <c r="G634" s="41"/>
      <c r="H634" s="41"/>
      <c r="I634" s="25">
        <v>454.0</v>
      </c>
      <c r="J634" s="41"/>
    </row>
    <row r="635">
      <c r="A635" s="24">
        <v>634.0</v>
      </c>
      <c r="B635" s="25" t="s">
        <v>1586</v>
      </c>
      <c r="C635" s="25" t="s">
        <v>1587</v>
      </c>
      <c r="D635" s="25">
        <v>455.0</v>
      </c>
      <c r="E635" s="41"/>
      <c r="F635" s="41"/>
      <c r="G635" s="41"/>
      <c r="H635" s="41"/>
      <c r="I635" s="25">
        <v>455.0</v>
      </c>
      <c r="J635" s="41"/>
    </row>
    <row r="636">
      <c r="A636" s="24">
        <v>635.0</v>
      </c>
      <c r="B636" s="25" t="s">
        <v>1588</v>
      </c>
      <c r="C636" s="25" t="s">
        <v>1589</v>
      </c>
      <c r="D636" s="25">
        <v>456.0</v>
      </c>
      <c r="E636" s="41"/>
      <c r="F636" s="41"/>
      <c r="G636" s="41"/>
      <c r="H636" s="41"/>
      <c r="I636" s="25">
        <v>456.0</v>
      </c>
      <c r="J636" s="41"/>
    </row>
    <row r="637">
      <c r="A637" s="24">
        <v>636.0</v>
      </c>
      <c r="B637" s="25" t="s">
        <v>1590</v>
      </c>
      <c r="C637" s="25" t="s">
        <v>1591</v>
      </c>
      <c r="D637" s="25">
        <v>457.0</v>
      </c>
      <c r="E637" s="41"/>
      <c r="F637" s="41"/>
      <c r="G637" s="41"/>
      <c r="H637" s="41"/>
      <c r="I637" s="25">
        <v>457.0</v>
      </c>
      <c r="J637" s="41"/>
    </row>
    <row r="638">
      <c r="A638" s="24">
        <v>637.0</v>
      </c>
      <c r="B638" s="25" t="s">
        <v>1592</v>
      </c>
      <c r="C638" s="25" t="s">
        <v>1593</v>
      </c>
      <c r="D638" s="25">
        <v>458.0</v>
      </c>
      <c r="E638" s="41"/>
      <c r="F638" s="41"/>
      <c r="G638" s="41"/>
      <c r="H638" s="41"/>
      <c r="I638" s="25">
        <v>458.0</v>
      </c>
      <c r="J638" s="41"/>
    </row>
    <row r="639">
      <c r="A639" s="24">
        <v>638.0</v>
      </c>
      <c r="B639" s="25" t="s">
        <v>1594</v>
      </c>
      <c r="C639" s="25" t="s">
        <v>1595</v>
      </c>
      <c r="D639" s="25">
        <v>459.0</v>
      </c>
      <c r="E639" s="41"/>
      <c r="F639" s="41"/>
      <c r="G639" s="41"/>
      <c r="H639" s="41"/>
      <c r="I639" s="25">
        <v>459.0</v>
      </c>
      <c r="J639" s="41"/>
    </row>
    <row r="640">
      <c r="A640" s="24">
        <v>639.0</v>
      </c>
      <c r="B640" s="25" t="s">
        <v>1596</v>
      </c>
      <c r="C640" s="25" t="s">
        <v>1597</v>
      </c>
      <c r="D640" s="25">
        <v>461.0</v>
      </c>
      <c r="E640" s="41"/>
      <c r="F640" s="41"/>
      <c r="G640" s="41"/>
      <c r="H640" s="41"/>
      <c r="I640" s="25">
        <v>461.0</v>
      </c>
      <c r="J640" s="41"/>
    </row>
    <row r="641">
      <c r="A641" s="24">
        <v>640.0</v>
      </c>
      <c r="B641" s="25" t="s">
        <v>1598</v>
      </c>
      <c r="C641" s="25" t="s">
        <v>1599</v>
      </c>
      <c r="D641" s="25">
        <v>462.0</v>
      </c>
      <c r="E641" s="41"/>
      <c r="F641" s="41"/>
      <c r="G641" s="41"/>
      <c r="H641" s="41"/>
      <c r="I641" s="25">
        <v>462.0</v>
      </c>
      <c r="J641" s="41"/>
    </row>
    <row r="642">
      <c r="A642" s="24">
        <v>641.0</v>
      </c>
      <c r="B642" s="25" t="s">
        <v>1600</v>
      </c>
      <c r="C642" s="25" t="s">
        <v>1601</v>
      </c>
      <c r="D642" s="25">
        <v>463.0</v>
      </c>
      <c r="E642" s="41"/>
      <c r="F642" s="41"/>
      <c r="G642" s="41"/>
      <c r="H642" s="41"/>
      <c r="I642" s="25">
        <v>463.0</v>
      </c>
      <c r="J642" s="41"/>
    </row>
    <row r="643">
      <c r="A643" s="24">
        <v>642.0</v>
      </c>
      <c r="B643" s="25" t="s">
        <v>1602</v>
      </c>
      <c r="C643" s="25" t="s">
        <v>1603</v>
      </c>
      <c r="D643" s="25">
        <v>464.0</v>
      </c>
      <c r="E643" s="41"/>
      <c r="F643" s="41"/>
      <c r="G643" s="41"/>
      <c r="H643" s="41"/>
      <c r="I643" s="25">
        <v>464.0</v>
      </c>
      <c r="J643" s="41"/>
    </row>
    <row r="644">
      <c r="A644" s="24">
        <v>643.0</v>
      </c>
      <c r="B644" s="25" t="s">
        <v>1604</v>
      </c>
      <c r="C644" s="25" t="s">
        <v>1605</v>
      </c>
      <c r="D644" s="25">
        <v>465.0</v>
      </c>
      <c r="E644" s="41"/>
      <c r="F644" s="41"/>
      <c r="G644" s="41"/>
      <c r="H644" s="41"/>
      <c r="I644" s="25">
        <v>465.0</v>
      </c>
      <c r="J644" s="41"/>
    </row>
    <row r="645">
      <c r="A645" s="24">
        <v>644.0</v>
      </c>
      <c r="B645" s="25" t="s">
        <v>1606</v>
      </c>
      <c r="C645" s="25" t="s">
        <v>1607</v>
      </c>
      <c r="D645" s="25">
        <v>466.0</v>
      </c>
      <c r="E645" s="41"/>
      <c r="F645" s="41"/>
      <c r="G645" s="41"/>
      <c r="H645" s="41"/>
      <c r="I645" s="25">
        <v>466.0</v>
      </c>
      <c r="J645" s="41"/>
    </row>
    <row r="646">
      <c r="A646" s="24">
        <v>645.0</v>
      </c>
      <c r="B646" s="25" t="s">
        <v>1608</v>
      </c>
      <c r="C646" s="25" t="s">
        <v>1609</v>
      </c>
      <c r="D646" s="25">
        <v>467.0</v>
      </c>
      <c r="E646" s="41"/>
      <c r="F646" s="41"/>
      <c r="G646" s="41"/>
      <c r="H646" s="41"/>
      <c r="I646" s="25">
        <v>467.0</v>
      </c>
      <c r="J646" s="41"/>
    </row>
    <row r="647">
      <c r="A647" s="24">
        <v>646.0</v>
      </c>
      <c r="B647" s="25" t="s">
        <v>1610</v>
      </c>
      <c r="C647" s="25" t="s">
        <v>1611</v>
      </c>
      <c r="D647" s="25">
        <v>468.0</v>
      </c>
      <c r="E647" s="41"/>
      <c r="F647" s="41"/>
      <c r="G647" s="41"/>
      <c r="H647" s="41"/>
      <c r="I647" s="25">
        <v>468.0</v>
      </c>
      <c r="J647" s="41"/>
    </row>
    <row r="648">
      <c r="A648" s="24">
        <v>647.0</v>
      </c>
      <c r="B648" s="25" t="s">
        <v>1612</v>
      </c>
      <c r="C648" s="25" t="s">
        <v>1613</v>
      </c>
      <c r="D648" s="25">
        <v>470.0</v>
      </c>
      <c r="E648" s="41"/>
      <c r="F648" s="41"/>
      <c r="G648" s="41"/>
      <c r="H648" s="41"/>
      <c r="I648" s="25">
        <v>470.0</v>
      </c>
      <c r="J648" s="41"/>
    </row>
    <row r="649">
      <c r="A649" s="24">
        <v>648.0</v>
      </c>
      <c r="B649" s="25" t="s">
        <v>1614</v>
      </c>
      <c r="C649" s="25" t="s">
        <v>1615</v>
      </c>
      <c r="D649" s="25">
        <v>471.0</v>
      </c>
      <c r="E649" s="41"/>
      <c r="F649" s="41"/>
      <c r="G649" s="41"/>
      <c r="H649" s="41"/>
      <c r="I649" s="25">
        <v>471.0</v>
      </c>
      <c r="J649" s="41"/>
    </row>
    <row r="650">
      <c r="A650" s="24">
        <v>649.0</v>
      </c>
      <c r="B650" s="25" t="s">
        <v>1616</v>
      </c>
      <c r="C650" s="25" t="s">
        <v>1617</v>
      </c>
      <c r="D650" s="25">
        <v>472.0</v>
      </c>
      <c r="E650" s="41"/>
      <c r="F650" s="41"/>
      <c r="G650" s="41"/>
      <c r="H650" s="41"/>
      <c r="I650" s="25">
        <v>472.0</v>
      </c>
      <c r="J650" s="41"/>
    </row>
    <row r="651">
      <c r="A651" s="24">
        <v>650.0</v>
      </c>
      <c r="B651" s="25" t="s">
        <v>1618</v>
      </c>
      <c r="C651" s="25" t="s">
        <v>1619</v>
      </c>
      <c r="D651" s="25">
        <v>473.0</v>
      </c>
      <c r="E651" s="41"/>
      <c r="F651" s="41"/>
      <c r="G651" s="41"/>
      <c r="H651" s="41"/>
      <c r="I651" s="25">
        <v>473.0</v>
      </c>
      <c r="J651" s="41"/>
    </row>
    <row r="652">
      <c r="A652" s="24">
        <v>651.0</v>
      </c>
      <c r="B652" s="25" t="s">
        <v>1620</v>
      </c>
      <c r="C652" s="25" t="s">
        <v>1621</v>
      </c>
      <c r="D652" s="25">
        <v>475.0</v>
      </c>
      <c r="E652" s="41"/>
      <c r="F652" s="41"/>
      <c r="G652" s="41"/>
      <c r="H652" s="41"/>
      <c r="I652" s="25">
        <v>475.0</v>
      </c>
      <c r="J652" s="41"/>
    </row>
    <row r="653">
      <c r="A653" s="24">
        <v>652.0</v>
      </c>
      <c r="B653" s="25" t="s">
        <v>1622</v>
      </c>
      <c r="C653" s="25" t="s">
        <v>1623</v>
      </c>
      <c r="D653" s="25">
        <v>476.0</v>
      </c>
      <c r="E653" s="41"/>
      <c r="F653" s="41"/>
      <c r="G653" s="41"/>
      <c r="H653" s="41"/>
      <c r="I653" s="25">
        <v>476.0</v>
      </c>
      <c r="J653" s="41"/>
    </row>
    <row r="654">
      <c r="A654" s="24">
        <v>653.0</v>
      </c>
      <c r="B654" s="25" t="s">
        <v>1624</v>
      </c>
      <c r="C654" s="25" t="s">
        <v>1625</v>
      </c>
      <c r="D654" s="25">
        <v>478.0</v>
      </c>
      <c r="E654" s="41"/>
      <c r="F654" s="41"/>
      <c r="G654" s="41"/>
      <c r="H654" s="41"/>
      <c r="I654" s="25">
        <v>478.0</v>
      </c>
      <c r="J654" s="41"/>
    </row>
    <row r="655">
      <c r="A655" s="24">
        <v>654.0</v>
      </c>
      <c r="B655" s="25" t="s">
        <v>1626</v>
      </c>
      <c r="C655" s="25" t="s">
        <v>1627</v>
      </c>
      <c r="D655" s="25">
        <v>479.0</v>
      </c>
      <c r="E655" s="41"/>
      <c r="F655" s="41"/>
      <c r="G655" s="41"/>
      <c r="H655" s="41"/>
      <c r="I655" s="25">
        <v>479.0</v>
      </c>
      <c r="J655" s="41"/>
    </row>
    <row r="656">
      <c r="A656" s="24">
        <v>655.0</v>
      </c>
      <c r="B656" s="25" t="s">
        <v>1628</v>
      </c>
      <c r="C656" s="25" t="s">
        <v>1629</v>
      </c>
      <c r="D656" s="25">
        <v>480.0</v>
      </c>
      <c r="E656" s="41"/>
      <c r="F656" s="41"/>
      <c r="G656" s="41"/>
      <c r="H656" s="41"/>
      <c r="I656" s="25">
        <v>480.0</v>
      </c>
      <c r="J656" s="41"/>
    </row>
    <row r="657">
      <c r="A657" s="24">
        <v>656.0</v>
      </c>
      <c r="B657" s="25" t="s">
        <v>1630</v>
      </c>
      <c r="C657" s="25" t="s">
        <v>1631</v>
      </c>
      <c r="D657" s="25">
        <v>481.0</v>
      </c>
      <c r="E657" s="41"/>
      <c r="F657" s="41"/>
      <c r="G657" s="41"/>
      <c r="H657" s="41"/>
      <c r="I657" s="25">
        <v>481.0</v>
      </c>
      <c r="J657" s="41"/>
    </row>
    <row r="658">
      <c r="A658" s="24">
        <v>657.0</v>
      </c>
      <c r="B658" s="25" t="s">
        <v>1632</v>
      </c>
      <c r="C658" s="25" t="s">
        <v>1633</v>
      </c>
      <c r="D658" s="25">
        <v>482.0</v>
      </c>
      <c r="E658" s="41"/>
      <c r="F658" s="41"/>
      <c r="G658" s="41"/>
      <c r="H658" s="41"/>
      <c r="I658" s="25">
        <v>482.0</v>
      </c>
      <c r="J658" s="41"/>
    </row>
    <row r="659">
      <c r="A659" s="24">
        <v>658.0</v>
      </c>
      <c r="B659" s="25" t="s">
        <v>1634</v>
      </c>
      <c r="C659" s="25" t="s">
        <v>1635</v>
      </c>
      <c r="D659" s="25">
        <v>483.0</v>
      </c>
      <c r="E659" s="41"/>
      <c r="F659" s="41"/>
      <c r="G659" s="41"/>
      <c r="H659" s="41"/>
      <c r="I659" s="25">
        <v>483.0</v>
      </c>
      <c r="J659" s="41"/>
    </row>
    <row r="660">
      <c r="A660" s="24">
        <v>659.0</v>
      </c>
      <c r="B660" s="25" t="s">
        <v>1636</v>
      </c>
      <c r="C660" s="25" t="s">
        <v>1637</v>
      </c>
      <c r="D660" s="25">
        <v>484.0</v>
      </c>
      <c r="E660" s="41"/>
      <c r="F660" s="41"/>
      <c r="G660" s="41"/>
      <c r="H660" s="41"/>
      <c r="I660" s="25">
        <v>484.0</v>
      </c>
      <c r="J660" s="41"/>
    </row>
    <row r="661">
      <c r="A661" s="24">
        <v>660.0</v>
      </c>
      <c r="B661" s="25" t="s">
        <v>1638</v>
      </c>
      <c r="C661" s="25" t="s">
        <v>1639</v>
      </c>
      <c r="D661" s="25">
        <v>485.0</v>
      </c>
      <c r="E661" s="41"/>
      <c r="F661" s="41"/>
      <c r="G661" s="41"/>
      <c r="H661" s="41"/>
      <c r="I661" s="25">
        <v>485.0</v>
      </c>
      <c r="J661" s="41"/>
    </row>
    <row r="662">
      <c r="A662" s="24">
        <v>661.0</v>
      </c>
      <c r="B662" s="25" t="s">
        <v>1640</v>
      </c>
      <c r="C662" s="25" t="s">
        <v>1641</v>
      </c>
      <c r="D662" s="25">
        <v>486.0</v>
      </c>
      <c r="E662" s="41"/>
      <c r="F662" s="41"/>
      <c r="G662" s="41"/>
      <c r="H662" s="41"/>
      <c r="I662" s="25">
        <v>486.0</v>
      </c>
      <c r="J662" s="41"/>
    </row>
    <row r="663">
      <c r="A663" s="24">
        <v>662.0</v>
      </c>
      <c r="B663" s="25" t="s">
        <v>1642</v>
      </c>
      <c r="C663" s="25" t="s">
        <v>1643</v>
      </c>
      <c r="D663" s="25">
        <v>487.0</v>
      </c>
      <c r="E663" s="41"/>
      <c r="F663" s="41"/>
      <c r="G663" s="41"/>
      <c r="H663" s="41"/>
      <c r="I663" s="25">
        <v>487.0</v>
      </c>
      <c r="J663" s="41"/>
    </row>
    <row r="664">
      <c r="A664" s="24">
        <v>663.0</v>
      </c>
      <c r="B664" s="25" t="s">
        <v>1644</v>
      </c>
      <c r="C664" s="25" t="s">
        <v>1645</v>
      </c>
      <c r="D664" s="25">
        <v>488.0</v>
      </c>
      <c r="E664" s="41"/>
      <c r="F664" s="41"/>
      <c r="G664" s="41"/>
      <c r="H664" s="41"/>
      <c r="I664" s="25">
        <v>488.0</v>
      </c>
      <c r="J664" s="41"/>
    </row>
    <row r="665">
      <c r="A665" s="24">
        <v>664.0</v>
      </c>
      <c r="B665" s="25" t="s">
        <v>1646</v>
      </c>
      <c r="C665" s="25" t="s">
        <v>1647</v>
      </c>
      <c r="D665" s="25">
        <v>489.0</v>
      </c>
      <c r="E665" s="41"/>
      <c r="F665" s="41"/>
      <c r="G665" s="41"/>
      <c r="H665" s="41"/>
      <c r="I665" s="25">
        <v>489.0</v>
      </c>
      <c r="J665" s="41"/>
    </row>
    <row r="666">
      <c r="A666" s="24">
        <v>665.0</v>
      </c>
      <c r="B666" s="25" t="s">
        <v>1648</v>
      </c>
      <c r="C666" s="25" t="s">
        <v>1649</v>
      </c>
      <c r="D666" s="25">
        <v>490.0</v>
      </c>
      <c r="E666" s="41"/>
      <c r="F666" s="41"/>
      <c r="G666" s="41"/>
      <c r="H666" s="41"/>
      <c r="I666" s="25">
        <v>490.0</v>
      </c>
      <c r="J666" s="41"/>
    </row>
    <row r="667">
      <c r="A667" s="24">
        <v>666.0</v>
      </c>
      <c r="B667" s="25" t="s">
        <v>1650</v>
      </c>
      <c r="C667" s="25" t="s">
        <v>1651</v>
      </c>
      <c r="D667" s="25">
        <v>492.0</v>
      </c>
      <c r="E667" s="41"/>
      <c r="F667" s="41"/>
      <c r="G667" s="41"/>
      <c r="H667" s="41"/>
      <c r="I667" s="25">
        <v>492.0</v>
      </c>
      <c r="J667" s="41"/>
    </row>
    <row r="668">
      <c r="A668" s="24">
        <v>667.0</v>
      </c>
      <c r="B668" s="25" t="s">
        <v>1652</v>
      </c>
      <c r="C668" s="25" t="s">
        <v>1653</v>
      </c>
      <c r="D668" s="25">
        <v>493.0</v>
      </c>
      <c r="E668" s="41"/>
      <c r="F668" s="41"/>
      <c r="G668" s="41"/>
      <c r="H668" s="41"/>
      <c r="I668" s="25">
        <v>493.0</v>
      </c>
      <c r="J668" s="41"/>
    </row>
    <row r="669">
      <c r="A669" s="24">
        <v>668.0</v>
      </c>
      <c r="B669" s="25" t="s">
        <v>1654</v>
      </c>
      <c r="C669" s="25" t="s">
        <v>1655</v>
      </c>
      <c r="D669" s="25">
        <v>494.0</v>
      </c>
      <c r="E669" s="41"/>
      <c r="F669" s="41"/>
      <c r="G669" s="41"/>
      <c r="H669" s="41"/>
      <c r="I669" s="25">
        <v>494.0</v>
      </c>
      <c r="J669" s="41"/>
    </row>
    <row r="670">
      <c r="A670" s="24">
        <v>669.0</v>
      </c>
      <c r="B670" s="25" t="s">
        <v>1656</v>
      </c>
      <c r="C670" s="25" t="s">
        <v>1657</v>
      </c>
      <c r="D670" s="25">
        <v>496.0</v>
      </c>
      <c r="E670" s="41"/>
      <c r="F670" s="41"/>
      <c r="G670" s="41"/>
      <c r="H670" s="41"/>
      <c r="I670" s="25">
        <v>496.0</v>
      </c>
      <c r="J670" s="41"/>
    </row>
    <row r="671">
      <c r="A671" s="24">
        <v>670.0</v>
      </c>
      <c r="B671" s="25" t="s">
        <v>1658</v>
      </c>
      <c r="C671" s="25" t="s">
        <v>1659</v>
      </c>
      <c r="D671" s="25">
        <v>497.0</v>
      </c>
      <c r="E671" s="41"/>
      <c r="F671" s="41"/>
      <c r="G671" s="41"/>
      <c r="H671" s="41"/>
      <c r="I671" s="25">
        <v>497.0</v>
      </c>
      <c r="J671" s="41"/>
    </row>
    <row r="672">
      <c r="A672" s="24">
        <v>671.0</v>
      </c>
      <c r="B672" s="25" t="s">
        <v>1660</v>
      </c>
      <c r="C672" s="25" t="s">
        <v>1661</v>
      </c>
      <c r="D672" s="25">
        <v>498.0</v>
      </c>
      <c r="E672" s="41"/>
      <c r="F672" s="41"/>
      <c r="G672" s="41"/>
      <c r="H672" s="41"/>
      <c r="I672" s="25">
        <v>498.0</v>
      </c>
      <c r="J672" s="41"/>
    </row>
    <row r="673">
      <c r="A673" s="24">
        <v>672.0</v>
      </c>
      <c r="B673" s="25" t="s">
        <v>1662</v>
      </c>
      <c r="C673" s="25" t="s">
        <v>1663</v>
      </c>
      <c r="D673" s="25">
        <v>499.0</v>
      </c>
      <c r="E673" s="41"/>
      <c r="F673" s="41"/>
      <c r="G673" s="41"/>
      <c r="H673" s="41"/>
      <c r="I673" s="25">
        <v>499.0</v>
      </c>
      <c r="J673" s="41"/>
    </row>
    <row r="674">
      <c r="A674" s="24">
        <v>673.0</v>
      </c>
      <c r="B674" s="25" t="s">
        <v>1664</v>
      </c>
      <c r="C674" s="25" t="s">
        <v>1665</v>
      </c>
      <c r="D674" s="25">
        <v>500.0</v>
      </c>
      <c r="E674" s="41"/>
      <c r="F674" s="41"/>
      <c r="G674" s="41"/>
      <c r="H674" s="41"/>
      <c r="I674" s="25">
        <v>500.0</v>
      </c>
      <c r="J674" s="41"/>
    </row>
  </sheetData>
  <mergeCells count="1">
    <mergeCell ref="O1:S1"/>
  </mergeCells>
  <hyperlinks>
    <hyperlink r:id="rId1" ref="O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21.88"/>
  </cols>
  <sheetData>
    <row r="1">
      <c r="A1" s="28" t="s">
        <v>242</v>
      </c>
      <c r="B1" s="29" t="s">
        <v>245</v>
      </c>
    </row>
    <row r="2">
      <c r="A2" t="str">
        <f>IFERROR(__xludf.DUMMYFUNCTION("IFERROR(REGEXEXTRACT('Manual Data Import'!B2, ""^(.*)\s+[A-Z]{2,4}\s+\(\d+\)$""),'Manual Data Import'!B2) &amp; CHAR(10) &amp; 
IFERROR(REGEXREPLACE('Manual Data Import'!C2, ""\d+$"", """")) &amp;"" - ""&amp; 
IFERROR(REGEXEXTRACT('Manual Data Import'!B2, ""([A-Z]{2,4})\"&amp;"s+\(\d+\)$"")) &amp; "" (""&amp; 
IFERROR(REGEXEXTRACT('Manual Data Import'!B2, ""\((\d+)\)"")) &amp; "")"""),"Jahmyr Gibbs 
RB - DET (6)")</f>
        <v>Jahmyr Gibbs 
RB - DET (6)</v>
      </c>
      <c r="B2" s="30" t="str">
        <f>IFERROR(IF(COUNTIF('Draft Board'!$C$3:$V$24,A2)+COUNTIF(Keepers!$B$2:$U$21,A2)+COUNTIF('Auction Draft Board'!$C$6:$AP$25,A2)&gt;0,"",A2),"")</f>
        <v/>
      </c>
    </row>
    <row r="3">
      <c r="A3" t="str">
        <f>IFERROR(__xludf.DUMMYFUNCTION("IFERROR(REGEXEXTRACT('Manual Data Import'!B3, ""^(.*)\s+[A-Z]{2,4}\s+\(\d+\)$""),'Manual Data Import'!B3) &amp; CHAR(10) &amp; 
IFERROR(REGEXREPLACE('Manual Data Import'!C3, ""\d+$"", """")) &amp;"" - ""&amp; 
IFERROR(REGEXEXTRACT('Manual Data Import'!B3, ""([A-Z]{2,4})\"&amp;"s+\(\d+\)$"")) &amp; "" (""&amp; 
IFERROR(REGEXEXTRACT('Manual Data Import'!B3, ""\((\d+)\)"")) &amp; "")"""),"Bijan Robinson 
RB - ATL (11)")</f>
        <v>Bijan Robinson 
RB - ATL (11)</v>
      </c>
      <c r="B3" s="30" t="str">
        <f>IFERROR(IF(COUNTIF('Draft Board'!$C$3:$V$24,A3)+COUNTIF(Keepers!$B$2:$U$21,A3)+COUNTIF('Auction Draft Board'!$C$6:$AP$25,A3)&gt;0,"",A3),"")</f>
        <v/>
      </c>
    </row>
    <row r="4">
      <c r="A4" t="str">
        <f>IFERROR(__xludf.DUMMYFUNCTION("IFERROR(REGEXEXTRACT('Manual Data Import'!B4, ""^(.*)\s+[A-Z]{2,4}\s+\(\d+\)$""),'Manual Data Import'!B4) &amp; CHAR(10) &amp; 
IFERROR(REGEXREPLACE('Manual Data Import'!C4, ""\d+$"", """")) &amp;"" - ""&amp; 
IFERROR(REGEXEXTRACT('Manual Data Import'!B4, ""([A-Z]{2,4})\"&amp;"s+\(\d+\)$"")) &amp; "" (""&amp; 
IFERROR(REGEXEXTRACT('Manual Data Import'!B4, ""\((\d+)\)"")) &amp; "")"""),"Ja'Marr Chase 
WR - CIN (6)")</f>
        <v>Ja'Marr Chase 
WR - CIN (6)</v>
      </c>
      <c r="B4" s="30" t="str">
        <f>IFERROR(IF(COUNTIF('Draft Board'!$C$3:$V$24,A4)+COUNTIF(Keepers!$B$2:$U$21,A4)+COUNTIF('Auction Draft Board'!$C$6:$AP$25,A4)&gt;0,"",A4),"")</f>
        <v/>
      </c>
    </row>
    <row r="5">
      <c r="A5" t="str">
        <f>IFERROR(__xludf.DUMMYFUNCTION("IFERROR(REGEXEXTRACT('Manual Data Import'!B5, ""^(.*)\s+[A-Z]{2,4}\s+\(\d+\)$""),'Manual Data Import'!B5) &amp; CHAR(10) &amp; 
IFERROR(REGEXREPLACE('Manual Data Import'!C5, ""\d+$"", """")) &amp;"" - ""&amp; 
IFERROR(REGEXEXTRACT('Manual Data Import'!B5, ""([A-Z]{2,4})\"&amp;"s+\(\d+\)$"")) &amp; "" (""&amp; 
IFERROR(REGEXEXTRACT('Manual Data Import'!B5, ""\((\d+)\)"")) &amp; "")"""),"Puka Nacua 
WR - LAR (11)")</f>
        <v>Puka Nacua 
WR - LAR (11)</v>
      </c>
      <c r="B5" s="30" t="str">
        <f>IFERROR(IF(COUNTIF('Draft Board'!$C$3:$V$24,A5)+COUNTIF(Keepers!$B$2:$U$21,A5)+COUNTIF('Auction Draft Board'!$C$6:$AP$25,A5)&gt;0,"",A5),"")</f>
        <v/>
      </c>
    </row>
    <row r="6">
      <c r="A6" t="str">
        <f>IFERROR(__xludf.DUMMYFUNCTION("IFERROR(REGEXEXTRACT('Manual Data Import'!B6, ""^(.*)\s+[A-Z]{2,4}\s+\(\d+\)$""),'Manual Data Import'!B6) &amp; CHAR(10) &amp; 
IFERROR(REGEXREPLACE('Manual Data Import'!C6, ""\d+$"", """")) &amp;"" - ""&amp; 
IFERROR(REGEXEXTRACT('Manual Data Import'!B6, ""([A-Z]{2,4})\"&amp;"s+\(\d+\)$"")) &amp; "" (""&amp; 
IFERROR(REGEXEXTRACT('Manual Data Import'!B6, ""\((\d+)\)"")) &amp; "")"""),"Christian McCaffrey 
RB - SF (8)")</f>
        <v>Christian McCaffrey 
RB - SF (8)</v>
      </c>
      <c r="B6" s="30" t="str">
        <f>IFERROR(IF(COUNTIF('Draft Board'!$C$3:$V$24,A6)+COUNTIF(Keepers!$B$2:$U$21,A6)+COUNTIF('Auction Draft Board'!$C$6:$AP$25,A6)&gt;0,"",A6),"")</f>
        <v/>
      </c>
    </row>
    <row r="7">
      <c r="A7" t="str">
        <f>IFERROR(__xludf.DUMMYFUNCTION("IFERROR(REGEXEXTRACT('Manual Data Import'!B7, ""^(.*)\s+[A-Z]{2,4}\s+\(\d+\)$""),'Manual Data Import'!B7) &amp; CHAR(10) &amp; 
IFERROR(REGEXREPLACE('Manual Data Import'!C7, ""\d+$"", """")) &amp;"" - ""&amp; 
IFERROR(REGEXEXTRACT('Manual Data Import'!B7, ""([A-Z]{2,4})\"&amp;"s+\(\d+\)$"")) &amp; "" (""&amp; 
IFERROR(REGEXEXTRACT('Manual Data Import'!B7, ""\((\d+)\)"")) &amp; "")"""),"Jaxon Smith-Njigba 
WR - SEA (11)")</f>
        <v>Jaxon Smith-Njigba 
WR - SEA (11)</v>
      </c>
      <c r="B7" s="30" t="str">
        <f>IFERROR(IF(COUNTIF('Draft Board'!$C$3:$V$24,A7)+COUNTIF(Keepers!$B$2:$U$21,A7)+COUNTIF('Auction Draft Board'!$C$6:$AP$25,A7)&gt;0,"",A7),"")</f>
        <v/>
      </c>
    </row>
    <row r="8">
      <c r="A8" t="str">
        <f>IFERROR(__xludf.DUMMYFUNCTION("IFERROR(REGEXEXTRACT('Manual Data Import'!B8, ""^(.*)\s+[A-Z]{2,4}\s+\(\d+\)$""),'Manual Data Import'!B8) &amp; CHAR(10) &amp; 
IFERROR(REGEXREPLACE('Manual Data Import'!C8, ""\d+$"", """")) &amp;"" - ""&amp; 
IFERROR(REGEXEXTRACT('Manual Data Import'!B8, ""([A-Z]{2,4})\"&amp;"s+\(\d+\)$"")) &amp; "" (""&amp; 
IFERROR(REGEXEXTRACT('Manual Data Import'!B8, ""\((\d+)\)"")) &amp; "")"""),"Jonathan Taylor 
RB - IND (13)")</f>
        <v>Jonathan Taylor 
RB - IND (13)</v>
      </c>
      <c r="B8" s="30" t="str">
        <f>IFERROR(IF(COUNTIF('Draft Board'!$C$3:$V$24,A8)+COUNTIF(Keepers!$B$2:$U$21,A8)+COUNTIF('Auction Draft Board'!$C$6:$AP$25,A8)&gt;0,"",A8),"")</f>
        <v/>
      </c>
    </row>
    <row r="9">
      <c r="A9" t="str">
        <f>IFERROR(__xludf.DUMMYFUNCTION("IFERROR(REGEXEXTRACT('Manual Data Import'!B9, ""^(.*)\s+[A-Z]{2,4}\s+\(\d+\)$""),'Manual Data Import'!B9) &amp; CHAR(10) &amp; 
IFERROR(REGEXREPLACE('Manual Data Import'!C9, ""\d+$"", """")) &amp;"" - ""&amp; 
IFERROR(REGEXEXTRACT('Manual Data Import'!B9, ""([A-Z]{2,4})\"&amp;"s+\(\d+\)$"")) &amp; "" (""&amp; 
IFERROR(REGEXEXTRACT('Manual Data Import'!B9, ""\((\d+)\)"")) &amp; "")"""),"Amon-Ra St. Brown 
WR - DET (6)")</f>
        <v>Amon-Ra St. Brown 
WR - DET (6)</v>
      </c>
      <c r="B9" s="30" t="str">
        <f>IFERROR(IF(COUNTIF('Draft Board'!$C$3:$V$24,A9)+COUNTIF(Keepers!$B$2:$U$21,A9)+COUNTIF('Auction Draft Board'!$C$6:$AP$25,A9)&gt;0,"",A9),"")</f>
        <v/>
      </c>
    </row>
    <row r="10">
      <c r="A10" t="str">
        <f>IFERROR(__xludf.DUMMYFUNCTION("IFERROR(REGEXEXTRACT('Manual Data Import'!B10, ""^(.*)\s+[A-Z]{2,4}\s+\(\d+\)$""),'Manual Data Import'!B10) &amp; CHAR(10) &amp; 
IFERROR(REGEXREPLACE('Manual Data Import'!C10, ""\d+$"", """")) &amp;"" - ""&amp; 
IFERROR(REGEXEXTRACT('Manual Data Import'!B10, ""([A-Z]{2,"&amp;"4})\s+\(\d+\)$"")) &amp; "" (""&amp; 
IFERROR(REGEXEXTRACT('Manual Data Import'!B10, ""\((\d+)\)"")) &amp; "")"""),"James Cook III 
RB - BUF (7)")</f>
        <v>James Cook III 
RB - BUF (7)</v>
      </c>
      <c r="B10" s="30" t="str">
        <f>IFERROR(IF(COUNTIF('Draft Board'!$C$3:$V$24,A10)+COUNTIF(Keepers!$B$2:$U$21,A10)+COUNTIF('Auction Draft Board'!$C$6:$AP$25,A10)&gt;0,"",A10),"")</f>
        <v/>
      </c>
    </row>
    <row r="11">
      <c r="A11" t="str">
        <f>IFERROR(__xludf.DUMMYFUNCTION("IFERROR(REGEXEXTRACT('Manual Data Import'!B11, ""^(.*)\s+[A-Z]{2,4}\s+\(\d+\)$""),'Manual Data Import'!B11) &amp; CHAR(10) &amp; 
IFERROR(REGEXREPLACE('Manual Data Import'!C11, ""\d+$"", """")) &amp;"" - ""&amp; 
IFERROR(REGEXEXTRACT('Manual Data Import'!B11, ""([A-Z]{2,"&amp;"4})\s+\(\d+\)$"")) &amp; "" (""&amp; 
IFERROR(REGEXEXTRACT('Manual Data Import'!B11, ""\((\d+)\)"")) &amp; "")"""),"De'Von Achane 
RB - MIA (6)")</f>
        <v>De'Von Achane 
RB - MIA (6)</v>
      </c>
      <c r="B11" s="30" t="str">
        <f>IFERROR(IF(COUNTIF('Draft Board'!$C$3:$V$24,A11)+COUNTIF(Keepers!$B$2:$U$21,A11)+COUNTIF('Auction Draft Board'!$C$6:$AP$25,A11)&gt;0,"",A11),"")</f>
        <v/>
      </c>
    </row>
    <row r="12">
      <c r="A12" t="str">
        <f>IFERROR(__xludf.DUMMYFUNCTION("IFERROR(REGEXEXTRACT('Manual Data Import'!B12, ""^(.*)\s+[A-Z]{2,4}\s+\(\d+\)$""),'Manual Data Import'!B12) &amp; CHAR(10) &amp; 
IFERROR(REGEXREPLACE('Manual Data Import'!C12, ""\d+$"", """")) &amp;"" - ""&amp; 
IFERROR(REGEXEXTRACT('Manual Data Import'!B12, ""([A-Z]{2,"&amp;"4})\s+\(\d+\)$"")) &amp; "" (""&amp; 
IFERROR(REGEXEXTRACT('Manual Data Import'!B12, ""\((\d+)\)"")) &amp; "")"""),"CeeDee Lamb 
WR - DAL (14)")</f>
        <v>CeeDee Lamb 
WR - DAL (14)</v>
      </c>
      <c r="B12" s="30" t="str">
        <f>IFERROR(IF(COUNTIF('Draft Board'!$C$3:$V$24,A12)+COUNTIF(Keepers!$B$2:$U$21,A12)+COUNTIF('Auction Draft Board'!$C$6:$AP$25,A12)&gt;0,"",A12),"")</f>
        <v/>
      </c>
    </row>
    <row r="13">
      <c r="A13" t="str">
        <f>IFERROR(__xludf.DUMMYFUNCTION("IFERROR(REGEXEXTRACT('Manual Data Import'!B13, ""^(.*)\s+[A-Z]{2,4}\s+\(\d+\)$""),'Manual Data Import'!B13) &amp; CHAR(10) &amp; 
IFERROR(REGEXREPLACE('Manual Data Import'!C13, ""\d+$"", """")) &amp;"" - ""&amp; 
IFERROR(REGEXEXTRACT('Manual Data Import'!B13, ""([A-Z]{2,"&amp;"4})\s+\(\d+\)$"")) &amp; "" (""&amp; 
IFERROR(REGEXEXTRACT('Manual Data Import'!B13, ""\((\d+)\)"")) &amp; "")"""),"Justin Jefferson 
WR - MIN (6)")</f>
        <v>Justin Jefferson 
WR - MIN (6)</v>
      </c>
      <c r="B13" s="30" t="str">
        <f>IFERROR(IF(COUNTIF('Draft Board'!$C$3:$V$24,A13)+COUNTIF(Keepers!$B$2:$U$21,A13)+COUNTIF('Auction Draft Board'!$C$6:$AP$25,A13)&gt;0,"",A13),"")</f>
        <v/>
      </c>
    </row>
    <row r="14">
      <c r="A14" t="str">
        <f>IFERROR(__xludf.DUMMYFUNCTION("IFERROR(REGEXEXTRACT('Manual Data Import'!B14, ""^(.*)\s+[A-Z]{2,4}\s+\(\d+\)$""),'Manual Data Import'!B14) &amp; CHAR(10) &amp; 
IFERROR(REGEXREPLACE('Manual Data Import'!C14, ""\d+$"", """")) &amp;"" - ""&amp; 
IFERROR(REGEXEXTRACT('Manual Data Import'!B14, ""([A-Z]{2,"&amp;"4})\s+\(\d+\)$"")) &amp; "" (""&amp; 
IFERROR(REGEXEXTRACT('Manual Data Import'!B14, ""\((\d+)\)"")) &amp; "")"""),"Saquon Barkley 
RB - PHI (10)")</f>
        <v>Saquon Barkley 
RB - PHI (10)</v>
      </c>
      <c r="B14" s="30" t="str">
        <f>IFERROR(IF(COUNTIF('Draft Board'!$C$3:$V$24,A14)+COUNTIF(Keepers!$B$2:$U$21,A14)+COUNTIF('Auction Draft Board'!$C$6:$AP$25,A14)&gt;0,"",A14),"")</f>
        <v/>
      </c>
    </row>
    <row r="15">
      <c r="A15" t="str">
        <f>IFERROR(__xludf.DUMMYFUNCTION("IFERROR(REGEXEXTRACT('Manual Data Import'!B15, ""^(.*)\s+[A-Z]{2,4}\s+\(\d+\)$""),'Manual Data Import'!B15) &amp; CHAR(10) &amp; 
IFERROR(REGEXREPLACE('Manual Data Import'!C15, ""\d+$"", """")) &amp;"" - ""&amp; 
IFERROR(REGEXEXTRACT('Manual Data Import'!B15, ""([A-Z]{2,"&amp;"4})\s+\(\d+\)$"")) &amp; "" (""&amp; 
IFERROR(REGEXEXTRACT('Manual Data Import'!B15, ""\((\d+)\)"")) &amp; "")"""),"Chase Brown 
RB - CIN (6)")</f>
        <v>Chase Brown 
RB - CIN (6)</v>
      </c>
      <c r="B15" s="30" t="str">
        <f>IFERROR(IF(COUNTIF('Draft Board'!$C$3:$V$24,A15)+COUNTIF(Keepers!$B$2:$U$21,A15)+COUNTIF('Auction Draft Board'!$C$6:$AP$25,A15)&gt;0,"",A15),"")</f>
        <v/>
      </c>
    </row>
    <row r="16">
      <c r="A16" t="str">
        <f>IFERROR(__xludf.DUMMYFUNCTION("IFERROR(REGEXEXTRACT('Manual Data Import'!B16, ""^(.*)\s+[A-Z]{2,4}\s+\(\d+\)$""),'Manual Data Import'!B16) &amp; CHAR(10) &amp; 
IFERROR(REGEXREPLACE('Manual Data Import'!C16, ""\d+$"", """")) &amp;"" - ""&amp; 
IFERROR(REGEXEXTRACT('Manual Data Import'!B16, ""([A-Z]{2,"&amp;"4})\s+\(\d+\)$"")) &amp; "" (""&amp; 
IFERROR(REGEXEXTRACT('Manual Data Import'!B16, ""\((\d+)\)"")) &amp; "")"""),"Ashton Jeanty 
RB - LV (13)")</f>
        <v>Ashton Jeanty 
RB - LV (13)</v>
      </c>
      <c r="B16" s="30" t="str">
        <f>IFERROR(IF(COUNTIF('Draft Board'!$C$3:$V$24,A16)+COUNTIF(Keepers!$B$2:$U$21,A16)+COUNTIF('Auction Draft Board'!$C$6:$AP$25,A16)&gt;0,"",A16),"")</f>
        <v/>
      </c>
    </row>
    <row r="17">
      <c r="A17" t="str">
        <f>IFERROR(__xludf.DUMMYFUNCTION("IFERROR(REGEXEXTRACT('Manual Data Import'!B17, ""^(.*)\s+[A-Z]{2,4}\s+\(\d+\)$""),'Manual Data Import'!B17) &amp; CHAR(10) &amp; 
IFERROR(REGEXREPLACE('Manual Data Import'!C17, ""\d+$"", """")) &amp;"" - ""&amp; 
IFERROR(REGEXEXTRACT('Manual Data Import'!B17, ""([A-Z]{2,"&amp;"4})\s+\(\d+\)$"")) &amp; "" (""&amp; 
IFERROR(REGEXEXTRACT('Manual Data Import'!B17, ""\((\d+)\)"")) &amp; "")"""),"Derrick Henry 
RB - BAL (13)")</f>
        <v>Derrick Henry 
RB - BAL (13)</v>
      </c>
      <c r="B17" s="30" t="str">
        <f>IFERROR(IF(COUNTIF('Draft Board'!$C$3:$V$24,A17)+COUNTIF(Keepers!$B$2:$U$21,A17)+COUNTIF('Auction Draft Board'!$C$6:$AP$25,A17)&gt;0,"",A17),"")</f>
        <v/>
      </c>
    </row>
    <row r="18">
      <c r="A18" t="str">
        <f>IFERROR(__xludf.DUMMYFUNCTION("IFERROR(REGEXEXTRACT('Manual Data Import'!B18, ""^(.*)\s+[A-Z]{2,4}\s+\(\d+\)$""),'Manual Data Import'!B18) &amp; CHAR(10) &amp; 
IFERROR(REGEXREPLACE('Manual Data Import'!C18, ""\d+$"", """")) &amp;"" - ""&amp; 
IFERROR(REGEXEXTRACT('Manual Data Import'!B18, ""([A-Z]{2,"&amp;"4})\s+\(\d+\)$"")) &amp; "" (""&amp; 
IFERROR(REGEXEXTRACT('Manual Data Import'!B18, ""\((\d+)\)"")) &amp; "")"""),"Omarion Hampton 
RB - LAC (7)")</f>
        <v>Omarion Hampton 
RB - LAC (7)</v>
      </c>
      <c r="B18" s="30" t="str">
        <f>IFERROR(IF(COUNTIF('Draft Board'!$C$3:$V$24,A18)+COUNTIF(Keepers!$B$2:$U$21,A18)+COUNTIF('Auction Draft Board'!$C$6:$AP$25,A18)&gt;0,"",A18),"")</f>
        <v/>
      </c>
    </row>
    <row r="19">
      <c r="A19" t="str">
        <f>IFERROR(__xludf.DUMMYFUNCTION("IFERROR(REGEXEXTRACT('Manual Data Import'!B19, ""^(.*)\s+[A-Z]{2,4}\s+\(\d+\)$""),'Manual Data Import'!B19) &amp; CHAR(10) &amp; 
IFERROR(REGEXREPLACE('Manual Data Import'!C19, ""\d+$"", """")) &amp;"" - ""&amp; 
IFERROR(REGEXEXTRACT('Manual Data Import'!B19, ""([A-Z]{2,"&amp;"4})\s+\(\d+\)$"")) &amp; "" (""&amp; 
IFERROR(REGEXEXTRACT('Manual Data Import'!B19, ""\((\d+)\)"")) &amp; "")"""),"Kenneth Walker III 
RB - KC (5)")</f>
        <v>Kenneth Walker III 
RB - KC (5)</v>
      </c>
      <c r="B19" s="30" t="str">
        <f>IFERROR(IF(COUNTIF('Draft Board'!$C$3:$V$24,A19)+COUNTIF(Keepers!$B$2:$U$21,A19)+COUNTIF('Auction Draft Board'!$C$6:$AP$25,A19)&gt;0,"",A19),"")</f>
        <v/>
      </c>
    </row>
    <row r="20">
      <c r="A20" t="str">
        <f>IFERROR(__xludf.DUMMYFUNCTION("IFERROR(REGEXEXTRACT('Manual Data Import'!B20, ""^(.*)\s+[A-Z]{2,4}\s+\(\d+\)$""),'Manual Data Import'!B20) &amp; CHAR(10) &amp; 
IFERROR(REGEXREPLACE('Manual Data Import'!C20, ""\d+$"", """")) &amp;"" - ""&amp; 
IFERROR(REGEXEXTRACT('Manual Data Import'!B20, ""([A-Z]{2,"&amp;"4})\s+\(\d+\)$"")) &amp; "" (""&amp; 
IFERROR(REGEXEXTRACT('Manual Data Import'!B20, ""\((\d+)\)"")) &amp; "")"""),"Drake London 
WR - ATL (11)")</f>
        <v>Drake London 
WR - ATL (11)</v>
      </c>
      <c r="B20" s="30" t="str">
        <f>IFERROR(IF(COUNTIF('Draft Board'!$C$3:$V$24,A20)+COUNTIF(Keepers!$B$2:$U$21,A20)+COUNTIF('Auction Draft Board'!$C$6:$AP$25,A20)&gt;0,"",A20),"")</f>
        <v/>
      </c>
    </row>
    <row r="21">
      <c r="A21" t="str">
        <f>IFERROR(__xludf.DUMMYFUNCTION("IFERROR(REGEXEXTRACT('Manual Data Import'!B21, ""^(.*)\s+[A-Z]{2,4}\s+\(\d+\)$""),'Manual Data Import'!B21) &amp; CHAR(10) &amp; 
IFERROR(REGEXREPLACE('Manual Data Import'!C21, ""\d+$"", """")) &amp;"" - ""&amp; 
IFERROR(REGEXEXTRACT('Manual Data Import'!B21, ""([A-Z]{2,"&amp;"4})\s+\(\d+\)$"")) &amp; "" (""&amp; 
IFERROR(REGEXEXTRACT('Manual Data Import'!B21, ""\((\d+)\)"")) &amp; "")"""),"A.J. Brown 
WR - NE (11)")</f>
        <v>A.J. Brown 
WR - NE (11)</v>
      </c>
      <c r="B21" s="30" t="str">
        <f>IFERROR(IF(COUNTIF('Draft Board'!$C$3:$V$24,A21)+COUNTIF(Keepers!$B$2:$U$21,A21)+COUNTIF('Auction Draft Board'!$C$6:$AP$25,A21)&gt;0,"",A21),"")</f>
        <v/>
      </c>
    </row>
    <row r="22">
      <c r="A22" t="str">
        <f>IFERROR(__xludf.DUMMYFUNCTION("IFERROR(REGEXEXTRACT('Manual Data Import'!B22, ""^(.*)\s+[A-Z]{2,4}\s+\(\d+\)$""),'Manual Data Import'!B22) &amp; CHAR(10) &amp; 
IFERROR(REGEXREPLACE('Manual Data Import'!C22, ""\d+$"", """")) &amp;"" - ""&amp; 
IFERROR(REGEXEXTRACT('Manual Data Import'!B22, ""([A-Z]{2,"&amp;"4})\s+\(\d+\)$"")) &amp; "" (""&amp; 
IFERROR(REGEXEXTRACT('Manual Data Import'!B22, ""\((\d+)\)"")) &amp; "")"""),"Trey McBride 
TE - ARI (14)")</f>
        <v>Trey McBride 
TE - ARI (14)</v>
      </c>
      <c r="B22" s="30" t="str">
        <f>IFERROR(IF(COUNTIF('Draft Board'!$C$3:$V$24,A22)+COUNTIF(Keepers!$B$2:$U$21,A22)+COUNTIF('Auction Draft Board'!$C$6:$AP$25,A22)&gt;0,"",A22),"")</f>
        <v/>
      </c>
    </row>
    <row r="23">
      <c r="A23" t="str">
        <f>IFERROR(__xludf.DUMMYFUNCTION("IFERROR(REGEXEXTRACT('Manual Data Import'!B23, ""^(.*)\s+[A-Z]{2,4}\s+\(\d+\)$""),'Manual Data Import'!B23) &amp; CHAR(10) &amp; 
IFERROR(REGEXREPLACE('Manual Data Import'!C23, ""\d+$"", """")) &amp;"" - ""&amp; 
IFERROR(REGEXEXTRACT('Manual Data Import'!B23, ""([A-Z]{2,"&amp;"4})\s+\(\d+\)$"")) &amp; "" (""&amp; 
IFERROR(REGEXEXTRACT('Manual Data Import'!B23, ""\((\d+)\)"")) &amp; "")"""),"Brock Bowers 
TE - LV (13)")</f>
        <v>Brock Bowers 
TE - LV (13)</v>
      </c>
      <c r="B23" s="30" t="str">
        <f>IFERROR(IF(COUNTIF('Draft Board'!$C$3:$V$24,A23)+COUNTIF(Keepers!$B$2:$U$21,A23)+COUNTIF('Auction Draft Board'!$C$6:$AP$25,A23)&gt;0,"",A23),"")</f>
        <v/>
      </c>
    </row>
    <row r="24">
      <c r="A24" t="str">
        <f>IFERROR(__xludf.DUMMYFUNCTION("IFERROR(REGEXEXTRACT('Manual Data Import'!B24, ""^(.*)\s+[A-Z]{2,4}\s+\(\d+\)$""),'Manual Data Import'!B24) &amp; CHAR(10) &amp; 
IFERROR(REGEXREPLACE('Manual Data Import'!C24, ""\d+$"", """")) &amp;"" - ""&amp; 
IFERROR(REGEXEXTRACT('Manual Data Import'!B24, ""([A-Z]{2,"&amp;"4})\s+\(\d+\)$"")) &amp; "" (""&amp; 
IFERROR(REGEXEXTRACT('Manual Data Import'!B24, ""\((\d+)\)"")) &amp; "")"""),"Josh Allen 
QB - BUF (7)")</f>
        <v>Josh Allen 
QB - BUF (7)</v>
      </c>
      <c r="B24" s="30" t="str">
        <f>IFERROR(IF(COUNTIF('Draft Board'!$C$3:$V$24,A24)+COUNTIF(Keepers!$B$2:$U$21,A24)+COUNTIF('Auction Draft Board'!$C$6:$AP$25,A24)&gt;0,"",A24),"")</f>
        <v/>
      </c>
    </row>
    <row r="25">
      <c r="A25" t="str">
        <f>IFERROR(__xludf.DUMMYFUNCTION("IFERROR(REGEXEXTRACT('Manual Data Import'!B25, ""^(.*)\s+[A-Z]{2,4}\s+\(\d+\)$""),'Manual Data Import'!B25) &amp; CHAR(10) &amp; 
IFERROR(REGEXREPLACE('Manual Data Import'!C25, ""\d+$"", """")) &amp;"" - ""&amp; 
IFERROR(REGEXEXTRACT('Manual Data Import'!B25, ""([A-Z]{2,"&amp;"4})\s+\(\d+\)$"")) &amp; "" (""&amp; 
IFERROR(REGEXEXTRACT('Manual Data Import'!B25, ""\((\d+)\)"")) &amp; "")"""),"Nico Collins 
WR - HOU (8)")</f>
        <v>Nico Collins 
WR - HOU (8)</v>
      </c>
      <c r="B25" s="30" t="str">
        <f>IFERROR(IF(COUNTIF('Draft Board'!$C$3:$V$24,A25)+COUNTIF(Keepers!$B$2:$U$21,A25)+COUNTIF('Auction Draft Board'!$C$6:$AP$25,A25)&gt;0,"",A25),"")</f>
        <v/>
      </c>
    </row>
    <row r="26">
      <c r="A26" t="str">
        <f>IFERROR(__xludf.DUMMYFUNCTION("IFERROR(REGEXEXTRACT('Manual Data Import'!B26, ""^(.*)\s+[A-Z]{2,4}\s+\(\d+\)$""),'Manual Data Import'!B26) &amp; CHAR(10) &amp; 
IFERROR(REGEXREPLACE('Manual Data Import'!C26, ""\d+$"", """")) &amp;"" - ""&amp; 
IFERROR(REGEXEXTRACT('Manual Data Import'!B26, ""([A-Z]{2,"&amp;"4})\s+\(\d+\)$"")) &amp; "" (""&amp; 
IFERROR(REGEXEXTRACT('Manual Data Import'!B26, ""\((\d+)\)"")) &amp; "")"""),"George Pickens 
WR - DAL (14)")</f>
        <v>George Pickens 
WR - DAL (14)</v>
      </c>
      <c r="B26" s="30" t="str">
        <f>IFERROR(IF(COUNTIF('Draft Board'!$C$3:$V$24,A26)+COUNTIF(Keepers!$B$2:$U$21,A26)+COUNTIF('Auction Draft Board'!$C$6:$AP$25,A26)&gt;0,"",A26),"")</f>
        <v/>
      </c>
    </row>
    <row r="27">
      <c r="A27" t="str">
        <f>IFERROR(__xludf.DUMMYFUNCTION("IFERROR(REGEXEXTRACT('Manual Data Import'!B27, ""^(.*)\s+[A-Z]{2,4}\s+\(\d+\)$""),'Manual Data Import'!B27) &amp; CHAR(10) &amp; 
IFERROR(REGEXREPLACE('Manual Data Import'!C27, ""\d+$"", """")) &amp;"" - ""&amp; 
IFERROR(REGEXEXTRACT('Manual Data Import'!B27, ""([A-Z]{2,"&amp;"4})\s+\(\d+\)$"")) &amp; "" (""&amp; 
IFERROR(REGEXEXTRACT('Manual Data Import'!B27, ""\((\d+)\)"")) &amp; "")"""),"Rashee Rice 
WR - KC (5)")</f>
        <v>Rashee Rice 
WR - KC (5)</v>
      </c>
      <c r="B27" s="30" t="str">
        <f>IFERROR(IF(COUNTIF('Draft Board'!$C$3:$V$24,A27)+COUNTIF(Keepers!$B$2:$U$21,A27)+COUNTIF('Auction Draft Board'!$C$6:$AP$25,A27)&gt;0,"",A27),"")</f>
        <v/>
      </c>
    </row>
    <row r="28">
      <c r="A28" t="str">
        <f>IFERROR(__xludf.DUMMYFUNCTION("IFERROR(REGEXEXTRACT('Manual Data Import'!B28, ""^(.*)\s+[A-Z]{2,4}\s+\(\d+\)$""),'Manual Data Import'!B28) &amp; CHAR(10) &amp; 
IFERROR(REGEXREPLACE('Manual Data Import'!C28, ""\d+$"", """")) &amp;"" - ""&amp; 
IFERROR(REGEXEXTRACT('Manual Data Import'!B28, ""([A-Z]{2,"&amp;"4})\s+\(\d+\)$"")) &amp; "" (""&amp; 
IFERROR(REGEXEXTRACT('Manual Data Import'!B28, ""\((\d+)\)"")) &amp; "")"""),"Chris Olave 
WR - NO (8)")</f>
        <v>Chris Olave 
WR - NO (8)</v>
      </c>
      <c r="B28" s="30" t="str">
        <f>IFERROR(IF(COUNTIF('Draft Board'!$C$3:$V$24,A28)+COUNTIF(Keepers!$B$2:$U$21,A28)+COUNTIF('Auction Draft Board'!$C$6:$AP$25,A28)&gt;0,"",A28),"")</f>
        <v/>
      </c>
    </row>
    <row r="29">
      <c r="A29" t="str">
        <f>IFERROR(__xludf.DUMMYFUNCTION("IFERROR(REGEXEXTRACT('Manual Data Import'!B29, ""^(.*)\s+[A-Z]{2,4}\s+\(\d+\)$""),'Manual Data Import'!B29) &amp; CHAR(10) &amp; 
IFERROR(REGEXREPLACE('Manual Data Import'!C29, ""\d+$"", """")) &amp;"" - ""&amp; 
IFERROR(REGEXEXTRACT('Manual Data Import'!B29, ""([A-Z]{2,"&amp;"4})\s+\(\d+\)$"")) &amp; "" (""&amp; 
IFERROR(REGEXEXTRACT('Manual Data Import'!B29, ""\((\d+)\)"")) &amp; "")"""),"Jeremiyah Love 
RB - ARI (14)")</f>
        <v>Jeremiyah Love 
RB - ARI (14)</v>
      </c>
      <c r="B29" s="30" t="str">
        <f>IFERROR(IF(COUNTIF('Draft Board'!$C$3:$V$24,A29)+COUNTIF(Keepers!$B$2:$U$21,A29)+COUNTIF('Auction Draft Board'!$C$6:$AP$25,A29)&gt;0,"",A29),"")</f>
        <v/>
      </c>
    </row>
    <row r="30">
      <c r="A30" t="str">
        <f>IFERROR(__xludf.DUMMYFUNCTION("IFERROR(REGEXEXTRACT('Manual Data Import'!B30, ""^(.*)\s+[A-Z]{2,4}\s+\(\d+\)$""),'Manual Data Import'!B30) &amp; CHAR(10) &amp; 
IFERROR(REGEXREPLACE('Manual Data Import'!C30, ""\d+$"", """")) &amp;"" - ""&amp; 
IFERROR(REGEXEXTRACT('Manual Data Import'!B30, ""([A-Z]{2,"&amp;"4})\s+\(\d+\)$"")) &amp; "" (""&amp; 
IFERROR(REGEXEXTRACT('Manual Data Import'!B30, ""\((\d+)\)"")) &amp; "")"""),"Malik Nabers 
WR - NYG (8)")</f>
        <v>Malik Nabers 
WR - NYG (8)</v>
      </c>
      <c r="B30" s="30" t="str">
        <f>IFERROR(IF(COUNTIF('Draft Board'!$C$3:$V$24,A30)+COUNTIF(Keepers!$B$2:$U$21,A30)+COUNTIF('Auction Draft Board'!$C$6:$AP$25,A30)&gt;0,"",A30),"")</f>
        <v/>
      </c>
    </row>
    <row r="31">
      <c r="A31" t="str">
        <f>IFERROR(__xludf.DUMMYFUNCTION("IFERROR(REGEXEXTRACT('Manual Data Import'!B31, ""^(.*)\s+[A-Z]{2,4}\s+\(\d+\)$""),'Manual Data Import'!B31) &amp; CHAR(10) &amp; 
IFERROR(REGEXREPLACE('Manual Data Import'!C31, ""\d+$"", """")) &amp;"" - ""&amp; 
IFERROR(REGEXEXTRACT('Manual Data Import'!B31, ""([A-Z]{2,"&amp;"4})\s+\(\d+\)$"")) &amp; "" (""&amp; 
IFERROR(REGEXEXTRACT('Manual Data Import'!B31, ""\((\d+)\)"")) &amp; "")"""),"Kyren Williams 
RB - LAR (11)")</f>
        <v>Kyren Williams 
RB - LAR (11)</v>
      </c>
      <c r="B31" s="30" t="str">
        <f>IFERROR(IF(COUNTIF('Draft Board'!$C$3:$V$24,A31)+COUNTIF(Keepers!$B$2:$U$21,A31)+COUNTIF('Auction Draft Board'!$C$6:$AP$25,A31)&gt;0,"",A31),"")</f>
        <v/>
      </c>
    </row>
    <row r="32">
      <c r="A32" t="str">
        <f>IFERROR(__xludf.DUMMYFUNCTION("IFERROR(REGEXEXTRACT('Manual Data Import'!B32, ""^(.*)\s+[A-Z]{2,4}\s+\(\d+\)$""),'Manual Data Import'!B32) &amp; CHAR(10) &amp; 
IFERROR(REGEXREPLACE('Manual Data Import'!C32, ""\d+$"", """")) &amp;"" - ""&amp; 
IFERROR(REGEXEXTRACT('Manual Data Import'!B32, ""([A-Z]{2,"&amp;"4})\s+\(\d+\)$"")) &amp; "" (""&amp; 
IFERROR(REGEXEXTRACT('Manual Data Import'!B32, ""\((\d+)\)"")) &amp; "")"""),"Javonte Williams 
RB - DAL (14)")</f>
        <v>Javonte Williams 
RB - DAL (14)</v>
      </c>
      <c r="B32" s="30" t="str">
        <f>IFERROR(IF(COUNTIF('Draft Board'!$C$3:$V$24,A32)+COUNTIF(Keepers!$B$2:$U$21,A32)+COUNTIF('Auction Draft Board'!$C$6:$AP$25,A32)&gt;0,"",A32),"")</f>
        <v/>
      </c>
    </row>
    <row r="33">
      <c r="A33" t="str">
        <f>IFERROR(__xludf.DUMMYFUNCTION("IFERROR(REGEXEXTRACT('Manual Data Import'!B33, ""^(.*)\s+[A-Z]{2,4}\s+\(\d+\)$""),'Manual Data Import'!B33) &amp; CHAR(10) &amp; 
IFERROR(REGEXREPLACE('Manual Data Import'!C33, ""\d+$"", """")) &amp;"" - ""&amp; 
IFERROR(REGEXEXTRACT('Manual Data Import'!B33, ""([A-Z]{2,"&amp;"4})\s+\(\d+\)$"")) &amp; "" (""&amp; 
IFERROR(REGEXEXTRACT('Manual Data Import'!B33, ""\((\d+)\)"")) &amp; "")"""),"Josh Jacobs 
RB - GB (11)")</f>
        <v>Josh Jacobs 
RB - GB (11)</v>
      </c>
      <c r="B33" s="30" t="str">
        <f>IFERROR(IF(COUNTIF('Draft Board'!$C$3:$V$24,A33)+COUNTIF(Keepers!$B$2:$U$21,A33)+COUNTIF('Auction Draft Board'!$C$6:$AP$25,A33)&gt;0,"",A33),"")</f>
        <v/>
      </c>
    </row>
    <row r="34">
      <c r="A34" t="str">
        <f>IFERROR(__xludf.DUMMYFUNCTION("IFERROR(REGEXEXTRACT('Manual Data Import'!B34, ""^(.*)\s+[A-Z]{2,4}\s+\(\d+\)$""),'Manual Data Import'!B34) &amp; CHAR(10) &amp; 
IFERROR(REGEXREPLACE('Manual Data Import'!C34, ""\d+$"", """")) &amp;"" - ""&amp; 
IFERROR(REGEXEXTRACT('Manual Data Import'!B34, ""([A-Z]{2,"&amp;"4})\s+\(\d+\)$"")) &amp; "" (""&amp; 
IFERROR(REGEXEXTRACT('Manual Data Import'!B34, ""\((\d+)\)"")) &amp; "")"""),"Breece Hall 
RB - NYJ (13)")</f>
        <v>Breece Hall 
RB - NYJ (13)</v>
      </c>
      <c r="B34" s="30" t="str">
        <f>IFERROR(IF(COUNTIF('Draft Board'!$C$3:$V$24,A34)+COUNTIF(Keepers!$B$2:$U$21,A34)+COUNTIF('Auction Draft Board'!$C$6:$AP$25,A34)&gt;0,"",A34),"")</f>
        <v/>
      </c>
    </row>
    <row r="35">
      <c r="A35" t="str">
        <f>IFERROR(__xludf.DUMMYFUNCTION("IFERROR(REGEXEXTRACT('Manual Data Import'!B35, ""^(.*)\s+[A-Z]{2,4}\s+\(\d+\)$""),'Manual Data Import'!B35) &amp; CHAR(10) &amp; 
IFERROR(REGEXREPLACE('Manual Data Import'!C35, ""\d+$"", """")) &amp;"" - ""&amp; 
IFERROR(REGEXEXTRACT('Manual Data Import'!B35, ""([A-Z]{2,"&amp;"4})\s+\(\d+\)$"")) &amp; "" (""&amp; 
IFERROR(REGEXEXTRACT('Manual Data Import'!B35, ""\((\d+)\)"")) &amp; "")"""),"DeVonta Smith 
WR - PHI (10)")</f>
        <v>DeVonta Smith 
WR - PHI (10)</v>
      </c>
      <c r="B35" s="30" t="str">
        <f>IFERROR(IF(COUNTIF('Draft Board'!$C$3:$V$24,A35)+COUNTIF(Keepers!$B$2:$U$21,A35)+COUNTIF('Auction Draft Board'!$C$6:$AP$25,A35)&gt;0,"",A35),"")</f>
        <v/>
      </c>
    </row>
    <row r="36">
      <c r="A36" t="str">
        <f>IFERROR(__xludf.DUMMYFUNCTION("IFERROR(REGEXEXTRACT('Manual Data Import'!B36, ""^(.*)\s+[A-Z]{2,4}\s+\(\d+\)$""),'Manual Data Import'!B36) &amp; CHAR(10) &amp; 
IFERROR(REGEXREPLACE('Manual Data Import'!C36, ""\d+$"", """")) &amp;"" - ""&amp; 
IFERROR(REGEXEXTRACT('Manual Data Import'!B36, ""([A-Z]{2,"&amp;"4})\s+\(\d+\)$"")) &amp; "" (""&amp; 
IFERROR(REGEXEXTRACT('Manual Data Import'!B36, ""\((\d+)\)"")) &amp; "")"""),"Zay Flowers 
WR - BAL (13)")</f>
        <v>Zay Flowers 
WR - BAL (13)</v>
      </c>
      <c r="B36" s="30" t="str">
        <f>IFERROR(IF(COUNTIF('Draft Board'!$C$3:$V$24,A36)+COUNTIF(Keepers!$B$2:$U$21,A36)+COUNTIF('Auction Draft Board'!$C$6:$AP$25,A36)&gt;0,"",A36),"")</f>
        <v/>
      </c>
    </row>
    <row r="37">
      <c r="A37" t="str">
        <f>IFERROR(__xludf.DUMMYFUNCTION("IFERROR(REGEXEXTRACT('Manual Data Import'!B37, ""^(.*)\s+[A-Z]{2,4}\s+\(\d+\)$""),'Manual Data Import'!B37) &amp; CHAR(10) &amp; 
IFERROR(REGEXREPLACE('Manual Data Import'!C37, ""\d+$"", """")) &amp;"" - ""&amp; 
IFERROR(REGEXEXTRACT('Manual Data Import'!B37, ""([A-Z]{2,"&amp;"4})\s+\(\d+\)$"")) &amp; "" (""&amp; 
IFERROR(REGEXEXTRACT('Manual Data Import'!B37, ""\((\d+)\)"")) &amp; "")"""),"Travis Etienne Jr. 
RB - NO (8)")</f>
        <v>Travis Etienne Jr. 
RB - NO (8)</v>
      </c>
      <c r="B37" s="30" t="str">
        <f>IFERROR(IF(COUNTIF('Draft Board'!$C$3:$V$24,A37)+COUNTIF(Keepers!$B$2:$U$21,A37)+COUNTIF('Auction Draft Board'!$C$6:$AP$25,A37)&gt;0,"",A37),"")</f>
        <v/>
      </c>
    </row>
    <row r="38">
      <c r="A38" t="str">
        <f>IFERROR(__xludf.DUMMYFUNCTION("IFERROR(REGEXEXTRACT('Manual Data Import'!B38, ""^(.*)\s+[A-Z]{2,4}\s+\(\d+\)$""),'Manual Data Import'!B38) &amp; CHAR(10) &amp; 
IFERROR(REGEXREPLACE('Manual Data Import'!C38, ""\d+$"", """")) &amp;"" - ""&amp; 
IFERROR(REGEXEXTRACT('Manual Data Import'!B38, ""([A-Z]{2,"&amp;"4})\s+\(\d+\)$"")) &amp; "" (""&amp; 
IFERROR(REGEXEXTRACT('Manual Data Import'!B38, ""\((\d+)\)"")) &amp; "")"""),"Cam Skattebo 
RB - NYG (8)")</f>
        <v>Cam Skattebo 
RB - NYG (8)</v>
      </c>
      <c r="B38" s="30" t="str">
        <f>IFERROR(IF(COUNTIF('Draft Board'!$C$3:$V$24,A38)+COUNTIF(Keepers!$B$2:$U$21,A38)+COUNTIF('Auction Draft Board'!$C$6:$AP$25,A38)&gt;0,"",A38),"")</f>
        <v/>
      </c>
    </row>
    <row r="39">
      <c r="A39" t="str">
        <f>IFERROR(__xludf.DUMMYFUNCTION("IFERROR(REGEXEXTRACT('Manual Data Import'!B39, ""^(.*)\s+[A-Z]{2,4}\s+\(\d+\)$""),'Manual Data Import'!B39) &amp; CHAR(10) &amp; 
IFERROR(REGEXREPLACE('Manual Data Import'!C39, ""\d+$"", """")) &amp;"" - ""&amp; 
IFERROR(REGEXEXTRACT('Manual Data Import'!B39, ""([A-Z]{2,"&amp;"4})\s+\(\d+\)$"")) &amp; "" (""&amp; 
IFERROR(REGEXEXTRACT('Manual Data Import'!B39, ""\((\d+)\)"")) &amp; "")"""),"Tetairoa McMillan 
WR - CAR (5)")</f>
        <v>Tetairoa McMillan 
WR - CAR (5)</v>
      </c>
      <c r="B39" s="30" t="str">
        <f>IFERROR(IF(COUNTIF('Draft Board'!$C$3:$V$24,A39)+COUNTIF(Keepers!$B$2:$U$21,A39)+COUNTIF('Auction Draft Board'!$C$6:$AP$25,A39)&gt;0,"",A39),"")</f>
        <v/>
      </c>
    </row>
    <row r="40">
      <c r="A40" t="str">
        <f>IFERROR(__xludf.DUMMYFUNCTION("IFERROR(REGEXEXTRACT('Manual Data Import'!B40, ""^(.*)\s+[A-Z]{2,4}\s+\(\d+\)$""),'Manual Data Import'!B40) &amp; CHAR(10) &amp; 
IFERROR(REGEXREPLACE('Manual Data Import'!C40, ""\d+$"", """")) &amp;"" - ""&amp; 
IFERROR(REGEXEXTRACT('Manual Data Import'!B40, ""([A-Z]{2,"&amp;"4})\s+\(\d+\)$"")) &amp; "" (""&amp; 
IFERROR(REGEXEXTRACT('Manual Data Import'!B40, ""\((\d+)\)"")) &amp; "")"""),"Garrett Wilson 
WR - NYJ (13)")</f>
        <v>Garrett Wilson 
WR - NYJ (13)</v>
      </c>
      <c r="B40" s="30" t="str">
        <f>IFERROR(IF(COUNTIF('Draft Board'!$C$3:$V$24,A40)+COUNTIF(Keepers!$B$2:$U$21,A40)+COUNTIF('Auction Draft Board'!$C$6:$AP$25,A40)&gt;0,"",A40),"")</f>
        <v/>
      </c>
    </row>
    <row r="41">
      <c r="A41" t="str">
        <f>IFERROR(__xludf.DUMMYFUNCTION("IFERROR(REGEXEXTRACT('Manual Data Import'!B41, ""^(.*)\s+[A-Z]{2,4}\s+\(\d+\)$""),'Manual Data Import'!B41) &amp; CHAR(10) &amp; 
IFERROR(REGEXREPLACE('Manual Data Import'!C41, ""\d+$"", """")) &amp;"" - ""&amp; 
IFERROR(REGEXEXTRACT('Manual Data Import'!B41, ""([A-Z]{2,"&amp;"4})\s+\(\d+\)$"")) &amp; "" (""&amp; 
IFERROR(REGEXEXTRACT('Manual Data Import'!B41, ""\((\d+)\)"")) &amp; "")"""),"Emeka Egbuka 
WR - TB (10)")</f>
        <v>Emeka Egbuka 
WR - TB (10)</v>
      </c>
      <c r="B41" s="30" t="str">
        <f>IFERROR(IF(COUNTIF('Draft Board'!$C$3:$V$24,A41)+COUNTIF(Keepers!$B$2:$U$21,A41)+COUNTIF('Auction Draft Board'!$C$6:$AP$25,A41)&gt;0,"",A41),"")</f>
        <v/>
      </c>
    </row>
    <row r="42">
      <c r="A42" t="str">
        <f>IFERROR(__xludf.DUMMYFUNCTION("IFERROR(REGEXEXTRACT('Manual Data Import'!B42, ""^(.*)\s+[A-Z]{2,4}\s+\(\d+\)$""),'Manual Data Import'!B42) &amp; CHAR(10) &amp; 
IFERROR(REGEXREPLACE('Manual Data Import'!C42, ""\d+$"", """")) &amp;"" - ""&amp; 
IFERROR(REGEXEXTRACT('Manual Data Import'!B42, ""([A-Z]{2,"&amp;"4})\s+\(\d+\)$"")) &amp; "" (""&amp; 
IFERROR(REGEXEXTRACT('Manual Data Import'!B42, ""\((\d+)\)"")) &amp; "")"""),"Lamar Jackson 
QB - BAL (13)")</f>
        <v>Lamar Jackson 
QB - BAL (13)</v>
      </c>
      <c r="B42" s="30" t="str">
        <f>IFERROR(IF(COUNTIF('Draft Board'!$C$3:$V$24,A42)+COUNTIF(Keepers!$B$2:$U$21,A42)+COUNTIF('Auction Draft Board'!$C$6:$AP$25,A42)&gt;0,"",A42),"")</f>
        <v/>
      </c>
    </row>
    <row r="43">
      <c r="A43" t="str">
        <f>IFERROR(__xludf.DUMMYFUNCTION("IFERROR(REGEXEXTRACT('Manual Data Import'!B43, ""^(.*)\s+[A-Z]{2,4}\s+\(\d+\)$""),'Manual Data Import'!B43) &amp; CHAR(10) &amp; 
IFERROR(REGEXREPLACE('Manual Data Import'!C43, ""\d+$"", """")) &amp;"" - ""&amp; 
IFERROR(REGEXEXTRACT('Manual Data Import'!B43, ""([A-Z]{2,"&amp;"4})\s+\(\d+\)$"")) &amp; "" (""&amp; 
IFERROR(REGEXEXTRACT('Manual Data Import'!B43, ""\((\d+)\)"")) &amp; "")"""),"Tee Higgins 
WR - CIN (6)")</f>
        <v>Tee Higgins 
WR - CIN (6)</v>
      </c>
      <c r="B43" s="30" t="str">
        <f>IFERROR(IF(COUNTIF('Draft Board'!$C$3:$V$24,A43)+COUNTIF(Keepers!$B$2:$U$21,A43)+COUNTIF('Auction Draft Board'!$C$6:$AP$25,A43)&gt;0,"",A43),"")</f>
        <v/>
      </c>
    </row>
    <row r="44">
      <c r="A44" t="str">
        <f>IFERROR(__xludf.DUMMYFUNCTION("IFERROR(REGEXEXTRACT('Manual Data Import'!B44, ""^(.*)\s+[A-Z]{2,4}\s+\(\d+\)$""),'Manual Data Import'!B44) &amp; CHAR(10) &amp; 
IFERROR(REGEXREPLACE('Manual Data Import'!C44, ""\d+$"", """")) &amp;"" - ""&amp; 
IFERROR(REGEXEXTRACT('Manual Data Import'!B44, ""([A-Z]{2,"&amp;"4})\s+\(\d+\)$"")) &amp; "" (""&amp; 
IFERROR(REGEXEXTRACT('Manual Data Import'!B44, ""\((\d+)\)"")) &amp; "")"""),"Colston Loveland 
TE - CHI (10)")</f>
        <v>Colston Loveland 
TE - CHI (10)</v>
      </c>
      <c r="B44" s="30" t="str">
        <f>IFERROR(IF(COUNTIF('Draft Board'!$C$3:$V$24,A44)+COUNTIF(Keepers!$B$2:$U$21,A44)+COUNTIF('Auction Draft Board'!$C$6:$AP$25,A44)&gt;0,"",A44),"")</f>
        <v/>
      </c>
    </row>
    <row r="45">
      <c r="A45" t="str">
        <f>IFERROR(__xludf.DUMMYFUNCTION("IFERROR(REGEXEXTRACT('Manual Data Import'!B45, ""^(.*)\s+[A-Z]{2,4}\s+\(\d+\)$""),'Manual Data Import'!B45) &amp; CHAR(10) &amp; 
IFERROR(REGEXREPLACE('Manual Data Import'!C45, ""\d+$"", """")) &amp;"" - ""&amp; 
IFERROR(REGEXEXTRACT('Manual Data Import'!B45, ""([A-Z]{2,"&amp;"4})\s+\(\d+\)$"")) &amp; "" (""&amp; 
IFERROR(REGEXEXTRACT('Manual Data Import'!B45, ""\((\d+)\)"")) &amp; "")"""),"Ladd McConkey 
WR - LAC (7)")</f>
        <v>Ladd McConkey 
WR - LAC (7)</v>
      </c>
      <c r="B45" s="30" t="str">
        <f>IFERROR(IF(COUNTIF('Draft Board'!$C$3:$V$24,A45)+COUNTIF(Keepers!$B$2:$U$21,A45)+COUNTIF('Auction Draft Board'!$C$6:$AP$25,A45)&gt;0,"",A45),"")</f>
        <v/>
      </c>
    </row>
    <row r="46">
      <c r="A46" t="str">
        <f>IFERROR(__xludf.DUMMYFUNCTION("IFERROR(REGEXEXTRACT('Manual Data Import'!B46, ""^(.*)\s+[A-Z]{2,4}\s+\(\d+\)$""),'Manual Data Import'!B46) &amp; CHAR(10) &amp; 
IFERROR(REGEXREPLACE('Manual Data Import'!C46, ""\d+$"", """")) &amp;"" - ""&amp; 
IFERROR(REGEXEXTRACT('Manual Data Import'!B46, ""([A-Z]{2,"&amp;"4})\s+\(\d+\)$"")) &amp; "" (""&amp; 
IFERROR(REGEXEXTRACT('Manual Data Import'!B46, ""\((\d+)\)"")) &amp; "")"""),"Bucky Irving 
RB - TB (10)")</f>
        <v>Bucky Irving 
RB - TB (10)</v>
      </c>
      <c r="B46" s="30" t="str">
        <f>IFERROR(IF(COUNTIF('Draft Board'!$C$3:$V$24,A46)+COUNTIF(Keepers!$B$2:$U$21,A46)+COUNTIF('Auction Draft Board'!$C$6:$AP$25,A46)&gt;0,"",A46),"")</f>
        <v/>
      </c>
    </row>
    <row r="47">
      <c r="A47" t="str">
        <f>IFERROR(__xludf.DUMMYFUNCTION("IFERROR(REGEXEXTRACT('Manual Data Import'!B47, ""^(.*)\s+[A-Z]{2,4}\s+\(\d+\)$""),'Manual Data Import'!B47) &amp; CHAR(10) &amp; 
IFERROR(REGEXREPLACE('Manual Data Import'!C47, ""\d+$"", """")) &amp;"" - ""&amp; 
IFERROR(REGEXEXTRACT('Manual Data Import'!B47, ""([A-Z]{2,"&amp;"4})\s+\(\d+\)$"")) &amp; "" (""&amp; 
IFERROR(REGEXEXTRACT('Manual Data Import'!B47, ""\((\d+)\)"")) &amp; "")"""),"D'Andre Swift 
RB - CHI (10)")</f>
        <v>D'Andre Swift 
RB - CHI (10)</v>
      </c>
      <c r="B47" s="30" t="str">
        <f>IFERROR(IF(COUNTIF('Draft Board'!$C$3:$V$24,A47)+COUNTIF(Keepers!$B$2:$U$21,A47)+COUNTIF('Auction Draft Board'!$C$6:$AP$25,A47)&gt;0,"",A47),"")</f>
        <v/>
      </c>
    </row>
    <row r="48">
      <c r="A48" t="str">
        <f>IFERROR(__xludf.DUMMYFUNCTION("IFERROR(REGEXEXTRACT('Manual Data Import'!B48, ""^(.*)\s+[A-Z]{2,4}\s+\(\d+\)$""),'Manual Data Import'!B48) &amp; CHAR(10) &amp; 
IFERROR(REGEXREPLACE('Manual Data Import'!C48, ""\d+$"", """")) &amp;"" - ""&amp; 
IFERROR(REGEXEXTRACT('Manual Data Import'!B48, ""([A-Z]{2,"&amp;"4})\s+\(\d+\)$"")) &amp; "" (""&amp; 
IFERROR(REGEXEXTRACT('Manual Data Import'!B48, ""\((\d+)\)"")) &amp; "")"""),"Quinshon Judkins 
RB - CLE (11)")</f>
        <v>Quinshon Judkins 
RB - CLE (11)</v>
      </c>
      <c r="B48" s="30" t="str">
        <f>IFERROR(IF(COUNTIF('Draft Board'!$C$3:$V$24,A48)+COUNTIF(Keepers!$B$2:$U$21,A48)+COUNTIF('Auction Draft Board'!$C$6:$AP$25,A48)&gt;0,"",A48),"")</f>
        <v/>
      </c>
    </row>
    <row r="49">
      <c r="A49" t="str">
        <f>IFERROR(__xludf.DUMMYFUNCTION("IFERROR(REGEXEXTRACT('Manual Data Import'!B49, ""^(.*)\s+[A-Z]{2,4}\s+\(\d+\)$""),'Manual Data Import'!B49) &amp; CHAR(10) &amp; 
IFERROR(REGEXREPLACE('Manual Data Import'!C49, ""\d+$"", """")) &amp;"" - ""&amp; 
IFERROR(REGEXEXTRACT('Manual Data Import'!B49, ""([A-Z]{2,"&amp;"4})\s+\(\d+\)$"")) &amp; "" (""&amp; 
IFERROR(REGEXEXTRACT('Manual Data Import'!B49, ""\((\d+)\)"")) &amp; "")"""),"Jaylen Waddle 
WR - DEN (10)")</f>
        <v>Jaylen Waddle 
WR - DEN (10)</v>
      </c>
      <c r="B49" s="30" t="str">
        <f>IFERROR(IF(COUNTIF('Draft Board'!$C$3:$V$24,A49)+COUNTIF(Keepers!$B$2:$U$21,A49)+COUNTIF('Auction Draft Board'!$C$6:$AP$25,A49)&gt;0,"",A49),"")</f>
        <v/>
      </c>
    </row>
    <row r="50">
      <c r="A50" t="str">
        <f>IFERROR(__xludf.DUMMYFUNCTION("IFERROR(REGEXEXTRACT('Manual Data Import'!B50, ""^(.*)\s+[A-Z]{2,4}\s+\(\d+\)$""),'Manual Data Import'!B50) &amp; CHAR(10) &amp; 
IFERROR(REGEXREPLACE('Manual Data Import'!C50, ""\d+$"", """")) &amp;"" - ""&amp; 
IFERROR(REGEXEXTRACT('Manual Data Import'!B50, ""([A-Z]{2,"&amp;"4})\s+\(\d+\)$"")) &amp; "" (""&amp; 
IFERROR(REGEXEXTRACT('Manual Data Import'!B50, ""\((\d+)\)"")) &amp; "")"""),"Davante Adams 
WR - LAR (11)")</f>
        <v>Davante Adams 
WR - LAR (11)</v>
      </c>
      <c r="B50" s="30" t="str">
        <f>IFERROR(IF(COUNTIF('Draft Board'!$C$3:$V$24,A50)+COUNTIF(Keepers!$B$2:$U$21,A50)+COUNTIF('Auction Draft Board'!$C$6:$AP$25,A50)&gt;0,"",A50),"")</f>
        <v/>
      </c>
    </row>
    <row r="51">
      <c r="A51" t="str">
        <f>IFERROR(__xludf.DUMMYFUNCTION("IFERROR(REGEXEXTRACT('Manual Data Import'!B51, ""^(.*)\s+[A-Z]{2,4}\s+\(\d+\)$""),'Manual Data Import'!B51) &amp; CHAR(10) &amp; 
IFERROR(REGEXREPLACE('Manual Data Import'!C51, ""\d+$"", """")) &amp;"" - ""&amp; 
IFERROR(REGEXEXTRACT('Manual Data Import'!B51, ""([A-Z]{2,"&amp;"4})\s+\(\d+\)$"")) &amp; "" (""&amp; 
IFERROR(REGEXEXTRACT('Manual Data Import'!B51, ""\((\d+)\)"")) &amp; "")"""),"David Montgomery 
RB - HOU (8)")</f>
        <v>David Montgomery 
RB - HOU (8)</v>
      </c>
      <c r="B51" s="30" t="str">
        <f>IFERROR(IF(COUNTIF('Draft Board'!$C$3:$V$24,A51)+COUNTIF(Keepers!$B$2:$U$21,A51)+COUNTIF('Auction Draft Board'!$C$6:$AP$25,A51)&gt;0,"",A51),"")</f>
        <v/>
      </c>
    </row>
    <row r="52">
      <c r="A52" t="str">
        <f>IFERROR(__xludf.DUMMYFUNCTION("IFERROR(REGEXEXTRACT('Manual Data Import'!B52, ""^(.*)\s+[A-Z]{2,4}\s+\(\d+\)$""),'Manual Data Import'!B52) &amp; CHAR(10) &amp; 
IFERROR(REGEXREPLACE('Manual Data Import'!C52, ""\d+$"", """")) &amp;"" - ""&amp; 
IFERROR(REGEXEXTRACT('Manual Data Import'!B52, ""([A-Z]{2,"&amp;"4})\s+\(\d+\)$"")) &amp; "" (""&amp; 
IFERROR(REGEXEXTRACT('Manual Data Import'!B52, ""\((\d+)\)"")) &amp; "")"""),"DJ Moore 
WR - BUF (7)")</f>
        <v>DJ Moore 
WR - BUF (7)</v>
      </c>
      <c r="B52" s="30" t="str">
        <f>IFERROR(IF(COUNTIF('Draft Board'!$C$3:$V$24,A52)+COUNTIF(Keepers!$B$2:$U$21,A52)+COUNTIF('Auction Draft Board'!$C$6:$AP$25,A52)&gt;0,"",A52),"")</f>
        <v/>
      </c>
    </row>
    <row r="53">
      <c r="A53" t="str">
        <f>IFERROR(__xludf.DUMMYFUNCTION("IFERROR(REGEXEXTRACT('Manual Data Import'!B53, ""^(.*)\s+[A-Z]{2,4}\s+\(\d+\)$""),'Manual Data Import'!B53) &amp; CHAR(10) &amp; 
IFERROR(REGEXREPLACE('Manual Data Import'!C53, ""\d+$"", """")) &amp;"" - ""&amp; 
IFERROR(REGEXEXTRACT('Manual Data Import'!B53, ""([A-Z]{2,"&amp;"4})\s+\(\d+\)$"")) &amp; "" (""&amp; 
IFERROR(REGEXEXTRACT('Manual Data Import'!B53, ""\((\d+)\)"")) &amp; "")"""),"Tyler Warren 
TE - IND (13)")</f>
        <v>Tyler Warren 
TE - IND (13)</v>
      </c>
      <c r="B53" s="30" t="str">
        <f>IFERROR(IF(COUNTIF('Draft Board'!$C$3:$V$24,A53)+COUNTIF(Keepers!$B$2:$U$21,A53)+COUNTIF('Auction Draft Board'!$C$6:$AP$25,A53)&gt;0,"",A53),"")</f>
        <v/>
      </c>
    </row>
    <row r="54">
      <c r="A54" t="str">
        <f>IFERROR(__xludf.DUMMYFUNCTION("IFERROR(REGEXEXTRACT('Manual Data Import'!B54, ""^(.*)\s+[A-Z]{2,4}\s+\(\d+\)$""),'Manual Data Import'!B54) &amp; CHAR(10) &amp; 
IFERROR(REGEXREPLACE('Manual Data Import'!C54, ""\d+$"", """")) &amp;"" - ""&amp; 
IFERROR(REGEXEXTRACT('Manual Data Import'!B54, ""([A-Z]{2,"&amp;"4})\s+\(\d+\)$"")) &amp; "" (""&amp; 
IFERROR(REGEXEXTRACT('Manual Data Import'!B54, ""\((\d+)\)"")) &amp; "")"""),"Drake Maye 
QB - NE (11)")</f>
        <v>Drake Maye 
QB - NE (11)</v>
      </c>
      <c r="B54" s="30" t="str">
        <f>IFERROR(IF(COUNTIF('Draft Board'!$C$3:$V$24,A54)+COUNTIF(Keepers!$B$2:$U$21,A54)+COUNTIF('Auction Draft Board'!$C$6:$AP$25,A54)&gt;0,"",A54),"")</f>
        <v/>
      </c>
    </row>
    <row r="55">
      <c r="A55" t="str">
        <f>IFERROR(__xludf.DUMMYFUNCTION("IFERROR(REGEXEXTRACT('Manual Data Import'!B55, ""^(.*)\s+[A-Z]{2,4}\s+\(\d+\)$""),'Manual Data Import'!B55) &amp; CHAR(10) &amp; 
IFERROR(REGEXREPLACE('Manual Data Import'!C55, ""\d+$"", """")) &amp;"" - ""&amp; 
IFERROR(REGEXEXTRACT('Manual Data Import'!B55, ""([A-Z]{2,"&amp;"4})\s+\(\d+\)$"")) &amp; "" (""&amp; 
IFERROR(REGEXEXTRACT('Manual Data Import'!B55, ""\((\d+)\)"")) &amp; "")"""),"Joe Burrow 
QB - CIN (6)")</f>
        <v>Joe Burrow 
QB - CIN (6)</v>
      </c>
      <c r="B55" s="30" t="str">
        <f>IFERROR(IF(COUNTIF('Draft Board'!$C$3:$V$24,A55)+COUNTIF(Keepers!$B$2:$U$21,A55)+COUNTIF('Auction Draft Board'!$C$6:$AP$25,A55)&gt;0,"",A55),"")</f>
        <v/>
      </c>
    </row>
    <row r="56">
      <c r="A56" t="str">
        <f>IFERROR(__xludf.DUMMYFUNCTION("IFERROR(REGEXEXTRACT('Manual Data Import'!B56, ""^(.*)\s+[A-Z]{2,4}\s+\(\d+\)$""),'Manual Data Import'!B56) &amp; CHAR(10) &amp; 
IFERROR(REGEXREPLACE('Manual Data Import'!C56, ""\d+$"", """")) &amp;"" - ""&amp; 
IFERROR(REGEXEXTRACT('Manual Data Import'!B56, ""([A-Z]{2,"&amp;"4})\s+\(\d+\)$"")) &amp; "" (""&amp; 
IFERROR(REGEXEXTRACT('Manual Data Import'!B56, ""\((\d+)\)"")) &amp; "")"""),"Terry McLaurin 
WR - WAS (7)")</f>
        <v>Terry McLaurin 
WR - WAS (7)</v>
      </c>
      <c r="B56" s="30" t="str">
        <f>IFERROR(IF(COUNTIF('Draft Board'!$C$3:$V$24,A56)+COUNTIF(Keepers!$B$2:$U$21,A56)+COUNTIF('Auction Draft Board'!$C$6:$AP$25,A56)&gt;0,"",A56),"")</f>
        <v/>
      </c>
    </row>
    <row r="57">
      <c r="A57" t="str">
        <f>IFERROR(__xludf.DUMMYFUNCTION("IFERROR(REGEXEXTRACT('Manual Data Import'!B57, ""^(.*)\s+[A-Z]{2,4}\s+\(\d+\)$""),'Manual Data Import'!B57) &amp; CHAR(10) &amp; 
IFERROR(REGEXREPLACE('Manual Data Import'!C57, ""\d+$"", """")) &amp;"" - ""&amp; 
IFERROR(REGEXEXTRACT('Manual Data Import'!B57, ""([A-Z]{2,"&amp;"4})\s+\(\d+\)$"")) &amp; "" (""&amp; 
IFERROR(REGEXEXTRACT('Manual Data Import'!B57, ""\((\d+)\)"")) &amp; "")"""),"Luther Burden III 
WR - CHI (10)")</f>
        <v>Luther Burden III 
WR - CHI (10)</v>
      </c>
      <c r="B57" s="30" t="str">
        <f>IFERROR(IF(COUNTIF('Draft Board'!$C$3:$V$24,A57)+COUNTIF(Keepers!$B$2:$U$21,A57)+COUNTIF('Auction Draft Board'!$C$6:$AP$25,A57)&gt;0,"",A57),"")</f>
        <v/>
      </c>
    </row>
    <row r="58">
      <c r="A58" t="str">
        <f>IFERROR(__xludf.DUMMYFUNCTION("IFERROR(REGEXEXTRACT('Manual Data Import'!B58, ""^(.*)\s+[A-Z]{2,4}\s+\(\d+\)$""),'Manual Data Import'!B58) &amp; CHAR(10) &amp; 
IFERROR(REGEXREPLACE('Manual Data Import'!C58, ""\d+$"", """")) &amp;"" - ""&amp; 
IFERROR(REGEXEXTRACT('Manual Data Import'!B58, ""([A-Z]{2,"&amp;"4})\s+\(\d+\)$"")) &amp; "" (""&amp; 
IFERROR(REGEXEXTRACT('Manual Data Import'!B58, ""\((\d+)\)"")) &amp; "")"""),"Bhayshul Tuten 
RB - JAC (7)")</f>
        <v>Bhayshul Tuten 
RB - JAC (7)</v>
      </c>
      <c r="B58" s="30" t="str">
        <f>IFERROR(IF(COUNTIF('Draft Board'!$C$3:$V$24,A58)+COUNTIF(Keepers!$B$2:$U$21,A58)+COUNTIF('Auction Draft Board'!$C$6:$AP$25,A58)&gt;0,"",A58),"")</f>
        <v/>
      </c>
    </row>
    <row r="59">
      <c r="A59" t="str">
        <f>IFERROR(__xludf.DUMMYFUNCTION("IFERROR(REGEXEXTRACT('Manual Data Import'!B59, ""^(.*)\s+[A-Z]{2,4}\s+\(\d+\)$""),'Manual Data Import'!B59) &amp; CHAR(10) &amp; 
IFERROR(REGEXREPLACE('Manual Data Import'!C59, ""\d+$"", """")) &amp;"" - ""&amp; 
IFERROR(REGEXEXTRACT('Manual Data Import'!B59, ""([A-Z]{2,"&amp;"4})\s+\(\d+\)$"")) &amp; "" (""&amp; 
IFERROR(REGEXEXTRACT('Manual Data Import'!B59, ""\((\d+)\)"")) &amp; "")"""),"Jameson Williams 
WR - DET (6)")</f>
        <v>Jameson Williams 
WR - DET (6)</v>
      </c>
      <c r="B59" s="30" t="str">
        <f>IFERROR(IF(COUNTIF('Draft Board'!$C$3:$V$24,A59)+COUNTIF(Keepers!$B$2:$U$21,A59)+COUNTIF('Auction Draft Board'!$C$6:$AP$25,A59)&gt;0,"",A59),"")</f>
        <v/>
      </c>
    </row>
    <row r="60">
      <c r="A60" t="str">
        <f>IFERROR(__xludf.DUMMYFUNCTION("IFERROR(REGEXEXTRACT('Manual Data Import'!B60, ""^(.*)\s+[A-Z]{2,4}\s+\(\d+\)$""),'Manual Data Import'!B60) &amp; CHAR(10) &amp; 
IFERROR(REGEXREPLACE('Manual Data Import'!C60, ""\d+$"", """")) &amp;"" - ""&amp; 
IFERROR(REGEXEXTRACT('Manual Data Import'!B60, ""([A-Z]{2,"&amp;"4})\s+\(\d+\)$"")) &amp; "" (""&amp; 
IFERROR(REGEXEXTRACT('Manual Data Import'!B60, ""\((\d+)\)"")) &amp; "")"""),"TreVeyon Henderson 
RB - NE (11)")</f>
        <v>TreVeyon Henderson 
RB - NE (11)</v>
      </c>
      <c r="B60" s="30" t="str">
        <f>IFERROR(IF(COUNTIF('Draft Board'!$C$3:$V$24,A60)+COUNTIF(Keepers!$B$2:$U$21,A60)+COUNTIF('Auction Draft Board'!$C$6:$AP$25,A60)&gt;0,"",A60),"")</f>
        <v/>
      </c>
    </row>
    <row r="61">
      <c r="A61" t="str">
        <f>IFERROR(__xludf.DUMMYFUNCTION("IFERROR(REGEXEXTRACT('Manual Data Import'!B61, ""^(.*)\s+[A-Z]{2,4}\s+\(\d+\)$""),'Manual Data Import'!B61) &amp; CHAR(10) &amp; 
IFERROR(REGEXREPLACE('Manual Data Import'!C61, ""\d+$"", """")) &amp;"" - ""&amp; 
IFERROR(REGEXEXTRACT('Manual Data Import'!B61, ""([A-Z]{2,"&amp;"4})\s+\(\d+\)$"")) &amp; "" (""&amp; 
IFERROR(REGEXEXTRACT('Manual Data Import'!B61, ""\((\d+)\)"")) &amp; "")"""),"Jadarian Price 
RB - SEA (11)")</f>
        <v>Jadarian Price 
RB - SEA (11)</v>
      </c>
      <c r="B61" s="30" t="str">
        <f>IFERROR(IF(COUNTIF('Draft Board'!$C$3:$V$24,A61)+COUNTIF(Keepers!$B$2:$U$21,A61)+COUNTIF('Auction Draft Board'!$C$6:$AP$25,A61)&gt;0,"",A61),"")</f>
        <v/>
      </c>
    </row>
    <row r="62">
      <c r="A62" t="str">
        <f>IFERROR(__xludf.DUMMYFUNCTION("IFERROR(REGEXEXTRACT('Manual Data Import'!B62, ""^(.*)\s+[A-Z]{2,4}\s+\(\d+\)$""),'Manual Data Import'!B62) &amp; CHAR(10) &amp; 
IFERROR(REGEXREPLACE('Manual Data Import'!C62, ""\d+$"", """")) &amp;"" - ""&amp; 
IFERROR(REGEXEXTRACT('Manual Data Import'!B62, ""([A-Z]{2,"&amp;"4})\s+\(\d+\)$"")) &amp; "" (""&amp; 
IFERROR(REGEXEXTRACT('Manual Data Import'!B62, ""\((\d+)\)"")) &amp; "")"""),"Rome Odunze 
WR - CHI (10)")</f>
        <v>Rome Odunze 
WR - CHI (10)</v>
      </c>
      <c r="B62" s="30" t="str">
        <f>IFERROR(IF(COUNTIF('Draft Board'!$C$3:$V$24,A62)+COUNTIF(Keepers!$B$2:$U$21,A62)+COUNTIF('Auction Draft Board'!$C$6:$AP$25,A62)&gt;0,"",A62),"")</f>
        <v/>
      </c>
    </row>
    <row r="63">
      <c r="A63" t="str">
        <f>IFERROR(__xludf.DUMMYFUNCTION("IFERROR(REGEXEXTRACT('Manual Data Import'!B63, ""^(.*)\s+[A-Z]{2,4}\s+\(\d+\)$""),'Manual Data Import'!B63) &amp; CHAR(10) &amp; 
IFERROR(REGEXREPLACE('Manual Data Import'!C63, ""\d+$"", """")) &amp;"" - ""&amp; 
IFERROR(REGEXEXTRACT('Manual Data Import'!B63, ""([A-Z]{2,"&amp;"4})\s+\(\d+\)$"")) &amp; "" (""&amp; 
IFERROR(REGEXEXTRACT('Manual Data Import'!B63, ""\((\d+)\)"")) &amp; "")"""),"Jayden Daniels 
QB - WAS (7)")</f>
        <v>Jayden Daniels 
QB - WAS (7)</v>
      </c>
      <c r="B63" s="30" t="str">
        <f>IFERROR(IF(COUNTIF('Draft Board'!$C$3:$V$24,A63)+COUNTIF(Keepers!$B$2:$U$21,A63)+COUNTIF('Auction Draft Board'!$C$6:$AP$25,A63)&gt;0,"",A63),"")</f>
        <v/>
      </c>
    </row>
    <row r="64">
      <c r="A64" t="str">
        <f>IFERROR(__xludf.DUMMYFUNCTION("IFERROR(REGEXEXTRACT('Manual Data Import'!B64, ""^(.*)\s+[A-Z]{2,4}\s+\(\d+\)$""),'Manual Data Import'!B64) &amp; CHAR(10) &amp; 
IFERROR(REGEXREPLACE('Manual Data Import'!C64, ""\d+$"", """")) &amp;"" - ""&amp; 
IFERROR(REGEXEXTRACT('Manual Data Import'!B64, ""([A-Z]{2,"&amp;"4})\s+\(\d+\)$"")) &amp; "" (""&amp; 
IFERROR(REGEXEXTRACT('Manual Data Import'!B64, ""\((\d+)\)"")) &amp; "")"""),"Jalen Hurts 
QB - PHI (10)")</f>
        <v>Jalen Hurts 
QB - PHI (10)</v>
      </c>
      <c r="B64" s="30" t="str">
        <f>IFERROR(IF(COUNTIF('Draft Board'!$C$3:$V$24,A64)+COUNTIF(Keepers!$B$2:$U$21,A64)+COUNTIF('Auction Draft Board'!$C$6:$AP$25,A64)&gt;0,"",A64),"")</f>
        <v/>
      </c>
    </row>
    <row r="65">
      <c r="A65" t="str">
        <f>IFERROR(__xludf.DUMMYFUNCTION("IFERROR(REGEXEXTRACT('Manual Data Import'!B65, ""^(.*)\s+[A-Z]{2,4}\s+\(\d+\)$""),'Manual Data Import'!B65) &amp; CHAR(10) &amp; 
IFERROR(REGEXREPLACE('Manual Data Import'!C65, ""\d+$"", """")) &amp;"" - ""&amp; 
IFERROR(REGEXEXTRACT('Manual Data Import'!B65, ""([A-Z]{2,"&amp;"4})\s+\(\d+\)$"")) &amp; "" (""&amp; 
IFERROR(REGEXEXTRACT('Manual Data Import'!B65, ""\((\d+)\)"")) &amp; "")"""),"Mike Evans 
WR - SF (8)")</f>
        <v>Mike Evans 
WR - SF (8)</v>
      </c>
      <c r="B65" s="30" t="str">
        <f>IFERROR(IF(COUNTIF('Draft Board'!$C$3:$V$24,A65)+COUNTIF(Keepers!$B$2:$U$21,A65)+COUNTIF('Auction Draft Board'!$C$6:$AP$25,A65)&gt;0,"",A65),"")</f>
        <v/>
      </c>
    </row>
    <row r="66">
      <c r="A66" t="str">
        <f>IFERROR(__xludf.DUMMYFUNCTION("IFERROR(REGEXEXTRACT('Manual Data Import'!B66, ""^(.*)\s+[A-Z]{2,4}\s+\(\d+\)$""),'Manual Data Import'!B66) &amp; CHAR(10) &amp; 
IFERROR(REGEXREPLACE('Manual Data Import'!C66, ""\d+$"", """")) &amp;"" - ""&amp; 
IFERROR(REGEXEXTRACT('Manual Data Import'!B66, ""([A-Z]{2,"&amp;"4})\s+\(\d+\)$"")) &amp; "" (""&amp; 
IFERROR(REGEXEXTRACT('Manual Data Import'!B66, ""\((\d+)\)"")) &amp; "")"""),"Rhamondre Stevenson 
RB - NE (11)")</f>
        <v>Rhamondre Stevenson 
RB - NE (11)</v>
      </c>
      <c r="B66" s="30" t="str">
        <f>IFERROR(IF(COUNTIF('Draft Board'!$C$3:$V$24,A66)+COUNTIF(Keepers!$B$2:$U$21,A66)+COUNTIF('Auction Draft Board'!$C$6:$AP$25,A66)&gt;0,"",A66),"")</f>
        <v/>
      </c>
    </row>
    <row r="67">
      <c r="A67" t="str">
        <f>IFERROR(__xludf.DUMMYFUNCTION("IFERROR(REGEXEXTRACT('Manual Data Import'!B67, ""^(.*)\s+[A-Z]{2,4}\s+\(\d+\)$""),'Manual Data Import'!B67) &amp; CHAR(10) &amp; 
IFERROR(REGEXREPLACE('Manual Data Import'!C67, ""\d+$"", """")) &amp;"" - ""&amp; 
IFERROR(REGEXEXTRACT('Manual Data Import'!B67, ""([A-Z]{2,"&amp;"4})\s+\(\d+\)$"")) &amp; "" (""&amp; 
IFERROR(REGEXEXTRACT('Manual Data Import'!B67, ""\((\d+)\)"")) &amp; "")"""),"Harold Fannin Jr. 
TE - CLE (11)")</f>
        <v>Harold Fannin Jr. 
TE - CLE (11)</v>
      </c>
      <c r="B67" s="30" t="str">
        <f>IFERROR(IF(COUNTIF('Draft Board'!$C$3:$V$24,A67)+COUNTIF(Keepers!$B$2:$U$21,A67)+COUNTIF('Auction Draft Board'!$C$6:$AP$25,A67)&gt;0,"",A67),"")</f>
        <v/>
      </c>
    </row>
    <row r="68">
      <c r="A68" t="str">
        <f>IFERROR(__xludf.DUMMYFUNCTION("IFERROR(REGEXEXTRACT('Manual Data Import'!B68, ""^(.*)\s+[A-Z]{2,4}\s+\(\d+\)$""),'Manual Data Import'!B68) &amp; CHAR(10) &amp; 
IFERROR(REGEXREPLACE('Manual Data Import'!C68, ""\d+$"", """")) &amp;"" - ""&amp; 
IFERROR(REGEXEXTRACT('Manual Data Import'!B68, ""([A-Z]{2,"&amp;"4})\s+\(\d+\)$"")) &amp; "" (""&amp; 
IFERROR(REGEXEXTRACT('Manual Data Import'!B68, ""\((\d+)\)"")) &amp; "")"""),"Christian Watson 
WR - GB (11)")</f>
        <v>Christian Watson 
WR - GB (11)</v>
      </c>
      <c r="B68" s="30" t="str">
        <f>IFERROR(IF(COUNTIF('Draft Board'!$C$3:$V$24,A68)+COUNTIF(Keepers!$B$2:$U$21,A68)+COUNTIF('Auction Draft Board'!$C$6:$AP$25,A68)&gt;0,"",A68),"")</f>
        <v/>
      </c>
    </row>
    <row r="69">
      <c r="A69" t="str">
        <f>IFERROR(__xludf.DUMMYFUNCTION("IFERROR(REGEXEXTRACT('Manual Data Import'!B69, ""^(.*)\s+[A-Z]{2,4}\s+\(\d+\)$""),'Manual Data Import'!B69) &amp; CHAR(10) &amp; 
IFERROR(REGEXREPLACE('Manual Data Import'!C69, ""\d+$"", """")) &amp;"" - ""&amp; 
IFERROR(REGEXEXTRACT('Manual Data Import'!B69, ""([A-Z]{2,"&amp;"4})\s+\(\d+\)$"")) &amp; "" (""&amp; 
IFERROR(REGEXEXTRACT('Manual Data Import'!B69, ""\((\d+)\)"")) &amp; "")"""),"Jaylen Warren 
RB - PIT (9)")</f>
        <v>Jaylen Warren 
RB - PIT (9)</v>
      </c>
      <c r="B69" s="30" t="str">
        <f>IFERROR(IF(COUNTIF('Draft Board'!$C$3:$V$24,A69)+COUNTIF(Keepers!$B$2:$U$21,A69)+COUNTIF('Auction Draft Board'!$C$6:$AP$25,A69)&gt;0,"",A69),"")</f>
        <v/>
      </c>
    </row>
    <row r="70">
      <c r="A70" t="str">
        <f>IFERROR(__xludf.DUMMYFUNCTION("IFERROR(REGEXEXTRACT('Manual Data Import'!B70, ""^(.*)\s+[A-Z]{2,4}\s+\(\d+\)$""),'Manual Data Import'!B70) &amp; CHAR(10) &amp; 
IFERROR(REGEXREPLACE('Manual Data Import'!C70, ""\d+$"", """")) &amp;"" - ""&amp; 
IFERROR(REGEXEXTRACT('Manual Data Import'!B70, ""([A-Z]{2,"&amp;"4})\s+\(\d+\)$"")) &amp; "" (""&amp; 
IFERROR(REGEXEXTRACT('Manual Data Import'!B70, ""\((\d+)\)"")) &amp; "")"""),"Kyle Pitts Sr. 
TE - ATL (11)")</f>
        <v>Kyle Pitts Sr. 
TE - ATL (11)</v>
      </c>
      <c r="B70" s="30" t="str">
        <f>IFERROR(IF(COUNTIF('Draft Board'!$C$3:$V$24,A70)+COUNTIF(Keepers!$B$2:$U$21,A70)+COUNTIF('Auction Draft Board'!$C$6:$AP$25,A70)&gt;0,"",A70),"")</f>
        <v/>
      </c>
    </row>
    <row r="71">
      <c r="A71" t="str">
        <f>IFERROR(__xludf.DUMMYFUNCTION("IFERROR(REGEXEXTRACT('Manual Data Import'!B71, ""^(.*)\s+[A-Z]{2,4}\s+\(\d+\)$""),'Manual Data Import'!B71) &amp; CHAR(10) &amp; 
IFERROR(REGEXREPLACE('Manual Data Import'!C71, ""\d+$"", """")) &amp;"" - ""&amp; 
IFERROR(REGEXEXTRACT('Manual Data Import'!B71, ""([A-Z]{2,"&amp;"4})\s+\(\d+\)$"")) &amp; "" (""&amp; 
IFERROR(REGEXEXTRACT('Manual Data Import'!B71, ""\((\d+)\)"")) &amp; "")"""),"Tucker Kraft 
TE - GB (11)")</f>
        <v>Tucker Kraft 
TE - GB (11)</v>
      </c>
      <c r="B71" s="30" t="str">
        <f>IFERROR(IF(COUNTIF('Draft Board'!$C$3:$V$24,A71)+COUNTIF(Keepers!$B$2:$U$21,A71)+COUNTIF('Auction Draft Board'!$C$6:$AP$25,A71)&gt;0,"",A71),"")</f>
        <v/>
      </c>
    </row>
    <row r="72">
      <c r="A72" t="str">
        <f>IFERROR(__xludf.DUMMYFUNCTION("IFERROR(REGEXEXTRACT('Manual Data Import'!B72, ""^(.*)\s+[A-Z]{2,4}\s+\(\d+\)$""),'Manual Data Import'!B72) &amp; CHAR(10) &amp; 
IFERROR(REGEXREPLACE('Manual Data Import'!C72, ""\d+$"", """")) &amp;"" - ""&amp; 
IFERROR(REGEXEXTRACT('Manual Data Import'!B72, ""([A-Z]{2,"&amp;"4})\s+\(\d+\)$"")) &amp; "" (""&amp; 
IFERROR(REGEXEXTRACT('Manual Data Import'!B72, ""\((\d+)\)"")) &amp; "")"""),"Parker Washington 
WR - JAC (7)")</f>
        <v>Parker Washington 
WR - JAC (7)</v>
      </c>
      <c r="B72" s="30" t="str">
        <f>IFERROR(IF(COUNTIF('Draft Board'!$C$3:$V$24,A72)+COUNTIF(Keepers!$B$2:$U$21,A72)+COUNTIF('Auction Draft Board'!$C$6:$AP$25,A72)&gt;0,"",A72),"")</f>
        <v/>
      </c>
    </row>
    <row r="73">
      <c r="A73" t="str">
        <f>IFERROR(__xludf.DUMMYFUNCTION("IFERROR(REGEXEXTRACT('Manual Data Import'!B73, ""^(.*)\s+[A-Z]{2,4}\s+\(\d+\)$""),'Manual Data Import'!B73) &amp; CHAR(10) &amp; 
IFERROR(REGEXREPLACE('Manual Data Import'!C73, ""\d+$"", """")) &amp;"" - ""&amp; 
IFERROR(REGEXEXTRACT('Manual Data Import'!B73, ""([A-Z]{2,"&amp;"4})\s+\(\d+\)$"")) &amp; "" (""&amp; 
IFERROR(REGEXEXTRACT('Manual Data Import'!B73, ""\((\d+)\)"")) &amp; "")"""),"Carnell Tate 
WR - TEN (9)")</f>
        <v>Carnell Tate 
WR - TEN (9)</v>
      </c>
      <c r="B73" s="30" t="str">
        <f>IFERROR(IF(COUNTIF('Draft Board'!$C$3:$V$24,A73)+COUNTIF(Keepers!$B$2:$U$21,A73)+COUNTIF('Auction Draft Board'!$C$6:$AP$25,A73)&gt;0,"",A73),"")</f>
        <v/>
      </c>
    </row>
    <row r="74">
      <c r="A74" t="str">
        <f>IFERROR(__xludf.DUMMYFUNCTION("IFERROR(REGEXEXTRACT('Manual Data Import'!B74, ""^(.*)\s+[A-Z]{2,4}\s+\(\d+\)$""),'Manual Data Import'!B74) &amp; CHAR(10) &amp; 
IFERROR(REGEXREPLACE('Manual Data Import'!C74, ""\d+$"", """")) &amp;"" - ""&amp; 
IFERROR(REGEXEXTRACT('Manual Data Import'!B74, ""([A-Z]{2,"&amp;"4})\s+\(\d+\)$"")) &amp; "" (""&amp; 
IFERROR(REGEXEXTRACT('Manual Data Import'!B74, ""\((\d+)\)"")) &amp; "")"""),"Sam LaPorta 
TE - DET (6)")</f>
        <v>Sam LaPorta 
TE - DET (6)</v>
      </c>
      <c r="B74" s="30" t="str">
        <f>IFERROR(IF(COUNTIF('Draft Board'!$C$3:$V$24,A74)+COUNTIF(Keepers!$B$2:$U$21,A74)+COUNTIF('Auction Draft Board'!$C$6:$AP$25,A74)&gt;0,"",A74),"")</f>
        <v/>
      </c>
    </row>
    <row r="75">
      <c r="A75" t="str">
        <f>IFERROR(__xludf.DUMMYFUNCTION("IFERROR(REGEXEXTRACT('Manual Data Import'!B75, ""^(.*)\s+[A-Z]{2,4}\s+\(\d+\)$""),'Manual Data Import'!B75) &amp; CHAR(10) &amp; 
IFERROR(REGEXREPLACE('Manual Data Import'!C75, ""\d+$"", """")) &amp;"" - ""&amp; 
IFERROR(REGEXEXTRACT('Manual Data Import'!B75, ""([A-Z]{2,"&amp;"4})\s+\(\d+\)$"")) &amp; "" (""&amp; 
IFERROR(REGEXEXTRACT('Manual Data Import'!B75, ""\((\d+)\)"")) &amp; "")"""),"Marvin Harrison Jr. 
WR - ARI (14)")</f>
        <v>Marvin Harrison Jr. 
WR - ARI (14)</v>
      </c>
      <c r="B75" s="30" t="str">
        <f>IFERROR(IF(COUNTIF('Draft Board'!$C$3:$V$24,A75)+COUNTIF(Keepers!$B$2:$U$21,A75)+COUNTIF('Auction Draft Board'!$C$6:$AP$25,A75)&gt;0,"",A75),"")</f>
        <v/>
      </c>
    </row>
    <row r="76">
      <c r="A76" t="str">
        <f>IFERROR(__xludf.DUMMYFUNCTION("IFERROR(REGEXEXTRACT('Manual Data Import'!B76, ""^(.*)\s+[A-Z]{2,4}\s+\(\d+\)$""),'Manual Data Import'!B76) &amp; CHAR(10) &amp; 
IFERROR(REGEXREPLACE('Manual Data Import'!C76, ""\d+$"", """")) &amp;"" - ""&amp; 
IFERROR(REGEXEXTRACT('Manual Data Import'!B76, ""([A-Z]{2,"&amp;"4})\s+\(\d+\)$"")) &amp; "" (""&amp; 
IFERROR(REGEXEXTRACT('Manual Data Import'!B76, ""\((\d+)\)"")) &amp; "")"""),"Dak Prescott 
QB - DAL (14)")</f>
        <v>Dak Prescott 
QB - DAL (14)</v>
      </c>
      <c r="B76" s="30" t="str">
        <f>IFERROR(IF(COUNTIF('Draft Board'!$C$3:$V$24,A76)+COUNTIF(Keepers!$B$2:$U$21,A76)+COUNTIF('Auction Draft Board'!$C$6:$AP$25,A76)&gt;0,"",A76),"")</f>
        <v/>
      </c>
    </row>
    <row r="77">
      <c r="A77" t="str">
        <f>IFERROR(__xludf.DUMMYFUNCTION("IFERROR(REGEXEXTRACT('Manual Data Import'!B77, ""^(.*)\s+[A-Z]{2,4}\s+\(\d+\)$""),'Manual Data Import'!B77) &amp; CHAR(10) &amp; 
IFERROR(REGEXREPLACE('Manual Data Import'!C77, ""\d+$"", """")) &amp;"" - ""&amp; 
IFERROR(REGEXEXTRACT('Manual Data Import'!B77, ""([A-Z]{2,"&amp;"4})\s+\(\d+\)$"")) &amp; "" (""&amp; 
IFERROR(REGEXEXTRACT('Manual Data Import'!B77, ""\((\d+)\)"")) &amp; "")"""),"Courtland Sutton 
WR - DEN (10)")</f>
        <v>Courtland Sutton 
WR - DEN (10)</v>
      </c>
      <c r="B77" s="30" t="str">
        <f>IFERROR(IF(COUNTIF('Draft Board'!$C$3:$V$24,A77)+COUNTIF(Keepers!$B$2:$U$21,A77)+COUNTIF('Auction Draft Board'!$C$6:$AP$25,A77)&gt;0,"",A77),"")</f>
        <v/>
      </c>
    </row>
    <row r="78">
      <c r="A78" t="str">
        <f>IFERROR(__xludf.DUMMYFUNCTION("IFERROR(REGEXEXTRACT('Manual Data Import'!B78, ""^(.*)\s+[A-Z]{2,4}\s+\(\d+\)$""),'Manual Data Import'!B78) &amp; CHAR(10) &amp; 
IFERROR(REGEXREPLACE('Manual Data Import'!C78, ""\d+$"", """")) &amp;"" - ""&amp; 
IFERROR(REGEXEXTRACT('Manual Data Import'!B78, ""([A-Z]{2,"&amp;"4})\s+\(\d+\)$"")) &amp; "" (""&amp; 
IFERROR(REGEXEXTRACT('Manual Data Import'!B78, ""\((\d+)\)"")) &amp; "")"""),"Caleb Williams 
QB - CHI (10)")</f>
        <v>Caleb Williams 
QB - CHI (10)</v>
      </c>
      <c r="B78" s="30" t="str">
        <f>IFERROR(IF(COUNTIF('Draft Board'!$C$3:$V$24,A78)+COUNTIF(Keepers!$B$2:$U$21,A78)+COUNTIF('Auction Draft Board'!$C$6:$AP$25,A78)&gt;0,"",A78),"")</f>
        <v/>
      </c>
    </row>
    <row r="79">
      <c r="A79" t="str">
        <f>IFERROR(__xludf.DUMMYFUNCTION("IFERROR(REGEXEXTRACT('Manual Data Import'!B79, ""^(.*)\s+[A-Z]{2,4}\s+\(\d+\)$""),'Manual Data Import'!B79) &amp; CHAR(10) &amp; 
IFERROR(REGEXREPLACE('Manual Data Import'!C79, ""\d+$"", """")) &amp;"" - ""&amp; 
IFERROR(REGEXEXTRACT('Manual Data Import'!B79, ""([A-Z]{2,"&amp;"4})\s+\(\d+\)$"")) &amp; "" (""&amp; 
IFERROR(REGEXEXTRACT('Manual Data Import'!B79, ""\((\d+)\)"")) &amp; "")"""),"Rico Dowdle 
RB - PIT (9)")</f>
        <v>Rico Dowdle 
RB - PIT (9)</v>
      </c>
      <c r="B79" s="30" t="str">
        <f>IFERROR(IF(COUNTIF('Draft Board'!$C$3:$V$24,A79)+COUNTIF(Keepers!$B$2:$U$21,A79)+COUNTIF('Auction Draft Board'!$C$6:$AP$25,A79)&gt;0,"",A79),"")</f>
        <v/>
      </c>
    </row>
    <row r="80">
      <c r="A80" t="str">
        <f>IFERROR(__xludf.DUMMYFUNCTION("IFERROR(REGEXEXTRACT('Manual Data Import'!B80, ""^(.*)\s+[A-Z]{2,4}\s+\(\d+\)$""),'Manual Data Import'!B80) &amp; CHAR(10) &amp; 
IFERROR(REGEXREPLACE('Manual Data Import'!C80, ""\d+$"", """")) &amp;"" - ""&amp; 
IFERROR(REGEXEXTRACT('Manual Data Import'!B80, ""([A-Z]{2,"&amp;"4})\s+\(\d+\)$"")) &amp; "" (""&amp; 
IFERROR(REGEXEXTRACT('Manual Data Import'!B80, ""\((\d+)\)"")) &amp; "")"""),"Brian Thomas Jr. 
WR - JAC (7)")</f>
        <v>Brian Thomas Jr. 
WR - JAC (7)</v>
      </c>
      <c r="B80" s="30" t="str">
        <f>IFERROR(IF(COUNTIF('Draft Board'!$C$3:$V$24,A80)+COUNTIF(Keepers!$B$2:$U$21,A80)+COUNTIF('Auction Draft Board'!$C$6:$AP$25,A80)&gt;0,"",A80),"")</f>
        <v/>
      </c>
    </row>
    <row r="81">
      <c r="A81" t="str">
        <f>IFERROR(__xludf.DUMMYFUNCTION("IFERROR(REGEXEXTRACT('Manual Data Import'!B81, ""^(.*)\s+[A-Z]{2,4}\s+\(\d+\)$""),'Manual Data Import'!B81) &amp; CHAR(10) &amp; 
IFERROR(REGEXREPLACE('Manual Data Import'!C81, ""\d+$"", """")) &amp;"" - ""&amp; 
IFERROR(REGEXEXTRACT('Manual Data Import'!B81, ""([A-Z]{2,"&amp;"4})\s+\(\d+\)$"")) &amp; "" (""&amp; 
IFERROR(REGEXEXTRACT('Manual Data Import'!B81, ""\((\d+)\)"")) &amp; "")"""),"Tony Pollard 
RB - TEN (9)")</f>
        <v>Tony Pollard 
RB - TEN (9)</v>
      </c>
      <c r="B81" s="30" t="str">
        <f>IFERROR(IF(COUNTIF('Draft Board'!$C$3:$V$24,A81)+COUNTIF(Keepers!$B$2:$U$21,A81)+COUNTIF('Auction Draft Board'!$C$6:$AP$25,A81)&gt;0,"",A81),"")</f>
        <v/>
      </c>
    </row>
    <row r="82">
      <c r="A82" t="str">
        <f>IFERROR(__xludf.DUMMYFUNCTION("IFERROR(REGEXEXTRACT('Manual Data Import'!B82, ""^(.*)\s+[A-Z]{2,4}\s+\(\d+\)$""),'Manual Data Import'!B82) &amp; CHAR(10) &amp; 
IFERROR(REGEXREPLACE('Manual Data Import'!C82, ""\d+$"", """")) &amp;"" - ""&amp; 
IFERROR(REGEXEXTRACT('Manual Data Import'!B82, ""([A-Z]{2,"&amp;"4})\s+\(\d+\)$"")) &amp; "" (""&amp; 
IFERROR(REGEXEXTRACT('Manual Data Import'!B82, ""\((\d+)\)"")) &amp; "")"""),"DK Metcalf 
WR - PIT (9)")</f>
        <v>DK Metcalf 
WR - PIT (9)</v>
      </c>
      <c r="B82" s="30" t="str">
        <f>IFERROR(IF(COUNTIF('Draft Board'!$C$3:$V$24,A82)+COUNTIF(Keepers!$B$2:$U$21,A82)+COUNTIF('Auction Draft Board'!$C$6:$AP$25,A82)&gt;0,"",A82),"")</f>
        <v/>
      </c>
    </row>
    <row r="83">
      <c r="A83" t="str">
        <f>IFERROR(__xludf.DUMMYFUNCTION("IFERROR(REGEXEXTRACT('Manual Data Import'!B83, ""^(.*)\s+[A-Z]{2,4}\s+\(\d+\)$""),'Manual Data Import'!B83) &amp; CHAR(10) &amp; 
IFERROR(REGEXREPLACE('Manual Data Import'!C83, ""\d+$"", """")) &amp;"" - ""&amp; 
IFERROR(REGEXEXTRACT('Manual Data Import'!B83, ""([A-Z]{2,"&amp;"4})\s+\(\d+\)$"")) &amp; "" (""&amp; 
IFERROR(REGEXEXTRACT('Manual Data Import'!B83, ""\((\d+)\)"")) &amp; "")"""),"Jonathon Brooks 
RB - CAR (5)")</f>
        <v>Jonathon Brooks 
RB - CAR (5)</v>
      </c>
      <c r="B83" s="30" t="str">
        <f>IFERROR(IF(COUNTIF('Draft Board'!$C$3:$V$24,A83)+COUNTIF(Keepers!$B$2:$U$21,A83)+COUNTIF('Auction Draft Board'!$C$6:$AP$25,A83)&gt;0,"",A83),"")</f>
        <v/>
      </c>
    </row>
    <row r="84">
      <c r="A84" t="str">
        <f>IFERROR(__xludf.DUMMYFUNCTION("IFERROR(REGEXEXTRACT('Manual Data Import'!B84, ""^(.*)\s+[A-Z]{2,4}\s+\(\d+\)$""),'Manual Data Import'!B84) &amp; CHAR(10) &amp; 
IFERROR(REGEXREPLACE('Manual Data Import'!C84, ""\d+$"", """")) &amp;"" - ""&amp; 
IFERROR(REGEXEXTRACT('Manual Data Import'!B84, ""([A-Z]{2,"&amp;"4})\s+\(\d+\)$"")) &amp; "" (""&amp; 
IFERROR(REGEXEXTRACT('Manual Data Import'!B84, ""\((\d+)\)"")) &amp; "")"""),"Trevor Lawrence 
QB - JAC (7)")</f>
        <v>Trevor Lawrence 
QB - JAC (7)</v>
      </c>
      <c r="B84" s="30" t="str">
        <f>IFERROR(IF(COUNTIF('Draft Board'!$C$3:$V$24,A84)+COUNTIF(Keepers!$B$2:$U$21,A84)+COUNTIF('Auction Draft Board'!$C$6:$AP$25,A84)&gt;0,"",A84),"")</f>
        <v/>
      </c>
    </row>
    <row r="85">
      <c r="A85" t="str">
        <f>IFERROR(__xludf.DUMMYFUNCTION("IFERROR(REGEXEXTRACT('Manual Data Import'!B85, ""^(.*)\s+[A-Z]{2,4}\s+\(\d+\)$""),'Manual Data Import'!B85) &amp; CHAR(10) &amp; 
IFERROR(REGEXREPLACE('Manual Data Import'!C85, ""\d+$"", """")) &amp;"" - ""&amp; 
IFERROR(REGEXEXTRACT('Manual Data Import'!B85, ""([A-Z]{2,"&amp;"4})\s+\(\d+\)$"")) &amp; "" (""&amp; 
IFERROR(REGEXEXTRACT('Manual Data Import'!B85, ""\((\d+)\)"")) &amp; "")"""),"RJ Harvey 
RB - DEN (10)")</f>
        <v>RJ Harvey 
RB - DEN (10)</v>
      </c>
      <c r="B85" s="30" t="str">
        <f>IFERROR(IF(COUNTIF('Draft Board'!$C$3:$V$24,A85)+COUNTIF(Keepers!$B$2:$U$21,A85)+COUNTIF('Auction Draft Board'!$C$6:$AP$25,A85)&gt;0,"",A85),"")</f>
        <v/>
      </c>
    </row>
    <row r="86">
      <c r="A86" t="str">
        <f>IFERROR(__xludf.DUMMYFUNCTION("IFERROR(REGEXEXTRACT('Manual Data Import'!B86, ""^(.*)\s+[A-Z]{2,4}\s+\(\d+\)$""),'Manual Data Import'!B86) &amp; CHAR(10) &amp; 
IFERROR(REGEXREPLACE('Manual Data Import'!C86, ""\d+$"", """")) &amp;"" - ""&amp; 
IFERROR(REGEXEXTRACT('Manual Data Import'!B86, ""([A-Z]{2,"&amp;"4})\s+\(\d+\)$"")) &amp; "" (""&amp; 
IFERROR(REGEXEXTRACT('Manual Data Import'!B86, ""\((\d+)\)"")) &amp; "")"""),"Michael Wilson 
WR - ARI (14)")</f>
        <v>Michael Wilson 
WR - ARI (14)</v>
      </c>
      <c r="B86" s="30" t="str">
        <f>IFERROR(IF(COUNTIF('Draft Board'!$C$3:$V$24,A86)+COUNTIF(Keepers!$B$2:$U$21,A86)+COUNTIF('Auction Draft Board'!$C$6:$AP$25,A86)&gt;0,"",A86),"")</f>
        <v/>
      </c>
    </row>
    <row r="87">
      <c r="A87" t="str">
        <f>IFERROR(__xludf.DUMMYFUNCTION("IFERROR(REGEXEXTRACT('Manual Data Import'!B87, ""^(.*)\s+[A-Z]{2,4}\s+\(\d+\)$""),'Manual Data Import'!B87) &amp; CHAR(10) &amp; 
IFERROR(REGEXREPLACE('Manual Data Import'!C87, ""\d+$"", """")) &amp;"" - ""&amp; 
IFERROR(REGEXEXTRACT('Manual Data Import'!B87, ""([A-Z]{2,"&amp;"4})\s+\(\d+\)$"")) &amp; "" (""&amp; 
IFERROR(REGEXEXTRACT('Manual Data Import'!B87, ""\((\d+)\)"")) &amp; "")"""),"Justin Herbert 
QB - LAC (7)")</f>
        <v>Justin Herbert 
QB - LAC (7)</v>
      </c>
      <c r="B87" s="30" t="str">
        <f>IFERROR(IF(COUNTIF('Draft Board'!$C$3:$V$24,A87)+COUNTIF(Keepers!$B$2:$U$21,A87)+COUNTIF('Auction Draft Board'!$C$6:$AP$25,A87)&gt;0,"",A87),"")</f>
        <v/>
      </c>
    </row>
    <row r="88">
      <c r="A88" t="str">
        <f>IFERROR(__xludf.DUMMYFUNCTION("IFERROR(REGEXEXTRACT('Manual Data Import'!B88, ""^(.*)\s+[A-Z]{2,4}\s+\(\d+\)$""),'Manual Data Import'!B88) &amp; CHAR(10) &amp; 
IFERROR(REGEXREPLACE('Manual Data Import'!C88, ""\d+$"", """")) &amp;"" - ""&amp; 
IFERROR(REGEXEXTRACT('Manual Data Import'!B88, ""([A-Z]{2,"&amp;"4})\s+\(\d+\)$"")) &amp; "" (""&amp; 
IFERROR(REGEXEXTRACT('Manual Data Import'!B88, ""\((\d+)\)"")) &amp; "")"""),"J.K. Dobbins 
RB - DEN (10)")</f>
        <v>J.K. Dobbins 
RB - DEN (10)</v>
      </c>
      <c r="B88" s="30" t="str">
        <f>IFERROR(IF(COUNTIF('Draft Board'!$C$3:$V$24,A88)+COUNTIF(Keepers!$B$2:$U$21,A88)+COUNTIF('Auction Draft Board'!$C$6:$AP$25,A88)&gt;0,"",A88),"")</f>
        <v/>
      </c>
    </row>
    <row r="89">
      <c r="A89" t="str">
        <f>IFERROR(__xludf.DUMMYFUNCTION("IFERROR(REGEXEXTRACT('Manual Data Import'!B89, ""^(.*)\s+[A-Z]{2,4}\s+\(\d+\)$""),'Manual Data Import'!B89) &amp; CHAR(10) &amp; 
IFERROR(REGEXREPLACE('Manual Data Import'!C89, ""\d+$"", """")) &amp;"" - ""&amp; 
IFERROR(REGEXEXTRACT('Manual Data Import'!B89, ""([A-Z]{2,"&amp;"4})\s+\(\d+\)$"")) &amp; "" (""&amp; 
IFERROR(REGEXEXTRACT('Manual Data Import'!B89, ""\((\d+)\)"")) &amp; "")"""),"George Kittle 
TE - SF (8)")</f>
        <v>George Kittle 
TE - SF (8)</v>
      </c>
      <c r="B89" s="30" t="str">
        <f>IFERROR(IF(COUNTIF('Draft Board'!$C$3:$V$24,A89)+COUNTIF(Keepers!$B$2:$U$21,A89)+COUNTIF('Auction Draft Board'!$C$6:$AP$25,A89)&gt;0,"",A89),"")</f>
        <v/>
      </c>
    </row>
    <row r="90">
      <c r="A90" t="str">
        <f>IFERROR(__xludf.DUMMYFUNCTION("IFERROR(REGEXEXTRACT('Manual Data Import'!B90, ""^(.*)\s+[A-Z]{2,4}\s+\(\d+\)$""),'Manual Data Import'!B90) &amp; CHAR(10) &amp; 
IFERROR(REGEXREPLACE('Manual Data Import'!C90, ""\d+$"", """")) &amp;"" - ""&amp; 
IFERROR(REGEXEXTRACT('Manual Data Import'!B90, ""([A-Z]{2,"&amp;"4})\s+\(\d+\)$"")) &amp; "" (""&amp; 
IFERROR(REGEXEXTRACT('Manual Data Import'!B90, ""\((\d+)\)"")) &amp; "")"""),"Chuba Hubbard 
RB - CAR (5)")</f>
        <v>Chuba Hubbard 
RB - CAR (5)</v>
      </c>
      <c r="B90" s="30" t="str">
        <f>IFERROR(IF(COUNTIF('Draft Board'!$C$3:$V$24,A90)+COUNTIF(Keepers!$B$2:$U$21,A90)+COUNTIF('Auction Draft Board'!$C$6:$AP$25,A90)&gt;0,"",A90),"")</f>
        <v/>
      </c>
    </row>
    <row r="91">
      <c r="A91" t="str">
        <f>IFERROR(__xludf.DUMMYFUNCTION("IFERROR(REGEXEXTRACT('Manual Data Import'!B91, ""^(.*)\s+[A-Z]{2,4}\s+\(\d+\)$""),'Manual Data Import'!B91) &amp; CHAR(10) &amp; 
IFERROR(REGEXREPLACE('Manual Data Import'!C91, ""\d+$"", """")) &amp;"" - ""&amp; 
IFERROR(REGEXEXTRACT('Manual Data Import'!B91, ""([A-Z]{2,"&amp;"4})\s+\(\d+\)$"")) &amp; "" (""&amp; 
IFERROR(REGEXEXTRACT('Manual Data Import'!B91, ""\((\d+)\)"")) &amp; "")"""),"Matthew Stafford 
QB - LAR (11)")</f>
        <v>Matthew Stafford 
QB - LAR (11)</v>
      </c>
      <c r="B91" s="30" t="str">
        <f>IFERROR(IF(COUNTIF('Draft Board'!$C$3:$V$24,A91)+COUNTIF(Keepers!$B$2:$U$21,A91)+COUNTIF('Auction Draft Board'!$C$6:$AP$25,A91)&gt;0,"",A91),"")</f>
        <v/>
      </c>
    </row>
    <row r="92">
      <c r="A92" t="str">
        <f>IFERROR(__xludf.DUMMYFUNCTION("IFERROR(REGEXEXTRACT('Manual Data Import'!B92, ""^(.*)\s+[A-Z]{2,4}\s+\(\d+\)$""),'Manual Data Import'!B92) &amp; CHAR(10) &amp; 
IFERROR(REGEXREPLACE('Manual Data Import'!C92, ""\d+$"", """")) &amp;"" - ""&amp; 
IFERROR(REGEXEXTRACT('Manual Data Import'!B92, ""([A-Z]{2,"&amp;"4})\s+\(\d+\)$"")) &amp; "" (""&amp; 
IFERROR(REGEXEXTRACT('Manual Data Import'!B92, ""\((\d+)\)"")) &amp; "")"""),"Jaxson Dart 
QB - NYG (8)")</f>
        <v>Jaxson Dart 
QB - NYG (8)</v>
      </c>
      <c r="B92" s="30" t="str">
        <f>IFERROR(IF(COUNTIF('Draft Board'!$C$3:$V$24,A92)+COUNTIF(Keepers!$B$2:$U$21,A92)+COUNTIF('Auction Draft Board'!$C$6:$AP$25,A92)&gt;0,"",A92),"")</f>
        <v/>
      </c>
    </row>
    <row r="93">
      <c r="A93" t="str">
        <f>IFERROR(__xludf.DUMMYFUNCTION("IFERROR(REGEXEXTRACT('Manual Data Import'!B93, ""^(.*)\s+[A-Z]{2,4}\s+\(\d+\)$""),'Manual Data Import'!B93) &amp; CHAR(10) &amp; 
IFERROR(REGEXREPLACE('Manual Data Import'!C93, ""\d+$"", """")) &amp;"" - ""&amp; 
IFERROR(REGEXEXTRACT('Manual Data Import'!B93, ""([A-Z]{2,"&amp;"4})\s+\(\d+\)$"")) &amp; "" (""&amp; 
IFERROR(REGEXEXTRACT('Manual Data Import'!B93, ""\((\d+)\)"")) &amp; "")"""),"Alec Pierce 
WR - IND (13)")</f>
        <v>Alec Pierce 
WR - IND (13)</v>
      </c>
      <c r="B93" s="30" t="str">
        <f>IFERROR(IF(COUNTIF('Draft Board'!$C$3:$V$24,A93)+COUNTIF(Keepers!$B$2:$U$21,A93)+COUNTIF('Auction Draft Board'!$C$6:$AP$25,A93)&gt;0,"",A93),"")</f>
        <v/>
      </c>
    </row>
    <row r="94">
      <c r="A94" t="str">
        <f>IFERROR(__xludf.DUMMYFUNCTION("IFERROR(REGEXEXTRACT('Manual Data Import'!B94, ""^(.*)\s+[A-Z]{2,4}\s+\(\d+\)$""),'Manual Data Import'!B94) &amp; CHAR(10) &amp; 
IFERROR(REGEXREPLACE('Manual Data Import'!C94, ""\d+$"", """")) &amp;"" - ""&amp; 
IFERROR(REGEXEXTRACT('Manual Data Import'!B94, ""([A-Z]{2,"&amp;"4})\s+\(\d+\)$"")) &amp; "" (""&amp; 
IFERROR(REGEXEXTRACT('Manual Data Import'!B94, ""\((\d+)\)"")) &amp; "")"""),"Michael Pittman Jr. 
WR - PIT (9)")</f>
        <v>Michael Pittman Jr. 
WR - PIT (9)</v>
      </c>
      <c r="B94" s="30" t="str">
        <f>IFERROR(IF(COUNTIF('Draft Board'!$C$3:$V$24,A94)+COUNTIF(Keepers!$B$2:$U$21,A94)+COUNTIF('Auction Draft Board'!$C$6:$AP$25,A94)&gt;0,"",A94),"")</f>
        <v/>
      </c>
    </row>
    <row r="95">
      <c r="A95" t="str">
        <f>IFERROR(__xludf.DUMMYFUNCTION("IFERROR(REGEXEXTRACT('Manual Data Import'!B95, ""^(.*)\s+[A-Z]{2,4}\s+\(\d+\)$""),'Manual Data Import'!B95) &amp; CHAR(10) &amp; 
IFERROR(REGEXREPLACE('Manual Data Import'!C95, ""\d+$"", """")) &amp;"" - ""&amp; 
IFERROR(REGEXEXTRACT('Manual Data Import'!B95, ""([A-Z]{2,"&amp;"4})\s+\(\d+\)$"")) &amp; "" (""&amp; 
IFERROR(REGEXEXTRACT('Manual Data Import'!B95, ""\((\d+)\)"")) &amp; "")"""),"Chris Godwin Jr. 
WR - TB (10)")</f>
        <v>Chris Godwin Jr. 
WR - TB (10)</v>
      </c>
      <c r="B95" s="30" t="str">
        <f>IFERROR(IF(COUNTIF('Draft Board'!$C$3:$V$24,A95)+COUNTIF(Keepers!$B$2:$U$21,A95)+COUNTIF('Auction Draft Board'!$C$6:$AP$25,A95)&gt;0,"",A95),"")</f>
        <v/>
      </c>
    </row>
    <row r="96">
      <c r="A96" t="str">
        <f>IFERROR(__xludf.DUMMYFUNCTION("IFERROR(REGEXEXTRACT('Manual Data Import'!B96, ""^(.*)\s+[A-Z]{2,4}\s+\(\d+\)$""),'Manual Data Import'!B96) &amp; CHAR(10) &amp; 
IFERROR(REGEXREPLACE('Manual Data Import'!C96, ""\d+$"", """")) &amp;"" - ""&amp; 
IFERROR(REGEXEXTRACT('Manual Data Import'!B96, ""([A-Z]{2,"&amp;"4})\s+\(\d+\)$"")) &amp; "" (""&amp; 
IFERROR(REGEXEXTRACT('Manual Data Import'!B96, ""\((\d+)\)"")) &amp; "")"""),"Travis Kelce 
TE - KC (5)")</f>
        <v>Travis Kelce 
TE - KC (5)</v>
      </c>
      <c r="B96" s="30" t="str">
        <f>IFERROR(IF(COUNTIF('Draft Board'!$C$3:$V$24,A96)+COUNTIF(Keepers!$B$2:$U$21,A96)+COUNTIF('Auction Draft Board'!$C$6:$AP$25,A96)&gt;0,"",A96),"")</f>
        <v/>
      </c>
    </row>
    <row r="97">
      <c r="A97" t="str">
        <f>IFERROR(__xludf.DUMMYFUNCTION("IFERROR(REGEXEXTRACT('Manual Data Import'!B97, ""^(.*)\s+[A-Z]{2,4}\s+\(\d+\)$""),'Manual Data Import'!B97) &amp; CHAR(10) &amp; 
IFERROR(REGEXREPLACE('Manual Data Import'!C97, ""\d+$"", """")) &amp;"" - ""&amp; 
IFERROR(REGEXEXTRACT('Manual Data Import'!B97, ""([A-Z]{2,"&amp;"4})\s+\(\d+\)$"")) &amp; "" (""&amp; 
IFERROR(REGEXEXTRACT('Manual Data Import'!B97, ""\((\d+)\)"")) &amp; "")"""),"Wan'Dale Robinson 
WR - TEN (9)")</f>
        <v>Wan'Dale Robinson 
WR - TEN (9)</v>
      </c>
      <c r="B97" s="30" t="str">
        <f>IFERROR(IF(COUNTIF('Draft Board'!$C$3:$V$24,A97)+COUNTIF(Keepers!$B$2:$U$21,A97)+COUNTIF('Auction Draft Board'!$C$6:$AP$25,A97)&gt;0,"",A97),"")</f>
        <v/>
      </c>
    </row>
    <row r="98">
      <c r="A98" t="str">
        <f>IFERROR(__xludf.DUMMYFUNCTION("IFERROR(REGEXEXTRACT('Manual Data Import'!B98, ""^(.*)\s+[A-Z]{2,4}\s+\(\d+\)$""),'Manual Data Import'!B98) &amp; CHAR(10) &amp; 
IFERROR(REGEXREPLACE('Manual Data Import'!C98, ""\d+$"", """")) &amp;"" - ""&amp; 
IFERROR(REGEXEXTRACT('Manual Data Import'!B98, ""([A-Z]{2,"&amp;"4})\s+\(\d+\)$"")) &amp; "" (""&amp; 
IFERROR(REGEXEXTRACT('Manual Data Import'!B98, ""\((\d+)\)"")) &amp; "")"""),"Brandon Aubrey 
K - DAL (14)")</f>
        <v>Brandon Aubrey 
K - DAL (14)</v>
      </c>
      <c r="B98" s="30" t="str">
        <f>IFERROR(IF(COUNTIF('Draft Board'!$C$3:$V$24,A98)+COUNTIF(Keepers!$B$2:$U$21,A98)+COUNTIF('Auction Draft Board'!$C$6:$AP$25,A98)&gt;0,"",A98),"")</f>
        <v/>
      </c>
    </row>
    <row r="99">
      <c r="A99" t="str">
        <f>IFERROR(__xludf.DUMMYFUNCTION("IFERROR(REGEXEXTRACT('Manual Data Import'!B99, ""^(.*)\s+[A-Z]{2,4}\s+\(\d+\)$""),'Manual Data Import'!B99) &amp; CHAR(10) &amp; 
IFERROR(REGEXREPLACE('Manual Data Import'!C99, ""\d+$"", """")) &amp;"" - ""&amp; 
IFERROR(REGEXEXTRACT('Manual Data Import'!B99, ""([A-Z]{2,"&amp;"4})\s+\(\d+\)$"")) &amp; "" (""&amp; 
IFERROR(REGEXEXTRACT('Manual Data Import'!B99, ""\((\d+)\)"")) &amp; "")"""),"Houston Texans
DST - DST (8)")</f>
        <v>Houston Texans
DST - DST (8)</v>
      </c>
      <c r="B99" s="30" t="str">
        <f>IFERROR(IF(COUNTIF('Draft Board'!$C$3:$V$24,A99)+COUNTIF(Keepers!$B$2:$U$21,A99)+COUNTIF('Auction Draft Board'!$C$6:$AP$25,A99)&gt;0,"",A99),"")</f>
        <v/>
      </c>
    </row>
    <row r="100">
      <c r="A100" t="str">
        <f>IFERROR(__xludf.DUMMYFUNCTION("IFERROR(REGEXEXTRACT('Manual Data Import'!B100, ""^(.*)\s+[A-Z]{2,4}\s+\(\d+\)$""),'Manual Data Import'!B100) &amp; CHAR(10) &amp; 
IFERROR(REGEXREPLACE('Manual Data Import'!C100, ""\d+$"", """")) &amp;"" - ""&amp; 
IFERROR(REGEXEXTRACT('Manual Data Import'!B100, ""([A-Z"&amp;"]{2,4})\s+\(\d+\)$"")) &amp; "" (""&amp; 
IFERROR(REGEXEXTRACT('Manual Data Import'!B100, ""\((\d+)\)"")) &amp; "")"""),"Kenny Gainwell 
RB - TB (10)")</f>
        <v>Kenny Gainwell 
RB - TB (10)</v>
      </c>
      <c r="B100" s="30" t="str">
        <f>IFERROR(IF(COUNTIF('Draft Board'!$C$3:$V$24,A100)+COUNTIF(Keepers!$B$2:$U$21,A100)+COUNTIF('Auction Draft Board'!$C$6:$AP$25,A100)&gt;0,"",A100),"")</f>
        <v/>
      </c>
    </row>
    <row r="101">
      <c r="A101" t="str">
        <f>IFERROR(__xludf.DUMMYFUNCTION("IFERROR(REGEXEXTRACT('Manual Data Import'!B101, ""^(.*)\s+[A-Z]{2,4}\s+\(\d+\)$""),'Manual Data Import'!B101) &amp; CHAR(10) &amp; 
IFERROR(REGEXREPLACE('Manual Data Import'!C101, ""\d+$"", """")) &amp;"" - ""&amp; 
IFERROR(REGEXEXTRACT('Manual Data Import'!B101, ""([A-Z"&amp;"]{2,4})\s+\(\d+\)$"")) &amp; "" (""&amp; 
IFERROR(REGEXEXTRACT('Manual Data Import'!B101, ""\((\d+)\)"")) &amp; "")"""),"Kyle Monangai 
RB - CHI (10)")</f>
        <v>Kyle Monangai 
RB - CHI (10)</v>
      </c>
      <c r="B101" s="30" t="str">
        <f>IFERROR(IF(COUNTIF('Draft Board'!$C$3:$V$24,A101)+COUNTIF(Keepers!$B$2:$U$21,A101)+COUNTIF('Auction Draft Board'!$C$6:$AP$25,A101)&gt;0,"",A101),"")</f>
        <v/>
      </c>
    </row>
    <row r="102">
      <c r="A102" t="str">
        <f>IFERROR(__xludf.DUMMYFUNCTION("IFERROR(REGEXEXTRACT('Manual Data Import'!B102, ""^(.*)\s+[A-Z]{2,4}\s+\(\d+\)$""),'Manual Data Import'!B102) &amp; CHAR(10) &amp; 
IFERROR(REGEXREPLACE('Manual Data Import'!C102, ""\d+$"", """")) &amp;"" - ""&amp; 
IFERROR(REGEXEXTRACT('Manual Data Import'!B102, ""([A-Z"&amp;"]{2,4})\s+\(\d+\)$"")) &amp; "" (""&amp; 
IFERROR(REGEXEXTRACT('Manual Data Import'!B102, ""\((\d+)\)"")) &amp; "")"""),"Blake Corum 
RB - LAR (11)")</f>
        <v>Blake Corum 
RB - LAR (11)</v>
      </c>
      <c r="B102" s="30" t="str">
        <f>IFERROR(IF(COUNTIF('Draft Board'!$C$3:$V$24,A102)+COUNTIF(Keepers!$B$2:$U$21,A102)+COUNTIF('Auction Draft Board'!$C$6:$AP$25,A102)&gt;0,"",A102),"")</f>
        <v/>
      </c>
    </row>
    <row r="103">
      <c r="A103" t="str">
        <f>IFERROR(__xludf.DUMMYFUNCTION("IFERROR(REGEXEXTRACT('Manual Data Import'!B103, ""^(.*)\s+[A-Z]{2,4}\s+\(\d+\)$""),'Manual Data Import'!B103) &amp; CHAR(10) &amp; 
IFERROR(REGEXREPLACE('Manual Data Import'!C103, ""\d+$"", """")) &amp;"" - ""&amp; 
IFERROR(REGEXEXTRACT('Manual Data Import'!B103, ""([A-Z"&amp;"]{2,4})\s+\(\d+\)$"")) &amp; "" (""&amp; 
IFERROR(REGEXEXTRACT('Manual Data Import'!B103, ""\((\d+)\)"")) &amp; "")"""),"Patrick Mahomes II 
QB - KC (5)")</f>
        <v>Patrick Mahomes II 
QB - KC (5)</v>
      </c>
      <c r="B103" s="30" t="str">
        <f>IFERROR(IF(COUNTIF('Draft Board'!$C$3:$V$24,A103)+COUNTIF(Keepers!$B$2:$U$21,A103)+COUNTIF('Auction Draft Board'!$C$6:$AP$25,A103)&gt;0,"",A103),"")</f>
        <v/>
      </c>
    </row>
    <row r="104">
      <c r="A104" t="str">
        <f>IFERROR(__xludf.DUMMYFUNCTION("IFERROR(REGEXEXTRACT('Manual Data Import'!B104, ""^(.*)\s+[A-Z]{2,4}\s+\(\d+\)$""),'Manual Data Import'!B104) &amp; CHAR(10) &amp; 
IFERROR(REGEXREPLACE('Manual Data Import'!C104, ""\d+$"", """")) &amp;"" - ""&amp; 
IFERROR(REGEXEXTRACT('Manual Data Import'!B104, ""([A-Z"&amp;"]{2,4})\s+\(\d+\)$"")) &amp; "" (""&amp; 
IFERROR(REGEXEXTRACT('Manual Data Import'!B104, ""\((\d+)\)"")) &amp; "")"""),"Stefon Diggs 
WR - WAS (7)")</f>
        <v>Stefon Diggs 
WR - WAS (7)</v>
      </c>
      <c r="B104" s="30" t="str">
        <f>IFERROR(IF(COUNTIF('Draft Board'!$C$3:$V$24,A104)+COUNTIF(Keepers!$B$2:$U$21,A104)+COUNTIF('Auction Draft Board'!$C$6:$AP$25,A104)&gt;0,"",A104),"")</f>
        <v/>
      </c>
    </row>
    <row r="105">
      <c r="A105" t="str">
        <f>IFERROR(__xludf.DUMMYFUNCTION("IFERROR(REGEXEXTRACT('Manual Data Import'!B105, ""^(.*)\s+[A-Z]{2,4}\s+\(\d+\)$""),'Manual Data Import'!B105) &amp; CHAR(10) &amp; 
IFERROR(REGEXREPLACE('Manual Data Import'!C105, ""\d+$"", """")) &amp;"" - ""&amp; 
IFERROR(REGEXEXTRACT('Manual Data Import'!B105, ""([A-Z"&amp;"]{2,4})\s+\(\d+\)$"")) &amp; "" (""&amp; 
IFERROR(REGEXEXTRACT('Manual Data Import'!B105, ""\((\d+)\)"")) &amp; "")"""),"Jordan Mason 
RB - MIN (6)")</f>
        <v>Jordan Mason 
RB - MIN (6)</v>
      </c>
      <c r="B105" s="30" t="str">
        <f>IFERROR(IF(COUNTIF('Draft Board'!$C$3:$V$24,A105)+COUNTIF(Keepers!$B$2:$U$21,A105)+COUNTIF('Auction Draft Board'!$C$6:$AP$25,A105)&gt;0,"",A105),"")</f>
        <v/>
      </c>
    </row>
    <row r="106">
      <c r="A106" t="str">
        <f>IFERROR(__xludf.DUMMYFUNCTION("IFERROR(REGEXEXTRACT('Manual Data Import'!B106, ""^(.*)\s+[A-Z]{2,4}\s+\(\d+\)$""),'Manual Data Import'!B106) &amp; CHAR(10) &amp; 
IFERROR(REGEXREPLACE('Manual Data Import'!C106, ""\d+$"", """")) &amp;"" - ""&amp; 
IFERROR(REGEXEXTRACT('Manual Data Import'!B106, ""([A-Z"&amp;"]{2,4})\s+\(\d+\)$"")) &amp; "" (""&amp; 
IFERROR(REGEXEXTRACT('Manual Data Import'!B106, ""\((\d+)\)"")) &amp; "")"""),"Jacory Croskey-Merritt 
RB - WAS (7)")</f>
        <v>Jacory Croskey-Merritt 
RB - WAS (7)</v>
      </c>
      <c r="B106" s="30" t="str">
        <f>IFERROR(IF(COUNTIF('Draft Board'!$C$3:$V$24,A106)+COUNTIF(Keepers!$B$2:$U$21,A106)+COUNTIF('Auction Draft Board'!$C$6:$AP$25,A106)&gt;0,"",A106),"")</f>
        <v/>
      </c>
    </row>
    <row r="107">
      <c r="A107" t="str">
        <f>IFERROR(__xludf.DUMMYFUNCTION("IFERROR(REGEXEXTRACT('Manual Data Import'!B107, ""^(.*)\s+[A-Z]{2,4}\s+\(\d+\)$""),'Manual Data Import'!B107) &amp; CHAR(10) &amp; 
IFERROR(REGEXREPLACE('Manual Data Import'!C107, ""\d+$"", """")) &amp;"" - ""&amp; 
IFERROR(REGEXEXTRACT('Manual Data Import'!B107, ""([A-Z"&amp;"]{2,4})\s+\(\d+\)$"")) &amp; "" (""&amp; 
IFERROR(REGEXEXTRACT('Manual Data Import'!B107, ""\((\d+)\)"")) &amp; "")"""),"Isaiah Likely 
TE - NYG (8)")</f>
        <v>Isaiah Likely 
TE - NYG (8)</v>
      </c>
      <c r="B107" s="30" t="str">
        <f>IFERROR(IF(COUNTIF('Draft Board'!$C$3:$V$24,A107)+COUNTIF(Keepers!$B$2:$U$21,A107)+COUNTIF('Auction Draft Board'!$C$6:$AP$25,A107)&gt;0,"",A107),"")</f>
        <v/>
      </c>
    </row>
    <row r="108">
      <c r="A108" t="str">
        <f>IFERROR(__xludf.DUMMYFUNCTION("IFERROR(REGEXEXTRACT('Manual Data Import'!B108, ""^(.*)\s+[A-Z]{2,4}\s+\(\d+\)$""),'Manual Data Import'!B108) &amp; CHAR(10) &amp; 
IFERROR(REGEXREPLACE('Manual Data Import'!C108, ""\d+$"", """")) &amp;"" - ""&amp; 
IFERROR(REGEXEXTRACT('Manual Data Import'!B108, ""([A-Z"&amp;"]{2,4})\s+\(\d+\)$"")) &amp; "" (""&amp; 
IFERROR(REGEXEXTRACT('Manual Data Import'!B108, ""\((\d+)\)"")) &amp; "")"""),"Jordan Addison 
WR - MIN (6)")</f>
        <v>Jordan Addison 
WR - MIN (6)</v>
      </c>
      <c r="B108" s="30" t="str">
        <f>IFERROR(IF(COUNTIF('Draft Board'!$C$3:$V$24,A108)+COUNTIF(Keepers!$B$2:$U$21,A108)+COUNTIF('Auction Draft Board'!$C$6:$AP$25,A108)&gt;0,"",A108),"")</f>
        <v/>
      </c>
    </row>
    <row r="109">
      <c r="A109" t="str">
        <f>IFERROR(__xludf.DUMMYFUNCTION("IFERROR(REGEXEXTRACT('Manual Data Import'!B109, ""^(.*)\s+[A-Z]{2,4}\s+\(\d+\)$""),'Manual Data Import'!B109) &amp; CHAR(10) &amp; 
IFERROR(REGEXREPLACE('Manual Data Import'!C109, ""\d+$"", """")) &amp;"" - ""&amp; 
IFERROR(REGEXEXTRACT('Manual Data Import'!B109, ""([A-Z"&amp;"]{2,4})\s+\(\d+\)$"")) &amp; "" (""&amp; 
IFERROR(REGEXEXTRACT('Manual Data Import'!B109, ""\((\d+)\)"")) &amp; "")"""),"Bo Nix 
QB - DEN (10)")</f>
        <v>Bo Nix 
QB - DEN (10)</v>
      </c>
      <c r="B109" s="30" t="str">
        <f>IFERROR(IF(COUNTIF('Draft Board'!$C$3:$V$24,A109)+COUNTIF(Keepers!$B$2:$U$21,A109)+COUNTIF('Auction Draft Board'!$C$6:$AP$25,A109)&gt;0,"",A109),"")</f>
        <v/>
      </c>
    </row>
    <row r="110">
      <c r="A110" t="str">
        <f>IFERROR(__xludf.DUMMYFUNCTION("IFERROR(REGEXEXTRACT('Manual Data Import'!B110, ""^(.*)\s+[A-Z]{2,4}\s+\(\d+\)$""),'Manual Data Import'!B110) &amp; CHAR(10) &amp; 
IFERROR(REGEXREPLACE('Manual Data Import'!C110, ""\d+$"", """")) &amp;"" - ""&amp; 
IFERROR(REGEXEXTRACT('Manual Data Import'!B110, ""([A-Z"&amp;"]{2,4})\s+\(\d+\)$"")) &amp; "" (""&amp; 
IFERROR(REGEXEXTRACT('Manual Data Import'!B110, ""\((\d+)\)"")) &amp; "")"""),"Brock Purdy 
QB - SF (8)")</f>
        <v>Brock Purdy 
QB - SF (8)</v>
      </c>
      <c r="B110" s="30" t="str">
        <f>IFERROR(IF(COUNTIF('Draft Board'!$C$3:$V$24,A110)+COUNTIF(Keepers!$B$2:$U$21,A110)+COUNTIF('Auction Draft Board'!$C$6:$AP$25,A110)&gt;0,"",A110),"")</f>
        <v/>
      </c>
    </row>
    <row r="111">
      <c r="A111" t="str">
        <f>IFERROR(__xludf.DUMMYFUNCTION("IFERROR(REGEXEXTRACT('Manual Data Import'!B111, ""^(.*)\s+[A-Z]{2,4}\s+\(\d+\)$""),'Manual Data Import'!B111) &amp; CHAR(10) &amp; 
IFERROR(REGEXREPLACE('Manual Data Import'!C111, ""\d+$"", """")) &amp;"" - ""&amp; 
IFERROR(REGEXEXTRACT('Manual Data Import'!B111, ""([A-Z"&amp;"]{2,4})\s+\(\d+\)$"")) &amp; "" (""&amp; 
IFERROR(REGEXEXTRACT('Manual Data Import'!B111, ""\((\d+)\)"")) &amp; "")"""),"Quentin Johnston 
WR - LAC (7)")</f>
        <v>Quentin Johnston 
WR - LAC (7)</v>
      </c>
      <c r="B111" s="30" t="str">
        <f>IFERROR(IF(COUNTIF('Draft Board'!$C$3:$V$24,A111)+COUNTIF(Keepers!$B$2:$U$21,A111)+COUNTIF('Auction Draft Board'!$C$6:$AP$25,A111)&gt;0,"",A111),"")</f>
        <v/>
      </c>
    </row>
    <row r="112">
      <c r="A112" t="str">
        <f>IFERROR(__xludf.DUMMYFUNCTION("IFERROR(REGEXEXTRACT('Manual Data Import'!B112, ""^(.*)\s+[A-Z]{2,4}\s+\(\d+\)$""),'Manual Data Import'!B112) &amp; CHAR(10) &amp; 
IFERROR(REGEXREPLACE('Manual Data Import'!C112, ""\d+$"", """")) &amp;"" - ""&amp; 
IFERROR(REGEXEXTRACT('Manual Data Import'!B112, ""([A-Z"&amp;"]{2,4})\s+\(\d+\)$"")) &amp; "" (""&amp; 
IFERROR(REGEXEXTRACT('Manual Data Import'!B112, ""\((\d+)\)"")) &amp; "")"""),"Jake Ferguson 
TE - DAL (14)")</f>
        <v>Jake Ferguson 
TE - DAL (14)</v>
      </c>
      <c r="B112" s="30" t="str">
        <f>IFERROR(IF(COUNTIF('Draft Board'!$C$3:$V$24,A112)+COUNTIF(Keepers!$B$2:$U$21,A112)+COUNTIF('Auction Draft Board'!$C$6:$AP$25,A112)&gt;0,"",A112),"")</f>
        <v/>
      </c>
    </row>
    <row r="113">
      <c r="A113" t="str">
        <f>IFERROR(__xludf.DUMMYFUNCTION("IFERROR(REGEXEXTRACT('Manual Data Import'!B113, ""^(.*)\s+[A-Z]{2,4}\s+\(\d+\)$""),'Manual Data Import'!B113) &amp; CHAR(10) &amp; 
IFERROR(REGEXREPLACE('Manual Data Import'!C113, ""\d+$"", """")) &amp;"" - ""&amp; 
IFERROR(REGEXEXTRACT('Manual Data Import'!B113, ""([A-Z"&amp;"]{2,4})\s+\(\d+\)$"")) &amp; "" (""&amp; 
IFERROR(REGEXEXTRACT('Manual Data Import'!B113, ""\((\d+)\)"")) &amp; "")"""),"Dallas Goedert 
TE - PHI (10)")</f>
        <v>Dallas Goedert 
TE - PHI (10)</v>
      </c>
      <c r="B113" s="30" t="str">
        <f>IFERROR(IF(COUNTIF('Draft Board'!$C$3:$V$24,A113)+COUNTIF(Keepers!$B$2:$U$21,A113)+COUNTIF('Auction Draft Board'!$C$6:$AP$25,A113)&gt;0,"",A113),"")</f>
        <v/>
      </c>
    </row>
    <row r="114">
      <c r="A114" t="str">
        <f>IFERROR(__xludf.DUMMYFUNCTION("IFERROR(REGEXEXTRACT('Manual Data Import'!B114, ""^(.*)\s+[A-Z]{2,4}\s+\(\d+\)$""),'Manual Data Import'!B114) &amp; CHAR(10) &amp; 
IFERROR(REGEXREPLACE('Manual Data Import'!C114, ""\d+$"", """")) &amp;"" - ""&amp; 
IFERROR(REGEXEXTRACT('Manual Data Import'!B114, ""([A-Z"&amp;"]{2,4})\s+\(\d+\)$"")) &amp; "" (""&amp; 
IFERROR(REGEXEXTRACT('Manual Data Import'!B114, ""\((\d+)\)"")) &amp; "")"""),"Josh Downs 
WR - IND (13)")</f>
        <v>Josh Downs 
WR - IND (13)</v>
      </c>
      <c r="B114" s="30" t="str">
        <f>IFERROR(IF(COUNTIF('Draft Board'!$C$3:$V$24,A114)+COUNTIF(Keepers!$B$2:$U$21,A114)+COUNTIF('Auction Draft Board'!$C$6:$AP$25,A114)&gt;0,"",A114),"")</f>
        <v/>
      </c>
    </row>
    <row r="115">
      <c r="A115" t="str">
        <f>IFERROR(__xludf.DUMMYFUNCTION("IFERROR(REGEXEXTRACT('Manual Data Import'!B115, ""^(.*)\s+[A-Z]{2,4}\s+\(\d+\)$""),'Manual Data Import'!B115) &amp; CHAR(10) &amp; 
IFERROR(REGEXREPLACE('Manual Data Import'!C115, ""\d+$"", """")) &amp;"" - ""&amp; 
IFERROR(REGEXEXTRACT('Manual Data Import'!B115, ""([A-Z"&amp;"]{2,4})\s+\(\d+\)$"")) &amp; "" (""&amp; 
IFERROR(REGEXEXTRACT('Manual Data Import'!B115, ""\((\d+)\)"")) &amp; "")"""),"Jakobi Meyers 
WR - JAC (7)")</f>
        <v>Jakobi Meyers 
WR - JAC (7)</v>
      </c>
      <c r="B115" s="30" t="str">
        <f>IFERROR(IF(COUNTIF('Draft Board'!$C$3:$V$24,A115)+COUNTIF(Keepers!$B$2:$U$21,A115)+COUNTIF('Auction Draft Board'!$C$6:$AP$25,A115)&gt;0,"",A115),"")</f>
        <v/>
      </c>
    </row>
    <row r="116">
      <c r="A116" t="str">
        <f>IFERROR(__xludf.DUMMYFUNCTION("IFERROR(REGEXEXTRACT('Manual Data Import'!B116, ""^(.*)\s+[A-Z]{2,4}\s+\(\d+\)$""),'Manual Data Import'!B116) &amp; CHAR(10) &amp; 
IFERROR(REGEXREPLACE('Manual Data Import'!C116, ""\d+$"", """")) &amp;"" - ""&amp; 
IFERROR(REGEXEXTRACT('Manual Data Import'!B116, ""([A-Z"&amp;"]{2,4})\s+\(\d+\)$"")) &amp; "" (""&amp; 
IFERROR(REGEXEXTRACT('Manual Data Import'!B116, ""\((\d+)\)"")) &amp; "")"""),"Makai Lemon 
WR - PHI (10)")</f>
        <v>Makai Lemon 
WR - PHI (10)</v>
      </c>
      <c r="B116" s="30" t="str">
        <f>IFERROR(IF(COUNTIF('Draft Board'!$C$3:$V$24,A116)+COUNTIF(Keepers!$B$2:$U$21,A116)+COUNTIF('Auction Draft Board'!$C$6:$AP$25,A116)&gt;0,"",A116),"")</f>
        <v/>
      </c>
    </row>
    <row r="117">
      <c r="A117" t="str">
        <f>IFERROR(__xludf.DUMMYFUNCTION("IFERROR(REGEXEXTRACT('Manual Data Import'!B117, ""^(.*)\s+[A-Z]{2,4}\s+\(\d+\)$""),'Manual Data Import'!B117) &amp; CHAR(10) &amp; 
IFERROR(REGEXREPLACE('Manual Data Import'!C117, ""\d+$"", """")) &amp;"" - ""&amp; 
IFERROR(REGEXEXTRACT('Manual Data Import'!B117, ""([A-Z"&amp;"]{2,4})\s+\(\d+\)$"")) &amp; "" (""&amp; 
IFERROR(REGEXEXTRACT('Manual Data Import'!B117, ""\((\d+)\)"")) &amp; "")"""),"Denver Broncos
DST - DST (10)")</f>
        <v>Denver Broncos
DST - DST (10)</v>
      </c>
      <c r="B117" s="30" t="str">
        <f>IFERROR(IF(COUNTIF('Draft Board'!$C$3:$V$24,A117)+COUNTIF(Keepers!$B$2:$U$21,A117)+COUNTIF('Auction Draft Board'!$C$6:$AP$25,A117)&gt;0,"",A117),"")</f>
        <v/>
      </c>
    </row>
    <row r="118">
      <c r="A118" t="str">
        <f>IFERROR(__xludf.DUMMYFUNCTION("IFERROR(REGEXEXTRACT('Manual Data Import'!B118, ""^(.*)\s+[A-Z]{2,4}\s+\(\d+\)$""),'Manual Data Import'!B118) &amp; CHAR(10) &amp; 
IFERROR(REGEXREPLACE('Manual Data Import'!C118, ""\d+$"", """")) &amp;"" - ""&amp; 
IFERROR(REGEXEXTRACT('Manual Data Import'!B118, ""([A-Z"&amp;"]{2,4})\s+\(\d+\)$"")) &amp; "" (""&amp; 
IFERROR(REGEXEXTRACT('Manual Data Import'!B118, ""\((\d+)\)"")) &amp; "")"""),"Los Angeles Rams
DST - DST (11)")</f>
        <v>Los Angeles Rams
DST - DST (11)</v>
      </c>
      <c r="B118" s="30" t="str">
        <f>IFERROR(IF(COUNTIF('Draft Board'!$C$3:$V$24,A118)+COUNTIF(Keepers!$B$2:$U$21,A118)+COUNTIF('Auction Draft Board'!$C$6:$AP$25,A118)&gt;0,"",A118),"")</f>
        <v/>
      </c>
    </row>
    <row r="119">
      <c r="A119" t="str">
        <f>IFERROR(__xludf.DUMMYFUNCTION("IFERROR(REGEXEXTRACT('Manual Data Import'!B119, ""^(.*)\s+[A-Z]{2,4}\s+\(\d+\)$""),'Manual Data Import'!B119) &amp; CHAR(10) &amp; 
IFERROR(REGEXREPLACE('Manual Data Import'!C119, ""\d+$"", """")) &amp;"" - ""&amp; 
IFERROR(REGEXEXTRACT('Manual Data Import'!B119, ""([A-Z"&amp;"]{2,4})\s+\(\d+\)$"")) &amp; "" (""&amp; 
IFERROR(REGEXEXTRACT('Manual Data Import'!B119, ""\((\d+)\)"")) &amp; "")"""),"Rachaad White 
RB - WAS (7)")</f>
        <v>Rachaad White 
RB - WAS (7)</v>
      </c>
      <c r="B119" s="30" t="str">
        <f>IFERROR(IF(COUNTIF('Draft Board'!$C$3:$V$24,A119)+COUNTIF(Keepers!$B$2:$U$21,A119)+COUNTIF('Auction Draft Board'!$C$6:$AP$25,A119)&gt;0,"",A119),"")</f>
        <v/>
      </c>
    </row>
    <row r="120">
      <c r="A120" t="str">
        <f>IFERROR(__xludf.DUMMYFUNCTION("IFERROR(REGEXEXTRACT('Manual Data Import'!B120, ""^(.*)\s+[A-Z]{2,4}\s+\(\d+\)$""),'Manual Data Import'!B120) &amp; CHAR(10) &amp; 
IFERROR(REGEXREPLACE('Manual Data Import'!C120, ""\d+$"", """")) &amp;"" - ""&amp; 
IFERROR(REGEXEXTRACT('Manual Data Import'!B120, ""([A-Z"&amp;"]{2,4})\s+\(\d+\)$"")) &amp; "" (""&amp; 
IFERROR(REGEXEXTRACT('Manual Data Import'!B120, ""\((\d+)\)"")) &amp; "")"""),"Jayden Reed 
WR - GB (11)")</f>
        <v>Jayden Reed 
WR - GB (11)</v>
      </c>
      <c r="B120" s="30" t="str">
        <f>IFERROR(IF(COUNTIF('Draft Board'!$C$3:$V$24,A120)+COUNTIF(Keepers!$B$2:$U$21,A120)+COUNTIF('Auction Draft Board'!$C$6:$AP$25,A120)&gt;0,"",A120),"")</f>
        <v/>
      </c>
    </row>
    <row r="121">
      <c r="A121" t="str">
        <f>IFERROR(__xludf.DUMMYFUNCTION("IFERROR(REGEXEXTRACT('Manual Data Import'!B121, ""^(.*)\s+[A-Z]{2,4}\s+\(\d+\)$""),'Manual Data Import'!B121) &amp; CHAR(10) &amp; 
IFERROR(REGEXREPLACE('Manual Data Import'!C121, ""\d+$"", """")) &amp;"" - ""&amp; 
IFERROR(REGEXEXTRACT('Manual Data Import'!B121, ""([A-Z"&amp;"]{2,4})\s+\(\d+\)$"")) &amp; "" (""&amp; 
IFERROR(REGEXEXTRACT('Manual Data Import'!B121, ""\((\d+)\)"")) &amp; "")"""),"Aaron Jones Sr. 
RB - MIN (6)")</f>
        <v>Aaron Jones Sr. 
RB - MIN (6)</v>
      </c>
      <c r="B121" s="30" t="str">
        <f>IFERROR(IF(COUNTIF('Draft Board'!$C$3:$V$24,A121)+COUNTIF(Keepers!$B$2:$U$21,A121)+COUNTIF('Auction Draft Board'!$C$6:$AP$25,A121)&gt;0,"",A121),"")</f>
        <v/>
      </c>
    </row>
    <row r="122">
      <c r="A122" t="str">
        <f>IFERROR(__xludf.DUMMYFUNCTION("IFERROR(REGEXEXTRACT('Manual Data Import'!B122, ""^(.*)\s+[A-Z]{2,4}\s+\(\d+\)$""),'Manual Data Import'!B122) &amp; CHAR(10) &amp; 
IFERROR(REGEXREPLACE('Manual Data Import'!C122, ""\d+$"", """")) &amp;"" - ""&amp; 
IFERROR(REGEXEXTRACT('Manual Data Import'!B122, ""([A-Z"&amp;"]{2,4})\s+\(\d+\)$"")) &amp; "" (""&amp; 
IFERROR(REGEXEXTRACT('Manual Data Import'!B122, ""\((\d+)\)"")) &amp; "")"""),"Dalton Kincaid 
TE - BUF (7)")</f>
        <v>Dalton Kincaid 
TE - BUF (7)</v>
      </c>
      <c r="B122" s="30" t="str">
        <f>IFERROR(IF(COUNTIF('Draft Board'!$C$3:$V$24,A122)+COUNTIF(Keepers!$B$2:$U$21,A122)+COUNTIF('Auction Draft Board'!$C$6:$AP$25,A122)&gt;0,"",A122),"")</f>
        <v/>
      </c>
    </row>
    <row r="123">
      <c r="A123" t="str">
        <f>IFERROR(__xludf.DUMMYFUNCTION("IFERROR(REGEXEXTRACT('Manual Data Import'!B123, ""^(.*)\s+[A-Z]{2,4}\s+\(\d+\)$""),'Manual Data Import'!B123) &amp; CHAR(10) &amp; 
IFERROR(REGEXREPLACE('Manual Data Import'!C123, ""\d+$"", """")) &amp;"" - ""&amp; 
IFERROR(REGEXEXTRACT('Manual Data Import'!B123, ""([A-Z"&amp;"]{2,4})\s+\(\d+\)$"")) &amp; "" (""&amp; 
IFERROR(REGEXEXTRACT('Manual Data Import'!B123, ""\((\d+)\)"")) &amp; "")"""),"Seattle Seahawks
DST - DST (11)")</f>
        <v>Seattle Seahawks
DST - DST (11)</v>
      </c>
      <c r="B123" s="30" t="str">
        <f>IFERROR(IF(COUNTIF('Draft Board'!$C$3:$V$24,A123)+COUNTIF(Keepers!$B$2:$U$21,A123)+COUNTIF('Auction Draft Board'!$C$6:$AP$25,A123)&gt;0,"",A123),"")</f>
        <v/>
      </c>
    </row>
    <row r="124">
      <c r="A124" t="str">
        <f>IFERROR(__xludf.DUMMYFUNCTION("IFERROR(REGEXEXTRACT('Manual Data Import'!B124, ""^(.*)\s+[A-Z]{2,4}\s+\(\d+\)$""),'Manual Data Import'!B124) &amp; CHAR(10) &amp; 
IFERROR(REGEXREPLACE('Manual Data Import'!C124, ""\d+$"", """")) &amp;"" - ""&amp; 
IFERROR(REGEXEXTRACT('Manual Data Import'!B124, ""([A-Z"&amp;"]{2,4})\s+\(\d+\)$"")) &amp; "" (""&amp; 
IFERROR(REGEXEXTRACT('Manual Data Import'!B124, ""\((\d+)\)"")) &amp; "")"""),"De'Zhaun Stribling 
WR - SF (8)")</f>
        <v>De'Zhaun Stribling 
WR - SF (8)</v>
      </c>
      <c r="B124" s="30" t="str">
        <f>IFERROR(IF(COUNTIF('Draft Board'!$C$3:$V$24,A124)+COUNTIF(Keepers!$B$2:$U$21,A124)+COUNTIF('Auction Draft Board'!$C$6:$AP$25,A124)&gt;0,"",A124),"")</f>
        <v/>
      </c>
    </row>
    <row r="125">
      <c r="A125" t="str">
        <f>IFERROR(__xludf.DUMMYFUNCTION("IFERROR(REGEXEXTRACT('Manual Data Import'!B125, ""^(.*)\s+[A-Z]{2,4}\s+\(\d+\)$""),'Manual Data Import'!B125) &amp; CHAR(10) &amp; 
IFERROR(REGEXREPLACE('Manual Data Import'!C125, ""\d+$"", """")) &amp;"" - ""&amp; 
IFERROR(REGEXEXTRACT('Manual Data Import'!B125, ""([A-Z"&amp;"]{2,4})\s+\(\d+\)$"")) &amp; "" (""&amp; 
IFERROR(REGEXEXTRACT('Manual Data Import'!B125, ""\((\d+)\)"")) &amp; "")"""),"Matthew Golden 
WR - GB (11)")</f>
        <v>Matthew Golden 
WR - GB (11)</v>
      </c>
      <c r="B125" s="30" t="str">
        <f>IFERROR(IF(COUNTIF('Draft Board'!$C$3:$V$24,A125)+COUNTIF(Keepers!$B$2:$U$21,A125)+COUNTIF('Auction Draft Board'!$C$6:$AP$25,A125)&gt;0,"",A125),"")</f>
        <v/>
      </c>
    </row>
    <row r="126">
      <c r="A126" t="str">
        <f>IFERROR(__xludf.DUMMYFUNCTION("IFERROR(REGEXEXTRACT('Manual Data Import'!B126, ""^(.*)\s+[A-Z]{2,4}\s+\(\d+\)$""),'Manual Data Import'!B126) &amp; CHAR(10) &amp; 
IFERROR(REGEXREPLACE('Manual Data Import'!C126, ""\d+$"", """")) &amp;"" - ""&amp; 
IFERROR(REGEXEXTRACT('Manual Data Import'!B126, ""([A-Z"&amp;"]{2,4})\s+\(\d+\)$"")) &amp; "" (""&amp; 
IFERROR(REGEXEXTRACT('Manual Data Import'!B126, ""\((\d+)\)"")) &amp; "")"""),"Jared Goff 
QB - DET (6)")</f>
        <v>Jared Goff 
QB - DET (6)</v>
      </c>
      <c r="B126" s="30" t="str">
        <f>IFERROR(IF(COUNTIF('Draft Board'!$C$3:$V$24,A126)+COUNTIF(Keepers!$B$2:$U$21,A126)+COUNTIF('Auction Draft Board'!$C$6:$AP$25,A126)&gt;0,"",A126),"")</f>
        <v/>
      </c>
    </row>
    <row r="127">
      <c r="A127" t="str">
        <f>IFERROR(__xludf.DUMMYFUNCTION("IFERROR(REGEXEXTRACT('Manual Data Import'!B127, ""^(.*)\s+[A-Z]{2,4}\s+\(\d+\)$""),'Manual Data Import'!B127) &amp; CHAR(10) &amp; 
IFERROR(REGEXREPLACE('Manual Data Import'!C127, ""\d+$"", """")) &amp;"" - ""&amp; 
IFERROR(REGEXEXTRACT('Manual Data Import'!B127, ""([A-Z"&amp;"]{2,4})\s+\(\d+\)$"")) &amp; "" (""&amp; 
IFERROR(REGEXEXTRACT('Manual Data Import'!B127, ""\((\d+)\)"")) &amp; "")"""),"KC Concepcion 
WR - CLE (11)")</f>
        <v>KC Concepcion 
WR - CLE (11)</v>
      </c>
      <c r="B127" s="30" t="str">
        <f>IFERROR(IF(COUNTIF('Draft Board'!$C$3:$V$24,A127)+COUNTIF(Keepers!$B$2:$U$21,A127)+COUNTIF('Auction Draft Board'!$C$6:$AP$25,A127)&gt;0,"",A127),"")</f>
        <v/>
      </c>
    </row>
    <row r="128">
      <c r="A128" t="str">
        <f>IFERROR(__xludf.DUMMYFUNCTION("IFERROR(REGEXEXTRACT('Manual Data Import'!B128, ""^(.*)\s+[A-Z]{2,4}\s+\(\d+\)$""),'Manual Data Import'!B128) &amp; CHAR(10) &amp; 
IFERROR(REGEXREPLACE('Manual Data Import'!C128, ""\d+$"", """")) &amp;"" - ""&amp; 
IFERROR(REGEXEXTRACT('Manual Data Import'!B128, ""([A-Z"&amp;"]{2,4})\s+\(\d+\)$"")) &amp; "" (""&amp; 
IFERROR(REGEXEXTRACT('Manual Data Import'!B128, ""\((\d+)\)"")) &amp; "")"""),"Mark Andrews 
TE - BAL (13)")</f>
        <v>Mark Andrews 
TE - BAL (13)</v>
      </c>
      <c r="B128" s="30" t="str">
        <f>IFERROR(IF(COUNTIF('Draft Board'!$C$3:$V$24,A128)+COUNTIF(Keepers!$B$2:$U$21,A128)+COUNTIF('Auction Draft Board'!$C$6:$AP$25,A128)&gt;0,"",A128),"")</f>
        <v/>
      </c>
    </row>
    <row r="129">
      <c r="A129" t="str">
        <f>IFERROR(__xludf.DUMMYFUNCTION("IFERROR(REGEXEXTRACT('Manual Data Import'!B129, ""^(.*)\s+[A-Z]{2,4}\s+\(\d+\)$""),'Manual Data Import'!B129) &amp; CHAR(10) &amp; 
IFERROR(REGEXREPLACE('Manual Data Import'!C129, ""\d+$"", """")) &amp;"" - ""&amp; 
IFERROR(REGEXEXTRACT('Manual Data Import'!B129, ""([A-Z"&amp;"]{2,4})\s+\(\d+\)$"")) &amp; "" (""&amp; 
IFERROR(REGEXEXTRACT('Manual Data Import'!B129, ""\((\d+)\)"")) &amp; "")"""),"Xavier Worthy 
WR - KC (5)")</f>
        <v>Xavier Worthy 
WR - KC (5)</v>
      </c>
      <c r="B129" s="30" t="str">
        <f>IFERROR(IF(COUNTIF('Draft Board'!$C$3:$V$24,A129)+COUNTIF(Keepers!$B$2:$U$21,A129)+COUNTIF('Auction Draft Board'!$C$6:$AP$25,A129)&gt;0,"",A129),"")</f>
        <v/>
      </c>
    </row>
    <row r="130">
      <c r="A130" t="str">
        <f>IFERROR(__xludf.DUMMYFUNCTION("IFERROR(REGEXEXTRACT('Manual Data Import'!B130, ""^(.*)\s+[A-Z]{2,4}\s+\(\d+\)$""),'Manual Data Import'!B130) &amp; CHAR(10) &amp; 
IFERROR(REGEXREPLACE('Manual Data Import'!C130, ""\d+$"", """")) &amp;"" - ""&amp; 
IFERROR(REGEXEXTRACT('Manual Data Import'!B130, ""([A-Z"&amp;"]{2,4})\s+\(\d+\)$"")) &amp; "" (""&amp; 
IFERROR(REGEXEXTRACT('Manual Data Import'!B130, ""\((\d+)\)"")) &amp; "")"""),"Deebo Samuel Sr. 
WR - SF (8)")</f>
        <v>Deebo Samuel Sr. 
WR - SF (8)</v>
      </c>
      <c r="B130" s="30" t="str">
        <f>IFERROR(IF(COUNTIF('Draft Board'!$C$3:$V$24,A130)+COUNTIF(Keepers!$B$2:$U$21,A130)+COUNTIF('Auction Draft Board'!$C$6:$AP$25,A130)&gt;0,"",A130),"")</f>
        <v/>
      </c>
    </row>
    <row r="131">
      <c r="A131" t="str">
        <f>IFERROR(__xludf.DUMMYFUNCTION("IFERROR(REGEXEXTRACT('Manual Data Import'!B131, ""^(.*)\s+[A-Z]{2,4}\s+\(\d+\)$""),'Manual Data Import'!B131) &amp; CHAR(10) &amp; 
IFERROR(REGEXREPLACE('Manual Data Import'!C131, ""\d+$"", """")) &amp;"" - ""&amp; 
IFERROR(REGEXEXTRACT('Manual Data Import'!B131, ""([A-Z"&amp;"]{2,4})\s+\(\d+\)$"")) &amp; "" (""&amp; 
IFERROR(REGEXEXTRACT('Manual Data Import'!B131, ""\((\d+)\)"")) &amp; "")"""),"Cameron Dicker 
K - LAC (7)")</f>
        <v>Cameron Dicker 
K - LAC (7)</v>
      </c>
      <c r="B131" s="30" t="str">
        <f>IFERROR(IF(COUNTIF('Draft Board'!$C$3:$V$24,A131)+COUNTIF(Keepers!$B$2:$U$21,A131)+COUNTIF('Auction Draft Board'!$C$6:$AP$25,A131)&gt;0,"",A131),"")</f>
        <v/>
      </c>
    </row>
    <row r="132">
      <c r="A132" t="str">
        <f>IFERROR(__xludf.DUMMYFUNCTION("IFERROR(REGEXEXTRACT('Manual Data Import'!B132, ""^(.*)\s+[A-Z]{2,4}\s+\(\d+\)$""),'Manual Data Import'!B132) &amp; CHAR(10) &amp; 
IFERROR(REGEXREPLACE('Manual Data Import'!C132, ""\d+$"", """")) &amp;"" - ""&amp; 
IFERROR(REGEXEXTRACT('Manual Data Import'!B132, ""([A-Z"&amp;"]{2,4})\s+\(\d+\)$"")) &amp; "" (""&amp; 
IFERROR(REGEXEXTRACT('Manual Data Import'!B132, ""\((\d+)\)"")) &amp; "")"""),"Romeo Doubs 
WR - NE (11)")</f>
        <v>Romeo Doubs 
WR - NE (11)</v>
      </c>
      <c r="B132" s="30" t="str">
        <f>IFERROR(IF(COUNTIF('Draft Board'!$C$3:$V$24,A132)+COUNTIF(Keepers!$B$2:$U$21,A132)+COUNTIF('Auction Draft Board'!$C$6:$AP$25,A132)&gt;0,"",A132),"")</f>
        <v/>
      </c>
    </row>
    <row r="133">
      <c r="A133" t="str">
        <f>IFERROR(__xludf.DUMMYFUNCTION("IFERROR(REGEXEXTRACT('Manual Data Import'!B133, ""^(.*)\s+[A-Z]{2,4}\s+\(\d+\)$""),'Manual Data Import'!B133) &amp; CHAR(10) &amp; 
IFERROR(REGEXREPLACE('Manual Data Import'!C133, ""\d+$"", """")) &amp;"" - ""&amp; 
IFERROR(REGEXEXTRACT('Manual Data Import'!B133, ""([A-Z"&amp;"]{2,4})\s+\(\d+\)$"")) &amp; "" (""&amp; 
IFERROR(REGEXEXTRACT('Manual Data Import'!B133, ""\((\d+)\)"")) &amp; "")"""),"Woody Marks 
RB - HOU (8)")</f>
        <v>Woody Marks 
RB - HOU (8)</v>
      </c>
      <c r="B133" s="30" t="str">
        <f>IFERROR(IF(COUNTIF('Draft Board'!$C$3:$V$24,A133)+COUNTIF(Keepers!$B$2:$U$21,A133)+COUNTIF('Auction Draft Board'!$C$6:$AP$25,A133)&gt;0,"",A133),"")</f>
        <v/>
      </c>
    </row>
    <row r="134">
      <c r="A134" t="str">
        <f>IFERROR(__xludf.DUMMYFUNCTION("IFERROR(REGEXEXTRACT('Manual Data Import'!B134, ""^(.*)\s+[A-Z]{2,4}\s+\(\d+\)$""),'Manual Data Import'!B134) &amp; CHAR(10) &amp; 
IFERROR(REGEXREPLACE('Manual Data Import'!C134, ""\d+$"", """")) &amp;"" - ""&amp; 
IFERROR(REGEXEXTRACT('Manual Data Import'!B134, ""([A-Z"&amp;"]{2,4})\s+\(\d+\)$"")) &amp; "" (""&amp; 
IFERROR(REGEXEXTRACT('Manual Data Import'!B134, ""\((\d+)\)"")) &amp; "")"""),"Jordyn Tyson 
WR - NO (8)")</f>
        <v>Jordyn Tyson 
WR - NO (8)</v>
      </c>
      <c r="B134" s="30" t="str">
        <f>IFERROR(IF(COUNTIF('Draft Board'!$C$3:$V$24,A134)+COUNTIF(Keepers!$B$2:$U$21,A134)+COUNTIF('Auction Draft Board'!$C$6:$AP$25,A134)&gt;0,"",A134),"")</f>
        <v/>
      </c>
    </row>
    <row r="135">
      <c r="A135" t="str">
        <f>IFERROR(__xludf.DUMMYFUNCTION("IFERROR(REGEXEXTRACT('Manual Data Import'!B135, ""^(.*)\s+[A-Z]{2,4}\s+\(\d+\)$""),'Manual Data Import'!B135) &amp; CHAR(10) &amp; 
IFERROR(REGEXREPLACE('Manual Data Import'!C135, ""\d+$"", """")) &amp;"" - ""&amp; 
IFERROR(REGEXEXTRACT('Manual Data Import'!B135, ""([A-Z"&amp;"]{2,4})\s+\(\d+\)$"")) &amp; "" (""&amp; 
IFERROR(REGEXEXTRACT('Manual Data Import'!B135, ""\((\d+)\)"")) &amp; "")"""),"Baker Mayfield 
QB - TB (10)")</f>
        <v>Baker Mayfield 
QB - TB (10)</v>
      </c>
      <c r="B135" s="30" t="str">
        <f>IFERROR(IF(COUNTIF('Draft Board'!$C$3:$V$24,A135)+COUNTIF(Keepers!$B$2:$U$21,A135)+COUNTIF('Auction Draft Board'!$C$6:$AP$25,A135)&gt;0,"",A135),"")</f>
        <v/>
      </c>
    </row>
    <row r="136">
      <c r="A136" t="str">
        <f>IFERROR(__xludf.DUMMYFUNCTION("IFERROR(REGEXEXTRACT('Manual Data Import'!B136, ""^(.*)\s+[A-Z]{2,4}\s+\(\d+\)$""),'Manual Data Import'!B136) &amp; CHAR(10) &amp; 
IFERROR(REGEXREPLACE('Manual Data Import'!C136, ""\d+$"", """")) &amp;"" - ""&amp; 
IFERROR(REGEXEXTRACT('Manual Data Import'!B136, ""([A-Z"&amp;"]{2,4})\s+\(\d+\)$"")) &amp; "" (""&amp; 
IFERROR(REGEXEXTRACT('Manual Data Import'!B136, ""\((\d+)\)"")) &amp; "")"""),"Jason Myers 
K - SEA (11)")</f>
        <v>Jason Myers 
K - SEA (11)</v>
      </c>
      <c r="B136" s="30" t="str">
        <f>IFERROR(IF(COUNTIF('Draft Board'!$C$3:$V$24,A136)+COUNTIF(Keepers!$B$2:$U$21,A136)+COUNTIF('Auction Draft Board'!$C$6:$AP$25,A136)&gt;0,"",A136),"")</f>
        <v/>
      </c>
    </row>
    <row r="137">
      <c r="A137" t="str">
        <f>IFERROR(__xludf.DUMMYFUNCTION("IFERROR(REGEXEXTRACT('Manual Data Import'!B137, ""^(.*)\s+[A-Z]{2,4}\s+\(\d+\)$""),'Manual Data Import'!B137) &amp; CHAR(10) &amp; 
IFERROR(REGEXREPLACE('Manual Data Import'!C137, ""\d+$"", """")) &amp;"" - ""&amp; 
IFERROR(REGEXEXTRACT('Manual Data Import'!B137, ""([A-Z"&amp;"]{2,4})\s+\(\d+\)$"")) &amp; "" (""&amp; 
IFERROR(REGEXEXTRACT('Manual Data Import'!B137, ""\((\d+)\)"")) &amp; "")"""),"Ka'imi Fairbairn 
K - HOU (8)")</f>
        <v>Ka'imi Fairbairn 
K - HOU (8)</v>
      </c>
      <c r="B137" s="30" t="str">
        <f>IFERROR(IF(COUNTIF('Draft Board'!$C$3:$V$24,A137)+COUNTIF(Keepers!$B$2:$U$21,A137)+COUNTIF('Auction Draft Board'!$C$6:$AP$25,A137)&gt;0,"",A137),"")</f>
        <v/>
      </c>
    </row>
    <row r="138">
      <c r="A138" t="str">
        <f>IFERROR(__xludf.DUMMYFUNCTION("IFERROR(REGEXEXTRACT('Manual Data Import'!B138, ""^(.*)\s+[A-Z]{2,4}\s+\(\d+\)$""),'Manual Data Import'!B138) &amp; CHAR(10) &amp; 
IFERROR(REGEXREPLACE('Manual Data Import'!C138, ""\d+$"", """")) &amp;"" - ""&amp; 
IFERROR(REGEXEXTRACT('Manual Data Import'!B138, ""([A-Z"&amp;"]{2,4})\s+\(\d+\)$"")) &amp; "" (""&amp; 
IFERROR(REGEXEXTRACT('Manual Data Import'!B138, ""\((\d+)\)"")) &amp; "")"""),"Khalil Shakir 
WR - BUF (7)")</f>
        <v>Khalil Shakir 
WR - BUF (7)</v>
      </c>
      <c r="B138" s="30" t="str">
        <f>IFERROR(IF(COUNTIF('Draft Board'!$C$3:$V$24,A138)+COUNTIF(Keepers!$B$2:$U$21,A138)+COUNTIF('Auction Draft Board'!$C$6:$AP$25,A138)&gt;0,"",A138),"")</f>
        <v/>
      </c>
    </row>
    <row r="139">
      <c r="A139" t="str">
        <f>IFERROR(__xludf.DUMMYFUNCTION("IFERROR(REGEXEXTRACT('Manual Data Import'!B139, ""^(.*)\s+[A-Z]{2,4}\s+\(\d+\)$""),'Manual Data Import'!B139) &amp; CHAR(10) &amp; 
IFERROR(REGEXREPLACE('Manual Data Import'!C139, ""\d+$"", """")) &amp;"" - ""&amp; 
IFERROR(REGEXEXTRACT('Manual Data Import'!B139, ""([A-Z"&amp;"]{2,4})\s+\(\d+\)$"")) &amp; "" (""&amp; 
IFERROR(REGEXEXTRACT('Manual Data Import'!B139, ""\((\d+)\)"")) &amp; "")"""),"Kyler Murray 
QB - MIN (6)")</f>
        <v>Kyler Murray 
QB - MIN (6)</v>
      </c>
      <c r="B139" s="30" t="str">
        <f>IFERROR(IF(COUNTIF('Draft Board'!$C$3:$V$24,A139)+COUNTIF(Keepers!$B$2:$U$21,A139)+COUNTIF('Auction Draft Board'!$C$6:$AP$25,A139)&gt;0,"",A139),"")</f>
        <v/>
      </c>
    </row>
    <row r="140">
      <c r="A140" t="str">
        <f>IFERROR(__xludf.DUMMYFUNCTION("IFERROR(REGEXEXTRACT('Manual Data Import'!B140, ""^(.*)\s+[A-Z]{2,4}\s+\(\d+\)$""),'Manual Data Import'!B140) &amp; CHAR(10) &amp; 
IFERROR(REGEXREPLACE('Manual Data Import'!C140, ""\d+$"", """")) &amp;"" - ""&amp; 
IFERROR(REGEXEXTRACT('Manual Data Import'!B140, ""([A-Z"&amp;"]{2,4})\s+\(\d+\)$"")) &amp; "" (""&amp; 
IFERROR(REGEXEXTRACT('Manual Data Import'!B140, ""\((\d+)\)"")) &amp; "")"""),"Philadelphia Eagles
DST - DST (10)")</f>
        <v>Philadelphia Eagles
DST - DST (10)</v>
      </c>
      <c r="B140" s="30" t="str">
        <f>IFERROR(IF(COUNTIF('Draft Board'!$C$3:$V$24,A140)+COUNTIF(Keepers!$B$2:$U$21,A140)+COUNTIF('Auction Draft Board'!$C$6:$AP$25,A140)&gt;0,"",A140),"")</f>
        <v/>
      </c>
    </row>
    <row r="141">
      <c r="A141" t="str">
        <f>IFERROR(__xludf.DUMMYFUNCTION("IFERROR(REGEXEXTRACT('Manual Data Import'!B141, ""^(.*)\s+[A-Z]{2,4}\s+\(\d+\)$""),'Manual Data Import'!B141) &amp; CHAR(10) &amp; 
IFERROR(REGEXREPLACE('Manual Data Import'!C141, ""\d+$"", """")) &amp;"" - ""&amp; 
IFERROR(REGEXEXTRACT('Manual Data Import'!B141, ""([A-Z"&amp;"]{2,4})\s+\(\d+\)$"")) &amp; "" (""&amp; 
IFERROR(REGEXEXTRACT('Manual Data Import'!B141, ""\((\d+)\)"")) &amp; "")"""),"Chris Rodriguez Jr. 
RB - JAC (7)")</f>
        <v>Chris Rodriguez Jr. 
RB - JAC (7)</v>
      </c>
      <c r="B141" s="30" t="str">
        <f>IFERROR(IF(COUNTIF('Draft Board'!$C$3:$V$24,A141)+COUNTIF(Keepers!$B$2:$U$21,A141)+COUNTIF('Auction Draft Board'!$C$6:$AP$25,A141)&gt;0,"",A141),"")</f>
        <v/>
      </c>
    </row>
    <row r="142">
      <c r="A142" t="str">
        <f>IFERROR(__xludf.DUMMYFUNCTION("IFERROR(REGEXEXTRACT('Manual Data Import'!B142, ""^(.*)\s+[A-Z]{2,4}\s+\(\d+\)$""),'Manual Data Import'!B142) &amp; CHAR(10) &amp; 
IFERROR(REGEXREPLACE('Manual Data Import'!C142, ""\d+$"", """")) &amp;"" - ""&amp; 
IFERROR(REGEXEXTRACT('Manual Data Import'!B142, ""([A-Z"&amp;"]{2,4})\s+\(\d+\)$"")) &amp; "" (""&amp; 
IFERROR(REGEXEXTRACT('Manual Data Import'!B142, ""\((\d+)\)"")) &amp; "")"""),"Zach Charbonnet 
RB - SEA (11)")</f>
        <v>Zach Charbonnet 
RB - SEA (11)</v>
      </c>
      <c r="B142" s="30" t="str">
        <f>IFERROR(IF(COUNTIF('Draft Board'!$C$3:$V$24,A142)+COUNTIF(Keepers!$B$2:$U$21,A142)+COUNTIF('Auction Draft Board'!$C$6:$AP$25,A142)&gt;0,"",A142),"")</f>
        <v/>
      </c>
    </row>
    <row r="143">
      <c r="A143" t="str">
        <f>IFERROR(__xludf.DUMMYFUNCTION("IFERROR(REGEXEXTRACT('Manual Data Import'!B143, ""^(.*)\s+[A-Z]{2,4}\s+\(\d+\)$""),'Manual Data Import'!B143) &amp; CHAR(10) &amp; 
IFERROR(REGEXREPLACE('Manual Data Import'!C143, ""\d+$"", """")) &amp;"" - ""&amp; 
IFERROR(REGEXEXTRACT('Manual Data Import'!B143, ""([A-Z"&amp;"]{2,4})\s+\(\d+\)$"")) &amp; "" (""&amp; 
IFERROR(REGEXEXTRACT('Manual Data Import'!B143, ""\((\d+)\)"")) &amp; "")"""),"Rashid Shaheed 
WR - SEA (11)")</f>
        <v>Rashid Shaheed 
WR - SEA (11)</v>
      </c>
      <c r="B143" s="30" t="str">
        <f>IFERROR(IF(COUNTIF('Draft Board'!$C$3:$V$24,A143)+COUNTIF(Keepers!$B$2:$U$21,A143)+COUNTIF('Auction Draft Board'!$C$6:$AP$25,A143)&gt;0,"",A143),"")</f>
        <v/>
      </c>
    </row>
    <row r="144">
      <c r="A144" t="str">
        <f>IFERROR(__xludf.DUMMYFUNCTION("IFERROR(REGEXEXTRACT('Manual Data Import'!B144, ""^(.*)\s+[A-Z]{2,4}\s+\(\d+\)$""),'Manual Data Import'!B144) &amp; CHAR(10) &amp; 
IFERROR(REGEXREPLACE('Manual Data Import'!C144, ""\d+$"", """")) &amp;"" - ""&amp; 
IFERROR(REGEXEXTRACT('Manual Data Import'!B144, ""([A-Z"&amp;"]{2,4})\s+\(\d+\)$"")) &amp; "" (""&amp; 
IFERROR(REGEXEXTRACT('Manual Data Import'!B144, ""\((\d+)\)"")) &amp; "")"""),"Tyler Allgeier 
RB - ARI (14)")</f>
        <v>Tyler Allgeier 
RB - ARI (14)</v>
      </c>
      <c r="B144" s="30" t="str">
        <f>IFERROR(IF(COUNTIF('Draft Board'!$C$3:$V$24,A144)+COUNTIF(Keepers!$B$2:$U$21,A144)+COUNTIF('Auction Draft Board'!$C$6:$AP$25,A144)&gt;0,"",A144),"")</f>
        <v/>
      </c>
    </row>
    <row r="145">
      <c r="A145" t="str">
        <f>IFERROR(__xludf.DUMMYFUNCTION("IFERROR(REGEXEXTRACT('Manual Data Import'!B145, ""^(.*)\s+[A-Z]{2,4}\s+\(\d+\)$""),'Manual Data Import'!B145) &amp; CHAR(10) &amp; 
IFERROR(REGEXREPLACE('Manual Data Import'!C145, ""\d+$"", """")) &amp;"" - ""&amp; 
IFERROR(REGEXEXTRACT('Manual Data Import'!B145, ""([A-Z"&amp;"]{2,4})\s+\(\d+\)$"")) &amp; "" (""&amp; 
IFERROR(REGEXEXTRACT('Manual Data Import'!B145, ""\((\d+)\)"")) &amp; "")"""),"Mike Washington Jr. 
RB - LV (13)")</f>
        <v>Mike Washington Jr. 
RB - LV (13)</v>
      </c>
      <c r="B145" s="30" t="str">
        <f>IFERROR(IF(COUNTIF('Draft Board'!$C$3:$V$24,A145)+COUNTIF(Keepers!$B$2:$U$21,A145)+COUNTIF('Auction Draft Board'!$C$6:$AP$25,A145)&gt;0,"",A145),"")</f>
        <v/>
      </c>
    </row>
    <row r="146">
      <c r="A146" t="str">
        <f>IFERROR(__xludf.DUMMYFUNCTION("IFERROR(REGEXEXTRACT('Manual Data Import'!B146, ""^(.*)\s+[A-Z]{2,4}\s+\(\d+\)$""),'Manual Data Import'!B146) &amp; CHAR(10) &amp; 
IFERROR(REGEXREPLACE('Manual Data Import'!C146, ""\d+$"", """")) &amp;"" - ""&amp; 
IFERROR(REGEXEXTRACT('Manual Data Import'!B146, ""([A-Z"&amp;"]{2,4})\s+\(\d+\)$"")) &amp; "" (""&amp; 
IFERROR(REGEXEXTRACT('Manual Data Import'!B146, ""\((\d+)\)"")) &amp; "")"""),"Tyjae Spears 
RB - TEN (9)")</f>
        <v>Tyjae Spears 
RB - TEN (9)</v>
      </c>
      <c r="B146" s="30" t="str">
        <f>IFERROR(IF(COUNTIF('Draft Board'!$C$3:$V$24,A146)+COUNTIF(Keepers!$B$2:$U$21,A146)+COUNTIF('Auction Draft Board'!$C$6:$AP$25,A146)&gt;0,"",A146),"")</f>
        <v/>
      </c>
    </row>
    <row r="147">
      <c r="A147" t="str">
        <f>IFERROR(__xludf.DUMMYFUNCTION("IFERROR(REGEXEXTRACT('Manual Data Import'!B147, ""^(.*)\s+[A-Z]{2,4}\s+\(\d+\)$""),'Manual Data Import'!B147) &amp; CHAR(10) &amp; 
IFERROR(REGEXREPLACE('Manual Data Import'!C147, ""\d+$"", """")) &amp;"" - ""&amp; 
IFERROR(REGEXEXTRACT('Manual Data Import'!B147, ""([A-Z"&amp;"]{2,4})\s+\(\d+\)$"")) &amp; "" (""&amp; 
IFERROR(REGEXEXTRACT('Manual Data Import'!B147, ""\((\d+)\)"")) &amp; "")"""),"Jalen Coker 
WR - CAR (5)")</f>
        <v>Jalen Coker 
WR - CAR (5)</v>
      </c>
      <c r="B147" s="30" t="str">
        <f>IFERROR(IF(COUNTIF('Draft Board'!$C$3:$V$24,A147)+COUNTIF(Keepers!$B$2:$U$21,A147)+COUNTIF('Auction Draft Board'!$C$6:$AP$25,A147)&gt;0,"",A147),"")</f>
        <v/>
      </c>
    </row>
    <row r="148">
      <c r="A148" t="str">
        <f>IFERROR(__xludf.DUMMYFUNCTION("IFERROR(REGEXEXTRACT('Manual Data Import'!B148, ""^(.*)\s+[A-Z]{2,4}\s+\(\d+\)$""),'Manual Data Import'!B148) &amp; CHAR(10) &amp; 
IFERROR(REGEXREPLACE('Manual Data Import'!C148, ""\d+$"", """")) &amp;"" - ""&amp; 
IFERROR(REGEXEXTRACT('Manual Data Import'!B148, ""([A-Z"&amp;"]{2,4})\s+\(\d+\)$"")) &amp; "" (""&amp; 
IFERROR(REGEXEXTRACT('Manual Data Import'!B148, ""\((\d+)\)"")) &amp; "")"""),"Jordan Love 
QB - GB (11)")</f>
        <v>Jordan Love 
QB - GB (11)</v>
      </c>
      <c r="B148" s="30" t="str">
        <f>IFERROR(IF(COUNTIF('Draft Board'!$C$3:$V$24,A148)+COUNTIF(Keepers!$B$2:$U$21,A148)+COUNTIF('Auction Draft Board'!$C$6:$AP$25,A148)&gt;0,"",A148),"")</f>
        <v/>
      </c>
    </row>
    <row r="149">
      <c r="A149" t="str">
        <f>IFERROR(__xludf.DUMMYFUNCTION("IFERROR(REGEXEXTRACT('Manual Data Import'!B149, ""^(.*)\s+[A-Z]{2,4}\s+\(\d+\)$""),'Manual Data Import'!B149) &amp; CHAR(10) &amp; 
IFERROR(REGEXREPLACE('Manual Data Import'!C149, ""\d+$"", """")) &amp;"" - ""&amp; 
IFERROR(REGEXEXTRACT('Manual Data Import'!B149, ""([A-Z"&amp;"]{2,4})\s+\(\d+\)$"")) &amp; "" (""&amp; 
IFERROR(REGEXEXTRACT('Manual Data Import'!B149, ""\((\d+)\)"")) &amp; "")"""),"Cam Little 
K - JAC (7)")</f>
        <v>Cam Little 
K - JAC (7)</v>
      </c>
      <c r="B149" s="30" t="str">
        <f>IFERROR(IF(COUNTIF('Draft Board'!$C$3:$V$24,A149)+COUNTIF(Keepers!$B$2:$U$21,A149)+COUNTIF('Auction Draft Board'!$C$6:$AP$25,A149)&gt;0,"",A149),"")</f>
        <v/>
      </c>
    </row>
    <row r="150">
      <c r="A150" t="str">
        <f>IFERROR(__xludf.DUMMYFUNCTION("IFERROR(REGEXEXTRACT('Manual Data Import'!B150, ""^(.*)\s+[A-Z]{2,4}\s+\(\d+\)$""),'Manual Data Import'!B150) &amp; CHAR(10) &amp; 
IFERROR(REGEXREPLACE('Manual Data Import'!C150, ""\d+$"", """")) &amp;"" - ""&amp; 
IFERROR(REGEXEXTRACT('Manual Data Import'!B150, ""([A-Z"&amp;"]{2,4})\s+\(\d+\)$"")) &amp; "" (""&amp; 
IFERROR(REGEXEXTRACT('Manual Data Import'!B150, ""\((\d+)\)"")) &amp; "")"""),"Tyler Shough 
QB - NO (8)")</f>
        <v>Tyler Shough 
QB - NO (8)</v>
      </c>
      <c r="B150" s="30" t="str">
        <f>IFERROR(IF(COUNTIF('Draft Board'!$C$3:$V$24,A150)+COUNTIF(Keepers!$B$2:$U$21,A150)+COUNTIF('Auction Draft Board'!$C$6:$AP$25,A150)&gt;0,"",A150),"")</f>
        <v/>
      </c>
    </row>
    <row r="151">
      <c r="A151" t="str">
        <f>IFERROR(__xludf.DUMMYFUNCTION("IFERROR(REGEXEXTRACT('Manual Data Import'!B151, ""^(.*)\s+[A-Z]{2,4}\s+\(\d+\)$""),'Manual Data Import'!B151) &amp; CHAR(10) &amp; 
IFERROR(REGEXREPLACE('Manual Data Import'!C151, ""\d+$"", """")) &amp;"" - ""&amp; 
IFERROR(REGEXEXTRACT('Manual Data Import'!B151, ""([A-Z"&amp;"]{2,4})\s+\(\d+\)$"")) &amp; "" (""&amp; 
IFERROR(REGEXEXTRACT('Manual Data Import'!B151, ""\((\d+)\)"")) &amp; "")"""),"Pittsburgh Steelers
DST - DST (9)")</f>
        <v>Pittsburgh Steelers
DST - DST (9)</v>
      </c>
      <c r="B151" s="30" t="str">
        <f>IFERROR(IF(COUNTIF('Draft Board'!$C$3:$V$24,A151)+COUNTIF(Keepers!$B$2:$U$21,A151)+COUNTIF('Auction Draft Board'!$C$6:$AP$25,A151)&gt;0,"",A151),"")</f>
        <v/>
      </c>
    </row>
    <row r="152">
      <c r="A152" t="str">
        <f>IFERROR(__xludf.DUMMYFUNCTION("IFERROR(REGEXEXTRACT('Manual Data Import'!B152, ""^(.*)\s+[A-Z]{2,4}\s+\(\d+\)$""),'Manual Data Import'!B152) &amp; CHAR(10) &amp; 
IFERROR(REGEXREPLACE('Manual Data Import'!C152, ""\d+$"", """")) &amp;"" - ""&amp; 
IFERROR(REGEXEXTRACT('Manual Data Import'!B152, ""([A-Z"&amp;"]{2,4})\s+\(\d+\)$"")) &amp; "" (""&amp; 
IFERROR(REGEXEXTRACT('Manual Data Import'!B152, ""\((\d+)\)"")) &amp; "")"""),"Alvin Kamara 
RB - NO (8)")</f>
        <v>Alvin Kamara 
RB - NO (8)</v>
      </c>
      <c r="B152" s="30" t="str">
        <f>IFERROR(IF(COUNTIF('Draft Board'!$C$3:$V$24,A152)+COUNTIF(Keepers!$B$2:$U$21,A152)+COUNTIF('Auction Draft Board'!$C$6:$AP$25,A152)&gt;0,"",A152),"")</f>
        <v/>
      </c>
    </row>
    <row r="153">
      <c r="A153" t="str">
        <f>IFERROR(__xludf.DUMMYFUNCTION("IFERROR(REGEXEXTRACT('Manual Data Import'!B153, ""^(.*)\s+[A-Z]{2,4}\s+\(\d+\)$""),'Manual Data Import'!B153) &amp; CHAR(10) &amp; 
IFERROR(REGEXREPLACE('Manual Data Import'!C153, ""\d+$"", """")) &amp;"" - ""&amp; 
IFERROR(REGEXEXTRACT('Manual Data Import'!B153, ""([A-Z"&amp;"]{2,4})\s+\(\d+\)$"")) &amp; "" (""&amp; 
IFERROR(REGEXEXTRACT('Manual Data Import'!B153, ""\((\d+)\)"")) &amp; "")"""),"Juwan Johnson 
TE - NO (8)")</f>
        <v>Juwan Johnson 
TE - NO (8)</v>
      </c>
      <c r="B153" s="30" t="str">
        <f>IFERROR(IF(COUNTIF('Draft Board'!$C$3:$V$24,A153)+COUNTIF(Keepers!$B$2:$U$21,A153)+COUNTIF('Auction Draft Board'!$C$6:$AP$25,A153)&gt;0,"",A153),"")</f>
        <v/>
      </c>
    </row>
    <row r="154">
      <c r="A154" t="str">
        <f>IFERROR(__xludf.DUMMYFUNCTION("IFERROR(REGEXEXTRACT('Manual Data Import'!B154, ""^(.*)\s+[A-Z]{2,4}\s+\(\d+\)$""),'Manual Data Import'!B154) &amp; CHAR(10) &amp; 
IFERROR(REGEXREPLACE('Manual Data Import'!C154, ""\d+$"", """")) &amp;"" - ""&amp; 
IFERROR(REGEXEXTRACT('Manual Data Import'!B154, ""([A-Z"&amp;"]{2,4})\s+\(\d+\)$"")) &amp; "" (""&amp; 
IFERROR(REGEXEXTRACT('Manual Data Import'!B154, ""\((\d+)\)"")) &amp; "")"""),"Isiah Pacheco 
RB - DET (6)")</f>
        <v>Isiah Pacheco 
RB - DET (6)</v>
      </c>
      <c r="B154" s="30" t="str">
        <f>IFERROR(IF(COUNTIF('Draft Board'!$C$3:$V$24,A154)+COUNTIF(Keepers!$B$2:$U$21,A154)+COUNTIF('Auction Draft Board'!$C$6:$AP$25,A154)&gt;0,"",A154),"")</f>
        <v/>
      </c>
    </row>
    <row r="155">
      <c r="A155" t="str">
        <f>IFERROR(__xludf.DUMMYFUNCTION("IFERROR(REGEXEXTRACT('Manual Data Import'!B155, ""^(.*)\s+[A-Z]{2,4}\s+\(\d+\)$""),'Manual Data Import'!B155) &amp; CHAR(10) &amp; 
IFERROR(REGEXREPLACE('Manual Data Import'!C155, ""\d+$"", """")) &amp;"" - ""&amp; 
IFERROR(REGEXEXTRACT('Manual Data Import'!B155, ""([A-Z"&amp;"]{2,4})\s+\(\d+\)$"")) &amp; "" (""&amp; 
IFERROR(REGEXEXTRACT('Manual Data Import'!B155, ""\((\d+)\)"")) &amp; "")"""),"New England Patriots
DST - DST (11)")</f>
        <v>New England Patriots
DST - DST (11)</v>
      </c>
      <c r="B155" s="30" t="str">
        <f>IFERROR(IF(COUNTIF('Draft Board'!$C$3:$V$24,A155)+COUNTIF(Keepers!$B$2:$U$21,A155)+COUNTIF('Auction Draft Board'!$C$6:$AP$25,A155)&gt;0,"",A155),"")</f>
        <v/>
      </c>
    </row>
    <row r="156">
      <c r="A156" t="str">
        <f>IFERROR(__xludf.DUMMYFUNCTION("IFERROR(REGEXEXTRACT('Manual Data Import'!B156, ""^(.*)\s+[A-Z]{2,4}\s+\(\d+\)$""),'Manual Data Import'!B156) &amp; CHAR(10) &amp; 
IFERROR(REGEXREPLACE('Manual Data Import'!C156, ""\d+$"", """")) &amp;"" - ""&amp; 
IFERROR(REGEXEXTRACT('Manual Data Import'!B156, ""([A-Z"&amp;"]{2,4})\s+\(\d+\)$"")) &amp; "" (""&amp; 
IFERROR(REGEXEXTRACT('Manual Data Import'!B156, ""\((\d+)\)"")) &amp; "")"""),"Keaton Mitchell 
RB - LAC (7)")</f>
        <v>Keaton Mitchell 
RB - LAC (7)</v>
      </c>
      <c r="B156" s="30" t="str">
        <f>IFERROR(IF(COUNTIF('Draft Board'!$C$3:$V$24,A156)+COUNTIF(Keepers!$B$2:$U$21,A156)+COUNTIF('Auction Draft Board'!$C$6:$AP$25,A156)&gt;0,"",A156),"")</f>
        <v/>
      </c>
    </row>
    <row r="157">
      <c r="A157" t="str">
        <f>IFERROR(__xludf.DUMMYFUNCTION("IFERROR(REGEXEXTRACT('Manual Data Import'!B157, ""^(.*)\s+[A-Z]{2,4}\s+\(\d+\)$""),'Manual Data Import'!B157) &amp; CHAR(10) &amp; 
IFERROR(REGEXREPLACE('Manual Data Import'!C157, ""\d+$"", """")) &amp;"" - ""&amp; 
IFERROR(REGEXEXTRACT('Manual Data Import'!B157, ""([A-Z"&amp;"]{2,4})\s+\(\d+\)$"")) &amp; "" (""&amp; 
IFERROR(REGEXEXTRACT('Manual Data Import'!B157, ""\((\d+)\)"")) &amp; "")"""),"Hunter Henry 
TE - NE (11)")</f>
        <v>Hunter Henry 
TE - NE (11)</v>
      </c>
      <c r="B157" s="30" t="str">
        <f>IFERROR(IF(COUNTIF('Draft Board'!$C$3:$V$24,A157)+COUNTIF(Keepers!$B$2:$U$21,A157)+COUNTIF('Auction Draft Board'!$C$6:$AP$25,A157)&gt;0,"",A157),"")</f>
        <v/>
      </c>
    </row>
    <row r="158">
      <c r="A158" t="str">
        <f>IFERROR(__xludf.DUMMYFUNCTION("IFERROR(REGEXEXTRACT('Manual Data Import'!B158, ""^(.*)\s+[A-Z]{2,4}\s+\(\d+\)$""),'Manual Data Import'!B158) &amp; CHAR(10) &amp; 
IFERROR(REGEXREPLACE('Manual Data Import'!C158, ""\d+$"", """")) &amp;"" - ""&amp; 
IFERROR(REGEXEXTRACT('Manual Data Import'!B158, ""([A-Z"&amp;"]{2,4})\s+\(\d+\)$"")) &amp; "" (""&amp; 
IFERROR(REGEXEXTRACT('Manual Data Import'!B158, ""\((\d+)\)"")) &amp; "")"""),"Brenton Strange 
TE - JAC (7)")</f>
        <v>Brenton Strange 
TE - JAC (7)</v>
      </c>
      <c r="B158" s="30" t="str">
        <f>IFERROR(IF(COUNTIF('Draft Board'!$C$3:$V$24,A158)+COUNTIF(Keepers!$B$2:$U$21,A158)+COUNTIF('Auction Draft Board'!$C$6:$AP$25,A158)&gt;0,"",A158),"")</f>
        <v/>
      </c>
    </row>
    <row r="159">
      <c r="A159" t="str">
        <f>IFERROR(__xludf.DUMMYFUNCTION("IFERROR(REGEXEXTRACT('Manual Data Import'!B159, ""^(.*)\s+[A-Z]{2,4}\s+\(\d+\)$""),'Manual Data Import'!B159) &amp; CHAR(10) &amp; 
IFERROR(REGEXREPLACE('Manual Data Import'!C159, ""\d+$"", """")) &amp;"" - ""&amp; 
IFERROR(REGEXEXTRACT('Manual Data Import'!B159, ""([A-Z"&amp;"]{2,4})\s+\(\d+\)$"")) &amp; "" (""&amp; 
IFERROR(REGEXEXTRACT('Manual Data Import'!B159, ""\((\d+)\)"")) &amp; "")"""),"Tyrone Tracy Jr. 
RB - NYG (8)")</f>
        <v>Tyrone Tracy Jr. 
RB - NYG (8)</v>
      </c>
      <c r="B159" s="30" t="str">
        <f>IFERROR(IF(COUNTIF('Draft Board'!$C$3:$V$24,A159)+COUNTIF(Keepers!$B$2:$U$21,A159)+COUNTIF('Auction Draft Board'!$C$6:$AP$25,A159)&gt;0,"",A159),"")</f>
        <v/>
      </c>
    </row>
    <row r="160">
      <c r="A160" t="str">
        <f>IFERROR(__xludf.DUMMYFUNCTION("IFERROR(REGEXEXTRACT('Manual Data Import'!B160, ""^(.*)\s+[A-Z]{2,4}\s+\(\d+\)$""),'Manual Data Import'!B160) &amp; CHAR(10) &amp; 
IFERROR(REGEXREPLACE('Manual Data Import'!C160, ""\d+$"", """")) &amp;"" - ""&amp; 
IFERROR(REGEXEXTRACT('Manual Data Import'!B160, ""([A-Z"&amp;"]{2,4})\s+\(\d+\)$"")) &amp; "" (""&amp; 
IFERROR(REGEXEXTRACT('Manual Data Import'!B160, ""\((\d+)\)"")) &amp; "")"""),"Baltimore Ravens
DST - DST (13)")</f>
        <v>Baltimore Ravens
DST - DST (13)</v>
      </c>
      <c r="B160" s="30" t="str">
        <f>IFERROR(IF(COUNTIF('Draft Board'!$C$3:$V$24,A160)+COUNTIF(Keepers!$B$2:$U$21,A160)+COUNTIF('Auction Draft Board'!$C$6:$AP$25,A160)&gt;0,"",A160),"")</f>
        <v/>
      </c>
    </row>
    <row r="161">
      <c r="A161" t="str">
        <f>IFERROR(__xludf.DUMMYFUNCTION("IFERROR(REGEXEXTRACT('Manual Data Import'!B161, ""^(.*)\s+[A-Z]{2,4}\s+\(\d+\)$""),'Manual Data Import'!B161) &amp; CHAR(10) &amp; 
IFERROR(REGEXREPLACE('Manual Data Import'!C161, ""\d+$"", """")) &amp;"" - ""&amp; 
IFERROR(REGEXEXTRACT('Manual Data Import'!B161, ""([A-Z"&amp;"]{2,4})\s+\(\d+\)$"")) &amp; "" (""&amp; 
IFERROR(REGEXEXTRACT('Manual Data Import'!B161, ""\((\d+)\)"")) &amp; "")"""),"Kenyon Sadiq 
TE - NYJ (13)")</f>
        <v>Kenyon Sadiq 
TE - NYJ (13)</v>
      </c>
      <c r="B161" s="30" t="str">
        <f>IFERROR(IF(COUNTIF('Draft Board'!$C$3:$V$24,A161)+COUNTIF(Keepers!$B$2:$U$21,A161)+COUNTIF('Auction Draft Board'!$C$6:$AP$25,A161)&gt;0,"",A161),"")</f>
        <v/>
      </c>
    </row>
    <row r="162">
      <c r="A162" t="str">
        <f>IFERROR(__xludf.DUMMYFUNCTION("IFERROR(REGEXEXTRACT('Manual Data Import'!B162, ""^(.*)\s+[A-Z]{2,4}\s+\(\d+\)$""),'Manual Data Import'!B162) &amp; CHAR(10) &amp; 
IFERROR(REGEXREPLACE('Manual Data Import'!C162, ""\d+$"", """")) &amp;"" - ""&amp; 
IFERROR(REGEXEXTRACT('Manual Data Import'!B162, ""([A-Z"&amp;"]{2,4})\s+\(\d+\)$"")) &amp; "" (""&amp; 
IFERROR(REGEXEXTRACT('Manual Data Import'!B162, ""\((\d+)\)"")) &amp; "")"""),"T.J. Hockenson 
TE - MIN (6)")</f>
        <v>T.J. Hockenson 
TE - MIN (6)</v>
      </c>
      <c r="B162" s="30" t="str">
        <f>IFERROR(IF(COUNTIF('Draft Board'!$C$3:$V$24,A162)+COUNTIF(Keepers!$B$2:$U$21,A162)+COUNTIF('Auction Draft Board'!$C$6:$AP$25,A162)&gt;0,"",A162),"")</f>
        <v/>
      </c>
    </row>
    <row r="163">
      <c r="A163" t="str">
        <f>IFERROR(__xludf.DUMMYFUNCTION("IFERROR(REGEXEXTRACT('Manual Data Import'!B163, ""^(.*)\s+[A-Z]{2,4}\s+\(\d+\)$""),'Manual Data Import'!B163) &amp; CHAR(10) &amp; 
IFERROR(REGEXREPLACE('Manual Data Import'!C163, ""\d+$"", """")) &amp;"" - ""&amp; 
IFERROR(REGEXEXTRACT('Manual Data Import'!B163, ""([A-Z"&amp;"]{2,4})\s+\(\d+\)$"")) &amp; "" (""&amp; 
IFERROR(REGEXEXTRACT('Manual Data Import'!B163, ""\((\d+)\)"")) &amp; "")"""),"Minnesota Vikings
DST - DST (6)")</f>
        <v>Minnesota Vikings
DST - DST (6)</v>
      </c>
      <c r="B163" s="30" t="str">
        <f>IFERROR(IF(COUNTIF('Draft Board'!$C$3:$V$24,A163)+COUNTIF(Keepers!$B$2:$U$21,A163)+COUNTIF('Auction Draft Board'!$C$6:$AP$25,A163)&gt;0,"",A163),"")</f>
        <v/>
      </c>
    </row>
    <row r="164">
      <c r="A164" t="str">
        <f>IFERROR(__xludf.DUMMYFUNCTION("IFERROR(REGEXEXTRACT('Manual Data Import'!B164, ""^(.*)\s+[A-Z]{2,4}\s+\(\d+\)$""),'Manual Data Import'!B164) &amp; CHAR(10) &amp; 
IFERROR(REGEXREPLACE('Manual Data Import'!C164, ""\d+$"", """")) &amp;"" - ""&amp; 
IFERROR(REGEXEXTRACT('Manual Data Import'!B164, ""([A-Z"&amp;"]{2,4})\s+\(\d+\)$"")) &amp; "" (""&amp; 
IFERROR(REGEXEXTRACT('Manual Data Import'!B164, ""\((\d+)\)"")) &amp; "")"""),"Brian Robinson Jr. 
RB - ATL (11)")</f>
        <v>Brian Robinson Jr. 
RB - ATL (11)</v>
      </c>
      <c r="B164" s="30" t="str">
        <f>IFERROR(IF(COUNTIF('Draft Board'!$C$3:$V$24,A164)+COUNTIF(Keepers!$B$2:$U$21,A164)+COUNTIF('Auction Draft Board'!$C$6:$AP$25,A164)&gt;0,"",A164),"")</f>
        <v/>
      </c>
    </row>
    <row r="165">
      <c r="A165" t="str">
        <f>IFERROR(__xludf.DUMMYFUNCTION("IFERROR(REGEXEXTRACT('Manual Data Import'!B165, ""^(.*)\s+[A-Z]{2,4}\s+\(\d+\)$""),'Manual Data Import'!B165) &amp; CHAR(10) &amp; 
IFERROR(REGEXREPLACE('Manual Data Import'!C165, ""\d+$"", """")) &amp;"" - ""&amp; 
IFERROR(REGEXEXTRACT('Manual Data Import'!B165, ""([A-Z"&amp;"]{2,4})\s+\(\d+\)$"")) &amp; "" (""&amp; 
IFERROR(REGEXEXTRACT('Manual Data Import'!B165, ""\((\d+)\)"")) &amp; "")"""),"Jonah Coleman 
RB - DEN (10)")</f>
        <v>Jonah Coleman 
RB - DEN (10)</v>
      </c>
      <c r="B165" s="30" t="str">
        <f>IFERROR(IF(COUNTIF('Draft Board'!$C$3:$V$24,A165)+COUNTIF(Keepers!$B$2:$U$21,A165)+COUNTIF('Auction Draft Board'!$C$6:$AP$25,A165)&gt;0,"",A165),"")</f>
        <v/>
      </c>
    </row>
    <row r="166">
      <c r="A166" t="str">
        <f>IFERROR(__xludf.DUMMYFUNCTION("IFERROR(REGEXEXTRACT('Manual Data Import'!B166, ""^(.*)\s+[A-Z]{2,4}\s+\(\d+\)$""),'Manual Data Import'!B166) &amp; CHAR(10) &amp; 
IFERROR(REGEXREPLACE('Manual Data Import'!C166, ""\d+$"", """")) &amp;"" - ""&amp; 
IFERROR(REGEXEXTRACT('Manual Data Import'!B166, ""([A-Z"&amp;"]{2,4})\s+\(\d+\)$"")) &amp; "" (""&amp; 
IFERROR(REGEXEXTRACT('Manual Data Import'!B166, ""\((\d+)\)"")) &amp; "")"""),"Malik Willis 
QB - MIA (6)")</f>
        <v>Malik Willis 
QB - MIA (6)</v>
      </c>
      <c r="B166" s="30" t="str">
        <f>IFERROR(IF(COUNTIF('Draft Board'!$C$3:$V$24,A166)+COUNTIF(Keepers!$B$2:$U$21,A166)+COUNTIF('Auction Draft Board'!$C$6:$AP$25,A166)&gt;0,"",A166),"")</f>
        <v/>
      </c>
    </row>
    <row r="167">
      <c r="A167" t="str">
        <f>IFERROR(__xludf.DUMMYFUNCTION("IFERROR(REGEXEXTRACT('Manual Data Import'!B167, ""^(.*)\s+[A-Z]{2,4}\s+\(\d+\)$""),'Manual Data Import'!B167) &amp; CHAR(10) &amp; 
IFERROR(REGEXREPLACE('Manual Data Import'!C167, ""\d+$"", """")) &amp;"" - ""&amp; 
IFERROR(REGEXEXTRACT('Manual Data Import'!B167, ""([A-Z"&amp;"]{2,4})\s+\(\d+\)$"")) &amp; "" (""&amp; 
IFERROR(REGEXEXTRACT('Manual Data Import'!B167, ""\((\d+)\)"")) &amp; "")"""),"Denzel Boston 
WR - CLE (11)")</f>
        <v>Denzel Boston 
WR - CLE (11)</v>
      </c>
      <c r="B167" s="30" t="str">
        <f>IFERROR(IF(COUNTIF('Draft Board'!$C$3:$V$24,A167)+COUNTIF(Keepers!$B$2:$U$21,A167)+COUNTIF('Auction Draft Board'!$C$6:$AP$25,A167)&gt;0,"",A167),"")</f>
        <v/>
      </c>
    </row>
    <row r="168">
      <c r="A168" t="str">
        <f>IFERROR(__xludf.DUMMYFUNCTION("IFERROR(REGEXEXTRACT('Manual Data Import'!B168, ""^(.*)\s+[A-Z]{2,4}\s+\(\d+\)$""),'Manual Data Import'!B168) &amp; CHAR(10) &amp; 
IFERROR(REGEXREPLACE('Manual Data Import'!C168, ""\d+$"", """")) &amp;"" - ""&amp; 
IFERROR(REGEXEXTRACT('Manual Data Import'!B168, ""([A-Z"&amp;"]{2,4})\s+\(\d+\)$"")) &amp; "" (""&amp; 
IFERROR(REGEXEXTRACT('Manual Data Import'!B168, ""\((\d+)\)"")) &amp; "")"""),"Jake Bates 
K - DET (6)")</f>
        <v>Jake Bates 
K - DET (6)</v>
      </c>
      <c r="B168" s="30" t="str">
        <f>IFERROR(IF(COUNTIF('Draft Board'!$C$3:$V$24,A168)+COUNTIF(Keepers!$B$2:$U$21,A168)+COUNTIF('Auction Draft Board'!$C$6:$AP$25,A168)&gt;0,"",A168),"")</f>
        <v/>
      </c>
    </row>
    <row r="169">
      <c r="A169" t="str">
        <f>IFERROR(__xludf.DUMMYFUNCTION("IFERROR(REGEXEXTRACT('Manual Data Import'!B169, ""^(.*)\s+[A-Z]{2,4}\s+\(\d+\)$""),'Manual Data Import'!B169) &amp; CHAR(10) &amp; 
IFERROR(REGEXREPLACE('Manual Data Import'!C169, ""\d+$"", """")) &amp;"" - ""&amp; 
IFERROR(REGEXEXTRACT('Manual Data Import'!B169, ""([A-Z"&amp;"]{2,4})\s+\(\d+\)$"")) &amp; "" (""&amp; 
IFERROR(REGEXEXTRACT('Manual Data Import'!B169, ""\((\d+)\)"")) &amp; "")"""),"Tank Dell 
WR - HOU (8)")</f>
        <v>Tank Dell 
WR - HOU (8)</v>
      </c>
      <c r="B169" s="30" t="str">
        <f>IFERROR(IF(COUNTIF('Draft Board'!$C$3:$V$24,A169)+COUNTIF(Keepers!$B$2:$U$21,A169)+COUNTIF('Auction Draft Board'!$C$6:$AP$25,A169)&gt;0,"",A169),"")</f>
        <v/>
      </c>
    </row>
    <row r="170">
      <c r="A170" t="str">
        <f>IFERROR(__xludf.DUMMYFUNCTION("IFERROR(REGEXEXTRACT('Manual Data Import'!B170, ""^(.*)\s+[A-Z]{2,4}\s+\(\d+\)$""),'Manual Data Import'!B170) &amp; CHAR(10) &amp; 
IFERROR(REGEXREPLACE('Manual Data Import'!C170, ""\d+$"", """")) &amp;"" - ""&amp; 
IFERROR(REGEXEXTRACT('Manual Data Import'!B170, ""([A-Z"&amp;"]{2,4})\s+\(\d+\)$"")) &amp; "" (""&amp; 
IFERROR(REGEXEXTRACT('Manual Data Import'!B170, ""\((\d+)\)"")) &amp; "")"""),"Tank Bigsby 
RB - PHI (10)")</f>
        <v>Tank Bigsby 
RB - PHI (10)</v>
      </c>
      <c r="B170" s="30" t="str">
        <f>IFERROR(IF(COUNTIF('Draft Board'!$C$3:$V$24,A170)+COUNTIF(Keepers!$B$2:$U$21,A170)+COUNTIF('Auction Draft Board'!$C$6:$AP$25,A170)&gt;0,"",A170),"")</f>
        <v/>
      </c>
    </row>
    <row r="171">
      <c r="A171" t="str">
        <f>IFERROR(__xludf.DUMMYFUNCTION("IFERROR(REGEXEXTRACT('Manual Data Import'!B171, ""^(.*)\s+[A-Z]{2,4}\s+\(\d+\)$""),'Manual Data Import'!B171) &amp; CHAR(10) &amp; 
IFERROR(REGEXREPLACE('Manual Data Import'!C171, ""\d+$"", """")) &amp;"" - ""&amp; 
IFERROR(REGEXEXTRACT('Manual Data Import'!B171, ""([A-Z"&amp;"]{2,4})\s+\(\d+\)$"")) &amp; "" (""&amp; 
IFERROR(REGEXEXTRACT('Manual Data Import'!B171, ""\((\d+)\)"")) &amp; "")"""),"Keenan Allen 
WR - IND (13)")</f>
        <v>Keenan Allen 
WR - IND (13)</v>
      </c>
      <c r="B171" s="30" t="str">
        <f>IFERROR(IF(COUNTIF('Draft Board'!$C$3:$V$24,A171)+COUNTIF(Keepers!$B$2:$U$21,A171)+COUNTIF('Auction Draft Board'!$C$6:$AP$25,A171)&gt;0,"",A171),"")</f>
        <v/>
      </c>
    </row>
    <row r="172">
      <c r="A172" t="str">
        <f>IFERROR(__xludf.DUMMYFUNCTION("IFERROR(REGEXEXTRACT('Manual Data Import'!B172, ""^(.*)\s+[A-Z]{2,4}\s+\(\d+\)$""),'Manual Data Import'!B172) &amp; CHAR(10) &amp; 
IFERROR(REGEXREPLACE('Manual Data Import'!C172, ""\d+$"", """")) &amp;"" - ""&amp; 
IFERROR(REGEXEXTRACT('Manual Data Import'!B172, ""([A-Z"&amp;"]{2,4})\s+\(\d+\)$"")) &amp; "" (""&amp; 
IFERROR(REGEXEXTRACT('Manual Data Import'!B172, ""\((\d+)\)"")) &amp; "")"""),"Harrison Mevis 
K - LAR (11)")</f>
        <v>Harrison Mevis 
K - LAR (11)</v>
      </c>
      <c r="B172" s="30" t="str">
        <f>IFERROR(IF(COUNTIF('Draft Board'!$C$3:$V$24,A172)+COUNTIF(Keepers!$B$2:$U$21,A172)+COUNTIF('Auction Draft Board'!$C$6:$AP$25,A172)&gt;0,"",A172),"")</f>
        <v/>
      </c>
    </row>
    <row r="173">
      <c r="A173" t="str">
        <f>IFERROR(__xludf.DUMMYFUNCTION("IFERROR(REGEXEXTRACT('Manual Data Import'!B173, ""^(.*)\s+[A-Z]{2,4}\s+\(\d+\)$""),'Manual Data Import'!B173) &amp; CHAR(10) &amp; 
IFERROR(REGEXREPLACE('Manual Data Import'!C173, ""\d+$"", """")) &amp;"" - ""&amp; 
IFERROR(REGEXEXTRACT('Manual Data Import'!B173, ""([A-Z"&amp;"]{2,4})\s+\(\d+\)$"")) &amp; "" (""&amp; 
IFERROR(REGEXEXTRACT('Manual Data Import'!B173, ""\((\d+)\)"")) &amp; "")"""),"Ja'Kobi Lane 
WR - BAL (13)")</f>
        <v>Ja'Kobi Lane 
WR - BAL (13)</v>
      </c>
      <c r="B173" s="30" t="str">
        <f>IFERROR(IF(COUNTIF('Draft Board'!$C$3:$V$24,A173)+COUNTIF(Keepers!$B$2:$U$21,A173)+COUNTIF('Auction Draft Board'!$C$6:$AP$25,A173)&gt;0,"",A173),"")</f>
        <v/>
      </c>
    </row>
    <row r="174">
      <c r="A174" t="str">
        <f>IFERROR(__xludf.DUMMYFUNCTION("IFERROR(REGEXEXTRACT('Manual Data Import'!B174, ""^(.*)\s+[A-Z]{2,4}\s+\(\d+\)$""),'Manual Data Import'!B174) &amp; CHAR(10) &amp; 
IFERROR(REGEXREPLACE('Manual Data Import'!C174, ""\d+$"", """")) &amp;"" - ""&amp; 
IFERROR(REGEXEXTRACT('Manual Data Import'!B174, ""([A-Z"&amp;"]{2,4})\s+\(\d+\)$"")) &amp; "" (""&amp; 
IFERROR(REGEXEXTRACT('Manual Data Import'!B174, ""\((\d+)\)"")) &amp; "")"""),"Jacksonville Jaguars
DST - DST (7)")</f>
        <v>Jacksonville Jaguars
DST - DST (7)</v>
      </c>
      <c r="B174" s="30" t="str">
        <f>IFERROR(IF(COUNTIF('Draft Board'!$C$3:$V$24,A174)+COUNTIF(Keepers!$B$2:$U$21,A174)+COUNTIF('Auction Draft Board'!$C$6:$AP$25,A174)&gt;0,"",A174),"")</f>
        <v/>
      </c>
    </row>
    <row r="175">
      <c r="A175" t="str">
        <f>IFERROR(__xludf.DUMMYFUNCTION("IFERROR(REGEXEXTRACT('Manual Data Import'!B175, ""^(.*)\s+[A-Z]{2,4}\s+\(\d+\)$""),'Manual Data Import'!B175) &amp; CHAR(10) &amp; 
IFERROR(REGEXREPLACE('Manual Data Import'!C175, ""\d+$"", """")) &amp;"" - ""&amp; 
IFERROR(REGEXEXTRACT('Manual Data Import'!B175, ""([A-Z"&amp;"]{2,4})\s+\(\d+\)$"")) &amp; "" (""&amp; 
IFERROR(REGEXEXTRACT('Manual Data Import'!B175, ""\((\d+)\)"")) &amp; "")"""),"Los Angeles Chargers
DST - DST (7)")</f>
        <v>Los Angeles Chargers
DST - DST (7)</v>
      </c>
      <c r="B175" s="30" t="str">
        <f>IFERROR(IF(COUNTIF('Draft Board'!$C$3:$V$24,A175)+COUNTIF(Keepers!$B$2:$U$21,A175)+COUNTIF('Auction Draft Board'!$C$6:$AP$25,A175)&gt;0,"",A175),"")</f>
        <v/>
      </c>
    </row>
    <row r="176">
      <c r="A176" t="str">
        <f>IFERROR(__xludf.DUMMYFUNCTION("IFERROR(REGEXEXTRACT('Manual Data Import'!B176, ""^(.*)\s+[A-Z]{2,4}\s+\(\d+\)$""),'Manual Data Import'!B176) &amp; CHAR(10) &amp; 
IFERROR(REGEXREPLACE('Manual Data Import'!C176, ""\d+$"", """")) &amp;"" - ""&amp; 
IFERROR(REGEXEXTRACT('Manual Data Import'!B176, ""([A-Z"&amp;"]{2,4})\s+\(\d+\)$"")) &amp; "" (""&amp; 
IFERROR(REGEXEXTRACT('Manual Data Import'!B176, ""\((\d+)\)"")) &amp; "")"""),"Daniel Jones 
QB - IND (13)")</f>
        <v>Daniel Jones 
QB - IND (13)</v>
      </c>
      <c r="B176" s="30" t="str">
        <f>IFERROR(IF(COUNTIF('Draft Board'!$C$3:$V$24,A176)+COUNTIF(Keepers!$B$2:$U$21,A176)+COUNTIF('Auction Draft Board'!$C$6:$AP$25,A176)&gt;0,"",A176),"")</f>
        <v/>
      </c>
    </row>
    <row r="177">
      <c r="A177" t="str">
        <f>IFERROR(__xludf.DUMMYFUNCTION("IFERROR(REGEXEXTRACT('Manual Data Import'!B177, ""^(.*)\s+[A-Z]{2,4}\s+\(\d+\)$""),'Manual Data Import'!B177) &amp; CHAR(10) &amp; 
IFERROR(REGEXREPLACE('Manual Data Import'!C177, ""\d+$"", """")) &amp;"" - ""&amp; 
IFERROR(REGEXEXTRACT('Manual Data Import'!B177, ""([A-Z"&amp;"]{2,4})\s+\(\d+\)$"")) &amp; "" (""&amp; 
IFERROR(REGEXEXTRACT('Manual Data Import'!B177, ""\((\d+)\)"")) &amp; "")"""),"Detroit Lions
DST - DST (6)")</f>
        <v>Detroit Lions
DST - DST (6)</v>
      </c>
      <c r="B177" s="30" t="str">
        <f>IFERROR(IF(COUNTIF('Draft Board'!$C$3:$V$24,A177)+COUNTIF(Keepers!$B$2:$U$21,A177)+COUNTIF('Auction Draft Board'!$C$6:$AP$25,A177)&gt;0,"",A177),"")</f>
        <v/>
      </c>
    </row>
    <row r="178">
      <c r="A178" t="str">
        <f>IFERROR(__xludf.DUMMYFUNCTION("IFERROR(REGEXEXTRACT('Manual Data Import'!B178, ""^(.*)\s+[A-Z]{2,4}\s+\(\d+\)$""),'Manual Data Import'!B178) &amp; CHAR(10) &amp; 
IFERROR(REGEXREPLACE('Manual Data Import'!C178, ""\d+$"", """")) &amp;"" - ""&amp; 
IFERROR(REGEXEXTRACT('Manual Data Import'!B178, ""([A-Z"&amp;"]{2,4})\s+\(\d+\)$"")) &amp; "" (""&amp; 
IFERROR(REGEXEXTRACT('Manual Data Import'!B178, ""\((\d+)\)"")) &amp; "")"""),"Jerry Jeudy 
WR - CLE (11)")</f>
        <v>Jerry Jeudy 
WR - CLE (11)</v>
      </c>
      <c r="B178" s="30" t="str">
        <f>IFERROR(IF(COUNTIF('Draft Board'!$C$3:$V$24,A178)+COUNTIF(Keepers!$B$2:$U$21,A178)+COUNTIF('Auction Draft Board'!$C$6:$AP$25,A178)&gt;0,"",A178),"")</f>
        <v/>
      </c>
    </row>
    <row r="179">
      <c r="A179" t="str">
        <f>IFERROR(__xludf.DUMMYFUNCTION("IFERROR(REGEXEXTRACT('Manual Data Import'!B179, ""^(.*)\s+[A-Z]{2,4}\s+\(\d+\)$""),'Manual Data Import'!B179) &amp; CHAR(10) &amp; 
IFERROR(REGEXREPLACE('Manual Data Import'!C179, ""\d+$"", """")) &amp;"" - ""&amp; 
IFERROR(REGEXEXTRACT('Manual Data Import'!B179, ""([A-Z"&amp;"]{2,4})\s+\(\d+\)$"")) &amp; "" (""&amp; 
IFERROR(REGEXEXTRACT('Manual Data Import'!B179, ""\((\d+)\)"")) &amp; "")"""),"C.J. Stroud 
QB - HOU (8)")</f>
        <v>C.J. Stroud 
QB - HOU (8)</v>
      </c>
      <c r="B179" s="30" t="str">
        <f>IFERROR(IF(COUNTIF('Draft Board'!$C$3:$V$24,A179)+COUNTIF(Keepers!$B$2:$U$21,A179)+COUNTIF('Auction Draft Board'!$C$6:$AP$25,A179)&gt;0,"",A179),"")</f>
        <v/>
      </c>
    </row>
    <row r="180">
      <c r="A180" t="str">
        <f>IFERROR(__xludf.DUMMYFUNCTION("IFERROR(REGEXEXTRACT('Manual Data Import'!B180, ""^(.*)\s+[A-Z]{2,4}\s+\(\d+\)$""),'Manual Data Import'!B180) &amp; CHAR(10) &amp; 
IFERROR(REGEXREPLACE('Manual Data Import'!C180, ""\d+$"", """")) &amp;"" - ""&amp; 
IFERROR(REGEXEXTRACT('Manual Data Import'!B180, ""([A-Z"&amp;"]{2,4})\s+\(\d+\)$"")) &amp; "" (""&amp; 
IFERROR(REGEXEXTRACT('Manual Data Import'!B180, ""\((\d+)\)"")) &amp; "")"""),"Dalton Schultz 
TE - HOU (8)")</f>
        <v>Dalton Schultz 
TE - HOU (8)</v>
      </c>
      <c r="B180" s="30" t="str">
        <f>IFERROR(IF(COUNTIF('Draft Board'!$C$3:$V$24,A180)+COUNTIF(Keepers!$B$2:$U$21,A180)+COUNTIF('Auction Draft Board'!$C$6:$AP$25,A180)&gt;0,"",A180),"")</f>
        <v/>
      </c>
    </row>
    <row r="181">
      <c r="A181" t="str">
        <f>IFERROR(__xludf.DUMMYFUNCTION("IFERROR(REGEXEXTRACT('Manual Data Import'!B181, ""^(.*)\s+[A-Z]{2,4}\s+\(\d+\)$""),'Manual Data Import'!B181) &amp; CHAR(10) &amp; 
IFERROR(REGEXREPLACE('Manual Data Import'!C181, ""\d+$"", """")) &amp;"" - ""&amp; 
IFERROR(REGEXEXTRACT('Manual Data Import'!B181, ""([A-Z"&amp;"]{2,4})\s+\(\d+\)$"")) &amp; "" (""&amp; 
IFERROR(REGEXEXTRACT('Manual Data Import'!B181, ""\((\d+)\)"")) &amp; "")"""),"Chig Okonkwo 
TE - WAS (7)")</f>
        <v>Chig Okonkwo 
TE - WAS (7)</v>
      </c>
      <c r="B181" s="30" t="str">
        <f>IFERROR(IF(COUNTIF('Draft Board'!$C$3:$V$24,A181)+COUNTIF(Keepers!$B$2:$U$21,A181)+COUNTIF('Auction Draft Board'!$C$6:$AP$25,A181)&gt;0,"",A181),"")</f>
        <v/>
      </c>
    </row>
    <row r="182">
      <c r="A182" t="str">
        <f>IFERROR(__xludf.DUMMYFUNCTION("IFERROR(REGEXEXTRACT('Manual Data Import'!B182, ""^(.*)\s+[A-Z]{2,4}\s+\(\d+\)$""),'Manual Data Import'!B182) &amp; CHAR(10) &amp; 
IFERROR(REGEXREPLACE('Manual Data Import'!C182, ""\d+$"", """")) &amp;"" - ""&amp; 
IFERROR(REGEXEXTRACT('Manual Data Import'!B182, ""([A-Z"&amp;"]{2,4})\s+\(\d+\)$"")) &amp; "" (""&amp; 
IFERROR(REGEXEXTRACT('Manual Data Import'!B182, ""\((\d+)\)"")) &amp; "")"""),"Tre Tucker 
WR - LV (13)")</f>
        <v>Tre Tucker 
WR - LV (13)</v>
      </c>
      <c r="B182" s="30" t="str">
        <f>IFERROR(IF(COUNTIF('Draft Board'!$C$3:$V$24,A182)+COUNTIF(Keepers!$B$2:$U$21,A182)+COUNTIF('Auction Draft Board'!$C$6:$AP$25,A182)&gt;0,"",A182),"")</f>
        <v/>
      </c>
    </row>
    <row r="183">
      <c r="A183" t="str">
        <f>IFERROR(__xludf.DUMMYFUNCTION("IFERROR(REGEXEXTRACT('Manual Data Import'!B183, ""^(.*)\s+[A-Z]{2,4}\s+\(\d+\)$""),'Manual Data Import'!B183) &amp; CHAR(10) &amp; 
IFERROR(REGEXREPLACE('Manual Data Import'!C183, ""\d+$"", """")) &amp;"" - ""&amp; 
IFERROR(REGEXEXTRACT('Manual Data Import'!B183, ""([A-Z"&amp;"]{2,4})\s+\(\d+\)$"")) &amp; "" (""&amp; 
IFERROR(REGEXEXTRACT('Manual Data Import'!B183, ""\((\d+)\)"")) &amp; "")"""),"Harrison Butker 
K - KC (5)")</f>
        <v>Harrison Butker 
K - KC (5)</v>
      </c>
      <c r="B183" s="30" t="str">
        <f>IFERROR(IF(COUNTIF('Draft Board'!$C$3:$V$24,A183)+COUNTIF(Keepers!$B$2:$U$21,A183)+COUNTIF('Auction Draft Board'!$C$6:$AP$25,A183)&gt;0,"",A183),"")</f>
        <v/>
      </c>
    </row>
    <row r="184">
      <c r="A184" t="str">
        <f>IFERROR(__xludf.DUMMYFUNCTION("IFERROR(REGEXEXTRACT('Manual Data Import'!B184, ""^(.*)\s+[A-Z]{2,4}\s+\(\d+\)$""),'Manual Data Import'!B184) &amp; CHAR(10) &amp; 
IFERROR(REGEXREPLACE('Manual Data Import'!C184, ""\d+$"", """")) &amp;"" - ""&amp; 
IFERROR(REGEXEXTRACT('Manual Data Import'!B184, ""([A-Z"&amp;"]{2,4})\s+\(\d+\)$"")) &amp; "" (""&amp; 
IFERROR(REGEXEXTRACT('Manual Data Import'!B184, ""\((\d+)\)"")) &amp; "")"""),"Eddy Pineiro 
K - SF (8)")</f>
        <v>Eddy Pineiro 
K - SF (8)</v>
      </c>
      <c r="B184" s="30" t="str">
        <f>IFERROR(IF(COUNTIF('Draft Board'!$C$3:$V$24,A184)+COUNTIF(Keepers!$B$2:$U$21,A184)+COUNTIF('Auction Draft Board'!$C$6:$AP$25,A184)&gt;0,"",A184),"")</f>
        <v/>
      </c>
    </row>
    <row r="185">
      <c r="A185" t="str">
        <f>IFERROR(__xludf.DUMMYFUNCTION("IFERROR(REGEXEXTRACT('Manual Data Import'!B185, ""^(.*)\s+[A-Z]{2,4}\s+\(\d+\)$""),'Manual Data Import'!B185) &amp; CHAR(10) &amp; 
IFERROR(REGEXREPLACE('Manual Data Import'!C185, ""\d+$"", """")) &amp;"" - ""&amp; 
IFERROR(REGEXEXTRACT('Manual Data Import'!B185, ""([A-Z"&amp;"]{2,4})\s+\(\d+\)$"")) &amp; "" (""&amp; 
IFERROR(REGEXEXTRACT('Manual Data Import'!B185, ""\((\d+)\)"")) &amp; "")"""),"Tyler Loop 
K - BAL (13)")</f>
        <v>Tyler Loop 
K - BAL (13)</v>
      </c>
      <c r="B185" s="30" t="str">
        <f>IFERROR(IF(COUNTIF('Draft Board'!$C$3:$V$24,A185)+COUNTIF(Keepers!$B$2:$U$21,A185)+COUNTIF('Auction Draft Board'!$C$6:$AP$25,A185)&gt;0,"",A185),"")</f>
        <v/>
      </c>
    </row>
    <row r="186">
      <c r="A186" t="str">
        <f>IFERROR(__xludf.DUMMYFUNCTION("IFERROR(REGEXEXTRACT('Manual Data Import'!B186, ""^(.*)\s+[A-Z]{2,4}\s+\(\d+\)$""),'Manual Data Import'!B186) &amp; CHAR(10) &amp; 
IFERROR(REGEXREPLACE('Manual Data Import'!C186, ""\d+$"", """")) &amp;"" - ""&amp; 
IFERROR(REGEXEXTRACT('Manual Data Import'!B186, ""([A-Z"&amp;"]{2,4})\s+\(\d+\)$"")) &amp; "" (""&amp; 
IFERROR(REGEXEXTRACT('Manual Data Import'!B186, ""\((\d+)\)"")) &amp; "")"""),"Sam Darnold 
QB - SEA (11)")</f>
        <v>Sam Darnold 
QB - SEA (11)</v>
      </c>
      <c r="B186" s="30" t="str">
        <f>IFERROR(IF(COUNTIF('Draft Board'!$C$3:$V$24,A186)+COUNTIF(Keepers!$B$2:$U$21,A186)+COUNTIF('Auction Draft Board'!$C$6:$AP$25,A186)&gt;0,"",A186),"")</f>
        <v/>
      </c>
    </row>
    <row r="187">
      <c r="A187" t="str">
        <f>IFERROR(__xludf.DUMMYFUNCTION("IFERROR(REGEXEXTRACT('Manual Data Import'!B187, ""^(.*)\s+[A-Z]{2,4}\s+\(\d+\)$""),'Manual Data Import'!B187) &amp; CHAR(10) &amp; 
IFERROR(REGEXREPLACE('Manual Data Import'!C187, ""\d+$"", """")) &amp;"" - ""&amp; 
IFERROR(REGEXEXTRACT('Manual Data Import'!B187, ""([A-Z"&amp;"]{2,4})\s+\(\d+\)$"")) &amp; "" (""&amp; 
IFERROR(REGEXEXTRACT('Manual Data Import'!B187, ""\((\d+)\)"")) &amp; "")"""),"Green Bay Packers
DST - DST (11)")</f>
        <v>Green Bay Packers
DST - DST (11)</v>
      </c>
      <c r="B187" s="30" t="str">
        <f>IFERROR(IF(COUNTIF('Draft Board'!$C$3:$V$24,A187)+COUNTIF(Keepers!$B$2:$U$21,A187)+COUNTIF('Auction Draft Board'!$C$6:$AP$25,A187)&gt;0,"",A187),"")</f>
        <v/>
      </c>
    </row>
    <row r="188">
      <c r="A188" t="str">
        <f>IFERROR(__xludf.DUMMYFUNCTION("IFERROR(REGEXEXTRACT('Manual Data Import'!B188, ""^(.*)\s+[A-Z]{2,4}\s+\(\d+\)$""),'Manual Data Import'!B188) &amp; CHAR(10) &amp; 
IFERROR(REGEXREPLACE('Manual Data Import'!C188, ""\d+$"", """")) &amp;"" - ""&amp; 
IFERROR(REGEXEXTRACT('Manual Data Import'!B188, ""([A-Z"&amp;"]{2,4})\s+\(\d+\)$"")) &amp; "" (""&amp; 
IFERROR(REGEXEXTRACT('Manual Data Import'!B188, ""\((\d+)\)"")) &amp; "")"""),"Dallas Cowboys
DST - DST (14)")</f>
        <v>Dallas Cowboys
DST - DST (14)</v>
      </c>
      <c r="B188" s="30" t="str">
        <f>IFERROR(IF(COUNTIF('Draft Board'!$C$3:$V$24,A188)+COUNTIF(Keepers!$B$2:$U$21,A188)+COUNTIF('Auction Draft Board'!$C$6:$AP$25,A188)&gt;0,"",A188),"")</f>
        <v/>
      </c>
    </row>
    <row r="189">
      <c r="A189" t="str">
        <f>IFERROR(__xludf.DUMMYFUNCTION("IFERROR(REGEXEXTRACT('Manual Data Import'!B189, ""^(.*)\s+[A-Z]{2,4}\s+\(\d+\)$""),'Manual Data Import'!B189) &amp; CHAR(10) &amp; 
IFERROR(REGEXREPLACE('Manual Data Import'!C189, ""\d+$"", """")) &amp;"" - ""&amp; 
IFERROR(REGEXEXTRACT('Manual Data Import'!B189, ""([A-Z"&amp;"]{2,4})\s+\(\d+\)$"")) &amp; "" (""&amp; 
IFERROR(REGEXEXTRACT('Manual Data Import'!B189, ""\((\d+)\)"")) &amp; "")"""),"Evan McPherson 
K - CIN (6)")</f>
        <v>Evan McPherson 
K - CIN (6)</v>
      </c>
      <c r="B189" s="30" t="str">
        <f>IFERROR(IF(COUNTIF('Draft Board'!$C$3:$V$24,A189)+COUNTIF(Keepers!$B$2:$U$21,A189)+COUNTIF('Auction Draft Board'!$C$6:$AP$25,A189)&gt;0,"",A189),"")</f>
        <v/>
      </c>
    </row>
    <row r="190">
      <c r="A190" t="str">
        <f>IFERROR(__xludf.DUMMYFUNCTION("IFERROR(REGEXEXTRACT('Manual Data Import'!B190, ""^(.*)\s+[A-Z]{2,4}\s+\(\d+\)$""),'Manual Data Import'!B190) &amp; CHAR(10) &amp; 
IFERROR(REGEXREPLACE('Manual Data Import'!C190, ""\d+$"", """")) &amp;"" - ""&amp; 
IFERROR(REGEXEXTRACT('Manual Data Import'!B190, ""([A-Z"&amp;"]{2,4})\s+\(\d+\)$"")) &amp; "" (""&amp; 
IFERROR(REGEXEXTRACT('Manual Data Import'!B190, ""\((\d+)\)"")) &amp; "")"""),"MarShawn Lloyd 
RB - GB (11)")</f>
        <v>MarShawn Lloyd 
RB - GB (11)</v>
      </c>
      <c r="B190" s="30" t="str">
        <f>IFERROR(IF(COUNTIF('Draft Board'!$C$3:$V$24,A190)+COUNTIF(Keepers!$B$2:$U$21,A190)+COUNTIF('Auction Draft Board'!$C$6:$AP$25,A190)&gt;0,"",A190),"")</f>
        <v/>
      </c>
    </row>
    <row r="191">
      <c r="A191" t="str">
        <f>IFERROR(__xludf.DUMMYFUNCTION("IFERROR(REGEXEXTRACT('Manual Data Import'!B191, ""^(.*)\s+[A-Z]{2,4}\s+\(\d+\)$""),'Manual Data Import'!B191) &amp; CHAR(10) &amp; 
IFERROR(REGEXREPLACE('Manual Data Import'!C191, ""\d+$"", """")) &amp;"" - ""&amp; 
IFERROR(REGEXEXTRACT('Manual Data Import'!B191, ""([A-Z"&amp;"]{2,4})\s+\(\d+\)$"")) &amp; "" (""&amp; 
IFERROR(REGEXEXTRACT('Manual Data Import'!B191, ""\((\d+)\)"")) &amp; "")"""),"Will Reichard 
K - MIN (6)")</f>
        <v>Will Reichard 
K - MIN (6)</v>
      </c>
      <c r="B191" s="30" t="str">
        <f>IFERROR(IF(COUNTIF('Draft Board'!$C$3:$V$24,A191)+COUNTIF(Keepers!$B$2:$U$21,A191)+COUNTIF('Auction Draft Board'!$C$6:$AP$25,A191)&gt;0,"",A191),"")</f>
        <v/>
      </c>
    </row>
    <row r="192">
      <c r="A192" t="str">
        <f>IFERROR(__xludf.DUMMYFUNCTION("IFERROR(REGEXEXTRACT('Manual Data Import'!B192, ""^(.*)\s+[A-Z]{2,4}\s+\(\d+\)$""),'Manual Data Import'!B192) &amp; CHAR(10) &amp; 
IFERROR(REGEXREPLACE('Manual Data Import'!C192, ""\d+$"", """")) &amp;"" - ""&amp; 
IFERROR(REGEXEXTRACT('Manual Data Import'!B192, ""([A-Z"&amp;"]{2,4})\s+\(\d+\)$"")) &amp; "" (""&amp; 
IFERROR(REGEXEXTRACT('Manual Data Import'!B192, ""\((\d+)\)"")) &amp; "")"""),"Calvin Ridley 
WR - TEN (9)")</f>
        <v>Calvin Ridley 
WR - TEN (9)</v>
      </c>
      <c r="B192" s="30" t="str">
        <f>IFERROR(IF(COUNTIF('Draft Board'!$C$3:$V$24,A192)+COUNTIF(Keepers!$B$2:$U$21,A192)+COUNTIF('Auction Draft Board'!$C$6:$AP$25,A192)&gt;0,"",A192),"")</f>
        <v/>
      </c>
    </row>
    <row r="193">
      <c r="A193" t="str">
        <f>IFERROR(__xludf.DUMMYFUNCTION("IFERROR(REGEXEXTRACT('Manual Data Import'!B193, ""^(.*)\s+[A-Z]{2,4}\s+\(\d+\)$""),'Manual Data Import'!B193) &amp; CHAR(10) &amp; 
IFERROR(REGEXREPLACE('Manual Data Import'!C193, ""\d+$"", """")) &amp;"" - ""&amp; 
IFERROR(REGEXEXTRACT('Manual Data Import'!B193, ""([A-Z"&amp;"]{2,4})\s+\(\d+\)$"")) &amp; "" (""&amp; 
IFERROR(REGEXEXTRACT('Manual Data Import'!B193, ""\((\d+)\)"")) &amp; "")"""),"Buffalo Bills
DST - DST (7)")</f>
        <v>Buffalo Bills
DST - DST (7)</v>
      </c>
      <c r="B193" s="30" t="str">
        <f>IFERROR(IF(COUNTIF('Draft Board'!$C$3:$V$24,A193)+COUNTIF(Keepers!$B$2:$U$21,A193)+COUNTIF('Auction Draft Board'!$C$6:$AP$25,A193)&gt;0,"",A193),"")</f>
        <v/>
      </c>
    </row>
    <row r="194">
      <c r="A194" t="str">
        <f>IFERROR(__xludf.DUMMYFUNCTION("IFERROR(REGEXEXTRACT('Manual Data Import'!B194, ""^(.*)\s+[A-Z]{2,4}\s+\(\d+\)$""),'Manual Data Import'!B194) &amp; CHAR(10) &amp; 
IFERROR(REGEXREPLACE('Manual Data Import'!C194, ""\d+$"", """")) &amp;"" - ""&amp; 
IFERROR(REGEXEXTRACT('Manual Data Import'!B194, ""([A-Z"&amp;"]{2,4})\s+\(\d+\)$"")) &amp; "" (""&amp; 
IFERROR(REGEXEXTRACT('Manual Data Import'!B194, ""\((\d+)\)"")) &amp; "")"""),"Kansas City Chiefs
DST - DST (5)")</f>
        <v>Kansas City Chiefs
DST - DST (5)</v>
      </c>
      <c r="B194" s="30" t="str">
        <f>IFERROR(IF(COUNTIF('Draft Board'!$C$3:$V$24,A194)+COUNTIF(Keepers!$B$2:$U$21,A194)+COUNTIF('Auction Draft Board'!$C$6:$AP$25,A194)&gt;0,"",A194),"")</f>
        <v/>
      </c>
    </row>
    <row r="195">
      <c r="A195" t="str">
        <f>IFERROR(__xludf.DUMMYFUNCTION("IFERROR(REGEXEXTRACT('Manual Data Import'!B195, ""^(.*)\s+[A-Z]{2,4}\s+\(\d+\)$""),'Manual Data Import'!B195) &amp; CHAR(10) &amp; 
IFERROR(REGEXREPLACE('Manual Data Import'!C195, ""\d+$"", """")) &amp;"" - ""&amp; 
IFERROR(REGEXEXTRACT('Manual Data Import'!B195, ""([A-Z"&amp;"]{2,4})\s+\(\d+\)$"")) &amp; "" (""&amp; 
IFERROR(REGEXEXTRACT('Manual Data Import'!B195, ""\((\d+)\)"")) &amp; "")"""),"Oronde Gadsden II 
TE - LAC (7)")</f>
        <v>Oronde Gadsden II 
TE - LAC (7)</v>
      </c>
      <c r="B195" s="30" t="str">
        <f>IFERROR(IF(COUNTIF('Draft Board'!$C$3:$V$24,A195)+COUNTIF(Keepers!$B$2:$U$21,A195)+COUNTIF('Auction Draft Board'!$C$6:$AP$25,A195)&gt;0,"",A195),"")</f>
        <v/>
      </c>
    </row>
    <row r="196">
      <c r="A196" t="str">
        <f>IFERROR(__xludf.DUMMYFUNCTION("IFERROR(REGEXEXTRACT('Manual Data Import'!B196, ""^(.*)\s+[A-Z]{2,4}\s+\(\d+\)$""),'Manual Data Import'!B196) &amp; CHAR(10) &amp; 
IFERROR(REGEXREPLACE('Manual Data Import'!C196, ""\d+$"", """")) &amp;"" - ""&amp; 
IFERROR(REGEXEXTRACT('Manual Data Import'!B196, ""([A-Z"&amp;"]{2,4})\s+\(\d+\)$"")) &amp; "" (""&amp; 
IFERROR(REGEXEXTRACT('Manual Data Import'!B196, ""\((\d+)\)"")) &amp; "")"""),"Chicago Bears
DST - DST (10)")</f>
        <v>Chicago Bears
DST - DST (10)</v>
      </c>
      <c r="B196" s="30" t="str">
        <f>IFERROR(IF(COUNTIF('Draft Board'!$C$3:$V$24,A196)+COUNTIF(Keepers!$B$2:$U$21,A196)+COUNTIF('Auction Draft Board'!$C$6:$AP$25,A196)&gt;0,"",A196),"")</f>
        <v/>
      </c>
    </row>
    <row r="197">
      <c r="A197" t="str">
        <f>IFERROR(__xludf.DUMMYFUNCTION("IFERROR(REGEXEXTRACT('Manual Data Import'!B197, ""^(.*)\s+[A-Z]{2,4}\s+\(\d+\)$""),'Manual Data Import'!B197) &amp; CHAR(10) &amp; 
IFERROR(REGEXREPLACE('Manual Data Import'!C197, ""\d+$"", """")) &amp;"" - ""&amp; 
IFERROR(REGEXEXTRACT('Manual Data Import'!B197, ""([A-Z"&amp;"]{2,4})\s+\(\d+\)$"")) &amp; "" (""&amp; 
IFERROR(REGEXEXTRACT('Manual Data Import'!B197, ""\((\d+)\)"")) &amp; "")"""),"Dylan Sampson 
RB - CLE (11)")</f>
        <v>Dylan Sampson 
RB - CLE (11)</v>
      </c>
      <c r="B197" s="30" t="str">
        <f>IFERROR(IF(COUNTIF('Draft Board'!$C$3:$V$24,A197)+COUNTIF(Keepers!$B$2:$U$21,A197)+COUNTIF('Auction Draft Board'!$C$6:$AP$25,A197)&gt;0,"",A197),"")</f>
        <v/>
      </c>
    </row>
    <row r="198">
      <c r="A198" t="str">
        <f>IFERROR(__xludf.DUMMYFUNCTION("IFERROR(REGEXEXTRACT('Manual Data Import'!B198, ""^(.*)\s+[A-Z]{2,4}\s+\(\d+\)$""),'Manual Data Import'!B198) &amp; CHAR(10) &amp; 
IFERROR(REGEXREPLACE('Manual Data Import'!C198, ""\d+$"", """")) &amp;"" - ""&amp; 
IFERROR(REGEXEXTRACT('Manual Data Import'!B198, ""([A-Z"&amp;"]{2,4})\s+\(\d+\)$"")) &amp; "" (""&amp; 
IFERROR(REGEXEXTRACT('Manual Data Import'!B198, ""\((\d+)\)"")) &amp; "")"""),"Cairo Santos 
K - CHI (10)")</f>
        <v>Cairo Santos 
K - CHI (10)</v>
      </c>
      <c r="B198" s="30" t="str">
        <f>IFERROR(IF(COUNTIF('Draft Board'!$C$3:$V$24,A198)+COUNTIF(Keepers!$B$2:$U$21,A198)+COUNTIF('Auction Draft Board'!$C$6:$AP$25,A198)&gt;0,"",A198),"")</f>
        <v/>
      </c>
    </row>
    <row r="199">
      <c r="A199" t="str">
        <f>IFERROR(__xludf.DUMMYFUNCTION("IFERROR(REGEXEXTRACT('Manual Data Import'!B199, ""^(.*)\s+[A-Z]{2,4}\s+\(\d+\)$""),'Manual Data Import'!B199) &amp; CHAR(10) &amp; 
IFERROR(REGEXREPLACE('Manual Data Import'!C199, ""\d+$"", """")) &amp;"" - ""&amp; 
IFERROR(REGEXEXTRACT('Manual Data Import'!B199, ""([A-Z"&amp;"]{2,4})\s+\(\d+\)$"")) &amp; "" (""&amp; 
IFERROR(REGEXEXTRACT('Manual Data Import'!B199, ""\((\d+)\)"")) &amp; "")"""),"Jalen Nailor 
WR - LV (13)")</f>
        <v>Jalen Nailor 
WR - LV (13)</v>
      </c>
      <c r="B199" s="30" t="str">
        <f>IFERROR(IF(COUNTIF('Draft Board'!$C$3:$V$24,A199)+COUNTIF(Keepers!$B$2:$U$21,A199)+COUNTIF('Auction Draft Board'!$C$6:$AP$25,A199)&gt;0,"",A199),"")</f>
        <v/>
      </c>
    </row>
    <row r="200">
      <c r="A200" t="str">
        <f>IFERROR(__xludf.DUMMYFUNCTION("IFERROR(REGEXEXTRACT('Manual Data Import'!B200, ""^(.*)\s+[A-Z]{2,4}\s+\(\d+\)$""),'Manual Data Import'!B200) &amp; CHAR(10) &amp; 
IFERROR(REGEXREPLACE('Manual Data Import'!C200, ""\d+$"", """")) &amp;"" - ""&amp; 
IFERROR(REGEXEXTRACT('Manual Data Import'!B200, ""([A-Z"&amp;"]{2,4})\s+\(\d+\)$"")) &amp; "" (""&amp; 
IFERROR(REGEXEXTRACT('Manual Data Import'!B200, ""\((\d+)\)"")) &amp; "")"""),"Braelon Allen 
RB - NYJ (13)")</f>
        <v>Braelon Allen 
RB - NYJ (13)</v>
      </c>
      <c r="B200" s="30" t="str">
        <f>IFERROR(IF(COUNTIF('Draft Board'!$C$3:$V$24,A200)+COUNTIF(Keepers!$B$2:$U$21,A200)+COUNTIF('Auction Draft Board'!$C$6:$AP$25,A200)&gt;0,"",A200),"")</f>
        <v/>
      </c>
    </row>
    <row r="201">
      <c r="A201" t="str">
        <f>IFERROR(__xludf.DUMMYFUNCTION("IFERROR(REGEXEXTRACT('Manual Data Import'!B201, ""^(.*)\s+[A-Z]{2,4}\s+\(\d+\)$""),'Manual Data Import'!B201) &amp; CHAR(10) &amp; 
IFERROR(REGEXREPLACE('Manual Data Import'!C201, ""\d+$"", """")) &amp;"" - ""&amp; 
IFERROR(REGEXEXTRACT('Manual Data Import'!B201, ""([A-Z"&amp;"]{2,4})\s+\(\d+\)$"")) &amp; "" (""&amp; 
IFERROR(REGEXEXTRACT('Manual Data Import'!B201, ""\((\d+)\)"")) &amp; "")"""),"Cyrus Allen 
WR - KC (5)")</f>
        <v>Cyrus Allen 
WR - KC (5)</v>
      </c>
      <c r="B201" s="30" t="str">
        <f>IFERROR(IF(COUNTIF('Draft Board'!$C$3:$V$24,A201)+COUNTIF(Keepers!$B$2:$U$21,A201)+COUNTIF('Auction Draft Board'!$C$6:$AP$25,A201)&gt;0,"",A201),"")</f>
        <v/>
      </c>
    </row>
    <row r="202">
      <c r="A202" t="str">
        <f>IFERROR(__xludf.DUMMYFUNCTION("IFERROR(REGEXEXTRACT('Manual Data Import'!B202, ""^(.*)\s+[A-Z]{2,4}\s+\(\d+\)$""),'Manual Data Import'!B202) &amp; CHAR(10) &amp; 
IFERROR(REGEXREPLACE('Manual Data Import'!C202, ""\d+$"", """")) &amp;"" - ""&amp; 
IFERROR(REGEXEXTRACT('Manual Data Import'!B202, ""([A-Z"&amp;"]{2,4})\s+\(\d+\)$"")) &amp; "" (""&amp; 
IFERROR(REGEXEXTRACT('Manual Data Import'!B202, ""\((\d+)\)"")) &amp; "")"""),"Cleveland Browns
DST - DST (11)")</f>
        <v>Cleveland Browns
DST - DST (11)</v>
      </c>
      <c r="B202" s="30" t="str">
        <f>IFERROR(IF(COUNTIF('Draft Board'!$C$3:$V$24,A202)+COUNTIF(Keepers!$B$2:$U$21,A202)+COUNTIF('Auction Draft Board'!$C$6:$AP$25,A202)&gt;0,"",A202),"")</f>
        <v/>
      </c>
    </row>
    <row r="203">
      <c r="A203" t="str">
        <f>IFERROR(__xludf.DUMMYFUNCTION("IFERROR(REGEXEXTRACT('Manual Data Import'!B203, ""^(.*)\s+[A-Z]{2,4}\s+\(\d+\)$""),'Manual Data Import'!B203) &amp; CHAR(10) &amp; 
IFERROR(REGEXREPLACE('Manual Data Import'!C203, ""\d+$"", """")) &amp;"" - ""&amp; 
IFERROR(REGEXEXTRACT('Manual Data Import'!B203, ""([A-Z"&amp;"]{2,4})\s+\(\d+\)$"")) &amp; "" (""&amp; 
IFERROR(REGEXEXTRACT('Manual Data Import'!B203, ""\((\d+)\)"")) &amp; "")"""),"Terrance Ferguson 
TE - LAR (11)")</f>
        <v>Terrance Ferguson 
TE - LAR (11)</v>
      </c>
      <c r="B203" s="30" t="str">
        <f>IFERROR(IF(COUNTIF('Draft Board'!$C$3:$V$24,A203)+COUNTIF(Keepers!$B$2:$U$21,A203)+COUNTIF('Auction Draft Board'!$C$6:$AP$25,A203)&gt;0,"",A203),"")</f>
        <v/>
      </c>
    </row>
    <row r="204">
      <c r="A204" t="str">
        <f>IFERROR(__xludf.DUMMYFUNCTION("IFERROR(REGEXEXTRACT('Manual Data Import'!B204, ""^(.*)\s+[A-Z]{2,4}\s+\(\d+\)$""),'Manual Data Import'!B204) &amp; CHAR(10) &amp; 
IFERROR(REGEXREPLACE('Manual Data Import'!C204, ""\d+$"", """")) &amp;"" - ""&amp; 
IFERROR(REGEXEXTRACT('Manual Data Import'!B204, ""([A-Z"&amp;"]{2,4})\s+\(\d+\)$"")) &amp; "" (""&amp; 
IFERROR(REGEXEXTRACT('Manual Data Import'!B204, ""\((\d+)\)"")) &amp; "")"""),"Jauan Jennings 
WR - MIN (6)")</f>
        <v>Jauan Jennings 
WR - MIN (6)</v>
      </c>
      <c r="B204" s="30" t="str">
        <f>IFERROR(IF(COUNTIF('Draft Board'!$C$3:$V$24,A204)+COUNTIF(Keepers!$B$2:$U$21,A204)+COUNTIF('Auction Draft Board'!$C$6:$AP$25,A204)&gt;0,"",A204),"")</f>
        <v/>
      </c>
    </row>
    <row r="205">
      <c r="A205" t="str">
        <f>IFERROR(__xludf.DUMMYFUNCTION("IFERROR(REGEXEXTRACT('Manual Data Import'!B205, ""^(.*)\s+[A-Z]{2,4}\s+\(\d+\)$""),'Manual Data Import'!B205) &amp; CHAR(10) &amp; 
IFERROR(REGEXREPLACE('Manual Data Import'!C205, ""\d+$"", """")) &amp;"" - ""&amp; 
IFERROR(REGEXEXTRACT('Manual Data Import'!B205, ""([A-Z"&amp;"]{2,4})\s+\(\d+\)$"")) &amp; "" (""&amp; 
IFERROR(REGEXEXTRACT('Manual Data Import'!B205, ""\((\d+)\)"")) &amp; "")"""),"Jalen McMillan 
WR - TB (10)")</f>
        <v>Jalen McMillan 
WR - TB (10)</v>
      </c>
      <c r="B205" s="30" t="str">
        <f>IFERROR(IF(COUNTIF('Draft Board'!$C$3:$V$24,A205)+COUNTIF(Keepers!$B$2:$U$21,A205)+COUNTIF('Auction Draft Board'!$C$6:$AP$25,A205)&gt;0,"",A205),"")</f>
        <v/>
      </c>
    </row>
    <row r="206">
      <c r="A206" t="str">
        <f>IFERROR(__xludf.DUMMYFUNCTION("IFERROR(REGEXEXTRACT('Manual Data Import'!B206, ""^(.*)\s+[A-Z]{2,4}\s+\(\d+\)$""),'Manual Data Import'!B206) &amp; CHAR(10) &amp; 
IFERROR(REGEXREPLACE('Manual Data Import'!C206, ""\d+$"", """")) &amp;"" - ""&amp; 
IFERROR(REGEXEXTRACT('Manual Data Import'!B206, ""([A-Z"&amp;"]{2,4})\s+\(\d+\)$"")) &amp; "" (""&amp; 
IFERROR(REGEXEXTRACT('Manual Data Import'!B206, ""\((\d+)\)"")) &amp; "")"""),"Chase McLaughlin 
K - TB (10)")</f>
        <v>Chase McLaughlin 
K - TB (10)</v>
      </c>
      <c r="B206" s="30" t="str">
        <f>IFERROR(IF(COUNTIF('Draft Board'!$C$3:$V$24,A206)+COUNTIF(Keepers!$B$2:$U$21,A206)+COUNTIF('Auction Draft Board'!$C$6:$AP$25,A206)&gt;0,"",A206),"")</f>
        <v/>
      </c>
    </row>
    <row r="207">
      <c r="A207" t="str">
        <f>IFERROR(__xludf.DUMMYFUNCTION("IFERROR(REGEXEXTRACT('Manual Data Import'!B207, ""^(.*)\s+[A-Z]{2,4}\s+\(\d+\)$""),'Manual Data Import'!B207) &amp; CHAR(10) &amp; 
IFERROR(REGEXREPLACE('Manual Data Import'!C207, ""\d+$"", """")) &amp;"" - ""&amp; 
IFERROR(REGEXEXTRACT('Manual Data Import'!B207, ""([A-Z"&amp;"]{2,4})\s+\(\d+\)$"")) &amp; "" (""&amp; 
IFERROR(REGEXEXTRACT('Manual Data Import'!B207, ""\((\d+)\)"")) &amp; "")"""),"AJ Barner 
TE - SEA (11)")</f>
        <v>AJ Barner 
TE - SEA (11)</v>
      </c>
      <c r="B207" s="30" t="str">
        <f>IFERROR(IF(COUNTIF('Draft Board'!$C$3:$V$24,A207)+COUNTIF(Keepers!$B$2:$U$21,A207)+COUNTIF('Auction Draft Board'!$C$6:$AP$25,A207)&gt;0,"",A207),"")</f>
        <v/>
      </c>
    </row>
    <row r="208">
      <c r="A208" t="str">
        <f>IFERROR(__xludf.DUMMYFUNCTION("IFERROR(REGEXEXTRACT('Manual Data Import'!B208, ""^(.*)\s+[A-Z]{2,4}\s+\(\d+\)$""),'Manual Data Import'!B208) &amp; CHAR(10) &amp; 
IFERROR(REGEXREPLACE('Manual Data Import'!C208, ""\d+$"", """")) &amp;"" - ""&amp; 
IFERROR(REGEXEXTRACT('Manual Data Import'!B208, ""([A-Z"&amp;"]{2,4})\s+\(\d+\)$"")) &amp; "" (""&amp; 
IFERROR(REGEXEXTRACT('Manual Data Import'!B208, ""\((\d+)\)"")) &amp; "")"""),"Chris Boswell 
K - PIT (9)")</f>
        <v>Chris Boswell 
K - PIT (9)</v>
      </c>
      <c r="B208" s="30" t="str">
        <f>IFERROR(IF(COUNTIF('Draft Board'!$C$3:$V$24,A208)+COUNTIF(Keepers!$B$2:$U$21,A208)+COUNTIF('Auction Draft Board'!$C$6:$AP$25,A208)&gt;0,"",A208),"")</f>
        <v/>
      </c>
    </row>
    <row r="209">
      <c r="A209" t="str">
        <f>IFERROR(__xludf.DUMMYFUNCTION("IFERROR(REGEXEXTRACT('Manual Data Import'!B209, ""^(.*)\s+[A-Z]{2,4}\s+\(\d+\)$""),'Manual Data Import'!B209) &amp; CHAR(10) &amp; 
IFERROR(REGEXREPLACE('Manual Data Import'!C209, ""\d+$"", """")) &amp;"" - ""&amp; 
IFERROR(REGEXEXTRACT('Manual Data Import'!B209, ""([A-Z"&amp;"]{2,4})\s+\(\d+\)$"")) &amp; "" (""&amp; 
IFERROR(REGEXEXTRACT('Manual Data Import'!B209, ""\((\d+)\)"")) &amp; "")"""),"Wil Lutz 
K - DEN (10)")</f>
        <v>Wil Lutz 
K - DEN (10)</v>
      </c>
      <c r="B209" s="30" t="str">
        <f>IFERROR(IF(COUNTIF('Draft Board'!$C$3:$V$24,A209)+COUNTIF(Keepers!$B$2:$U$21,A209)+COUNTIF('Auction Draft Board'!$C$6:$AP$25,A209)&gt;0,"",A209),"")</f>
        <v/>
      </c>
    </row>
    <row r="210">
      <c r="A210" t="str">
        <f>IFERROR(__xludf.DUMMYFUNCTION("IFERROR(REGEXEXTRACT('Manual Data Import'!B210, ""^(.*)\s+[A-Z]{2,4}\s+\(\d+\)$""),'Manual Data Import'!B210) &amp; CHAR(10) &amp; 
IFERROR(REGEXREPLACE('Manual Data Import'!C210, ""\d+$"", """")) &amp;"" - ""&amp; 
IFERROR(REGEXEXTRACT('Manual Data Import'!B210, ""([A-Z"&amp;"]{2,4})\s+\(\d+\)$"")) &amp; "" (""&amp; 
IFERROR(REGEXEXTRACT('Manual Data Import'!B210, ""\((\d+)\)"")) &amp; "")"""),"David Njoku 
TE - LAC (7)")</f>
        <v>David Njoku 
TE - LAC (7)</v>
      </c>
      <c r="B210" s="30" t="str">
        <f>IFERROR(IF(COUNTIF('Draft Board'!$C$3:$V$24,A210)+COUNTIF(Keepers!$B$2:$U$21,A210)+COUNTIF('Auction Draft Board'!$C$6:$AP$25,A210)&gt;0,"",A210),"")</f>
        <v/>
      </c>
    </row>
    <row r="211">
      <c r="A211" t="str">
        <f>IFERROR(__xludf.DUMMYFUNCTION("IFERROR(REGEXEXTRACT('Manual Data Import'!B211, ""^(.*)\s+[A-Z]{2,4}\s+\(\d+\)$""),'Manual Data Import'!B211) &amp; CHAR(10) &amp; 
IFERROR(REGEXREPLACE('Manual Data Import'!C211, ""\d+$"", """")) &amp;"" - ""&amp; 
IFERROR(REGEXEXTRACT('Manual Data Import'!B211, ""([A-Z"&amp;"]{2,4})\s+\(\d+\)$"")) &amp; "" (""&amp; 
IFERROR(REGEXEXTRACT('Manual Data Import'!B211, ""\((\d+)\)"")) &amp; "")"""),"Cooper Kupp 
WR - SEA (11)")</f>
        <v>Cooper Kupp 
WR - SEA (11)</v>
      </c>
      <c r="B211" s="30" t="str">
        <f>IFERROR(IF(COUNTIF('Draft Board'!$C$3:$V$24,A211)+COUNTIF(Keepers!$B$2:$U$21,A211)+COUNTIF('Auction Draft Board'!$C$6:$AP$25,A211)&gt;0,"",A211),"")</f>
        <v/>
      </c>
    </row>
    <row r="212">
      <c r="A212" t="str">
        <f>IFERROR(__xludf.DUMMYFUNCTION("IFERROR(REGEXEXTRACT('Manual Data Import'!B212, ""^(.*)\s+[A-Z]{2,4}\s+\(\d+\)$""),'Manual Data Import'!B212) &amp; CHAR(10) &amp; 
IFERROR(REGEXREPLACE('Manual Data Import'!C212, ""\d+$"", """")) &amp;"" - ""&amp; 
IFERROR(REGEXEXTRACT('Manual Data Import'!B212, ""([A-Z"&amp;"]{2,4})\s+\(\d+\)$"")) &amp; "" (""&amp; 
IFERROR(REGEXEXTRACT('Manual Data Import'!B212, ""\((\d+)\)"")) &amp; "")"""),"Cam Ward 
QB - TEN (9)")</f>
        <v>Cam Ward 
QB - TEN (9)</v>
      </c>
      <c r="B212" s="30" t="str">
        <f>IFERROR(IF(COUNTIF('Draft Board'!$C$3:$V$24,A212)+COUNTIF(Keepers!$B$2:$U$21,A212)+COUNTIF('Auction Draft Board'!$C$6:$AP$25,A212)&gt;0,"",A212),"")</f>
        <v/>
      </c>
    </row>
    <row r="213">
      <c r="A213" t="str">
        <f>IFERROR(__xludf.DUMMYFUNCTION("IFERROR(REGEXEXTRACT('Manual Data Import'!B213, ""^(.*)\s+[A-Z]{2,4}\s+\(\d+\)$""),'Manual Data Import'!B213) &amp; CHAR(10) &amp; 
IFERROR(REGEXREPLACE('Manual Data Import'!C213, ""\d+$"", """")) &amp;"" - ""&amp; 
IFERROR(REGEXEXTRACT('Manual Data Import'!B213, ""([A-Z"&amp;"]{2,4})\s+\(\d+\)$"")) &amp; "" (""&amp; 
IFERROR(REGEXEXTRACT('Manual Data Import'!B213, ""\((\d+)\)"")) &amp; "")"""),"James Conner 
RB - ARI (14)")</f>
        <v>James Conner 
RB - ARI (14)</v>
      </c>
      <c r="B213" s="30" t="str">
        <f>IFERROR(IF(COUNTIF('Draft Board'!$C$3:$V$24,A213)+COUNTIF(Keepers!$B$2:$U$21,A213)+COUNTIF('Auction Draft Board'!$C$6:$AP$25,A213)&gt;0,"",A213),"")</f>
        <v/>
      </c>
    </row>
    <row r="214">
      <c r="A214" t="str">
        <f>IFERROR(__xludf.DUMMYFUNCTION("IFERROR(REGEXEXTRACT('Manual Data Import'!B214, ""^(.*)\s+[A-Z]{2,4}\s+\(\d+\)$""),'Manual Data Import'!B214) &amp; CHAR(10) &amp; 
IFERROR(REGEXREPLACE('Manual Data Import'!C214, ""\d+$"", """")) &amp;"" - ""&amp; 
IFERROR(REGEXEXTRACT('Manual Data Import'!B214, ""([A-Z"&amp;"]{2,4})\s+\(\d+\)$"")) &amp; "" (""&amp; 
IFERROR(REGEXEXTRACT('Manual Data Import'!B214, ""\((\d+)\)"")) &amp; "")"""),"Caleb Douglas 
WR - MIA (6)")</f>
        <v>Caleb Douglas 
WR - MIA (6)</v>
      </c>
      <c r="B214" s="30" t="str">
        <f>IFERROR(IF(COUNTIF('Draft Board'!$C$3:$V$24,A214)+COUNTIF(Keepers!$B$2:$U$21,A214)+COUNTIF('Auction Draft Board'!$C$6:$AP$25,A214)&gt;0,"",A214),"")</f>
        <v/>
      </c>
    </row>
    <row r="215">
      <c r="A215" t="str">
        <f>IFERROR(__xludf.DUMMYFUNCTION("IFERROR(REGEXEXTRACT('Manual Data Import'!B215, ""^(.*)\s+[A-Z]{2,4}\s+\(\d+\)$""),'Manual Data Import'!B215) &amp; CHAR(10) &amp; 
IFERROR(REGEXREPLACE('Manual Data Import'!C215, ""\d+$"", """")) &amp;"" - ""&amp; 
IFERROR(REGEXEXTRACT('Manual Data Import'!B215, ""([A-Z"&amp;"]{2,4})\s+\(\d+\)$"")) &amp; "" (""&amp; 
IFERROR(REGEXEXTRACT('Manual Data Import'!B215, ""\((\d+)\)"")) &amp; "")"""),"Greg Dulcich 
TE - MIA (6)")</f>
        <v>Greg Dulcich 
TE - MIA (6)</v>
      </c>
      <c r="B215" s="30" t="str">
        <f>IFERROR(IF(COUNTIF('Draft Board'!$C$3:$V$24,A215)+COUNTIF(Keepers!$B$2:$U$21,A215)+COUNTIF('Auction Draft Board'!$C$6:$AP$25,A215)&gt;0,"",A215),"")</f>
        <v/>
      </c>
    </row>
    <row r="216">
      <c r="A216" t="str">
        <f>IFERROR(__xludf.DUMMYFUNCTION("IFERROR(REGEXEXTRACT('Manual Data Import'!B216, ""^(.*)\s+[A-Z]{2,4}\s+\(\d+\)$""),'Manual Data Import'!B216) &amp; CHAR(10) &amp; 
IFERROR(REGEXREPLACE('Manual Data Import'!C216, ""\d+$"", """")) &amp;"" - ""&amp; 
IFERROR(REGEXEXTRACT('Manual Data Import'!B216, ""([A-Z"&amp;"]{2,4})\s+\(\d+\)$"")) &amp; "" (""&amp; 
IFERROR(REGEXEXTRACT('Manual Data Import'!B216, ""\((\d+)\)"")) &amp; "")"""),"Trey Smack 
K - GB (11)")</f>
        <v>Trey Smack 
K - GB (11)</v>
      </c>
      <c r="B216" s="30" t="str">
        <f>IFERROR(IF(COUNTIF('Draft Board'!$C$3:$V$24,A216)+COUNTIF(Keepers!$B$2:$U$21,A216)+COUNTIF('Auction Draft Board'!$C$6:$AP$25,A216)&gt;0,"",A216),"")</f>
        <v/>
      </c>
    </row>
    <row r="217">
      <c r="A217" t="str">
        <f>IFERROR(__xludf.DUMMYFUNCTION("IFERROR(REGEXEXTRACT('Manual Data Import'!B217, ""^(.*)\s+[A-Z]{2,4}\s+\(\d+\)$""),'Manual Data Import'!B217) &amp; CHAR(10) &amp; 
IFERROR(REGEXREPLACE('Manual Data Import'!C217, ""\d+$"", """")) &amp;"" - ""&amp; 
IFERROR(REGEXEXTRACT('Manual Data Import'!B217, ""([A-Z"&amp;"]{2,4})\s+\(\d+\)$"")) &amp; "" (""&amp; 
IFERROR(REGEXEXTRACT('Manual Data Import'!B217, ""\((\d+)\)"")) &amp; "")"""),"Adonai Mitchell 
WR - NYJ (13)")</f>
        <v>Adonai Mitchell 
WR - NYJ (13)</v>
      </c>
      <c r="B217" s="30" t="str">
        <f>IFERROR(IF(COUNTIF('Draft Board'!$C$3:$V$24,A217)+COUNTIF(Keepers!$B$2:$U$21,A217)+COUNTIF('Auction Draft Board'!$C$6:$AP$25,A217)&gt;0,"",A217),"")</f>
        <v/>
      </c>
    </row>
    <row r="218">
      <c r="A218" t="str">
        <f>IFERROR(__xludf.DUMMYFUNCTION("IFERROR(REGEXEXTRACT('Manual Data Import'!B218, ""^(.*)\s+[A-Z]{2,4}\s+\(\d+\)$""),'Manual Data Import'!B218) &amp; CHAR(10) &amp; 
IFERROR(REGEXREPLACE('Manual Data Import'!C218, ""\d+$"", """")) &amp;"" - ""&amp; 
IFERROR(REGEXEXTRACT('Manual Data Import'!B218, ""([A-Z"&amp;"]{2,4})\s+\(\d+\)$"")) &amp; "" (""&amp; 
IFERROR(REGEXEXTRACT('Manual Data Import'!B218, ""\((\d+)\)"")) &amp; "")"""),"Tyreek Hill
WR -  ()")</f>
        <v>Tyreek Hill
WR -  ()</v>
      </c>
      <c r="B218" s="30" t="str">
        <f>IFERROR(IF(COUNTIF('Draft Board'!$C$3:$V$24,A218)+COUNTIF(Keepers!$B$2:$U$21,A218)+COUNTIF('Auction Draft Board'!$C$6:$AP$25,A218)&gt;0,"",A218),"")</f>
        <v/>
      </c>
    </row>
    <row r="219">
      <c r="A219" t="str">
        <f>IFERROR(__xludf.DUMMYFUNCTION("IFERROR(REGEXEXTRACT('Manual Data Import'!B219, ""^(.*)\s+[A-Z]{2,4}\s+\(\d+\)$""),'Manual Data Import'!B219) &amp; CHAR(10) &amp; 
IFERROR(REGEXREPLACE('Manual Data Import'!C219, ""\d+$"", """")) &amp;"" - ""&amp; 
IFERROR(REGEXEXTRACT('Manual Data Import'!B219, ""([A-Z"&amp;"]{2,4})\s+\(\d+\)$"")) &amp; "" (""&amp; 
IFERROR(REGEXEXTRACT('Manual Data Import'!B219, ""\((\d+)\)"")) &amp; "")"""),"New York Giants
DST - DST (8)")</f>
        <v>New York Giants
DST - DST (8)</v>
      </c>
      <c r="B219" s="30" t="str">
        <f>IFERROR(IF(COUNTIF('Draft Board'!$C$3:$V$24,A219)+COUNTIF(Keepers!$B$2:$U$21,A219)+COUNTIF('Auction Draft Board'!$C$6:$AP$25,A219)&gt;0,"",A219),"")</f>
        <v/>
      </c>
    </row>
    <row r="220">
      <c r="A220" t="str">
        <f>IFERROR(__xludf.DUMMYFUNCTION("IFERROR(REGEXEXTRACT('Manual Data Import'!B220, ""^(.*)\s+[A-Z]{2,4}\s+\(\d+\)$""),'Manual Data Import'!B220) &amp; CHAR(10) &amp; 
IFERROR(REGEXREPLACE('Manual Data Import'!C220, ""\d+$"", """")) &amp;"" - ""&amp; 
IFERROR(REGEXEXTRACT('Manual Data Import'!B220, ""([A-Z"&amp;"]{2,4})\s+\(\d+\)$"")) &amp; "" (""&amp; 
IFERROR(REGEXEXTRACT('Manual Data Import'!B220, ""\((\d+)\)"")) &amp; "")"""),"Kaelon Black 
RB - SF (8)")</f>
        <v>Kaelon Black 
RB - SF (8)</v>
      </c>
      <c r="B220" s="30" t="str">
        <f>IFERROR(IF(COUNTIF('Draft Board'!$C$3:$V$24,A220)+COUNTIF(Keepers!$B$2:$U$21,A220)+COUNTIF('Auction Draft Board'!$C$6:$AP$25,A220)&gt;0,"",A220),"")</f>
        <v/>
      </c>
    </row>
    <row r="221">
      <c r="A221" t="str">
        <f>IFERROR(__xludf.DUMMYFUNCTION("IFERROR(REGEXEXTRACT('Manual Data Import'!B221, ""^(.*)\s+[A-Z]{2,4}\s+\(\d+\)$""),'Manual Data Import'!B221) &amp; CHAR(10) &amp; 
IFERROR(REGEXREPLACE('Manual Data Import'!C221, ""\d+$"", """")) &amp;"" - ""&amp; 
IFERROR(REGEXEXTRACT('Manual Data Import'!B221, ""([A-Z"&amp;"]{2,4})\s+\(\d+\)$"")) &amp; "" (""&amp; 
IFERROR(REGEXEXTRACT('Manual Data Import'!B221, ""\((\d+)\)"")) &amp; "")"""),"Malachi Fields 
WR - NYG (8)")</f>
        <v>Malachi Fields 
WR - NYG (8)</v>
      </c>
      <c r="B221" s="30" t="str">
        <f>IFERROR(IF(COUNTIF('Draft Board'!$C$3:$V$24,A221)+COUNTIF(Keepers!$B$2:$U$21,A221)+COUNTIF('Auction Draft Board'!$C$6:$AP$25,A221)&gt;0,"",A221),"")</f>
        <v/>
      </c>
    </row>
    <row r="222">
      <c r="A222" t="str">
        <f>IFERROR(__xludf.DUMMYFUNCTION("IFERROR(REGEXEXTRACT('Manual Data Import'!B222, ""^(.*)\s+[A-Z]{2,4}\s+\(\d+\)$""),'Manual Data Import'!B222) &amp; CHAR(10) &amp; 
IFERROR(REGEXREPLACE('Manual Data Import'!C222, ""\d+$"", """")) &amp;"" - ""&amp; 
IFERROR(REGEXEXTRACT('Manual Data Import'!B222, ""([A-Z"&amp;"]{2,4})\s+\(\d+\)$"")) &amp; "" (""&amp; 
IFERROR(REGEXEXTRACT('Manual Data Import'!B222, ""\((\d+)\)"")) &amp; "")"""),"Omar Cooper Jr. 
WR - NYJ (13)")</f>
        <v>Omar Cooper Jr. 
WR - NYJ (13)</v>
      </c>
      <c r="B222" s="30" t="str">
        <f>IFERROR(IF(COUNTIF('Draft Board'!$C$3:$V$24,A222)+COUNTIF(Keepers!$B$2:$U$21,A222)+COUNTIF('Auction Draft Board'!$C$6:$AP$25,A222)&gt;0,"",A222),"")</f>
        <v/>
      </c>
    </row>
    <row r="223">
      <c r="A223" t="str">
        <f>IFERROR(__xludf.DUMMYFUNCTION("IFERROR(REGEXEXTRACT('Manual Data Import'!B223, ""^(.*)\s+[A-Z]{2,4}\s+\(\d+\)$""),'Manual Data Import'!B223) &amp; CHAR(10) &amp; 
IFERROR(REGEXREPLACE('Manual Data Import'!C223, ""\d+$"", """")) &amp;"" - ""&amp; 
IFERROR(REGEXEXTRACT('Manual Data Import'!B223, ""([A-Z"&amp;"]{2,4})\s+\(\d+\)$"")) &amp; "" (""&amp; 
IFERROR(REGEXEXTRACT('Manual Data Import'!B223, ""\((\d+)\)"")) &amp; "")"""),"Malik Washington 
WR - MIA (6)")</f>
        <v>Malik Washington 
WR - MIA (6)</v>
      </c>
      <c r="B223" s="30" t="str">
        <f>IFERROR(IF(COUNTIF('Draft Board'!$C$3:$V$24,A223)+COUNTIF(Keepers!$B$2:$U$21,A223)+COUNTIF('Auction Draft Board'!$C$6:$AP$25,A223)&gt;0,"",A223),"")</f>
        <v/>
      </c>
    </row>
    <row r="224">
      <c r="A224" t="str">
        <f>IFERROR(__xludf.DUMMYFUNCTION("IFERROR(REGEXEXTRACT('Manual Data Import'!B224, ""^(.*)\s+[A-Z]{2,4}\s+\(\d+\)$""),'Manual Data Import'!B224) &amp; CHAR(10) &amp; 
IFERROR(REGEXREPLACE('Manual Data Import'!C224, ""\d+$"", """")) &amp;"" - ""&amp; 
IFERROR(REGEXEXTRACT('Manual Data Import'!B224, ""([A-Z"&amp;"]{2,4})\s+\(\d+\)$"")) &amp; "" (""&amp; 
IFERROR(REGEXEXTRACT('Manual Data Import'!B224, ""\((\d+)\)"")) &amp; "")"""),"Kayshon Boutte 
WR - HOU (8)")</f>
        <v>Kayshon Boutte 
WR - HOU (8)</v>
      </c>
      <c r="B224" s="30" t="str">
        <f>IFERROR(IF(COUNTIF('Draft Board'!$C$3:$V$24,A224)+COUNTIF(Keepers!$B$2:$U$21,A224)+COUNTIF('Auction Draft Board'!$C$6:$AP$25,A224)&gt;0,"",A224),"")</f>
        <v/>
      </c>
    </row>
    <row r="225">
      <c r="A225" t="str">
        <f>IFERROR(__xludf.DUMMYFUNCTION("IFERROR(REGEXEXTRACT('Manual Data Import'!B225, ""^(.*)\s+[A-Z]{2,4}\s+\(\d+\)$""),'Manual Data Import'!B225) &amp; CHAR(10) &amp; 
IFERROR(REGEXREPLACE('Manual Data Import'!C225, ""\d+$"", """")) &amp;"" - ""&amp; 
IFERROR(REGEXEXTRACT('Manual Data Import'!B225, ""([A-Z"&amp;"]{2,4})\s+\(\d+\)$"")) &amp; "" (""&amp; 
IFERROR(REGEXEXTRACT('Manual Data Import'!B225, ""\((\d+)\)"")) &amp; "")"""),"Justice Hill 
RB - BAL (13)")</f>
        <v>Justice Hill 
RB - BAL (13)</v>
      </c>
      <c r="B225" s="30" t="str">
        <f>IFERROR(IF(COUNTIF('Draft Board'!$C$3:$V$24,A225)+COUNTIF(Keepers!$B$2:$U$21,A225)+COUNTIF('Auction Draft Board'!$C$6:$AP$25,A225)&gt;0,"",A225),"")</f>
        <v/>
      </c>
    </row>
    <row r="226">
      <c r="A226" t="str">
        <f>IFERROR(__xludf.DUMMYFUNCTION("IFERROR(REGEXEXTRACT('Manual Data Import'!B226, ""^(.*)\s+[A-Z]{2,4}\s+\(\d+\)$""),'Manual Data Import'!B226) &amp; CHAR(10) &amp; 
IFERROR(REGEXREPLACE('Manual Data Import'!C226, ""\d+$"", """")) &amp;"" - ""&amp; 
IFERROR(REGEXEXTRACT('Manual Data Import'!B226, ""([A-Z"&amp;"]{2,4})\s+\(\d+\)$"")) &amp; "" (""&amp; 
IFERROR(REGEXEXTRACT('Manual Data Import'!B226, ""\((\d+)\)"")) &amp; "")"""),"Zachariah Branch 
WR - ATL (11)")</f>
        <v>Zachariah Branch 
WR - ATL (11)</v>
      </c>
      <c r="B226" s="30" t="str">
        <f>IFERROR(IF(COUNTIF('Draft Board'!$C$3:$V$24,A226)+COUNTIF(Keepers!$B$2:$U$21,A226)+COUNTIF('Auction Draft Board'!$C$6:$AP$25,A226)&gt;0,"",A226),"")</f>
        <v/>
      </c>
    </row>
    <row r="227">
      <c r="A227" t="str">
        <f>IFERROR(__xludf.DUMMYFUNCTION("IFERROR(REGEXEXTRACT('Manual Data Import'!B227, ""^(.*)\s+[A-Z]{2,4}\s+\(\d+\)$""),'Manual Data Import'!B227) &amp; CHAR(10) &amp; 
IFERROR(REGEXREPLACE('Manual Data Import'!C227, ""\d+$"", """")) &amp;"" - ""&amp; 
IFERROR(REGEXEXTRACT('Manual Data Import'!B227, ""([A-Z"&amp;"]{2,4})\s+\(\d+\)$"")) &amp; "" (""&amp; 
IFERROR(REGEXEXTRACT('Manual Data Import'!B227, ""\((\d+)\)"")) &amp; "")"""),"Fernando Mendoza 
QB - LV (13)")</f>
        <v>Fernando Mendoza 
QB - LV (13)</v>
      </c>
      <c r="B227" s="30" t="str">
        <f>IFERROR(IF(COUNTIF('Draft Board'!$C$3:$V$24,A227)+COUNTIF(Keepers!$B$2:$U$21,A227)+COUNTIF('Auction Draft Board'!$C$6:$AP$25,A227)&gt;0,"",A227),"")</f>
        <v/>
      </c>
    </row>
    <row r="228">
      <c r="A228" t="str">
        <f>IFERROR(__xludf.DUMMYFUNCTION("IFERROR(REGEXEXTRACT('Manual Data Import'!B228, ""^(.*)\s+[A-Z]{2,4}\s+\(\d+\)$""),'Manual Data Import'!B228) &amp; CHAR(10) &amp; 
IFERROR(REGEXREPLACE('Manual Data Import'!C228, ""\d+$"", """")) &amp;"" - ""&amp; 
IFERROR(REGEXEXTRACT('Manual Data Import'!B228, ""([A-Z"&amp;"]{2,4})\s+\(\d+\)$"")) &amp; "" (""&amp; 
IFERROR(REGEXEXTRACT('Manual Data Import'!B228, ""\((\d+)\)"")) &amp; "")"""),"Tre' Harris 
WR - LAC (7)")</f>
        <v>Tre' Harris 
WR - LAC (7)</v>
      </c>
      <c r="B228" s="30" t="str">
        <f>IFERROR(IF(COUNTIF('Draft Board'!$C$3:$V$24,A228)+COUNTIF(Keepers!$B$2:$U$21,A228)+COUNTIF('Auction Draft Board'!$C$6:$AP$25,A228)&gt;0,"",A228),"")</f>
        <v/>
      </c>
    </row>
    <row r="229">
      <c r="A229" t="str">
        <f>IFERROR(__xludf.DUMMYFUNCTION("IFERROR(REGEXEXTRACT('Manual Data Import'!B229, ""^(.*)\s+[A-Z]{2,4}\s+\(\d+\)$""),'Manual Data Import'!B229) &amp; CHAR(10) &amp; 
IFERROR(REGEXREPLACE('Manual Data Import'!C229, ""\d+$"", """")) &amp;"" - ""&amp; 
IFERROR(REGEXEXTRACT('Manual Data Import'!B229, ""([A-Z"&amp;"]{2,4})\s+\(\d+\)$"")) &amp; "" (""&amp; 
IFERROR(REGEXEXTRACT('Manual Data Import'!B229, ""\((\d+)\)"")) &amp; "")"""),"Emmett Johnson 
RB - KC (5)")</f>
        <v>Emmett Johnson 
RB - KC (5)</v>
      </c>
      <c r="B229" s="30" t="str">
        <f>IFERROR(IF(COUNTIF('Draft Board'!$C$3:$V$24,A229)+COUNTIF(Keepers!$B$2:$U$21,A229)+COUNTIF('Auction Draft Board'!$C$6:$AP$25,A229)&gt;0,"",A229),"")</f>
        <v/>
      </c>
    </row>
    <row r="230">
      <c r="A230" t="str">
        <f>IFERROR(__xludf.DUMMYFUNCTION("IFERROR(REGEXEXTRACT('Manual Data Import'!B230, ""^(.*)\s+[A-Z]{2,4}\s+\(\d+\)$""),'Manual Data Import'!B230) &amp; CHAR(10) &amp; 
IFERROR(REGEXREPLACE('Manual Data Import'!C230, ""\d+$"", """")) &amp;"" - ""&amp; 
IFERROR(REGEXEXTRACT('Manual Data Import'!B230, ""([A-Z"&amp;"]{2,4})\s+\(\d+\)$"")) &amp; "" (""&amp; 
IFERROR(REGEXEXTRACT('Manual Data Import'!B230, ""\((\d+)\)"")) &amp; "")"""),"Jaydon Blue 
RB - DAL (14)")</f>
        <v>Jaydon Blue 
RB - DAL (14)</v>
      </c>
      <c r="B230" s="30" t="str">
        <f>IFERROR(IF(COUNTIF('Draft Board'!$C$3:$V$24,A230)+COUNTIF(Keepers!$B$2:$U$21,A230)+COUNTIF('Auction Draft Board'!$C$6:$AP$25,A230)&gt;0,"",A230),"")</f>
        <v/>
      </c>
    </row>
    <row r="231">
      <c r="A231" t="str">
        <f>IFERROR(__xludf.DUMMYFUNCTION("IFERROR(REGEXEXTRACT('Manual Data Import'!B231, ""^(.*)\s+[A-Z]{2,4}\s+\(\d+\)$""),'Manual Data Import'!B231) &amp; CHAR(10) &amp; 
IFERROR(REGEXREPLACE('Manual Data Import'!C231, ""\d+$"", """")) &amp;"" - ""&amp; 
IFERROR(REGEXEXTRACT('Manual Data Import'!B231, ""([A-Z"&amp;"]{2,4})\s+\(\d+\)$"")) &amp; "" (""&amp; 
IFERROR(REGEXEXTRACT('Manual Data Import'!B231, ""\((\d+)\)"")) &amp; "")"""),"Ray Davis 
RB - BUF (7)")</f>
        <v>Ray Davis 
RB - BUF (7)</v>
      </c>
      <c r="B231" s="30" t="str">
        <f>IFERROR(IF(COUNTIF('Draft Board'!$C$3:$V$24,A231)+COUNTIF(Keepers!$B$2:$U$21,A231)+COUNTIF('Auction Draft Board'!$C$6:$AP$25,A231)&gt;0,"",A231),"")</f>
        <v/>
      </c>
    </row>
    <row r="232">
      <c r="A232" t="str">
        <f>IFERROR(__xludf.DUMMYFUNCTION("IFERROR(REGEXEXTRACT('Manual Data Import'!B232, ""^(.*)\s+[A-Z]{2,4}\s+\(\d+\)$""),'Manual Data Import'!B232) &amp; CHAR(10) &amp; 
IFERROR(REGEXREPLACE('Manual Data Import'!C232, ""\d+$"", """")) &amp;"" - ""&amp; 
IFERROR(REGEXEXTRACT('Manual Data Import'!B232, ""([A-Z"&amp;"]{2,4})\s+\(\d+\)$"")) &amp; "" (""&amp; 
IFERROR(REGEXEXTRACT('Manual Data Import'!B232, ""\((\d+)\)"")) &amp; "")"""),"Bryce Young 
QB - CAR (5)")</f>
        <v>Bryce Young 
QB - CAR (5)</v>
      </c>
      <c r="B232" s="30" t="str">
        <f>IFERROR(IF(COUNTIF('Draft Board'!$C$3:$V$24,A232)+COUNTIF(Keepers!$B$2:$U$21,A232)+COUNTIF('Auction Draft Board'!$C$6:$AP$25,A232)&gt;0,"",A232),"")</f>
        <v/>
      </c>
    </row>
    <row r="233">
      <c r="A233" t="str">
        <f>IFERROR(__xludf.DUMMYFUNCTION("IFERROR(REGEXEXTRACT('Manual Data Import'!B233, ""^(.*)\s+[A-Z]{2,4}\s+\(\d+\)$""),'Manual Data Import'!B233) &amp; CHAR(10) &amp; 
IFERROR(REGEXREPLACE('Manual Data Import'!C233, ""\d+$"", """")) &amp;"" - ""&amp; 
IFERROR(REGEXEXTRACT('Manual Data Import'!B233, ""([A-Z"&amp;"]{2,4})\s+\(\d+\)$"")) &amp; "" (""&amp; 
IFERROR(REGEXEXTRACT('Manual Data Import'!B233, ""\((\d+)\)"")) &amp; "")"""),"Andy Borregales 
K - NE (11)")</f>
        <v>Andy Borregales 
K - NE (11)</v>
      </c>
      <c r="B233" s="30" t="str">
        <f>IFERROR(IF(COUNTIF('Draft Board'!$C$3:$V$24,A233)+COUNTIF(Keepers!$B$2:$U$21,A233)+COUNTIF('Auction Draft Board'!$C$6:$AP$25,A233)&gt;0,"",A233),"")</f>
        <v/>
      </c>
    </row>
    <row r="234">
      <c r="A234" t="str">
        <f>IFERROR(__xludf.DUMMYFUNCTION("IFERROR(REGEXEXTRACT('Manual Data Import'!B234, ""^(.*)\s+[A-Z]{2,4}\s+\(\d+\)$""),'Manual Data Import'!B234) &amp; CHAR(10) &amp; 
IFERROR(REGEXREPLACE('Manual Data Import'!C234, ""\d+$"", """")) &amp;"" - ""&amp; 
IFERROR(REGEXEXTRACT('Manual Data Import'!B234, ""([A-Z"&amp;"]{2,4})\s+\(\d+\)$"")) &amp; "" (""&amp; 
IFERROR(REGEXEXTRACT('Manual Data Import'!B234, ""\((\d+)\)"")) &amp; "")"""),"Tyler Bass 
K - BUF (7)")</f>
        <v>Tyler Bass 
K - BUF (7)</v>
      </c>
      <c r="B234" s="30" t="str">
        <f>IFERROR(IF(COUNTIF('Draft Board'!$C$3:$V$24,A234)+COUNTIF(Keepers!$B$2:$U$21,A234)+COUNTIF('Auction Draft Board'!$C$6:$AP$25,A234)&gt;0,"",A234),"")</f>
        <v/>
      </c>
    </row>
    <row r="235">
      <c r="A235" t="str">
        <f>IFERROR(__xludf.DUMMYFUNCTION("IFERROR(REGEXEXTRACT('Manual Data Import'!B235, ""^(.*)\s+[A-Z]{2,4}\s+\(\d+\)$""),'Manual Data Import'!B235) &amp; CHAR(10) &amp; 
IFERROR(REGEXREPLACE('Manual Data Import'!C235, ""\d+$"", """")) &amp;"" - ""&amp; 
IFERROR(REGEXEXTRACT('Manual Data Import'!B235, ""([A-Z"&amp;"]{2,4})\s+\(\d+\)$"")) &amp; "" (""&amp; 
IFERROR(REGEXEXTRACT('Manual Data Import'!B235, ""\((\d+)\)"")) &amp; "")"""),"San Francisco 49ers
DST - DST (8)")</f>
        <v>San Francisco 49ers
DST - DST (8)</v>
      </c>
      <c r="B235" s="30" t="str">
        <f>IFERROR(IF(COUNTIF('Draft Board'!$C$3:$V$24,A235)+COUNTIF(Keepers!$B$2:$U$21,A235)+COUNTIF('Auction Draft Board'!$C$6:$AP$25,A235)&gt;0,"",A235),"")</f>
        <v/>
      </c>
    </row>
    <row r="236">
      <c r="A236" t="str">
        <f>IFERROR(__xludf.DUMMYFUNCTION("IFERROR(REGEXEXTRACT('Manual Data Import'!B236, ""^(.*)\s+[A-Z]{2,4}\s+\(\d+\)$""),'Manual Data Import'!B236) &amp; CHAR(10) &amp; 
IFERROR(REGEXREPLACE('Manual Data Import'!C236, ""\d+$"", """")) &amp;"" - ""&amp; 
IFERROR(REGEXEXTRACT('Manual Data Import'!B236, ""([A-Z"&amp;"]{2,4})\s+\(\d+\)$"")) &amp; "" (""&amp; 
IFERROR(REGEXEXTRACT('Manual Data Import'!B236, ""\((\d+)\)"")) &amp; "")"""),"Atlanta Falcons
DST - DST (11)")</f>
        <v>Atlanta Falcons
DST - DST (11)</v>
      </c>
      <c r="B236" s="30" t="str">
        <f>IFERROR(IF(COUNTIF('Draft Board'!$C$3:$V$24,A236)+COUNTIF(Keepers!$B$2:$U$21,A236)+COUNTIF('Auction Draft Board'!$C$6:$AP$25,A236)&gt;0,"",A236),"")</f>
        <v/>
      </c>
    </row>
    <row r="237">
      <c r="A237" t="str">
        <f>IFERROR(__xludf.DUMMYFUNCTION("IFERROR(REGEXEXTRACT('Manual Data Import'!B237, ""^(.*)\s+[A-Z]{2,4}\s+\(\d+\)$""),'Manual Data Import'!B237) &amp; CHAR(10) &amp; 
IFERROR(REGEXREPLACE('Manual Data Import'!C237, ""\d+$"", """")) &amp;"" - ""&amp; 
IFERROR(REGEXEXTRACT('Manual Data Import'!B237, ""([A-Z"&amp;"]{2,4})\s+\(\d+\)$"")) &amp; "" (""&amp; 
IFERROR(REGEXEXTRACT('Manual Data Import'!B237, ""\((\d+)\)"")) &amp; "")"""),"Nicholas Singleton 
RB - TEN (9)")</f>
        <v>Nicholas Singleton 
RB - TEN (9)</v>
      </c>
      <c r="B237" s="30" t="str">
        <f>IFERROR(IF(COUNTIF('Draft Board'!$C$3:$V$24,A237)+COUNTIF(Keepers!$B$2:$U$21,A237)+COUNTIF('Auction Draft Board'!$C$6:$AP$25,A237)&gt;0,"",A237),"")</f>
        <v/>
      </c>
    </row>
    <row r="238">
      <c r="A238" t="str">
        <f>IFERROR(__xludf.DUMMYFUNCTION("IFERROR(REGEXEXTRACT('Manual Data Import'!B238, ""^(.*)\s+[A-Z]{2,4}\s+\(\d+\)$""),'Manual Data Import'!B238) &amp; CHAR(10) &amp; 
IFERROR(REGEXREPLACE('Manual Data Import'!C238, ""\d+$"", """")) &amp;"" - ""&amp; 
IFERROR(REGEXEXTRACT('Manual Data Import'!B238, ""([A-Z"&amp;"]{2,4})\s+\(\d+\)$"")) &amp; "" (""&amp; 
IFERROR(REGEXEXTRACT('Manual Data Import'!B238, ""\((\d+)\)"")) &amp; "")"""),"Aaron Rodgers 
QB - PIT (9)")</f>
        <v>Aaron Rodgers 
QB - PIT (9)</v>
      </c>
      <c r="B238" s="30" t="str">
        <f>IFERROR(IF(COUNTIF('Draft Board'!$C$3:$V$24,A238)+COUNTIF(Keepers!$B$2:$U$21,A238)+COUNTIF('Auction Draft Board'!$C$6:$AP$25,A238)&gt;0,"",A238),"")</f>
        <v/>
      </c>
    </row>
    <row r="239">
      <c r="A239" t="str">
        <f>IFERROR(__xludf.DUMMYFUNCTION("IFERROR(REGEXEXTRACT('Manual Data Import'!B239, ""^(.*)\s+[A-Z]{2,4}\s+\(\d+\)$""),'Manual Data Import'!B239) &amp; CHAR(10) &amp; 
IFERROR(REGEXREPLACE('Manual Data Import'!C239, ""\d+$"", """")) &amp;"" - ""&amp; 
IFERROR(REGEXEXTRACT('Manual Data Import'!B239, ""([A-Z"&amp;"]{2,4})\s+\(\d+\)$"")) &amp; "" (""&amp; 
IFERROR(REGEXEXTRACT('Manual Data Import'!B239, ""\((\d+)\)"")) &amp; "")"""),"Pat Freiermuth 
TE - PIT (9)")</f>
        <v>Pat Freiermuth 
TE - PIT (9)</v>
      </c>
      <c r="B239" s="30" t="str">
        <f>IFERROR(IF(COUNTIF('Draft Board'!$C$3:$V$24,A239)+COUNTIF(Keepers!$B$2:$U$21,A239)+COUNTIF('Auction Draft Board'!$C$6:$AP$25,A239)&gt;0,"",A239),"")</f>
        <v/>
      </c>
    </row>
    <row r="240">
      <c r="A240" t="str">
        <f>IFERROR(__xludf.DUMMYFUNCTION("IFERROR(REGEXEXTRACT('Manual Data Import'!B240, ""^(.*)\s+[A-Z]{2,4}\s+\(\d+\)$""),'Manual Data Import'!B240) &amp; CHAR(10) &amp; 
IFERROR(REGEXREPLACE('Manual Data Import'!C240, ""\d+$"", """")) &amp;"" - ""&amp; 
IFERROR(REGEXEXTRACT('Manual Data Import'!B240, ""([A-Z"&amp;"]{2,4})\s+\(\d+\)$"")) &amp; "" (""&amp; 
IFERROR(REGEXEXTRACT('Manual Data Import'!B240, ""\((\d+)\)"")) &amp; "")"""),"Kaytron Allen 
RB - WAS (7)")</f>
        <v>Kaytron Allen 
RB - WAS (7)</v>
      </c>
      <c r="B240" s="30" t="str">
        <f>IFERROR(IF(COUNTIF('Draft Board'!$C$3:$V$24,A240)+COUNTIF(Keepers!$B$2:$U$21,A240)+COUNTIF('Auction Draft Board'!$C$6:$AP$25,A240)&gt;0,"",A240),"")</f>
        <v/>
      </c>
    </row>
    <row r="241">
      <c r="A241" t="str">
        <f>IFERROR(__xludf.DUMMYFUNCTION("IFERROR(REGEXEXTRACT('Manual Data Import'!B241, ""^(.*)\s+[A-Z]{2,4}\s+\(\d+\)$""),'Manual Data Import'!B241) &amp; CHAR(10) &amp; 
IFERROR(REGEXREPLACE('Manual Data Import'!C241, ""\d+$"", """")) &amp;"" - ""&amp; 
IFERROR(REGEXEXTRACT('Manual Data Import'!B241, ""([A-Z"&amp;"]{2,4})\s+\(\d+\)$"")) &amp; "" (""&amp; 
IFERROR(REGEXEXTRACT('Manual Data Import'!B241, ""\((\d+)\)"")) &amp; "")"""),"Cade Otton 
TE - TB (10)")</f>
        <v>Cade Otton 
TE - TB (10)</v>
      </c>
      <c r="B241" s="30" t="str">
        <f>IFERROR(IF(COUNTIF('Draft Board'!$C$3:$V$24,A241)+COUNTIF(Keepers!$B$2:$U$21,A241)+COUNTIF('Auction Draft Board'!$C$6:$AP$25,A241)&gt;0,"",A241),"")</f>
        <v/>
      </c>
    </row>
    <row r="242">
      <c r="A242" t="str">
        <f>IFERROR(__xludf.DUMMYFUNCTION("IFERROR(REGEXEXTRACT('Manual Data Import'!B242, ""^(.*)\s+[A-Z]{2,4}\s+\(\d+\)$""),'Manual Data Import'!B242) &amp; CHAR(10) &amp; 
IFERROR(REGEXREPLACE('Manual Data Import'!C242, ""\d+$"", """")) &amp;"" - ""&amp; 
IFERROR(REGEXEXTRACT('Manual Data Import'!B242, ""([A-Z"&amp;"]{2,4})\s+\(\d+\)$"")) &amp; "" (""&amp; 
IFERROR(REGEXEXTRACT('Manual Data Import'!B242, ""\((\d+)\)"")) &amp; "")"""),"Najee Harris 
RB - NYG (8)")</f>
        <v>Najee Harris 
RB - NYG (8)</v>
      </c>
      <c r="B242" s="30" t="str">
        <f>IFERROR(IF(COUNTIF('Draft Board'!$C$3:$V$24,A242)+COUNTIF(Keepers!$B$2:$U$21,A242)+COUNTIF('Auction Draft Board'!$C$6:$AP$25,A242)&gt;0,"",A242),"")</f>
        <v/>
      </c>
    </row>
    <row r="243">
      <c r="A243" t="str">
        <f>IFERROR(__xludf.DUMMYFUNCTION("IFERROR(REGEXEXTRACT('Manual Data Import'!B243, ""^(.*)\s+[A-Z]{2,4}\s+\(\d+\)$""),'Manual Data Import'!B243) &amp; CHAR(10) &amp; 
IFERROR(REGEXREPLACE('Manual Data Import'!C243, ""\d+$"", """")) &amp;"" - ""&amp; 
IFERROR(REGEXEXTRACT('Manual Data Import'!B243, ""([A-Z"&amp;"]{2,4})\s+\(\d+\)$"")) &amp; "" (""&amp; 
IFERROR(REGEXEXTRACT('Manual Data Import'!B243, ""\((\d+)\)"")) &amp; "")"""),"Sean Tucker 
RB - TB (10)")</f>
        <v>Sean Tucker 
RB - TB (10)</v>
      </c>
      <c r="B243" s="30" t="str">
        <f>IFERROR(IF(COUNTIF('Draft Board'!$C$3:$V$24,A243)+COUNTIF(Keepers!$B$2:$U$21,A243)+COUNTIF('Auction Draft Board'!$C$6:$AP$25,A243)&gt;0,"",A243),"")</f>
        <v/>
      </c>
    </row>
    <row r="244">
      <c r="A244" t="str">
        <f>IFERROR(__xludf.DUMMYFUNCTION("IFERROR(REGEXEXTRACT('Manual Data Import'!B244, ""^(.*)\s+[A-Z]{2,4}\s+\(\d+\)$""),'Manual Data Import'!B244) &amp; CHAR(10) &amp; 
IFERROR(REGEXREPLACE('Manual Data Import'!C244, ""\d+$"", """")) &amp;"" - ""&amp; 
IFERROR(REGEXEXTRACT('Manual Data Import'!B244, ""([A-Z"&amp;"]{2,4})\s+\(\d+\)$"")) &amp; "" (""&amp; 
IFERROR(REGEXEXTRACT('Manual Data Import'!B244, ""\((\d+)\)"")) &amp; "")"""),"Jake Elliott 
K - PHI (10)")</f>
        <v>Jake Elliott 
K - PHI (10)</v>
      </c>
      <c r="B244" s="30" t="str">
        <f>IFERROR(IF(COUNTIF('Draft Board'!$C$3:$V$24,A244)+COUNTIF(Keepers!$B$2:$U$21,A244)+COUNTIF('Auction Draft Board'!$C$6:$AP$25,A244)&gt;0,"",A244),"")</f>
        <v/>
      </c>
    </row>
    <row r="245">
      <c r="A245" t="str">
        <f>IFERROR(__xludf.DUMMYFUNCTION("IFERROR(REGEXEXTRACT('Manual Data Import'!B245, ""^(.*)\s+[A-Z]{2,4}\s+\(\d+\)$""),'Manual Data Import'!B245) &amp; CHAR(10) &amp; 
IFERROR(REGEXREPLACE('Manual Data Import'!C245, ""\d+$"", """")) &amp;"" - ""&amp; 
IFERROR(REGEXEXTRACT('Manual Data Import'!B245, ""([A-Z"&amp;"]{2,4})\s+\(\d+\)$"")) &amp; "" (""&amp; 
IFERROR(REGEXEXTRACT('Manual Data Import'!B245, ""\((\d+)\)"")) &amp; "")"""),"Travis Hunter 
WR - JAC (7)")</f>
        <v>Travis Hunter 
WR - JAC (7)</v>
      </c>
      <c r="B245" s="30" t="str">
        <f>IFERROR(IF(COUNTIF('Draft Board'!$C$3:$V$24,A245)+COUNTIF(Keepers!$B$2:$U$21,A245)+COUNTIF('Auction Draft Board'!$C$6:$AP$25,A245)&gt;0,"",A245),"")</f>
        <v/>
      </c>
    </row>
    <row r="246">
      <c r="A246" t="str">
        <f>IFERROR(__xludf.DUMMYFUNCTION("IFERROR(REGEXEXTRACT('Manual Data Import'!B246, ""^(.*)\s+[A-Z]{2,4}\s+\(\d+\)$""),'Manual Data Import'!B246) &amp; CHAR(10) &amp; 
IFERROR(REGEXREPLACE('Manual Data Import'!C246, ""\d+$"", """")) &amp;"" - ""&amp; 
IFERROR(REGEXEXTRACT('Manual Data Import'!B246, ""([A-Z"&amp;"]{2,4})\s+\(\d+\)$"")) &amp; "" (""&amp; 
IFERROR(REGEXEXTRACT('Manual Data Import'!B246, ""\((\d+)\)"")) &amp; "")"""),"New Orleans Saints
DST - DST (8)")</f>
        <v>New Orleans Saints
DST - DST (8)</v>
      </c>
      <c r="B246" s="30" t="str">
        <f>IFERROR(IF(COUNTIF('Draft Board'!$C$3:$V$24,A246)+COUNTIF(Keepers!$B$2:$U$21,A246)+COUNTIF('Auction Draft Board'!$C$6:$AP$25,A246)&gt;0,"",A246),"")</f>
        <v/>
      </c>
    </row>
    <row r="247">
      <c r="A247" t="str">
        <f>IFERROR(__xludf.DUMMYFUNCTION("IFERROR(REGEXEXTRACT('Manual Data Import'!B247, ""^(.*)\s+[A-Z]{2,4}\s+\(\d+\)$""),'Manual Data Import'!B247) &amp; CHAR(10) &amp; 
IFERROR(REGEXREPLACE('Manual Data Import'!C247, ""\d+$"", """")) &amp;"" - ""&amp; 
IFERROR(REGEXEXTRACT('Manual Data Import'!B247, ""([A-Z"&amp;"]{2,4})\s+\(\d+\)$"")) &amp; "" (""&amp; 
IFERROR(REGEXEXTRACT('Manual Data Import'!B247, ""\((\d+)\)"")) &amp; "")"""),"Jacoby Brissett 
QB - ARI (14)")</f>
        <v>Jacoby Brissett 
QB - ARI (14)</v>
      </c>
      <c r="B247" s="30" t="str">
        <f>IFERROR(IF(COUNTIF('Draft Board'!$C$3:$V$24,A247)+COUNTIF(Keepers!$B$2:$U$21,A247)+COUNTIF('Auction Draft Board'!$C$6:$AP$25,A247)&gt;0,"",A247),"")</f>
        <v/>
      </c>
    </row>
    <row r="248">
      <c r="A248" t="str">
        <f>IFERROR(__xludf.DUMMYFUNCTION("IFERROR(REGEXEXTRACT('Manual Data Import'!B248, ""^(.*)\s+[A-Z]{2,4}\s+\(\d+\)$""),'Manual Data Import'!B248) &amp; CHAR(10) &amp; 
IFERROR(REGEXREPLACE('Manual Data Import'!C248, ""\d+$"", """")) &amp;"" - ""&amp; 
IFERROR(REGEXEXTRACT('Manual Data Import'!B248, ""([A-Z"&amp;"]{2,4})\s+\(\d+\)$"")) &amp; "" (""&amp; 
IFERROR(REGEXEXTRACT('Manual Data Import'!B248, ""\((\d+)\)"")) &amp; "")"""),"Shedeur Sanders 
QB - CLE (11)")</f>
        <v>Shedeur Sanders 
QB - CLE (11)</v>
      </c>
      <c r="B248" s="30" t="str">
        <f>IFERROR(IF(COUNTIF('Draft Board'!$C$3:$V$24,A248)+COUNTIF(Keepers!$B$2:$U$21,A248)+COUNTIF('Auction Draft Board'!$C$6:$AP$25,A248)&gt;0,"",A248),"")</f>
        <v/>
      </c>
    </row>
    <row r="249">
      <c r="A249" t="str">
        <f>IFERROR(__xludf.DUMMYFUNCTION("IFERROR(REGEXEXTRACT('Manual Data Import'!B249, ""^(.*)\s+[A-Z]{2,4}\s+\(\d+\)$""),'Manual Data Import'!B249) &amp; CHAR(10) &amp; 
IFERROR(REGEXREPLACE('Manual Data Import'!C249, ""\d+$"", """")) &amp;"" - ""&amp; 
IFERROR(REGEXEXTRACT('Manual Data Import'!B249, ""([A-Z"&amp;"]{2,4})\s+\(\d+\)$"")) &amp; "" (""&amp; 
IFERROR(REGEXEXTRACT('Manual Data Import'!B249, ""\((\d+)\)"")) &amp; "")"""),"J.J. McCarthy 
QB - MIN (6)")</f>
        <v>J.J. McCarthy 
QB - MIN (6)</v>
      </c>
      <c r="B249" s="30" t="str">
        <f>IFERROR(IF(COUNTIF('Draft Board'!$C$3:$V$24,A249)+COUNTIF(Keepers!$B$2:$U$21,A249)+COUNTIF('Auction Draft Board'!$C$6:$AP$25,A249)&gt;0,"",A249),"")</f>
        <v/>
      </c>
    </row>
    <row r="250">
      <c r="A250" t="str">
        <f>IFERROR(__xludf.DUMMYFUNCTION("IFERROR(REGEXEXTRACT('Manual Data Import'!B250, ""^(.*)\s+[A-Z]{2,4}\s+\(\d+\)$""),'Manual Data Import'!B250) &amp; CHAR(10) &amp; 
IFERROR(REGEXREPLACE('Manual Data Import'!C250, ""\d+$"", """")) &amp;"" - ""&amp; 
IFERROR(REGEXEXTRACT('Manual Data Import'!B250, ""([A-Z"&amp;"]{2,4})\s+\(\d+\)$"")) &amp; "" (""&amp; 
IFERROR(REGEXEXTRACT('Manual Data Import'!B250, ""\((\d+)\)"")) &amp; "")"""),"Jaylen Wright 
RB - MIA (6)")</f>
        <v>Jaylen Wright 
RB - MIA (6)</v>
      </c>
      <c r="B250" s="30" t="str">
        <f>IFERROR(IF(COUNTIF('Draft Board'!$C$3:$V$24,A250)+COUNTIF(Keepers!$B$2:$U$21,A250)+COUNTIF('Auction Draft Board'!$C$6:$AP$25,A250)&gt;0,"",A250),"")</f>
        <v/>
      </c>
    </row>
    <row r="251">
      <c r="A251" t="str">
        <f>IFERROR(__xludf.DUMMYFUNCTION("IFERROR(REGEXEXTRACT('Manual Data Import'!B251, ""^(.*)\s+[A-Z]{2,4}\s+\(\d+\)$""),'Manual Data Import'!B251) &amp; CHAR(10) &amp; 
IFERROR(REGEXREPLACE('Manual Data Import'!C251, ""\d+$"", """")) &amp;"" - ""&amp; 
IFERROR(REGEXEXTRACT('Manual Data Import'!B251, ""([A-Z"&amp;"]{2,4})\s+\(\d+\)$"")) &amp; "" (""&amp; 
IFERROR(REGEXEXTRACT('Manual Data Import'!B251, ""\((\d+)\)"")) &amp; "")"""),"Chris Bell 
WR - MIA (6)")</f>
        <v>Chris Bell 
WR - MIA (6)</v>
      </c>
      <c r="B251" s="30" t="str">
        <f>IFERROR(IF(COUNTIF('Draft Board'!$C$3:$V$24,A251)+COUNTIF(Keepers!$B$2:$U$21,A251)+COUNTIF('Auction Draft Board'!$C$6:$AP$25,A251)&gt;0,"",A251),"")</f>
        <v/>
      </c>
    </row>
    <row r="252">
      <c r="A252" t="str">
        <f>IFERROR(__xludf.DUMMYFUNCTION("IFERROR(REGEXEXTRACT('Manual Data Import'!B252, ""^(.*)\s+[A-Z]{2,4}\s+\(\d+\)$""),'Manual Data Import'!B252) &amp; CHAR(10) &amp; 
IFERROR(REGEXREPLACE('Manual Data Import'!C252, ""\d+$"", """")) &amp;"" - ""&amp; 
IFERROR(REGEXEXTRACT('Manual Data Import'!B252, ""([A-Z"&amp;"]{2,4})\s+\(\d+\)$"")) &amp; "" (""&amp; 
IFERROR(REGEXEXTRACT('Manual Data Import'!B252, ""\((\d+)\)"")) &amp; "")"""),"Demond Claiborne 
RB - MIN (6)")</f>
        <v>Demond Claiborne 
RB - MIN (6)</v>
      </c>
      <c r="B252" s="30" t="str">
        <f>IFERROR(IF(COUNTIF('Draft Board'!$C$3:$V$24,A252)+COUNTIF(Keepers!$B$2:$U$21,A252)+COUNTIF('Auction Draft Board'!$C$6:$AP$25,A252)&gt;0,"",A252),"")</f>
        <v/>
      </c>
    </row>
    <row r="253">
      <c r="A253" t="str">
        <f>IFERROR(__xludf.DUMMYFUNCTION("IFERROR(REGEXEXTRACT('Manual Data Import'!B253, ""^(.*)\s+[A-Z]{2,4}\s+\(\d+\)$""),'Manual Data Import'!B253) &amp; CHAR(10) &amp; 
IFERROR(REGEXREPLACE('Manual Data Import'!C253, ""\d+$"", """")) &amp;"" - ""&amp; 
IFERROR(REGEXEXTRACT('Manual Data Import'!B253, ""([A-Z"&amp;"]{2,4})\s+\(\d+\)$"")) &amp; "" (""&amp; 
IFERROR(REGEXEXTRACT('Manual Data Import'!B253, ""\((\d+)\)"")) &amp; "")"""),"Carolina Panthers
DST - DST (5)")</f>
        <v>Carolina Panthers
DST - DST (5)</v>
      </c>
      <c r="B253" s="30" t="str">
        <f>IFERROR(IF(COUNTIF('Draft Board'!$C$3:$V$24,A253)+COUNTIF(Keepers!$B$2:$U$21,A253)+COUNTIF('Auction Draft Board'!$C$6:$AP$25,A253)&gt;0,"",A253),"")</f>
        <v/>
      </c>
    </row>
    <row r="254">
      <c r="A254" t="str">
        <f>IFERROR(__xludf.DUMMYFUNCTION("IFERROR(REGEXEXTRACT('Manual Data Import'!B254, ""^(.*)\s+[A-Z]{2,4}\s+\(\d+\)$""),'Manual Data Import'!B254) &amp; CHAR(10) &amp; 
IFERROR(REGEXREPLACE('Manual Data Import'!C254, ""\d+$"", """")) &amp;"" - ""&amp; 
IFERROR(REGEXEXTRACT('Manual Data Import'!B254, ""([A-Z"&amp;"]{2,4})\s+\(\d+\)$"")) &amp; "" (""&amp; 
IFERROR(REGEXEXTRACT('Manual Data Import'!B254, ""\((\d+)\)"")) &amp; "")"""),"Devaughn Vele 
WR - NO (8)")</f>
        <v>Devaughn Vele 
WR - NO (8)</v>
      </c>
      <c r="B254" s="30" t="str">
        <f>IFERROR(IF(COUNTIF('Draft Board'!$C$3:$V$24,A254)+COUNTIF(Keepers!$B$2:$U$21,A254)+COUNTIF('Auction Draft Board'!$C$6:$AP$25,A254)&gt;0,"",A254),"")</f>
        <v/>
      </c>
    </row>
    <row r="255">
      <c r="A255" t="str">
        <f>IFERROR(__xludf.DUMMYFUNCTION("IFERROR(REGEXEXTRACT('Manual Data Import'!B255, ""^(.*)\s+[A-Z]{2,4}\s+\(\d+\)$""),'Manual Data Import'!B255) &amp; CHAR(10) &amp; 
IFERROR(REGEXREPLACE('Manual Data Import'!C255, ""\d+$"", """")) &amp;"" - ""&amp; 
IFERROR(REGEXEXTRACT('Manual Data Import'!B255, ""([A-Z"&amp;"]{2,4})\s+\(\d+\)$"")) &amp; "" (""&amp; 
IFERROR(REGEXEXTRACT('Manual Data Import'!B255, ""\((\d+)\)"")) &amp; "")"""),"Cincinnati Bengals
DST - DST (6)")</f>
        <v>Cincinnati Bengals
DST - DST (6)</v>
      </c>
      <c r="B255" s="30" t="str">
        <f>IFERROR(IF(COUNTIF('Draft Board'!$C$3:$V$24,A255)+COUNTIF(Keepers!$B$2:$U$21,A255)+COUNTIF('Auction Draft Board'!$C$6:$AP$25,A255)&gt;0,"",A255),"")</f>
        <v/>
      </c>
    </row>
    <row r="256">
      <c r="A256" t="str">
        <f>IFERROR(__xludf.DUMMYFUNCTION("IFERROR(REGEXEXTRACT('Manual Data Import'!B256, ""^(.*)\s+[A-Z]{2,4}\s+\(\d+\)$""),'Manual Data Import'!B256) &amp; CHAR(10) &amp; 
IFERROR(REGEXREPLACE('Manual Data Import'!C256, ""\d+$"", """")) &amp;"" - ""&amp; 
IFERROR(REGEXEXTRACT('Manual Data Import'!B256, ""([A-Z"&amp;"]{2,4})\s+\(\d+\)$"")) &amp; "" (""&amp; 
IFERROR(REGEXEXTRACT('Manual Data Import'!B256, ""\((\d+)\)"")) &amp; "")"""),"Tampa Bay Buccaneers
DST - DST (10)")</f>
        <v>Tampa Bay Buccaneers
DST - DST (10)</v>
      </c>
      <c r="B256" s="30" t="str">
        <f>IFERROR(IF(COUNTIF('Draft Board'!$C$3:$V$24,A256)+COUNTIF(Keepers!$B$2:$U$21,A256)+COUNTIF('Auction Draft Board'!$C$6:$AP$25,A256)&gt;0,"",A256),"")</f>
        <v/>
      </c>
    </row>
    <row r="257">
      <c r="A257" t="str">
        <f>IFERROR(__xludf.DUMMYFUNCTION("IFERROR(REGEXEXTRACT('Manual Data Import'!B257, ""^(.*)\s+[A-Z]{2,4}\s+\(\d+\)$""),'Manual Data Import'!B257) &amp; CHAR(10) &amp; 
IFERROR(REGEXREPLACE('Manual Data Import'!C257, ""\d+$"", """")) &amp;"" - ""&amp; 
IFERROR(REGEXEXTRACT('Manual Data Import'!B257, ""([A-Z"&amp;"]{2,4})\s+\(\d+\)$"")) &amp; "" (""&amp; 
IFERROR(REGEXEXTRACT('Manual Data Import'!B257, ""\((\d+)\)"")) &amp; "")"""),"Dontayvion Wicks 
WR - PHI (10)")</f>
        <v>Dontayvion Wicks 
WR - PHI (10)</v>
      </c>
      <c r="B257" s="30" t="str">
        <f>IFERROR(IF(COUNTIF('Draft Board'!$C$3:$V$24,A257)+COUNTIF(Keepers!$B$2:$U$21,A257)+COUNTIF('Auction Draft Board'!$C$6:$AP$25,A257)&gt;0,"",A257),"")</f>
        <v/>
      </c>
    </row>
    <row r="258">
      <c r="A258" t="str">
        <f>IFERROR(__xludf.DUMMYFUNCTION("IFERROR(REGEXEXTRACT('Manual Data Import'!B258, ""^(.*)\s+[A-Z]{2,4}\s+\(\d+\)$""),'Manual Data Import'!B258) &amp; CHAR(10) &amp; 
IFERROR(REGEXREPLACE('Manual Data Import'!C258, ""\d+$"", """")) &amp;"" - ""&amp; 
IFERROR(REGEXEXTRACT('Manual Data Import'!B258, ""([A-Z"&amp;"]{2,4})\s+\(\d+\)$"")) &amp; "" (""&amp; 
IFERROR(REGEXEXTRACT('Manual Data Import'!B258, ""\((\d+)\)"")) &amp; "")"""),"Christian Kirk 
WR - SF (8)")</f>
        <v>Christian Kirk 
WR - SF (8)</v>
      </c>
      <c r="B258" s="30" t="str">
        <f>IFERROR(IF(COUNTIF('Draft Board'!$C$3:$V$24,A258)+COUNTIF(Keepers!$B$2:$U$21,A258)+COUNTIF('Auction Draft Board'!$C$6:$AP$25,A258)&gt;0,"",A258),"")</f>
        <v/>
      </c>
    </row>
    <row r="259">
      <c r="A259" t="str">
        <f>IFERROR(__xludf.DUMMYFUNCTION("IFERROR(REGEXEXTRACT('Manual Data Import'!B259, ""^(.*)\s+[A-Z]{2,4}\s+\(\d+\)$""),'Manual Data Import'!B259) &amp; CHAR(10) &amp; 
IFERROR(REGEXREPLACE('Manual Data Import'!C259, ""\d+$"", """")) &amp;"" - ""&amp; 
IFERROR(REGEXEXTRACT('Manual Data Import'!B259, ""([A-Z"&amp;"]{2,4})\s+\(\d+\)$"")) &amp; "" (""&amp; 
IFERROR(REGEXEXTRACT('Manual Data Import'!B259, ""\((\d+)\)"")) &amp; "")"""),"Isaac TeSlaa 
WR - DET (6)")</f>
        <v>Isaac TeSlaa 
WR - DET (6)</v>
      </c>
      <c r="B259" s="30" t="str">
        <f>IFERROR(IF(COUNTIF('Draft Board'!$C$3:$V$24,A259)+COUNTIF(Keepers!$B$2:$U$21,A259)+COUNTIF('Auction Draft Board'!$C$6:$AP$25,A259)&gt;0,"",A259),"")</f>
        <v/>
      </c>
    </row>
    <row r="260">
      <c r="A260" t="str">
        <f>IFERROR(__xludf.DUMMYFUNCTION("IFERROR(REGEXEXTRACT('Manual Data Import'!B260, ""^(.*)\s+[A-Z]{2,4}\s+\(\d+\)$""),'Manual Data Import'!B260) &amp; CHAR(10) &amp; 
IFERROR(REGEXREPLACE('Manual Data Import'!C260, ""\d+$"", """")) &amp;"" - ""&amp; 
IFERROR(REGEXEXTRACT('Manual Data Import'!B260, ""([A-Z"&amp;"]{2,4})\s+\(\d+\)$"")) &amp; "" (""&amp; 
IFERROR(REGEXEXTRACT('Manual Data Import'!B260, ""\((\d+)\)"")) &amp; "")"""),"Eli Stowers 
TE - PHI (10)")</f>
        <v>Eli Stowers 
TE - PHI (10)</v>
      </c>
      <c r="B260" s="30" t="str">
        <f>IFERROR(IF(COUNTIF('Draft Board'!$C$3:$V$24,A260)+COUNTIF(Keepers!$B$2:$U$21,A260)+COUNTIF('Auction Draft Board'!$C$6:$AP$25,A260)&gt;0,"",A260),"")</f>
        <v/>
      </c>
    </row>
    <row r="261">
      <c r="A261" t="str">
        <f>IFERROR(__xludf.DUMMYFUNCTION("IFERROR(REGEXEXTRACT('Manual Data Import'!B261, ""^(.*)\s+[A-Z]{2,4}\s+\(\d+\)$""),'Manual Data Import'!B261) &amp; CHAR(10) &amp; 
IFERROR(REGEXREPLACE('Manual Data Import'!C261, ""\d+$"", """")) &amp;"" - ""&amp; 
IFERROR(REGEXEXTRACT('Manual Data Import'!B261, ""([A-Z"&amp;"]{2,4})\s+\(\d+\)$"")) &amp; "" (""&amp; 
IFERROR(REGEXEXTRACT('Manual Data Import'!B261, ""\((\d+)\)"")) &amp; "")"""),"Jordan James 
RB - SF (8)")</f>
        <v>Jordan James 
RB - SF (8)</v>
      </c>
      <c r="B261" s="30" t="str">
        <f>IFERROR(IF(COUNTIF('Draft Board'!$C$3:$V$24,A261)+COUNTIF(Keepers!$B$2:$U$21,A261)+COUNTIF('Auction Draft Board'!$C$6:$AP$25,A261)&gt;0,"",A261),"")</f>
        <v/>
      </c>
    </row>
    <row r="262">
      <c r="A262" t="str">
        <f>IFERROR(__xludf.DUMMYFUNCTION("IFERROR(REGEXEXTRACT('Manual Data Import'!B262, ""^(.*)\s+[A-Z]{2,4}\s+\(\d+\)$""),'Manual Data Import'!B262) &amp; CHAR(10) &amp; 
IFERROR(REGEXREPLACE('Manual Data Import'!C262, ""\d+$"", """")) &amp;"" - ""&amp; 
IFERROR(REGEXEXTRACT('Manual Data Import'!B262, ""([A-Z"&amp;"]{2,4})\s+\(\d+\)$"")) &amp; "" (""&amp; 
IFERROR(REGEXEXTRACT('Manual Data Import'!B262, ""\((\d+)\)"")) &amp; "")"""),"George Holani 
RB - SEA (11)")</f>
        <v>George Holani 
RB - SEA (11)</v>
      </c>
      <c r="B262" s="30" t="str">
        <f>IFERROR(IF(COUNTIF('Draft Board'!$C$3:$V$24,A262)+COUNTIF(Keepers!$B$2:$U$21,A262)+COUNTIF('Auction Draft Board'!$C$6:$AP$25,A262)&gt;0,"",A262),"")</f>
        <v/>
      </c>
    </row>
    <row r="263">
      <c r="A263" t="str">
        <f>IFERROR(__xludf.DUMMYFUNCTION("IFERROR(REGEXEXTRACT('Manual Data Import'!B263, ""^(.*)\s+[A-Z]{2,4}\s+\(\d+\)$""),'Manual Data Import'!B263) &amp; CHAR(10) &amp; 
IFERROR(REGEXREPLACE('Manual Data Import'!C263, ""\d+$"", """")) &amp;"" - ""&amp; 
IFERROR(REGEXEXTRACT('Manual Data Import'!B263, ""([A-Z"&amp;"]{2,4})\s+\(\d+\)$"")) &amp; "" (""&amp; 
IFERROR(REGEXEXTRACT('Manual Data Import'!B263, ""\((\d+)\)"")) &amp; "")"""),"Ryan Flournoy 
WR - DAL (14)")</f>
        <v>Ryan Flournoy 
WR - DAL (14)</v>
      </c>
      <c r="B263" s="30" t="str">
        <f>IFERROR(IF(COUNTIF('Draft Board'!$C$3:$V$24,A263)+COUNTIF(Keepers!$B$2:$U$21,A263)+COUNTIF('Auction Draft Board'!$C$6:$AP$25,A263)&gt;0,"",A263),"")</f>
        <v/>
      </c>
    </row>
    <row r="264">
      <c r="A264" t="str">
        <f>IFERROR(__xludf.DUMMYFUNCTION("IFERROR(REGEXEXTRACT('Manual Data Import'!B264, ""^(.*)\s+[A-Z]{2,4}\s+\(\d+\)$""),'Manual Data Import'!B264) &amp; CHAR(10) &amp; 
IFERROR(REGEXREPLACE('Manual Data Import'!C264, ""\d+$"", """")) &amp;"" - ""&amp; 
IFERROR(REGEXEXTRACT('Manual Data Import'!B264, ""([A-Z"&amp;"]{2,4})\s+\(\d+\)$"")) &amp; "" (""&amp; 
IFERROR(REGEXEXTRACT('Manual Data Import'!B264, ""\((\d+)\)"")) &amp; "")"""),"Ty Simpson 
QB - LAR (11)")</f>
        <v>Ty Simpson 
QB - LAR (11)</v>
      </c>
      <c r="B264" s="30" t="str">
        <f>IFERROR(IF(COUNTIF('Draft Board'!$C$3:$V$24,A264)+COUNTIF(Keepers!$B$2:$U$21,A264)+COUNTIF('Auction Draft Board'!$C$6:$AP$25,A264)&gt;0,"",A264),"")</f>
        <v/>
      </c>
    </row>
    <row r="265">
      <c r="A265" t="str">
        <f>IFERROR(__xludf.DUMMYFUNCTION("IFERROR(REGEXEXTRACT('Manual Data Import'!B265, ""^(.*)\s+[A-Z]{2,4}\s+\(\d+\)$""),'Manual Data Import'!B265) &amp; CHAR(10) &amp; 
IFERROR(REGEXREPLACE('Manual Data Import'!C265, ""\d+$"", """")) &amp;"" - ""&amp; 
IFERROR(REGEXEXTRACT('Manual Data Import'!B265, ""([A-Z"&amp;"]{2,4})\s+\(\d+\)$"")) &amp; "" (""&amp; 
IFERROR(REGEXEXTRACT('Manual Data Import'!B265, ""\((\d+)\)"")) &amp; "")"""),"Las Vegas Raiders
DST - DST (13)")</f>
        <v>Las Vegas Raiders
DST - DST (13)</v>
      </c>
      <c r="B265" s="30" t="str">
        <f>IFERROR(IF(COUNTIF('Draft Board'!$C$3:$V$24,A265)+COUNTIF(Keepers!$B$2:$U$21,A265)+COUNTIF('Auction Draft Board'!$C$6:$AP$25,A265)&gt;0,"",A265),"")</f>
        <v/>
      </c>
    </row>
    <row r="266">
      <c r="A266" t="str">
        <f>IFERROR(__xludf.DUMMYFUNCTION("IFERROR(REGEXEXTRACT('Manual Data Import'!B266, ""^(.*)\s+[A-Z]{2,4}\s+\(\d+\)$""),'Manual Data Import'!B266) &amp; CHAR(10) &amp; 
IFERROR(REGEXREPLACE('Manual Data Import'!C266, ""\d+$"", """")) &amp;"" - ""&amp; 
IFERROR(REGEXEXTRACT('Manual Data Import'!B266, ""([A-Z"&amp;"]{2,4})\s+\(\d+\)$"")) &amp; "" (""&amp; 
IFERROR(REGEXEXTRACT('Manual Data Import'!B266, ""\((\d+)\)"")) &amp; "")"""),"Brandon Aiyuk 
WR - SF (8)")</f>
        <v>Brandon Aiyuk 
WR - SF (8)</v>
      </c>
      <c r="B266" s="30" t="str">
        <f>IFERROR(IF(COUNTIF('Draft Board'!$C$3:$V$24,A266)+COUNTIF(Keepers!$B$2:$U$21,A266)+COUNTIF('Auction Draft Board'!$C$6:$AP$25,A266)&gt;0,"",A266),"")</f>
        <v/>
      </c>
    </row>
    <row r="267">
      <c r="A267" t="str">
        <f>IFERROR(__xludf.DUMMYFUNCTION("IFERROR(REGEXEXTRACT('Manual Data Import'!B267, ""^(.*)\s+[A-Z]{2,4}\s+\(\d+\)$""),'Manual Data Import'!B267) &amp; CHAR(10) &amp; 
IFERROR(REGEXREPLACE('Manual Data Import'!C267, ""\d+$"", """")) &amp;"" - ""&amp; 
IFERROR(REGEXEXTRACT('Manual Data Import'!B267, ""([A-Z"&amp;"]{2,4})\s+\(\d+\)$"")) &amp; "" (""&amp; 
IFERROR(REGEXEXTRACT('Manual Data Import'!B267, ""\((\d+)\)"")) &amp; "")"""),"Kyle Williams 
WR - NE (11)")</f>
        <v>Kyle Williams 
WR - NE (11)</v>
      </c>
      <c r="B267" s="30" t="str">
        <f>IFERROR(IF(COUNTIF('Draft Board'!$C$3:$V$24,A267)+COUNTIF(Keepers!$B$2:$U$21,A267)+COUNTIF('Auction Draft Board'!$C$6:$AP$25,A267)&gt;0,"",A267),"")</f>
        <v/>
      </c>
    </row>
    <row r="268">
      <c r="A268" t="str">
        <f>IFERROR(__xludf.DUMMYFUNCTION("IFERROR(REGEXEXTRACT('Manual Data Import'!B268, ""^(.*)\s+[A-Z]{2,4}\s+\(\d+\)$""),'Manual Data Import'!B268) &amp; CHAR(10) &amp; 
IFERROR(REGEXREPLACE('Manual Data Import'!C268, ""\d+$"", """")) &amp;"" - ""&amp; 
IFERROR(REGEXEXTRACT('Manual Data Import'!B268, ""([A-Z"&amp;"]{2,4})\s+\(\d+\)$"")) &amp; "" (""&amp; 
IFERROR(REGEXEXTRACT('Manual Data Import'!B268, ""\((\d+)\)"")) &amp; "")"""),"Kimani Vidal 
RB - LAC (7)")</f>
        <v>Kimani Vidal 
RB - LAC (7)</v>
      </c>
      <c r="B268" s="30" t="str">
        <f>IFERROR(IF(COUNTIF('Draft Board'!$C$3:$V$24,A268)+COUNTIF(Keepers!$B$2:$U$21,A268)+COUNTIF('Auction Draft Board'!$C$6:$AP$25,A268)&gt;0,"",A268),"")</f>
        <v/>
      </c>
    </row>
    <row r="269">
      <c r="A269" t="str">
        <f>IFERROR(__xludf.DUMMYFUNCTION("IFERROR(REGEXEXTRACT('Manual Data Import'!B269, ""^(.*)\s+[A-Z]{2,4}\s+\(\d+\)$""),'Manual Data Import'!B269) &amp; CHAR(10) &amp; 
IFERROR(REGEXREPLACE('Manual Data Import'!C269, ""\d+$"", """")) &amp;"" - ""&amp; 
IFERROR(REGEXEXTRACT('Manual Data Import'!B269, ""([A-Z"&amp;"]{2,4})\s+\(\d+\)$"")) &amp; "" (""&amp; 
IFERROR(REGEXEXTRACT('Manual Data Import'!B269, ""\((\d+)\)"")) &amp; "")"""),"Nick Folk 
K - ATL (11)")</f>
        <v>Nick Folk 
K - ATL (11)</v>
      </c>
      <c r="B269" s="30" t="str">
        <f>IFERROR(IF(COUNTIF('Draft Board'!$C$3:$V$24,A269)+COUNTIF(Keepers!$B$2:$U$21,A269)+COUNTIF('Auction Draft Board'!$C$6:$AP$25,A269)&gt;0,"",A269),"")</f>
        <v/>
      </c>
    </row>
    <row r="270">
      <c r="A270" t="str">
        <f>IFERROR(__xludf.DUMMYFUNCTION("IFERROR(REGEXEXTRACT('Manual Data Import'!B270, ""^(.*)\s+[A-Z]{2,4}\s+\(\d+\)$""),'Manual Data Import'!B270) &amp; CHAR(10) &amp; 
IFERROR(REGEXREPLACE('Manual Data Import'!C270, ""\d+$"", """")) &amp;"" - ""&amp; 
IFERROR(REGEXEXTRACT('Manual Data Import'!B270, ""([A-Z"&amp;"]{2,4})\s+\(\d+\)$"")) &amp; "" (""&amp; 
IFERROR(REGEXEXTRACT('Manual Data Import'!B270, ""\((\d+)\)"")) &amp; "")"""),"Antonio Williams 
WR - WAS (7)")</f>
        <v>Antonio Williams 
WR - WAS (7)</v>
      </c>
      <c r="B270" s="30" t="str">
        <f>IFERROR(IF(COUNTIF('Draft Board'!$C$3:$V$24,A270)+COUNTIF(Keepers!$B$2:$U$21,A270)+COUNTIF('Auction Draft Board'!$C$6:$AP$25,A270)&gt;0,"",A270),"")</f>
        <v/>
      </c>
    </row>
    <row r="271">
      <c r="A271" t="str">
        <f>IFERROR(__xludf.DUMMYFUNCTION("IFERROR(REGEXEXTRACT('Manual Data Import'!B271, ""^(.*)\s+[A-Z]{2,4}\s+\(\d+\)$""),'Manual Data Import'!B271) &amp; CHAR(10) &amp; 
IFERROR(REGEXREPLACE('Manual Data Import'!C271, ""\d+$"", """")) &amp;"" - ""&amp; 
IFERROR(REGEXEXTRACT('Manual Data Import'!B271, ""([A-Z"&amp;"]{2,4})\s+\(\d+\)$"")) &amp; "" (""&amp; 
IFERROR(REGEXEXTRACT('Manual Data Import'!B271, ""\((\d+)\)"")) &amp; "")"""),"Indianapolis Colts
DST - DST (13)")</f>
        <v>Indianapolis Colts
DST - DST (13)</v>
      </c>
      <c r="B271" s="30" t="str">
        <f>IFERROR(IF(COUNTIF('Draft Board'!$C$3:$V$24,A271)+COUNTIF(Keepers!$B$2:$U$21,A271)+COUNTIF('Auction Draft Board'!$C$6:$AP$25,A271)&gt;0,"",A271),"")</f>
        <v/>
      </c>
    </row>
    <row r="272">
      <c r="A272" t="str">
        <f>IFERROR(__xludf.DUMMYFUNCTION("IFERROR(REGEXEXTRACT('Manual Data Import'!B272, ""^(.*)\s+[A-Z]{2,4}\s+\(\d+\)$""),'Manual Data Import'!B272) &amp; CHAR(10) &amp; 
IFERROR(REGEXREPLACE('Manual Data Import'!C272, ""\d+$"", """")) &amp;"" - ""&amp; 
IFERROR(REGEXEXTRACT('Manual Data Import'!B272, ""([A-Z"&amp;"]{2,4})\s+\(\d+\)$"")) &amp; "" (""&amp; 
IFERROR(REGEXEXTRACT('Manual Data Import'!B272, ""\((\d+)\)"")) &amp; "")"""),"Gunnar Helm 
TE - TEN (9)")</f>
        <v>Gunnar Helm 
TE - TEN (9)</v>
      </c>
      <c r="B272" s="30" t="str">
        <f>IFERROR(IF(COUNTIF('Draft Board'!$C$3:$V$24,A272)+COUNTIF(Keepers!$B$2:$U$21,A272)+COUNTIF('Auction Draft Board'!$C$6:$AP$25,A272)&gt;0,"",A272),"")</f>
        <v/>
      </c>
    </row>
    <row r="273">
      <c r="A273" t="str">
        <f>IFERROR(__xludf.DUMMYFUNCTION("IFERROR(REGEXEXTRACT('Manual Data Import'!B273, ""^(.*)\s+[A-Z]{2,4}\s+\(\d+\)$""),'Manual Data Import'!B273) &amp; CHAR(10) &amp; 
IFERROR(REGEXREPLACE('Manual Data Import'!C273, ""\d+$"", """")) &amp;"" - ""&amp; 
IFERROR(REGEXEXTRACT('Manual Data Import'!B273, ""([A-Z"&amp;"]{2,4})\s+\(\d+\)$"")) &amp; "" (""&amp; 
IFERROR(REGEXEXTRACT('Manual Data Import'!B273, ""\((\d+)\)"")) &amp; "")"""),"Germie Bernard 
WR - PIT (9)")</f>
        <v>Germie Bernard 
WR - PIT (9)</v>
      </c>
      <c r="B273" s="30" t="str">
        <f>IFERROR(IF(COUNTIF('Draft Board'!$C$3:$V$24,A273)+COUNTIF(Keepers!$B$2:$U$21,A273)+COUNTIF('Auction Draft Board'!$C$6:$AP$25,A273)&gt;0,"",A273),"")</f>
        <v/>
      </c>
    </row>
    <row r="274">
      <c r="A274" t="str">
        <f>IFERROR(__xludf.DUMMYFUNCTION("IFERROR(REGEXEXTRACT('Manual Data Import'!B274, ""^(.*)\s+[A-Z]{2,4}\s+\(\d+\)$""),'Manual Data Import'!B274) &amp; CHAR(10) &amp; 
IFERROR(REGEXREPLACE('Manual Data Import'!C274, ""\d+$"", """")) &amp;"" - ""&amp; 
IFERROR(REGEXEXTRACT('Manual Data Import'!B274, ""([A-Z"&amp;"]{2,4})\s+\(\d+\)$"")) &amp; "" (""&amp; 
IFERROR(REGEXEXTRACT('Manual Data Import'!B274, ""\((\d+)\)"")) &amp; "")"""),"Jaylin Noel 
WR - HOU (8)")</f>
        <v>Jaylin Noel 
WR - HOU (8)</v>
      </c>
      <c r="B274" s="30" t="str">
        <f>IFERROR(IF(COUNTIF('Draft Board'!$C$3:$V$24,A274)+COUNTIF(Keepers!$B$2:$U$21,A274)+COUNTIF('Auction Draft Board'!$C$6:$AP$25,A274)&gt;0,"",A274),"")</f>
        <v/>
      </c>
    </row>
    <row r="275">
      <c r="A275" t="str">
        <f>IFERROR(__xludf.DUMMYFUNCTION("IFERROR(REGEXEXTRACT('Manual Data Import'!B275, ""^(.*)\s+[A-Z]{2,4}\s+\(\d+\)$""),'Manual Data Import'!B275) &amp; CHAR(10) &amp; 
IFERROR(REGEXREPLACE('Manual Data Import'!C275, ""\d+$"", """")) &amp;"" - ""&amp; 
IFERROR(REGEXEXTRACT('Manual Data Import'!B275, ""([A-Z"&amp;"]{2,4})\s+\(\d+\)$"")) &amp; "" (""&amp; 
IFERROR(REGEXEXTRACT('Manual Data Import'!B275, ""\((\d+)\)"")) &amp; "")"""),"Rashod Bateman 
WR - BAL (13)")</f>
        <v>Rashod Bateman 
WR - BAL (13)</v>
      </c>
      <c r="B275" s="30" t="str">
        <f>IFERROR(IF(COUNTIF('Draft Board'!$C$3:$V$24,A275)+COUNTIF(Keepers!$B$2:$U$21,A275)+COUNTIF('Auction Draft Board'!$C$6:$AP$25,A275)&gt;0,"",A275),"")</f>
        <v/>
      </c>
    </row>
    <row r="276">
      <c r="A276" t="str">
        <f>IFERROR(__xludf.DUMMYFUNCTION("IFERROR(REGEXEXTRACT('Manual Data Import'!B276, ""^(.*)\s+[A-Z]{2,4}\s+\(\d+\)$""),'Manual Data Import'!B276) &amp; CHAR(10) &amp; 
IFERROR(REGEXREPLACE('Manual Data Import'!C276, ""\d+$"", """")) &amp;"" - ""&amp; 
IFERROR(REGEXEXTRACT('Manual Data Import'!B276, ""([A-Z"&amp;"]{2,4})\s+\(\d+\)$"")) &amp; "" (""&amp; 
IFERROR(REGEXEXTRACT('Manual Data Import'!B276, ""\((\d+)\)"")) &amp; "")"""),"Tennessee Titans
DST - DST (9)")</f>
        <v>Tennessee Titans
DST - DST (9)</v>
      </c>
      <c r="B276" s="30" t="str">
        <f>IFERROR(IF(COUNTIF('Draft Board'!$C$3:$V$24,A276)+COUNTIF(Keepers!$B$2:$U$21,A276)+COUNTIF('Auction Draft Board'!$C$6:$AP$25,A276)&gt;0,"",A276),"")</f>
        <v/>
      </c>
    </row>
    <row r="277">
      <c r="A277" t="str">
        <f>IFERROR(__xludf.DUMMYFUNCTION("IFERROR(REGEXEXTRACT('Manual Data Import'!B277, ""^(.*)\s+[A-Z]{2,4}\s+\(\d+\)$""),'Manual Data Import'!B277) &amp; CHAR(10) &amp; 
IFERROR(REGEXREPLACE('Manual Data Import'!C277, ""\d+$"", """")) &amp;"" - ""&amp; 
IFERROR(REGEXEXTRACT('Manual Data Import'!B277, ""([A-Z"&amp;"]{2,4})\s+\(\d+\)$"")) &amp; "" (""&amp; 
IFERROR(REGEXEXTRACT('Manual Data Import'!B277, ""\((\d+)\)"")) &amp; "")"""),"Washington Commanders
DST - DST (7)")</f>
        <v>Washington Commanders
DST - DST (7)</v>
      </c>
      <c r="B277" s="30" t="str">
        <f>IFERROR(IF(COUNTIF('Draft Board'!$C$3:$V$24,A277)+COUNTIF(Keepers!$B$2:$U$21,A277)+COUNTIF('Auction Draft Board'!$C$6:$AP$25,A277)&gt;0,"",A277),"")</f>
        <v/>
      </c>
    </row>
    <row r="278">
      <c r="A278" t="str">
        <f>IFERROR(__xludf.DUMMYFUNCTION("IFERROR(REGEXEXTRACT('Manual Data Import'!B278, ""^(.*)\s+[A-Z]{2,4}\s+\(\d+\)$""),'Manual Data Import'!B278) &amp; CHAR(10) &amp; 
IFERROR(REGEXREPLACE('Manual Data Import'!C278, ""\d+$"", """")) &amp;"" - ""&amp; 
IFERROR(REGEXEXTRACT('Manual Data Import'!B278, ""([A-Z"&amp;"]{2,4})\s+\(\d+\)$"")) &amp; "" (""&amp; 
IFERROR(REGEXEXTRACT('Manual Data Import'!B278, ""\((\d+)\)"")) &amp; "")"""),"Pat Bryant 
WR - DEN (10)")</f>
        <v>Pat Bryant 
WR - DEN (10)</v>
      </c>
      <c r="B278" s="30" t="str">
        <f>IFERROR(IF(COUNTIF('Draft Board'!$C$3:$V$24,A278)+COUNTIF(Keepers!$B$2:$U$21,A278)+COUNTIF('Auction Draft Board'!$C$6:$AP$25,A278)&gt;0,"",A278),"")</f>
        <v/>
      </c>
    </row>
    <row r="279">
      <c r="A279" t="str">
        <f>IFERROR(__xludf.DUMMYFUNCTION("IFERROR(REGEXEXTRACT('Manual Data Import'!B279, ""^(.*)\s+[A-Z]{2,4}\s+\(\d+\)$""),'Manual Data Import'!B279) &amp; CHAR(10) &amp; 
IFERROR(REGEXREPLACE('Manual Data Import'!C279, ""\d+$"", """")) &amp;"" - ""&amp; 
IFERROR(REGEXEXTRACT('Manual Data Import'!B279, ""([A-Z"&amp;"]{2,4})\s+\(\d+\)$"")) &amp; "" (""&amp; 
IFERROR(REGEXEXTRACT('Manual Data Import'!B279, ""\((\d+)\)"")) &amp; "")"""),"Joe Mixon
RB -  ()")</f>
        <v>Joe Mixon
RB -  ()</v>
      </c>
      <c r="B279" s="30" t="str">
        <f>IFERROR(IF(COUNTIF('Draft Board'!$C$3:$V$24,A279)+COUNTIF(Keepers!$B$2:$U$21,A279)+COUNTIF('Auction Draft Board'!$C$6:$AP$25,A279)&gt;0,"",A279),"")</f>
        <v/>
      </c>
    </row>
    <row r="280">
      <c r="A280" t="str">
        <f>IFERROR(__xludf.DUMMYFUNCTION("IFERROR(REGEXEXTRACT('Manual Data Import'!B280, ""^(.*)\s+[A-Z]{2,4}\s+\(\d+\)$""),'Manual Data Import'!B280) &amp; CHAR(10) &amp; 
IFERROR(REGEXREPLACE('Manual Data Import'!C280, ""\d+$"", """")) &amp;"" - ""&amp; 
IFERROR(REGEXEXTRACT('Manual Data Import'!B280, ""([A-Z"&amp;"]{2,4})\s+\(\d+\)$"")) &amp; "" (""&amp; 
IFERROR(REGEXEXTRACT('Manual Data Import'!B280, ""\((\d+)\)"")) &amp; "")"""),"Troy Franklin 
WR - DEN (10)")</f>
        <v>Troy Franklin 
WR - DEN (10)</v>
      </c>
      <c r="B280" s="30" t="str">
        <f>IFERROR(IF(COUNTIF('Draft Board'!$C$3:$V$24,A280)+COUNTIF(Keepers!$B$2:$U$21,A280)+COUNTIF('Auction Draft Board'!$C$6:$AP$25,A280)&gt;0,"",A280),"")</f>
        <v/>
      </c>
    </row>
    <row r="281">
      <c r="A281" t="str">
        <f>IFERROR(__xludf.DUMMYFUNCTION("IFERROR(REGEXEXTRACT('Manual Data Import'!B281, ""^(.*)\s+[A-Z]{2,4}\s+\(\d+\)$""),'Manual Data Import'!B281) &amp; CHAR(10) &amp; 
IFERROR(REGEXREPLACE('Manual Data Import'!C281, ""\d+$"", """")) &amp;"" - ""&amp; 
IFERROR(REGEXEXTRACT('Manual Data Import'!B281, ""([A-Z"&amp;"]{2,4})\s+\(\d+\)$"")) &amp; "" (""&amp; 
IFERROR(REGEXEXTRACT('Manual Data Import'!B281, ""\((\d+)\)"")) &amp; "")"""),"Ted Hurst III 
WR - TB (10)")</f>
        <v>Ted Hurst III 
WR - TB (10)</v>
      </c>
      <c r="B281" s="30" t="str">
        <f>IFERROR(IF(COUNTIF('Draft Board'!$C$3:$V$24,A281)+COUNTIF(Keepers!$B$2:$U$21,A281)+COUNTIF('Auction Draft Board'!$C$6:$AP$25,A281)&gt;0,"",A281),"")</f>
        <v/>
      </c>
    </row>
    <row r="282">
      <c r="A282" t="str">
        <f>IFERROR(__xludf.DUMMYFUNCTION("IFERROR(REGEXEXTRACT('Manual Data Import'!B282, ""^(.*)\s+[A-Z]{2,4}\s+\(\d+\)$""),'Manual Data Import'!B282) &amp; CHAR(10) &amp; 
IFERROR(REGEXREPLACE('Manual Data Import'!C282, ""\d+$"", """")) &amp;"" - ""&amp; 
IFERROR(REGEXEXTRACT('Manual Data Import'!B282, ""([A-Z"&amp;"]{2,4})\s+\(\d+\)$"")) &amp; "" (""&amp; 
IFERROR(REGEXEXTRACT('Manual Data Import'!B282, ""\((\d+)\)"")) &amp; "")"""),"Michael Penix Jr. 
QB - ATL (11)")</f>
        <v>Michael Penix Jr. 
QB - ATL (11)</v>
      </c>
      <c r="B282" s="30" t="str">
        <f>IFERROR(IF(COUNTIF('Draft Board'!$C$3:$V$24,A282)+COUNTIF(Keepers!$B$2:$U$21,A282)+COUNTIF('Auction Draft Board'!$C$6:$AP$25,A282)&gt;0,"",A282),"")</f>
        <v/>
      </c>
    </row>
    <row r="283">
      <c r="A283" t="str">
        <f>IFERROR(__xludf.DUMMYFUNCTION("IFERROR(REGEXEXTRACT('Manual Data Import'!B283, ""^(.*)\s+[A-Z]{2,4}\s+\(\d+\)$""),'Manual Data Import'!B283) &amp; CHAR(10) &amp; 
IFERROR(REGEXREPLACE('Manual Data Import'!C283, ""\d+$"", """")) &amp;"" - ""&amp; 
IFERROR(REGEXEXTRACT('Manual Data Import'!B283, ""([A-Z"&amp;"]{2,4})\s+\(\d+\)$"")) &amp; "" (""&amp; 
IFERROR(REGEXEXTRACT('Manual Data Import'!B283, ""\((\d+)\)"")) &amp; "")"""),"Mason Taylor 
TE - NYJ (13)")</f>
        <v>Mason Taylor 
TE - NYJ (13)</v>
      </c>
      <c r="B283" s="30" t="str">
        <f>IFERROR(IF(COUNTIF('Draft Board'!$C$3:$V$24,A283)+COUNTIF(Keepers!$B$2:$U$21,A283)+COUNTIF('Auction Draft Board'!$C$6:$AP$25,A283)&gt;0,"",A283),"")</f>
        <v/>
      </c>
    </row>
    <row r="284">
      <c r="A284" t="str">
        <f>IFERROR(__xludf.DUMMYFUNCTION("IFERROR(REGEXEXTRACT('Manual Data Import'!B284, ""^(.*)\s+[A-Z]{2,4}\s+\(\d+\)$""),'Manual Data Import'!B284) &amp; CHAR(10) &amp; 
IFERROR(REGEXREPLACE('Manual Data Import'!C284, ""\d+$"", """")) &amp;"" - ""&amp; 
IFERROR(REGEXEXTRACT('Manual Data Import'!B284, ""([A-Z"&amp;"]{2,4})\s+\(\d+\)$"")) &amp; "" (""&amp; 
IFERROR(REGEXEXTRACT('Manual Data Import'!B284, ""\((\d+)\)"")) &amp; "")"""),"Tua Tagovailoa 
QB - ATL (11)")</f>
        <v>Tua Tagovailoa 
QB - ATL (11)</v>
      </c>
      <c r="B284" s="30" t="str">
        <f>IFERROR(IF(COUNTIF('Draft Board'!$C$3:$V$24,A284)+COUNTIF(Keepers!$B$2:$U$21,A284)+COUNTIF('Auction Draft Board'!$C$6:$AP$25,A284)&gt;0,"",A284),"")</f>
        <v/>
      </c>
    </row>
    <row r="285">
      <c r="A285" t="str">
        <f>IFERROR(__xludf.DUMMYFUNCTION("IFERROR(REGEXEXTRACT('Manual Data Import'!B285, ""^(.*)\s+[A-Z]{2,4}\s+\(\d+\)$""),'Manual Data Import'!B285) &amp; CHAR(10) &amp; 
IFERROR(REGEXREPLACE('Manual Data Import'!C285, ""\d+$"", """")) &amp;"" - ""&amp; 
IFERROR(REGEXEXTRACT('Manual Data Import'!B285, ""([A-Z"&amp;"]{2,4})\s+\(\d+\)$"")) &amp; "" (""&amp; 
IFERROR(REGEXEXTRACT('Manual Data Import'!B285, ""\((\d+)\)"")) &amp; "")"""),"Darnell Washington 
TE - PIT (9)")</f>
        <v>Darnell Washington 
TE - PIT (9)</v>
      </c>
      <c r="B285" s="30" t="str">
        <f>IFERROR(IF(COUNTIF('Draft Board'!$C$3:$V$24,A285)+COUNTIF(Keepers!$B$2:$U$21,A285)+COUNTIF('Auction Draft Board'!$C$6:$AP$25,A285)&gt;0,"",A285),"")</f>
        <v/>
      </c>
    </row>
    <row r="286">
      <c r="A286" t="str">
        <f>IFERROR(__xludf.DUMMYFUNCTION("IFERROR(REGEXEXTRACT('Manual Data Import'!B286, ""^(.*)\s+[A-Z]{2,4}\s+\(\d+\)$""),'Manual Data Import'!B286) &amp; CHAR(10) &amp; 
IFERROR(REGEXREPLACE('Manual Data Import'!C286, ""\d+$"", """")) &amp;"" - ""&amp; 
IFERROR(REGEXEXTRACT('Manual Data Import'!B286, ""([A-Z"&amp;"]{2,4})\s+\(\d+\)$"")) &amp; "" (""&amp; 
IFERROR(REGEXEXTRACT('Manual Data Import'!B286, ""\((\d+)\)"")) &amp; "")"""),"Matt Gay 
K - LV (13)")</f>
        <v>Matt Gay 
K - LV (13)</v>
      </c>
      <c r="B286" s="30" t="str">
        <f>IFERROR(IF(COUNTIF('Draft Board'!$C$3:$V$24,A286)+COUNTIF(Keepers!$B$2:$U$21,A286)+COUNTIF('Auction Draft Board'!$C$6:$AP$25,A286)&gt;0,"",A286),"")</f>
        <v/>
      </c>
    </row>
    <row r="287">
      <c r="A287" t="str">
        <f>IFERROR(__xludf.DUMMYFUNCTION("IFERROR(REGEXEXTRACT('Manual Data Import'!B287, ""^(.*)\s+[A-Z]{2,4}\s+\(\d+\)$""),'Manual Data Import'!B287) &amp; CHAR(10) &amp; 
IFERROR(REGEXREPLACE('Manual Data Import'!C287, ""\d+$"", """")) &amp;"" - ""&amp; 
IFERROR(REGEXEXTRACT('Manual Data Import'!B287, ""([A-Z"&amp;"]{2,4})\s+\(\d+\)$"")) &amp; "" (""&amp; 
IFERROR(REGEXEXTRACT('Manual Data Import'!B287, ""\((\d+)\)"")) &amp; "")"""),"Darnell Mooney 
WR - NYG (8)")</f>
        <v>Darnell Mooney 
WR - NYG (8)</v>
      </c>
      <c r="B287" s="30" t="str">
        <f>IFERROR(IF(COUNTIF('Draft Board'!$C$3:$V$24,A287)+COUNTIF(Keepers!$B$2:$U$21,A287)+COUNTIF('Auction Draft Board'!$C$6:$AP$25,A287)&gt;0,"",A287),"")</f>
        <v/>
      </c>
    </row>
    <row r="288">
      <c r="A288" t="str">
        <f>IFERROR(__xludf.DUMMYFUNCTION("IFERROR(REGEXEXTRACT('Manual Data Import'!B288, ""^(.*)\s+[A-Z]{2,4}\s+\(\d+\)$""),'Manual Data Import'!B288) &amp; CHAR(10) &amp; 
IFERROR(REGEXREPLACE('Manual Data Import'!C288, ""\d+$"", """")) &amp;"" - ""&amp; 
IFERROR(REGEXEXTRACT('Manual Data Import'!B288, ""([A-Z"&amp;"]{2,4})\s+\(\d+\)$"")) &amp; "" (""&amp; 
IFERROR(REGEXEXTRACT('Manual Data Import'!B288, ""\((\d+)\)"")) &amp; "")"""),"Miami Dolphins
DST - DST (6)")</f>
        <v>Miami Dolphins
DST - DST (6)</v>
      </c>
      <c r="B288" s="30" t="str">
        <f>IFERROR(IF(COUNTIF('Draft Board'!$C$3:$V$24,A288)+COUNTIF(Keepers!$B$2:$U$21,A288)+COUNTIF('Auction Draft Board'!$C$6:$AP$25,A288)&gt;0,"",A288),"")</f>
        <v/>
      </c>
    </row>
    <row r="289">
      <c r="A289" t="str">
        <f>IFERROR(__xludf.DUMMYFUNCTION("IFERROR(REGEXEXTRACT('Manual Data Import'!B289, ""^(.*)\s+[A-Z]{2,4}\s+\(\d+\)$""),'Manual Data Import'!B289) &amp; CHAR(10) &amp; 
IFERROR(REGEXREPLACE('Manual Data Import'!C289, ""\d+$"", """")) &amp;"" - ""&amp; 
IFERROR(REGEXEXTRACT('Manual Data Import'!B289, ""([A-Z"&amp;"]{2,4})\s+\(\d+\)$"")) &amp; "" (""&amp; 
IFERROR(REGEXEXTRACT('Manual Data Import'!B289, ""\((\d+)\)"")) &amp; "")"""),"Cole Kmet 
TE - CHI (10)")</f>
        <v>Cole Kmet 
TE - CHI (10)</v>
      </c>
      <c r="B289" s="30" t="str">
        <f>IFERROR(IF(COUNTIF('Draft Board'!$C$3:$V$24,A289)+COUNTIF(Keepers!$B$2:$U$21,A289)+COUNTIF('Auction Draft Board'!$C$6:$AP$25,A289)&gt;0,"",A289),"")</f>
        <v/>
      </c>
    </row>
    <row r="290">
      <c r="A290" t="str">
        <f>IFERROR(__xludf.DUMMYFUNCTION("IFERROR(REGEXEXTRACT('Manual Data Import'!B290, ""^(.*)\s+[A-Z]{2,4}\s+\(\d+\)$""),'Manual Data Import'!B290) &amp; CHAR(10) &amp; 
IFERROR(REGEXREPLACE('Manual Data Import'!C290, ""\d+$"", """")) &amp;"" - ""&amp; 
IFERROR(REGEXEXTRACT('Manual Data Import'!B290, ""([A-Z"&amp;"]{2,4})\s+\(\d+\)$"")) &amp; "" (""&amp; 
IFERROR(REGEXEXTRACT('Manual Data Import'!B290, ""\((\d+)\)"")) &amp; "")"""),"Marvin Mims Jr. 
WR - DEN (10)")</f>
        <v>Marvin Mims Jr. 
WR - DEN (10)</v>
      </c>
      <c r="B290" s="30" t="str">
        <f>IFERROR(IF(COUNTIF('Draft Board'!$C$3:$V$24,A290)+COUNTIF(Keepers!$B$2:$U$21,A290)+COUNTIF('Auction Draft Board'!$C$6:$AP$25,A290)&gt;0,"",A290),"")</f>
        <v/>
      </c>
    </row>
    <row r="291">
      <c r="A291" t="str">
        <f>IFERROR(__xludf.DUMMYFUNCTION("IFERROR(REGEXEXTRACT('Manual Data Import'!B291, ""^(.*)\s+[A-Z]{2,4}\s+\(\d+\)$""),'Manual Data Import'!B291) &amp; CHAR(10) &amp; 
IFERROR(REGEXREPLACE('Manual Data Import'!C291, ""\d+$"", """")) &amp;"" - ""&amp; 
IFERROR(REGEXEXTRACT('Manual Data Import'!B291, ""([A-Z"&amp;"]{2,4})\s+\(\d+\)$"")) &amp; "" (""&amp; 
IFERROR(REGEXEXTRACT('Manual Data Import'!B291, ""\((\d+)\)"")) &amp; "")"""),"Jack Bech 
WR - LV (13)")</f>
        <v>Jack Bech 
WR - LV (13)</v>
      </c>
      <c r="B291" s="30" t="str">
        <f>IFERROR(IF(COUNTIF('Draft Board'!$C$3:$V$24,A291)+COUNTIF(Keepers!$B$2:$U$21,A291)+COUNTIF('Auction Draft Board'!$C$6:$AP$25,A291)&gt;0,"",A291),"")</f>
        <v/>
      </c>
    </row>
    <row r="292">
      <c r="A292" t="str">
        <f>IFERROR(__xludf.DUMMYFUNCTION("IFERROR(REGEXEXTRACT('Manual Data Import'!B292, ""^(.*)\s+[A-Z]{2,4}\s+\(\d+\)$""),'Manual Data Import'!B292) &amp; CHAR(10) &amp; 
IFERROR(REGEXREPLACE('Manual Data Import'!C292, ""\d+$"", """")) &amp;"" - ""&amp; 
IFERROR(REGEXEXTRACT('Manual Data Import'!B292, ""([A-Z"&amp;"]{2,4})\s+\(\d+\)$"")) &amp; "" (""&amp; 
IFERROR(REGEXEXTRACT('Manual Data Import'!B292, ""\((\d+)\)"")) &amp; "")"""),"Keon Coleman 
WR - BUF (7)")</f>
        <v>Keon Coleman 
WR - BUF (7)</v>
      </c>
      <c r="B292" s="30" t="str">
        <f>IFERROR(IF(COUNTIF('Draft Board'!$C$3:$V$24,A292)+COUNTIF(Keepers!$B$2:$U$21,A292)+COUNTIF('Auction Draft Board'!$C$6:$AP$25,A292)&gt;0,"",A292),"")</f>
        <v/>
      </c>
    </row>
    <row r="293">
      <c r="A293" t="str">
        <f>IFERROR(__xludf.DUMMYFUNCTION("IFERROR(REGEXEXTRACT('Manual Data Import'!B293, ""^(.*)\s+[A-Z]{2,4}\s+\(\d+\)$""),'Manual Data Import'!B293) &amp; CHAR(10) &amp; 
IFERROR(REGEXREPLACE('Manual Data Import'!C293, ""\d+$"", """")) &amp;"" - ""&amp; 
IFERROR(REGEXEXTRACT('Manual Data Import'!B293, ""([A-Z"&amp;"]{2,4})\s+\(\d+\)$"")) &amp; "" (""&amp; 
IFERROR(REGEXEXTRACT('Manual Data Import'!B293, ""\((\d+)\)"")) &amp; "")"""),"Kirk Cousins 
QB - LV (13)")</f>
        <v>Kirk Cousins 
QB - LV (13)</v>
      </c>
      <c r="B293" s="30" t="str">
        <f>IFERROR(IF(COUNTIF('Draft Board'!$C$3:$V$24,A293)+COUNTIF(Keepers!$B$2:$U$21,A293)+COUNTIF('Auction Draft Board'!$C$6:$AP$25,A293)&gt;0,"",A293),"")</f>
        <v/>
      </c>
    </row>
    <row r="294">
      <c r="A294" t="str">
        <f>IFERROR(__xludf.DUMMYFUNCTION("IFERROR(REGEXEXTRACT('Manual Data Import'!B294, ""^(.*)\s+[A-Z]{2,4}\s+\(\d+\)$""),'Manual Data Import'!B294) &amp; CHAR(10) &amp; 
IFERROR(REGEXREPLACE('Manual Data Import'!C294, ""\d+$"", """")) &amp;"" - ""&amp; 
IFERROR(REGEXEXTRACT('Manual Data Import'!B294, ""([A-Z"&amp;"]{2,4})\s+\(\d+\)$"")) &amp; "" (""&amp; 
IFERROR(REGEXEXTRACT('Manual Data Import'!B294, ""\((\d+)\)"")) &amp; "")"""),"Tory Horton 
WR - SEA (11)")</f>
        <v>Tory Horton 
WR - SEA (11)</v>
      </c>
      <c r="B294" s="30" t="str">
        <f>IFERROR(IF(COUNTIF('Draft Board'!$C$3:$V$24,A294)+COUNTIF(Keepers!$B$2:$U$21,A294)+COUNTIF('Auction Draft Board'!$C$6:$AP$25,A294)&gt;0,"",A294),"")</f>
        <v/>
      </c>
    </row>
    <row r="295">
      <c r="A295" t="str">
        <f>IFERROR(__xludf.DUMMYFUNCTION("IFERROR(REGEXEXTRACT('Manual Data Import'!B295, ""^(.*)\s+[A-Z]{2,4}\s+\(\d+\)$""),'Manual Data Import'!B295) &amp; CHAR(10) &amp; 
IFERROR(REGEXREPLACE('Manual Data Import'!C295, ""\d+$"", """")) &amp;"" - ""&amp; 
IFERROR(REGEXEXTRACT('Manual Data Import'!B295, ""([A-Z"&amp;"]{2,4})\s+\(\d+\)$"")) &amp; "" (""&amp; 
IFERROR(REGEXEXTRACT('Manual Data Import'!B295, ""\((\d+)\)"")) &amp; "")"""),"Riley Patterson 
K - MIA (6)")</f>
        <v>Riley Patterson 
K - MIA (6)</v>
      </c>
      <c r="B295" s="30" t="str">
        <f>IFERROR(IF(COUNTIF('Draft Board'!$C$3:$V$24,A295)+COUNTIF(Keepers!$B$2:$U$21,A295)+COUNTIF('Auction Draft Board'!$C$6:$AP$25,A295)&gt;0,"",A295),"")</f>
        <v/>
      </c>
    </row>
    <row r="296">
      <c r="A296" t="str">
        <f>IFERROR(__xludf.DUMMYFUNCTION("IFERROR(REGEXEXTRACT('Manual Data Import'!B296, ""^(.*)\s+[A-Z]{2,4}\s+\(\d+\)$""),'Manual Data Import'!B296) &amp; CHAR(10) &amp; 
IFERROR(REGEXREPLACE('Manual Data Import'!C296, ""\d+$"", """")) &amp;"" - ""&amp; 
IFERROR(REGEXEXTRACT('Manual Data Import'!B296, ""([A-Z"&amp;"]{2,4})\s+\(\d+\)$"")) &amp; "" (""&amp; 
IFERROR(REGEXEXTRACT('Manual Data Import'!B296, ""\((\d+)\)"")) &amp; "")"""),"Devin Singletary 
RB - NYG (8)")</f>
        <v>Devin Singletary 
RB - NYG (8)</v>
      </c>
      <c r="B296" s="30" t="str">
        <f>IFERROR(IF(COUNTIF('Draft Board'!$C$3:$V$24,A296)+COUNTIF(Keepers!$B$2:$U$21,A296)+COUNTIF('Auction Draft Board'!$C$6:$AP$25,A296)&gt;0,"",A296),"")</f>
        <v/>
      </c>
    </row>
    <row r="297">
      <c r="A297" t="str">
        <f>IFERROR(__xludf.DUMMYFUNCTION("IFERROR(REGEXEXTRACT('Manual Data Import'!B297, ""^(.*)\s+[A-Z]{2,4}\s+\(\d+\)$""),'Manual Data Import'!B297) &amp; CHAR(10) &amp; 
IFERROR(REGEXREPLACE('Manual Data Import'!C297, ""\d+$"", """")) &amp;"" - ""&amp; 
IFERROR(REGEXEXTRACT('Manual Data Import'!B297, ""([A-Z"&amp;"]{2,4})\s+\(\d+\)$"")) &amp; "" (""&amp; 
IFERROR(REGEXEXTRACT('Manual Data Import'!B297, ""\((\d+)\)"")) &amp; "")"""),"Emanuel Wilson 
RB - SEA (11)")</f>
        <v>Emanuel Wilson 
RB - SEA (11)</v>
      </c>
      <c r="B297" s="30" t="str">
        <f>IFERROR(IF(COUNTIF('Draft Board'!$C$3:$V$24,A297)+COUNTIF(Keepers!$B$2:$U$21,A297)+COUNTIF('Auction Draft Board'!$C$6:$AP$25,A297)&gt;0,"",A297),"")</f>
        <v/>
      </c>
    </row>
    <row r="298">
      <c r="A298" t="str">
        <f>IFERROR(__xludf.DUMMYFUNCTION("IFERROR(REGEXEXTRACT('Manual Data Import'!B298, ""^(.*)\s+[A-Z]{2,4}\s+\(\d+\)$""),'Manual Data Import'!B298) &amp; CHAR(10) &amp; 
IFERROR(REGEXREPLACE('Manual Data Import'!C298, ""\d+$"", """")) &amp;"" - ""&amp; 
IFERROR(REGEXEXTRACT('Manual Data Import'!B298, ""([A-Z"&amp;"]{2,4})\s+\(\d+\)$"")) &amp; "" (""&amp; 
IFERROR(REGEXEXTRACT('Manual Data Import'!B298, ""\((\d+)\)"")) &amp; "")"""),"Jake Tonges 
TE - SF (8)")</f>
        <v>Jake Tonges 
TE - SF (8)</v>
      </c>
      <c r="B298" s="30" t="str">
        <f>IFERROR(IF(COUNTIF('Draft Board'!$C$3:$V$24,A298)+COUNTIF(Keepers!$B$2:$U$21,A298)+COUNTIF('Auction Draft Board'!$C$6:$AP$25,A298)&gt;0,"",A298),"")</f>
        <v/>
      </c>
    </row>
    <row r="299">
      <c r="A299" t="str">
        <f>IFERROR(__xludf.DUMMYFUNCTION("IFERROR(REGEXEXTRACT('Manual Data Import'!B299, ""^(.*)\s+[A-Z]{2,4}\s+\(\d+\)$""),'Manual Data Import'!B299) &amp; CHAR(10) &amp; 
IFERROR(REGEXREPLACE('Manual Data Import'!C299, ""\d+$"", """")) &amp;"" - ""&amp; 
IFERROR(REGEXEXTRACT('Manual Data Import'!B299, ""([A-Z"&amp;"]{2,4})\s+\(\d+\)$"")) &amp; "" (""&amp; 
IFERROR(REGEXEXTRACT('Manual Data Import'!B299, ""\((\d+)\)"")) &amp; "")"""),"Colby Parkinson 
TE - LAR (11)")</f>
        <v>Colby Parkinson 
TE - LAR (11)</v>
      </c>
      <c r="B299" s="30" t="str">
        <f>IFERROR(IF(COUNTIF('Draft Board'!$C$3:$V$24,A299)+COUNTIF(Keepers!$B$2:$U$21,A299)+COUNTIF('Auction Draft Board'!$C$6:$AP$25,A299)&gt;0,"",A299),"")</f>
        <v/>
      </c>
    </row>
    <row r="300">
      <c r="A300" t="str">
        <f>IFERROR(__xludf.DUMMYFUNCTION("IFERROR(REGEXEXTRACT('Manual Data Import'!B300, ""^(.*)\s+[A-Z]{2,4}\s+\(\d+\)$""),'Manual Data Import'!B300) &amp; CHAR(10) &amp; 
IFERROR(REGEXREPLACE('Manual Data Import'!C300, ""\d+$"", """")) &amp;"" - ""&amp; 
IFERROR(REGEXEXTRACT('Manual Data Import'!B300, ""([A-Z"&amp;"]{2,4})\s+\(\d+\)$"")) &amp; "" (""&amp; 
IFERROR(REGEXEXTRACT('Manual Data Import'!B300, ""\((\d+)\)"")) &amp; "")"""),"Drew Stevens 
K - WAS (7)")</f>
        <v>Drew Stevens 
K - WAS (7)</v>
      </c>
      <c r="B300" s="30" t="str">
        <f>IFERROR(IF(COUNTIF('Draft Board'!$C$3:$V$24,A300)+COUNTIF(Keepers!$B$2:$U$21,A300)+COUNTIF('Auction Draft Board'!$C$6:$AP$25,A300)&gt;0,"",A300),"")</f>
        <v/>
      </c>
    </row>
    <row r="301">
      <c r="A301" t="str">
        <f>IFERROR(__xludf.DUMMYFUNCTION("IFERROR(REGEXEXTRACT('Manual Data Import'!B301, ""^(.*)\s+[A-Z]{2,4}\s+\(\d+\)$""),'Manual Data Import'!B301) &amp; CHAR(10) &amp; 
IFERROR(REGEXREPLACE('Manual Data Import'!C301, ""\d+$"", """")) &amp;"" - ""&amp; 
IFERROR(REGEXEXTRACT('Manual Data Import'!B301, ""([A-Z"&amp;"]{2,4})\s+\(\d+\)$"")) &amp; "" (""&amp; 
IFERROR(REGEXEXTRACT('Manual Data Import'!B301, ""\((\d+)\)"")) &amp; "")"""),"Arizona Cardinals
DST - DST (14)")</f>
        <v>Arizona Cardinals
DST - DST (14)</v>
      </c>
      <c r="B301" s="30" t="str">
        <f>IFERROR(IF(COUNTIF('Draft Board'!$C$3:$V$24,A301)+COUNTIF(Keepers!$B$2:$U$21,A301)+COUNTIF('Auction Draft Board'!$C$6:$AP$25,A301)&gt;0,"",A301),"")</f>
        <v/>
      </c>
    </row>
    <row r="302">
      <c r="A302" t="str">
        <f>IFERROR(__xludf.DUMMYFUNCTION("IFERROR(REGEXEXTRACT('Manual Data Import'!B302, ""^(.*)\s+[A-Z]{2,4}\s+\(\d+\)$""),'Manual Data Import'!B302) &amp; CHAR(10) &amp; 
IFERROR(REGEXREPLACE('Manual Data Import'!C302, ""\d+$"", """")) &amp;"" - ""&amp; 
IFERROR(REGEXEXTRACT('Manual Data Import'!B302, ""([A-Z"&amp;"]{2,4})\s+\(\d+\)$"")) &amp; "" (""&amp; 
IFERROR(REGEXEXTRACT('Manual Data Import'!B302, ""\((\d+)\)"")) &amp; "")"""),"Blake Grupe 
K - IND (13)")</f>
        <v>Blake Grupe 
K - IND (13)</v>
      </c>
      <c r="B302" s="30" t="str">
        <f>IFERROR(IF(COUNTIF('Draft Board'!$C$3:$V$24,A302)+COUNTIF(Keepers!$B$2:$U$21,A302)+COUNTIF('Auction Draft Board'!$C$6:$AP$25,A302)&gt;0,"",A302),"")</f>
        <v/>
      </c>
    </row>
    <row r="303">
      <c r="A303" t="str">
        <f>IFERROR(__xludf.DUMMYFUNCTION("IFERROR(REGEXEXTRACT('Manual Data Import'!B303, ""^(.*)\s+[A-Z]{2,4}\s+\(\d+\)$""),'Manual Data Import'!B303) &amp; CHAR(10) &amp; 
IFERROR(REGEXREPLACE('Manual Data Import'!C303, ""\d+$"", """")) &amp;"" - ""&amp; 
IFERROR(REGEXEXTRACT('Manual Data Import'!B303, ""([A-Z"&amp;"]{2,4})\s+\(\d+\)$"")) &amp; "" (""&amp; 
IFERROR(REGEXEXTRACT('Manual Data Import'!B303, ""\((\d+)\)"")) &amp; "")"""),"Jameis Winston 
QB - NYG (8)")</f>
        <v>Jameis Winston 
QB - NYG (8)</v>
      </c>
      <c r="B303" s="30" t="str">
        <f>IFERROR(IF(COUNTIF('Draft Board'!$C$3:$V$24,A303)+COUNTIF(Keepers!$B$2:$U$21,A303)+COUNTIF('Auction Draft Board'!$C$6:$AP$25,A303)&gt;0,"",A303),"")</f>
        <v/>
      </c>
    </row>
    <row r="304">
      <c r="A304" t="str">
        <f>IFERROR(__xludf.DUMMYFUNCTION("IFERROR(REGEXEXTRACT('Manual Data Import'!B304, ""^(.*)\s+[A-Z]{2,4}\s+\(\d+\)$""),'Manual Data Import'!B304) &amp; CHAR(10) &amp; 
IFERROR(REGEXREPLACE('Manual Data Import'!C304, ""\d+$"", """")) &amp;"" - ""&amp; 
IFERROR(REGEXEXTRACT('Manual Data Import'!B304, ""([A-Z"&amp;"]{2,4})\s+\(\d+\)$"")) &amp; "" (""&amp; 
IFERROR(REGEXEXTRACT('Manual Data Import'!B304, ""\((\d+)\)"")) &amp; "")"""),"Dawson Knox 
TE - BUF (7)")</f>
        <v>Dawson Knox 
TE - BUF (7)</v>
      </c>
      <c r="B304" s="30" t="str">
        <f>IFERROR(IF(COUNTIF('Draft Board'!$C$3:$V$24,A304)+COUNTIF(Keepers!$B$2:$U$21,A304)+COUNTIF('Auction Draft Board'!$C$6:$AP$25,A304)&gt;0,"",A304),"")</f>
        <v/>
      </c>
    </row>
    <row r="305">
      <c r="A305" t="str">
        <f>IFERROR(__xludf.DUMMYFUNCTION("IFERROR(REGEXEXTRACT('Manual Data Import'!B305, ""^(.*)\s+[A-Z]{2,4}\s+\(\d+\)$""),'Manual Data Import'!B305) &amp; CHAR(10) &amp; 
IFERROR(REGEXREPLACE('Manual Data Import'!C305, ""\d+$"", """")) &amp;"" - ""&amp; 
IFERROR(REGEXEXTRACT('Manual Data Import'!B305, ""([A-Z"&amp;"]{2,4})\s+\(\d+\)$"")) &amp; "" (""&amp; 
IFERROR(REGEXEXTRACT('Manual Data Import'!B305, ""\((\d+)\)"")) &amp; "")"""),"Elic Ayomanor 
WR - TEN (9)")</f>
        <v>Elic Ayomanor 
WR - TEN (9)</v>
      </c>
      <c r="B305" s="30" t="str">
        <f>IFERROR(IF(COUNTIF('Draft Board'!$C$3:$V$24,A305)+COUNTIF(Keepers!$B$2:$U$21,A305)+COUNTIF('Auction Draft Board'!$C$6:$AP$25,A305)&gt;0,"",A305),"")</f>
        <v/>
      </c>
    </row>
    <row r="306">
      <c r="A306" t="str">
        <f>IFERROR(__xludf.DUMMYFUNCTION("IFERROR(REGEXEXTRACT('Manual Data Import'!B306, ""^(.*)\s+[A-Z]{2,4}\s+\(\d+\)$""),'Manual Data Import'!B306) &amp; CHAR(10) &amp; 
IFERROR(REGEXREPLACE('Manual Data Import'!C306, ""\d+$"", """")) &amp;"" - ""&amp; 
IFERROR(REGEXEXTRACT('Manual Data Import'!B306, ""([A-Z"&amp;"]{2,4})\s+\(\d+\)$"")) &amp; "" (""&amp; 
IFERROR(REGEXEXTRACT('Manual Data Import'!B306, ""\((\d+)\)"")) &amp; "")"""),"Drew Allar 
QB - PIT (9)")</f>
        <v>Drew Allar 
QB - PIT (9)</v>
      </c>
      <c r="B306" s="30" t="str">
        <f>IFERROR(IF(COUNTIF('Draft Board'!$C$3:$V$24,A306)+COUNTIF(Keepers!$B$2:$U$21,A306)+COUNTIF('Auction Draft Board'!$C$6:$AP$25,A306)&gt;0,"",A306),"")</f>
        <v/>
      </c>
    </row>
    <row r="307">
      <c r="A307" t="str">
        <f>IFERROR(__xludf.DUMMYFUNCTION("IFERROR(REGEXEXTRACT('Manual Data Import'!B307, ""^(.*)\s+[A-Z]{2,4}\s+\(\d+\)$""),'Manual Data Import'!B307) &amp; CHAR(10) &amp; 
IFERROR(REGEXREPLACE('Manual Data Import'!C307, ""\d+$"", """")) &amp;"" - ""&amp; 
IFERROR(REGEXEXTRACT('Manual Data Import'!B307, ""([A-Z"&amp;"]{2,4})\s+\(\d+\)$"")) &amp; "" (""&amp; 
IFERROR(REGEXEXTRACT('Manual Data Import'!B307, ""\((\d+)\)"")) &amp; "")"""),"Hollywood Brown 
WR - PHI (10)")</f>
        <v>Hollywood Brown 
WR - PHI (10)</v>
      </c>
      <c r="B307" s="30" t="str">
        <f>IFERROR(IF(COUNTIF('Draft Board'!$C$3:$V$24,A307)+COUNTIF(Keepers!$B$2:$U$21,A307)+COUNTIF('Auction Draft Board'!$C$6:$AP$25,A307)&gt;0,"",A307),"")</f>
        <v/>
      </c>
    </row>
    <row r="308">
      <c r="A308" t="str">
        <f>IFERROR(__xludf.DUMMYFUNCTION("IFERROR(REGEXEXTRACT('Manual Data Import'!B308, ""^(.*)\s+[A-Z]{2,4}\s+\(\d+\)$""),'Manual Data Import'!B308) &amp; CHAR(10) &amp; 
IFERROR(REGEXREPLACE('Manual Data Import'!C308, ""\d+$"", """")) &amp;"" - ""&amp; 
IFERROR(REGEXEXTRACT('Manual Data Import'!B308, ""([A-Z"&amp;"]{2,4})\s+\(\d+\)$"")) &amp; "" (""&amp; 
IFERROR(REGEXEXTRACT('Manual Data Import'!B308, ""\((\d+)\)"")) &amp; "")"""),"Luke McCaffrey 
WR - WAS (7)")</f>
        <v>Luke McCaffrey 
WR - WAS (7)</v>
      </c>
      <c r="B308" s="30" t="str">
        <f>IFERROR(IF(COUNTIF('Draft Board'!$C$3:$V$24,A308)+COUNTIF(Keepers!$B$2:$U$21,A308)+COUNTIF('Auction Draft Board'!$C$6:$AP$25,A308)&gt;0,"",A308),"")</f>
        <v/>
      </c>
    </row>
    <row r="309">
      <c r="A309" t="str">
        <f>IFERROR(__xludf.DUMMYFUNCTION("IFERROR(REGEXEXTRACT('Manual Data Import'!B309, ""^(.*)\s+[A-Z]{2,4}\s+\(\d+\)$""),'Manual Data Import'!B309) &amp; CHAR(10) &amp; 
IFERROR(REGEXREPLACE('Manual Data Import'!C309, ""\d+$"", """")) &amp;"" - ""&amp; 
IFERROR(REGEXEXTRACT('Manual Data Import'!B309, ""([A-Z"&amp;"]{2,4})\s+\(\d+\)$"")) &amp; "" (""&amp; 
IFERROR(REGEXEXTRACT('Manual Data Import'!B309, ""\((\d+)\)"")) &amp; "")"""),"Ben Sauls 
K - NYG (8)")</f>
        <v>Ben Sauls 
K - NYG (8)</v>
      </c>
      <c r="B309" s="30" t="str">
        <f>IFERROR(IF(COUNTIF('Draft Board'!$C$3:$V$24,A309)+COUNTIF(Keepers!$B$2:$U$21,A309)+COUNTIF('Auction Draft Board'!$C$6:$AP$25,A309)&gt;0,"",A309),"")</f>
        <v/>
      </c>
    </row>
    <row r="310">
      <c r="A310" t="str">
        <f>IFERROR(__xludf.DUMMYFUNCTION("IFERROR(REGEXEXTRACT('Manual Data Import'!B310, ""^(.*)\s+[A-Z]{2,4}\s+\(\d+\)$""),'Manual Data Import'!B310) &amp; CHAR(10) &amp; 
IFERROR(REGEXREPLACE('Manual Data Import'!C310, ""\d+$"", """")) &amp;"" - ""&amp; 
IFERROR(REGEXEXTRACT('Manual Data Import'!B310, ""([A-Z"&amp;"]{2,4})\s+\(\d+\)$"")) &amp; "" (""&amp; 
IFERROR(REGEXEXTRACT('Manual Data Import'!B310, ""\((\d+)\)"")) &amp; "")"""),"Carson Beck 
QB - ARI (14)")</f>
        <v>Carson Beck 
QB - ARI (14)</v>
      </c>
      <c r="B310" s="30" t="str">
        <f>IFERROR(IF(COUNTIF('Draft Board'!$C$3:$V$24,A310)+COUNTIF(Keepers!$B$2:$U$21,A310)+COUNTIF('Auction Draft Board'!$C$6:$AP$25,A310)&gt;0,"",A310),"")</f>
        <v/>
      </c>
    </row>
    <row r="311">
      <c r="A311" t="str">
        <f>IFERROR(__xludf.DUMMYFUNCTION("IFERROR(REGEXEXTRACT('Manual Data Import'!B311, ""^(.*)\s+[A-Z]{2,4}\s+\(\d+\)$""),'Manual Data Import'!B311) &amp; CHAR(10) &amp; 
IFERROR(REGEXREPLACE('Manual Data Import'!C311, ""\d+$"", """")) &amp;"" - ""&amp; 
IFERROR(REGEXEXTRACT('Manual Data Import'!B311, ""([A-Z"&amp;"]{2,4})\s+\(\d+\)$"")) &amp; "" (""&amp; 
IFERROR(REGEXEXTRACT('Manual Data Import'!B311, ""\((\d+)\)"")) &amp; "")"""),"Jason Sanders 
K - NYJ (13)")</f>
        <v>Jason Sanders 
K - NYJ (13)</v>
      </c>
      <c r="B311" s="30" t="str">
        <f>IFERROR(IF(COUNTIF('Draft Board'!$C$3:$V$24,A311)+COUNTIF(Keepers!$B$2:$U$21,A311)+COUNTIF('Auction Draft Board'!$C$6:$AP$25,A311)&gt;0,"",A311),"")</f>
        <v/>
      </c>
    </row>
    <row r="312">
      <c r="A312" t="str">
        <f>IFERROR(__xludf.DUMMYFUNCTION("IFERROR(REGEXEXTRACT('Manual Data Import'!B312, ""^(.*)\s+[A-Z]{2,4}\s+\(\d+\)$""),'Manual Data Import'!B312) &amp; CHAR(10) &amp; 
IFERROR(REGEXREPLACE('Manual Data Import'!C312, ""\d+$"", """")) &amp;"" - ""&amp; 
IFERROR(REGEXEXTRACT('Manual Data Import'!B312, ""([A-Z"&amp;"]{2,4})\s+\(\d+\)$"")) &amp; "" (""&amp; 
IFERROR(REGEXEXTRACT('Manual Data Import'!B312, ""\((\d+)\)"")) &amp; "")"""),"Chad Ryland 
K - ARI (14)")</f>
        <v>Chad Ryland 
K - ARI (14)</v>
      </c>
      <c r="B312" s="30" t="str">
        <f>IFERROR(IF(COUNTIF('Draft Board'!$C$3:$V$24,A312)+COUNTIF(Keepers!$B$2:$U$21,A312)+COUNTIF('Auction Draft Board'!$C$6:$AP$25,A312)&gt;0,"",A312),"")</f>
        <v/>
      </c>
    </row>
    <row r="313">
      <c r="A313" t="str">
        <f>IFERROR(__xludf.DUMMYFUNCTION("IFERROR(REGEXEXTRACT('Manual Data Import'!B313, ""^(.*)\s+[A-Z]{2,4}\s+\(\d+\)$""),'Manual Data Import'!B313) &amp; CHAR(10) &amp; 
IFERROR(REGEXREPLACE('Manual Data Import'!C313, ""\d+$"", """")) &amp;"" - ""&amp; 
IFERROR(REGEXEXTRACT('Manual Data Import'!B313, ""([A-Z"&amp;"]{2,4})\s+\(\d+\)$"")) &amp; "" (""&amp; 
IFERROR(REGEXEXTRACT('Manual Data Import'!B313, ""\((\d+)\)"")) &amp; "")"""),"Kendre Miller 
RB - NO (8)")</f>
        <v>Kendre Miller 
RB - NO (8)</v>
      </c>
      <c r="B313" s="30" t="str">
        <f>IFERROR(IF(COUNTIF('Draft Board'!$C$3:$V$24,A313)+COUNTIF(Keepers!$B$2:$U$21,A313)+COUNTIF('Auction Draft Board'!$C$6:$AP$25,A313)&gt;0,"",A313),"")</f>
        <v/>
      </c>
    </row>
    <row r="314">
      <c r="A314" t="str">
        <f>IFERROR(__xludf.DUMMYFUNCTION("IFERROR(REGEXEXTRACT('Manual Data Import'!B314, ""^(.*)\s+[A-Z]{2,4}\s+\(\d+\)$""),'Manual Data Import'!B314) &amp; CHAR(10) &amp; 
IFERROR(REGEXREPLACE('Manual Data Import'!C314, ""\d+$"", """")) &amp;"" - ""&amp; 
IFERROR(REGEXEXTRACT('Manual Data Import'!B314, ""([A-Z"&amp;"]{2,4})\s+\(\d+\)$"")) &amp; "" (""&amp; 
IFERROR(REGEXEXTRACT('Manual Data Import'!B314, ""\((\d+)\)"")) &amp; "")"""),"Devontez Walker 
WR - BAL (13)")</f>
        <v>Devontez Walker 
WR - BAL (13)</v>
      </c>
      <c r="B314" s="30" t="str">
        <f>IFERROR(IF(COUNTIF('Draft Board'!$C$3:$V$24,A314)+COUNTIF(Keepers!$B$2:$U$21,A314)+COUNTIF('Auction Draft Board'!$C$6:$AP$25,A314)&gt;0,"",A314),"")</f>
        <v/>
      </c>
    </row>
    <row r="315">
      <c r="A315" t="str">
        <f>IFERROR(__xludf.DUMMYFUNCTION("IFERROR(REGEXEXTRACT('Manual Data Import'!B315, ""^(.*)\s+[A-Z]{2,4}\s+\(\d+\)$""),'Manual Data Import'!B315) &amp; CHAR(10) &amp; 
IFERROR(REGEXREPLACE('Manual Data Import'!C315, ""\d+$"", """")) &amp;"" - ""&amp; 
IFERROR(REGEXEXTRACT('Manual Data Import'!B315, ""([A-Z"&amp;"]{2,4})\s+\(\d+\)$"")) &amp; "" (""&amp; 
IFERROR(REGEXEXTRACT('Manual Data Import'!B315, ""\((\d+)\)"")) &amp; "")"""),"Malik Davis 
RB - DAL (14)")</f>
        <v>Malik Davis 
RB - DAL (14)</v>
      </c>
      <c r="B315" s="30" t="str">
        <f>IFERROR(IF(COUNTIF('Draft Board'!$C$3:$V$24,A315)+COUNTIF(Keepers!$B$2:$U$21,A315)+COUNTIF('Auction Draft Board'!$C$6:$AP$25,A315)&gt;0,"",A315),"")</f>
        <v/>
      </c>
    </row>
    <row r="316">
      <c r="A316" t="str">
        <f>IFERROR(__xludf.DUMMYFUNCTION("IFERROR(REGEXEXTRACT('Manual Data Import'!B316, ""^(.*)\s+[A-Z]{2,4}\s+\(\d+\)$""),'Manual Data Import'!B316) &amp; CHAR(10) &amp; 
IFERROR(REGEXREPLACE('Manual Data Import'!C316, ""\d+$"", """")) &amp;"" - ""&amp; 
IFERROR(REGEXEXTRACT('Manual Data Import'!B316, ""([A-Z"&amp;"]{2,4})\s+\(\d+\)$"")) &amp; "" (""&amp; 
IFERROR(REGEXEXTRACT('Manual Data Import'!B316, ""\((\d+)\)"")) &amp; "")"""),"Joe Flacco 
QB - CIN (6)")</f>
        <v>Joe Flacco 
QB - CIN (6)</v>
      </c>
      <c r="B316" s="30" t="str">
        <f>IFERROR(IF(COUNTIF('Draft Board'!$C$3:$V$24,A316)+COUNTIF(Keepers!$B$2:$U$21,A316)+COUNTIF('Auction Draft Board'!$C$6:$AP$25,A316)&gt;0,"",A316),"")</f>
        <v/>
      </c>
    </row>
    <row r="317">
      <c r="A317" t="str">
        <f>IFERROR(__xludf.DUMMYFUNCTION("IFERROR(REGEXEXTRACT('Manual Data Import'!B317, ""^(.*)\s+[A-Z]{2,4}\s+\(\d+\)$""),'Manual Data Import'!B317) &amp; CHAR(10) &amp; 
IFERROR(REGEXREPLACE('Manual Data Import'!C317, ""\d+$"", """")) &amp;"" - ""&amp; 
IFERROR(REGEXEXTRACT('Manual Data Import'!B317, ""([A-Z"&amp;"]{2,4})\s+\(\d+\)$"")) &amp; "" (""&amp; 
IFERROR(REGEXEXTRACT('Manual Data Import'!B317, ""\((\d+)\)"")) &amp; "")"""),"Trey Benson 
RB - ARI (14)")</f>
        <v>Trey Benson 
RB - ARI (14)</v>
      </c>
      <c r="B317" s="30" t="str">
        <f>IFERROR(IF(COUNTIF('Draft Board'!$C$3:$V$24,A317)+COUNTIF(Keepers!$B$2:$U$21,A317)+COUNTIF('Auction Draft Board'!$C$6:$AP$25,A317)&gt;0,"",A317),"")</f>
        <v/>
      </c>
    </row>
    <row r="318">
      <c r="A318" t="str">
        <f>IFERROR(__xludf.DUMMYFUNCTION("IFERROR(REGEXEXTRACT('Manual Data Import'!B318, ""^(.*)\s+[A-Z]{2,4}\s+\(\d+\)$""),'Manual Data Import'!B318) &amp; CHAR(10) &amp; 
IFERROR(REGEXREPLACE('Manual Data Import'!C318, ""\d+$"", """")) &amp;"" - ""&amp; 
IFERROR(REGEXEXTRACT('Manual Data Import'!B318, ""([A-Z"&amp;"]{2,4})\s+\(\d+\)$"")) &amp; "" (""&amp; 
IFERROR(REGEXEXTRACT('Manual Data Import'!B318, ""\((\d+)\)"")) &amp; "")"""),"Brashard Smith 
RB - KC (5)")</f>
        <v>Brashard Smith 
RB - KC (5)</v>
      </c>
      <c r="B318" s="30" t="str">
        <f>IFERROR(IF(COUNTIF('Draft Board'!$C$3:$V$24,A318)+COUNTIF(Keepers!$B$2:$U$21,A318)+COUNTIF('Auction Draft Board'!$C$6:$AP$25,A318)&gt;0,"",A318),"")</f>
        <v/>
      </c>
    </row>
    <row r="319">
      <c r="A319" t="str">
        <f>IFERROR(__xludf.DUMMYFUNCTION("IFERROR(REGEXEXTRACT('Manual Data Import'!B319, ""^(.*)\s+[A-Z]{2,4}\s+\(\d+\)$""),'Manual Data Import'!B319) &amp; CHAR(10) &amp; 
IFERROR(REGEXREPLACE('Manual Data Import'!C319, ""\d+$"", """")) &amp;"" - ""&amp; 
IFERROR(REGEXEXTRACT('Manual Data Import'!B319, ""([A-Z"&amp;"]{2,4})\s+\(\d+\)$"")) &amp; "" (""&amp; 
IFERROR(REGEXEXTRACT('Manual Data Import'!B319, ""\((\d+)\)"")) &amp; "")"""),"Theo Johnson 
TE - NYG (8)")</f>
        <v>Theo Johnson 
TE - NYG (8)</v>
      </c>
      <c r="B319" s="30" t="str">
        <f>IFERROR(IF(COUNTIF('Draft Board'!$C$3:$V$24,A319)+COUNTIF(Keepers!$B$2:$U$21,A319)+COUNTIF('Auction Draft Board'!$C$6:$AP$25,A319)&gt;0,"",A319),"")</f>
        <v/>
      </c>
    </row>
    <row r="320">
      <c r="A320" t="str">
        <f>IFERROR(__xludf.DUMMYFUNCTION("IFERROR(REGEXEXTRACT('Manual Data Import'!B320, ""^(.*)\s+[A-Z]{2,4}\s+\(\d+\)$""),'Manual Data Import'!B320) &amp; CHAR(10) &amp; 
IFERROR(REGEXREPLACE('Manual Data Import'!C320, ""\d+$"", """")) &amp;"" - ""&amp; 
IFERROR(REGEXEXTRACT('Manual Data Import'!B320, ""([A-Z"&amp;"]{2,4})\s+\(\d+\)$"")) &amp; "" (""&amp; 
IFERROR(REGEXEXTRACT('Manual Data Import'!B320, ""\((\d+)\)"")) &amp; "")"""),"Andre Szmyt 
K - CLE (11)")</f>
        <v>Andre Szmyt 
K - CLE (11)</v>
      </c>
      <c r="B320" s="30" t="str">
        <f>IFERROR(IF(COUNTIF('Draft Board'!$C$3:$V$24,A320)+COUNTIF(Keepers!$B$2:$U$21,A320)+COUNTIF('Auction Draft Board'!$C$6:$AP$25,A320)&gt;0,"",A320),"")</f>
        <v/>
      </c>
    </row>
    <row r="321">
      <c r="A321" t="str">
        <f>IFERROR(__xludf.DUMMYFUNCTION("IFERROR(REGEXEXTRACT('Manual Data Import'!B321, ""^(.*)\s+[A-Z]{2,4}\s+\(\d+\)$""),'Manual Data Import'!B321) &amp; CHAR(10) &amp; 
IFERROR(REGEXREPLACE('Manual Data Import'!C321, ""\d+$"", """")) &amp;"" - ""&amp; 
IFERROR(REGEXEXTRACT('Manual Data Import'!B321, ""([A-Z"&amp;"]{2,4})\s+\(\d+\)$"")) &amp; "" (""&amp; 
IFERROR(REGEXEXTRACT('Manual Data Import'!B321, ""\((\d+)\)"")) &amp; "")"""),"Kaleb Johnson 
RB - PIT (9)")</f>
        <v>Kaleb Johnson 
RB - PIT (9)</v>
      </c>
      <c r="B321" s="30" t="str">
        <f>IFERROR(IF(COUNTIF('Draft Board'!$C$3:$V$24,A321)+COUNTIF(Keepers!$B$2:$U$21,A321)+COUNTIF('Auction Draft Board'!$C$6:$AP$25,A321)&gt;0,"",A321),"")</f>
        <v/>
      </c>
    </row>
    <row r="322">
      <c r="A322" t="str">
        <f>IFERROR(__xludf.DUMMYFUNCTION("IFERROR(REGEXEXTRACT('Manual Data Import'!B322, ""^(.*)\s+[A-Z]{2,4}\s+\(\d+\)$""),'Manual Data Import'!B322) &amp; CHAR(10) &amp; 
IFERROR(REGEXREPLACE('Manual Data Import'!C322, ""\d+$"", """")) &amp;"" - ""&amp; 
IFERROR(REGEXEXTRACT('Manual Data Import'!B322, ""([A-Z"&amp;"]{2,4})\s+\(\d+\)$"")) &amp; "" (""&amp; 
IFERROR(REGEXEXTRACT('Manual Data Import'!B322, ""\((\d+)\)"")) &amp; "")"""),"Kyle Allen 
QB - BUF (7)")</f>
        <v>Kyle Allen 
QB - BUF (7)</v>
      </c>
      <c r="B322" s="30" t="str">
        <f>IFERROR(IF(COUNTIF('Draft Board'!$C$3:$V$24,A322)+COUNTIF(Keepers!$B$2:$U$21,A322)+COUNTIF('Auction Draft Board'!$C$6:$AP$25,A322)&gt;0,"",A322),"")</f>
        <v/>
      </c>
    </row>
    <row r="323">
      <c r="A323" t="str">
        <f>IFERROR(__xludf.DUMMYFUNCTION("IFERROR(REGEXEXTRACT('Manual Data Import'!B323, ""^(.*)\s+[A-Z]{2,4}\s+\(\d+\)$""),'Manual Data Import'!B323) &amp; CHAR(10) &amp; 
IFERROR(REGEXREPLACE('Manual Data Import'!C323, ""\d+$"", """")) &amp;"" - ""&amp; 
IFERROR(REGEXEXTRACT('Manual Data Import'!B323, ""([A-Z"&amp;"]{2,4})\s+\(\d+\)$"")) &amp; "" (""&amp; 
IFERROR(REGEXEXTRACT('Manual Data Import'!B323, ""\((\d+)\)"")) &amp; "")"""),"Justin Fields 
QB - KC (5)")</f>
        <v>Justin Fields 
QB - KC (5)</v>
      </c>
      <c r="B323" s="30" t="str">
        <f>IFERROR(IF(COUNTIF('Draft Board'!$C$3:$V$24,A323)+COUNTIF(Keepers!$B$2:$U$21,A323)+COUNTIF('Auction Draft Board'!$C$6:$AP$25,A323)&gt;0,"",A323),"")</f>
        <v/>
      </c>
    </row>
    <row r="324">
      <c r="A324" t="str">
        <f>IFERROR(__xludf.DUMMYFUNCTION("IFERROR(REGEXEXTRACT('Manual Data Import'!B324, ""^(.*)\s+[A-Z]{2,4}\s+\(\d+\)$""),'Manual Data Import'!B324) &amp; CHAR(10) &amp; 
IFERROR(REGEXREPLACE('Manual Data Import'!C324, ""\d+$"", """")) &amp;"" - ""&amp; 
IFERROR(REGEXEXTRACT('Manual Data Import'!B324, ""([A-Z"&amp;"]{2,4})\s+\(\d+\)$"")) &amp; "" (""&amp; 
IFERROR(REGEXEXTRACT('Manual Data Import'!B324, ""\((\d+)\)"")) &amp; "")"""),"Chimere Dike 
WR - TEN (9)")</f>
        <v>Chimere Dike 
WR - TEN (9)</v>
      </c>
      <c r="B324" s="30" t="str">
        <f>IFERROR(IF(COUNTIF('Draft Board'!$C$3:$V$24,A324)+COUNTIF(Keepers!$B$2:$U$21,A324)+COUNTIF('Auction Draft Board'!$C$6:$AP$25,A324)&gt;0,"",A324),"")</f>
        <v/>
      </c>
    </row>
    <row r="325">
      <c r="A325" t="str">
        <f>IFERROR(__xludf.DUMMYFUNCTION("IFERROR(REGEXEXTRACT('Manual Data Import'!B325, ""^(.*)\s+[A-Z]{2,4}\s+\(\d+\)$""),'Manual Data Import'!B325) &amp; CHAR(10) &amp; 
IFERROR(REGEXREPLACE('Manual Data Import'!C325, ""\d+$"", """")) &amp;"" - ""&amp; 
IFERROR(REGEXEXTRACT('Manual Data Import'!B325, ""([A-Z"&amp;"]{2,4})\s+\(\d+\)$"")) &amp; "" (""&amp; 
IFERROR(REGEXEXTRACT('Manual Data Import'!B325, ""\((\d+)\)"")) &amp; "")"""),"Ja'Tavion Sanders 
TE - CAR (5)")</f>
        <v>Ja'Tavion Sanders 
TE - CAR (5)</v>
      </c>
      <c r="B325" s="30" t="str">
        <f>IFERROR(IF(COUNTIF('Draft Board'!$C$3:$V$24,A325)+COUNTIF(Keepers!$B$2:$U$21,A325)+COUNTIF('Auction Draft Board'!$C$6:$AP$25,A325)&gt;0,"",A325),"")</f>
        <v/>
      </c>
    </row>
    <row r="326">
      <c r="A326" t="str">
        <f>IFERROR(__xludf.DUMMYFUNCTION("IFERROR(REGEXEXTRACT('Manual Data Import'!B326, ""^(.*)\s+[A-Z]{2,4}\s+\(\d+\)$""),'Manual Data Import'!B326) &amp; CHAR(10) &amp; 
IFERROR(REGEXREPLACE('Manual Data Import'!C326, ""\d+$"", """")) &amp;"" - ""&amp; 
IFERROR(REGEXEXTRACT('Manual Data Import'!B326, ""([A-Z"&amp;"]{2,4})\s+\(\d+\)$"")) &amp; "" (""&amp; 
IFERROR(REGEXEXTRACT('Manual Data Import'!B326, ""\((\d+)\)"")) &amp; "")"""),"Ryan Fitzgerald 
K - CAR (5)")</f>
        <v>Ryan Fitzgerald 
K - CAR (5)</v>
      </c>
      <c r="B326" s="30" t="str">
        <f>IFERROR(IF(COUNTIF('Draft Board'!$C$3:$V$24,A326)+COUNTIF(Keepers!$B$2:$U$21,A326)+COUNTIF('Auction Draft Board'!$C$6:$AP$25,A326)&gt;0,"",A326),"")</f>
        <v/>
      </c>
    </row>
    <row r="327">
      <c r="A327" t="str">
        <f>IFERROR(__xludf.DUMMYFUNCTION("IFERROR(REGEXEXTRACT('Manual Data Import'!B327, ""^(.*)\s+[A-Z]{2,4}\s+\(\d+\)$""),'Manual Data Import'!B327) &amp; CHAR(10) &amp; 
IFERROR(REGEXREPLACE('Manual Data Import'!C327, ""\d+$"", """")) &amp;"" - ""&amp; 
IFERROR(REGEXEXTRACT('Manual Data Import'!B327, ""([A-Z"&amp;"]{2,4})\s+\(\d+\)$"")) &amp; "" (""&amp; 
IFERROR(REGEXEXTRACT('Manual Data Import'!B327, ""\((\d+)\)"")) &amp; "")"""),"Elijah Arroyo 
TE - SEA (11)")</f>
        <v>Elijah Arroyo 
TE - SEA (11)</v>
      </c>
      <c r="B327" s="30" t="str">
        <f>IFERROR(IF(COUNTIF('Draft Board'!$C$3:$V$24,A327)+COUNTIF(Keepers!$B$2:$U$21,A327)+COUNTIF('Auction Draft Board'!$C$6:$AP$25,A327)&gt;0,"",A327),"")</f>
        <v/>
      </c>
    </row>
    <row r="328">
      <c r="A328" t="str">
        <f>IFERROR(__xludf.DUMMYFUNCTION("IFERROR(REGEXEXTRACT('Manual Data Import'!B328, ""^(.*)\s+[A-Z]{2,4}\s+\(\d+\)$""),'Manual Data Import'!B328) &amp; CHAR(10) &amp; 
IFERROR(REGEXREPLACE('Manual Data Import'!C328, ""\d+$"", """")) &amp;"" - ""&amp; 
IFERROR(REGEXEXTRACT('Manual Data Import'!B328, ""([A-Z"&amp;"]{2,4})\s+\(\d+\)$"")) &amp; "" (""&amp; 
IFERROR(REGEXEXTRACT('Manual Data Import'!B328, ""\((\d+)\)"")) &amp; "")"""),"Jake Moody
K -  ()")</f>
        <v>Jake Moody
K -  ()</v>
      </c>
      <c r="B328" s="30" t="str">
        <f>IFERROR(IF(COUNTIF('Draft Board'!$C$3:$V$24,A328)+COUNTIF(Keepers!$B$2:$U$21,A328)+COUNTIF('Auction Draft Board'!$C$6:$AP$25,A328)&gt;0,"",A328),"")</f>
        <v/>
      </c>
    </row>
    <row r="329">
      <c r="A329" t="str">
        <f>IFERROR(__xludf.DUMMYFUNCTION("IFERROR(REGEXEXTRACT('Manual Data Import'!B329, ""^(.*)\s+[A-Z]{2,4}\s+\(\d+\)$""),'Manual Data Import'!B329) &amp; CHAR(10) &amp; 
IFERROR(REGEXREPLACE('Manual Data Import'!C329, ""\d+$"", """")) &amp;"" - ""&amp; 
IFERROR(REGEXEXTRACT('Manual Data Import'!B329, ""([A-Z"&amp;"]{2,4})\s+\(\d+\)$"")) &amp; "" (""&amp; 
IFERROR(REGEXEXTRACT('Manual Data Import'!B329, ""\((\d+)\)"")) &amp; "")"""),"Colbie Young 
WR - CIN (6)")</f>
        <v>Colbie Young 
WR - CIN (6)</v>
      </c>
      <c r="B329" s="30" t="str">
        <f>IFERROR(IF(COUNTIF('Draft Board'!$C$3:$V$24,A329)+COUNTIF(Keepers!$B$2:$U$21,A329)+COUNTIF('Auction Draft Board'!$C$6:$AP$25,A329)&gt;0,"",A329),"")</f>
        <v/>
      </c>
    </row>
    <row r="330">
      <c r="A330" t="str">
        <f>IFERROR(__xludf.DUMMYFUNCTION("IFERROR(REGEXEXTRACT('Manual Data Import'!B330, ""^(.*)\s+[A-Z]{2,4}\s+\(\d+\)$""),'Manual Data Import'!B330) &amp; CHAR(10) &amp; 
IFERROR(REGEXREPLACE('Manual Data Import'!C330, ""\d+$"", """")) &amp;"" - ""&amp; 
IFERROR(REGEXEXTRACT('Manual Data Import'!B330, ""([A-Z"&amp;"]{2,4})\s+\(\d+\)$"")) &amp; "" (""&amp; 
IFERROR(REGEXEXTRACT('Manual Data Import'!B330, ""\((\d+)\)"")) &amp; "")"""),"Joey Slye 
K - TEN (9)")</f>
        <v>Joey Slye 
K - TEN (9)</v>
      </c>
      <c r="B330" s="30" t="str">
        <f>IFERROR(IF(COUNTIF('Draft Board'!$C$3:$V$24,A330)+COUNTIF(Keepers!$B$2:$U$21,A330)+COUNTIF('Auction Draft Board'!$C$6:$AP$25,A330)&gt;0,"",A330),"")</f>
        <v/>
      </c>
    </row>
    <row r="331">
      <c r="A331" t="str">
        <f>IFERROR(__xludf.DUMMYFUNCTION("IFERROR(REGEXEXTRACT('Manual Data Import'!B331, ""^(.*)\s+[A-Z]{2,4}\s+\(\d+\)$""),'Manual Data Import'!B331) &amp; CHAR(10) &amp; 
IFERROR(REGEXREPLACE('Manual Data Import'!C331, ""\d+$"", """")) &amp;"" - ""&amp; 
IFERROR(REGEXEXTRACT('Manual Data Import'!B331, ""([A-Z"&amp;"]{2,4})\s+\(\d+\)$"")) &amp; "" (""&amp; 
IFERROR(REGEXEXTRACT('Manual Data Import'!B331, ""\((\d+)\)"")) &amp; "")"""),"Joshua Palmer 
WR - BUF (7)")</f>
        <v>Joshua Palmer 
WR - BUF (7)</v>
      </c>
      <c r="B331" s="30" t="str">
        <f>IFERROR(IF(COUNTIF('Draft Board'!$C$3:$V$24,A331)+COUNTIF(Keepers!$B$2:$U$21,A331)+COUNTIF('Auction Draft Board'!$C$6:$AP$25,A331)&gt;0,"",A331),"")</f>
        <v/>
      </c>
    </row>
    <row r="332">
      <c r="A332" t="str">
        <f>IFERROR(__xludf.DUMMYFUNCTION("IFERROR(REGEXEXTRACT('Manual Data Import'!B332, ""^(.*)\s+[A-Z]{2,4}\s+\(\d+\)$""),'Manual Data Import'!B332) &amp; CHAR(10) &amp; 
IFERROR(REGEXREPLACE('Manual Data Import'!C332, ""\d+$"", """")) &amp;"" - ""&amp; 
IFERROR(REGEXEXTRACT('Manual Data Import'!B332, ""([A-Z"&amp;"]{2,4})\s+\(\d+\)$"")) &amp; "" (""&amp; 
IFERROR(REGEXEXTRACT('Manual Data Import'!B332, ""\((\d+)\)"")) &amp; "")"""),"Elijah Sarratt 
WR - BAL (13)")</f>
        <v>Elijah Sarratt 
WR - BAL (13)</v>
      </c>
      <c r="B332" s="30" t="str">
        <f>IFERROR(IF(COUNTIF('Draft Board'!$C$3:$V$24,A332)+COUNTIF(Keepers!$B$2:$U$21,A332)+COUNTIF('Auction Draft Board'!$C$6:$AP$25,A332)&gt;0,"",A332),"")</f>
        <v/>
      </c>
    </row>
    <row r="333">
      <c r="A333" t="str">
        <f>IFERROR(__xludf.DUMMYFUNCTION("IFERROR(REGEXEXTRACT('Manual Data Import'!B333, ""^(.*)\s+[A-Z]{2,4}\s+\(\d+\)$""),'Manual Data Import'!B333) &amp; CHAR(10) &amp; 
IFERROR(REGEXREPLACE('Manual Data Import'!C333, ""\d+$"", """")) &amp;"" - ""&amp; 
IFERROR(REGEXEXTRACT('Manual Data Import'!B333, ""([A-Z"&amp;"]{2,4})\s+\(\d+\)$"")) &amp; "" (""&amp; 
IFERROR(REGEXEXTRACT('Manual Data Import'!B333, ""\((\d+)\)"")) &amp; "")"""),"Mac Jones 
QB - SF (8)")</f>
        <v>Mac Jones 
QB - SF (8)</v>
      </c>
      <c r="B333" s="30" t="str">
        <f>IFERROR(IF(COUNTIF('Draft Board'!$C$3:$V$24,A333)+COUNTIF(Keepers!$B$2:$U$21,A333)+COUNTIF('Auction Draft Board'!$C$6:$AP$25,A333)&gt;0,"",A333),"")</f>
        <v/>
      </c>
    </row>
    <row r="334">
      <c r="A334" t="str">
        <f>IFERROR(__xludf.DUMMYFUNCTION("IFERROR(REGEXEXTRACT('Manual Data Import'!B334, ""^(.*)\s+[A-Z]{2,4}\s+\(\d+\)$""),'Manual Data Import'!B334) &amp; CHAR(10) &amp; 
IFERROR(REGEXREPLACE('Manual Data Import'!C334, ""\d+$"", """")) &amp;"" - ""&amp; 
IFERROR(REGEXEXTRACT('Manual Data Import'!B334, ""([A-Z"&amp;"]{2,4})\s+\(\d+\)$"")) &amp; "" (""&amp; 
IFERROR(REGEXEXTRACT('Manual Data Import'!B334, ""\((\d+)\)"")) &amp; "")"""),"Eli Raridon 
TE - NE (11)")</f>
        <v>Eli Raridon 
TE - NE (11)</v>
      </c>
      <c r="B334" s="30" t="str">
        <f>IFERROR(IF(COUNTIF('Draft Board'!$C$3:$V$24,A334)+COUNTIF(Keepers!$B$2:$U$21,A334)+COUNTIF('Auction Draft Board'!$C$6:$AP$25,A334)&gt;0,"",A334),"")</f>
        <v/>
      </c>
    </row>
    <row r="335">
      <c r="A335" t="str">
        <f>IFERROR(__xludf.DUMMYFUNCTION("IFERROR(REGEXEXTRACT('Manual Data Import'!B335, ""^(.*)\s+[A-Z]{2,4}\s+\(\d+\)$""),'Manual Data Import'!B335) &amp; CHAR(10) &amp; 
IFERROR(REGEXREPLACE('Manual Data Import'!C335, ""\d+$"", """")) &amp;"" - ""&amp; 
IFERROR(REGEXEXTRACT('Manual Data Import'!B335, ""([A-Z"&amp;"]{2,4})\s+\(\d+\)$"")) &amp; "" (""&amp; 
IFERROR(REGEXEXTRACT('Manual Data Import'!B335, ""\((\d+)\)"")) &amp; "")"""),"J.J. Taylor
RB -  ()")</f>
        <v>J.J. Taylor
RB -  ()</v>
      </c>
      <c r="B335" s="30" t="str">
        <f>IFERROR(IF(COUNTIF('Draft Board'!$C$3:$V$24,A335)+COUNTIF(Keepers!$B$2:$U$21,A335)+COUNTIF('Auction Draft Board'!$C$6:$AP$25,A335)&gt;0,"",A335),"")</f>
        <v/>
      </c>
    </row>
    <row r="336">
      <c r="A336" t="str">
        <f>IFERROR(__xludf.DUMMYFUNCTION("IFERROR(REGEXEXTRACT('Manual Data Import'!B336, ""^(.*)\s+[A-Z]{2,4}\s+\(\d+\)$""),'Manual Data Import'!B336) &amp; CHAR(10) &amp; 
IFERROR(REGEXREPLACE('Manual Data Import'!C336, ""\d+$"", """")) &amp;"" - ""&amp; 
IFERROR(REGEXEXTRACT('Manual Data Import'!B336, ""([A-Z"&amp;"]{2,4})\s+\(\d+\)$"")) &amp; "" (""&amp; 
IFERROR(REGEXEXTRACT('Manual Data Import'!B336, ""\((\d+)\)"")) &amp; "")"""),"Tyler Higbee 
TE - LAR (11)")</f>
        <v>Tyler Higbee 
TE - LAR (11)</v>
      </c>
      <c r="B336" s="30" t="str">
        <f>IFERROR(IF(COUNTIF('Draft Board'!$C$3:$V$24,A336)+COUNTIF(Keepers!$B$2:$U$21,A336)+COUNTIF('Auction Draft Board'!$C$6:$AP$25,A336)&gt;0,"",A336),"")</f>
        <v/>
      </c>
    </row>
    <row r="337">
      <c r="A337" t="str">
        <f>IFERROR(__xludf.DUMMYFUNCTION("IFERROR(REGEXEXTRACT('Manual Data Import'!B337, ""^(.*)\s+[A-Z]{2,4}\s+\(\d+\)$""),'Manual Data Import'!B337) &amp; CHAR(10) &amp; 
IFERROR(REGEXREPLACE('Manual Data Import'!C337, ""\d+$"", """")) &amp;"" - ""&amp; 
IFERROR(REGEXEXTRACT('Manual Data Import'!B337, ""([A-Z"&amp;"]{2,4})\s+\(\d+\)$"")) &amp; "" (""&amp; 
IFERROR(REGEXEXTRACT('Manual Data Import'!B337, ""\((\d+)\)"")) &amp; "")"""),"Josh Williams 
RB - TB (10)")</f>
        <v>Josh Williams 
RB - TB (10)</v>
      </c>
      <c r="B337" s="30" t="str">
        <f>IFERROR(IF(COUNTIF('Draft Board'!$C$3:$V$24,A337)+COUNTIF(Keepers!$B$2:$U$21,A337)+COUNTIF('Auction Draft Board'!$C$6:$AP$25,A337)&gt;0,"",A337),"")</f>
        <v/>
      </c>
    </row>
    <row r="338">
      <c r="A338" t="str">
        <f>IFERROR(__xludf.DUMMYFUNCTION("IFERROR(REGEXEXTRACT('Manual Data Import'!B338, ""^(.*)\s+[A-Z]{2,4}\s+\(\d+\)$""),'Manual Data Import'!B338) &amp; CHAR(10) &amp; 
IFERROR(REGEXREPLACE('Manual Data Import'!C338, ""\d+$"", """")) &amp;"" - ""&amp; 
IFERROR(REGEXEXTRACT('Manual Data Import'!B338, ""([A-Z"&amp;"]{2,4})\s+\(\d+\)$"")) &amp; "" (""&amp; 
IFERROR(REGEXEXTRACT('Manual Data Import'!B338, ""\((\d+)\)"")) &amp; "")"""),"Devin Neal 
RB - NO (8)")</f>
        <v>Devin Neal 
RB - NO (8)</v>
      </c>
      <c r="B338" s="30" t="str">
        <f>IFERROR(IF(COUNTIF('Draft Board'!$C$3:$V$24,A338)+COUNTIF(Keepers!$B$2:$U$21,A338)+COUNTIF('Auction Draft Board'!$C$6:$AP$25,A338)&gt;0,"",A338),"")</f>
        <v/>
      </c>
    </row>
    <row r="339">
      <c r="A339" t="str">
        <f>IFERROR(__xludf.DUMMYFUNCTION("IFERROR(REGEXEXTRACT('Manual Data Import'!B339, ""^(.*)\s+[A-Z]{2,4}\s+\(\d+\)$""),'Manual Data Import'!B339) &amp; CHAR(10) &amp; 
IFERROR(REGEXREPLACE('Manual Data Import'!C339, ""\d+$"", """")) &amp;"" - ""&amp; 
IFERROR(REGEXEXTRACT('Manual Data Import'!B339, ""([A-Z"&amp;"]{2,4})\s+\(\d+\)$"")) &amp; "" (""&amp; 
IFERROR(REGEXEXTRACT('Manual Data Import'!B339, ""\((\d+)\)"")) &amp; "")"""),"Spencer Shrader 
K - IND (13)")</f>
        <v>Spencer Shrader 
K - IND (13)</v>
      </c>
      <c r="B339" s="30" t="str">
        <f>IFERROR(IF(COUNTIF('Draft Board'!$C$3:$V$24,A339)+COUNTIF(Keepers!$B$2:$U$21,A339)+COUNTIF('Auction Draft Board'!$C$6:$AP$25,A339)&gt;0,"",A339),"")</f>
        <v/>
      </c>
    </row>
    <row r="340">
      <c r="A340" t="str">
        <f>IFERROR(__xludf.DUMMYFUNCTION("IFERROR(REGEXEXTRACT('Manual Data Import'!B340, ""^(.*)\s+[A-Z]{2,4}\s+\(\d+\)$""),'Manual Data Import'!B340) &amp; CHAR(10) &amp; 
IFERROR(REGEXREPLACE('Manual Data Import'!C340, ""\d+$"", """")) &amp;"" - ""&amp; 
IFERROR(REGEXEXTRACT('Manual Data Import'!B340, ""([A-Z"&amp;"]{2,4})\s+\(\d+\)$"")) &amp; "" (""&amp; 
IFERROR(REGEXEXTRACT('Manual Data Import'!B340, ""\((\d+)\)"")) &amp; "")"""),"Odell Beckham Jr. 
WR - NYG (8)")</f>
        <v>Odell Beckham Jr. 
WR - NYG (8)</v>
      </c>
      <c r="B340" s="30" t="str">
        <f>IFERROR(IF(COUNTIF('Draft Board'!$C$3:$V$24,A340)+COUNTIF(Keepers!$B$2:$U$21,A340)+COUNTIF('Auction Draft Board'!$C$6:$AP$25,A340)&gt;0,"",A340),"")</f>
        <v/>
      </c>
    </row>
    <row r="341">
      <c r="A341" t="str">
        <f>IFERROR(__xludf.DUMMYFUNCTION("IFERROR(REGEXEXTRACT('Manual Data Import'!B341, ""^(.*)\s+[A-Z]{2,4}\s+\(\d+\)$""),'Manual Data Import'!B341) &amp; CHAR(10) &amp; 
IFERROR(REGEXREPLACE('Manual Data Import'!C341, ""\d+$"", """")) &amp;"" - ""&amp; 
IFERROR(REGEXEXTRACT('Manual Data Import'!B341, ""([A-Z"&amp;"]{2,4})\s+\(\d+\)$"")) &amp; "" (""&amp; 
IFERROR(REGEXEXTRACT('Manual Data Import'!B341, ""\((\d+)\)"")) &amp; "")"""),"Justin Tucker
K -  ()")</f>
        <v>Justin Tucker
K -  ()</v>
      </c>
      <c r="B341" s="30" t="str">
        <f>IFERROR(IF(COUNTIF('Draft Board'!$C$3:$V$24,A341)+COUNTIF(Keepers!$B$2:$U$21,A341)+COUNTIF('Auction Draft Board'!$C$6:$AP$25,A341)&gt;0,"",A341),"")</f>
        <v/>
      </c>
    </row>
    <row r="342">
      <c r="A342" t="str">
        <f>IFERROR(__xludf.DUMMYFUNCTION("IFERROR(REGEXEXTRACT('Manual Data Import'!B342, ""^(.*)\s+[A-Z]{2,4}\s+\(\d+\)$""),'Manual Data Import'!B342) &amp; CHAR(10) &amp; 
IFERROR(REGEXREPLACE('Manual Data Import'!C342, ""\d+$"", """")) &amp;"" - ""&amp; 
IFERROR(REGEXEXTRACT('Manual Data Import'!B342, ""([A-Z"&amp;"]{2,4})\s+\(\d+\)$"")) &amp; "" (""&amp; 
IFERROR(REGEXEXTRACT('Manual Data Import'!B342, ""\((\d+)\)"")) &amp; "")"""),"Philip Rivers
QB -  ()")</f>
        <v>Philip Rivers
QB -  ()</v>
      </c>
      <c r="B342" s="30" t="str">
        <f>IFERROR(IF(COUNTIF('Draft Board'!$C$3:$V$24,A342)+COUNTIF(Keepers!$B$2:$U$21,A342)+COUNTIF('Auction Draft Board'!$C$6:$AP$25,A342)&gt;0,"",A342),"")</f>
        <v/>
      </c>
    </row>
    <row r="343">
      <c r="A343" t="str">
        <f>IFERROR(__xludf.DUMMYFUNCTION("IFERROR(REGEXEXTRACT('Manual Data Import'!B343, ""^(.*)\s+[A-Z]{2,4}\s+\(\d+\)$""),'Manual Data Import'!B343) &amp; CHAR(10) &amp; 
IFERROR(REGEXREPLACE('Manual Data Import'!C343, ""\d+$"", """")) &amp;"" - ""&amp; 
IFERROR(REGEXEXTRACT('Manual Data Import'!B343, ""([A-Z"&amp;"]{2,4})\s+\(\d+\)$"")) &amp; "" (""&amp; 
IFERROR(REGEXEXTRACT('Manual Data Import'!B343, ""\((\d+)\)"")) &amp; "")"""),"Cade Klubnik 
QB - NYJ (13)")</f>
        <v>Cade Klubnik 
QB - NYJ (13)</v>
      </c>
      <c r="B343" s="30" t="str">
        <f>IFERROR(IF(COUNTIF('Draft Board'!$C$3:$V$24,A343)+COUNTIF(Keepers!$B$2:$U$21,A343)+COUNTIF('Auction Draft Board'!$C$6:$AP$25,A343)&gt;0,"",A343),"")</f>
        <v/>
      </c>
    </row>
    <row r="344">
      <c r="A344" t="str">
        <f>IFERROR(__xludf.DUMMYFUNCTION("IFERROR(REGEXEXTRACT('Manual Data Import'!B344, ""^(.*)\s+[A-Z]{2,4}\s+\(\d+\)$""),'Manual Data Import'!B344) &amp; CHAR(10) &amp; 
IFERROR(REGEXREPLACE('Manual Data Import'!C344, ""\d+$"", """")) &amp;"" - ""&amp; 
IFERROR(REGEXEXTRACT('Manual Data Import'!B344, ""([A-Z"&amp;"]{2,4})\s+\(\d+\)$"")) &amp; "" (""&amp; 
IFERROR(REGEXEXTRACT('Manual Data Import'!B344, ""\((\d+)\)"")) &amp; "")"""),"KaVontae Turpin 
WR - DAL (14)")</f>
        <v>KaVontae Turpin 
WR - DAL (14)</v>
      </c>
      <c r="B344" s="30" t="str">
        <f>IFERROR(IF(COUNTIF('Draft Board'!$C$3:$V$24,A344)+COUNTIF(Keepers!$B$2:$U$21,A344)+COUNTIF('Auction Draft Board'!$C$6:$AP$25,A344)&gt;0,"",A344),"")</f>
        <v/>
      </c>
    </row>
    <row r="345">
      <c r="A345" t="str">
        <f>IFERROR(__xludf.DUMMYFUNCTION("IFERROR(REGEXEXTRACT('Manual Data Import'!B345, ""^(.*)\s+[A-Z]{2,4}\s+\(\d+\)$""),'Manual Data Import'!B345) &amp; CHAR(10) &amp; 
IFERROR(REGEXREPLACE('Manual Data Import'!C345, ""\d+$"", """")) &amp;"" - ""&amp; 
IFERROR(REGEXEXTRACT('Manual Data Import'!B345, ""([A-Z"&amp;"]{2,4})\s+\(\d+\)$"")) &amp; "" (""&amp; 
IFERROR(REGEXEXTRACT('Manual Data Import'!B345, ""\((\d+)\)"")) &amp; "")"""),"Younghoe Koo
K -  ()")</f>
        <v>Younghoe Koo
K -  ()</v>
      </c>
      <c r="B345" s="30" t="str">
        <f>IFERROR(IF(COUNTIF('Draft Board'!$C$3:$V$24,A345)+COUNTIF(Keepers!$B$2:$U$21,A345)+COUNTIF('Auction Draft Board'!$C$6:$AP$25,A345)&gt;0,"",A345),"")</f>
        <v/>
      </c>
    </row>
    <row r="346">
      <c r="A346" t="str">
        <f>IFERROR(__xludf.DUMMYFUNCTION("IFERROR(REGEXEXTRACT('Manual Data Import'!B346, ""^(.*)\s+[A-Z]{2,4}\s+\(\d+\)$""),'Manual Data Import'!B346) &amp; CHAR(10) &amp; 
IFERROR(REGEXREPLACE('Manual Data Import'!C346, ""\d+$"", """")) &amp;"" - ""&amp; 
IFERROR(REGEXEXTRACT('Manual Data Import'!B346, ""([A-Z"&amp;"]{2,4})\s+\(\d+\)$"")) &amp; "" (""&amp; 
IFERROR(REGEXEXTRACT('Manual Data Import'!B346, ""\((\d+)\)"")) &amp; "")"""),"Jordan Whittington 
WR - LAR (11)")</f>
        <v>Jordan Whittington 
WR - LAR (11)</v>
      </c>
      <c r="B346" s="30" t="str">
        <f>IFERROR(IF(COUNTIF('Draft Board'!$C$3:$V$24,A346)+COUNTIF(Keepers!$B$2:$U$21,A346)+COUNTIF('Auction Draft Board'!$C$6:$AP$25,A346)&gt;0,"",A346),"")</f>
        <v/>
      </c>
    </row>
    <row r="347">
      <c r="A347" t="str">
        <f>IFERROR(__xludf.DUMMYFUNCTION("IFERROR(REGEXEXTRACT('Manual Data Import'!B347, ""^(.*)\s+[A-Z]{2,4}\s+\(\d+\)$""),'Manual Data Import'!B347) &amp; CHAR(10) &amp; 
IFERROR(REGEXREPLACE('Manual Data Import'!C347, ""\d+$"", """")) &amp;"" - ""&amp; 
IFERROR(REGEXEXTRACT('Manual Data Import'!B347, ""([A-Z"&amp;"]{2,4})\s+\(\d+\)$"")) &amp; "" (""&amp; 
IFERROR(REGEXEXTRACT('Manual Data Import'!B347, ""\((\d+)\)"")) &amp; "")"""),"Zavion Thomas 
WR - CHI (10)")</f>
        <v>Zavion Thomas 
WR - CHI (10)</v>
      </c>
      <c r="B347" s="30" t="str">
        <f>IFERROR(IF(COUNTIF('Draft Board'!$C$3:$V$24,A347)+COUNTIF(Keepers!$B$2:$U$21,A347)+COUNTIF('Auction Draft Board'!$C$6:$AP$25,A347)&gt;0,"",A347),"")</f>
        <v/>
      </c>
    </row>
    <row r="348">
      <c r="A348" t="str">
        <f>IFERROR(__xludf.DUMMYFUNCTION("IFERROR(REGEXEXTRACT('Manual Data Import'!B348, ""^(.*)\s+[A-Z]{2,4}\s+\(\d+\)$""),'Manual Data Import'!B348) &amp; CHAR(10) &amp; 
IFERROR(REGEXREPLACE('Manual Data Import'!C348, ""\d+$"", """")) &amp;"" - ""&amp; 
IFERROR(REGEXEXTRACT('Manual Data Import'!B348, ""([A-Z"&amp;"]{2,4})\s+\(\d+\)$"")) &amp; "" (""&amp; 
IFERROR(REGEXEXTRACT('Manual Data Import'!B348, ""\((\d+)\)"")) &amp; "")"""),"Max Klare 
TE - LAR (11)")</f>
        <v>Max Klare 
TE - LAR (11)</v>
      </c>
      <c r="B348" s="30" t="str">
        <f>IFERROR(IF(COUNTIF('Draft Board'!$C$3:$V$24,A348)+COUNTIF(Keepers!$B$2:$U$21,A348)+COUNTIF('Auction Draft Board'!$C$6:$AP$25,A348)&gt;0,"",A348),"")</f>
        <v/>
      </c>
    </row>
    <row r="349">
      <c r="A349" t="str">
        <f>IFERROR(__xludf.DUMMYFUNCTION("IFERROR(REGEXEXTRACT('Manual Data Import'!B349, ""^(.*)\s+[A-Z]{2,4}\s+\(\d+\)$""),'Manual Data Import'!B349) &amp; CHAR(10) &amp; 
IFERROR(REGEXREPLACE('Manual Data Import'!C349, ""\d+$"", """")) &amp;"" - ""&amp; 
IFERROR(REGEXEXTRACT('Manual Data Import'!B349, ""([A-Z"&amp;"]{2,4})\s+\(\d+\)$"")) &amp; "" (""&amp; 
IFERROR(REGEXEXTRACT('Manual Data Import'!B349, ""\((\d+)\)"")) &amp; "")"""),"Evan Engram 
TE - DEN (10)")</f>
        <v>Evan Engram 
TE - DEN (10)</v>
      </c>
      <c r="B349" s="30" t="str">
        <f>IFERROR(IF(COUNTIF('Draft Board'!$C$3:$V$24,A349)+COUNTIF(Keepers!$B$2:$U$21,A349)+COUNTIF('Auction Draft Board'!$C$6:$AP$25,A349)&gt;0,"",A349),"")</f>
        <v/>
      </c>
    </row>
    <row r="350">
      <c r="A350" t="str">
        <f>IFERROR(__xludf.DUMMYFUNCTION("IFERROR(REGEXEXTRACT('Manual Data Import'!B350, ""^(.*)\s+[A-Z]{2,4}\s+\(\d+\)$""),'Manual Data Import'!B350) &amp; CHAR(10) &amp; 
IFERROR(REGEXREPLACE('Manual Data Import'!C350, ""\d+$"", """")) &amp;"" - ""&amp; 
IFERROR(REGEXEXTRACT('Manual Data Import'!B350, ""([A-Z"&amp;"]{2,4})\s+\(\d+\)$"")) &amp; "" (""&amp; 
IFERROR(REGEXEXTRACT('Manual Data Import'!B350, ""\((\d+)\)"")) &amp; "")"""),"Lil'Jordan Humphrey 
WR - DEN (10)")</f>
        <v>Lil'Jordan Humphrey 
WR - DEN (10)</v>
      </c>
      <c r="B350" s="30" t="str">
        <f>IFERROR(IF(COUNTIF('Draft Board'!$C$3:$V$24,A350)+COUNTIF(Keepers!$B$2:$U$21,A350)+COUNTIF('Auction Draft Board'!$C$6:$AP$25,A350)&gt;0,"",A350),"")</f>
        <v/>
      </c>
    </row>
    <row r="351">
      <c r="A351" t="str">
        <f>IFERROR(__xludf.DUMMYFUNCTION("IFERROR(REGEXEXTRACT('Manual Data Import'!B351, ""^(.*)\s+[A-Z]{2,4}\s+\(\d+\)$""),'Manual Data Import'!B351) &amp; CHAR(10) &amp; 
IFERROR(REGEXREPLACE('Manual Data Import'!C351, ""\d+$"", """")) &amp;"" - ""&amp; 
IFERROR(REGEXEXTRACT('Manual Data Import'!B351, ""([A-Z"&amp;"]{2,4})\s+\(\d+\)$"")) &amp; "" (""&amp; 
IFERROR(REGEXEXTRACT('Manual Data Import'!B351, ""\((\d+)\)"")) &amp; "")"""),"Noah Gray 
TE - KC (5)")</f>
        <v>Noah Gray 
TE - KC (5)</v>
      </c>
      <c r="B351" s="30" t="str">
        <f>IFERROR(IF(COUNTIF('Draft Board'!$C$3:$V$24,A351)+COUNTIF(Keepers!$B$2:$U$21,A351)+COUNTIF('Auction Draft Board'!$C$6:$AP$25,A351)&gt;0,"",A351),"")</f>
        <v/>
      </c>
    </row>
    <row r="352">
      <c r="A352" t="str">
        <f>IFERROR(__xludf.DUMMYFUNCTION("IFERROR(REGEXEXTRACT('Manual Data Import'!B352, ""^(.*)\s+[A-Z]{2,4}\s+\(\d+\)$""),'Manual Data Import'!B352) &amp; CHAR(10) &amp; 
IFERROR(REGEXREPLACE('Manual Data Import'!C352, ""\d+$"", """")) &amp;"" - ""&amp; 
IFERROR(REGEXEXTRACT('Manual Data Import'!B352, ""([A-Z"&amp;"]{2,4})\s+\(\d+\)$"")) &amp; "" (""&amp; 
IFERROR(REGEXEXTRACT('Manual Data Import'!B352, ""\((\d+)\)"")) &amp; "")"""),"Mike Gesicki 
TE - CIN (6)")</f>
        <v>Mike Gesicki 
TE - CIN (6)</v>
      </c>
      <c r="B352" s="30" t="str">
        <f>IFERROR(IF(COUNTIF('Draft Board'!$C$3:$V$24,A352)+COUNTIF(Keepers!$B$2:$U$21,A352)+COUNTIF('Auction Draft Board'!$C$6:$AP$25,A352)&gt;0,"",A352),"")</f>
        <v/>
      </c>
    </row>
    <row r="353">
      <c r="A353" t="str">
        <f>IFERROR(__xludf.DUMMYFUNCTION("IFERROR(REGEXEXTRACT('Manual Data Import'!B353, ""^(.*)\s+[A-Z]{2,4}\s+\(\d+\)$""),'Manual Data Import'!B353) &amp; CHAR(10) &amp; 
IFERROR(REGEXREPLACE('Manual Data Import'!C353, ""\d+$"", """")) &amp;"" - ""&amp; 
IFERROR(REGEXEXTRACT('Manual Data Import'!B353, ""([A-Z"&amp;"]{2,4})\s+\(\d+\)$"")) &amp; "" (""&amp; 
IFERROR(REGEXEXTRACT('Manual Data Import'!B353, ""\((\d+)\)"")) &amp; "")"""),"Dominic Zvada 
K - NYG (8)")</f>
        <v>Dominic Zvada 
K - NYG (8)</v>
      </c>
      <c r="B353" s="30" t="str">
        <f>IFERROR(IF(COUNTIF('Draft Board'!$C$3:$V$24,A353)+COUNTIF(Keepers!$B$2:$U$21,A353)+COUNTIF('Auction Draft Board'!$C$6:$AP$25,A353)&gt;0,"",A353),"")</f>
        <v/>
      </c>
    </row>
    <row r="354">
      <c r="A354" t="str">
        <f>IFERROR(__xludf.DUMMYFUNCTION("IFERROR(REGEXEXTRACT('Manual Data Import'!B354, ""^(.*)\s+[A-Z]{2,4}\s+\(\d+\)$""),'Manual Data Import'!B354) &amp; CHAR(10) &amp; 
IFERROR(REGEXREPLACE('Manual Data Import'!C354, ""\d+$"", """")) &amp;"" - ""&amp; 
IFERROR(REGEXEXTRACT('Manual Data Import'!B354, ""([A-Z"&amp;"]{2,4})\s+\(\d+\)$"")) &amp; "" (""&amp; 
IFERROR(REGEXEXTRACT('Manual Data Import'!B354, ""\((\d+)\)"")) &amp; "")"""),"Tommy Tremble 
TE - CAR (5)")</f>
        <v>Tommy Tremble 
TE - CAR (5)</v>
      </c>
      <c r="B354" s="30" t="str">
        <f>IFERROR(IF(COUNTIF('Draft Board'!$C$3:$V$24,A354)+COUNTIF(Keepers!$B$2:$U$21,A354)+COUNTIF('Auction Draft Board'!$C$6:$AP$25,A354)&gt;0,"",A354),"")</f>
        <v/>
      </c>
    </row>
    <row r="355">
      <c r="A355" t="str">
        <f>IFERROR(__xludf.DUMMYFUNCTION("IFERROR(REGEXEXTRACT('Manual Data Import'!B355, ""^(.*)\s+[A-Z]{2,4}\s+\(\d+\)$""),'Manual Data Import'!B355) &amp; CHAR(10) &amp; 
IFERROR(REGEXREPLACE('Manual Data Import'!C355, ""\d+$"", """")) &amp;"" - ""&amp; 
IFERROR(REGEXEXTRACT('Manual Data Import'!B355, ""([A-Z"&amp;"]{2,4})\s+\(\d+\)$"")) &amp; "" (""&amp; 
IFERROR(REGEXEXTRACT('Manual Data Import'!B355, ""\((\d+)\)"")) &amp; "")"""),"Konata Mumpfield 
WR - LAR (11)")</f>
        <v>Konata Mumpfield 
WR - LAR (11)</v>
      </c>
      <c r="B355" s="30" t="str">
        <f>IFERROR(IF(COUNTIF('Draft Board'!$C$3:$V$24,A355)+COUNTIF(Keepers!$B$2:$U$21,A355)+COUNTIF('Auction Draft Board'!$C$6:$AP$25,A355)&gt;0,"",A355),"")</f>
        <v/>
      </c>
    </row>
    <row r="356">
      <c r="A356" t="str">
        <f>IFERROR(__xludf.DUMMYFUNCTION("IFERROR(REGEXEXTRACT('Manual Data Import'!B356, ""^(.*)\s+[A-Z]{2,4}\s+\(\d+\)$""),'Manual Data Import'!B356) &amp; CHAR(10) &amp; 
IFERROR(REGEXREPLACE('Manual Data Import'!C356, ""\d+$"", """")) &amp;"" - ""&amp; 
IFERROR(REGEXEXTRACT('Manual Data Import'!B356, ""([A-Z"&amp;"]{2,4})\s+\(\d+\)$"")) &amp; "" (""&amp; 
IFERROR(REGEXEXTRACT('Manual Data Import'!B356, ""\((\d+)\)"")) &amp; "")"""),"Mack Hollins 
WR - NE (11)")</f>
        <v>Mack Hollins 
WR - NE (11)</v>
      </c>
      <c r="B356" s="30" t="str">
        <f>IFERROR(IF(COUNTIF('Draft Board'!$C$3:$V$24,A356)+COUNTIF(Keepers!$B$2:$U$21,A356)+COUNTIF('Auction Draft Board'!$C$6:$AP$25,A356)&gt;0,"",A356),"")</f>
        <v/>
      </c>
    </row>
    <row r="357">
      <c r="A357" t="str">
        <f>IFERROR(__xludf.DUMMYFUNCTION("IFERROR(REGEXEXTRACT('Manual Data Import'!B357, ""^(.*)\s+[A-Z]{2,4}\s+\(\d+\)$""),'Manual Data Import'!B357) &amp; CHAR(10) &amp; 
IFERROR(REGEXREPLACE('Manual Data Import'!C357, ""\d+$"", """")) &amp;"" - ""&amp; 
IFERROR(REGEXEXTRACT('Manual Data Import'!B357, ""([A-Z"&amp;"]{2,4})\s+\(\d+\)$"")) &amp; "" (""&amp; 
IFERROR(REGEXEXTRACT('Manual Data Import'!B357, ""\((\d+)\)"")) &amp; "")"""),"Will Kacmarek 
TE - MIA (6)")</f>
        <v>Will Kacmarek 
TE - MIA (6)</v>
      </c>
      <c r="B357" s="30" t="str">
        <f>IFERROR(IF(COUNTIF('Draft Board'!$C$3:$V$24,A357)+COUNTIF(Keepers!$B$2:$U$21,A357)+COUNTIF('Auction Draft Board'!$C$6:$AP$25,A357)&gt;0,"",A357),"")</f>
        <v/>
      </c>
    </row>
    <row r="358">
      <c r="A358" t="str">
        <f>IFERROR(__xludf.DUMMYFUNCTION("IFERROR(REGEXEXTRACT('Manual Data Import'!B358, ""^(.*)\s+[A-Z]{2,4}\s+\(\d+\)$""),'Manual Data Import'!B358) &amp; CHAR(10) &amp; 
IFERROR(REGEXREPLACE('Manual Data Import'!C358, ""\d+$"", """")) &amp;"" - ""&amp; 
IFERROR(REGEXEXTRACT('Manual Data Import'!B358, ""([A-Z"&amp;"]{2,4})\s+\(\d+\)$"")) &amp; "" (""&amp; 
IFERROR(REGEXEXTRACT('Manual Data Import'!B358, ""\((\d+)\)"")) &amp; "")"""),"Caden Davis
K -  ()")</f>
        <v>Caden Davis
K -  ()</v>
      </c>
      <c r="B358" s="30" t="str">
        <f>IFERROR(IF(COUNTIF('Draft Board'!$C$3:$V$24,A358)+COUNTIF(Keepers!$B$2:$U$21,A358)+COUNTIF('Auction Draft Board'!$C$6:$AP$25,A358)&gt;0,"",A358),"")</f>
        <v/>
      </c>
    </row>
    <row r="359">
      <c r="A359" t="str">
        <f>IFERROR(__xludf.DUMMYFUNCTION("IFERROR(REGEXEXTRACT('Manual Data Import'!B359, ""^(.*)\s+[A-Z]{2,4}\s+\(\d+\)$""),'Manual Data Import'!B359) &amp; CHAR(10) &amp; 
IFERROR(REGEXREPLACE('Manual Data Import'!C359, ""\d+$"", """")) &amp;"" - ""&amp; 
IFERROR(REGEXEXTRACT('Manual Data Import'!B359, ""([A-Z"&amp;"]{2,4})\s+\(\d+\)$"")) &amp; "" (""&amp; 
IFERROR(REGEXEXTRACT('Manual Data Import'!B359, ""\((\d+)\)"")) &amp; "")"""),"Sal Cannella
TE -  ()")</f>
        <v>Sal Cannella
TE -  ()</v>
      </c>
      <c r="B359" s="30" t="str">
        <f>IFERROR(IF(COUNTIF('Draft Board'!$C$3:$V$24,A359)+COUNTIF(Keepers!$B$2:$U$21,A359)+COUNTIF('Auction Draft Board'!$C$6:$AP$25,A359)&gt;0,"",A359),"")</f>
        <v/>
      </c>
    </row>
    <row r="360">
      <c r="A360" t="str">
        <f>IFERROR(__xludf.DUMMYFUNCTION("IFERROR(REGEXEXTRACT('Manual Data Import'!B360, ""^(.*)\s+[A-Z]{2,4}\s+\(\d+\)$""),'Manual Data Import'!B360) &amp; CHAR(10) &amp; 
IFERROR(REGEXREPLACE('Manual Data Import'!C360, ""\d+$"", """")) &amp;"" - ""&amp; 
IFERROR(REGEXEXTRACT('Manual Data Import'!B360, ""([A-Z"&amp;"]{2,4})\s+\(\d+\)$"")) &amp; "" (""&amp; 
IFERROR(REGEXEXTRACT('Manual Data Import'!B360, ""\((\d+)\)"")) &amp; "")"""),"Tommy DeVito 
QB - NE (11)")</f>
        <v>Tommy DeVito 
QB - NE (11)</v>
      </c>
      <c r="B360" s="30" t="str">
        <f>IFERROR(IF(COUNTIF('Draft Board'!$C$3:$V$24,A360)+COUNTIF(Keepers!$B$2:$U$21,A360)+COUNTIF('Auction Draft Board'!$C$6:$AP$25,A360)&gt;0,"",A360),"")</f>
        <v/>
      </c>
    </row>
    <row r="361">
      <c r="A361" t="str">
        <f>IFERROR(__xludf.DUMMYFUNCTION("IFERROR(REGEXEXTRACT('Manual Data Import'!B361, ""^(.*)\s+[A-Z]{2,4}\s+\(\d+\)$""),'Manual Data Import'!B361) &amp; CHAR(10) &amp; 
IFERROR(REGEXREPLACE('Manual Data Import'!C361, ""\d+$"", """")) &amp;"" - ""&amp; 
IFERROR(REGEXEXTRACT('Manual Data Import'!B361, ""([A-Z"&amp;"]{2,4})\s+\(\d+\)$"")) &amp; "" (""&amp; 
IFERROR(REGEXEXTRACT('Manual Data Import'!B361, ""\((\d+)\)"")) &amp; "")"""),"Brock Wright 
TE - DET (6)")</f>
        <v>Brock Wright 
TE - DET (6)</v>
      </c>
      <c r="B361" s="30" t="str">
        <f>IFERROR(IF(COUNTIF('Draft Board'!$C$3:$V$24,A361)+COUNTIF(Keepers!$B$2:$U$21,A361)+COUNTIF('Auction Draft Board'!$C$6:$AP$25,A361)&gt;0,"",A361),"")</f>
        <v/>
      </c>
    </row>
    <row r="362">
      <c r="A362" t="str">
        <f>IFERROR(__xludf.DUMMYFUNCTION("IFERROR(REGEXEXTRACT('Manual Data Import'!B362, ""^(.*)\s+[A-Z]{2,4}\s+\(\d+\)$""),'Manual Data Import'!B362) &amp; CHAR(10) &amp; 
IFERROR(REGEXREPLACE('Manual Data Import'!C362, ""\d+$"", """")) &amp;"" - ""&amp; 
IFERROR(REGEXEXTRACT('Manual Data Import'!B362, ""([A-Z"&amp;"]{2,4})\s+\(\d+\)$"")) &amp; "" (""&amp; 
IFERROR(REGEXEXTRACT('Manual Data Import'!B362, ""\((\d+)\)"")) &amp; "")"""),"Quinn Ewers 
QB - MIA (6)")</f>
        <v>Quinn Ewers 
QB - MIA (6)</v>
      </c>
      <c r="B362" s="30" t="str">
        <f>IFERROR(IF(COUNTIF('Draft Board'!$C$3:$V$24,A362)+COUNTIF(Keepers!$B$2:$U$21,A362)+COUNTIF('Auction Draft Board'!$C$6:$AP$25,A362)&gt;0,"",A362),"")</f>
        <v/>
      </c>
    </row>
    <row r="363">
      <c r="A363" t="str">
        <f>IFERROR(__xludf.DUMMYFUNCTION("IFERROR(REGEXEXTRACT('Manual Data Import'!B363, ""^(.*)\s+[A-Z]{2,4}\s+\(\d+\)$""),'Manual Data Import'!B363) &amp; CHAR(10) &amp; 
IFERROR(REGEXREPLACE('Manual Data Import'!C363, ""\d+$"", """")) &amp;"" - ""&amp; 
IFERROR(REGEXEXTRACT('Manual Data Import'!B363, ""([A-Z"&amp;"]{2,4})\s+\(\d+\)$"")) &amp; "" (""&amp; 
IFERROR(REGEXEXTRACT('Manual Data Import'!B363, ""\((\d+)\)"")) &amp; "")"""),"Luke Schoonmaker 
TE - DAL (14)")</f>
        <v>Luke Schoonmaker 
TE - DAL (14)</v>
      </c>
      <c r="B363" s="30" t="str">
        <f>IFERROR(IF(COUNTIF('Draft Board'!$C$3:$V$24,A363)+COUNTIF(Keepers!$B$2:$U$21,A363)+COUNTIF('Auction Draft Board'!$C$6:$AP$25,A363)&gt;0,"",A363),"")</f>
        <v/>
      </c>
    </row>
    <row r="364">
      <c r="A364" t="str">
        <f>IFERROR(__xludf.DUMMYFUNCTION("IFERROR(REGEXEXTRACT('Manual Data Import'!B364, ""^(.*)\s+[A-Z]{2,4}\s+\(\d+\)$""),'Manual Data Import'!B364) &amp; CHAR(10) &amp; 
IFERROR(REGEXREPLACE('Manual Data Import'!C364, ""\d+$"", """")) &amp;"" - ""&amp; 
IFERROR(REGEXEXTRACT('Manual Data Import'!B364, ""([A-Z"&amp;"]{2,4})\s+\(\d+\)$"")) &amp; "" (""&amp; 
IFERROR(REGEXEXTRACT('Manual Data Import'!B364, ""\((\d+)\)"")) &amp; "")"""),"Ezekiel Elliott
RB -  ()")</f>
        <v>Ezekiel Elliott
RB -  ()</v>
      </c>
      <c r="B364" s="30" t="str">
        <f>IFERROR(IF(COUNTIF('Draft Board'!$C$3:$V$24,A364)+COUNTIF(Keepers!$B$2:$U$21,A364)+COUNTIF('Auction Draft Board'!$C$6:$AP$25,A364)&gt;0,"",A364),"")</f>
        <v/>
      </c>
    </row>
    <row r="365">
      <c r="A365" t="str">
        <f>IFERROR(__xludf.DUMMYFUNCTION("IFERROR(REGEXEXTRACT('Manual Data Import'!B365, ""^(.*)\s+[A-Z]{2,4}\s+\(\d+\)$""),'Manual Data Import'!B365) &amp; CHAR(10) &amp; 
IFERROR(REGEXREPLACE('Manual Data Import'!C365, ""\d+$"", """")) &amp;"" - ""&amp; 
IFERROR(REGEXEXTRACT('Manual Data Import'!B365, ""([A-Z"&amp;"]{2,4})\s+\(\d+\)$"")) &amp; "" (""&amp; 
IFERROR(REGEXEXTRACT('Manual Data Import'!B365, ""\((\d+)\)"")) &amp; "")"""),"Kadarius Toney
WR -  ()")</f>
        <v>Kadarius Toney
WR -  ()</v>
      </c>
      <c r="B365" s="30" t="str">
        <f>IFERROR(IF(COUNTIF('Draft Board'!$C$3:$V$24,A365)+COUNTIF(Keepers!$B$2:$U$21,A365)+COUNTIF('Auction Draft Board'!$C$6:$AP$25,A365)&gt;0,"",A365),"")</f>
        <v/>
      </c>
    </row>
    <row r="366">
      <c r="A366" t="str">
        <f>IFERROR(__xludf.DUMMYFUNCTION("IFERROR(REGEXEXTRACT('Manual Data Import'!B366, ""^(.*)\s+[A-Z]{2,4}\s+\(\d+\)$""),'Manual Data Import'!B366) &amp; CHAR(10) &amp; 
IFERROR(REGEXREPLACE('Manual Data Import'!C366, ""\d+$"", """")) &amp;"" - ""&amp; 
IFERROR(REGEXEXTRACT('Manual Data Import'!B366, ""([A-Z"&amp;"]{2,4})\s+\(\d+\)$"")) &amp; "" (""&amp; 
IFERROR(REGEXEXTRACT('Manual Data Import'!B366, ""\((\d+)\)"")) &amp; "")"""),"Emari Demercado 
RB - KC (5)")</f>
        <v>Emari Demercado 
RB - KC (5)</v>
      </c>
      <c r="B366" s="30" t="str">
        <f>IFERROR(IF(COUNTIF('Draft Board'!$C$3:$V$24,A366)+COUNTIF(Keepers!$B$2:$U$21,A366)+COUNTIF('Auction Draft Board'!$C$6:$AP$25,A366)&gt;0,"",A366),"")</f>
        <v/>
      </c>
    </row>
    <row r="367">
      <c r="A367" t="str">
        <f>IFERROR(__xludf.DUMMYFUNCTION("IFERROR(REGEXEXTRACT('Manual Data Import'!B367, ""^(.*)\s+[A-Z]{2,4}\s+\(\d+\)$""),'Manual Data Import'!B367) &amp; CHAR(10) &amp; 
IFERROR(REGEXREPLACE('Manual Data Import'!C367, ""\d+$"", """")) &amp;"" - ""&amp; 
IFERROR(REGEXEXTRACT('Manual Data Import'!B367, ""([A-Z"&amp;"]{2,4})\s+\(\d+\)$"")) &amp; "" (""&amp; 
IFERROR(REGEXEXTRACT('Manual Data Import'!B367, ""\((\d+)\)"")) &amp; "")"""),"Samaje Perine 
RB - CIN (6)")</f>
        <v>Samaje Perine 
RB - CIN (6)</v>
      </c>
      <c r="B367" s="30" t="str">
        <f>IFERROR(IF(COUNTIF('Draft Board'!$C$3:$V$24,A367)+COUNTIF(Keepers!$B$2:$U$21,A367)+COUNTIF('Auction Draft Board'!$C$6:$AP$25,A367)&gt;0,"",A367),"")</f>
        <v/>
      </c>
    </row>
    <row r="368">
      <c r="A368" t="str">
        <f>IFERROR(__xludf.DUMMYFUNCTION("IFERROR(REGEXEXTRACT('Manual Data Import'!B368, ""^(.*)\s+[A-Z]{2,4}\s+\(\d+\)$""),'Manual Data Import'!B368) &amp; CHAR(10) &amp; 
IFERROR(REGEXREPLACE('Manual Data Import'!C368, ""\d+$"", """")) &amp;"" - ""&amp; 
IFERROR(REGEXEXTRACT('Manual Data Import'!B368, ""([A-Z"&amp;"]{2,4})\s+\(\d+\)$"")) &amp; "" (""&amp; 
IFERROR(REGEXEXTRACT('Manual Data Import'!B368, ""\((\d+)\)"")) &amp; "")"""),"Noah Fant 
TE - NO (8)")</f>
        <v>Noah Fant 
TE - NO (8)</v>
      </c>
      <c r="B368" s="30" t="str">
        <f>IFERROR(IF(COUNTIF('Draft Board'!$C$3:$V$24,A368)+COUNTIF(Keepers!$B$2:$U$21,A368)+COUNTIF('Auction Draft Board'!$C$6:$AP$25,A368)&gt;0,"",A368),"")</f>
        <v/>
      </c>
    </row>
    <row r="369">
      <c r="A369" t="str">
        <f>IFERROR(__xludf.DUMMYFUNCTION("IFERROR(REGEXEXTRACT('Manual Data Import'!B369, ""^(.*)\s+[A-Z]{2,4}\s+\(\d+\)$""),'Manual Data Import'!B369) &amp; CHAR(10) &amp; 
IFERROR(REGEXREPLACE('Manual Data Import'!C369, ""\d+$"", """")) &amp;"" - ""&amp; 
IFERROR(REGEXEXTRACT('Manual Data Import'!B369, ""([A-Z"&amp;"]{2,4})\s+\(\d+\)$"")) &amp; "" (""&amp; 
IFERROR(REGEXEXTRACT('Manual Data Import'!B369, ""\((\d+)\)"")) &amp; "")"""),"Geno Smith 
QB - NYJ (13)")</f>
        <v>Geno Smith 
QB - NYJ (13)</v>
      </c>
      <c r="B369" s="30" t="str">
        <f>IFERROR(IF(COUNTIF('Draft Board'!$C$3:$V$24,A369)+COUNTIF(Keepers!$B$2:$U$21,A369)+COUNTIF('Auction Draft Board'!$C$6:$AP$25,A369)&gt;0,"",A369),"")</f>
        <v/>
      </c>
    </row>
    <row r="370">
      <c r="A370" t="str">
        <f>IFERROR(__xludf.DUMMYFUNCTION("IFERROR(REGEXEXTRACT('Manual Data Import'!B370, ""^(.*)\s+[A-Z]{2,4}\s+\(\d+\)$""),'Manual Data Import'!B370) &amp; CHAR(10) &amp; 
IFERROR(REGEXREPLACE('Manual Data Import'!C370, ""\d+$"", """")) &amp;"" - ""&amp; 
IFERROR(REGEXEXTRACT('Manual Data Import'!B370, ""([A-Z"&amp;"]{2,4})\s+\(\d+\)$"")) &amp; "" (""&amp; 
IFERROR(REGEXEXTRACT('Manual Data Import'!B370, ""\((\d+)\)"")) &amp; "")"""),"Josh Oliver 
TE - MIN (6)")</f>
        <v>Josh Oliver 
TE - MIN (6)</v>
      </c>
      <c r="B370" s="30" t="str">
        <f>IFERROR(IF(COUNTIF('Draft Board'!$C$3:$V$24,A370)+COUNTIF(Keepers!$B$2:$U$21,A370)+COUNTIF('Auction Draft Board'!$C$6:$AP$25,A370)&gt;0,"",A370),"")</f>
        <v/>
      </c>
    </row>
    <row r="371">
      <c r="A371" t="str">
        <f>IFERROR(__xludf.DUMMYFUNCTION("IFERROR(REGEXEXTRACT('Manual Data Import'!B371, ""^(.*)\s+[A-Z]{2,4}\s+\(\d+\)$""),'Manual Data Import'!B371) &amp; CHAR(10) &amp; 
IFERROR(REGEXREPLACE('Manual Data Import'!C371, ""\d+$"", """")) &amp;"" - ""&amp; 
IFERROR(REGEXEXTRACT('Manual Data Import'!B371, ""([A-Z"&amp;"]{2,4})\s+\(\d+\)$"")) &amp; "" (""&amp; 
IFERROR(REGEXEXTRACT('Manual Data Import'!B371, ""\((\d+)\)"")) &amp; "")"""),"Kyle Juszczyk 
RB - SF (8)")</f>
        <v>Kyle Juszczyk 
RB - SF (8)</v>
      </c>
      <c r="B371" s="30" t="str">
        <f>IFERROR(IF(COUNTIF('Draft Board'!$C$3:$V$24,A371)+COUNTIF(Keepers!$B$2:$U$21,A371)+COUNTIF('Auction Draft Board'!$C$6:$AP$25,A371)&gt;0,"",A371),"")</f>
        <v/>
      </c>
    </row>
    <row r="372">
      <c r="A372" t="str">
        <f>IFERROR(__xludf.DUMMYFUNCTION("IFERROR(REGEXEXTRACT('Manual Data Import'!B372, ""^(.*)\s+[A-Z]{2,4}\s+\(\d+\)$""),'Manual Data Import'!B372) &amp; CHAR(10) &amp; 
IFERROR(REGEXREPLACE('Manual Data Import'!C372, ""\d+$"", """")) &amp;"" - ""&amp; 
IFERROR(REGEXEXTRACT('Manual Data Import'!B372, ""([A-Z"&amp;"]{2,4})\s+\(\d+\)$"")) &amp; "" (""&amp; 
IFERROR(REGEXEXTRACT('Manual Data Import'!B372, ""\((\d+)\)"")) &amp; "")"""),"Audric Estime 
RB - NO (8)")</f>
        <v>Audric Estime 
RB - NO (8)</v>
      </c>
      <c r="B372" s="30" t="str">
        <f>IFERROR(IF(COUNTIF('Draft Board'!$C$3:$V$24,A372)+COUNTIF(Keepers!$B$2:$U$21,A372)+COUNTIF('Auction Draft Board'!$C$6:$AP$25,A372)&gt;0,"",A372),"")</f>
        <v/>
      </c>
    </row>
    <row r="373">
      <c r="A373" t="str">
        <f>IFERROR(__xludf.DUMMYFUNCTION("IFERROR(REGEXEXTRACT('Manual Data Import'!B373, ""^(.*)\s+[A-Z]{2,4}\s+\(\d+\)$""),'Manual Data Import'!B373) &amp; CHAR(10) &amp; 
IFERROR(REGEXREPLACE('Manual Data Import'!C373, ""\d+$"", """")) &amp;"" - ""&amp; 
IFERROR(REGEXEXTRACT('Manual Data Import'!B373, ""([A-Z"&amp;"]{2,4})\s+\(\d+\)$"")) &amp; "" (""&amp; 
IFERROR(REGEXEXTRACT('Manual Data Import'!B373, ""\((\d+)\)"")) &amp; "")"""),"Joshua Dobbs 
QB - DET (6)")</f>
        <v>Joshua Dobbs 
QB - DET (6)</v>
      </c>
      <c r="B373" s="30" t="str">
        <f>IFERROR(IF(COUNTIF('Draft Board'!$C$3:$V$24,A373)+COUNTIF(Keepers!$B$2:$U$21,A373)+COUNTIF('Auction Draft Board'!$C$6:$AP$25,A373)&gt;0,"",A373),"")</f>
        <v/>
      </c>
    </row>
    <row r="374">
      <c r="A374" t="str">
        <f>IFERROR(__xludf.DUMMYFUNCTION("IFERROR(REGEXEXTRACT('Manual Data Import'!B374, ""^(.*)\s+[A-Z]{2,4}\s+\(\d+\)$""),'Manual Data Import'!B374) &amp; CHAR(10) &amp; 
IFERROR(REGEXREPLACE('Manual Data Import'!C374, ""\d+$"", """")) &amp;"" - ""&amp; 
IFERROR(REGEXEXTRACT('Manual Data Import'!B374, ""([A-Z"&amp;"]{2,4})\s+\(\d+\)$"")) &amp; "" (""&amp; 
IFERROR(REGEXEXTRACT('Manual Data Import'!B374, ""\((\d+)\)"")) &amp; "")"""),"Elijah Higgins 
TE - ARI (14)")</f>
        <v>Elijah Higgins 
TE - ARI (14)</v>
      </c>
      <c r="B374" s="30" t="str">
        <f>IFERROR(IF(COUNTIF('Draft Board'!$C$3:$V$24,A374)+COUNTIF(Keepers!$B$2:$U$21,A374)+COUNTIF('Auction Draft Board'!$C$6:$AP$25,A374)&gt;0,"",A374),"")</f>
        <v/>
      </c>
    </row>
    <row r="375">
      <c r="A375" t="str">
        <f>IFERROR(__xludf.DUMMYFUNCTION("IFERROR(REGEXEXTRACT('Manual Data Import'!B375, ""^(.*)\s+[A-Z]{2,4}\s+\(\d+\)$""),'Manual Data Import'!B375) &amp; CHAR(10) &amp; 
IFERROR(REGEXREPLACE('Manual Data Import'!C375, ""\d+$"", """")) &amp;"" - ""&amp; 
IFERROR(REGEXEXTRACT('Manual Data Import'!B375, ""([A-Z"&amp;"]{2,4})\s+\(\d+\)$"")) &amp; "" (""&amp; 
IFERROR(REGEXEXTRACT('Manual Data Import'!B375, ""\((\d+)\)"")) &amp; "")"""),"Efton Chism III 
WR - NE (11)")</f>
        <v>Efton Chism III 
WR - NE (11)</v>
      </c>
      <c r="B375" s="30" t="str">
        <f>IFERROR(IF(COUNTIF('Draft Board'!$C$3:$V$24,A375)+COUNTIF(Keepers!$B$2:$U$21,A375)+COUNTIF('Auction Draft Board'!$C$6:$AP$25,A375)&gt;0,"",A375),"")</f>
        <v/>
      </c>
    </row>
    <row r="376">
      <c r="A376" t="str">
        <f>IFERROR(__xludf.DUMMYFUNCTION("IFERROR(REGEXEXTRACT('Manual Data Import'!B376, ""^(.*)\s+[A-Z]{2,4}\s+\(\d+\)$""),'Manual Data Import'!B376) &amp; CHAR(10) &amp; 
IFERROR(REGEXREPLACE('Manual Data Import'!C376, ""\d+$"", """")) &amp;"" - ""&amp; 
IFERROR(REGEXEXTRACT('Manual Data Import'!B376, ""([A-Z"&amp;"]{2,4})\s+\(\d+\)$"")) &amp; "" (""&amp; 
IFERROR(REGEXEXTRACT('Manual Data Import'!B376, ""\((\d+)\)"")) &amp; "")"""),"Jermar Jefferson 
RB - MIN (6)")</f>
        <v>Jermar Jefferson 
RB - MIN (6)</v>
      </c>
      <c r="B376" s="30" t="str">
        <f>IFERROR(IF(COUNTIF('Draft Board'!$C$3:$V$24,A376)+COUNTIF(Keepers!$B$2:$U$21,A376)+COUNTIF('Auction Draft Board'!$C$6:$AP$25,A376)&gt;0,"",A376),"")</f>
        <v/>
      </c>
    </row>
    <row r="377">
      <c r="A377" t="str">
        <f>IFERROR(__xludf.DUMMYFUNCTION("IFERROR(REGEXEXTRACT('Manual Data Import'!B377, ""^(.*)\s+[A-Z]{2,4}\s+\(\d+\)$""),'Manual Data Import'!B377) &amp; CHAR(10) &amp; 
IFERROR(REGEXREPLACE('Manual Data Import'!C377, ""\d+$"", """")) &amp;"" - ""&amp; 
IFERROR(REGEXEXTRACT('Manual Data Import'!B377, ""([A-Z"&amp;"]{2,4})\s+\(\d+\)$"")) &amp; "" (""&amp; 
IFERROR(REGEXEXTRACT('Manual Data Import'!B377, ""\((\d+)\)"")) &amp; "")"""),"Tyrod Taylor 
QB - GB (11)")</f>
        <v>Tyrod Taylor 
QB - GB (11)</v>
      </c>
      <c r="B377" s="30" t="str">
        <f>IFERROR(IF(COUNTIF('Draft Board'!$C$3:$V$24,A377)+COUNTIF(Keepers!$B$2:$U$21,A377)+COUNTIF('Auction Draft Board'!$C$6:$AP$25,A377)&gt;0,"",A377),"")</f>
        <v/>
      </c>
    </row>
    <row r="378">
      <c r="A378" t="str">
        <f>IFERROR(__xludf.DUMMYFUNCTION("IFERROR(REGEXEXTRACT('Manual Data Import'!B378, ""^(.*)\s+[A-Z]{2,4}\s+\(\d+\)$""),'Manual Data Import'!B378) &amp; CHAR(10) &amp; 
IFERROR(REGEXREPLACE('Manual Data Import'!C378, ""\d+$"", """")) &amp;"" - ""&amp; 
IFERROR(REGEXEXTRACT('Manual Data Import'!B378, ""([A-Z"&amp;"]{2,4})\s+\(\d+\)$"")) &amp; "" (""&amp; 
IFERROR(REGEXEXTRACT('Manual Data Import'!B378, ""\((\d+)\)"")) &amp; "")"""),"Joe Milton III 
QB - DAL (14)")</f>
        <v>Joe Milton III 
QB - DAL (14)</v>
      </c>
      <c r="B378" s="30" t="str">
        <f>IFERROR(IF(COUNTIF('Draft Board'!$C$3:$V$24,A378)+COUNTIF(Keepers!$B$2:$U$21,A378)+COUNTIF('Auction Draft Board'!$C$6:$AP$25,A378)&gt;0,"",A378),"")</f>
        <v/>
      </c>
    </row>
    <row r="379">
      <c r="A379" t="str">
        <f>IFERROR(__xludf.DUMMYFUNCTION("IFERROR(REGEXEXTRACT('Manual Data Import'!B379, ""^(.*)\s+[A-Z]{2,4}\s+\(\d+\)$""),'Manual Data Import'!B379) &amp; CHAR(10) &amp; 
IFERROR(REGEXREPLACE('Manual Data Import'!C379, ""\d+$"", """")) &amp;"" - ""&amp; 
IFERROR(REGEXEXTRACT('Manual Data Import'!B379, ""([A-Z"&amp;"]{2,4})\s+\(\d+\)$"")) &amp; "" (""&amp; 
IFERROR(REGEXEXTRACT('Manual Data Import'!B379, ""\((\d+)\)"")) &amp; "")"""),"Tyler Huntley 
QB - BAL (13)")</f>
        <v>Tyler Huntley 
QB - BAL (13)</v>
      </c>
      <c r="B379" s="30" t="str">
        <f>IFERROR(IF(COUNTIF('Draft Board'!$C$3:$V$24,A379)+COUNTIF(Keepers!$B$2:$U$21,A379)+COUNTIF('Auction Draft Board'!$C$6:$AP$25,A379)&gt;0,"",A379),"")</f>
        <v/>
      </c>
    </row>
    <row r="380">
      <c r="A380" t="str">
        <f>IFERROR(__xludf.DUMMYFUNCTION("IFERROR(REGEXEXTRACT('Manual Data Import'!B380, ""^(.*)\s+[A-Z]{2,4}\s+\(\d+\)$""),'Manual Data Import'!B380) &amp; CHAR(10) &amp; 
IFERROR(REGEXREPLACE('Manual Data Import'!C380, ""\d+$"", """")) &amp;"" - ""&amp; 
IFERROR(REGEXEXTRACT('Manual Data Import'!B380, ""([A-Z"&amp;"]{2,4})\s+\(\d+\)$"")) &amp; "" (""&amp; 
IFERROR(REGEXEXTRACT('Manual Data Import'!B380, ""\((\d+)\)"")) &amp; "")"""),"DeWayne McBride
RB -  ()")</f>
        <v>DeWayne McBride
RB -  ()</v>
      </c>
      <c r="B380" s="30" t="str">
        <f>IFERROR(IF(COUNTIF('Draft Board'!$C$3:$V$24,A380)+COUNTIF(Keepers!$B$2:$U$21,A380)+COUNTIF('Auction Draft Board'!$C$6:$AP$25,A380)&gt;0,"",A380),"")</f>
        <v/>
      </c>
    </row>
    <row r="381">
      <c r="A381" t="str">
        <f>IFERROR(__xludf.DUMMYFUNCTION("IFERROR(REGEXEXTRACT('Manual Data Import'!B381, ""^(.*)\s+[A-Z]{2,4}\s+\(\d+\)$""),'Manual Data Import'!B381) &amp; CHAR(10) &amp; 
IFERROR(REGEXREPLACE('Manual Data Import'!C381, ""\d+$"", """")) &amp;"" - ""&amp; 
IFERROR(REGEXEXTRACT('Manual Data Import'!B381, ""([A-Z"&amp;"]{2,4})\s+\(\d+\)$"")) &amp; "" (""&amp; 
IFERROR(REGEXEXTRACT('Manual Data Import'!B381, ""\((\d+)\)"")) &amp; "")"""),"Luke Lachey
TE -  ()")</f>
        <v>Luke Lachey
TE -  ()</v>
      </c>
      <c r="B381" s="30" t="str">
        <f>IFERROR(IF(COUNTIF('Draft Board'!$C$3:$V$24,A381)+COUNTIF(Keepers!$B$2:$U$21,A381)+COUNTIF('Auction Draft Board'!$C$6:$AP$25,A381)&gt;0,"",A381),"")</f>
        <v/>
      </c>
    </row>
    <row r="382">
      <c r="A382" t="str">
        <f>IFERROR(__xludf.DUMMYFUNCTION("IFERROR(REGEXEXTRACT('Manual Data Import'!B382, ""^(.*)\s+[A-Z]{2,4}\s+\(\d+\)$""),'Manual Data Import'!B382) &amp; CHAR(10) &amp; 
IFERROR(REGEXREPLACE('Manual Data Import'!C382, ""\d+$"", """")) &amp;"" - ""&amp; 
IFERROR(REGEXEXTRACT('Manual Data Import'!B382, ""([A-Z"&amp;"]{2,4})\s+\(\d+\)$"")) &amp; "" (""&amp; 
IFERROR(REGEXEXTRACT('Manual Data Import'!B382, ""\((\d+)\)"")) &amp; "")"""),"Charles McClelland
RB -  ()")</f>
        <v>Charles McClelland
RB -  ()</v>
      </c>
      <c r="B382" s="30" t="str">
        <f>IFERROR(IF(COUNTIF('Draft Board'!$C$3:$V$24,A382)+COUNTIF(Keepers!$B$2:$U$21,A382)+COUNTIF('Auction Draft Board'!$C$6:$AP$25,A382)&gt;0,"",A382),"")</f>
        <v/>
      </c>
    </row>
    <row r="383">
      <c r="A383" t="str">
        <f>IFERROR(__xludf.DUMMYFUNCTION("IFERROR(REGEXEXTRACT('Manual Data Import'!B383, ""^(.*)\s+[A-Z]{2,4}\s+\(\d+\)$""),'Manual Data Import'!B383) &amp; CHAR(10) &amp; 
IFERROR(REGEXREPLACE('Manual Data Import'!C383, ""\d+$"", """")) &amp;"" - ""&amp; 
IFERROR(REGEXEXTRACT('Manual Data Import'!B383, ""([A-Z"&amp;"]{2,4})\s+\(\d+\)$"")) &amp; "" (""&amp; 
IFERROR(REGEXEXTRACT('Manual Data Import'!B383, ""\((\d+)\)"")) &amp; "")"""),"Luke Musgrave 
TE - GB (11)")</f>
        <v>Luke Musgrave 
TE - GB (11)</v>
      </c>
      <c r="B383" s="30" t="str">
        <f>IFERROR(IF(COUNTIF('Draft Board'!$C$3:$V$24,A383)+COUNTIF(Keepers!$B$2:$U$21,A383)+COUNTIF('Auction Draft Board'!$C$6:$AP$25,A383)&gt;0,"",A383),"")</f>
        <v/>
      </c>
    </row>
    <row r="384">
      <c r="A384" t="str">
        <f>IFERROR(__xludf.DUMMYFUNCTION("IFERROR(REGEXEXTRACT('Manual Data Import'!B384, ""^(.*)\s+[A-Z]{2,4}\s+\(\d+\)$""),'Manual Data Import'!B384) &amp; CHAR(10) &amp; 
IFERROR(REGEXREPLACE('Manual Data Import'!C384, ""\d+$"", """")) &amp;"" - ""&amp; 
IFERROR(REGEXEXTRACT('Manual Data Import'!B384, ""([A-Z"&amp;"]{2,4})\s+\(\d+\)$"")) &amp; "" (""&amp; 
IFERROR(REGEXEXTRACT('Manual Data Import'!B384, ""\((\d+)\)"")) &amp; "")"""),"AJ Dillon 
RB - CAR (5)")</f>
        <v>AJ Dillon 
RB - CAR (5)</v>
      </c>
      <c r="B384" s="30" t="str">
        <f>IFERROR(IF(COUNTIF('Draft Board'!$C$3:$V$24,A384)+COUNTIF(Keepers!$B$2:$U$21,A384)+COUNTIF('Auction Draft Board'!$C$6:$AP$25,A384)&gt;0,"",A384),"")</f>
        <v/>
      </c>
    </row>
    <row r="385">
      <c r="A385" t="str">
        <f>IFERROR(__xludf.DUMMYFUNCTION("IFERROR(REGEXEXTRACT('Manual Data Import'!B385, ""^(.*)\s+[A-Z]{2,4}\s+\(\d+\)$""),'Manual Data Import'!B385) &amp; CHAR(10) &amp; 
IFERROR(REGEXREPLACE('Manual Data Import'!C385, ""\d+$"", """")) &amp;"" - ""&amp; 
IFERROR(REGEXEXTRACT('Manual Data Import'!B385, ""([A-Z"&amp;"]{2,4})\s+\(\d+\)$"")) &amp; "" (""&amp; 
IFERROR(REGEXEXTRACT('Manual Data Import'!B385, ""\((\d+)\)"")) &amp; "")"""),"Deshaun Watson 
QB - CLE (11)")</f>
        <v>Deshaun Watson 
QB - CLE (11)</v>
      </c>
      <c r="B385" s="30" t="str">
        <f>IFERROR(IF(COUNTIF('Draft Board'!$C$3:$V$24,A385)+COUNTIF(Keepers!$B$2:$U$21,A385)+COUNTIF('Auction Draft Board'!$C$6:$AP$25,A385)&gt;0,"",A385),"")</f>
        <v/>
      </c>
    </row>
    <row r="386">
      <c r="A386" t="str">
        <f>IFERROR(__xludf.DUMMYFUNCTION("IFERROR(REGEXEXTRACT('Manual Data Import'!B386, ""^(.*)\s+[A-Z]{2,4}\s+\(\d+\)$""),'Manual Data Import'!B386) &amp; CHAR(10) &amp; 
IFERROR(REGEXREPLACE('Manual Data Import'!C386, ""\d+$"", """")) &amp;"" - ""&amp; 
IFERROR(REGEXEXTRACT('Manual Data Import'!B386, ""([A-Z"&amp;"]{2,4})\s+\(\d+\)$"")) &amp; "" (""&amp; 
IFERROR(REGEXEXTRACT('Manual Data Import'!B386, ""\((\d+)\)"")) &amp; "")"""),"Sam Wiglusz
WR -  ()")</f>
        <v>Sam Wiglusz
WR -  ()</v>
      </c>
      <c r="B386" s="30" t="str">
        <f>IFERROR(IF(COUNTIF('Draft Board'!$C$3:$V$24,A386)+COUNTIF(Keepers!$B$2:$U$21,A386)+COUNTIF('Auction Draft Board'!$C$6:$AP$25,A386)&gt;0,"",A386),"")</f>
        <v/>
      </c>
    </row>
    <row r="387">
      <c r="A387" t="str">
        <f>IFERROR(__xludf.DUMMYFUNCTION("IFERROR(REGEXEXTRACT('Manual Data Import'!B387, ""^(.*)\s+[A-Z]{2,4}\s+\(\d+\)$""),'Manual Data Import'!B387) &amp; CHAR(10) &amp; 
IFERROR(REGEXREPLACE('Manual Data Import'!C387, ""\d+$"", """")) &amp;"" - ""&amp; 
IFERROR(REGEXEXTRACT('Manual Data Import'!B387, ""([A-Z"&amp;"]{2,4})\s+\(\d+\)$"")) &amp; "" (""&amp; 
IFERROR(REGEXEXTRACT('Manual Data Import'!B387, ""\((\d+)\)"")) &amp; "")"""),"Skyler Bell 
WR - BUF (7)")</f>
        <v>Skyler Bell 
WR - BUF (7)</v>
      </c>
      <c r="B387" s="30" t="str">
        <f>IFERROR(IF(COUNTIF('Draft Board'!$C$3:$V$24,A387)+COUNTIF(Keepers!$B$2:$U$21,A387)+COUNTIF('Auction Draft Board'!$C$6:$AP$25,A387)&gt;0,"",A387),"")</f>
        <v/>
      </c>
    </row>
    <row r="388">
      <c r="A388" t="str">
        <f>IFERROR(__xludf.DUMMYFUNCTION("IFERROR(REGEXEXTRACT('Manual Data Import'!B388, ""^(.*)\s+[A-Z]{2,4}\s+\(\d+\)$""),'Manual Data Import'!B388) &amp; CHAR(10) &amp; 
IFERROR(REGEXREPLACE('Manual Data Import'!C388, ""\d+$"", """")) &amp;"" - ""&amp; 
IFERROR(REGEXEXTRACT('Manual Data Import'!B388, ""([A-Z"&amp;"]{2,4})\s+\(\d+\)$"")) &amp; "" (""&amp; 
IFERROR(REGEXEXTRACT('Manual Data Import'!B388, ""\((\d+)\)"")) &amp; "")"""),"Jarquez Hunter 
RB - LAR (11)")</f>
        <v>Jarquez Hunter 
RB - LAR (11)</v>
      </c>
      <c r="B388" s="30" t="str">
        <f>IFERROR(IF(COUNTIF('Draft Board'!$C$3:$V$24,A388)+COUNTIF(Keepers!$B$2:$U$21,A388)+COUNTIF('Auction Draft Board'!$C$6:$AP$25,A388)&gt;0,"",A388),"")</f>
        <v/>
      </c>
    </row>
    <row r="389">
      <c r="A389" t="str">
        <f>IFERROR(__xludf.DUMMYFUNCTION("IFERROR(REGEXEXTRACT('Manual Data Import'!B389, ""^(.*)\s+[A-Z]{2,4}\s+\(\d+\)$""),'Manual Data Import'!B389) &amp; CHAR(10) &amp; 
IFERROR(REGEXREPLACE('Manual Data Import'!C389, ""\d+$"", """")) &amp;"" - ""&amp; 
IFERROR(REGEXEXTRACT('Manual Data Import'!B389, ""([A-Z"&amp;"]{2,4})\s+\(\d+\)$"")) &amp; "" (""&amp; 
IFERROR(REGEXEXTRACT('Manual Data Import'!B389, ""\((\d+)\)"")) &amp; "")"""),"Jaelen Gill
WR -  ()")</f>
        <v>Jaelen Gill
WR -  ()</v>
      </c>
      <c r="B389" s="30" t="str">
        <f>IFERROR(IF(COUNTIF('Draft Board'!$C$3:$V$24,A389)+COUNTIF(Keepers!$B$2:$U$21,A389)+COUNTIF('Auction Draft Board'!$C$6:$AP$25,A389)&gt;0,"",A389),"")</f>
        <v/>
      </c>
    </row>
    <row r="390">
      <c r="A390" t="str">
        <f>IFERROR(__xludf.DUMMYFUNCTION("IFERROR(REGEXEXTRACT('Manual Data Import'!B390, ""^(.*)\s+[A-Z]{2,4}\s+\(\d+\)$""),'Manual Data Import'!B390) &amp; CHAR(10) &amp; 
IFERROR(REGEXREPLACE('Manual Data Import'!C390, ""\d+$"", """")) &amp;"" - ""&amp; 
IFERROR(REGEXEXTRACT('Manual Data Import'!B390, ""([A-Z"&amp;"]{2,4})\s+\(\d+\)$"")) &amp; "" (""&amp; 
IFERROR(REGEXEXTRACT('Manual Data Import'!B390, ""\((\d+)\)"")) &amp; "")"""),"Israel Abanikanda 
RB - DAL (14)")</f>
        <v>Israel Abanikanda 
RB - DAL (14)</v>
      </c>
      <c r="B390" s="30" t="str">
        <f>IFERROR(IF(COUNTIF('Draft Board'!$C$3:$V$24,A390)+COUNTIF(Keepers!$B$2:$U$21,A390)+COUNTIF('Auction Draft Board'!$C$6:$AP$25,A390)&gt;0,"",A390),"")</f>
        <v/>
      </c>
    </row>
    <row r="391">
      <c r="A391" t="str">
        <f>IFERROR(__xludf.DUMMYFUNCTION("IFERROR(REGEXEXTRACT('Manual Data Import'!B391, ""^(.*)\s+[A-Z]{2,4}\s+\(\d+\)$""),'Manual Data Import'!B391) &amp; CHAR(10) &amp; 
IFERROR(REGEXREPLACE('Manual Data Import'!C391, ""\d+$"", """")) &amp;"" - ""&amp; 
IFERROR(REGEXEXTRACT('Manual Data Import'!B391, ""([A-Z"&amp;"]{2,4})\s+\(\d+\)$"")) &amp; "" (""&amp; 
IFERROR(REGEXEXTRACT('Manual Data Import'!B391, ""\((\d+)\)"")) &amp; "")"""),"Brandon McManus
K -  ()")</f>
        <v>Brandon McManus
K -  ()</v>
      </c>
      <c r="B391" s="30" t="str">
        <f>IFERROR(IF(COUNTIF('Draft Board'!$C$3:$V$24,A391)+COUNTIF(Keepers!$B$2:$U$21,A391)+COUNTIF('Auction Draft Board'!$C$6:$AP$25,A391)&gt;0,"",A391),"")</f>
        <v/>
      </c>
    </row>
    <row r="392">
      <c r="A392" t="str">
        <f>IFERROR(__xludf.DUMMYFUNCTION("IFERROR(REGEXEXTRACT('Manual Data Import'!B392, ""^(.*)\s+[A-Z]{2,4}\s+\(\d+\)$""),'Manual Data Import'!B392) &amp; CHAR(10) &amp; 
IFERROR(REGEXREPLACE('Manual Data Import'!C392, ""\d+$"", """")) &amp;"" - ""&amp; 
IFERROR(REGEXEXTRACT('Manual Data Import'!B392, ""([A-Z"&amp;"]{2,4})\s+\(\d+\)$"")) &amp; "" (""&amp; 
IFERROR(REGEXEXTRACT('Manual Data Import'!B392, ""\((\d+)\)"")) &amp; "")"""),"Ollie Gordon II 
RB - MIA (6)")</f>
        <v>Ollie Gordon II 
RB - MIA (6)</v>
      </c>
      <c r="B392" s="30" t="str">
        <f>IFERROR(IF(COUNTIF('Draft Board'!$C$3:$V$24,A392)+COUNTIF(Keepers!$B$2:$U$21,A392)+COUNTIF('Auction Draft Board'!$C$6:$AP$25,A392)&gt;0,"",A392),"")</f>
        <v/>
      </c>
    </row>
    <row r="393">
      <c r="A393" t="str">
        <f>IFERROR(__xludf.DUMMYFUNCTION("IFERROR(REGEXEXTRACT('Manual Data Import'!B393, ""^(.*)\s+[A-Z]{2,4}\s+\(\d+\)$""),'Manual Data Import'!B393) &amp; CHAR(10) &amp; 
IFERROR(REGEXREPLACE('Manual Data Import'!C393, ""\d+$"", """")) &amp;"" - ""&amp; 
IFERROR(REGEXEXTRACT('Manual Data Import'!B393, ""([A-Z"&amp;"]{2,4})\s+\(\d+\)$"")) &amp; "" (""&amp; 
IFERROR(REGEXEXTRACT('Manual Data Import'!B393, ""\((\d+)\)"")) &amp; "")"""),"Matt Prater
K -  ()")</f>
        <v>Matt Prater
K -  ()</v>
      </c>
      <c r="B393" s="30" t="str">
        <f>IFERROR(IF(COUNTIF('Draft Board'!$C$3:$V$24,A393)+COUNTIF(Keepers!$B$2:$U$21,A393)+COUNTIF('Auction Draft Board'!$C$6:$AP$25,A393)&gt;0,"",A393),"")</f>
        <v/>
      </c>
    </row>
    <row r="394">
      <c r="A394" t="str">
        <f>IFERROR(__xludf.DUMMYFUNCTION("IFERROR(REGEXEXTRACT('Manual Data Import'!B394, ""^(.*)\s+[A-Z]{2,4}\s+\(\d+\)$""),'Manual Data Import'!B394) &amp; CHAR(10) &amp; 
IFERROR(REGEXREPLACE('Manual Data Import'!C394, ""\d+$"", """")) &amp;"" - ""&amp; 
IFERROR(REGEXEXTRACT('Manual Data Import'!B394, ""([A-Z"&amp;"]{2,4})\s+\(\d+\)$"")) &amp; "" (""&amp; 
IFERROR(REGEXEXTRACT('Manual Data Import'!B394, ""\((\d+)\)"")) &amp; "")"""),"Michael Pratt
QB -  ()")</f>
        <v>Michael Pratt
QB -  ()</v>
      </c>
      <c r="B394" s="30" t="str">
        <f>IFERROR(IF(COUNTIF('Draft Board'!$C$3:$V$24,A394)+COUNTIF(Keepers!$B$2:$U$21,A394)+COUNTIF('Auction Draft Board'!$C$6:$AP$25,A394)&gt;0,"",A394),"")</f>
        <v/>
      </c>
    </row>
    <row r="395">
      <c r="A395" t="str">
        <f>IFERROR(__xludf.DUMMYFUNCTION("IFERROR(REGEXEXTRACT('Manual Data Import'!B395, ""^(.*)\s+[A-Z]{2,4}\s+\(\d+\)$""),'Manual Data Import'!B395) &amp; CHAR(10) &amp; 
IFERROR(REGEXREPLACE('Manual Data Import'!C395, ""\d+$"", """")) &amp;"" - ""&amp; 
IFERROR(REGEXEXTRACT('Manual Data Import'!B395, ""([A-Z"&amp;"]{2,4})\s+\(\d+\)$"")) &amp; "" (""&amp; 
IFERROR(REGEXEXTRACT('Manual Data Import'!B395, ""\((\d+)\)"")) &amp; "")"""),"Andy Dalton 
QB - PHI (10)")</f>
        <v>Andy Dalton 
QB - PHI (10)</v>
      </c>
      <c r="B395" s="30" t="str">
        <f>IFERROR(IF(COUNTIF('Draft Board'!$C$3:$V$24,A395)+COUNTIF(Keepers!$B$2:$U$21,A395)+COUNTIF('Auction Draft Board'!$C$6:$AP$25,A395)&gt;0,"",A395),"")</f>
        <v/>
      </c>
    </row>
    <row r="396">
      <c r="A396" t="str">
        <f>IFERROR(__xludf.DUMMYFUNCTION("IFERROR(REGEXEXTRACT('Manual Data Import'!B396, ""^(.*)\s+[A-Z]{2,4}\s+\(\d+\)$""),'Manual Data Import'!B396) &amp; CHAR(10) &amp; 
IFERROR(REGEXREPLACE('Manual Data Import'!C396, ""\d+$"", """")) &amp;"" - ""&amp; 
IFERROR(REGEXEXTRACT('Manual Data Import'!B396, ""([A-Z"&amp;"]{2,4})\s+\(\d+\)$"")) &amp; "" (""&amp; 
IFERROR(REGEXEXTRACT('Manual Data Import'!B396, ""\((\d+)\)"")) &amp; "")"""),"Ja'Corey Brooks
WR -  ()")</f>
        <v>Ja'Corey Brooks
WR -  ()</v>
      </c>
      <c r="B396" s="30" t="str">
        <f>IFERROR(IF(COUNTIF('Draft Board'!$C$3:$V$24,A396)+COUNTIF(Keepers!$B$2:$U$21,A396)+COUNTIF('Auction Draft Board'!$C$6:$AP$25,A396)&gt;0,"",A396),"")</f>
        <v/>
      </c>
    </row>
    <row r="397">
      <c r="A397" t="str">
        <f>IFERROR(__xludf.DUMMYFUNCTION("IFERROR(REGEXEXTRACT('Manual Data Import'!B397, ""^(.*)\s+[A-Z]{2,4}\s+\(\d+\)$""),'Manual Data Import'!B397) &amp; CHAR(10) &amp; 
IFERROR(REGEXREPLACE('Manual Data Import'!C397, ""\d+$"", """")) &amp;"" - ""&amp; 
IFERROR(REGEXEXTRACT('Manual Data Import'!B397, ""([A-Z"&amp;"]{2,4})\s+\(\d+\)$"")) &amp; "" (""&amp; 
IFERROR(REGEXEXTRACT('Manual Data Import'!B397, ""\((\d+)\)"")) &amp; "")"""),"Malachi Corley 
WR - CLE (11)")</f>
        <v>Malachi Corley 
WR - CLE (11)</v>
      </c>
      <c r="B397" s="30" t="str">
        <f>IFERROR(IF(COUNTIF('Draft Board'!$C$3:$V$24,A397)+COUNTIF(Keepers!$B$2:$U$21,A397)+COUNTIF('Auction Draft Board'!$C$6:$AP$25,A397)&gt;0,"",A397),"")</f>
        <v/>
      </c>
    </row>
    <row r="398">
      <c r="A398" t="str">
        <f>IFERROR(__xludf.DUMMYFUNCTION("IFERROR(REGEXEXTRACT('Manual Data Import'!B398, ""^(.*)\s+[A-Z]{2,4}\s+\(\d+\)$""),'Manual Data Import'!B398) &amp; CHAR(10) &amp; 
IFERROR(REGEXREPLACE('Manual Data Import'!C398, ""\d+$"", """")) &amp;"" - ""&amp; 
IFERROR(REGEXEXTRACT('Manual Data Import'!B398, ""([A-Z"&amp;"]{2,4})\s+\(\d+\)$"")) &amp; "" (""&amp; 
IFERROR(REGEXEXTRACT('Manual Data Import'!B398, ""\((\d+)\)"")) &amp; "")"""),"Chris Brooks 
RB - GB (11)")</f>
        <v>Chris Brooks 
RB - GB (11)</v>
      </c>
      <c r="B398" s="30" t="str">
        <f>IFERROR(IF(COUNTIF('Draft Board'!$C$3:$V$24,A398)+COUNTIF(Keepers!$B$2:$U$21,A398)+COUNTIF('Auction Draft Board'!$C$6:$AP$25,A398)&gt;0,"",A398),"")</f>
        <v/>
      </c>
    </row>
    <row r="399">
      <c r="A399" t="str">
        <f>IFERROR(__xludf.DUMMYFUNCTION("IFERROR(REGEXEXTRACT('Manual Data Import'!B399, ""^(.*)\s+[A-Z]{2,4}\s+\(\d+\)$""),'Manual Data Import'!B399) &amp; CHAR(10) &amp; 
IFERROR(REGEXREPLACE('Manual Data Import'!C399, ""\d+$"", """")) &amp;"" - ""&amp; 
IFERROR(REGEXEXTRACT('Manual Data Import'!B399, ""([A-Z"&amp;"]{2,4})\s+\(\d+\)$"")) &amp; "" (""&amp; 
IFERROR(REGEXEXTRACT('Manual Data Import'!B399, ""\((\d+)\)"")) &amp; "")"""),"Keelan Marion 
WR - ATL (11)")</f>
        <v>Keelan Marion 
WR - ATL (11)</v>
      </c>
      <c r="B399" s="30" t="str">
        <f>IFERROR(IF(COUNTIF('Draft Board'!$C$3:$V$24,A399)+COUNTIF(Keepers!$B$2:$U$21,A399)+COUNTIF('Auction Draft Board'!$C$6:$AP$25,A399)&gt;0,"",A399),"")</f>
        <v/>
      </c>
    </row>
    <row r="400">
      <c r="A400" t="str">
        <f>IFERROR(__xludf.DUMMYFUNCTION("IFERROR(REGEXEXTRACT('Manual Data Import'!B400, ""^(.*)\s+[A-Z]{2,4}\s+\(\d+\)$""),'Manual Data Import'!B400) &amp; CHAR(10) &amp; 
IFERROR(REGEXREPLACE('Manual Data Import'!C400, ""\d+$"", """")) &amp;"" - ""&amp; 
IFERROR(REGEXEXTRACT('Manual Data Import'!B400, ""([A-Z"&amp;"]{2,4})\s+\(\d+\)$"")) &amp; "" (""&amp; 
IFERROR(REGEXEXTRACT('Manual Data Import'!B400, ""\((\d+)\)"")) &amp; "")"""),"LeQuint Allen Jr. 
RB - JAC (7)")</f>
        <v>LeQuint Allen Jr. 
RB - JAC (7)</v>
      </c>
      <c r="B400" s="30" t="str">
        <f>IFERROR(IF(COUNTIF('Draft Board'!$C$3:$V$24,A400)+COUNTIF(Keepers!$B$2:$U$21,A400)+COUNTIF('Auction Draft Board'!$C$6:$AP$25,A400)&gt;0,"",A400),"")</f>
        <v/>
      </c>
    </row>
    <row r="401">
      <c r="A401" t="str">
        <f>IFERROR(__xludf.DUMMYFUNCTION("IFERROR(REGEXEXTRACT('Manual Data Import'!B401, ""^(.*)\s+[A-Z]{2,4}\s+\(\d+\)$""),'Manual Data Import'!B401) &amp; CHAR(10) &amp; 
IFERROR(REGEXREPLACE('Manual Data Import'!C401, ""\d+$"", """")) &amp;"" - ""&amp; 
IFERROR(REGEXEXTRACT('Manual Data Import'!B401, ""([A-Z"&amp;"]{2,4})\s+\(\d+\)$"")) &amp; "" (""&amp; 
IFERROR(REGEXEXTRACT('Manual Data Import'!B401, ""\((\d+)\)"")) &amp; "")"""),"Ross Dwelley
TE -  ()")</f>
        <v>Ross Dwelley
TE -  ()</v>
      </c>
      <c r="B401" s="30" t="str">
        <f>IFERROR(IF(COUNTIF('Draft Board'!$C$3:$V$24,A401)+COUNTIF(Keepers!$B$2:$U$21,A401)+COUNTIF('Auction Draft Board'!$C$6:$AP$25,A401)&gt;0,"",A401),"")</f>
        <v/>
      </c>
    </row>
    <row r="402">
      <c r="A402" t="str">
        <f>IFERROR(__xludf.DUMMYFUNCTION("IFERROR(REGEXEXTRACT('Manual Data Import'!B402, ""^(.*)\s+[A-Z]{2,4}\s+\(\d+\)$""),'Manual Data Import'!B402) &amp; CHAR(10) &amp; 
IFERROR(REGEXREPLACE('Manual Data Import'!C402, ""\d+$"", """")) &amp;"" - ""&amp; 
IFERROR(REGEXEXTRACT('Manual Data Import'!B402, ""([A-Z"&amp;"]{2,4})\s+\(\d+\)$"")) &amp; "" (""&amp; 
IFERROR(REGEXEXTRACT('Manual Data Import'!B402, ""\((\d+)\)"")) &amp; "")"""),"Jelani Woods 
TE - NYJ (13)")</f>
        <v>Jelani Woods 
TE - NYJ (13)</v>
      </c>
      <c r="B402" s="30" t="str">
        <f>IFERROR(IF(COUNTIF('Draft Board'!$C$3:$V$24,A402)+COUNTIF(Keepers!$B$2:$U$21,A402)+COUNTIF('Auction Draft Board'!$C$6:$AP$25,A402)&gt;0,"",A402),"")</f>
        <v/>
      </c>
    </row>
    <row r="403">
      <c r="A403" t="str">
        <f>IFERROR(__xludf.DUMMYFUNCTION("IFERROR(REGEXEXTRACT('Manual Data Import'!B403, ""^(.*)\s+[A-Z]{2,4}\s+\(\d+\)$""),'Manual Data Import'!B403) &amp; CHAR(10) &amp; 
IFERROR(REGEXREPLACE('Manual Data Import'!C403, ""\d+$"", """")) &amp;"" - ""&amp; 
IFERROR(REGEXEXTRACT('Manual Data Import'!B403, ""([A-Z"&amp;"]{2,4})\s+\(\d+\)$"")) &amp; "" (""&amp; 
IFERROR(REGEXEXTRACT('Manual Data Import'!B403, ""\((\d+)\)"")) &amp; "")"""),"Andrei Iosivas 
WR - CIN (6)")</f>
        <v>Andrei Iosivas 
WR - CIN (6)</v>
      </c>
      <c r="B403" s="30" t="str">
        <f>IFERROR(IF(COUNTIF('Draft Board'!$C$3:$V$24,A403)+COUNTIF(Keepers!$B$2:$U$21,A403)+COUNTIF('Auction Draft Board'!$C$6:$AP$25,A403)&gt;0,"",A403),"")</f>
        <v/>
      </c>
    </row>
    <row r="404">
      <c r="A404" t="str">
        <f>IFERROR(__xludf.DUMMYFUNCTION("IFERROR(REGEXEXTRACT('Manual Data Import'!B404, ""^(.*)\s+[A-Z]{2,4}\s+\(\d+\)$""),'Manual Data Import'!B404) &amp; CHAR(10) &amp; 
IFERROR(REGEXREPLACE('Manual Data Import'!C404, ""\d+$"", """")) &amp;"" - ""&amp; 
IFERROR(REGEXEXTRACT('Manual Data Import'!B404, ""([A-Z"&amp;"]{2,4})\s+\(\d+\)$"")) &amp; "" (""&amp; 
IFERROR(REGEXEXTRACT('Manual Data Import'!B404, ""\((\d+)\)"")) &amp; "")"""),"Alex Larson
TE -  ()")</f>
        <v>Alex Larson
TE -  ()</v>
      </c>
      <c r="B404" s="30" t="str">
        <f>IFERROR(IF(COUNTIF('Draft Board'!$C$3:$V$24,A404)+COUNTIF(Keepers!$B$2:$U$21,A404)+COUNTIF('Auction Draft Board'!$C$6:$AP$25,A404)&gt;0,"",A404),"")</f>
        <v/>
      </c>
    </row>
    <row r="405">
      <c r="A405" t="str">
        <f>IFERROR(__xludf.DUMMYFUNCTION("IFERROR(REGEXEXTRACT('Manual Data Import'!B405, ""^(.*)\s+[A-Z]{2,4}\s+\(\d+\)$""),'Manual Data Import'!B405) &amp; CHAR(10) &amp; 
IFERROR(REGEXREPLACE('Manual Data Import'!C405, ""\d+$"", """")) &amp;"" - ""&amp; 
IFERROR(REGEXEXTRACT('Manual Data Import'!B405, ""([A-Z"&amp;"]{2,4})\s+\(\d+\)$"")) &amp; "" (""&amp; 
IFERROR(REGEXEXTRACT('Manual Data Import'!B405, ""\((\d+)\)"")) &amp; "")"""),"Kenny Pickett 
QB - CAR (5)")</f>
        <v>Kenny Pickett 
QB - CAR (5)</v>
      </c>
      <c r="B405" s="30" t="str">
        <f>IFERROR(IF(COUNTIF('Draft Board'!$C$3:$V$24,A405)+COUNTIF(Keepers!$B$2:$U$21,A405)+COUNTIF('Auction Draft Board'!$C$6:$AP$25,A405)&gt;0,"",A405),"")</f>
        <v/>
      </c>
    </row>
    <row r="406">
      <c r="A406" t="str">
        <f>IFERROR(__xludf.DUMMYFUNCTION("IFERROR(REGEXEXTRACT('Manual Data Import'!B406, ""^(.*)\s+[A-Z]{2,4}\s+\(\d+\)$""),'Manual Data Import'!B406) &amp; CHAR(10) &amp; 
IFERROR(REGEXREPLACE('Manual Data Import'!C406, ""\d+$"", """")) &amp;"" - ""&amp; 
IFERROR(REGEXEXTRACT('Manual Data Import'!B406, ""([A-Z"&amp;"]{2,4})\s+\(\d+\)$"")) &amp; "" (""&amp; 
IFERROR(REGEXEXTRACT('Manual Data Import'!B406, ""\((\d+)\)"")) &amp; "")"""),"Coleman Owen 
WR - IND (13)")</f>
        <v>Coleman Owen 
WR - IND (13)</v>
      </c>
      <c r="B406" s="30" t="str">
        <f>IFERROR(IF(COUNTIF('Draft Board'!$C$3:$V$24,A406)+COUNTIF(Keepers!$B$2:$U$21,A406)+COUNTIF('Auction Draft Board'!$C$6:$AP$25,A406)&gt;0,"",A406),"")</f>
        <v/>
      </c>
    </row>
    <row r="407">
      <c r="A407" t="str">
        <f>IFERROR(__xludf.DUMMYFUNCTION("IFERROR(REGEXEXTRACT('Manual Data Import'!B407, ""^(.*)\s+[A-Z]{2,4}\s+\(\d+\)$""),'Manual Data Import'!B407) &amp; CHAR(10) &amp; 
IFERROR(REGEXREPLACE('Manual Data Import'!C407, ""\d+$"", """")) &amp;"" - ""&amp; 
IFERROR(REGEXEXTRACT('Manual Data Import'!B407, ""([A-Z"&amp;"]{2,4})\s+\(\d+\)$"")) &amp; "" (""&amp; 
IFERROR(REGEXEXTRACT('Manual Data Import'!B407, ""\((\d+)\)"")) &amp; "")"""),"Jake Browning 
QB - TB (10)")</f>
        <v>Jake Browning 
QB - TB (10)</v>
      </c>
      <c r="B407" s="30" t="str">
        <f>IFERROR(IF(COUNTIF('Draft Board'!$C$3:$V$24,A407)+COUNTIF(Keepers!$B$2:$U$21,A407)+COUNTIF('Auction Draft Board'!$C$6:$AP$25,A407)&gt;0,"",A407),"")</f>
        <v/>
      </c>
    </row>
    <row r="408">
      <c r="A408" t="str">
        <f>IFERROR(__xludf.DUMMYFUNCTION("IFERROR(REGEXEXTRACT('Manual Data Import'!B408, ""^(.*)\s+[A-Z]{2,4}\s+\(\d+\)$""),'Manual Data Import'!B408) &amp; CHAR(10) &amp; 
IFERROR(REGEXREPLACE('Manual Data Import'!C408, ""\d+$"", """")) &amp;"" - ""&amp; 
IFERROR(REGEXEXTRACT('Manual Data Import'!B408, ""([A-Z"&amp;"]{2,4})\s+\(\d+\)$"")) &amp; "" (""&amp; 
IFERROR(REGEXEXTRACT('Manual Data Import'!B408, ""\((\d+)\)"")) &amp; "")"""),"Darren Waller 
TE - CAR (5)")</f>
        <v>Darren Waller 
TE - CAR (5)</v>
      </c>
      <c r="B408" s="30" t="str">
        <f>IFERROR(IF(COUNTIF('Draft Board'!$C$3:$V$24,A408)+COUNTIF(Keepers!$B$2:$U$21,A408)+COUNTIF('Auction Draft Board'!$C$6:$AP$25,A408)&gt;0,"",A408),"")</f>
        <v/>
      </c>
    </row>
    <row r="409">
      <c r="A409" t="str">
        <f>IFERROR(__xludf.DUMMYFUNCTION("IFERROR(REGEXEXTRACT('Manual Data Import'!B409, ""^(.*)\s+[A-Z]{2,4}\s+\(\d+\)$""),'Manual Data Import'!B409) &amp; CHAR(10) &amp; 
IFERROR(REGEXREPLACE('Manual Data Import'!C409, ""\d+$"", """")) &amp;"" - ""&amp; 
IFERROR(REGEXEXTRACT('Manual Data Import'!B409, ""([A-Z"&amp;"]{2,4})\s+\(\d+\)$"")) &amp; "" (""&amp; 
IFERROR(REGEXEXTRACT('Manual Data Import'!B409, ""\((\d+)\)"")) &amp; "")"""),"Jahdae Walker 
WR - CHI (10)")</f>
        <v>Jahdae Walker 
WR - CHI (10)</v>
      </c>
      <c r="B409" s="30" t="str">
        <f>IFERROR(IF(COUNTIF('Draft Board'!$C$3:$V$24,A409)+COUNTIF(Keepers!$B$2:$U$21,A409)+COUNTIF('Auction Draft Board'!$C$6:$AP$25,A409)&gt;0,"",A409),"")</f>
        <v/>
      </c>
    </row>
    <row r="410">
      <c r="A410" t="str">
        <f>IFERROR(__xludf.DUMMYFUNCTION("IFERROR(REGEXEXTRACT('Manual Data Import'!B410, ""^(.*)\s+[A-Z]{2,4}\s+\(\d+\)$""),'Manual Data Import'!B410) &amp; CHAR(10) &amp; 
IFERROR(REGEXREPLACE('Manual Data Import'!C410, ""\d+$"", """")) &amp;"" - ""&amp; 
IFERROR(REGEXEXTRACT('Manual Data Import'!B410, ""([A-Z"&amp;"]{2,4})\s+\(\d+\)$"")) &amp; "" (""&amp; 
IFERROR(REGEXEXTRACT('Manual Data Import'!B410, ""\((\d+)\)"")) &amp; "")"""),"DJ Giddens 
RB - IND (13)")</f>
        <v>DJ Giddens 
RB - IND (13)</v>
      </c>
      <c r="B410" s="30" t="str">
        <f>IFERROR(IF(COUNTIF('Draft Board'!$C$3:$V$24,A410)+COUNTIF(Keepers!$B$2:$U$21,A410)+COUNTIF('Auction Draft Board'!$C$6:$AP$25,A410)&gt;0,"",A410),"")</f>
        <v/>
      </c>
    </row>
    <row r="411">
      <c r="A411" t="str">
        <f>IFERROR(__xludf.DUMMYFUNCTION("IFERROR(REGEXEXTRACT('Manual Data Import'!B411, ""^(.*)\s+[A-Z]{2,4}\s+\(\d+\)$""),'Manual Data Import'!B411) &amp; CHAR(10) &amp; 
IFERROR(REGEXREPLACE('Manual Data Import'!C411, ""\d+$"", """")) &amp;"" - ""&amp; 
IFERROR(REGEXEXTRACT('Manual Data Import'!B411, ""([A-Z"&amp;"]{2,4})\s+\(\d+\)$"")) &amp; "" (""&amp; 
IFERROR(REGEXEXTRACT('Manual Data Import'!B411, ""\((\d+)\)"")) &amp; "")"""),"Camden Brown 
WR - DAL (14)")</f>
        <v>Camden Brown 
WR - DAL (14)</v>
      </c>
      <c r="B411" s="30" t="str">
        <f>IFERROR(IF(COUNTIF('Draft Board'!$C$3:$V$24,A411)+COUNTIF(Keepers!$B$2:$U$21,A411)+COUNTIF('Auction Draft Board'!$C$6:$AP$25,A411)&gt;0,"",A411),"")</f>
        <v/>
      </c>
    </row>
    <row r="412">
      <c r="A412" t="str">
        <f>IFERROR(__xludf.DUMMYFUNCTION("IFERROR(REGEXEXTRACT('Manual Data Import'!B412, ""^(.*)\s+[A-Z]{2,4}\s+\(\d+\)$""),'Manual Data Import'!B412) &amp; CHAR(10) &amp; 
IFERROR(REGEXREPLACE('Manual Data Import'!C412, ""\d+$"", """")) &amp;"" - ""&amp; 
IFERROR(REGEXEXTRACT('Manual Data Import'!B412, ""([A-Z"&amp;"]{2,4})\s+\(\d+\)$"")) &amp; "" (""&amp; 
IFERROR(REGEXEXTRACT('Manual Data Import'!B412, ""\((\d+)\)"")) &amp; "")"""),"Kaden Wetjen 
WR - PIT (9)")</f>
        <v>Kaden Wetjen 
WR - PIT (9)</v>
      </c>
      <c r="B412" s="30" t="str">
        <f>IFERROR(IF(COUNTIF('Draft Board'!$C$3:$V$24,A412)+COUNTIF(Keepers!$B$2:$U$21,A412)+COUNTIF('Auction Draft Board'!$C$6:$AP$25,A412)&gt;0,"",A412),"")</f>
        <v/>
      </c>
    </row>
    <row r="413">
      <c r="A413" t="str">
        <f>IFERROR(__xludf.DUMMYFUNCTION("IFERROR(REGEXEXTRACT('Manual Data Import'!B413, ""^(.*)\s+[A-Z]{2,4}\s+\(\d+\)$""),'Manual Data Import'!B413) &amp; CHAR(10) &amp; 
IFERROR(REGEXREPLACE('Manual Data Import'!C413, ""\d+$"", """")) &amp;"" - ""&amp; 
IFERROR(REGEXEXTRACT('Manual Data Import'!B413, ""([A-Z"&amp;"]{2,4})\s+\(\d+\)$"")) &amp; "" (""&amp; 
IFERROR(REGEXEXTRACT('Manual Data Import'!B413, ""\((\d+)\)"")) &amp; "")"""),"Ray-Ray McCloud III 
WR - CHI (10)")</f>
        <v>Ray-Ray McCloud III 
WR - CHI (10)</v>
      </c>
      <c r="B413" s="30" t="str">
        <f>IFERROR(IF(COUNTIF('Draft Board'!$C$3:$V$24,A413)+COUNTIF(Keepers!$B$2:$U$21,A413)+COUNTIF('Auction Draft Board'!$C$6:$AP$25,A413)&gt;0,"",A413),"")</f>
        <v/>
      </c>
    </row>
    <row r="414">
      <c r="A414" t="str">
        <f>IFERROR(__xludf.DUMMYFUNCTION("IFERROR(REGEXEXTRACT('Manual Data Import'!B414, ""^(.*)\s+[A-Z]{2,4}\s+\(\d+\)$""),'Manual Data Import'!B414) &amp; CHAR(10) &amp; 
IFERROR(REGEXREPLACE('Manual Data Import'!C414, ""\d+$"", """")) &amp;"" - ""&amp; 
IFERROR(REGEXEXTRACT('Manual Data Import'!B414, ""([A-Z"&amp;"]{2,4})\s+\(\d+\)$"")) &amp; "" (""&amp; 
IFERROR(REGEXEXTRACT('Manual Data Import'!B414, ""\((\d+)\)"")) &amp; "")"""),"Zach Mathis
WR -  ()")</f>
        <v>Zach Mathis
WR -  ()</v>
      </c>
      <c r="B414" s="30" t="str">
        <f>IFERROR(IF(COUNTIF('Draft Board'!$C$3:$V$24,A414)+COUNTIF(Keepers!$B$2:$U$21,A414)+COUNTIF('Auction Draft Board'!$C$6:$AP$25,A414)&gt;0,"",A414),"")</f>
        <v/>
      </c>
    </row>
    <row r="415">
      <c r="A415" t="str">
        <f>IFERROR(__xludf.DUMMYFUNCTION("IFERROR(REGEXEXTRACT('Manual Data Import'!B415, ""^(.*)\s+[A-Z]{2,4}\s+\(\d+\)$""),'Manual Data Import'!B415) &amp; CHAR(10) &amp; 
IFERROR(REGEXREPLACE('Manual Data Import'!C415, ""\d+$"", """")) &amp;"" - ""&amp; 
IFERROR(REGEXEXTRACT('Manual Data Import'!B415, ""([A-Z"&amp;"]{2,4})\s+\(\d+\)$"")) &amp; "" (""&amp; 
IFERROR(REGEXEXTRACT('Manual Data Import'!B415, ""\((\d+)\)"")) &amp; "")"""),"Bryce Lance 
WR - NO (8)")</f>
        <v>Bryce Lance 
WR - NO (8)</v>
      </c>
      <c r="B415" s="30" t="str">
        <f>IFERROR(IF(COUNTIF('Draft Board'!$C$3:$V$24,A415)+COUNTIF(Keepers!$B$2:$U$21,A415)+COUNTIF('Auction Draft Board'!$C$6:$AP$25,A415)&gt;0,"",A415),"")</f>
        <v/>
      </c>
    </row>
    <row r="416">
      <c r="A416" t="str">
        <f>IFERROR(__xludf.DUMMYFUNCTION("IFERROR(REGEXEXTRACT('Manual Data Import'!B416, ""^(.*)\s+[A-Z]{2,4}\s+\(\d+\)$""),'Manual Data Import'!B416) &amp; CHAR(10) &amp; 
IFERROR(REGEXREPLACE('Manual Data Import'!C416, ""\d+$"", """")) &amp;"" - ""&amp; 
IFERROR(REGEXEXTRACT('Manual Data Import'!B416, ""([A-Z"&amp;"]{2,4})\s+\(\d+\)$"")) &amp; "" (""&amp; 
IFERROR(REGEXEXTRACT('Manual Data Import'!B416, ""\((\d+)\)"")) &amp; "")"""),"Tanner Gentry
WR -  ()")</f>
        <v>Tanner Gentry
WR -  ()</v>
      </c>
      <c r="B416" s="30" t="str">
        <f>IFERROR(IF(COUNTIF('Draft Board'!$C$3:$V$24,A416)+COUNTIF(Keepers!$B$2:$U$21,A416)+COUNTIF('Auction Draft Board'!$C$6:$AP$25,A416)&gt;0,"",A416),"")</f>
        <v/>
      </c>
    </row>
    <row r="417">
      <c r="A417" t="str">
        <f>IFERROR(__xludf.DUMMYFUNCTION("IFERROR(REGEXEXTRACT('Manual Data Import'!B417, ""^(.*)\s+[A-Z]{2,4}\s+\(\d+\)$""),'Manual Data Import'!B417) &amp; CHAR(10) &amp; 
IFERROR(REGEXREPLACE('Manual Data Import'!C417, ""\d+$"", """")) &amp;"" - ""&amp; 
IFERROR(REGEXEXTRACT('Manual Data Import'!B417, ""([A-Z"&amp;"]{2,4})\s+\(\d+\)$"")) &amp; "" (""&amp; 
IFERROR(REGEXEXTRACT('Manual Data Import'!B417, ""\((\d+)\)"")) &amp; "")"""),"Daniel Carlson 
K - NO (8)")</f>
        <v>Daniel Carlson 
K - NO (8)</v>
      </c>
      <c r="B417" s="30" t="str">
        <f>IFERROR(IF(COUNTIF('Draft Board'!$C$3:$V$24,A417)+COUNTIF(Keepers!$B$2:$U$21,A417)+COUNTIF('Auction Draft Board'!$C$6:$AP$25,A417)&gt;0,"",A417),"")</f>
        <v/>
      </c>
    </row>
    <row r="418">
      <c r="A418" t="str">
        <f>IFERROR(__xludf.DUMMYFUNCTION("IFERROR(REGEXEXTRACT('Manual Data Import'!B418, ""^(.*)\s+[A-Z]{2,4}\s+\(\d+\)$""),'Manual Data Import'!B418) &amp; CHAR(10) &amp; 
IFERROR(REGEXREPLACE('Manual Data Import'!C418, ""\d+$"", """")) &amp;"" - ""&amp; 
IFERROR(REGEXEXTRACT('Manual Data Import'!B418, ""([A-Z"&amp;"]{2,4})\s+\(\d+\)$"")) &amp; "" (""&amp; 
IFERROR(REGEXEXTRACT('Manual Data Import'!B418, ""\((\d+)\)"")) &amp; "")"""),"Ramel Keyton
WR -  ()")</f>
        <v>Ramel Keyton
WR -  ()</v>
      </c>
      <c r="B418" s="30" t="str">
        <f>IFERROR(IF(COUNTIF('Draft Board'!$C$3:$V$24,A418)+COUNTIF(Keepers!$B$2:$U$21,A418)+COUNTIF('Auction Draft Board'!$C$6:$AP$25,A418)&gt;0,"",A418),"")</f>
        <v/>
      </c>
    </row>
    <row r="419">
      <c r="A419" t="str">
        <f>IFERROR(__xludf.DUMMYFUNCTION("IFERROR(REGEXEXTRACT('Manual Data Import'!B419, ""^(.*)\s+[A-Z]{2,4}\s+\(\d+\)$""),'Manual Data Import'!B419) &amp; CHAR(10) &amp; 
IFERROR(REGEXREPLACE('Manual Data Import'!C419, ""\d+$"", """")) &amp;"" - ""&amp; 
IFERROR(REGEXEXTRACT('Manual Data Import'!B419, ""([A-Z"&amp;"]{2,4})\s+\(\d+\)$"")) &amp; "" (""&amp; 
IFERROR(REGEXEXTRACT('Manual Data Import'!B419, ""\((\d+)\)"")) &amp; "")"""),"D.J. Foster
RB -  ()")</f>
        <v>D.J. Foster
RB -  ()</v>
      </c>
      <c r="B419" s="30" t="str">
        <f>IFERROR(IF(COUNTIF('Draft Board'!$C$3:$V$24,A419)+COUNTIF(Keepers!$B$2:$U$21,A419)+COUNTIF('Auction Draft Board'!$C$6:$AP$25,A419)&gt;0,"",A419),"")</f>
        <v/>
      </c>
    </row>
    <row r="420">
      <c r="A420" t="str">
        <f>IFERROR(__xludf.DUMMYFUNCTION("IFERROR(REGEXEXTRACT('Manual Data Import'!B420, ""^(.*)\s+[A-Z]{2,4}\s+\(\d+\)$""),'Manual Data Import'!B420) &amp; CHAR(10) &amp; 
IFERROR(REGEXREPLACE('Manual Data Import'!C420, ""\d+$"", """")) &amp;"" - ""&amp; 
IFERROR(REGEXEXTRACT('Manual Data Import'!B420, ""([A-Z"&amp;"]{2,4})\s+\(\d+\)$"")) &amp; "" (""&amp; 
IFERROR(REGEXEXTRACT('Manual Data Import'!B420, ""\((\d+)\)"")) &amp; "")"""),"Tyquan Thornton 
WR - KC (5)")</f>
        <v>Tyquan Thornton 
WR - KC (5)</v>
      </c>
      <c r="B420" s="30" t="str">
        <f>IFERROR(IF(COUNTIF('Draft Board'!$C$3:$V$24,A420)+COUNTIF(Keepers!$B$2:$U$21,A420)+COUNTIF('Auction Draft Board'!$C$6:$AP$25,A420)&gt;0,"",A420),"")</f>
        <v/>
      </c>
    </row>
    <row r="421">
      <c r="A421" t="str">
        <f>IFERROR(__xludf.DUMMYFUNCTION("IFERROR(REGEXEXTRACT('Manual Data Import'!B421, ""^(.*)\s+[A-Z]{2,4}\s+\(\d+\)$""),'Manual Data Import'!B421) &amp; CHAR(10) &amp; 
IFERROR(REGEXREPLACE('Manual Data Import'!C421, ""\d+$"", """")) &amp;"" - ""&amp; 
IFERROR(REGEXEXTRACT('Manual Data Import'!B421, ""([A-Z"&amp;"]{2,4})\s+\(\d+\)$"")) &amp; "" (""&amp; 
IFERROR(REGEXEXTRACT('Manual Data Import'!B421, ""\((\d+)\)"")) &amp; "")"""),"Xavier Smith 
WR - LAR (11)")</f>
        <v>Xavier Smith 
WR - LAR (11)</v>
      </c>
      <c r="B421" s="30" t="str">
        <f>IFERROR(IF(COUNTIF('Draft Board'!$C$3:$V$24,A421)+COUNTIF(Keepers!$B$2:$U$21,A421)+COUNTIF('Auction Draft Board'!$C$6:$AP$25,A421)&gt;0,"",A421),"")</f>
        <v/>
      </c>
    </row>
    <row r="422">
      <c r="A422" t="str">
        <f>IFERROR(__xludf.DUMMYFUNCTION("IFERROR(REGEXEXTRACT('Manual Data Import'!B422, ""^(.*)\s+[A-Z]{2,4}\s+\(\d+\)$""),'Manual Data Import'!B422) &amp; CHAR(10) &amp; 
IFERROR(REGEXREPLACE('Manual Data Import'!C422, ""\d+$"", """")) &amp;"" - ""&amp; 
IFERROR(REGEXEXTRACT('Manual Data Import'!B422, ""([A-Z"&amp;"]{2,4})\s+\(\d+\)$"")) &amp; "" (""&amp; 
IFERROR(REGEXEXTRACT('Manual Data Import'!B422, ""\((\d+)\)"")) &amp; "")"""),"Jude McAtamney
K -  ()")</f>
        <v>Jude McAtamney
K -  ()</v>
      </c>
      <c r="B422" s="30" t="str">
        <f>IFERROR(IF(COUNTIF('Draft Board'!$C$3:$V$24,A422)+COUNTIF(Keepers!$B$2:$U$21,A422)+COUNTIF('Auction Draft Board'!$C$6:$AP$25,A422)&gt;0,"",A422),"")</f>
        <v/>
      </c>
    </row>
    <row r="423">
      <c r="A423" t="str">
        <f>IFERROR(__xludf.DUMMYFUNCTION("IFERROR(REGEXEXTRACT('Manual Data Import'!B423, ""^(.*)\s+[A-Z]{2,4}\s+\(\d+\)$""),'Manual Data Import'!B423) &amp; CHAR(10) &amp; 
IFERROR(REGEXREPLACE('Manual Data Import'!C423, ""\d+$"", """")) &amp;"" - ""&amp; 
IFERROR(REGEXEXTRACT('Manual Data Import'!B423, ""([A-Z"&amp;"]{2,4})\s+\(\d+\)$"")) &amp; "" (""&amp; 
IFERROR(REGEXEXTRACT('Manual Data Import'!B423, ""\((\d+)\)"")) &amp; "")"""),"Jacob Kibodi
RB -  ()")</f>
        <v>Jacob Kibodi
RB -  ()</v>
      </c>
      <c r="B423" s="30" t="str">
        <f>IFERROR(IF(COUNTIF('Draft Board'!$C$3:$V$24,A423)+COUNTIF(Keepers!$B$2:$U$21,A423)+COUNTIF('Auction Draft Board'!$C$6:$AP$25,A423)&gt;0,"",A423),"")</f>
        <v/>
      </c>
    </row>
    <row r="424">
      <c r="A424" t="str">
        <f>IFERROR(__xludf.DUMMYFUNCTION("IFERROR(REGEXEXTRACT('Manual Data Import'!B424, ""^(.*)\s+[A-Z]{2,4}\s+\(\d+\)$""),'Manual Data Import'!B424) &amp; CHAR(10) &amp; 
IFERROR(REGEXREPLACE('Manual Data Import'!C424, ""\d+$"", """")) &amp;"" - ""&amp; 
IFERROR(REGEXEXTRACT('Manual Data Import'!B424, ""([A-Z"&amp;"]{2,4})\s+\(\d+\)$"")) &amp; "" (""&amp; 
IFERROR(REGEXEXTRACT('Manual Data Import'!B424, ""\((\d+)\)"")) &amp; "")"""),"Jarveon Howard
RB -  ()")</f>
        <v>Jarveon Howard
RB -  ()</v>
      </c>
      <c r="B424" s="30" t="str">
        <f>IFERROR(IF(COUNTIF('Draft Board'!$C$3:$V$24,A424)+COUNTIF(Keepers!$B$2:$U$21,A424)+COUNTIF('Auction Draft Board'!$C$6:$AP$25,A424)&gt;0,"",A424),"")</f>
        <v/>
      </c>
    </row>
    <row r="425">
      <c r="A425" t="str">
        <f>IFERROR(__xludf.DUMMYFUNCTION("IFERROR(REGEXEXTRACT('Manual Data Import'!B425, ""^(.*)\s+[A-Z]{2,4}\s+\(\d+\)$""),'Manual Data Import'!B425) &amp; CHAR(10) &amp; 
IFERROR(REGEXREPLACE('Manual Data Import'!C425, ""\d+$"", """")) &amp;"" - ""&amp; 
IFERROR(REGEXEXTRACT('Manual Data Import'!B425, ""([A-Z"&amp;"]{2,4})\s+\(\d+\)$"")) &amp; "" (""&amp; 
IFERROR(REGEXEXTRACT('Manual Data Import'!B425, ""\((\d+)\)"")) &amp; "")"""),"Alex Ellis
TE -  ()")</f>
        <v>Alex Ellis
TE -  ()</v>
      </c>
      <c r="B425" s="30" t="str">
        <f>IFERROR(IF(COUNTIF('Draft Board'!$C$3:$V$24,A425)+COUNTIF(Keepers!$B$2:$U$21,A425)+COUNTIF('Auction Draft Board'!$C$6:$AP$25,A425)&gt;0,"",A425),"")</f>
        <v/>
      </c>
    </row>
    <row r="426">
      <c r="A426" t="str">
        <f>IFERROR(__xludf.DUMMYFUNCTION("IFERROR(REGEXEXTRACT('Manual Data Import'!B426, ""^(.*)\s+[A-Z]{2,4}\s+\(\d+\)$""),'Manual Data Import'!B426) &amp; CHAR(10) &amp; 
IFERROR(REGEXREPLACE('Manual Data Import'!C426, ""\d+$"", """")) &amp;"" - ""&amp; 
IFERROR(REGEXEXTRACT('Manual Data Import'!B426, ""([A-Z"&amp;"]{2,4})\s+\(\d+\)$"")) &amp; "" (""&amp; 
IFERROR(REGEXEXTRACT('Manual Data Import'!B426, ""\((\d+)\)"")) &amp; "")"""),"John Samuel Shenker
TE -  ()")</f>
        <v>John Samuel Shenker
TE -  ()</v>
      </c>
      <c r="B426" s="30" t="str">
        <f>IFERROR(IF(COUNTIF('Draft Board'!$C$3:$V$24,A426)+COUNTIF(Keepers!$B$2:$U$21,A426)+COUNTIF('Auction Draft Board'!$C$6:$AP$25,A426)&gt;0,"",A426),"")</f>
        <v/>
      </c>
    </row>
    <row r="427">
      <c r="A427" t="str">
        <f>IFERROR(__xludf.DUMMYFUNCTION("IFERROR(REGEXEXTRACT('Manual Data Import'!B427, ""^(.*)\s+[A-Z]{2,4}\s+\(\d+\)$""),'Manual Data Import'!B427) &amp; CHAR(10) &amp; 
IFERROR(REGEXREPLACE('Manual Data Import'!C427, ""\d+$"", """")) &amp;"" - ""&amp; 
IFERROR(REGEXEXTRACT('Manual Data Import'!B427, ""([A-Z"&amp;"]{2,4})\s+\(\d+\)$"")) &amp; "" (""&amp; 
IFERROR(REGEXEXTRACT('Manual Data Import'!B427, ""\((\d+)\)"")) &amp; "")"""),"Tommy Mellott
WR -  ()")</f>
        <v>Tommy Mellott
WR -  ()</v>
      </c>
      <c r="B427" s="30" t="str">
        <f>IFERROR(IF(COUNTIF('Draft Board'!$C$3:$V$24,A427)+COUNTIF(Keepers!$B$2:$U$21,A427)+COUNTIF('Auction Draft Board'!$C$6:$AP$25,A427)&gt;0,"",A427),"")</f>
        <v/>
      </c>
    </row>
    <row r="428">
      <c r="A428" t="str">
        <f>IFERROR(__xludf.DUMMYFUNCTION("IFERROR(REGEXEXTRACT('Manual Data Import'!B428, ""^(.*)\s+[A-Z]{2,4}\s+\(\d+\)$""),'Manual Data Import'!B428) &amp; CHAR(10) &amp; 
IFERROR(REGEXREPLACE('Manual Data Import'!C428, ""\d+$"", """")) &amp;"" - ""&amp; 
IFERROR(REGEXEXTRACT('Manual Data Import'!B428, ""([A-Z"&amp;"]{2,4})\s+\(\d+\)$"")) &amp; "" (""&amp; 
IFERROR(REGEXEXTRACT('Manual Data Import'!B428, ""\((\d+)\)"")) &amp; "")"""),"Lincoln Sefcik
TE -  ()")</f>
        <v>Lincoln Sefcik
TE -  ()</v>
      </c>
      <c r="B428" s="30" t="str">
        <f>IFERROR(IF(COUNTIF('Draft Board'!$C$3:$V$24,A428)+COUNTIF(Keepers!$B$2:$U$21,A428)+COUNTIF('Auction Draft Board'!$C$6:$AP$25,A428)&gt;0,"",A428),"")</f>
        <v/>
      </c>
    </row>
    <row r="429">
      <c r="A429" t="str">
        <f>IFERROR(__xludf.DUMMYFUNCTION("IFERROR(REGEXEXTRACT('Manual Data Import'!B429, ""^(.*)\s+[A-Z]{2,4}\s+\(\d+\)$""),'Manual Data Import'!B429) &amp; CHAR(10) &amp; 
IFERROR(REGEXREPLACE('Manual Data Import'!C429, ""\d+$"", """")) &amp;"" - ""&amp; 
IFERROR(REGEXEXTRACT('Manual Data Import'!B429, ""([A-Z"&amp;"]{2,4})\s+\(\d+\)$"")) &amp; "" (""&amp; 
IFERROR(REGEXEXTRACT('Manual Data Import'!B429, ""\((\d+)\)"")) &amp; "")"""),"Junior Bergen 
WR - NYJ (13)")</f>
        <v>Junior Bergen 
WR - NYJ (13)</v>
      </c>
      <c r="B429" s="30" t="str">
        <f>IFERROR(IF(COUNTIF('Draft Board'!$C$3:$V$24,A429)+COUNTIF(Keepers!$B$2:$U$21,A429)+COUNTIF('Auction Draft Board'!$C$6:$AP$25,A429)&gt;0,"",A429),"")</f>
        <v/>
      </c>
    </row>
    <row r="430">
      <c r="A430" t="str">
        <f>IFERROR(__xludf.DUMMYFUNCTION("IFERROR(REGEXEXTRACT('Manual Data Import'!B430, ""^(.*)\s+[A-Z]{2,4}\s+\(\d+\)$""),'Manual Data Import'!B430) &amp; CHAR(10) &amp; 
IFERROR(REGEXREPLACE('Manual Data Import'!C430, ""\d+$"", """")) &amp;"" - ""&amp; 
IFERROR(REGEXEXTRACT('Manual Data Import'!B430, ""([A-Z"&amp;"]{2,4})\s+\(\d+\)$"")) &amp; "" (""&amp; 
IFERROR(REGEXEXTRACT('Manual Data Import'!B430, ""\((\d+)\)"")) &amp; "")"""),"Kenjon Barner
RB -  ()")</f>
        <v>Kenjon Barner
RB -  ()</v>
      </c>
      <c r="B430" s="30" t="str">
        <f>IFERROR(IF(COUNTIF('Draft Board'!$C$3:$V$24,A430)+COUNTIF(Keepers!$B$2:$U$21,A430)+COUNTIF('Auction Draft Board'!$C$6:$AP$25,A430)&gt;0,"",A430),"")</f>
        <v/>
      </c>
    </row>
    <row r="431">
      <c r="A431" t="str">
        <f>IFERROR(__xludf.DUMMYFUNCTION("IFERROR(REGEXEXTRACT('Manual Data Import'!B431, ""^(.*)\s+[A-Z]{2,4}\s+\(\d+\)$""),'Manual Data Import'!B431) &amp; CHAR(10) &amp; 
IFERROR(REGEXREPLACE('Manual Data Import'!C431, ""\d+$"", """")) &amp;"" - ""&amp; 
IFERROR(REGEXEXTRACT('Manual Data Import'!B431, ""([A-Z"&amp;"]{2,4})\s+\(\d+\)$"")) &amp; "" (""&amp; 
IFERROR(REGEXEXTRACT('Manual Data Import'!B431, ""\((\d+)\)"")) &amp; "")"""),"Alex Armah Jr.
RB -  ()")</f>
        <v>Alex Armah Jr.
RB -  ()</v>
      </c>
      <c r="B431" s="30" t="str">
        <f>IFERROR(IF(COUNTIF('Draft Board'!$C$3:$V$24,A431)+COUNTIF(Keepers!$B$2:$U$21,A431)+COUNTIF('Auction Draft Board'!$C$6:$AP$25,A431)&gt;0,"",A431),"")</f>
        <v/>
      </c>
    </row>
    <row r="432">
      <c r="A432" t="str">
        <f>IFERROR(__xludf.DUMMYFUNCTION("IFERROR(REGEXEXTRACT('Manual Data Import'!B432, ""^(.*)\s+[A-Z]{2,4}\s+\(\d+\)$""),'Manual Data Import'!B432) &amp; CHAR(10) &amp; 
IFERROR(REGEXREPLACE('Manual Data Import'!C432, ""\d+$"", """")) &amp;"" - ""&amp; 
IFERROR(REGEXEXTRACT('Manual Data Import'!B432, ""([A-Z"&amp;"]{2,4})\s+\(\d+\)$"")) &amp; "" (""&amp; 
IFERROR(REGEXEXTRACT('Manual Data Import'!B432, ""\((\d+)\)"")) &amp; "")"""),"Jalen Royals 
WR - KC (5)")</f>
        <v>Jalen Royals 
WR - KC (5)</v>
      </c>
      <c r="B432" s="30" t="str">
        <f>IFERROR(IF(COUNTIF('Draft Board'!$C$3:$V$24,A432)+COUNTIF(Keepers!$B$2:$U$21,A432)+COUNTIF('Auction Draft Board'!$C$6:$AP$25,A432)&gt;0,"",A432),"")</f>
        <v/>
      </c>
    </row>
    <row r="433">
      <c r="A433" t="str">
        <f>IFERROR(__xludf.DUMMYFUNCTION("IFERROR(REGEXEXTRACT('Manual Data Import'!B433, ""^(.*)\s+[A-Z]{2,4}\s+\(\d+\)$""),'Manual Data Import'!B433) &amp; CHAR(10) &amp; 
IFERROR(REGEXREPLACE('Manual Data Import'!C433, ""\d+$"", """")) &amp;"" - ""&amp; 
IFERROR(REGEXEXTRACT('Manual Data Import'!B433, ""([A-Z"&amp;"]{2,4})\s+\(\d+\)$"")) &amp; "" (""&amp; 
IFERROR(REGEXEXTRACT('Manual Data Import'!B433, ""\((\d+)\)"")) &amp; "")"""),"Michael Trigg 
TE - DAL (14)")</f>
        <v>Michael Trigg 
TE - DAL (14)</v>
      </c>
      <c r="B433" s="30" t="str">
        <f>IFERROR(IF(COUNTIF('Draft Board'!$C$3:$V$24,A433)+COUNTIF(Keepers!$B$2:$U$21,A433)+COUNTIF('Auction Draft Board'!$C$6:$AP$25,A433)&gt;0,"",A433),"")</f>
        <v/>
      </c>
    </row>
    <row r="434">
      <c r="A434" t="str">
        <f>IFERROR(__xludf.DUMMYFUNCTION("IFERROR(REGEXEXTRACT('Manual Data Import'!B434, ""^(.*)\s+[A-Z]{2,4}\s+\(\d+\)$""),'Manual Data Import'!B434) &amp; CHAR(10) &amp; 
IFERROR(REGEXREPLACE('Manual Data Import'!C434, ""\d+$"", """")) &amp;"" - ""&amp; 
IFERROR(REGEXEXTRACT('Manual Data Import'!B434, ""([A-Z"&amp;"]{2,4})\s+\(\d+\)$"")) &amp; "" (""&amp; 
IFERROR(REGEXEXTRACT('Manual Data Import'!B434, ""\((\d+)\)"")) &amp; "")"""),"Xavier Legette 
WR - CAR (5)")</f>
        <v>Xavier Legette 
WR - CAR (5)</v>
      </c>
      <c r="B434" s="30" t="str">
        <f>IFERROR(IF(COUNTIF('Draft Board'!$C$3:$V$24,A434)+COUNTIF(Keepers!$B$2:$U$21,A434)+COUNTIF('Auction Draft Board'!$C$6:$AP$25,A434)&gt;0,"",A434),"")</f>
        <v/>
      </c>
    </row>
    <row r="435">
      <c r="A435" t="str">
        <f>IFERROR(__xludf.DUMMYFUNCTION("IFERROR(REGEXEXTRACT('Manual Data Import'!B435, ""^(.*)\s+[A-Z]{2,4}\s+\(\d+\)$""),'Manual Data Import'!B435) &amp; CHAR(10) &amp; 
IFERROR(REGEXREPLACE('Manual Data Import'!C435, ""\d+$"", """")) &amp;"" - ""&amp; 
IFERROR(REGEXEXTRACT('Manual Data Import'!B435, ""([A-Z"&amp;"]{2,4})\s+\(\d+\)$"")) &amp; "" (""&amp; 
IFERROR(REGEXEXTRACT('Manual Data Import'!B435, ""\((\d+)\)"")) &amp; "")"""),"Justin Joly 
TE - DEN (10)")</f>
        <v>Justin Joly 
TE - DEN (10)</v>
      </c>
      <c r="B435" s="30" t="str">
        <f>IFERROR(IF(COUNTIF('Draft Board'!$C$3:$V$24,A435)+COUNTIF(Keepers!$B$2:$U$21,A435)+COUNTIF('Auction Draft Board'!$C$6:$AP$25,A435)&gt;0,"",A435),"")</f>
        <v/>
      </c>
    </row>
    <row r="436">
      <c r="A436" t="str">
        <f>IFERROR(__xludf.DUMMYFUNCTION("IFERROR(REGEXEXTRACT('Manual Data Import'!B436, ""^(.*)\s+[A-Z]{2,4}\s+\(\d+\)$""),'Manual Data Import'!B436) &amp; CHAR(10) &amp; 
IFERROR(REGEXREPLACE('Manual Data Import'!C436, ""\d+$"", """")) &amp;"" - ""&amp; 
IFERROR(REGEXEXTRACT('Manual Data Import'!B436, ""([A-Z"&amp;"]{2,4})\s+\(\d+\)$"")) &amp; "" (""&amp; 
IFERROR(REGEXEXTRACT('Manual Data Import'!B436, ""\((\d+)\)"")) &amp; "")"""),"Demarcus Robinson 
WR - SF (8)")</f>
        <v>Demarcus Robinson 
WR - SF (8)</v>
      </c>
      <c r="B436" s="30" t="str">
        <f>IFERROR(IF(COUNTIF('Draft Board'!$C$3:$V$24,A436)+COUNTIF(Keepers!$B$2:$U$21,A436)+COUNTIF('Auction Draft Board'!$C$6:$AP$25,A436)&gt;0,"",A436),"")</f>
        <v/>
      </c>
    </row>
    <row r="437">
      <c r="A437" t="str">
        <f>IFERROR(__xludf.DUMMYFUNCTION("IFERROR(REGEXEXTRACT('Manual Data Import'!B437, ""^(.*)\s+[A-Z]{2,4}\s+\(\d+\)$""),'Manual Data Import'!B437) &amp; CHAR(10) &amp; 
IFERROR(REGEXREPLACE('Manual Data Import'!C437, ""\d+$"", """")) &amp;"" - ""&amp; 
IFERROR(REGEXEXTRACT('Manual Data Import'!B437, ""([A-Z"&amp;"]{2,4})\s+\(\d+\)$"")) &amp; "" (""&amp; 
IFERROR(REGEXEXTRACT('Manual Data Import'!B437, ""\((\d+)\)"")) &amp; "")"""),"Darius Slayton 
WR - NYG (8)")</f>
        <v>Darius Slayton 
WR - NYG (8)</v>
      </c>
      <c r="B437" s="30" t="str">
        <f>IFERROR(IF(COUNTIF('Draft Board'!$C$3:$V$24,A437)+COUNTIF(Keepers!$B$2:$U$21,A437)+COUNTIF('Auction Draft Board'!$C$6:$AP$25,A437)&gt;0,"",A437),"")</f>
        <v/>
      </c>
    </row>
    <row r="438">
      <c r="A438" t="str">
        <f>IFERROR(__xludf.DUMMYFUNCTION("IFERROR(REGEXEXTRACT('Manual Data Import'!B438, ""^(.*)\s+[A-Z]{2,4}\s+\(\d+\)$""),'Manual Data Import'!B438) &amp; CHAR(10) &amp; 
IFERROR(REGEXREPLACE('Manual Data Import'!C438, ""\d+$"", """")) &amp;"" - ""&amp; 
IFERROR(REGEXEXTRACT('Manual Data Import'!B438, ""([A-Z"&amp;"]{2,4})\s+\(\d+\)$"")) &amp; "" (""&amp; 
IFERROR(REGEXEXTRACT('Manual Data Import'!B438, ""\((\d+)\)"")) &amp; "")"""),"Tim Boyle
QB -  ()")</f>
        <v>Tim Boyle
QB -  ()</v>
      </c>
      <c r="B438" s="30" t="str">
        <f>IFERROR(IF(COUNTIF('Draft Board'!$C$3:$V$24,A438)+COUNTIF(Keepers!$B$2:$U$21,A438)+COUNTIF('Auction Draft Board'!$C$6:$AP$25,A438)&gt;0,"",A438),"")</f>
        <v/>
      </c>
    </row>
    <row r="439">
      <c r="A439" t="str">
        <f>IFERROR(__xludf.DUMMYFUNCTION("IFERROR(REGEXEXTRACT('Manual Data Import'!B439, ""^(.*)\s+[A-Z]{2,4}\s+\(\d+\)$""),'Manual Data Import'!B439) &amp; CHAR(10) &amp; 
IFERROR(REGEXREPLACE('Manual Data Import'!C439, ""\d+$"", """")) &amp;"" - ""&amp; 
IFERROR(REGEXEXTRACT('Manual Data Import'!B439, ""([A-Z"&amp;"]{2,4})\s+\(\d+\)$"")) &amp; "" (""&amp; 
IFERROR(REGEXEXTRACT('Manual Data Import'!B439, ""\((\d+)\)"")) &amp; "")"""),"Dylan Drummond 
WR - ATL (11)")</f>
        <v>Dylan Drummond 
WR - ATL (11)</v>
      </c>
      <c r="B439" s="30" t="str">
        <f>IFERROR(IF(COUNTIF('Draft Board'!$C$3:$V$24,A439)+COUNTIF(Keepers!$B$2:$U$21,A439)+COUNTIF('Auction Draft Board'!$C$6:$AP$25,A439)&gt;0,"",A439),"")</f>
        <v/>
      </c>
    </row>
    <row r="440">
      <c r="A440" t="str">
        <f>IFERROR(__xludf.DUMMYFUNCTION("IFERROR(REGEXEXTRACT('Manual Data Import'!B440, ""^(.*)\s+[A-Z]{2,4}\s+\(\d+\)$""),'Manual Data Import'!B440) &amp; CHAR(10) &amp; 
IFERROR(REGEXREPLACE('Manual Data Import'!C440, ""\d+$"", """")) &amp;"" - ""&amp; 
IFERROR(REGEXEXTRACT('Manual Data Import'!B440, ""([A-Z"&amp;"]{2,4})\s+\(\d+\)$"")) &amp; "" (""&amp; 
IFERROR(REGEXEXTRACT('Manual Data Import'!B440, ""\((\d+)\)"")) &amp; "")"""),"Tahj Brooks 
RB - CIN (6)")</f>
        <v>Tahj Brooks 
RB - CIN (6)</v>
      </c>
      <c r="B440" s="30" t="str">
        <f>IFERROR(IF(COUNTIF('Draft Board'!$C$3:$V$24,A440)+COUNTIF(Keepers!$B$2:$U$21,A440)+COUNTIF('Auction Draft Board'!$C$6:$AP$25,A440)&gt;0,"",A440),"")</f>
        <v/>
      </c>
    </row>
    <row r="441">
      <c r="A441" t="str">
        <f>IFERROR(__xludf.DUMMYFUNCTION("IFERROR(REGEXEXTRACT('Manual Data Import'!B441, ""^(.*)\s+[A-Z]{2,4}\s+\(\d+\)$""),'Manual Data Import'!B441) &amp; CHAR(10) &amp; 
IFERROR(REGEXREPLACE('Manual Data Import'!C441, ""\d+$"", """")) &amp;"" - ""&amp; 
IFERROR(REGEXEXTRACT('Manual Data Import'!B441, ""([A-Z"&amp;"]{2,4})\s+\(\d+\)$"")) &amp; "" (""&amp; 
IFERROR(REGEXEXTRACT('Manual Data Import'!B441, ""\((\d+)\)"")) &amp; "")"""),"Charlie Smyth 
K - NO (8)")</f>
        <v>Charlie Smyth 
K - NO (8)</v>
      </c>
      <c r="B441" s="30" t="str">
        <f>IFERROR(IF(COUNTIF('Draft Board'!$C$3:$V$24,A441)+COUNTIF(Keepers!$B$2:$U$21,A441)+COUNTIF('Auction Draft Board'!$C$6:$AP$25,A441)&gt;0,"",A441),"")</f>
        <v/>
      </c>
    </row>
    <row r="442">
      <c r="A442" t="str">
        <f>IFERROR(__xludf.DUMMYFUNCTION("IFERROR(REGEXEXTRACT('Manual Data Import'!B442, ""^(.*)\s+[A-Z]{2,4}\s+\(\d+\)$""),'Manual Data Import'!B442) &amp; CHAR(10) &amp; 
IFERROR(REGEXREPLACE('Manual Data Import'!C442, ""\d+$"", """")) &amp;"" - ""&amp; 
IFERROR(REGEXEXTRACT('Manual Data Import'!B442, ""([A-Z"&amp;"]{2,4})\s+\(\d+\)$"")) &amp; "" (""&amp; 
IFERROR(REGEXEXTRACT('Manual Data Import'!B442, ""\((\d+)\)"")) &amp; "")"""),"Elijah McGuire
RB -  ()")</f>
        <v>Elijah McGuire
RB -  ()</v>
      </c>
      <c r="B442" s="30" t="str">
        <f>IFERROR(IF(COUNTIF('Draft Board'!$C$3:$V$24,A442)+COUNTIF(Keepers!$B$2:$U$21,A442)+COUNTIF('Auction Draft Board'!$C$6:$AP$25,A442)&gt;0,"",A442),"")</f>
        <v/>
      </c>
    </row>
    <row r="443">
      <c r="A443" t="str">
        <f>IFERROR(__xludf.DUMMYFUNCTION("IFERROR(REGEXEXTRACT('Manual Data Import'!B443, ""^(.*)\s+[A-Z]{2,4}\s+\(\d+\)$""),'Manual Data Import'!B443) &amp; CHAR(10) &amp; 
IFERROR(REGEXREPLACE('Manual Data Import'!C443, ""\d+$"", """")) &amp;"" - ""&amp; 
IFERROR(REGEXEXTRACT('Manual Data Import'!B443, ""([A-Z"&amp;"]{2,4})\s+\(\d+\)$"")) &amp; "" (""&amp; 
IFERROR(REGEXEXTRACT('Manual Data Import'!B443, ""\((\d+)\)"")) &amp; "")"""),"Michael Mayer 
TE - LV (13)")</f>
        <v>Michael Mayer 
TE - LV (13)</v>
      </c>
      <c r="B443" s="30" t="str">
        <f>IFERROR(IF(COUNTIF('Draft Board'!$C$3:$V$24,A443)+COUNTIF(Keepers!$B$2:$U$21,A443)+COUNTIF('Auction Draft Board'!$C$6:$AP$25,A443)&gt;0,"",A443),"")</f>
        <v/>
      </c>
    </row>
    <row r="444">
      <c r="A444" t="str">
        <f>IFERROR(__xludf.DUMMYFUNCTION("IFERROR(REGEXEXTRACT('Manual Data Import'!B444, ""^(.*)\s+[A-Z]{2,4}\s+\(\d+\)$""),'Manual Data Import'!B444) &amp; CHAR(10) &amp; 
IFERROR(REGEXREPLACE('Manual Data Import'!C444, ""\d+$"", """")) &amp;"" - ""&amp; 
IFERROR(REGEXEXTRACT('Manual Data Import'!B444, ""([A-Z"&amp;"]{2,4})\s+\(\d+\)$"")) &amp; "" (""&amp; 
IFERROR(REGEXEXTRACT('Manual Data Import'!B444, ""\((\d+)\)"")) &amp; "")"""),"Malik Benson 
WR - LV (13)")</f>
        <v>Malik Benson 
WR - LV (13)</v>
      </c>
      <c r="B444" s="30" t="str">
        <f>IFERROR(IF(COUNTIF('Draft Board'!$C$3:$V$24,A444)+COUNTIF(Keepers!$B$2:$U$21,A444)+COUNTIF('Auction Draft Board'!$C$6:$AP$25,A444)&gt;0,"",A444),"")</f>
        <v/>
      </c>
    </row>
    <row r="445">
      <c r="A445" t="str">
        <f>IFERROR(__xludf.DUMMYFUNCTION("IFERROR(REGEXEXTRACT('Manual Data Import'!B445, ""^(.*)\s+[A-Z]{2,4}\s+\(\d+\)$""),'Manual Data Import'!B445) &amp; CHAR(10) &amp; 
IFERROR(REGEXREPLACE('Manual Data Import'!C445, ""\d+$"", """")) &amp;"" - ""&amp; 
IFERROR(REGEXEXTRACT('Manual Data Import'!B445, ""([A-Z"&amp;"]{2,4})\s+\(\d+\)$"")) &amp; "" (""&amp; 
IFERROR(REGEXEXTRACT('Manual Data Import'!B445, ""\((\d+)\)"")) &amp; "")"""),"Charlie Kolar 
TE - LAC (7)")</f>
        <v>Charlie Kolar 
TE - LAC (7)</v>
      </c>
      <c r="B445" s="30" t="str">
        <f>IFERROR(IF(COUNTIF('Draft Board'!$C$3:$V$24,A445)+COUNTIF(Keepers!$B$2:$U$21,A445)+COUNTIF('Auction Draft Board'!$C$6:$AP$25,A445)&gt;0,"",A445),"")</f>
        <v/>
      </c>
    </row>
    <row r="446">
      <c r="A446" t="str">
        <f>IFERROR(__xludf.DUMMYFUNCTION("IFERROR(REGEXEXTRACT('Manual Data Import'!B446, ""^(.*)\s+[A-Z]{2,4}\s+\(\d+\)$""),'Manual Data Import'!B446) &amp; CHAR(10) &amp; 
IFERROR(REGEXREPLACE('Manual Data Import'!C446, ""\d+$"", """")) &amp;"" - ""&amp; 
IFERROR(REGEXEXTRACT('Manual Data Import'!B446, ""([A-Z"&amp;"]{2,4})\s+\(\d+\)$"")) &amp; "" (""&amp; 
IFERROR(REGEXEXTRACT('Manual Data Import'!B446, ""\((\d+)\)"")) &amp; "")"""),"Martavis Bryant
WR -  ()")</f>
        <v>Martavis Bryant
WR -  ()</v>
      </c>
      <c r="B446" s="30" t="str">
        <f>IFERROR(IF(COUNTIF('Draft Board'!$C$3:$V$24,A446)+COUNTIF(Keepers!$B$2:$U$21,A446)+COUNTIF('Auction Draft Board'!$C$6:$AP$25,A446)&gt;0,"",A446),"")</f>
        <v/>
      </c>
    </row>
    <row r="447">
      <c r="A447" t="str">
        <f>IFERROR(__xludf.DUMMYFUNCTION("IFERROR(REGEXEXTRACT('Manual Data Import'!B447, ""^(.*)\s+[A-Z]{2,4}\s+\(\d+\)$""),'Manual Data Import'!B447) &amp; CHAR(10) &amp; 
IFERROR(REGEXREPLACE('Manual Data Import'!C447, ""\d+$"", """")) &amp;"" - ""&amp; 
IFERROR(REGEXEXTRACT('Manual Data Import'!B447, ""([A-Z"&amp;"]{2,4})\s+\(\d+\)$"")) &amp; "" (""&amp; 
IFERROR(REGEXEXTRACT('Manual Data Import'!B447, ""\((\d+)\)"")) &amp; "")"""),"Marcus Mariota 
QB - WAS (7)")</f>
        <v>Marcus Mariota 
QB - WAS (7)</v>
      </c>
      <c r="B447" s="30" t="str">
        <f>IFERROR(IF(COUNTIF('Draft Board'!$C$3:$V$24,A447)+COUNTIF(Keepers!$B$2:$U$21,A447)+COUNTIF('Auction Draft Board'!$C$6:$AP$25,A447)&gt;0,"",A447),"")</f>
        <v/>
      </c>
    </row>
    <row r="448">
      <c r="A448" t="str">
        <f>IFERROR(__xludf.DUMMYFUNCTION("IFERROR(REGEXEXTRACT('Manual Data Import'!B448, ""^(.*)\s+[A-Z]{2,4}\s+\(\d+\)$""),'Manual Data Import'!B448) &amp; CHAR(10) &amp; 
IFERROR(REGEXREPLACE('Manual Data Import'!C448, ""\d+$"", """")) &amp;"" - ""&amp; 
IFERROR(REGEXEXTRACT('Manual Data Import'!B448, ""([A-Z"&amp;"]{2,4})\s+\(\d+\)$"")) &amp; "" (""&amp; 
IFERROR(REGEXEXTRACT('Manual Data Import'!B448, ""\((\d+)\)"")) &amp; "")"""),"JJ Laap
WR -  ()")</f>
        <v>JJ Laap
WR -  ()</v>
      </c>
      <c r="B448" s="30" t="str">
        <f>IFERROR(IF(COUNTIF('Draft Board'!$C$3:$V$24,A448)+COUNTIF(Keepers!$B$2:$U$21,A448)+COUNTIF('Auction Draft Board'!$C$6:$AP$25,A448)&gt;0,"",A448),"")</f>
        <v/>
      </c>
    </row>
    <row r="449">
      <c r="A449" t="str">
        <f>IFERROR(__xludf.DUMMYFUNCTION("IFERROR(REGEXEXTRACT('Manual Data Import'!B449, ""^(.*)\s+[A-Z]{2,4}\s+\(\d+\)$""),'Manual Data Import'!B449) &amp; CHAR(10) &amp; 
IFERROR(REGEXREPLACE('Manual Data Import'!C449, ""\d+$"", """")) &amp;"" - ""&amp; 
IFERROR(REGEXEXTRACT('Manual Data Import'!B449, ""([A-Z"&amp;"]{2,4})\s+\(\d+\)$"")) &amp; "" (""&amp; 
IFERROR(REGEXEXTRACT('Manual Data Import'!B449, ""\((\d+)\)"")) &amp; "")"""),"Roman Wilson 
WR - PIT (9)")</f>
        <v>Roman Wilson 
WR - PIT (9)</v>
      </c>
      <c r="B449" s="30" t="str">
        <f>IFERROR(IF(COUNTIF('Draft Board'!$C$3:$V$24,A449)+COUNTIF(Keepers!$B$2:$U$21,A449)+COUNTIF('Auction Draft Board'!$C$6:$AP$25,A449)&gt;0,"",A449),"")</f>
        <v/>
      </c>
    </row>
    <row r="450">
      <c r="A450" t="str">
        <f>IFERROR(__xludf.DUMMYFUNCTION("IFERROR(REGEXEXTRACT('Manual Data Import'!B450, ""^(.*)\s+[A-Z]{2,4}\s+\(\d+\)$""),'Manual Data Import'!B450) &amp; CHAR(10) &amp; 
IFERROR(REGEXREPLACE('Manual Data Import'!C450, ""\d+$"", """")) &amp;"" - ""&amp; 
IFERROR(REGEXEXTRACT('Manual Data Import'!B450, ""([A-Z"&amp;"]{2,4})\s+\(\d+\)$"")) &amp; "" (""&amp; 
IFERROR(REGEXEXTRACT('Manual Data Import'!B450, ""\((\d+)\)"")) &amp; "")"""),"Josh Adams
RB -  ()")</f>
        <v>Josh Adams
RB -  ()</v>
      </c>
      <c r="B450" s="30" t="str">
        <f>IFERROR(IF(COUNTIF('Draft Board'!$C$3:$V$24,A450)+COUNTIF(Keepers!$B$2:$U$21,A450)+COUNTIF('Auction Draft Board'!$C$6:$AP$25,A450)&gt;0,"",A450),"")</f>
        <v/>
      </c>
    </row>
    <row r="451">
      <c r="A451" t="str">
        <f>IFERROR(__xludf.DUMMYFUNCTION("IFERROR(REGEXEXTRACT('Manual Data Import'!B451, ""^(.*)\s+[A-Z]{2,4}\s+\(\d+\)$""),'Manual Data Import'!B451) &amp; CHAR(10) &amp; 
IFERROR(REGEXREPLACE('Manual Data Import'!C451, ""\d+$"", """")) &amp;"" - ""&amp; 
IFERROR(REGEXEXTRACT('Manual Data Import'!B451, ""([A-Z"&amp;"]{2,4})\s+\(\d+\)$"")) &amp; "" (""&amp; 
IFERROR(REGEXEXTRACT('Manual Data Import'!B451, ""\((\d+)\)"")) &amp; "")"""),"Adam Trautman 
TE - DEN (10)")</f>
        <v>Adam Trautman 
TE - DEN (10)</v>
      </c>
      <c r="B451" s="30" t="str">
        <f>IFERROR(IF(COUNTIF('Draft Board'!$C$3:$V$24,A451)+COUNTIF(Keepers!$B$2:$U$21,A451)+COUNTIF('Auction Draft Board'!$C$6:$AP$25,A451)&gt;0,"",A451),"")</f>
        <v/>
      </c>
    </row>
    <row r="452">
      <c r="A452" t="str">
        <f>IFERROR(__xludf.DUMMYFUNCTION("IFERROR(REGEXEXTRACT('Manual Data Import'!B452, ""^(.*)\s+[A-Z]{2,4}\s+\(\d+\)$""),'Manual Data Import'!B452) &amp; CHAR(10) &amp; 
IFERROR(REGEXREPLACE('Manual Data Import'!C452, ""\d+$"", """")) &amp;"" - ""&amp; 
IFERROR(REGEXEXTRACT('Manual Data Import'!B452, ""([A-Z"&amp;"]{2,4})\s+\(\d+\)$"")) &amp; "" (""&amp; 
IFERROR(REGEXEXTRACT('Manual Data Import'!B452, ""\((\d+)\)"")) &amp; "")"""),"Trey Lance 
QB - LAC (7)")</f>
        <v>Trey Lance 
QB - LAC (7)</v>
      </c>
      <c r="B452" s="30" t="str">
        <f>IFERROR(IF(COUNTIF('Draft Board'!$C$3:$V$24,A452)+COUNTIF(Keepers!$B$2:$U$21,A452)+COUNTIF('Auction Draft Board'!$C$6:$AP$25,A452)&gt;0,"",A452),"")</f>
        <v/>
      </c>
    </row>
    <row r="453">
      <c r="A453" t="str">
        <f>IFERROR(__xludf.DUMMYFUNCTION("IFERROR(REGEXEXTRACT('Manual Data Import'!B453, ""^(.*)\s+[A-Z]{2,4}\s+\(\d+\)$""),'Manual Data Import'!B453) &amp; CHAR(10) &amp; 
IFERROR(REGEXREPLACE('Manual Data Import'!C453, ""\d+$"", """")) &amp;"" - ""&amp; 
IFERROR(REGEXEXTRACT('Manual Data Import'!B453, ""([A-Z"&amp;"]{2,4})\s+\(\d+\)$"")) &amp; "" (""&amp; 
IFERROR(REGEXEXTRACT('Manual Data Import'!B453, ""\((\d+)\)"")) &amp; "")"""),"Montrell Washington
WR -  ()")</f>
        <v>Montrell Washington
WR -  ()</v>
      </c>
      <c r="B453" s="30" t="str">
        <f>IFERROR(IF(COUNTIF('Draft Board'!$C$3:$V$24,A453)+COUNTIF(Keepers!$B$2:$U$21,A453)+COUNTIF('Auction Draft Board'!$C$6:$AP$25,A453)&gt;0,"",A453),"")</f>
        <v/>
      </c>
    </row>
    <row r="454">
      <c r="A454" t="str">
        <f>IFERROR(__xludf.DUMMYFUNCTION("IFERROR(REGEXEXTRACT('Manual Data Import'!B454, ""^(.*)\s+[A-Z]{2,4}\s+\(\d+\)$""),'Manual Data Import'!B454) &amp; CHAR(10) &amp; 
IFERROR(REGEXREPLACE('Manual Data Import'!C454, ""\d+$"", """")) &amp;"" - ""&amp; 
IFERROR(REGEXEXTRACT('Manual Data Import'!B454, ""([A-Z"&amp;"]{2,4})\s+\(\d+\)$"")) &amp; "" (""&amp; 
IFERROR(REGEXEXTRACT('Manual Data Import'!B454, ""\((\d+)\)"")) &amp; "")"""),"Jackson Hawes 
TE - BUF (7)")</f>
        <v>Jackson Hawes 
TE - BUF (7)</v>
      </c>
      <c r="B454" s="30" t="str">
        <f>IFERROR(IF(COUNTIF('Draft Board'!$C$3:$V$24,A454)+COUNTIF(Keepers!$B$2:$U$21,A454)+COUNTIF('Auction Draft Board'!$C$6:$AP$25,A454)&gt;0,"",A454),"")</f>
        <v/>
      </c>
    </row>
    <row r="455">
      <c r="A455" t="str">
        <f>IFERROR(__xludf.DUMMYFUNCTION("IFERROR(REGEXEXTRACT('Manual Data Import'!B455, ""^(.*)\s+[A-Z]{2,4}\s+\(\d+\)$""),'Manual Data Import'!B455) &amp; CHAR(10) &amp; 
IFERROR(REGEXREPLACE('Manual Data Import'!C455, ""\d+$"", """")) &amp;"" - ""&amp; 
IFERROR(REGEXEXTRACT('Manual Data Import'!B455, ""([A-Z"&amp;"]{2,4})\s+\(\d+\)$"")) &amp; "" (""&amp; 
IFERROR(REGEXEXTRACT('Manual Data Import'!B455, ""\((\d+)\)"")) &amp; "")"""),"Jimmy Horn Jr. 
WR - CAR (5)")</f>
        <v>Jimmy Horn Jr. 
WR - CAR (5)</v>
      </c>
      <c r="B455" s="30" t="str">
        <f>IFERROR(IF(COUNTIF('Draft Board'!$C$3:$V$24,A455)+COUNTIF(Keepers!$B$2:$U$21,A455)+COUNTIF('Auction Draft Board'!$C$6:$AP$25,A455)&gt;0,"",A455),"")</f>
        <v/>
      </c>
    </row>
    <row r="456">
      <c r="A456" t="str">
        <f>IFERROR(__xludf.DUMMYFUNCTION("IFERROR(REGEXEXTRACT('Manual Data Import'!B456, ""^(.*)\s+[A-Z]{2,4}\s+\(\d+\)$""),'Manual Data Import'!B456) &amp; CHAR(10) &amp; 
IFERROR(REGEXREPLACE('Manual Data Import'!C456, ""\d+$"", """")) &amp;"" - ""&amp; 
IFERROR(REGEXEXTRACT('Manual Data Import'!B456, ""([A-Z"&amp;"]{2,4})\s+\(\d+\)$"")) &amp; "" (""&amp; 
IFERROR(REGEXEXTRACT('Manual Data Import'!B456, ""\((\d+)\)"")) &amp; "")"""),"KeAndre Lambert-Smith 
WR - LAC (7)")</f>
        <v>KeAndre Lambert-Smith 
WR - LAC (7)</v>
      </c>
      <c r="B456" s="30" t="str">
        <f>IFERROR(IF(COUNTIF('Draft Board'!$C$3:$V$24,A456)+COUNTIF(Keepers!$B$2:$U$21,A456)+COUNTIF('Auction Draft Board'!$C$6:$AP$25,A456)&gt;0,"",A456),"")</f>
        <v/>
      </c>
    </row>
    <row r="457">
      <c r="A457" t="str">
        <f>IFERROR(__xludf.DUMMYFUNCTION("IFERROR(REGEXEXTRACT('Manual Data Import'!B457, ""^(.*)\s+[A-Z]{2,4}\s+\(\d+\)$""),'Manual Data Import'!B457) &amp; CHAR(10) &amp; 
IFERROR(REGEXREPLACE('Manual Data Import'!C457, ""\d+$"", """")) &amp;"" - ""&amp; 
IFERROR(REGEXEXTRACT('Manual Data Import'!B457, ""([A-Z"&amp;"]{2,4})\s+\(\d+\)$"")) &amp; "" (""&amp; 
IFERROR(REGEXEXTRACT('Manual Data Import'!B457, ""\((\d+)\)"")) &amp; "")"""),"Osirus Mitchell
WR -  ()")</f>
        <v>Osirus Mitchell
WR -  ()</v>
      </c>
      <c r="B457" s="30" t="str">
        <f>IFERROR(IF(COUNTIF('Draft Board'!$C$3:$V$24,A457)+COUNTIF(Keepers!$B$2:$U$21,A457)+COUNTIF('Auction Draft Board'!$C$6:$AP$25,A457)&gt;0,"",A457),"")</f>
        <v/>
      </c>
    </row>
    <row r="458">
      <c r="A458" t="str">
        <f>IFERROR(__xludf.DUMMYFUNCTION("IFERROR(REGEXEXTRACT('Manual Data Import'!B458, ""^(.*)\s+[A-Z]{2,4}\s+\(\d+\)$""),'Manual Data Import'!B458) &amp; CHAR(10) &amp; 
IFERROR(REGEXREPLACE('Manual Data Import'!C458, ""\d+$"", """")) &amp;"" - ""&amp; 
IFERROR(REGEXEXTRACT('Manual Data Import'!B458, ""([A-Z"&amp;"]{2,4})\s+\(\d+\)$"")) &amp; "" (""&amp; 
IFERROR(REGEXEXTRACT('Manual Data Import'!B458, ""\((\d+)\)"")) &amp; "")"""),"Salvon Ahmed 
RB - CHI (10)")</f>
        <v>Salvon Ahmed 
RB - CHI (10)</v>
      </c>
      <c r="B458" s="30" t="str">
        <f>IFERROR(IF(COUNTIF('Draft Board'!$C$3:$V$24,A458)+COUNTIF(Keepers!$B$2:$U$21,A458)+COUNTIF('Auction Draft Board'!$C$6:$AP$25,A458)&gt;0,"",A458),"")</f>
        <v/>
      </c>
    </row>
    <row r="459">
      <c r="A459" t="str">
        <f>IFERROR(__xludf.DUMMYFUNCTION("IFERROR(REGEXEXTRACT('Manual Data Import'!B459, ""^(.*)\s+[A-Z]{2,4}\s+\(\d+\)$""),'Manual Data Import'!B459) &amp; CHAR(10) &amp; 
IFERROR(REGEXREPLACE('Manual Data Import'!C459, ""\d+$"", """")) &amp;"" - ""&amp; 
IFERROR(REGEXEXTRACT('Manual Data Import'!B459, ""([A-Z"&amp;"]{2,4})\s+\(\d+\)$"")) &amp; "" (""&amp; 
IFERROR(REGEXEXTRACT('Manual Data Import'!B459, ""\((\d+)\)"")) &amp; "")"""),"Barion Brown 
WR - NO (8)")</f>
        <v>Barion Brown 
WR - NO (8)</v>
      </c>
      <c r="B459" s="30" t="str">
        <f>IFERROR(IF(COUNTIF('Draft Board'!$C$3:$V$24,A459)+COUNTIF(Keepers!$B$2:$U$21,A459)+COUNTIF('Auction Draft Board'!$C$6:$AP$25,A459)&gt;0,"",A459),"")</f>
        <v/>
      </c>
    </row>
    <row r="460">
      <c r="A460" t="str">
        <f>IFERROR(__xludf.DUMMYFUNCTION("IFERROR(REGEXEXTRACT('Manual Data Import'!B460, ""^(.*)\s+[A-Z]{2,4}\s+\(\d+\)$""),'Manual Data Import'!B460) &amp; CHAR(10) &amp; 
IFERROR(REGEXREPLACE('Manual Data Import'!C460, ""\d+$"", """")) &amp;"" - ""&amp; 
IFERROR(REGEXEXTRACT('Manual Data Import'!B460, ""([A-Z"&amp;"]{2,4})\s+\(\d+\)$"")) &amp; "" (""&amp; 
IFERROR(REGEXEXTRACT('Manual Data Import'!B460, ""\((\d+)\)"")) &amp; "")"""),"Bryce Love
RB -  ()")</f>
        <v>Bryce Love
RB -  ()</v>
      </c>
      <c r="B460" s="30" t="str">
        <f>IFERROR(IF(COUNTIF('Draft Board'!$C$3:$V$24,A460)+COUNTIF(Keepers!$B$2:$U$21,A460)+COUNTIF('Auction Draft Board'!$C$6:$AP$25,A460)&gt;0,"",A460),"")</f>
        <v/>
      </c>
    </row>
    <row r="461">
      <c r="A461" t="str">
        <f>IFERROR(__xludf.DUMMYFUNCTION("IFERROR(REGEXEXTRACT('Manual Data Import'!B461, ""^(.*)\s+[A-Z]{2,4}\s+\(\d+\)$""),'Manual Data Import'!B461) &amp; CHAR(10) &amp; 
IFERROR(REGEXREPLACE('Manual Data Import'!C461, ""\d+$"", """")) &amp;"" - ""&amp; 
IFERROR(REGEXEXTRACT('Manual Data Import'!B461, ""([A-Z"&amp;"]{2,4})\s+\(\d+\)$"")) &amp; "" (""&amp; 
IFERROR(REGEXEXTRACT('Manual Data Import'!B461, ""\((\d+)\)"")) &amp; "")"""),"Tanner McKee 
QB - PHI (10)")</f>
        <v>Tanner McKee 
QB - PHI (10)</v>
      </c>
      <c r="B461" s="30" t="str">
        <f>IFERROR(IF(COUNTIF('Draft Board'!$C$3:$V$24,A461)+COUNTIF(Keepers!$B$2:$U$21,A461)+COUNTIF('Auction Draft Board'!$C$6:$AP$25,A461)&gt;0,"",A461),"")</f>
        <v/>
      </c>
    </row>
    <row r="462">
      <c r="A462" t="str">
        <f>IFERROR(__xludf.DUMMYFUNCTION("IFERROR(REGEXEXTRACT('Manual Data Import'!B462, ""^(.*)\s+[A-Z]{2,4}\s+\(\d+\)$""),'Manual Data Import'!B462) &amp; CHAR(10) &amp; 
IFERROR(REGEXREPLACE('Manual Data Import'!C462, ""\d+$"", """")) &amp;"" - ""&amp; 
IFERROR(REGEXEXTRACT('Manual Data Import'!B462, ""([A-Z"&amp;"]{2,4})\s+\(\d+\)$"")) &amp; "" (""&amp; 
IFERROR(REGEXEXTRACT('Manual Data Import'!B462, ""\((\d+)\)"")) &amp; "")"""),"Briley Moore
TE -  ()")</f>
        <v>Briley Moore
TE -  ()</v>
      </c>
      <c r="B462" s="30" t="str">
        <f>IFERROR(IF(COUNTIF('Draft Board'!$C$3:$V$24,A462)+COUNTIF(Keepers!$B$2:$U$21,A462)+COUNTIF('Auction Draft Board'!$C$6:$AP$25,A462)&gt;0,"",A462),"")</f>
        <v/>
      </c>
    </row>
    <row r="463">
      <c r="A463" t="str">
        <f>IFERROR(__xludf.DUMMYFUNCTION("IFERROR(REGEXEXTRACT('Manual Data Import'!B463, ""^(.*)\s+[A-Z]{2,4}\s+\(\d+\)$""),'Manual Data Import'!B463) &amp; CHAR(10) &amp; 
IFERROR(REGEXREPLACE('Manual Data Import'!C463, ""\d+$"", """")) &amp;"" - ""&amp; 
IFERROR(REGEXEXTRACT('Manual Data Import'!B463, ""([A-Z"&amp;"]{2,4})\s+\(\d+\)$"")) &amp; "" (""&amp; 
IFERROR(REGEXEXTRACT('Manual Data Import'!B463, ""\((\d+)\)"")) &amp; "")"""),"Brevyn Spann-Ford 
TE - DAL (14)")</f>
        <v>Brevyn Spann-Ford 
TE - DAL (14)</v>
      </c>
      <c r="B463" s="30" t="str">
        <f>IFERROR(IF(COUNTIF('Draft Board'!$C$3:$V$24,A463)+COUNTIF(Keepers!$B$2:$U$21,A463)+COUNTIF('Auction Draft Board'!$C$6:$AP$25,A463)&gt;0,"",A463),"")</f>
        <v/>
      </c>
    </row>
    <row r="464">
      <c r="A464" t="str">
        <f>IFERROR(__xludf.DUMMYFUNCTION("IFERROR(REGEXEXTRACT('Manual Data Import'!B464, ""^(.*)\s+[A-Z]{2,4}\s+\(\d+\)$""),'Manual Data Import'!B464) &amp; CHAR(10) &amp; 
IFERROR(REGEXREPLACE('Manual Data Import'!C464, ""\d+$"", """")) &amp;"" - ""&amp; 
IFERROR(REGEXEXTRACT('Manual Data Import'!B464, ""([A-Z"&amp;"]{2,4})\s+\(\d+\)$"")) &amp; "" (""&amp; 
IFERROR(REGEXEXTRACT('Manual Data Import'!B464, ""\((\d+)\)"")) &amp; "")"""),"Tai Felton 
WR - MIN (6)")</f>
        <v>Tai Felton 
WR - MIN (6)</v>
      </c>
      <c r="B464" s="30" t="str">
        <f>IFERROR(IF(COUNTIF('Draft Board'!$C$3:$V$24,A464)+COUNTIF(Keepers!$B$2:$U$21,A464)+COUNTIF('Auction Draft Board'!$C$6:$AP$25,A464)&gt;0,"",A464),"")</f>
        <v/>
      </c>
    </row>
    <row r="465">
      <c r="A465" t="str">
        <f>IFERROR(__xludf.DUMMYFUNCTION("IFERROR(REGEXEXTRACT('Manual Data Import'!B465, ""^(.*)\s+[A-Z]{2,4}\s+\(\d+\)$""),'Manual Data Import'!B465) &amp; CHAR(10) &amp; 
IFERROR(REGEXREPLACE('Manual Data Import'!C465, ""\d+$"", """")) &amp;"" - ""&amp; 
IFERROR(REGEXEXTRACT('Manual Data Import'!B465, ""([A-Z"&amp;"]{2,4})\s+\(\d+\)$"")) &amp; "" (""&amp; 
IFERROR(REGEXEXTRACT('Manual Data Import'!B465, ""\((\d+)\)"")) &amp; "")"""),"Robert Tonyan 
TE - PIT (9)")</f>
        <v>Robert Tonyan 
TE - PIT (9)</v>
      </c>
      <c r="B465" s="30" t="str">
        <f>IFERROR(IF(COUNTIF('Draft Board'!$C$3:$V$24,A465)+COUNTIF(Keepers!$B$2:$U$21,A465)+COUNTIF('Auction Draft Board'!$C$6:$AP$25,A465)&gt;0,"",A465),"")</f>
        <v/>
      </c>
    </row>
    <row r="466">
      <c r="A466" t="str">
        <f>IFERROR(__xludf.DUMMYFUNCTION("IFERROR(REGEXEXTRACT('Manual Data Import'!B466, ""^(.*)\s+[A-Z]{2,4}\s+\(\d+\)$""),'Manual Data Import'!B466) &amp; CHAR(10) &amp; 
IFERROR(REGEXREPLACE('Manual Data Import'!C466, ""\d+$"", """")) &amp;"" - ""&amp; 
IFERROR(REGEXEXTRACT('Manual Data Import'!B466, ""([A-Z"&amp;"]{2,4})\s+\(\d+\)$"")) &amp; "" (""&amp; 
IFERROR(REGEXEXTRACT('Manual Data Import'!B466, ""\((\d+)\)"")) &amp; "")"""),"Jonathan Mingo 
WR - DAL (14)")</f>
        <v>Jonathan Mingo 
WR - DAL (14)</v>
      </c>
      <c r="B466" s="30" t="str">
        <f>IFERROR(IF(COUNTIF('Draft Board'!$C$3:$V$24,A466)+COUNTIF(Keepers!$B$2:$U$21,A466)+COUNTIF('Auction Draft Board'!$C$6:$AP$25,A466)&gt;0,"",A466),"")</f>
        <v/>
      </c>
    </row>
    <row r="467">
      <c r="A467" t="str">
        <f>IFERROR(__xludf.DUMMYFUNCTION("IFERROR(REGEXEXTRACT('Manual Data Import'!B467, ""^(.*)\s+[A-Z]{2,4}\s+\(\d+\)$""),'Manual Data Import'!B467) &amp; CHAR(10) &amp; 
IFERROR(REGEXREPLACE('Manual Data Import'!C467, ""\d+$"", """")) &amp;"" - ""&amp; 
IFERROR(REGEXEXTRACT('Manual Data Import'!B467, ""([A-Z"&amp;"]{2,4})\s+\(\d+\)$"")) &amp; "" (""&amp; 
IFERROR(REGEXEXTRACT('Manual Data Import'!B467, ""\((\d+)\)"")) &amp; "")"""),"Dean Connors 
RB - LAR (11)")</f>
        <v>Dean Connors 
RB - LAR (11)</v>
      </c>
      <c r="B467" s="30" t="str">
        <f>IFERROR(IF(COUNTIF('Draft Board'!$C$3:$V$24,A467)+COUNTIF(Keepers!$B$2:$U$21,A467)+COUNTIF('Auction Draft Board'!$C$6:$AP$25,A467)&gt;0,"",A467),"")</f>
        <v/>
      </c>
    </row>
    <row r="468">
      <c r="A468" t="str">
        <f>IFERROR(__xludf.DUMMYFUNCTION("IFERROR(REGEXEXTRACT('Manual Data Import'!B468, ""^(.*)\s+[A-Z]{2,4}\s+\(\d+\)$""),'Manual Data Import'!B468) &amp; CHAR(10) &amp; 
IFERROR(REGEXREPLACE('Manual Data Import'!C468, ""\d+$"", """")) &amp;"" - ""&amp; 
IFERROR(REGEXEXTRACT('Manual Data Import'!B468, ""([A-Z"&amp;"]{2,4})\s+\(\d+\)$"")) &amp; "" (""&amp; 
IFERROR(REGEXEXTRACT('Manual Data Import'!B468, ""\((\d+)\)"")) &amp; "")"""),"Anthony Richardson Sr. 
QB - IND (13)")</f>
        <v>Anthony Richardson Sr. 
QB - IND (13)</v>
      </c>
      <c r="B468" s="30" t="str">
        <f>IFERROR(IF(COUNTIF('Draft Board'!$C$3:$V$24,A468)+COUNTIF(Keepers!$B$2:$U$21,A468)+COUNTIF('Auction Draft Board'!$C$6:$AP$25,A468)&gt;0,"",A468),"")</f>
        <v/>
      </c>
    </row>
    <row r="469">
      <c r="A469" t="str">
        <f>IFERROR(__xludf.DUMMYFUNCTION("IFERROR(REGEXEXTRACT('Manual Data Import'!B469, ""^(.*)\s+[A-Z]{2,4}\s+\(\d+\)$""),'Manual Data Import'!B469) &amp; CHAR(10) &amp; 
IFERROR(REGEXREPLACE('Manual Data Import'!C469, ""\d+$"", """")) &amp;"" - ""&amp; 
IFERROR(REGEXEXTRACT('Manual Data Import'!B469, ""([A-Z"&amp;"]{2,4})\s+\(\d+\)$"")) &amp; "" (""&amp; 
IFERROR(REGEXEXTRACT('Manual Data Import'!B469, ""\((\d+)\)"")) &amp; "")"""),"Sage Surratt
WR -  ()")</f>
        <v>Sage Surratt
WR -  ()</v>
      </c>
      <c r="B469" s="30" t="str">
        <f>IFERROR(IF(COUNTIF('Draft Board'!$C$3:$V$24,A469)+COUNTIF(Keepers!$B$2:$U$21,A469)+COUNTIF('Auction Draft Board'!$C$6:$AP$25,A469)&gt;0,"",A469),"")</f>
        <v/>
      </c>
    </row>
    <row r="470">
      <c r="A470" t="str">
        <f>IFERROR(__xludf.DUMMYFUNCTION("IFERROR(REGEXEXTRACT('Manual Data Import'!B470, ""^(.*)\s+[A-Z]{2,4}\s+\(\d+\)$""),'Manual Data Import'!B470) &amp; CHAR(10) &amp; 
IFERROR(REGEXREPLACE('Manual Data Import'!C470, ""\d+$"", """")) &amp;"" - ""&amp; 
IFERROR(REGEXEXTRACT('Manual Data Import'!B470, ""([A-Z"&amp;"]{2,4})\s+\(\d+\)$"")) &amp; "" (""&amp; 
IFERROR(REGEXEXTRACT('Manual Data Import'!B470, ""\((\d+)\)"")) &amp; "")"""),"Austin Hooper 
TE - ATL (11)")</f>
        <v>Austin Hooper 
TE - ATL (11)</v>
      </c>
      <c r="B470" s="30" t="str">
        <f>IFERROR(IF(COUNTIF('Draft Board'!$C$3:$V$24,A470)+COUNTIF(Keepers!$B$2:$U$21,A470)+COUNTIF('Auction Draft Board'!$C$6:$AP$25,A470)&gt;0,"",A470),"")</f>
        <v/>
      </c>
    </row>
    <row r="471">
      <c r="A471" t="str">
        <f>IFERROR(__xludf.DUMMYFUNCTION("IFERROR(REGEXEXTRACT('Manual Data Import'!B471, ""^(.*)\s+[A-Z]{2,4}\s+\(\d+\)$""),'Manual Data Import'!B471) &amp; CHAR(10) &amp; 
IFERROR(REGEXREPLACE('Manual Data Import'!C471, ""\d+$"", """")) &amp;"" - ""&amp; 
IFERROR(REGEXEXTRACT('Manual Data Import'!B471, ""([A-Z"&amp;"]{2,4})\s+\(\d+\)$"")) &amp; "" (""&amp; 
IFERROR(REGEXEXTRACT('Manual Data Import'!B471, ""\((\d+)\)"")) &amp; "")"""),"Drew Lock 
QB - SEA (11)")</f>
        <v>Drew Lock 
QB - SEA (11)</v>
      </c>
      <c r="B471" s="30" t="str">
        <f>IFERROR(IF(COUNTIF('Draft Board'!$C$3:$V$24,A471)+COUNTIF(Keepers!$B$2:$U$21,A471)+COUNTIF('Auction Draft Board'!$C$6:$AP$25,A471)&gt;0,"",A471),"")</f>
        <v/>
      </c>
    </row>
    <row r="472">
      <c r="A472" t="str">
        <f>IFERROR(__xludf.DUMMYFUNCTION("IFERROR(REGEXEXTRACT('Manual Data Import'!B472, ""^(.*)\s+[A-Z]{2,4}\s+\(\d+\)$""),'Manual Data Import'!B472) &amp; CHAR(10) &amp; 
IFERROR(REGEXREPLACE('Manual Data Import'!C472, ""\d+$"", """")) &amp;"" - ""&amp; 
IFERROR(REGEXEXTRACT('Manual Data Import'!B472, ""([A-Z"&amp;"]{2,4})\s+\(\d+\)$"")) &amp; "" (""&amp; 
IFERROR(REGEXEXTRACT('Manual Data Import'!B472, ""\((\d+)\)"")) &amp; "")"""),"Will Shipley 
RB - PHI (10)")</f>
        <v>Will Shipley 
RB - PHI (10)</v>
      </c>
      <c r="B472" s="30" t="str">
        <f>IFERROR(IF(COUNTIF('Draft Board'!$C$3:$V$24,A472)+COUNTIF(Keepers!$B$2:$U$21,A472)+COUNTIF('Auction Draft Board'!$C$6:$AP$25,A472)&gt;0,"",A472),"")</f>
        <v/>
      </c>
    </row>
    <row r="473">
      <c r="A473" t="str">
        <f>IFERROR(__xludf.DUMMYFUNCTION("IFERROR(REGEXEXTRACT('Manual Data Import'!B473, ""^(.*)\s+[A-Z]{2,4}\s+\(\d+\)$""),'Manual Data Import'!B473) &amp; CHAR(10) &amp; 
IFERROR(REGEXREPLACE('Manual Data Import'!C473, ""\d+$"", """")) &amp;"" - ""&amp; 
IFERROR(REGEXEXTRACT('Manual Data Import'!B473, ""([A-Z"&amp;"]{2,4})\s+\(\d+\)$"")) &amp; "" (""&amp; 
IFERROR(REGEXEXTRACT('Manual Data Import'!B473, ""\((\d+)\)"")) &amp; "")"""),"Cade York
K -  ()")</f>
        <v>Cade York
K -  ()</v>
      </c>
      <c r="B473" s="30" t="str">
        <f>IFERROR(IF(COUNTIF('Draft Board'!$C$3:$V$24,A473)+COUNTIF(Keepers!$B$2:$U$21,A473)+COUNTIF('Auction Draft Board'!$C$6:$AP$25,A473)&gt;0,"",A473),"")</f>
        <v/>
      </c>
    </row>
    <row r="474">
      <c r="A474" t="str">
        <f>IFERROR(__xludf.DUMMYFUNCTION("IFERROR(REGEXEXTRACT('Manual Data Import'!B474, ""^(.*)\s+[A-Z]{2,4}\s+\(\d+\)$""),'Manual Data Import'!B474) &amp; CHAR(10) &amp; 
IFERROR(REGEXREPLACE('Manual Data Import'!C474, ""\d+$"", """")) &amp;"" - ""&amp; 
IFERROR(REGEXEXTRACT('Manual Data Import'!B474, ""([A-Z"&amp;"]{2,4})\s+\(\d+\)$"")) &amp; "" (""&amp; 
IFERROR(REGEXEXTRACT('Manual Data Import'!B474, ""\((\d+)\)"")) &amp; "")"""),"Myles Price 
WR - MIN (6)")</f>
        <v>Myles Price 
WR - MIN (6)</v>
      </c>
      <c r="B474" s="30" t="str">
        <f>IFERROR(IF(COUNTIF('Draft Board'!$C$3:$V$24,A474)+COUNTIF(Keepers!$B$2:$U$21,A474)+COUNTIF('Auction Draft Board'!$C$6:$AP$25,A474)&gt;0,"",A474),"")</f>
        <v/>
      </c>
    </row>
    <row r="475">
      <c r="A475" t="str">
        <f>IFERROR(__xludf.DUMMYFUNCTION("IFERROR(REGEXEXTRACT('Manual Data Import'!B475, ""^(.*)\s+[A-Z]{2,4}\s+\(\d+\)$""),'Manual Data Import'!B475) &amp; CHAR(10) &amp; 
IFERROR(REGEXREPLACE('Manual Data Import'!C475, ""\d+$"", """")) &amp;"" - ""&amp; 
IFERROR(REGEXEXTRACT('Manual Data Import'!B475, ""([A-Z"&amp;"]{2,4})\s+\(\d+\)$"")) &amp; "" (""&amp; 
IFERROR(REGEXEXTRACT('Manual Data Import'!B475, ""\((\d+)\)"")) &amp; "")"""),"Trayveon Williams 
RB - DET (6)")</f>
        <v>Trayveon Williams 
RB - DET (6)</v>
      </c>
      <c r="B475" s="30" t="str">
        <f>IFERROR(IF(COUNTIF('Draft Board'!$C$3:$V$24,A475)+COUNTIF(Keepers!$B$2:$U$21,A475)+COUNTIF('Auction Draft Board'!$C$6:$AP$25,A475)&gt;0,"",A475),"")</f>
        <v/>
      </c>
    </row>
    <row r="476">
      <c r="A476" t="str">
        <f>IFERROR(__xludf.DUMMYFUNCTION("IFERROR(REGEXEXTRACT('Manual Data Import'!B476, ""^(.*)\s+[A-Z]{2,4}\s+\(\d+\)$""),'Manual Data Import'!B476) &amp; CHAR(10) &amp; 
IFERROR(REGEXREPLACE('Manual Data Import'!C476, ""\d+$"", """")) &amp;"" - ""&amp; 
IFERROR(REGEXEXTRACT('Manual Data Import'!B476, ""([A-Z"&amp;"]{2,4})\s+\(\d+\)$"")) &amp; "" (""&amp; 
IFERROR(REGEXEXTRACT('Manual Data Import'!B476, ""\((\d+)\)"")) &amp; "")"""),"Isaiah Bond 
WR - CLE (11)")</f>
        <v>Isaiah Bond 
WR - CLE (11)</v>
      </c>
      <c r="B476" s="30" t="str">
        <f>IFERROR(IF(COUNTIF('Draft Board'!$C$3:$V$24,A476)+COUNTIF(Keepers!$B$2:$U$21,A476)+COUNTIF('Auction Draft Board'!$C$6:$AP$25,A476)&gt;0,"",A476),"")</f>
        <v/>
      </c>
    </row>
    <row r="477">
      <c r="A477" t="str">
        <f>IFERROR(__xludf.DUMMYFUNCTION("IFERROR(REGEXEXTRACT('Manual Data Import'!B477, ""^(.*)\s+[A-Z]{2,4}\s+\(\d+\)$""),'Manual Data Import'!B477) &amp; CHAR(10) &amp; 
IFERROR(REGEXREPLACE('Manual Data Import'!C477, ""\d+$"", """")) &amp;"" - ""&amp; 
IFERROR(REGEXEXTRACT('Manual Data Import'!B477, ""([A-Z"&amp;"]{2,4})\s+\(\d+\)$"")) &amp; "" (""&amp; 
IFERROR(REGEXEXTRACT('Manual Data Import'!B477, ""\((\d+)\)"")) &amp; "")"""),"Mecole Hardman Jr. 
WR - BUF (7)")</f>
        <v>Mecole Hardman Jr. 
WR - BUF (7)</v>
      </c>
      <c r="B477" s="30" t="str">
        <f>IFERROR(IF(COUNTIF('Draft Board'!$C$3:$V$24,A477)+COUNTIF(Keepers!$B$2:$U$21,A477)+COUNTIF('Auction Draft Board'!$C$6:$AP$25,A477)&gt;0,"",A477),"")</f>
        <v/>
      </c>
    </row>
    <row r="478">
      <c r="A478" t="str">
        <f>IFERROR(__xludf.DUMMYFUNCTION("IFERROR(REGEXEXTRACT('Manual Data Import'!B478, ""^(.*)\s+[A-Z]{2,4}\s+\(\d+\)$""),'Manual Data Import'!B478) &amp; CHAR(10) &amp; 
IFERROR(REGEXREPLACE('Manual Data Import'!C478, ""\d+$"", """")) &amp;"" - ""&amp; 
IFERROR(REGEXEXTRACT('Manual Data Import'!B478, ""([A-Z"&amp;"]{2,4})\s+\(\d+\)$"")) &amp; "" (""&amp; 
IFERROR(REGEXEXTRACT('Manual Data Import'!B478, ""\((\d+)\)"")) &amp; "")"""),"Matt Seybert
TE -  ()")</f>
        <v>Matt Seybert
TE -  ()</v>
      </c>
      <c r="B478" s="30" t="str">
        <f>IFERROR(IF(COUNTIF('Draft Board'!$C$3:$V$24,A478)+COUNTIF(Keepers!$B$2:$U$21,A478)+COUNTIF('Auction Draft Board'!$C$6:$AP$25,A478)&gt;0,"",A478),"")</f>
        <v/>
      </c>
    </row>
    <row r="479">
      <c r="A479" t="str">
        <f>IFERROR(__xludf.DUMMYFUNCTION("IFERROR(REGEXEXTRACT('Manual Data Import'!B479, ""^(.*)\s+[A-Z]{2,4}\s+\(\d+\)$""),'Manual Data Import'!B479) &amp; CHAR(10) &amp; 
IFERROR(REGEXREPLACE('Manual Data Import'!C479, ""\d+$"", """")) &amp;"" - ""&amp; 
IFERROR(REGEXEXTRACT('Manual Data Import'!B479, ""([A-Z"&amp;"]{2,4})\s+\(\d+\)$"")) &amp; "" (""&amp; 
IFERROR(REGEXEXTRACT('Manual Data Import'!B479, ""\((\d+)\)"")) &amp; "")"""),"Marquez Valdes-Scantling 
WR - DAL (14)")</f>
        <v>Marquez Valdes-Scantling 
WR - DAL (14)</v>
      </c>
      <c r="B479" s="30" t="str">
        <f>IFERROR(IF(COUNTIF('Draft Board'!$C$3:$V$24,A479)+COUNTIF(Keepers!$B$2:$U$21,A479)+COUNTIF('Auction Draft Board'!$C$6:$AP$25,A479)&gt;0,"",A479),"")</f>
        <v/>
      </c>
    </row>
    <row r="480">
      <c r="A480" t="str">
        <f>IFERROR(__xludf.DUMMYFUNCTION("IFERROR(REGEXEXTRACT('Manual Data Import'!B480, ""^(.*)\s+[A-Z]{2,4}\s+\(\d+\)$""),'Manual Data Import'!B480) &amp; CHAR(10) &amp; 
IFERROR(REGEXREPLACE('Manual Data Import'!C480, ""\d+$"", """")) &amp;"" - ""&amp; 
IFERROR(REGEXEXTRACT('Manual Data Import'!B480, ""([A-Z"&amp;"]{2,4})\s+\(\d+\)$"")) &amp; "" (""&amp; 
IFERROR(REGEXEXTRACT('Manual Data Import'!B480, ""\((\d+)\)"")) &amp; "")"""),"Stetson Bennett IV 
QB - LAR (11)")</f>
        <v>Stetson Bennett IV 
QB - LAR (11)</v>
      </c>
      <c r="B480" s="30" t="str">
        <f>IFERROR(IF(COUNTIF('Draft Board'!$C$3:$V$24,A480)+COUNTIF(Keepers!$B$2:$U$21,A480)+COUNTIF('Auction Draft Board'!$C$6:$AP$25,A480)&gt;0,"",A480),"")</f>
        <v/>
      </c>
    </row>
    <row r="481">
      <c r="A481" t="str">
        <f>IFERROR(__xludf.DUMMYFUNCTION("IFERROR(REGEXEXTRACT('Manual Data Import'!B481, ""^(.*)\s+[A-Z]{2,4}\s+\(\d+\)$""),'Manual Data Import'!B481) &amp; CHAR(10) &amp; 
IFERROR(REGEXREPLACE('Manual Data Import'!C481, ""\d+$"", """")) &amp;"" - ""&amp; 
IFERROR(REGEXEXTRACT('Manual Data Import'!B481, ""([A-Z"&amp;"]{2,4})\s+\(\d+\)$"")) &amp; "" (""&amp; 
IFERROR(REGEXEXTRACT('Manual Data Import'!B481, ""\((\d+)\)"")) &amp; "")"""),"Chamon Metayer
TE -  ()")</f>
        <v>Chamon Metayer
TE -  ()</v>
      </c>
      <c r="B481" s="30" t="str">
        <f>IFERROR(IF(COUNTIF('Draft Board'!$C$3:$V$24,A481)+COUNTIF(Keepers!$B$2:$U$21,A481)+COUNTIF('Auction Draft Board'!$C$6:$AP$25,A481)&gt;0,"",A481),"")</f>
        <v/>
      </c>
    </row>
    <row r="482">
      <c r="A482" t="str">
        <f>IFERROR(__xludf.DUMMYFUNCTION("IFERROR(REGEXEXTRACT('Manual Data Import'!B482, ""^(.*)\s+[A-Z]{2,4}\s+\(\d+\)$""),'Manual Data Import'!B482) &amp; CHAR(10) &amp; 
IFERROR(REGEXREPLACE('Manual Data Import'!C482, ""\d+$"", """")) &amp;"" - ""&amp; 
IFERROR(REGEXEXTRACT('Manual Data Import'!B482, ""([A-Z"&amp;"]{2,4})\s+\(\d+\)$"")) &amp; "" (""&amp; 
IFERROR(REGEXEXTRACT('Manual Data Import'!B482, ""\((\d+)\)"")) &amp; "")"""),"Messiah Swinson 
TE - GB (11)")</f>
        <v>Messiah Swinson 
TE - GB (11)</v>
      </c>
      <c r="B482" s="30" t="str">
        <f>IFERROR(IF(COUNTIF('Draft Board'!$C$3:$V$24,A482)+COUNTIF(Keepers!$B$2:$U$21,A482)+COUNTIF('Auction Draft Board'!$C$6:$AP$25,A482)&gt;0,"",A482),"")</f>
        <v/>
      </c>
    </row>
    <row r="483">
      <c r="A483" t="str">
        <f>IFERROR(__xludf.DUMMYFUNCTION("IFERROR(REGEXEXTRACT('Manual Data Import'!B483, ""^(.*)\s+[A-Z]{2,4}\s+\(\d+\)$""),'Manual Data Import'!B483) &amp; CHAR(10) &amp; 
IFERROR(REGEXREPLACE('Manual Data Import'!C483, ""\d+$"", """")) &amp;"" - ""&amp; 
IFERROR(REGEXEXTRACT('Manual Data Import'!B483, ""([A-Z"&amp;"]{2,4})\s+\(\d+\)$"")) &amp; "" (""&amp; 
IFERROR(REGEXEXTRACT('Manual Data Import'!B483, ""\((\d+)\)"")) &amp; "")"""),"Mason Rudolph 
QB - PIT (9)")</f>
        <v>Mason Rudolph 
QB - PIT (9)</v>
      </c>
      <c r="B483" s="30" t="str">
        <f>IFERROR(IF(COUNTIF('Draft Board'!$C$3:$V$24,A483)+COUNTIF(Keepers!$B$2:$U$21,A483)+COUNTIF('Auction Draft Board'!$C$6:$AP$25,A483)&gt;0,"",A483),"")</f>
        <v/>
      </c>
    </row>
    <row r="484">
      <c r="A484" t="str">
        <f>IFERROR(__xludf.DUMMYFUNCTION("IFERROR(REGEXEXTRACT('Manual Data Import'!B484, ""^(.*)\s+[A-Z]{2,4}\s+\(\d+\)$""),'Manual Data Import'!B484) &amp; CHAR(10) &amp; 
IFERROR(REGEXREPLACE('Manual Data Import'!C484, ""\d+$"", """")) &amp;"" - ""&amp; 
IFERROR(REGEXEXTRACT('Manual Data Import'!B484, ""([A-Z"&amp;"]{2,4})\s+\(\d+\)$"")) &amp; "" (""&amp; 
IFERROR(REGEXEXTRACT('Manual Data Import'!B484, ""\((\d+)\)"")) &amp; "")"""),"Dalvin Cook
RB -  ()")</f>
        <v>Dalvin Cook
RB -  ()</v>
      </c>
      <c r="B484" s="30" t="str">
        <f>IFERROR(IF(COUNTIF('Draft Board'!$C$3:$V$24,A484)+COUNTIF(Keepers!$B$2:$U$21,A484)+COUNTIF('Auction Draft Board'!$C$6:$AP$25,A484)&gt;0,"",A484),"")</f>
        <v/>
      </c>
    </row>
    <row r="485">
      <c r="A485" t="str">
        <f>IFERROR(__xludf.DUMMYFUNCTION("IFERROR(REGEXEXTRACT('Manual Data Import'!B485, ""^(.*)\s+[A-Z]{2,4}\s+\(\d+\)$""),'Manual Data Import'!B485) &amp; CHAR(10) &amp; 
IFERROR(REGEXREPLACE('Manual Data Import'!C485, ""\d+$"", """")) &amp;"" - ""&amp; 
IFERROR(REGEXEXTRACT('Manual Data Import'!B485, ""([A-Z"&amp;"]{2,4})\s+\(\d+\)$"")) &amp; "" (""&amp; 
IFERROR(REGEXEXTRACT('Manual Data Import'!B485, ""\((\d+)\)"")) &amp; "")"""),"Tyree Mayfield
TE -  ()")</f>
        <v>Tyree Mayfield
TE -  ()</v>
      </c>
      <c r="B485" s="30" t="str">
        <f>IFERROR(IF(COUNTIF('Draft Board'!$C$3:$V$24,A485)+COUNTIF(Keepers!$B$2:$U$21,A485)+COUNTIF('Auction Draft Board'!$C$6:$AP$25,A485)&gt;0,"",A485),"")</f>
        <v/>
      </c>
    </row>
    <row r="486">
      <c r="A486" t="str">
        <f>IFERROR(__xludf.DUMMYFUNCTION("IFERROR(REGEXEXTRACT('Manual Data Import'!B486, ""^(.*)\s+[A-Z]{2,4}\s+\(\d+\)$""),'Manual Data Import'!B486) &amp; CHAR(10) &amp; 
IFERROR(REGEXREPLACE('Manual Data Import'!C486, ""\d+$"", """")) &amp;"" - ""&amp; 
IFERROR(REGEXEXTRACT('Manual Data Import'!B486, ""([A-Z"&amp;"]{2,4})\s+\(\d+\)$"")) &amp; "" (""&amp; 
IFERROR(REGEXEXTRACT('Manual Data Import'!B486, ""\((\d+)\)"")) &amp; "")"""),"John Ross
WR -  ()")</f>
        <v>John Ross
WR -  ()</v>
      </c>
      <c r="B486" s="30" t="str">
        <f>IFERROR(IF(COUNTIF('Draft Board'!$C$3:$V$24,A486)+COUNTIF(Keepers!$B$2:$U$21,A486)+COUNTIF('Auction Draft Board'!$C$6:$AP$25,A486)&gt;0,"",A486),"")</f>
        <v/>
      </c>
    </row>
    <row r="487">
      <c r="A487" t="str">
        <f>IFERROR(__xludf.DUMMYFUNCTION("IFERROR(REGEXEXTRACT('Manual Data Import'!B487, ""^(.*)\s+[A-Z]{2,4}\s+\(\d+\)$""),'Manual Data Import'!B487) &amp; CHAR(10) &amp; 
IFERROR(REGEXREPLACE('Manual Data Import'!C487, ""\d+$"", """")) &amp;"" - ""&amp; 
IFERROR(REGEXEXTRACT('Manual Data Import'!B487, ""([A-Z"&amp;"]{2,4})\s+\(\d+\)$"")) &amp; "" (""&amp; 
IFERROR(REGEXEXTRACT('Manual Data Import'!B487, ""\((\d+)\)"")) &amp; "")"""),"Jalen Hurd
WR -  ()")</f>
        <v>Jalen Hurd
WR -  ()</v>
      </c>
      <c r="B487" s="30" t="str">
        <f>IFERROR(IF(COUNTIF('Draft Board'!$C$3:$V$24,A487)+COUNTIF(Keepers!$B$2:$U$21,A487)+COUNTIF('Auction Draft Board'!$C$6:$AP$25,A487)&gt;0,"",A487),"")</f>
        <v/>
      </c>
    </row>
    <row r="488">
      <c r="A488" t="str">
        <f>IFERROR(__xludf.DUMMYFUNCTION("IFERROR(REGEXEXTRACT('Manual Data Import'!B488, ""^(.*)\s+[A-Z]{2,4}\s+\(\d+\)$""),'Manual Data Import'!B488) &amp; CHAR(10) &amp; 
IFERROR(REGEXREPLACE('Manual Data Import'!C488, ""\d+$"", """")) &amp;"" - ""&amp; 
IFERROR(REGEXEXTRACT('Manual Data Import'!B488, ""([A-Z"&amp;"]{2,4})\s+\(\d+\)$"")) &amp; "" (""&amp; 
IFERROR(REGEXEXTRACT('Manual Data Import'!B488, ""\((\d+)\)"")) &amp; "")"""),"Greg Dortch 
WR - DET (6)")</f>
        <v>Greg Dortch 
WR - DET (6)</v>
      </c>
      <c r="B488" s="30" t="str">
        <f>IFERROR(IF(COUNTIF('Draft Board'!$C$3:$V$24,A488)+COUNTIF(Keepers!$B$2:$U$21,A488)+COUNTIF('Auction Draft Board'!$C$6:$AP$25,A488)&gt;0,"",A488),"")</f>
        <v/>
      </c>
    </row>
    <row r="489">
      <c r="A489" t="str">
        <f>IFERROR(__xludf.DUMMYFUNCTION("IFERROR(REGEXEXTRACT('Manual Data Import'!B489, ""^(.*)\s+[A-Z]{2,4}\s+\(\d+\)$""),'Manual Data Import'!B489) &amp; CHAR(10) &amp; 
IFERROR(REGEXREPLACE('Manual Data Import'!C489, ""\d+$"", """")) &amp;"" - ""&amp; 
IFERROR(REGEXEXTRACT('Manual Data Import'!B489, ""([A-Z"&amp;"]{2,4})\s+\(\d+\)$"")) &amp; "" (""&amp; 
IFERROR(REGEXEXTRACT('Manual Data Import'!B489, ""\((\d+)\)"")) &amp; "")"""),"DeAndre Hopkins 
WR - BAL (13)")</f>
        <v>DeAndre Hopkins 
WR - BAL (13)</v>
      </c>
      <c r="B489" s="30" t="str">
        <f>IFERROR(IF(COUNTIF('Draft Board'!$C$3:$V$24,A489)+COUNTIF(Keepers!$B$2:$U$21,A489)+COUNTIF('Auction Draft Board'!$C$6:$AP$25,A489)&gt;0,"",A489),"")</f>
        <v/>
      </c>
    </row>
    <row r="490">
      <c r="A490" t="str">
        <f>IFERROR(__xludf.DUMMYFUNCTION("IFERROR(REGEXEXTRACT('Manual Data Import'!B490, ""^(.*)\s+[A-Z]{2,4}\s+\(\d+\)$""),'Manual Data Import'!B490) &amp; CHAR(10) &amp; 
IFERROR(REGEXREPLACE('Manual Data Import'!C490, ""\d+$"", """")) &amp;"" - ""&amp; 
IFERROR(REGEXEXTRACT('Manual Data Import'!B490, ""([A-Z"&amp;"]{2,4})\s+\(\d+\)$"")) &amp; "" (""&amp; 
IFERROR(REGEXEXTRACT('Manual Data Import'!B490, ""\((\d+)\)"")) &amp; "")"""),"Reggie White Jr.
WR -  ()")</f>
        <v>Reggie White Jr.
WR -  ()</v>
      </c>
      <c r="B490" s="30" t="str">
        <f>IFERROR(IF(COUNTIF('Draft Board'!$C$3:$V$24,A490)+COUNTIF(Keepers!$B$2:$U$21,A490)+COUNTIF('Auction Draft Board'!$C$6:$AP$25,A490)&gt;0,"",A490),"")</f>
        <v/>
      </c>
    </row>
    <row r="491">
      <c r="A491" t="str">
        <f>IFERROR(__xludf.DUMMYFUNCTION("IFERROR(REGEXEXTRACT('Manual Data Import'!B491, ""^(.*)\s+[A-Z]{2,4}\s+\(\d+\)$""),'Manual Data Import'!B491) &amp; CHAR(10) &amp; 
IFERROR(REGEXREPLACE('Manual Data Import'!C491, ""\d+$"", """")) &amp;"" - ""&amp; 
IFERROR(REGEXEXTRACT('Manual Data Import'!B491, ""([A-Z"&amp;"]{2,4})\s+\(\d+\)$"")) &amp; "" (""&amp; 
IFERROR(REGEXEXTRACT('Manual Data Import'!B491, ""\((\d+)\)"")) &amp; "")"""),"Andrew Peasley
QB -  ()")</f>
        <v>Andrew Peasley
QB -  ()</v>
      </c>
      <c r="B491" s="30" t="str">
        <f>IFERROR(IF(COUNTIF('Draft Board'!$C$3:$V$24,A491)+COUNTIF(Keepers!$B$2:$U$21,A491)+COUNTIF('Auction Draft Board'!$C$6:$AP$25,A491)&gt;0,"",A491),"")</f>
        <v/>
      </c>
    </row>
    <row r="492">
      <c r="A492" t="str">
        <f>IFERROR(__xludf.DUMMYFUNCTION("IFERROR(REGEXEXTRACT('Manual Data Import'!B492, ""^(.*)\s+[A-Z]{2,4}\s+\(\d+\)$""),'Manual Data Import'!B492) &amp; CHAR(10) &amp; 
IFERROR(REGEXREPLACE('Manual Data Import'!C492, ""\d+$"", """")) &amp;"" - ""&amp; 
IFERROR(REGEXEXTRACT('Manual Data Import'!B492, ""([A-Z"&amp;"]{2,4})\s+\(\d+\)$"")) &amp; "" (""&amp; 
IFERROR(REGEXEXTRACT('Manual Data Import'!B492, ""\((\d+)\)"")) &amp; "")"""),"Tanner Koziol 
TE - JAC (7)")</f>
        <v>Tanner Koziol 
TE - JAC (7)</v>
      </c>
      <c r="B492" s="30" t="str">
        <f>IFERROR(IF(COUNTIF('Draft Board'!$C$3:$V$24,A492)+COUNTIF(Keepers!$B$2:$U$21,A492)+COUNTIF('Auction Draft Board'!$C$6:$AP$25,A492)&gt;0,"",A492),"")</f>
        <v/>
      </c>
    </row>
    <row r="493">
      <c r="A493" t="str">
        <f>IFERROR(__xludf.DUMMYFUNCTION("IFERROR(REGEXEXTRACT('Manual Data Import'!B493, ""^(.*)\s+[A-Z]{2,4}\s+\(\d+\)$""),'Manual Data Import'!B493) &amp; CHAR(10) &amp; 
IFERROR(REGEXREPLACE('Manual Data Import'!C493, ""\d+$"", """")) &amp;"" - ""&amp; 
IFERROR(REGEXEXTRACT('Manual Data Import'!B493, ""([A-Z"&amp;"]{2,4})\s+\(\d+\)$"")) &amp; "" (""&amp; 
IFERROR(REGEXEXTRACT('Manual Data Import'!B493, ""\((\d+)\)"")) &amp; "")"""),"MyCole Pruitt
TE -  ()")</f>
        <v>MyCole Pruitt
TE -  ()</v>
      </c>
      <c r="B493" s="30" t="str">
        <f>IFERROR(IF(COUNTIF('Draft Board'!$C$3:$V$24,A493)+COUNTIF(Keepers!$B$2:$U$21,A493)+COUNTIF('Auction Draft Board'!$C$6:$AP$25,A493)&gt;0,"",A493),"")</f>
        <v/>
      </c>
    </row>
    <row r="494">
      <c r="A494" t="str">
        <f>IFERROR(__xludf.DUMMYFUNCTION("IFERROR(REGEXEXTRACT('Manual Data Import'!B494, ""^(.*)\s+[A-Z]{2,4}\s+\(\d+\)$""),'Manual Data Import'!B494) &amp; CHAR(10) &amp; 
IFERROR(REGEXREPLACE('Manual Data Import'!C494, ""\d+$"", """")) &amp;"" - ""&amp; 
IFERROR(REGEXEXTRACT('Manual Data Import'!B494, ""([A-Z"&amp;"]{2,4})\s+\(\d+\)$"")) &amp; "" (""&amp; 
IFERROR(REGEXEXTRACT('Manual Data Import'!B494, ""\((\d+)\)"")) &amp; "")"""),"Tanner Brown 
K - NO (8)")</f>
        <v>Tanner Brown 
K - NO (8)</v>
      </c>
      <c r="B494" s="30" t="str">
        <f>IFERROR(IF(COUNTIF('Draft Board'!$C$3:$V$24,A494)+COUNTIF(Keepers!$B$2:$U$21,A494)+COUNTIF('Auction Draft Board'!$C$6:$AP$25,A494)&gt;0,"",A494),"")</f>
        <v/>
      </c>
    </row>
    <row r="495">
      <c r="A495" t="str">
        <f>IFERROR(__xludf.DUMMYFUNCTION("IFERROR(REGEXEXTRACT('Manual Data Import'!B495, ""^(.*)\s+[A-Z]{2,4}\s+\(\d+\)$""),'Manual Data Import'!B495) &amp; CHAR(10) &amp; 
IFERROR(REGEXREPLACE('Manual Data Import'!C495, ""\d+$"", """")) &amp;"" - ""&amp; 
IFERROR(REGEXEXTRACT('Manual Data Import'!B495, ""([A-Z"&amp;"]{2,4})\s+\(\d+\)$"")) &amp; "" (""&amp; 
IFERROR(REGEXEXTRACT('Manual Data Import'!B495, ""\((\d+)\)"")) &amp; "")"""),"Jacardia Wright 
RB - SEA (11)")</f>
        <v>Jacardia Wright 
RB - SEA (11)</v>
      </c>
      <c r="B495" s="30" t="str">
        <f>IFERROR(IF(COUNTIF('Draft Board'!$C$3:$V$24,A495)+COUNTIF(Keepers!$B$2:$U$21,A495)+COUNTIF('Auction Draft Board'!$C$6:$AP$25,A495)&gt;0,"",A495),"")</f>
        <v/>
      </c>
    </row>
    <row r="496">
      <c r="A496" t="str">
        <f>IFERROR(__xludf.DUMMYFUNCTION("IFERROR(REGEXEXTRACT('Manual Data Import'!B496, ""^(.*)\s+[A-Z]{2,4}\s+\(\d+\)$""),'Manual Data Import'!B496) &amp; CHAR(10) &amp; 
IFERROR(REGEXREPLACE('Manual Data Import'!C496, ""\d+$"", """")) &amp;"" - ""&amp; 
IFERROR(REGEXEXTRACT('Manual Data Import'!B496, ""([A-Z"&amp;"]{2,4})\s+\(\d+\)$"")) &amp; "" (""&amp; 
IFERROR(REGEXEXTRACT('Manual Data Import'!B496, ""\((\d+)\)"")) &amp; "")"""),"Matt Colburn II
RB -  ()")</f>
        <v>Matt Colburn II
RB -  ()</v>
      </c>
      <c r="B496" s="30" t="str">
        <f>IFERROR(IF(COUNTIF('Draft Board'!$C$3:$V$24,A496)+COUNTIF(Keepers!$B$2:$U$21,A496)+COUNTIF('Auction Draft Board'!$C$6:$AP$25,A496)&gt;0,"",A496),"")</f>
        <v/>
      </c>
    </row>
    <row r="497">
      <c r="A497" t="str">
        <f>IFERROR(__xludf.DUMMYFUNCTION("IFERROR(REGEXEXTRACT('Manual Data Import'!B497, ""^(.*)\s+[A-Z]{2,4}\s+\(\d+\)$""),'Manual Data Import'!B497) &amp; CHAR(10) &amp; 
IFERROR(REGEXREPLACE('Manual Data Import'!C497, ""\d+$"", """")) &amp;"" - ""&amp; 
IFERROR(REGEXEXTRACT('Manual Data Import'!B497, ""([A-Z"&amp;"]{2,4})\s+\(\d+\)$"")) &amp; "" (""&amp; 
IFERROR(REGEXEXTRACT('Manual Data Import'!B497, ""\((\d+)\)"")) &amp; "")"""),"Jordan Travis
QB -  ()")</f>
        <v>Jordan Travis
QB -  ()</v>
      </c>
      <c r="B497" s="30" t="str">
        <f>IFERROR(IF(COUNTIF('Draft Board'!$C$3:$V$24,A497)+COUNTIF(Keepers!$B$2:$U$21,A497)+COUNTIF('Auction Draft Board'!$C$6:$AP$25,A497)&gt;0,"",A497),"")</f>
        <v/>
      </c>
    </row>
    <row r="498">
      <c r="A498" t="str">
        <f>IFERROR(__xludf.DUMMYFUNCTION("IFERROR(REGEXEXTRACT('Manual Data Import'!B498, ""^(.*)\s+[A-Z]{2,4}\s+\(\d+\)$""),'Manual Data Import'!B498) &amp; CHAR(10) &amp; 
IFERROR(REGEXREPLACE('Manual Data Import'!C498, ""\d+$"", """")) &amp;"" - ""&amp; 
IFERROR(REGEXEXTRACT('Manual Data Import'!B498, ""([A-Z"&amp;"]{2,4})\s+\(\d+\)$"")) &amp; "" (""&amp; 
IFERROR(REGEXEXTRACT('Manual Data Import'!B498, ""\((\d+)\)"")) &amp; "")"""),"Dont'e Thornton Jr. 
WR - LV (13)")</f>
        <v>Dont'e Thornton Jr. 
WR - LV (13)</v>
      </c>
      <c r="B498" s="30" t="str">
        <f>IFERROR(IF(COUNTIF('Draft Board'!$C$3:$V$24,A498)+COUNTIF(Keepers!$B$2:$U$21,A498)+COUNTIF('Auction Draft Board'!$C$6:$AP$25,A498)&gt;0,"",A498),"")</f>
        <v/>
      </c>
    </row>
    <row r="499">
      <c r="A499" t="str">
        <f>IFERROR(__xludf.DUMMYFUNCTION("IFERROR(REGEXEXTRACT('Manual Data Import'!B499, ""^(.*)\s+[A-Z]{2,4}\s+\(\d+\)$""),'Manual Data Import'!B499) &amp; CHAR(10) &amp; 
IFERROR(REGEXREPLACE('Manual Data Import'!C499, ""\d+$"", """")) &amp;"" - ""&amp; 
IFERROR(REGEXEXTRACT('Manual Data Import'!B499, ""([A-Z"&amp;"]{2,4})\s+\(\d+\)$"")) &amp; "" (""&amp; 
IFERROR(REGEXEXTRACT('Manual Data Import'!B499, ""\((\d+)\)"")) &amp; "")"""),"Parker Romo
K -  ()")</f>
        <v>Parker Romo
K -  ()</v>
      </c>
      <c r="B499" s="30" t="str">
        <f>IFERROR(IF(COUNTIF('Draft Board'!$C$3:$V$24,A499)+COUNTIF(Keepers!$B$2:$U$21,A499)+COUNTIF('Auction Draft Board'!$C$6:$AP$25,A499)&gt;0,"",A499),"")</f>
        <v/>
      </c>
    </row>
    <row r="500">
      <c r="A500" t="str">
        <f>IFERROR(__xludf.DUMMYFUNCTION("IFERROR(REGEXEXTRACT('Manual Data Import'!B500, ""^(.*)\s+[A-Z]{2,4}\s+\(\d+\)$""),'Manual Data Import'!B500) &amp; CHAR(10) &amp; 
IFERROR(REGEXREPLACE('Manual Data Import'!C500, ""\d+$"", """")) &amp;"" - ""&amp; 
IFERROR(REGEXEXTRACT('Manual Data Import'!B500, ""([A-Z"&amp;"]{2,4})\s+\(\d+\)$"")) &amp; "" (""&amp; 
IFERROR(REGEXEXTRACT('Manual Data Import'!B500, ""\((\d+)\)"")) &amp; "")"""),"D.J. Williams
RB -  ()")</f>
        <v>D.J. Williams
RB -  ()</v>
      </c>
      <c r="B500" s="30" t="str">
        <f>IFERROR(IF(COUNTIF('Draft Board'!$C$3:$V$24,A500)+COUNTIF(Keepers!$B$2:$U$21,A500)+COUNTIF('Auction Draft Board'!$C$6:$AP$25,A500)&gt;0,"",A500),"")</f>
        <v/>
      </c>
    </row>
    <row r="501">
      <c r="A501" t="str">
        <f>IFERROR(__xludf.DUMMYFUNCTION("IFERROR(REGEXEXTRACT('Manual Data Import'!B501, ""^(.*)\s+[A-Z]{2,4}\s+\(\d+\)$""),'Manual Data Import'!B501) &amp; CHAR(10) &amp; 
IFERROR(REGEXREPLACE('Manual Data Import'!C501, ""\d+$"", """")) &amp;"" - ""&amp; 
IFERROR(REGEXEXTRACT('Manual Data Import'!B501, ""([A-Z"&amp;"]{2,4})\s+\(\d+\)$"")) &amp; "" (""&amp; 
IFERROR(REGEXEXTRACT('Manual Data Import'!B501, ""\((\d+)\)"")) &amp; "")"""),"Marlin Klein 
TE - HOU (8)")</f>
        <v>Marlin Klein 
TE - HOU (8)</v>
      </c>
      <c r="B501" s="30" t="str">
        <f>IFERROR(IF(COUNTIF('Draft Board'!$C$3:$V$24,A501)+COUNTIF(Keepers!$B$2:$U$21,A501)+COUNTIF('Auction Draft Board'!$C$6:$AP$25,A501)&gt;0,"",A501),"")</f>
        <v/>
      </c>
    </row>
    <row r="502">
      <c r="A502" t="str">
        <f>IFERROR(__xludf.DUMMYFUNCTION("IFERROR(REGEXEXTRACT('Manual Data Import'!B502, ""^(.*)\s+[A-Z]{2,4}\s+\(\d+\)$""),'Manual Data Import'!B502) &amp; CHAR(10) &amp; 
IFERROR(REGEXREPLACE('Manual Data Import'!C502, ""\d+$"", """")) &amp;"" - ""&amp; 
IFERROR(REGEXEXTRACT('Manual Data Import'!B502, ""([A-Z"&amp;"]{2,4})\s+\(\d+\)$"")) &amp; "" (""&amp; 
IFERROR(REGEXEXTRACT('Manual Data Import'!B502, ""\((\d+)\)"")) &amp; "")"""),"Jalen Tolbert 
WR - MIA (6)")</f>
        <v>Jalen Tolbert 
WR - MIA (6)</v>
      </c>
      <c r="B502" s="30" t="str">
        <f>IFERROR(IF(COUNTIF('Draft Board'!$C$3:$V$24,A502)+COUNTIF(Keepers!$B$2:$U$21,A502)+COUNTIF('Auction Draft Board'!$C$6:$AP$25,A502)&gt;0,"",A502),"")</f>
        <v/>
      </c>
    </row>
    <row r="503">
      <c r="A503" t="str">
        <f>IFERROR(__xludf.DUMMYFUNCTION("IFERROR(REGEXEXTRACT('Manual Data Import'!B503, ""^(.*)\s+[A-Z]{2,4}\s+\(\d+\)$""),'Manual Data Import'!B503) &amp; CHAR(10) &amp; 
IFERROR(REGEXREPLACE('Manual Data Import'!C503, ""\d+$"", """")) &amp;"" - ""&amp; 
IFERROR(REGEXEXTRACT('Manual Data Import'!B503, ""([A-Z"&amp;"]{2,4})\s+\(\d+\)$"")) &amp; "" (""&amp; 
IFERROR(REGEXEXTRACT('Manual Data Import'!B503, ""\((\d+)\)"")) &amp; "")"""),"Thayer Thomas
WR -  ()")</f>
        <v>Thayer Thomas
WR -  ()</v>
      </c>
      <c r="B503" s="30" t="str">
        <f>IFERROR(IF(COUNTIF('Draft Board'!$C$3:$V$24,A503)+COUNTIF(Keepers!$B$2:$U$21,A503)+COUNTIF('Auction Draft Board'!$C$6:$AP$25,A503)&gt;0,"",A503),"")</f>
        <v/>
      </c>
    </row>
    <row r="504">
      <c r="A504" t="str">
        <f>IFERROR(__xludf.DUMMYFUNCTION("IFERROR(REGEXEXTRACT('Manual Data Import'!B504, ""^(.*)\s+[A-Z]{2,4}\s+\(\d+\)$""),'Manual Data Import'!B504) &amp; CHAR(10) &amp; 
IFERROR(REGEXREPLACE('Manual Data Import'!C504, ""\d+$"", """")) &amp;"" - ""&amp; 
IFERROR(REGEXEXTRACT('Manual Data Import'!B504, ""([A-Z"&amp;"]{2,4})\s+\(\d+\)$"")) &amp; "" (""&amp; 
IFERROR(REGEXEXTRACT('Manual Data Import'!B504, ""\((\d+)\)"")) &amp; "")"""),"New York Jets
DST - DST (13)")</f>
        <v>New York Jets
DST - DST (13)</v>
      </c>
      <c r="B504" s="30" t="str">
        <f>IFERROR(IF(COUNTIF('Draft Board'!$C$3:$V$24,A504)+COUNTIF(Keepers!$B$2:$U$21,A504)+COUNTIF('Auction Draft Board'!$C$6:$AP$25,A504)&gt;0,"",A504),"")</f>
        <v/>
      </c>
    </row>
    <row r="505">
      <c r="A505" t="str">
        <f>IFERROR(__xludf.DUMMYFUNCTION("IFERROR(REGEXEXTRACT('Manual Data Import'!B505, ""^(.*)\s+[A-Z]{2,4}\s+\(\d+\)$""),'Manual Data Import'!B505) &amp; CHAR(10) &amp; 
IFERROR(REGEXREPLACE('Manual Data Import'!C505, ""\d+$"", """")) &amp;"" - ""&amp; 
IFERROR(REGEXEXTRACT('Manual Data Import'!B505, ""([A-Z"&amp;"]{2,4})\s+\(\d+\)$"")) &amp; "" (""&amp; 
IFERROR(REGEXEXTRACT('Manual Data Import'!B505, ""\((\d+)\)"")) &amp; "")"""),"Trenton Cannon
RB -  ()")</f>
        <v>Trenton Cannon
RB -  ()</v>
      </c>
      <c r="B505" s="30" t="str">
        <f>IFERROR(IF(COUNTIF('Draft Board'!$C$3:$V$24,A505)+COUNTIF(Keepers!$B$2:$U$21,A505)+COUNTIF('Auction Draft Board'!$C$6:$AP$25,A505)&gt;0,"",A505),"")</f>
        <v/>
      </c>
    </row>
    <row r="506">
      <c r="A506" t="str">
        <f>IFERROR(__xludf.DUMMYFUNCTION("IFERROR(REGEXEXTRACT('Manual Data Import'!B506, ""^(.*)\s+[A-Z]{2,4}\s+\(\d+\)$""),'Manual Data Import'!B506) &amp; CHAR(10) &amp; 
IFERROR(REGEXREPLACE('Manual Data Import'!C506, ""\d+$"", """")) &amp;"" - ""&amp; 
IFERROR(REGEXEXTRACT('Manual Data Import'!B506, ""([A-Z"&amp;"]{2,4})\s+\(\d+\)$"")) &amp; "" (""&amp; 
IFERROR(REGEXEXTRACT('Manual Data Import'!B506, ""\((\d+)\)"")) &amp; "")"""),"Jarrett Stidham 
QB - DEN (10)")</f>
        <v>Jarrett Stidham 
QB - DEN (10)</v>
      </c>
      <c r="B506" s="30" t="str">
        <f>IFERROR(IF(COUNTIF('Draft Board'!$C$3:$V$24,A506)+COUNTIF(Keepers!$B$2:$U$21,A506)+COUNTIF('Auction Draft Board'!$C$6:$AP$25,A506)&gt;0,"",A506),"")</f>
        <v/>
      </c>
    </row>
    <row r="507">
      <c r="A507" t="str">
        <f>IFERROR(__xludf.DUMMYFUNCTION("IFERROR(REGEXEXTRACT('Manual Data Import'!B507, ""^(.*)\s+[A-Z]{2,4}\s+\(\d+\)$""),'Manual Data Import'!B507) &amp; CHAR(10) &amp; 
IFERROR(REGEXREPLACE('Manual Data Import'!C507, ""\d+$"", """")) &amp;"" - ""&amp; 
IFERROR(REGEXEXTRACT('Manual Data Import'!B507, ""([A-Z"&amp;"]{2,4})\s+\(\d+\)$"")) &amp; "" (""&amp; 
IFERROR(REGEXEXTRACT('Manual Data Import'!B507, ""\((\d+)\)"")) &amp; "")"""),"Jeremiah Haydel
WR -  ()")</f>
        <v>Jeremiah Haydel
WR -  ()</v>
      </c>
      <c r="B507" s="30" t="str">
        <f>IFERROR(IF(COUNTIF('Draft Board'!$C$3:$V$24,A507)+COUNTIF(Keepers!$B$2:$U$21,A507)+COUNTIF('Auction Draft Board'!$C$6:$AP$25,A507)&gt;0,"",A507),"")</f>
        <v/>
      </c>
    </row>
    <row r="508">
      <c r="A508" t="str">
        <f>IFERROR(__xludf.DUMMYFUNCTION("IFERROR(REGEXEXTRACT('Manual Data Import'!B508, ""^(.*)\s+[A-Z]{2,4}\s+\(\d+\)$""),'Manual Data Import'!B508) &amp; CHAR(10) &amp; 
IFERROR(REGEXREPLACE('Manual Data Import'!C508, ""\d+$"", """")) &amp;"" - ""&amp; 
IFERROR(REGEXEXTRACT('Manual Data Import'!B508, ""([A-Z"&amp;"]{2,4})\s+\(\d+\)$"")) &amp; "" (""&amp; 
IFERROR(REGEXEXTRACT('Manual Data Import'!B508, ""\((\d+)\)"")) &amp; "")"""),"Tez Johnson 
WR - TB (10)")</f>
        <v>Tez Johnson 
WR - TB (10)</v>
      </c>
      <c r="B508" s="30" t="str">
        <f>IFERROR(IF(COUNTIF('Draft Board'!$C$3:$V$24,A508)+COUNTIF(Keepers!$B$2:$U$21,A508)+COUNTIF('Auction Draft Board'!$C$6:$AP$25,A508)&gt;0,"",A508),"")</f>
        <v/>
      </c>
    </row>
    <row r="509">
      <c r="A509" t="str">
        <f>IFERROR(__xludf.DUMMYFUNCTION("IFERROR(REGEXEXTRACT('Manual Data Import'!B509, ""^(.*)\s+[A-Z]{2,4}\s+\(\d+\)$""),'Manual Data Import'!B509) &amp; CHAR(10) &amp; 
IFERROR(REGEXREPLACE('Manual Data Import'!C509, ""\d+$"", """")) &amp;"" - ""&amp; 
IFERROR(REGEXEXTRACT('Manual Data Import'!B509, ""([A-Z"&amp;"]{2,4})\s+\(\d+\)$"")) &amp; "" (""&amp; 
IFERROR(REGEXEXTRACT('Manual Data Import'!B509, ""\((\d+)\)"")) &amp; "")"""),"Ty Johnson 
RB - BUF (7)")</f>
        <v>Ty Johnson 
RB - BUF (7)</v>
      </c>
      <c r="B509" s="30" t="str">
        <f>IFERROR(IF(COUNTIF('Draft Board'!$C$3:$V$24,A509)+COUNTIF(Keepers!$B$2:$U$21,A509)+COUNTIF('Auction Draft Board'!$C$6:$AP$25,A509)&gt;0,"",A509),"")</f>
        <v/>
      </c>
    </row>
    <row r="510">
      <c r="A510" t="str">
        <f>IFERROR(__xludf.DUMMYFUNCTION("IFERROR(REGEXEXTRACT('Manual Data Import'!B510, ""^(.*)\s+[A-Z]{2,4}\s+\(\d+\)$""),'Manual Data Import'!B510) &amp; CHAR(10) &amp; 
IFERROR(REGEXREPLACE('Manual Data Import'!C510, ""\d+$"", """")) &amp;"" - ""&amp; 
IFERROR(REGEXEXTRACT('Manual Data Import'!B510, ""([A-Z"&amp;"]{2,4})\s+\(\d+\)$"")) &amp; "" (""&amp; 
IFERROR(REGEXEXTRACT('Manual Data Import'!B510, ""\((\d+)\)"")) &amp; "")"""),"Tyson Bagent 
QB - CHI (10)")</f>
        <v>Tyson Bagent 
QB - CHI (10)</v>
      </c>
      <c r="B510" s="30" t="str">
        <f>IFERROR(IF(COUNTIF('Draft Board'!$C$3:$V$24,A510)+COUNTIF(Keepers!$B$2:$U$21,A510)+COUNTIF('Auction Draft Board'!$C$6:$AP$25,A510)&gt;0,"",A510),"")</f>
        <v/>
      </c>
    </row>
    <row r="511">
      <c r="A511" t="str">
        <f>IFERROR(__xludf.DUMMYFUNCTION("IFERROR(REGEXEXTRACT('Manual Data Import'!B511, ""^(.*)\s+[A-Z]{2,4}\s+\(\d+\)$""),'Manual Data Import'!B511) &amp; CHAR(10) &amp; 
IFERROR(REGEXREPLACE('Manual Data Import'!C511, ""\d+$"", """")) &amp;"" - ""&amp; 
IFERROR(REGEXEXTRACT('Manual Data Import'!B511, ""([A-Z"&amp;"]{2,4})\s+\(\d+\)$"")) &amp; "" (""&amp; 
IFERROR(REGEXEXTRACT('Manual Data Import'!B511, ""\((\d+)\)"")) &amp; "")"""),"Sam Howell 
QB - DAL (14)")</f>
        <v>Sam Howell 
QB - DAL (14)</v>
      </c>
      <c r="B511" s="30" t="str">
        <f>IFERROR(IF(COUNTIF('Draft Board'!$C$3:$V$24,A511)+COUNTIF(Keepers!$B$2:$U$21,A511)+COUNTIF('Auction Draft Board'!$C$6:$AP$25,A511)&gt;0,"",A511),"")</f>
        <v/>
      </c>
    </row>
    <row r="512">
      <c r="A512" t="str">
        <f>IFERROR(__xludf.DUMMYFUNCTION("IFERROR(REGEXEXTRACT('Manual Data Import'!B512, ""^(.*)\s+[A-Z]{2,4}\s+\(\d+\)$""),'Manual Data Import'!B512) &amp; CHAR(10) &amp; 
IFERROR(REGEXREPLACE('Manual Data Import'!C512, ""\d+$"", """")) &amp;"" - ""&amp; 
IFERROR(REGEXEXTRACT('Manual Data Import'!B512, ""([A-Z"&amp;"]{2,4})\s+\(\d+\)$"")) &amp; "" (""&amp; 
IFERROR(REGEXEXTRACT('Manual Data Import'!B512, ""\((\d+)\)"")) &amp; "")"""),"Garrett Gilbert
QB -  ()")</f>
        <v>Garrett Gilbert
QB -  ()</v>
      </c>
      <c r="B512" s="30" t="str">
        <f>IFERROR(IF(COUNTIF('Draft Board'!$C$3:$V$24,A512)+COUNTIF(Keepers!$B$2:$U$21,A512)+COUNTIF('Auction Draft Board'!$C$6:$AP$25,A512)&gt;0,"",A512),"")</f>
        <v/>
      </c>
    </row>
    <row r="513">
      <c r="A513" t="str">
        <f>IFERROR(__xludf.DUMMYFUNCTION("IFERROR(REGEXEXTRACT('Manual Data Import'!B513, ""^(.*)\s+[A-Z]{2,4}\s+\(\d+\)$""),'Manual Data Import'!B513) &amp; CHAR(10) &amp; 
IFERROR(REGEXREPLACE('Manual Data Import'!C513, ""\d+$"", """")) &amp;"" - ""&amp; 
IFERROR(REGEXEXTRACT('Manual Data Import'!B513, ""([A-Z"&amp;"]{2,4})\s+\(\d+\)$"")) &amp; "" (""&amp; 
IFERROR(REGEXEXTRACT('Manual Data Import'!B513, ""\((\d+)\)"")) &amp; "")"""),"Kalif Raymond 
WR - CHI (10)")</f>
        <v>Kalif Raymond 
WR - CHI (10)</v>
      </c>
      <c r="B513" s="30" t="str">
        <f>IFERROR(IF(COUNTIF('Draft Board'!$C$3:$V$24,A513)+COUNTIF(Keepers!$B$2:$U$21,A513)+COUNTIF('Auction Draft Board'!$C$6:$AP$25,A513)&gt;0,"",A513),"")</f>
        <v/>
      </c>
    </row>
    <row r="514">
      <c r="A514" t="str">
        <f>IFERROR(__xludf.DUMMYFUNCTION("IFERROR(REGEXEXTRACT('Manual Data Import'!B514, ""^(.*)\s+[A-Z]{2,4}\s+\(\d+\)$""),'Manual Data Import'!B514) &amp; CHAR(10) &amp; 
IFERROR(REGEXREPLACE('Manual Data Import'!C514, ""\d+$"", """")) &amp;"" - ""&amp; 
IFERROR(REGEXEXTRACT('Manual Data Import'!B514, ""([A-Z"&amp;"]{2,4})\s+\(\d+\)$"")) &amp; "" (""&amp; 
IFERROR(REGEXEXTRACT('Manual Data Import'!B514, ""\((\d+)\)"")) &amp; "")"""),"Drew Sample 
TE - CIN (6)")</f>
        <v>Drew Sample 
TE - CIN (6)</v>
      </c>
      <c r="B514" s="30" t="str">
        <f>IFERROR(IF(COUNTIF('Draft Board'!$C$3:$V$24,A514)+COUNTIF(Keepers!$B$2:$U$21,A514)+COUNTIF('Auction Draft Board'!$C$6:$AP$25,A514)&gt;0,"",A514),"")</f>
        <v/>
      </c>
    </row>
    <row r="515">
      <c r="A515" t="str">
        <f>IFERROR(__xludf.DUMMYFUNCTION("IFERROR(REGEXEXTRACT('Manual Data Import'!B515, ""^(.*)\s+[A-Z]{2,4}\s+\(\d+\)$""),'Manual Data Import'!B515) &amp; CHAR(10) &amp; 
IFERROR(REGEXREPLACE('Manual Data Import'!C515, ""\d+$"", """")) &amp;"" - ""&amp; 
IFERROR(REGEXEXTRACT('Manual Data Import'!B515, ""([A-Z"&amp;"]{2,4})\s+\(\d+\)$"")) &amp; "" (""&amp; 
IFERROR(REGEXEXTRACT('Manual Data Import'!B515, ""\((\d+)\)"")) &amp; "")"""),"Steven Montez
QB -  ()")</f>
        <v>Steven Montez
QB -  ()</v>
      </c>
      <c r="B515" s="30" t="str">
        <f>IFERROR(IF(COUNTIF('Draft Board'!$C$3:$V$24,A515)+COUNTIF(Keepers!$B$2:$U$21,A515)+COUNTIF('Auction Draft Board'!$C$6:$AP$25,A515)&gt;0,"",A515),"")</f>
        <v/>
      </c>
    </row>
    <row r="516">
      <c r="A516" t="str">
        <f>IFERROR(__xludf.DUMMYFUNCTION("IFERROR(REGEXEXTRACT('Manual Data Import'!B516, ""^(.*)\s+[A-Z]{2,4}\s+\(\d+\)$""),'Manual Data Import'!B516) &amp; CHAR(10) &amp; 
IFERROR(REGEXREPLACE('Manual Data Import'!C516, ""\d+$"", """")) &amp;"" - ""&amp; 
IFERROR(REGEXEXTRACT('Manual Data Import'!B516, ""([A-Z"&amp;"]{2,4})\s+\(\d+\)$"")) &amp; "" (""&amp; 
IFERROR(REGEXEXTRACT('Manual Data Import'!B516, ""\((\d+)\)"")) &amp; "")"""),"Cade Stover 
TE - HOU (8)")</f>
        <v>Cade Stover 
TE - HOU (8)</v>
      </c>
      <c r="B516" s="30" t="str">
        <f>IFERROR(IF(COUNTIF('Draft Board'!$C$3:$V$24,A516)+COUNTIF(Keepers!$B$2:$U$21,A516)+COUNTIF('Auction Draft Board'!$C$6:$AP$25,A516)&gt;0,"",A516),"")</f>
        <v/>
      </c>
    </row>
    <row r="517">
      <c r="A517" t="str">
        <f>IFERROR(__xludf.DUMMYFUNCTION("IFERROR(REGEXEXTRACT('Manual Data Import'!B517, ""^(.*)\s+[A-Z]{2,4}\s+\(\d+\)$""),'Manual Data Import'!B517) &amp; CHAR(10) &amp; 
IFERROR(REGEXREPLACE('Manual Data Import'!C517, ""\d+$"", """")) &amp;"" - ""&amp; 
IFERROR(REGEXEXTRACT('Manual Data Import'!B517, ""([A-Z"&amp;"]{2,4})\s+\(\d+\)$"")) &amp; "" (""&amp; 
IFERROR(REGEXEXTRACT('Manual Data Import'!B517, ""\((\d+)\)"")) &amp; "")"""),"Mo Alie-Cox 
TE - IND (13)")</f>
        <v>Mo Alie-Cox 
TE - IND (13)</v>
      </c>
      <c r="B517" s="30" t="str">
        <f>IFERROR(IF(COUNTIF('Draft Board'!$C$3:$V$24,A517)+COUNTIF(Keepers!$B$2:$U$21,A517)+COUNTIF('Auction Draft Board'!$C$6:$AP$25,A517)&gt;0,"",A517),"")</f>
        <v/>
      </c>
    </row>
    <row r="518">
      <c r="A518" t="str">
        <f>IFERROR(__xludf.DUMMYFUNCTION("IFERROR(REGEXEXTRACT('Manual Data Import'!B518, ""^(.*)\s+[A-Z]{2,4}\s+\(\d+\)$""),'Manual Data Import'!B518) &amp; CHAR(10) &amp; 
IFERROR(REGEXREPLACE('Manual Data Import'!C518, ""\d+$"", """")) &amp;"" - ""&amp; 
IFERROR(REGEXEXTRACT('Manual Data Import'!B518, ""([A-Z"&amp;"]{2,4})\s+\(\d+\)$"")) &amp; "" (""&amp; 
IFERROR(REGEXEXTRACT('Manual Data Import'!B518, ""\((\d+)\)"")) &amp; "")"""),"Devin Gray
WR -  ()")</f>
        <v>Devin Gray
WR -  ()</v>
      </c>
      <c r="B518" s="30" t="str">
        <f>IFERROR(IF(COUNTIF('Draft Board'!$C$3:$V$24,A518)+COUNTIF(Keepers!$B$2:$U$21,A518)+COUNTIF('Auction Draft Board'!$C$6:$AP$25,A518)&gt;0,"",A518),"")</f>
        <v/>
      </c>
    </row>
    <row r="519">
      <c r="A519" t="str">
        <f>IFERROR(__xludf.DUMMYFUNCTION("IFERROR(REGEXEXTRACT('Manual Data Import'!B519, ""^(.*)\s+[A-Z]{2,4}\s+\(\d+\)$""),'Manual Data Import'!B519) &amp; CHAR(10) &amp; 
IFERROR(REGEXREPLACE('Manual Data Import'!C519, ""\d+$"", """")) &amp;"" - ""&amp; 
IFERROR(REGEXEXTRACT('Manual Data Import'!B519, ""([A-Z"&amp;"]{2,4})\s+\(\d+\)$"")) &amp; "" (""&amp; 
IFERROR(REGEXEXTRACT('Manual Data Import'!B519, ""\((\d+)\)"")) &amp; "")"""),"Ashton Dulin 
WR - IND (13)")</f>
        <v>Ashton Dulin 
WR - IND (13)</v>
      </c>
      <c r="B519" s="30" t="str">
        <f>IFERROR(IF(COUNTIF('Draft Board'!$C$3:$V$24,A519)+COUNTIF(Keepers!$B$2:$U$21,A519)+COUNTIF('Auction Draft Board'!$C$6:$AP$25,A519)&gt;0,"",A519),"")</f>
        <v/>
      </c>
    </row>
    <row r="520">
      <c r="A520" t="str">
        <f>IFERROR(__xludf.DUMMYFUNCTION("IFERROR(REGEXEXTRACT('Manual Data Import'!B520, ""^(.*)\s+[A-Z]{2,4}\s+\(\d+\)$""),'Manual Data Import'!B520) &amp; CHAR(10) &amp; 
IFERROR(REGEXREPLACE('Manual Data Import'!C520, ""\d+$"", """")) &amp;"" - ""&amp; 
IFERROR(REGEXEXTRACT('Manual Data Import'!B520, ""([A-Z"&amp;"]{2,4})\s+\(\d+\)$"")) &amp; "" (""&amp; 
IFERROR(REGEXEXTRACT('Manual Data Import'!B520, ""\((\d+)\)"")) &amp; "")"""),"Jahan Dotson 
WR - ATL (11)")</f>
        <v>Jahan Dotson 
WR - ATL (11)</v>
      </c>
      <c r="B520" s="30" t="str">
        <f>IFERROR(IF(COUNTIF('Draft Board'!$C$3:$V$24,A520)+COUNTIF(Keepers!$B$2:$U$21,A520)+COUNTIF('Auction Draft Board'!$C$6:$AP$25,A520)&gt;0,"",A520),"")</f>
        <v/>
      </c>
    </row>
    <row r="521">
      <c r="A521" t="str">
        <f>IFERROR(__xludf.DUMMYFUNCTION("IFERROR(REGEXEXTRACT('Manual Data Import'!B521, ""^(.*)\s+[A-Z]{2,4}\s+\(\d+\)$""),'Manual Data Import'!B521) &amp; CHAR(10) &amp; 
IFERROR(REGEXREPLACE('Manual Data Import'!C521, ""\d+$"", """")) &amp;"" - ""&amp; 
IFERROR(REGEXEXTRACT('Manual Data Import'!B521, ""([A-Z"&amp;"]{2,4})\s+\(\d+\)$"")) &amp; "" (""&amp; 
IFERROR(REGEXEXTRACT('Manual Data Import'!B521, ""\((\d+)\)"")) &amp; "")"""),"John Franklin III
WR -  ()")</f>
        <v>John Franklin III
WR -  ()</v>
      </c>
      <c r="B521" s="30" t="str">
        <f>IFERROR(IF(COUNTIF('Draft Board'!$C$3:$V$24,A521)+COUNTIF(Keepers!$B$2:$U$21,A521)+COUNTIF('Auction Draft Board'!$C$6:$AP$25,A521)&gt;0,"",A521),"")</f>
        <v/>
      </c>
    </row>
    <row r="522">
      <c r="A522" t="str">
        <f>IFERROR(__xludf.DUMMYFUNCTION("IFERROR(REGEXEXTRACT('Manual Data Import'!B522, ""^(.*)\s+[A-Z]{2,4}\s+\(\d+\)$""),'Manual Data Import'!B522) &amp; CHAR(10) &amp; 
IFERROR(REGEXREPLACE('Manual Data Import'!C522, ""\d+$"", """")) &amp;"" - ""&amp; 
IFERROR(REGEXEXTRACT('Manual Data Import'!B522, ""([A-Z"&amp;"]{2,4})\s+\(\d+\)$"")) &amp; "" (""&amp; 
IFERROR(REGEXEXTRACT('Manual Data Import'!B522, ""\((\d+)\)"")) &amp; "")"""),"Seth McGowan 
RB - IND (13)")</f>
        <v>Seth McGowan 
RB - IND (13)</v>
      </c>
      <c r="B522" s="30" t="str">
        <f>IFERROR(IF(COUNTIF('Draft Board'!$C$3:$V$24,A522)+COUNTIF(Keepers!$B$2:$U$21,A522)+COUNTIF('Auction Draft Board'!$C$6:$AP$25,A522)&gt;0,"",A522),"")</f>
        <v/>
      </c>
    </row>
    <row r="523">
      <c r="A523" t="str">
        <f>IFERROR(__xludf.DUMMYFUNCTION("IFERROR(REGEXEXTRACT('Manual Data Import'!B523, ""^(.*)\s+[A-Z]{2,4}\s+\(\d+\)$""),'Manual Data Import'!B523) &amp; CHAR(10) &amp; 
IFERROR(REGEXREPLACE('Manual Data Import'!C523, ""\d+$"", """")) &amp;"" - ""&amp; 
IFERROR(REGEXEXTRACT('Manual Data Import'!B523, ""([A-Z"&amp;"]{2,4})\s+\(\d+\)$"")) &amp; "" (""&amp; 
IFERROR(REGEXEXTRACT('Manual Data Import'!B523, ""\((\d+)\)"")) &amp; "")"""),"Carlos Washington Jr. 
RB - MIA (6)")</f>
        <v>Carlos Washington Jr. 
RB - MIA (6)</v>
      </c>
      <c r="B523" s="30" t="str">
        <f>IFERROR(IF(COUNTIF('Draft Board'!$C$3:$V$24,A523)+COUNTIF(Keepers!$B$2:$U$21,A523)+COUNTIF('Auction Draft Board'!$C$6:$AP$25,A523)&gt;0,"",A523),"")</f>
        <v/>
      </c>
    </row>
    <row r="524">
      <c r="A524" t="str">
        <f>IFERROR(__xludf.DUMMYFUNCTION("IFERROR(REGEXEXTRACT('Manual Data Import'!B524, ""^(.*)\s+[A-Z]{2,4}\s+\(\d+\)$""),'Manual Data Import'!B524) &amp; CHAR(10) &amp; 
IFERROR(REGEXREPLACE('Manual Data Import'!C524, ""\d+$"", """")) &amp;"" - ""&amp; 
IFERROR(REGEXEXTRACT('Manual Data Import'!B524, ""([A-Z"&amp;"]{2,4})\s+\(\d+\)$"")) &amp; "" (""&amp; 
IFERROR(REGEXEXTRACT('Manual Data Import'!B524, ""\((\d+)\)"")) &amp; "")"""),"Brenen Thompson 
WR - LAC (7)")</f>
        <v>Brenen Thompson 
WR - LAC (7)</v>
      </c>
      <c r="B524" s="30" t="str">
        <f>IFERROR(IF(COUNTIF('Draft Board'!$C$3:$V$24,A524)+COUNTIF(Keepers!$B$2:$U$21,A524)+COUNTIF('Auction Draft Board'!$C$6:$AP$25,A524)&gt;0,"",A524),"")</f>
        <v/>
      </c>
    </row>
    <row r="525">
      <c r="A525" t="str">
        <f>IFERROR(__xludf.DUMMYFUNCTION("IFERROR(REGEXEXTRACT('Manual Data Import'!B525, ""^(.*)\s+[A-Z]{2,4}\s+\(\d+\)$""),'Manual Data Import'!B525) &amp; CHAR(10) &amp; 
IFERROR(REGEXREPLACE('Manual Data Import'!C525, ""\d+$"", """")) &amp;"" - ""&amp; 
IFERROR(REGEXEXTRACT('Manual Data Import'!B525, ""([A-Z"&amp;"]{2,4})\s+\(\d+\)$"")) &amp; "" (""&amp; 
IFERROR(REGEXEXTRACT('Manual Data Import'!B525, ""\((\d+)\)"")) &amp; "")"""),"Connor Heyward 
TE - LV (13)")</f>
        <v>Connor Heyward 
TE - LV (13)</v>
      </c>
      <c r="B525" s="30" t="str">
        <f>IFERROR(IF(COUNTIF('Draft Board'!$C$3:$V$24,A525)+COUNTIF(Keepers!$B$2:$U$21,A525)+COUNTIF('Auction Draft Board'!$C$6:$AP$25,A525)&gt;0,"",A525),"")</f>
        <v/>
      </c>
    </row>
    <row r="526">
      <c r="A526" t="str">
        <f>IFERROR(__xludf.DUMMYFUNCTION("IFERROR(REGEXEXTRACT('Manual Data Import'!B526, ""^(.*)\s+[A-Z]{2,4}\s+\(\d+\)$""),'Manual Data Import'!B526) &amp; CHAR(10) &amp; 
IFERROR(REGEXREPLACE('Manual Data Import'!C526, ""\d+$"", """")) &amp;"" - ""&amp; 
IFERROR(REGEXEXTRACT('Manual Data Import'!B526, ""([A-Z"&amp;"]{2,4})\s+\(\d+\)$"")) &amp; "" (""&amp; 
IFERROR(REGEXEXTRACT('Manual Data Import'!B526, ""\((\d+)\)"")) &amp; "")"""),"Justin Watson 
WR - HOU (8)")</f>
        <v>Justin Watson 
WR - HOU (8)</v>
      </c>
      <c r="B526" s="30" t="str">
        <f>IFERROR(IF(COUNTIF('Draft Board'!$C$3:$V$24,A526)+COUNTIF(Keepers!$B$2:$U$21,A526)+COUNTIF('Auction Draft Board'!$C$6:$AP$25,A526)&gt;0,"",A526),"")</f>
        <v/>
      </c>
    </row>
    <row r="527">
      <c r="A527" t="str">
        <f>IFERROR(__xludf.DUMMYFUNCTION("IFERROR(REGEXEXTRACT('Manual Data Import'!B527, ""^(.*)\s+[A-Z]{2,4}\s+\(\d+\)$""),'Manual Data Import'!B527) &amp; CHAR(10) &amp; 
IFERROR(REGEXREPLACE('Manual Data Import'!C527, ""\d+$"", """")) &amp;"" - ""&amp; 
IFERROR(REGEXEXTRACT('Manual Data Import'!B527, ""([A-Z"&amp;"]{2,4})\s+\(\d+\)$"")) &amp; "" (""&amp; 
IFERROR(REGEXEXTRACT('Manual Data Import'!B527, ""\((\d+)\)"")) &amp; "")"""),"Jeshaun Jones 
WR - MIN (6)")</f>
        <v>Jeshaun Jones 
WR - MIN (6)</v>
      </c>
      <c r="B527" s="30" t="str">
        <f>IFERROR(IF(COUNTIF('Draft Board'!$C$3:$V$24,A527)+COUNTIF(Keepers!$B$2:$U$21,A527)+COUNTIF('Auction Draft Board'!$C$6:$AP$25,A527)&gt;0,"",A527),"")</f>
        <v/>
      </c>
    </row>
    <row r="528">
      <c r="A528" t="str">
        <f>IFERROR(__xludf.DUMMYFUNCTION("IFERROR(REGEXEXTRACT('Manual Data Import'!B528, ""^(.*)\s+[A-Z]{2,4}\s+\(\d+\)$""),'Manual Data Import'!B528) &amp; CHAR(10) &amp; 
IFERROR(REGEXREPLACE('Manual Data Import'!C528, ""\d+$"", """")) &amp;"" - ""&amp; 
IFERROR(REGEXEXTRACT('Manual Data Import'!B528, ""([A-Z"&amp;"]{2,4})\s+\(\d+\)$"")) &amp; "" (""&amp; 
IFERROR(REGEXEXTRACT('Manual Data Import'!B528, ""\((\d+)\)"")) &amp; "")"""),"Jeremy Ruckert 
TE - NYJ (13)")</f>
        <v>Jeremy Ruckert 
TE - NYJ (13)</v>
      </c>
      <c r="B528" s="30" t="str">
        <f>IFERROR(IF(COUNTIF('Draft Board'!$C$3:$V$24,A528)+COUNTIF(Keepers!$B$2:$U$21,A528)+COUNTIF('Auction Draft Board'!$C$6:$AP$25,A528)&gt;0,"",A528),"")</f>
        <v/>
      </c>
    </row>
    <row r="529">
      <c r="A529" t="str">
        <f>IFERROR(__xludf.DUMMYFUNCTION("IFERROR(REGEXEXTRACT('Manual Data Import'!B529, ""^(.*)\s+[A-Z]{2,4}\s+\(\d+\)$""),'Manual Data Import'!B529) &amp; CHAR(10) &amp; 
IFERROR(REGEXREPLACE('Manual Data Import'!C529, ""\d+$"", """")) &amp;"" - ""&amp; 
IFERROR(REGEXEXTRACT('Manual Data Import'!B529, ""([A-Z"&amp;"]{2,4})\s+\(\d+\)$"")) &amp; "" (""&amp; 
IFERROR(REGEXEXTRACT('Manual Data Import'!B529, ""\((\d+)\)"")) &amp; "")"""),"Josh Pederson
TE -  ()")</f>
        <v>Josh Pederson
TE -  ()</v>
      </c>
      <c r="B529" s="30" t="str">
        <f>IFERROR(IF(COUNTIF('Draft Board'!$C$3:$V$24,A529)+COUNTIF(Keepers!$B$2:$U$21,A529)+COUNTIF('Auction Draft Board'!$C$6:$AP$25,A529)&gt;0,"",A529),"")</f>
        <v/>
      </c>
    </row>
    <row r="530">
      <c r="A530" t="str">
        <f>IFERROR(__xludf.DUMMYFUNCTION("IFERROR(REGEXEXTRACT('Manual Data Import'!B530, ""^(.*)\s+[A-Z]{2,4}\s+\(\d+\)$""),'Manual Data Import'!B530) &amp; CHAR(10) &amp; 
IFERROR(REGEXREPLACE('Manual Data Import'!C530, ""\d+$"", """")) &amp;"" - ""&amp; 
IFERROR(REGEXEXTRACT('Manual Data Import'!B530, ""([A-Z"&amp;"]{2,4})\s+\(\d+\)$"")) &amp; "" (""&amp; 
IFERROR(REGEXEXTRACT('Manual Data Import'!B530, ""\((\d+)\)"")) &amp; "")"""),"Hunter Luepke 
RB - DAL (14)")</f>
        <v>Hunter Luepke 
RB - DAL (14)</v>
      </c>
      <c r="B530" s="30" t="str">
        <f>IFERROR(IF(COUNTIF('Draft Board'!$C$3:$V$24,A530)+COUNTIF(Keepers!$B$2:$U$21,A530)+COUNTIF('Auction Draft Board'!$C$6:$AP$25,A530)&gt;0,"",A530),"")</f>
        <v/>
      </c>
    </row>
    <row r="531">
      <c r="A531" t="str">
        <f>IFERROR(__xludf.DUMMYFUNCTION("IFERROR(REGEXEXTRACT('Manual Data Import'!B531, ""^(.*)\s+[A-Z]{2,4}\s+\(\d+\)$""),'Manual Data Import'!B531) &amp; CHAR(10) &amp; 
IFERROR(REGEXREPLACE('Manual Data Import'!C531, ""\d+$"", """")) &amp;"" - ""&amp; 
IFERROR(REGEXEXTRACT('Manual Data Import'!B531, ""([A-Z"&amp;"]{2,4})\s+\(\d+\)$"")) &amp; "" (""&amp; 
IFERROR(REGEXEXTRACT('Manual Data Import'!B531, ""\((\d+)\)"")) &amp; "")"""),"Rashod Owens
WR -  ()")</f>
        <v>Rashod Owens
WR -  ()</v>
      </c>
      <c r="B531" s="30" t="str">
        <f>IFERROR(IF(COUNTIF('Draft Board'!$C$3:$V$24,A531)+COUNTIF(Keepers!$B$2:$U$21,A531)+COUNTIF('Auction Draft Board'!$C$6:$AP$25,A531)&gt;0,"",A531),"")</f>
        <v/>
      </c>
    </row>
    <row r="532">
      <c r="A532" t="str">
        <f>IFERROR(__xludf.DUMMYFUNCTION("IFERROR(REGEXEXTRACT('Manual Data Import'!B532, ""^(.*)\s+[A-Z]{2,4}\s+\(\d+\)$""),'Manual Data Import'!B532) &amp; CHAR(10) &amp; 
IFERROR(REGEXREPLACE('Manual Data Import'!C532, ""\d+$"", """")) &amp;"" - ""&amp; 
IFERROR(REGEXEXTRACT('Manual Data Import'!B532, ""([A-Z"&amp;"]{2,4})\s+\(\d+\)$"")) &amp; "" (""&amp; 
IFERROR(REGEXEXTRACT('Manual Data Import'!B532, ""\((\d+)\)"")) &amp; "")"""),"Zane Gonzalez
K -  ()")</f>
        <v>Zane Gonzalez
K -  ()</v>
      </c>
      <c r="B532" s="30" t="str">
        <f>IFERROR(IF(COUNTIF('Draft Board'!$C$3:$V$24,A532)+COUNTIF(Keepers!$B$2:$U$21,A532)+COUNTIF('Auction Draft Board'!$C$6:$AP$25,A532)&gt;0,"",A532),"")</f>
        <v/>
      </c>
    </row>
    <row r="533">
      <c r="A533" t="str">
        <f>IFERROR(__xludf.DUMMYFUNCTION("IFERROR(REGEXEXTRACT('Manual Data Import'!B533, ""^(.*)\s+[A-Z]{2,4}\s+\(\d+\)$""),'Manual Data Import'!B533) &amp; CHAR(10) &amp; 
IFERROR(REGEXREPLACE('Manual Data Import'!C533, ""\d+$"", """")) &amp;"" - ""&amp; 
IFERROR(REGEXEXTRACT('Manual Data Import'!B533, ""([A-Z"&amp;"]{2,4})\s+\(\d+\)$"")) &amp; "" (""&amp; 
IFERROR(REGEXEXTRACT('Manual Data Import'!B533, ""\((\d+)\)"")) &amp; "")"""),"Raheim Sanders 
RB - CLE (11)")</f>
        <v>Raheim Sanders 
RB - CLE (11)</v>
      </c>
      <c r="B533" s="30" t="str">
        <f>IFERROR(IF(COUNTIF('Draft Board'!$C$3:$V$24,A533)+COUNTIF(Keepers!$B$2:$U$21,A533)+COUNTIF('Auction Draft Board'!$C$6:$AP$25,A533)&gt;0,"",A533),"")</f>
        <v/>
      </c>
    </row>
    <row r="534">
      <c r="A534" t="str">
        <f>IFERROR(__xludf.DUMMYFUNCTION("IFERROR(REGEXEXTRACT('Manual Data Import'!B534, ""^(.*)\s+[A-Z]{2,4}\s+\(\d+\)$""),'Manual Data Import'!B534) &amp; CHAR(10) &amp; 
IFERROR(REGEXREPLACE('Manual Data Import'!C534, ""\d+$"", """")) &amp;"" - ""&amp; 
IFERROR(REGEXEXTRACT('Manual Data Import'!B534, ""([A-Z"&amp;"]{2,4})\s+\(\d+\)$"")) &amp; "" (""&amp; 
IFERROR(REGEXEXTRACT('Manual Data Import'!B534, ""\((\d+)\)"")) &amp; "")"""),"Bo Melton 
WR - GB (11)")</f>
        <v>Bo Melton 
WR - GB (11)</v>
      </c>
      <c r="B534" s="30" t="str">
        <f>IFERROR(IF(COUNTIF('Draft Board'!$C$3:$V$24,A534)+COUNTIF(Keepers!$B$2:$U$21,A534)+COUNTIF('Auction Draft Board'!$C$6:$AP$25,A534)&gt;0,"",A534),"")</f>
        <v/>
      </c>
    </row>
    <row r="535">
      <c r="A535" t="str">
        <f>IFERROR(__xludf.DUMMYFUNCTION("IFERROR(REGEXEXTRACT('Manual Data Import'!B535, ""^(.*)\s+[A-Z]{2,4}\s+\(\d+\)$""),'Manual Data Import'!B535) &amp; CHAR(10) &amp; 
IFERROR(REGEXREPLACE('Manual Data Import'!C535, ""\d+$"", """")) &amp;"" - ""&amp; 
IFERROR(REGEXEXTRACT('Manual Data Import'!B535, ""([A-Z"&amp;"]{2,4})\s+\(\d+\)$"")) &amp; "" (""&amp; 
IFERROR(REGEXEXTRACT('Manual Data Import'!B535, ""\((\d+)\)"")) &amp; "")"""),"Colton Dowell
WR -  ()")</f>
        <v>Colton Dowell
WR -  ()</v>
      </c>
      <c r="B535" s="30" t="str">
        <f>IFERROR(IF(COUNTIF('Draft Board'!$C$3:$V$24,A535)+COUNTIF(Keepers!$B$2:$U$21,A535)+COUNTIF('Auction Draft Board'!$C$6:$AP$25,A535)&gt;0,"",A535),"")</f>
        <v/>
      </c>
    </row>
    <row r="536">
      <c r="A536" t="str">
        <f>IFERROR(__xludf.DUMMYFUNCTION("IFERROR(REGEXEXTRACT('Manual Data Import'!B536, ""^(.*)\s+[A-Z]{2,4}\s+\(\d+\)$""),'Manual Data Import'!B536) &amp; CHAR(10) &amp; 
IFERROR(REGEXREPLACE('Manual Data Import'!C536, ""\d+$"", """")) &amp;"" - ""&amp; 
IFERROR(REGEXEXTRACT('Manual Data Import'!B536, ""([A-Z"&amp;"]{2,4})\s+\(\d+\)$"")) &amp; "" (""&amp; 
IFERROR(REGEXEXTRACT('Manual Data Import'!B536, ""\((\d+)\)"")) &amp; "")"""),"Jaylin Lane 
WR - WAS (7)")</f>
        <v>Jaylin Lane 
WR - WAS (7)</v>
      </c>
      <c r="B536" s="30" t="str">
        <f>IFERROR(IF(COUNTIF('Draft Board'!$C$3:$V$24,A536)+COUNTIF(Keepers!$B$2:$U$21,A536)+COUNTIF('Auction Draft Board'!$C$6:$AP$25,A536)&gt;0,"",A536),"")</f>
        <v/>
      </c>
    </row>
    <row r="537">
      <c r="A537" t="str">
        <f>IFERROR(__xludf.DUMMYFUNCTION("IFERROR(REGEXEXTRACT('Manual Data Import'!B537, ""^(.*)\s+[A-Z]{2,4}\s+\(\d+\)$""),'Manual Data Import'!B537) &amp; CHAR(10) &amp; 
IFERROR(REGEXREPLACE('Manual Data Import'!C537, ""\d+$"", """")) &amp;"" - ""&amp; 
IFERROR(REGEXEXTRACT('Manual Data Import'!B537, ""([A-Z"&amp;"]{2,4})\s+\(\d+\)$"")) &amp; "" (""&amp; 
IFERROR(REGEXEXTRACT('Manual Data Import'!B537, ""\((\d+)\)"")) &amp; "")"""),"Matthew Slater
WR -  ()")</f>
        <v>Matthew Slater
WR -  ()</v>
      </c>
      <c r="B537" s="30" t="str">
        <f>IFERROR(IF(COUNTIF('Draft Board'!$C$3:$V$24,A537)+COUNTIF(Keepers!$B$2:$U$21,A537)+COUNTIF('Auction Draft Board'!$C$6:$AP$25,A537)&gt;0,"",A537),"")</f>
        <v/>
      </c>
    </row>
    <row r="538">
      <c r="A538" t="str">
        <f>IFERROR(__xludf.DUMMYFUNCTION("IFERROR(REGEXEXTRACT('Manual Data Import'!B538, ""^(.*)\s+[A-Z]{2,4}\s+\(\d+\)$""),'Manual Data Import'!B538) &amp; CHAR(10) &amp; 
IFERROR(REGEXREPLACE('Manual Data Import'!C538, ""\d+$"", """")) &amp;"" - ""&amp; 
IFERROR(REGEXEXTRACT('Manual Data Import'!B538, ""([A-Z"&amp;"]{2,4})\s+\(\d+\)$"")) &amp; "" (""&amp; 
IFERROR(REGEXEXTRACT('Manual Data Import'!B538, ""\((\d+)\)"")) &amp; "")"""),"CJ Daniels 
WR - LAR (11)")</f>
        <v>CJ Daniels 
WR - LAR (11)</v>
      </c>
      <c r="B538" s="30" t="str">
        <f>IFERROR(IF(COUNTIF('Draft Board'!$C$3:$V$24,A538)+COUNTIF(Keepers!$B$2:$U$21,A538)+COUNTIF('Auction Draft Board'!$C$6:$AP$25,A538)&gt;0,"",A538),"")</f>
        <v/>
      </c>
    </row>
    <row r="539">
      <c r="A539" t="str">
        <f>IFERROR(__xludf.DUMMYFUNCTION("IFERROR(REGEXEXTRACT('Manual Data Import'!B539, ""^(.*)\s+[A-Z]{2,4}\s+\(\d+\)$""),'Manual Data Import'!B539) &amp; CHAR(10) &amp; 
IFERROR(REGEXREPLACE('Manual Data Import'!C539, ""\d+$"", """")) &amp;"" - ""&amp; 
IFERROR(REGEXEXTRACT('Manual Data Import'!B539, ""([A-Z"&amp;"]{2,4})\s+\(\d+\)$"")) &amp; "" (""&amp; 
IFERROR(REGEXEXTRACT('Manual Data Import'!B539, ""\((\d+)\)"")) &amp; "")"""),"JaQuan Hardy
RB -  ()")</f>
        <v>JaQuan Hardy
RB -  ()</v>
      </c>
      <c r="B539" s="30" t="str">
        <f>IFERROR(IF(COUNTIF('Draft Board'!$C$3:$V$24,A539)+COUNTIF(Keepers!$B$2:$U$21,A539)+COUNTIF('Auction Draft Board'!$C$6:$AP$25,A539)&gt;0,"",A539),"")</f>
        <v/>
      </c>
    </row>
    <row r="540">
      <c r="A540" t="str">
        <f>IFERROR(__xludf.DUMMYFUNCTION("IFERROR(REGEXEXTRACT('Manual Data Import'!B540, ""^(.*)\s+[A-Z]{2,4}\s+\(\d+\)$""),'Manual Data Import'!B540) &amp; CHAR(10) &amp; 
IFERROR(REGEXREPLACE('Manual Data Import'!C540, ""\d+$"", """")) &amp;"" - ""&amp; 
IFERROR(REGEXEXTRACT('Manual Data Import'!B540, ""([A-Z"&amp;"]{2,4})\s+\(\d+\)$"")) &amp; "" (""&amp; 
IFERROR(REGEXEXTRACT('Manual Data Import'!B540, ""\((\d+)\)"")) &amp; "")"""),"James Washington
WR -  ()")</f>
        <v>James Washington
WR -  ()</v>
      </c>
      <c r="B540" s="30" t="str">
        <f>IFERROR(IF(COUNTIF('Draft Board'!$C$3:$V$24,A540)+COUNTIF(Keepers!$B$2:$U$21,A540)+COUNTIF('Auction Draft Board'!$C$6:$AP$25,A540)&gt;0,"",A540),"")</f>
        <v/>
      </c>
    </row>
    <row r="541">
      <c r="A541" t="str">
        <f>IFERROR(__xludf.DUMMYFUNCTION("IFERROR(REGEXEXTRACT('Manual Data Import'!B541, ""^(.*)\s+[A-Z]{2,4}\s+\(\d+\)$""),'Manual Data Import'!B541) &amp; CHAR(10) &amp; 
IFERROR(REGEXREPLACE('Manual Data Import'!C541, ""\d+$"", """")) &amp;"" - ""&amp; 
IFERROR(REGEXEXTRACT('Manual Data Import'!B541, ""([A-Z"&amp;"]{2,4})\s+\(\d+\)$"")) &amp; "" (""&amp; 
IFERROR(REGEXEXTRACT('Manual Data Import'!B541, ""\((\d+)\)"")) &amp; "")"""),"Tyler Conklin 
TE - DET (6)")</f>
        <v>Tyler Conklin 
TE - DET (6)</v>
      </c>
      <c r="B541" s="30" t="str">
        <f>IFERROR(IF(COUNTIF('Draft Board'!$C$3:$V$24,A541)+COUNTIF(Keepers!$B$2:$U$21,A541)+COUNTIF('Auction Draft Board'!$C$6:$AP$25,A541)&gt;0,"",A541),"")</f>
        <v/>
      </c>
    </row>
    <row r="542">
      <c r="A542" t="str">
        <f>IFERROR(__xludf.DUMMYFUNCTION("IFERROR(REGEXEXTRACT('Manual Data Import'!B542, ""^(.*)\s+[A-Z]{2,4}\s+\(\d+\)$""),'Manual Data Import'!B542) &amp; CHAR(10) &amp; 
IFERROR(REGEXREPLACE('Manual Data Import'!C542, ""\d+$"", """")) &amp;"" - ""&amp; 
IFERROR(REGEXEXTRACT('Manual Data Import'!B542, ""([A-Z"&amp;"]{2,4})\s+\(\d+\)$"")) &amp; "" (""&amp; 
IFERROR(REGEXEXTRACT('Manual Data Import'!B542, ""\((\d+)\)"")) &amp; "")"""),"T.J. Vasher
WR -  ()")</f>
        <v>T.J. Vasher
WR -  ()</v>
      </c>
      <c r="B542" s="30" t="str">
        <f>IFERROR(IF(COUNTIF('Draft Board'!$C$3:$V$24,A542)+COUNTIF(Keepers!$B$2:$U$21,A542)+COUNTIF('Auction Draft Board'!$C$6:$AP$25,A542)&gt;0,"",A542),"")</f>
        <v/>
      </c>
    </row>
    <row r="543">
      <c r="A543" t="str">
        <f>IFERROR(__xludf.DUMMYFUNCTION("IFERROR(REGEXEXTRACT('Manual Data Import'!B543, ""^(.*)\s+[A-Z]{2,4}\s+\(\d+\)$""),'Manual Data Import'!B543) &amp; CHAR(10) &amp; 
IFERROR(REGEXREPLACE('Manual Data Import'!C543, ""\d+$"", """")) &amp;"" - ""&amp; 
IFERROR(REGEXEXTRACT('Manual Data Import'!B543, ""([A-Z"&amp;"]{2,4})\s+\(\d+\)$"")) &amp; "" (""&amp; 
IFERROR(REGEXEXTRACT('Manual Data Import'!B543, ""\((\d+)\)"")) &amp; "")"""),"Sam Roush 
TE - CHI (10)")</f>
        <v>Sam Roush 
TE - CHI (10)</v>
      </c>
      <c r="B543" s="30" t="str">
        <f>IFERROR(IF(COUNTIF('Draft Board'!$C$3:$V$24,A543)+COUNTIF(Keepers!$B$2:$U$21,A543)+COUNTIF('Auction Draft Board'!$C$6:$AP$25,A543)&gt;0,"",A543),"")</f>
        <v/>
      </c>
    </row>
    <row r="544">
      <c r="A544" t="str">
        <f>IFERROR(__xludf.DUMMYFUNCTION("IFERROR(REGEXEXTRACT('Manual Data Import'!B544, ""^(.*)\s+[A-Z]{2,4}\s+\(\d+\)$""),'Manual Data Import'!B544) &amp; CHAR(10) &amp; 
IFERROR(REGEXREPLACE('Manual Data Import'!C544, ""\d+$"", """")) &amp;"" - ""&amp; 
IFERROR(REGEXEXTRACT('Manual Data Import'!B544, ""([A-Z"&amp;"]{2,4})\s+\(\d+\)$"")) &amp; "" (""&amp; 
IFERROR(REGEXEXTRACT('Manual Data Import'!B544, ""\((\d+)\)"")) &amp; "")"""),"Darius Cooper 
WR - PHI (10)")</f>
        <v>Darius Cooper 
WR - PHI (10)</v>
      </c>
      <c r="B544" s="30" t="str">
        <f>IFERROR(IF(COUNTIF('Draft Board'!$C$3:$V$24,A544)+COUNTIF(Keepers!$B$2:$U$21,A544)+COUNTIF('Auction Draft Board'!$C$6:$AP$25,A544)&gt;0,"",A544),"")</f>
        <v/>
      </c>
    </row>
    <row r="545">
      <c r="A545" t="str">
        <f>IFERROR(__xludf.DUMMYFUNCTION("IFERROR(REGEXEXTRACT('Manual Data Import'!B545, ""^(.*)\s+[A-Z]{2,4}\s+\(\d+\)$""),'Manual Data Import'!B545) &amp; CHAR(10) &amp; 
IFERROR(REGEXREPLACE('Manual Data Import'!C545, ""\d+$"", """")) &amp;"" - ""&amp; 
IFERROR(REGEXEXTRACT('Manual Data Import'!B545, ""([A-Z"&amp;"]{2,4})\s+\(\d+\)$"")) &amp; "" (""&amp; 
IFERROR(REGEXEXTRACT('Manual Data Import'!B545, ""\((\d+)\)"")) &amp; "")"""),"Max Bredeson 
RB - MIN (6)")</f>
        <v>Max Bredeson 
RB - MIN (6)</v>
      </c>
      <c r="B545" s="30" t="str">
        <f>IFERROR(IF(COUNTIF('Draft Board'!$C$3:$V$24,A545)+COUNTIF(Keepers!$B$2:$U$21,A545)+COUNTIF('Auction Draft Board'!$C$6:$AP$25,A545)&gt;0,"",A545),"")</f>
        <v/>
      </c>
    </row>
    <row r="546">
      <c r="A546" t="str">
        <f>IFERROR(__xludf.DUMMYFUNCTION("IFERROR(REGEXEXTRACT('Manual Data Import'!B546, ""^(.*)\s+[A-Z]{2,4}\s+\(\d+\)$""),'Manual Data Import'!B546) &amp; CHAR(10) &amp; 
IFERROR(REGEXREPLACE('Manual Data Import'!C546, ""\d+$"", """")) &amp;"" - ""&amp; 
IFERROR(REGEXEXTRACT('Manual Data Import'!B546, ""([A-Z"&amp;"]{2,4})\s+\(\d+\)$"")) &amp; "" (""&amp; 
IFERROR(REGEXEXTRACT('Manual Data Import'!B546, ""\((\d+)\)"")) &amp; "")"""),"Patrick Ricard 
RB - NYG (8)")</f>
        <v>Patrick Ricard 
RB - NYG (8)</v>
      </c>
      <c r="B546" s="30" t="str">
        <f>IFERROR(IF(COUNTIF('Draft Board'!$C$3:$V$24,A546)+COUNTIF(Keepers!$B$2:$U$21,A546)+COUNTIF('Auction Draft Board'!$C$6:$AP$25,A546)&gt;0,"",A546),"")</f>
        <v/>
      </c>
    </row>
    <row r="547">
      <c r="A547" t="str">
        <f>IFERROR(__xludf.DUMMYFUNCTION("IFERROR(REGEXEXTRACT('Manual Data Import'!B547, ""^(.*)\s+[A-Z]{2,4}\s+\(\d+\)$""),'Manual Data Import'!B547) &amp; CHAR(10) &amp; 
IFERROR(REGEXREPLACE('Manual Data Import'!C547, ""\d+$"", """")) &amp;"" - ""&amp; 
IFERROR(REGEXEXTRACT('Manual Data Import'!B547, ""([A-Z"&amp;"]{2,4})\s+\(\d+\)$"")) &amp; "" (""&amp; 
IFERROR(REGEXEXTRACT('Manual Data Import'!B547, ""\((\d+)\)"")) &amp; "")"""),"Isaiah Davis 
RB - NYJ (13)")</f>
        <v>Isaiah Davis 
RB - NYJ (13)</v>
      </c>
      <c r="B547" s="30" t="str">
        <f>IFERROR(IF(COUNTIF('Draft Board'!$C$3:$V$24,A547)+COUNTIF(Keepers!$B$2:$U$21,A547)+COUNTIF('Auction Draft Board'!$C$6:$AP$25,A547)&gt;0,"",A547),"")</f>
        <v/>
      </c>
    </row>
    <row r="548">
      <c r="A548" t="str">
        <f>IFERROR(__xludf.DUMMYFUNCTION("IFERROR(REGEXEXTRACT('Manual Data Import'!B548, ""^(.*)\s+[A-Z]{2,4}\s+\(\d+\)$""),'Manual Data Import'!B548) &amp; CHAR(10) &amp; 
IFERROR(REGEXREPLACE('Manual Data Import'!C548, ""\d+$"", """")) &amp;"" - ""&amp; 
IFERROR(REGEXEXTRACT('Manual Data Import'!B548, ""([A-Z"&amp;"]{2,4})\s+\(\d+\)$"")) &amp; "" (""&amp; 
IFERROR(REGEXEXTRACT('Manual Data Import'!B548, ""\((\d+)\)"")) &amp; "")"""),"Ben Bryant
QB -  ()")</f>
        <v>Ben Bryant
QB -  ()</v>
      </c>
      <c r="B548" s="30" t="str">
        <f>IFERROR(IF(COUNTIF('Draft Board'!$C$3:$V$24,A548)+COUNTIF(Keepers!$B$2:$U$21,A548)+COUNTIF('Auction Draft Board'!$C$6:$AP$25,A548)&gt;0,"",A548),"")</f>
        <v/>
      </c>
    </row>
    <row r="549">
      <c r="A549" t="str">
        <f>IFERROR(__xludf.DUMMYFUNCTION("IFERROR(REGEXEXTRACT('Manual Data Import'!B549, ""^(.*)\s+[A-Z]{2,4}\s+\(\d+\)$""),'Manual Data Import'!B549) &amp; CHAR(10) &amp; 
IFERROR(REGEXREPLACE('Manual Data Import'!C549, ""\d+$"", """")) &amp;"" - ""&amp; 
IFERROR(REGEXEXTRACT('Manual Data Import'!B549, ""([A-Z"&amp;"]{2,4})\s+\(\d+\)$"")) &amp; "" (""&amp; 
IFERROR(REGEXEXTRACT('Manual Data Import'!B549, ""\((\d+)\)"")) &amp; "")"""),"Ben Skowronek 
WR - PIT (9)")</f>
        <v>Ben Skowronek 
WR - PIT (9)</v>
      </c>
      <c r="B549" s="30" t="str">
        <f>IFERROR(IF(COUNTIF('Draft Board'!$C$3:$V$24,A549)+COUNTIF(Keepers!$B$2:$U$21,A549)+COUNTIF('Auction Draft Board'!$C$6:$AP$25,A549)&gt;0,"",A549),"")</f>
        <v/>
      </c>
    </row>
    <row r="550">
      <c r="A550" t="str">
        <f>IFERROR(__xludf.DUMMYFUNCTION("IFERROR(REGEXEXTRACT('Manual Data Import'!B550, ""^(.*)\s+[A-Z]{2,4}\s+\(\d+\)$""),'Manual Data Import'!B550) &amp; CHAR(10) &amp; 
IFERROR(REGEXREPLACE('Manual Data Import'!C550, ""\d+$"", """")) &amp;"" - ""&amp; 
IFERROR(REGEXEXTRACT('Manual Data Import'!B550, ""([A-Z"&amp;"]{2,4})\s+\(\d+\)$"")) &amp; "" (""&amp; 
IFERROR(REGEXEXTRACT('Manual Data Import'!B550, ""\((\d+)\)"")) &amp; "")"""),"Isaac Guerendo 
RB - SF (8)")</f>
        <v>Isaac Guerendo 
RB - SF (8)</v>
      </c>
      <c r="B550" s="30" t="str">
        <f>IFERROR(IF(COUNTIF('Draft Board'!$C$3:$V$24,A550)+COUNTIF(Keepers!$B$2:$U$21,A550)+COUNTIF('Auction Draft Board'!$C$6:$AP$25,A550)&gt;0,"",A550),"")</f>
        <v/>
      </c>
    </row>
    <row r="551">
      <c r="A551" t="str">
        <f>IFERROR(__xludf.DUMMYFUNCTION("IFERROR(REGEXEXTRACT('Manual Data Import'!B551, ""^(.*)\s+[A-Z]{2,4}\s+\(\d+\)$""),'Manual Data Import'!B551) &amp; CHAR(10) &amp; 
IFERROR(REGEXREPLACE('Manual Data Import'!C551, ""\d+$"", """")) &amp;"" - ""&amp; 
IFERROR(REGEXEXTRACT('Manual Data Import'!B551, ""([A-Z"&amp;"]{2,4})\s+\(\d+\)$"")) &amp; "" (""&amp; 
IFERROR(REGEXEXTRACT('Manual Data Import'!B551, ""\((\d+)\)"")) &amp; "")"""),"Braxton Berrios 
WR - NYG (8)")</f>
        <v>Braxton Berrios 
WR - NYG (8)</v>
      </c>
      <c r="B551" s="30" t="str">
        <f>IFERROR(IF(COUNTIF('Draft Board'!$C$3:$V$24,A551)+COUNTIF(Keepers!$B$2:$U$21,A551)+COUNTIF('Auction Draft Board'!$C$6:$AP$25,A551)&gt;0,"",A551),"")</f>
        <v/>
      </c>
    </row>
    <row r="552">
      <c r="A552" t="str">
        <f>IFERROR(__xludf.DUMMYFUNCTION("IFERROR(REGEXEXTRACT('Manual Data Import'!B552, ""^(.*)\s+[A-Z]{2,4}\s+\(\d+\)$""),'Manual Data Import'!B552) &amp; CHAR(10) &amp; 
IFERROR(REGEXREPLACE('Manual Data Import'!C552, ""\d+$"", """")) &amp;"" - ""&amp; 
IFERROR(REGEXEXTRACT('Manual Data Import'!B552, ""([A-Z"&amp;"]{2,4})\s+\(\d+\)$"")) &amp; "" (""&amp; 
IFERROR(REGEXEXTRACT('Manual Data Import'!B552, ""\((\d+)\)"")) &amp; "")"""),"Skyy Moore 
WR - GB (11)")</f>
        <v>Skyy Moore 
WR - GB (11)</v>
      </c>
      <c r="B552" s="30" t="str">
        <f>IFERROR(IF(COUNTIF('Draft Board'!$C$3:$V$24,A552)+COUNTIF(Keepers!$B$2:$U$21,A552)+COUNTIF('Auction Draft Board'!$C$6:$AP$25,A552)&gt;0,"",A552),"")</f>
        <v/>
      </c>
    </row>
    <row r="553">
      <c r="A553" t="str">
        <f>IFERROR(__xludf.DUMMYFUNCTION("IFERROR(REGEXEXTRACT('Manual Data Import'!B553, ""^(.*)\s+[A-Z]{2,4}\s+\(\d+\)$""),'Manual Data Import'!B553) &amp; CHAR(10) &amp; 
IFERROR(REGEXREPLACE('Manual Data Import'!C553, ""\d+$"", """")) &amp;"" - ""&amp; 
IFERROR(REGEXEXTRACT('Manual Data Import'!B553, ""([A-Z"&amp;"]{2,4})\s+\(\d+\)$"")) &amp; "" (""&amp; 
IFERROR(REGEXEXTRACT('Manual Data Import'!B553, ""\((\d+)\)"")) &amp; "")"""),"David Moore 
WR - CAR (5)")</f>
        <v>David Moore 
WR - CAR (5)</v>
      </c>
      <c r="B553" s="30" t="str">
        <f>IFERROR(IF(COUNTIF('Draft Board'!$C$3:$V$24,A553)+COUNTIF(Keepers!$B$2:$U$21,A553)+COUNTIF('Auction Draft Board'!$C$6:$AP$25,A553)&gt;0,"",A553),"")</f>
        <v/>
      </c>
    </row>
    <row r="554">
      <c r="A554" t="str">
        <f>IFERROR(__xludf.DUMMYFUNCTION("IFERROR(REGEXEXTRACT('Manual Data Import'!B554, ""^(.*)\s+[A-Z]{2,4}\s+\(\d+\)$""),'Manual Data Import'!B554) &amp; CHAR(10) &amp; 
IFERROR(REGEXREPLACE('Manual Data Import'!C554, ""\d+$"", """")) &amp;"" - ""&amp; 
IFERROR(REGEXEXTRACT('Manual Data Import'!B554, ""([A-Z"&amp;"]{2,4})\s+\(\d+\)$"")) &amp; "" (""&amp; 
IFERROR(REGEXEXTRACT('Manual Data Import'!B554, ""\((\d+)\)"")) &amp; "")"""),"John Metchie III 
WR - CAR (5)")</f>
        <v>John Metchie III 
WR - CAR (5)</v>
      </c>
      <c r="B554" s="30" t="str">
        <f>IFERROR(IF(COUNTIF('Draft Board'!$C$3:$V$24,A554)+COUNTIF(Keepers!$B$2:$U$21,A554)+COUNTIF('Auction Draft Board'!$C$6:$AP$25,A554)&gt;0,"",A554),"")</f>
        <v/>
      </c>
    </row>
    <row r="555">
      <c r="A555" t="str">
        <f>IFERROR(__xludf.DUMMYFUNCTION("IFERROR(REGEXEXTRACT('Manual Data Import'!B555, ""^(.*)\s+[A-Z]{2,4}\s+\(\d+\)$""),'Manual Data Import'!B555) &amp; CHAR(10) &amp; 
IFERROR(REGEXREPLACE('Manual Data Import'!C555, ""\d+$"", """")) &amp;"" - ""&amp; 
IFERROR(REGEXEXTRACT('Manual Data Import'!B555, ""([A-Z"&amp;"]{2,4})\s+\(\d+\)$"")) &amp; "" (""&amp; 
IFERROR(REGEXEXTRACT('Manual Data Import'!B555, ""\((\d+)\)"")) &amp; "")"""),"Carson Wentz 
QB - MIN (6)")</f>
        <v>Carson Wentz 
QB - MIN (6)</v>
      </c>
      <c r="B555" s="30" t="str">
        <f>IFERROR(IF(COUNTIF('Draft Board'!$C$3:$V$24,A555)+COUNTIF(Keepers!$B$2:$U$21,A555)+COUNTIF('Auction Draft Board'!$C$6:$AP$25,A555)&gt;0,"",A555),"")</f>
        <v/>
      </c>
    </row>
    <row r="556">
      <c r="A556" t="str">
        <f>IFERROR(__xludf.DUMMYFUNCTION("IFERROR(REGEXEXTRACT('Manual Data Import'!B556, ""^(.*)\s+[A-Z]{2,4}\s+\(\d+\)$""),'Manual Data Import'!B556) &amp; CHAR(10) &amp; 
IFERROR(REGEXREPLACE('Manual Data Import'!C556, ""\d+$"", """")) &amp;"" - ""&amp; 
IFERROR(REGEXEXTRACT('Manual Data Import'!B556, ""([A-Z"&amp;"]{2,4})\s+\(\d+\)$"")) &amp; "" (""&amp; 
IFERROR(REGEXEXTRACT('Manual Data Import'!B556, ""\((\d+)\)"")) &amp; "")"""),"Kareem Hunt
RB -  ()")</f>
        <v>Kareem Hunt
RB -  ()</v>
      </c>
      <c r="B556" s="30" t="str">
        <f>IFERROR(IF(COUNTIF('Draft Board'!$C$3:$V$24,A556)+COUNTIF(Keepers!$B$2:$U$21,A556)+COUNTIF('Auction Draft Board'!$C$6:$AP$25,A556)&gt;0,"",A556),"")</f>
        <v/>
      </c>
    </row>
    <row r="557">
      <c r="A557" t="str">
        <f>IFERROR(__xludf.DUMMYFUNCTION("IFERROR(REGEXEXTRACT('Manual Data Import'!B557, ""^(.*)\s+[A-Z]{2,4}\s+\(\d+\)$""),'Manual Data Import'!B557) &amp; CHAR(10) &amp; 
IFERROR(REGEXREPLACE('Manual Data Import'!C557, ""\d+$"", """")) &amp;"" - ""&amp; 
IFERROR(REGEXEXTRACT('Manual Data Import'!B557, ""([A-Z"&amp;"]{2,4})\s+\(\d+\)$"")) &amp; "" (""&amp; 
IFERROR(REGEXEXTRACT('Manual Data Import'!B557, ""\((\d+)\)"")) &amp; "")"""),"Dylan McDuffie
RB -  ()")</f>
        <v>Dylan McDuffie
RB -  ()</v>
      </c>
      <c r="B557" s="30" t="str">
        <f>IFERROR(IF(COUNTIF('Draft Board'!$C$3:$V$24,A557)+COUNTIF(Keepers!$B$2:$U$21,A557)+COUNTIF('Auction Draft Board'!$C$6:$AP$25,A557)&gt;0,"",A557),"")</f>
        <v/>
      </c>
    </row>
    <row r="558">
      <c r="A558" t="str">
        <f>IFERROR(__xludf.DUMMYFUNCTION("IFERROR(REGEXEXTRACT('Manual Data Import'!B558, ""^(.*)\s+[A-Z]{2,4}\s+\(\d+\)$""),'Manual Data Import'!B558) &amp; CHAR(10) &amp; 
IFERROR(REGEXREPLACE('Manual Data Import'!C558, ""\d+$"", """")) &amp;"" - ""&amp; 
IFERROR(REGEXEXTRACT('Manual Data Import'!B558, ""([A-Z"&amp;"]{2,4})\s+\(\d+\)$"")) &amp; "" (""&amp; 
IFERROR(REGEXEXTRACT('Manual Data Import'!B558, ""\((\d+)\)"")) &amp; "")"""),"Gardner Minshew II 
QB - ARI (14)")</f>
        <v>Gardner Minshew II 
QB - ARI (14)</v>
      </c>
      <c r="B558" s="30" t="str">
        <f>IFERROR(IF(COUNTIF('Draft Board'!$C$3:$V$24,A558)+COUNTIF(Keepers!$B$2:$U$21,A558)+COUNTIF('Auction Draft Board'!$C$6:$AP$25,A558)&gt;0,"",A558),"")</f>
        <v/>
      </c>
    </row>
    <row r="559">
      <c r="A559" t="str">
        <f>IFERROR(__xludf.DUMMYFUNCTION("IFERROR(REGEXEXTRACT('Manual Data Import'!B559, ""^(.*)\s+[A-Z]{2,4}\s+\(\d+\)$""),'Manual Data Import'!B559) &amp; CHAR(10) &amp; 
IFERROR(REGEXREPLACE('Manual Data Import'!C559, ""\d+$"", """")) &amp;"" - ""&amp; 
IFERROR(REGEXEXTRACT('Manual Data Import'!B559, ""([A-Z"&amp;"]{2,4})\s+\(\d+\)$"")) &amp; "" (""&amp; 
IFERROR(REGEXEXTRACT('Manual Data Import'!B559, ""\((\d+)\)"")) &amp; "")"""),"Albert Okwuegbunam Jr. 
TE - LV (13)")</f>
        <v>Albert Okwuegbunam Jr. 
TE - LV (13)</v>
      </c>
      <c r="B559" s="30" t="str">
        <f>IFERROR(IF(COUNTIF('Draft Board'!$C$3:$V$24,A559)+COUNTIF(Keepers!$B$2:$U$21,A559)+COUNTIF('Auction Draft Board'!$C$6:$AP$25,A559)&gt;0,"",A559),"")</f>
        <v/>
      </c>
    </row>
    <row r="560">
      <c r="A560" t="str">
        <f>IFERROR(__xludf.DUMMYFUNCTION("IFERROR(REGEXEXTRACT('Manual Data Import'!B560, ""^(.*)\s+[A-Z]{2,4}\s+\(\d+\)$""),'Manual Data Import'!B560) &amp; CHAR(10) &amp; 
IFERROR(REGEXREPLACE('Manual Data Import'!C560, ""\d+$"", """")) &amp;"" - ""&amp; 
IFERROR(REGEXEXTRACT('Manual Data Import'!B560, ""([A-Z"&amp;"]{2,4})\s+\(\d+\)$"")) &amp; "" (""&amp; 
IFERROR(REGEXEXTRACT('Manual Data Import'!B560, ""\((\d+)\)"")) &amp; "")"""),"Jake Herslow
WR -  ()")</f>
        <v>Jake Herslow
WR -  ()</v>
      </c>
      <c r="B560" s="30" t="str">
        <f>IFERROR(IF(COUNTIF('Draft Board'!$C$3:$V$24,A560)+COUNTIF(Keepers!$B$2:$U$21,A560)+COUNTIF('Auction Draft Board'!$C$6:$AP$25,A560)&gt;0,"",A560),"")</f>
        <v/>
      </c>
    </row>
    <row r="561">
      <c r="A561" t="str">
        <f>IFERROR(__xludf.DUMMYFUNCTION("IFERROR(REGEXEXTRACT('Manual Data Import'!B561, ""^(.*)\s+[A-Z]{2,4}\s+\(\d+\)$""),'Manual Data Import'!B561) &amp; CHAR(10) &amp; 
IFERROR(REGEXREPLACE('Manual Data Import'!C561, ""\d+$"", """")) &amp;"" - ""&amp; 
IFERROR(REGEXEXTRACT('Manual Data Import'!B561, ""([A-Z"&amp;"]{2,4})\s+\(\d+\)$"")) &amp; "" (""&amp; 
IFERROR(REGEXEXTRACT('Manual Data Import'!B561, ""\((\d+)\)"")) &amp; "")"""),"Zach Wilson 
QB - NO (8)")</f>
        <v>Zach Wilson 
QB - NO (8)</v>
      </c>
      <c r="B561" s="30" t="str">
        <f>IFERROR(IF(COUNTIF('Draft Board'!$C$3:$V$24,A561)+COUNTIF(Keepers!$B$2:$U$21,A561)+COUNTIF('Auction Draft Board'!$C$6:$AP$25,A561)&gt;0,"",A561),"")</f>
        <v/>
      </c>
    </row>
    <row r="562">
      <c r="A562" t="str">
        <f>IFERROR(__xludf.DUMMYFUNCTION("IFERROR(REGEXEXTRACT('Manual Data Import'!B562, ""^(.*)\s+[A-Z]{2,4}\s+\(\d+\)$""),'Manual Data Import'!B562) &amp; CHAR(10) &amp; 
IFERROR(REGEXREPLACE('Manual Data Import'!C562, ""\d+$"", """")) &amp;"" - ""&amp; 
IFERROR(REGEXEXTRACT('Manual Data Import'!B562, ""([A-Z"&amp;"]{2,4})\s+\(\d+\)$"")) &amp; "" (""&amp; 
IFERROR(REGEXEXTRACT('Manual Data Import'!B562, ""\((\d+)\)"")) &amp; "")"""),"Jordan Moore 
WR - CIN (6)")</f>
        <v>Jordan Moore 
WR - CIN (6)</v>
      </c>
      <c r="B562" s="30" t="str">
        <f>IFERROR(IF(COUNTIF('Draft Board'!$C$3:$V$24,A562)+COUNTIF(Keepers!$B$2:$U$21,A562)+COUNTIF('Auction Draft Board'!$C$6:$AP$25,A562)&gt;0,"",A562),"")</f>
        <v/>
      </c>
    </row>
    <row r="563">
      <c r="A563" t="str">
        <f>IFERROR(__xludf.DUMMYFUNCTION("IFERROR(REGEXEXTRACT('Manual Data Import'!B563, ""^(.*)\s+[A-Z]{2,4}\s+\(\d+\)$""),'Manual Data Import'!B563) &amp; CHAR(10) &amp; 
IFERROR(REGEXREPLACE('Manual Data Import'!C563, ""\d+$"", """")) &amp;"" - ""&amp; 
IFERROR(REGEXEXTRACT('Manual Data Import'!B563, ""([A-Z"&amp;"]{2,4})\s+\(\d+\)$"")) &amp; "" (""&amp; 
IFERROR(REGEXEXTRACT('Manual Data Import'!B563, ""\((\d+)\)"")) &amp; "")"""),"D.J. Montgomery 
WR - IND (13)")</f>
        <v>D.J. Montgomery 
WR - IND (13)</v>
      </c>
      <c r="B563" s="30" t="str">
        <f>IFERROR(IF(COUNTIF('Draft Board'!$C$3:$V$24,A563)+COUNTIF(Keepers!$B$2:$U$21,A563)+COUNTIF('Auction Draft Board'!$C$6:$AP$25,A563)&gt;0,"",A563),"")</f>
        <v/>
      </c>
    </row>
    <row r="564">
      <c r="A564" t="str">
        <f>IFERROR(__xludf.DUMMYFUNCTION("IFERROR(REGEXEXTRACT('Manual Data Import'!B564, ""^(.*)\s+[A-Z]{2,4}\s+\(\d+\)$""),'Manual Data Import'!B564) &amp; CHAR(10) &amp; 
IFERROR(REGEXREPLACE('Manual Data Import'!C564, ""\d+$"", """")) &amp;"" - ""&amp; 
IFERROR(REGEXEXTRACT('Manual Data Import'!B564, ""([A-Z"&amp;"]{2,4})\s+\(\d+\)$"")) &amp; "" (""&amp; 
IFERROR(REGEXEXTRACT('Manual Data Import'!B564, ""\((\d+)\)"")) &amp; "")"""),"Jawhar Jordan 
RB - HOU (8)")</f>
        <v>Jawhar Jordan 
RB - HOU (8)</v>
      </c>
      <c r="B564" s="30" t="str">
        <f>IFERROR(IF(COUNTIF('Draft Board'!$C$3:$V$24,A564)+COUNTIF(Keepers!$B$2:$U$21,A564)+COUNTIF('Auction Draft Board'!$C$6:$AP$25,A564)&gt;0,"",A564),"")</f>
        <v/>
      </c>
    </row>
    <row r="565">
      <c r="A565" t="str">
        <f>IFERROR(__xludf.DUMMYFUNCTION("IFERROR(REGEXEXTRACT('Manual Data Import'!B565, ""^(.*)\s+[A-Z]{2,4}\s+\(\d+\)$""),'Manual Data Import'!B565) &amp; CHAR(10) &amp; 
IFERROR(REGEXREPLACE('Manual Data Import'!C565, ""\d+$"", """")) &amp;"" - ""&amp; 
IFERROR(REGEXEXTRACT('Manual Data Import'!B565, ""([A-Z"&amp;"]{2,4})\s+\(\d+\)$"")) &amp; "" (""&amp; 
IFERROR(REGEXEXTRACT('Manual Data Import'!B565, ""\((\d+)\)"")) &amp; "")"""),"Roschon Johnson 
RB - CHI (10)")</f>
        <v>Roschon Johnson 
RB - CHI (10)</v>
      </c>
      <c r="B565" s="30" t="str">
        <f>IFERROR(IF(COUNTIF('Draft Board'!$C$3:$V$24,A565)+COUNTIF(Keepers!$B$2:$U$21,A565)+COUNTIF('Auction Draft Board'!$C$6:$AP$25,A565)&gt;0,"",A565),"")</f>
        <v/>
      </c>
    </row>
    <row r="566">
      <c r="A566" t="str">
        <f>IFERROR(__xludf.DUMMYFUNCTION("IFERROR(REGEXEXTRACT('Manual Data Import'!B566, ""^(.*)\s+[A-Z]{2,4}\s+\(\d+\)$""),'Manual Data Import'!B566) &amp; CHAR(10) &amp; 
IFERROR(REGEXREPLACE('Manual Data Import'!C566, ""\d+$"", """")) &amp;"" - ""&amp; 
IFERROR(REGEXEXTRACT('Manual Data Import'!B566, ""([A-Z"&amp;"]{2,4})\s+\(\d+\)$"")) &amp; "" (""&amp; 
IFERROR(REGEXEXTRACT('Manual Data Import'!B566, ""\((\d+)\)"")) &amp; "")"""),"Jordon Vaughn
RB -  ()")</f>
        <v>Jordon Vaughn
RB -  ()</v>
      </c>
      <c r="B566" s="30" t="str">
        <f>IFERROR(IF(COUNTIF('Draft Board'!$C$3:$V$24,A566)+COUNTIF(Keepers!$B$2:$U$21,A566)+COUNTIF('Auction Draft Board'!$C$6:$AP$25,A566)&gt;0,"",A566),"")</f>
        <v/>
      </c>
    </row>
    <row r="567">
      <c r="A567" t="str">
        <f>IFERROR(__xludf.DUMMYFUNCTION("IFERROR(REGEXEXTRACT('Manual Data Import'!B567, ""^(.*)\s+[A-Z]{2,4}\s+\(\d+\)$""),'Manual Data Import'!B567) &amp; CHAR(10) &amp; 
IFERROR(REGEXREPLACE('Manual Data Import'!C567, ""\d+$"", """")) &amp;"" - ""&amp; 
IFERROR(REGEXEXTRACT('Manual Data Import'!B567, ""([A-Z"&amp;"]{2,4})\s+\(\d+\)$"")) &amp; "" (""&amp; 
IFERROR(REGEXEXTRACT('Manual Data Import'!B567, ""\((\d+)\)"")) &amp; "")"""),"Jake Bobo 
WR - SEA (11)")</f>
        <v>Jake Bobo 
WR - SEA (11)</v>
      </c>
      <c r="B567" s="30" t="str">
        <f>IFERROR(IF(COUNTIF('Draft Board'!$C$3:$V$24,A567)+COUNTIF(Keepers!$B$2:$U$21,A567)+COUNTIF('Auction Draft Board'!$C$6:$AP$25,A567)&gt;0,"",A567),"")</f>
        <v/>
      </c>
    </row>
    <row r="568">
      <c r="A568" t="str">
        <f>IFERROR(__xludf.DUMMYFUNCTION("IFERROR(REGEXEXTRACT('Manual Data Import'!B568, ""^(.*)\s+[A-Z]{2,4}\s+\(\d+\)$""),'Manual Data Import'!B568) &amp; CHAR(10) &amp; 
IFERROR(REGEXREPLACE('Manual Data Import'!C568, ""\d+$"", """")) &amp;"" - ""&amp; 
IFERROR(REGEXEXTRACT('Manual Data Import'!B568, ""([A-Z"&amp;"]{2,4})\s+\(\d+\)$"")) &amp; "" (""&amp; 
IFERROR(REGEXEXTRACT('Manual Data Import'!B568, ""\((\d+)\)"")) &amp; "")"""),"Trevor Etienne 
RB - CAR (5)")</f>
        <v>Trevor Etienne 
RB - CAR (5)</v>
      </c>
      <c r="B568" s="30" t="str">
        <f>IFERROR(IF(COUNTIF('Draft Board'!$C$3:$V$24,A568)+COUNTIF(Keepers!$B$2:$U$21,A568)+COUNTIF('Auction Draft Board'!$C$6:$AP$25,A568)&gt;0,"",A568),"")</f>
        <v/>
      </c>
    </row>
    <row r="569">
      <c r="A569" t="str">
        <f>IFERROR(__xludf.DUMMYFUNCTION("IFERROR(REGEXEXTRACT('Manual Data Import'!B569, ""^(.*)\s+[A-Z]{2,4}\s+\(\d+\)$""),'Manual Data Import'!B569) &amp; CHAR(10) &amp; 
IFERROR(REGEXREPLACE('Manual Data Import'!C569, ""\d+$"", """")) &amp;"" - ""&amp; 
IFERROR(REGEXEXTRACT('Manual Data Import'!B569, ""([A-Z"&amp;"]{2,4})\s+\(\d+\)$"")) &amp; "" (""&amp; 
IFERROR(REGEXEXTRACT('Manual Data Import'!B569, ""\((\d+)\)"")) &amp; "")"""),"Luke Drzewiecki
K -  ()")</f>
        <v>Luke Drzewiecki
K -  ()</v>
      </c>
      <c r="B569" s="30" t="str">
        <f>IFERROR(IF(COUNTIF('Draft Board'!$C$3:$V$24,A569)+COUNTIF(Keepers!$B$2:$U$21,A569)+COUNTIF('Auction Draft Board'!$C$6:$AP$25,A569)&gt;0,"",A569),"")</f>
        <v/>
      </c>
    </row>
    <row r="570">
      <c r="A570" t="str">
        <f>IFERROR(__xludf.DUMMYFUNCTION("IFERROR(REGEXEXTRACT('Manual Data Import'!B570, ""^(.*)\s+[A-Z]{2,4}\s+\(\d+\)$""),'Manual Data Import'!B570) &amp; CHAR(10) &amp; 
IFERROR(REGEXREPLACE('Manual Data Import'!C570, ""\d+$"", """")) &amp;"" - ""&amp; 
IFERROR(REGEXEXTRACT('Manual Data Import'!B570, ""([A-Z"&amp;"]{2,4})\s+\(\d+\)$"")) &amp; "" (""&amp; 
IFERROR(REGEXEXTRACT('Manual Data Import'!B570, ""\((\d+)\)"")) &amp; "")"""),"Carson Steele 
RB - PHI (10)")</f>
        <v>Carson Steele 
RB - PHI (10)</v>
      </c>
      <c r="B570" s="30" t="str">
        <f>IFERROR(IF(COUNTIF('Draft Board'!$C$3:$V$24,A570)+COUNTIF(Keepers!$B$2:$U$21,A570)+COUNTIF('Auction Draft Board'!$C$6:$AP$25,A570)&gt;0,"",A570),"")</f>
        <v/>
      </c>
    </row>
    <row r="571">
      <c r="A571" t="str">
        <f>IFERROR(__xludf.DUMMYFUNCTION("IFERROR(REGEXEXTRACT('Manual Data Import'!B571, ""^(.*)\s+[A-Z]{2,4}\s+\(\d+\)$""),'Manual Data Import'!B571) &amp; CHAR(10) &amp; 
IFERROR(REGEXREPLACE('Manual Data Import'!C571, ""\d+$"", """")) &amp;"" - ""&amp; 
IFERROR(REGEXEXTRACT('Manual Data Import'!B571, ""([A-Z"&amp;"]{2,4})\s+\(\d+\)$"")) &amp; "" (""&amp; 
IFERROR(REGEXEXTRACT('Manual Data Import'!B571, ""\((\d+)\)"")) &amp; "")"""),"Frank Gore Jr. 
RB - BUF (7)")</f>
        <v>Frank Gore Jr. 
RB - BUF (7)</v>
      </c>
      <c r="B571" s="30" t="str">
        <f>IFERROR(IF(COUNTIF('Draft Board'!$C$3:$V$24,A571)+COUNTIF(Keepers!$B$2:$U$21,A571)+COUNTIF('Auction Draft Board'!$C$6:$AP$25,A571)&gt;0,"",A571),"")</f>
        <v/>
      </c>
    </row>
    <row r="572">
      <c r="A572" t="str">
        <f>IFERROR(__xludf.DUMMYFUNCTION("IFERROR(REGEXEXTRACT('Manual Data Import'!B572, ""^(.*)\s+[A-Z]{2,4}\s+\(\d+\)$""),'Manual Data Import'!B572) &amp; CHAR(10) &amp; 
IFERROR(REGEXREPLACE('Manual Data Import'!C572, ""\d+$"", """")) &amp;"" - ""&amp; 
IFERROR(REGEXEXTRACT('Manual Data Import'!B572, ""([A-Z"&amp;"]{2,4})\s+\(\d+\)$"")) &amp; "" (""&amp; 
IFERROR(REGEXEXTRACT('Manual Data Import'!B572, ""\((\d+)\)"")) &amp; "")"""),"Xavier Johnson 
WR - CIN (6)")</f>
        <v>Xavier Johnson 
WR - CIN (6)</v>
      </c>
      <c r="B572" s="30" t="str">
        <f>IFERROR(IF(COUNTIF('Draft Board'!$C$3:$V$24,A572)+COUNTIF(Keepers!$B$2:$U$21,A572)+COUNTIF('Auction Draft Board'!$C$6:$AP$25,A572)&gt;0,"",A572),"")</f>
        <v/>
      </c>
    </row>
    <row r="573">
      <c r="A573" t="str">
        <f>IFERROR(__xludf.DUMMYFUNCTION("IFERROR(REGEXEXTRACT('Manual Data Import'!B573, ""^(.*)\s+[A-Z]{2,4}\s+\(\d+\)$""),'Manual Data Import'!B573) &amp; CHAR(10) &amp; 
IFERROR(REGEXREPLACE('Manual Data Import'!C573, ""\d+$"", """")) &amp;"" - ""&amp; 
IFERROR(REGEXEXTRACT('Manual Data Import'!B573, ""([A-Z"&amp;"]{2,4})\s+\(\d+\)$"")) &amp; "" (""&amp; 
IFERROR(REGEXEXTRACT('Manual Data Import'!B573, ""\((\d+)\)"")) &amp; "")"""),"Daniel Bellinger 
TE - TEN (9)")</f>
        <v>Daniel Bellinger 
TE - TEN (9)</v>
      </c>
      <c r="B573" s="30" t="str">
        <f>IFERROR(IF(COUNTIF('Draft Board'!$C$3:$V$24,A573)+COUNTIF(Keepers!$B$2:$U$21,A573)+COUNTIF('Auction Draft Board'!$C$6:$AP$25,A573)&gt;0,"",A573),"")</f>
        <v/>
      </c>
    </row>
    <row r="574">
      <c r="A574" t="str">
        <f>IFERROR(__xludf.DUMMYFUNCTION("IFERROR(REGEXEXTRACT('Manual Data Import'!B574, ""^(.*)\s+[A-Z]{2,4}\s+\(\d+\)$""),'Manual Data Import'!B574) &amp; CHAR(10) &amp; 
IFERROR(REGEXREPLACE('Manual Data Import'!C574, ""\d+$"", """")) &amp;"" - ""&amp; 
IFERROR(REGEXEXTRACT('Manual Data Import'!B574, ""([A-Z"&amp;"]{2,4})\s+\(\d+\)$"")) &amp; "" (""&amp; 
IFERROR(REGEXEXTRACT('Manual Data Import'!B574, ""\((\d+)\)"")) &amp; "")"""),"Olamide Zaccheaus 
WR - ATL (11)")</f>
        <v>Olamide Zaccheaus 
WR - ATL (11)</v>
      </c>
      <c r="B574" s="30" t="str">
        <f>IFERROR(IF(COUNTIF('Draft Board'!$C$3:$V$24,A574)+COUNTIF(Keepers!$B$2:$U$21,A574)+COUNTIF('Auction Draft Board'!$C$6:$AP$25,A574)&gt;0,"",A574),"")</f>
        <v/>
      </c>
    </row>
    <row r="575">
      <c r="A575" t="str">
        <f>IFERROR(__xludf.DUMMYFUNCTION("IFERROR(REGEXEXTRACT('Manual Data Import'!B575, ""^(.*)\s+[A-Z]{2,4}\s+\(\d+\)$""),'Manual Data Import'!B575) &amp; CHAR(10) &amp; 
IFERROR(REGEXREPLACE('Manual Data Import'!C575, ""\d+$"", """")) &amp;"" - ""&amp; 
IFERROR(REGEXEXTRACT('Manual Data Import'!B575, ""([A-Z"&amp;"]{2,4})\s+\(\d+\)$"")) &amp; "" (""&amp; 
IFERROR(REGEXEXTRACT('Manual Data Import'!B575, ""\((\d+)\)"")) &amp; "")"""),"Dillon Gabriel 
QB - CLE (11)")</f>
        <v>Dillon Gabriel 
QB - CLE (11)</v>
      </c>
      <c r="B575" s="30" t="str">
        <f>IFERROR(IF(COUNTIF('Draft Board'!$C$3:$V$24,A575)+COUNTIF(Keepers!$B$2:$U$21,A575)+COUNTIF('Auction Draft Board'!$C$6:$AP$25,A575)&gt;0,"",A575),"")</f>
        <v/>
      </c>
    </row>
    <row r="576">
      <c r="A576" t="str">
        <f>IFERROR(__xludf.DUMMYFUNCTION("IFERROR(REGEXEXTRACT('Manual Data Import'!B576, ""^(.*)\s+[A-Z]{2,4}\s+\(\d+\)$""),'Manual Data Import'!B576) &amp; CHAR(10) &amp; 
IFERROR(REGEXREPLACE('Manual Data Import'!C576, ""\d+$"", """")) &amp;"" - ""&amp; 
IFERROR(REGEXEXTRACT('Manual Data Import'!B576, ""([A-Z"&amp;"]{2,4})\s+\(\d+\)$"")) &amp; "" (""&amp; 
IFERROR(REGEXEXTRACT('Manual Data Import'!B576, ""\((\d+)\)"")) &amp; "")"""),"Logan Woodside
QB -  ()")</f>
        <v>Logan Woodside
QB -  ()</v>
      </c>
      <c r="B576" s="30" t="str">
        <f>IFERROR(IF(COUNTIF('Draft Board'!$C$3:$V$24,A576)+COUNTIF(Keepers!$B$2:$U$21,A576)+COUNTIF('Auction Draft Board'!$C$6:$AP$25,A576)&gt;0,"",A576),"")</f>
        <v/>
      </c>
    </row>
    <row r="577">
      <c r="A577" t="str">
        <f>IFERROR(__xludf.DUMMYFUNCTION("IFERROR(REGEXEXTRACT('Manual Data Import'!B577, ""^(.*)\s+[A-Z]{2,4}\s+\(\d+\)$""),'Manual Data Import'!B577) &amp; CHAR(10) &amp; 
IFERROR(REGEXREPLACE('Manual Data Import'!C577, ""\d+$"", """")) &amp;"" - ""&amp; 
IFERROR(REGEXEXTRACT('Manual Data Import'!B577, ""([A-Z"&amp;"]{2,4})\s+\(\d+\)$"")) &amp; "" (""&amp; 
IFERROR(REGEXEXTRACT('Manual Data Import'!B577, ""\((\d+)\)"")) &amp; "")"""),"Jalen Milroe 
QB - SEA (11)")</f>
        <v>Jalen Milroe 
QB - SEA (11)</v>
      </c>
      <c r="B577" s="30" t="str">
        <f>IFERROR(IF(COUNTIF('Draft Board'!$C$3:$V$24,A577)+COUNTIF(Keepers!$B$2:$U$21,A577)+COUNTIF('Auction Draft Board'!$C$6:$AP$25,A577)&gt;0,"",A577),"")</f>
        <v/>
      </c>
    </row>
    <row r="578">
      <c r="A578" t="str">
        <f>IFERROR(__xludf.DUMMYFUNCTION("IFERROR(REGEXEXTRACT('Manual Data Import'!B578, ""^(.*)\s+[A-Z]{2,4}\s+\(\d+\)$""),'Manual Data Import'!B578) &amp; CHAR(10) &amp; 
IFERROR(REGEXREPLACE('Manual Data Import'!C578, ""\d+$"", """")) &amp;"" - ""&amp; 
IFERROR(REGEXEXTRACT('Manual Data Import'!B578, ""([A-Z"&amp;"]{2,4})\s+\(\d+\)$"")) &amp; "" (""&amp; 
IFERROR(REGEXEXTRACT('Manual Data Import'!B578, ""\((\d+)\)"")) &amp; "")"""),"Kenny McIntosh
RB -  ()")</f>
        <v>Kenny McIntosh
RB -  ()</v>
      </c>
      <c r="B578" s="30" t="str">
        <f>IFERROR(IF(COUNTIF('Draft Board'!$C$3:$V$24,A578)+COUNTIF(Keepers!$B$2:$U$21,A578)+COUNTIF('Auction Draft Board'!$C$6:$AP$25,A578)&gt;0,"",A578),"")</f>
        <v/>
      </c>
    </row>
    <row r="579">
      <c r="A579" t="str">
        <f>IFERROR(__xludf.DUMMYFUNCTION("IFERROR(REGEXEXTRACT('Manual Data Import'!B579, ""^(.*)\s+[A-Z]{2,4}\s+\(\d+\)$""),'Manual Data Import'!B579) &amp; CHAR(10) &amp; 
IFERROR(REGEXREPLACE('Manual Data Import'!C579, ""\d+$"", """")) &amp;"" - ""&amp; 
IFERROR(REGEXEXTRACT('Manual Data Import'!B579, ""([A-Z"&amp;"]{2,4})\s+\(\d+\)$"")) &amp; "" (""&amp; 
IFERROR(REGEXEXTRACT('Manual Data Import'!B579, ""\((\d+)\)"")) &amp; "")"""),"Ulysses Bentley IV 
RB - IND (13)")</f>
        <v>Ulysses Bentley IV 
RB - IND (13)</v>
      </c>
      <c r="B579" s="30" t="str">
        <f>IFERROR(IF(COUNTIF('Draft Board'!$C$3:$V$24,A579)+COUNTIF(Keepers!$B$2:$U$21,A579)+COUNTIF('Auction Draft Board'!$C$6:$AP$25,A579)&gt;0,"",A579),"")</f>
        <v/>
      </c>
    </row>
    <row r="580">
      <c r="A580" t="str">
        <f>IFERROR(__xludf.DUMMYFUNCTION("IFERROR(REGEXEXTRACT('Manual Data Import'!B580, ""^(.*)\s+[A-Z]{2,4}\s+\(\d+\)$""),'Manual Data Import'!B580) &amp; CHAR(10) &amp; 
IFERROR(REGEXREPLACE('Manual Data Import'!C580, ""\d+$"", """")) &amp;"" - ""&amp; 
IFERROR(REGEXEXTRACT('Manual Data Import'!B580, ""([A-Z"&amp;"]{2,4})\s+\(\d+\)$"")) &amp; "" (""&amp; 
IFERROR(REGEXEXTRACT('Manual Data Import'!B580, ""\((\d+)\)"")) &amp; "")"""),"Taysom Hill
TE -  ()")</f>
        <v>Taysom Hill
TE -  ()</v>
      </c>
      <c r="B580" s="30" t="str">
        <f>IFERROR(IF(COUNTIF('Draft Board'!$C$3:$V$24,A580)+COUNTIF(Keepers!$B$2:$U$21,A580)+COUNTIF('Auction Draft Board'!$C$6:$AP$25,A580)&gt;0,"",A580),"")</f>
        <v/>
      </c>
    </row>
    <row r="581">
      <c r="A581" t="str">
        <f>IFERROR(__xludf.DUMMYFUNCTION("IFERROR(REGEXEXTRACT('Manual Data Import'!B581, ""^(.*)\s+[A-Z]{2,4}\s+\(\d+\)$""),'Manual Data Import'!B581) &amp; CHAR(10) &amp; 
IFERROR(REGEXREPLACE('Manual Data Import'!C581, ""\d+$"", """")) &amp;"" - ""&amp; 
IFERROR(REGEXEXTRACT('Manual Data Import'!B581, ""([A-Z"&amp;"]{2,4})\s+\(\d+\)$"")) &amp; "" (""&amp; 
IFERROR(REGEXEXTRACT('Manual Data Import'!B581, ""\((\d+)\)"")) &amp; "")"""),"Equanimeous St. Brown
WR -  ()")</f>
        <v>Equanimeous St. Brown
WR -  ()</v>
      </c>
      <c r="B581" s="30" t="str">
        <f>IFERROR(IF(COUNTIF('Draft Board'!$C$3:$V$24,A581)+COUNTIF(Keepers!$B$2:$U$21,A581)+COUNTIF('Auction Draft Board'!$C$6:$AP$25,A581)&gt;0,"",A581),"")</f>
        <v/>
      </c>
    </row>
    <row r="582">
      <c r="A582" t="str">
        <f>IFERROR(__xludf.DUMMYFUNCTION("IFERROR(REGEXEXTRACT('Manual Data Import'!B582, ""^(.*)\s+[A-Z]{2,4}\s+\(\d+\)$""),'Manual Data Import'!B582) &amp; CHAR(10) &amp; 
IFERROR(REGEXREPLACE('Manual Data Import'!C582, ""\d+$"", """")) &amp;"" - ""&amp; 
IFERROR(REGEXEXTRACT('Manual Data Import'!B582, ""([A-Z"&amp;"]{2,4})\s+\(\d+\)$"")) &amp; "" (""&amp; 
IFERROR(REGEXEXTRACT('Manual Data Import'!B582, ""\((\d+)\)"")) &amp; "")"""),"Austin Seibert
K -  ()")</f>
        <v>Austin Seibert
K -  ()</v>
      </c>
      <c r="B582" s="30" t="str">
        <f>IFERROR(IF(COUNTIF('Draft Board'!$C$3:$V$24,A582)+COUNTIF(Keepers!$B$2:$U$21,A582)+COUNTIF('Auction Draft Board'!$C$6:$AP$25,A582)&gt;0,"",A582),"")</f>
        <v/>
      </c>
    </row>
    <row r="583">
      <c r="A583" t="str">
        <f>IFERROR(__xludf.DUMMYFUNCTION("IFERROR(REGEXEXTRACT('Manual Data Import'!B583, ""^(.*)\s+[A-Z]{2,4}\s+\(\d+\)$""),'Manual Data Import'!B583) &amp; CHAR(10) &amp; 
IFERROR(REGEXREPLACE('Manual Data Import'!C583, ""\d+$"", """")) &amp;"" - ""&amp; 
IFERROR(REGEXEXTRACT('Manual Data Import'!B583, ""([A-Z"&amp;"]{2,4})\s+\(\d+\)$"")) &amp; "" (""&amp; 
IFERROR(REGEXEXTRACT('Manual Data Import'!B583, ""\((\d+)\)"")) &amp; "")"""),"JuJu Smith-Schuster
WR -  ()")</f>
        <v>JuJu Smith-Schuster
WR -  ()</v>
      </c>
      <c r="B583" s="30" t="str">
        <f>IFERROR(IF(COUNTIF('Draft Board'!$C$3:$V$24,A583)+COUNTIF(Keepers!$B$2:$U$21,A583)+COUNTIF('Auction Draft Board'!$C$6:$AP$25,A583)&gt;0,"",A583),"")</f>
        <v/>
      </c>
    </row>
    <row r="584">
      <c r="A584" t="str">
        <f>IFERROR(__xludf.DUMMYFUNCTION("IFERROR(REGEXEXTRACT('Manual Data Import'!B584, ""^(.*)\s+[A-Z]{2,4}\s+\(\d+\)$""),'Manual Data Import'!B584) &amp; CHAR(10) &amp; 
IFERROR(REGEXREPLACE('Manual Data Import'!C584, ""\d+$"", """")) &amp;"" - ""&amp; 
IFERROR(REGEXEXTRACT('Manual Data Import'!B584, ""([A-Z"&amp;"]{2,4})\s+\(\d+\)$"")) &amp; "" (""&amp; 
IFERROR(REGEXEXTRACT('Manual Data Import'!B584, ""\((\d+)\)"")) &amp; "")"""),"Deontay Burnett
WR -  ()")</f>
        <v>Deontay Burnett
WR -  ()</v>
      </c>
      <c r="B584" s="30" t="str">
        <f>IFERROR(IF(COUNTIF('Draft Board'!$C$3:$V$24,A584)+COUNTIF(Keepers!$B$2:$U$21,A584)+COUNTIF('Auction Draft Board'!$C$6:$AP$25,A584)&gt;0,"",A584),"")</f>
        <v/>
      </c>
    </row>
    <row r="585">
      <c r="A585" t="str">
        <f>IFERROR(__xludf.DUMMYFUNCTION("IFERROR(REGEXEXTRACT('Manual Data Import'!B585, ""^(.*)\s+[A-Z]{2,4}\s+\(\d+\)$""),'Manual Data Import'!B585) &amp; CHAR(10) &amp; 
IFERROR(REGEXREPLACE('Manual Data Import'!C585, ""\d+$"", """")) &amp;"" - ""&amp; 
IFERROR(REGEXEXTRACT('Manual Data Import'!B585, ""([A-Z"&amp;"]{2,4})\s+\(\d+\)$"")) &amp; "" (""&amp; 
IFERROR(REGEXEXTRACT('Manual Data Import'!B585, ""\((\d+)\)"")) &amp; "")"""),"Tutu Atwell 
WR - MIA (6)")</f>
        <v>Tutu Atwell 
WR - MIA (6)</v>
      </c>
      <c r="B585" s="30" t="str">
        <f>IFERROR(IF(COUNTIF('Draft Board'!$C$3:$V$24,A585)+COUNTIF(Keepers!$B$2:$U$21,A585)+COUNTIF('Auction Draft Board'!$C$6:$AP$25,A585)&gt;0,"",A585),"")</f>
        <v/>
      </c>
    </row>
    <row r="586">
      <c r="A586" t="str">
        <f>IFERROR(__xludf.DUMMYFUNCTION("IFERROR(REGEXEXTRACT('Manual Data Import'!B586, ""^(.*)\s+[A-Z]{2,4}\s+\(\d+\)$""),'Manual Data Import'!B586) &amp; CHAR(10) &amp; 
IFERROR(REGEXREPLACE('Manual Data Import'!C586, ""\d+$"", """")) &amp;"" - ""&amp; 
IFERROR(REGEXEXTRACT('Manual Data Import'!B586, ""([A-Z"&amp;"]{2,4})\s+\(\d+\)$"")) &amp; "" (""&amp; 
IFERROR(REGEXEXTRACT('Manual Data Import'!B586, ""\((\d+)\)"")) &amp; "")"""),"Austin Ekeler
RB -  ()")</f>
        <v>Austin Ekeler
RB -  ()</v>
      </c>
      <c r="B586" s="30" t="str">
        <f>IFERROR(IF(COUNTIF('Draft Board'!$C$3:$V$24,A586)+COUNTIF(Keepers!$B$2:$U$21,A586)+COUNTIF('Auction Draft Board'!$C$6:$AP$25,A586)&gt;0,"",A586),"")</f>
        <v/>
      </c>
    </row>
    <row r="587">
      <c r="A587" t="str">
        <f>IFERROR(__xludf.DUMMYFUNCTION("IFERROR(REGEXEXTRACT('Manual Data Import'!B587, ""^(.*)\s+[A-Z]{2,4}\s+\(\d+\)$""),'Manual Data Import'!B587) &amp; CHAR(10) &amp; 
IFERROR(REGEXREPLACE('Manual Data Import'!C587, ""\d+$"", """")) &amp;"" - ""&amp; 
IFERROR(REGEXEXTRACT('Manual Data Import'!B587, ""([A-Z"&amp;"]{2,4})\s+\(\d+\)$"")) &amp; "" (""&amp; 
IFERROR(REGEXEXTRACT('Manual Data Import'!B587, ""\((\d+)\)"")) &amp; "")"""),"Amari Cooper
WR -  ()")</f>
        <v>Amari Cooper
WR -  ()</v>
      </c>
      <c r="B587" s="30" t="str">
        <f>IFERROR(IF(COUNTIF('Draft Board'!$C$3:$V$24,A587)+COUNTIF(Keepers!$B$2:$U$21,A587)+COUNTIF('Auction Draft Board'!$C$6:$AP$25,A587)&gt;0,"",A587),"")</f>
        <v/>
      </c>
    </row>
    <row r="588">
      <c r="A588" t="str">
        <f>IFERROR(__xludf.DUMMYFUNCTION("IFERROR(REGEXEXTRACT('Manual Data Import'!B588, ""^(.*)\s+[A-Z]{2,4}\s+\(\d+\)$""),'Manual Data Import'!B588) &amp; CHAR(10) &amp; 
IFERROR(REGEXREPLACE('Manual Data Import'!C588, ""\d+$"", """")) &amp;"" - ""&amp; 
IFERROR(REGEXEXTRACT('Manual Data Import'!B588, ""([A-Z"&amp;"]{2,4})\s+\(\d+\)$"")) &amp; "" (""&amp; 
IFERROR(REGEXEXTRACT('Manual Data Import'!B588, ""\((\d+)\)"")) &amp; "")"""),"Derek Carr
QB -  ()")</f>
        <v>Derek Carr
QB -  ()</v>
      </c>
      <c r="B588" s="30" t="str">
        <f>IFERROR(IF(COUNTIF('Draft Board'!$C$3:$V$24,A588)+COUNTIF(Keepers!$B$2:$U$21,A588)+COUNTIF('Auction Draft Board'!$C$6:$AP$25,A588)&gt;0,"",A588),"")</f>
        <v/>
      </c>
    </row>
    <row r="589">
      <c r="A589" t="str">
        <f>IFERROR(__xludf.DUMMYFUNCTION("IFERROR(REGEXEXTRACT('Manual Data Import'!B589, ""^(.*)\s+[A-Z]{2,4}\s+\(\d+\)$""),'Manual Data Import'!B589) &amp; CHAR(10) &amp; 
IFERROR(REGEXREPLACE('Manual Data Import'!C589, ""\d+$"", """")) &amp;"" - ""&amp; 
IFERROR(REGEXEXTRACT('Manual Data Import'!B589, ""([A-Z"&amp;"]{2,4})\s+\(\d+\)$"")) &amp; "" (""&amp; 
IFERROR(REGEXEXTRACT('Manual Data Import'!B589, ""\((\d+)\)"")) &amp; "")"""),"Zach Ertz
TE -  ()")</f>
        <v>Zach Ertz
TE -  ()</v>
      </c>
      <c r="B589" s="30" t="str">
        <f>IFERROR(IF(COUNTIF('Draft Board'!$C$3:$V$24,A589)+COUNTIF(Keepers!$B$2:$U$21,A589)+COUNTIF('Auction Draft Board'!$C$6:$AP$25,A589)&gt;0,"",A589),"")</f>
        <v/>
      </c>
    </row>
    <row r="590">
      <c r="A590" t="str">
        <f>IFERROR(__xludf.DUMMYFUNCTION("IFERROR(REGEXEXTRACT('Manual Data Import'!B590, ""^(.*)\s+[A-Z]{2,4}\s+\(\d+\)$""),'Manual Data Import'!B590) &amp; CHAR(10) &amp; 
IFERROR(REGEXREPLACE('Manual Data Import'!C590, ""\d+$"", """")) &amp;"" - ""&amp; 
IFERROR(REGEXEXTRACT('Manual Data Import'!B590, ""([A-Z"&amp;"]{2,4})\s+\(\d+\)$"")) &amp; "" (""&amp; 
IFERROR(REGEXEXTRACT('Manual Data Import'!B590, ""\((\d+)\)"")) &amp; "")"""),"Jimmy Garoppolo 
QB - LAR (11)")</f>
        <v>Jimmy Garoppolo 
QB - LAR (11)</v>
      </c>
      <c r="B590" s="30" t="str">
        <f>IFERROR(IF(COUNTIF('Draft Board'!$C$3:$V$24,A590)+COUNTIF(Keepers!$B$2:$U$21,A590)+COUNTIF('Auction Draft Board'!$C$6:$AP$25,A590)&gt;0,"",A590),"")</f>
        <v/>
      </c>
    </row>
    <row r="591">
      <c r="A591" t="str">
        <f>IFERROR(__xludf.DUMMYFUNCTION("IFERROR(REGEXEXTRACT('Manual Data Import'!B591, ""^(.*)\s+[A-Z]{2,4}\s+\(\d+\)$""),'Manual Data Import'!B591) &amp; CHAR(10) &amp; 
IFERROR(REGEXREPLACE('Manual Data Import'!C591, ""\d+$"", """")) &amp;"" - ""&amp; 
IFERROR(REGEXEXTRACT('Manual Data Import'!B591, ""([A-Z"&amp;"]{2,4})\s+\(\d+\)$"")) &amp; "" (""&amp; 
IFERROR(REGEXEXTRACT('Manual Data Import'!B591, ""\((\d+)\)"")) &amp; "")"""),"Dustin Hopkins
K -  ()")</f>
        <v>Dustin Hopkins
K -  ()</v>
      </c>
      <c r="B591" s="30" t="str">
        <f>IFERROR(IF(COUNTIF('Draft Board'!$C$3:$V$24,A591)+COUNTIF(Keepers!$B$2:$U$21,A591)+COUNTIF('Auction Draft Board'!$C$6:$AP$25,A591)&gt;0,"",A591),"")</f>
        <v/>
      </c>
    </row>
    <row r="592">
      <c r="A592" t="str">
        <f>IFERROR(__xludf.DUMMYFUNCTION("IFERROR(REGEXEXTRACT('Manual Data Import'!B592, ""^(.*)\s+[A-Z]{2,4}\s+\(\d+\)$""),'Manual Data Import'!B592) &amp; CHAR(10) &amp; 
IFERROR(REGEXREPLACE('Manual Data Import'!C592, ""\d+$"", """")) &amp;"" - ""&amp; 
IFERROR(REGEXEXTRACT('Manual Data Import'!B592, ""([A-Z"&amp;"]{2,4})\s+\(\d+\)$"")) &amp; "" (""&amp; 
IFERROR(REGEXEXTRACT('Manual Data Import'!B592, ""\((\d+)\)"")) &amp; "")"""),"Kevin Coleman Jr. 
WR - MIA (6)")</f>
        <v>Kevin Coleman Jr. 
WR - MIA (6)</v>
      </c>
      <c r="B592" s="30" t="str">
        <f>IFERROR(IF(COUNTIF('Draft Board'!$C$3:$V$24,A592)+COUNTIF(Keepers!$B$2:$U$21,A592)+COUNTIF('Auction Draft Board'!$C$6:$AP$25,A592)&gt;0,"",A592),"")</f>
        <v/>
      </c>
    </row>
    <row r="593">
      <c r="A593" t="str">
        <f>IFERROR(__xludf.DUMMYFUNCTION("IFERROR(REGEXEXTRACT('Manual Data Import'!B593, ""^(.*)\s+[A-Z]{2,4}\s+\(\d+\)$""),'Manual Data Import'!B593) &amp; CHAR(10) &amp; 
IFERROR(REGEXREPLACE('Manual Data Import'!C593, ""\d+$"", """")) &amp;"" - ""&amp; 
IFERROR(REGEXEXTRACT('Manual Data Import'!B593, ""([A-Z"&amp;"]{2,4})\s+\(\d+\)$"")) &amp; "" (""&amp; 
IFERROR(REGEXEXTRACT('Manual Data Import'!B593, ""\((\d+)\)"")) &amp; "")"""),"Greg Zuerlein
K -  ()")</f>
        <v>Greg Zuerlein
K -  ()</v>
      </c>
      <c r="B593" s="30" t="str">
        <f>IFERROR(IF(COUNTIF('Draft Board'!$C$3:$V$24,A593)+COUNTIF(Keepers!$B$2:$U$21,A593)+COUNTIF('Auction Draft Board'!$C$6:$AP$25,A593)&gt;0,"",A593),"")</f>
        <v/>
      </c>
    </row>
    <row r="594">
      <c r="A594" t="str">
        <f>IFERROR(__xludf.DUMMYFUNCTION("IFERROR(REGEXEXTRACT('Manual Data Import'!B594, ""^(.*)\s+[A-Z]{2,4}\s+\(\d+\)$""),'Manual Data Import'!B594) &amp; CHAR(10) &amp; 
IFERROR(REGEXREPLACE('Manual Data Import'!C594, ""\d+$"", """")) &amp;"" - ""&amp; 
IFERROR(REGEXEXTRACT('Manual Data Import'!B594, ""([A-Z"&amp;"]{2,4})\s+\(\d+\)$"")) &amp; "" (""&amp; 
IFERROR(REGEXEXTRACT('Manual Data Import'!B594, ""\((\d+)\)"")) &amp; "")"""),"Nick Westbrook-Ikhine 
WR - IND (13)")</f>
        <v>Nick Westbrook-Ikhine 
WR - IND (13)</v>
      </c>
      <c r="B594" s="30" t="str">
        <f>IFERROR(IF(COUNTIF('Draft Board'!$C$3:$V$24,A594)+COUNTIF(Keepers!$B$2:$U$21,A594)+COUNTIF('Auction Draft Board'!$C$6:$AP$25,A594)&gt;0,"",A594),"")</f>
        <v/>
      </c>
    </row>
    <row r="595">
      <c r="A595" t="str">
        <f>IFERROR(__xludf.DUMMYFUNCTION("IFERROR(REGEXEXTRACT('Manual Data Import'!B595, ""^(.*)\s+[A-Z]{2,4}\s+\(\d+\)$""),'Manual Data Import'!B595) &amp; CHAR(10) &amp; 
IFERROR(REGEXREPLACE('Manual Data Import'!C595, ""\d+$"", """")) &amp;"" - ""&amp; 
IFERROR(REGEXEXTRACT('Manual Data Import'!B595, ""([A-Z"&amp;"]{2,4})\s+\(\d+\)$"")) &amp; "" (""&amp; 
IFERROR(REGEXEXTRACT('Manual Data Import'!B595, ""\((\d+)\)"")) &amp; "")"""),"Antonio Gibson
RB -  ()")</f>
        <v>Antonio Gibson
RB -  ()</v>
      </c>
      <c r="B595" s="30" t="str">
        <f>IFERROR(IF(COUNTIF('Draft Board'!$C$3:$V$24,A595)+COUNTIF(Keepers!$B$2:$U$21,A595)+COUNTIF('Auction Draft Board'!$C$6:$AP$25,A595)&gt;0,"",A595),"")</f>
        <v/>
      </c>
    </row>
    <row r="596">
      <c r="A596" t="str">
        <f>IFERROR(__xludf.DUMMYFUNCTION("IFERROR(REGEXEXTRACT('Manual Data Import'!B596, ""^(.*)\s+[A-Z]{2,4}\s+\(\d+\)$""),'Manual Data Import'!B596) &amp; CHAR(10) &amp; 
IFERROR(REGEXREPLACE('Manual Data Import'!C596, ""\d+$"", """")) &amp;"" - ""&amp; 
IFERROR(REGEXEXTRACT('Manual Data Import'!B596, ""([A-Z"&amp;"]{2,4})\s+\(\d+\)$"")) &amp; "" (""&amp; 
IFERROR(REGEXEXTRACT('Manual Data Import'!B596, ""\((\d+)\)"")) &amp; "")"""),"DeMario Douglas 
WR - NE (11)")</f>
        <v>DeMario Douglas 
WR - NE (11)</v>
      </c>
      <c r="B596" s="30" t="str">
        <f>IFERROR(IF(COUNTIF('Draft Board'!$C$3:$V$24,A596)+COUNTIF(Keepers!$B$2:$U$21,A596)+COUNTIF('Auction Draft Board'!$C$6:$AP$25,A596)&gt;0,"",A596),"")</f>
        <v/>
      </c>
    </row>
    <row r="597">
      <c r="A597" t="str">
        <f>IFERROR(__xludf.DUMMYFUNCTION("IFERROR(REGEXEXTRACT('Manual Data Import'!B597, ""^(.*)\s+[A-Z]{2,4}\s+\(\d+\)$""),'Manual Data Import'!B597) &amp; CHAR(10) &amp; 
IFERROR(REGEXREPLACE('Manual Data Import'!C597, ""\d+$"", """")) &amp;"" - ""&amp; 
IFERROR(REGEXEXTRACT('Manual Data Import'!B597, ""([A-Z"&amp;"]{2,4})\s+\(\d+\)$"")) &amp; "" (""&amp; 
IFERROR(REGEXEXTRACT('Manual Data Import'!B597, ""\((\d+)\)"")) &amp; "")"""),"Joshua Karty
K -  ()")</f>
        <v>Joshua Karty
K -  ()</v>
      </c>
      <c r="B597" s="30" t="str">
        <f>IFERROR(IF(COUNTIF('Draft Board'!$C$3:$V$24,A597)+COUNTIF(Keepers!$B$2:$U$21,A597)+COUNTIF('Auction Draft Board'!$C$6:$AP$25,A597)&gt;0,"",A597),"")</f>
        <v/>
      </c>
    </row>
    <row r="598">
      <c r="A598" t="str">
        <f>IFERROR(__xludf.DUMMYFUNCTION("IFERROR(REGEXEXTRACT('Manual Data Import'!B598, ""^(.*)\s+[A-Z]{2,4}\s+\(\d+\)$""),'Manual Data Import'!B598) &amp; CHAR(10) &amp; 
IFERROR(REGEXREPLACE('Manual Data Import'!C598, ""\d+$"", """")) &amp;"" - ""&amp; 
IFERROR(REGEXEXTRACT('Manual Data Import'!B598, ""([A-Z"&amp;"]{2,4})\s+\(\d+\)$"")) &amp; "" (""&amp; 
IFERROR(REGEXEXTRACT('Manual Data Import'!B598, ""\((\d+)\)"")) &amp; "")"""),"Adam Randall 
RB - BAL (13)")</f>
        <v>Adam Randall 
RB - BAL (13)</v>
      </c>
      <c r="B598" s="30" t="str">
        <f>IFERROR(IF(COUNTIF('Draft Board'!$C$3:$V$24,A598)+COUNTIF(Keepers!$B$2:$U$21,A598)+COUNTIF('Auction Draft Board'!$C$6:$AP$25,A598)&gt;0,"",A598),"")</f>
        <v/>
      </c>
    </row>
    <row r="599">
      <c r="A599" t="str">
        <f>IFERROR(__xludf.DUMMYFUNCTION("IFERROR(REGEXEXTRACT('Manual Data Import'!B599, ""^(.*)\s+[A-Z]{2,4}\s+\(\d+\)$""),'Manual Data Import'!B599) &amp; CHAR(10) &amp; 
IFERROR(REGEXREPLACE('Manual Data Import'!C599, ""\d+$"", """")) &amp;"" - ""&amp; 
IFERROR(REGEXEXTRACT('Manual Data Import'!B599, ""([A-Z"&amp;"]{2,4})\s+\(\d+\)$"")) &amp; "" (""&amp; 
IFERROR(REGEXEXTRACT('Manual Data Import'!B599, ""\((\d+)\)"")) &amp; "")"""),"Brenden Rice
WR -  ()")</f>
        <v>Brenden Rice
WR -  ()</v>
      </c>
      <c r="B599" s="30" t="str">
        <f>IFERROR(IF(COUNTIF('Draft Board'!$C$3:$V$24,A599)+COUNTIF(Keepers!$B$2:$U$21,A599)+COUNTIF('Auction Draft Board'!$C$6:$AP$25,A599)&gt;0,"",A599),"")</f>
        <v/>
      </c>
    </row>
    <row r="600">
      <c r="A600" t="str">
        <f>IFERROR(__xludf.DUMMYFUNCTION("IFERROR(REGEXEXTRACT('Manual Data Import'!B600, ""^(.*)\s+[A-Z]{2,4}\s+\(\d+\)$""),'Manual Data Import'!B600) &amp; CHAR(10) &amp; 
IFERROR(REGEXREPLACE('Manual Data Import'!C600, ""\d+$"", """")) &amp;"" - ""&amp; 
IFERROR(REGEXEXTRACT('Manual Data Import'!B600, ""([A-Z"&amp;"]{2,4})\s+\(\d+\)$"")) &amp; "" (""&amp; 
IFERROR(REGEXEXTRACT('Manual Data Import'!B600, ""\((\d+)\)"")) &amp; "")"""),"Devin Leary
QB -  ()")</f>
        <v>Devin Leary
QB -  ()</v>
      </c>
      <c r="B600" s="30" t="str">
        <f>IFERROR(IF(COUNTIF('Draft Board'!$C$3:$V$24,A600)+COUNTIF(Keepers!$B$2:$U$21,A600)+COUNTIF('Auction Draft Board'!$C$6:$AP$25,A600)&gt;0,"",A600),"")</f>
        <v/>
      </c>
    </row>
    <row r="601">
      <c r="A601" t="str">
        <f>IFERROR(__xludf.DUMMYFUNCTION("IFERROR(REGEXEXTRACT('Manual Data Import'!B601, ""^(.*)\s+[A-Z]{2,4}\s+\(\d+\)$""),'Manual Data Import'!B601) &amp; CHAR(10) &amp; 
IFERROR(REGEXREPLACE('Manual Data Import'!C601, ""\d+$"", """")) &amp;"" - ""&amp; 
IFERROR(REGEXEXTRACT('Manual Data Import'!B601, ""([A-Z"&amp;"]{2,4})\s+\(\d+\)$"")) &amp; "" (""&amp; 
IFERROR(REGEXEXTRACT('Manual Data Import'!B601, ""\((\d+)\)"")) &amp; "")"""),"Thomas Odukoya
TE -  ()")</f>
        <v>Thomas Odukoya
TE -  ()</v>
      </c>
      <c r="B601" s="30" t="str">
        <f>IFERROR(IF(COUNTIF('Draft Board'!$C$3:$V$24,A601)+COUNTIF(Keepers!$B$2:$U$21,A601)+COUNTIF('Auction Draft Board'!$C$6:$AP$25,A601)&gt;0,"",A601),"")</f>
        <v/>
      </c>
    </row>
    <row r="602">
      <c r="A602" t="str">
        <f>IFERROR(__xludf.DUMMYFUNCTION("IFERROR(REGEXEXTRACT('Manual Data Import'!B602, ""^(.*)\s+[A-Z]{2,4}\s+\(\d+\)$""),'Manual Data Import'!B602) &amp; CHAR(10) &amp; 
IFERROR(REGEXREPLACE('Manual Data Import'!C602, ""\d+$"", """")) &amp;"" - ""&amp; 
IFERROR(REGEXEXTRACT('Manual Data Import'!B602, ""([A-Z"&amp;"]{2,4})\s+\(\d+\)$"")) &amp; "" (""&amp; 
IFERROR(REGEXEXTRACT('Manual Data Import'!B602, ""\((\d+)\)"")) &amp; "")"""),"Riley Leonard 
QB - IND (13)")</f>
        <v>Riley Leonard 
QB - IND (13)</v>
      </c>
      <c r="B602" s="30" t="str">
        <f>IFERROR(IF(COUNTIF('Draft Board'!$C$3:$V$24,A602)+COUNTIF(Keepers!$B$2:$U$21,A602)+COUNTIF('Auction Draft Board'!$C$6:$AP$25,A602)&gt;0,"",A602),"")</f>
        <v/>
      </c>
    </row>
    <row r="603">
      <c r="A603" t="str">
        <f>IFERROR(__xludf.DUMMYFUNCTION("IFERROR(REGEXEXTRACT('Manual Data Import'!B603, ""^(.*)\s+[A-Z]{2,4}\s+\(\d+\)$""),'Manual Data Import'!B603) &amp; CHAR(10) &amp; 
IFERROR(REGEXREPLACE('Manual Data Import'!C603, ""\d+$"", """")) &amp;"" - ""&amp; 
IFERROR(REGEXEXTRACT('Manual Data Import'!B603, ""([A-Z"&amp;"]{2,4})\s+\(\d+\)$"")) &amp; "" (""&amp; 
IFERROR(REGEXEXTRACT('Manual Data Import'!B603, ""\((\d+)\)"")) &amp; "")"""),"Aaron Shampklin
RB -  ()")</f>
        <v>Aaron Shampklin
RB -  ()</v>
      </c>
      <c r="B603" s="30" t="str">
        <f>IFERROR(IF(COUNTIF('Draft Board'!$C$3:$V$24,A603)+COUNTIF(Keepers!$B$2:$U$21,A603)+COUNTIF('Auction Draft Board'!$C$6:$AP$25,A603)&gt;0,"",A603),"")</f>
        <v/>
      </c>
    </row>
    <row r="604">
      <c r="A604" t="str">
        <f>IFERROR(__xludf.DUMMYFUNCTION("IFERROR(REGEXEXTRACT('Manual Data Import'!B604, ""^(.*)\s+[A-Z]{2,4}\s+\(\d+\)$""),'Manual Data Import'!B604) &amp; CHAR(10) &amp; 
IFERROR(REGEXREPLACE('Manual Data Import'!C604, ""\d+$"", """")) &amp;"" - ""&amp; 
IFERROR(REGEXEXTRACT('Manual Data Import'!B604, ""([A-Z"&amp;"]{2,4})\s+\(\d+\)$"")) &amp; "" (""&amp; 
IFERROR(REGEXEXTRACT('Manual Data Import'!B604, ""\((\d+)\)"")) &amp; "")"""),"Xavier Hutchinson 
WR - HOU (8)")</f>
        <v>Xavier Hutchinson 
WR - HOU (8)</v>
      </c>
      <c r="B604" s="30" t="str">
        <f>IFERROR(IF(COUNTIF('Draft Board'!$C$3:$V$24,A604)+COUNTIF(Keepers!$B$2:$U$21,A604)+COUNTIF('Auction Draft Board'!$C$6:$AP$25,A604)&gt;0,"",A604),"")</f>
        <v/>
      </c>
    </row>
    <row r="605">
      <c r="A605" t="str">
        <f>IFERROR(__xludf.DUMMYFUNCTION("IFERROR(REGEXEXTRACT('Manual Data Import'!B605, ""^(.*)\s+[A-Z]{2,4}\s+\(\d+\)$""),'Manual Data Import'!B605) &amp; CHAR(10) &amp; 
IFERROR(REGEXREPLACE('Manual Data Import'!C605, ""\d+$"", """")) &amp;"" - ""&amp; 
IFERROR(REGEXEXTRACT('Manual Data Import'!B605, ""([A-Z"&amp;"]{2,4})\s+\(\d+\)$"")) &amp; "" (""&amp; 
IFERROR(REGEXEXTRACT('Manual Data Import'!B605, ""\((\d+)\)"")) &amp; "")"""),"Jermaine Jackson
WR -  ()")</f>
        <v>Jermaine Jackson
WR -  ()</v>
      </c>
      <c r="B605" s="30" t="str">
        <f>IFERROR(IF(COUNTIF('Draft Board'!$C$3:$V$24,A605)+COUNTIF(Keepers!$B$2:$U$21,A605)+COUNTIF('Auction Draft Board'!$C$6:$AP$25,A605)&gt;0,"",A605),"")</f>
        <v/>
      </c>
    </row>
    <row r="606">
      <c r="A606" t="str">
        <f>IFERROR(__xludf.DUMMYFUNCTION("IFERROR(REGEXEXTRACT('Manual Data Import'!B606, ""^(.*)\s+[A-Z]{2,4}\s+\(\d+\)$""),'Manual Data Import'!B606) &amp; CHAR(10) &amp; 
IFERROR(REGEXREPLACE('Manual Data Import'!C606, ""\d+$"", """")) &amp;"" - ""&amp; 
IFERROR(REGEXEXTRACT('Manual Data Import'!B606, ""([A-Z"&amp;"]{2,4})\s+\(\d+\)$"")) &amp; "" (""&amp; 
IFERROR(REGEXEXTRACT('Manual Data Import'!B606, ""\((\d+)\)"")) &amp; "")"""),"Treylon Burks 
WR - WAS (7)")</f>
        <v>Treylon Burks 
WR - WAS (7)</v>
      </c>
      <c r="B606" s="30" t="str">
        <f>IFERROR(IF(COUNTIF('Draft Board'!$C$3:$V$24,A606)+COUNTIF(Keepers!$B$2:$U$21,A606)+COUNTIF('Auction Draft Board'!$C$6:$AP$25,A606)&gt;0,"",A606),"")</f>
        <v/>
      </c>
    </row>
    <row r="607">
      <c r="A607" t="str">
        <f>IFERROR(__xludf.DUMMYFUNCTION("IFERROR(REGEXEXTRACT('Manual Data Import'!B607, ""^(.*)\s+[A-Z]{2,4}\s+\(\d+\)$""),'Manual Data Import'!B607) &amp; CHAR(10) &amp; 
IFERROR(REGEXREPLACE('Manual Data Import'!C607, ""\d+$"", """")) &amp;"" - ""&amp; 
IFERROR(REGEXEXTRACT('Manual Data Import'!B607, ""([A-Z"&amp;"]{2,4})\s+\(\d+\)$"")) &amp; "" (""&amp; 
IFERROR(REGEXEXTRACT('Manual Data Import'!B607, ""\((\d+)\)"")) &amp; "")"""),"Jacob Saylors 
RB - DET (6)")</f>
        <v>Jacob Saylors 
RB - DET (6)</v>
      </c>
      <c r="B607" s="30" t="str">
        <f>IFERROR(IF(COUNTIF('Draft Board'!$C$3:$V$24,A607)+COUNTIF(Keepers!$B$2:$U$21,A607)+COUNTIF('Auction Draft Board'!$C$6:$AP$25,A607)&gt;0,"",A607),"")</f>
        <v/>
      </c>
    </row>
    <row r="608">
      <c r="A608" t="str">
        <f>IFERROR(__xludf.DUMMYFUNCTION("IFERROR(REGEXEXTRACT('Manual Data Import'!B608, ""^(.*)\s+[A-Z]{2,4}\s+\(\d+\)$""),'Manual Data Import'!B608) &amp; CHAR(10) &amp; 
IFERROR(REGEXREPLACE('Manual Data Import'!C608, ""\d+$"", """")) &amp;"" - ""&amp; 
IFERROR(REGEXEXTRACT('Manual Data Import'!B608, ""([A-Z"&amp;"]{2,4})\s+\(\d+\)$"")) &amp; "" (""&amp; 
IFERROR(REGEXEXTRACT('Manual Data Import'!B608, ""\((\d+)\)"")) &amp; "")"""),"Kendrick Bourne 
WR - ARI (14)")</f>
        <v>Kendrick Bourne 
WR - ARI (14)</v>
      </c>
      <c r="B608" s="30" t="str">
        <f>IFERROR(IF(COUNTIF('Draft Board'!$C$3:$V$24,A608)+COUNTIF(Keepers!$B$2:$U$21,A608)+COUNTIF('Auction Draft Board'!$C$6:$AP$25,A608)&gt;0,"",A608),"")</f>
        <v/>
      </c>
    </row>
    <row r="609">
      <c r="A609" t="str">
        <f>IFERROR(__xludf.DUMMYFUNCTION("IFERROR(REGEXEXTRACT('Manual Data Import'!B609, ""^(.*)\s+[A-Z]{2,4}\s+\(\d+\)$""),'Manual Data Import'!B609) &amp; CHAR(10) &amp; 
IFERROR(REGEXREPLACE('Manual Data Import'!C609, ""\d+$"", """")) &amp;"" - ""&amp; 
IFERROR(REGEXEXTRACT('Manual Data Import'!B609, ""([A-Z"&amp;"]{2,4})\s+\(\d+\)$"")) &amp; "" (""&amp; 
IFERROR(REGEXEXTRACT('Manual Data Import'!B609, ""\((\d+)\)"")) &amp; "")"""),"Durham Smythe 
TE - BAL (13)")</f>
        <v>Durham Smythe 
TE - BAL (13)</v>
      </c>
      <c r="B609" s="30" t="str">
        <f>IFERROR(IF(COUNTIF('Draft Board'!$C$3:$V$24,A609)+COUNTIF(Keepers!$B$2:$U$21,A609)+COUNTIF('Auction Draft Board'!$C$6:$AP$25,A609)&gt;0,"",A609),"")</f>
        <v/>
      </c>
    </row>
    <row r="610">
      <c r="A610" t="str">
        <f>IFERROR(__xludf.DUMMYFUNCTION("IFERROR(REGEXEXTRACT('Manual Data Import'!B610, ""^(.*)\s+[A-Z]{2,4}\s+\(\d+\)$""),'Manual Data Import'!B610) &amp; CHAR(10) &amp; 
IFERROR(REGEXREPLACE('Manual Data Import'!C610, ""\d+$"", """")) &amp;"" - ""&amp; 
IFERROR(REGEXEXTRACT('Manual Data Import'!B610, ""([A-Z"&amp;"]{2,4})\s+\(\d+\)$"")) &amp; "" (""&amp; 
IFERROR(REGEXEXTRACT('Manual Data Import'!B610, ""\((\d+)\)"")) &amp; "")"""),"Dyami Brown 
WR - WAS (7)")</f>
        <v>Dyami Brown 
WR - WAS (7)</v>
      </c>
      <c r="B610" s="30" t="str">
        <f>IFERROR(IF(COUNTIF('Draft Board'!$C$3:$V$24,A610)+COUNTIF(Keepers!$B$2:$U$21,A610)+COUNTIF('Auction Draft Board'!$C$6:$AP$25,A610)&gt;0,"",A610),"")</f>
        <v/>
      </c>
    </row>
    <row r="611">
      <c r="A611" t="str">
        <f>IFERROR(__xludf.DUMMYFUNCTION("IFERROR(REGEXEXTRACT('Manual Data Import'!B611, ""^(.*)\s+[A-Z]{2,4}\s+\(\d+\)$""),'Manual Data Import'!B611) &amp; CHAR(10) &amp; 
IFERROR(REGEXREPLACE('Manual Data Import'!C611, ""\d+$"", """")) &amp;"" - ""&amp; 
IFERROR(REGEXEXTRACT('Manual Data Import'!B611, ""([A-Z"&amp;"]{2,4})\s+\(\d+\)$"")) &amp; "" (""&amp; 
IFERROR(REGEXEXTRACT('Manual Data Import'!B611, ""\((\d+)\)"")) &amp; "")"""),"Jerome Ford 
RB - WAS (7)")</f>
        <v>Jerome Ford 
RB - WAS (7)</v>
      </c>
      <c r="B611" s="30" t="str">
        <f>IFERROR(IF(COUNTIF('Draft Board'!$C$3:$V$24,A611)+COUNTIF(Keepers!$B$2:$U$21,A611)+COUNTIF('Auction Draft Board'!$C$6:$AP$25,A611)&gt;0,"",A611),"")</f>
        <v/>
      </c>
    </row>
    <row r="612">
      <c r="A612" t="str">
        <f>IFERROR(__xludf.DUMMYFUNCTION("IFERROR(REGEXEXTRACT('Manual Data Import'!B612, ""^(.*)\s+[A-Z]{2,4}\s+\(\d+\)$""),'Manual Data Import'!B612) &amp; CHAR(10) &amp; 
IFERROR(REGEXREPLACE('Manual Data Import'!C612, ""\d+$"", """")) &amp;"" - ""&amp; 
IFERROR(REGEXEXTRACT('Manual Data Import'!B612, ""([A-Z"&amp;"]{2,4})\s+\(\d+\)$"")) &amp; "" (""&amp; 
IFERROR(REGEXEXTRACT('Manual Data Import'!B612, ""\((\d+)\)"")) &amp; "")"""),"Isaiah Williams 
WR - NYJ (13)")</f>
        <v>Isaiah Williams 
WR - NYJ (13)</v>
      </c>
      <c r="B612" s="30" t="str">
        <f>IFERROR(IF(COUNTIF('Draft Board'!$C$3:$V$24,A612)+COUNTIF(Keepers!$B$2:$U$21,A612)+COUNTIF('Auction Draft Board'!$C$6:$AP$25,A612)&gt;0,"",A612),"")</f>
        <v/>
      </c>
    </row>
    <row r="613">
      <c r="A613" t="str">
        <f>IFERROR(__xludf.DUMMYFUNCTION("IFERROR(REGEXEXTRACT('Manual Data Import'!B613, ""^(.*)\s+[A-Z]{2,4}\s+\(\d+\)$""),'Manual Data Import'!B613) &amp; CHAR(10) &amp; 
IFERROR(REGEXREPLACE('Manual Data Import'!C613, ""\d+$"", """")) &amp;"" - ""&amp; 
IFERROR(REGEXEXTRACT('Manual Data Import'!B613, ""([A-Z"&amp;"]{2,4})\s+\(\d+\)$"")) &amp; "" (""&amp; 
IFERROR(REGEXEXTRACT('Manual Data Import'!B613, ""\((\d+)\)"")) &amp; "")"""),"John Bates 
TE - WAS (7)")</f>
        <v>John Bates 
TE - WAS (7)</v>
      </c>
      <c r="B613" s="30" t="str">
        <f>IFERROR(IF(COUNTIF('Draft Board'!$C$3:$V$24,A613)+COUNTIF(Keepers!$B$2:$U$21,A613)+COUNTIF('Auction Draft Board'!$C$6:$AP$25,A613)&gt;0,"",A613),"")</f>
        <v/>
      </c>
    </row>
    <row r="614">
      <c r="A614" t="str">
        <f>IFERROR(__xludf.DUMMYFUNCTION("IFERROR(REGEXEXTRACT('Manual Data Import'!B614, ""^(.*)\s+[A-Z]{2,4}\s+\(\d+\)$""),'Manual Data Import'!B614) &amp; CHAR(10) &amp; 
IFERROR(REGEXREPLACE('Manual Data Import'!C614, ""\d+$"", """")) &amp;"" - ""&amp; 
IFERROR(REGEXEXTRACT('Manual Data Import'!B614, ""([A-Z"&amp;"]{2,4})\s+\(\d+\)$"")) &amp; "" (""&amp; 
IFERROR(REGEXEXTRACT('Manual Data Import'!B614, ""\((\d+)\)"")) &amp; "")"""),"Oscar Delp 
TE - NO (8)")</f>
        <v>Oscar Delp 
TE - NO (8)</v>
      </c>
      <c r="B614" s="30" t="str">
        <f>IFERROR(IF(COUNTIF('Draft Board'!$C$3:$V$24,A614)+COUNTIF(Keepers!$B$2:$U$21,A614)+COUNTIF('Auction Draft Board'!$C$6:$AP$25,A614)&gt;0,"",A614),"")</f>
        <v/>
      </c>
    </row>
    <row r="615">
      <c r="A615" t="str">
        <f>IFERROR(__xludf.DUMMYFUNCTION("IFERROR(REGEXEXTRACT('Manual Data Import'!B615, ""^(.*)\s+[A-Z]{2,4}\s+\(\d+\)$""),'Manual Data Import'!B615) &amp; CHAR(10) &amp; 
IFERROR(REGEXREPLACE('Manual Data Import'!C615, ""\d+$"", """")) &amp;"" - ""&amp; 
IFERROR(REGEXEXTRACT('Manual Data Import'!B615, ""([A-Z"&amp;"]{2,4})\s+\(\d+\)$"")) &amp; "" (""&amp; 
IFERROR(REGEXEXTRACT('Manual Data Import'!B615, ""\((\d+)\)"")) &amp; "")"""),"Tanner Hudson 
TE - CIN (6)")</f>
        <v>Tanner Hudson 
TE - CIN (6)</v>
      </c>
      <c r="B615" s="30" t="str">
        <f>IFERROR(IF(COUNTIF('Draft Board'!$C$3:$V$24,A615)+COUNTIF(Keepers!$B$2:$U$21,A615)+COUNTIF('Auction Draft Board'!$C$6:$AP$25,A615)&gt;0,"",A615),"")</f>
        <v/>
      </c>
    </row>
    <row r="616">
      <c r="A616" t="str">
        <f>IFERROR(__xludf.DUMMYFUNCTION("IFERROR(REGEXEXTRACT('Manual Data Import'!B616, ""^(.*)\s+[A-Z]{2,4}\s+\(\d+\)$""),'Manual Data Import'!B616) &amp; CHAR(10) &amp; 
IFERROR(REGEXREPLACE('Manual Data Import'!C616, ""\d+$"", """")) &amp;"" - ""&amp; 
IFERROR(REGEXEXTRACT('Manual Data Import'!B616, ""([A-Z"&amp;"]{2,4})\s+\(\d+\)$"")) &amp; "" (""&amp; 
IFERROR(REGEXEXTRACT('Manual Data Import'!B616, ""\((\d+)\)"")) &amp; "")"""),"Nate Boerkircher 
TE - JAC (7)")</f>
        <v>Nate Boerkircher 
TE - JAC (7)</v>
      </c>
      <c r="B616" s="30" t="str">
        <f>IFERROR(IF(COUNTIF('Draft Board'!$C$3:$V$24,A616)+COUNTIF(Keepers!$B$2:$U$21,A616)+COUNTIF('Auction Draft Board'!$C$6:$AP$25,A616)&gt;0,"",A616),"")</f>
        <v/>
      </c>
    </row>
    <row r="617">
      <c r="A617" t="str">
        <f>IFERROR(__xludf.DUMMYFUNCTION("IFERROR(REGEXEXTRACT('Manual Data Import'!B617, ""^(.*)\s+[A-Z]{2,4}\s+\(\d+\)$""),'Manual Data Import'!B617) &amp; CHAR(10) &amp; 
IFERROR(REGEXREPLACE('Manual Data Import'!C617, ""\d+$"", """")) &amp;"" - ""&amp; 
IFERROR(REGEXEXTRACT('Manual Data Import'!B617, ""([A-Z"&amp;"]{2,4})\s+\(\d+\)$"")) &amp; "" (""&amp; 
IFERROR(REGEXEXTRACT('Manual Data Import'!B617, ""\((\d+)\)"")) &amp; "")"""),"Ben Sinnott 
TE - WAS (7)")</f>
        <v>Ben Sinnott 
TE - WAS (7)</v>
      </c>
      <c r="B617" s="30" t="str">
        <f>IFERROR(IF(COUNTIF('Draft Board'!$C$3:$V$24,A617)+COUNTIF(Keepers!$B$2:$U$21,A617)+COUNTIF('Auction Draft Board'!$C$6:$AP$25,A617)&gt;0,"",A617),"")</f>
        <v/>
      </c>
    </row>
    <row r="618">
      <c r="A618" t="str">
        <f>IFERROR(__xludf.DUMMYFUNCTION("IFERROR(REGEXEXTRACT('Manual Data Import'!B618, ""^(.*)\s+[A-Z]{2,4}\s+\(\d+\)$""),'Manual Data Import'!B618) &amp; CHAR(10) &amp; 
IFERROR(REGEXREPLACE('Manual Data Import'!C618, ""\d+$"", """")) &amp;"" - ""&amp; 
IFERROR(REGEXEXTRACT('Manual Data Import'!B618, ""([A-Z"&amp;"]{2,4})\s+\(\d+\)$"")) &amp; "" (""&amp; 
IFERROR(REGEXEXTRACT('Manual Data Import'!B618, ""\((\d+)\)"")) &amp; "")"""),"Davis Allen 
TE - LAR (11)")</f>
        <v>Davis Allen 
TE - LAR (11)</v>
      </c>
      <c r="B618" s="30" t="str">
        <f>IFERROR(IF(COUNTIF('Draft Board'!$C$3:$V$24,A618)+COUNTIF(Keepers!$B$2:$U$21,A618)+COUNTIF('Auction Draft Board'!$C$6:$AP$25,A618)&gt;0,"",A618),"")</f>
        <v/>
      </c>
    </row>
    <row r="619">
      <c r="A619" t="str">
        <f>IFERROR(__xludf.DUMMYFUNCTION("IFERROR(REGEXEXTRACT('Manual Data Import'!B619, ""^(.*)\s+[A-Z]{2,4}\s+\(\d+\)$""),'Manual Data Import'!B619) &amp; CHAR(10) &amp; 
IFERROR(REGEXREPLACE('Manual Data Import'!C619, ""\d+$"", """")) &amp;"" - ""&amp; 
IFERROR(REGEXEXTRACT('Manual Data Import'!B619, ""([A-Z"&amp;"]{2,4})\s+\(\d+\)$"")) &amp; "" (""&amp; 
IFERROR(REGEXEXTRACT('Manual Data Import'!B619, ""\((\d+)\)"")) &amp; "")"""),"Jaleel McLaughlin 
RB - DEN (10)")</f>
        <v>Jaleel McLaughlin 
RB - DEN (10)</v>
      </c>
      <c r="B619" s="30" t="str">
        <f>IFERROR(IF(COUNTIF('Draft Board'!$C$3:$V$24,A619)+COUNTIF(Keepers!$B$2:$U$21,A619)+COUNTIF('Auction Draft Board'!$C$6:$AP$25,A619)&gt;0,"",A619),"")</f>
        <v/>
      </c>
    </row>
    <row r="620">
      <c r="A620" t="str">
        <f>IFERROR(__xludf.DUMMYFUNCTION("IFERROR(REGEXEXTRACT('Manual Data Import'!B620, ""^(.*)\s+[A-Z]{2,4}\s+\(\d+\)$""),'Manual Data Import'!B620) &amp; CHAR(10) &amp; 
IFERROR(REGEXREPLACE('Manual Data Import'!C620, ""\d+$"", """")) &amp;"" - ""&amp; 
IFERROR(REGEXEXTRACT('Manual Data Import'!B620, ""([A-Z"&amp;"]{2,4})\s+\(\d+\)$"")) &amp; "" (""&amp; 
IFERROR(REGEXEXTRACT('Manual Data Import'!B620, ""\((\d+)\)"")) &amp; "")"""),"Alec Ingold 
RB - LAC (7)")</f>
        <v>Alec Ingold 
RB - LAC (7)</v>
      </c>
      <c r="B620" s="30" t="str">
        <f>IFERROR(IF(COUNTIF('Draft Board'!$C$3:$V$24,A620)+COUNTIF(Keepers!$B$2:$U$21,A620)+COUNTIF('Auction Draft Board'!$C$6:$AP$25,A620)&gt;0,"",A620),"")</f>
        <v/>
      </c>
    </row>
    <row r="621">
      <c r="A621" t="str">
        <f>IFERROR(__xludf.DUMMYFUNCTION("IFERROR(REGEXEXTRACT('Manual Data Import'!B621, ""^(.*)\s+[A-Z]{2,4}\s+\(\d+\)$""),'Manual Data Import'!B621) &amp; CHAR(10) &amp; 
IFERROR(REGEXREPLACE('Manual Data Import'!C621, ""\d+$"", """")) &amp;"" - ""&amp; 
IFERROR(REGEXEXTRACT('Manual Data Import'!B621, ""([A-Z"&amp;"]{2,4})\s+\(\d+\)$"")) &amp; "" (""&amp; 
IFERROR(REGEXEXTRACT('Manual Data Import'!B621, ""\((\d+)\)"")) &amp; "")"""),"Savion Williams 
WR - GB (11)")</f>
        <v>Savion Williams 
WR - GB (11)</v>
      </c>
      <c r="B621" s="30" t="str">
        <f>IFERROR(IF(COUNTIF('Draft Board'!$C$3:$V$24,A621)+COUNTIF(Keepers!$B$2:$U$21,A621)+COUNTIF('Auction Draft Board'!$C$6:$AP$25,A621)&gt;0,"",A621),"")</f>
        <v/>
      </c>
    </row>
    <row r="622">
      <c r="A622" t="str">
        <f>IFERROR(__xludf.DUMMYFUNCTION("IFERROR(REGEXEXTRACT('Manual Data Import'!B622, ""^(.*)\s+[A-Z]{2,4}\s+\(\d+\)$""),'Manual Data Import'!B622) &amp; CHAR(10) &amp; 
IFERROR(REGEXREPLACE('Manual Data Import'!C622, ""\d+$"", """")) &amp;"" - ""&amp; 
IFERROR(REGEXEXTRACT('Manual Data Import'!B622, ""([A-Z"&amp;"]{2,4})\s+\(\d+\)$"")) &amp; "" (""&amp; 
IFERROR(REGEXEXTRACT('Manual Data Import'!B622, ""\((\d+)\)"")) &amp; "")"""),"Joe Royer 
TE - CLE (11)")</f>
        <v>Joe Royer 
TE - CLE (11)</v>
      </c>
      <c r="B622" s="30" t="str">
        <f>IFERROR(IF(COUNTIF('Draft Board'!$C$3:$V$24,A622)+COUNTIF(Keepers!$B$2:$U$21,A622)+COUNTIF('Auction Draft Board'!$C$6:$AP$25,A622)&gt;0,"",A622),"")</f>
        <v/>
      </c>
    </row>
    <row r="623">
      <c r="A623" t="str">
        <f>IFERROR(__xludf.DUMMYFUNCTION("IFERROR(REGEXEXTRACT('Manual Data Import'!B623, ""^(.*)\s+[A-Z]{2,4}\s+\(\d+\)$""),'Manual Data Import'!B623) &amp; CHAR(10) &amp; 
IFERROR(REGEXREPLACE('Manual Data Import'!C623, ""\d+$"", """")) &amp;"" - ""&amp; 
IFERROR(REGEXEXTRACT('Manual Data Import'!B623, ""([A-Z"&amp;"]{2,4})\s+\(\d+\)$"")) &amp; "" (""&amp; 
IFERROR(REGEXEXTRACT('Manual Data Import'!B623, ""\((\d+)\)"")) &amp; "")"""),"Tyrell Shavers 
WR - BUF (7)")</f>
        <v>Tyrell Shavers 
WR - BUF (7)</v>
      </c>
      <c r="B623" s="30" t="str">
        <f>IFERROR(IF(COUNTIF('Draft Board'!$C$3:$V$24,A623)+COUNTIF(Keepers!$B$2:$U$21,A623)+COUNTIF('Auction Draft Board'!$C$6:$AP$25,A623)&gt;0,"",A623),"")</f>
        <v/>
      </c>
    </row>
    <row r="624">
      <c r="A624" t="str">
        <f>IFERROR(__xludf.DUMMYFUNCTION("IFERROR(REGEXEXTRACT('Manual Data Import'!B624, ""^(.*)\s+[A-Z]{2,4}\s+\(\d+\)$""),'Manual Data Import'!B624) &amp; CHAR(10) &amp; 
IFERROR(REGEXREPLACE('Manual Data Import'!C624, ""\d+$"", """")) &amp;"" - ""&amp; 
IFERROR(REGEXEXTRACT('Manual Data Import'!B624, ""([A-Z"&amp;"]{2,4})\s+\(\d+\)$"")) &amp; "" (""&amp; 
IFERROR(REGEXEXTRACT('Manual Data Import'!B624, ""\((\d+)\)"")) &amp; "")"""),"Chris Brazzell II 
WR - CAR (5)")</f>
        <v>Chris Brazzell II 
WR - CAR (5)</v>
      </c>
      <c r="B624" s="30" t="str">
        <f>IFERROR(IF(COUNTIF('Draft Board'!$C$3:$V$24,A624)+COUNTIF(Keepers!$B$2:$U$21,A624)+COUNTIF('Auction Draft Board'!$C$6:$AP$25,A624)&gt;0,"",A624),"")</f>
        <v/>
      </c>
    </row>
    <row r="625">
      <c r="A625" t="str">
        <f>IFERROR(__xludf.DUMMYFUNCTION("IFERROR(REGEXEXTRACT('Manual Data Import'!B625, ""^(.*)\s+[A-Z]{2,4}\s+\(\d+\)$""),'Manual Data Import'!B625) &amp; CHAR(10) &amp; 
IFERROR(REGEXREPLACE('Manual Data Import'!C625, ""\d+$"", """")) &amp;"" - ""&amp; 
IFERROR(REGEXEXTRACT('Manual Data Import'!B625, ""([A-Z"&amp;"]{2,4})\s+\(\d+\)$"")) &amp; "" (""&amp; 
IFERROR(REGEXEXTRACT('Manual Data Import'!B625, ""\((\d+)\)"")) &amp; "")"""),"Adam Prentice 
RB - DEN (10)")</f>
        <v>Adam Prentice 
RB - DEN (10)</v>
      </c>
      <c r="B625" s="30" t="str">
        <f>IFERROR(IF(COUNTIF('Draft Board'!$C$3:$V$24,A625)+COUNTIF(Keepers!$B$2:$U$21,A625)+COUNTIF('Auction Draft Board'!$C$6:$AP$25,A625)&gt;0,"",A625),"")</f>
        <v/>
      </c>
    </row>
    <row r="626">
      <c r="A626" t="str">
        <f>IFERROR(__xludf.DUMMYFUNCTION("IFERROR(REGEXEXTRACT('Manual Data Import'!B626, ""^(.*)\s+[A-Z]{2,4}\s+\(\d+\)$""),'Manual Data Import'!B626) &amp; CHAR(10) &amp; 
IFERROR(REGEXREPLACE('Manual Data Import'!C626, ""\d+$"", """")) &amp;"" - ""&amp; 
IFERROR(REGEXEXTRACT('Manual Data Import'!B626, ""([A-Z"&amp;"]{2,4})\s+\(\d+\)$"")) &amp; "" (""&amp; 
IFERROR(REGEXEXTRACT('Manual Data Import'!B626, ""\((\d+)\)"")) &amp; "")"""),"Michael Burton 
RB - CLE (11)")</f>
        <v>Michael Burton 
RB - CLE (11)</v>
      </c>
      <c r="B626" s="30" t="str">
        <f>IFERROR(IF(COUNTIF('Draft Board'!$C$3:$V$24,A626)+COUNTIF(Keepers!$B$2:$U$21,A626)+COUNTIF('Auction Draft Board'!$C$6:$AP$25,A626)&gt;0,"",A626),"")</f>
        <v/>
      </c>
    </row>
    <row r="627">
      <c r="A627" t="str">
        <f>IFERROR(__xludf.DUMMYFUNCTION("IFERROR(REGEXEXTRACT('Manual Data Import'!B627, ""^(.*)\s+[A-Z]{2,4}\s+\(\d+\)$""),'Manual Data Import'!B627) &amp; CHAR(10) &amp; 
IFERROR(REGEXREPLACE('Manual Data Import'!C627, ""\d+$"", """")) &amp;"" - ""&amp; 
IFERROR(REGEXEXTRACT('Manual Data Import'!B627, ""([A-Z"&amp;"]{2,4})\s+\(\d+\)$"")) &amp; "" (""&amp; 
IFERROR(REGEXEXTRACT('Manual Data Import'!B627, ""\((\d+)\)"")) &amp; "")"""),"Brendan Sorsby
QB -  ()")</f>
        <v>Brendan Sorsby
QB -  ()</v>
      </c>
      <c r="B627" s="30" t="str">
        <f>IFERROR(IF(COUNTIF('Draft Board'!$C$3:$V$24,A627)+COUNTIF(Keepers!$B$2:$U$21,A627)+COUNTIF('Auction Draft Board'!$C$6:$AP$25,A627)&gt;0,"",A627),"")</f>
        <v/>
      </c>
    </row>
    <row r="628">
      <c r="A628" t="str">
        <f>IFERROR(__xludf.DUMMYFUNCTION("IFERROR(REGEXEXTRACT('Manual Data Import'!B628, ""^(.*)\s+[A-Z]{2,4}\s+\(\d+\)$""),'Manual Data Import'!B628) &amp; CHAR(10) &amp; 
IFERROR(REGEXREPLACE('Manual Data Import'!C628, ""\d+$"", """")) &amp;"" - ""&amp; 
IFERROR(REGEXEXTRACT('Manual Data Import'!B628, ""([A-Z"&amp;"]{2,4})\s+\(\d+\)$"")) &amp; "" (""&amp; 
IFERROR(REGEXEXTRACT('Manual Data Import'!B628, ""\((\d+)\)"")) &amp; "")"""),"Luke Farrell 
TE - SF (8)")</f>
        <v>Luke Farrell 
TE - SF (8)</v>
      </c>
      <c r="B628" s="30" t="str">
        <f>IFERROR(IF(COUNTIF('Draft Board'!$C$3:$V$24,A628)+COUNTIF(Keepers!$B$2:$U$21,A628)+COUNTIF('Auction Draft Board'!$C$6:$AP$25,A628)&gt;0,"",A628),"")</f>
        <v/>
      </c>
    </row>
    <row r="629">
      <c r="A629" t="str">
        <f>IFERROR(__xludf.DUMMYFUNCTION("IFERROR(REGEXEXTRACT('Manual Data Import'!B629, ""^(.*)\s+[A-Z]{2,4}\s+\(\d+\)$""),'Manual Data Import'!B629) &amp; CHAR(10) &amp; 
IFERROR(REGEXREPLACE('Manual Data Import'!C629, ""\d+$"", """")) &amp;"" - ""&amp; 
IFERROR(REGEXEXTRACT('Manual Data Import'!B629, ""([A-Z"&amp;"]{2,4})\s+\(\d+\)$"")) &amp; "" (""&amp; 
IFERROR(REGEXEXTRACT('Manual Data Import'!B629, ""\((\d+)\)"")) &amp; "")"""),"Mitch Tinsley 
WR - CIN (6)")</f>
        <v>Mitch Tinsley 
WR - CIN (6)</v>
      </c>
      <c r="B629" s="30" t="str">
        <f>IFERROR(IF(COUNTIF('Draft Board'!$C$3:$V$24,A629)+COUNTIF(Keepers!$B$2:$U$21,A629)+COUNTIF('Auction Draft Board'!$C$6:$AP$25,A629)&gt;0,"",A629),"")</f>
        <v/>
      </c>
    </row>
    <row r="630">
      <c r="A630" t="str">
        <f>IFERROR(__xludf.DUMMYFUNCTION("IFERROR(REGEXEXTRACT('Manual Data Import'!B630, ""^(.*)\s+[A-Z]{2,4}\s+\(\d+\)$""),'Manual Data Import'!B630) &amp; CHAR(10) &amp; 
IFERROR(REGEXREPLACE('Manual Data Import'!C630, ""\d+$"", """")) &amp;"" - ""&amp; 
IFERROR(REGEXEXTRACT('Manual Data Import'!B630, ""([A-Z"&amp;"]{2,4})\s+\(\d+\)$"")) &amp; "" (""&amp; 
IFERROR(REGEXEXTRACT('Manual Data Import'!B630, ""\((\d+)\)"")) &amp; "")"""),"CJ Dippre 
TE - NE (11)")</f>
        <v>CJ Dippre 
TE - NE (11)</v>
      </c>
      <c r="B630" s="30" t="str">
        <f>IFERROR(IF(COUNTIF('Draft Board'!$C$3:$V$24,A630)+COUNTIF(Keepers!$B$2:$U$21,A630)+COUNTIF('Auction Draft Board'!$C$6:$AP$25,A630)&gt;0,"",A630),"")</f>
        <v/>
      </c>
    </row>
    <row r="631">
      <c r="A631" t="str">
        <f>IFERROR(__xludf.DUMMYFUNCTION("IFERROR(REGEXEXTRACT('Manual Data Import'!B631, ""^(.*)\s+[A-Z]{2,4}\s+\(\d+\)$""),'Manual Data Import'!B631) &amp; CHAR(10) &amp; 
IFERROR(REGEXREPLACE('Manual Data Import'!C631, ""\d+$"", """")) &amp;"" - ""&amp; 
IFERROR(REGEXEXTRACT('Manual Data Import'!B631, ""([A-Z"&amp;"]{2,4})\s+\(\d+\)$"")) &amp; "" (""&amp; 
IFERROR(REGEXEXTRACT('Manual Data Import'!B631, ""\((\d+)\)"")) &amp; "")"""),"Spencer Rattler 
QB - NO (8)")</f>
        <v>Spencer Rattler 
QB - NO (8)</v>
      </c>
      <c r="B631" s="30" t="str">
        <f>IFERROR(IF(COUNTIF('Draft Board'!$C$3:$V$24,A631)+COUNTIF(Keepers!$B$2:$U$21,A631)+COUNTIF('Auction Draft Board'!$C$6:$AP$25,A631)&gt;0,"",A631),"")</f>
        <v/>
      </c>
    </row>
    <row r="632">
      <c r="A632" t="str">
        <f>IFERROR(__xludf.DUMMYFUNCTION("IFERROR(REGEXEXTRACT('Manual Data Import'!B632, ""^(.*)\s+[A-Z]{2,4}\s+\(\d+\)$""),'Manual Data Import'!B632) &amp; CHAR(10) &amp; 
IFERROR(REGEXREPLACE('Manual Data Import'!C632, ""\d+$"", """")) &amp;"" - ""&amp; 
IFERROR(REGEXEXTRACT('Manual Data Import'!B632, ""([A-Z"&amp;"]{2,4})\s+\(\d+\)$"")) &amp; "" (""&amp; 
IFERROR(REGEXEXTRACT('Manual Data Import'!B632, ""\((\d+)\)"")) &amp; "")"""),"Josh Whyle 
TE - GB (11)")</f>
        <v>Josh Whyle 
TE - GB (11)</v>
      </c>
      <c r="B632" s="30" t="str">
        <f>IFERROR(IF(COUNTIF('Draft Board'!$C$3:$V$24,A632)+COUNTIF(Keepers!$B$2:$U$21,A632)+COUNTIF('Auction Draft Board'!$C$6:$AP$25,A632)&gt;0,"",A632),"")</f>
        <v/>
      </c>
    </row>
    <row r="633">
      <c r="A633" t="str">
        <f>IFERROR(__xludf.DUMMYFUNCTION("IFERROR(REGEXEXTRACT('Manual Data Import'!B633, ""^(.*)\s+[A-Z]{2,4}\s+\(\d+\)$""),'Manual Data Import'!B633) &amp; CHAR(10) &amp; 
IFERROR(REGEXREPLACE('Manual Data Import'!C633, ""\d+$"", """")) &amp;"" - ""&amp; 
IFERROR(REGEXEXTRACT('Manual Data Import'!B633, ""([A-Z"&amp;"]{2,4})\s+\(\d+\)$"")) &amp; "" (""&amp; 
IFERROR(REGEXEXTRACT('Manual Data Import'!B633, ""\((\d+)\)"")) &amp; "")"""),"Eric Saubert 
TE - SEA (11)")</f>
        <v>Eric Saubert 
TE - SEA (11)</v>
      </c>
      <c r="B633" s="30" t="str">
        <f>IFERROR(IF(COUNTIF('Draft Board'!$C$3:$V$24,A633)+COUNTIF(Keepers!$B$2:$U$21,A633)+COUNTIF('Auction Draft Board'!$C$6:$AP$25,A633)&gt;0,"",A633),"")</f>
        <v/>
      </c>
    </row>
    <row r="634">
      <c r="A634" t="str">
        <f>IFERROR(__xludf.DUMMYFUNCTION("IFERROR(REGEXEXTRACT('Manual Data Import'!B634, ""^(.*)\s+[A-Z]{2,4}\s+\(\d+\)$""),'Manual Data Import'!B634) &amp; CHAR(10) &amp; 
IFERROR(REGEXREPLACE('Manual Data Import'!C634, ""\d+$"", """")) &amp;"" - ""&amp; 
IFERROR(REGEXEXTRACT('Manual Data Import'!B634, ""([A-Z"&amp;"]{2,4})\s+\(\d+\)$"")) &amp; "" (""&amp; 
IFERROR(REGEXEXTRACT('Manual Data Import'!B634, ""\((\d+)\)"")) &amp; "")"""),"Andrew Beck 
TE - NYJ (13)")</f>
        <v>Andrew Beck 
TE - NYJ (13)</v>
      </c>
      <c r="B634" s="30" t="str">
        <f>IFERROR(IF(COUNTIF('Draft Board'!$C$3:$V$24,A634)+COUNTIF(Keepers!$B$2:$U$21,A634)+COUNTIF('Auction Draft Board'!$C$6:$AP$25,A634)&gt;0,"",A634),"")</f>
        <v/>
      </c>
    </row>
    <row r="635">
      <c r="A635" t="str">
        <f>IFERROR(__xludf.DUMMYFUNCTION("IFERROR(REGEXEXTRACT('Manual Data Import'!B635, ""^(.*)\s+[A-Z]{2,4}\s+\(\d+\)$""),'Manual Data Import'!B635) &amp; CHAR(10) &amp; 
IFERROR(REGEXREPLACE('Manual Data Import'!C635, ""\d+$"", """")) &amp;"" - ""&amp; 
IFERROR(REGEXEXTRACT('Manual Data Import'!B635, ""([A-Z"&amp;"]{2,4})\s+\(\d+\)$"")) &amp; "" (""&amp; 
IFERROR(REGEXEXTRACT('Manual Data Import'!B635, ""\((\d+)\)"")) &amp; "")"""),"Riley Nowakowski 
TE - PIT (9)")</f>
        <v>Riley Nowakowski 
TE - PIT (9)</v>
      </c>
      <c r="B635" s="30" t="str">
        <f>IFERROR(IF(COUNTIF('Draft Board'!$C$3:$V$24,A635)+COUNTIF(Keepers!$B$2:$U$21,A635)+COUNTIF('Auction Draft Board'!$C$6:$AP$25,A635)&gt;0,"",A635),"")</f>
        <v/>
      </c>
    </row>
    <row r="636">
      <c r="A636" t="str">
        <f>IFERROR(__xludf.DUMMYFUNCTION("IFERROR(REGEXEXTRACT('Manual Data Import'!B636, ""^(.*)\s+[A-Z]{2,4}\s+\(\d+\)$""),'Manual Data Import'!B636) &amp; CHAR(10) &amp; 
IFERROR(REGEXREPLACE('Manual Data Import'!C636, ""\d+$"", """")) &amp;"" - ""&amp; 
IFERROR(REGEXEXTRACT('Manual Data Import'!B636, ""([A-Z"&amp;"]{2,4})\s+\(\d+\)$"")) &amp; "" (""&amp; 
IFERROR(REGEXEXTRACT('Manual Data Import'!B636, ""\((\d+)\)"")) &amp; "")"""),"Reggie Virgil 
WR - ARI (14)")</f>
        <v>Reggie Virgil 
WR - ARI (14)</v>
      </c>
      <c r="B636" s="30" t="str">
        <f>IFERROR(IF(COUNTIF('Draft Board'!$C$3:$V$24,A636)+COUNTIF(Keepers!$B$2:$U$21,A636)+COUNTIF('Auction Draft Board'!$C$6:$AP$25,A636)&gt;0,"",A636),"")</f>
        <v/>
      </c>
    </row>
    <row r="637">
      <c r="A637" t="str">
        <f>IFERROR(__xludf.DUMMYFUNCTION("IFERROR(REGEXEXTRACT('Manual Data Import'!B637, ""^(.*)\s+[A-Z]{2,4}\s+\(\d+\)$""),'Manual Data Import'!B637) &amp; CHAR(10) &amp; 
IFERROR(REGEXREPLACE('Manual Data Import'!C637, ""\d+$"", """")) &amp;"" - ""&amp; 
IFERROR(REGEXEXTRACT('Manual Data Import'!B637, ""([A-Z"&amp;"]{2,4})\s+\(\d+\)$"")) &amp; "" (""&amp; 
IFERROR(REGEXEXTRACT('Manual Data Import'!B637, ""\((\d+)\)"")) &amp; "")"""),"Reggie Gilliam 
RB - NE (11)")</f>
        <v>Reggie Gilliam 
RB - NE (11)</v>
      </c>
      <c r="B637" s="30" t="str">
        <f>IFERROR(IF(COUNTIF('Draft Board'!$C$3:$V$24,A637)+COUNTIF(Keepers!$B$2:$U$21,A637)+COUNTIF('Auction Draft Board'!$C$6:$AP$25,A637)&gt;0,"",A637),"")</f>
        <v/>
      </c>
    </row>
    <row r="638">
      <c r="A638" t="str">
        <f>IFERROR(__xludf.DUMMYFUNCTION("IFERROR(REGEXEXTRACT('Manual Data Import'!B638, ""^(.*)\s+[A-Z]{2,4}\s+\(\d+\)$""),'Manual Data Import'!B638) &amp; CHAR(10) &amp; 
IFERROR(REGEXREPLACE('Manual Data Import'!C638, ""\d+$"", """")) &amp;"" - ""&amp; 
IFERROR(REGEXEXTRACT('Manual Data Import'!B638, ""([A-Z"&amp;"]{2,4})\s+\(\d+\)$"")) &amp; "" (""&amp; 
IFERROR(REGEXEXTRACT('Manual Data Import'!B638, ""\((\d+)\)"")) &amp; "")"""),"Mitchell Trubisky 
QB - TEN (9)")</f>
        <v>Mitchell Trubisky 
QB - TEN (9)</v>
      </c>
      <c r="B638" s="30" t="str">
        <f>IFERROR(IF(COUNTIF('Draft Board'!$C$3:$V$24,A638)+COUNTIF(Keepers!$B$2:$U$21,A638)+COUNTIF('Auction Draft Board'!$C$6:$AP$25,A638)&gt;0,"",A638),"")</f>
        <v/>
      </c>
    </row>
    <row r="639">
      <c r="A639" t="str">
        <f>IFERROR(__xludf.DUMMYFUNCTION("IFERROR(REGEXEXTRACT('Manual Data Import'!B639, ""^(.*)\s+[A-Z]{2,4}\s+\(\d+\)$""),'Manual Data Import'!B639) &amp; CHAR(10) &amp; 
IFERROR(REGEXREPLACE('Manual Data Import'!C639, ""\d+$"", """")) &amp;"" - ""&amp; 
IFERROR(REGEXEXTRACT('Manual Data Import'!B639, ""([A-Z"&amp;"]{2,4})\s+\(\d+\)$"")) &amp; "" (""&amp; 
IFERROR(REGEXEXTRACT('Manual Data Import'!B639, ""\((\d+)\)"")) &amp; "")"""),"Cedric Tillman 
WR - CLE (11)")</f>
        <v>Cedric Tillman 
WR - CLE (11)</v>
      </c>
      <c r="B639" s="30" t="str">
        <f>IFERROR(IF(COUNTIF('Draft Board'!$C$3:$V$24,A639)+COUNTIF(Keepers!$B$2:$U$21,A639)+COUNTIF('Auction Draft Board'!$C$6:$AP$25,A639)&gt;0,"",A639),"")</f>
        <v/>
      </c>
    </row>
    <row r="640">
      <c r="A640" t="str">
        <f>IFERROR(__xludf.DUMMYFUNCTION("IFERROR(REGEXEXTRACT('Manual Data Import'!B640, ""^(.*)\s+[A-Z]{2,4}\s+\(\d+\)$""),'Manual Data Import'!B640) &amp; CHAR(10) &amp; 
IFERROR(REGEXREPLACE('Manual Data Import'!C640, ""\d+$"", """")) &amp;"" - ""&amp; 
IFERROR(REGEXEXTRACT('Manual Data Import'!B640, ""([A-Z"&amp;"]{2,4})\s+\(\d+\)$"")) &amp; "" (""&amp; 
IFERROR(REGEXEXTRACT('Manual Data Import'!B640, ""\((\d+)\)"")) &amp; "")"""),"Chris Manhertz 
TE - NYG (8)")</f>
        <v>Chris Manhertz 
TE - NYG (8)</v>
      </c>
      <c r="B640" s="30" t="str">
        <f>IFERROR(IF(COUNTIF('Draft Board'!$C$3:$V$24,A640)+COUNTIF(Keepers!$B$2:$U$21,A640)+COUNTIF('Auction Draft Board'!$C$6:$AP$25,A640)&gt;0,"",A640),"")</f>
        <v/>
      </c>
    </row>
    <row r="641">
      <c r="A641" t="str">
        <f>IFERROR(__xludf.DUMMYFUNCTION("IFERROR(REGEXEXTRACT('Manual Data Import'!B641, ""^(.*)\s+[A-Z]{2,4}\s+\(\d+\)$""),'Manual Data Import'!B641) &amp; CHAR(10) &amp; 
IFERROR(REGEXREPLACE('Manual Data Import'!C641, ""\d+$"", """")) &amp;"" - ""&amp; 
IFERROR(REGEXEXTRACT('Manual Data Import'!B641, ""([A-Z"&amp;"]{2,4})\s+\(\d+\)$"")) &amp; "" (""&amp; 
IFERROR(REGEXEXTRACT('Manual Data Import'!B641, ""\((\d+)\)"")) &amp; "")"""),"Arian Smith 
WR - NYJ (13)")</f>
        <v>Arian Smith 
WR - NYJ (13)</v>
      </c>
      <c r="B641" s="30" t="str">
        <f>IFERROR(IF(COUNTIF('Draft Board'!$C$3:$V$24,A641)+COUNTIF(Keepers!$B$2:$U$21,A641)+COUNTIF('Auction Draft Board'!$C$6:$AP$25,A641)&gt;0,"",A641),"")</f>
        <v/>
      </c>
    </row>
    <row r="642">
      <c r="A642" t="str">
        <f>IFERROR(__xludf.DUMMYFUNCTION("IFERROR(REGEXEXTRACT('Manual Data Import'!B642, ""^(.*)\s+[A-Z]{2,4}\s+\(\d+\)$""),'Manual Data Import'!B642) &amp; CHAR(10) &amp; 
IFERROR(REGEXREPLACE('Manual Data Import'!C642, ""\d+$"", """")) &amp;"" - ""&amp; 
IFERROR(REGEXEXTRACT('Manual Data Import'!B642, ""([A-Z"&amp;"]{2,4})\s+\(\d+\)$"")) &amp; "" (""&amp; 
IFERROR(REGEXEXTRACT('Manual Data Import'!B642, ""\((\d+)\)"")) &amp; "")"""),"Charlie Jones 
WR - CIN (6)")</f>
        <v>Charlie Jones 
WR - CIN (6)</v>
      </c>
      <c r="B642" s="30" t="str">
        <f>IFERROR(IF(COUNTIF('Draft Board'!$C$3:$V$24,A642)+COUNTIF(Keepers!$B$2:$U$21,A642)+COUNTIF('Auction Draft Board'!$C$6:$AP$25,A642)&gt;0,"",A642),"")</f>
        <v/>
      </c>
    </row>
    <row r="643">
      <c r="A643" t="str">
        <f>IFERROR(__xludf.DUMMYFUNCTION("IFERROR(REGEXEXTRACT('Manual Data Import'!B643, ""^(.*)\s+[A-Z]{2,4}\s+\(\d+\)$""),'Manual Data Import'!B643) &amp; CHAR(10) &amp; 
IFERROR(REGEXREPLACE('Manual Data Import'!C643, ""\d+$"", """")) &amp;"" - ""&amp; 
IFERROR(REGEXEXTRACT('Manual Data Import'!B643, ""([A-Z"&amp;"]{2,4})\s+\(\d+\)$"")) &amp; "" (""&amp; 
IFERROR(REGEXEXTRACT('Manual Data Import'!B643, ""\((\d+)\)"")) &amp; "")"""),"British Brooks 
RB - HOU (8)")</f>
        <v>British Brooks 
RB - HOU (8)</v>
      </c>
      <c r="B643" s="30" t="str">
        <f>IFERROR(IF(COUNTIF('Draft Board'!$C$3:$V$24,A643)+COUNTIF(Keepers!$B$2:$U$21,A643)+COUNTIF('Auction Draft Board'!$C$6:$AP$25,A643)&gt;0,"",A643),"")</f>
        <v/>
      </c>
    </row>
    <row r="644">
      <c r="A644" t="str">
        <f>IFERROR(__xludf.DUMMYFUNCTION("IFERROR(REGEXEXTRACT('Manual Data Import'!B644, ""^(.*)\s+[A-Z]{2,4}\s+\(\d+\)$""),'Manual Data Import'!B644) &amp; CHAR(10) &amp; 
IFERROR(REGEXREPLACE('Manual Data Import'!C644, ""\d+$"", """")) &amp;"" - ""&amp; 
IFERROR(REGEXEXTRACT('Manual Data Import'!B644, ""([A-Z"&amp;"]{2,4})\s+\(\d+\)$"")) &amp; "" (""&amp; 
IFERROR(REGEXEXTRACT('Manual Data Import'!B644, ""\((\d+)\)"")) &amp; "")"""),"LaJohntay Wester 
WR - BAL (13)")</f>
        <v>LaJohntay Wester 
WR - BAL (13)</v>
      </c>
      <c r="B644" s="30" t="str">
        <f>IFERROR(IF(COUNTIF('Draft Board'!$C$3:$V$24,A644)+COUNTIF(Keepers!$B$2:$U$21,A644)+COUNTIF('Auction Draft Board'!$C$6:$AP$25,A644)&gt;0,"",A644),"")</f>
        <v/>
      </c>
    </row>
    <row r="645">
      <c r="A645" t="str">
        <f>IFERROR(__xludf.DUMMYFUNCTION("IFERROR(REGEXEXTRACT('Manual Data Import'!B645, ""^(.*)\s+[A-Z]{2,4}\s+\(\d+\)$""),'Manual Data Import'!B645) &amp; CHAR(10) &amp; 
IFERROR(REGEXREPLACE('Manual Data Import'!C645, ""\d+$"", """")) &amp;"" - ""&amp; 
IFERROR(REGEXEXTRACT('Manual Data Import'!B645, ""([A-Z"&amp;"]{2,4})\s+\(\d+\)$"")) &amp; "" (""&amp; 
IFERROR(REGEXEXTRACT('Manual Data Import'!B645, ""\((\d+)\)"")) &amp; "")"""),"Britain Covey 
WR - PHI (10)")</f>
        <v>Britain Covey 
WR - PHI (10)</v>
      </c>
      <c r="B645" s="30" t="str">
        <f>IFERROR(IF(COUNTIF('Draft Board'!$C$3:$V$24,A645)+COUNTIF(Keepers!$B$2:$U$21,A645)+COUNTIF('Auction Draft Board'!$C$6:$AP$25,A645)&gt;0,"",A645),"")</f>
        <v/>
      </c>
    </row>
    <row r="646">
      <c r="A646" t="str">
        <f>IFERROR(__xludf.DUMMYFUNCTION("IFERROR(REGEXEXTRACT('Manual Data Import'!B646, ""^(.*)\s+[A-Z]{2,4}\s+\(\d+\)$""),'Manual Data Import'!B646) &amp; CHAR(10) &amp; 
IFERROR(REGEXREPLACE('Manual Data Import'!C646, ""\d+$"", """")) &amp;"" - ""&amp; 
IFERROR(REGEXEXTRACT('Manual Data Import'!B646, ""([A-Z"&amp;"]{2,4})\s+\(\d+\)$"")) &amp; "" (""&amp; 
IFERROR(REGEXEXTRACT('Manual Data Import'!B646, ""\((\d+)\)"")) &amp; "")"""),"Josh Cameron 
WR - JAC (7)")</f>
        <v>Josh Cameron 
WR - JAC (7)</v>
      </c>
      <c r="B646" s="30" t="str">
        <f>IFERROR(IF(COUNTIF('Draft Board'!$C$3:$V$24,A646)+COUNTIF(Keepers!$B$2:$U$21,A646)+COUNTIF('Auction Draft Board'!$C$6:$AP$25,A646)&gt;0,"",A646),"")</f>
        <v/>
      </c>
    </row>
    <row r="647">
      <c r="A647" t="str">
        <f>IFERROR(__xludf.DUMMYFUNCTION("IFERROR(REGEXEXTRACT('Manual Data Import'!B647, ""^(.*)\s+[A-Z]{2,4}\s+\(\d+\)$""),'Manual Data Import'!B647) &amp; CHAR(10) &amp; 
IFERROR(REGEXREPLACE('Manual Data Import'!C647, ""\d+$"", """")) &amp;"" - ""&amp; 
IFERROR(REGEXEXTRACT('Manual Data Import'!B647, ""([A-Z"&amp;"]{2,4})\s+\(\d+\)$"")) &amp; "" (""&amp; 
IFERROR(REGEXEXTRACT('Manual Data Import'!B647, ""\((\d+)\)"")) &amp; "")"""),"Mason Kinsey 
WR - TEN (9)")</f>
        <v>Mason Kinsey 
WR - TEN (9)</v>
      </c>
      <c r="B647" s="30" t="str">
        <f>IFERROR(IF(COUNTIF('Draft Board'!$C$3:$V$24,A647)+COUNTIF(Keepers!$B$2:$U$21,A647)+COUNTIF('Auction Draft Board'!$C$6:$AP$25,A647)&gt;0,"",A647),"")</f>
        <v/>
      </c>
    </row>
    <row r="648">
      <c r="A648" t="str">
        <f>IFERROR(__xludf.DUMMYFUNCTION("IFERROR(REGEXEXTRACT('Manual Data Import'!B648, ""^(.*)\s+[A-Z]{2,4}\s+\(\d+\)$""),'Manual Data Import'!B648) &amp; CHAR(10) &amp; 
IFERROR(REGEXREPLACE('Manual Data Import'!C648, ""\d+$"", """")) &amp;"" - ""&amp; 
IFERROR(REGEXEXTRACT('Manual Data Import'!B648, ""([A-Z"&amp;"]{2,4})\s+\(\d+\)$"")) &amp; "" (""&amp; 
IFERROR(REGEXEXTRACT('Manual Data Import'!B648, ""\((\d+)\)"")) &amp; "")"""),"River Cracraft
WR -  ()")</f>
        <v>River Cracraft
WR -  ()</v>
      </c>
      <c r="B648" s="30" t="str">
        <f>IFERROR(IF(COUNTIF('Draft Board'!$C$3:$V$24,A648)+COUNTIF(Keepers!$B$2:$U$21,A648)+COUNTIF('Auction Draft Board'!$C$6:$AP$25,A648)&gt;0,"",A648),"")</f>
        <v/>
      </c>
    </row>
    <row r="649">
      <c r="A649" t="str">
        <f>IFERROR(__xludf.DUMMYFUNCTION("IFERROR(REGEXEXTRACT('Manual Data Import'!B649, ""^(.*)\s+[A-Z]{2,4}\s+\(\d+\)$""),'Manual Data Import'!B649) &amp; CHAR(10) &amp; 
IFERROR(REGEXREPLACE('Manual Data Import'!C649, ""\d+$"", """")) &amp;"" - ""&amp; 
IFERROR(REGEXEXTRACT('Manual Data Import'!B649, ""([A-Z"&amp;"]{2,4})\s+\(\d+\)$"")) &amp; "" (""&amp; 
IFERROR(REGEXEXTRACT('Manual Data Import'!B649, ""\((\d+)\)"")) &amp; "")"""),"Cedrick Wilson Jr. 
WR - DET (6)")</f>
        <v>Cedrick Wilson Jr. 
WR - DET (6)</v>
      </c>
      <c r="B649" s="30" t="str">
        <f>IFERROR(IF(COUNTIF('Draft Board'!$C$3:$V$24,A649)+COUNTIF(Keepers!$B$2:$U$21,A649)+COUNTIF('Auction Draft Board'!$C$6:$AP$25,A649)&gt;0,"",A649),"")</f>
        <v/>
      </c>
    </row>
    <row r="650">
      <c r="A650" t="str">
        <f>IFERROR(__xludf.DUMMYFUNCTION("IFERROR(REGEXEXTRACT('Manual Data Import'!B650, ""^(.*)\s+[A-Z]{2,4}\s+\(\d+\)$""),'Manual Data Import'!B650) &amp; CHAR(10) &amp; 
IFERROR(REGEXREPLACE('Manual Data Import'!C650, ""\d+$"", """")) &amp;"" - ""&amp; 
IFERROR(REGEXEXTRACT('Manual Data Import'!B650, ""([A-Z"&amp;"]{2,4})\s+\(\d+\)$"")) &amp; "" (""&amp; 
IFERROR(REGEXEXTRACT('Manual Data Import'!B650, ""\((\d+)\)"")) &amp; "")"""),"Cooper Rush 
QB - ATL (11)")</f>
        <v>Cooper Rush 
QB - ATL (11)</v>
      </c>
      <c r="B650" s="30" t="str">
        <f>IFERROR(IF(COUNTIF('Draft Board'!$C$3:$V$24,A650)+COUNTIF(Keepers!$B$2:$U$21,A650)+COUNTIF('Auction Draft Board'!$C$6:$AP$25,A650)&gt;0,"",A650),"")</f>
        <v/>
      </c>
    </row>
    <row r="651">
      <c r="A651" t="str">
        <f>IFERROR(__xludf.DUMMYFUNCTION("IFERROR(REGEXEXTRACT('Manual Data Import'!B651, ""^(.*)\s+[A-Z]{2,4}\s+\(\d+\)$""),'Manual Data Import'!B651) &amp; CHAR(10) &amp; 
IFERROR(REGEXREPLACE('Manual Data Import'!C651, ""\d+$"", """")) &amp;"" - ""&amp; 
IFERROR(REGEXEXTRACT('Manual Data Import'!B651, ""([A-Z"&amp;"]{2,4})\s+\(\d+\)$"")) &amp; "" (""&amp; 
IFERROR(REGEXEXTRACT('Manual Data Import'!B651, ""\((\d+)\)"")) &amp; "")"""),"Dare Ogunbowale 
RB - LV (13)")</f>
        <v>Dare Ogunbowale 
RB - LV (13)</v>
      </c>
      <c r="B651" s="30" t="str">
        <f>IFERROR(IF(COUNTIF('Draft Board'!$C$3:$V$24,A651)+COUNTIF(Keepers!$B$2:$U$21,A651)+COUNTIF('Auction Draft Board'!$C$6:$AP$25,A651)&gt;0,"",A651),"")</f>
        <v/>
      </c>
    </row>
    <row r="652">
      <c r="A652" t="str">
        <f>IFERROR(__xludf.DUMMYFUNCTION("IFERROR(REGEXEXTRACT('Manual Data Import'!B652, ""^(.*)\s+[A-Z]{2,4}\s+\(\d+\)$""),'Manual Data Import'!B652) &amp; CHAR(10) &amp; 
IFERROR(REGEXREPLACE('Manual Data Import'!C652, ""\d+$"", """")) &amp;"" - ""&amp; 
IFERROR(REGEXEXTRACT('Manual Data Import'!B652, ""([A-Z"&amp;"]{2,4})\s+\(\d+\)$"")) &amp; "" (""&amp; 
IFERROR(REGEXEXTRACT('Manual Data Import'!B652, ""\((\d+)\)"")) &amp; "")"""),"Phillip Dorsett II 
WR - LV (13)")</f>
        <v>Phillip Dorsett II 
WR - LV (13)</v>
      </c>
      <c r="B652" s="30" t="str">
        <f>IFERROR(IF(COUNTIF('Draft Board'!$C$3:$V$24,A652)+COUNTIF(Keepers!$B$2:$U$21,A652)+COUNTIF('Auction Draft Board'!$C$6:$AP$25,A652)&gt;0,"",A652),"")</f>
        <v/>
      </c>
    </row>
    <row r="653">
      <c r="A653" t="str">
        <f>IFERROR(__xludf.DUMMYFUNCTION("IFERROR(REGEXEXTRACT('Manual Data Import'!B653, ""^(.*)\s+[A-Z]{2,4}\s+\(\d+\)$""),'Manual Data Import'!B653) &amp; CHAR(10) &amp; 
IFERROR(REGEXREPLACE('Manual Data Import'!C653, ""\d+$"", """")) &amp;"" - ""&amp; 
IFERROR(REGEXEXTRACT('Manual Data Import'!B653, ""([A-Z"&amp;"]{2,4})\s+\(\d+\)$"")) &amp; "" (""&amp; 
IFERROR(REGEXEXTRACT('Manual Data Import'!B653, ""\((\d+)\)"")) &amp; "")"""),"Scotty Miller 
WR - CHI (10)")</f>
        <v>Scotty Miller 
WR - CHI (10)</v>
      </c>
      <c r="B653" s="30" t="str">
        <f>IFERROR(IF(COUNTIF('Draft Board'!$C$3:$V$24,A653)+COUNTIF(Keepers!$B$2:$U$21,A653)+COUNTIF('Auction Draft Board'!$C$6:$AP$25,A653)&gt;0,"",A653),"")</f>
        <v/>
      </c>
    </row>
    <row r="654">
      <c r="A654" t="str">
        <f>IFERROR(__xludf.DUMMYFUNCTION("IFERROR(REGEXEXTRACT('Manual Data Import'!B654, ""^(.*)\s+[A-Z]{2,4}\s+\(\d+\)$""),'Manual Data Import'!B654) &amp; CHAR(10) &amp; 
IFERROR(REGEXREPLACE('Manual Data Import'!C654, ""\d+$"", """")) &amp;"" - ""&amp; 
IFERROR(REGEXEXTRACT('Manual Data Import'!B654, ""([A-Z"&amp;"]{2,4})\s+\(\d+\)$"")) &amp; "" (""&amp; 
IFERROR(REGEXEXTRACT('Manual Data Import'!B654, ""\((\d+)\)"")) &amp; "")"""),"Travis Homer 
RB - PIT (9)")</f>
        <v>Travis Homer 
RB - PIT (9)</v>
      </c>
      <c r="B654" s="30" t="str">
        <f>IFERROR(IF(COUNTIF('Draft Board'!$C$3:$V$24,A654)+COUNTIF(Keepers!$B$2:$U$21,A654)+COUNTIF('Auction Draft Board'!$C$6:$AP$25,A654)&gt;0,"",A654),"")</f>
        <v/>
      </c>
    </row>
    <row r="655">
      <c r="A655" t="str">
        <f>IFERROR(__xludf.DUMMYFUNCTION("IFERROR(REGEXEXTRACT('Manual Data Import'!B655, ""^(.*)\s+[A-Z]{2,4}\s+\(\d+\)$""),'Manual Data Import'!B655) &amp; CHAR(10) &amp; 
IFERROR(REGEXREPLACE('Manual Data Import'!C655, ""\d+$"", """")) &amp;"" - ""&amp; 
IFERROR(REGEXEXTRACT('Manual Data Import'!B655, ""([A-Z"&amp;"]{2,4})\s+\(\d+\)$"")) &amp; "" (""&amp; 
IFERROR(REGEXEXTRACT('Manual Data Import'!B655, ""\((\d+)\)"")) &amp; "")"""),"Tim Patrick 
WR - NYJ (13)")</f>
        <v>Tim Patrick 
WR - NYJ (13)</v>
      </c>
      <c r="B655" s="30" t="str">
        <f>IFERROR(IF(COUNTIF('Draft Board'!$C$3:$V$24,A655)+COUNTIF(Keepers!$B$2:$U$21,A655)+COUNTIF('Auction Draft Board'!$C$6:$AP$25,A655)&gt;0,"",A655),"")</f>
        <v/>
      </c>
    </row>
    <row r="656">
      <c r="A656" t="str">
        <f>IFERROR(__xludf.DUMMYFUNCTION("IFERROR(REGEXEXTRACT('Manual Data Import'!B656, ""^(.*)\s+[A-Z]{2,4}\s+\(\d+\)$""),'Manual Data Import'!B656) &amp; CHAR(10) &amp; 
IFERROR(REGEXREPLACE('Manual Data Import'!C656, ""\d+$"", """")) &amp;"" - ""&amp; 
IFERROR(REGEXEXTRACT('Manual Data Import'!B656, ""([A-Z"&amp;"]{2,4})\s+\(\d+\)$"")) &amp; "" (""&amp; 
IFERROR(REGEXEXTRACT('Manual Data Import'!B656, ""\((\d+)\)"")) &amp; "")"""),"Case Keenum 
QB - CHI (10)")</f>
        <v>Case Keenum 
QB - CHI (10)</v>
      </c>
      <c r="B656" s="30" t="str">
        <f>IFERROR(IF(COUNTIF('Draft Board'!$C$3:$V$24,A656)+COUNTIF(Keepers!$B$2:$U$21,A656)+COUNTIF('Auction Draft Board'!$C$6:$AP$25,A656)&gt;0,"",A656),"")</f>
        <v/>
      </c>
    </row>
    <row r="657">
      <c r="A657" t="str">
        <f>IFERROR(__xludf.DUMMYFUNCTION("IFERROR(REGEXEXTRACT('Manual Data Import'!B657, ""^(.*)\s+[A-Z]{2,4}\s+\(\d+\)$""),'Manual Data Import'!B657) &amp; CHAR(10) &amp; 
IFERROR(REGEXREPLACE('Manual Data Import'!C657, ""\d+$"", """")) &amp;"" - ""&amp; 
IFERROR(REGEXEXTRACT('Manual Data Import'!B657, ""([A-Z"&amp;"]{2,4})\s+\(\d+\)$"")) &amp; "" (""&amp; 
IFERROR(REGEXEXTRACT('Manual Data Import'!B657, ""\((\d+)\)"")) &amp; "")"""),"Josh Johnson 
QB - CIN (6)")</f>
        <v>Josh Johnson 
QB - CIN (6)</v>
      </c>
      <c r="B657" s="30" t="str">
        <f>IFERROR(IF(COUNTIF('Draft Board'!$C$3:$V$24,A657)+COUNTIF(Keepers!$B$2:$U$21,A657)+COUNTIF('Auction Draft Board'!$C$6:$AP$25,A657)&gt;0,"",A657),"")</f>
        <v/>
      </c>
    </row>
    <row r="658">
      <c r="A658" t="str">
        <f>IFERROR(__xludf.DUMMYFUNCTION("IFERROR(REGEXEXTRACT('Manual Data Import'!B658, ""^(.*)\s+[A-Z]{2,4}\s+\(\d+\)$""),'Manual Data Import'!B658) &amp; CHAR(10) &amp; 
IFERROR(REGEXREPLACE('Manual Data Import'!C658, ""\d+$"", """")) &amp;"" - ""&amp; 
IFERROR(REGEXEXTRACT('Manual Data Import'!B658, ""([A-Z"&amp;"]{2,4})\s+\(\d+\)$"")) &amp; "" (""&amp; 
IFERROR(REGEXEXTRACT('Manual Data Import'!B658, ""\((\d+)\)"")) &amp; "")"""),"Gunner Olszewski 
WR - NYG (8)")</f>
        <v>Gunner Olszewski 
WR - NYG (8)</v>
      </c>
      <c r="B658" s="30" t="str">
        <f>IFERROR(IF(COUNTIF('Draft Board'!$C$3:$V$24,A658)+COUNTIF(Keepers!$B$2:$U$21,A658)+COUNTIF('Auction Draft Board'!$C$6:$AP$25,A658)&gt;0,"",A658),"")</f>
        <v/>
      </c>
    </row>
    <row r="659">
      <c r="A659" t="str">
        <f>IFERROR(__xludf.DUMMYFUNCTION("IFERROR(REGEXEXTRACT('Manual Data Import'!B659, ""^(.*)\s+[A-Z]{2,4}\s+\(\d+\)$""),'Manual Data Import'!B659) &amp; CHAR(10) &amp; 
IFERROR(REGEXREPLACE('Manual Data Import'!C659, ""\d+$"", """")) &amp;"" - ""&amp; 
IFERROR(REGEXEXTRACT('Manual Data Import'!B659, ""([A-Z"&amp;"]{2,4})\s+\(\d+\)$"")) &amp; "" (""&amp; 
IFERROR(REGEXEXTRACT('Manual Data Import'!B659, ""\((\d+)\)"")) &amp; "")"""),"Tom Kennedy 
WR - DET (6)")</f>
        <v>Tom Kennedy 
WR - DET (6)</v>
      </c>
      <c r="B659" s="30" t="str">
        <f>IFERROR(IF(COUNTIF('Draft Board'!$C$3:$V$24,A659)+COUNTIF(Keepers!$B$2:$U$21,A659)+COUNTIF('Auction Draft Board'!$C$6:$AP$25,A659)&gt;0,"",A659),"")</f>
        <v/>
      </c>
    </row>
    <row r="660">
      <c r="A660" t="str">
        <f>IFERROR(__xludf.DUMMYFUNCTION("IFERROR(REGEXEXTRACT('Manual Data Import'!B660, ""^(.*)\s+[A-Z]{2,4}\s+\(\d+\)$""),'Manual Data Import'!B660) &amp; CHAR(10) &amp; 
IFERROR(REGEXREPLACE('Manual Data Import'!C660, ""\d+$"", """")) &amp;"" - ""&amp; 
IFERROR(REGEXEXTRACT('Manual Data Import'!B660, ""([A-Z"&amp;"]{2,4})\s+\(\d+\)$"")) &amp; "" (""&amp; 
IFERROR(REGEXEXTRACT('Manual Data Import'!B660, ""\((\d+)\)"")) &amp; "")"""),"Van Jefferson 
WR - WAS (7)")</f>
        <v>Van Jefferson 
WR - WAS (7)</v>
      </c>
      <c r="B660" s="30" t="str">
        <f>IFERROR(IF(COUNTIF('Draft Board'!$C$3:$V$24,A660)+COUNTIF(Keepers!$B$2:$U$21,A660)+COUNTIF('Auction Draft Board'!$C$6:$AP$25,A660)&gt;0,"",A660),"")</f>
        <v/>
      </c>
    </row>
    <row r="661">
      <c r="A661" t="str">
        <f>IFERROR(__xludf.DUMMYFUNCTION("IFERROR(REGEXEXTRACT('Manual Data Import'!B661, ""^(.*)\s+[A-Z]{2,4}\s+\(\d+\)$""),'Manual Data Import'!B661) &amp; CHAR(10) &amp; 
IFERROR(REGEXREPLACE('Manual Data Import'!C661, ""\d+$"", """")) &amp;"" - ""&amp; 
IFERROR(REGEXEXTRACT('Manual Data Import'!B661, ""([A-Z"&amp;"]{2,4})\s+\(\d+\)$"")) &amp; "" (""&amp; 
IFERROR(REGEXEXTRACT('Manual Data Import'!B661, ""\((\d+)\)"")) &amp; "")"""),"Quez Watkins 
WR - PHI (10)")</f>
        <v>Quez Watkins 
WR - PHI (10)</v>
      </c>
      <c r="B661" s="30" t="str">
        <f>IFERROR(IF(COUNTIF('Draft Board'!$C$3:$V$24,A661)+COUNTIF(Keepers!$B$2:$U$21,A661)+COUNTIF('Auction Draft Board'!$C$6:$AP$25,A661)&gt;0,"",A661),"")</f>
        <v/>
      </c>
    </row>
    <row r="662">
      <c r="A662" t="str">
        <f>IFERROR(__xludf.DUMMYFUNCTION("IFERROR(REGEXEXTRACT('Manual Data Import'!B662, ""^(.*)\s+[A-Z]{2,4}\s+\(\d+\)$""),'Manual Data Import'!B662) &amp; CHAR(10) &amp; 
IFERROR(REGEXREPLACE('Manual Data Import'!C662, ""\d+$"", """")) &amp;"" - ""&amp; 
IFERROR(REGEXEXTRACT('Manual Data Import'!B662, ""([A-Z"&amp;"]{2,4})\s+\(\d+\)$"")) &amp; "" (""&amp; 
IFERROR(REGEXEXTRACT('Manual Data Import'!B662, ""\((\d+)\)"")) &amp; "")"""),"Michael Carter 
RB - TEN (9)")</f>
        <v>Michael Carter 
RB - TEN (9)</v>
      </c>
      <c r="B662" s="30" t="str">
        <f>IFERROR(IF(COUNTIF('Draft Board'!$C$3:$V$24,A662)+COUNTIF(Keepers!$B$2:$U$21,A662)+COUNTIF('Auction Draft Board'!$C$6:$AP$25,A662)&gt;0,"",A662),"")</f>
        <v/>
      </c>
    </row>
    <row r="663">
      <c r="A663" t="str">
        <f>IFERROR(__xludf.DUMMYFUNCTION("IFERROR(REGEXEXTRACT('Manual Data Import'!B663, ""^(.*)\s+[A-Z]{2,4}\s+\(\d+\)$""),'Manual Data Import'!B663) &amp; CHAR(10) &amp; 
IFERROR(REGEXREPLACE('Manual Data Import'!C663, ""\d+$"", """")) &amp;"" - ""&amp; 
IFERROR(REGEXEXTRACT('Manual Data Import'!B663, ""([A-Z"&amp;"]{2,4})\s+\(\d+\)$"")) &amp; "" (""&amp; 
IFERROR(REGEXEXTRACT('Manual Data Import'!B663, ""\((\d+)\)"")) &amp; "")"""),"Elijah Moore 
WR - PHI (10)")</f>
        <v>Elijah Moore 
WR - PHI (10)</v>
      </c>
      <c r="B663" s="30" t="str">
        <f>IFERROR(IF(COUNTIF('Draft Board'!$C$3:$V$24,A663)+COUNTIF(Keepers!$B$2:$U$21,A663)+COUNTIF('Auction Draft Board'!$C$6:$AP$25,A663)&gt;0,"",A663),"")</f>
        <v/>
      </c>
    </row>
    <row r="664">
      <c r="A664" t="str">
        <f>IFERROR(__xludf.DUMMYFUNCTION("IFERROR(REGEXEXTRACT('Manual Data Import'!B664, ""^(.*)\s+[A-Z]{2,4}\s+\(\d+\)$""),'Manual Data Import'!B664) &amp; CHAR(10) &amp; 
IFERROR(REGEXREPLACE('Manual Data Import'!C664, ""\d+$"", """")) &amp;"" - ""&amp; 
IFERROR(REGEXEXTRACT('Manual Data Import'!B664, ""([A-Z"&amp;"]{2,4})\s+\(\d+\)$"")) &amp; "" (""&amp; 
IFERROR(REGEXEXTRACT('Manual Data Import'!B664, ""\((\d+)\)"")) &amp; "")"""),"Ihmir Smith-Marsette 
WR - ARI (14)")</f>
        <v>Ihmir Smith-Marsette 
WR - ARI (14)</v>
      </c>
      <c r="B664" s="30" t="str">
        <f>IFERROR(IF(COUNTIF('Draft Board'!$C$3:$V$24,A664)+COUNTIF(Keepers!$B$2:$U$21,A664)+COUNTIF('Auction Draft Board'!$C$6:$AP$25,A664)&gt;0,"",A664),"")</f>
        <v/>
      </c>
    </row>
    <row r="665">
      <c r="A665" t="str">
        <f>IFERROR(__xludf.DUMMYFUNCTION("IFERROR(REGEXEXTRACT('Manual Data Import'!B665, ""^(.*)\s+[A-Z]{2,4}\s+\(\d+\)$""),'Manual Data Import'!B665) &amp; CHAR(10) &amp; 
IFERROR(REGEXREPLACE('Manual Data Import'!C665, ""\d+$"", """")) &amp;"" - ""&amp; 
IFERROR(REGEXEXTRACT('Manual Data Import'!B665, ""([A-Z"&amp;"]{2,4})\s+\(\d+\)$"")) &amp; "" (""&amp; 
IFERROR(REGEXEXTRACT('Manual Data Import'!B665, ""\((\d+)\)"")) &amp; "")"""),"Cody White 
WR - SEA (11)")</f>
        <v>Cody White 
WR - SEA (11)</v>
      </c>
      <c r="B665" s="30" t="str">
        <f>IFERROR(IF(COUNTIF('Draft Board'!$C$3:$V$24,A665)+COUNTIF(Keepers!$B$2:$U$21,A665)+COUNTIF('Auction Draft Board'!$C$6:$AP$25,A665)&gt;0,"",A665),"")</f>
        <v/>
      </c>
    </row>
    <row r="666">
      <c r="A666" t="str">
        <f>IFERROR(__xludf.DUMMYFUNCTION("IFERROR(REGEXEXTRACT('Manual Data Import'!B666, ""^(.*)\s+[A-Z]{2,4}\s+\(\d+\)$""),'Manual Data Import'!B666) &amp; CHAR(10) &amp; 
IFERROR(REGEXREPLACE('Manual Data Import'!C666, ""\d+$"", """")) &amp;"" - ""&amp; 
IFERROR(REGEXEXTRACT('Manual Data Import'!B666, ""([A-Z"&amp;"]{2,4})\s+\(\d+\)$"")) &amp; "" (""&amp; 
IFERROR(REGEXEXTRACT('Manual Data Import'!B666, ""\((\d+)\)"")) &amp; "")"""),"Patrick Taylor Jr. 
RB - SF (8)")</f>
        <v>Patrick Taylor Jr. 
RB - SF (8)</v>
      </c>
      <c r="B666" s="30" t="str">
        <f>IFERROR(IF(COUNTIF('Draft Board'!$C$3:$V$24,A666)+COUNTIF(Keepers!$B$2:$U$21,A666)+COUNTIF('Auction Draft Board'!$C$6:$AP$25,A666)&gt;0,"",A666),"")</f>
        <v/>
      </c>
    </row>
    <row r="667">
      <c r="A667" t="str">
        <f>IFERROR(__xludf.DUMMYFUNCTION("IFERROR(REGEXEXTRACT('Manual Data Import'!B667, ""^(.*)\s+[A-Z]{2,4}\s+\(\d+\)$""),'Manual Data Import'!B667) &amp; CHAR(10) &amp; 
IFERROR(REGEXREPLACE('Manual Data Import'!C667, ""\d+$"", """")) &amp;"" - ""&amp; 
IFERROR(REGEXEXTRACT('Manual Data Import'!B667, ""([A-Z"&amp;"]{2,4})\s+\(\d+\)$"")) &amp; "" (""&amp; 
IFERROR(REGEXEXTRACT('Manual Data Import'!B667, ""\((\d+)\)"")) &amp; "")"""),"Zamir White 
RB - NO (8)")</f>
        <v>Zamir White 
RB - NO (8)</v>
      </c>
      <c r="B667" s="30" t="str">
        <f>IFERROR(IF(COUNTIF('Draft Board'!$C$3:$V$24,A667)+COUNTIF(Keepers!$B$2:$U$21,A667)+COUNTIF('Auction Draft Board'!$C$6:$AP$25,A667)&gt;0,"",A667),"")</f>
        <v/>
      </c>
    </row>
    <row r="668">
      <c r="A668" t="str">
        <f>IFERROR(__xludf.DUMMYFUNCTION("IFERROR(REGEXEXTRACT('Manual Data Import'!B668, ""^(.*)\s+[A-Z]{2,4}\s+\(\d+\)$""),'Manual Data Import'!B668) &amp; CHAR(10) &amp; 
IFERROR(REGEXREPLACE('Manual Data Import'!C668, ""\d+$"", """")) &amp;"" - ""&amp; 
IFERROR(REGEXEXTRACT('Manual Data Import'!B668, ""([A-Z"&amp;"]{2,4})\s+\(\d+\)$"")) &amp; "" (""&amp; 
IFERROR(REGEXEXTRACT('Manual Data Import'!B668, ""\((\d+)\)"")) &amp; "")"""),"Grant Calcaterra 
TE - PHI (10)")</f>
        <v>Grant Calcaterra 
TE - PHI (10)</v>
      </c>
      <c r="B668" s="30" t="str">
        <f>IFERROR(IF(COUNTIF('Draft Board'!$C$3:$V$24,A668)+COUNTIF(Keepers!$B$2:$U$21,A668)+COUNTIF('Auction Draft Board'!$C$6:$AP$25,A668)&gt;0,"",A668),"")</f>
        <v/>
      </c>
    </row>
    <row r="669">
      <c r="A669" t="str">
        <f>IFERROR(__xludf.DUMMYFUNCTION("IFERROR(REGEXEXTRACT('Manual Data Import'!B669, ""^(.*)\s+[A-Z]{2,4}\s+\(\d+\)$""),'Manual Data Import'!B669) &amp; CHAR(10) &amp; 
IFERROR(REGEXREPLACE('Manual Data Import'!C669, ""\d+$"", """")) &amp;"" - ""&amp; 
IFERROR(REGEXEXTRACT('Manual Data Import'!B669, ""([A-Z"&amp;"]{2,4})\s+\(\d+\)$"")) &amp; "" (""&amp; 
IFERROR(REGEXEXTRACT('Manual Data Import'!B669, ""\((\d+)\)"")) &amp; "")"""),"Ty Chandler 
RB - NO (8)")</f>
        <v>Ty Chandler 
RB - NO (8)</v>
      </c>
      <c r="B669" s="30" t="str">
        <f>IFERROR(IF(COUNTIF('Draft Board'!$C$3:$V$24,A669)+COUNTIF(Keepers!$B$2:$U$21,A669)+COUNTIF('Auction Draft Board'!$C$6:$AP$25,A669)&gt;0,"",A669),"")</f>
        <v/>
      </c>
    </row>
    <row r="670">
      <c r="A670" t="str">
        <f>IFERROR(__xludf.DUMMYFUNCTION("IFERROR(REGEXEXTRACT('Manual Data Import'!B670, ""^(.*)\s+[A-Z]{2,4}\s+\(\d+\)$""),'Manual Data Import'!B670) &amp; CHAR(10) &amp; 
IFERROR(REGEXREPLACE('Manual Data Import'!C670, ""\d+$"", """")) &amp;"" - ""&amp; 
IFERROR(REGEXEXTRACT('Manual Data Import'!B670, ""([A-Z"&amp;"]{2,4})\s+\(\d+\)$"")) &amp; "" (""&amp; 
IFERROR(REGEXEXTRACT('Manual Data Import'!B670, ""\((\d+)\)"")) &amp; "")"""),"Bailey Zappe 
QB - NYJ (13)")</f>
        <v>Bailey Zappe 
QB - NYJ (13)</v>
      </c>
      <c r="B670" s="30" t="str">
        <f>IFERROR(IF(COUNTIF('Draft Board'!$C$3:$V$24,A670)+COUNTIF(Keepers!$B$2:$U$21,A670)+COUNTIF('Auction Draft Board'!$C$6:$AP$25,A670)&gt;0,"",A670),"")</f>
        <v/>
      </c>
    </row>
    <row r="671">
      <c r="A671" t="str">
        <f>IFERROR(__xludf.DUMMYFUNCTION("IFERROR(REGEXEXTRACT('Manual Data Import'!B671, ""^(.*)\s+[A-Z]{2,4}\s+\(\d+\)$""),'Manual Data Import'!B671) &amp; CHAR(10) &amp; 
IFERROR(REGEXREPLACE('Manual Data Import'!C671, ""\d+$"", """")) &amp;"" - ""&amp; 
IFERROR(REGEXEXTRACT('Manual Data Import'!B671, ""([A-Z"&amp;"]{2,4})\s+\(\d+\)$"")) &amp; "" (""&amp; 
IFERROR(REGEXEXTRACT('Manual Data Import'!B671, ""\((\d+)\)"")) &amp; "")"""),"Julius Chestnut 
RB - TEN (9)")</f>
        <v>Julius Chestnut 
RB - TEN (9)</v>
      </c>
      <c r="B671" s="30" t="str">
        <f>IFERROR(IF(COUNTIF('Draft Board'!$C$3:$V$24,A671)+COUNTIF(Keepers!$B$2:$U$21,A671)+COUNTIF('Auction Draft Board'!$C$6:$AP$25,A671)&gt;0,"",A671),"")</f>
        <v/>
      </c>
    </row>
    <row r="672">
      <c r="A672" t="str">
        <f>IFERROR(__xludf.DUMMYFUNCTION("IFERROR(REGEXEXTRACT('Manual Data Import'!B672, ""^(.*)\s+[A-Z]{2,4}\s+\(\d+\)$""),'Manual Data Import'!B672) &amp; CHAR(10) &amp; 
IFERROR(REGEXREPLACE('Manual Data Import'!C672, ""\d+$"", """")) &amp;"" - ""&amp; 
IFERROR(REGEXEXTRACT('Manual Data Import'!B672, ""([A-Z"&amp;"]{2,4})\s+\(\d+\)$"")) &amp; "" (""&amp; 
IFERROR(REGEXEXTRACT('Manual Data Import'!B672, ""\((\d+)\)"")) &amp; "")"""),"Ronnie Rivers 
RB - LAR (11)")</f>
        <v>Ronnie Rivers 
RB - LAR (11)</v>
      </c>
      <c r="B672" s="30" t="str">
        <f>IFERROR(IF(COUNTIF('Draft Board'!$C$3:$V$24,A672)+COUNTIF(Keepers!$B$2:$U$21,A672)+COUNTIF('Auction Draft Board'!$C$6:$AP$25,A672)&gt;0,"",A672),"")</f>
        <v/>
      </c>
    </row>
    <row r="673">
      <c r="A673" t="str">
        <f>IFERROR(__xludf.DUMMYFUNCTION("IFERROR(REGEXEXTRACT('Manual Data Import'!B673, ""^(.*)\s+[A-Z]{2,4}\s+\(\d+\)$""),'Manual Data Import'!B673) &amp; CHAR(10) &amp; 
IFERROR(REGEXREPLACE('Manual Data Import'!C673, ""\d+$"", """")) &amp;"" - ""&amp; 
IFERROR(REGEXEXTRACT('Manual Data Import'!B673, ""([A-Z"&amp;"]{2,4})\s+\(\d+\)$"")) &amp; "" (""&amp; 
IFERROR(REGEXEXTRACT('Manual Data Import'!B673, ""\((\d+)\)"")) &amp; "")"""),"Will Levis 
QB - TEN (9)")</f>
        <v>Will Levis 
QB - TEN (9)</v>
      </c>
      <c r="B673" s="30" t="str">
        <f>IFERROR(IF(COUNTIF('Draft Board'!$C$3:$V$24,A673)+COUNTIF(Keepers!$B$2:$U$21,A673)+COUNTIF('Auction Draft Board'!$C$6:$AP$25,A673)&gt;0,"",A673),"")</f>
        <v/>
      </c>
    </row>
    <row r="674">
      <c r="A674" t="str">
        <f>IFERROR(__xludf.DUMMYFUNCTION("IFERROR(REGEXEXTRACT('Manual Data Import'!B674, ""^(.*)\s+[A-Z]{2,4}\s+\(\d+\)$""),'Manual Data Import'!B674) &amp; CHAR(10) &amp; 
IFERROR(REGEXREPLACE('Manual Data Import'!C674, ""\d+$"", """")) &amp;"" - ""&amp; 
IFERROR(REGEXEXTRACT('Manual Data Import'!B674, ""([A-Z"&amp;"]{2,4})\s+\(\d+\)$"")) &amp; "" (""&amp; 
IFERROR(REGEXEXTRACT('Manual Data Import'!B674, ""\((\d+)\)"")) &amp; "")"""),"Aidan O'Connell 
QB - LV (13)")</f>
        <v>Aidan O'Connell 
QB - LV (13)</v>
      </c>
      <c r="B674" s="30" t="str">
        <f>IFERROR(IF(COUNTIF('Draft Board'!$C$3:$V$24,A674)+COUNTIF(Keepers!$B$2:$U$21,A674)+COUNTIF('Auction Draft Board'!$C$6:$AP$25,A674)&gt;0,"",A674),"")</f>
        <v/>
      </c>
    </row>
    <row r="675">
      <c r="A675" t="str">
        <f>IFERROR(__xludf.DUMMYFUNCTION("IFERROR(REGEXEXTRACT('Manual Data Import'!B675, ""^(.*)\s+[A-Z]{2,4}\s+\(\d+\)$""),'Manual Data Import'!B675) &amp; CHAR(10) &amp; 
IFERROR(REGEXREPLACE('Manual Data Import'!C675, ""\d+$"", """")) &amp;"" - ""&amp; 
IFERROR(REGEXEXTRACT('Manual Data Import'!B675, ""([A-Z"&amp;"]{2,4})\s+\(\d+\)$"")) &amp; "" (""&amp; 
IFERROR(REGEXEXTRACT('Manual Data Import'!B675, ""\((\d+)\)"")) &amp; "")"""),"
 -  ()")</f>
        <v>
 -  ()</v>
      </c>
      <c r="B675" s="30" t="str">
        <f>IFERROR(IF(COUNTIF('Draft Board'!$C$3:$V$24,A675)+COUNTIF(Keepers!$B$2:$U$21,A675)+COUNTIF('Auction Draft Board'!$C$6:$AP$25,A675)&gt;0,"",A675),"")</f>
        <v/>
      </c>
    </row>
    <row r="676">
      <c r="A676" t="str">
        <f>IFERROR(__xludf.DUMMYFUNCTION("IFERROR(REGEXEXTRACT('Manual Data Import'!B676, ""^(.*)\s+[A-Z]{2,4}\s+\(\d+\)$""),'Manual Data Import'!B676) &amp; CHAR(10) &amp; 
IFERROR(REGEXREPLACE('Manual Data Import'!C676, ""\d+$"", """")) &amp;"" - ""&amp; 
IFERROR(REGEXEXTRACT('Manual Data Import'!B676, ""([A-Z"&amp;"]{2,4})\s+\(\d+\)$"")) &amp; "" (""&amp; 
IFERROR(REGEXEXTRACT('Manual Data Import'!B676, ""\((\d+)\)"")) &amp; "")"""),"
 -  ()")</f>
        <v>
 -  ()</v>
      </c>
      <c r="B676" s="30" t="str">
        <f>IFERROR(IF(COUNTIF('Draft Board'!$C$3:$V$24,A676)+COUNTIF(Keepers!$B$2:$U$21,A676)+COUNTIF('Auction Draft Board'!$C$6:$AP$25,A676)&gt;0,"",A676),"")</f>
        <v/>
      </c>
    </row>
    <row r="677">
      <c r="A677" t="str">
        <f>IFERROR(__xludf.DUMMYFUNCTION("IFERROR(REGEXEXTRACT('Manual Data Import'!B677, ""^(.*)\s+[A-Z]{2,4}\s+\(\d+\)$""),'Manual Data Import'!B677) &amp; CHAR(10) &amp; 
IFERROR(REGEXREPLACE('Manual Data Import'!C677, ""\d+$"", """")) &amp;"" - ""&amp; 
IFERROR(REGEXEXTRACT('Manual Data Import'!B677, ""([A-Z"&amp;"]{2,4})\s+\(\d+\)$"")) &amp; "" (""&amp; 
IFERROR(REGEXEXTRACT('Manual Data Import'!B677, ""\((\d+)\)"")) &amp; "")"""),"
 -  ()")</f>
        <v>
 -  ()</v>
      </c>
      <c r="B677" s="30" t="str">
        <f>IFERROR(IF(COUNTIF('Draft Board'!$C$3:$V$24,A677)+COUNTIF(Keepers!$B$2:$U$21,A677)+COUNTIF('Auction Draft Board'!$C$6:$AP$25,A677)&gt;0,"",A677),"")</f>
        <v/>
      </c>
    </row>
    <row r="678">
      <c r="A678" t="str">
        <f>IFERROR(__xludf.DUMMYFUNCTION("IFERROR(REGEXEXTRACT('Manual Data Import'!B678, ""^(.*)\s+[A-Z]{2,4}\s+\(\d+\)$""),'Manual Data Import'!B678) &amp; CHAR(10) &amp; 
IFERROR(REGEXREPLACE('Manual Data Import'!C678, ""\d+$"", """")) &amp;"" - ""&amp; 
IFERROR(REGEXEXTRACT('Manual Data Import'!B678, ""([A-Z"&amp;"]{2,4})\s+\(\d+\)$"")) &amp; "" (""&amp; 
IFERROR(REGEXEXTRACT('Manual Data Import'!B678, ""\((\d+)\)"")) &amp; "")"""),"
 -  ()")</f>
        <v>
 -  ()</v>
      </c>
      <c r="B678" s="30" t="str">
        <f>IFERROR(IF(COUNTIF('Draft Board'!$C$3:$V$24,A678)+COUNTIF(Keepers!$B$2:$U$21,A678)+COUNTIF('Auction Draft Board'!$C$6:$AP$25,A678)&gt;0,"",A678),"")</f>
        <v/>
      </c>
    </row>
    <row r="679">
      <c r="A679" t="str">
        <f>IFERROR(__xludf.DUMMYFUNCTION("IFERROR(REGEXEXTRACT('Manual Data Import'!B679, ""^(.*)\s+[A-Z]{2,4}\s+\(\d+\)$""),'Manual Data Import'!B679) &amp; CHAR(10) &amp; 
IFERROR(REGEXREPLACE('Manual Data Import'!C679, ""\d+$"", """")) &amp;"" - ""&amp; 
IFERROR(REGEXEXTRACT('Manual Data Import'!B679, ""([A-Z"&amp;"]{2,4})\s+\(\d+\)$"")) &amp; "" (""&amp; 
IFERROR(REGEXEXTRACT('Manual Data Import'!B679, ""\((\d+)\)"")) &amp; "")"""),"
 -  ()")</f>
        <v>
 -  ()</v>
      </c>
      <c r="B679" s="30" t="str">
        <f>IFERROR(IF(COUNTIF('Draft Board'!$C$3:$V$24,A679)+COUNTIF(Keepers!$B$2:$U$21,A679)+COUNTIF('Auction Draft Board'!$C$6:$AP$25,A679)&gt;0,"",A679),"")</f>
        <v/>
      </c>
    </row>
    <row r="680">
      <c r="A680" t="str">
        <f>IFERROR(__xludf.DUMMYFUNCTION("IFERROR(REGEXEXTRACT('Manual Data Import'!B680, ""^(.*)\s+[A-Z]{2,4}\s+\(\d+\)$""),'Manual Data Import'!B680) &amp; CHAR(10) &amp; 
IFERROR(REGEXREPLACE('Manual Data Import'!C680, ""\d+$"", """")) &amp;"" - ""&amp; 
IFERROR(REGEXEXTRACT('Manual Data Import'!B680, ""([A-Z"&amp;"]{2,4})\s+\(\d+\)$"")) &amp; "" (""&amp; 
IFERROR(REGEXEXTRACT('Manual Data Import'!B680, ""\((\d+)\)"")) &amp; "")"""),"
 -  ()")</f>
        <v>
 -  ()</v>
      </c>
      <c r="B680" s="30" t="str">
        <f>IFERROR(IF(COUNTIF('Draft Board'!$C$3:$V$24,A680)+COUNTIF(Keepers!$B$2:$U$21,A680)+COUNTIF('Auction Draft Board'!$C$6:$AP$25,A680)&gt;0,"",A680),"")</f>
        <v/>
      </c>
    </row>
    <row r="681">
      <c r="A681" t="str">
        <f>IFERROR(__xludf.DUMMYFUNCTION("IFERROR(REGEXEXTRACT('Manual Data Import'!B681, ""^(.*)\s+[A-Z]{2,4}\s+\(\d+\)$""),'Manual Data Import'!B681) &amp; CHAR(10) &amp; 
IFERROR(REGEXREPLACE('Manual Data Import'!C681, ""\d+$"", """")) &amp;"" - ""&amp; 
IFERROR(REGEXEXTRACT('Manual Data Import'!B681, ""([A-Z"&amp;"]{2,4})\s+\(\d+\)$"")) &amp; "" (""&amp; 
IFERROR(REGEXEXTRACT('Manual Data Import'!B681, ""\((\d+)\)"")) &amp; "")"""),"
 -  ()")</f>
        <v>
 -  ()</v>
      </c>
      <c r="B681" s="30" t="str">
        <f>IFERROR(IF(COUNTIF('Draft Board'!$C$3:$V$24,A681)+COUNTIF(Keepers!$B$2:$U$21,A681)+COUNTIF('Auction Draft Board'!$C$6:$AP$25,A681)&gt;0,"",A681),"")</f>
        <v/>
      </c>
    </row>
    <row r="682">
      <c r="A682" t="str">
        <f>IFERROR(__xludf.DUMMYFUNCTION("IFERROR(REGEXEXTRACT('Manual Data Import'!B682, ""^(.*)\s+[A-Z]{2,4}\s+\(\d+\)$""),'Manual Data Import'!B682) &amp; CHAR(10) &amp; 
IFERROR(REGEXREPLACE('Manual Data Import'!C682, ""\d+$"", """")) &amp;"" - ""&amp; 
IFERROR(REGEXEXTRACT('Manual Data Import'!B682, ""([A-Z"&amp;"]{2,4})\s+\(\d+\)$"")) &amp; "" (""&amp; 
IFERROR(REGEXEXTRACT('Manual Data Import'!B682, ""\((\d+)\)"")) &amp; "")"""),"
 -  ()")</f>
        <v>
 -  ()</v>
      </c>
      <c r="B682" s="30" t="str">
        <f>IFERROR(IF(COUNTIF('Draft Board'!$C$3:$V$24,A682)+COUNTIF(Keepers!$B$2:$U$21,A682)+COUNTIF('Auction Draft Board'!$C$6:$AP$25,A682)&gt;0,"",A682),"")</f>
        <v/>
      </c>
    </row>
    <row r="683">
      <c r="A683" t="str">
        <f>IFERROR(__xludf.DUMMYFUNCTION("IFERROR(REGEXEXTRACT('Manual Data Import'!B683, ""^(.*)\s+[A-Z]{2,4}\s+\(\d+\)$""),'Manual Data Import'!B683) &amp; CHAR(10) &amp; 
IFERROR(REGEXREPLACE('Manual Data Import'!C683, ""\d+$"", """")) &amp;"" - ""&amp; 
IFERROR(REGEXEXTRACT('Manual Data Import'!B683, ""([A-Z"&amp;"]{2,4})\s+\(\d+\)$"")) &amp; "" (""&amp; 
IFERROR(REGEXEXTRACT('Manual Data Import'!B683, ""\((\d+)\)"")) &amp; "")"""),"
 -  ()")</f>
        <v>
 -  ()</v>
      </c>
      <c r="B683" s="30" t="str">
        <f>IFERROR(IF(COUNTIF('Draft Board'!$C$3:$V$24,A683)+COUNTIF(Keepers!$B$2:$U$21,A683)+COUNTIF('Auction Draft Board'!$C$6:$AP$25,A683)&gt;0,"",A683),"")</f>
        <v/>
      </c>
    </row>
    <row r="684">
      <c r="A684" t="str">
        <f>IFERROR(__xludf.DUMMYFUNCTION("IFERROR(REGEXEXTRACT('Manual Data Import'!B684, ""^(.*)\s+[A-Z]{2,4}\s+\(\d+\)$""),'Manual Data Import'!B684) &amp; CHAR(10) &amp; 
IFERROR(REGEXREPLACE('Manual Data Import'!C684, ""\d+$"", """")) &amp;"" - ""&amp; 
IFERROR(REGEXEXTRACT('Manual Data Import'!B684, ""([A-Z"&amp;"]{2,4})\s+\(\d+\)$"")) &amp; "" (""&amp; 
IFERROR(REGEXEXTRACT('Manual Data Import'!B684, ""\((\d+)\)"")) &amp; "")"""),"
 -  ()")</f>
        <v>
 -  ()</v>
      </c>
      <c r="B684" s="30" t="str">
        <f>IFERROR(IF(COUNTIF('Draft Board'!$C$3:$V$24,A684)+COUNTIF(Keepers!$B$2:$U$21,A684)+COUNTIF('Auction Draft Board'!$C$6:$AP$25,A684)&gt;0,"",A684),"")</f>
        <v/>
      </c>
    </row>
    <row r="685">
      <c r="A685" t="str">
        <f>IFERROR(__xludf.DUMMYFUNCTION("IFERROR(REGEXEXTRACT('Manual Data Import'!B685, ""^(.*)\s+[A-Z]{2,4}\s+\(\d+\)$""),'Manual Data Import'!B685) &amp; CHAR(10) &amp; 
IFERROR(REGEXREPLACE('Manual Data Import'!C685, ""\d+$"", """")) &amp;"" - ""&amp; 
IFERROR(REGEXEXTRACT('Manual Data Import'!B685, ""([A-Z"&amp;"]{2,4})\s+\(\d+\)$"")) &amp; "" (""&amp; 
IFERROR(REGEXEXTRACT('Manual Data Import'!B685, ""\((\d+)\)"")) &amp; "")"""),"
 -  ()")</f>
        <v>
 -  ()</v>
      </c>
      <c r="B685" s="30" t="str">
        <f>IFERROR(IF(COUNTIF('Draft Board'!$C$3:$V$24,A685)+COUNTIF(Keepers!$B$2:$U$21,A685)+COUNTIF('Auction Draft Board'!$C$6:$AP$25,A685)&gt;0,"",A685),"")</f>
        <v/>
      </c>
    </row>
    <row r="686">
      <c r="A686" t="str">
        <f>IFERROR(__xludf.DUMMYFUNCTION("IFERROR(REGEXEXTRACT('Manual Data Import'!B686, ""^(.*)\s+[A-Z]{2,4}\s+\(\d+\)$""),'Manual Data Import'!B686) &amp; CHAR(10) &amp; 
IFERROR(REGEXREPLACE('Manual Data Import'!C686, ""\d+$"", """")) &amp;"" - ""&amp; 
IFERROR(REGEXEXTRACT('Manual Data Import'!B686, ""([A-Z"&amp;"]{2,4})\s+\(\d+\)$"")) &amp; "" (""&amp; 
IFERROR(REGEXEXTRACT('Manual Data Import'!B686, ""\((\d+)\)"")) &amp; "")"""),"
 -  ()")</f>
        <v>
 -  ()</v>
      </c>
      <c r="B686" s="30" t="str">
        <f>IFERROR(IF(COUNTIF('Draft Board'!$C$3:$V$24,A686)+COUNTIF(Keepers!$B$2:$U$21,A686)+COUNTIF('Auction Draft Board'!$C$6:$AP$25,A686)&gt;0,"",A686),"")</f>
        <v/>
      </c>
    </row>
    <row r="687">
      <c r="A687" t="str">
        <f>IFERROR(__xludf.DUMMYFUNCTION("IFERROR(REGEXEXTRACT('Manual Data Import'!B687, ""^(.*)\s+[A-Z]{2,4}\s+\(\d+\)$""),'Manual Data Import'!B687) &amp; CHAR(10) &amp; 
IFERROR(REGEXREPLACE('Manual Data Import'!C687, ""\d+$"", """")) &amp;"" - ""&amp; 
IFERROR(REGEXEXTRACT('Manual Data Import'!B687, ""([A-Z"&amp;"]{2,4})\s+\(\d+\)$"")) &amp; "" (""&amp; 
IFERROR(REGEXEXTRACT('Manual Data Import'!B687, ""\((\d+)\)"")) &amp; "")"""),"
 -  ()")</f>
        <v>
 -  ()</v>
      </c>
      <c r="B687" s="30" t="str">
        <f>IFERROR(IF(COUNTIF('Draft Board'!$C$3:$V$24,A687)+COUNTIF(Keepers!$B$2:$U$21,A687)+COUNTIF('Auction Draft Board'!$C$6:$AP$25,A687)&gt;0,"",A687),"")</f>
        <v/>
      </c>
    </row>
    <row r="688">
      <c r="A688" t="str">
        <f>IFERROR(__xludf.DUMMYFUNCTION("IFERROR(REGEXEXTRACT('Manual Data Import'!B688, ""^(.*)\s+[A-Z]{2,4}\s+\(\d+\)$""),'Manual Data Import'!B688) &amp; CHAR(10) &amp; 
IFERROR(REGEXREPLACE('Manual Data Import'!C688, ""\d+$"", """")) &amp;"" - ""&amp; 
IFERROR(REGEXEXTRACT('Manual Data Import'!B688, ""([A-Z"&amp;"]{2,4})\s+\(\d+\)$"")) &amp; "" (""&amp; 
IFERROR(REGEXEXTRACT('Manual Data Import'!B688, ""\((\d+)\)"")) &amp; "")"""),"
 -  ()")</f>
        <v>
 -  ()</v>
      </c>
      <c r="B688" s="30" t="str">
        <f>IFERROR(IF(COUNTIF('Draft Board'!$C$3:$V$24,A688)+COUNTIF(Keepers!$B$2:$U$21,A688)+COUNTIF('Auction Draft Board'!$C$6:$AP$25,A688)&gt;0,"",A688),"")</f>
        <v/>
      </c>
    </row>
    <row r="689">
      <c r="A689" t="str">
        <f>IFERROR(__xludf.DUMMYFUNCTION("IFERROR(REGEXEXTRACT('Manual Data Import'!B689, ""^(.*)\s+[A-Z]{2,4}\s+\(\d+\)$""),'Manual Data Import'!B689) &amp; CHAR(10) &amp; 
IFERROR(REGEXREPLACE('Manual Data Import'!C689, ""\d+$"", """")) &amp;"" - ""&amp; 
IFERROR(REGEXEXTRACT('Manual Data Import'!B689, ""([A-Z"&amp;"]{2,4})\s+\(\d+\)$"")) &amp; "" (""&amp; 
IFERROR(REGEXEXTRACT('Manual Data Import'!B689, ""\((\d+)\)"")) &amp; "")"""),"
 -  ()")</f>
        <v>
 -  ()</v>
      </c>
      <c r="B689" s="30" t="str">
        <f>IFERROR(IF(COUNTIF('Draft Board'!$C$3:$V$24,A689)+COUNTIF(Keepers!$B$2:$U$21,A689)+COUNTIF('Auction Draft Board'!$C$6:$AP$25,A689)&gt;0,"",A689),"")</f>
        <v/>
      </c>
    </row>
    <row r="690">
      <c r="A690" t="str">
        <f>IFERROR(__xludf.DUMMYFUNCTION("IFERROR(REGEXEXTRACT('Manual Data Import'!B690, ""^(.*)\s+[A-Z]{2,4}\s+\(\d+\)$""),'Manual Data Import'!B690) &amp; CHAR(10) &amp; 
IFERROR(REGEXREPLACE('Manual Data Import'!C690, ""\d+$"", """")) &amp;"" - ""&amp; 
IFERROR(REGEXEXTRACT('Manual Data Import'!B690, ""([A-Z"&amp;"]{2,4})\s+\(\d+\)$"")) &amp; "" (""&amp; 
IFERROR(REGEXEXTRACT('Manual Data Import'!B690, ""\((\d+)\)"")) &amp; "")"""),"
 -  ()")</f>
        <v>
 -  ()</v>
      </c>
      <c r="B690" s="30" t="str">
        <f>IFERROR(IF(COUNTIF('Draft Board'!$C$3:$V$24,A690)+COUNTIF(Keepers!$B$2:$U$21,A690)+COUNTIF('Auction Draft Board'!$C$6:$AP$25,A690)&gt;0,"",A690),"")</f>
        <v/>
      </c>
    </row>
    <row r="691">
      <c r="A691" t="str">
        <f>IFERROR(__xludf.DUMMYFUNCTION("IFERROR(REGEXEXTRACT('Manual Data Import'!B691, ""^(.*)\s+[A-Z]{2,4}\s+\(\d+\)$""),'Manual Data Import'!B691) &amp; CHAR(10) &amp; 
IFERROR(REGEXREPLACE('Manual Data Import'!C691, ""\d+$"", """")) &amp;"" - ""&amp; 
IFERROR(REGEXEXTRACT('Manual Data Import'!B691, ""([A-Z"&amp;"]{2,4})\s+\(\d+\)$"")) &amp; "" (""&amp; 
IFERROR(REGEXEXTRACT('Manual Data Import'!B691, ""\((\d+)\)"")) &amp; "")"""),"
 -  ()")</f>
        <v>
 -  ()</v>
      </c>
      <c r="B691" s="30" t="str">
        <f>IFERROR(IF(COUNTIF('Draft Board'!$C$3:$V$24,A691)+COUNTIF(Keepers!$B$2:$U$21,A691)+COUNTIF('Auction Draft Board'!$C$6:$AP$25,A691)&gt;0,"",A691),"")</f>
        <v/>
      </c>
    </row>
    <row r="692">
      <c r="A692" t="str">
        <f>IFERROR(__xludf.DUMMYFUNCTION("IFERROR(REGEXEXTRACT('Manual Data Import'!B692, ""^(.*)\s+[A-Z]{2,4}\s+\(\d+\)$""),'Manual Data Import'!B692) &amp; CHAR(10) &amp; 
IFERROR(REGEXREPLACE('Manual Data Import'!C692, ""\d+$"", """")) &amp;"" - ""&amp; 
IFERROR(REGEXEXTRACT('Manual Data Import'!B692, ""([A-Z"&amp;"]{2,4})\s+\(\d+\)$"")) &amp; "" (""&amp; 
IFERROR(REGEXEXTRACT('Manual Data Import'!B692, ""\((\d+)\)"")) &amp; "")"""),"
 -  ()")</f>
        <v>
 -  ()</v>
      </c>
      <c r="B692" s="30" t="str">
        <f>IFERROR(IF(COUNTIF('Draft Board'!$C$3:$V$24,A692)+COUNTIF(Keepers!$B$2:$U$21,A692)+COUNTIF('Auction Draft Board'!$C$6:$AP$25,A692)&gt;0,"",A692),"")</f>
        <v/>
      </c>
    </row>
    <row r="693">
      <c r="A693" t="str">
        <f>IFERROR(__xludf.DUMMYFUNCTION("IFERROR(REGEXEXTRACT('Manual Data Import'!B693, ""^(.*)\s+[A-Z]{2,4}\s+\(\d+\)$""),'Manual Data Import'!B693) &amp; CHAR(10) &amp; 
IFERROR(REGEXREPLACE('Manual Data Import'!C693, ""\d+$"", """")) &amp;"" - ""&amp; 
IFERROR(REGEXEXTRACT('Manual Data Import'!B693, ""([A-Z"&amp;"]{2,4})\s+\(\d+\)$"")) &amp; "" (""&amp; 
IFERROR(REGEXEXTRACT('Manual Data Import'!B693, ""\((\d+)\)"")) &amp; "")"""),"
 -  ()")</f>
        <v>
 -  ()</v>
      </c>
      <c r="B693" s="30" t="str">
        <f>IFERROR(IF(COUNTIF('Draft Board'!$C$3:$V$24,A693)+COUNTIF(Keepers!$B$2:$U$21,A693)+COUNTIF('Auction Draft Board'!$C$6:$AP$25,A693)&gt;0,"",A693),"")</f>
        <v/>
      </c>
    </row>
    <row r="694">
      <c r="A694" t="str">
        <f>IFERROR(__xludf.DUMMYFUNCTION("IFERROR(REGEXEXTRACT('Manual Data Import'!B694, ""^(.*)\s+[A-Z]{2,4}\s+\(\d+\)$""),'Manual Data Import'!B694) &amp; CHAR(10) &amp; 
IFERROR(REGEXREPLACE('Manual Data Import'!C694, ""\d+$"", """")) &amp;"" - ""&amp; 
IFERROR(REGEXEXTRACT('Manual Data Import'!B694, ""([A-Z"&amp;"]{2,4})\s+\(\d+\)$"")) &amp; "" (""&amp; 
IFERROR(REGEXEXTRACT('Manual Data Import'!B694, ""\((\d+)\)"")) &amp; "")"""),"
 -  ()")</f>
        <v>
 -  ()</v>
      </c>
      <c r="B694" s="30" t="str">
        <f>IFERROR(IF(COUNTIF('Draft Board'!$C$3:$V$24,A694)+COUNTIF(Keepers!$B$2:$U$21,A694)+COUNTIF('Auction Draft Board'!$C$6:$AP$25,A694)&gt;0,"",A694),"")</f>
        <v/>
      </c>
    </row>
    <row r="695">
      <c r="A695" t="str">
        <f>IFERROR(__xludf.DUMMYFUNCTION("IFERROR(REGEXEXTRACT('Manual Data Import'!B695, ""^(.*)\s+[A-Z]{2,4}\s+\(\d+\)$""),'Manual Data Import'!B695) &amp; CHAR(10) &amp; 
IFERROR(REGEXREPLACE('Manual Data Import'!C695, ""\d+$"", """")) &amp;"" - ""&amp; 
IFERROR(REGEXEXTRACT('Manual Data Import'!B695, ""([A-Z"&amp;"]{2,4})\s+\(\d+\)$"")) &amp; "" (""&amp; 
IFERROR(REGEXEXTRACT('Manual Data Import'!B695, ""\((\d+)\)"")) &amp; "")"""),"
 -  ()")</f>
        <v>
 -  ()</v>
      </c>
      <c r="B695" s="30" t="str">
        <f>IFERROR(IF(COUNTIF('Draft Board'!$C$3:$V$24,A695)+COUNTIF(Keepers!$B$2:$U$21,A695)+COUNTIF('Auction Draft Board'!$C$6:$AP$25,A695)&gt;0,"",A695),"")</f>
        <v/>
      </c>
    </row>
    <row r="696">
      <c r="A696" t="str">
        <f>IFERROR(__xludf.DUMMYFUNCTION("IFERROR(REGEXEXTRACT('Manual Data Import'!B696, ""^(.*)\s+[A-Z]{2,4}\s+\(\d+\)$""),'Manual Data Import'!B696) &amp; CHAR(10) &amp; 
IFERROR(REGEXREPLACE('Manual Data Import'!C696, ""\d+$"", """")) &amp;"" - ""&amp; 
IFERROR(REGEXEXTRACT('Manual Data Import'!B696, ""([A-Z"&amp;"]{2,4})\s+\(\d+\)$"")) &amp; "" (""&amp; 
IFERROR(REGEXEXTRACT('Manual Data Import'!B696, ""\((\d+)\)"")) &amp; "")"""),"
 -  ()")</f>
        <v>
 -  ()</v>
      </c>
      <c r="B696" s="30" t="str">
        <f>IFERROR(IF(COUNTIF('Draft Board'!$C$3:$V$24,A696)+COUNTIF(Keepers!$B$2:$U$21,A696)+COUNTIF('Auction Draft Board'!$C$6:$AP$25,A696)&gt;0,"",A696),"")</f>
        <v/>
      </c>
    </row>
    <row r="697">
      <c r="A697" t="str">
        <f>IFERROR(__xludf.DUMMYFUNCTION("IFERROR(REGEXEXTRACT('Manual Data Import'!B697, ""^(.*)\s+[A-Z]{2,4}\s+\(\d+\)$""),'Manual Data Import'!B697) &amp; CHAR(10) &amp; 
IFERROR(REGEXREPLACE('Manual Data Import'!C697, ""\d+$"", """")) &amp;"" - ""&amp; 
IFERROR(REGEXEXTRACT('Manual Data Import'!B697, ""([A-Z"&amp;"]{2,4})\s+\(\d+\)$"")) &amp; "" (""&amp; 
IFERROR(REGEXEXTRACT('Manual Data Import'!B697, ""\((\d+)\)"")) &amp; "")"""),"
 -  ()")</f>
        <v>
 -  ()</v>
      </c>
      <c r="B697" s="30" t="str">
        <f>IFERROR(IF(COUNTIF('Draft Board'!$C$3:$V$24,A697)+COUNTIF(Keepers!$B$2:$U$21,A697)+COUNTIF('Auction Draft Board'!$C$6:$AP$25,A697)&gt;0,"",A697),"")</f>
        <v/>
      </c>
    </row>
    <row r="698">
      <c r="A698" t="str">
        <f>IFERROR(__xludf.DUMMYFUNCTION("IFERROR(REGEXEXTRACT('Manual Data Import'!B698, ""^(.*)\s+[A-Z]{2,4}\s+\(\d+\)$""),'Manual Data Import'!B698) &amp; CHAR(10) &amp; 
IFERROR(REGEXREPLACE('Manual Data Import'!C698, ""\d+$"", """")) &amp;"" - ""&amp; 
IFERROR(REGEXEXTRACT('Manual Data Import'!B698, ""([A-Z"&amp;"]{2,4})\s+\(\d+\)$"")) &amp; "" (""&amp; 
IFERROR(REGEXEXTRACT('Manual Data Import'!B698, ""\((\d+)\)"")) &amp; "")"""),"
 -  ()")</f>
        <v>
 -  ()</v>
      </c>
      <c r="B698" s="30" t="str">
        <f>IFERROR(IF(COUNTIF('Draft Board'!$C$3:$V$24,A698)+COUNTIF(Keepers!$B$2:$U$21,A698)+COUNTIF('Auction Draft Board'!$C$6:$AP$25,A698)&gt;0,"",A698),"")</f>
        <v/>
      </c>
    </row>
    <row r="699">
      <c r="A699" t="str">
        <f>IFERROR(__xludf.DUMMYFUNCTION("IFERROR(REGEXEXTRACT('Manual Data Import'!B699, ""^(.*)\s+[A-Z]{2,4}\s+\(\d+\)$""),'Manual Data Import'!B699) &amp; CHAR(10) &amp; 
IFERROR(REGEXREPLACE('Manual Data Import'!C699, ""\d+$"", """")) &amp;"" - ""&amp; 
IFERROR(REGEXEXTRACT('Manual Data Import'!B699, ""([A-Z"&amp;"]{2,4})\s+\(\d+\)$"")) &amp; "" (""&amp; 
IFERROR(REGEXEXTRACT('Manual Data Import'!B699, ""\((\d+)\)"")) &amp; "")"""),"
 -  ()")</f>
        <v>
 -  ()</v>
      </c>
      <c r="B699" s="30" t="str">
        <f>IFERROR(IF(COUNTIF('Draft Board'!$C$3:$V$24,A699)+COUNTIF(Keepers!$B$2:$U$21,A699)+COUNTIF('Auction Draft Board'!$C$6:$AP$25,A699)&gt;0,"",A699),"")</f>
        <v/>
      </c>
    </row>
    <row r="700">
      <c r="A700" t="str">
        <f>IFERROR(__xludf.DUMMYFUNCTION("IFERROR(REGEXEXTRACT('Manual Data Import'!B700, ""^(.*)\s+[A-Z]{2,4}\s+\(\d+\)$""),'Manual Data Import'!B700) &amp; CHAR(10) &amp; 
IFERROR(REGEXREPLACE('Manual Data Import'!C700, ""\d+$"", """")) &amp;"" - ""&amp; 
IFERROR(REGEXEXTRACT('Manual Data Import'!B700, ""([A-Z"&amp;"]{2,4})\s+\(\d+\)$"")) &amp; "" (""&amp; 
IFERROR(REGEXEXTRACT('Manual Data Import'!B700, ""\((\d+)\)"")) &amp; "")"""),"
 -  ()")</f>
        <v>
 -  ()</v>
      </c>
      <c r="B700" s="30" t="str">
        <f>IFERROR(IF(COUNTIF('Draft Board'!$C$3:$V$24,A700)+COUNTIF(Keepers!$B$2:$U$21,A700)+COUNTIF('Auction Draft Board'!$C$6:$AP$25,A700)&gt;0,"",A700),"")</f>
        <v/>
      </c>
    </row>
    <row r="701">
      <c r="A701" t="str">
        <f>IFERROR(__xludf.DUMMYFUNCTION("IFERROR(REGEXEXTRACT('Manual Data Import'!B701, ""^(.*)\s+[A-Z]{2,4}\s+\(\d+\)$""),'Manual Data Import'!B701) &amp; CHAR(10) &amp; 
IFERROR(REGEXREPLACE('Manual Data Import'!C701, ""\d+$"", """")) &amp;"" - ""&amp; 
IFERROR(REGEXEXTRACT('Manual Data Import'!B701, ""([A-Z"&amp;"]{2,4})\s+\(\d+\)$"")) &amp; "" (""&amp; 
IFERROR(REGEXEXTRACT('Manual Data Import'!B701, ""\((\d+)\)"")) &amp; "")"""),"
 -  ()")</f>
        <v>
 -  ()</v>
      </c>
      <c r="B701" s="30" t="str">
        <f>IFERROR(IF(COUNTIF('Draft Board'!$C$3:$V$24,A701)+COUNTIF(Keepers!$B$2:$U$21,A701)+COUNTIF('Auction Draft Board'!$C$6:$AP$25,A701)&gt;0,"",A701),"")</f>
        <v/>
      </c>
    </row>
    <row r="702">
      <c r="A702" t="str">
        <f>IFERROR(__xludf.DUMMYFUNCTION("IFERROR(REGEXEXTRACT('Manual Data Import'!B702, ""^(.*)\s+[A-Z]{2,4}\s+\(\d+\)$""),'Manual Data Import'!B702) &amp; CHAR(10) &amp; 
IFERROR(REGEXREPLACE('Manual Data Import'!C702, ""\d+$"", """")) &amp;"" - ""&amp; 
IFERROR(REGEXEXTRACT('Manual Data Import'!B702, ""([A-Z"&amp;"]{2,4})\s+\(\d+\)$"")) &amp; "" (""&amp; 
IFERROR(REGEXEXTRACT('Manual Data Import'!B702, ""\((\d+)\)"")) &amp; "")"""),"
 -  ()")</f>
        <v>
 -  ()</v>
      </c>
      <c r="B702" s="30" t="str">
        <f>IFERROR(IF(COUNTIF('Draft Board'!$C$3:$V$24,A702)+COUNTIF(Keepers!$B$2:$U$21,A702)+COUNTIF('Auction Draft Board'!$C$6:$AP$25,A702)&gt;0,"",A702),"")</f>
        <v/>
      </c>
    </row>
    <row r="703">
      <c r="A703" t="str">
        <f>IFERROR(__xludf.DUMMYFUNCTION("IFERROR(REGEXEXTRACT('Manual Data Import'!B703, ""^(.*)\s+[A-Z]{2,4}\s+\(\d+\)$""),'Manual Data Import'!B703) &amp; CHAR(10) &amp; 
IFERROR(REGEXREPLACE('Manual Data Import'!C703, ""\d+$"", """")) &amp;"" - ""&amp; 
IFERROR(REGEXEXTRACT('Manual Data Import'!B703, ""([A-Z"&amp;"]{2,4})\s+\(\d+\)$"")) &amp; "" (""&amp; 
IFERROR(REGEXEXTRACT('Manual Data Import'!B703, ""\((\d+)\)"")) &amp; "")"""),"
 -  ()")</f>
        <v>
 -  ()</v>
      </c>
      <c r="B703" s="30" t="str">
        <f>IFERROR(IF(COUNTIF('Draft Board'!$C$3:$V$24,A703)+COUNTIF(Keepers!$B$2:$U$21,A703)+COUNTIF('Auction Draft Board'!$C$6:$AP$25,A703)&gt;0,"",A703),"")</f>
        <v/>
      </c>
    </row>
    <row r="704">
      <c r="A704" t="str">
        <f>IFERROR(__xludf.DUMMYFUNCTION("IFERROR(REGEXEXTRACT('Manual Data Import'!B704, ""^(.*)\s+[A-Z]{2,4}\s+\(\d+\)$""),'Manual Data Import'!B704) &amp; CHAR(10) &amp; 
IFERROR(REGEXREPLACE('Manual Data Import'!C704, ""\d+$"", """")) &amp;"" - ""&amp; 
IFERROR(REGEXEXTRACT('Manual Data Import'!B704, ""([A-Z"&amp;"]{2,4})\s+\(\d+\)$"")) &amp; "" (""&amp; 
IFERROR(REGEXEXTRACT('Manual Data Import'!B704, ""\((\d+)\)"")) &amp; "")"""),"
 -  ()")</f>
        <v>
 -  ()</v>
      </c>
      <c r="B704" s="30" t="str">
        <f>IFERROR(IF(COUNTIF('Draft Board'!$C$3:$V$24,A704)+COUNTIF(Keepers!$B$2:$U$21,A704)+COUNTIF('Auction Draft Board'!$C$6:$AP$25,A704)&gt;0,"",A704),"")</f>
        <v/>
      </c>
    </row>
    <row r="705">
      <c r="A705" t="str">
        <f>IFERROR(__xludf.DUMMYFUNCTION("IFERROR(REGEXEXTRACT('Manual Data Import'!B705, ""^(.*)\s+[A-Z]{2,4}\s+\(\d+\)$""),'Manual Data Import'!B705) &amp; CHAR(10) &amp; 
IFERROR(REGEXREPLACE('Manual Data Import'!C705, ""\d+$"", """")) &amp;"" - ""&amp; 
IFERROR(REGEXEXTRACT('Manual Data Import'!B705, ""([A-Z"&amp;"]{2,4})\s+\(\d+\)$"")) &amp; "" (""&amp; 
IFERROR(REGEXEXTRACT('Manual Data Import'!B705, ""\((\d+)\)"")) &amp; "")"""),"
 -  ()")</f>
        <v>
 -  ()</v>
      </c>
      <c r="B705" s="30" t="str">
        <f>IFERROR(IF(COUNTIF('Draft Board'!$C$3:$V$24,A705)+COUNTIF(Keepers!$B$2:$U$21,A705)+COUNTIF('Auction Draft Board'!$C$6:$AP$25,A705)&gt;0,"",A705),"")</f>
        <v/>
      </c>
    </row>
    <row r="706">
      <c r="A706" t="str">
        <f>IFERROR(__xludf.DUMMYFUNCTION("IFERROR(REGEXEXTRACT('Manual Data Import'!B706, ""^(.*)\s+[A-Z]{2,4}\s+\(\d+\)$""),'Manual Data Import'!B706) &amp; CHAR(10) &amp; 
IFERROR(REGEXREPLACE('Manual Data Import'!C706, ""\d+$"", """")) &amp;"" - ""&amp; 
IFERROR(REGEXEXTRACT('Manual Data Import'!B706, ""([A-Z"&amp;"]{2,4})\s+\(\d+\)$"")) &amp; "" (""&amp; 
IFERROR(REGEXEXTRACT('Manual Data Import'!B706, ""\((\d+)\)"")) &amp; "")"""),"
 -  ()")</f>
        <v>
 -  ()</v>
      </c>
      <c r="B706" s="30" t="str">
        <f>IFERROR(IF(COUNTIF('Draft Board'!$C$3:$V$24,A706)+COUNTIF(Keepers!$B$2:$U$21,A706)+COUNTIF('Auction Draft Board'!$C$6:$AP$25,A706)&gt;0,"",A706),"")</f>
        <v/>
      </c>
    </row>
    <row r="707">
      <c r="A707" t="str">
        <f>IFERROR(__xludf.DUMMYFUNCTION("IFERROR(REGEXEXTRACT('Manual Data Import'!B707, ""^(.*)\s+[A-Z]{2,4}\s+\(\d+\)$""),'Manual Data Import'!B707) &amp; CHAR(10) &amp; 
IFERROR(REGEXREPLACE('Manual Data Import'!C707, ""\d+$"", """")) &amp;"" - ""&amp; 
IFERROR(REGEXEXTRACT('Manual Data Import'!B707, ""([A-Z"&amp;"]{2,4})\s+\(\d+\)$"")) &amp; "" (""&amp; 
IFERROR(REGEXEXTRACT('Manual Data Import'!B707, ""\((\d+)\)"")) &amp; "")"""),"
 -  ()")</f>
        <v>
 -  ()</v>
      </c>
      <c r="B707" s="30" t="str">
        <f>IFERROR(IF(COUNTIF('Draft Board'!$C$3:$V$24,A707)+COUNTIF(Keepers!$B$2:$U$21,A707)+COUNTIF('Auction Draft Board'!$C$6:$AP$25,A707)&gt;0,"",A707),"")</f>
        <v/>
      </c>
    </row>
    <row r="708">
      <c r="A708" t="str">
        <f>IFERROR(__xludf.DUMMYFUNCTION("IFERROR(REGEXEXTRACT('Manual Data Import'!B708, ""^(.*)\s+[A-Z]{2,4}\s+\(\d+\)$""),'Manual Data Import'!B708) &amp; CHAR(10) &amp; 
IFERROR(REGEXREPLACE('Manual Data Import'!C708, ""\d+$"", """")) &amp;"" - ""&amp; 
IFERROR(REGEXEXTRACT('Manual Data Import'!B708, ""([A-Z"&amp;"]{2,4})\s+\(\d+\)$"")) &amp; "" (""&amp; 
IFERROR(REGEXEXTRACT('Manual Data Import'!B708, ""\((\d+)\)"")) &amp; "")"""),"
 -  ()")</f>
        <v>
 -  ()</v>
      </c>
      <c r="B708" s="30" t="str">
        <f>IFERROR(IF(COUNTIF('Draft Board'!$C$3:$V$24,A708)+COUNTIF(Keepers!$B$2:$U$21,A708)+COUNTIF('Auction Draft Board'!$C$6:$AP$25,A708)&gt;0,"",A708),"")</f>
        <v/>
      </c>
    </row>
    <row r="709">
      <c r="A709" t="str">
        <f>IFERROR(__xludf.DUMMYFUNCTION("IFERROR(REGEXEXTRACT('Manual Data Import'!B709, ""^(.*)\s+[A-Z]{2,4}\s+\(\d+\)$""),'Manual Data Import'!B709) &amp; CHAR(10) &amp; 
IFERROR(REGEXREPLACE('Manual Data Import'!C709, ""\d+$"", """")) &amp;"" - ""&amp; 
IFERROR(REGEXEXTRACT('Manual Data Import'!B709, ""([A-Z"&amp;"]{2,4})\s+\(\d+\)$"")) &amp; "" (""&amp; 
IFERROR(REGEXEXTRACT('Manual Data Import'!B709, ""\((\d+)\)"")) &amp; "")"""),"
 -  ()")</f>
        <v>
 -  ()</v>
      </c>
      <c r="B709" s="30" t="str">
        <f>IFERROR(IF(COUNTIF('Draft Board'!$C$3:$V$24,A709)+COUNTIF(Keepers!$B$2:$U$21,A709)+COUNTIF('Auction Draft Board'!$C$6:$AP$25,A709)&gt;0,"",A709),"")</f>
        <v/>
      </c>
    </row>
    <row r="710">
      <c r="A710" t="str">
        <f>IFERROR(__xludf.DUMMYFUNCTION("IFERROR(REGEXEXTRACT('Manual Data Import'!B710, ""^(.*)\s+[A-Z]{2,4}\s+\(\d+\)$""),'Manual Data Import'!B710) &amp; CHAR(10) &amp; 
IFERROR(REGEXREPLACE('Manual Data Import'!C710, ""\d+$"", """")) &amp;"" - ""&amp; 
IFERROR(REGEXEXTRACT('Manual Data Import'!B710, ""([A-Z"&amp;"]{2,4})\s+\(\d+\)$"")) &amp; "" (""&amp; 
IFERROR(REGEXEXTRACT('Manual Data Import'!B710, ""\((\d+)\)"")) &amp; "")"""),"
 -  ()")</f>
        <v>
 -  ()</v>
      </c>
      <c r="B710" s="30" t="str">
        <f>IFERROR(IF(COUNTIF('Draft Board'!$C$3:$V$24,A710)+COUNTIF(Keepers!$B$2:$U$21,A710)+COUNTIF('Auction Draft Board'!$C$6:$AP$25,A710)&gt;0,"",A710),"")</f>
        <v/>
      </c>
    </row>
    <row r="711">
      <c r="A711" t="str">
        <f>IFERROR(__xludf.DUMMYFUNCTION("IFERROR(REGEXEXTRACT('Manual Data Import'!B711, ""^(.*)\s+[A-Z]{2,4}\s+\(\d+\)$""),'Manual Data Import'!B711) &amp; CHAR(10) &amp; 
IFERROR(REGEXREPLACE('Manual Data Import'!C711, ""\d+$"", """")) &amp;"" - ""&amp; 
IFERROR(REGEXEXTRACT('Manual Data Import'!B711, ""([A-Z"&amp;"]{2,4})\s+\(\d+\)$"")) &amp; "" (""&amp; 
IFERROR(REGEXEXTRACT('Manual Data Import'!B711, ""\((\d+)\)"")) &amp; "")"""),"
 -  ()")</f>
        <v>
 -  ()</v>
      </c>
      <c r="B711" s="30" t="str">
        <f>IFERROR(IF(COUNTIF('Draft Board'!$C$3:$V$24,A711)+COUNTIF(Keepers!$B$2:$U$21,A711)+COUNTIF('Auction Draft Board'!$C$6:$AP$25,A711)&gt;0,"",A711),"")</f>
        <v/>
      </c>
    </row>
    <row r="712">
      <c r="A712" t="str">
        <f>IFERROR(__xludf.DUMMYFUNCTION("IFERROR(REGEXEXTRACT('Manual Data Import'!B712, ""^(.*)\s+[A-Z]{2,4}\s+\(\d+\)$""),'Manual Data Import'!B712) &amp; CHAR(10) &amp; 
IFERROR(REGEXREPLACE('Manual Data Import'!C712, ""\d+$"", """")) &amp;"" - ""&amp; 
IFERROR(REGEXEXTRACT('Manual Data Import'!B712, ""([A-Z"&amp;"]{2,4})\s+\(\d+\)$"")) &amp; "" (""&amp; 
IFERROR(REGEXEXTRACT('Manual Data Import'!B712, ""\((\d+)\)"")) &amp; "")"""),"
 -  ()")</f>
        <v>
 -  ()</v>
      </c>
      <c r="B712" s="30" t="str">
        <f>IFERROR(IF(COUNTIF('Draft Board'!$C$3:$V$24,A712)+COUNTIF(Keepers!$B$2:$U$21,A712)+COUNTIF('Auction Draft Board'!$C$6:$AP$25,A712)&gt;0,"",A712),"")</f>
        <v/>
      </c>
    </row>
    <row r="713">
      <c r="A713" t="str">
        <f>IFERROR(__xludf.DUMMYFUNCTION("IFERROR(REGEXEXTRACT('Manual Data Import'!B713, ""^(.*)\s+[A-Z]{2,4}\s+\(\d+\)$""),'Manual Data Import'!B713) &amp; CHAR(10) &amp; 
IFERROR(REGEXREPLACE('Manual Data Import'!C713, ""\d+$"", """")) &amp;"" - ""&amp; 
IFERROR(REGEXEXTRACT('Manual Data Import'!B713, ""([A-Z"&amp;"]{2,4})\s+\(\d+\)$"")) &amp; "" (""&amp; 
IFERROR(REGEXEXTRACT('Manual Data Import'!B713, ""\((\d+)\)"")) &amp; "")"""),"
 -  ()")</f>
        <v>
 -  ()</v>
      </c>
      <c r="B713" s="30" t="str">
        <f>IFERROR(IF(COUNTIF('Draft Board'!$C$3:$V$24,A713)+COUNTIF(Keepers!$B$2:$U$21,A713)+COUNTIF('Auction Draft Board'!$C$6:$AP$25,A713)&gt;0,"",A713),"")</f>
        <v/>
      </c>
    </row>
    <row r="714">
      <c r="A714" t="str">
        <f>IFERROR(__xludf.DUMMYFUNCTION("IFERROR(REGEXEXTRACT('Manual Data Import'!B714, ""^(.*)\s+[A-Z]{2,4}\s+\(\d+\)$""),'Manual Data Import'!B714) &amp; CHAR(10) &amp; 
IFERROR(REGEXREPLACE('Manual Data Import'!C714, ""\d+$"", """")) &amp;"" - ""&amp; 
IFERROR(REGEXEXTRACT('Manual Data Import'!B714, ""([A-Z"&amp;"]{2,4})\s+\(\d+\)$"")) &amp; "" (""&amp; 
IFERROR(REGEXEXTRACT('Manual Data Import'!B714, ""\((\d+)\)"")) &amp; "")"""),"
 -  ()")</f>
        <v>
 -  ()</v>
      </c>
      <c r="B714" s="30" t="str">
        <f>IFERROR(IF(COUNTIF('Draft Board'!$C$3:$V$24,A714)+COUNTIF(Keepers!$B$2:$U$21,A714)+COUNTIF('Auction Draft Board'!$C$6:$AP$25,A714)&gt;0,"",A714),"")</f>
        <v/>
      </c>
    </row>
    <row r="715">
      <c r="A715" t="str">
        <f>IFERROR(__xludf.DUMMYFUNCTION("IFERROR(REGEXEXTRACT('Manual Data Import'!B715, ""^(.*)\s+[A-Z]{2,4}\s+\(\d+\)$""),'Manual Data Import'!B715) &amp; CHAR(10) &amp; 
IFERROR(REGEXREPLACE('Manual Data Import'!C715, ""\d+$"", """")) &amp;"" - ""&amp; 
IFERROR(REGEXEXTRACT('Manual Data Import'!B715, ""([A-Z"&amp;"]{2,4})\s+\(\d+\)$"")) &amp; "" (""&amp; 
IFERROR(REGEXEXTRACT('Manual Data Import'!B715, ""\((\d+)\)"")) &amp; "")"""),"
 -  ()")</f>
        <v>
 -  ()</v>
      </c>
      <c r="B715" s="30" t="str">
        <f>IFERROR(IF(COUNTIF('Draft Board'!$C$3:$V$24,A715)+COUNTIF(Keepers!$B$2:$U$21,A715)+COUNTIF('Auction Draft Board'!$C$6:$AP$25,A715)&gt;0,"",A715),"")</f>
        <v/>
      </c>
    </row>
    <row r="716">
      <c r="A716" t="str">
        <f>IFERROR(__xludf.DUMMYFUNCTION("IFERROR(REGEXEXTRACT('Manual Data Import'!B716, ""^(.*)\s+[A-Z]{2,4}\s+\(\d+\)$""),'Manual Data Import'!B716) &amp; CHAR(10) &amp; 
IFERROR(REGEXREPLACE('Manual Data Import'!C716, ""\d+$"", """")) &amp;"" - ""&amp; 
IFERROR(REGEXEXTRACT('Manual Data Import'!B716, ""([A-Z"&amp;"]{2,4})\s+\(\d+\)$"")) &amp; "" (""&amp; 
IFERROR(REGEXEXTRACT('Manual Data Import'!B716, ""\((\d+)\)"")) &amp; "")"""),"
 -  ()")</f>
        <v>
 -  ()</v>
      </c>
      <c r="B716" s="30" t="str">
        <f>IFERROR(IF(COUNTIF('Draft Board'!$C$3:$V$24,A716)+COUNTIF(Keepers!$B$2:$U$21,A716)+COUNTIF('Auction Draft Board'!$C$6:$AP$25,A716)&gt;0,"",A716),"")</f>
        <v/>
      </c>
    </row>
    <row r="717">
      <c r="A717" t="str">
        <f>IFERROR(__xludf.DUMMYFUNCTION("IFERROR(REGEXEXTRACT('Manual Data Import'!B717, ""^(.*)\s+[A-Z]{2,4}\s+\(\d+\)$""),'Manual Data Import'!B717) &amp; CHAR(10) &amp; 
IFERROR(REGEXREPLACE('Manual Data Import'!C717, ""\d+$"", """")) &amp;"" - ""&amp; 
IFERROR(REGEXEXTRACT('Manual Data Import'!B717, ""([A-Z"&amp;"]{2,4})\s+\(\d+\)$"")) &amp; "" (""&amp; 
IFERROR(REGEXEXTRACT('Manual Data Import'!B717, ""\((\d+)\)"")) &amp; "")"""),"
 -  ()")</f>
        <v>
 -  ()</v>
      </c>
      <c r="B717" s="30" t="str">
        <f>IFERROR(IF(COUNTIF('Draft Board'!$C$3:$V$24,A717)+COUNTIF(Keepers!$B$2:$U$21,A717)+COUNTIF('Auction Draft Board'!$C$6:$AP$25,A717)&gt;0,"",A717),"")</f>
        <v/>
      </c>
    </row>
    <row r="718">
      <c r="A718" t="str">
        <f>IFERROR(__xludf.DUMMYFUNCTION("IFERROR(REGEXEXTRACT('Manual Data Import'!B718, ""^(.*)\s+[A-Z]{2,4}\s+\(\d+\)$""),'Manual Data Import'!B718) &amp; CHAR(10) &amp; 
IFERROR(REGEXREPLACE('Manual Data Import'!C718, ""\d+$"", """")) &amp;"" - ""&amp; 
IFERROR(REGEXEXTRACT('Manual Data Import'!B718, ""([A-Z"&amp;"]{2,4})\s+\(\d+\)$"")) &amp; "" (""&amp; 
IFERROR(REGEXEXTRACT('Manual Data Import'!B718, ""\((\d+)\)"")) &amp; "")"""),"
 -  ()")</f>
        <v>
 -  ()</v>
      </c>
      <c r="B718" s="30" t="str">
        <f>IFERROR(IF(COUNTIF('Draft Board'!$C$3:$V$24,A718)+COUNTIF(Keepers!$B$2:$U$21,A718)+COUNTIF('Auction Draft Board'!$C$6:$AP$25,A718)&gt;0,"",A718),"")</f>
        <v/>
      </c>
    </row>
    <row r="719">
      <c r="A719" t="str">
        <f>IFERROR(__xludf.DUMMYFUNCTION("IFERROR(REGEXEXTRACT('Manual Data Import'!B719, ""^(.*)\s+[A-Z]{2,4}\s+\(\d+\)$""),'Manual Data Import'!B719) &amp; CHAR(10) &amp; 
IFERROR(REGEXREPLACE('Manual Data Import'!C719, ""\d+$"", """")) &amp;"" - ""&amp; 
IFERROR(REGEXEXTRACT('Manual Data Import'!B719, ""([A-Z"&amp;"]{2,4})\s+\(\d+\)$"")) &amp; "" (""&amp; 
IFERROR(REGEXEXTRACT('Manual Data Import'!B719, ""\((\d+)\)"")) &amp; "")"""),"
 -  ()")</f>
        <v>
 -  ()</v>
      </c>
      <c r="B719" s="30" t="str">
        <f>IFERROR(IF(COUNTIF('Draft Board'!$C$3:$V$24,A719)+COUNTIF(Keepers!$B$2:$U$21,A719)+COUNTIF('Auction Draft Board'!$C$6:$AP$25,A719)&gt;0,"",A719),"")</f>
        <v/>
      </c>
    </row>
    <row r="720">
      <c r="A720" t="str">
        <f>IFERROR(__xludf.DUMMYFUNCTION("IFERROR(REGEXEXTRACT('Manual Data Import'!B720, ""^(.*)\s+[A-Z]{2,4}\s+\(\d+\)$""),'Manual Data Import'!B720) &amp; CHAR(10) &amp; 
IFERROR(REGEXREPLACE('Manual Data Import'!C720, ""\d+$"", """")) &amp;"" - ""&amp; 
IFERROR(REGEXEXTRACT('Manual Data Import'!B720, ""([A-Z"&amp;"]{2,4})\s+\(\d+\)$"")) &amp; "" (""&amp; 
IFERROR(REGEXEXTRACT('Manual Data Import'!B720, ""\((\d+)\)"")) &amp; "")"""),"
 -  ()")</f>
        <v>
 -  ()</v>
      </c>
      <c r="B720" s="30" t="str">
        <f>IFERROR(IF(COUNTIF('Draft Board'!$C$3:$V$24,A720)+COUNTIF(Keepers!$B$2:$U$21,A720)+COUNTIF('Auction Draft Board'!$C$6:$AP$25,A720)&gt;0,"",A720),"")</f>
        <v/>
      </c>
    </row>
    <row r="721">
      <c r="A721" t="str">
        <f>IFERROR(__xludf.DUMMYFUNCTION("IFERROR(REGEXEXTRACT('Manual Data Import'!B721, ""^(.*)\s+[A-Z]{2,4}\s+\(\d+\)$""),'Manual Data Import'!B721) &amp; CHAR(10) &amp; 
IFERROR(REGEXREPLACE('Manual Data Import'!C721, ""\d+$"", """")) &amp;"" - ""&amp; 
IFERROR(REGEXEXTRACT('Manual Data Import'!B721, ""([A-Z"&amp;"]{2,4})\s+\(\d+\)$"")) &amp; "" (""&amp; 
IFERROR(REGEXEXTRACT('Manual Data Import'!B721, ""\((\d+)\)"")) &amp; "")"""),"
 -  ()")</f>
        <v>
 -  ()</v>
      </c>
      <c r="B721" s="30" t="str">
        <f>IFERROR(IF(COUNTIF('Draft Board'!$C$3:$V$24,A721)+COUNTIF(Keepers!$B$2:$U$21,A721)+COUNTIF('Auction Draft Board'!$C$6:$AP$25,A721)&gt;0,"",A721),"")</f>
        <v/>
      </c>
    </row>
    <row r="722">
      <c r="A722" t="str">
        <f>IFERROR(__xludf.DUMMYFUNCTION("IFERROR(REGEXEXTRACT('Manual Data Import'!B722, ""^(.*)\s+[A-Z]{2,4}\s+\(\d+\)$""),'Manual Data Import'!B722) &amp; CHAR(10) &amp; 
IFERROR(REGEXREPLACE('Manual Data Import'!C722, ""\d+$"", """")) &amp;"" - ""&amp; 
IFERROR(REGEXEXTRACT('Manual Data Import'!B722, ""([A-Z"&amp;"]{2,4})\s+\(\d+\)$"")) &amp; "" (""&amp; 
IFERROR(REGEXEXTRACT('Manual Data Import'!B722, ""\((\d+)\)"")) &amp; "")"""),"
 -  ()")</f>
        <v>
 -  ()</v>
      </c>
      <c r="B722" s="30" t="str">
        <f>IFERROR(IF(COUNTIF('Draft Board'!$C$3:$V$24,A722)+COUNTIF(Keepers!$B$2:$U$21,A722)+COUNTIF('Auction Draft Board'!$C$6:$AP$25,A722)&gt;0,"",A722),"")</f>
        <v/>
      </c>
    </row>
    <row r="723">
      <c r="A723" t="str">
        <f>IFERROR(__xludf.DUMMYFUNCTION("IFERROR(REGEXEXTRACT('Manual Data Import'!B723, ""^(.*)\s+[A-Z]{2,4}\s+\(\d+\)$""),'Manual Data Import'!B723) &amp; CHAR(10) &amp; 
IFERROR(REGEXREPLACE('Manual Data Import'!C723, ""\d+$"", """")) &amp;"" - ""&amp; 
IFERROR(REGEXEXTRACT('Manual Data Import'!B723, ""([A-Z"&amp;"]{2,4})\s+\(\d+\)$"")) &amp; "" (""&amp; 
IFERROR(REGEXEXTRACT('Manual Data Import'!B723, ""\((\d+)\)"")) &amp; "")"""),"
 -  ()")</f>
        <v>
 -  ()</v>
      </c>
      <c r="B723" s="30" t="str">
        <f>IFERROR(IF(COUNTIF('Draft Board'!$C$3:$V$24,A723)+COUNTIF(Keepers!$B$2:$U$21,A723)+COUNTIF('Auction Draft Board'!$C$6:$AP$25,A723)&gt;0,"",A723),"")</f>
        <v/>
      </c>
    </row>
    <row r="724">
      <c r="A724" t="str">
        <f>IFERROR(__xludf.DUMMYFUNCTION("IFERROR(REGEXEXTRACT('Manual Data Import'!B724, ""^(.*)\s+[A-Z]{2,4}\s+\(\d+\)$""),'Manual Data Import'!B724) &amp; CHAR(10) &amp; 
IFERROR(REGEXREPLACE('Manual Data Import'!C724, ""\d+$"", """")) &amp;"" - ""&amp; 
IFERROR(REGEXEXTRACT('Manual Data Import'!B724, ""([A-Z"&amp;"]{2,4})\s+\(\d+\)$"")) &amp; "" (""&amp; 
IFERROR(REGEXEXTRACT('Manual Data Import'!B724, ""\((\d+)\)"")) &amp; "")"""),"
 -  ()")</f>
        <v>
 -  ()</v>
      </c>
      <c r="B724" s="30" t="str">
        <f>IFERROR(IF(COUNTIF('Draft Board'!$C$3:$V$24,A724)+COUNTIF(Keepers!$B$2:$U$21,A724)+COUNTIF('Auction Draft Board'!$C$6:$AP$25,A724)&gt;0,"",A724),"")</f>
        <v/>
      </c>
    </row>
    <row r="725">
      <c r="A725" t="str">
        <f>IFERROR(__xludf.DUMMYFUNCTION("IFERROR(REGEXEXTRACT('Manual Data Import'!B725, ""^(.*)\s+[A-Z]{2,4}\s+\(\d+\)$""),'Manual Data Import'!B725) &amp; CHAR(10) &amp; 
IFERROR(REGEXREPLACE('Manual Data Import'!C725, ""\d+$"", """")) &amp;"" - ""&amp; 
IFERROR(REGEXEXTRACT('Manual Data Import'!B725, ""([A-Z"&amp;"]{2,4})\s+\(\d+\)$"")) &amp; "" (""&amp; 
IFERROR(REGEXEXTRACT('Manual Data Import'!B725, ""\((\d+)\)"")) &amp; "")"""),"
 -  ()")</f>
        <v>
 -  ()</v>
      </c>
      <c r="B725" s="30" t="str">
        <f>IFERROR(IF(COUNTIF('Draft Board'!$C$3:$V$24,A725)+COUNTIF(Keepers!$B$2:$U$21,A725)+COUNTIF('Auction Draft Board'!$C$6:$AP$25,A725)&gt;0,"",A725),"")</f>
        <v/>
      </c>
    </row>
    <row r="726">
      <c r="A726" t="str">
        <f>IFERROR(__xludf.DUMMYFUNCTION("IFERROR(REGEXEXTRACT('Manual Data Import'!B726, ""^(.*)\s+[A-Z]{2,4}\s+\(\d+\)$""),'Manual Data Import'!B726) &amp; CHAR(10) &amp; 
IFERROR(REGEXREPLACE('Manual Data Import'!C726, ""\d+$"", """")) &amp;"" - ""&amp; 
IFERROR(REGEXEXTRACT('Manual Data Import'!B726, ""([A-Z"&amp;"]{2,4})\s+\(\d+\)$"")) &amp; "" (""&amp; 
IFERROR(REGEXEXTRACT('Manual Data Import'!B726, ""\((\d+)\)"")) &amp; "")"""),"
 -  ()")</f>
        <v>
 -  ()</v>
      </c>
      <c r="B726" s="30" t="str">
        <f>IFERROR(IF(COUNTIF('Draft Board'!$C$3:$V$24,A726)+COUNTIF(Keepers!$B$2:$U$21,A726)+COUNTIF('Auction Draft Board'!$C$6:$AP$25,A726)&gt;0,"",A726),"")</f>
        <v/>
      </c>
    </row>
    <row r="727">
      <c r="A727" t="str">
        <f>IFERROR(__xludf.DUMMYFUNCTION("IFERROR(REGEXEXTRACT('Manual Data Import'!B727, ""^(.*)\s+[A-Z]{2,4}\s+\(\d+\)$""),'Manual Data Import'!B727) &amp; CHAR(10) &amp; 
IFERROR(REGEXREPLACE('Manual Data Import'!C727, ""\d+$"", """")) &amp;"" - ""&amp; 
IFERROR(REGEXEXTRACT('Manual Data Import'!B727, ""([A-Z"&amp;"]{2,4})\s+\(\d+\)$"")) &amp; "" (""&amp; 
IFERROR(REGEXEXTRACT('Manual Data Import'!B727, ""\((\d+)\)"")) &amp; "")"""),"
 -  ()")</f>
        <v>
 -  ()</v>
      </c>
      <c r="B727" s="30" t="str">
        <f>IFERROR(IF(COUNTIF('Draft Board'!$C$3:$V$24,A727)+COUNTIF(Keepers!$B$2:$U$21,A727)+COUNTIF('Auction Draft Board'!$C$6:$AP$25,A727)&gt;0,"",A727),"")</f>
        <v/>
      </c>
    </row>
    <row r="728">
      <c r="A728" t="str">
        <f>IFERROR(__xludf.DUMMYFUNCTION("IFERROR(REGEXEXTRACT('Manual Data Import'!B728, ""^(.*)\s+[A-Z]{2,4}\s+\(\d+\)$""),'Manual Data Import'!B728) &amp; CHAR(10) &amp; 
IFERROR(REGEXREPLACE('Manual Data Import'!C728, ""\d+$"", """")) &amp;"" - ""&amp; 
IFERROR(REGEXEXTRACT('Manual Data Import'!B728, ""([A-Z"&amp;"]{2,4})\s+\(\d+\)$"")) &amp; "" (""&amp; 
IFERROR(REGEXEXTRACT('Manual Data Import'!B728, ""\((\d+)\)"")) &amp; "")"""),"
 -  ()")</f>
        <v>
 -  ()</v>
      </c>
      <c r="B728" s="30" t="str">
        <f>IFERROR(IF(COUNTIF('Draft Board'!$C$3:$V$24,A728)+COUNTIF(Keepers!$B$2:$U$21,A728)+COUNTIF('Auction Draft Board'!$C$6:$AP$25,A728)&gt;0,"",A728),"")</f>
        <v/>
      </c>
    </row>
    <row r="729">
      <c r="A729" t="str">
        <f>IFERROR(__xludf.DUMMYFUNCTION("IFERROR(REGEXEXTRACT('Manual Data Import'!B729, ""^(.*)\s+[A-Z]{2,4}\s+\(\d+\)$""),'Manual Data Import'!B729) &amp; CHAR(10) &amp; 
IFERROR(REGEXREPLACE('Manual Data Import'!C729, ""\d+$"", """")) &amp;"" - ""&amp; 
IFERROR(REGEXEXTRACT('Manual Data Import'!B729, ""([A-Z"&amp;"]{2,4})\s+\(\d+\)$"")) &amp; "" (""&amp; 
IFERROR(REGEXEXTRACT('Manual Data Import'!B729, ""\((\d+)\)"")) &amp; "")"""),"
 -  ()")</f>
        <v>
 -  ()</v>
      </c>
      <c r="B729" s="30" t="str">
        <f>IFERROR(IF(COUNTIF('Draft Board'!$C$3:$V$24,A729)+COUNTIF(Keepers!$B$2:$U$21,A729)+COUNTIF('Auction Draft Board'!$C$6:$AP$25,A729)&gt;0,"",A729),"")</f>
        <v/>
      </c>
    </row>
    <row r="730">
      <c r="A730" t="str">
        <f>IFERROR(__xludf.DUMMYFUNCTION("IFERROR(REGEXEXTRACT('Manual Data Import'!B730, ""^(.*)\s+[A-Z]{2,4}\s+\(\d+\)$""),'Manual Data Import'!B730) &amp; CHAR(10) &amp; 
IFERROR(REGEXREPLACE('Manual Data Import'!C730, ""\d+$"", """")) &amp;"" - ""&amp; 
IFERROR(REGEXEXTRACT('Manual Data Import'!B730, ""([A-Z"&amp;"]{2,4})\s+\(\d+\)$"")) &amp; "" (""&amp; 
IFERROR(REGEXEXTRACT('Manual Data Import'!B730, ""\((\d+)\)"")) &amp; "")"""),"
 -  ()")</f>
        <v>
 -  ()</v>
      </c>
      <c r="B730" s="30" t="str">
        <f>IFERROR(IF(COUNTIF('Draft Board'!$C$3:$V$24,A730)+COUNTIF(Keepers!$B$2:$U$21,A730)+COUNTIF('Auction Draft Board'!$C$6:$AP$25,A730)&gt;0,"",A730),"")</f>
        <v/>
      </c>
    </row>
    <row r="731">
      <c r="A731" t="str">
        <f>IFERROR(__xludf.DUMMYFUNCTION("IFERROR(REGEXEXTRACT('Manual Data Import'!B731, ""^(.*)\s+[A-Z]{2,4}\s+\(\d+\)$""),'Manual Data Import'!B731) &amp; CHAR(10) &amp; 
IFERROR(REGEXREPLACE('Manual Data Import'!C731, ""\d+$"", """")) &amp;"" - ""&amp; 
IFERROR(REGEXEXTRACT('Manual Data Import'!B731, ""([A-Z"&amp;"]{2,4})\s+\(\d+\)$"")) &amp; "" (""&amp; 
IFERROR(REGEXEXTRACT('Manual Data Import'!B731, ""\((\d+)\)"")) &amp; "")"""),"
 -  ()")</f>
        <v>
 -  ()</v>
      </c>
      <c r="B731" s="30" t="str">
        <f>IFERROR(IF(COUNTIF('Draft Board'!$C$3:$V$24,A731)+COUNTIF(Keepers!$B$2:$U$21,A731)+COUNTIF('Auction Draft Board'!$C$6:$AP$25,A731)&gt;0,"",A731),"")</f>
        <v/>
      </c>
    </row>
    <row r="732">
      <c r="A732" t="str">
        <f>IFERROR(__xludf.DUMMYFUNCTION("IFERROR(REGEXEXTRACT('Manual Data Import'!B732, ""^(.*)\s+[A-Z]{2,4}\s+\(\d+\)$""),'Manual Data Import'!B732) &amp; CHAR(10) &amp; 
IFERROR(REGEXREPLACE('Manual Data Import'!C732, ""\d+$"", """")) &amp;"" - ""&amp; 
IFERROR(REGEXEXTRACT('Manual Data Import'!B732, ""([A-Z"&amp;"]{2,4})\s+\(\d+\)$"")) &amp; "" (""&amp; 
IFERROR(REGEXEXTRACT('Manual Data Import'!B732, ""\((\d+)\)"")) &amp; "")"""),"
 -  ()")</f>
        <v>
 -  ()</v>
      </c>
      <c r="B732" s="30" t="str">
        <f>IFERROR(IF(COUNTIF('Draft Board'!$C$3:$V$24,A732)+COUNTIF(Keepers!$B$2:$U$21,A732)+COUNTIF('Auction Draft Board'!$C$6:$AP$25,A732)&gt;0,"",A732),"")</f>
        <v/>
      </c>
    </row>
    <row r="733">
      <c r="A733" t="str">
        <f>IFERROR(__xludf.DUMMYFUNCTION("IFERROR(REGEXEXTRACT('Manual Data Import'!B733, ""^(.*)\s+[A-Z]{2,4}\s+\(\d+\)$""),'Manual Data Import'!B733) &amp; CHAR(10) &amp; 
IFERROR(REGEXREPLACE('Manual Data Import'!C733, ""\d+$"", """")) &amp;"" - ""&amp; 
IFERROR(REGEXEXTRACT('Manual Data Import'!B733, ""([A-Z"&amp;"]{2,4})\s+\(\d+\)$"")) &amp; "" (""&amp; 
IFERROR(REGEXEXTRACT('Manual Data Import'!B733, ""\((\d+)\)"")) &amp; "")"""),"
 -  ()")</f>
        <v>
 -  ()</v>
      </c>
      <c r="B733" s="30" t="str">
        <f>IFERROR(IF(COUNTIF('Draft Board'!$C$3:$V$24,A733)+COUNTIF(Keepers!$B$2:$U$21,A733)+COUNTIF('Auction Draft Board'!$C$6:$AP$25,A733)&gt;0,"",A733),"")</f>
        <v/>
      </c>
    </row>
    <row r="734">
      <c r="A734" t="str">
        <f>IFERROR(__xludf.DUMMYFUNCTION("IFERROR(REGEXEXTRACT('Manual Data Import'!B734, ""^(.*)\s+[A-Z]{2,4}\s+\(\d+\)$""),'Manual Data Import'!B734) &amp; CHAR(10) &amp; 
IFERROR(REGEXREPLACE('Manual Data Import'!C734, ""\d+$"", """")) &amp;"" - ""&amp; 
IFERROR(REGEXEXTRACT('Manual Data Import'!B734, ""([A-Z"&amp;"]{2,4})\s+\(\d+\)$"")) &amp; "" (""&amp; 
IFERROR(REGEXEXTRACT('Manual Data Import'!B734, ""\((\d+)\)"")) &amp; "")"""),"
 -  ()")</f>
        <v>
 -  ()</v>
      </c>
      <c r="B734" s="30" t="str">
        <f>IFERROR(IF(COUNTIF('Draft Board'!$C$3:$V$24,A734)+COUNTIF(Keepers!$B$2:$U$21,A734)+COUNTIF('Auction Draft Board'!$C$6:$AP$25,A734)&gt;0,"",A734),"")</f>
        <v/>
      </c>
    </row>
    <row r="735">
      <c r="A735" t="str">
        <f>IFERROR(__xludf.DUMMYFUNCTION("IFERROR(REGEXEXTRACT('Manual Data Import'!B735, ""^(.*)\s+[A-Z]{2,4}\s+\(\d+\)$""),'Manual Data Import'!B735) &amp; CHAR(10) &amp; 
IFERROR(REGEXREPLACE('Manual Data Import'!C735, ""\d+$"", """")) &amp;"" - ""&amp; 
IFERROR(REGEXEXTRACT('Manual Data Import'!B735, ""([A-Z"&amp;"]{2,4})\s+\(\d+\)$"")) &amp; "" (""&amp; 
IFERROR(REGEXEXTRACT('Manual Data Import'!B735, ""\((\d+)\)"")) &amp; "")"""),"
 -  ()")</f>
        <v>
 -  ()</v>
      </c>
      <c r="B735" s="30" t="str">
        <f>IFERROR(IF(COUNTIF('Draft Board'!$C$3:$V$24,A735)+COUNTIF(Keepers!$B$2:$U$21,A735)+COUNTIF('Auction Draft Board'!$C$6:$AP$25,A735)&gt;0,"",A735),"")</f>
        <v/>
      </c>
    </row>
    <row r="736">
      <c r="A736" t="str">
        <f>IFERROR(__xludf.DUMMYFUNCTION("IFERROR(REGEXEXTRACT('Manual Data Import'!B736, ""^(.*)\s+[A-Z]{2,4}\s+\(\d+\)$""),'Manual Data Import'!B736) &amp; CHAR(10) &amp; 
IFERROR(REGEXREPLACE('Manual Data Import'!C736, ""\d+$"", """")) &amp;"" - ""&amp; 
IFERROR(REGEXEXTRACT('Manual Data Import'!B736, ""([A-Z"&amp;"]{2,4})\s+\(\d+\)$"")) &amp; "" (""&amp; 
IFERROR(REGEXEXTRACT('Manual Data Import'!B736, ""\((\d+)\)"")) &amp; "")"""),"
 -  ()")</f>
        <v>
 -  ()</v>
      </c>
      <c r="B736" s="30" t="str">
        <f>IFERROR(IF(COUNTIF('Draft Board'!$C$3:$V$24,A736)+COUNTIF(Keepers!$B$2:$U$21,A736)+COUNTIF('Auction Draft Board'!$C$6:$AP$25,A736)&gt;0,"",A736),"")</f>
        <v/>
      </c>
    </row>
    <row r="737">
      <c r="A737" t="str">
        <f>IFERROR(__xludf.DUMMYFUNCTION("IFERROR(REGEXEXTRACT('Manual Data Import'!B737, ""^(.*)\s+[A-Z]{2,4}\s+\(\d+\)$""),'Manual Data Import'!B737) &amp; CHAR(10) &amp; 
IFERROR(REGEXREPLACE('Manual Data Import'!C737, ""\d+$"", """")) &amp;"" - ""&amp; 
IFERROR(REGEXEXTRACT('Manual Data Import'!B737, ""([A-Z"&amp;"]{2,4})\s+\(\d+\)$"")) &amp; "" (""&amp; 
IFERROR(REGEXEXTRACT('Manual Data Import'!B737, ""\((\d+)\)"")) &amp; "")"""),"
 -  ()")</f>
        <v>
 -  ()</v>
      </c>
      <c r="B737" s="30" t="str">
        <f>IFERROR(IF(COUNTIF('Draft Board'!$C$3:$V$24,A737)+COUNTIF(Keepers!$B$2:$U$21,A737)+COUNTIF('Auction Draft Board'!$C$6:$AP$25,A737)&gt;0,"",A737),"")</f>
        <v/>
      </c>
    </row>
    <row r="738">
      <c r="A738" t="str">
        <f>IFERROR(__xludf.DUMMYFUNCTION("IFERROR(REGEXEXTRACT('Manual Data Import'!B738, ""^(.*)\s+[A-Z]{2,4}\s+\(\d+\)$""),'Manual Data Import'!B738) &amp; CHAR(10) &amp; 
IFERROR(REGEXREPLACE('Manual Data Import'!C738, ""\d+$"", """")) &amp;"" - ""&amp; 
IFERROR(REGEXEXTRACT('Manual Data Import'!B738, ""([A-Z"&amp;"]{2,4})\s+\(\d+\)$"")) &amp; "" (""&amp; 
IFERROR(REGEXEXTRACT('Manual Data Import'!B738, ""\((\d+)\)"")) &amp; "")"""),"
 -  ()")</f>
        <v>
 -  ()</v>
      </c>
      <c r="B738" s="30" t="str">
        <f>IFERROR(IF(COUNTIF('Draft Board'!$C$3:$V$24,A738)+COUNTIF(Keepers!$B$2:$U$21,A738)+COUNTIF('Auction Draft Board'!$C$6:$AP$25,A738)&gt;0,"",A738),"")</f>
        <v/>
      </c>
    </row>
    <row r="739">
      <c r="A739" t="str">
        <f>IFERROR(__xludf.DUMMYFUNCTION("IFERROR(REGEXEXTRACT('Manual Data Import'!B739, ""^(.*)\s+[A-Z]{2,4}\s+\(\d+\)$""),'Manual Data Import'!B739) &amp; CHAR(10) &amp; 
IFERROR(REGEXREPLACE('Manual Data Import'!C739, ""\d+$"", """")) &amp;"" - ""&amp; 
IFERROR(REGEXEXTRACT('Manual Data Import'!B739, ""([A-Z"&amp;"]{2,4})\s+\(\d+\)$"")) &amp; "" (""&amp; 
IFERROR(REGEXEXTRACT('Manual Data Import'!B739, ""\((\d+)\)"")) &amp; "")"""),"
 -  ()")</f>
        <v>
 -  ()</v>
      </c>
      <c r="B739" s="30" t="str">
        <f>IFERROR(IF(COUNTIF('Draft Board'!$C$3:$V$24,A739)+COUNTIF(Keepers!$B$2:$U$21,A739)+COUNTIF('Auction Draft Board'!$C$6:$AP$25,A739)&gt;0,"",A739),"")</f>
        <v/>
      </c>
    </row>
    <row r="740">
      <c r="A740" t="str">
        <f>IFERROR(__xludf.DUMMYFUNCTION("IFERROR(REGEXEXTRACT('Manual Data Import'!B740, ""^(.*)\s+[A-Z]{2,4}\s+\(\d+\)$""),'Manual Data Import'!B740) &amp; CHAR(10) &amp; 
IFERROR(REGEXREPLACE('Manual Data Import'!C740, ""\d+$"", """")) &amp;"" - ""&amp; 
IFERROR(REGEXEXTRACT('Manual Data Import'!B740, ""([A-Z"&amp;"]{2,4})\s+\(\d+\)$"")) &amp; "" (""&amp; 
IFERROR(REGEXEXTRACT('Manual Data Import'!B740, ""\((\d+)\)"")) &amp; "")"""),"
 -  ()")</f>
        <v>
 -  ()</v>
      </c>
      <c r="B740" s="30" t="str">
        <f>IFERROR(IF(COUNTIF('Draft Board'!$C$3:$V$24,A740)+COUNTIF(Keepers!$B$2:$U$21,A740)+COUNTIF('Auction Draft Board'!$C$6:$AP$25,A740)&gt;0,"",A740),"")</f>
        <v/>
      </c>
    </row>
    <row r="741">
      <c r="A741" t="str">
        <f>IFERROR(__xludf.DUMMYFUNCTION("IFERROR(REGEXEXTRACT('Manual Data Import'!B741, ""^(.*)\s+[A-Z]{2,4}\s+\(\d+\)$""),'Manual Data Import'!B741) &amp; CHAR(10) &amp; 
IFERROR(REGEXREPLACE('Manual Data Import'!C741, ""\d+$"", """")) &amp;"" - ""&amp; 
IFERROR(REGEXEXTRACT('Manual Data Import'!B741, ""([A-Z"&amp;"]{2,4})\s+\(\d+\)$"")) &amp; "" (""&amp; 
IFERROR(REGEXEXTRACT('Manual Data Import'!B741, ""\((\d+)\)"")) &amp; "")"""),"
 -  ()")</f>
        <v>
 -  ()</v>
      </c>
      <c r="B741" s="30" t="str">
        <f>IFERROR(IF(COUNTIF('Draft Board'!$C$3:$V$24,A741)+COUNTIF(Keepers!$B$2:$U$21,A741)+COUNTIF('Auction Draft Board'!$C$6:$AP$25,A741)&gt;0,"",A741),"")</f>
        <v/>
      </c>
    </row>
    <row r="742">
      <c r="A742" t="str">
        <f>IFERROR(__xludf.DUMMYFUNCTION("IFERROR(REGEXEXTRACT('Manual Data Import'!B742, ""^(.*)\s+[A-Z]{2,4}\s+\(\d+\)$""),'Manual Data Import'!B742) &amp; CHAR(10) &amp; 
IFERROR(REGEXREPLACE('Manual Data Import'!C742, ""\d+$"", """")) &amp;"" - ""&amp; 
IFERROR(REGEXEXTRACT('Manual Data Import'!B742, ""([A-Z"&amp;"]{2,4})\s+\(\d+\)$"")) &amp; "" (""&amp; 
IFERROR(REGEXEXTRACT('Manual Data Import'!B742, ""\((\d+)\)"")) &amp; "")"""),"
 -  ()")</f>
        <v>
 -  ()</v>
      </c>
      <c r="B742" s="30" t="str">
        <f>IFERROR(IF(COUNTIF('Draft Board'!$C$3:$V$24,A742)+COUNTIF(Keepers!$B$2:$U$21,A742)+COUNTIF('Auction Draft Board'!$C$6:$AP$25,A742)&gt;0,"",A742),"")</f>
        <v/>
      </c>
    </row>
    <row r="743">
      <c r="A743" t="str">
        <f>IFERROR(__xludf.DUMMYFUNCTION("IFERROR(REGEXEXTRACT('Manual Data Import'!B743, ""^(.*)\s+[A-Z]{2,4}\s+\(\d+\)$""),'Manual Data Import'!B743) &amp; CHAR(10) &amp; 
IFERROR(REGEXREPLACE('Manual Data Import'!C743, ""\d+$"", """")) &amp;"" - ""&amp; 
IFERROR(REGEXEXTRACT('Manual Data Import'!B743, ""([A-Z"&amp;"]{2,4})\s+\(\d+\)$"")) &amp; "" (""&amp; 
IFERROR(REGEXEXTRACT('Manual Data Import'!B743, ""\((\d+)\)"")) &amp; "")"""),"
 -  ()")</f>
        <v>
 -  ()</v>
      </c>
      <c r="B743" s="30" t="str">
        <f>IFERROR(IF(COUNTIF('Draft Board'!$C$3:$V$24,A743)+COUNTIF(Keepers!$B$2:$U$21,A743)+COUNTIF('Auction Draft Board'!$C$6:$AP$25,A743)&gt;0,"",A743),"")</f>
        <v/>
      </c>
    </row>
    <row r="744">
      <c r="A744" t="str">
        <f>IFERROR(__xludf.DUMMYFUNCTION("IFERROR(REGEXEXTRACT('Manual Data Import'!B744, ""^(.*)\s+[A-Z]{2,4}\s+\(\d+\)$""),'Manual Data Import'!B744) &amp; CHAR(10) &amp; 
IFERROR(REGEXREPLACE('Manual Data Import'!C744, ""\d+$"", """")) &amp;"" - ""&amp; 
IFERROR(REGEXEXTRACT('Manual Data Import'!B744, ""([A-Z"&amp;"]{2,4})\s+\(\d+\)$"")) &amp; "" (""&amp; 
IFERROR(REGEXEXTRACT('Manual Data Import'!B744, ""\((\d+)\)"")) &amp; "")"""),"
 -  ()")</f>
        <v>
 -  ()</v>
      </c>
      <c r="B744" s="30" t="str">
        <f>IFERROR(IF(COUNTIF('Draft Board'!$C$3:$V$24,A744)+COUNTIF(Keepers!$B$2:$U$21,A744)+COUNTIF('Auction Draft Board'!$C$6:$AP$25,A744)&gt;0,"",A744),"")</f>
        <v/>
      </c>
    </row>
    <row r="745">
      <c r="A745" t="str">
        <f>IFERROR(__xludf.DUMMYFUNCTION("IFERROR(REGEXEXTRACT('Manual Data Import'!B745, ""^(.*)\s+[A-Z]{2,4}\s+\(\d+\)$""),'Manual Data Import'!B745) &amp; CHAR(10) &amp; 
IFERROR(REGEXREPLACE('Manual Data Import'!C745, ""\d+$"", """")) &amp;"" - ""&amp; 
IFERROR(REGEXEXTRACT('Manual Data Import'!B745, ""([A-Z"&amp;"]{2,4})\s+\(\d+\)$"")) &amp; "" (""&amp; 
IFERROR(REGEXEXTRACT('Manual Data Import'!B745, ""\((\d+)\)"")) &amp; "")"""),"
 -  ()")</f>
        <v>
 -  ()</v>
      </c>
      <c r="B745" s="30" t="str">
        <f>IFERROR(IF(COUNTIF('Draft Board'!$C$3:$V$24,A745)+COUNTIF(Keepers!$B$2:$U$21,A745)+COUNTIF('Auction Draft Board'!$C$6:$AP$25,A745)&gt;0,"",A745),"")</f>
        <v/>
      </c>
    </row>
    <row r="746">
      <c r="A746" t="str">
        <f>IFERROR(__xludf.DUMMYFUNCTION("IFERROR(REGEXEXTRACT('Manual Data Import'!B746, ""^(.*)\s+[A-Z]{2,4}\s+\(\d+\)$""),'Manual Data Import'!B746) &amp; CHAR(10) &amp; 
IFERROR(REGEXREPLACE('Manual Data Import'!C746, ""\d+$"", """")) &amp;"" - ""&amp; 
IFERROR(REGEXEXTRACT('Manual Data Import'!B746, ""([A-Z"&amp;"]{2,4})\s+\(\d+\)$"")) &amp; "" (""&amp; 
IFERROR(REGEXEXTRACT('Manual Data Import'!B746, ""\((\d+)\)"")) &amp; "")"""),"
 -  ()")</f>
        <v>
 -  ()</v>
      </c>
      <c r="B746" s="30" t="str">
        <f>IFERROR(IF(COUNTIF('Draft Board'!$C$3:$V$24,A746)+COUNTIF(Keepers!$B$2:$U$21,A746)+COUNTIF('Auction Draft Board'!$C$6:$AP$25,A746)&gt;0,"",A746),"")</f>
        <v/>
      </c>
    </row>
    <row r="747">
      <c r="A747" t="str">
        <f>IFERROR(__xludf.DUMMYFUNCTION("IFERROR(REGEXEXTRACT('Manual Data Import'!B747, ""^(.*)\s+[A-Z]{2,4}\s+\(\d+\)$""),'Manual Data Import'!B747) &amp; CHAR(10) &amp; 
IFERROR(REGEXREPLACE('Manual Data Import'!C747, ""\d+$"", """")) &amp;"" - ""&amp; 
IFERROR(REGEXEXTRACT('Manual Data Import'!B747, ""([A-Z"&amp;"]{2,4})\s+\(\d+\)$"")) &amp; "" (""&amp; 
IFERROR(REGEXEXTRACT('Manual Data Import'!B747, ""\((\d+)\)"")) &amp; "")"""),"
 -  ()")</f>
        <v>
 -  ()</v>
      </c>
      <c r="B747" s="30" t="str">
        <f>IFERROR(IF(COUNTIF('Draft Board'!$C$3:$V$24,A747)+COUNTIF(Keepers!$B$2:$U$21,A747)+COUNTIF('Auction Draft Board'!$C$6:$AP$25,A747)&gt;0,"",A747),"")</f>
        <v/>
      </c>
    </row>
    <row r="748">
      <c r="A748" t="str">
        <f>IFERROR(__xludf.DUMMYFUNCTION("IFERROR(REGEXEXTRACT('Manual Data Import'!B748, ""^(.*)\s+[A-Z]{2,4}\s+\(\d+\)$""),'Manual Data Import'!B748) &amp; CHAR(10) &amp; 
IFERROR(REGEXREPLACE('Manual Data Import'!C748, ""\d+$"", """")) &amp;"" - ""&amp; 
IFERROR(REGEXEXTRACT('Manual Data Import'!B748, ""([A-Z"&amp;"]{2,4})\s+\(\d+\)$"")) &amp; "" (""&amp; 
IFERROR(REGEXEXTRACT('Manual Data Import'!B748, ""\((\d+)\)"")) &amp; "")"""),"
 -  ()")</f>
        <v>
 -  ()</v>
      </c>
      <c r="B748" s="30" t="str">
        <f>IFERROR(IF(COUNTIF('Draft Board'!$C$3:$V$24,A748)+COUNTIF(Keepers!$B$2:$U$21,A748)+COUNTIF('Auction Draft Board'!$C$6:$AP$25,A748)&gt;0,"",A748),"")</f>
        <v/>
      </c>
    </row>
    <row r="749">
      <c r="A749" t="str">
        <f>IFERROR(__xludf.DUMMYFUNCTION("IFERROR(REGEXEXTRACT('Manual Data Import'!B749, ""^(.*)\s+[A-Z]{2,4}\s+\(\d+\)$""),'Manual Data Import'!B749) &amp; CHAR(10) &amp; 
IFERROR(REGEXREPLACE('Manual Data Import'!C749, ""\d+$"", """")) &amp;"" - ""&amp; 
IFERROR(REGEXEXTRACT('Manual Data Import'!B749, ""([A-Z"&amp;"]{2,4})\s+\(\d+\)$"")) &amp; "" (""&amp; 
IFERROR(REGEXEXTRACT('Manual Data Import'!B749, ""\((\d+)\)"")) &amp; "")"""),"
 -  ()")</f>
        <v>
 -  ()</v>
      </c>
      <c r="B749" s="30" t="str">
        <f>IFERROR(IF(COUNTIF('Draft Board'!$C$3:$V$24,A749)+COUNTIF(Keepers!$B$2:$U$21,A749)+COUNTIF('Auction Draft Board'!$C$6:$AP$25,A749)&gt;0,"",A749),"")</f>
        <v/>
      </c>
    </row>
    <row r="750">
      <c r="A750" t="str">
        <f>IFERROR(__xludf.DUMMYFUNCTION("IFERROR(REGEXEXTRACT('Manual Data Import'!B750, ""^(.*)\s+[A-Z]{2,4}\s+\(\d+\)$""),'Manual Data Import'!B750) &amp; CHAR(10) &amp; 
IFERROR(REGEXREPLACE('Manual Data Import'!C750, ""\d+$"", """")) &amp;"" - ""&amp; 
IFERROR(REGEXEXTRACT('Manual Data Import'!B750, ""([A-Z"&amp;"]{2,4})\s+\(\d+\)$"")) &amp; "" (""&amp; 
IFERROR(REGEXEXTRACT('Manual Data Import'!B750, ""\((\d+)\)"")) &amp; "")"""),"
 -  ()")</f>
        <v>
 -  ()</v>
      </c>
      <c r="B750" s="30" t="str">
        <f>IFERROR(IF(COUNTIF('Draft Board'!$C$3:$V$24,A750)+COUNTIF(Keepers!$B$2:$U$21,A750)+COUNTIF('Auction Draft Board'!$C$6:$AP$25,A750)&gt;0,"",A750),"")</f>
        <v/>
      </c>
    </row>
    <row r="751">
      <c r="A751" t="str">
        <f>IFERROR(__xludf.DUMMYFUNCTION("IFERROR(REGEXEXTRACT('Manual Data Import'!B751, ""^(.*)\s+[A-Z]{2,4}\s+\(\d+\)$""),'Manual Data Import'!B751) &amp; CHAR(10) &amp; 
IFERROR(REGEXREPLACE('Manual Data Import'!C751, ""\d+$"", """")) &amp;"" - ""&amp; 
IFERROR(REGEXEXTRACT('Manual Data Import'!B751, ""([A-Z"&amp;"]{2,4})\s+\(\d+\)$"")) &amp; "" (""&amp; 
IFERROR(REGEXEXTRACT('Manual Data Import'!B751, ""\((\d+)\)"")) &amp; "")"""),"
 -  ()")</f>
        <v>
 -  ()</v>
      </c>
      <c r="B751" s="30" t="str">
        <f>IFERROR(IF(COUNTIF('Draft Board'!$C$3:$V$24,A751)+COUNTIF(Keepers!$B$2:$U$21,A751)+COUNTIF('Auction Draft Board'!$C$6:$AP$25,A751)&gt;0,"",A751),"")</f>
        <v/>
      </c>
    </row>
    <row r="752">
      <c r="A752" t="str">
        <f>IFERROR(__xludf.DUMMYFUNCTION("IFERROR(REGEXEXTRACT('Manual Data Import'!B752, ""^(.*)\s+[A-Z]{2,4}\s+\(\d+\)$""),'Manual Data Import'!B752) &amp; CHAR(10) &amp; 
IFERROR(REGEXREPLACE('Manual Data Import'!C752, ""\d+$"", """")) &amp;"" - ""&amp; 
IFERROR(REGEXEXTRACT('Manual Data Import'!B752, ""([A-Z"&amp;"]{2,4})\s+\(\d+\)$"")) &amp; "" (""&amp; 
IFERROR(REGEXEXTRACT('Manual Data Import'!B752, ""\((\d+)\)"")) &amp; "")"""),"
 -  ()")</f>
        <v>
 -  ()</v>
      </c>
      <c r="B752" s="30" t="str">
        <f>IFERROR(IF(COUNTIF('Draft Board'!$C$3:$V$24,A752)+COUNTIF(Keepers!$B$2:$U$21,A752)+COUNTIF('Auction Draft Board'!$C$6:$AP$25,A752)&gt;0,"",A752),"")</f>
        <v/>
      </c>
    </row>
    <row r="753">
      <c r="A753" t="str">
        <f>IFERROR(__xludf.DUMMYFUNCTION("IFERROR(REGEXEXTRACT('Manual Data Import'!B753, ""^(.*)\s+[A-Z]{2,4}\s+\(\d+\)$""),'Manual Data Import'!B753) &amp; CHAR(10) &amp; 
IFERROR(REGEXREPLACE('Manual Data Import'!C753, ""\d+$"", """")) &amp;"" - ""&amp; 
IFERROR(REGEXEXTRACT('Manual Data Import'!B753, ""([A-Z"&amp;"]{2,4})\s+\(\d+\)$"")) &amp; "" (""&amp; 
IFERROR(REGEXEXTRACT('Manual Data Import'!B753, ""\((\d+)\)"")) &amp; "")"""),"
 -  ()")</f>
        <v>
 -  ()</v>
      </c>
      <c r="B753" s="30" t="str">
        <f>IFERROR(IF(COUNTIF('Draft Board'!$C$3:$V$24,A753)+COUNTIF(Keepers!$B$2:$U$21,A753)+COUNTIF('Auction Draft Board'!$C$6:$AP$25,A753)&gt;0,"",A753),"")</f>
        <v/>
      </c>
    </row>
    <row r="754">
      <c r="A754" t="str">
        <f>IFERROR(__xludf.DUMMYFUNCTION("IFERROR(REGEXEXTRACT('Manual Data Import'!B754, ""^(.*)\s+[A-Z]{2,4}\s+\(\d+\)$""),'Manual Data Import'!B754) &amp; CHAR(10) &amp; 
IFERROR(REGEXREPLACE('Manual Data Import'!C754, ""\d+$"", """")) &amp;"" - ""&amp; 
IFERROR(REGEXEXTRACT('Manual Data Import'!B754, ""([A-Z"&amp;"]{2,4})\s+\(\d+\)$"")) &amp; "" (""&amp; 
IFERROR(REGEXEXTRACT('Manual Data Import'!B754, ""\((\d+)\)"")) &amp; "")"""),"
 -  ()")</f>
        <v>
 -  ()</v>
      </c>
      <c r="B754" s="30" t="str">
        <f>IFERROR(IF(COUNTIF('Draft Board'!$C$3:$V$24,A754)+COUNTIF(Keepers!$B$2:$U$21,A754)+COUNTIF('Auction Draft Board'!$C$6:$AP$25,A754)&gt;0,"",A754),"")</f>
        <v/>
      </c>
    </row>
    <row r="755">
      <c r="A755" t="str">
        <f>IFERROR(__xludf.DUMMYFUNCTION("IFERROR(REGEXEXTRACT('Manual Data Import'!B755, ""^(.*)\s+[A-Z]{2,4}\s+\(\d+\)$""),'Manual Data Import'!B755) &amp; CHAR(10) &amp; 
IFERROR(REGEXREPLACE('Manual Data Import'!C755, ""\d+$"", """")) &amp;"" - ""&amp; 
IFERROR(REGEXEXTRACT('Manual Data Import'!B755, ""([A-Z"&amp;"]{2,4})\s+\(\d+\)$"")) &amp; "" (""&amp; 
IFERROR(REGEXEXTRACT('Manual Data Import'!B755, ""\((\d+)\)"")) &amp; "")"""),"
 -  ()")</f>
        <v>
 -  ()</v>
      </c>
      <c r="B755" s="30" t="str">
        <f>IFERROR(IF(COUNTIF('Draft Board'!$C$3:$V$24,A755)+COUNTIF(Keepers!$B$2:$U$21,A755)+COUNTIF('Auction Draft Board'!$C$6:$AP$25,A755)&gt;0,"",A755),"")</f>
        <v/>
      </c>
    </row>
    <row r="756">
      <c r="A756" t="str">
        <f>IFERROR(__xludf.DUMMYFUNCTION("IFERROR(REGEXEXTRACT('Manual Data Import'!B756, ""^(.*)\s+[A-Z]{2,4}\s+\(\d+\)$""),'Manual Data Import'!B756) &amp; CHAR(10) &amp; 
IFERROR(REGEXREPLACE('Manual Data Import'!C756, ""\d+$"", """")) &amp;"" - ""&amp; 
IFERROR(REGEXEXTRACT('Manual Data Import'!B756, ""([A-Z"&amp;"]{2,4})\s+\(\d+\)$"")) &amp; "" (""&amp; 
IFERROR(REGEXEXTRACT('Manual Data Import'!B756, ""\((\d+)\)"")) &amp; "")"""),"
 -  ()")</f>
        <v>
 -  ()</v>
      </c>
      <c r="B756" s="30" t="str">
        <f>IFERROR(IF(COUNTIF('Draft Board'!$C$3:$V$24,A756)+COUNTIF(Keepers!$B$2:$U$21,A756)+COUNTIF('Auction Draft Board'!$C$6:$AP$25,A756)&gt;0,"",A756),"")</f>
        <v/>
      </c>
    </row>
    <row r="757">
      <c r="A757" t="str">
        <f>IFERROR(__xludf.DUMMYFUNCTION("IFERROR(REGEXEXTRACT('Manual Data Import'!B757, ""^(.*)\s+[A-Z]{2,4}\s+\(\d+\)$""),'Manual Data Import'!B757) &amp; CHAR(10) &amp; 
IFERROR(REGEXREPLACE('Manual Data Import'!C757, ""\d+$"", """")) &amp;"" - ""&amp; 
IFERROR(REGEXEXTRACT('Manual Data Import'!B757, ""([A-Z"&amp;"]{2,4})\s+\(\d+\)$"")) &amp; "" (""&amp; 
IFERROR(REGEXEXTRACT('Manual Data Import'!B757, ""\((\d+)\)"")) &amp; "")"""),"
 -  ()")</f>
        <v>
 -  ()</v>
      </c>
      <c r="B757" s="30" t="str">
        <f>IFERROR(IF(COUNTIF('Draft Board'!$C$3:$V$24,A757)+COUNTIF(Keepers!$B$2:$U$21,A757)+COUNTIF('Auction Draft Board'!$C$6:$AP$25,A757)&gt;0,"",A757),"")</f>
        <v/>
      </c>
    </row>
    <row r="758">
      <c r="A758" t="str">
        <f>IFERROR(__xludf.DUMMYFUNCTION("IFERROR(REGEXEXTRACT('Manual Data Import'!B758, ""^(.*)\s+[A-Z]{2,4}\s+\(\d+\)$""),'Manual Data Import'!B758) &amp; CHAR(10) &amp; 
IFERROR(REGEXREPLACE('Manual Data Import'!C758, ""\d+$"", """")) &amp;"" - ""&amp; 
IFERROR(REGEXEXTRACT('Manual Data Import'!B758, ""([A-Z"&amp;"]{2,4})\s+\(\d+\)$"")) &amp; "" (""&amp; 
IFERROR(REGEXEXTRACT('Manual Data Import'!B758, ""\((\d+)\)"")) &amp; "")"""),"
 -  ()")</f>
        <v>
 -  ()</v>
      </c>
      <c r="B758" s="30" t="str">
        <f>IFERROR(IF(COUNTIF('Draft Board'!$C$3:$V$24,A758)+COUNTIF(Keepers!$B$2:$U$21,A758)+COUNTIF('Auction Draft Board'!$C$6:$AP$25,A758)&gt;0,"",A758),"")</f>
        <v/>
      </c>
    </row>
    <row r="759">
      <c r="A759" t="str">
        <f>IFERROR(__xludf.DUMMYFUNCTION("IFERROR(REGEXEXTRACT('Manual Data Import'!B759, ""^(.*)\s+[A-Z]{2,4}\s+\(\d+\)$""),'Manual Data Import'!B759) &amp; CHAR(10) &amp; 
IFERROR(REGEXREPLACE('Manual Data Import'!C759, ""\d+$"", """")) &amp;"" - ""&amp; 
IFERROR(REGEXEXTRACT('Manual Data Import'!B759, ""([A-Z"&amp;"]{2,4})\s+\(\d+\)$"")) &amp; "" (""&amp; 
IFERROR(REGEXEXTRACT('Manual Data Import'!B759, ""\((\d+)\)"")) &amp; "")"""),"
 -  ()")</f>
        <v>
 -  ()</v>
      </c>
      <c r="B759" s="30" t="str">
        <f>IFERROR(IF(COUNTIF('Draft Board'!$C$3:$V$24,A759)+COUNTIF(Keepers!$B$2:$U$21,A759)+COUNTIF('Auction Draft Board'!$C$6:$AP$25,A759)&gt;0,"",A759),"")</f>
        <v/>
      </c>
    </row>
    <row r="760">
      <c r="A760" t="str">
        <f>IFERROR(__xludf.DUMMYFUNCTION("IFERROR(REGEXEXTRACT('Manual Data Import'!B760, ""^(.*)\s+[A-Z]{2,4}\s+\(\d+\)$""),'Manual Data Import'!B760) &amp; CHAR(10) &amp; 
IFERROR(REGEXREPLACE('Manual Data Import'!C760, ""\d+$"", """")) &amp;"" - ""&amp; 
IFERROR(REGEXEXTRACT('Manual Data Import'!B760, ""([A-Z"&amp;"]{2,4})\s+\(\d+\)$"")) &amp; "" (""&amp; 
IFERROR(REGEXEXTRACT('Manual Data Import'!B760, ""\((\d+)\)"")) &amp; "")"""),"
 -  ()")</f>
        <v>
 -  ()</v>
      </c>
      <c r="B760" s="30" t="str">
        <f>IFERROR(IF(COUNTIF('Draft Board'!$C$3:$V$24,A760)+COUNTIF(Keepers!$B$2:$U$21,A760)+COUNTIF('Auction Draft Board'!$C$6:$AP$25,A760)&gt;0,"",A760),"")</f>
        <v/>
      </c>
    </row>
    <row r="761">
      <c r="A761" t="str">
        <f>IFERROR(__xludf.DUMMYFUNCTION("IFERROR(REGEXEXTRACT('Manual Data Import'!B761, ""^(.*)\s+[A-Z]{2,4}\s+\(\d+\)$""),'Manual Data Import'!B761) &amp; CHAR(10) &amp; 
IFERROR(REGEXREPLACE('Manual Data Import'!C761, ""\d+$"", """")) &amp;"" - ""&amp; 
IFERROR(REGEXEXTRACT('Manual Data Import'!B761, ""([A-Z"&amp;"]{2,4})\s+\(\d+\)$"")) &amp; "" (""&amp; 
IFERROR(REGEXEXTRACT('Manual Data Import'!B761, ""\((\d+)\)"")) &amp; "")"""),"
 -  ()")</f>
        <v>
 -  ()</v>
      </c>
      <c r="B761" s="30" t="str">
        <f>IFERROR(IF(COUNTIF('Draft Board'!$C$3:$V$24,A761)+COUNTIF(Keepers!$B$2:$U$21,A761)+COUNTIF('Auction Draft Board'!$C$6:$AP$25,A761)&gt;0,"",A761),"")</f>
        <v/>
      </c>
    </row>
    <row r="762">
      <c r="A762" t="str">
        <f>IFERROR(__xludf.DUMMYFUNCTION("IFERROR(REGEXEXTRACT('Manual Data Import'!B762, ""^(.*)\s+[A-Z]{2,4}\s+\(\d+\)$""),'Manual Data Import'!B762) &amp; CHAR(10) &amp; 
IFERROR(REGEXREPLACE('Manual Data Import'!C762, ""\d+$"", """")) &amp;"" - ""&amp; 
IFERROR(REGEXEXTRACT('Manual Data Import'!B762, ""([A-Z"&amp;"]{2,4})\s+\(\d+\)$"")) &amp; "" (""&amp; 
IFERROR(REGEXEXTRACT('Manual Data Import'!B762, ""\((\d+)\)"")) &amp; "")"""),"
 -  ()")</f>
        <v>
 -  ()</v>
      </c>
      <c r="B762" s="30" t="str">
        <f>IFERROR(IF(COUNTIF('Draft Board'!$C$3:$V$24,A762)+COUNTIF(Keepers!$B$2:$U$21,A762)+COUNTIF('Auction Draft Board'!$C$6:$AP$25,A762)&gt;0,"",A762),"")</f>
        <v/>
      </c>
    </row>
    <row r="763">
      <c r="A763" t="str">
        <f>IFERROR(__xludf.DUMMYFUNCTION("IFERROR(REGEXEXTRACT('Manual Data Import'!B763, ""^(.*)\s+[A-Z]{2,4}\s+\(\d+\)$""),'Manual Data Import'!B763) &amp; CHAR(10) &amp; 
IFERROR(REGEXREPLACE('Manual Data Import'!C763, ""\d+$"", """")) &amp;"" - ""&amp; 
IFERROR(REGEXEXTRACT('Manual Data Import'!B763, ""([A-Z"&amp;"]{2,4})\s+\(\d+\)$"")) &amp; "" (""&amp; 
IFERROR(REGEXEXTRACT('Manual Data Import'!B763, ""\((\d+)\)"")) &amp; "")"""),"
 -  ()")</f>
        <v>
 -  ()</v>
      </c>
      <c r="B763" s="30" t="str">
        <f>IFERROR(IF(COUNTIF('Draft Board'!$C$3:$V$24,A763)+COUNTIF(Keepers!$B$2:$U$21,A763)+COUNTIF('Auction Draft Board'!$C$6:$AP$25,A763)&gt;0,"",A763),"")</f>
        <v/>
      </c>
    </row>
    <row r="764">
      <c r="A764" t="str">
        <f>IFERROR(__xludf.DUMMYFUNCTION("IFERROR(REGEXEXTRACT('Manual Data Import'!B764, ""^(.*)\s+[A-Z]{2,4}\s+\(\d+\)$""),'Manual Data Import'!B764) &amp; CHAR(10) &amp; 
IFERROR(REGEXREPLACE('Manual Data Import'!C764, ""\d+$"", """")) &amp;"" - ""&amp; 
IFERROR(REGEXEXTRACT('Manual Data Import'!B764, ""([A-Z"&amp;"]{2,4})\s+\(\d+\)$"")) &amp; "" (""&amp; 
IFERROR(REGEXEXTRACT('Manual Data Import'!B764, ""\((\d+)\)"")) &amp; "")"""),"
 -  ()")</f>
        <v>
 -  ()</v>
      </c>
      <c r="B764" s="30" t="str">
        <f>IFERROR(IF(COUNTIF('Draft Board'!$C$3:$V$24,A764)+COUNTIF(Keepers!$B$2:$U$21,A764)+COUNTIF('Auction Draft Board'!$C$6:$AP$25,A764)&gt;0,"",A764),"")</f>
        <v/>
      </c>
    </row>
    <row r="765">
      <c r="A765" t="str">
        <f>IFERROR(__xludf.DUMMYFUNCTION("IFERROR(REGEXEXTRACT('Manual Data Import'!B765, ""^(.*)\s+[A-Z]{2,4}\s+\(\d+\)$""),'Manual Data Import'!B765) &amp; CHAR(10) &amp; 
IFERROR(REGEXREPLACE('Manual Data Import'!C765, ""\d+$"", """")) &amp;"" - ""&amp; 
IFERROR(REGEXEXTRACT('Manual Data Import'!B765, ""([A-Z"&amp;"]{2,4})\s+\(\d+\)$"")) &amp; "" (""&amp; 
IFERROR(REGEXEXTRACT('Manual Data Import'!B765, ""\((\d+)\)"")) &amp; "")"""),"
 -  ()")</f>
        <v>
 -  ()</v>
      </c>
      <c r="B765" s="30" t="str">
        <f>IFERROR(IF(COUNTIF('Draft Board'!$C$3:$V$24,A765)+COUNTIF(Keepers!$B$2:$U$21,A765)+COUNTIF('Auction Draft Board'!$C$6:$AP$25,A765)&gt;0,"",A765),"")</f>
        <v/>
      </c>
    </row>
    <row r="766">
      <c r="A766" t="str">
        <f>IFERROR(__xludf.DUMMYFUNCTION("IFERROR(REGEXEXTRACT('Manual Data Import'!B766, ""^(.*)\s+[A-Z]{2,4}\s+\(\d+\)$""),'Manual Data Import'!B766) &amp; CHAR(10) &amp; 
IFERROR(REGEXREPLACE('Manual Data Import'!C766, ""\d+$"", """")) &amp;"" - ""&amp; 
IFERROR(REGEXEXTRACT('Manual Data Import'!B766, ""([A-Z"&amp;"]{2,4})\s+\(\d+\)$"")) &amp; "" (""&amp; 
IFERROR(REGEXEXTRACT('Manual Data Import'!B766, ""\((\d+)\)"")) &amp; "")"""),"
 -  ()")</f>
        <v>
 -  ()</v>
      </c>
      <c r="B766" s="30" t="str">
        <f>IFERROR(IF(COUNTIF('Draft Board'!$C$3:$V$24,A766)+COUNTIF(Keepers!$B$2:$U$21,A766)+COUNTIF('Auction Draft Board'!$C$6:$AP$25,A766)&gt;0,"",A766),"")</f>
        <v/>
      </c>
    </row>
    <row r="767">
      <c r="A767" t="str">
        <f>IFERROR(__xludf.DUMMYFUNCTION("IFERROR(REGEXEXTRACT('Manual Data Import'!B767, ""^(.*)\s+[A-Z]{2,4}\s+\(\d+\)$""),'Manual Data Import'!B767) &amp; CHAR(10) &amp; 
IFERROR(REGEXREPLACE('Manual Data Import'!C767, ""\d+$"", """")) &amp;"" - ""&amp; 
IFERROR(REGEXEXTRACT('Manual Data Import'!B767, ""([A-Z"&amp;"]{2,4})\s+\(\d+\)$"")) &amp; "" (""&amp; 
IFERROR(REGEXEXTRACT('Manual Data Import'!B767, ""\((\d+)\)"")) &amp; "")"""),"
 -  ()")</f>
        <v>
 -  ()</v>
      </c>
      <c r="B767" s="30" t="str">
        <f>IFERROR(IF(COUNTIF('Draft Board'!$C$3:$V$24,A767)+COUNTIF(Keepers!$B$2:$U$21,A767)+COUNTIF('Auction Draft Board'!$C$6:$AP$25,A767)&gt;0,"",A767),"")</f>
        <v/>
      </c>
    </row>
    <row r="768">
      <c r="A768" t="str">
        <f>IFERROR(__xludf.DUMMYFUNCTION("IFERROR(REGEXEXTRACT('Manual Data Import'!B768, ""^(.*)\s+[A-Z]{2,4}\s+\(\d+\)$""),'Manual Data Import'!B768) &amp; CHAR(10) &amp; 
IFERROR(REGEXREPLACE('Manual Data Import'!C768, ""\d+$"", """")) &amp;"" - ""&amp; 
IFERROR(REGEXEXTRACT('Manual Data Import'!B768, ""([A-Z"&amp;"]{2,4})\s+\(\d+\)$"")) &amp; "" (""&amp; 
IFERROR(REGEXEXTRACT('Manual Data Import'!B768, ""\((\d+)\)"")) &amp; "")"""),"
 -  ()")</f>
        <v>
 -  ()</v>
      </c>
      <c r="B768" s="30" t="str">
        <f>IFERROR(IF(COUNTIF('Draft Board'!$C$3:$V$24,A768)+COUNTIF(Keepers!$B$2:$U$21,A768)+COUNTIF('Auction Draft Board'!$C$6:$AP$25,A768)&gt;0,"",A768),"")</f>
        <v/>
      </c>
    </row>
    <row r="769">
      <c r="A769" t="str">
        <f>IFERROR(__xludf.DUMMYFUNCTION("IFERROR(REGEXEXTRACT('Manual Data Import'!B769, ""^(.*)\s+[A-Z]{2,4}\s+\(\d+\)$""),'Manual Data Import'!B769) &amp; CHAR(10) &amp; 
IFERROR(REGEXREPLACE('Manual Data Import'!C769, ""\d+$"", """")) &amp;"" - ""&amp; 
IFERROR(REGEXEXTRACT('Manual Data Import'!B769, ""([A-Z"&amp;"]{2,4})\s+\(\d+\)$"")) &amp; "" (""&amp; 
IFERROR(REGEXEXTRACT('Manual Data Import'!B769, ""\((\d+)\)"")) &amp; "")"""),"
 -  ()")</f>
        <v>
 -  ()</v>
      </c>
      <c r="B769" s="30" t="str">
        <f>IFERROR(IF(COUNTIF('Draft Board'!$C$3:$V$24,A769)+COUNTIF(Keepers!$B$2:$U$21,A769)+COUNTIF('Auction Draft Board'!$C$6:$AP$25,A769)&gt;0,"",A769),"")</f>
        <v/>
      </c>
    </row>
    <row r="770">
      <c r="A770" t="str">
        <f>IFERROR(__xludf.DUMMYFUNCTION("IFERROR(REGEXEXTRACT('Manual Data Import'!B770, ""^(.*)\s+[A-Z]{2,4}\s+\(\d+\)$""),'Manual Data Import'!B770) &amp; CHAR(10) &amp; 
IFERROR(REGEXREPLACE('Manual Data Import'!C770, ""\d+$"", """")) &amp;"" - ""&amp; 
IFERROR(REGEXEXTRACT('Manual Data Import'!B770, ""([A-Z"&amp;"]{2,4})\s+\(\d+\)$"")) &amp; "" (""&amp; 
IFERROR(REGEXEXTRACT('Manual Data Import'!B770, ""\((\d+)\)"")) &amp; "")"""),"
 -  ()")</f>
        <v>
 -  ()</v>
      </c>
      <c r="B770" s="30" t="str">
        <f>IFERROR(IF(COUNTIF('Draft Board'!$C$3:$V$24,A770)+COUNTIF(Keepers!$B$2:$U$21,A770)+COUNTIF('Auction Draft Board'!$C$6:$AP$25,A770)&gt;0,"",A770),"")</f>
        <v/>
      </c>
    </row>
    <row r="771">
      <c r="A771" t="str">
        <f>IFERROR(__xludf.DUMMYFUNCTION("IFERROR(REGEXEXTRACT('Manual Data Import'!B771, ""^(.*)\s+[A-Z]{2,4}\s+\(\d+\)$""),'Manual Data Import'!B771) &amp; CHAR(10) &amp; 
IFERROR(REGEXREPLACE('Manual Data Import'!C771, ""\d+$"", """")) &amp;"" - ""&amp; 
IFERROR(REGEXEXTRACT('Manual Data Import'!B771, ""([A-Z"&amp;"]{2,4})\s+\(\d+\)$"")) &amp; "" (""&amp; 
IFERROR(REGEXEXTRACT('Manual Data Import'!B771, ""\((\d+)\)"")) &amp; "")"""),"
 -  ()")</f>
        <v>
 -  ()</v>
      </c>
      <c r="B771" s="30" t="str">
        <f>IFERROR(IF(COUNTIF('Draft Board'!$C$3:$V$24,A771)+COUNTIF(Keepers!$B$2:$U$21,A771)+COUNTIF('Auction Draft Board'!$C$6:$AP$25,A771)&gt;0,"",A771),"")</f>
        <v/>
      </c>
    </row>
    <row r="772">
      <c r="A772" t="str">
        <f>IFERROR(__xludf.DUMMYFUNCTION("IFERROR(REGEXEXTRACT('Manual Data Import'!B772, ""^(.*)\s+[A-Z]{2,4}\s+\(\d+\)$""),'Manual Data Import'!B772) &amp; CHAR(10) &amp; 
IFERROR(REGEXREPLACE('Manual Data Import'!C772, ""\d+$"", """")) &amp;"" - ""&amp; 
IFERROR(REGEXEXTRACT('Manual Data Import'!B772, ""([A-Z"&amp;"]{2,4})\s+\(\d+\)$"")) &amp; "" (""&amp; 
IFERROR(REGEXEXTRACT('Manual Data Import'!B772, ""\((\d+)\)"")) &amp; "")"""),"
 -  ()")</f>
        <v>
 -  ()</v>
      </c>
      <c r="B772" s="30" t="str">
        <f>IFERROR(IF(COUNTIF('Draft Board'!$C$3:$V$24,A772)+COUNTIF(Keepers!$B$2:$U$21,A772)+COUNTIF('Auction Draft Board'!$C$6:$AP$25,A772)&gt;0,"",A772),"")</f>
        <v/>
      </c>
    </row>
    <row r="773">
      <c r="A773" t="str">
        <f>IFERROR(__xludf.DUMMYFUNCTION("IFERROR(REGEXEXTRACT('Manual Data Import'!B773, ""^(.*)\s+[A-Z]{2,4}\s+\(\d+\)$""),'Manual Data Import'!B773) &amp; CHAR(10) &amp; 
IFERROR(REGEXREPLACE('Manual Data Import'!C773, ""\d+$"", """")) &amp;"" - ""&amp; 
IFERROR(REGEXEXTRACT('Manual Data Import'!B773, ""([A-Z"&amp;"]{2,4})\s+\(\d+\)$"")) &amp; "" (""&amp; 
IFERROR(REGEXEXTRACT('Manual Data Import'!B773, ""\((\d+)\)"")) &amp; "")"""),"
 -  ()")</f>
        <v>
 -  ()</v>
      </c>
      <c r="B773" s="30" t="str">
        <f>IFERROR(IF(COUNTIF('Draft Board'!$C$3:$V$24,A773)+COUNTIF(Keepers!$B$2:$U$21,A773)+COUNTIF('Auction Draft Board'!$C$6:$AP$25,A773)&gt;0,"",A773),"")</f>
        <v/>
      </c>
    </row>
    <row r="774">
      <c r="A774" t="str">
        <f>IFERROR(__xludf.DUMMYFUNCTION("IFERROR(REGEXEXTRACT('Manual Data Import'!B774, ""^(.*)\s+[A-Z]{2,4}\s+\(\d+\)$""),'Manual Data Import'!B774) &amp; CHAR(10) &amp; 
IFERROR(REGEXREPLACE('Manual Data Import'!C774, ""\d+$"", """")) &amp;"" - ""&amp; 
IFERROR(REGEXEXTRACT('Manual Data Import'!B774, ""([A-Z"&amp;"]{2,4})\s+\(\d+\)$"")) &amp; "" (""&amp; 
IFERROR(REGEXEXTRACT('Manual Data Import'!B774, ""\((\d+)\)"")) &amp; "")"""),"
 -  ()")</f>
        <v>
 -  ()</v>
      </c>
      <c r="B774" s="30" t="str">
        <f>IFERROR(IF(COUNTIF('Draft Board'!$C$3:$V$24,A774)+COUNTIF(Keepers!$B$2:$U$21,A774)+COUNTIF('Auction Draft Board'!$C$6:$AP$25,A774)&gt;0,"",A774),"")</f>
        <v/>
      </c>
    </row>
    <row r="775">
      <c r="A775" t="str">
        <f>IFERROR(__xludf.DUMMYFUNCTION("IFERROR(REGEXEXTRACT('Manual Data Import'!B775, ""^(.*)\s+[A-Z]{2,4}\s+\(\d+\)$""),'Manual Data Import'!B775) &amp; CHAR(10) &amp; 
IFERROR(REGEXREPLACE('Manual Data Import'!C775, ""\d+$"", """")) &amp;"" - ""&amp; 
IFERROR(REGEXEXTRACT('Manual Data Import'!B775, ""([A-Z"&amp;"]{2,4})\s+\(\d+\)$"")) &amp; "" (""&amp; 
IFERROR(REGEXEXTRACT('Manual Data Import'!B775, ""\((\d+)\)"")) &amp; "")"""),"
 -  ()")</f>
        <v>
 -  ()</v>
      </c>
      <c r="B775" s="30" t="str">
        <f>IFERROR(IF(COUNTIF('Draft Board'!$C$3:$V$24,A775)+COUNTIF(Keepers!$B$2:$U$21,A775)+COUNTIF('Auction Draft Board'!$C$6:$AP$25,A775)&gt;0,"",A775),"")</f>
        <v/>
      </c>
    </row>
    <row r="776">
      <c r="A776" t="str">
        <f>IFERROR(__xludf.DUMMYFUNCTION("IFERROR(REGEXEXTRACT('Manual Data Import'!B776, ""^(.*)\s+[A-Z]{2,4}\s+\(\d+\)$""),'Manual Data Import'!B776) &amp; CHAR(10) &amp; 
IFERROR(REGEXREPLACE('Manual Data Import'!C776, ""\d+$"", """")) &amp;"" - ""&amp; 
IFERROR(REGEXEXTRACT('Manual Data Import'!B776, ""([A-Z"&amp;"]{2,4})\s+\(\d+\)$"")) &amp; "" (""&amp; 
IFERROR(REGEXEXTRACT('Manual Data Import'!B776, ""\((\d+)\)"")) &amp; "")"""),"
 -  ()")</f>
        <v>
 -  ()</v>
      </c>
      <c r="B776" s="30" t="str">
        <f>IFERROR(IF(COUNTIF('Draft Board'!$C$3:$V$24,A776)+COUNTIF(Keepers!$B$2:$U$21,A776)+COUNTIF('Auction Draft Board'!$C$6:$AP$25,A776)&gt;0,"",A776),"")</f>
        <v/>
      </c>
    </row>
    <row r="777">
      <c r="A777" t="str">
        <f>IFERROR(__xludf.DUMMYFUNCTION("IFERROR(REGEXEXTRACT('Manual Data Import'!B777, ""^(.*)\s+[A-Z]{2,4}\s+\(\d+\)$""),'Manual Data Import'!B777) &amp; CHAR(10) &amp; 
IFERROR(REGEXREPLACE('Manual Data Import'!C777, ""\d+$"", """")) &amp;"" - ""&amp; 
IFERROR(REGEXEXTRACT('Manual Data Import'!B777, ""([A-Z"&amp;"]{2,4})\s+\(\d+\)$"")) &amp; "" (""&amp; 
IFERROR(REGEXEXTRACT('Manual Data Import'!B777, ""\((\d+)\)"")) &amp; "")"""),"
 -  ()")</f>
        <v>
 -  ()</v>
      </c>
      <c r="B777" s="30" t="str">
        <f>IFERROR(IF(COUNTIF('Draft Board'!$C$3:$V$24,A777)+COUNTIF(Keepers!$B$2:$U$21,A777)+COUNTIF('Auction Draft Board'!$C$6:$AP$25,A777)&gt;0,"",A777),"")</f>
        <v/>
      </c>
    </row>
    <row r="778">
      <c r="A778" t="str">
        <f>IFERROR(__xludf.DUMMYFUNCTION("IFERROR(REGEXEXTRACT('Manual Data Import'!B778, ""^(.*)\s+[A-Z]{2,4}\s+\(\d+\)$""),'Manual Data Import'!B778) &amp; CHAR(10) &amp; 
IFERROR(REGEXREPLACE('Manual Data Import'!C778, ""\d+$"", """")) &amp;"" - ""&amp; 
IFERROR(REGEXEXTRACT('Manual Data Import'!B778, ""([A-Z"&amp;"]{2,4})\s+\(\d+\)$"")) &amp; "" (""&amp; 
IFERROR(REGEXEXTRACT('Manual Data Import'!B778, ""\((\d+)\)"")) &amp; "")"""),"
 -  ()")</f>
        <v>
 -  ()</v>
      </c>
      <c r="B778" s="30" t="str">
        <f>IFERROR(IF(COUNTIF('Draft Board'!$C$3:$V$24,A778)+COUNTIF(Keepers!$B$2:$U$21,A778)+COUNTIF('Auction Draft Board'!$C$6:$AP$25,A778)&gt;0,"",A778),"")</f>
        <v/>
      </c>
    </row>
    <row r="779">
      <c r="A779" t="str">
        <f>IFERROR(__xludf.DUMMYFUNCTION("IFERROR(REGEXEXTRACT('Manual Data Import'!B779, ""^(.*)\s+[A-Z]{2,4}\s+\(\d+\)$""),'Manual Data Import'!B779) &amp; CHAR(10) &amp; 
IFERROR(REGEXREPLACE('Manual Data Import'!C779, ""\d+$"", """")) &amp;"" - ""&amp; 
IFERROR(REGEXEXTRACT('Manual Data Import'!B779, ""([A-Z"&amp;"]{2,4})\s+\(\d+\)$"")) &amp; "" (""&amp; 
IFERROR(REGEXEXTRACT('Manual Data Import'!B779, ""\((\d+)\)"")) &amp; "")"""),"
 -  ()")</f>
        <v>
 -  ()</v>
      </c>
      <c r="B779" s="30" t="str">
        <f>IFERROR(IF(COUNTIF('Draft Board'!$C$3:$V$24,A779)+COUNTIF(Keepers!$B$2:$U$21,A779)+COUNTIF('Auction Draft Board'!$C$6:$AP$25,A779)&gt;0,"",A779),"")</f>
        <v/>
      </c>
    </row>
    <row r="780">
      <c r="A780" t="str">
        <f>IFERROR(__xludf.DUMMYFUNCTION("IFERROR(REGEXEXTRACT('Manual Data Import'!B780, ""^(.*)\s+[A-Z]{2,4}\s+\(\d+\)$""),'Manual Data Import'!B780) &amp; CHAR(10) &amp; 
IFERROR(REGEXREPLACE('Manual Data Import'!C780, ""\d+$"", """")) &amp;"" - ""&amp; 
IFERROR(REGEXEXTRACT('Manual Data Import'!B780, ""([A-Z"&amp;"]{2,4})\s+\(\d+\)$"")) &amp; "" (""&amp; 
IFERROR(REGEXEXTRACT('Manual Data Import'!B780, ""\((\d+)\)"")) &amp; "")"""),"
 -  ()")</f>
        <v>
 -  ()</v>
      </c>
      <c r="B780" s="30" t="str">
        <f>IFERROR(IF(COUNTIF('Draft Board'!$C$3:$V$24,A780)+COUNTIF(Keepers!$B$2:$U$21,A780)+COUNTIF('Auction Draft Board'!$C$6:$AP$25,A780)&gt;0,"",A780),"")</f>
        <v/>
      </c>
    </row>
    <row r="781">
      <c r="A781" t="str">
        <f>IFERROR(__xludf.DUMMYFUNCTION("IFERROR(REGEXEXTRACT('Manual Data Import'!B781, ""^(.*)\s+[A-Z]{2,4}\s+\(\d+\)$""),'Manual Data Import'!B781) &amp; CHAR(10) &amp; 
IFERROR(REGEXREPLACE('Manual Data Import'!C781, ""\d+$"", """")) &amp;"" - ""&amp; 
IFERROR(REGEXEXTRACT('Manual Data Import'!B781, ""([A-Z"&amp;"]{2,4})\s+\(\d+\)$"")) &amp; "" (""&amp; 
IFERROR(REGEXEXTRACT('Manual Data Import'!B781, ""\((\d+)\)"")) &amp; "")"""),"
 -  ()")</f>
        <v>
 -  ()</v>
      </c>
      <c r="B781" s="30" t="str">
        <f>IFERROR(IF(COUNTIF('Draft Board'!$C$3:$V$24,A781)+COUNTIF(Keepers!$B$2:$U$21,A781)+COUNTIF('Auction Draft Board'!$C$6:$AP$25,A781)&gt;0,"",A781),"")</f>
        <v/>
      </c>
    </row>
    <row r="782">
      <c r="A782" t="str">
        <f>IFERROR(__xludf.DUMMYFUNCTION("IFERROR(REGEXEXTRACT('Manual Data Import'!B782, ""^(.*)\s+[A-Z]{2,4}\s+\(\d+\)$""),'Manual Data Import'!B782) &amp; CHAR(10) &amp; 
IFERROR(REGEXREPLACE('Manual Data Import'!C782, ""\d+$"", """")) &amp;"" - ""&amp; 
IFERROR(REGEXEXTRACT('Manual Data Import'!B782, ""([A-Z"&amp;"]{2,4})\s+\(\d+\)$"")) &amp; "" (""&amp; 
IFERROR(REGEXEXTRACT('Manual Data Import'!B782, ""\((\d+)\)"")) &amp; "")"""),"
 -  ()")</f>
        <v>
 -  ()</v>
      </c>
      <c r="B782" s="30" t="str">
        <f>IFERROR(IF(COUNTIF('Draft Board'!$C$3:$V$24,A782)+COUNTIF(Keepers!$B$2:$U$21,A782)+COUNTIF('Auction Draft Board'!$C$6:$AP$25,A782)&gt;0,"",A782),"")</f>
        <v/>
      </c>
    </row>
    <row r="783">
      <c r="A783" t="str">
        <f>IFERROR(__xludf.DUMMYFUNCTION("IFERROR(REGEXEXTRACT('Manual Data Import'!B783, ""^(.*)\s+[A-Z]{2,4}\s+\(\d+\)$""),'Manual Data Import'!B783) &amp; CHAR(10) &amp; 
IFERROR(REGEXREPLACE('Manual Data Import'!C783, ""\d+$"", """")) &amp;"" - ""&amp; 
IFERROR(REGEXEXTRACT('Manual Data Import'!B783, ""([A-Z"&amp;"]{2,4})\s+\(\d+\)$"")) &amp; "" (""&amp; 
IFERROR(REGEXEXTRACT('Manual Data Import'!B783, ""\((\d+)\)"")) &amp; "")"""),"
 -  ()")</f>
        <v>
 -  ()</v>
      </c>
      <c r="B783" s="30" t="str">
        <f>IFERROR(IF(COUNTIF('Draft Board'!$C$3:$V$24,A783)+COUNTIF(Keepers!$B$2:$U$21,A783)+COUNTIF('Auction Draft Board'!$C$6:$AP$25,A783)&gt;0,"",A783),"")</f>
        <v/>
      </c>
    </row>
    <row r="784">
      <c r="A784" t="str">
        <f>IFERROR(__xludf.DUMMYFUNCTION("IFERROR(REGEXEXTRACT('Manual Data Import'!B784, ""^(.*)\s+[A-Z]{2,4}\s+\(\d+\)$""),'Manual Data Import'!B784) &amp; CHAR(10) &amp; 
IFERROR(REGEXREPLACE('Manual Data Import'!C784, ""\d+$"", """")) &amp;"" - ""&amp; 
IFERROR(REGEXEXTRACT('Manual Data Import'!B784, ""([A-Z"&amp;"]{2,4})\s+\(\d+\)$"")) &amp; "" (""&amp; 
IFERROR(REGEXEXTRACT('Manual Data Import'!B784, ""\((\d+)\)"")) &amp; "")"""),"
 -  ()")</f>
        <v>
 -  ()</v>
      </c>
      <c r="B784" s="30" t="str">
        <f>IFERROR(IF(COUNTIF('Draft Board'!$C$3:$V$24,A784)+COUNTIF(Keepers!$B$2:$U$21,A784)+COUNTIF('Auction Draft Board'!$C$6:$AP$25,A784)&gt;0,"",A784),"")</f>
        <v/>
      </c>
    </row>
    <row r="785">
      <c r="A785" t="str">
        <f>IFERROR(__xludf.DUMMYFUNCTION("IFERROR(REGEXEXTRACT('Manual Data Import'!B785, ""^(.*)\s+[A-Z]{2,4}\s+\(\d+\)$""),'Manual Data Import'!B785) &amp; CHAR(10) &amp; 
IFERROR(REGEXREPLACE('Manual Data Import'!C785, ""\d+$"", """")) &amp;"" - ""&amp; 
IFERROR(REGEXEXTRACT('Manual Data Import'!B785, ""([A-Z"&amp;"]{2,4})\s+\(\d+\)$"")) &amp; "" (""&amp; 
IFERROR(REGEXEXTRACT('Manual Data Import'!B785, ""\((\d+)\)"")) &amp; "")"""),"
 -  ()")</f>
        <v>
 -  ()</v>
      </c>
      <c r="B785" s="30" t="str">
        <f>IFERROR(IF(COUNTIF('Draft Board'!$C$3:$V$24,A785)+COUNTIF(Keepers!$B$2:$U$21,A785)+COUNTIF('Auction Draft Board'!$C$6:$AP$25,A785)&gt;0,"",A785),"")</f>
        <v/>
      </c>
    </row>
    <row r="786">
      <c r="A786" t="str">
        <f>IFERROR(__xludf.DUMMYFUNCTION("IFERROR(REGEXEXTRACT('Manual Data Import'!B786, ""^(.*)\s+[A-Z]{2,4}\s+\(\d+\)$""),'Manual Data Import'!B786) &amp; CHAR(10) &amp; 
IFERROR(REGEXREPLACE('Manual Data Import'!C786, ""\d+$"", """")) &amp;"" - ""&amp; 
IFERROR(REGEXEXTRACT('Manual Data Import'!B786, ""([A-Z"&amp;"]{2,4})\s+\(\d+\)$"")) &amp; "" (""&amp; 
IFERROR(REGEXEXTRACT('Manual Data Import'!B786, ""\((\d+)\)"")) &amp; "")"""),"
 -  ()")</f>
        <v>
 -  ()</v>
      </c>
      <c r="B786" s="30" t="str">
        <f>IFERROR(IF(COUNTIF('Draft Board'!$C$3:$V$24,A786)+COUNTIF(Keepers!$B$2:$U$21,A786)+COUNTIF('Auction Draft Board'!$C$6:$AP$25,A786)&gt;0,"",A786),"")</f>
        <v/>
      </c>
    </row>
    <row r="787">
      <c r="A787" t="str">
        <f>IFERROR(__xludf.DUMMYFUNCTION("IFERROR(REGEXEXTRACT('Manual Data Import'!B787, ""^(.*)\s+[A-Z]{2,4}\s+\(\d+\)$""),'Manual Data Import'!B787) &amp; CHAR(10) &amp; 
IFERROR(REGEXREPLACE('Manual Data Import'!C787, ""\d+$"", """")) &amp;"" - ""&amp; 
IFERROR(REGEXEXTRACT('Manual Data Import'!B787, ""([A-Z"&amp;"]{2,4})\s+\(\d+\)$"")) &amp; "" (""&amp; 
IFERROR(REGEXEXTRACT('Manual Data Import'!B787, ""\((\d+)\)"")) &amp; "")"""),"
 -  ()")</f>
        <v>
 -  ()</v>
      </c>
      <c r="B787" s="30" t="str">
        <f>IFERROR(IF(COUNTIF('Draft Board'!$C$3:$V$24,A787)+COUNTIF(Keepers!$B$2:$U$21,A787)+COUNTIF('Auction Draft Board'!$C$6:$AP$25,A787)&gt;0,"",A787),"")</f>
        <v/>
      </c>
    </row>
    <row r="788">
      <c r="A788" t="str">
        <f>IFERROR(__xludf.DUMMYFUNCTION("IFERROR(REGEXEXTRACT('Manual Data Import'!B788, ""^(.*)\s+[A-Z]{2,4}\s+\(\d+\)$""),'Manual Data Import'!B788) &amp; CHAR(10) &amp; 
IFERROR(REGEXREPLACE('Manual Data Import'!C788, ""\d+$"", """")) &amp;"" - ""&amp; 
IFERROR(REGEXEXTRACT('Manual Data Import'!B788, ""([A-Z"&amp;"]{2,4})\s+\(\d+\)$"")) &amp; "" (""&amp; 
IFERROR(REGEXEXTRACT('Manual Data Import'!B788, ""\((\d+)\)"")) &amp; "")"""),"
 -  ()")</f>
        <v>
 -  ()</v>
      </c>
      <c r="B788" s="30" t="str">
        <f>IFERROR(IF(COUNTIF('Draft Board'!$C$3:$V$24,A788)+COUNTIF(Keepers!$B$2:$U$21,A788)+COUNTIF('Auction Draft Board'!$C$6:$AP$25,A788)&gt;0,"",A788),"")</f>
        <v/>
      </c>
    </row>
    <row r="789">
      <c r="A789" t="str">
        <f>IFERROR(__xludf.DUMMYFUNCTION("IFERROR(REGEXEXTRACT('Manual Data Import'!B789, ""^(.*)\s+[A-Z]{2,4}\s+\(\d+\)$""),'Manual Data Import'!B789) &amp; CHAR(10) &amp; 
IFERROR(REGEXREPLACE('Manual Data Import'!C789, ""\d+$"", """")) &amp;"" - ""&amp; 
IFERROR(REGEXEXTRACT('Manual Data Import'!B789, ""([A-Z"&amp;"]{2,4})\s+\(\d+\)$"")) &amp; "" (""&amp; 
IFERROR(REGEXEXTRACT('Manual Data Import'!B789, ""\((\d+)\)"")) &amp; "")"""),"
 -  ()")</f>
        <v>
 -  ()</v>
      </c>
      <c r="B789" s="30" t="str">
        <f>IFERROR(IF(COUNTIF('Draft Board'!$C$3:$V$24,A789)+COUNTIF(Keepers!$B$2:$U$21,A789)+COUNTIF('Auction Draft Board'!$C$6:$AP$25,A789)&gt;0,"",A789),"")</f>
        <v/>
      </c>
    </row>
    <row r="790">
      <c r="A790" t="str">
        <f>IFERROR(__xludf.DUMMYFUNCTION("IFERROR(REGEXEXTRACT('Manual Data Import'!B790, ""^(.*)\s+[A-Z]{2,4}\s+\(\d+\)$""),'Manual Data Import'!B790) &amp; CHAR(10) &amp; 
IFERROR(REGEXREPLACE('Manual Data Import'!C790, ""\d+$"", """")) &amp;"" - ""&amp; 
IFERROR(REGEXEXTRACT('Manual Data Import'!B790, ""([A-Z"&amp;"]{2,4})\s+\(\d+\)$"")) &amp; "" (""&amp; 
IFERROR(REGEXEXTRACT('Manual Data Import'!B790, ""\((\d+)\)"")) &amp; "")"""),"
 -  ()")</f>
        <v>
 -  ()</v>
      </c>
      <c r="B790" s="30" t="str">
        <f>IFERROR(IF(COUNTIF('Draft Board'!$C$3:$V$24,A790)+COUNTIF(Keepers!$B$2:$U$21,A790)+COUNTIF('Auction Draft Board'!$C$6:$AP$25,A790)&gt;0,"",A790),"")</f>
        <v/>
      </c>
    </row>
    <row r="791">
      <c r="A791" t="str">
        <f>IFERROR(__xludf.DUMMYFUNCTION("IFERROR(REGEXEXTRACT('Manual Data Import'!B791, ""^(.*)\s+[A-Z]{2,4}\s+\(\d+\)$""),'Manual Data Import'!B791) &amp; CHAR(10) &amp; 
IFERROR(REGEXREPLACE('Manual Data Import'!C791, ""\d+$"", """")) &amp;"" - ""&amp; 
IFERROR(REGEXEXTRACT('Manual Data Import'!B791, ""([A-Z"&amp;"]{2,4})\s+\(\d+\)$"")) &amp; "" (""&amp; 
IFERROR(REGEXEXTRACT('Manual Data Import'!B791, ""\((\d+)\)"")) &amp; "")"""),"
 -  ()")</f>
        <v>
 -  ()</v>
      </c>
      <c r="B791" s="30" t="str">
        <f>IFERROR(IF(COUNTIF('Draft Board'!$C$3:$V$24,A791)+COUNTIF(Keepers!$B$2:$U$21,A791)+COUNTIF('Auction Draft Board'!$C$6:$AP$25,A791)&gt;0,"",A791),"")</f>
        <v/>
      </c>
    </row>
    <row r="792">
      <c r="A792" t="str">
        <f>IFERROR(__xludf.DUMMYFUNCTION("IFERROR(REGEXEXTRACT('Manual Data Import'!B792, ""^(.*)\s+[A-Z]{2,4}\s+\(\d+\)$""),'Manual Data Import'!B792) &amp; CHAR(10) &amp; 
IFERROR(REGEXREPLACE('Manual Data Import'!C792, ""\d+$"", """")) &amp;"" - ""&amp; 
IFERROR(REGEXEXTRACT('Manual Data Import'!B792, ""([A-Z"&amp;"]{2,4})\s+\(\d+\)$"")) &amp; "" (""&amp; 
IFERROR(REGEXEXTRACT('Manual Data Import'!B792, ""\((\d+)\)"")) &amp; "")"""),"
 -  ()")</f>
        <v>
 -  ()</v>
      </c>
      <c r="B792" s="30" t="str">
        <f>IFERROR(IF(COUNTIF('Draft Board'!$C$3:$V$24,A792)+COUNTIF(Keepers!$B$2:$U$21,A792)+COUNTIF('Auction Draft Board'!$C$6:$AP$25,A792)&gt;0,"",A792),"")</f>
        <v/>
      </c>
    </row>
    <row r="793">
      <c r="A793" t="str">
        <f>IFERROR(__xludf.DUMMYFUNCTION("IFERROR(REGEXEXTRACT('Manual Data Import'!B793, ""^(.*)\s+[A-Z]{2,4}\s+\(\d+\)$""),'Manual Data Import'!B793) &amp; CHAR(10) &amp; 
IFERROR(REGEXREPLACE('Manual Data Import'!C793, ""\d+$"", """")) &amp;"" - ""&amp; 
IFERROR(REGEXEXTRACT('Manual Data Import'!B793, ""([A-Z"&amp;"]{2,4})\s+\(\d+\)$"")) &amp; "" (""&amp; 
IFERROR(REGEXEXTRACT('Manual Data Import'!B793, ""\((\d+)\)"")) &amp; "")"""),"
 -  ()")</f>
        <v>
 -  ()</v>
      </c>
      <c r="B793" s="30" t="str">
        <f>IFERROR(IF(COUNTIF('Draft Board'!$C$3:$V$24,A793)+COUNTIF(Keepers!$B$2:$U$21,A793)+COUNTIF('Auction Draft Board'!$C$6:$AP$25,A793)&gt;0,"",A793),"")</f>
        <v/>
      </c>
    </row>
    <row r="794">
      <c r="A794" t="str">
        <f>IFERROR(__xludf.DUMMYFUNCTION("IFERROR(REGEXEXTRACT('Manual Data Import'!B794, ""^(.*)\s+[A-Z]{2,4}\s+\(\d+\)$""),'Manual Data Import'!B794) &amp; CHAR(10) &amp; 
IFERROR(REGEXREPLACE('Manual Data Import'!C794, ""\d+$"", """")) &amp;"" - ""&amp; 
IFERROR(REGEXEXTRACT('Manual Data Import'!B794, ""([A-Z"&amp;"]{2,4})\s+\(\d+\)$"")) &amp; "" (""&amp; 
IFERROR(REGEXEXTRACT('Manual Data Import'!B794, ""\((\d+)\)"")) &amp; "")"""),"
 -  ()")</f>
        <v>
 -  ()</v>
      </c>
      <c r="B794" s="30" t="str">
        <f>IFERROR(IF(COUNTIF('Draft Board'!$C$3:$V$24,A794)+COUNTIF(Keepers!$B$2:$U$21,A794)+COUNTIF('Auction Draft Board'!$C$6:$AP$25,A794)&gt;0,"",A794),"")</f>
        <v/>
      </c>
    </row>
    <row r="795">
      <c r="A795" t="str">
        <f>IFERROR(__xludf.DUMMYFUNCTION("IFERROR(REGEXEXTRACT('Manual Data Import'!B795, ""^(.*)\s+[A-Z]{2,4}\s+\(\d+\)$""),'Manual Data Import'!B795) &amp; CHAR(10) &amp; 
IFERROR(REGEXREPLACE('Manual Data Import'!C795, ""\d+$"", """")) &amp;"" - ""&amp; 
IFERROR(REGEXEXTRACT('Manual Data Import'!B795, ""([A-Z"&amp;"]{2,4})\s+\(\d+\)$"")) &amp; "" (""&amp; 
IFERROR(REGEXEXTRACT('Manual Data Import'!B795, ""\((\d+)\)"")) &amp; "")"""),"
 -  ()")</f>
        <v>
 -  ()</v>
      </c>
      <c r="B795" s="30" t="str">
        <f>IFERROR(IF(COUNTIF('Draft Board'!$C$3:$V$24,A795)+COUNTIF(Keepers!$B$2:$U$21,A795)+COUNTIF('Auction Draft Board'!$C$6:$AP$25,A795)&gt;0,"",A795),"")</f>
        <v/>
      </c>
    </row>
    <row r="796">
      <c r="A796" t="str">
        <f>IFERROR(__xludf.DUMMYFUNCTION("IFERROR(REGEXEXTRACT('Manual Data Import'!B796, ""^(.*)\s+[A-Z]{2,4}\s+\(\d+\)$""),'Manual Data Import'!B796) &amp; CHAR(10) &amp; 
IFERROR(REGEXREPLACE('Manual Data Import'!C796, ""\d+$"", """")) &amp;"" - ""&amp; 
IFERROR(REGEXEXTRACT('Manual Data Import'!B796, ""([A-Z"&amp;"]{2,4})\s+\(\d+\)$"")) &amp; "" (""&amp; 
IFERROR(REGEXEXTRACT('Manual Data Import'!B796, ""\((\d+)\)"")) &amp; "")"""),"
 -  ()")</f>
        <v>
 -  ()</v>
      </c>
      <c r="B796" s="30" t="str">
        <f>IFERROR(IF(COUNTIF('Draft Board'!$C$3:$V$24,A796)+COUNTIF(Keepers!$B$2:$U$21,A796)+COUNTIF('Auction Draft Board'!$C$6:$AP$25,A796)&gt;0,"",A796),"")</f>
        <v/>
      </c>
    </row>
    <row r="797">
      <c r="A797" t="str">
        <f>IFERROR(__xludf.DUMMYFUNCTION("IFERROR(REGEXEXTRACT('Manual Data Import'!B797, ""^(.*)\s+[A-Z]{2,4}\s+\(\d+\)$""),'Manual Data Import'!B797) &amp; CHAR(10) &amp; 
IFERROR(REGEXREPLACE('Manual Data Import'!C797, ""\d+$"", """")) &amp;"" - ""&amp; 
IFERROR(REGEXEXTRACT('Manual Data Import'!B797, ""([A-Z"&amp;"]{2,4})\s+\(\d+\)$"")) &amp; "" (""&amp; 
IFERROR(REGEXEXTRACT('Manual Data Import'!B797, ""\((\d+)\)"")) &amp; "")"""),"
 -  ()")</f>
        <v>
 -  ()</v>
      </c>
      <c r="B797" s="30" t="str">
        <f>IFERROR(IF(COUNTIF('Draft Board'!$C$3:$V$24,A797)+COUNTIF(Keepers!$B$2:$U$21,A797)+COUNTIF('Auction Draft Board'!$C$6:$AP$25,A797)&gt;0,"",A797),"")</f>
        <v/>
      </c>
    </row>
    <row r="798">
      <c r="A798" t="str">
        <f>IFERROR(__xludf.DUMMYFUNCTION("IFERROR(REGEXEXTRACT('Manual Data Import'!B798, ""^(.*)\s+[A-Z]{2,4}\s+\(\d+\)$""),'Manual Data Import'!B798) &amp; CHAR(10) &amp; 
IFERROR(REGEXREPLACE('Manual Data Import'!C798, ""\d+$"", """")) &amp;"" - ""&amp; 
IFERROR(REGEXEXTRACT('Manual Data Import'!B798, ""([A-Z"&amp;"]{2,4})\s+\(\d+\)$"")) &amp; "" (""&amp; 
IFERROR(REGEXEXTRACT('Manual Data Import'!B798, ""\((\d+)\)"")) &amp; "")"""),"
 -  ()")</f>
        <v>
 -  ()</v>
      </c>
      <c r="B798" s="30" t="str">
        <f>IFERROR(IF(COUNTIF('Draft Board'!$C$3:$V$24,A798)+COUNTIF(Keepers!$B$2:$U$21,A798)+COUNTIF('Auction Draft Board'!$C$6:$AP$25,A798)&gt;0,"",A798),"")</f>
        <v/>
      </c>
    </row>
    <row r="799">
      <c r="A799" t="str">
        <f>IFERROR(__xludf.DUMMYFUNCTION("IFERROR(REGEXEXTRACT('Manual Data Import'!B799, ""^(.*)\s+[A-Z]{2,4}\s+\(\d+\)$""),'Manual Data Import'!B799) &amp; CHAR(10) &amp; 
IFERROR(REGEXREPLACE('Manual Data Import'!C799, ""\d+$"", """")) &amp;"" - ""&amp; 
IFERROR(REGEXEXTRACT('Manual Data Import'!B799, ""([A-Z"&amp;"]{2,4})\s+\(\d+\)$"")) &amp; "" (""&amp; 
IFERROR(REGEXEXTRACT('Manual Data Import'!B799, ""\((\d+)\)"")) &amp; "")"""),"
 -  ()")</f>
        <v>
 -  ()</v>
      </c>
      <c r="B799" s="30" t="str">
        <f>IFERROR(IF(COUNTIF('Draft Board'!$C$3:$V$24,A799)+COUNTIF(Keepers!$B$2:$U$21,A799)+COUNTIF('Auction Draft Board'!$C$6:$AP$25,A799)&gt;0,"",A799),"")</f>
        <v/>
      </c>
    </row>
    <row r="800">
      <c r="A800" t="str">
        <f>IFERROR(__xludf.DUMMYFUNCTION("IFERROR(REGEXEXTRACT('Manual Data Import'!B800, ""^(.*)\s+[A-Z]{2,4}\s+\(\d+\)$""),'Manual Data Import'!B800) &amp; CHAR(10) &amp; 
IFERROR(REGEXREPLACE('Manual Data Import'!C800, ""\d+$"", """")) &amp;"" - ""&amp; 
IFERROR(REGEXEXTRACT('Manual Data Import'!B800, ""([A-Z"&amp;"]{2,4})\s+\(\d+\)$"")) &amp; "" (""&amp; 
IFERROR(REGEXEXTRACT('Manual Data Import'!B800, ""\((\d+)\)"")) &amp; "")"""),"
 -  ()")</f>
        <v>
 -  ()</v>
      </c>
      <c r="B800" s="30" t="str">
        <f>IFERROR(IF(COUNTIF('Draft Board'!$C$3:$V$24,A800)+COUNTIF(Keepers!$B$2:$U$21,A800)+COUNTIF('Auction Draft Board'!$C$6:$AP$25,A800)&gt;0,"",A800),"")</f>
        <v/>
      </c>
    </row>
    <row r="801">
      <c r="A801" t="str">
        <f>IFERROR(__xludf.DUMMYFUNCTION("IFERROR(REGEXEXTRACT('Manual Data Import'!B801, ""^(.*)\s+[A-Z]{2,4}\s+\(\d+\)$""),'Manual Data Import'!B801) &amp; CHAR(10) &amp; 
IFERROR(REGEXREPLACE('Manual Data Import'!C801, ""\d+$"", """")) &amp;"" - ""&amp; 
IFERROR(REGEXEXTRACT('Manual Data Import'!B801, ""([A-Z"&amp;"]{2,4})\s+\(\d+\)$"")) &amp; "" (""&amp; 
IFERROR(REGEXEXTRACT('Manual Data Import'!B801, ""\((\d+)\)"")) &amp; "")"""),"
 -  ()")</f>
        <v>
 -  ()</v>
      </c>
      <c r="B801" s="30" t="str">
        <f>IFERROR(IF(COUNTIF('Draft Board'!$C$3:$V$24,A801)+COUNTIF(Keepers!$B$2:$U$21,A801)+COUNTIF('Auction Draft Board'!$C$6:$AP$25,A801)&gt;0,"",A801),"")</f>
        <v/>
      </c>
    </row>
    <row r="802">
      <c r="A802" t="str">
        <f>IFERROR(__xludf.DUMMYFUNCTION("IFERROR(REGEXEXTRACT('Manual Data Import'!B802, ""^(.*)\s+[A-Z]{2,4}\s+\(\d+\)$""),'Manual Data Import'!B802) &amp; CHAR(10) &amp; 
IFERROR(REGEXREPLACE('Manual Data Import'!C802, ""\d+$"", """")) &amp;"" - ""&amp; 
IFERROR(REGEXEXTRACT('Manual Data Import'!B802, ""([A-Z"&amp;"]{2,4})\s+\(\d+\)$"")) &amp; "" (""&amp; 
IFERROR(REGEXEXTRACT('Manual Data Import'!B802, ""\((\d+)\)"")) &amp; "")"""),"
 -  ()")</f>
        <v>
 -  ()</v>
      </c>
      <c r="B802" s="30" t="str">
        <f>IFERROR(IF(COUNTIF('Draft Board'!$C$3:$V$24,A802)+COUNTIF(Keepers!$B$2:$U$21,A802)+COUNTIF('Auction Draft Board'!$C$6:$AP$25,A802)&gt;0,"",A802),"")</f>
        <v/>
      </c>
    </row>
    <row r="803">
      <c r="A803" t="str">
        <f>IFERROR(__xludf.DUMMYFUNCTION("IFERROR(REGEXEXTRACT('Manual Data Import'!B803, ""^(.*)\s+[A-Z]{2,4}\s+\(\d+\)$""),'Manual Data Import'!B803) &amp; CHAR(10) &amp; 
IFERROR(REGEXREPLACE('Manual Data Import'!C803, ""\d+$"", """")) &amp;"" - ""&amp; 
IFERROR(REGEXEXTRACT('Manual Data Import'!B803, ""([A-Z"&amp;"]{2,4})\s+\(\d+\)$"")) &amp; "" (""&amp; 
IFERROR(REGEXEXTRACT('Manual Data Import'!B803, ""\((\d+)\)"")) &amp; "")"""),"
 -  ()")</f>
        <v>
 -  ()</v>
      </c>
      <c r="B803" s="30" t="str">
        <f>IFERROR(IF(COUNTIF('Draft Board'!$C$3:$V$24,A803)+COUNTIF(Keepers!$B$2:$U$21,A803)+COUNTIF('Auction Draft Board'!$C$6:$AP$25,A803)&gt;0,"",A803),"")</f>
        <v/>
      </c>
    </row>
    <row r="804">
      <c r="A804" t="str">
        <f>IFERROR(__xludf.DUMMYFUNCTION("IFERROR(REGEXEXTRACT('Manual Data Import'!B804, ""^(.*)\s+[A-Z]{2,4}\s+\(\d+\)$""),'Manual Data Import'!B804) &amp; CHAR(10) &amp; 
IFERROR(REGEXREPLACE('Manual Data Import'!C804, ""\d+$"", """")) &amp;"" - ""&amp; 
IFERROR(REGEXEXTRACT('Manual Data Import'!B804, ""([A-Z"&amp;"]{2,4})\s+\(\d+\)$"")) &amp; "" (""&amp; 
IFERROR(REGEXEXTRACT('Manual Data Import'!B804, ""\((\d+)\)"")) &amp; "")"""),"
 -  ()")</f>
        <v>
 -  ()</v>
      </c>
      <c r="B804" s="30" t="str">
        <f>IFERROR(IF(COUNTIF('Draft Board'!$C$3:$V$24,A804)+COUNTIF(Keepers!$B$2:$U$21,A804)+COUNTIF('Auction Draft Board'!$C$6:$AP$25,A804)&gt;0,"",A804),"")</f>
        <v/>
      </c>
    </row>
    <row r="805">
      <c r="A805" t="str">
        <f>IFERROR(__xludf.DUMMYFUNCTION("IFERROR(REGEXEXTRACT('Manual Data Import'!B805, ""^(.*)\s+[A-Z]{2,4}\s+\(\d+\)$""),'Manual Data Import'!B805) &amp; CHAR(10) &amp; 
IFERROR(REGEXREPLACE('Manual Data Import'!C805, ""\d+$"", """")) &amp;"" - ""&amp; 
IFERROR(REGEXEXTRACT('Manual Data Import'!B805, ""([A-Z"&amp;"]{2,4})\s+\(\d+\)$"")) &amp; "" (""&amp; 
IFERROR(REGEXEXTRACT('Manual Data Import'!B805, ""\((\d+)\)"")) &amp; "")"""),"
 -  ()")</f>
        <v>
 -  ()</v>
      </c>
      <c r="B805" s="30" t="str">
        <f>IFERROR(IF(COUNTIF('Draft Board'!$C$3:$V$24,A805)+COUNTIF(Keepers!$B$2:$U$21,A805)+COUNTIF('Auction Draft Board'!$C$6:$AP$25,A805)&gt;0,"",A805),"")</f>
        <v/>
      </c>
    </row>
    <row r="806">
      <c r="A806" t="str">
        <f>IFERROR(__xludf.DUMMYFUNCTION("IFERROR(REGEXEXTRACT('Manual Data Import'!B806, ""^(.*)\s+[A-Z]{2,4}\s+\(\d+\)$""),'Manual Data Import'!B806) &amp; CHAR(10) &amp; 
IFERROR(REGEXREPLACE('Manual Data Import'!C806, ""\d+$"", """")) &amp;"" - ""&amp; 
IFERROR(REGEXEXTRACT('Manual Data Import'!B806, ""([A-Z"&amp;"]{2,4})\s+\(\d+\)$"")) &amp; "" (""&amp; 
IFERROR(REGEXEXTRACT('Manual Data Import'!B806, ""\((\d+)\)"")) &amp; "")"""),"
 -  ()")</f>
        <v>
 -  ()</v>
      </c>
      <c r="B806" s="30" t="str">
        <f>IFERROR(IF(COUNTIF('Draft Board'!$C$3:$V$24,A806)+COUNTIF(Keepers!$B$2:$U$21,A806)+COUNTIF('Auction Draft Board'!$C$6:$AP$25,A806)&gt;0,"",A806),"")</f>
        <v/>
      </c>
    </row>
    <row r="807">
      <c r="A807" t="str">
        <f>IFERROR(__xludf.DUMMYFUNCTION("IFERROR(REGEXEXTRACT('Manual Data Import'!B807, ""^(.*)\s+[A-Z]{2,4}\s+\(\d+\)$""),'Manual Data Import'!B807) &amp; CHAR(10) &amp; 
IFERROR(REGEXREPLACE('Manual Data Import'!C807, ""\d+$"", """")) &amp;"" - ""&amp; 
IFERROR(REGEXEXTRACT('Manual Data Import'!B807, ""([A-Z"&amp;"]{2,4})\s+\(\d+\)$"")) &amp; "" (""&amp; 
IFERROR(REGEXEXTRACT('Manual Data Import'!B807, ""\((\d+)\)"")) &amp; "")"""),"
 -  ()")</f>
        <v>
 -  ()</v>
      </c>
      <c r="B807" s="30" t="str">
        <f>IFERROR(IF(COUNTIF('Draft Board'!$C$3:$V$24,A807)+COUNTIF(Keepers!$B$2:$U$21,A807)+COUNTIF('Auction Draft Board'!$C$6:$AP$25,A807)&gt;0,"",A807),"")</f>
        <v/>
      </c>
    </row>
    <row r="808">
      <c r="A808" t="str">
        <f>IFERROR(__xludf.DUMMYFUNCTION("IFERROR(REGEXEXTRACT('Manual Data Import'!B808, ""^(.*)\s+[A-Z]{2,4}\s+\(\d+\)$""),'Manual Data Import'!B808) &amp; CHAR(10) &amp; 
IFERROR(REGEXREPLACE('Manual Data Import'!C808, ""\d+$"", """")) &amp;"" - ""&amp; 
IFERROR(REGEXEXTRACT('Manual Data Import'!B808, ""([A-Z"&amp;"]{2,4})\s+\(\d+\)$"")) &amp; "" (""&amp; 
IFERROR(REGEXEXTRACT('Manual Data Import'!B808, ""\((\d+)\)"")) &amp; "")"""),"
 -  ()")</f>
        <v>
 -  ()</v>
      </c>
      <c r="B808" s="30" t="str">
        <f>IFERROR(IF(COUNTIF('Draft Board'!$C$3:$V$24,A808)+COUNTIF(Keepers!$B$2:$U$21,A808)+COUNTIF('Auction Draft Board'!$C$6:$AP$25,A808)&gt;0,"",A808),"")</f>
        <v/>
      </c>
    </row>
    <row r="809">
      <c r="A809" t="str">
        <f>IFERROR(__xludf.DUMMYFUNCTION("IFERROR(REGEXEXTRACT('Manual Data Import'!B809, ""^(.*)\s+[A-Z]{2,4}\s+\(\d+\)$""),'Manual Data Import'!B809) &amp; CHAR(10) &amp; 
IFERROR(REGEXREPLACE('Manual Data Import'!C809, ""\d+$"", """")) &amp;"" - ""&amp; 
IFERROR(REGEXEXTRACT('Manual Data Import'!B809, ""([A-Z"&amp;"]{2,4})\s+\(\d+\)$"")) &amp; "" (""&amp; 
IFERROR(REGEXEXTRACT('Manual Data Import'!B809, ""\((\d+)\)"")) &amp; "")"""),"
 -  ()")</f>
        <v>
 -  ()</v>
      </c>
      <c r="B809" s="30" t="str">
        <f>IFERROR(IF(COUNTIF('Draft Board'!$C$3:$V$24,A809)+COUNTIF(Keepers!$B$2:$U$21,A809)+COUNTIF('Auction Draft Board'!$C$6:$AP$25,A809)&gt;0,"",A809),"")</f>
        <v/>
      </c>
    </row>
    <row r="810">
      <c r="A810" t="str">
        <f>IFERROR(__xludf.DUMMYFUNCTION("IFERROR(REGEXEXTRACT('Manual Data Import'!B810, ""^(.*)\s+[A-Z]{2,4}\s+\(\d+\)$""),'Manual Data Import'!B810) &amp; CHAR(10) &amp; 
IFERROR(REGEXREPLACE('Manual Data Import'!C810, ""\d+$"", """")) &amp;"" - ""&amp; 
IFERROR(REGEXEXTRACT('Manual Data Import'!B810, ""([A-Z"&amp;"]{2,4})\s+\(\d+\)$"")) &amp; "" (""&amp; 
IFERROR(REGEXEXTRACT('Manual Data Import'!B810, ""\((\d+)\)"")) &amp; "")"""),"
 -  ()")</f>
        <v>
 -  ()</v>
      </c>
      <c r="B810" s="30" t="str">
        <f>IFERROR(IF(COUNTIF('Draft Board'!$C$3:$V$24,A810)+COUNTIF(Keepers!$B$2:$U$21,A810)+COUNTIF('Auction Draft Board'!$C$6:$AP$25,A810)&gt;0,"",A810),"")</f>
        <v/>
      </c>
    </row>
    <row r="811">
      <c r="A811" t="str">
        <f>IFERROR(__xludf.DUMMYFUNCTION("IFERROR(REGEXEXTRACT('Manual Data Import'!B811, ""^(.*)\s+[A-Z]{2,4}\s+\(\d+\)$""),'Manual Data Import'!B811) &amp; CHAR(10) &amp; 
IFERROR(REGEXREPLACE('Manual Data Import'!C811, ""\d+$"", """")) &amp;"" - ""&amp; 
IFERROR(REGEXEXTRACT('Manual Data Import'!B811, ""([A-Z"&amp;"]{2,4})\s+\(\d+\)$"")) &amp; "" (""&amp; 
IFERROR(REGEXEXTRACT('Manual Data Import'!B811, ""\((\d+)\)"")) &amp; "")"""),"
 -  ()")</f>
        <v>
 -  ()</v>
      </c>
      <c r="B811" s="30" t="str">
        <f>IFERROR(IF(COUNTIF('Draft Board'!$C$3:$V$24,A811)+COUNTIF(Keepers!$B$2:$U$21,A811)+COUNTIF('Auction Draft Board'!$C$6:$AP$25,A811)&gt;0,"",A811),"")</f>
        <v/>
      </c>
    </row>
    <row r="812">
      <c r="A812" t="str">
        <f>IFERROR(__xludf.DUMMYFUNCTION("IFERROR(REGEXEXTRACT('Manual Data Import'!B812, ""^(.*)\s+[A-Z]{2,4}\s+\(\d+\)$""),'Manual Data Import'!B812) &amp; CHAR(10) &amp; 
IFERROR(REGEXREPLACE('Manual Data Import'!C812, ""\d+$"", """")) &amp;"" - ""&amp; 
IFERROR(REGEXEXTRACT('Manual Data Import'!B812, ""([A-Z"&amp;"]{2,4})\s+\(\d+\)$"")) &amp; "" (""&amp; 
IFERROR(REGEXEXTRACT('Manual Data Import'!B812, ""\((\d+)\)"")) &amp; "")"""),"
 -  ()")</f>
        <v>
 -  ()</v>
      </c>
      <c r="B812" s="30" t="str">
        <f>IFERROR(IF(COUNTIF('Draft Board'!$C$3:$V$24,A812)+COUNTIF(Keepers!$B$2:$U$21,A812)+COUNTIF('Auction Draft Board'!$C$6:$AP$25,A812)&gt;0,"",A812),"")</f>
        <v/>
      </c>
    </row>
    <row r="813">
      <c r="A813" t="str">
        <f>IFERROR(__xludf.DUMMYFUNCTION("IFERROR(REGEXEXTRACT('Manual Data Import'!B813, ""^(.*)\s+[A-Z]{2,4}\s+\(\d+\)$""),'Manual Data Import'!B813) &amp; CHAR(10) &amp; 
IFERROR(REGEXREPLACE('Manual Data Import'!C813, ""\d+$"", """")) &amp;"" - ""&amp; 
IFERROR(REGEXEXTRACT('Manual Data Import'!B813, ""([A-Z"&amp;"]{2,4})\s+\(\d+\)$"")) &amp; "" (""&amp; 
IFERROR(REGEXEXTRACT('Manual Data Import'!B813, ""\((\d+)\)"")) &amp; "")"""),"
 -  ()")</f>
        <v>
 -  ()</v>
      </c>
      <c r="B813" s="30" t="str">
        <f>IFERROR(IF(COUNTIF('Draft Board'!$C$3:$V$24,A813)+COUNTIF(Keepers!$B$2:$U$21,A813)+COUNTIF('Auction Draft Board'!$C$6:$AP$25,A813)&gt;0,"",A813),"")</f>
        <v/>
      </c>
    </row>
    <row r="814">
      <c r="A814" t="str">
        <f>IFERROR(__xludf.DUMMYFUNCTION("IFERROR(REGEXEXTRACT('Manual Data Import'!B814, ""^(.*)\s+[A-Z]{2,4}\s+\(\d+\)$""),'Manual Data Import'!B814) &amp; CHAR(10) &amp; 
IFERROR(REGEXREPLACE('Manual Data Import'!C814, ""\d+$"", """")) &amp;"" - ""&amp; 
IFERROR(REGEXEXTRACT('Manual Data Import'!B814, ""([A-Z"&amp;"]{2,4})\s+\(\d+\)$"")) &amp; "" (""&amp; 
IFERROR(REGEXEXTRACT('Manual Data Import'!B814, ""\((\d+)\)"")) &amp; "")"""),"
 -  ()")</f>
        <v>
 -  ()</v>
      </c>
      <c r="B814" s="30" t="str">
        <f>IFERROR(IF(COUNTIF('Draft Board'!$C$3:$V$24,A814)+COUNTIF(Keepers!$B$2:$U$21,A814)+COUNTIF('Auction Draft Board'!$C$6:$AP$25,A814)&gt;0,"",A814),"")</f>
        <v/>
      </c>
    </row>
    <row r="815">
      <c r="A815" t="str">
        <f>IFERROR(__xludf.DUMMYFUNCTION("IFERROR(REGEXEXTRACT('Manual Data Import'!B815, ""^(.*)\s+[A-Z]{2,4}\s+\(\d+\)$""),'Manual Data Import'!B815) &amp; CHAR(10) &amp; 
IFERROR(REGEXREPLACE('Manual Data Import'!C815, ""\d+$"", """")) &amp;"" - ""&amp; 
IFERROR(REGEXEXTRACT('Manual Data Import'!B815, ""([A-Z"&amp;"]{2,4})\s+\(\d+\)$"")) &amp; "" (""&amp; 
IFERROR(REGEXEXTRACT('Manual Data Import'!B815, ""\((\d+)\)"")) &amp; "")"""),"
 -  ()")</f>
        <v>
 -  ()</v>
      </c>
      <c r="B815" s="30" t="str">
        <f>IFERROR(IF(COUNTIF('Draft Board'!$C$3:$V$24,A815)+COUNTIF(Keepers!$B$2:$U$21,A815)+COUNTIF('Auction Draft Board'!$C$6:$AP$25,A815)&gt;0,"",A815),"")</f>
        <v/>
      </c>
    </row>
    <row r="816">
      <c r="A816" t="str">
        <f>IFERROR(__xludf.DUMMYFUNCTION("IFERROR(REGEXEXTRACT('Manual Data Import'!B816, ""^(.*)\s+[A-Z]{2,4}\s+\(\d+\)$""),'Manual Data Import'!B816) &amp; CHAR(10) &amp; 
IFERROR(REGEXREPLACE('Manual Data Import'!C816, ""\d+$"", """")) &amp;"" - ""&amp; 
IFERROR(REGEXEXTRACT('Manual Data Import'!B816, ""([A-Z"&amp;"]{2,4})\s+\(\d+\)$"")) &amp; "" (""&amp; 
IFERROR(REGEXEXTRACT('Manual Data Import'!B816, ""\((\d+)\)"")) &amp; "")"""),"
 -  ()")</f>
        <v>
 -  ()</v>
      </c>
      <c r="B816" s="30" t="str">
        <f>IFERROR(IF(COUNTIF('Draft Board'!$C$3:$V$24,A816)+COUNTIF(Keepers!$B$2:$U$21,A816)+COUNTIF('Auction Draft Board'!$C$6:$AP$25,A816)&gt;0,"",A816),"")</f>
        <v/>
      </c>
    </row>
    <row r="817">
      <c r="A817" t="str">
        <f>IFERROR(__xludf.DUMMYFUNCTION("IFERROR(REGEXEXTRACT('Manual Data Import'!B817, ""^(.*)\s+[A-Z]{2,4}\s+\(\d+\)$""),'Manual Data Import'!B817) &amp; CHAR(10) &amp; 
IFERROR(REGEXREPLACE('Manual Data Import'!C817, ""\d+$"", """")) &amp;"" - ""&amp; 
IFERROR(REGEXEXTRACT('Manual Data Import'!B817, ""([A-Z"&amp;"]{2,4})\s+\(\d+\)$"")) &amp; "" (""&amp; 
IFERROR(REGEXEXTRACT('Manual Data Import'!B817, ""\((\d+)\)"")) &amp; "")"""),"
 -  ()")</f>
        <v>
 -  ()</v>
      </c>
      <c r="B817" s="30" t="str">
        <f>IFERROR(IF(COUNTIF('Draft Board'!$C$3:$V$24,A817)+COUNTIF(Keepers!$B$2:$U$21,A817)+COUNTIF('Auction Draft Board'!$C$6:$AP$25,A817)&gt;0,"",A817),"")</f>
        <v/>
      </c>
    </row>
    <row r="818">
      <c r="A818" t="str">
        <f>IFERROR(__xludf.DUMMYFUNCTION("IFERROR(REGEXEXTRACT('Manual Data Import'!B818, ""^(.*)\s+[A-Z]{2,4}\s+\(\d+\)$""),'Manual Data Import'!B818) &amp; CHAR(10) &amp; 
IFERROR(REGEXREPLACE('Manual Data Import'!C818, ""\d+$"", """")) &amp;"" - ""&amp; 
IFERROR(REGEXEXTRACT('Manual Data Import'!B818, ""([A-Z"&amp;"]{2,4})\s+\(\d+\)$"")) &amp; "" (""&amp; 
IFERROR(REGEXEXTRACT('Manual Data Import'!B818, ""\((\d+)\)"")) &amp; "")"""),"
 -  ()")</f>
        <v>
 -  ()</v>
      </c>
      <c r="B818" s="30" t="str">
        <f>IFERROR(IF(COUNTIF('Draft Board'!$C$3:$V$24,A818)+COUNTIF(Keepers!$B$2:$U$21,A818)+COUNTIF('Auction Draft Board'!$C$6:$AP$25,A818)&gt;0,"",A818),"")</f>
        <v/>
      </c>
    </row>
    <row r="819">
      <c r="A819" t="str">
        <f>IFERROR(__xludf.DUMMYFUNCTION("IFERROR(REGEXEXTRACT('Manual Data Import'!B819, ""^(.*)\s+[A-Z]{2,4}\s+\(\d+\)$""),'Manual Data Import'!B819) &amp; CHAR(10) &amp; 
IFERROR(REGEXREPLACE('Manual Data Import'!C819, ""\d+$"", """")) &amp;"" - ""&amp; 
IFERROR(REGEXEXTRACT('Manual Data Import'!B819, ""([A-Z"&amp;"]{2,4})\s+\(\d+\)$"")) &amp; "" (""&amp; 
IFERROR(REGEXEXTRACT('Manual Data Import'!B819, ""\((\d+)\)"")) &amp; "")"""),"
 -  ()")</f>
        <v>
 -  ()</v>
      </c>
      <c r="B819" s="30" t="str">
        <f>IFERROR(IF(COUNTIF('Draft Board'!$C$3:$V$24,A819)+COUNTIF(Keepers!$B$2:$U$21,A819)+COUNTIF('Auction Draft Board'!$C$6:$AP$25,A819)&gt;0,"",A819),"")</f>
        <v/>
      </c>
    </row>
    <row r="820">
      <c r="A820" t="str">
        <f>IFERROR(__xludf.DUMMYFUNCTION("IFERROR(REGEXEXTRACT('Manual Data Import'!B820, ""^(.*)\s+[A-Z]{2,4}\s+\(\d+\)$""),'Manual Data Import'!B820) &amp; CHAR(10) &amp; 
IFERROR(REGEXREPLACE('Manual Data Import'!C820, ""\d+$"", """")) &amp;"" - ""&amp; 
IFERROR(REGEXEXTRACT('Manual Data Import'!B820, ""([A-Z"&amp;"]{2,4})\s+\(\d+\)$"")) &amp; "" (""&amp; 
IFERROR(REGEXEXTRACT('Manual Data Import'!B820, ""\((\d+)\)"")) &amp; "")"""),"
 -  ()")</f>
        <v>
 -  ()</v>
      </c>
      <c r="B820" s="30" t="str">
        <f>IFERROR(IF(COUNTIF('Draft Board'!$C$3:$V$24,A820)+COUNTIF(Keepers!$B$2:$U$21,A820)+COUNTIF('Auction Draft Board'!$C$6:$AP$25,A820)&gt;0,"",A820),"")</f>
        <v/>
      </c>
    </row>
    <row r="821">
      <c r="A821" t="str">
        <f>IFERROR(__xludf.DUMMYFUNCTION("IFERROR(REGEXEXTRACT('Manual Data Import'!B821, ""^(.*)\s+[A-Z]{2,4}\s+\(\d+\)$""),'Manual Data Import'!B821) &amp; CHAR(10) &amp; 
IFERROR(REGEXREPLACE('Manual Data Import'!C821, ""\d+$"", """")) &amp;"" - ""&amp; 
IFERROR(REGEXEXTRACT('Manual Data Import'!B821, ""([A-Z"&amp;"]{2,4})\s+\(\d+\)$"")) &amp; "" (""&amp; 
IFERROR(REGEXEXTRACT('Manual Data Import'!B821, ""\((\d+)\)"")) &amp; "")"""),"
 -  ()")</f>
        <v>
 -  ()</v>
      </c>
      <c r="B821" s="30" t="str">
        <f>IFERROR(IF(COUNTIF('Draft Board'!$C$3:$V$24,A821)+COUNTIF(Keepers!$B$2:$U$21,A821)+COUNTIF('Auction Draft Board'!$C$6:$AP$25,A821)&gt;0,"",A821),"")</f>
        <v/>
      </c>
    </row>
    <row r="822">
      <c r="A822" t="str">
        <f>IFERROR(__xludf.DUMMYFUNCTION("IFERROR(REGEXEXTRACT('Manual Data Import'!B822, ""^(.*)\s+[A-Z]{2,4}\s+\(\d+\)$""),'Manual Data Import'!B822) &amp; CHAR(10) &amp; 
IFERROR(REGEXREPLACE('Manual Data Import'!C822, ""\d+$"", """")) &amp;"" - ""&amp; 
IFERROR(REGEXEXTRACT('Manual Data Import'!B822, ""([A-Z"&amp;"]{2,4})\s+\(\d+\)$"")) &amp; "" (""&amp; 
IFERROR(REGEXEXTRACT('Manual Data Import'!B822, ""\((\d+)\)"")) &amp; "")"""),"
 -  ()")</f>
        <v>
 -  ()</v>
      </c>
      <c r="B822" s="30" t="str">
        <f>IFERROR(IF(COUNTIF('Draft Board'!$C$3:$V$24,A822)+COUNTIF(Keepers!$B$2:$U$21,A822)+COUNTIF('Auction Draft Board'!$C$6:$AP$25,A822)&gt;0,"",A822),"")</f>
        <v/>
      </c>
    </row>
    <row r="823">
      <c r="A823" t="str">
        <f>IFERROR(__xludf.DUMMYFUNCTION("IFERROR(REGEXEXTRACT('Manual Data Import'!B823, ""^(.*)\s+[A-Z]{2,4}\s+\(\d+\)$""),'Manual Data Import'!B823) &amp; CHAR(10) &amp; 
IFERROR(REGEXREPLACE('Manual Data Import'!C823, ""\d+$"", """")) &amp;"" - ""&amp; 
IFERROR(REGEXEXTRACT('Manual Data Import'!B823, ""([A-Z"&amp;"]{2,4})\s+\(\d+\)$"")) &amp; "" (""&amp; 
IFERROR(REGEXEXTRACT('Manual Data Import'!B823, ""\((\d+)\)"")) &amp; "")"""),"
 -  ()")</f>
        <v>
 -  ()</v>
      </c>
      <c r="B823" s="30" t="str">
        <f>IFERROR(IF(COUNTIF('Draft Board'!$C$3:$V$24,A823)+COUNTIF(Keepers!$B$2:$U$21,A823)+COUNTIF('Auction Draft Board'!$C$6:$AP$25,A823)&gt;0,"",A823),"")</f>
        <v/>
      </c>
    </row>
    <row r="824">
      <c r="A824" t="str">
        <f>IFERROR(__xludf.DUMMYFUNCTION("IFERROR(REGEXEXTRACT('Manual Data Import'!B824, ""^(.*)\s+[A-Z]{2,4}\s+\(\d+\)$""),'Manual Data Import'!B824) &amp; CHAR(10) &amp; 
IFERROR(REGEXREPLACE('Manual Data Import'!C824, ""\d+$"", """")) &amp;"" - ""&amp; 
IFERROR(REGEXEXTRACT('Manual Data Import'!B824, ""([A-Z"&amp;"]{2,4})\s+\(\d+\)$"")) &amp; "" (""&amp; 
IFERROR(REGEXEXTRACT('Manual Data Import'!B824, ""\((\d+)\)"")) &amp; "")"""),"
 -  ()")</f>
        <v>
 -  ()</v>
      </c>
      <c r="B824" s="30" t="str">
        <f>IFERROR(IF(COUNTIF('Draft Board'!$C$3:$V$24,A824)+COUNTIF(Keepers!$B$2:$U$21,A824)+COUNTIF('Auction Draft Board'!$C$6:$AP$25,A824)&gt;0,"",A824),"")</f>
        <v/>
      </c>
    </row>
    <row r="825">
      <c r="A825" t="str">
        <f>IFERROR(__xludf.DUMMYFUNCTION("IFERROR(REGEXEXTRACT('Manual Data Import'!B825, ""^(.*)\s+[A-Z]{2,4}\s+\(\d+\)$""),'Manual Data Import'!B825) &amp; CHAR(10) &amp; 
IFERROR(REGEXREPLACE('Manual Data Import'!C825, ""\d+$"", """")) &amp;"" - ""&amp; 
IFERROR(REGEXEXTRACT('Manual Data Import'!B825, ""([A-Z"&amp;"]{2,4})\s+\(\d+\)$"")) &amp; "" (""&amp; 
IFERROR(REGEXEXTRACT('Manual Data Import'!B825, ""\((\d+)\)"")) &amp; "")"""),"
 -  ()")</f>
        <v>
 -  ()</v>
      </c>
      <c r="B825" s="30" t="str">
        <f>IFERROR(IF(COUNTIF('Draft Board'!$C$3:$V$24,A825)+COUNTIF(Keepers!$B$2:$U$21,A825)+COUNTIF('Auction Draft Board'!$C$6:$AP$25,A825)&gt;0,"",A825),"")</f>
        <v/>
      </c>
    </row>
    <row r="826">
      <c r="A826" t="str">
        <f>IFERROR(__xludf.DUMMYFUNCTION("IFERROR(REGEXEXTRACT('Manual Data Import'!B826, ""^(.*)\s+[A-Z]{2,4}\s+\(\d+\)$""),'Manual Data Import'!B826) &amp; CHAR(10) &amp; 
IFERROR(REGEXREPLACE('Manual Data Import'!C826, ""\d+$"", """")) &amp;"" - ""&amp; 
IFERROR(REGEXEXTRACT('Manual Data Import'!B826, ""([A-Z"&amp;"]{2,4})\s+\(\d+\)$"")) &amp; "" (""&amp; 
IFERROR(REGEXEXTRACT('Manual Data Import'!B826, ""\((\d+)\)"")) &amp; "")"""),"
 -  ()")</f>
        <v>
 -  ()</v>
      </c>
      <c r="B826" s="30" t="str">
        <f>IFERROR(IF(COUNTIF('Draft Board'!$C$3:$V$24,A826)+COUNTIF(Keepers!$B$2:$U$21,A826)+COUNTIF('Auction Draft Board'!$C$6:$AP$25,A826)&gt;0,"",A826),"")</f>
        <v/>
      </c>
    </row>
    <row r="827">
      <c r="A827" t="str">
        <f>IFERROR(__xludf.DUMMYFUNCTION("IFERROR(REGEXEXTRACT('Manual Data Import'!B827, ""^(.*)\s+[A-Z]{2,4}\s+\(\d+\)$""),'Manual Data Import'!B827) &amp; CHAR(10) &amp; 
IFERROR(REGEXREPLACE('Manual Data Import'!C827, ""\d+$"", """")) &amp;"" - ""&amp; 
IFERROR(REGEXEXTRACT('Manual Data Import'!B827, ""([A-Z"&amp;"]{2,4})\s+\(\d+\)$"")) &amp; "" (""&amp; 
IFERROR(REGEXEXTRACT('Manual Data Import'!B827, ""\((\d+)\)"")) &amp; "")"""),"
 -  ()")</f>
        <v>
 -  ()</v>
      </c>
      <c r="B827" s="30" t="str">
        <f>IFERROR(IF(COUNTIF('Draft Board'!$C$3:$V$24,A827)+COUNTIF(Keepers!$B$2:$U$21,A827)+COUNTIF('Auction Draft Board'!$C$6:$AP$25,A827)&gt;0,"",A827),"")</f>
        <v/>
      </c>
    </row>
    <row r="828">
      <c r="A828" t="str">
        <f>IFERROR(__xludf.DUMMYFUNCTION("IFERROR(REGEXEXTRACT('Manual Data Import'!B828, ""^(.*)\s+[A-Z]{2,4}\s+\(\d+\)$""),'Manual Data Import'!B828) &amp; CHAR(10) &amp; 
IFERROR(REGEXREPLACE('Manual Data Import'!C828, ""\d+$"", """")) &amp;"" - ""&amp; 
IFERROR(REGEXEXTRACT('Manual Data Import'!B828, ""([A-Z"&amp;"]{2,4})\s+\(\d+\)$"")) &amp; "" (""&amp; 
IFERROR(REGEXEXTRACT('Manual Data Import'!B828, ""\((\d+)\)"")) &amp; "")"""),"
 -  ()")</f>
        <v>
 -  ()</v>
      </c>
      <c r="B828" s="30" t="str">
        <f>IFERROR(IF(COUNTIF('Draft Board'!$C$3:$V$24,A828)+COUNTIF(Keepers!$B$2:$U$21,A828)+COUNTIF('Auction Draft Board'!$C$6:$AP$25,A828)&gt;0,"",A828),"")</f>
        <v/>
      </c>
    </row>
    <row r="829">
      <c r="A829" t="str">
        <f>IFERROR(__xludf.DUMMYFUNCTION("IFERROR(REGEXEXTRACT('Manual Data Import'!B829, ""^(.*)\s+[A-Z]{2,4}\s+\(\d+\)$""),'Manual Data Import'!B829) &amp; CHAR(10) &amp; 
IFERROR(REGEXREPLACE('Manual Data Import'!C829, ""\d+$"", """")) &amp;"" - ""&amp; 
IFERROR(REGEXEXTRACT('Manual Data Import'!B829, ""([A-Z"&amp;"]{2,4})\s+\(\d+\)$"")) &amp; "" (""&amp; 
IFERROR(REGEXEXTRACT('Manual Data Import'!B829, ""\((\d+)\)"")) &amp; "")"""),"
 -  ()")</f>
        <v>
 -  ()</v>
      </c>
      <c r="B829" s="30" t="str">
        <f>IFERROR(IF(COUNTIF('Draft Board'!$C$3:$V$24,A829)+COUNTIF(Keepers!$B$2:$U$21,A829)+COUNTIF('Auction Draft Board'!$C$6:$AP$25,A829)&gt;0,"",A829),"")</f>
        <v/>
      </c>
    </row>
    <row r="830">
      <c r="A830" t="str">
        <f>IFERROR(__xludf.DUMMYFUNCTION("IFERROR(REGEXEXTRACT('Manual Data Import'!B830, ""^(.*)\s+[A-Z]{2,4}\s+\(\d+\)$""),'Manual Data Import'!B830) &amp; CHAR(10) &amp; 
IFERROR(REGEXREPLACE('Manual Data Import'!C830, ""\d+$"", """")) &amp;"" - ""&amp; 
IFERROR(REGEXEXTRACT('Manual Data Import'!B830, ""([A-Z"&amp;"]{2,4})\s+\(\d+\)$"")) &amp; "" (""&amp; 
IFERROR(REGEXEXTRACT('Manual Data Import'!B830, ""\((\d+)\)"")) &amp; "")"""),"
 -  ()")</f>
        <v>
 -  ()</v>
      </c>
      <c r="B830" s="30" t="str">
        <f>IFERROR(IF(COUNTIF('Draft Board'!$C$3:$V$24,A830)+COUNTIF(Keepers!$B$2:$U$21,A830)+COUNTIF('Auction Draft Board'!$C$6:$AP$25,A830)&gt;0,"",A830),"")</f>
        <v/>
      </c>
    </row>
    <row r="831">
      <c r="A831" t="str">
        <f>IFERROR(__xludf.DUMMYFUNCTION("IFERROR(REGEXEXTRACT('Manual Data Import'!B831, ""^(.*)\s+[A-Z]{2,4}\s+\(\d+\)$""),'Manual Data Import'!B831) &amp; CHAR(10) &amp; 
IFERROR(REGEXREPLACE('Manual Data Import'!C831, ""\d+$"", """")) &amp;"" - ""&amp; 
IFERROR(REGEXEXTRACT('Manual Data Import'!B831, ""([A-Z"&amp;"]{2,4})\s+\(\d+\)$"")) &amp; "" (""&amp; 
IFERROR(REGEXEXTRACT('Manual Data Import'!B831, ""\((\d+)\)"")) &amp; "")"""),"
 -  ()")</f>
        <v>
 -  ()</v>
      </c>
      <c r="B831" s="30" t="str">
        <f>IFERROR(IF(COUNTIF('Draft Board'!$C$3:$V$24,A831)+COUNTIF(Keepers!$B$2:$U$21,A831)+COUNTIF('Auction Draft Board'!$C$6:$AP$25,A831)&gt;0,"",A831),"")</f>
        <v/>
      </c>
    </row>
    <row r="832">
      <c r="A832" t="str">
        <f>IFERROR(__xludf.DUMMYFUNCTION("IFERROR(REGEXEXTRACT('Manual Data Import'!B832, ""^(.*)\s+[A-Z]{2,4}\s+\(\d+\)$""),'Manual Data Import'!B832) &amp; CHAR(10) &amp; 
IFERROR(REGEXREPLACE('Manual Data Import'!C832, ""\d+$"", """")) &amp;"" - ""&amp; 
IFERROR(REGEXEXTRACT('Manual Data Import'!B832, ""([A-Z"&amp;"]{2,4})\s+\(\d+\)$"")) &amp; "" (""&amp; 
IFERROR(REGEXEXTRACT('Manual Data Import'!B832, ""\((\d+)\)"")) &amp; "")"""),"
 -  ()")</f>
        <v>
 -  ()</v>
      </c>
      <c r="B832" s="30" t="str">
        <f>IFERROR(IF(COUNTIF('Draft Board'!$C$3:$V$24,A832)+COUNTIF(Keepers!$B$2:$U$21,A832)+COUNTIF('Auction Draft Board'!$C$6:$AP$25,A832)&gt;0,"",A832),"")</f>
        <v/>
      </c>
    </row>
    <row r="833">
      <c r="A833" t="str">
        <f>IFERROR(__xludf.DUMMYFUNCTION("IFERROR(REGEXEXTRACT('Manual Data Import'!B833, ""^(.*)\s+[A-Z]{2,4}\s+\(\d+\)$""),'Manual Data Import'!B833) &amp; CHAR(10) &amp; 
IFERROR(REGEXREPLACE('Manual Data Import'!C833, ""\d+$"", """")) &amp;"" - ""&amp; 
IFERROR(REGEXEXTRACT('Manual Data Import'!B833, ""([A-Z"&amp;"]{2,4})\s+\(\d+\)$"")) &amp; "" (""&amp; 
IFERROR(REGEXEXTRACT('Manual Data Import'!B833, ""\((\d+)\)"")) &amp; "")"""),"
 -  ()")</f>
        <v>
 -  ()</v>
      </c>
      <c r="B833" s="30" t="str">
        <f>IFERROR(IF(COUNTIF('Draft Board'!$C$3:$V$24,A833)+COUNTIF(Keepers!$B$2:$U$21,A833)+COUNTIF('Auction Draft Board'!$C$6:$AP$25,A833)&gt;0,"",A833),"")</f>
        <v/>
      </c>
    </row>
    <row r="834">
      <c r="A834" t="str">
        <f>IFERROR(__xludf.DUMMYFUNCTION("IFERROR(REGEXEXTRACT('Manual Data Import'!B834, ""^(.*)\s+[A-Z]{2,4}\s+\(\d+\)$""),'Manual Data Import'!B834) &amp; CHAR(10) &amp; 
IFERROR(REGEXREPLACE('Manual Data Import'!C834, ""\d+$"", """")) &amp;"" - ""&amp; 
IFERROR(REGEXEXTRACT('Manual Data Import'!B834, ""([A-Z"&amp;"]{2,4})\s+\(\d+\)$"")) &amp; "" (""&amp; 
IFERROR(REGEXEXTRACT('Manual Data Import'!B834, ""\((\d+)\)"")) &amp; "")"""),"
 -  ()")</f>
        <v>
 -  ()</v>
      </c>
      <c r="B834" s="30" t="str">
        <f>IFERROR(IF(COUNTIF('Draft Board'!$C$3:$V$24,A834)+COUNTIF(Keepers!$B$2:$U$21,A834)+COUNTIF('Auction Draft Board'!$C$6:$AP$25,A834)&gt;0,"",A834),"")</f>
        <v/>
      </c>
    </row>
    <row r="835">
      <c r="A835" t="str">
        <f>IFERROR(__xludf.DUMMYFUNCTION("IFERROR(REGEXEXTRACT('Manual Data Import'!B835, ""^(.*)\s+[A-Z]{2,4}\s+\(\d+\)$""),'Manual Data Import'!B835) &amp; CHAR(10) &amp; 
IFERROR(REGEXREPLACE('Manual Data Import'!C835, ""\d+$"", """")) &amp;"" - ""&amp; 
IFERROR(REGEXEXTRACT('Manual Data Import'!B835, ""([A-Z"&amp;"]{2,4})\s+\(\d+\)$"")) &amp; "" (""&amp; 
IFERROR(REGEXEXTRACT('Manual Data Import'!B835, ""\((\d+)\)"")) &amp; "")"""),"
 -  ()")</f>
        <v>
 -  ()</v>
      </c>
      <c r="B835" s="30" t="str">
        <f>IFERROR(IF(COUNTIF('Draft Board'!$C$3:$V$24,A835)+COUNTIF(Keepers!$B$2:$U$21,A835)+COUNTIF('Auction Draft Board'!$C$6:$AP$25,A835)&gt;0,"",A835),"")</f>
        <v/>
      </c>
    </row>
    <row r="836">
      <c r="A836" t="str">
        <f>IFERROR(__xludf.DUMMYFUNCTION("IFERROR(REGEXEXTRACT('Manual Data Import'!B836, ""^(.*)\s+[A-Z]{2,4}\s+\(\d+\)$""),'Manual Data Import'!B836) &amp; CHAR(10) &amp; 
IFERROR(REGEXREPLACE('Manual Data Import'!C836, ""\d+$"", """")) &amp;"" - ""&amp; 
IFERROR(REGEXEXTRACT('Manual Data Import'!B836, ""([A-Z"&amp;"]{2,4})\s+\(\d+\)$"")) &amp; "" (""&amp; 
IFERROR(REGEXEXTRACT('Manual Data Import'!B836, ""\((\d+)\)"")) &amp; "")"""),"
 -  ()")</f>
        <v>
 -  ()</v>
      </c>
      <c r="B836" s="30" t="str">
        <f>IFERROR(IF(COUNTIF('Draft Board'!$C$3:$V$24,A836)+COUNTIF(Keepers!$B$2:$U$21,A836)+COUNTIF('Auction Draft Board'!$C$6:$AP$25,A836)&gt;0,"",A836),"")</f>
        <v/>
      </c>
    </row>
    <row r="837">
      <c r="A837" t="str">
        <f>IFERROR(__xludf.DUMMYFUNCTION("IFERROR(REGEXEXTRACT('Manual Data Import'!B837, ""^(.*)\s+[A-Z]{2,4}\s+\(\d+\)$""),'Manual Data Import'!B837) &amp; CHAR(10) &amp; 
IFERROR(REGEXREPLACE('Manual Data Import'!C837, ""\d+$"", """")) &amp;"" - ""&amp; 
IFERROR(REGEXEXTRACT('Manual Data Import'!B837, ""([A-Z"&amp;"]{2,4})\s+\(\d+\)$"")) &amp; "" (""&amp; 
IFERROR(REGEXEXTRACT('Manual Data Import'!B837, ""\((\d+)\)"")) &amp; "")"""),"
 -  ()")</f>
        <v>
 -  ()</v>
      </c>
      <c r="B837" s="30" t="str">
        <f>IFERROR(IF(COUNTIF('Draft Board'!$C$3:$V$24,A837)+COUNTIF(Keepers!$B$2:$U$21,A837)+COUNTIF('Auction Draft Board'!$C$6:$AP$25,A837)&gt;0,"",A837),"")</f>
        <v/>
      </c>
    </row>
    <row r="838">
      <c r="A838" t="str">
        <f>IFERROR(__xludf.DUMMYFUNCTION("IFERROR(REGEXEXTRACT('Manual Data Import'!B838, ""^(.*)\s+[A-Z]{2,4}\s+\(\d+\)$""),'Manual Data Import'!B838) &amp; CHAR(10) &amp; 
IFERROR(REGEXREPLACE('Manual Data Import'!C838, ""\d+$"", """")) &amp;"" - ""&amp; 
IFERROR(REGEXEXTRACT('Manual Data Import'!B838, ""([A-Z"&amp;"]{2,4})\s+\(\d+\)$"")) &amp; "" (""&amp; 
IFERROR(REGEXEXTRACT('Manual Data Import'!B838, ""\((\d+)\)"")) &amp; "")"""),"
 -  ()")</f>
        <v>
 -  ()</v>
      </c>
      <c r="B838" s="30" t="str">
        <f>IFERROR(IF(COUNTIF('Draft Board'!$C$3:$V$24,A838)+COUNTIF(Keepers!$B$2:$U$21,A838)+COUNTIF('Auction Draft Board'!$C$6:$AP$25,A838)&gt;0,"",A838),"")</f>
        <v/>
      </c>
    </row>
    <row r="839">
      <c r="A839" t="str">
        <f>IFERROR(__xludf.DUMMYFUNCTION("IFERROR(REGEXEXTRACT('Manual Data Import'!B839, ""^(.*)\s+[A-Z]{2,4}\s+\(\d+\)$""),'Manual Data Import'!B839) &amp; CHAR(10) &amp; 
IFERROR(REGEXREPLACE('Manual Data Import'!C839, ""\d+$"", """")) &amp;"" - ""&amp; 
IFERROR(REGEXEXTRACT('Manual Data Import'!B839, ""([A-Z"&amp;"]{2,4})\s+\(\d+\)$"")) &amp; "" (""&amp; 
IFERROR(REGEXEXTRACT('Manual Data Import'!B839, ""\((\d+)\)"")) &amp; "")"""),"
 -  ()")</f>
        <v>
 -  ()</v>
      </c>
      <c r="B839" s="30" t="str">
        <f>IFERROR(IF(COUNTIF('Draft Board'!$C$3:$V$24,A839)+COUNTIF(Keepers!$B$2:$U$21,A839)+COUNTIF('Auction Draft Board'!$C$6:$AP$25,A839)&gt;0,"",A839),"")</f>
        <v/>
      </c>
    </row>
    <row r="840">
      <c r="A840" t="str">
        <f>IFERROR(__xludf.DUMMYFUNCTION("IFERROR(REGEXEXTRACT('Manual Data Import'!B840, ""^(.*)\s+[A-Z]{2,4}\s+\(\d+\)$""),'Manual Data Import'!B840) &amp; CHAR(10) &amp; 
IFERROR(REGEXREPLACE('Manual Data Import'!C840, ""\d+$"", """")) &amp;"" - ""&amp; 
IFERROR(REGEXEXTRACT('Manual Data Import'!B840, ""([A-Z"&amp;"]{2,4})\s+\(\d+\)$"")) &amp; "" (""&amp; 
IFERROR(REGEXEXTRACT('Manual Data Import'!B840, ""\((\d+)\)"")) &amp; "")"""),"
 -  ()")</f>
        <v>
 -  ()</v>
      </c>
      <c r="B840" s="30" t="str">
        <f>IFERROR(IF(COUNTIF('Draft Board'!$C$3:$V$24,A840)+COUNTIF(Keepers!$B$2:$U$21,A840)+COUNTIF('Auction Draft Board'!$C$6:$AP$25,A840)&gt;0,"",A840),"")</f>
        <v/>
      </c>
    </row>
    <row r="841">
      <c r="A841" t="str">
        <f>IFERROR(__xludf.DUMMYFUNCTION("IFERROR(REGEXEXTRACT('Manual Data Import'!B841, ""^(.*)\s+[A-Z]{2,4}\s+\(\d+\)$""),'Manual Data Import'!B841) &amp; CHAR(10) &amp; 
IFERROR(REGEXREPLACE('Manual Data Import'!C841, ""\d+$"", """")) &amp;"" - ""&amp; 
IFERROR(REGEXEXTRACT('Manual Data Import'!B841, ""([A-Z"&amp;"]{2,4})\s+\(\d+\)$"")) &amp; "" (""&amp; 
IFERROR(REGEXEXTRACT('Manual Data Import'!B841, ""\((\d+)\)"")) &amp; "")"""),"
 -  ()")</f>
        <v>
 -  ()</v>
      </c>
      <c r="B841" s="30" t="str">
        <f>IFERROR(IF(COUNTIF('Draft Board'!$C$3:$V$24,A841)+COUNTIF(Keepers!$B$2:$U$21,A841)+COUNTIF('Auction Draft Board'!$C$6:$AP$25,A841)&gt;0,"",A841),"")</f>
        <v/>
      </c>
    </row>
    <row r="842">
      <c r="A842" t="str">
        <f>IFERROR(__xludf.DUMMYFUNCTION("IFERROR(REGEXEXTRACT('Manual Data Import'!B842, ""^(.*)\s+[A-Z]{2,4}\s+\(\d+\)$""),'Manual Data Import'!B842) &amp; CHAR(10) &amp; 
IFERROR(REGEXREPLACE('Manual Data Import'!C842, ""\d+$"", """")) &amp;"" - ""&amp; 
IFERROR(REGEXEXTRACT('Manual Data Import'!B842, ""([A-Z"&amp;"]{2,4})\s+\(\d+\)$"")) &amp; "" (""&amp; 
IFERROR(REGEXEXTRACT('Manual Data Import'!B842, ""\((\d+)\)"")) &amp; "")"""),"
 -  ()")</f>
        <v>
 -  ()</v>
      </c>
      <c r="B842" s="30" t="str">
        <f>IFERROR(IF(COUNTIF('Draft Board'!$C$3:$V$24,A842)+COUNTIF(Keepers!$B$2:$U$21,A842)+COUNTIF('Auction Draft Board'!$C$6:$AP$25,A842)&gt;0,"",A842),"")</f>
        <v/>
      </c>
    </row>
    <row r="843">
      <c r="A843" t="str">
        <f>IFERROR(__xludf.DUMMYFUNCTION("IFERROR(REGEXEXTRACT('Manual Data Import'!B843, ""^(.*)\s+[A-Z]{2,4}\s+\(\d+\)$""),'Manual Data Import'!B843) &amp; CHAR(10) &amp; 
IFERROR(REGEXREPLACE('Manual Data Import'!C843, ""\d+$"", """")) &amp;"" - ""&amp; 
IFERROR(REGEXEXTRACT('Manual Data Import'!B843, ""([A-Z"&amp;"]{2,4})\s+\(\d+\)$"")) &amp; "" (""&amp; 
IFERROR(REGEXEXTRACT('Manual Data Import'!B843, ""\((\d+)\)"")) &amp; "")"""),"
 -  ()")</f>
        <v>
 -  ()</v>
      </c>
      <c r="B843" s="30" t="str">
        <f>IFERROR(IF(COUNTIF('Draft Board'!$C$3:$V$24,A843)+COUNTIF(Keepers!$B$2:$U$21,A843)+COUNTIF('Auction Draft Board'!$C$6:$AP$25,A843)&gt;0,"",A843),"")</f>
        <v/>
      </c>
    </row>
    <row r="844">
      <c r="A844" t="str">
        <f>IFERROR(__xludf.DUMMYFUNCTION("IFERROR(REGEXEXTRACT('Manual Data Import'!B844, ""^(.*)\s+[A-Z]{2,4}\s+\(\d+\)$""),'Manual Data Import'!B844) &amp; CHAR(10) &amp; 
IFERROR(REGEXREPLACE('Manual Data Import'!C844, ""\d+$"", """")) &amp;"" - ""&amp; 
IFERROR(REGEXEXTRACT('Manual Data Import'!B844, ""([A-Z"&amp;"]{2,4})\s+\(\d+\)$"")) &amp; "" (""&amp; 
IFERROR(REGEXEXTRACT('Manual Data Import'!B844, ""\((\d+)\)"")) &amp; "")"""),"
 -  ()")</f>
        <v>
 -  ()</v>
      </c>
      <c r="B844" s="30" t="str">
        <f>IFERROR(IF(COUNTIF('Draft Board'!$C$3:$V$24,A844)+COUNTIF(Keepers!$B$2:$U$21,A844)+COUNTIF('Auction Draft Board'!$C$6:$AP$25,A844)&gt;0,"",A844),"")</f>
        <v/>
      </c>
    </row>
    <row r="845">
      <c r="A845" t="str">
        <f>IFERROR(__xludf.DUMMYFUNCTION("IFERROR(REGEXEXTRACT('Manual Data Import'!B845, ""^(.*)\s+[A-Z]{2,4}\s+\(\d+\)$""),'Manual Data Import'!B845) &amp; CHAR(10) &amp; 
IFERROR(REGEXREPLACE('Manual Data Import'!C845, ""\d+$"", """")) &amp;"" - ""&amp; 
IFERROR(REGEXEXTRACT('Manual Data Import'!B845, ""([A-Z"&amp;"]{2,4})\s+\(\d+\)$"")) &amp; "" (""&amp; 
IFERROR(REGEXEXTRACT('Manual Data Import'!B845, ""\((\d+)\)"")) &amp; "")"""),"
 -  ()")</f>
        <v>
 -  ()</v>
      </c>
      <c r="B845" s="30" t="str">
        <f>IFERROR(IF(COUNTIF('Draft Board'!$C$3:$V$24,A845)+COUNTIF(Keepers!$B$2:$U$21,A845)+COUNTIF('Auction Draft Board'!$C$6:$AP$25,A845)&gt;0,"",A845),"")</f>
        <v/>
      </c>
    </row>
    <row r="846">
      <c r="A846" t="str">
        <f>IFERROR(__xludf.DUMMYFUNCTION("IFERROR(REGEXEXTRACT('Manual Data Import'!B846, ""^(.*)\s+[A-Z]{2,4}\s+\(\d+\)$""),'Manual Data Import'!B846) &amp; CHAR(10) &amp; 
IFERROR(REGEXREPLACE('Manual Data Import'!C846, ""\d+$"", """")) &amp;"" - ""&amp; 
IFERROR(REGEXEXTRACT('Manual Data Import'!B846, ""([A-Z"&amp;"]{2,4})\s+\(\d+\)$"")) &amp; "" (""&amp; 
IFERROR(REGEXEXTRACT('Manual Data Import'!B846, ""\((\d+)\)"")) &amp; "")"""),"
 -  ()")</f>
        <v>
 -  ()</v>
      </c>
      <c r="B846" s="30" t="str">
        <f>IFERROR(IF(COUNTIF('Draft Board'!$C$3:$V$24,A846)+COUNTIF(Keepers!$B$2:$U$21,A846)+COUNTIF('Auction Draft Board'!$C$6:$AP$25,A846)&gt;0,"",A846),"")</f>
        <v/>
      </c>
    </row>
    <row r="847">
      <c r="A847" t="str">
        <f>IFERROR(__xludf.DUMMYFUNCTION("IFERROR(REGEXEXTRACT('Manual Data Import'!B847, ""^(.*)\s+[A-Z]{2,4}\s+\(\d+\)$""),'Manual Data Import'!B847) &amp; CHAR(10) &amp; 
IFERROR(REGEXREPLACE('Manual Data Import'!C847, ""\d+$"", """")) &amp;"" - ""&amp; 
IFERROR(REGEXEXTRACT('Manual Data Import'!B847, ""([A-Z"&amp;"]{2,4})\s+\(\d+\)$"")) &amp; "" (""&amp; 
IFERROR(REGEXEXTRACT('Manual Data Import'!B847, ""\((\d+)\)"")) &amp; "")"""),"
 -  ()")</f>
        <v>
 -  ()</v>
      </c>
      <c r="B847" s="30" t="str">
        <f>IFERROR(IF(COUNTIF('Draft Board'!$C$3:$V$24,A847)+COUNTIF(Keepers!$B$2:$U$21,A847)+COUNTIF('Auction Draft Board'!$C$6:$AP$25,A847)&gt;0,"",A847),"")</f>
        <v/>
      </c>
    </row>
    <row r="848">
      <c r="A848" t="str">
        <f>IFERROR(__xludf.DUMMYFUNCTION("IFERROR(REGEXEXTRACT('Manual Data Import'!B848, ""^(.*)\s+[A-Z]{2,4}\s+\(\d+\)$""),'Manual Data Import'!B848) &amp; CHAR(10) &amp; 
IFERROR(REGEXREPLACE('Manual Data Import'!C848, ""\d+$"", """")) &amp;"" - ""&amp; 
IFERROR(REGEXEXTRACT('Manual Data Import'!B848, ""([A-Z"&amp;"]{2,4})\s+\(\d+\)$"")) &amp; "" (""&amp; 
IFERROR(REGEXEXTRACT('Manual Data Import'!B848, ""\((\d+)\)"")) &amp; "")"""),"
 -  ()")</f>
        <v>
 -  ()</v>
      </c>
      <c r="B848" s="30" t="str">
        <f>IFERROR(IF(COUNTIF('Draft Board'!$C$3:$V$24,A848)+COUNTIF(Keepers!$B$2:$U$21,A848)+COUNTIF('Auction Draft Board'!$C$6:$AP$25,A848)&gt;0,"",A848),"")</f>
        <v/>
      </c>
    </row>
    <row r="849">
      <c r="A849" t="str">
        <f>IFERROR(__xludf.DUMMYFUNCTION("IFERROR(REGEXEXTRACT('Manual Data Import'!B849, ""^(.*)\s+[A-Z]{2,4}\s+\(\d+\)$""),'Manual Data Import'!B849) &amp; CHAR(10) &amp; 
IFERROR(REGEXREPLACE('Manual Data Import'!C849, ""\d+$"", """")) &amp;"" - ""&amp; 
IFERROR(REGEXEXTRACT('Manual Data Import'!B849, ""([A-Z"&amp;"]{2,4})\s+\(\d+\)$"")) &amp; "" (""&amp; 
IFERROR(REGEXEXTRACT('Manual Data Import'!B849, ""\((\d+)\)"")) &amp; "")"""),"
 -  ()")</f>
        <v>
 -  ()</v>
      </c>
      <c r="B849" s="30" t="str">
        <f>IFERROR(IF(COUNTIF('Draft Board'!$C$3:$V$24,A849)+COUNTIF(Keepers!$B$2:$U$21,A849)+COUNTIF('Auction Draft Board'!$C$6:$AP$25,A849)&gt;0,"",A849),"")</f>
        <v/>
      </c>
    </row>
    <row r="850">
      <c r="A850" t="str">
        <f>IFERROR(__xludf.DUMMYFUNCTION("IFERROR(REGEXEXTRACT('Manual Data Import'!B850, ""^(.*)\s+[A-Z]{2,4}\s+\(\d+\)$""),'Manual Data Import'!B850) &amp; CHAR(10) &amp; 
IFERROR(REGEXREPLACE('Manual Data Import'!C850, ""\d+$"", """")) &amp;"" - ""&amp; 
IFERROR(REGEXEXTRACT('Manual Data Import'!B850, ""([A-Z"&amp;"]{2,4})\s+\(\d+\)$"")) &amp; "" (""&amp; 
IFERROR(REGEXEXTRACT('Manual Data Import'!B850, ""\((\d+)\)"")) &amp; "")"""),"
 -  ()")</f>
        <v>
 -  ()</v>
      </c>
      <c r="B850" s="30" t="str">
        <f>IFERROR(IF(COUNTIF('Draft Board'!$C$3:$V$24,A850)+COUNTIF(Keepers!$B$2:$U$21,A850)+COUNTIF('Auction Draft Board'!$C$6:$AP$25,A850)&gt;0,"",A850),"")</f>
        <v/>
      </c>
    </row>
    <row r="851">
      <c r="A851" t="str">
        <f>IFERROR(__xludf.DUMMYFUNCTION("IFERROR(REGEXEXTRACT('Manual Data Import'!B851, ""^(.*)\s+[A-Z]{2,4}\s+\(\d+\)$""),'Manual Data Import'!B851) &amp; CHAR(10) &amp; 
IFERROR(REGEXREPLACE('Manual Data Import'!C851, ""\d+$"", """")) &amp;"" - ""&amp; 
IFERROR(REGEXEXTRACT('Manual Data Import'!B851, ""([A-Z"&amp;"]{2,4})\s+\(\d+\)$"")) &amp; "" (""&amp; 
IFERROR(REGEXEXTRACT('Manual Data Import'!B851, ""\((\d+)\)"")) &amp; "")"""),"
 -  ()")</f>
        <v>
 -  ()</v>
      </c>
      <c r="B851" s="30" t="str">
        <f>IFERROR(IF(COUNTIF('Draft Board'!$C$3:$V$24,A851)+COUNTIF(Keepers!$B$2:$U$21,A851)+COUNTIF('Auction Draft Board'!$C$6:$AP$25,A851)&gt;0,"",A851),"")</f>
        <v/>
      </c>
    </row>
    <row r="852">
      <c r="A852" t="str">
        <f>IFERROR(__xludf.DUMMYFUNCTION("IFERROR(REGEXEXTRACT('Manual Data Import'!B852, ""^(.*)\s+[A-Z]{2,4}\s+\(\d+\)$""),'Manual Data Import'!B852) &amp; CHAR(10) &amp; 
IFERROR(REGEXREPLACE('Manual Data Import'!C852, ""\d+$"", """")) &amp;"" - ""&amp; 
IFERROR(REGEXEXTRACT('Manual Data Import'!B852, ""([A-Z"&amp;"]{2,4})\s+\(\d+\)$"")) &amp; "" (""&amp; 
IFERROR(REGEXEXTRACT('Manual Data Import'!B852, ""\((\d+)\)"")) &amp; "")"""),"
 -  ()")</f>
        <v>
 -  ()</v>
      </c>
      <c r="B852" s="30" t="str">
        <f>IFERROR(IF(COUNTIF('Draft Board'!$C$3:$V$24,A852)+COUNTIF(Keepers!$B$2:$U$21,A852)+COUNTIF('Auction Draft Board'!$C$6:$AP$25,A852)&gt;0,"",A852),"")</f>
        <v/>
      </c>
    </row>
    <row r="853">
      <c r="A853" t="str">
        <f>IFERROR(__xludf.DUMMYFUNCTION("IFERROR(REGEXEXTRACT('Manual Data Import'!B853, ""^(.*)\s+[A-Z]{2,4}\s+\(\d+\)$""),'Manual Data Import'!B853) &amp; CHAR(10) &amp; 
IFERROR(REGEXREPLACE('Manual Data Import'!C853, ""\d+$"", """")) &amp;"" - ""&amp; 
IFERROR(REGEXEXTRACT('Manual Data Import'!B853, ""([A-Z"&amp;"]{2,4})\s+\(\d+\)$"")) &amp; "" (""&amp; 
IFERROR(REGEXEXTRACT('Manual Data Import'!B853, ""\((\d+)\)"")) &amp; "")"""),"
 -  ()")</f>
        <v>
 -  ()</v>
      </c>
      <c r="B853" s="30" t="str">
        <f>IFERROR(IF(COUNTIF('Draft Board'!$C$3:$V$24,A853)+COUNTIF(Keepers!$B$2:$U$21,A853)+COUNTIF('Auction Draft Board'!$C$6:$AP$25,A853)&gt;0,"",A853),"")</f>
        <v/>
      </c>
    </row>
    <row r="854">
      <c r="A854" t="str">
        <f>IFERROR(__xludf.DUMMYFUNCTION("IFERROR(REGEXEXTRACT('Manual Data Import'!B854, ""^(.*)\s+[A-Z]{2,4}\s+\(\d+\)$""),'Manual Data Import'!B854) &amp; CHAR(10) &amp; 
IFERROR(REGEXREPLACE('Manual Data Import'!C854, ""\d+$"", """")) &amp;"" - ""&amp; 
IFERROR(REGEXEXTRACT('Manual Data Import'!B854, ""([A-Z"&amp;"]{2,4})\s+\(\d+\)$"")) &amp; "" (""&amp; 
IFERROR(REGEXEXTRACT('Manual Data Import'!B854, ""\((\d+)\)"")) &amp; "")"""),"
 -  ()")</f>
        <v>
 -  ()</v>
      </c>
      <c r="B854" s="30" t="str">
        <f>IFERROR(IF(COUNTIF('Draft Board'!$C$3:$V$24,A854)+COUNTIF(Keepers!$B$2:$U$21,A854)+COUNTIF('Auction Draft Board'!$C$6:$AP$25,A854)&gt;0,"",A854),"")</f>
        <v/>
      </c>
    </row>
    <row r="855">
      <c r="A855" t="str">
        <f>IFERROR(__xludf.DUMMYFUNCTION("IFERROR(REGEXEXTRACT('Manual Data Import'!B855, ""^(.*)\s+[A-Z]{2,4}\s+\(\d+\)$""),'Manual Data Import'!B855) &amp; CHAR(10) &amp; 
IFERROR(REGEXREPLACE('Manual Data Import'!C855, ""\d+$"", """")) &amp;"" - ""&amp; 
IFERROR(REGEXEXTRACT('Manual Data Import'!B855, ""([A-Z"&amp;"]{2,4})\s+\(\d+\)$"")) &amp; "" (""&amp; 
IFERROR(REGEXEXTRACT('Manual Data Import'!B855, ""\((\d+)\)"")) &amp; "")"""),"
 -  ()")</f>
        <v>
 -  ()</v>
      </c>
      <c r="B855" s="30" t="str">
        <f>IFERROR(IF(COUNTIF('Draft Board'!$C$3:$V$24,A855)+COUNTIF(Keepers!$B$2:$U$21,A855)+COUNTIF('Auction Draft Board'!$C$6:$AP$25,A855)&gt;0,"",A855),"")</f>
        <v/>
      </c>
    </row>
    <row r="856">
      <c r="A856" t="str">
        <f>IFERROR(__xludf.DUMMYFUNCTION("IFERROR(REGEXEXTRACT('Manual Data Import'!B856, ""^(.*)\s+[A-Z]{2,4}\s+\(\d+\)$""),'Manual Data Import'!B856) &amp; CHAR(10) &amp; 
IFERROR(REGEXREPLACE('Manual Data Import'!C856, ""\d+$"", """")) &amp;"" - ""&amp; 
IFERROR(REGEXEXTRACT('Manual Data Import'!B856, ""([A-Z"&amp;"]{2,4})\s+\(\d+\)$"")) &amp; "" (""&amp; 
IFERROR(REGEXEXTRACT('Manual Data Import'!B856, ""\((\d+)\)"")) &amp; "")"""),"
 -  ()")</f>
        <v>
 -  ()</v>
      </c>
      <c r="B856" s="30" t="str">
        <f>IFERROR(IF(COUNTIF('Draft Board'!$C$3:$V$24,A856)+COUNTIF(Keepers!$B$2:$U$21,A856)+COUNTIF('Auction Draft Board'!$C$6:$AP$25,A856)&gt;0,"",A856),"")</f>
        <v/>
      </c>
    </row>
    <row r="857">
      <c r="A857" t="str">
        <f>IFERROR(__xludf.DUMMYFUNCTION("IFERROR(REGEXEXTRACT('Manual Data Import'!B857, ""^(.*)\s+[A-Z]{2,4}\s+\(\d+\)$""),'Manual Data Import'!B857) &amp; CHAR(10) &amp; 
IFERROR(REGEXREPLACE('Manual Data Import'!C857, ""\d+$"", """")) &amp;"" - ""&amp; 
IFERROR(REGEXEXTRACT('Manual Data Import'!B857, ""([A-Z"&amp;"]{2,4})\s+\(\d+\)$"")) &amp; "" (""&amp; 
IFERROR(REGEXEXTRACT('Manual Data Import'!B857, ""\((\d+)\)"")) &amp; "")"""),"
 -  ()")</f>
        <v>
 -  ()</v>
      </c>
      <c r="B857" s="30" t="str">
        <f>IFERROR(IF(COUNTIF('Draft Board'!$C$3:$V$24,A857)+COUNTIF(Keepers!$B$2:$U$21,A857)+COUNTIF('Auction Draft Board'!$C$6:$AP$25,A857)&gt;0,"",A857),"")</f>
        <v/>
      </c>
    </row>
    <row r="858">
      <c r="A858" t="str">
        <f>IFERROR(__xludf.DUMMYFUNCTION("IFERROR(REGEXEXTRACT('Manual Data Import'!B858, ""^(.*)\s+[A-Z]{2,4}\s+\(\d+\)$""),'Manual Data Import'!B858) &amp; CHAR(10) &amp; 
IFERROR(REGEXREPLACE('Manual Data Import'!C858, ""\d+$"", """")) &amp;"" - ""&amp; 
IFERROR(REGEXEXTRACT('Manual Data Import'!B858, ""([A-Z"&amp;"]{2,4})\s+\(\d+\)$"")) &amp; "" (""&amp; 
IFERROR(REGEXEXTRACT('Manual Data Import'!B858, ""\((\d+)\)"")) &amp; "")"""),"
 -  ()")</f>
        <v>
 -  ()</v>
      </c>
      <c r="B858" s="30" t="str">
        <f>IFERROR(IF(COUNTIF('Draft Board'!$C$3:$V$24,A858)+COUNTIF(Keepers!$B$2:$U$21,A858)+COUNTIF('Auction Draft Board'!$C$6:$AP$25,A858)&gt;0,"",A858),"")</f>
        <v/>
      </c>
    </row>
    <row r="859">
      <c r="A859" t="str">
        <f>IFERROR(__xludf.DUMMYFUNCTION("IFERROR(REGEXEXTRACT('Manual Data Import'!B859, ""^(.*)\s+[A-Z]{2,4}\s+\(\d+\)$""),'Manual Data Import'!B859) &amp; CHAR(10) &amp; 
IFERROR(REGEXREPLACE('Manual Data Import'!C859, ""\d+$"", """")) &amp;"" - ""&amp; 
IFERROR(REGEXEXTRACT('Manual Data Import'!B859, ""([A-Z"&amp;"]{2,4})\s+\(\d+\)$"")) &amp; "" (""&amp; 
IFERROR(REGEXEXTRACT('Manual Data Import'!B859, ""\((\d+)\)"")) &amp; "")"""),"
 -  ()")</f>
        <v>
 -  ()</v>
      </c>
      <c r="B859" s="30" t="str">
        <f>IFERROR(IF(COUNTIF('Draft Board'!$C$3:$V$24,A859)+COUNTIF(Keepers!$B$2:$U$21,A859)+COUNTIF('Auction Draft Board'!$C$6:$AP$25,A859)&gt;0,"",A859),"")</f>
        <v/>
      </c>
    </row>
    <row r="860">
      <c r="A860" t="str">
        <f>IFERROR(__xludf.DUMMYFUNCTION("IFERROR(REGEXEXTRACT('Manual Data Import'!B860, ""^(.*)\s+[A-Z]{2,4}\s+\(\d+\)$""),'Manual Data Import'!B860) &amp; CHAR(10) &amp; 
IFERROR(REGEXREPLACE('Manual Data Import'!C860, ""\d+$"", """")) &amp;"" - ""&amp; 
IFERROR(REGEXEXTRACT('Manual Data Import'!B860, ""([A-Z"&amp;"]{2,4})\s+\(\d+\)$"")) &amp; "" (""&amp; 
IFERROR(REGEXEXTRACT('Manual Data Import'!B860, ""\((\d+)\)"")) &amp; "")"""),"
 -  ()")</f>
        <v>
 -  ()</v>
      </c>
      <c r="B860" s="30" t="str">
        <f>IFERROR(IF(COUNTIF('Draft Board'!$C$3:$V$24,A860)+COUNTIF(Keepers!$B$2:$U$21,A860)+COUNTIF('Auction Draft Board'!$C$6:$AP$25,A860)&gt;0,"",A860),"")</f>
        <v/>
      </c>
    </row>
    <row r="861">
      <c r="A861" t="str">
        <f>IFERROR(__xludf.DUMMYFUNCTION("IFERROR(REGEXEXTRACT('Manual Data Import'!B861, ""^(.*)\s+[A-Z]{2,4}\s+\(\d+\)$""),'Manual Data Import'!B861) &amp; CHAR(10) &amp; 
IFERROR(REGEXREPLACE('Manual Data Import'!C861, ""\d+$"", """")) &amp;"" - ""&amp; 
IFERROR(REGEXEXTRACT('Manual Data Import'!B861, ""([A-Z"&amp;"]{2,4})\s+\(\d+\)$"")) &amp; "" (""&amp; 
IFERROR(REGEXEXTRACT('Manual Data Import'!B861, ""\((\d+)\)"")) &amp; "")"""),"
 -  ()")</f>
        <v>
 -  ()</v>
      </c>
      <c r="B861" s="30" t="str">
        <f>IFERROR(IF(COUNTIF('Draft Board'!$C$3:$V$24,A861)+COUNTIF(Keepers!$B$2:$U$21,A861)+COUNTIF('Auction Draft Board'!$C$6:$AP$25,A861)&gt;0,"",A861),"")</f>
        <v/>
      </c>
    </row>
    <row r="862">
      <c r="A862" t="str">
        <f>IFERROR(__xludf.DUMMYFUNCTION("IFERROR(REGEXEXTRACT('Manual Data Import'!B862, ""^(.*)\s+[A-Z]{2,4}\s+\(\d+\)$""),'Manual Data Import'!B862) &amp; CHAR(10) &amp; 
IFERROR(REGEXREPLACE('Manual Data Import'!C862, ""\d+$"", """")) &amp;"" - ""&amp; 
IFERROR(REGEXEXTRACT('Manual Data Import'!B862, ""([A-Z"&amp;"]{2,4})\s+\(\d+\)$"")) &amp; "" (""&amp; 
IFERROR(REGEXEXTRACT('Manual Data Import'!B862, ""\((\d+)\)"")) &amp; "")"""),"
 -  ()")</f>
        <v>
 -  ()</v>
      </c>
      <c r="B862" s="30" t="str">
        <f>IFERROR(IF(COUNTIF('Draft Board'!$C$3:$V$24,A862)+COUNTIF(Keepers!$B$2:$U$21,A862)+COUNTIF('Auction Draft Board'!$C$6:$AP$25,A862)&gt;0,"",A862),"")</f>
        <v/>
      </c>
    </row>
    <row r="863">
      <c r="A863" t="str">
        <f>IFERROR(__xludf.DUMMYFUNCTION("IFERROR(REGEXEXTRACT('Manual Data Import'!B863, ""^(.*)\s+[A-Z]{2,4}\s+\(\d+\)$""),'Manual Data Import'!B863) &amp; CHAR(10) &amp; 
IFERROR(REGEXREPLACE('Manual Data Import'!C863, ""\d+$"", """")) &amp;"" - ""&amp; 
IFERROR(REGEXEXTRACT('Manual Data Import'!B863, ""([A-Z"&amp;"]{2,4})\s+\(\d+\)$"")) &amp; "" (""&amp; 
IFERROR(REGEXEXTRACT('Manual Data Import'!B863, ""\((\d+)\)"")) &amp; "")"""),"
 -  ()")</f>
        <v>
 -  ()</v>
      </c>
      <c r="B863" s="30" t="str">
        <f>IFERROR(IF(COUNTIF('Draft Board'!$C$3:$V$24,A863)+COUNTIF(Keepers!$B$2:$U$21,A863)+COUNTIF('Auction Draft Board'!$C$6:$AP$25,A863)&gt;0,"",A863),"")</f>
        <v/>
      </c>
    </row>
    <row r="864">
      <c r="A864" t="str">
        <f>IFERROR(__xludf.DUMMYFUNCTION("IFERROR(REGEXEXTRACT('Manual Data Import'!B864, ""^(.*)\s+[A-Z]{2,4}\s+\(\d+\)$""),'Manual Data Import'!B864) &amp; CHAR(10) &amp; 
IFERROR(REGEXREPLACE('Manual Data Import'!C864, ""\d+$"", """")) &amp;"" - ""&amp; 
IFERROR(REGEXEXTRACT('Manual Data Import'!B864, ""([A-Z"&amp;"]{2,4})\s+\(\d+\)$"")) &amp; "" (""&amp; 
IFERROR(REGEXEXTRACT('Manual Data Import'!B864, ""\((\d+)\)"")) &amp; "")"""),"
 -  ()")</f>
        <v>
 -  ()</v>
      </c>
      <c r="B864" s="30" t="str">
        <f>IFERROR(IF(COUNTIF('Draft Board'!$C$3:$V$24,A864)+COUNTIF(Keepers!$B$2:$U$21,A864)+COUNTIF('Auction Draft Board'!$C$6:$AP$25,A864)&gt;0,"",A864),"")</f>
        <v/>
      </c>
    </row>
    <row r="865">
      <c r="A865" t="str">
        <f>IFERROR(__xludf.DUMMYFUNCTION("IFERROR(REGEXEXTRACT('Manual Data Import'!B865, ""^(.*)\s+[A-Z]{2,4}\s+\(\d+\)$""),'Manual Data Import'!B865) &amp; CHAR(10) &amp; 
IFERROR(REGEXREPLACE('Manual Data Import'!C865, ""\d+$"", """")) &amp;"" - ""&amp; 
IFERROR(REGEXEXTRACT('Manual Data Import'!B865, ""([A-Z"&amp;"]{2,4})\s+\(\d+\)$"")) &amp; "" (""&amp; 
IFERROR(REGEXEXTRACT('Manual Data Import'!B865, ""\((\d+)\)"")) &amp; "")"""),"
 -  ()")</f>
        <v>
 -  ()</v>
      </c>
      <c r="B865" s="30" t="str">
        <f>IFERROR(IF(COUNTIF('Draft Board'!$C$3:$V$24,A865)+COUNTIF(Keepers!$B$2:$U$21,A865)+COUNTIF('Auction Draft Board'!$C$6:$AP$25,A865)&gt;0,"",A865),"")</f>
        <v/>
      </c>
    </row>
    <row r="866">
      <c r="A866" t="str">
        <f>IFERROR(__xludf.DUMMYFUNCTION("IFERROR(REGEXEXTRACT('Manual Data Import'!B866, ""^(.*)\s+[A-Z]{2,4}\s+\(\d+\)$""),'Manual Data Import'!B866) &amp; CHAR(10) &amp; 
IFERROR(REGEXREPLACE('Manual Data Import'!C866, ""\d+$"", """")) &amp;"" - ""&amp; 
IFERROR(REGEXEXTRACT('Manual Data Import'!B866, ""([A-Z"&amp;"]{2,4})\s+\(\d+\)$"")) &amp; "" (""&amp; 
IFERROR(REGEXEXTRACT('Manual Data Import'!B866, ""\((\d+)\)"")) &amp; "")"""),"
 -  ()")</f>
        <v>
 -  ()</v>
      </c>
      <c r="B866" s="30" t="str">
        <f>IFERROR(IF(COUNTIF('Draft Board'!$C$3:$V$24,A866)+COUNTIF(Keepers!$B$2:$U$21,A866)+COUNTIF('Auction Draft Board'!$C$6:$AP$25,A866)&gt;0,"",A866),"")</f>
        <v/>
      </c>
    </row>
    <row r="867">
      <c r="A867" t="str">
        <f>IFERROR(__xludf.DUMMYFUNCTION("IFERROR(REGEXEXTRACT('Manual Data Import'!B867, ""^(.*)\s+[A-Z]{2,4}\s+\(\d+\)$""),'Manual Data Import'!B867) &amp; CHAR(10) &amp; 
IFERROR(REGEXREPLACE('Manual Data Import'!C867, ""\d+$"", """")) &amp;"" - ""&amp; 
IFERROR(REGEXEXTRACT('Manual Data Import'!B867, ""([A-Z"&amp;"]{2,4})\s+\(\d+\)$"")) &amp; "" (""&amp; 
IFERROR(REGEXEXTRACT('Manual Data Import'!B867, ""\((\d+)\)"")) &amp; "")"""),"
 -  ()")</f>
        <v>
 -  ()</v>
      </c>
      <c r="B867" s="30" t="str">
        <f>IFERROR(IF(COUNTIF('Draft Board'!$C$3:$V$24,A867)+COUNTIF(Keepers!$B$2:$U$21,A867)+COUNTIF('Auction Draft Board'!$C$6:$AP$25,A867)&gt;0,"",A867),"")</f>
        <v/>
      </c>
    </row>
    <row r="868">
      <c r="A868" t="str">
        <f>IFERROR(__xludf.DUMMYFUNCTION("IFERROR(REGEXEXTRACT('Manual Data Import'!B868, ""^(.*)\s+[A-Z]{2,4}\s+\(\d+\)$""),'Manual Data Import'!B868) &amp; CHAR(10) &amp; 
IFERROR(REGEXREPLACE('Manual Data Import'!C868, ""\d+$"", """")) &amp;"" - ""&amp; 
IFERROR(REGEXEXTRACT('Manual Data Import'!B868, ""([A-Z"&amp;"]{2,4})\s+\(\d+\)$"")) &amp; "" (""&amp; 
IFERROR(REGEXEXTRACT('Manual Data Import'!B868, ""\((\d+)\)"")) &amp; "")"""),"
 -  ()")</f>
        <v>
 -  ()</v>
      </c>
      <c r="B868" s="30" t="str">
        <f>IFERROR(IF(COUNTIF('Draft Board'!$C$3:$V$24,A868)+COUNTIF(Keepers!$B$2:$U$21,A868)+COUNTIF('Auction Draft Board'!$C$6:$AP$25,A868)&gt;0,"",A868),"")</f>
        <v/>
      </c>
    </row>
    <row r="869">
      <c r="A869" t="str">
        <f>IFERROR(__xludf.DUMMYFUNCTION("IFERROR(REGEXEXTRACT('Manual Data Import'!B869, ""^(.*)\s+[A-Z]{2,4}\s+\(\d+\)$""),'Manual Data Import'!B869) &amp; CHAR(10) &amp; 
IFERROR(REGEXREPLACE('Manual Data Import'!C869, ""\d+$"", """")) &amp;"" - ""&amp; 
IFERROR(REGEXEXTRACT('Manual Data Import'!B869, ""([A-Z"&amp;"]{2,4})\s+\(\d+\)$"")) &amp; "" (""&amp; 
IFERROR(REGEXEXTRACT('Manual Data Import'!B869, ""\((\d+)\)"")) &amp; "")"""),"
 -  ()")</f>
        <v>
 -  ()</v>
      </c>
      <c r="B869" s="30" t="str">
        <f>IFERROR(IF(COUNTIF('Draft Board'!$C$3:$V$24,A869)+COUNTIF(Keepers!$B$2:$U$21,A869)+COUNTIF('Auction Draft Board'!$C$6:$AP$25,A869)&gt;0,"",A869),"")</f>
        <v/>
      </c>
    </row>
    <row r="870">
      <c r="A870" t="str">
        <f>IFERROR(__xludf.DUMMYFUNCTION("IFERROR(REGEXEXTRACT('Manual Data Import'!B870, ""^(.*)\s+[A-Z]{2,4}\s+\(\d+\)$""),'Manual Data Import'!B870) &amp; CHAR(10) &amp; 
IFERROR(REGEXREPLACE('Manual Data Import'!C870, ""\d+$"", """")) &amp;"" - ""&amp; 
IFERROR(REGEXEXTRACT('Manual Data Import'!B870, ""([A-Z"&amp;"]{2,4})\s+\(\d+\)$"")) &amp; "" (""&amp; 
IFERROR(REGEXEXTRACT('Manual Data Import'!B870, ""\((\d+)\)"")) &amp; "")"""),"
 -  ()")</f>
        <v>
 -  ()</v>
      </c>
      <c r="B870" s="30" t="str">
        <f>IFERROR(IF(COUNTIF('Draft Board'!$C$3:$V$24,A870)+COUNTIF(Keepers!$B$2:$U$21,A870)+COUNTIF('Auction Draft Board'!$C$6:$AP$25,A870)&gt;0,"",A870),"")</f>
        <v/>
      </c>
    </row>
    <row r="871">
      <c r="A871" t="str">
        <f>IFERROR(__xludf.DUMMYFUNCTION("IFERROR(REGEXEXTRACT('Manual Data Import'!B871, ""^(.*)\s+[A-Z]{2,4}\s+\(\d+\)$""),'Manual Data Import'!B871) &amp; CHAR(10) &amp; 
IFERROR(REGEXREPLACE('Manual Data Import'!C871, ""\d+$"", """")) &amp;"" - ""&amp; 
IFERROR(REGEXEXTRACT('Manual Data Import'!B871, ""([A-Z"&amp;"]{2,4})\s+\(\d+\)$"")) &amp; "" (""&amp; 
IFERROR(REGEXEXTRACT('Manual Data Import'!B871, ""\((\d+)\)"")) &amp; "")"""),"
 -  ()")</f>
        <v>
 -  ()</v>
      </c>
      <c r="B871" s="30" t="str">
        <f>IFERROR(IF(COUNTIF('Draft Board'!$C$3:$V$24,A871)+COUNTIF(Keepers!$B$2:$U$21,A871)+COUNTIF('Auction Draft Board'!$C$6:$AP$25,A871)&gt;0,"",A871),"")</f>
        <v/>
      </c>
    </row>
    <row r="872">
      <c r="A872" t="str">
        <f>IFERROR(__xludf.DUMMYFUNCTION("IFERROR(REGEXEXTRACT('Manual Data Import'!B872, ""^(.*)\s+[A-Z]{2,4}\s+\(\d+\)$""),'Manual Data Import'!B872) &amp; CHAR(10) &amp; 
IFERROR(REGEXREPLACE('Manual Data Import'!C872, ""\d+$"", """")) &amp;"" - ""&amp; 
IFERROR(REGEXEXTRACT('Manual Data Import'!B872, ""([A-Z"&amp;"]{2,4})\s+\(\d+\)$"")) &amp; "" (""&amp; 
IFERROR(REGEXEXTRACT('Manual Data Import'!B872, ""\((\d+)\)"")) &amp; "")"""),"
 -  ()")</f>
        <v>
 -  ()</v>
      </c>
      <c r="B872" s="30" t="str">
        <f>IFERROR(IF(COUNTIF('Draft Board'!$C$3:$V$24,A872)+COUNTIF(Keepers!$B$2:$U$21,A872)+COUNTIF('Auction Draft Board'!$C$6:$AP$25,A872)&gt;0,"",A872),"")</f>
        <v/>
      </c>
    </row>
    <row r="873">
      <c r="A873" t="str">
        <f>IFERROR(__xludf.DUMMYFUNCTION("IFERROR(REGEXEXTRACT('Manual Data Import'!B873, ""^(.*)\s+[A-Z]{2,4}\s+\(\d+\)$""),'Manual Data Import'!B873) &amp; CHAR(10) &amp; 
IFERROR(REGEXREPLACE('Manual Data Import'!C873, ""\d+$"", """")) &amp;"" - ""&amp; 
IFERROR(REGEXEXTRACT('Manual Data Import'!B873, ""([A-Z"&amp;"]{2,4})\s+\(\d+\)$"")) &amp; "" (""&amp; 
IFERROR(REGEXEXTRACT('Manual Data Import'!B873, ""\((\d+)\)"")) &amp; "")"""),"
 -  ()")</f>
        <v>
 -  ()</v>
      </c>
      <c r="B873" s="30" t="str">
        <f>IFERROR(IF(COUNTIF('Draft Board'!$C$3:$V$24,A873)+COUNTIF(Keepers!$B$2:$U$21,A873)+COUNTIF('Auction Draft Board'!$C$6:$AP$25,A873)&gt;0,"",A873),"")</f>
        <v/>
      </c>
    </row>
    <row r="874">
      <c r="A874" t="str">
        <f>IFERROR(__xludf.DUMMYFUNCTION("IFERROR(REGEXEXTRACT('Manual Data Import'!B874, ""^(.*)\s+[A-Z]{2,4}\s+\(\d+\)$""),'Manual Data Import'!B874) &amp; CHAR(10) &amp; 
IFERROR(REGEXREPLACE('Manual Data Import'!C874, ""\d+$"", """")) &amp;"" - ""&amp; 
IFERROR(REGEXEXTRACT('Manual Data Import'!B874, ""([A-Z"&amp;"]{2,4})\s+\(\d+\)$"")) &amp; "" (""&amp; 
IFERROR(REGEXEXTRACT('Manual Data Import'!B874, ""\((\d+)\)"")) &amp; "")"""),"
 -  ()")</f>
        <v>
 -  ()</v>
      </c>
      <c r="B874" s="30" t="str">
        <f>IFERROR(IF(COUNTIF('Draft Board'!$C$3:$V$24,A874)+COUNTIF(Keepers!$B$2:$U$21,A874)+COUNTIF('Auction Draft Board'!$C$6:$AP$25,A874)&gt;0,"",A874),"")</f>
        <v/>
      </c>
    </row>
    <row r="875">
      <c r="A875" t="str">
        <f>IFERROR(__xludf.DUMMYFUNCTION("IFERROR(REGEXEXTRACT('Manual Data Import'!B875, ""^(.*)\s+[A-Z]{2,4}\s+\(\d+\)$""),'Manual Data Import'!B875) &amp; CHAR(10) &amp; 
IFERROR(REGEXREPLACE('Manual Data Import'!C875, ""\d+$"", """")) &amp;"" - ""&amp; 
IFERROR(REGEXEXTRACT('Manual Data Import'!B875, ""([A-Z"&amp;"]{2,4})\s+\(\d+\)$"")) &amp; "" (""&amp; 
IFERROR(REGEXEXTRACT('Manual Data Import'!B875, ""\((\d+)\)"")) &amp; "")"""),"
 -  ()")</f>
        <v>
 -  ()</v>
      </c>
      <c r="B875" s="30" t="str">
        <f>IFERROR(IF(COUNTIF('Draft Board'!$C$3:$V$24,A875)+COUNTIF(Keepers!$B$2:$U$21,A875)+COUNTIF('Auction Draft Board'!$C$6:$AP$25,A875)&gt;0,"",A875),"")</f>
        <v/>
      </c>
    </row>
    <row r="876">
      <c r="A876" t="str">
        <f>IFERROR(__xludf.DUMMYFUNCTION("IFERROR(REGEXEXTRACT('Manual Data Import'!B876, ""^(.*)\s+[A-Z]{2,4}\s+\(\d+\)$""),'Manual Data Import'!B876) &amp; CHAR(10) &amp; 
IFERROR(REGEXREPLACE('Manual Data Import'!C876, ""\d+$"", """")) &amp;"" - ""&amp; 
IFERROR(REGEXEXTRACT('Manual Data Import'!B876, ""([A-Z"&amp;"]{2,4})\s+\(\d+\)$"")) &amp; "" (""&amp; 
IFERROR(REGEXEXTRACT('Manual Data Import'!B876, ""\((\d+)\)"")) &amp; "")"""),"
 -  ()")</f>
        <v>
 -  ()</v>
      </c>
      <c r="B876" s="30" t="str">
        <f>IFERROR(IF(COUNTIF('Draft Board'!$C$3:$V$24,A876)+COUNTIF(Keepers!$B$2:$U$21,A876)+COUNTIF('Auction Draft Board'!$C$6:$AP$25,A876)&gt;0,"",A876),"")</f>
        <v/>
      </c>
    </row>
    <row r="877">
      <c r="A877" t="str">
        <f>IFERROR(__xludf.DUMMYFUNCTION("IFERROR(REGEXEXTRACT('Manual Data Import'!B877, ""^(.*)\s+[A-Z]{2,4}\s+\(\d+\)$""),'Manual Data Import'!B877) &amp; CHAR(10) &amp; 
IFERROR(REGEXREPLACE('Manual Data Import'!C877, ""\d+$"", """")) &amp;"" - ""&amp; 
IFERROR(REGEXEXTRACT('Manual Data Import'!B877, ""([A-Z"&amp;"]{2,4})\s+\(\d+\)$"")) &amp; "" (""&amp; 
IFERROR(REGEXEXTRACT('Manual Data Import'!B877, ""\((\d+)\)"")) &amp; "")"""),"
 -  ()")</f>
        <v>
 -  ()</v>
      </c>
      <c r="B877" s="30" t="str">
        <f>IFERROR(IF(COUNTIF('Draft Board'!$C$3:$V$24,A877)+COUNTIF(Keepers!$B$2:$U$21,A877)+COUNTIF('Auction Draft Board'!$C$6:$AP$25,A877)&gt;0,"",A877),"")</f>
        <v/>
      </c>
    </row>
    <row r="878">
      <c r="A878" t="str">
        <f>IFERROR(__xludf.DUMMYFUNCTION("IFERROR(REGEXEXTRACT('Manual Data Import'!B878, ""^(.*)\s+[A-Z]{2,4}\s+\(\d+\)$""),'Manual Data Import'!B878) &amp; CHAR(10) &amp; 
IFERROR(REGEXREPLACE('Manual Data Import'!C878, ""\d+$"", """")) &amp;"" - ""&amp; 
IFERROR(REGEXEXTRACT('Manual Data Import'!B878, ""([A-Z"&amp;"]{2,4})\s+\(\d+\)$"")) &amp; "" (""&amp; 
IFERROR(REGEXEXTRACT('Manual Data Import'!B878, ""\((\d+)\)"")) &amp; "")"""),"
 -  ()")</f>
        <v>
 -  ()</v>
      </c>
      <c r="B878" s="30" t="str">
        <f>IFERROR(IF(COUNTIF('Draft Board'!$C$3:$V$24,A878)+COUNTIF(Keepers!$B$2:$U$21,A878)+COUNTIF('Auction Draft Board'!$C$6:$AP$25,A878)&gt;0,"",A878),"")</f>
        <v/>
      </c>
    </row>
    <row r="879">
      <c r="A879" t="str">
        <f>IFERROR(__xludf.DUMMYFUNCTION("IFERROR(REGEXEXTRACT('Manual Data Import'!B879, ""^(.*)\s+[A-Z]{2,4}\s+\(\d+\)$""),'Manual Data Import'!B879) &amp; CHAR(10) &amp; 
IFERROR(REGEXREPLACE('Manual Data Import'!C879, ""\d+$"", """")) &amp;"" - ""&amp; 
IFERROR(REGEXEXTRACT('Manual Data Import'!B879, ""([A-Z"&amp;"]{2,4})\s+\(\d+\)$"")) &amp; "" (""&amp; 
IFERROR(REGEXEXTRACT('Manual Data Import'!B879, ""\((\d+)\)"")) &amp; "")"""),"
 -  ()")</f>
        <v>
 -  ()</v>
      </c>
      <c r="B879" s="30" t="str">
        <f>IFERROR(IF(COUNTIF('Draft Board'!$C$3:$V$24,A879)+COUNTIF(Keepers!$B$2:$U$21,A879)+COUNTIF('Auction Draft Board'!$C$6:$AP$25,A879)&gt;0,"",A879),"")</f>
        <v/>
      </c>
    </row>
    <row r="880">
      <c r="A880" t="str">
        <f>IFERROR(__xludf.DUMMYFUNCTION("IFERROR(REGEXEXTRACT('Manual Data Import'!B880, ""^(.*)\s+[A-Z]{2,4}\s+\(\d+\)$""),'Manual Data Import'!B880) &amp; CHAR(10) &amp; 
IFERROR(REGEXREPLACE('Manual Data Import'!C880, ""\d+$"", """")) &amp;"" - ""&amp; 
IFERROR(REGEXEXTRACT('Manual Data Import'!B880, ""([A-Z"&amp;"]{2,4})\s+\(\d+\)$"")) &amp; "" (""&amp; 
IFERROR(REGEXEXTRACT('Manual Data Import'!B880, ""\((\d+)\)"")) &amp; "")"""),"
 -  ()")</f>
        <v>
 -  ()</v>
      </c>
      <c r="B880" s="30" t="str">
        <f>IFERROR(IF(COUNTIF('Draft Board'!$C$3:$V$24,A880)+COUNTIF(Keepers!$B$2:$U$21,A880)+COUNTIF('Auction Draft Board'!$C$6:$AP$25,A880)&gt;0,"",A880),"")</f>
        <v/>
      </c>
    </row>
    <row r="881">
      <c r="A881" t="str">
        <f>IFERROR(__xludf.DUMMYFUNCTION("IFERROR(REGEXEXTRACT('Manual Data Import'!B881, ""^(.*)\s+[A-Z]{2,4}\s+\(\d+\)$""),'Manual Data Import'!B881) &amp; CHAR(10) &amp; 
IFERROR(REGEXREPLACE('Manual Data Import'!C881, ""\d+$"", """")) &amp;"" - ""&amp; 
IFERROR(REGEXEXTRACT('Manual Data Import'!B881, ""([A-Z"&amp;"]{2,4})\s+\(\d+\)$"")) &amp; "" (""&amp; 
IFERROR(REGEXEXTRACT('Manual Data Import'!B881, ""\((\d+)\)"")) &amp; "")"""),"
 -  ()")</f>
        <v>
 -  ()</v>
      </c>
      <c r="B881" s="30" t="str">
        <f>IFERROR(IF(COUNTIF('Draft Board'!$C$3:$V$24,A881)+COUNTIF(Keepers!$B$2:$U$21,A881)+COUNTIF('Auction Draft Board'!$C$6:$AP$25,A881)&gt;0,"",A881),"")</f>
        <v/>
      </c>
    </row>
    <row r="882">
      <c r="A882" t="str">
        <f>IFERROR(__xludf.DUMMYFUNCTION("IFERROR(REGEXEXTRACT('Manual Data Import'!B882, ""^(.*)\s+[A-Z]{2,4}\s+\(\d+\)$""),'Manual Data Import'!B882) &amp; CHAR(10) &amp; 
IFERROR(REGEXREPLACE('Manual Data Import'!C882, ""\d+$"", """")) &amp;"" - ""&amp; 
IFERROR(REGEXEXTRACT('Manual Data Import'!B882, ""([A-Z"&amp;"]{2,4})\s+\(\d+\)$"")) &amp; "" (""&amp; 
IFERROR(REGEXEXTRACT('Manual Data Import'!B882, ""\((\d+)\)"")) &amp; "")"""),"
 -  ()")</f>
        <v>
 -  ()</v>
      </c>
      <c r="B882" s="30" t="str">
        <f>IFERROR(IF(COUNTIF('Draft Board'!$C$3:$V$24,A882)+COUNTIF(Keepers!$B$2:$U$21,A882)+COUNTIF('Auction Draft Board'!$C$6:$AP$25,A882)&gt;0,"",A882),"")</f>
        <v/>
      </c>
    </row>
    <row r="883">
      <c r="A883" t="str">
        <f>IFERROR(__xludf.DUMMYFUNCTION("IFERROR(REGEXEXTRACT('Manual Data Import'!B883, ""^(.*)\s+[A-Z]{2,4}\s+\(\d+\)$""),'Manual Data Import'!B883) &amp; CHAR(10) &amp; 
IFERROR(REGEXREPLACE('Manual Data Import'!C883, ""\d+$"", """")) &amp;"" - ""&amp; 
IFERROR(REGEXEXTRACT('Manual Data Import'!B883, ""([A-Z"&amp;"]{2,4})\s+\(\d+\)$"")) &amp; "" (""&amp; 
IFERROR(REGEXEXTRACT('Manual Data Import'!B883, ""\((\d+)\)"")) &amp; "")"""),"
 -  ()")</f>
        <v>
 -  ()</v>
      </c>
      <c r="B883" s="30" t="str">
        <f>IFERROR(IF(COUNTIF('Draft Board'!$C$3:$V$24,A883)+COUNTIF(Keepers!$B$2:$U$21,A883)+COUNTIF('Auction Draft Board'!$C$6:$AP$25,A883)&gt;0,"",A883),"")</f>
        <v/>
      </c>
    </row>
    <row r="884">
      <c r="A884" t="str">
        <f>IFERROR(__xludf.DUMMYFUNCTION("IFERROR(REGEXEXTRACT('Manual Data Import'!B884, ""^(.*)\s+[A-Z]{2,4}\s+\(\d+\)$""),'Manual Data Import'!B884) &amp; CHAR(10) &amp; 
IFERROR(REGEXREPLACE('Manual Data Import'!C884, ""\d+$"", """")) &amp;"" - ""&amp; 
IFERROR(REGEXEXTRACT('Manual Data Import'!B884, ""([A-Z"&amp;"]{2,4})\s+\(\d+\)$"")) &amp; "" (""&amp; 
IFERROR(REGEXEXTRACT('Manual Data Import'!B884, ""\((\d+)\)"")) &amp; "")"""),"
 -  ()")</f>
        <v>
 -  ()</v>
      </c>
      <c r="B884" s="30" t="str">
        <f>IFERROR(IF(COUNTIF('Draft Board'!$C$3:$V$24,A884)+COUNTIF(Keepers!$B$2:$U$21,A884)+COUNTIF('Auction Draft Board'!$C$6:$AP$25,A884)&gt;0,"",A884),"")</f>
        <v/>
      </c>
    </row>
    <row r="885">
      <c r="A885" t="str">
        <f>IFERROR(__xludf.DUMMYFUNCTION("IFERROR(REGEXEXTRACT('Manual Data Import'!B885, ""^(.*)\s+[A-Z]{2,4}\s+\(\d+\)$""),'Manual Data Import'!B885) &amp; CHAR(10) &amp; 
IFERROR(REGEXREPLACE('Manual Data Import'!C885, ""\d+$"", """")) &amp;"" - ""&amp; 
IFERROR(REGEXEXTRACT('Manual Data Import'!B885, ""([A-Z"&amp;"]{2,4})\s+\(\d+\)$"")) &amp; "" (""&amp; 
IFERROR(REGEXEXTRACT('Manual Data Import'!B885, ""\((\d+)\)"")) &amp; "")"""),"
 -  ()")</f>
        <v>
 -  ()</v>
      </c>
      <c r="B885" s="30" t="str">
        <f>IFERROR(IF(COUNTIF('Draft Board'!$C$3:$V$24,A885)+COUNTIF(Keepers!$B$2:$U$21,A885)+COUNTIF('Auction Draft Board'!$C$6:$AP$25,A885)&gt;0,"",A885),"")</f>
        <v/>
      </c>
    </row>
    <row r="886">
      <c r="A886" t="str">
        <f>IFERROR(__xludf.DUMMYFUNCTION("IFERROR(REGEXEXTRACT('Manual Data Import'!B886, ""^(.*)\s+[A-Z]{2,4}\s+\(\d+\)$""),'Manual Data Import'!B886) &amp; CHAR(10) &amp; 
IFERROR(REGEXREPLACE('Manual Data Import'!C886, ""\d+$"", """")) &amp;"" - ""&amp; 
IFERROR(REGEXEXTRACT('Manual Data Import'!B886, ""([A-Z"&amp;"]{2,4})\s+\(\d+\)$"")) &amp; "" (""&amp; 
IFERROR(REGEXEXTRACT('Manual Data Import'!B886, ""\((\d+)\)"")) &amp; "")"""),"
 -  ()")</f>
        <v>
 -  ()</v>
      </c>
      <c r="B886" s="30" t="str">
        <f>IFERROR(IF(COUNTIF('Draft Board'!$C$3:$V$24,A886)+COUNTIF(Keepers!$B$2:$U$21,A886)+COUNTIF('Auction Draft Board'!$C$6:$AP$25,A886)&gt;0,"",A886),"")</f>
        <v/>
      </c>
    </row>
    <row r="887">
      <c r="A887" t="str">
        <f>IFERROR(__xludf.DUMMYFUNCTION("IFERROR(REGEXEXTRACT('Manual Data Import'!B887, ""^(.*)\s+[A-Z]{2,4}\s+\(\d+\)$""),'Manual Data Import'!B887) &amp; CHAR(10) &amp; 
IFERROR(REGEXREPLACE('Manual Data Import'!C887, ""\d+$"", """")) &amp;"" - ""&amp; 
IFERROR(REGEXEXTRACT('Manual Data Import'!B887, ""([A-Z"&amp;"]{2,4})\s+\(\d+\)$"")) &amp; "" (""&amp; 
IFERROR(REGEXEXTRACT('Manual Data Import'!B887, ""\((\d+)\)"")) &amp; "")"""),"
 -  ()")</f>
        <v>
 -  ()</v>
      </c>
      <c r="B887" s="30" t="str">
        <f>IFERROR(IF(COUNTIF('Draft Board'!$C$3:$V$24,A887)+COUNTIF(Keepers!$B$2:$U$21,A887)+COUNTIF('Auction Draft Board'!$C$6:$AP$25,A887)&gt;0,"",A887),"")</f>
        <v/>
      </c>
    </row>
    <row r="888">
      <c r="A888" t="str">
        <f>IFERROR(__xludf.DUMMYFUNCTION("IFERROR(REGEXEXTRACT('Manual Data Import'!B888, ""^(.*)\s+[A-Z]{2,4}\s+\(\d+\)$""),'Manual Data Import'!B888) &amp; CHAR(10) &amp; 
IFERROR(REGEXREPLACE('Manual Data Import'!C888, ""\d+$"", """")) &amp;"" - ""&amp; 
IFERROR(REGEXEXTRACT('Manual Data Import'!B888, ""([A-Z"&amp;"]{2,4})\s+\(\d+\)$"")) &amp; "" (""&amp; 
IFERROR(REGEXEXTRACT('Manual Data Import'!B888, ""\((\d+)\)"")) &amp; "")"""),"
 -  ()")</f>
        <v>
 -  ()</v>
      </c>
      <c r="B888" s="30" t="str">
        <f>IFERROR(IF(COUNTIF('Draft Board'!$C$3:$V$24,A888)+COUNTIF(Keepers!$B$2:$U$21,A888)+COUNTIF('Auction Draft Board'!$C$6:$AP$25,A888)&gt;0,"",A888),"")</f>
        <v/>
      </c>
    </row>
    <row r="889">
      <c r="A889" t="str">
        <f>IFERROR(__xludf.DUMMYFUNCTION("IFERROR(REGEXEXTRACT('Manual Data Import'!B889, ""^(.*)\s+[A-Z]{2,4}\s+\(\d+\)$""),'Manual Data Import'!B889) &amp; CHAR(10) &amp; 
IFERROR(REGEXREPLACE('Manual Data Import'!C889, ""\d+$"", """")) &amp;"" - ""&amp; 
IFERROR(REGEXEXTRACT('Manual Data Import'!B889, ""([A-Z"&amp;"]{2,4})\s+\(\d+\)$"")) &amp; "" (""&amp; 
IFERROR(REGEXEXTRACT('Manual Data Import'!B889, ""\((\d+)\)"")) &amp; "")"""),"
 -  ()")</f>
        <v>
 -  ()</v>
      </c>
      <c r="B889" s="30" t="str">
        <f>IFERROR(IF(COUNTIF('Draft Board'!$C$3:$V$24,A889)+COUNTIF(Keepers!$B$2:$U$21,A889)+COUNTIF('Auction Draft Board'!$C$6:$AP$25,A889)&gt;0,"",A889),"")</f>
        <v/>
      </c>
    </row>
    <row r="890">
      <c r="A890" t="str">
        <f>IFERROR(__xludf.DUMMYFUNCTION("IFERROR(REGEXEXTRACT('Manual Data Import'!B890, ""^(.*)\s+[A-Z]{2,4}\s+\(\d+\)$""),'Manual Data Import'!B890) &amp; CHAR(10) &amp; 
IFERROR(REGEXREPLACE('Manual Data Import'!C890, ""\d+$"", """")) &amp;"" - ""&amp; 
IFERROR(REGEXEXTRACT('Manual Data Import'!B890, ""([A-Z"&amp;"]{2,4})\s+\(\d+\)$"")) &amp; "" (""&amp; 
IFERROR(REGEXEXTRACT('Manual Data Import'!B890, ""\((\d+)\)"")) &amp; "")"""),"
 -  ()")</f>
        <v>
 -  ()</v>
      </c>
      <c r="B890" s="30" t="str">
        <f>IFERROR(IF(COUNTIF('Draft Board'!$C$3:$V$24,A890)+COUNTIF(Keepers!$B$2:$U$21,A890)+COUNTIF('Auction Draft Board'!$C$6:$AP$25,A890)&gt;0,"",A890),"")</f>
        <v/>
      </c>
    </row>
    <row r="891">
      <c r="A891" t="str">
        <f>IFERROR(__xludf.DUMMYFUNCTION("IFERROR(REGEXEXTRACT('Manual Data Import'!B891, ""^(.*)\s+[A-Z]{2,4}\s+\(\d+\)$""),'Manual Data Import'!B891) &amp; CHAR(10) &amp; 
IFERROR(REGEXREPLACE('Manual Data Import'!C891, ""\d+$"", """")) &amp;"" - ""&amp; 
IFERROR(REGEXEXTRACT('Manual Data Import'!B891, ""([A-Z"&amp;"]{2,4})\s+\(\d+\)$"")) &amp; "" (""&amp; 
IFERROR(REGEXEXTRACT('Manual Data Import'!B891, ""\((\d+)\)"")) &amp; "")"""),"
 -  ()")</f>
        <v>
 -  ()</v>
      </c>
      <c r="B891" s="30" t="str">
        <f>IFERROR(IF(COUNTIF('Draft Board'!$C$3:$V$24,A891)+COUNTIF(Keepers!$B$2:$U$21,A891)+COUNTIF('Auction Draft Board'!$C$6:$AP$25,A891)&gt;0,"",A891),"")</f>
        <v/>
      </c>
    </row>
    <row r="892">
      <c r="A892" t="str">
        <f>IFERROR(__xludf.DUMMYFUNCTION("IFERROR(REGEXEXTRACT('Manual Data Import'!B892, ""^(.*)\s+[A-Z]{2,4}\s+\(\d+\)$""),'Manual Data Import'!B892) &amp; CHAR(10) &amp; 
IFERROR(REGEXREPLACE('Manual Data Import'!C892, ""\d+$"", """")) &amp;"" - ""&amp; 
IFERROR(REGEXEXTRACT('Manual Data Import'!B892, ""([A-Z"&amp;"]{2,4})\s+\(\d+\)$"")) &amp; "" (""&amp; 
IFERROR(REGEXEXTRACT('Manual Data Import'!B892, ""\((\d+)\)"")) &amp; "")"""),"
 -  ()")</f>
        <v>
 -  ()</v>
      </c>
      <c r="B892" s="30" t="str">
        <f>IFERROR(IF(COUNTIF('Draft Board'!$C$3:$V$24,A892)+COUNTIF(Keepers!$B$2:$U$21,A892)+COUNTIF('Auction Draft Board'!$C$6:$AP$25,A892)&gt;0,"",A892),"")</f>
        <v/>
      </c>
    </row>
    <row r="893">
      <c r="A893" t="str">
        <f>IFERROR(__xludf.DUMMYFUNCTION("IFERROR(REGEXEXTRACT('Manual Data Import'!B893, ""^(.*)\s+[A-Z]{2,4}\s+\(\d+\)$""),'Manual Data Import'!B893) &amp; CHAR(10) &amp; 
IFERROR(REGEXREPLACE('Manual Data Import'!C893, ""\d+$"", """")) &amp;"" - ""&amp; 
IFERROR(REGEXEXTRACT('Manual Data Import'!B893, ""([A-Z"&amp;"]{2,4})\s+\(\d+\)$"")) &amp; "" (""&amp; 
IFERROR(REGEXEXTRACT('Manual Data Import'!B893, ""\((\d+)\)"")) &amp; "")"""),"
 -  ()")</f>
        <v>
 -  ()</v>
      </c>
      <c r="B893" s="30" t="str">
        <f>IFERROR(IF(COUNTIF('Draft Board'!$C$3:$V$24,A893)+COUNTIF(Keepers!$B$2:$U$21,A893)+COUNTIF('Auction Draft Board'!$C$6:$AP$25,A893)&gt;0,"",A893),"")</f>
        <v/>
      </c>
    </row>
    <row r="894">
      <c r="A894" t="str">
        <f>IFERROR(__xludf.DUMMYFUNCTION("IFERROR(REGEXEXTRACT('Manual Data Import'!B894, ""^(.*)\s+[A-Z]{2,4}\s+\(\d+\)$""),'Manual Data Import'!B894) &amp; CHAR(10) &amp; 
IFERROR(REGEXREPLACE('Manual Data Import'!C894, ""\d+$"", """")) &amp;"" - ""&amp; 
IFERROR(REGEXEXTRACT('Manual Data Import'!B894, ""([A-Z"&amp;"]{2,4})\s+\(\d+\)$"")) &amp; "" (""&amp; 
IFERROR(REGEXEXTRACT('Manual Data Import'!B894, ""\((\d+)\)"")) &amp; "")"""),"
 -  ()")</f>
        <v>
 -  ()</v>
      </c>
      <c r="B894" s="30" t="str">
        <f>IFERROR(IF(COUNTIF('Draft Board'!$C$3:$V$24,A894)+COUNTIF(Keepers!$B$2:$U$21,A894)+COUNTIF('Auction Draft Board'!$C$6:$AP$25,A894)&gt;0,"",A894),"")</f>
        <v/>
      </c>
    </row>
    <row r="895">
      <c r="A895" t="str">
        <f>IFERROR(__xludf.DUMMYFUNCTION("IFERROR(REGEXEXTRACT('Manual Data Import'!B895, ""^(.*)\s+[A-Z]{2,4}\s+\(\d+\)$""),'Manual Data Import'!B895) &amp; CHAR(10) &amp; 
IFERROR(REGEXREPLACE('Manual Data Import'!C895, ""\d+$"", """")) &amp;"" - ""&amp; 
IFERROR(REGEXEXTRACT('Manual Data Import'!B895, ""([A-Z"&amp;"]{2,4})\s+\(\d+\)$"")) &amp; "" (""&amp; 
IFERROR(REGEXEXTRACT('Manual Data Import'!B895, ""\((\d+)\)"")) &amp; "")"""),"
 -  ()")</f>
        <v>
 -  ()</v>
      </c>
      <c r="B895" s="30" t="str">
        <f>IFERROR(IF(COUNTIF('Draft Board'!$C$3:$V$24,A895)+COUNTIF(Keepers!$B$2:$U$21,A895)+COUNTIF('Auction Draft Board'!$C$6:$AP$25,A895)&gt;0,"",A895),"")</f>
        <v/>
      </c>
    </row>
    <row r="896">
      <c r="A896" t="str">
        <f>IFERROR(__xludf.DUMMYFUNCTION("IFERROR(REGEXEXTRACT('Manual Data Import'!B896, ""^(.*)\s+[A-Z]{2,4}\s+\(\d+\)$""),'Manual Data Import'!B896) &amp; CHAR(10) &amp; 
IFERROR(REGEXREPLACE('Manual Data Import'!C896, ""\d+$"", """")) &amp;"" - ""&amp; 
IFERROR(REGEXEXTRACT('Manual Data Import'!B896, ""([A-Z"&amp;"]{2,4})\s+\(\d+\)$"")) &amp; "" (""&amp; 
IFERROR(REGEXEXTRACT('Manual Data Import'!B896, ""\((\d+)\)"")) &amp; "")"""),"
 -  ()")</f>
        <v>
 -  ()</v>
      </c>
      <c r="B896" s="30" t="str">
        <f>IFERROR(IF(COUNTIF('Draft Board'!$C$3:$V$24,A896)+COUNTIF(Keepers!$B$2:$U$21,A896)+COUNTIF('Auction Draft Board'!$C$6:$AP$25,A896)&gt;0,"",A896),"")</f>
        <v/>
      </c>
    </row>
    <row r="897">
      <c r="A897" t="str">
        <f>IFERROR(__xludf.DUMMYFUNCTION("IFERROR(REGEXEXTRACT('Manual Data Import'!B897, ""^(.*)\s+[A-Z]{2,4}\s+\(\d+\)$""),'Manual Data Import'!B897) &amp; CHAR(10) &amp; 
IFERROR(REGEXREPLACE('Manual Data Import'!C897, ""\d+$"", """")) &amp;"" - ""&amp; 
IFERROR(REGEXEXTRACT('Manual Data Import'!B897, ""([A-Z"&amp;"]{2,4})\s+\(\d+\)$"")) &amp; "" (""&amp; 
IFERROR(REGEXEXTRACT('Manual Data Import'!B897, ""\((\d+)\)"")) &amp; "")"""),"
 -  ()")</f>
        <v>
 -  ()</v>
      </c>
      <c r="B897" s="30" t="str">
        <f>IFERROR(IF(COUNTIF('Draft Board'!$C$3:$V$24,A897)+COUNTIF(Keepers!$B$2:$U$21,A897)+COUNTIF('Auction Draft Board'!$C$6:$AP$25,A897)&gt;0,"",A897),"")</f>
        <v/>
      </c>
    </row>
    <row r="898">
      <c r="A898" t="str">
        <f>IFERROR(__xludf.DUMMYFUNCTION("IFERROR(REGEXEXTRACT('Manual Data Import'!B898, ""^(.*)\s+[A-Z]{2,4}\s+\(\d+\)$""),'Manual Data Import'!B898) &amp; CHAR(10) &amp; 
IFERROR(REGEXREPLACE('Manual Data Import'!C898, ""\d+$"", """")) &amp;"" - ""&amp; 
IFERROR(REGEXEXTRACT('Manual Data Import'!B898, ""([A-Z"&amp;"]{2,4})\s+\(\d+\)$"")) &amp; "" (""&amp; 
IFERROR(REGEXEXTRACT('Manual Data Import'!B898, ""\((\d+)\)"")) &amp; "")"""),"
 -  ()")</f>
        <v>
 -  ()</v>
      </c>
      <c r="B898" s="30" t="str">
        <f>IFERROR(IF(COUNTIF('Draft Board'!$C$3:$V$24,A898)+COUNTIF(Keepers!$B$2:$U$21,A898)+COUNTIF('Auction Draft Board'!$C$6:$AP$25,A898)&gt;0,"",A898),"")</f>
        <v/>
      </c>
    </row>
    <row r="899">
      <c r="A899" t="str">
        <f>IFERROR(__xludf.DUMMYFUNCTION("IFERROR(REGEXEXTRACT('Manual Data Import'!B899, ""^(.*)\s+[A-Z]{2,4}\s+\(\d+\)$""),'Manual Data Import'!B899) &amp; CHAR(10) &amp; 
IFERROR(REGEXREPLACE('Manual Data Import'!C899, ""\d+$"", """")) &amp;"" - ""&amp; 
IFERROR(REGEXEXTRACT('Manual Data Import'!B899, ""([A-Z"&amp;"]{2,4})\s+\(\d+\)$"")) &amp; "" (""&amp; 
IFERROR(REGEXEXTRACT('Manual Data Import'!B899, ""\((\d+)\)"")) &amp; "")"""),"
 -  ()")</f>
        <v>
 -  ()</v>
      </c>
      <c r="B899" s="30" t="str">
        <f>IFERROR(IF(COUNTIF('Draft Board'!$C$3:$V$24,A899)+COUNTIF(Keepers!$B$2:$U$21,A899)+COUNTIF('Auction Draft Board'!$C$6:$AP$25,A899)&gt;0,"",A899),"")</f>
        <v/>
      </c>
    </row>
    <row r="900">
      <c r="A900" t="str">
        <f>IFERROR(__xludf.DUMMYFUNCTION("IFERROR(REGEXEXTRACT('Manual Data Import'!B900, ""^(.*)\s+[A-Z]{2,4}\s+\(\d+\)$""),'Manual Data Import'!B900) &amp; CHAR(10) &amp; 
IFERROR(REGEXREPLACE('Manual Data Import'!C900, ""\d+$"", """")) &amp;"" - ""&amp; 
IFERROR(REGEXEXTRACT('Manual Data Import'!B900, ""([A-Z"&amp;"]{2,4})\s+\(\d+\)$"")) &amp; "" (""&amp; 
IFERROR(REGEXEXTRACT('Manual Data Import'!B900, ""\((\d+)\)"")) &amp; "")"""),"
 -  ()")</f>
        <v>
 -  ()</v>
      </c>
      <c r="B900" s="30" t="str">
        <f>IFERROR(IF(COUNTIF('Draft Board'!$C$3:$V$24,A900)+COUNTIF(Keepers!$B$2:$U$21,A900)+COUNTIF('Auction Draft Board'!$C$6:$AP$25,A900)&gt;0,"",A900),"")</f>
        <v/>
      </c>
    </row>
    <row r="901">
      <c r="A901" t="str">
        <f>IFERROR(__xludf.DUMMYFUNCTION("IFERROR(REGEXEXTRACT('Manual Data Import'!B901, ""^(.*)\s+[A-Z]{2,4}\s+\(\d+\)$""),'Manual Data Import'!B901) &amp; CHAR(10) &amp; 
IFERROR(REGEXREPLACE('Manual Data Import'!C901, ""\d+$"", """")) &amp;"" - ""&amp; 
IFERROR(REGEXEXTRACT('Manual Data Import'!B901, ""([A-Z"&amp;"]{2,4})\s+\(\d+\)$"")) &amp; "" (""&amp; 
IFERROR(REGEXEXTRACT('Manual Data Import'!B901, ""\((\d+)\)"")) &amp; "")"""),"
 -  ()")</f>
        <v>
 -  ()</v>
      </c>
      <c r="B901" s="30" t="str">
        <f>IFERROR(IF(COUNTIF('Draft Board'!$C$3:$V$24,A901)+COUNTIF(Keepers!$B$2:$U$21,A901)+COUNTIF('Auction Draft Board'!$C$6:$AP$25,A901)&gt;0,"",A901),"")</f>
        <v/>
      </c>
    </row>
    <row r="902">
      <c r="A902" t="str">
        <f>IFERROR(__xludf.DUMMYFUNCTION("IFERROR(REGEXEXTRACT('Manual Data Import'!B902, ""^(.*)\s+[A-Z]{2,4}\s+\(\d+\)$""),'Manual Data Import'!B902) &amp; CHAR(10) &amp; 
IFERROR(REGEXREPLACE('Manual Data Import'!C902, ""\d+$"", """")) &amp;"" - ""&amp; 
IFERROR(REGEXEXTRACT('Manual Data Import'!B902, ""([A-Z"&amp;"]{2,4})\s+\(\d+\)$"")) &amp; "" (""&amp; 
IFERROR(REGEXEXTRACT('Manual Data Import'!B902, ""\((\d+)\)"")) &amp; "")"""),"
 -  ()")</f>
        <v>
 -  ()</v>
      </c>
      <c r="B902" s="30" t="str">
        <f>IFERROR(IF(COUNTIF('Draft Board'!$C$3:$V$24,A902)+COUNTIF(Keepers!$B$2:$U$21,A902)+COUNTIF('Auction Draft Board'!$C$6:$AP$25,A902)&gt;0,"",A902),"")</f>
        <v/>
      </c>
    </row>
    <row r="903">
      <c r="A903" t="str">
        <f>IFERROR(__xludf.DUMMYFUNCTION("IFERROR(REGEXEXTRACT('Manual Data Import'!B903, ""^(.*)\s+[A-Z]{2,4}\s+\(\d+\)$""),'Manual Data Import'!B903) &amp; CHAR(10) &amp; 
IFERROR(REGEXREPLACE('Manual Data Import'!C903, ""\d+$"", """")) &amp;"" - ""&amp; 
IFERROR(REGEXEXTRACT('Manual Data Import'!B903, ""([A-Z"&amp;"]{2,4})\s+\(\d+\)$"")) &amp; "" (""&amp; 
IFERROR(REGEXEXTRACT('Manual Data Import'!B903, ""\((\d+)\)"")) &amp; "")"""),"
 -  ()")</f>
        <v>
 -  ()</v>
      </c>
      <c r="B903" s="30" t="str">
        <f>IFERROR(IF(COUNTIF('Draft Board'!$C$3:$V$24,A903)+COUNTIF(Keepers!$B$2:$U$21,A903)+COUNTIF('Auction Draft Board'!$C$6:$AP$25,A903)&gt;0,"",A903),"")</f>
        <v/>
      </c>
    </row>
    <row r="904">
      <c r="A904" t="str">
        <f>IFERROR(__xludf.DUMMYFUNCTION("IFERROR(REGEXEXTRACT('Manual Data Import'!B904, ""^(.*)\s+[A-Z]{2,4}\s+\(\d+\)$""),'Manual Data Import'!B904) &amp; CHAR(10) &amp; 
IFERROR(REGEXREPLACE('Manual Data Import'!C904, ""\d+$"", """")) &amp;"" - ""&amp; 
IFERROR(REGEXEXTRACT('Manual Data Import'!B904, ""([A-Z"&amp;"]{2,4})\s+\(\d+\)$"")) &amp; "" (""&amp; 
IFERROR(REGEXEXTRACT('Manual Data Import'!B904, ""\((\d+)\)"")) &amp; "")"""),"
 -  ()")</f>
        <v>
 -  ()</v>
      </c>
      <c r="B904" s="30" t="str">
        <f>IFERROR(IF(COUNTIF('Draft Board'!$C$3:$V$24,A904)+COUNTIF(Keepers!$B$2:$U$21,A904)+COUNTIF('Auction Draft Board'!$C$6:$AP$25,A904)&gt;0,"",A904),"")</f>
        <v/>
      </c>
    </row>
    <row r="905">
      <c r="A905" t="str">
        <f>IFERROR(__xludf.DUMMYFUNCTION("IFERROR(REGEXEXTRACT('Manual Data Import'!B905, ""^(.*)\s+[A-Z]{2,4}\s+\(\d+\)$""),'Manual Data Import'!B905) &amp; CHAR(10) &amp; 
IFERROR(REGEXREPLACE('Manual Data Import'!C905, ""\d+$"", """")) &amp;"" - ""&amp; 
IFERROR(REGEXEXTRACT('Manual Data Import'!B905, ""([A-Z"&amp;"]{2,4})\s+\(\d+\)$"")) &amp; "" (""&amp; 
IFERROR(REGEXEXTRACT('Manual Data Import'!B905, ""\((\d+)\)"")) &amp; "")"""),"
 -  ()")</f>
        <v>
 -  ()</v>
      </c>
      <c r="B905" s="30" t="str">
        <f>IFERROR(IF(COUNTIF('Draft Board'!$C$3:$V$24,A905)+COUNTIF(Keepers!$B$2:$U$21,A905)+COUNTIF('Auction Draft Board'!$C$6:$AP$25,A905)&gt;0,"",A905),"")</f>
        <v/>
      </c>
    </row>
    <row r="906">
      <c r="A906" t="str">
        <f>IFERROR(__xludf.DUMMYFUNCTION("IFERROR(REGEXEXTRACT('Manual Data Import'!B906, ""^(.*)\s+[A-Z]{2,4}\s+\(\d+\)$""),'Manual Data Import'!B906) &amp; CHAR(10) &amp; 
IFERROR(REGEXREPLACE('Manual Data Import'!C906, ""\d+$"", """")) &amp;"" - ""&amp; 
IFERROR(REGEXEXTRACT('Manual Data Import'!B906, ""([A-Z"&amp;"]{2,4})\s+\(\d+\)$"")) &amp; "" (""&amp; 
IFERROR(REGEXEXTRACT('Manual Data Import'!B906, ""\((\d+)\)"")) &amp; "")"""),"
 -  ()")</f>
        <v>
 -  ()</v>
      </c>
      <c r="B906" s="30" t="str">
        <f>IFERROR(IF(COUNTIF('Draft Board'!$C$3:$V$24,A906)+COUNTIF(Keepers!$B$2:$U$21,A906)+COUNTIF('Auction Draft Board'!$C$6:$AP$25,A906)&gt;0,"",A906),"")</f>
        <v/>
      </c>
    </row>
    <row r="907">
      <c r="A907" t="str">
        <f>IFERROR(__xludf.DUMMYFUNCTION("IFERROR(REGEXEXTRACT('Manual Data Import'!B907, ""^(.*)\s+[A-Z]{2,4}\s+\(\d+\)$""),'Manual Data Import'!B907) &amp; CHAR(10) &amp; 
IFERROR(REGEXREPLACE('Manual Data Import'!C907, ""\d+$"", """")) &amp;"" - ""&amp; 
IFERROR(REGEXEXTRACT('Manual Data Import'!B907, ""([A-Z"&amp;"]{2,4})\s+\(\d+\)$"")) &amp; "" (""&amp; 
IFERROR(REGEXEXTRACT('Manual Data Import'!B907, ""\((\d+)\)"")) &amp; "")"""),"
 -  ()")</f>
        <v>
 -  ()</v>
      </c>
      <c r="B907" s="30" t="str">
        <f>IFERROR(IF(COUNTIF('Draft Board'!$C$3:$V$24,A907)+COUNTIF(Keepers!$B$2:$U$21,A907)+COUNTIF('Auction Draft Board'!$C$6:$AP$25,A907)&gt;0,"",A907),"")</f>
        <v/>
      </c>
    </row>
    <row r="908">
      <c r="A908" t="str">
        <f>IFERROR(__xludf.DUMMYFUNCTION("IFERROR(REGEXEXTRACT('Manual Data Import'!B908, ""^(.*)\s+[A-Z]{2,4}\s+\(\d+\)$""),'Manual Data Import'!B908) &amp; CHAR(10) &amp; 
IFERROR(REGEXREPLACE('Manual Data Import'!C908, ""\d+$"", """")) &amp;"" - ""&amp; 
IFERROR(REGEXEXTRACT('Manual Data Import'!B908, ""([A-Z"&amp;"]{2,4})\s+\(\d+\)$"")) &amp; "" (""&amp; 
IFERROR(REGEXEXTRACT('Manual Data Import'!B908, ""\((\d+)\)"")) &amp; "")"""),"
 -  ()")</f>
        <v>
 -  ()</v>
      </c>
      <c r="B908" s="30" t="str">
        <f>IFERROR(IF(COUNTIF('Draft Board'!$C$3:$V$24,A908)+COUNTIF(Keepers!$B$2:$U$21,A908)+COUNTIF('Auction Draft Board'!$C$6:$AP$25,A908)&gt;0,"",A908),"")</f>
        <v/>
      </c>
    </row>
    <row r="909">
      <c r="A909" t="str">
        <f>IFERROR(__xludf.DUMMYFUNCTION("IFERROR(REGEXEXTRACT('Manual Data Import'!B909, ""^(.*)\s+[A-Z]{2,4}\s+\(\d+\)$""),'Manual Data Import'!B909) &amp; CHAR(10) &amp; 
IFERROR(REGEXREPLACE('Manual Data Import'!C909, ""\d+$"", """")) &amp;"" - ""&amp; 
IFERROR(REGEXEXTRACT('Manual Data Import'!B909, ""([A-Z"&amp;"]{2,4})\s+\(\d+\)$"")) &amp; "" (""&amp; 
IFERROR(REGEXEXTRACT('Manual Data Import'!B909, ""\((\d+)\)"")) &amp; "")"""),"
 -  ()")</f>
        <v>
 -  ()</v>
      </c>
      <c r="B909" s="30" t="str">
        <f>IFERROR(IF(COUNTIF('Draft Board'!$C$3:$V$24,A909)+COUNTIF(Keepers!$B$2:$U$21,A909)+COUNTIF('Auction Draft Board'!$C$6:$AP$25,A909)&gt;0,"",A909),"")</f>
        <v/>
      </c>
    </row>
    <row r="910">
      <c r="A910" t="str">
        <f>IFERROR(__xludf.DUMMYFUNCTION("IFERROR(REGEXEXTRACT('Manual Data Import'!B910, ""^(.*)\s+[A-Z]{2,4}\s+\(\d+\)$""),'Manual Data Import'!B910) &amp; CHAR(10) &amp; 
IFERROR(REGEXREPLACE('Manual Data Import'!C910, ""\d+$"", """")) &amp;"" - ""&amp; 
IFERROR(REGEXEXTRACT('Manual Data Import'!B910, ""([A-Z"&amp;"]{2,4})\s+\(\d+\)$"")) &amp; "" (""&amp; 
IFERROR(REGEXEXTRACT('Manual Data Import'!B910, ""\((\d+)\)"")) &amp; "")"""),"
 -  ()")</f>
        <v>
 -  ()</v>
      </c>
      <c r="B910" s="30" t="str">
        <f>IFERROR(IF(COUNTIF('Draft Board'!$C$3:$V$24,A910)+COUNTIF(Keepers!$B$2:$U$21,A910)+COUNTIF('Auction Draft Board'!$C$6:$AP$25,A910)&gt;0,"",A910),"")</f>
        <v/>
      </c>
    </row>
    <row r="911">
      <c r="A911" t="str">
        <f>IFERROR(__xludf.DUMMYFUNCTION("IFERROR(REGEXEXTRACT('Manual Data Import'!B911, ""^(.*)\s+[A-Z]{2,4}\s+\(\d+\)$""),'Manual Data Import'!B911) &amp; CHAR(10) &amp; 
IFERROR(REGEXREPLACE('Manual Data Import'!C911, ""\d+$"", """")) &amp;"" - ""&amp; 
IFERROR(REGEXEXTRACT('Manual Data Import'!B911, ""([A-Z"&amp;"]{2,4})\s+\(\d+\)$"")) &amp; "" (""&amp; 
IFERROR(REGEXEXTRACT('Manual Data Import'!B911, ""\((\d+)\)"")) &amp; "")"""),"
 -  ()")</f>
        <v>
 -  ()</v>
      </c>
      <c r="B911" s="30" t="str">
        <f>IFERROR(IF(COUNTIF('Draft Board'!$C$3:$V$24,A911)+COUNTIF(Keepers!$B$2:$U$21,A911)+COUNTIF('Auction Draft Board'!$C$6:$AP$25,A911)&gt;0,"",A911),"")</f>
        <v/>
      </c>
    </row>
    <row r="912">
      <c r="A912" t="str">
        <f>IFERROR(__xludf.DUMMYFUNCTION("IFERROR(REGEXEXTRACT('Manual Data Import'!B912, ""^(.*)\s+[A-Z]{2,4}\s+\(\d+\)$""),'Manual Data Import'!B912) &amp; CHAR(10) &amp; 
IFERROR(REGEXREPLACE('Manual Data Import'!C912, ""\d+$"", """")) &amp;"" - ""&amp; 
IFERROR(REGEXEXTRACT('Manual Data Import'!B912, ""([A-Z"&amp;"]{2,4})\s+\(\d+\)$"")) &amp; "" (""&amp; 
IFERROR(REGEXEXTRACT('Manual Data Import'!B912, ""\((\d+)\)"")) &amp; "")"""),"
 -  ()")</f>
        <v>
 -  ()</v>
      </c>
      <c r="B912" s="30" t="str">
        <f>IFERROR(IF(COUNTIF('Draft Board'!$C$3:$V$24,A912)+COUNTIF(Keepers!$B$2:$U$21,A912)+COUNTIF('Auction Draft Board'!$C$6:$AP$25,A912)&gt;0,"",A912),"")</f>
        <v/>
      </c>
    </row>
    <row r="913">
      <c r="A913" t="str">
        <f>IFERROR(__xludf.DUMMYFUNCTION("IFERROR(REGEXEXTRACT('Manual Data Import'!B913, ""^(.*)\s+[A-Z]{2,4}\s+\(\d+\)$""),'Manual Data Import'!B913) &amp; CHAR(10) &amp; 
IFERROR(REGEXREPLACE('Manual Data Import'!C913, ""\d+$"", """")) &amp;"" - ""&amp; 
IFERROR(REGEXEXTRACT('Manual Data Import'!B913, ""([A-Z"&amp;"]{2,4})\s+\(\d+\)$"")) &amp; "" (""&amp; 
IFERROR(REGEXEXTRACT('Manual Data Import'!B913, ""\((\d+)\)"")) &amp; "")"""),"
 -  ()")</f>
        <v>
 -  ()</v>
      </c>
      <c r="B913" s="30" t="str">
        <f>IFERROR(IF(COUNTIF('Draft Board'!$C$3:$V$24,A913)+COUNTIF(Keepers!$B$2:$U$21,A913)+COUNTIF('Auction Draft Board'!$C$6:$AP$25,A913)&gt;0,"",A913),"")</f>
        <v/>
      </c>
    </row>
    <row r="914">
      <c r="A914" t="str">
        <f>IFERROR(__xludf.DUMMYFUNCTION("IFERROR(REGEXEXTRACT('Manual Data Import'!B914, ""^(.*)\s+[A-Z]{2,4}\s+\(\d+\)$""),'Manual Data Import'!B914) &amp; CHAR(10) &amp; 
IFERROR(REGEXREPLACE('Manual Data Import'!C914, ""\d+$"", """")) &amp;"" - ""&amp; 
IFERROR(REGEXEXTRACT('Manual Data Import'!B914, ""([A-Z"&amp;"]{2,4})\s+\(\d+\)$"")) &amp; "" (""&amp; 
IFERROR(REGEXEXTRACT('Manual Data Import'!B914, ""\((\d+)\)"")) &amp; "")"""),"
 -  ()")</f>
        <v>
 -  ()</v>
      </c>
      <c r="B914" s="30" t="str">
        <f>IFERROR(IF(COUNTIF('Draft Board'!$C$3:$V$24,A914)+COUNTIF(Keepers!$B$2:$U$21,A914)+COUNTIF('Auction Draft Board'!$C$6:$AP$25,A914)&gt;0,"",A914),"")</f>
        <v/>
      </c>
    </row>
    <row r="915">
      <c r="A915" t="str">
        <f>IFERROR(__xludf.DUMMYFUNCTION("IFERROR(REGEXEXTRACT('Manual Data Import'!B915, ""^(.*)\s+[A-Z]{2,4}\s+\(\d+\)$""),'Manual Data Import'!B915) &amp; CHAR(10) &amp; 
IFERROR(REGEXREPLACE('Manual Data Import'!C915, ""\d+$"", """")) &amp;"" - ""&amp; 
IFERROR(REGEXEXTRACT('Manual Data Import'!B915, ""([A-Z"&amp;"]{2,4})\s+\(\d+\)$"")) &amp; "" (""&amp; 
IFERROR(REGEXEXTRACT('Manual Data Import'!B915, ""\((\d+)\)"")) &amp; "")"""),"
 -  ()")</f>
        <v>
 -  ()</v>
      </c>
      <c r="B915" s="30" t="str">
        <f>IFERROR(IF(COUNTIF('Draft Board'!$C$3:$V$24,A915)+COUNTIF(Keepers!$B$2:$U$21,A915)+COUNTIF('Auction Draft Board'!$C$6:$AP$25,A915)&gt;0,"",A915),"")</f>
        <v/>
      </c>
    </row>
    <row r="916">
      <c r="A916" t="str">
        <f>IFERROR(__xludf.DUMMYFUNCTION("IFERROR(REGEXEXTRACT('Manual Data Import'!B916, ""^(.*)\s+[A-Z]{2,4}\s+\(\d+\)$""),'Manual Data Import'!B916) &amp; CHAR(10) &amp; 
IFERROR(REGEXREPLACE('Manual Data Import'!C916, ""\d+$"", """")) &amp;"" - ""&amp; 
IFERROR(REGEXEXTRACT('Manual Data Import'!B916, ""([A-Z"&amp;"]{2,4})\s+\(\d+\)$"")) &amp; "" (""&amp; 
IFERROR(REGEXEXTRACT('Manual Data Import'!B916, ""\((\d+)\)"")) &amp; "")"""),"
 -  ()")</f>
        <v>
 -  ()</v>
      </c>
      <c r="B916" s="30" t="str">
        <f>IFERROR(IF(COUNTIF('Draft Board'!$C$3:$V$24,A916)+COUNTIF(Keepers!$B$2:$U$21,A916)+COUNTIF('Auction Draft Board'!$C$6:$AP$25,A916)&gt;0,"",A916),"")</f>
        <v/>
      </c>
    </row>
    <row r="917">
      <c r="A917" t="str">
        <f>IFERROR(__xludf.DUMMYFUNCTION("IFERROR(REGEXEXTRACT('Manual Data Import'!B917, ""^(.*)\s+[A-Z]{2,4}\s+\(\d+\)$""),'Manual Data Import'!B917) &amp; CHAR(10) &amp; 
IFERROR(REGEXREPLACE('Manual Data Import'!C917, ""\d+$"", """")) &amp;"" - ""&amp; 
IFERROR(REGEXEXTRACT('Manual Data Import'!B917, ""([A-Z"&amp;"]{2,4})\s+\(\d+\)$"")) &amp; "" (""&amp; 
IFERROR(REGEXEXTRACT('Manual Data Import'!B917, ""\((\d+)\)"")) &amp; "")"""),"
 -  ()")</f>
        <v>
 -  ()</v>
      </c>
      <c r="B917" s="30" t="str">
        <f>IFERROR(IF(COUNTIF('Draft Board'!$C$3:$V$24,A917)+COUNTIF(Keepers!$B$2:$U$21,A917)+COUNTIF('Auction Draft Board'!$C$6:$AP$25,A917)&gt;0,"",A917),"")</f>
        <v/>
      </c>
    </row>
    <row r="918">
      <c r="A918" t="str">
        <f>IFERROR(__xludf.DUMMYFUNCTION("IFERROR(REGEXEXTRACT('Manual Data Import'!B918, ""^(.*)\s+[A-Z]{2,4}\s+\(\d+\)$""),'Manual Data Import'!B918) &amp; CHAR(10) &amp; 
IFERROR(REGEXREPLACE('Manual Data Import'!C918, ""\d+$"", """")) &amp;"" - ""&amp; 
IFERROR(REGEXEXTRACT('Manual Data Import'!B918, ""([A-Z"&amp;"]{2,4})\s+\(\d+\)$"")) &amp; "" (""&amp; 
IFERROR(REGEXEXTRACT('Manual Data Import'!B918, ""\((\d+)\)"")) &amp; "")"""),"
 -  ()")</f>
        <v>
 -  ()</v>
      </c>
      <c r="B918" s="30" t="str">
        <f>IFERROR(IF(COUNTIF('Draft Board'!$C$3:$V$24,A918)+COUNTIF(Keepers!$B$2:$U$21,A918)+COUNTIF('Auction Draft Board'!$C$6:$AP$25,A918)&gt;0,"",A918),"")</f>
        <v/>
      </c>
    </row>
    <row r="919">
      <c r="A919" t="str">
        <f>IFERROR(__xludf.DUMMYFUNCTION("IFERROR(REGEXEXTRACT('Manual Data Import'!B919, ""^(.*)\s+[A-Z]{2,4}\s+\(\d+\)$""),'Manual Data Import'!B919) &amp; CHAR(10) &amp; 
IFERROR(REGEXREPLACE('Manual Data Import'!C919, ""\d+$"", """")) &amp;"" - ""&amp; 
IFERROR(REGEXEXTRACT('Manual Data Import'!B919, ""([A-Z"&amp;"]{2,4})\s+\(\d+\)$"")) &amp; "" (""&amp; 
IFERROR(REGEXEXTRACT('Manual Data Import'!B919, ""\((\d+)\)"")) &amp; "")"""),"
 -  ()")</f>
        <v>
 -  ()</v>
      </c>
      <c r="B919" s="30" t="str">
        <f>IFERROR(IF(COUNTIF('Draft Board'!$C$3:$V$24,A919)+COUNTIF(Keepers!$B$2:$U$21,A919)+COUNTIF('Auction Draft Board'!$C$6:$AP$25,A919)&gt;0,"",A919),"")</f>
        <v/>
      </c>
    </row>
    <row r="920">
      <c r="A920" t="str">
        <f>IFERROR(__xludf.DUMMYFUNCTION("IFERROR(REGEXEXTRACT('Manual Data Import'!B920, ""^(.*)\s+[A-Z]{2,4}\s+\(\d+\)$""),'Manual Data Import'!B920) &amp; CHAR(10) &amp; 
IFERROR(REGEXREPLACE('Manual Data Import'!C920, ""\d+$"", """")) &amp;"" - ""&amp; 
IFERROR(REGEXEXTRACT('Manual Data Import'!B920, ""([A-Z"&amp;"]{2,4})\s+\(\d+\)$"")) &amp; "" (""&amp; 
IFERROR(REGEXEXTRACT('Manual Data Import'!B920, ""\((\d+)\)"")) &amp; "")"""),"
 -  ()")</f>
        <v>
 -  ()</v>
      </c>
      <c r="B920" s="30" t="str">
        <f>IFERROR(IF(COUNTIF('Draft Board'!$C$3:$V$24,A920)+COUNTIF(Keepers!$B$2:$U$21,A920)+COUNTIF('Auction Draft Board'!$C$6:$AP$25,A920)&gt;0,"",A920),"")</f>
        <v/>
      </c>
    </row>
    <row r="921">
      <c r="A921" t="str">
        <f>IFERROR(__xludf.DUMMYFUNCTION("IFERROR(REGEXEXTRACT('Manual Data Import'!B921, ""^(.*)\s+[A-Z]{2,4}\s+\(\d+\)$""),'Manual Data Import'!B921) &amp; CHAR(10) &amp; 
IFERROR(REGEXREPLACE('Manual Data Import'!C921, ""\d+$"", """")) &amp;"" - ""&amp; 
IFERROR(REGEXEXTRACT('Manual Data Import'!B921, ""([A-Z"&amp;"]{2,4})\s+\(\d+\)$"")) &amp; "" (""&amp; 
IFERROR(REGEXEXTRACT('Manual Data Import'!B921, ""\((\d+)\)"")) &amp; "")"""),"
 -  ()")</f>
        <v>
 -  ()</v>
      </c>
      <c r="B921" s="30" t="str">
        <f>IFERROR(IF(COUNTIF('Draft Board'!$C$3:$V$24,A921)+COUNTIF(Keepers!$B$2:$U$21,A921)+COUNTIF('Auction Draft Board'!$C$6:$AP$25,A921)&gt;0,"",A921),"")</f>
        <v/>
      </c>
    </row>
    <row r="922">
      <c r="A922" t="str">
        <f>IFERROR(__xludf.DUMMYFUNCTION("IFERROR(REGEXEXTRACT('Manual Data Import'!B922, ""^(.*)\s+[A-Z]{2,4}\s+\(\d+\)$""),'Manual Data Import'!B922) &amp; CHAR(10) &amp; 
IFERROR(REGEXREPLACE('Manual Data Import'!C922, ""\d+$"", """")) &amp;"" - ""&amp; 
IFERROR(REGEXEXTRACT('Manual Data Import'!B922, ""([A-Z"&amp;"]{2,4})\s+\(\d+\)$"")) &amp; "" (""&amp; 
IFERROR(REGEXEXTRACT('Manual Data Import'!B922, ""\((\d+)\)"")) &amp; "")"""),"
 -  ()")</f>
        <v>
 -  ()</v>
      </c>
      <c r="B922" s="30" t="str">
        <f>IFERROR(IF(COUNTIF('Draft Board'!$C$3:$V$24,A922)+COUNTIF(Keepers!$B$2:$U$21,A922)+COUNTIF('Auction Draft Board'!$C$6:$AP$25,A922)&gt;0,"",A922),"")</f>
        <v/>
      </c>
    </row>
    <row r="923">
      <c r="A923" t="str">
        <f>IFERROR(__xludf.DUMMYFUNCTION("IFERROR(REGEXEXTRACT('Manual Data Import'!B923, ""^(.*)\s+[A-Z]{2,4}\s+\(\d+\)$""),'Manual Data Import'!B923) &amp; CHAR(10) &amp; 
IFERROR(REGEXREPLACE('Manual Data Import'!C923, ""\d+$"", """")) &amp;"" - ""&amp; 
IFERROR(REGEXEXTRACT('Manual Data Import'!B923, ""([A-Z"&amp;"]{2,4})\s+\(\d+\)$"")) &amp; "" (""&amp; 
IFERROR(REGEXEXTRACT('Manual Data Import'!B923, ""\((\d+)\)"")) &amp; "")"""),"
 -  ()")</f>
        <v>
 -  ()</v>
      </c>
      <c r="B923" s="30" t="str">
        <f>IFERROR(IF(COUNTIF('Draft Board'!$C$3:$V$24,A923)+COUNTIF(Keepers!$B$2:$U$21,A923)+COUNTIF('Auction Draft Board'!$C$6:$AP$25,A923)&gt;0,"",A923),"")</f>
        <v/>
      </c>
    </row>
    <row r="924">
      <c r="A924" t="str">
        <f>IFERROR(__xludf.DUMMYFUNCTION("IFERROR(REGEXEXTRACT('Manual Data Import'!B924, ""^(.*)\s+[A-Z]{2,4}\s+\(\d+\)$""),'Manual Data Import'!B924) &amp; CHAR(10) &amp; 
IFERROR(REGEXREPLACE('Manual Data Import'!C924, ""\d+$"", """")) &amp;"" - ""&amp; 
IFERROR(REGEXEXTRACT('Manual Data Import'!B924, ""([A-Z"&amp;"]{2,4})\s+\(\d+\)$"")) &amp; "" (""&amp; 
IFERROR(REGEXEXTRACT('Manual Data Import'!B924, ""\((\d+)\)"")) &amp; "")"""),"
 -  ()")</f>
        <v>
 -  ()</v>
      </c>
      <c r="B924" s="30" t="str">
        <f>IFERROR(IF(COUNTIF('Draft Board'!$C$3:$V$24,A924)+COUNTIF(Keepers!$B$2:$U$21,A924)+COUNTIF('Auction Draft Board'!$C$6:$AP$25,A924)&gt;0,"",A924),"")</f>
        <v/>
      </c>
    </row>
    <row r="925">
      <c r="A925" t="str">
        <f>IFERROR(__xludf.DUMMYFUNCTION("IFERROR(REGEXEXTRACT('Manual Data Import'!B925, ""^(.*)\s+[A-Z]{2,4}\s+\(\d+\)$""),'Manual Data Import'!B925) &amp; CHAR(10) &amp; 
IFERROR(REGEXREPLACE('Manual Data Import'!C925, ""\d+$"", """")) &amp;"" - ""&amp; 
IFERROR(REGEXEXTRACT('Manual Data Import'!B925, ""([A-Z"&amp;"]{2,4})\s+\(\d+\)$"")) &amp; "" (""&amp; 
IFERROR(REGEXEXTRACT('Manual Data Import'!B925, ""\((\d+)\)"")) &amp; "")"""),"
 -  ()")</f>
        <v>
 -  ()</v>
      </c>
      <c r="B925" s="30" t="str">
        <f>IFERROR(IF(COUNTIF('Draft Board'!$C$3:$V$24,A925)+COUNTIF(Keepers!$B$2:$U$21,A925)+COUNTIF('Auction Draft Board'!$C$6:$AP$25,A925)&gt;0,"",A925),"")</f>
        <v/>
      </c>
    </row>
    <row r="926">
      <c r="A926" t="str">
        <f>IFERROR(__xludf.DUMMYFUNCTION("IFERROR(REGEXEXTRACT('Manual Data Import'!B926, ""^(.*)\s+[A-Z]{2,4}\s+\(\d+\)$""),'Manual Data Import'!B926) &amp; CHAR(10) &amp; 
IFERROR(REGEXREPLACE('Manual Data Import'!C926, ""\d+$"", """")) &amp;"" - ""&amp; 
IFERROR(REGEXEXTRACT('Manual Data Import'!B926, ""([A-Z"&amp;"]{2,4})\s+\(\d+\)$"")) &amp; "" (""&amp; 
IFERROR(REGEXEXTRACT('Manual Data Import'!B926, ""\((\d+)\)"")) &amp; "")"""),"
 -  ()")</f>
        <v>
 -  ()</v>
      </c>
      <c r="B926" s="30" t="str">
        <f>IFERROR(IF(COUNTIF('Draft Board'!$C$3:$V$24,A926)+COUNTIF(Keepers!$B$2:$U$21,A926)+COUNTIF('Auction Draft Board'!$C$6:$AP$25,A926)&gt;0,"",A926),"")</f>
        <v/>
      </c>
    </row>
    <row r="927">
      <c r="A927" t="str">
        <f>IFERROR(__xludf.DUMMYFUNCTION("IFERROR(REGEXEXTRACT('Manual Data Import'!B927, ""^(.*)\s+[A-Z]{2,4}\s+\(\d+\)$""),'Manual Data Import'!B927) &amp; CHAR(10) &amp; 
IFERROR(REGEXREPLACE('Manual Data Import'!C927, ""\d+$"", """")) &amp;"" - ""&amp; 
IFERROR(REGEXEXTRACT('Manual Data Import'!B927, ""([A-Z"&amp;"]{2,4})\s+\(\d+\)$"")) &amp; "" (""&amp; 
IFERROR(REGEXEXTRACT('Manual Data Import'!B927, ""\((\d+)\)"")) &amp; "")"""),"
 -  ()")</f>
        <v>
 -  ()</v>
      </c>
      <c r="B927" s="30" t="str">
        <f>IFERROR(IF(COUNTIF('Draft Board'!$C$3:$V$24,A927)+COUNTIF(Keepers!$B$2:$U$21,A927)+COUNTIF('Auction Draft Board'!$C$6:$AP$25,A927)&gt;0,"",A927),"")</f>
        <v/>
      </c>
    </row>
    <row r="928">
      <c r="A928" t="str">
        <f>IFERROR(__xludf.DUMMYFUNCTION("IFERROR(REGEXEXTRACT('Manual Data Import'!B928, ""^(.*)\s+[A-Z]{2,4}\s+\(\d+\)$""),'Manual Data Import'!B928) &amp; CHAR(10) &amp; 
IFERROR(REGEXREPLACE('Manual Data Import'!C928, ""\d+$"", """")) &amp;"" - ""&amp; 
IFERROR(REGEXEXTRACT('Manual Data Import'!B928, ""([A-Z"&amp;"]{2,4})\s+\(\d+\)$"")) &amp; "" (""&amp; 
IFERROR(REGEXEXTRACT('Manual Data Import'!B928, ""\((\d+)\)"")) &amp; "")"""),"
 -  ()")</f>
        <v>
 -  ()</v>
      </c>
      <c r="B928" s="30" t="str">
        <f>IFERROR(IF(COUNTIF('Draft Board'!$C$3:$V$24,A928)+COUNTIF(Keepers!$B$2:$U$21,A928)+COUNTIF('Auction Draft Board'!$C$6:$AP$25,A928)&gt;0,"",A928),"")</f>
        <v/>
      </c>
    </row>
    <row r="929">
      <c r="A929" t="str">
        <f>IFERROR(__xludf.DUMMYFUNCTION("IFERROR(REGEXEXTRACT('Manual Data Import'!B929, ""^(.*)\s+[A-Z]{2,4}\s+\(\d+\)$""),'Manual Data Import'!B929) &amp; CHAR(10) &amp; 
IFERROR(REGEXREPLACE('Manual Data Import'!C929, ""\d+$"", """")) &amp;"" - ""&amp; 
IFERROR(REGEXEXTRACT('Manual Data Import'!B929, ""([A-Z"&amp;"]{2,4})\s+\(\d+\)$"")) &amp; "" (""&amp; 
IFERROR(REGEXEXTRACT('Manual Data Import'!B929, ""\((\d+)\)"")) &amp; "")"""),"
 -  ()")</f>
        <v>
 -  ()</v>
      </c>
      <c r="B929" s="30" t="str">
        <f>IFERROR(IF(COUNTIF('Draft Board'!$C$3:$V$24,A929)+COUNTIF(Keepers!$B$2:$U$21,A929)+COUNTIF('Auction Draft Board'!$C$6:$AP$25,A929)&gt;0,"",A929),"")</f>
        <v/>
      </c>
    </row>
    <row r="930">
      <c r="A930" t="str">
        <f>IFERROR(__xludf.DUMMYFUNCTION("IFERROR(REGEXEXTRACT('Manual Data Import'!B930, ""^(.*)\s+[A-Z]{2,4}\s+\(\d+\)$""),'Manual Data Import'!B930) &amp; CHAR(10) &amp; 
IFERROR(REGEXREPLACE('Manual Data Import'!C930, ""\d+$"", """")) &amp;"" - ""&amp; 
IFERROR(REGEXEXTRACT('Manual Data Import'!B930, ""([A-Z"&amp;"]{2,4})\s+\(\d+\)$"")) &amp; "" (""&amp; 
IFERROR(REGEXEXTRACT('Manual Data Import'!B930, ""\((\d+)\)"")) &amp; "")"""),"
 -  ()")</f>
        <v>
 -  ()</v>
      </c>
      <c r="B930" s="30" t="str">
        <f>IFERROR(IF(COUNTIF('Draft Board'!$C$3:$V$24,A930)+COUNTIF(Keepers!$B$2:$U$21,A930)+COUNTIF('Auction Draft Board'!$C$6:$AP$25,A930)&gt;0,"",A930),"")</f>
        <v/>
      </c>
    </row>
    <row r="931">
      <c r="A931" t="str">
        <f>IFERROR(__xludf.DUMMYFUNCTION("IFERROR(REGEXEXTRACT('Manual Data Import'!B931, ""^(.*)\s+[A-Z]{2,4}\s+\(\d+\)$""),'Manual Data Import'!B931) &amp; CHAR(10) &amp; 
IFERROR(REGEXREPLACE('Manual Data Import'!C931, ""\d+$"", """")) &amp;"" - ""&amp; 
IFERROR(REGEXEXTRACT('Manual Data Import'!B931, ""([A-Z"&amp;"]{2,4})\s+\(\d+\)$"")) &amp; "" (""&amp; 
IFERROR(REGEXEXTRACT('Manual Data Import'!B931, ""\((\d+)\)"")) &amp; "")"""),"
 -  ()")</f>
        <v>
 -  ()</v>
      </c>
      <c r="B931" s="30" t="str">
        <f>IFERROR(IF(COUNTIF('Draft Board'!$C$3:$V$24,A931)+COUNTIF(Keepers!$B$2:$U$21,A931)+COUNTIF('Auction Draft Board'!$C$6:$AP$25,A931)&gt;0,"",A931),"")</f>
        <v/>
      </c>
    </row>
    <row r="932">
      <c r="A932" t="str">
        <f>IFERROR(__xludf.DUMMYFUNCTION("IFERROR(REGEXEXTRACT('Manual Data Import'!B932, ""^(.*)\s+[A-Z]{2,4}\s+\(\d+\)$""),'Manual Data Import'!B932) &amp; CHAR(10) &amp; 
IFERROR(REGEXREPLACE('Manual Data Import'!C932, ""\d+$"", """")) &amp;"" - ""&amp; 
IFERROR(REGEXEXTRACT('Manual Data Import'!B932, ""([A-Z"&amp;"]{2,4})\s+\(\d+\)$"")) &amp; "" (""&amp; 
IFERROR(REGEXEXTRACT('Manual Data Import'!B932, ""\((\d+)\)"")) &amp; "")"""),"
 -  ()")</f>
        <v>
 -  ()</v>
      </c>
      <c r="B932" s="30" t="str">
        <f>IFERROR(IF(COUNTIF('Draft Board'!$C$3:$V$24,A932)+COUNTIF(Keepers!$B$2:$U$21,A932)+COUNTIF('Auction Draft Board'!$C$6:$AP$25,A932)&gt;0,"",A932),"")</f>
        <v/>
      </c>
    </row>
    <row r="933">
      <c r="A933" t="str">
        <f>IFERROR(__xludf.DUMMYFUNCTION("IFERROR(REGEXEXTRACT('Manual Data Import'!B933, ""^(.*)\s+[A-Z]{2,4}\s+\(\d+\)$""),'Manual Data Import'!B933) &amp; CHAR(10) &amp; 
IFERROR(REGEXREPLACE('Manual Data Import'!C933, ""\d+$"", """")) &amp;"" - ""&amp; 
IFERROR(REGEXEXTRACT('Manual Data Import'!B933, ""([A-Z"&amp;"]{2,4})\s+\(\d+\)$"")) &amp; "" (""&amp; 
IFERROR(REGEXEXTRACT('Manual Data Import'!B933, ""\((\d+)\)"")) &amp; "")"""),"
 -  ()")</f>
        <v>
 -  ()</v>
      </c>
      <c r="B933" s="30" t="str">
        <f>IFERROR(IF(COUNTIF('Draft Board'!$C$3:$V$24,A933)+COUNTIF(Keepers!$B$2:$U$21,A933)+COUNTIF('Auction Draft Board'!$C$6:$AP$25,A933)&gt;0,"",A933),"")</f>
        <v/>
      </c>
    </row>
    <row r="934">
      <c r="A934" t="str">
        <f>IFERROR(__xludf.DUMMYFUNCTION("IFERROR(REGEXEXTRACT('Manual Data Import'!B934, ""^(.*)\s+[A-Z]{2,4}\s+\(\d+\)$""),'Manual Data Import'!B934) &amp; CHAR(10) &amp; 
IFERROR(REGEXREPLACE('Manual Data Import'!C934, ""\d+$"", """")) &amp;"" - ""&amp; 
IFERROR(REGEXEXTRACT('Manual Data Import'!B934, ""([A-Z"&amp;"]{2,4})\s+\(\d+\)$"")) &amp; "" (""&amp; 
IFERROR(REGEXEXTRACT('Manual Data Import'!B934, ""\((\d+)\)"")) &amp; "")"""),"
 -  ()")</f>
        <v>
 -  ()</v>
      </c>
      <c r="B934" s="30" t="str">
        <f>IFERROR(IF(COUNTIF('Draft Board'!$C$3:$V$24,A934)+COUNTIF(Keepers!$B$2:$U$21,A934)+COUNTIF('Auction Draft Board'!$C$6:$AP$25,A934)&gt;0,"",A934),"")</f>
        <v/>
      </c>
    </row>
    <row r="935">
      <c r="A935" t="str">
        <f>IFERROR(__xludf.DUMMYFUNCTION("IFERROR(REGEXEXTRACT('Manual Data Import'!B935, ""^(.*)\s+[A-Z]{2,4}\s+\(\d+\)$""),'Manual Data Import'!B935) &amp; CHAR(10) &amp; 
IFERROR(REGEXREPLACE('Manual Data Import'!C935, ""\d+$"", """")) &amp;"" - ""&amp; 
IFERROR(REGEXEXTRACT('Manual Data Import'!B935, ""([A-Z"&amp;"]{2,4})\s+\(\d+\)$"")) &amp; "" (""&amp; 
IFERROR(REGEXEXTRACT('Manual Data Import'!B935, ""\((\d+)\)"")) &amp; "")"""),"
 -  ()")</f>
        <v>
 -  ()</v>
      </c>
      <c r="B935" s="30" t="str">
        <f>IFERROR(IF(COUNTIF('Draft Board'!$C$3:$V$24,A935)+COUNTIF(Keepers!$B$2:$U$21,A935)+COUNTIF('Auction Draft Board'!$C$6:$AP$25,A935)&gt;0,"",A935),"")</f>
        <v/>
      </c>
    </row>
    <row r="936">
      <c r="A936" t="str">
        <f>IFERROR(__xludf.DUMMYFUNCTION("IFERROR(REGEXEXTRACT('Manual Data Import'!B936, ""^(.*)\s+[A-Z]{2,4}\s+\(\d+\)$""),'Manual Data Import'!B936) &amp; CHAR(10) &amp; 
IFERROR(REGEXREPLACE('Manual Data Import'!C936, ""\d+$"", """")) &amp;"" - ""&amp; 
IFERROR(REGEXEXTRACT('Manual Data Import'!B936, ""([A-Z"&amp;"]{2,4})\s+\(\d+\)$"")) &amp; "" (""&amp; 
IFERROR(REGEXEXTRACT('Manual Data Import'!B936, ""\((\d+)\)"")) &amp; "")"""),"
 -  ()")</f>
        <v>
 -  ()</v>
      </c>
      <c r="B936" s="30" t="str">
        <f>IFERROR(IF(COUNTIF('Draft Board'!$C$3:$V$24,A936)+COUNTIF(Keepers!$B$2:$U$21,A936)+COUNTIF('Auction Draft Board'!$C$6:$AP$25,A936)&gt;0,"",A936),"")</f>
        <v/>
      </c>
    </row>
    <row r="937">
      <c r="A937" t="str">
        <f>IFERROR(__xludf.DUMMYFUNCTION("IFERROR(REGEXEXTRACT('Manual Data Import'!B937, ""^(.*)\s+[A-Z]{2,4}\s+\(\d+\)$""),'Manual Data Import'!B937) &amp; CHAR(10) &amp; 
IFERROR(REGEXREPLACE('Manual Data Import'!C937, ""\d+$"", """")) &amp;"" - ""&amp; 
IFERROR(REGEXEXTRACT('Manual Data Import'!B937, ""([A-Z"&amp;"]{2,4})\s+\(\d+\)$"")) &amp; "" (""&amp; 
IFERROR(REGEXEXTRACT('Manual Data Import'!B937, ""\((\d+)\)"")) &amp; "")"""),"
 -  ()")</f>
        <v>
 -  ()</v>
      </c>
      <c r="B937" s="30" t="str">
        <f>IFERROR(IF(COUNTIF('Draft Board'!$C$3:$V$24,A937)+COUNTIF(Keepers!$B$2:$U$21,A937)+COUNTIF('Auction Draft Board'!$C$6:$AP$25,A937)&gt;0,"",A937),"")</f>
        <v/>
      </c>
    </row>
    <row r="938">
      <c r="A938" t="str">
        <f>IFERROR(__xludf.DUMMYFUNCTION("IFERROR(REGEXEXTRACT('Manual Data Import'!B938, ""^(.*)\s+[A-Z]{2,4}\s+\(\d+\)$""),'Manual Data Import'!B938) &amp; CHAR(10) &amp; 
IFERROR(REGEXREPLACE('Manual Data Import'!C938, ""\d+$"", """")) &amp;"" - ""&amp; 
IFERROR(REGEXEXTRACT('Manual Data Import'!B938, ""([A-Z"&amp;"]{2,4})\s+\(\d+\)$"")) &amp; "" (""&amp; 
IFERROR(REGEXEXTRACT('Manual Data Import'!B938, ""\((\d+)\)"")) &amp; "")"""),"
 -  ()")</f>
        <v>
 -  ()</v>
      </c>
      <c r="B938" s="30" t="str">
        <f>IFERROR(IF(COUNTIF('Draft Board'!$C$3:$V$24,A938)+COUNTIF(Keepers!$B$2:$U$21,A938)+COUNTIF('Auction Draft Board'!$C$6:$AP$25,A938)&gt;0,"",A938),"")</f>
        <v/>
      </c>
    </row>
    <row r="939">
      <c r="A939" t="str">
        <f>IFERROR(__xludf.DUMMYFUNCTION("IFERROR(REGEXEXTRACT('Manual Data Import'!B939, ""^(.*)\s+[A-Z]{2,4}\s+\(\d+\)$""),'Manual Data Import'!B939) &amp; CHAR(10) &amp; 
IFERROR(REGEXREPLACE('Manual Data Import'!C939, ""\d+$"", """")) &amp;"" - ""&amp; 
IFERROR(REGEXEXTRACT('Manual Data Import'!B939, ""([A-Z"&amp;"]{2,4})\s+\(\d+\)$"")) &amp; "" (""&amp; 
IFERROR(REGEXEXTRACT('Manual Data Import'!B939, ""\((\d+)\)"")) &amp; "")"""),"
 -  ()")</f>
        <v>
 -  ()</v>
      </c>
      <c r="B939" s="30" t="str">
        <f>IFERROR(IF(COUNTIF('Draft Board'!$C$3:$V$24,A939)+COUNTIF(Keepers!$B$2:$U$21,A939)+COUNTIF('Auction Draft Board'!$C$6:$AP$25,A939)&gt;0,"",A939),"")</f>
        <v/>
      </c>
    </row>
    <row r="940">
      <c r="A940" t="str">
        <f>IFERROR(__xludf.DUMMYFUNCTION("IFERROR(REGEXEXTRACT('Manual Data Import'!B940, ""^(.*)\s+[A-Z]{2,4}\s+\(\d+\)$""),'Manual Data Import'!B940) &amp; CHAR(10) &amp; 
IFERROR(REGEXREPLACE('Manual Data Import'!C940, ""\d+$"", """")) &amp;"" - ""&amp; 
IFERROR(REGEXEXTRACT('Manual Data Import'!B940, ""([A-Z"&amp;"]{2,4})\s+\(\d+\)$"")) &amp; "" (""&amp; 
IFERROR(REGEXEXTRACT('Manual Data Import'!B940, ""\((\d+)\)"")) &amp; "")"""),"
 -  ()")</f>
        <v>
 -  ()</v>
      </c>
      <c r="B940" s="30" t="str">
        <f>IFERROR(IF(COUNTIF('Draft Board'!$C$3:$V$24,A940)+COUNTIF(Keepers!$B$2:$U$21,A940)+COUNTIF('Auction Draft Board'!$C$6:$AP$25,A940)&gt;0,"",A940),"")</f>
        <v/>
      </c>
    </row>
    <row r="941">
      <c r="A941" t="str">
        <f>IFERROR(__xludf.DUMMYFUNCTION("IFERROR(REGEXEXTRACT('Manual Data Import'!B941, ""^(.*)\s+[A-Z]{2,4}\s+\(\d+\)$""),'Manual Data Import'!B941) &amp; CHAR(10) &amp; 
IFERROR(REGEXREPLACE('Manual Data Import'!C941, ""\d+$"", """")) &amp;"" - ""&amp; 
IFERROR(REGEXEXTRACT('Manual Data Import'!B941, ""([A-Z"&amp;"]{2,4})\s+\(\d+\)$"")) &amp; "" (""&amp; 
IFERROR(REGEXEXTRACT('Manual Data Import'!B941, ""\((\d+)\)"")) &amp; "")"""),"
 -  ()")</f>
        <v>
 -  ()</v>
      </c>
      <c r="B941" s="30" t="str">
        <f>IFERROR(IF(COUNTIF('Draft Board'!$C$3:$V$24,A941)+COUNTIF(Keepers!$B$2:$U$21,A941)+COUNTIF('Auction Draft Board'!$C$6:$AP$25,A941)&gt;0,"",A941),"")</f>
        <v/>
      </c>
    </row>
    <row r="942">
      <c r="A942" t="str">
        <f>IFERROR(__xludf.DUMMYFUNCTION("IFERROR(REGEXEXTRACT('Manual Data Import'!B942, ""^(.*)\s+[A-Z]{2,4}\s+\(\d+\)$""),'Manual Data Import'!B942) &amp; CHAR(10) &amp; 
IFERROR(REGEXREPLACE('Manual Data Import'!C942, ""\d+$"", """")) &amp;"" - ""&amp; 
IFERROR(REGEXEXTRACT('Manual Data Import'!B942, ""([A-Z"&amp;"]{2,4})\s+\(\d+\)$"")) &amp; "" (""&amp; 
IFERROR(REGEXEXTRACT('Manual Data Import'!B942, ""\((\d+)\)"")) &amp; "")"""),"
 -  ()")</f>
        <v>
 -  ()</v>
      </c>
      <c r="B942" s="30" t="str">
        <f>IFERROR(IF(COUNTIF('Draft Board'!$C$3:$V$24,A942)+COUNTIF(Keepers!$B$2:$U$21,A942)+COUNTIF('Auction Draft Board'!$C$6:$AP$25,A942)&gt;0,"",A942),"")</f>
        <v/>
      </c>
    </row>
    <row r="943">
      <c r="A943" t="str">
        <f>IFERROR(__xludf.DUMMYFUNCTION("IFERROR(REGEXEXTRACT('Manual Data Import'!B943, ""^(.*)\s+[A-Z]{2,4}\s+\(\d+\)$""),'Manual Data Import'!B943) &amp; CHAR(10) &amp; 
IFERROR(REGEXREPLACE('Manual Data Import'!C943, ""\d+$"", """")) &amp;"" - ""&amp; 
IFERROR(REGEXEXTRACT('Manual Data Import'!B943, ""([A-Z"&amp;"]{2,4})\s+\(\d+\)$"")) &amp; "" (""&amp; 
IFERROR(REGEXEXTRACT('Manual Data Import'!B943, ""\((\d+)\)"")) &amp; "")"""),"
 -  ()")</f>
        <v>
 -  ()</v>
      </c>
      <c r="B943" s="30" t="str">
        <f>IFERROR(IF(COUNTIF('Draft Board'!$C$3:$V$24,A943)+COUNTIF(Keepers!$B$2:$U$21,A943)+COUNTIF('Auction Draft Board'!$C$6:$AP$25,A943)&gt;0,"",A943),"")</f>
        <v/>
      </c>
    </row>
    <row r="944">
      <c r="A944" t="str">
        <f>IFERROR(__xludf.DUMMYFUNCTION("IFERROR(REGEXEXTRACT('Manual Data Import'!B944, ""^(.*)\s+[A-Z]{2,4}\s+\(\d+\)$""),'Manual Data Import'!B944) &amp; CHAR(10) &amp; 
IFERROR(REGEXREPLACE('Manual Data Import'!C944, ""\d+$"", """")) &amp;"" - ""&amp; 
IFERROR(REGEXEXTRACT('Manual Data Import'!B944, ""([A-Z"&amp;"]{2,4})\s+\(\d+\)$"")) &amp; "" (""&amp; 
IFERROR(REGEXEXTRACT('Manual Data Import'!B944, ""\((\d+)\)"")) &amp; "")"""),"
 -  ()")</f>
        <v>
 -  ()</v>
      </c>
      <c r="B944" s="30" t="str">
        <f>IFERROR(IF(COUNTIF('Draft Board'!$C$3:$V$24,A944)+COUNTIF(Keepers!$B$2:$U$21,A944)+COUNTIF('Auction Draft Board'!$C$6:$AP$25,A944)&gt;0,"",A944),"")</f>
        <v/>
      </c>
    </row>
    <row r="945">
      <c r="A945" t="str">
        <f>IFERROR(__xludf.DUMMYFUNCTION("IFERROR(REGEXEXTRACT('Manual Data Import'!B945, ""^(.*)\s+[A-Z]{2,4}\s+\(\d+\)$""),'Manual Data Import'!B945) &amp; CHAR(10) &amp; 
IFERROR(REGEXREPLACE('Manual Data Import'!C945, ""\d+$"", """")) &amp;"" - ""&amp; 
IFERROR(REGEXEXTRACT('Manual Data Import'!B945, ""([A-Z"&amp;"]{2,4})\s+\(\d+\)$"")) &amp; "" (""&amp; 
IFERROR(REGEXEXTRACT('Manual Data Import'!B945, ""\((\d+)\)"")) &amp; "")"""),"
 -  ()")</f>
        <v>
 -  ()</v>
      </c>
      <c r="B945" s="30" t="str">
        <f>IFERROR(IF(COUNTIF('Draft Board'!$C$3:$V$24,A945)+COUNTIF(Keepers!$B$2:$U$21,A945)+COUNTIF('Auction Draft Board'!$C$6:$AP$25,A945)&gt;0,"",A945),"")</f>
        <v/>
      </c>
    </row>
    <row r="946">
      <c r="A946" t="str">
        <f>IFERROR(__xludf.DUMMYFUNCTION("IFERROR(REGEXEXTRACT('Manual Data Import'!B946, ""^(.*)\s+[A-Z]{2,4}\s+\(\d+\)$""),'Manual Data Import'!B946) &amp; CHAR(10) &amp; 
IFERROR(REGEXREPLACE('Manual Data Import'!C946, ""\d+$"", """")) &amp;"" - ""&amp; 
IFERROR(REGEXEXTRACT('Manual Data Import'!B946, ""([A-Z"&amp;"]{2,4})\s+\(\d+\)$"")) &amp; "" (""&amp; 
IFERROR(REGEXEXTRACT('Manual Data Import'!B946, ""\((\d+)\)"")) &amp; "")"""),"
 -  ()")</f>
        <v>
 -  ()</v>
      </c>
      <c r="B946" s="30" t="str">
        <f>IFERROR(IF(COUNTIF('Draft Board'!$C$3:$V$24,A946)+COUNTIF(Keepers!$B$2:$U$21,A946)+COUNTIF('Auction Draft Board'!$C$6:$AP$25,A946)&gt;0,"",A946),"")</f>
        <v/>
      </c>
    </row>
    <row r="947">
      <c r="A947" t="str">
        <f>IFERROR(__xludf.DUMMYFUNCTION("IFERROR(REGEXEXTRACT('Manual Data Import'!B947, ""^(.*)\s+[A-Z]{2,4}\s+\(\d+\)$""),'Manual Data Import'!B947) &amp; CHAR(10) &amp; 
IFERROR(REGEXREPLACE('Manual Data Import'!C947, ""\d+$"", """")) &amp;"" - ""&amp; 
IFERROR(REGEXEXTRACT('Manual Data Import'!B947, ""([A-Z"&amp;"]{2,4})\s+\(\d+\)$"")) &amp; "" (""&amp; 
IFERROR(REGEXEXTRACT('Manual Data Import'!B947, ""\((\d+)\)"")) &amp; "")"""),"
 -  ()")</f>
        <v>
 -  ()</v>
      </c>
      <c r="B947" s="30" t="str">
        <f>IFERROR(IF(COUNTIF('Draft Board'!$C$3:$V$24,A947)+COUNTIF(Keepers!$B$2:$U$21,A947)+COUNTIF('Auction Draft Board'!$C$6:$AP$25,A947)&gt;0,"",A947),"")</f>
        <v/>
      </c>
    </row>
    <row r="948">
      <c r="A948" t="str">
        <f>IFERROR(__xludf.DUMMYFUNCTION("IFERROR(REGEXEXTRACT('Manual Data Import'!B948, ""^(.*)\s+[A-Z]{2,4}\s+\(\d+\)$""),'Manual Data Import'!B948) &amp; CHAR(10) &amp; 
IFERROR(REGEXREPLACE('Manual Data Import'!C948, ""\d+$"", """")) &amp;"" - ""&amp; 
IFERROR(REGEXEXTRACT('Manual Data Import'!B948, ""([A-Z"&amp;"]{2,4})\s+\(\d+\)$"")) &amp; "" (""&amp; 
IFERROR(REGEXEXTRACT('Manual Data Import'!B948, ""\((\d+)\)"")) &amp; "")"""),"
 -  ()")</f>
        <v>
 -  ()</v>
      </c>
      <c r="B948" s="30" t="str">
        <f>IFERROR(IF(COUNTIF('Draft Board'!$C$3:$V$24,A948)+COUNTIF(Keepers!$B$2:$U$21,A948)+COUNTIF('Auction Draft Board'!$C$6:$AP$25,A948)&gt;0,"",A948),"")</f>
        <v/>
      </c>
    </row>
    <row r="949">
      <c r="A949" t="str">
        <f>IFERROR(__xludf.DUMMYFUNCTION("IFERROR(REGEXEXTRACT('Manual Data Import'!B949, ""^(.*)\s+[A-Z]{2,4}\s+\(\d+\)$""),'Manual Data Import'!B949) &amp; CHAR(10) &amp; 
IFERROR(REGEXREPLACE('Manual Data Import'!C949, ""\d+$"", """")) &amp;"" - ""&amp; 
IFERROR(REGEXEXTRACT('Manual Data Import'!B949, ""([A-Z"&amp;"]{2,4})\s+\(\d+\)$"")) &amp; "" (""&amp; 
IFERROR(REGEXEXTRACT('Manual Data Import'!B949, ""\((\d+)\)"")) &amp; "")"""),"
 -  ()")</f>
        <v>
 -  ()</v>
      </c>
      <c r="B949" s="30" t="str">
        <f>IFERROR(IF(COUNTIF('Draft Board'!$C$3:$V$24,A949)+COUNTIF(Keepers!$B$2:$U$21,A949)+COUNTIF('Auction Draft Board'!$C$6:$AP$25,A949)&gt;0,"",A949),"")</f>
        <v/>
      </c>
    </row>
    <row r="950">
      <c r="A950" t="str">
        <f>IFERROR(__xludf.DUMMYFUNCTION("IFERROR(REGEXEXTRACT('Manual Data Import'!B950, ""^(.*)\s+[A-Z]{2,4}\s+\(\d+\)$""),'Manual Data Import'!B950) &amp; CHAR(10) &amp; 
IFERROR(REGEXREPLACE('Manual Data Import'!C950, ""\d+$"", """")) &amp;"" - ""&amp; 
IFERROR(REGEXEXTRACT('Manual Data Import'!B950, ""([A-Z"&amp;"]{2,4})\s+\(\d+\)$"")) &amp; "" (""&amp; 
IFERROR(REGEXEXTRACT('Manual Data Import'!B950, ""\((\d+)\)"")) &amp; "")"""),"
 -  ()")</f>
        <v>
 -  ()</v>
      </c>
      <c r="B950" s="30" t="str">
        <f>IFERROR(IF(COUNTIF('Draft Board'!$C$3:$V$24,A950)+COUNTIF(Keepers!$B$2:$U$21,A950)+COUNTIF('Auction Draft Board'!$C$6:$AP$25,A950)&gt;0,"",A950),"")</f>
        <v/>
      </c>
    </row>
    <row r="951">
      <c r="A951" t="str">
        <f>IFERROR(__xludf.DUMMYFUNCTION("IFERROR(REGEXEXTRACT('Manual Data Import'!B951, ""^(.*)\s+[A-Z]{2,4}\s+\(\d+\)$""),'Manual Data Import'!B951) &amp; CHAR(10) &amp; 
IFERROR(REGEXREPLACE('Manual Data Import'!C951, ""\d+$"", """")) &amp;"" - ""&amp; 
IFERROR(REGEXEXTRACT('Manual Data Import'!B951, ""([A-Z"&amp;"]{2,4})\s+\(\d+\)$"")) &amp; "" (""&amp; 
IFERROR(REGEXEXTRACT('Manual Data Import'!B951, ""\((\d+)\)"")) &amp; "")"""),"
 -  ()")</f>
        <v>
 -  ()</v>
      </c>
      <c r="B951" s="30" t="str">
        <f>IFERROR(IF(COUNTIF('Draft Board'!$C$3:$V$24,A951)+COUNTIF(Keepers!$B$2:$U$21,A951)+COUNTIF('Auction Draft Board'!$C$6:$AP$25,A951)&gt;0,"",A951),"")</f>
        <v/>
      </c>
    </row>
    <row r="952">
      <c r="A952" t="str">
        <f>IFERROR(__xludf.DUMMYFUNCTION("IFERROR(REGEXEXTRACT('Manual Data Import'!B952, ""^(.*)\s+[A-Z]{2,4}\s+\(\d+\)$""),'Manual Data Import'!B952) &amp; CHAR(10) &amp; 
IFERROR(REGEXREPLACE('Manual Data Import'!C952, ""\d+$"", """")) &amp;"" - ""&amp; 
IFERROR(REGEXEXTRACT('Manual Data Import'!B952, ""([A-Z"&amp;"]{2,4})\s+\(\d+\)$"")) &amp; "" (""&amp; 
IFERROR(REGEXEXTRACT('Manual Data Import'!B952, ""\((\d+)\)"")) &amp; "")"""),"
 -  ()")</f>
        <v>
 -  ()</v>
      </c>
      <c r="B952" s="30" t="str">
        <f>IFERROR(IF(COUNTIF('Draft Board'!$C$3:$V$24,A952)+COUNTIF(Keepers!$B$2:$U$21,A952)+COUNTIF('Auction Draft Board'!$C$6:$AP$25,A952)&gt;0,"",A952),"")</f>
        <v/>
      </c>
    </row>
    <row r="953">
      <c r="A953" t="str">
        <f>IFERROR(__xludf.DUMMYFUNCTION("IFERROR(REGEXEXTRACT('Manual Data Import'!B953, ""^(.*)\s+[A-Z]{2,4}\s+\(\d+\)$""),'Manual Data Import'!B953) &amp; CHAR(10) &amp; 
IFERROR(REGEXREPLACE('Manual Data Import'!C953, ""\d+$"", """")) &amp;"" - ""&amp; 
IFERROR(REGEXEXTRACT('Manual Data Import'!B953, ""([A-Z"&amp;"]{2,4})\s+\(\d+\)$"")) &amp; "" (""&amp; 
IFERROR(REGEXEXTRACT('Manual Data Import'!B953, ""\((\d+)\)"")) &amp; "")"""),"
 -  ()")</f>
        <v>
 -  ()</v>
      </c>
      <c r="B953" s="30" t="str">
        <f>IFERROR(IF(COUNTIF('Draft Board'!$C$3:$V$24,A953)+COUNTIF(Keepers!$B$2:$U$21,A953)+COUNTIF('Auction Draft Board'!$C$6:$AP$25,A953)&gt;0,"",A953),"")</f>
        <v/>
      </c>
    </row>
    <row r="954">
      <c r="A954" t="str">
        <f>IFERROR(__xludf.DUMMYFUNCTION("IFERROR(REGEXEXTRACT('Manual Data Import'!B954, ""^(.*)\s+[A-Z]{2,4}\s+\(\d+\)$""),'Manual Data Import'!B954) &amp; CHAR(10) &amp; 
IFERROR(REGEXREPLACE('Manual Data Import'!C954, ""\d+$"", """")) &amp;"" - ""&amp; 
IFERROR(REGEXEXTRACT('Manual Data Import'!B954, ""([A-Z"&amp;"]{2,4})\s+\(\d+\)$"")) &amp; "" (""&amp; 
IFERROR(REGEXEXTRACT('Manual Data Import'!B954, ""\((\d+)\)"")) &amp; "")"""),"
 -  ()")</f>
        <v>
 -  ()</v>
      </c>
      <c r="B954" s="30" t="str">
        <f>IFERROR(IF(COUNTIF('Draft Board'!$C$3:$V$24,A954)+COUNTIF(Keepers!$B$2:$U$21,A954)+COUNTIF('Auction Draft Board'!$C$6:$AP$25,A954)&gt;0,"",A954),"")</f>
        <v/>
      </c>
    </row>
    <row r="955">
      <c r="A955" t="str">
        <f>IFERROR(__xludf.DUMMYFUNCTION("IFERROR(REGEXEXTRACT('Manual Data Import'!B955, ""^(.*)\s+[A-Z]{2,4}\s+\(\d+\)$""),'Manual Data Import'!B955) &amp; CHAR(10) &amp; 
IFERROR(REGEXREPLACE('Manual Data Import'!C955, ""\d+$"", """")) &amp;"" - ""&amp; 
IFERROR(REGEXEXTRACT('Manual Data Import'!B955, ""([A-Z"&amp;"]{2,4})\s+\(\d+\)$"")) &amp; "" (""&amp; 
IFERROR(REGEXEXTRACT('Manual Data Import'!B955, ""\((\d+)\)"")) &amp; "")"""),"
 -  ()")</f>
        <v>
 -  ()</v>
      </c>
      <c r="B955" s="30" t="str">
        <f>IFERROR(IF(COUNTIF('Draft Board'!$C$3:$V$24,A955)+COUNTIF(Keepers!$B$2:$U$21,A955)+COUNTIF('Auction Draft Board'!$C$6:$AP$25,A955)&gt;0,"",A955),"")</f>
        <v/>
      </c>
    </row>
    <row r="956">
      <c r="A956" t="str">
        <f>IFERROR(__xludf.DUMMYFUNCTION("IFERROR(REGEXEXTRACT('Manual Data Import'!B956, ""^(.*)\s+[A-Z]{2,4}\s+\(\d+\)$""),'Manual Data Import'!B956) &amp; CHAR(10) &amp; 
IFERROR(REGEXREPLACE('Manual Data Import'!C956, ""\d+$"", """")) &amp;"" - ""&amp; 
IFERROR(REGEXEXTRACT('Manual Data Import'!B956, ""([A-Z"&amp;"]{2,4})\s+\(\d+\)$"")) &amp; "" (""&amp; 
IFERROR(REGEXEXTRACT('Manual Data Import'!B956, ""\((\d+)\)"")) &amp; "")"""),"
 -  ()")</f>
        <v>
 -  ()</v>
      </c>
      <c r="B956" s="30" t="str">
        <f>IFERROR(IF(COUNTIF('Draft Board'!$C$3:$V$24,A956)+COUNTIF(Keepers!$B$2:$U$21,A956)+COUNTIF('Auction Draft Board'!$C$6:$AP$25,A956)&gt;0,"",A956),"")</f>
        <v/>
      </c>
    </row>
    <row r="957">
      <c r="A957" t="str">
        <f>IFERROR(__xludf.DUMMYFUNCTION("IFERROR(REGEXEXTRACT('Manual Data Import'!B957, ""^(.*)\s+[A-Z]{2,4}\s+\(\d+\)$""),'Manual Data Import'!B957) &amp; CHAR(10) &amp; 
IFERROR(REGEXREPLACE('Manual Data Import'!C957, ""\d+$"", """")) &amp;"" - ""&amp; 
IFERROR(REGEXEXTRACT('Manual Data Import'!B957, ""([A-Z"&amp;"]{2,4})\s+\(\d+\)$"")) &amp; "" (""&amp; 
IFERROR(REGEXEXTRACT('Manual Data Import'!B957, ""\((\d+)\)"")) &amp; "")"""),"
 -  ()")</f>
        <v>
 -  ()</v>
      </c>
      <c r="B957" s="30" t="str">
        <f>IFERROR(IF(COUNTIF('Draft Board'!$C$3:$V$24,A957)+COUNTIF(Keepers!$B$2:$U$21,A957)+COUNTIF('Auction Draft Board'!$C$6:$AP$25,A957)&gt;0,"",A957),"")</f>
        <v/>
      </c>
    </row>
    <row r="958">
      <c r="A958" t="str">
        <f>IFERROR(__xludf.DUMMYFUNCTION("IFERROR(REGEXEXTRACT('Manual Data Import'!B958, ""^(.*)\s+[A-Z]{2,4}\s+\(\d+\)$""),'Manual Data Import'!B958) &amp; CHAR(10) &amp; 
IFERROR(REGEXREPLACE('Manual Data Import'!C958, ""\d+$"", """")) &amp;"" - ""&amp; 
IFERROR(REGEXEXTRACT('Manual Data Import'!B958, ""([A-Z"&amp;"]{2,4})\s+\(\d+\)$"")) &amp; "" (""&amp; 
IFERROR(REGEXEXTRACT('Manual Data Import'!B958, ""\((\d+)\)"")) &amp; "")"""),"
 -  ()")</f>
        <v>
 -  ()</v>
      </c>
      <c r="B958" s="30" t="str">
        <f>IFERROR(IF(COUNTIF('Draft Board'!$C$3:$V$24,A958)+COUNTIF(Keepers!$B$2:$U$21,A958)+COUNTIF('Auction Draft Board'!$C$6:$AP$25,A958)&gt;0,"",A958),"")</f>
        <v/>
      </c>
    </row>
    <row r="959">
      <c r="A959" t="str">
        <f>IFERROR(__xludf.DUMMYFUNCTION("IFERROR(REGEXEXTRACT('Manual Data Import'!B959, ""^(.*)\s+[A-Z]{2,4}\s+\(\d+\)$""),'Manual Data Import'!B959) &amp; CHAR(10) &amp; 
IFERROR(REGEXREPLACE('Manual Data Import'!C959, ""\d+$"", """")) &amp;"" - ""&amp; 
IFERROR(REGEXEXTRACT('Manual Data Import'!B959, ""([A-Z"&amp;"]{2,4})\s+\(\d+\)$"")) &amp; "" (""&amp; 
IFERROR(REGEXEXTRACT('Manual Data Import'!B959, ""\((\d+)\)"")) &amp; "")"""),"
 -  ()")</f>
        <v>
 -  ()</v>
      </c>
      <c r="B959" s="30" t="str">
        <f>IFERROR(IF(COUNTIF('Draft Board'!$C$3:$V$24,A959)+COUNTIF(Keepers!$B$2:$U$21,A959)+COUNTIF('Auction Draft Board'!$C$6:$AP$25,A959)&gt;0,"",A959),"")</f>
        <v/>
      </c>
    </row>
    <row r="960">
      <c r="A960" t="str">
        <f>IFERROR(__xludf.DUMMYFUNCTION("IFERROR(REGEXEXTRACT('Manual Data Import'!B960, ""^(.*)\s+[A-Z]{2,4}\s+\(\d+\)$""),'Manual Data Import'!B960) &amp; CHAR(10) &amp; 
IFERROR(REGEXREPLACE('Manual Data Import'!C960, ""\d+$"", """")) &amp;"" - ""&amp; 
IFERROR(REGEXEXTRACT('Manual Data Import'!B960, ""([A-Z"&amp;"]{2,4})\s+\(\d+\)$"")) &amp; "" (""&amp; 
IFERROR(REGEXEXTRACT('Manual Data Import'!B960, ""\((\d+)\)"")) &amp; "")"""),"
 -  ()")</f>
        <v>
 -  ()</v>
      </c>
      <c r="B960" s="30" t="str">
        <f>IFERROR(IF(COUNTIF('Draft Board'!$C$3:$V$24,A960)+COUNTIF(Keepers!$B$2:$U$21,A960)+COUNTIF('Auction Draft Board'!$C$6:$AP$25,A960)&gt;0,"",A960),"")</f>
        <v/>
      </c>
    </row>
    <row r="961">
      <c r="A961" t="str">
        <f>IFERROR(__xludf.DUMMYFUNCTION("IFERROR(REGEXEXTRACT('Manual Data Import'!B961, ""^(.*)\s+[A-Z]{2,4}\s+\(\d+\)$""),'Manual Data Import'!B961) &amp; CHAR(10) &amp; 
IFERROR(REGEXREPLACE('Manual Data Import'!C961, ""\d+$"", """")) &amp;"" - ""&amp; 
IFERROR(REGEXEXTRACT('Manual Data Import'!B961, ""([A-Z"&amp;"]{2,4})\s+\(\d+\)$"")) &amp; "" (""&amp; 
IFERROR(REGEXEXTRACT('Manual Data Import'!B961, ""\((\d+)\)"")) &amp; "")"""),"
 -  ()")</f>
        <v>
 -  ()</v>
      </c>
      <c r="B961" s="30" t="str">
        <f>IFERROR(IF(COUNTIF('Draft Board'!$C$3:$V$24,A961)+COUNTIF(Keepers!$B$2:$U$21,A961)+COUNTIF('Auction Draft Board'!$C$6:$AP$25,A961)&gt;0,"",A961),"")</f>
        <v/>
      </c>
    </row>
    <row r="962">
      <c r="A962" t="str">
        <f>IFERROR(__xludf.DUMMYFUNCTION("IFERROR(REGEXEXTRACT('Manual Data Import'!B962, ""^(.*)\s+[A-Z]{2,4}\s+\(\d+\)$""),'Manual Data Import'!B962) &amp; CHAR(10) &amp; 
IFERROR(REGEXREPLACE('Manual Data Import'!C962, ""\d+$"", """")) &amp;"" - ""&amp; 
IFERROR(REGEXEXTRACT('Manual Data Import'!B962, ""([A-Z"&amp;"]{2,4})\s+\(\d+\)$"")) &amp; "" (""&amp; 
IFERROR(REGEXEXTRACT('Manual Data Import'!B962, ""\((\d+)\)"")) &amp; "")"""),"
 -  ()")</f>
        <v>
 -  ()</v>
      </c>
      <c r="B962" s="30" t="str">
        <f>IFERROR(IF(COUNTIF('Draft Board'!$C$3:$V$24,A962)+COUNTIF(Keepers!$B$2:$U$21,A962)+COUNTIF('Auction Draft Board'!$C$6:$AP$25,A962)&gt;0,"",A962),"")</f>
        <v/>
      </c>
    </row>
    <row r="963">
      <c r="A963" t="str">
        <f>IFERROR(__xludf.DUMMYFUNCTION("IFERROR(REGEXEXTRACT('Manual Data Import'!B963, ""^(.*)\s+[A-Z]{2,4}\s+\(\d+\)$""),'Manual Data Import'!B963) &amp; CHAR(10) &amp; 
IFERROR(REGEXREPLACE('Manual Data Import'!C963, ""\d+$"", """")) &amp;"" - ""&amp; 
IFERROR(REGEXEXTRACT('Manual Data Import'!B963, ""([A-Z"&amp;"]{2,4})\s+\(\d+\)$"")) &amp; "" (""&amp; 
IFERROR(REGEXEXTRACT('Manual Data Import'!B963, ""\((\d+)\)"")) &amp; "")"""),"
 -  ()")</f>
        <v>
 -  ()</v>
      </c>
      <c r="B963" s="30" t="str">
        <f>IFERROR(IF(COUNTIF('Draft Board'!$C$3:$V$24,A963)+COUNTIF(Keepers!$B$2:$U$21,A963)+COUNTIF('Auction Draft Board'!$C$6:$AP$25,A963)&gt;0,"",A963),"")</f>
        <v/>
      </c>
    </row>
    <row r="964">
      <c r="A964" t="str">
        <f>IFERROR(__xludf.DUMMYFUNCTION("IFERROR(REGEXEXTRACT('Manual Data Import'!B964, ""^(.*)\s+[A-Z]{2,4}\s+\(\d+\)$""),'Manual Data Import'!B964) &amp; CHAR(10) &amp; 
IFERROR(REGEXREPLACE('Manual Data Import'!C964, ""\d+$"", """")) &amp;"" - ""&amp; 
IFERROR(REGEXEXTRACT('Manual Data Import'!B964, ""([A-Z"&amp;"]{2,4})\s+\(\d+\)$"")) &amp; "" (""&amp; 
IFERROR(REGEXEXTRACT('Manual Data Import'!B964, ""\((\d+)\)"")) &amp; "")"""),"
 -  ()")</f>
        <v>
 -  ()</v>
      </c>
      <c r="B964" s="30" t="str">
        <f>IFERROR(IF(COUNTIF('Draft Board'!$C$3:$V$24,A964)+COUNTIF(Keepers!$B$2:$U$21,A964)+COUNTIF('Auction Draft Board'!$C$6:$AP$25,A964)&gt;0,"",A964),"")</f>
        <v/>
      </c>
    </row>
    <row r="965">
      <c r="A965" t="str">
        <f>IFERROR(__xludf.DUMMYFUNCTION("IFERROR(REGEXEXTRACT('Manual Data Import'!B965, ""^(.*)\s+[A-Z]{2,4}\s+\(\d+\)$""),'Manual Data Import'!B965) &amp; CHAR(10) &amp; 
IFERROR(REGEXREPLACE('Manual Data Import'!C965, ""\d+$"", """")) &amp;"" - ""&amp; 
IFERROR(REGEXEXTRACT('Manual Data Import'!B965, ""([A-Z"&amp;"]{2,4})\s+\(\d+\)$"")) &amp; "" (""&amp; 
IFERROR(REGEXEXTRACT('Manual Data Import'!B965, ""\((\d+)\)"")) &amp; "")"""),"
 -  ()")</f>
        <v>
 -  ()</v>
      </c>
      <c r="B965" s="30" t="str">
        <f>IFERROR(IF(COUNTIF('Draft Board'!$C$3:$V$24,A965)+COUNTIF(Keepers!$B$2:$U$21,A965)+COUNTIF('Auction Draft Board'!$C$6:$AP$25,A965)&gt;0,"",A965),"")</f>
        <v/>
      </c>
    </row>
    <row r="966">
      <c r="A966" t="str">
        <f>IFERROR(__xludf.DUMMYFUNCTION("IFERROR(REGEXEXTRACT('Manual Data Import'!B966, ""^(.*)\s+[A-Z]{2,4}\s+\(\d+\)$""),'Manual Data Import'!B966) &amp; CHAR(10) &amp; 
IFERROR(REGEXREPLACE('Manual Data Import'!C966, ""\d+$"", """")) &amp;"" - ""&amp; 
IFERROR(REGEXEXTRACT('Manual Data Import'!B966, ""([A-Z"&amp;"]{2,4})\s+\(\d+\)$"")) &amp; "" (""&amp; 
IFERROR(REGEXEXTRACT('Manual Data Import'!B966, ""\((\d+)\)"")) &amp; "")"""),"
 -  ()")</f>
        <v>
 -  ()</v>
      </c>
      <c r="B966" s="30" t="str">
        <f>IFERROR(IF(COUNTIF('Draft Board'!$C$3:$V$24,A966)+COUNTIF(Keepers!$B$2:$U$21,A966)+COUNTIF('Auction Draft Board'!$C$6:$AP$25,A966)&gt;0,"",A966),"")</f>
        <v/>
      </c>
    </row>
    <row r="967">
      <c r="A967" t="str">
        <f>IFERROR(__xludf.DUMMYFUNCTION("IFERROR(REGEXEXTRACT('Manual Data Import'!B967, ""^(.*)\s+[A-Z]{2,4}\s+\(\d+\)$""),'Manual Data Import'!B967) &amp; CHAR(10) &amp; 
IFERROR(REGEXREPLACE('Manual Data Import'!C967, ""\d+$"", """")) &amp;"" - ""&amp; 
IFERROR(REGEXEXTRACT('Manual Data Import'!B967, ""([A-Z"&amp;"]{2,4})\s+\(\d+\)$"")) &amp; "" (""&amp; 
IFERROR(REGEXEXTRACT('Manual Data Import'!B967, ""\((\d+)\)"")) &amp; "")"""),"
 -  ()")</f>
        <v>
 -  ()</v>
      </c>
      <c r="B967" s="30" t="str">
        <f>IFERROR(IF(COUNTIF('Draft Board'!$C$3:$V$24,A967)+COUNTIF(Keepers!$B$2:$U$21,A967)+COUNTIF('Auction Draft Board'!$C$6:$AP$25,A967)&gt;0,"",A967),"")</f>
        <v/>
      </c>
    </row>
    <row r="968">
      <c r="A968" t="str">
        <f>IFERROR(__xludf.DUMMYFUNCTION("IFERROR(REGEXEXTRACT('Manual Data Import'!B968, ""^(.*)\s+[A-Z]{2,4}\s+\(\d+\)$""),'Manual Data Import'!B968) &amp; CHAR(10) &amp; 
IFERROR(REGEXREPLACE('Manual Data Import'!C968, ""\d+$"", """")) &amp;"" - ""&amp; 
IFERROR(REGEXEXTRACT('Manual Data Import'!B968, ""([A-Z"&amp;"]{2,4})\s+\(\d+\)$"")) &amp; "" (""&amp; 
IFERROR(REGEXEXTRACT('Manual Data Import'!B968, ""\((\d+)\)"")) &amp; "")"""),"
 -  ()")</f>
        <v>
 -  ()</v>
      </c>
      <c r="B968" s="30" t="str">
        <f>IFERROR(IF(COUNTIF('Draft Board'!$C$3:$V$24,A968)+COUNTIF(Keepers!$B$2:$U$21,A968)+COUNTIF('Auction Draft Board'!$C$6:$AP$25,A968)&gt;0,"",A968),"")</f>
        <v/>
      </c>
    </row>
    <row r="969">
      <c r="A969" t="str">
        <f>IFERROR(__xludf.DUMMYFUNCTION("IFERROR(REGEXEXTRACT('Manual Data Import'!B969, ""^(.*)\s+[A-Z]{2,4}\s+\(\d+\)$""),'Manual Data Import'!B969) &amp; CHAR(10) &amp; 
IFERROR(REGEXREPLACE('Manual Data Import'!C969, ""\d+$"", """")) &amp;"" - ""&amp; 
IFERROR(REGEXEXTRACT('Manual Data Import'!B969, ""([A-Z"&amp;"]{2,4})\s+\(\d+\)$"")) &amp; "" (""&amp; 
IFERROR(REGEXEXTRACT('Manual Data Import'!B969, ""\((\d+)\)"")) &amp; "")"""),"
 -  ()")</f>
        <v>
 -  ()</v>
      </c>
      <c r="B969" s="30" t="str">
        <f>IFERROR(IF(COUNTIF('Draft Board'!$C$3:$V$24,A969)+COUNTIF(Keepers!$B$2:$U$21,A969)+COUNTIF('Auction Draft Board'!$C$6:$AP$25,A969)&gt;0,"",A969),"")</f>
        <v/>
      </c>
    </row>
    <row r="970">
      <c r="A970" t="str">
        <f>IFERROR(__xludf.DUMMYFUNCTION("IFERROR(REGEXEXTRACT('Manual Data Import'!B970, ""^(.*)\s+[A-Z]{2,4}\s+\(\d+\)$""),'Manual Data Import'!B970) &amp; CHAR(10) &amp; 
IFERROR(REGEXREPLACE('Manual Data Import'!C970, ""\d+$"", """")) &amp;"" - ""&amp; 
IFERROR(REGEXEXTRACT('Manual Data Import'!B970, ""([A-Z"&amp;"]{2,4})\s+\(\d+\)$"")) &amp; "" (""&amp; 
IFERROR(REGEXEXTRACT('Manual Data Import'!B970, ""\((\d+)\)"")) &amp; "")"""),"
 -  ()")</f>
        <v>
 -  ()</v>
      </c>
      <c r="B970" s="30" t="str">
        <f>IFERROR(IF(COUNTIF('Draft Board'!$C$3:$V$24,A970)+COUNTIF(Keepers!$B$2:$U$21,A970)+COUNTIF('Auction Draft Board'!$C$6:$AP$25,A970)&gt;0,"",A970),"")</f>
        <v/>
      </c>
    </row>
    <row r="971">
      <c r="A971" t="str">
        <f>IFERROR(__xludf.DUMMYFUNCTION("IFERROR(REGEXEXTRACT('Manual Data Import'!B971, ""^(.*)\s+[A-Z]{2,4}\s+\(\d+\)$""),'Manual Data Import'!B971) &amp; CHAR(10) &amp; 
IFERROR(REGEXREPLACE('Manual Data Import'!C971, ""\d+$"", """")) &amp;"" - ""&amp; 
IFERROR(REGEXEXTRACT('Manual Data Import'!B971, ""([A-Z"&amp;"]{2,4})\s+\(\d+\)$"")) &amp; "" (""&amp; 
IFERROR(REGEXEXTRACT('Manual Data Import'!B971, ""\((\d+)\)"")) &amp; "")"""),"
 -  ()")</f>
        <v>
 -  ()</v>
      </c>
      <c r="B971" s="30" t="str">
        <f>IFERROR(IF(COUNTIF('Draft Board'!$C$3:$V$24,A971)+COUNTIF(Keepers!$B$2:$U$21,A971)+COUNTIF('Auction Draft Board'!$C$6:$AP$25,A971)&gt;0,"",A971),"")</f>
        <v/>
      </c>
    </row>
    <row r="972">
      <c r="A972" t="str">
        <f>IFERROR(__xludf.DUMMYFUNCTION("IFERROR(REGEXEXTRACT('Manual Data Import'!B972, ""^(.*)\s+[A-Z]{2,4}\s+\(\d+\)$""),'Manual Data Import'!B972) &amp; CHAR(10) &amp; 
IFERROR(REGEXREPLACE('Manual Data Import'!C972, ""\d+$"", """")) &amp;"" - ""&amp; 
IFERROR(REGEXEXTRACT('Manual Data Import'!B972, ""([A-Z"&amp;"]{2,4})\s+\(\d+\)$"")) &amp; "" (""&amp; 
IFERROR(REGEXEXTRACT('Manual Data Import'!B972, ""\((\d+)\)"")) &amp; "")"""),"
 -  ()")</f>
        <v>
 -  ()</v>
      </c>
      <c r="B972" s="30" t="str">
        <f>IFERROR(IF(COUNTIF('Draft Board'!$C$3:$V$24,A972)+COUNTIF(Keepers!$B$2:$U$21,A972)+COUNTIF('Auction Draft Board'!$C$6:$AP$25,A972)&gt;0,"",A972),"")</f>
        <v/>
      </c>
    </row>
    <row r="973">
      <c r="A973" t="str">
        <f>IFERROR(__xludf.DUMMYFUNCTION("IFERROR(REGEXEXTRACT('Manual Data Import'!B973, ""^(.*)\s+[A-Z]{2,4}\s+\(\d+\)$""),'Manual Data Import'!B973) &amp; CHAR(10) &amp; 
IFERROR(REGEXREPLACE('Manual Data Import'!C973, ""\d+$"", """")) &amp;"" - ""&amp; 
IFERROR(REGEXEXTRACT('Manual Data Import'!B973, ""([A-Z"&amp;"]{2,4})\s+\(\d+\)$"")) &amp; "" (""&amp; 
IFERROR(REGEXEXTRACT('Manual Data Import'!B973, ""\((\d+)\)"")) &amp; "")"""),"
 -  ()")</f>
        <v>
 -  ()</v>
      </c>
      <c r="B973" s="30" t="str">
        <f>IFERROR(IF(COUNTIF('Draft Board'!$C$3:$V$24,A973)+COUNTIF(Keepers!$B$2:$U$21,A973)+COUNTIF('Auction Draft Board'!$C$6:$AP$25,A973)&gt;0,"",A973),"")</f>
        <v/>
      </c>
    </row>
    <row r="974">
      <c r="A974" t="str">
        <f>IFERROR(__xludf.DUMMYFUNCTION("IFERROR(REGEXEXTRACT('Manual Data Import'!B974, ""^(.*)\s+[A-Z]{2,4}\s+\(\d+\)$""),'Manual Data Import'!B974) &amp; CHAR(10) &amp; 
IFERROR(REGEXREPLACE('Manual Data Import'!C974, ""\d+$"", """")) &amp;"" - ""&amp; 
IFERROR(REGEXEXTRACT('Manual Data Import'!B974, ""([A-Z"&amp;"]{2,4})\s+\(\d+\)$"")) &amp; "" (""&amp; 
IFERROR(REGEXEXTRACT('Manual Data Import'!B974, ""\((\d+)\)"")) &amp; "")"""),"
 -  ()")</f>
        <v>
 -  ()</v>
      </c>
      <c r="B974" s="30" t="str">
        <f>IFERROR(IF(COUNTIF('Draft Board'!$C$3:$V$24,A974)+COUNTIF(Keepers!$B$2:$U$21,A974)+COUNTIF('Auction Draft Board'!$C$6:$AP$25,A974)&gt;0,"",A974),"")</f>
        <v/>
      </c>
    </row>
    <row r="975">
      <c r="A975" t="str">
        <f>IFERROR(__xludf.DUMMYFUNCTION("IFERROR(REGEXEXTRACT('Manual Data Import'!B975, ""^(.*)\s+[A-Z]{2,4}\s+\(\d+\)$""),'Manual Data Import'!B975) &amp; CHAR(10) &amp; 
IFERROR(REGEXREPLACE('Manual Data Import'!C975, ""\d+$"", """")) &amp;"" - ""&amp; 
IFERROR(REGEXEXTRACT('Manual Data Import'!B975, ""([A-Z"&amp;"]{2,4})\s+\(\d+\)$"")) &amp; "" (""&amp; 
IFERROR(REGEXEXTRACT('Manual Data Import'!B975, ""\((\d+)\)"")) &amp; "")"""),"
 -  ()")</f>
        <v>
 -  ()</v>
      </c>
      <c r="B975" s="30" t="str">
        <f>IFERROR(IF(COUNTIF('Draft Board'!$C$3:$V$24,A975)+COUNTIF(Keepers!$B$2:$U$21,A975)+COUNTIF('Auction Draft Board'!$C$6:$AP$25,A975)&gt;0,"",A975),"")</f>
        <v/>
      </c>
    </row>
    <row r="976">
      <c r="A976" t="str">
        <f>IFERROR(__xludf.DUMMYFUNCTION("IFERROR(REGEXEXTRACT('Manual Data Import'!B976, ""^(.*)\s+[A-Z]{2,4}\s+\(\d+\)$""),'Manual Data Import'!B976) &amp; CHAR(10) &amp; 
IFERROR(REGEXREPLACE('Manual Data Import'!C976, ""\d+$"", """")) &amp;"" - ""&amp; 
IFERROR(REGEXEXTRACT('Manual Data Import'!B976, ""([A-Z"&amp;"]{2,4})\s+\(\d+\)$"")) &amp; "" (""&amp; 
IFERROR(REGEXEXTRACT('Manual Data Import'!B976, ""\((\d+)\)"")) &amp; "")"""),"
 -  ()")</f>
        <v>
 -  ()</v>
      </c>
      <c r="B976" s="30" t="str">
        <f>IFERROR(IF(COUNTIF('Draft Board'!$C$3:$V$24,A976)+COUNTIF(Keepers!$B$2:$U$21,A976)+COUNTIF('Auction Draft Board'!$C$6:$AP$25,A976)&gt;0,"",A976),"")</f>
        <v/>
      </c>
    </row>
    <row r="977">
      <c r="A977" t="str">
        <f>IFERROR(__xludf.DUMMYFUNCTION("IFERROR(REGEXEXTRACT('Manual Data Import'!B977, ""^(.*)\s+[A-Z]{2,4}\s+\(\d+\)$""),'Manual Data Import'!B977) &amp; CHAR(10) &amp; 
IFERROR(REGEXREPLACE('Manual Data Import'!C977, ""\d+$"", """")) &amp;"" - ""&amp; 
IFERROR(REGEXEXTRACT('Manual Data Import'!B977, ""([A-Z"&amp;"]{2,4})\s+\(\d+\)$"")) &amp; "" (""&amp; 
IFERROR(REGEXEXTRACT('Manual Data Import'!B977, ""\((\d+)\)"")) &amp; "")"""),"
 -  ()")</f>
        <v>
 -  ()</v>
      </c>
      <c r="B977" s="30" t="str">
        <f>IFERROR(IF(COUNTIF('Draft Board'!$C$3:$V$24,A977)+COUNTIF(Keepers!$B$2:$U$21,A977)+COUNTIF('Auction Draft Board'!$C$6:$AP$25,A977)&gt;0,"",A977),"")</f>
        <v/>
      </c>
    </row>
    <row r="978">
      <c r="A978" t="str">
        <f>IFERROR(__xludf.DUMMYFUNCTION("IFERROR(REGEXEXTRACT('Manual Data Import'!B978, ""^(.*)\s+[A-Z]{2,4}\s+\(\d+\)$""),'Manual Data Import'!B978) &amp; CHAR(10) &amp; 
IFERROR(REGEXREPLACE('Manual Data Import'!C978, ""\d+$"", """")) &amp;"" - ""&amp; 
IFERROR(REGEXEXTRACT('Manual Data Import'!B978, ""([A-Z"&amp;"]{2,4})\s+\(\d+\)$"")) &amp; "" (""&amp; 
IFERROR(REGEXEXTRACT('Manual Data Import'!B978, ""\((\d+)\)"")) &amp; "")"""),"
 -  ()")</f>
        <v>
 -  ()</v>
      </c>
      <c r="B978" s="30" t="str">
        <f>IFERROR(IF(COUNTIF('Draft Board'!$C$3:$V$24,A978)+COUNTIF(Keepers!$B$2:$U$21,A978)+COUNTIF('Auction Draft Board'!$C$6:$AP$25,A978)&gt;0,"",A978),"")</f>
        <v/>
      </c>
    </row>
    <row r="979">
      <c r="A979" t="str">
        <f>IFERROR(__xludf.DUMMYFUNCTION("IFERROR(REGEXEXTRACT('Manual Data Import'!B979, ""^(.*)\s+[A-Z]{2,4}\s+\(\d+\)$""),'Manual Data Import'!B979) &amp; CHAR(10) &amp; 
IFERROR(REGEXREPLACE('Manual Data Import'!C979, ""\d+$"", """")) &amp;"" - ""&amp; 
IFERROR(REGEXEXTRACT('Manual Data Import'!B979, ""([A-Z"&amp;"]{2,4})\s+\(\d+\)$"")) &amp; "" (""&amp; 
IFERROR(REGEXEXTRACT('Manual Data Import'!B979, ""\((\d+)\)"")) &amp; "")"""),"
 -  ()")</f>
        <v>
 -  ()</v>
      </c>
      <c r="B979" s="30" t="str">
        <f>IFERROR(IF(COUNTIF('Draft Board'!$C$3:$V$24,A979)+COUNTIF(Keepers!$B$2:$U$21,A979)+COUNTIF('Auction Draft Board'!$C$6:$AP$25,A979)&gt;0,"",A979),"")</f>
        <v/>
      </c>
    </row>
    <row r="980">
      <c r="A980" t="str">
        <f>IFERROR(__xludf.DUMMYFUNCTION("IFERROR(REGEXEXTRACT('Manual Data Import'!B980, ""^(.*)\s+[A-Z]{2,4}\s+\(\d+\)$""),'Manual Data Import'!B980) &amp; CHAR(10) &amp; 
IFERROR(REGEXREPLACE('Manual Data Import'!C980, ""\d+$"", """")) &amp;"" - ""&amp; 
IFERROR(REGEXEXTRACT('Manual Data Import'!B980, ""([A-Z"&amp;"]{2,4})\s+\(\d+\)$"")) &amp; "" (""&amp; 
IFERROR(REGEXEXTRACT('Manual Data Import'!B980, ""\((\d+)\)"")) &amp; "")"""),"
 -  ()")</f>
        <v>
 -  ()</v>
      </c>
      <c r="B980" s="30" t="str">
        <f>IFERROR(IF(COUNTIF('Draft Board'!$C$3:$V$24,A980)+COUNTIF(Keepers!$B$2:$U$21,A980)+COUNTIF('Auction Draft Board'!$C$6:$AP$25,A980)&gt;0,"",A980),"")</f>
        <v/>
      </c>
    </row>
    <row r="981">
      <c r="A981" t="str">
        <f>IFERROR(__xludf.DUMMYFUNCTION("IFERROR(REGEXEXTRACT('Manual Data Import'!B981, ""^(.*)\s+[A-Z]{2,4}\s+\(\d+\)$""),'Manual Data Import'!B981) &amp; CHAR(10) &amp; 
IFERROR(REGEXREPLACE('Manual Data Import'!C981, ""\d+$"", """")) &amp;"" - ""&amp; 
IFERROR(REGEXEXTRACT('Manual Data Import'!B981, ""([A-Z"&amp;"]{2,4})\s+\(\d+\)$"")) &amp; "" (""&amp; 
IFERROR(REGEXEXTRACT('Manual Data Import'!B981, ""\((\d+)\)"")) &amp; "")"""),"
 -  ()")</f>
        <v>
 -  ()</v>
      </c>
      <c r="B981" s="30" t="str">
        <f>IFERROR(IF(COUNTIF('Draft Board'!$C$3:$V$24,A981)+COUNTIF(Keepers!$B$2:$U$21,A981)+COUNTIF('Auction Draft Board'!$C$6:$AP$25,A981)&gt;0,"",A981),"")</f>
        <v/>
      </c>
    </row>
    <row r="982">
      <c r="A982" t="str">
        <f>IFERROR(__xludf.DUMMYFUNCTION("IFERROR(REGEXEXTRACT('Manual Data Import'!B982, ""^(.*)\s+[A-Z]{2,4}\s+\(\d+\)$""),'Manual Data Import'!B982) &amp; CHAR(10) &amp; 
IFERROR(REGEXREPLACE('Manual Data Import'!C982, ""\d+$"", """")) &amp;"" - ""&amp; 
IFERROR(REGEXEXTRACT('Manual Data Import'!B982, ""([A-Z"&amp;"]{2,4})\s+\(\d+\)$"")) &amp; "" (""&amp; 
IFERROR(REGEXEXTRACT('Manual Data Import'!B982, ""\((\d+)\)"")) &amp; "")"""),"
 -  ()")</f>
        <v>
 -  ()</v>
      </c>
      <c r="B982" s="30" t="str">
        <f>IFERROR(IF(COUNTIF('Draft Board'!$C$3:$V$24,A982)+COUNTIF(Keepers!$B$2:$U$21,A982)+COUNTIF('Auction Draft Board'!$C$6:$AP$25,A982)&gt;0,"",A982),"")</f>
        <v/>
      </c>
    </row>
    <row r="983">
      <c r="A983" t="str">
        <f>IFERROR(__xludf.DUMMYFUNCTION("IFERROR(REGEXEXTRACT('Manual Data Import'!B983, ""^(.*)\s+[A-Z]{2,4}\s+\(\d+\)$""),'Manual Data Import'!B983) &amp; CHAR(10) &amp; 
IFERROR(REGEXREPLACE('Manual Data Import'!C983, ""\d+$"", """")) &amp;"" - ""&amp; 
IFERROR(REGEXEXTRACT('Manual Data Import'!B983, ""([A-Z"&amp;"]{2,4})\s+\(\d+\)$"")) &amp; "" (""&amp; 
IFERROR(REGEXEXTRACT('Manual Data Import'!B983, ""\((\d+)\)"")) &amp; "")"""),"
 -  ()")</f>
        <v>
 -  ()</v>
      </c>
      <c r="B983" s="30" t="str">
        <f>IFERROR(IF(COUNTIF('Draft Board'!$C$3:$V$24,A983)+COUNTIF(Keepers!$B$2:$U$21,A983)+COUNTIF('Auction Draft Board'!$C$6:$AP$25,A983)&gt;0,"",A983),"")</f>
        <v/>
      </c>
    </row>
    <row r="984">
      <c r="A984" t="str">
        <f>IFERROR(__xludf.DUMMYFUNCTION("IFERROR(REGEXEXTRACT('Manual Data Import'!B984, ""^(.*)\s+[A-Z]{2,4}\s+\(\d+\)$""),'Manual Data Import'!B984) &amp; CHAR(10) &amp; 
IFERROR(REGEXREPLACE('Manual Data Import'!C984, ""\d+$"", """")) &amp;"" - ""&amp; 
IFERROR(REGEXEXTRACT('Manual Data Import'!B984, ""([A-Z"&amp;"]{2,4})\s+\(\d+\)$"")) &amp; "" (""&amp; 
IFERROR(REGEXEXTRACT('Manual Data Import'!B984, ""\((\d+)\)"")) &amp; "")"""),"
 -  ()")</f>
        <v>
 -  ()</v>
      </c>
      <c r="B984" s="30" t="str">
        <f>IFERROR(IF(COUNTIF('Draft Board'!$C$3:$V$24,A984)+COUNTIF(Keepers!$B$2:$U$21,A984)+COUNTIF('Auction Draft Board'!$C$6:$AP$25,A984)&gt;0,"",A984),"")</f>
        <v/>
      </c>
    </row>
    <row r="985">
      <c r="A985" t="str">
        <f>IFERROR(__xludf.DUMMYFUNCTION("IFERROR(REGEXEXTRACT('Manual Data Import'!B985, ""^(.*)\s+[A-Z]{2,4}\s+\(\d+\)$""),'Manual Data Import'!B985) &amp; CHAR(10) &amp; 
IFERROR(REGEXREPLACE('Manual Data Import'!C985, ""\d+$"", """")) &amp;"" - ""&amp; 
IFERROR(REGEXEXTRACT('Manual Data Import'!B985, ""([A-Z"&amp;"]{2,4})\s+\(\d+\)$"")) &amp; "" (""&amp; 
IFERROR(REGEXEXTRACT('Manual Data Import'!B985, ""\((\d+)\)"")) &amp; "")"""),"
 -  ()")</f>
        <v>
 -  ()</v>
      </c>
      <c r="B985" s="30" t="str">
        <f>IFERROR(IF(COUNTIF('Draft Board'!$C$3:$V$24,A985)+COUNTIF(Keepers!$B$2:$U$21,A985)+COUNTIF('Auction Draft Board'!$C$6:$AP$25,A985)&gt;0,"",A985),"")</f>
        <v/>
      </c>
    </row>
    <row r="986">
      <c r="A986" t="str">
        <f>IFERROR(__xludf.DUMMYFUNCTION("IFERROR(REGEXEXTRACT('Manual Data Import'!B986, ""^(.*)\s+[A-Z]{2,4}\s+\(\d+\)$""),'Manual Data Import'!B986) &amp; CHAR(10) &amp; 
IFERROR(REGEXREPLACE('Manual Data Import'!C986, ""\d+$"", """")) &amp;"" - ""&amp; 
IFERROR(REGEXEXTRACT('Manual Data Import'!B986, ""([A-Z"&amp;"]{2,4})\s+\(\d+\)$"")) &amp; "" (""&amp; 
IFERROR(REGEXEXTRACT('Manual Data Import'!B986, ""\((\d+)\)"")) &amp; "")"""),"
 -  ()")</f>
        <v>
 -  ()</v>
      </c>
      <c r="B986" s="30" t="str">
        <f>IFERROR(IF(COUNTIF('Draft Board'!$C$3:$V$24,A986)+COUNTIF(Keepers!$B$2:$U$21,A986)+COUNTIF('Auction Draft Board'!$C$6:$AP$25,A986)&gt;0,"",A986),"")</f>
        <v/>
      </c>
    </row>
    <row r="987">
      <c r="A987" t="str">
        <f>IFERROR(__xludf.DUMMYFUNCTION("IFERROR(REGEXEXTRACT('Manual Data Import'!B987, ""^(.*)\s+[A-Z]{2,4}\s+\(\d+\)$""),'Manual Data Import'!B987) &amp; CHAR(10) &amp; 
IFERROR(REGEXREPLACE('Manual Data Import'!C987, ""\d+$"", """")) &amp;"" - ""&amp; 
IFERROR(REGEXEXTRACT('Manual Data Import'!B987, ""([A-Z"&amp;"]{2,4})\s+\(\d+\)$"")) &amp; "" (""&amp; 
IFERROR(REGEXEXTRACT('Manual Data Import'!B987, ""\((\d+)\)"")) &amp; "")"""),"
 -  ()")</f>
        <v>
 -  ()</v>
      </c>
      <c r="B987" s="30" t="str">
        <f>IFERROR(IF(COUNTIF('Draft Board'!$C$3:$V$24,A987)+COUNTIF(Keepers!$B$2:$U$21,A987)+COUNTIF('Auction Draft Board'!$C$6:$AP$25,A987)&gt;0,"",A987),"")</f>
        <v/>
      </c>
    </row>
    <row r="988">
      <c r="A988" t="str">
        <f>IFERROR(__xludf.DUMMYFUNCTION("IFERROR(REGEXEXTRACT('Manual Data Import'!B988, ""^(.*)\s+[A-Z]{2,4}\s+\(\d+\)$""),'Manual Data Import'!B988) &amp; CHAR(10) &amp; 
IFERROR(REGEXREPLACE('Manual Data Import'!C988, ""\d+$"", """")) &amp;"" - ""&amp; 
IFERROR(REGEXEXTRACT('Manual Data Import'!B988, ""([A-Z"&amp;"]{2,4})\s+\(\d+\)$"")) &amp; "" (""&amp; 
IFERROR(REGEXEXTRACT('Manual Data Import'!B988, ""\((\d+)\)"")) &amp; "")"""),"
 -  ()")</f>
        <v>
 -  ()</v>
      </c>
      <c r="B988" s="30" t="str">
        <f>IFERROR(IF(COUNTIF('Draft Board'!$C$3:$V$24,A988)+COUNTIF(Keepers!$B$2:$U$21,A988)+COUNTIF('Auction Draft Board'!$C$6:$AP$25,A988)&gt;0,"",A988),"")</f>
        <v/>
      </c>
    </row>
    <row r="989">
      <c r="A989" t="str">
        <f>IFERROR(__xludf.DUMMYFUNCTION("IFERROR(REGEXEXTRACT('Manual Data Import'!B989, ""^(.*)\s+[A-Z]{2,4}\s+\(\d+\)$""),'Manual Data Import'!B989) &amp; CHAR(10) &amp; 
IFERROR(REGEXREPLACE('Manual Data Import'!C989, ""\d+$"", """")) &amp;"" - ""&amp; 
IFERROR(REGEXEXTRACT('Manual Data Import'!B989, ""([A-Z"&amp;"]{2,4})\s+\(\d+\)$"")) &amp; "" (""&amp; 
IFERROR(REGEXEXTRACT('Manual Data Import'!B989, ""\((\d+)\)"")) &amp; "")"""),"
 -  ()")</f>
        <v>
 -  ()</v>
      </c>
      <c r="B989" s="30" t="str">
        <f>IFERROR(IF(COUNTIF('Draft Board'!$C$3:$V$24,A989)+COUNTIF(Keepers!$B$2:$U$21,A989)+COUNTIF('Auction Draft Board'!$C$6:$AP$25,A989)&gt;0,"",A989),"")</f>
        <v/>
      </c>
    </row>
    <row r="990">
      <c r="A990" t="str">
        <f>IFERROR(__xludf.DUMMYFUNCTION("IFERROR(REGEXEXTRACT('Manual Data Import'!B990, ""^(.*)\s+[A-Z]{2,4}\s+\(\d+\)$""),'Manual Data Import'!B990) &amp; CHAR(10) &amp; 
IFERROR(REGEXREPLACE('Manual Data Import'!C990, ""\d+$"", """")) &amp;"" - ""&amp; 
IFERROR(REGEXEXTRACT('Manual Data Import'!B990, ""([A-Z"&amp;"]{2,4})\s+\(\d+\)$"")) &amp; "" (""&amp; 
IFERROR(REGEXEXTRACT('Manual Data Import'!B990, ""\((\d+)\)"")) &amp; "")"""),"
 -  ()")</f>
        <v>
 -  ()</v>
      </c>
      <c r="B990" s="30" t="str">
        <f>IFERROR(IF(COUNTIF('Draft Board'!$C$3:$V$24,A990)+COUNTIF(Keepers!$B$2:$U$21,A990)+COUNTIF('Auction Draft Board'!$C$6:$AP$25,A990)&gt;0,"",A990),"")</f>
        <v/>
      </c>
    </row>
    <row r="991">
      <c r="A991" t="str">
        <f>IFERROR(__xludf.DUMMYFUNCTION("IFERROR(REGEXEXTRACT('Manual Data Import'!B991, ""^(.*)\s+[A-Z]{2,4}\s+\(\d+\)$""),'Manual Data Import'!B991) &amp; CHAR(10) &amp; 
IFERROR(REGEXREPLACE('Manual Data Import'!C991, ""\d+$"", """")) &amp;"" - ""&amp; 
IFERROR(REGEXEXTRACT('Manual Data Import'!B991, ""([A-Z"&amp;"]{2,4})\s+\(\d+\)$"")) &amp; "" (""&amp; 
IFERROR(REGEXEXTRACT('Manual Data Import'!B991, ""\((\d+)\)"")) &amp; "")"""),"
 -  ()")</f>
        <v>
 -  ()</v>
      </c>
      <c r="B991" s="30" t="str">
        <f>IFERROR(IF(COUNTIF('Draft Board'!$C$3:$V$24,A991)+COUNTIF(Keepers!$B$2:$U$21,A991)+COUNTIF('Auction Draft Board'!$C$6:$AP$25,A991)&gt;0,"",A991),"")</f>
        <v/>
      </c>
    </row>
    <row r="992">
      <c r="A992" t="str">
        <f>IFERROR(__xludf.DUMMYFUNCTION("IFERROR(REGEXEXTRACT('Manual Data Import'!B992, ""^(.*)\s+[A-Z]{2,4}\s+\(\d+\)$""),'Manual Data Import'!B992) &amp; CHAR(10) &amp; 
IFERROR(REGEXREPLACE('Manual Data Import'!C992, ""\d+$"", """")) &amp;"" - ""&amp; 
IFERROR(REGEXEXTRACT('Manual Data Import'!B992, ""([A-Z"&amp;"]{2,4})\s+\(\d+\)$"")) &amp; "" (""&amp; 
IFERROR(REGEXEXTRACT('Manual Data Import'!B992, ""\((\d+)\)"")) &amp; "")"""),"
 -  ()")</f>
        <v>
 -  ()</v>
      </c>
      <c r="B992" s="30" t="str">
        <f>IFERROR(IF(COUNTIF('Draft Board'!$C$3:$V$24,A992)+COUNTIF(Keepers!$B$2:$U$21,A992)+COUNTIF('Auction Draft Board'!$C$6:$AP$25,A992)&gt;0,"",A992),"")</f>
        <v/>
      </c>
    </row>
    <row r="993">
      <c r="A993" t="str">
        <f>IFERROR(__xludf.DUMMYFUNCTION("IFERROR(REGEXEXTRACT('Manual Data Import'!B993, ""^(.*)\s+[A-Z]{2,4}\s+\(\d+\)$""),'Manual Data Import'!B993) &amp; CHAR(10) &amp; 
IFERROR(REGEXREPLACE('Manual Data Import'!C993, ""\d+$"", """")) &amp;"" - ""&amp; 
IFERROR(REGEXEXTRACT('Manual Data Import'!B993, ""([A-Z"&amp;"]{2,4})\s+\(\d+\)$"")) &amp; "" (""&amp; 
IFERROR(REGEXEXTRACT('Manual Data Import'!B993, ""\((\d+)\)"")) &amp; "")"""),"
 -  ()")</f>
        <v>
 -  ()</v>
      </c>
      <c r="B993" s="30" t="str">
        <f>IFERROR(IF(COUNTIF('Draft Board'!$C$3:$V$24,A993)+COUNTIF(Keepers!$B$2:$U$21,A993)+COUNTIF('Auction Draft Board'!$C$6:$AP$25,A993)&gt;0,"",A993),"")</f>
        <v/>
      </c>
    </row>
    <row r="994">
      <c r="A994" t="str">
        <f>IFERROR(__xludf.DUMMYFUNCTION("IFERROR(REGEXEXTRACT('Manual Data Import'!B994, ""^(.*)\s+[A-Z]{2,4}\s+\(\d+\)$""),'Manual Data Import'!B994) &amp; CHAR(10) &amp; 
IFERROR(REGEXREPLACE('Manual Data Import'!C994, ""\d+$"", """")) &amp;"" - ""&amp; 
IFERROR(REGEXEXTRACT('Manual Data Import'!B994, ""([A-Z"&amp;"]{2,4})\s+\(\d+\)$"")) &amp; "" (""&amp; 
IFERROR(REGEXEXTRACT('Manual Data Import'!B994, ""\((\d+)\)"")) &amp; "")"""),"
 -  ()")</f>
        <v>
 -  ()</v>
      </c>
      <c r="B994" s="30" t="str">
        <f>IFERROR(IF(COUNTIF('Draft Board'!$C$3:$V$24,A994)+COUNTIF(Keepers!$B$2:$U$21,A994)+COUNTIF('Auction Draft Board'!$C$6:$AP$25,A994)&gt;0,"",A994),"")</f>
        <v/>
      </c>
    </row>
    <row r="995">
      <c r="A995" t="str">
        <f>IFERROR(__xludf.DUMMYFUNCTION("IFERROR(REGEXEXTRACT('Manual Data Import'!B995, ""^(.*)\s+[A-Z]{2,4}\s+\(\d+\)$""),'Manual Data Import'!B995) &amp; CHAR(10) &amp; 
IFERROR(REGEXREPLACE('Manual Data Import'!C995, ""\d+$"", """")) &amp;"" - ""&amp; 
IFERROR(REGEXEXTRACT('Manual Data Import'!B995, ""([A-Z"&amp;"]{2,4})\s+\(\d+\)$"")) &amp; "" (""&amp; 
IFERROR(REGEXEXTRACT('Manual Data Import'!B995, ""\((\d+)\)"")) &amp; "")"""),"
 -  ()")</f>
        <v>
 -  ()</v>
      </c>
      <c r="B995" s="30" t="str">
        <f>IFERROR(IF(COUNTIF('Draft Board'!$C$3:$V$24,A995)+COUNTIF(Keepers!$B$2:$U$21,A995)+COUNTIF('Auction Draft Board'!$C$6:$AP$25,A995)&gt;0,"",A995),"")</f>
        <v/>
      </c>
    </row>
    <row r="996">
      <c r="A996" t="str">
        <f>IFERROR(__xludf.DUMMYFUNCTION("IFERROR(REGEXEXTRACT('Manual Data Import'!B996, ""^(.*)\s+[A-Z]{2,4}\s+\(\d+\)$""),'Manual Data Import'!B996) &amp; CHAR(10) &amp; 
IFERROR(REGEXREPLACE('Manual Data Import'!C996, ""\d+$"", """")) &amp;"" - ""&amp; 
IFERROR(REGEXEXTRACT('Manual Data Import'!B996, ""([A-Z"&amp;"]{2,4})\s+\(\d+\)$"")) &amp; "" (""&amp; 
IFERROR(REGEXEXTRACT('Manual Data Import'!B996, ""\((\d+)\)"")) &amp; "")"""),"
 -  ()")</f>
        <v>
 -  ()</v>
      </c>
      <c r="B996" s="30" t="str">
        <f>IFERROR(IF(COUNTIF('Draft Board'!$C$3:$V$24,A996)+COUNTIF(Keepers!$B$2:$U$21,A996)+COUNTIF('Auction Draft Board'!$C$6:$AP$25,A996)&gt;0,"",A996),"")</f>
        <v/>
      </c>
    </row>
    <row r="997">
      <c r="A997" t="str">
        <f>IFERROR(__xludf.DUMMYFUNCTION("IFERROR(REGEXEXTRACT('Manual Data Import'!B997, ""^(.*)\s+[A-Z]{2,4}\s+\(\d+\)$""),'Manual Data Import'!B997) &amp; CHAR(10) &amp; 
IFERROR(REGEXREPLACE('Manual Data Import'!C997, ""\d+$"", """")) &amp;"" - ""&amp; 
IFERROR(REGEXEXTRACT('Manual Data Import'!B997, ""([A-Z"&amp;"]{2,4})\s+\(\d+\)$"")) &amp; "" (""&amp; 
IFERROR(REGEXEXTRACT('Manual Data Import'!B997, ""\((\d+)\)"")) &amp; "")"""),"
 -  ()")</f>
        <v>
 -  ()</v>
      </c>
      <c r="B997" s="30" t="str">
        <f>IFERROR(IF(COUNTIF('Draft Board'!$C$3:$V$24,A997)+COUNTIF(Keepers!$B$2:$U$21,A997)+COUNTIF('Auction Draft Board'!$C$6:$AP$25,A997)&gt;0,"",A997),"")</f>
        <v/>
      </c>
    </row>
    <row r="998">
      <c r="A998" t="str">
        <f>IFERROR(__xludf.DUMMYFUNCTION("IFERROR(REGEXEXTRACT('Manual Data Import'!B998, ""^(.*)\s+[A-Z]{2,4}\s+\(\d+\)$""),'Manual Data Import'!B998) &amp; CHAR(10) &amp; 
IFERROR(REGEXREPLACE('Manual Data Import'!C998, ""\d+$"", """")) &amp;"" - ""&amp; 
IFERROR(REGEXEXTRACT('Manual Data Import'!B998, ""([A-Z"&amp;"]{2,4})\s+\(\d+\)$"")) &amp; "" (""&amp; 
IFERROR(REGEXEXTRACT('Manual Data Import'!B998, ""\((\d+)\)"")) &amp; "")"""),"
 -  ()")</f>
        <v>
 -  ()</v>
      </c>
      <c r="B998" s="30" t="str">
        <f>IFERROR(IF(COUNTIF('Draft Board'!$C$3:$V$24,A998)+COUNTIF(Keepers!$B$2:$U$21,A998)+COUNTIF('Auction Draft Board'!$C$6:$AP$25,A998)&gt;0,"",A998),"")</f>
        <v/>
      </c>
    </row>
    <row r="999">
      <c r="A999" t="str">
        <f>IFERROR(__xludf.DUMMYFUNCTION("IFERROR(REGEXEXTRACT('Manual Data Import'!B999, ""^(.*)\s+[A-Z]{2,4}\s+\(\d+\)$""),'Manual Data Import'!B999) &amp; CHAR(10) &amp; 
IFERROR(REGEXREPLACE('Manual Data Import'!C999, ""\d+$"", """")) &amp;"" - ""&amp; 
IFERROR(REGEXEXTRACT('Manual Data Import'!B999, ""([A-Z"&amp;"]{2,4})\s+\(\d+\)$"")) &amp; "" (""&amp; 
IFERROR(REGEXEXTRACT('Manual Data Import'!B999, ""\((\d+)\)"")) &amp; "")"""),"
 -  ()")</f>
        <v>
 -  ()</v>
      </c>
      <c r="B999" s="30" t="str">
        <f>IFERROR(IF(COUNTIF('Draft Board'!$C$3:$V$24,A999)+COUNTIF(Keepers!$B$2:$U$21,A999)+COUNTIF('Auction Draft Board'!$C$6:$AP$25,A999)&gt;0,"",A999),"")</f>
        <v/>
      </c>
    </row>
    <row r="1000">
      <c r="A1000" t="str">
        <f>IFERROR(__xludf.DUMMYFUNCTION("IFERROR(REGEXEXTRACT('Manual Data Import'!B1000, ""^(.*)\s+[A-Z]{2,4}\s+\(\d+\)$""),'Manual Data Import'!B1000) &amp; CHAR(10) &amp; 
IFERROR(REGEXREPLACE('Manual Data Import'!C1000, ""\d+$"", """")) &amp;"" - ""&amp; 
IFERROR(REGEXEXTRACT('Manual Data Import'!B1000, ""("&amp;"[A-Z]{2,4})\s+\(\d+\)$"")) &amp; "" (""&amp; 
IFERROR(REGEXEXTRACT('Manual Data Import'!B1000, ""\((\d+)\)"")) &amp; "")"""),"
 -  ()")</f>
        <v>
 -  ()</v>
      </c>
      <c r="B1000" s="30" t="str">
        <f>IFERROR(IF(COUNTIF('Draft Board'!$C$3:$V$24,A1000)+COUNTIF(Keepers!$B$2:$U$21,A1000)+COUNTIF('Auction Draft Board'!$C$6:$AP$25,A1000)&gt;0,"",A1000),"")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4.13"/>
    <col customWidth="1" min="3" max="20" width="3.75"/>
    <col customWidth="1" min="21" max="21" width="3.88"/>
    <col customWidth="1" min="22" max="22" width="9.25"/>
    <col customWidth="1" min="23" max="24" width="6.38"/>
    <col customWidth="1" min="25" max="25" width="7.0"/>
    <col customWidth="1" min="26" max="30" width="6.38"/>
    <col customWidth="1" min="31" max="31" width="7.25"/>
    <col customWidth="1" min="32" max="32" width="7.13"/>
    <col customWidth="1" min="33" max="41" width="7.25"/>
  </cols>
  <sheetData>
    <row r="1">
      <c r="A1" s="32">
        <v>1.0</v>
      </c>
      <c r="B1">
        <v>2.0</v>
      </c>
      <c r="C1">
        <v>3.0</v>
      </c>
      <c r="D1">
        <v>4.0</v>
      </c>
      <c r="E1">
        <v>5.0</v>
      </c>
      <c r="F1">
        <v>6.0</v>
      </c>
      <c r="G1">
        <v>7.0</v>
      </c>
      <c r="H1">
        <v>8.0</v>
      </c>
      <c r="I1">
        <v>9.0</v>
      </c>
      <c r="J1">
        <v>10.0</v>
      </c>
      <c r="K1">
        <v>11.0</v>
      </c>
      <c r="L1">
        <v>12.0</v>
      </c>
      <c r="M1">
        <v>13.0</v>
      </c>
      <c r="N1">
        <v>14.0</v>
      </c>
      <c r="O1">
        <v>15.0</v>
      </c>
      <c r="P1">
        <v>16.0</v>
      </c>
      <c r="Q1">
        <v>17.0</v>
      </c>
      <c r="R1">
        <v>18.0</v>
      </c>
      <c r="S1">
        <v>19.0</v>
      </c>
      <c r="T1">
        <v>20.0</v>
      </c>
      <c r="V1">
        <f>IF(ISBLANK('Draft Board'!C3),A1,"")</f>
        <v>1</v>
      </c>
      <c r="W1">
        <f>IF(ISBLANK('Draft Board'!D3),B1,"")</f>
        <v>2</v>
      </c>
      <c r="X1">
        <f>IF(ISBLANK('Draft Board'!E3),C1,"")</f>
        <v>3</v>
      </c>
      <c r="Y1">
        <f>IF(ISBLANK('Draft Board'!F3),D1,"")</f>
        <v>4</v>
      </c>
      <c r="Z1">
        <f>IF(ISBLANK('Draft Board'!G3),E1,"")</f>
        <v>5</v>
      </c>
      <c r="AA1">
        <f>IF(ISBLANK('Draft Board'!H3),F1,"")</f>
        <v>6</v>
      </c>
      <c r="AB1">
        <f>IF(ISBLANK('Draft Board'!I3),G1,"")</f>
        <v>7</v>
      </c>
      <c r="AC1">
        <f>IF(ISBLANK('Draft Board'!J3),H1,"")</f>
        <v>8</v>
      </c>
      <c r="AD1">
        <f>IF(ISBLANK('Draft Board'!K3),I1,"")</f>
        <v>9</v>
      </c>
      <c r="AE1">
        <f>IF(ISBLANK('Draft Board'!L3),J1,"")</f>
        <v>10</v>
      </c>
      <c r="AF1">
        <f>IF(ISBLANK('Draft Board'!M3),K1,"")</f>
        <v>11</v>
      </c>
      <c r="AG1">
        <f>IF(ISBLANK('Draft Board'!N3),L1,"")</f>
        <v>12</v>
      </c>
      <c r="AH1">
        <f>IF(ISBLANK('Draft Board'!O3),M1,"")</f>
        <v>13</v>
      </c>
      <c r="AI1">
        <f>IF(ISBLANK('Draft Board'!P3),N1,"")</f>
        <v>14</v>
      </c>
      <c r="AJ1">
        <f>IF(ISBLANK('Draft Board'!Q3),O1,"")</f>
        <v>15</v>
      </c>
      <c r="AK1">
        <f>IF(ISBLANK('Draft Board'!R3),P1,"")</f>
        <v>16</v>
      </c>
      <c r="AL1">
        <f>IF(ISBLANK('Draft Board'!S3),Q1,"")</f>
        <v>17</v>
      </c>
      <c r="AM1">
        <f>IF(ISBLANK('Draft Board'!T3),R1,"")</f>
        <v>18</v>
      </c>
      <c r="AN1">
        <f>IF(ISBLANK('Draft Board'!U3),S1,"")</f>
        <v>19</v>
      </c>
      <c r="AO1">
        <f>IF(ISBLANK('Draft Board'!V3),T1,"")</f>
        <v>20</v>
      </c>
    </row>
    <row r="2">
      <c r="A2">
        <v>40.0</v>
      </c>
      <c r="B2">
        <v>39.0</v>
      </c>
      <c r="C2">
        <v>38.0</v>
      </c>
      <c r="D2">
        <v>37.0</v>
      </c>
      <c r="E2">
        <v>36.0</v>
      </c>
      <c r="F2">
        <v>35.0</v>
      </c>
      <c r="G2">
        <v>34.0</v>
      </c>
      <c r="H2">
        <v>33.0</v>
      </c>
      <c r="I2">
        <v>32.0</v>
      </c>
      <c r="J2">
        <v>31.0</v>
      </c>
      <c r="K2">
        <v>30.0</v>
      </c>
      <c r="L2">
        <v>29.0</v>
      </c>
      <c r="M2">
        <v>28.0</v>
      </c>
      <c r="N2">
        <v>27.0</v>
      </c>
      <c r="O2">
        <v>26.0</v>
      </c>
      <c r="P2">
        <v>25.0</v>
      </c>
      <c r="Q2">
        <v>24.0</v>
      </c>
      <c r="R2">
        <v>23.0</v>
      </c>
      <c r="S2">
        <v>22.0</v>
      </c>
      <c r="T2">
        <v>21.0</v>
      </c>
      <c r="V2">
        <f>IF(ISBLANK('Draft Board'!C4),A2,"")</f>
        <v>40</v>
      </c>
      <c r="W2">
        <f>IF(ISBLANK('Draft Board'!D4),B2,"")</f>
        <v>39</v>
      </c>
      <c r="X2">
        <f>IF(ISBLANK('Draft Board'!E4),C2,"")</f>
        <v>38</v>
      </c>
      <c r="Y2">
        <f>IF(ISBLANK('Draft Board'!F4),D2,"")</f>
        <v>37</v>
      </c>
      <c r="Z2">
        <f>IF(ISBLANK('Draft Board'!G4),E2,"")</f>
        <v>36</v>
      </c>
      <c r="AA2">
        <f>IF(ISBLANK('Draft Board'!H4),F2,"")</f>
        <v>35</v>
      </c>
      <c r="AB2">
        <f>IF(ISBLANK('Draft Board'!I4),G2,"")</f>
        <v>34</v>
      </c>
      <c r="AC2">
        <f>IF(ISBLANK('Draft Board'!J4),H2,"")</f>
        <v>33</v>
      </c>
      <c r="AD2">
        <f>IF(ISBLANK('Draft Board'!K4),I2,"")</f>
        <v>32</v>
      </c>
      <c r="AE2">
        <f>IF(ISBLANK('Draft Board'!L4),J2,"")</f>
        <v>31</v>
      </c>
      <c r="AF2">
        <f>IF(ISBLANK('Draft Board'!M4),K2,"")</f>
        <v>30</v>
      </c>
      <c r="AG2">
        <f>IF(ISBLANK('Draft Board'!N4),L2,"")</f>
        <v>29</v>
      </c>
      <c r="AH2">
        <f>IF(ISBLANK('Draft Board'!O4),M2,"")</f>
        <v>28</v>
      </c>
      <c r="AI2">
        <f>IF(ISBLANK('Draft Board'!P4),N2,"")</f>
        <v>27</v>
      </c>
      <c r="AJ2">
        <f>IF(ISBLANK('Draft Board'!Q4),O2,"")</f>
        <v>26</v>
      </c>
      <c r="AK2">
        <f>IF(ISBLANK('Draft Board'!R4),P2,"")</f>
        <v>25</v>
      </c>
      <c r="AL2">
        <f>IF(ISBLANK('Draft Board'!S4),Q2,"")</f>
        <v>24</v>
      </c>
      <c r="AM2">
        <f>IF(ISBLANK('Draft Board'!T4),R2,"")</f>
        <v>23</v>
      </c>
      <c r="AN2">
        <f>IF(ISBLANK('Draft Board'!U4),S2,"")</f>
        <v>22</v>
      </c>
      <c r="AO2">
        <f>IF(ISBLANK('Draft Board'!V4),T2,"")</f>
        <v>21</v>
      </c>
    </row>
    <row r="3">
      <c r="A3">
        <v>41.0</v>
      </c>
      <c r="B3">
        <v>42.0</v>
      </c>
      <c r="C3">
        <v>43.0</v>
      </c>
      <c r="D3">
        <v>44.0</v>
      </c>
      <c r="E3">
        <v>45.0</v>
      </c>
      <c r="F3">
        <v>46.0</v>
      </c>
      <c r="G3">
        <v>47.0</v>
      </c>
      <c r="H3">
        <v>48.0</v>
      </c>
      <c r="I3">
        <v>49.0</v>
      </c>
      <c r="J3">
        <v>50.0</v>
      </c>
      <c r="K3">
        <v>51.0</v>
      </c>
      <c r="L3">
        <v>52.0</v>
      </c>
      <c r="M3">
        <v>53.0</v>
      </c>
      <c r="N3">
        <v>54.0</v>
      </c>
      <c r="O3">
        <v>55.0</v>
      </c>
      <c r="P3">
        <v>56.0</v>
      </c>
      <c r="Q3">
        <v>57.0</v>
      </c>
      <c r="R3">
        <v>58.0</v>
      </c>
      <c r="S3">
        <v>59.0</v>
      </c>
      <c r="T3">
        <v>60.0</v>
      </c>
      <c r="V3">
        <f>IF(ISBLANK('Draft Board'!C5),A3,"")</f>
        <v>41</v>
      </c>
      <c r="W3">
        <f>IF(ISBLANK('Draft Board'!D5),B3,"")</f>
        <v>42</v>
      </c>
      <c r="X3">
        <f>IF(ISBLANK('Draft Board'!E5),C3,"")</f>
        <v>43</v>
      </c>
      <c r="Y3">
        <f>IF(ISBLANK('Draft Board'!F5),D3,"")</f>
        <v>44</v>
      </c>
      <c r="Z3">
        <f>IF(ISBLANK('Draft Board'!G5),E3,"")</f>
        <v>45</v>
      </c>
      <c r="AA3">
        <f>IF(ISBLANK('Draft Board'!H5),F3,"")</f>
        <v>46</v>
      </c>
      <c r="AB3">
        <f>IF(ISBLANK('Draft Board'!I5),G3,"")</f>
        <v>47</v>
      </c>
      <c r="AC3">
        <f>IF(ISBLANK('Draft Board'!J5),H3,"")</f>
        <v>48</v>
      </c>
      <c r="AD3">
        <f>IF(ISBLANK('Draft Board'!K5),I3,"")</f>
        <v>49</v>
      </c>
      <c r="AE3">
        <f>IF(ISBLANK('Draft Board'!L5),J3,"")</f>
        <v>50</v>
      </c>
      <c r="AF3">
        <f>IF(ISBLANK('Draft Board'!M5),K3,"")</f>
        <v>51</v>
      </c>
      <c r="AG3">
        <f>IF(ISBLANK('Draft Board'!N5),L3,"")</f>
        <v>52</v>
      </c>
      <c r="AH3">
        <f>IF(ISBLANK('Draft Board'!O5),M3,"")</f>
        <v>53</v>
      </c>
      <c r="AI3">
        <f>IF(ISBLANK('Draft Board'!P5),N3,"")</f>
        <v>54</v>
      </c>
      <c r="AJ3">
        <f>IF(ISBLANK('Draft Board'!Q5),O3,"")</f>
        <v>55</v>
      </c>
      <c r="AK3">
        <f>IF(ISBLANK('Draft Board'!R5),P3,"")</f>
        <v>56</v>
      </c>
      <c r="AL3">
        <f>IF(ISBLANK('Draft Board'!S5),Q3,"")</f>
        <v>57</v>
      </c>
      <c r="AM3">
        <f>IF(ISBLANK('Draft Board'!T5),R3,"")</f>
        <v>58</v>
      </c>
      <c r="AN3">
        <f>IF(ISBLANK('Draft Board'!U5),S3,"")</f>
        <v>59</v>
      </c>
      <c r="AO3">
        <f>IF(ISBLANK('Draft Board'!V5),T3,"")</f>
        <v>60</v>
      </c>
    </row>
    <row r="4">
      <c r="A4">
        <v>80.0</v>
      </c>
      <c r="B4">
        <v>79.0</v>
      </c>
      <c r="C4">
        <v>78.0</v>
      </c>
      <c r="D4">
        <v>77.0</v>
      </c>
      <c r="E4">
        <v>76.0</v>
      </c>
      <c r="F4">
        <v>75.0</v>
      </c>
      <c r="G4">
        <v>74.0</v>
      </c>
      <c r="H4">
        <v>73.0</v>
      </c>
      <c r="I4">
        <v>72.0</v>
      </c>
      <c r="J4">
        <v>71.0</v>
      </c>
      <c r="K4">
        <v>70.0</v>
      </c>
      <c r="L4">
        <v>69.0</v>
      </c>
      <c r="M4">
        <v>68.0</v>
      </c>
      <c r="N4">
        <v>67.0</v>
      </c>
      <c r="O4">
        <v>66.0</v>
      </c>
      <c r="P4">
        <v>65.0</v>
      </c>
      <c r="Q4">
        <v>64.0</v>
      </c>
      <c r="R4">
        <v>63.0</v>
      </c>
      <c r="S4">
        <v>62.0</v>
      </c>
      <c r="T4">
        <v>61.0</v>
      </c>
      <c r="V4">
        <f>IF(ISBLANK('Draft Board'!C6),A4,"")</f>
        <v>80</v>
      </c>
      <c r="W4">
        <f>IF(ISBLANK('Draft Board'!D6),B4,"")</f>
        <v>79</v>
      </c>
      <c r="X4">
        <f>IF(ISBLANK('Draft Board'!E6),C4,"")</f>
        <v>78</v>
      </c>
      <c r="Y4">
        <f>IF(ISBLANK('Draft Board'!F6),D4,"")</f>
        <v>77</v>
      </c>
      <c r="Z4">
        <f>IF(ISBLANK('Draft Board'!G6),E4,"")</f>
        <v>76</v>
      </c>
      <c r="AA4">
        <f>IF(ISBLANK('Draft Board'!H6),F4,"")</f>
        <v>75</v>
      </c>
      <c r="AB4">
        <f>IF(ISBLANK('Draft Board'!I6),G4,"")</f>
        <v>74</v>
      </c>
      <c r="AC4">
        <f>IF(ISBLANK('Draft Board'!J6),H4,"")</f>
        <v>73</v>
      </c>
      <c r="AD4">
        <f>IF(ISBLANK('Draft Board'!K6),I4,"")</f>
        <v>72</v>
      </c>
      <c r="AE4">
        <f>IF(ISBLANK('Draft Board'!L6),J4,"")</f>
        <v>71</v>
      </c>
      <c r="AF4">
        <f>IF(ISBLANK('Draft Board'!M6),K4,"")</f>
        <v>70</v>
      </c>
      <c r="AG4">
        <f>IF(ISBLANK('Draft Board'!N6),L4,"")</f>
        <v>69</v>
      </c>
      <c r="AH4">
        <f>IF(ISBLANK('Draft Board'!O6),M4,"")</f>
        <v>68</v>
      </c>
      <c r="AI4">
        <f>IF(ISBLANK('Draft Board'!P6),N4,"")</f>
        <v>67</v>
      </c>
      <c r="AJ4">
        <f>IF(ISBLANK('Draft Board'!Q6),O4,"")</f>
        <v>66</v>
      </c>
      <c r="AK4">
        <f>IF(ISBLANK('Draft Board'!R6),P4,"")</f>
        <v>65</v>
      </c>
      <c r="AL4">
        <f>IF(ISBLANK('Draft Board'!S6),Q4,"")</f>
        <v>64</v>
      </c>
      <c r="AM4">
        <f>IF(ISBLANK('Draft Board'!T6),R4,"")</f>
        <v>63</v>
      </c>
      <c r="AN4">
        <f>IF(ISBLANK('Draft Board'!U6),S4,"")</f>
        <v>62</v>
      </c>
      <c r="AO4">
        <f>IF(ISBLANK('Draft Board'!V6),T4,"")</f>
        <v>61</v>
      </c>
    </row>
    <row r="5">
      <c r="A5">
        <v>81.0</v>
      </c>
      <c r="B5">
        <v>82.0</v>
      </c>
      <c r="C5">
        <v>83.0</v>
      </c>
      <c r="D5">
        <v>84.0</v>
      </c>
      <c r="E5">
        <v>85.0</v>
      </c>
      <c r="F5">
        <v>86.0</v>
      </c>
      <c r="G5">
        <v>87.0</v>
      </c>
      <c r="H5">
        <v>88.0</v>
      </c>
      <c r="I5">
        <v>89.0</v>
      </c>
      <c r="J5">
        <v>90.0</v>
      </c>
      <c r="K5">
        <v>91.0</v>
      </c>
      <c r="L5">
        <v>92.0</v>
      </c>
      <c r="M5">
        <v>93.0</v>
      </c>
      <c r="N5">
        <v>94.0</v>
      </c>
      <c r="O5">
        <v>95.0</v>
      </c>
      <c r="P5">
        <v>96.0</v>
      </c>
      <c r="Q5">
        <v>97.0</v>
      </c>
      <c r="R5">
        <v>98.0</v>
      </c>
      <c r="S5">
        <v>99.0</v>
      </c>
      <c r="T5">
        <v>100.0</v>
      </c>
      <c r="V5">
        <f>IF(ISBLANK('Draft Board'!C7),A5,"")</f>
        <v>81</v>
      </c>
      <c r="W5">
        <f>IF(ISBLANK('Draft Board'!D7),B5,"")</f>
        <v>82</v>
      </c>
      <c r="X5">
        <f>IF(ISBLANK('Draft Board'!E7),C5,"")</f>
        <v>83</v>
      </c>
      <c r="Y5">
        <f>IF(ISBLANK('Draft Board'!F7),D5,"")</f>
        <v>84</v>
      </c>
      <c r="Z5">
        <f>IF(ISBLANK('Draft Board'!G7),E5,"")</f>
        <v>85</v>
      </c>
      <c r="AA5">
        <f>IF(ISBLANK('Draft Board'!H7),F5,"")</f>
        <v>86</v>
      </c>
      <c r="AB5">
        <f>IF(ISBLANK('Draft Board'!I7),G5,"")</f>
        <v>87</v>
      </c>
      <c r="AC5">
        <f>IF(ISBLANK('Draft Board'!J7),H5,"")</f>
        <v>88</v>
      </c>
      <c r="AD5">
        <f>IF(ISBLANK('Draft Board'!K7),I5,"")</f>
        <v>89</v>
      </c>
      <c r="AE5">
        <f>IF(ISBLANK('Draft Board'!L7),J5,"")</f>
        <v>90</v>
      </c>
      <c r="AF5">
        <f>IF(ISBLANK('Draft Board'!M7),K5,"")</f>
        <v>91</v>
      </c>
      <c r="AG5">
        <f>IF(ISBLANK('Draft Board'!N7),L5,"")</f>
        <v>92</v>
      </c>
      <c r="AH5">
        <f>IF(ISBLANK('Draft Board'!O7),M5,"")</f>
        <v>93</v>
      </c>
      <c r="AI5">
        <f>IF(ISBLANK('Draft Board'!P7),N5,"")</f>
        <v>94</v>
      </c>
      <c r="AJ5">
        <f>IF(ISBLANK('Draft Board'!Q7),O5,"")</f>
        <v>95</v>
      </c>
      <c r="AK5">
        <f>IF(ISBLANK('Draft Board'!R7),P5,"")</f>
        <v>96</v>
      </c>
      <c r="AL5">
        <f>IF(ISBLANK('Draft Board'!S7),Q5,"")</f>
        <v>97</v>
      </c>
      <c r="AM5">
        <f>IF(ISBLANK('Draft Board'!T7),R5,"")</f>
        <v>98</v>
      </c>
      <c r="AN5">
        <f>IF(ISBLANK('Draft Board'!U7),S5,"")</f>
        <v>99</v>
      </c>
      <c r="AO5">
        <f>IF(ISBLANK('Draft Board'!V7),T5,"")</f>
        <v>100</v>
      </c>
    </row>
    <row r="6">
      <c r="A6">
        <v>120.0</v>
      </c>
      <c r="B6">
        <v>119.0</v>
      </c>
      <c r="C6">
        <v>118.0</v>
      </c>
      <c r="D6">
        <v>117.0</v>
      </c>
      <c r="E6">
        <v>116.0</v>
      </c>
      <c r="F6">
        <v>115.0</v>
      </c>
      <c r="G6">
        <v>114.0</v>
      </c>
      <c r="H6">
        <v>113.0</v>
      </c>
      <c r="I6">
        <v>112.0</v>
      </c>
      <c r="J6">
        <v>111.0</v>
      </c>
      <c r="K6">
        <v>110.0</v>
      </c>
      <c r="L6">
        <v>109.0</v>
      </c>
      <c r="M6">
        <v>108.0</v>
      </c>
      <c r="N6">
        <v>107.0</v>
      </c>
      <c r="O6">
        <v>106.0</v>
      </c>
      <c r="P6">
        <v>105.0</v>
      </c>
      <c r="Q6">
        <v>104.0</v>
      </c>
      <c r="R6">
        <v>103.0</v>
      </c>
      <c r="S6">
        <v>102.0</v>
      </c>
      <c r="T6">
        <v>101.0</v>
      </c>
      <c r="V6">
        <f>IF(ISBLANK('Draft Board'!C8),A6,"")</f>
        <v>120</v>
      </c>
      <c r="W6">
        <f>IF(ISBLANK('Draft Board'!D8),B6,"")</f>
        <v>119</v>
      </c>
      <c r="X6">
        <f>IF(ISBLANK('Draft Board'!E8),C6,"")</f>
        <v>118</v>
      </c>
      <c r="Y6">
        <f>IF(ISBLANK('Draft Board'!F8),D6,"")</f>
        <v>117</v>
      </c>
      <c r="Z6">
        <f>IF(ISBLANK('Draft Board'!G8),E6,"")</f>
        <v>116</v>
      </c>
      <c r="AA6">
        <f>IF(ISBLANK('Draft Board'!H8),F6,"")</f>
        <v>115</v>
      </c>
      <c r="AB6">
        <f>IF(ISBLANK('Draft Board'!I8),G6,"")</f>
        <v>114</v>
      </c>
      <c r="AC6">
        <f>IF(ISBLANK('Draft Board'!J8),H6,"")</f>
        <v>113</v>
      </c>
      <c r="AD6">
        <f>IF(ISBLANK('Draft Board'!K8),I6,"")</f>
        <v>112</v>
      </c>
      <c r="AE6">
        <f>IF(ISBLANK('Draft Board'!L8),J6,"")</f>
        <v>111</v>
      </c>
      <c r="AF6">
        <f>IF(ISBLANK('Draft Board'!M8),K6,"")</f>
        <v>110</v>
      </c>
      <c r="AG6">
        <f>IF(ISBLANK('Draft Board'!N8),L6,"")</f>
        <v>109</v>
      </c>
      <c r="AH6">
        <f>IF(ISBLANK('Draft Board'!O8),M6,"")</f>
        <v>108</v>
      </c>
      <c r="AI6">
        <f>IF(ISBLANK('Draft Board'!P8),N6,"")</f>
        <v>107</v>
      </c>
      <c r="AJ6">
        <f>IF(ISBLANK('Draft Board'!Q8),O6,"")</f>
        <v>106</v>
      </c>
      <c r="AK6">
        <f>IF(ISBLANK('Draft Board'!R8),P6,"")</f>
        <v>105</v>
      </c>
      <c r="AL6">
        <f>IF(ISBLANK('Draft Board'!S8),Q6,"")</f>
        <v>104</v>
      </c>
      <c r="AM6">
        <f>IF(ISBLANK('Draft Board'!T8),R6,"")</f>
        <v>103</v>
      </c>
      <c r="AN6">
        <f>IF(ISBLANK('Draft Board'!U8),S6,"")</f>
        <v>102</v>
      </c>
      <c r="AO6">
        <f>IF(ISBLANK('Draft Board'!V8),T6,"")</f>
        <v>101</v>
      </c>
    </row>
    <row r="7">
      <c r="A7">
        <v>121.0</v>
      </c>
      <c r="B7">
        <v>122.0</v>
      </c>
      <c r="C7">
        <v>123.0</v>
      </c>
      <c r="D7">
        <v>124.0</v>
      </c>
      <c r="E7">
        <v>125.0</v>
      </c>
      <c r="F7">
        <v>126.0</v>
      </c>
      <c r="G7">
        <v>127.0</v>
      </c>
      <c r="H7">
        <v>128.0</v>
      </c>
      <c r="I7">
        <v>129.0</v>
      </c>
      <c r="J7">
        <v>130.0</v>
      </c>
      <c r="K7">
        <v>131.0</v>
      </c>
      <c r="L7">
        <v>132.0</v>
      </c>
      <c r="M7">
        <v>133.0</v>
      </c>
      <c r="N7">
        <v>134.0</v>
      </c>
      <c r="O7">
        <v>135.0</v>
      </c>
      <c r="P7">
        <v>136.0</v>
      </c>
      <c r="Q7">
        <v>137.0</v>
      </c>
      <c r="R7">
        <v>138.0</v>
      </c>
      <c r="S7">
        <v>139.0</v>
      </c>
      <c r="T7">
        <v>140.0</v>
      </c>
      <c r="V7">
        <f>IF(ISBLANK('Draft Board'!C9),A7,"")</f>
        <v>121</v>
      </c>
      <c r="W7">
        <f>IF(ISBLANK('Draft Board'!D9),B7,"")</f>
        <v>122</v>
      </c>
      <c r="X7">
        <f>IF(ISBLANK('Draft Board'!E9),C7,"")</f>
        <v>123</v>
      </c>
      <c r="Y7">
        <f>IF(ISBLANK('Draft Board'!F9),D7,"")</f>
        <v>124</v>
      </c>
      <c r="Z7">
        <f>IF(ISBLANK('Draft Board'!G9),E7,"")</f>
        <v>125</v>
      </c>
      <c r="AA7">
        <f>IF(ISBLANK('Draft Board'!H9),F7,"")</f>
        <v>126</v>
      </c>
      <c r="AB7">
        <f>IF(ISBLANK('Draft Board'!I9),G7,"")</f>
        <v>127</v>
      </c>
      <c r="AC7">
        <f>IF(ISBLANK('Draft Board'!J9),H7,"")</f>
        <v>128</v>
      </c>
      <c r="AD7">
        <f>IF(ISBLANK('Draft Board'!K9),I7,"")</f>
        <v>129</v>
      </c>
      <c r="AE7">
        <f>IF(ISBLANK('Draft Board'!L9),J7,"")</f>
        <v>130</v>
      </c>
      <c r="AF7">
        <f>IF(ISBLANK('Draft Board'!M9),K7,"")</f>
        <v>131</v>
      </c>
      <c r="AG7">
        <f>IF(ISBLANK('Draft Board'!N9),L7,"")</f>
        <v>132</v>
      </c>
      <c r="AH7">
        <f>IF(ISBLANK('Draft Board'!O9),M7,"")</f>
        <v>133</v>
      </c>
      <c r="AI7">
        <f>IF(ISBLANK('Draft Board'!P9),N7,"")</f>
        <v>134</v>
      </c>
      <c r="AJ7">
        <f>IF(ISBLANK('Draft Board'!Q9),O7,"")</f>
        <v>135</v>
      </c>
      <c r="AK7">
        <f>IF(ISBLANK('Draft Board'!R9),P7,"")</f>
        <v>136</v>
      </c>
      <c r="AL7">
        <f>IF(ISBLANK('Draft Board'!S9),Q7,"")</f>
        <v>137</v>
      </c>
      <c r="AM7">
        <f>IF(ISBLANK('Draft Board'!T9),R7,"")</f>
        <v>138</v>
      </c>
      <c r="AN7">
        <f>IF(ISBLANK('Draft Board'!U9),S7,"")</f>
        <v>139</v>
      </c>
      <c r="AO7">
        <f>IF(ISBLANK('Draft Board'!V9),T7,"")</f>
        <v>140</v>
      </c>
    </row>
    <row r="8">
      <c r="A8">
        <v>160.0</v>
      </c>
      <c r="B8">
        <v>159.0</v>
      </c>
      <c r="C8">
        <v>158.0</v>
      </c>
      <c r="D8">
        <v>157.0</v>
      </c>
      <c r="E8">
        <v>156.0</v>
      </c>
      <c r="F8">
        <v>155.0</v>
      </c>
      <c r="G8">
        <v>154.0</v>
      </c>
      <c r="H8">
        <v>153.0</v>
      </c>
      <c r="I8">
        <v>152.0</v>
      </c>
      <c r="J8">
        <v>151.0</v>
      </c>
      <c r="K8">
        <v>150.0</v>
      </c>
      <c r="L8">
        <v>149.0</v>
      </c>
      <c r="M8">
        <v>148.0</v>
      </c>
      <c r="N8">
        <v>147.0</v>
      </c>
      <c r="O8">
        <v>146.0</v>
      </c>
      <c r="P8">
        <v>145.0</v>
      </c>
      <c r="Q8">
        <v>144.0</v>
      </c>
      <c r="R8">
        <v>143.0</v>
      </c>
      <c r="S8">
        <v>142.0</v>
      </c>
      <c r="T8">
        <v>141.0</v>
      </c>
      <c r="V8">
        <f>IF(ISBLANK('Draft Board'!C10),A8,"")</f>
        <v>160</v>
      </c>
      <c r="W8">
        <f>IF(ISBLANK('Draft Board'!D10),B8,"")</f>
        <v>159</v>
      </c>
      <c r="X8">
        <f>IF(ISBLANK('Draft Board'!E10),C8,"")</f>
        <v>158</v>
      </c>
      <c r="Y8">
        <f>IF(ISBLANK('Draft Board'!F10),D8,"")</f>
        <v>157</v>
      </c>
      <c r="Z8">
        <f>IF(ISBLANK('Draft Board'!G10),E8,"")</f>
        <v>156</v>
      </c>
      <c r="AA8">
        <f>IF(ISBLANK('Draft Board'!H10),F8,"")</f>
        <v>155</v>
      </c>
      <c r="AB8">
        <f>IF(ISBLANK('Draft Board'!I10),G8,"")</f>
        <v>154</v>
      </c>
      <c r="AC8">
        <f>IF(ISBLANK('Draft Board'!J10),H8,"")</f>
        <v>153</v>
      </c>
      <c r="AD8">
        <f>IF(ISBLANK('Draft Board'!K10),I8,"")</f>
        <v>152</v>
      </c>
      <c r="AE8">
        <f>IF(ISBLANK('Draft Board'!L10),J8,"")</f>
        <v>151</v>
      </c>
      <c r="AF8">
        <f>IF(ISBLANK('Draft Board'!M10),K8,"")</f>
        <v>150</v>
      </c>
      <c r="AG8">
        <f>IF(ISBLANK('Draft Board'!N10),L8,"")</f>
        <v>149</v>
      </c>
      <c r="AH8">
        <f>IF(ISBLANK('Draft Board'!O10),M8,"")</f>
        <v>148</v>
      </c>
      <c r="AI8">
        <f>IF(ISBLANK('Draft Board'!P10),N8,"")</f>
        <v>147</v>
      </c>
      <c r="AJ8">
        <f>IF(ISBLANK('Draft Board'!Q10),O8,"")</f>
        <v>146</v>
      </c>
      <c r="AK8">
        <f>IF(ISBLANK('Draft Board'!R10),P8,"")</f>
        <v>145</v>
      </c>
      <c r="AL8">
        <f>IF(ISBLANK('Draft Board'!S10),Q8,"")</f>
        <v>144</v>
      </c>
      <c r="AM8">
        <f>IF(ISBLANK('Draft Board'!T10),R8,"")</f>
        <v>143</v>
      </c>
      <c r="AN8">
        <f>IF(ISBLANK('Draft Board'!U10),S8,"")</f>
        <v>142</v>
      </c>
      <c r="AO8">
        <f>IF(ISBLANK('Draft Board'!V10),T8,"")</f>
        <v>141</v>
      </c>
    </row>
    <row r="9">
      <c r="A9">
        <v>161.0</v>
      </c>
      <c r="B9">
        <v>162.0</v>
      </c>
      <c r="C9">
        <v>163.0</v>
      </c>
      <c r="D9">
        <v>164.0</v>
      </c>
      <c r="E9">
        <v>165.0</v>
      </c>
      <c r="F9">
        <v>166.0</v>
      </c>
      <c r="G9">
        <v>167.0</v>
      </c>
      <c r="H9">
        <v>168.0</v>
      </c>
      <c r="I9">
        <v>169.0</v>
      </c>
      <c r="J9">
        <v>170.0</v>
      </c>
      <c r="K9">
        <v>171.0</v>
      </c>
      <c r="L9">
        <v>172.0</v>
      </c>
      <c r="M9">
        <v>173.0</v>
      </c>
      <c r="N9">
        <v>174.0</v>
      </c>
      <c r="O9">
        <v>175.0</v>
      </c>
      <c r="P9">
        <v>176.0</v>
      </c>
      <c r="Q9">
        <v>177.0</v>
      </c>
      <c r="R9">
        <v>178.0</v>
      </c>
      <c r="S9">
        <v>179.0</v>
      </c>
      <c r="T9">
        <v>180.0</v>
      </c>
      <c r="V9">
        <f>IF(ISBLANK('Draft Board'!C11),A9,"")</f>
        <v>161</v>
      </c>
      <c r="W9">
        <f>IF(ISBLANK('Draft Board'!D11),B9,"")</f>
        <v>162</v>
      </c>
      <c r="X9">
        <f>IF(ISBLANK('Draft Board'!E11),C9,"")</f>
        <v>163</v>
      </c>
      <c r="Y9">
        <f>IF(ISBLANK('Draft Board'!F11),D9,"")</f>
        <v>164</v>
      </c>
      <c r="Z9">
        <f>IF(ISBLANK('Draft Board'!G11),E9,"")</f>
        <v>165</v>
      </c>
      <c r="AA9">
        <f>IF(ISBLANK('Draft Board'!H11),F9,"")</f>
        <v>166</v>
      </c>
      <c r="AB9">
        <f>IF(ISBLANK('Draft Board'!I11),G9,"")</f>
        <v>167</v>
      </c>
      <c r="AC9">
        <f>IF(ISBLANK('Draft Board'!J11),H9,"")</f>
        <v>168</v>
      </c>
      <c r="AD9">
        <f>IF(ISBLANK('Draft Board'!K11),I9,"")</f>
        <v>169</v>
      </c>
      <c r="AE9">
        <f>IF(ISBLANK('Draft Board'!L11),J9,"")</f>
        <v>170</v>
      </c>
      <c r="AF9">
        <f>IF(ISBLANK('Draft Board'!M11),K9,"")</f>
        <v>171</v>
      </c>
      <c r="AG9">
        <f>IF(ISBLANK('Draft Board'!N11),L9,"")</f>
        <v>172</v>
      </c>
      <c r="AH9">
        <f>IF(ISBLANK('Draft Board'!O11),M9,"")</f>
        <v>173</v>
      </c>
      <c r="AI9">
        <f>IF(ISBLANK('Draft Board'!P11),N9,"")</f>
        <v>174</v>
      </c>
      <c r="AJ9">
        <f>IF(ISBLANK('Draft Board'!Q11),O9,"")</f>
        <v>175</v>
      </c>
      <c r="AK9">
        <f>IF(ISBLANK('Draft Board'!R11),P9,"")</f>
        <v>176</v>
      </c>
      <c r="AL9">
        <f>IF(ISBLANK('Draft Board'!S11),Q9,"")</f>
        <v>177</v>
      </c>
      <c r="AM9">
        <f>IF(ISBLANK('Draft Board'!T11),R9,"")</f>
        <v>178</v>
      </c>
      <c r="AN9">
        <f>IF(ISBLANK('Draft Board'!U11),S9,"")</f>
        <v>179</v>
      </c>
      <c r="AO9">
        <f>IF(ISBLANK('Draft Board'!V11),T9,"")</f>
        <v>180</v>
      </c>
    </row>
    <row r="10">
      <c r="A10">
        <v>200.0</v>
      </c>
      <c r="B10">
        <v>199.0</v>
      </c>
      <c r="C10">
        <v>198.0</v>
      </c>
      <c r="D10">
        <v>197.0</v>
      </c>
      <c r="E10">
        <v>196.0</v>
      </c>
      <c r="F10">
        <v>195.0</v>
      </c>
      <c r="G10">
        <v>194.0</v>
      </c>
      <c r="H10">
        <v>193.0</v>
      </c>
      <c r="I10">
        <v>192.0</v>
      </c>
      <c r="J10">
        <v>191.0</v>
      </c>
      <c r="K10">
        <v>190.0</v>
      </c>
      <c r="L10">
        <v>189.0</v>
      </c>
      <c r="M10">
        <v>188.0</v>
      </c>
      <c r="N10">
        <v>187.0</v>
      </c>
      <c r="O10">
        <v>186.0</v>
      </c>
      <c r="P10">
        <v>185.0</v>
      </c>
      <c r="Q10">
        <v>184.0</v>
      </c>
      <c r="R10">
        <v>183.0</v>
      </c>
      <c r="S10">
        <v>182.0</v>
      </c>
      <c r="T10">
        <v>181.0</v>
      </c>
      <c r="V10">
        <f>IF(ISBLANK('Draft Board'!C12),A10,"")</f>
        <v>200</v>
      </c>
      <c r="W10">
        <f>IF(ISBLANK('Draft Board'!D12),B10,"")</f>
        <v>199</v>
      </c>
      <c r="X10">
        <f>IF(ISBLANK('Draft Board'!E12),C10,"")</f>
        <v>198</v>
      </c>
      <c r="Y10">
        <f>IF(ISBLANK('Draft Board'!F12),D10,"")</f>
        <v>197</v>
      </c>
      <c r="Z10">
        <f>IF(ISBLANK('Draft Board'!G12),E10,"")</f>
        <v>196</v>
      </c>
      <c r="AA10">
        <f>IF(ISBLANK('Draft Board'!H12),F10,"")</f>
        <v>195</v>
      </c>
      <c r="AB10">
        <f>IF(ISBLANK('Draft Board'!I12),G10,"")</f>
        <v>194</v>
      </c>
      <c r="AC10">
        <f>IF(ISBLANK('Draft Board'!J12),H10,"")</f>
        <v>193</v>
      </c>
      <c r="AD10">
        <f>IF(ISBLANK('Draft Board'!K12),I10,"")</f>
        <v>192</v>
      </c>
      <c r="AE10">
        <f>IF(ISBLANK('Draft Board'!L12),J10,"")</f>
        <v>191</v>
      </c>
      <c r="AF10">
        <f>IF(ISBLANK('Draft Board'!M12),K10,"")</f>
        <v>190</v>
      </c>
      <c r="AG10">
        <f>IF(ISBLANK('Draft Board'!N12),L10,"")</f>
        <v>189</v>
      </c>
      <c r="AH10">
        <f>IF(ISBLANK('Draft Board'!O12),M10,"")</f>
        <v>188</v>
      </c>
      <c r="AI10">
        <f>IF(ISBLANK('Draft Board'!P12),N10,"")</f>
        <v>187</v>
      </c>
      <c r="AJ10">
        <f>IF(ISBLANK('Draft Board'!Q12),O10,"")</f>
        <v>186</v>
      </c>
      <c r="AK10">
        <f>IF(ISBLANK('Draft Board'!R12),P10,"")</f>
        <v>185</v>
      </c>
      <c r="AL10">
        <f>IF(ISBLANK('Draft Board'!S12),Q10,"")</f>
        <v>184</v>
      </c>
      <c r="AM10">
        <f>IF(ISBLANK('Draft Board'!T12),R10,"")</f>
        <v>183</v>
      </c>
      <c r="AN10">
        <f>IF(ISBLANK('Draft Board'!U12),S10,"")</f>
        <v>182</v>
      </c>
      <c r="AO10">
        <f>IF(ISBLANK('Draft Board'!V12),T10,"")</f>
        <v>181</v>
      </c>
    </row>
    <row r="11">
      <c r="A11">
        <v>201.0</v>
      </c>
      <c r="B11">
        <v>202.0</v>
      </c>
      <c r="C11">
        <v>203.0</v>
      </c>
      <c r="D11">
        <v>204.0</v>
      </c>
      <c r="E11">
        <v>205.0</v>
      </c>
      <c r="F11">
        <v>206.0</v>
      </c>
      <c r="G11">
        <v>207.0</v>
      </c>
      <c r="H11">
        <v>208.0</v>
      </c>
      <c r="I11">
        <v>209.0</v>
      </c>
      <c r="J11">
        <v>210.0</v>
      </c>
      <c r="K11">
        <v>211.0</v>
      </c>
      <c r="L11">
        <v>212.0</v>
      </c>
      <c r="M11">
        <v>213.0</v>
      </c>
      <c r="N11">
        <v>214.0</v>
      </c>
      <c r="O11">
        <v>215.0</v>
      </c>
      <c r="P11">
        <v>216.0</v>
      </c>
      <c r="Q11">
        <v>217.0</v>
      </c>
      <c r="R11">
        <v>218.0</v>
      </c>
      <c r="S11">
        <v>219.0</v>
      </c>
      <c r="T11">
        <v>220.0</v>
      </c>
      <c r="V11">
        <f>IF(ISBLANK('Draft Board'!C13),A11,"")</f>
        <v>201</v>
      </c>
      <c r="W11">
        <f>IF(ISBLANK('Draft Board'!D13),B11,"")</f>
        <v>202</v>
      </c>
      <c r="X11">
        <f>IF(ISBLANK('Draft Board'!E13),C11,"")</f>
        <v>203</v>
      </c>
      <c r="Y11">
        <f>IF(ISBLANK('Draft Board'!F13),D11,"")</f>
        <v>204</v>
      </c>
      <c r="Z11">
        <f>IF(ISBLANK('Draft Board'!G13),E11,"")</f>
        <v>205</v>
      </c>
      <c r="AA11">
        <f>IF(ISBLANK('Draft Board'!H13),F11,"")</f>
        <v>206</v>
      </c>
      <c r="AB11">
        <f>IF(ISBLANK('Draft Board'!I13),G11,"")</f>
        <v>207</v>
      </c>
      <c r="AC11">
        <f>IF(ISBLANK('Draft Board'!J13),H11,"")</f>
        <v>208</v>
      </c>
      <c r="AD11">
        <f>IF(ISBLANK('Draft Board'!K13),I11,"")</f>
        <v>209</v>
      </c>
      <c r="AE11">
        <f>IF(ISBLANK('Draft Board'!L13),J11,"")</f>
        <v>210</v>
      </c>
      <c r="AF11">
        <f>IF(ISBLANK('Draft Board'!M13),K11,"")</f>
        <v>211</v>
      </c>
      <c r="AG11">
        <f>IF(ISBLANK('Draft Board'!N13),L11,"")</f>
        <v>212</v>
      </c>
      <c r="AH11">
        <f>IF(ISBLANK('Draft Board'!O13),M11,"")</f>
        <v>213</v>
      </c>
      <c r="AI11">
        <f>IF(ISBLANK('Draft Board'!P13),N11,"")</f>
        <v>214</v>
      </c>
      <c r="AJ11">
        <f>IF(ISBLANK('Draft Board'!Q13),O11,"")</f>
        <v>215</v>
      </c>
      <c r="AK11">
        <f>IF(ISBLANK('Draft Board'!R13),P11,"")</f>
        <v>216</v>
      </c>
      <c r="AL11">
        <f>IF(ISBLANK('Draft Board'!S13),Q11,"")</f>
        <v>217</v>
      </c>
      <c r="AM11">
        <f>IF(ISBLANK('Draft Board'!T13),R11,"")</f>
        <v>218</v>
      </c>
      <c r="AN11">
        <f>IF(ISBLANK('Draft Board'!U13),S11,"")</f>
        <v>219</v>
      </c>
      <c r="AO11">
        <f>IF(ISBLANK('Draft Board'!V13),T11,"")</f>
        <v>220</v>
      </c>
    </row>
    <row r="12">
      <c r="A12">
        <v>240.0</v>
      </c>
      <c r="B12">
        <v>239.0</v>
      </c>
      <c r="C12">
        <v>238.0</v>
      </c>
      <c r="D12">
        <v>237.0</v>
      </c>
      <c r="E12">
        <v>236.0</v>
      </c>
      <c r="F12">
        <v>235.0</v>
      </c>
      <c r="G12">
        <v>234.0</v>
      </c>
      <c r="H12">
        <v>233.0</v>
      </c>
      <c r="I12">
        <v>232.0</v>
      </c>
      <c r="J12">
        <v>231.0</v>
      </c>
      <c r="K12">
        <v>230.0</v>
      </c>
      <c r="L12">
        <v>229.0</v>
      </c>
      <c r="M12">
        <v>228.0</v>
      </c>
      <c r="N12">
        <v>227.0</v>
      </c>
      <c r="O12">
        <v>226.0</v>
      </c>
      <c r="P12">
        <v>225.0</v>
      </c>
      <c r="Q12">
        <v>224.0</v>
      </c>
      <c r="R12">
        <v>223.0</v>
      </c>
      <c r="S12">
        <v>222.0</v>
      </c>
      <c r="T12">
        <v>221.0</v>
      </c>
      <c r="V12">
        <f>IF(ISBLANK('Draft Board'!C14),A12,"")</f>
        <v>240</v>
      </c>
      <c r="W12">
        <f>IF(ISBLANK('Draft Board'!D14),B12,"")</f>
        <v>239</v>
      </c>
      <c r="X12">
        <f>IF(ISBLANK('Draft Board'!E14),C12,"")</f>
        <v>238</v>
      </c>
      <c r="Y12">
        <f>IF(ISBLANK('Draft Board'!F14),D12,"")</f>
        <v>237</v>
      </c>
      <c r="Z12">
        <f>IF(ISBLANK('Draft Board'!G14),E12,"")</f>
        <v>236</v>
      </c>
      <c r="AA12">
        <f>IF(ISBLANK('Draft Board'!H14),F12,"")</f>
        <v>235</v>
      </c>
      <c r="AB12">
        <f>IF(ISBLANK('Draft Board'!I14),G12,"")</f>
        <v>234</v>
      </c>
      <c r="AC12">
        <f>IF(ISBLANK('Draft Board'!J14),H12,"")</f>
        <v>233</v>
      </c>
      <c r="AD12">
        <f>IF(ISBLANK('Draft Board'!K14),I12,"")</f>
        <v>232</v>
      </c>
      <c r="AE12">
        <f>IF(ISBLANK('Draft Board'!L14),J12,"")</f>
        <v>231</v>
      </c>
      <c r="AF12">
        <f>IF(ISBLANK('Draft Board'!M14),K12,"")</f>
        <v>230</v>
      </c>
      <c r="AG12">
        <f>IF(ISBLANK('Draft Board'!N14),L12,"")</f>
        <v>229</v>
      </c>
      <c r="AH12">
        <f>IF(ISBLANK('Draft Board'!O14),M12,"")</f>
        <v>228</v>
      </c>
      <c r="AI12">
        <f>IF(ISBLANK('Draft Board'!P14),N12,"")</f>
        <v>227</v>
      </c>
      <c r="AJ12">
        <f>IF(ISBLANK('Draft Board'!Q14),O12,"")</f>
        <v>226</v>
      </c>
      <c r="AK12">
        <f>IF(ISBLANK('Draft Board'!R14),P12,"")</f>
        <v>225</v>
      </c>
      <c r="AL12">
        <f>IF(ISBLANK('Draft Board'!S14),Q12,"")</f>
        <v>224</v>
      </c>
      <c r="AM12">
        <f>IF(ISBLANK('Draft Board'!T14),R12,"")</f>
        <v>223</v>
      </c>
      <c r="AN12">
        <f>IF(ISBLANK('Draft Board'!U14),S12,"")</f>
        <v>222</v>
      </c>
      <c r="AO12">
        <f>IF(ISBLANK('Draft Board'!V14),T12,"")</f>
        <v>221</v>
      </c>
    </row>
    <row r="13">
      <c r="A13">
        <v>241.0</v>
      </c>
      <c r="B13">
        <v>242.0</v>
      </c>
      <c r="C13">
        <v>243.0</v>
      </c>
      <c r="D13">
        <v>244.0</v>
      </c>
      <c r="E13">
        <v>245.0</v>
      </c>
      <c r="F13">
        <v>246.0</v>
      </c>
      <c r="G13">
        <v>247.0</v>
      </c>
      <c r="H13">
        <v>248.0</v>
      </c>
      <c r="I13">
        <v>249.0</v>
      </c>
      <c r="J13">
        <v>250.0</v>
      </c>
      <c r="K13">
        <v>251.0</v>
      </c>
      <c r="L13">
        <v>252.0</v>
      </c>
      <c r="M13">
        <v>253.0</v>
      </c>
      <c r="N13">
        <v>254.0</v>
      </c>
      <c r="O13">
        <v>255.0</v>
      </c>
      <c r="P13">
        <v>256.0</v>
      </c>
      <c r="Q13">
        <v>257.0</v>
      </c>
      <c r="R13">
        <v>258.0</v>
      </c>
      <c r="S13">
        <v>259.0</v>
      </c>
      <c r="T13">
        <v>260.0</v>
      </c>
      <c r="V13">
        <f>IF(ISBLANK('Draft Board'!C15),A13,"")</f>
        <v>241</v>
      </c>
      <c r="W13">
        <f>IF(ISBLANK('Draft Board'!D15),B13,"")</f>
        <v>242</v>
      </c>
      <c r="X13">
        <f>IF(ISBLANK('Draft Board'!E15),C13,"")</f>
        <v>243</v>
      </c>
      <c r="Y13">
        <f>IF(ISBLANK('Draft Board'!F15),D13,"")</f>
        <v>244</v>
      </c>
      <c r="Z13">
        <f>IF(ISBLANK('Draft Board'!G15),E13,"")</f>
        <v>245</v>
      </c>
      <c r="AA13">
        <f>IF(ISBLANK('Draft Board'!H15),F13,"")</f>
        <v>246</v>
      </c>
      <c r="AB13">
        <f>IF(ISBLANK('Draft Board'!I15),G13,"")</f>
        <v>247</v>
      </c>
      <c r="AC13">
        <f>IF(ISBLANK('Draft Board'!J15),H13,"")</f>
        <v>248</v>
      </c>
      <c r="AD13">
        <f>IF(ISBLANK('Draft Board'!K15),I13,"")</f>
        <v>249</v>
      </c>
      <c r="AE13">
        <f>IF(ISBLANK('Draft Board'!L15),J13,"")</f>
        <v>250</v>
      </c>
      <c r="AF13">
        <f>IF(ISBLANK('Draft Board'!M15),K13,"")</f>
        <v>251</v>
      </c>
      <c r="AG13">
        <f>IF(ISBLANK('Draft Board'!N15),L13,"")</f>
        <v>252</v>
      </c>
      <c r="AH13">
        <f>IF(ISBLANK('Draft Board'!O15),M13,"")</f>
        <v>253</v>
      </c>
      <c r="AI13">
        <f>IF(ISBLANK('Draft Board'!P15),N13,"")</f>
        <v>254</v>
      </c>
      <c r="AJ13">
        <f>IF(ISBLANK('Draft Board'!Q15),O13,"")</f>
        <v>255</v>
      </c>
      <c r="AK13">
        <f>IF(ISBLANK('Draft Board'!R15),P13,"")</f>
        <v>256</v>
      </c>
      <c r="AL13">
        <f>IF(ISBLANK('Draft Board'!S15),Q13,"")</f>
        <v>257</v>
      </c>
      <c r="AM13">
        <f>IF(ISBLANK('Draft Board'!T15),R13,"")</f>
        <v>258</v>
      </c>
      <c r="AN13">
        <f>IF(ISBLANK('Draft Board'!U15),S13,"")</f>
        <v>259</v>
      </c>
      <c r="AO13">
        <f>IF(ISBLANK('Draft Board'!V15),T13,"")</f>
        <v>260</v>
      </c>
    </row>
    <row r="14">
      <c r="A14">
        <v>280.0</v>
      </c>
      <c r="B14">
        <v>279.0</v>
      </c>
      <c r="C14">
        <v>278.0</v>
      </c>
      <c r="D14">
        <v>277.0</v>
      </c>
      <c r="E14">
        <v>276.0</v>
      </c>
      <c r="F14">
        <v>275.0</v>
      </c>
      <c r="G14">
        <v>274.0</v>
      </c>
      <c r="H14">
        <v>273.0</v>
      </c>
      <c r="I14">
        <v>272.0</v>
      </c>
      <c r="J14">
        <v>271.0</v>
      </c>
      <c r="K14">
        <v>270.0</v>
      </c>
      <c r="L14">
        <v>269.0</v>
      </c>
      <c r="M14">
        <v>268.0</v>
      </c>
      <c r="N14">
        <v>267.0</v>
      </c>
      <c r="O14">
        <v>266.0</v>
      </c>
      <c r="P14">
        <v>265.0</v>
      </c>
      <c r="Q14">
        <v>264.0</v>
      </c>
      <c r="R14">
        <v>263.0</v>
      </c>
      <c r="S14">
        <v>262.0</v>
      </c>
      <c r="T14">
        <v>261.0</v>
      </c>
      <c r="V14">
        <f>IF(ISBLANK('Draft Board'!C16),A14,"")</f>
        <v>280</v>
      </c>
      <c r="W14">
        <f>IF(ISBLANK('Draft Board'!D16),B14,"")</f>
        <v>279</v>
      </c>
      <c r="X14">
        <f>IF(ISBLANK('Draft Board'!E16),C14,"")</f>
        <v>278</v>
      </c>
      <c r="Y14">
        <f>IF(ISBLANK('Draft Board'!F16),D14,"")</f>
        <v>277</v>
      </c>
      <c r="Z14">
        <f>IF(ISBLANK('Draft Board'!G16),E14,"")</f>
        <v>276</v>
      </c>
      <c r="AA14">
        <f>IF(ISBLANK('Draft Board'!H16),F14,"")</f>
        <v>275</v>
      </c>
      <c r="AB14">
        <f>IF(ISBLANK('Draft Board'!I16),G14,"")</f>
        <v>274</v>
      </c>
      <c r="AC14">
        <f>IF(ISBLANK('Draft Board'!J16),H14,"")</f>
        <v>273</v>
      </c>
      <c r="AD14">
        <f>IF(ISBLANK('Draft Board'!K16),I14,"")</f>
        <v>272</v>
      </c>
      <c r="AE14">
        <f>IF(ISBLANK('Draft Board'!L16),J14,"")</f>
        <v>271</v>
      </c>
      <c r="AF14">
        <f>IF(ISBLANK('Draft Board'!M16),K14,"")</f>
        <v>270</v>
      </c>
      <c r="AG14">
        <f>IF(ISBLANK('Draft Board'!N16),L14,"")</f>
        <v>269</v>
      </c>
      <c r="AH14">
        <f>IF(ISBLANK('Draft Board'!O16),M14,"")</f>
        <v>268</v>
      </c>
      <c r="AI14">
        <f>IF(ISBLANK('Draft Board'!P16),N14,"")</f>
        <v>267</v>
      </c>
      <c r="AJ14">
        <f>IF(ISBLANK('Draft Board'!Q16),O14,"")</f>
        <v>266</v>
      </c>
      <c r="AK14">
        <f>IF(ISBLANK('Draft Board'!R16),P14,"")</f>
        <v>265</v>
      </c>
      <c r="AL14">
        <f>IF(ISBLANK('Draft Board'!S16),Q14,"")</f>
        <v>264</v>
      </c>
      <c r="AM14">
        <f>IF(ISBLANK('Draft Board'!T16),R14,"")</f>
        <v>263</v>
      </c>
      <c r="AN14">
        <f>IF(ISBLANK('Draft Board'!U16),S14,"")</f>
        <v>262</v>
      </c>
      <c r="AO14">
        <f>IF(ISBLANK('Draft Board'!V16),T14,"")</f>
        <v>261</v>
      </c>
    </row>
    <row r="15">
      <c r="A15">
        <v>281.0</v>
      </c>
      <c r="B15">
        <v>282.0</v>
      </c>
      <c r="C15">
        <v>283.0</v>
      </c>
      <c r="D15">
        <v>284.0</v>
      </c>
      <c r="E15">
        <v>285.0</v>
      </c>
      <c r="F15">
        <v>286.0</v>
      </c>
      <c r="G15">
        <v>287.0</v>
      </c>
      <c r="H15">
        <v>288.0</v>
      </c>
      <c r="I15">
        <v>289.0</v>
      </c>
      <c r="J15">
        <v>290.0</v>
      </c>
      <c r="K15">
        <v>291.0</v>
      </c>
      <c r="L15">
        <v>292.0</v>
      </c>
      <c r="M15">
        <v>293.0</v>
      </c>
      <c r="N15">
        <v>294.0</v>
      </c>
      <c r="O15">
        <v>295.0</v>
      </c>
      <c r="P15">
        <v>296.0</v>
      </c>
      <c r="Q15">
        <v>297.0</v>
      </c>
      <c r="R15">
        <v>298.0</v>
      </c>
      <c r="S15">
        <v>299.0</v>
      </c>
      <c r="T15">
        <v>300.0</v>
      </c>
      <c r="V15">
        <f>IF(ISBLANK('Draft Board'!C17),A15,"")</f>
        <v>281</v>
      </c>
      <c r="W15">
        <f>IF(ISBLANK('Draft Board'!D17),B15,"")</f>
        <v>282</v>
      </c>
      <c r="X15">
        <f>IF(ISBLANK('Draft Board'!E17),C15,"")</f>
        <v>283</v>
      </c>
      <c r="Y15">
        <f>IF(ISBLANK('Draft Board'!F17),D15,"")</f>
        <v>284</v>
      </c>
      <c r="Z15">
        <f>IF(ISBLANK('Draft Board'!G17),E15,"")</f>
        <v>285</v>
      </c>
      <c r="AA15">
        <f>IF(ISBLANK('Draft Board'!H17),F15,"")</f>
        <v>286</v>
      </c>
      <c r="AB15">
        <f>IF(ISBLANK('Draft Board'!I17),G15,"")</f>
        <v>287</v>
      </c>
      <c r="AC15">
        <f>IF(ISBLANK('Draft Board'!J17),H15,"")</f>
        <v>288</v>
      </c>
      <c r="AD15">
        <f>IF(ISBLANK('Draft Board'!K17),I15,"")</f>
        <v>289</v>
      </c>
      <c r="AE15">
        <f>IF(ISBLANK('Draft Board'!L17),J15,"")</f>
        <v>290</v>
      </c>
      <c r="AF15">
        <f>IF(ISBLANK('Draft Board'!M17),K15,"")</f>
        <v>291</v>
      </c>
      <c r="AG15">
        <f>IF(ISBLANK('Draft Board'!N17),L15,"")</f>
        <v>292</v>
      </c>
      <c r="AH15">
        <f>IF(ISBLANK('Draft Board'!O17),M15,"")</f>
        <v>293</v>
      </c>
      <c r="AI15">
        <f>IF(ISBLANK('Draft Board'!P17),N15,"")</f>
        <v>294</v>
      </c>
      <c r="AJ15">
        <f>IF(ISBLANK('Draft Board'!Q17),O15,"")</f>
        <v>295</v>
      </c>
      <c r="AK15">
        <f>IF(ISBLANK('Draft Board'!R17),P15,"")</f>
        <v>296</v>
      </c>
      <c r="AL15">
        <f>IF(ISBLANK('Draft Board'!S17),Q15,"")</f>
        <v>297</v>
      </c>
      <c r="AM15">
        <f>IF(ISBLANK('Draft Board'!T17),R15,"")</f>
        <v>298</v>
      </c>
      <c r="AN15">
        <f>IF(ISBLANK('Draft Board'!U17),S15,"")</f>
        <v>299</v>
      </c>
      <c r="AO15">
        <f>IF(ISBLANK('Draft Board'!V17),T15,"")</f>
        <v>300</v>
      </c>
    </row>
    <row r="16">
      <c r="A16">
        <v>320.0</v>
      </c>
      <c r="B16">
        <v>319.0</v>
      </c>
      <c r="C16">
        <v>318.0</v>
      </c>
      <c r="D16">
        <v>317.0</v>
      </c>
      <c r="E16">
        <v>316.0</v>
      </c>
      <c r="F16">
        <v>315.0</v>
      </c>
      <c r="G16">
        <v>314.0</v>
      </c>
      <c r="H16">
        <v>313.0</v>
      </c>
      <c r="I16">
        <v>312.0</v>
      </c>
      <c r="J16">
        <v>311.0</v>
      </c>
      <c r="K16">
        <v>310.0</v>
      </c>
      <c r="L16">
        <v>309.0</v>
      </c>
      <c r="M16">
        <v>308.0</v>
      </c>
      <c r="N16">
        <v>307.0</v>
      </c>
      <c r="O16">
        <v>306.0</v>
      </c>
      <c r="P16">
        <v>305.0</v>
      </c>
      <c r="Q16">
        <v>304.0</v>
      </c>
      <c r="R16">
        <v>303.0</v>
      </c>
      <c r="S16">
        <v>302.0</v>
      </c>
      <c r="T16">
        <v>301.0</v>
      </c>
      <c r="V16">
        <f>IF(ISBLANK('Draft Board'!C18),A16,"")</f>
        <v>320</v>
      </c>
      <c r="W16">
        <f>IF(ISBLANK('Draft Board'!D18),B16,"")</f>
        <v>319</v>
      </c>
      <c r="X16">
        <f>IF(ISBLANK('Draft Board'!E18),C16,"")</f>
        <v>318</v>
      </c>
      <c r="Y16">
        <f>IF(ISBLANK('Draft Board'!F18),D16,"")</f>
        <v>317</v>
      </c>
      <c r="Z16">
        <f>IF(ISBLANK('Draft Board'!G18),E16,"")</f>
        <v>316</v>
      </c>
      <c r="AA16">
        <f>IF(ISBLANK('Draft Board'!H18),F16,"")</f>
        <v>315</v>
      </c>
      <c r="AB16">
        <f>IF(ISBLANK('Draft Board'!I18),G16,"")</f>
        <v>314</v>
      </c>
      <c r="AC16">
        <f>IF(ISBLANK('Draft Board'!J18),H16,"")</f>
        <v>313</v>
      </c>
      <c r="AD16">
        <f>IF(ISBLANK('Draft Board'!K18),I16,"")</f>
        <v>312</v>
      </c>
      <c r="AE16">
        <f>IF(ISBLANK('Draft Board'!L18),J16,"")</f>
        <v>311</v>
      </c>
      <c r="AF16">
        <f>IF(ISBLANK('Draft Board'!M18),K16,"")</f>
        <v>310</v>
      </c>
      <c r="AG16">
        <f>IF(ISBLANK('Draft Board'!N18),L16,"")</f>
        <v>309</v>
      </c>
      <c r="AH16">
        <f>IF(ISBLANK('Draft Board'!O18),M16,"")</f>
        <v>308</v>
      </c>
      <c r="AI16">
        <f>IF(ISBLANK('Draft Board'!P18),N16,"")</f>
        <v>307</v>
      </c>
      <c r="AJ16">
        <f>IF(ISBLANK('Draft Board'!Q18),O16,"")</f>
        <v>306</v>
      </c>
      <c r="AK16">
        <f>IF(ISBLANK('Draft Board'!R18),P16,"")</f>
        <v>305</v>
      </c>
      <c r="AL16">
        <f>IF(ISBLANK('Draft Board'!S18),Q16,"")</f>
        <v>304</v>
      </c>
      <c r="AM16">
        <f>IF(ISBLANK('Draft Board'!T18),R16,"")</f>
        <v>303</v>
      </c>
      <c r="AN16">
        <f>IF(ISBLANK('Draft Board'!U18),S16,"")</f>
        <v>302</v>
      </c>
      <c r="AO16">
        <f>IF(ISBLANK('Draft Board'!V18),T16,"")</f>
        <v>301</v>
      </c>
    </row>
    <row r="17">
      <c r="A17">
        <v>321.0</v>
      </c>
      <c r="B17">
        <v>322.0</v>
      </c>
      <c r="C17">
        <v>323.0</v>
      </c>
      <c r="D17">
        <v>324.0</v>
      </c>
      <c r="E17">
        <v>325.0</v>
      </c>
      <c r="F17">
        <v>326.0</v>
      </c>
      <c r="G17">
        <v>327.0</v>
      </c>
      <c r="H17">
        <v>328.0</v>
      </c>
      <c r="I17">
        <v>329.0</v>
      </c>
      <c r="J17">
        <v>330.0</v>
      </c>
      <c r="K17">
        <v>331.0</v>
      </c>
      <c r="L17">
        <v>332.0</v>
      </c>
      <c r="M17">
        <v>333.0</v>
      </c>
      <c r="N17">
        <v>334.0</v>
      </c>
      <c r="O17">
        <v>335.0</v>
      </c>
      <c r="P17">
        <v>336.0</v>
      </c>
      <c r="Q17">
        <v>337.0</v>
      </c>
      <c r="R17">
        <v>338.0</v>
      </c>
      <c r="S17">
        <v>339.0</v>
      </c>
      <c r="T17">
        <v>340.0</v>
      </c>
      <c r="V17">
        <f>IF(ISBLANK('Draft Board'!C19),A17,"")</f>
        <v>321</v>
      </c>
      <c r="W17">
        <f>IF(ISBLANK('Draft Board'!D19),B17,"")</f>
        <v>322</v>
      </c>
      <c r="X17">
        <f>IF(ISBLANK('Draft Board'!E19),C17,"")</f>
        <v>323</v>
      </c>
      <c r="Y17">
        <f>IF(ISBLANK('Draft Board'!F19),D17,"")</f>
        <v>324</v>
      </c>
      <c r="Z17">
        <f>IF(ISBLANK('Draft Board'!G19),E17,"")</f>
        <v>325</v>
      </c>
      <c r="AA17">
        <f>IF(ISBLANK('Draft Board'!H19),F17,"")</f>
        <v>326</v>
      </c>
      <c r="AB17">
        <f>IF(ISBLANK('Draft Board'!I19),G17,"")</f>
        <v>327</v>
      </c>
      <c r="AC17">
        <f>IF(ISBLANK('Draft Board'!J19),H17,"")</f>
        <v>328</v>
      </c>
      <c r="AD17">
        <f>IF(ISBLANK('Draft Board'!K19),I17,"")</f>
        <v>329</v>
      </c>
      <c r="AE17">
        <f>IF(ISBLANK('Draft Board'!L19),J17,"")</f>
        <v>330</v>
      </c>
      <c r="AF17">
        <f>IF(ISBLANK('Draft Board'!M19),K17,"")</f>
        <v>331</v>
      </c>
      <c r="AG17">
        <f>IF(ISBLANK('Draft Board'!N19),L17,"")</f>
        <v>332</v>
      </c>
      <c r="AH17">
        <f>IF(ISBLANK('Draft Board'!O19),M17,"")</f>
        <v>333</v>
      </c>
      <c r="AI17">
        <f>IF(ISBLANK('Draft Board'!P19),N17,"")</f>
        <v>334</v>
      </c>
      <c r="AJ17">
        <f>IF(ISBLANK('Draft Board'!Q19),O17,"")</f>
        <v>335</v>
      </c>
      <c r="AK17">
        <f>IF(ISBLANK('Draft Board'!R19),P17,"")</f>
        <v>336</v>
      </c>
      <c r="AL17">
        <f>IF(ISBLANK('Draft Board'!S19),Q17,"")</f>
        <v>337</v>
      </c>
      <c r="AM17">
        <f>IF(ISBLANK('Draft Board'!T19),R17,"")</f>
        <v>338</v>
      </c>
      <c r="AN17">
        <f>IF(ISBLANK('Draft Board'!U19),S17,"")</f>
        <v>339</v>
      </c>
      <c r="AO17">
        <f>IF(ISBLANK('Draft Board'!V19),T17,"")</f>
        <v>340</v>
      </c>
    </row>
    <row r="18">
      <c r="A18">
        <v>360.0</v>
      </c>
      <c r="B18">
        <v>359.0</v>
      </c>
      <c r="C18">
        <v>358.0</v>
      </c>
      <c r="D18">
        <v>357.0</v>
      </c>
      <c r="E18">
        <v>356.0</v>
      </c>
      <c r="F18">
        <v>355.0</v>
      </c>
      <c r="G18">
        <v>354.0</v>
      </c>
      <c r="H18">
        <v>353.0</v>
      </c>
      <c r="I18">
        <v>352.0</v>
      </c>
      <c r="J18">
        <v>351.0</v>
      </c>
      <c r="K18">
        <v>350.0</v>
      </c>
      <c r="L18">
        <v>349.0</v>
      </c>
      <c r="M18">
        <v>348.0</v>
      </c>
      <c r="N18">
        <v>347.0</v>
      </c>
      <c r="O18">
        <v>346.0</v>
      </c>
      <c r="P18">
        <v>345.0</v>
      </c>
      <c r="Q18">
        <v>344.0</v>
      </c>
      <c r="R18">
        <v>343.0</v>
      </c>
      <c r="S18">
        <v>342.0</v>
      </c>
      <c r="T18">
        <v>341.0</v>
      </c>
      <c r="V18">
        <f>IF(ISBLANK('Draft Board'!C20),A18,"")</f>
        <v>360</v>
      </c>
      <c r="W18">
        <f>IF(ISBLANK('Draft Board'!D20),B18,"")</f>
        <v>359</v>
      </c>
      <c r="X18">
        <f>IF(ISBLANK('Draft Board'!E20),C18,"")</f>
        <v>358</v>
      </c>
      <c r="Y18">
        <f>IF(ISBLANK('Draft Board'!F20),D18,"")</f>
        <v>357</v>
      </c>
      <c r="Z18">
        <f>IF(ISBLANK('Draft Board'!G20),E18,"")</f>
        <v>356</v>
      </c>
      <c r="AA18">
        <f>IF(ISBLANK('Draft Board'!H20),F18,"")</f>
        <v>355</v>
      </c>
      <c r="AB18">
        <f>IF(ISBLANK('Draft Board'!I20),G18,"")</f>
        <v>354</v>
      </c>
      <c r="AC18">
        <f>IF(ISBLANK('Draft Board'!J20),H18,"")</f>
        <v>353</v>
      </c>
      <c r="AD18">
        <f>IF(ISBLANK('Draft Board'!K20),I18,"")</f>
        <v>352</v>
      </c>
      <c r="AE18">
        <f>IF(ISBLANK('Draft Board'!L20),J18,"")</f>
        <v>351</v>
      </c>
      <c r="AF18">
        <f>IF(ISBLANK('Draft Board'!M20),K18,"")</f>
        <v>350</v>
      </c>
      <c r="AG18">
        <f>IF(ISBLANK('Draft Board'!N20),L18,"")</f>
        <v>349</v>
      </c>
      <c r="AH18">
        <f>IF(ISBLANK('Draft Board'!O20),M18,"")</f>
        <v>348</v>
      </c>
      <c r="AI18">
        <f>IF(ISBLANK('Draft Board'!P20),N18,"")</f>
        <v>347</v>
      </c>
      <c r="AJ18">
        <f>IF(ISBLANK('Draft Board'!Q20),O18,"")</f>
        <v>346</v>
      </c>
      <c r="AK18">
        <f>IF(ISBLANK('Draft Board'!R20),P18,"")</f>
        <v>345</v>
      </c>
      <c r="AL18">
        <f>IF(ISBLANK('Draft Board'!S20),Q18,"")</f>
        <v>344</v>
      </c>
      <c r="AM18">
        <f>IF(ISBLANK('Draft Board'!T20),R18,"")</f>
        <v>343</v>
      </c>
      <c r="AN18">
        <f>IF(ISBLANK('Draft Board'!U20),S18,"")</f>
        <v>342</v>
      </c>
      <c r="AO18">
        <f>IF(ISBLANK('Draft Board'!V20),T18,"")</f>
        <v>341</v>
      </c>
    </row>
    <row r="19">
      <c r="A19">
        <v>361.0</v>
      </c>
      <c r="B19">
        <v>362.0</v>
      </c>
      <c r="C19">
        <v>363.0</v>
      </c>
      <c r="D19">
        <v>364.0</v>
      </c>
      <c r="E19">
        <v>365.0</v>
      </c>
      <c r="F19">
        <v>366.0</v>
      </c>
      <c r="G19">
        <v>367.0</v>
      </c>
      <c r="H19">
        <v>368.0</v>
      </c>
      <c r="I19">
        <v>369.0</v>
      </c>
      <c r="J19">
        <v>370.0</v>
      </c>
      <c r="K19">
        <v>371.0</v>
      </c>
      <c r="L19">
        <v>372.0</v>
      </c>
      <c r="M19">
        <v>373.0</v>
      </c>
      <c r="N19">
        <v>374.0</v>
      </c>
      <c r="O19">
        <v>375.0</v>
      </c>
      <c r="P19">
        <v>376.0</v>
      </c>
      <c r="Q19">
        <v>377.0</v>
      </c>
      <c r="R19">
        <v>378.0</v>
      </c>
      <c r="S19">
        <v>379.0</v>
      </c>
      <c r="T19">
        <v>380.0</v>
      </c>
      <c r="V19">
        <f>IF(ISBLANK('Draft Board'!C23),A19,"")</f>
        <v>361</v>
      </c>
      <c r="W19">
        <f>IF(ISBLANK('Draft Board'!D23),B19,"")</f>
        <v>362</v>
      </c>
      <c r="X19">
        <f>IF(ISBLANK('Draft Board'!E23),C19,"")</f>
        <v>363</v>
      </c>
      <c r="Y19">
        <f>IF(ISBLANK('Draft Board'!F23),D19,"")</f>
        <v>364</v>
      </c>
      <c r="Z19">
        <f>IF(ISBLANK('Draft Board'!G23),E19,"")</f>
        <v>365</v>
      </c>
      <c r="AA19">
        <f>IF(ISBLANK('Draft Board'!H23),F19,"")</f>
        <v>366</v>
      </c>
      <c r="AB19">
        <f>IF(ISBLANK('Draft Board'!I23),G19,"")</f>
        <v>367</v>
      </c>
      <c r="AC19">
        <f>IF(ISBLANK('Draft Board'!J23),H19,"")</f>
        <v>368</v>
      </c>
      <c r="AD19">
        <f>IF(ISBLANK('Draft Board'!K23),I19,"")</f>
        <v>369</v>
      </c>
      <c r="AE19">
        <f>IF(ISBLANK('Draft Board'!L23),J19,"")</f>
        <v>370</v>
      </c>
      <c r="AF19">
        <f>IF(ISBLANK('Draft Board'!M23),K19,"")</f>
        <v>371</v>
      </c>
      <c r="AG19">
        <f>IF(ISBLANK('Draft Board'!N23),L19,"")</f>
        <v>372</v>
      </c>
      <c r="AH19">
        <f>IF(ISBLANK('Draft Board'!O23),M19,"")</f>
        <v>373</v>
      </c>
      <c r="AI19">
        <f>IF(ISBLANK('Draft Board'!P23),N19,"")</f>
        <v>374</v>
      </c>
      <c r="AJ19">
        <f>IF(ISBLANK('Draft Board'!Q23),O19,"")</f>
        <v>375</v>
      </c>
      <c r="AK19">
        <f>IF(ISBLANK('Draft Board'!R23),P19,"")</f>
        <v>376</v>
      </c>
      <c r="AL19">
        <f>IF(ISBLANK('Draft Board'!S23),Q19,"")</f>
        <v>377</v>
      </c>
      <c r="AM19">
        <f>IF(ISBLANK('Draft Board'!T23),R19,"")</f>
        <v>378</v>
      </c>
      <c r="AN19">
        <f>IF(ISBLANK('Draft Board'!U23),S19,"")</f>
        <v>379</v>
      </c>
      <c r="AO19">
        <f>IF(ISBLANK('Draft Board'!V23),T19,"")</f>
        <v>380</v>
      </c>
    </row>
    <row r="20">
      <c r="A20">
        <v>400.0</v>
      </c>
      <c r="B20">
        <v>399.0</v>
      </c>
      <c r="C20">
        <v>398.0</v>
      </c>
      <c r="D20">
        <v>397.0</v>
      </c>
      <c r="E20">
        <v>396.0</v>
      </c>
      <c r="F20">
        <v>395.0</v>
      </c>
      <c r="G20">
        <v>394.0</v>
      </c>
      <c r="H20">
        <v>393.0</v>
      </c>
      <c r="I20">
        <v>392.0</v>
      </c>
      <c r="J20">
        <v>391.0</v>
      </c>
      <c r="K20">
        <v>390.0</v>
      </c>
      <c r="L20">
        <v>389.0</v>
      </c>
      <c r="M20">
        <v>388.0</v>
      </c>
      <c r="N20">
        <v>387.0</v>
      </c>
      <c r="O20">
        <v>386.0</v>
      </c>
      <c r="P20">
        <v>385.0</v>
      </c>
      <c r="Q20">
        <v>384.0</v>
      </c>
      <c r="R20">
        <v>383.0</v>
      </c>
      <c r="S20">
        <v>382.0</v>
      </c>
      <c r="T20">
        <v>381.0</v>
      </c>
      <c r="V20" t="str">
        <f t="shared" ref="V20:AO20" si="1">IF(ISBLANK(#REF!),A20,"")</f>
        <v/>
      </c>
      <c r="W20" t="str">
        <f t="shared" si="1"/>
        <v/>
      </c>
      <c r="X20" t="str">
        <f t="shared" si="1"/>
        <v/>
      </c>
      <c r="Y20" t="str">
        <f t="shared" si="1"/>
        <v/>
      </c>
      <c r="Z20" t="str">
        <f t="shared" si="1"/>
        <v/>
      </c>
      <c r="AA20" t="str">
        <f t="shared" si="1"/>
        <v/>
      </c>
      <c r="AB20" t="str">
        <f t="shared" si="1"/>
        <v/>
      </c>
      <c r="AC20" t="str">
        <f t="shared" si="1"/>
        <v/>
      </c>
      <c r="AD20" t="str">
        <f t="shared" si="1"/>
        <v/>
      </c>
      <c r="AE20" t="str">
        <f t="shared" si="1"/>
        <v/>
      </c>
      <c r="AF20" t="str">
        <f t="shared" si="1"/>
        <v/>
      </c>
      <c r="AG20" t="str">
        <f t="shared" si="1"/>
        <v/>
      </c>
      <c r="AH20" t="str">
        <f t="shared" si="1"/>
        <v/>
      </c>
      <c r="AI20" t="str">
        <f t="shared" si="1"/>
        <v/>
      </c>
      <c r="AJ20" t="str">
        <f t="shared" si="1"/>
        <v/>
      </c>
      <c r="AK20" t="str">
        <f t="shared" si="1"/>
        <v/>
      </c>
      <c r="AL20" t="str">
        <f t="shared" si="1"/>
        <v/>
      </c>
      <c r="AM20" t="str">
        <f t="shared" si="1"/>
        <v/>
      </c>
      <c r="AN20" t="str">
        <f t="shared" si="1"/>
        <v/>
      </c>
      <c r="AO20" t="str">
        <f t="shared" si="1"/>
        <v/>
      </c>
    </row>
    <row r="22">
      <c r="A22" s="32" t="s">
        <v>1237</v>
      </c>
      <c r="B22" s="39" t="s">
        <v>40</v>
      </c>
      <c r="V22">
        <f t="shared" ref="V22:AO22" si="2">IF(MIN(V1:V20)=0,"",MIN(V1:V20))</f>
        <v>1</v>
      </c>
      <c r="W22">
        <f t="shared" si="2"/>
        <v>2</v>
      </c>
      <c r="X22">
        <f t="shared" si="2"/>
        <v>3</v>
      </c>
      <c r="Y22">
        <f t="shared" si="2"/>
        <v>4</v>
      </c>
      <c r="Z22">
        <f t="shared" si="2"/>
        <v>5</v>
      </c>
      <c r="AA22">
        <f t="shared" si="2"/>
        <v>6</v>
      </c>
      <c r="AB22">
        <f t="shared" si="2"/>
        <v>7</v>
      </c>
      <c r="AC22">
        <f t="shared" si="2"/>
        <v>8</v>
      </c>
      <c r="AD22">
        <f t="shared" si="2"/>
        <v>9</v>
      </c>
      <c r="AE22">
        <f t="shared" si="2"/>
        <v>10</v>
      </c>
      <c r="AF22">
        <f t="shared" si="2"/>
        <v>11</v>
      </c>
      <c r="AG22">
        <f t="shared" si="2"/>
        <v>12</v>
      </c>
      <c r="AH22">
        <f t="shared" si="2"/>
        <v>13</v>
      </c>
      <c r="AI22">
        <f t="shared" si="2"/>
        <v>14</v>
      </c>
      <c r="AJ22">
        <f t="shared" si="2"/>
        <v>15</v>
      </c>
      <c r="AK22">
        <f t="shared" si="2"/>
        <v>16</v>
      </c>
      <c r="AL22">
        <f t="shared" si="2"/>
        <v>17</v>
      </c>
      <c r="AM22">
        <f t="shared" si="2"/>
        <v>18</v>
      </c>
      <c r="AN22">
        <f t="shared" si="2"/>
        <v>19</v>
      </c>
      <c r="AO22">
        <f t="shared" si="2"/>
        <v>20</v>
      </c>
    </row>
    <row r="23">
      <c r="A23" s="32" t="s">
        <v>1262</v>
      </c>
      <c r="B23" s="39" t="s">
        <v>1263</v>
      </c>
      <c r="V23" t="str">
        <f>IFERROR('Draft Board'!C2,"")</f>
        <v>Team 1</v>
      </c>
      <c r="W23" t="str">
        <f>IFERROR('Draft Board'!D2,"")</f>
        <v>Team 2</v>
      </c>
      <c r="X23" t="str">
        <f>IFERROR('Draft Board'!E2,"")</f>
        <v>Team 3</v>
      </c>
      <c r="Y23" t="str">
        <f>IFERROR('Draft Board'!F2,"")</f>
        <v>Team 4</v>
      </c>
      <c r="Z23" t="str">
        <f>IFERROR('Draft Board'!G2,"")</f>
        <v>Team 5</v>
      </c>
      <c r="AA23" t="str">
        <f>IFERROR('Draft Board'!H2,"")</f>
        <v>Team 6</v>
      </c>
      <c r="AB23" t="str">
        <f>IFERROR('Draft Board'!I2,"")</f>
        <v>Team 7</v>
      </c>
      <c r="AC23" t="str">
        <f>IFERROR('Draft Board'!J2,"")</f>
        <v>Team 8</v>
      </c>
      <c r="AD23" t="str">
        <f>IFERROR('Draft Board'!K2,"")</f>
        <v>Team 9</v>
      </c>
      <c r="AE23" t="str">
        <f>IFERROR('Draft Board'!L2,"")</f>
        <v>Team 10</v>
      </c>
      <c r="AF23" t="str">
        <f>IFERROR('Draft Board'!M2,"")</f>
        <v>Team 11</v>
      </c>
      <c r="AG23" t="str">
        <f>IFERROR('Draft Board'!N2,"")</f>
        <v>Team 12</v>
      </c>
      <c r="AH23" t="str">
        <f>IFERROR('Draft Board'!O2,"")</f>
        <v>Team 13</v>
      </c>
      <c r="AI23" t="str">
        <f>IFERROR('Draft Board'!P2,"")</f>
        <v>Team 14</v>
      </c>
      <c r="AJ23" t="str">
        <f>IFERROR('Draft Board'!Q2,"")</f>
        <v>Team 15</v>
      </c>
      <c r="AK23" t="str">
        <f>IFERROR('Draft Board'!R2,"")</f>
        <v>Team 16</v>
      </c>
      <c r="AL23" t="str">
        <f>IFERROR('Draft Board'!S2,"")</f>
        <v>Team 17</v>
      </c>
      <c r="AM23" t="str">
        <f>IFERROR('Draft Board'!T2,"")</f>
        <v>Team 18</v>
      </c>
      <c r="AN23" t="str">
        <f>IFERROR('Draft Board'!U2,"")</f>
        <v>Team 19</v>
      </c>
      <c r="AO23" t="str">
        <f>IFERROR('Draft Board'!V2,"")</f>
        <v>Team 20</v>
      </c>
    </row>
    <row r="24">
      <c r="A24" s="32" t="s">
        <v>1298</v>
      </c>
      <c r="B24" s="39" t="s">
        <v>1301</v>
      </c>
    </row>
    <row r="25">
      <c r="A25" s="40" t="s">
        <v>1306</v>
      </c>
      <c r="B25" s="39" t="s">
        <v>1309</v>
      </c>
      <c r="V25" s="32" t="s">
        <v>1314</v>
      </c>
      <c r="W25" t="str">
        <f>HLOOKUP(MIN(V22:AO22),V22:AO23,2,0)</f>
        <v>Team 1</v>
      </c>
      <c r="X25" s="32"/>
      <c r="Y25" s="32" t="s">
        <v>1319</v>
      </c>
      <c r="AA25" s="32" t="s">
        <v>1320</v>
      </c>
    </row>
    <row r="26">
      <c r="A26" s="40" t="s">
        <v>1321</v>
      </c>
      <c r="V26" s="32"/>
      <c r="X26" s="32"/>
      <c r="Y26" s="32"/>
      <c r="AA26" s="32"/>
    </row>
  </sheetData>
  <hyperlinks>
    <hyperlink r:id="rId1" ref="B22"/>
    <hyperlink r:id="rId2" ref="B23"/>
    <hyperlink r:id="rId3" ref="B24"/>
    <hyperlink r:id="rId4" ref="B25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3.25"/>
  </cols>
  <sheetData>
    <row r="1">
      <c r="A1" s="40" t="s">
        <v>1344</v>
      </c>
    </row>
    <row r="2">
      <c r="A2" s="40" t="s">
        <v>1346</v>
      </c>
      <c r="B2" s="39" t="s">
        <v>1348</v>
      </c>
    </row>
    <row r="3">
      <c r="A3" s="40" t="s">
        <v>1353</v>
      </c>
      <c r="B3" s="43"/>
    </row>
  </sheetData>
  <hyperlinks>
    <hyperlink r:id="rId1" ref="B2"/>
  </hyperlinks>
  <drawing r:id="rId2"/>
</worksheet>
</file>