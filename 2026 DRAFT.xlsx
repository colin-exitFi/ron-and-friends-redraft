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kylem\Desktop\Kyle\Personal\"/>
    </mc:Choice>
  </mc:AlternateContent>
  <xr:revisionPtr revIDLastSave="0" documentId="13_ncr:1_{9B2392C3-F943-4DFF-9BA8-3CAFF2D7B42F}" xr6:coauthVersionLast="47" xr6:coauthVersionMax="47" xr10:uidLastSave="{00000000-0000-0000-0000-000000000000}"/>
  <bookViews>
    <workbookView xWindow="-120" yWindow="-120" windowWidth="29040" windowHeight="15720" tabRatio="728" xr2:uid="{00000000-000D-0000-FFFF-FFFF00000000}"/>
  </bookViews>
  <sheets>
    <sheet name="KEEPER LIST for 2026" sheetId="22" r:id="rId1"/>
    <sheet name="2025 Draft" sheetId="21" r:id="rId2"/>
    <sheet name="KEEPER LIST for 2025" sheetId="20" r:id="rId3"/>
    <sheet name="2024 Draft" sheetId="18" r:id="rId4"/>
    <sheet name="KEEPER LIST for 2024" sheetId="16" r:id="rId5"/>
    <sheet name="2023 Draft" sheetId="17" state="hidden" r:id="rId6"/>
    <sheet name="Roster" sheetId="19" r:id="rId7"/>
    <sheet name="KEEPER LIST for 2022" sheetId="15" state="hidden" r:id="rId8"/>
    <sheet name="2021 Draft" sheetId="14" state="hidden" r:id="rId9"/>
    <sheet name="KEEPER LIST for 2021" sheetId="12" state="hidden" r:id="rId10"/>
    <sheet name="KEEPER LIST for 2020" sheetId="10" state="hidden" r:id="rId11"/>
    <sheet name="2020 Draft" sheetId="13" state="hidden" r:id="rId12"/>
    <sheet name="KEEPER LIST for 2019" sheetId="8" state="hidden" r:id="rId13"/>
    <sheet name="KEEPER LIST for 2018" sheetId="3" state="hidden" r:id="rId14"/>
    <sheet name="2019 Draft by Round" sheetId="11" state="hidden" r:id="rId15"/>
    <sheet name="2018 Draft by Round" sheetId="6" state="hidden" r:id="rId16"/>
    <sheet name="2018 Team after Draft" sheetId="9" state="hidden" r:id="rId17"/>
    <sheet name="By Round 2017" sheetId="2" state="hidden" r:id="rId18"/>
    <sheet name="Team after draft 2017" sheetId="1" state="hidden" r:id="rId19"/>
    <sheet name="2016 Keeper" sheetId="4" state="hidden" r:id="rId20"/>
    <sheet name="2017 Keeper" sheetId="5" state="hidden" r:id="rId21"/>
    <sheet name="2018 Keeper" sheetId="7" state="hidden" r:id="rId22"/>
  </sheets>
  <externalReferences>
    <externalReference r:id="rId23"/>
  </externalReferences>
  <definedNames>
    <definedName name="_xlnm._FilterDatabase" localSheetId="11" hidden="1">'2020 Draft'!$A$1:$H$161</definedName>
    <definedName name="_xlnm._FilterDatabase" localSheetId="3" hidden="1">'2024 Draft'!$A$1:$F$174</definedName>
    <definedName name="_xlnm._FilterDatabase" localSheetId="1" hidden="1">'2025 Draft'!$A$1:$F$161</definedName>
    <definedName name="_xlnm._FilterDatabase" localSheetId="18" hidden="1">'Team after draft 2017'!$A$1:$E$161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0" i="22" l="1"/>
  <c r="J160" i="22" s="1"/>
  <c r="A172" i="22"/>
  <c r="A171" i="22"/>
  <c r="A169" i="22"/>
  <c r="A168" i="22"/>
  <c r="A166" i="22"/>
  <c r="A165" i="22"/>
  <c r="A164" i="22"/>
  <c r="A163" i="22"/>
  <c r="A162" i="22"/>
  <c r="A157" i="22"/>
  <c r="A156" i="22"/>
  <c r="A155" i="22"/>
  <c r="A153" i="22"/>
  <c r="A151" i="22"/>
  <c r="A150" i="22"/>
  <c r="A148" i="22"/>
  <c r="A147" i="22"/>
  <c r="A146" i="22"/>
  <c r="A145" i="22"/>
  <c r="A142" i="22"/>
  <c r="A137" i="22"/>
  <c r="A136" i="22"/>
  <c r="A133" i="22"/>
  <c r="A132" i="22"/>
  <c r="A129" i="22"/>
  <c r="A128" i="22"/>
  <c r="A127" i="22"/>
  <c r="A119" i="22"/>
  <c r="A118" i="22"/>
  <c r="A116" i="22"/>
  <c r="A115" i="22"/>
  <c r="A114" i="22"/>
  <c r="A113" i="22"/>
  <c r="A112" i="22"/>
  <c r="A111" i="22"/>
  <c r="A110" i="22"/>
  <c r="A109" i="22"/>
  <c r="A107" i="22"/>
  <c r="A103" i="22"/>
  <c r="A101" i="22"/>
  <c r="A100" i="22"/>
  <c r="A95" i="22"/>
  <c r="A94" i="22"/>
  <c r="A85" i="22"/>
  <c r="A84" i="22"/>
  <c r="A83" i="22"/>
  <c r="A81" i="22"/>
  <c r="A80" i="22"/>
  <c r="A79" i="22"/>
  <c r="A78" i="22"/>
  <c r="A77" i="22"/>
  <c r="A76" i="22"/>
  <c r="A75" i="22"/>
  <c r="A74" i="22"/>
  <c r="A72" i="22"/>
  <c r="A68" i="22"/>
  <c r="A67" i="22"/>
  <c r="A66" i="22"/>
  <c r="A65" i="22"/>
  <c r="A62" i="22"/>
  <c r="A60" i="22"/>
  <c r="A59" i="22"/>
  <c r="A58" i="22"/>
  <c r="A54" i="22"/>
  <c r="A48" i="22"/>
  <c r="A47" i="22"/>
  <c r="A44" i="22"/>
  <c r="A41" i="22"/>
  <c r="A39" i="22"/>
  <c r="A36" i="22"/>
  <c r="A30" i="22"/>
  <c r="A29" i="22"/>
  <c r="A27" i="22"/>
  <c r="A26" i="22"/>
  <c r="A25" i="22"/>
  <c r="A23" i="22"/>
  <c r="A22" i="22"/>
  <c r="A21" i="22"/>
  <c r="A8" i="22"/>
  <c r="A9" i="22"/>
  <c r="A12" i="22"/>
  <c r="A13" i="22"/>
  <c r="A14" i="22"/>
  <c r="A16" i="22"/>
  <c r="A17" i="22"/>
  <c r="A18" i="22"/>
  <c r="A7" i="22"/>
  <c r="A6" i="22"/>
  <c r="A5" i="22"/>
  <c r="A4" i="22"/>
  <c r="J178" i="22" l="1"/>
  <c r="J177" i="22"/>
  <c r="J176" i="22"/>
  <c r="J175" i="22"/>
  <c r="J174" i="22"/>
  <c r="J173" i="22"/>
  <c r="J172" i="22"/>
  <c r="J170" i="22"/>
  <c r="J167" i="22"/>
  <c r="J166" i="22"/>
  <c r="J165" i="22"/>
  <c r="J163" i="22"/>
  <c r="J162" i="22"/>
  <c r="J159" i="22"/>
  <c r="J158" i="22"/>
  <c r="J157" i="22"/>
  <c r="J156" i="22"/>
  <c r="J154" i="22"/>
  <c r="J153" i="22"/>
  <c r="J152" i="22"/>
  <c r="J151" i="22"/>
  <c r="J148" i="22"/>
  <c r="J147" i="22"/>
  <c r="J146" i="22"/>
  <c r="J145" i="22"/>
  <c r="J144" i="22"/>
  <c r="J142" i="22"/>
  <c r="J141" i="22"/>
  <c r="J140" i="22"/>
  <c r="J139" i="22"/>
  <c r="J138" i="22"/>
  <c r="J135" i="22"/>
  <c r="J134" i="22"/>
  <c r="J133" i="22"/>
  <c r="J132" i="22"/>
  <c r="J131" i="22"/>
  <c r="J128" i="22"/>
  <c r="J127" i="22"/>
  <c r="J126" i="22"/>
  <c r="J124" i="22"/>
  <c r="J123" i="22"/>
  <c r="J122" i="22"/>
  <c r="J121" i="22"/>
  <c r="J120" i="22"/>
  <c r="J119" i="22"/>
  <c r="J118" i="22"/>
  <c r="J117" i="22"/>
  <c r="J114" i="22"/>
  <c r="J113" i="22"/>
  <c r="J111" i="22"/>
  <c r="J110" i="22"/>
  <c r="J109" i="22"/>
  <c r="J107" i="22"/>
  <c r="J106" i="22"/>
  <c r="J105" i="22"/>
  <c r="J104" i="22"/>
  <c r="J102" i="22"/>
  <c r="J101" i="22"/>
  <c r="J100" i="22"/>
  <c r="J99" i="22"/>
  <c r="J98" i="22"/>
  <c r="J96" i="22"/>
  <c r="J95" i="22"/>
  <c r="J92" i="22"/>
  <c r="J91" i="22"/>
  <c r="J89" i="22"/>
  <c r="J87" i="22"/>
  <c r="J84" i="22"/>
  <c r="J83" i="22"/>
  <c r="J82" i="22"/>
  <c r="J80" i="22"/>
  <c r="J78" i="22"/>
  <c r="J77" i="22"/>
  <c r="J71" i="22"/>
  <c r="J70" i="22"/>
  <c r="J69" i="22"/>
  <c r="J68" i="22"/>
  <c r="J66" i="22"/>
  <c r="J65" i="22"/>
  <c r="J64" i="22"/>
  <c r="J63" i="22"/>
  <c r="J62" i="22"/>
  <c r="J61" i="22"/>
  <c r="J60" i="22"/>
  <c r="J59" i="22"/>
  <c r="J58" i="22"/>
  <c r="J57" i="22"/>
  <c r="J56" i="22"/>
  <c r="J54" i="22"/>
  <c r="J53" i="22"/>
  <c r="J52" i="22"/>
  <c r="J51" i="22"/>
  <c r="J47" i="22"/>
  <c r="J46" i="22"/>
  <c r="J45" i="22"/>
  <c r="J44" i="22"/>
  <c r="J43" i="22"/>
  <c r="J41" i="22"/>
  <c r="J39" i="22"/>
  <c r="J38" i="22"/>
  <c r="J36" i="22"/>
  <c r="J35" i="22"/>
  <c r="J34" i="22"/>
  <c r="J33" i="22"/>
  <c r="J32" i="22"/>
  <c r="J31" i="22"/>
  <c r="J30" i="22"/>
  <c r="J29" i="22"/>
  <c r="J28" i="22"/>
  <c r="J27" i="22"/>
  <c r="J24" i="22"/>
  <c r="J23" i="22"/>
  <c r="J22" i="22"/>
  <c r="J21" i="22"/>
  <c r="J20" i="22"/>
  <c r="J18" i="22"/>
  <c r="J17" i="22"/>
  <c r="J16" i="22"/>
  <c r="J15" i="22"/>
  <c r="J14" i="22"/>
  <c r="J13" i="22"/>
  <c r="J11" i="22"/>
  <c r="J10" i="22"/>
  <c r="J8" i="22"/>
  <c r="J7" i="22"/>
  <c r="J6" i="22"/>
  <c r="J5" i="22"/>
  <c r="J4" i="22"/>
  <c r="T11" i="21"/>
  <c r="T10" i="21"/>
  <c r="T9" i="21"/>
  <c r="T8" i="21"/>
  <c r="T7" i="21"/>
  <c r="T6" i="21"/>
  <c r="T5" i="21"/>
  <c r="T4" i="21"/>
  <c r="T3" i="21"/>
  <c r="T2" i="21"/>
  <c r="A36" i="20"/>
  <c r="J36" i="20" s="1"/>
  <c r="A54" i="20"/>
  <c r="J54" i="20" s="1"/>
  <c r="A90" i="20"/>
  <c r="J90" i="20" s="1"/>
  <c r="A178" i="20"/>
  <c r="J178" i="20" s="1"/>
  <c r="A143" i="20"/>
  <c r="J143" i="20" s="1"/>
  <c r="A108" i="20"/>
  <c r="J108" i="20" s="1"/>
  <c r="J18" i="20"/>
  <c r="J17" i="20"/>
  <c r="J16" i="20"/>
  <c r="J15" i="20"/>
  <c r="J13" i="20"/>
  <c r="J11" i="20"/>
  <c r="J10" i="20"/>
  <c r="J8" i="20"/>
  <c r="J7" i="20"/>
  <c r="J6" i="20"/>
  <c r="A5" i="20"/>
  <c r="J5" i="20" s="1"/>
  <c r="A4" i="20"/>
  <c r="J4" i="20" s="1"/>
  <c r="J35" i="20"/>
  <c r="J34" i="20"/>
  <c r="J33" i="20"/>
  <c r="J32" i="20"/>
  <c r="J31" i="20"/>
  <c r="J30" i="20"/>
  <c r="J29" i="20"/>
  <c r="J28" i="20"/>
  <c r="J27" i="20"/>
  <c r="A24" i="20"/>
  <c r="J24" i="20" s="1"/>
  <c r="A23" i="20"/>
  <c r="J23" i="20" s="1"/>
  <c r="J22" i="20"/>
  <c r="A21" i="20"/>
  <c r="J21" i="20" s="1"/>
  <c r="J20" i="20"/>
  <c r="J53" i="20"/>
  <c r="J52" i="20"/>
  <c r="J51" i="20"/>
  <c r="A47" i="20"/>
  <c r="J47" i="20" s="1"/>
  <c r="J46" i="20"/>
  <c r="J45" i="20"/>
  <c r="A44" i="20"/>
  <c r="J44" i="20" s="1"/>
  <c r="A43" i="20"/>
  <c r="J43" i="20" s="1"/>
  <c r="A41" i="20"/>
  <c r="J41" i="20" s="1"/>
  <c r="A39" i="20"/>
  <c r="J39" i="20" s="1"/>
  <c r="A38" i="20"/>
  <c r="J38" i="20" s="1"/>
  <c r="J71" i="20"/>
  <c r="J70" i="20"/>
  <c r="A69" i="20"/>
  <c r="J69" i="20" s="1"/>
  <c r="J68" i="20"/>
  <c r="A66" i="20"/>
  <c r="J66" i="20" s="1"/>
  <c r="A65" i="20"/>
  <c r="J65" i="20" s="1"/>
  <c r="J64" i="20"/>
  <c r="A63" i="20"/>
  <c r="J63" i="20" s="1"/>
  <c r="A62" i="20"/>
  <c r="J62" i="20" s="1"/>
  <c r="A61" i="20"/>
  <c r="J61" i="20" s="1"/>
  <c r="A60" i="20"/>
  <c r="J60" i="20" s="1"/>
  <c r="A59" i="20"/>
  <c r="J59" i="20" s="1"/>
  <c r="J58" i="20"/>
  <c r="A57" i="20"/>
  <c r="J57" i="20" s="1"/>
  <c r="J56" i="20"/>
  <c r="J89" i="20"/>
  <c r="J87" i="20"/>
  <c r="A84" i="20"/>
  <c r="J84" i="20" s="1"/>
  <c r="A83" i="20"/>
  <c r="J83" i="20" s="1"/>
  <c r="J82" i="20"/>
  <c r="A80" i="20"/>
  <c r="J80" i="20" s="1"/>
  <c r="A78" i="20"/>
  <c r="J78" i="20" s="1"/>
  <c r="A77" i="20"/>
  <c r="J77" i="20" s="1"/>
  <c r="J177" i="20"/>
  <c r="J176" i="20"/>
  <c r="J175" i="20"/>
  <c r="J174" i="20"/>
  <c r="J173" i="20"/>
  <c r="J172" i="20"/>
  <c r="J170" i="20"/>
  <c r="J167" i="20"/>
  <c r="A166" i="20"/>
  <c r="J166" i="20" s="1"/>
  <c r="A165" i="20"/>
  <c r="J165" i="20" s="1"/>
  <c r="A163" i="20"/>
  <c r="J163" i="20" s="1"/>
  <c r="A162" i="20"/>
  <c r="J162" i="20" s="1"/>
  <c r="J160" i="20"/>
  <c r="A159" i="20"/>
  <c r="J159" i="20" s="1"/>
  <c r="A158" i="20"/>
  <c r="J158" i="20" s="1"/>
  <c r="J157" i="20"/>
  <c r="A155" i="20"/>
  <c r="J155" i="20" s="1"/>
  <c r="A154" i="20"/>
  <c r="J154" i="20" s="1"/>
  <c r="J153" i="20"/>
  <c r="J152" i="20"/>
  <c r="A149" i="20"/>
  <c r="J149" i="20" s="1"/>
  <c r="J148" i="20"/>
  <c r="A147" i="20"/>
  <c r="J147" i="20" s="1"/>
  <c r="A146" i="20"/>
  <c r="J146" i="20" s="1"/>
  <c r="J145" i="20"/>
  <c r="J142" i="20"/>
  <c r="J141" i="20"/>
  <c r="J140" i="20"/>
  <c r="J139" i="20"/>
  <c r="A136" i="20"/>
  <c r="J136" i="20" s="1"/>
  <c r="J135" i="20"/>
  <c r="J134" i="20"/>
  <c r="J133" i="20"/>
  <c r="J132" i="20"/>
  <c r="J129" i="20"/>
  <c r="J128" i="20"/>
  <c r="A127" i="20"/>
  <c r="J127" i="20" s="1"/>
  <c r="J125" i="20"/>
  <c r="J124" i="20"/>
  <c r="J123" i="20"/>
  <c r="J122" i="20"/>
  <c r="A121" i="20"/>
  <c r="J121" i="20" s="1"/>
  <c r="A120" i="20"/>
  <c r="J120" i="20" s="1"/>
  <c r="A119" i="20"/>
  <c r="J119" i="20" s="1"/>
  <c r="J118" i="20"/>
  <c r="J115" i="20"/>
  <c r="A114" i="20"/>
  <c r="J114" i="20" s="1"/>
  <c r="A112" i="20"/>
  <c r="J112" i="20" s="1"/>
  <c r="A111" i="20"/>
  <c r="J111" i="20" s="1"/>
  <c r="J110" i="20"/>
  <c r="A93" i="20"/>
  <c r="J93" i="20" s="1"/>
  <c r="J96" i="20"/>
  <c r="J97" i="20"/>
  <c r="A99" i="20"/>
  <c r="J99" i="20" s="1"/>
  <c r="J100" i="20"/>
  <c r="A101" i="20"/>
  <c r="J101" i="20" s="1"/>
  <c r="A102" i="20"/>
  <c r="J102" i="20" s="1"/>
  <c r="A103" i="20"/>
  <c r="J103" i="20" s="1"/>
  <c r="J105" i="20"/>
  <c r="J106" i="20"/>
  <c r="J107" i="20"/>
  <c r="A92" i="20"/>
  <c r="J92" i="20" s="1"/>
  <c r="J14" i="20"/>
  <c r="C122" i="18"/>
  <c r="C71" i="18" l="1"/>
  <c r="C69" i="18"/>
  <c r="J171" i="22" l="1"/>
  <c r="J86" i="22"/>
  <c r="J79" i="22"/>
  <c r="J25" i="22"/>
  <c r="J112" i="22"/>
  <c r="J94" i="22"/>
  <c r="J85" i="22"/>
  <c r="J67" i="22"/>
  <c r="J12" i="22"/>
  <c r="J169" i="22"/>
  <c r="J93" i="22"/>
  <c r="J168" i="22"/>
  <c r="J155" i="22"/>
  <c r="J76" i="22"/>
  <c r="J42" i="22"/>
  <c r="J9" i="22"/>
  <c r="J49" i="22"/>
  <c r="J75" i="22"/>
  <c r="J130" i="22"/>
  <c r="J81" i="22"/>
  <c r="J164" i="22"/>
  <c r="J129" i="22"/>
  <c r="J74" i="22"/>
  <c r="J50" i="22"/>
  <c r="J40" i="22"/>
  <c r="J72" i="22"/>
  <c r="J103" i="22"/>
  <c r="J150" i="22"/>
  <c r="J137" i="22"/>
  <c r="J116" i="22"/>
  <c r="J48" i="22"/>
  <c r="J3" i="22"/>
  <c r="J149" i="22"/>
  <c r="J115" i="22"/>
  <c r="J97" i="22"/>
  <c r="J88" i="22"/>
  <c r="J26" i="22"/>
  <c r="J136" i="22"/>
  <c r="A26" i="20"/>
  <c r="J26" i="20" s="1"/>
  <c r="A48" i="20"/>
  <c r="J48" i="20" s="1"/>
  <c r="A171" i="20"/>
  <c r="J171" i="20" s="1"/>
  <c r="A116" i="20"/>
  <c r="J116" i="20" s="1"/>
  <c r="A25" i="20"/>
  <c r="J25" i="20" s="1"/>
  <c r="A98" i="20"/>
  <c r="J98" i="20" s="1"/>
  <c r="A3" i="20"/>
  <c r="J3" i="20" s="1"/>
  <c r="A131" i="20"/>
  <c r="J131" i="20" s="1"/>
  <c r="A130" i="20"/>
  <c r="J130" i="20" s="1"/>
  <c r="A88" i="20"/>
  <c r="J88" i="20" s="1"/>
  <c r="A67" i="20"/>
  <c r="J67" i="20" s="1"/>
  <c r="A169" i="20"/>
  <c r="J169" i="20" s="1"/>
  <c r="A156" i="20"/>
  <c r="J156" i="20" s="1"/>
  <c r="A117" i="20"/>
  <c r="J117" i="20" s="1"/>
  <c r="A76" i="20"/>
  <c r="J76" i="20" s="1"/>
  <c r="A72" i="20"/>
  <c r="J72" i="20" s="1"/>
  <c r="A85" i="20"/>
  <c r="J85" i="20" s="1"/>
  <c r="A138" i="20"/>
  <c r="J138" i="20" s="1"/>
  <c r="A113" i="20"/>
  <c r="J113" i="20" s="1"/>
  <c r="A95" i="20"/>
  <c r="J95" i="20" s="1"/>
  <c r="A75" i="20"/>
  <c r="J75" i="20" s="1"/>
  <c r="A74" i="20"/>
  <c r="J74" i="20" s="1"/>
  <c r="A9" i="20"/>
  <c r="J9" i="20" s="1"/>
  <c r="A40" i="20"/>
  <c r="J40" i="20" s="1"/>
  <c r="A164" i="20"/>
  <c r="J164" i="20" s="1"/>
  <c r="A151" i="20"/>
  <c r="J151" i="20" s="1"/>
  <c r="A137" i="20"/>
  <c r="J137" i="20" s="1"/>
  <c r="A150" i="20"/>
  <c r="J150" i="20" s="1"/>
  <c r="A12" i="20"/>
  <c r="J12" i="20" s="1"/>
  <c r="A86" i="20"/>
  <c r="J86" i="20" s="1"/>
  <c r="A50" i="20"/>
  <c r="J50" i="20" s="1"/>
  <c r="A104" i="20"/>
  <c r="J104" i="20" s="1"/>
  <c r="A79" i="20"/>
  <c r="J79" i="20" s="1"/>
  <c r="A42" i="20"/>
  <c r="J42" i="20" s="1"/>
  <c r="A49" i="20"/>
  <c r="J49" i="20" s="1"/>
  <c r="A81" i="20"/>
  <c r="J81" i="20" s="1"/>
  <c r="A94" i="20"/>
  <c r="J94" i="20" s="1"/>
  <c r="A168" i="20"/>
  <c r="J168" i="20" s="1"/>
  <c r="V3" i="18"/>
  <c r="V4" i="18"/>
  <c r="V5" i="18"/>
  <c r="V6" i="18"/>
  <c r="V7" i="18"/>
  <c r="V8" i="18"/>
  <c r="V9" i="18"/>
  <c r="V10" i="18"/>
  <c r="V11" i="18"/>
  <c r="V2" i="18"/>
  <c r="A117" i="16"/>
  <c r="J7" i="16"/>
  <c r="J8" i="16"/>
  <c r="J29" i="16"/>
  <c r="J34" i="16"/>
  <c r="J35" i="16"/>
  <c r="J36" i="16"/>
  <c r="J76" i="16"/>
  <c r="J77" i="16"/>
  <c r="J80" i="16"/>
  <c r="J83" i="16"/>
  <c r="J85" i="16"/>
  <c r="J86" i="16"/>
  <c r="J87" i="16"/>
  <c r="J88" i="16"/>
  <c r="J90" i="16"/>
  <c r="J41" i="16"/>
  <c r="J11" i="16"/>
  <c r="J21" i="16"/>
  <c r="A166" i="16" l="1"/>
  <c r="A167" i="16"/>
  <c r="A168" i="16"/>
  <c r="A169" i="16"/>
  <c r="A171" i="16"/>
  <c r="A172" i="16"/>
  <c r="A174" i="16"/>
  <c r="A175" i="16"/>
  <c r="A176" i="16"/>
  <c r="A181" i="16"/>
  <c r="A165" i="16"/>
  <c r="A148" i="16"/>
  <c r="A149" i="16"/>
  <c r="A150" i="16"/>
  <c r="A151" i="16"/>
  <c r="A153" i="16"/>
  <c r="A156" i="16"/>
  <c r="A157" i="16"/>
  <c r="A158" i="16"/>
  <c r="A159" i="16"/>
  <c r="A130" i="16"/>
  <c r="A131" i="16"/>
  <c r="A132" i="16"/>
  <c r="A133" i="16"/>
  <c r="A135" i="16"/>
  <c r="A136" i="16"/>
  <c r="A138" i="16"/>
  <c r="J138" i="16" s="1"/>
  <c r="A145" i="16"/>
  <c r="A94" i="16"/>
  <c r="A96" i="16"/>
  <c r="A98" i="16"/>
  <c r="A102" i="16"/>
  <c r="A103" i="16"/>
  <c r="A104" i="16"/>
  <c r="A109" i="16"/>
  <c r="A91" i="16"/>
  <c r="J91" i="16" s="1"/>
  <c r="A78" i="16"/>
  <c r="J78" i="16" s="1"/>
  <c r="A79" i="16"/>
  <c r="J79" i="16" s="1"/>
  <c r="A81" i="16"/>
  <c r="J81" i="16" s="1"/>
  <c r="A82" i="16"/>
  <c r="J82" i="16" s="1"/>
  <c r="A84" i="16"/>
  <c r="J84" i="16" s="1"/>
  <c r="A89" i="16"/>
  <c r="J89" i="16" s="1"/>
  <c r="A75" i="16"/>
  <c r="J73" i="16"/>
  <c r="A58" i="16"/>
  <c r="A59" i="16"/>
  <c r="J59" i="16" s="1"/>
  <c r="A60" i="16"/>
  <c r="J60" i="16" s="1"/>
  <c r="A61" i="16"/>
  <c r="A62" i="16"/>
  <c r="A63" i="16"/>
  <c r="J63" i="16" s="1"/>
  <c r="A64" i="16"/>
  <c r="A66" i="16"/>
  <c r="A67" i="16"/>
  <c r="A68" i="16"/>
  <c r="A69" i="16"/>
  <c r="A57" i="16"/>
  <c r="A40" i="16"/>
  <c r="A42" i="16"/>
  <c r="A43" i="16"/>
  <c r="A44" i="16"/>
  <c r="J44" i="16" s="1"/>
  <c r="A45" i="16"/>
  <c r="A48" i="16"/>
  <c r="A49" i="16"/>
  <c r="A50" i="16"/>
  <c r="A51" i="16"/>
  <c r="A22" i="16"/>
  <c r="A23" i="16"/>
  <c r="A24" i="16"/>
  <c r="J24" i="16" s="1"/>
  <c r="A25" i="16"/>
  <c r="J25" i="16" s="1"/>
  <c r="A26" i="16"/>
  <c r="J26" i="16" s="1"/>
  <c r="A27" i="16"/>
  <c r="J27" i="16" s="1"/>
  <c r="A28" i="16"/>
  <c r="J28" i="16" s="1"/>
  <c r="A30" i="16"/>
  <c r="J30" i="16" s="1"/>
  <c r="A31" i="16"/>
  <c r="J31" i="16" s="1"/>
  <c r="A32" i="16"/>
  <c r="J32" i="16" s="1"/>
  <c r="A33" i="16"/>
  <c r="J33" i="16" s="1"/>
  <c r="A37" i="16"/>
  <c r="J37" i="16" s="1"/>
  <c r="A13" i="16"/>
  <c r="J13" i="16" s="1"/>
  <c r="A4" i="16"/>
  <c r="J4" i="16" s="1"/>
  <c r="A5" i="16"/>
  <c r="J5" i="16" s="1"/>
  <c r="A6" i="16"/>
  <c r="J6" i="16" s="1"/>
  <c r="A9" i="16"/>
  <c r="J9" i="16" s="1"/>
  <c r="A10" i="16"/>
  <c r="A12" i="16"/>
  <c r="A14" i="16"/>
  <c r="A15" i="16"/>
  <c r="A19" i="16"/>
  <c r="A112" i="16"/>
  <c r="A113" i="16"/>
  <c r="A114" i="16"/>
  <c r="A115" i="16"/>
  <c r="A116" i="16"/>
  <c r="A120" i="16"/>
  <c r="A121" i="16"/>
  <c r="A122" i="16"/>
  <c r="A123" i="16"/>
  <c r="A127" i="16"/>
  <c r="A111" i="16"/>
  <c r="J61" i="16" l="1"/>
  <c r="J12" i="16" l="1"/>
  <c r="J14" i="16"/>
  <c r="J15" i="16"/>
  <c r="J16" i="16"/>
  <c r="J17" i="16"/>
  <c r="J18" i="16"/>
  <c r="J19" i="16"/>
  <c r="J3" i="16"/>
  <c r="J22" i="16"/>
  <c r="J23" i="16"/>
  <c r="J40" i="16"/>
  <c r="J42" i="16"/>
  <c r="J43" i="16"/>
  <c r="J45" i="16"/>
  <c r="J46" i="16"/>
  <c r="J47" i="16"/>
  <c r="J48" i="16"/>
  <c r="J49" i="16"/>
  <c r="J50" i="16"/>
  <c r="J51" i="16"/>
  <c r="J52" i="16"/>
  <c r="J53" i="16"/>
  <c r="J54" i="16"/>
  <c r="J55" i="16"/>
  <c r="J39" i="16"/>
  <c r="J58" i="16"/>
  <c r="J62" i="16"/>
  <c r="J64" i="16"/>
  <c r="J65" i="16"/>
  <c r="J66" i="16"/>
  <c r="J67" i="16"/>
  <c r="J68" i="16"/>
  <c r="J69" i="16"/>
  <c r="J70" i="16"/>
  <c r="J71" i="16"/>
  <c r="J72" i="16"/>
  <c r="J57" i="16"/>
  <c r="J75" i="16"/>
  <c r="J94" i="16"/>
  <c r="J95" i="16"/>
  <c r="J96" i="16"/>
  <c r="J97" i="16"/>
  <c r="J98" i="16"/>
  <c r="J99" i="16"/>
  <c r="J100" i="16"/>
  <c r="J101" i="16"/>
  <c r="J102" i="16"/>
  <c r="J103" i="16"/>
  <c r="J104" i="16"/>
  <c r="J105" i="16"/>
  <c r="J106" i="16"/>
  <c r="J107" i="16"/>
  <c r="J108" i="16"/>
  <c r="J109" i="16"/>
  <c r="J93" i="16"/>
  <c r="J112" i="16"/>
  <c r="J113" i="16"/>
  <c r="J114" i="16"/>
  <c r="J115" i="16"/>
  <c r="J116" i="16"/>
  <c r="J117" i="16"/>
  <c r="J118" i="16"/>
  <c r="J119" i="16"/>
  <c r="J120" i="16"/>
  <c r="J121" i="16"/>
  <c r="J122" i="16"/>
  <c r="J123" i="16"/>
  <c r="J124" i="16"/>
  <c r="J125" i="16"/>
  <c r="J126" i="16"/>
  <c r="J127" i="16"/>
  <c r="J111" i="16"/>
  <c r="J130" i="16"/>
  <c r="J131" i="16"/>
  <c r="J132" i="16"/>
  <c r="J133" i="16"/>
  <c r="J134" i="16"/>
  <c r="J135" i="16"/>
  <c r="J136" i="16"/>
  <c r="J137" i="16"/>
  <c r="J139" i="16"/>
  <c r="J140" i="16"/>
  <c r="J141" i="16"/>
  <c r="J142" i="16"/>
  <c r="J143" i="16"/>
  <c r="J144" i="16"/>
  <c r="J145" i="16"/>
  <c r="J129" i="16"/>
  <c r="J163" i="16"/>
  <c r="J162" i="16"/>
  <c r="J161" i="16"/>
  <c r="J160" i="16"/>
  <c r="J159" i="16"/>
  <c r="J158" i="16"/>
  <c r="J157" i="16"/>
  <c r="J156" i="16"/>
  <c r="J155" i="16"/>
  <c r="J154" i="16"/>
  <c r="J153" i="16"/>
  <c r="J152" i="16"/>
  <c r="J151" i="16"/>
  <c r="J150" i="16"/>
  <c r="J149" i="16"/>
  <c r="J148" i="16"/>
  <c r="J147" i="16"/>
  <c r="J166" i="16"/>
  <c r="J168" i="16"/>
  <c r="J169" i="16"/>
  <c r="J170" i="16"/>
  <c r="J171" i="16"/>
  <c r="J173" i="16"/>
  <c r="J174" i="16"/>
  <c r="J175" i="16"/>
  <c r="J176" i="16"/>
  <c r="J177" i="16"/>
  <c r="J178" i="16"/>
  <c r="J179" i="16"/>
  <c r="J180" i="16"/>
  <c r="J181" i="16"/>
  <c r="J165" i="16"/>
  <c r="O162" i="15"/>
  <c r="O163" i="15"/>
  <c r="O166" i="15"/>
  <c r="O169" i="15"/>
  <c r="O174" i="15"/>
  <c r="O176" i="15"/>
  <c r="O145" i="15"/>
  <c r="O150" i="15"/>
  <c r="O151" i="15"/>
  <c r="O152" i="15"/>
  <c r="O153" i="15"/>
  <c r="O154" i="15"/>
  <c r="O155" i="15"/>
  <c r="O156" i="15"/>
  <c r="O157" i="15"/>
  <c r="O158" i="15"/>
  <c r="O129" i="15"/>
  <c r="O130" i="15"/>
  <c r="O132" i="15"/>
  <c r="O133" i="15"/>
  <c r="O135" i="15"/>
  <c r="O136" i="15"/>
  <c r="O137" i="15"/>
  <c r="O138" i="15"/>
  <c r="O139" i="15"/>
  <c r="O140" i="15"/>
  <c r="O113" i="15"/>
  <c r="O115" i="15"/>
  <c r="O116" i="15"/>
  <c r="O122" i="15"/>
  <c r="O99" i="15"/>
  <c r="O104" i="15"/>
  <c r="O105" i="15"/>
  <c r="O106" i="15"/>
  <c r="O81" i="15"/>
  <c r="O87" i="15"/>
  <c r="O88" i="15"/>
  <c r="O89" i="15"/>
  <c r="O64" i="15"/>
  <c r="O66" i="15"/>
  <c r="O67" i="15"/>
  <c r="O68" i="15"/>
  <c r="O69" i="15"/>
  <c r="O70" i="15"/>
  <c r="O71" i="15"/>
  <c r="O56" i="15"/>
  <c r="O44" i="15"/>
  <c r="O47" i="15"/>
  <c r="O52" i="15"/>
  <c r="O53" i="15"/>
  <c r="O23" i="15"/>
  <c r="O26" i="15"/>
  <c r="O27" i="15"/>
  <c r="O28" i="15"/>
  <c r="O29" i="15"/>
  <c r="O32" i="15"/>
  <c r="O33" i="15"/>
  <c r="O34" i="15"/>
  <c r="O35" i="15"/>
  <c r="O36" i="15"/>
  <c r="O4" i="15"/>
  <c r="O5" i="15"/>
  <c r="O6" i="15"/>
  <c r="O7" i="15"/>
  <c r="O8" i="15"/>
  <c r="O11" i="15"/>
  <c r="O15" i="15"/>
  <c r="O16" i="15"/>
  <c r="O17" i="15"/>
  <c r="O18" i="15"/>
  <c r="N158" i="15"/>
  <c r="N157" i="15"/>
  <c r="N156" i="15"/>
  <c r="N155" i="15"/>
  <c r="N154" i="15"/>
  <c r="N153" i="15"/>
  <c r="N152" i="15"/>
  <c r="N151" i="15"/>
  <c r="N150" i="15"/>
  <c r="N145" i="15"/>
  <c r="A159" i="15"/>
  <c r="B159" i="15"/>
  <c r="N159" i="15" s="1"/>
  <c r="O159" i="15" s="1"/>
  <c r="N174" i="15"/>
  <c r="N169" i="15"/>
  <c r="N166" i="15"/>
  <c r="N163" i="15"/>
  <c r="N162" i="15"/>
  <c r="B171" i="15"/>
  <c r="A171" i="15"/>
  <c r="A172" i="15"/>
  <c r="B172" i="15"/>
  <c r="A173" i="15"/>
  <c r="B173" i="15"/>
  <c r="A175" i="15"/>
  <c r="B175" i="15"/>
  <c r="A177" i="15"/>
  <c r="B177" i="15"/>
  <c r="A141" i="15"/>
  <c r="B141" i="15"/>
  <c r="A57" i="15"/>
  <c r="B72" i="15"/>
  <c r="A72" i="15"/>
  <c r="B37" i="15"/>
  <c r="A37" i="15"/>
  <c r="A19" i="15"/>
  <c r="B19" i="15"/>
  <c r="A109" i="15"/>
  <c r="B109" i="15"/>
  <c r="A110" i="15"/>
  <c r="B110" i="15"/>
  <c r="A111" i="15"/>
  <c r="B111" i="15"/>
  <c r="A112" i="15"/>
  <c r="B112" i="15"/>
  <c r="A114" i="15"/>
  <c r="B114" i="15"/>
  <c r="A117" i="15"/>
  <c r="B117" i="15"/>
  <c r="A118" i="15"/>
  <c r="B118" i="15"/>
  <c r="A119" i="15"/>
  <c r="B119" i="15"/>
  <c r="A120" i="15"/>
  <c r="B120" i="15"/>
  <c r="A121" i="15"/>
  <c r="O121" i="15" s="1"/>
  <c r="B121" i="15"/>
  <c r="A123" i="15"/>
  <c r="O123" i="15" s="1"/>
  <c r="B123" i="15"/>
  <c r="B17" i="15"/>
  <c r="N17" i="15" s="1"/>
  <c r="A17" i="15"/>
  <c r="B14" i="15"/>
  <c r="A14" i="15"/>
  <c r="B13" i="15"/>
  <c r="A13" i="15"/>
  <c r="B12" i="15"/>
  <c r="A12" i="15"/>
  <c r="B10" i="15"/>
  <c r="A10" i="15"/>
  <c r="B9" i="15"/>
  <c r="A9" i="15"/>
  <c r="B3" i="15"/>
  <c r="A3" i="15"/>
  <c r="B31" i="15"/>
  <c r="A31" i="15"/>
  <c r="B30" i="15"/>
  <c r="A30" i="15"/>
  <c r="B25" i="15"/>
  <c r="A25" i="15"/>
  <c r="B24" i="15"/>
  <c r="A24" i="15"/>
  <c r="B22" i="15"/>
  <c r="A22" i="15"/>
  <c r="B21" i="15"/>
  <c r="A21" i="15"/>
  <c r="B54" i="15"/>
  <c r="A54" i="15"/>
  <c r="B51" i="15"/>
  <c r="A51" i="15"/>
  <c r="B50" i="15"/>
  <c r="A50" i="15"/>
  <c r="B49" i="15"/>
  <c r="A49" i="15"/>
  <c r="B48" i="15"/>
  <c r="A48" i="15"/>
  <c r="B46" i="15"/>
  <c r="A46" i="15"/>
  <c r="B45" i="15"/>
  <c r="A45" i="15"/>
  <c r="B43" i="15"/>
  <c r="A43" i="15"/>
  <c r="B42" i="15"/>
  <c r="A42" i="15"/>
  <c r="B41" i="15"/>
  <c r="A41" i="15"/>
  <c r="B40" i="15"/>
  <c r="A40" i="15"/>
  <c r="B39" i="15"/>
  <c r="A39" i="15"/>
  <c r="B65" i="15"/>
  <c r="A65" i="15"/>
  <c r="B63" i="15"/>
  <c r="A63" i="15"/>
  <c r="B62" i="15"/>
  <c r="A62" i="15"/>
  <c r="B61" i="15"/>
  <c r="A61" i="15"/>
  <c r="B60" i="15"/>
  <c r="A60" i="15"/>
  <c r="B59" i="15"/>
  <c r="A59" i="15"/>
  <c r="B58" i="15"/>
  <c r="A58" i="15"/>
  <c r="B57" i="15"/>
  <c r="B86" i="15"/>
  <c r="A86" i="15"/>
  <c r="B85" i="15"/>
  <c r="A85" i="15"/>
  <c r="B84" i="15"/>
  <c r="A84" i="15"/>
  <c r="B83" i="15"/>
  <c r="A83" i="15"/>
  <c r="B80" i="15"/>
  <c r="A80" i="15"/>
  <c r="B79" i="15"/>
  <c r="A79" i="15"/>
  <c r="B78" i="15"/>
  <c r="A78" i="15"/>
  <c r="B77" i="15"/>
  <c r="A77" i="15"/>
  <c r="B76" i="15"/>
  <c r="A76" i="15"/>
  <c r="B75" i="15"/>
  <c r="A75" i="15"/>
  <c r="B74" i="15"/>
  <c r="A74" i="15"/>
  <c r="B103" i="15"/>
  <c r="A103" i="15"/>
  <c r="B102" i="15"/>
  <c r="A102" i="15"/>
  <c r="B101" i="15"/>
  <c r="A101" i="15"/>
  <c r="B100" i="15"/>
  <c r="A100" i="15"/>
  <c r="B98" i="15"/>
  <c r="A98" i="15"/>
  <c r="B97" i="15"/>
  <c r="A97" i="15"/>
  <c r="B96" i="15"/>
  <c r="A96" i="15"/>
  <c r="B95" i="15"/>
  <c r="A95" i="15"/>
  <c r="B94" i="15"/>
  <c r="A94" i="15"/>
  <c r="B93" i="15"/>
  <c r="A93" i="15"/>
  <c r="B92" i="15"/>
  <c r="A92" i="15"/>
  <c r="B91" i="15"/>
  <c r="A91" i="15"/>
  <c r="B170" i="15"/>
  <c r="A170" i="15"/>
  <c r="B168" i="15"/>
  <c r="A168" i="15"/>
  <c r="B167" i="15"/>
  <c r="A167" i="15"/>
  <c r="B165" i="15"/>
  <c r="A165" i="15"/>
  <c r="B164" i="15"/>
  <c r="A164" i="15"/>
  <c r="B161" i="15"/>
  <c r="A161" i="15"/>
  <c r="B149" i="15"/>
  <c r="A149" i="15"/>
  <c r="B148" i="15"/>
  <c r="A148" i="15"/>
  <c r="B147" i="15"/>
  <c r="A147" i="15"/>
  <c r="B146" i="15"/>
  <c r="A146" i="15"/>
  <c r="B144" i="15"/>
  <c r="A144" i="15"/>
  <c r="B143" i="15"/>
  <c r="A143" i="15"/>
  <c r="B134" i="15"/>
  <c r="A134" i="15"/>
  <c r="B131" i="15"/>
  <c r="A131" i="15"/>
  <c r="B128" i="15"/>
  <c r="A128" i="15"/>
  <c r="B127" i="15"/>
  <c r="A127" i="15"/>
  <c r="B126" i="15"/>
  <c r="A126" i="15"/>
  <c r="B108" i="15"/>
  <c r="A108" i="15"/>
  <c r="O109" i="15" l="1"/>
  <c r="O21" i="15"/>
  <c r="O37" i="15"/>
  <c r="O127" i="15"/>
  <c r="O61" i="15"/>
  <c r="O10" i="15"/>
  <c r="O172" i="15"/>
  <c r="O77" i="15"/>
  <c r="O112" i="15"/>
  <c r="O171" i="15"/>
  <c r="O31" i="15"/>
  <c r="O175" i="15"/>
  <c r="O165" i="15"/>
  <c r="O41" i="15"/>
  <c r="O62" i="15"/>
  <c r="O12" i="15"/>
  <c r="O54" i="15"/>
  <c r="O3" i="15"/>
  <c r="O40" i="15"/>
  <c r="O131" i="15"/>
  <c r="O168" i="15"/>
  <c r="O95" i="15"/>
  <c r="O102" i="15"/>
  <c r="O111" i="15"/>
  <c r="N177" i="15"/>
  <c r="O177" i="15" s="1"/>
  <c r="N176" i="15"/>
  <c r="N175" i="15"/>
  <c r="N173" i="15"/>
  <c r="O173" i="15" s="1"/>
  <c r="N172" i="15"/>
  <c r="N171" i="15"/>
  <c r="N170" i="15"/>
  <c r="O170" i="15" s="1"/>
  <c r="N168" i="15"/>
  <c r="N167" i="15"/>
  <c r="O167" i="15" s="1"/>
  <c r="N165" i="15"/>
  <c r="N164" i="15"/>
  <c r="O164" i="15" s="1"/>
  <c r="N161" i="15"/>
  <c r="O161" i="15" s="1"/>
  <c r="N149" i="15"/>
  <c r="O149" i="15" s="1"/>
  <c r="N148" i="15"/>
  <c r="O148" i="15" s="1"/>
  <c r="N147" i="15"/>
  <c r="O147" i="15" s="1"/>
  <c r="N146" i="15"/>
  <c r="O146" i="15" s="1"/>
  <c r="N144" i="15"/>
  <c r="O144" i="15" s="1"/>
  <c r="N143" i="15"/>
  <c r="O143" i="15" s="1"/>
  <c r="N141" i="15"/>
  <c r="O141" i="15" s="1"/>
  <c r="N140" i="15"/>
  <c r="N139" i="15"/>
  <c r="N138" i="15"/>
  <c r="N137" i="15"/>
  <c r="N136" i="15"/>
  <c r="N135" i="15"/>
  <c r="N134" i="15"/>
  <c r="O134" i="15" s="1"/>
  <c r="N133" i="15"/>
  <c r="N132" i="15"/>
  <c r="N131" i="15"/>
  <c r="N130" i="15"/>
  <c r="N129" i="15"/>
  <c r="N128" i="15"/>
  <c r="O128" i="15" s="1"/>
  <c r="N127" i="15"/>
  <c r="N126" i="15"/>
  <c r="O126" i="15" s="1"/>
  <c r="N125" i="15"/>
  <c r="O125" i="15" s="1"/>
  <c r="N120" i="15"/>
  <c r="O120" i="15" s="1"/>
  <c r="N119" i="15"/>
  <c r="O119" i="15" s="1"/>
  <c r="N118" i="15"/>
  <c r="O118" i="15" s="1"/>
  <c r="N117" i="15"/>
  <c r="O117" i="15" s="1"/>
  <c r="N114" i="15"/>
  <c r="O114" i="15" s="1"/>
  <c r="N112" i="15"/>
  <c r="N111" i="15"/>
  <c r="N110" i="15"/>
  <c r="O110" i="15" s="1"/>
  <c r="N109" i="15"/>
  <c r="N108" i="15"/>
  <c r="O108" i="15" s="1"/>
  <c r="N106" i="15"/>
  <c r="N105" i="15"/>
  <c r="N104" i="15"/>
  <c r="N103" i="15"/>
  <c r="O103" i="15" s="1"/>
  <c r="N102" i="15"/>
  <c r="N101" i="15"/>
  <c r="O101" i="15" s="1"/>
  <c r="N100" i="15"/>
  <c r="O100" i="15" s="1"/>
  <c r="N99" i="15"/>
  <c r="N98" i="15"/>
  <c r="O98" i="15" s="1"/>
  <c r="N97" i="15"/>
  <c r="O97" i="15" s="1"/>
  <c r="N96" i="15"/>
  <c r="O96" i="15" s="1"/>
  <c r="N95" i="15"/>
  <c r="N94" i="15"/>
  <c r="O94" i="15" s="1"/>
  <c r="N93" i="15"/>
  <c r="O93" i="15" s="1"/>
  <c r="N92" i="15"/>
  <c r="O92" i="15" s="1"/>
  <c r="N91" i="15"/>
  <c r="O91" i="15" s="1"/>
  <c r="N86" i="15"/>
  <c r="O86" i="15" s="1"/>
  <c r="N85" i="15"/>
  <c r="O85" i="15" s="1"/>
  <c r="N84" i="15"/>
  <c r="O84" i="15" s="1"/>
  <c r="N83" i="15"/>
  <c r="O83" i="15" s="1"/>
  <c r="N82" i="15"/>
  <c r="O82" i="15" s="1"/>
  <c r="N80" i="15"/>
  <c r="O80" i="15" s="1"/>
  <c r="N79" i="15"/>
  <c r="O79" i="15" s="1"/>
  <c r="N78" i="15"/>
  <c r="O78" i="15" s="1"/>
  <c r="N77" i="15"/>
  <c r="N76" i="15"/>
  <c r="O76" i="15" s="1"/>
  <c r="N75" i="15"/>
  <c r="O75" i="15" s="1"/>
  <c r="N74" i="15"/>
  <c r="O74" i="15" s="1"/>
  <c r="N72" i="15"/>
  <c r="O72" i="15" s="1"/>
  <c r="N65" i="15"/>
  <c r="O65" i="15" s="1"/>
  <c r="N63" i="15"/>
  <c r="O63" i="15" s="1"/>
  <c r="N62" i="15"/>
  <c r="N61" i="15"/>
  <c r="N60" i="15"/>
  <c r="O60" i="15" s="1"/>
  <c r="N59" i="15"/>
  <c r="O59" i="15" s="1"/>
  <c r="N58" i="15"/>
  <c r="O58" i="15" s="1"/>
  <c r="N57" i="15"/>
  <c r="O57" i="15" s="1"/>
  <c r="N54" i="15"/>
  <c r="N51" i="15"/>
  <c r="O51" i="15" s="1"/>
  <c r="N50" i="15"/>
  <c r="O50" i="15" s="1"/>
  <c r="N49" i="15"/>
  <c r="O49" i="15" s="1"/>
  <c r="N48" i="15"/>
  <c r="O48" i="15" s="1"/>
  <c r="N46" i="15"/>
  <c r="O46" i="15" s="1"/>
  <c r="N45" i="15"/>
  <c r="O45" i="15" s="1"/>
  <c r="N43" i="15"/>
  <c r="O43" i="15" s="1"/>
  <c r="N42" i="15"/>
  <c r="O42" i="15" s="1"/>
  <c r="N41" i="15"/>
  <c r="N40" i="15"/>
  <c r="N39" i="15"/>
  <c r="O39" i="15" s="1"/>
  <c r="N37" i="15"/>
  <c r="N31" i="15"/>
  <c r="N30" i="15"/>
  <c r="O30" i="15" s="1"/>
  <c r="N25" i="15"/>
  <c r="O25" i="15" s="1"/>
  <c r="N24" i="15"/>
  <c r="O24" i="15" s="1"/>
  <c r="N22" i="15"/>
  <c r="O22" i="15" s="1"/>
  <c r="N21" i="15"/>
  <c r="N19" i="15"/>
  <c r="O19" i="15" s="1"/>
  <c r="N14" i="15"/>
  <c r="O14" i="15" s="1"/>
  <c r="N13" i="15"/>
  <c r="O13" i="15" s="1"/>
  <c r="N12" i="15"/>
  <c r="N10" i="15"/>
  <c r="N9" i="15"/>
  <c r="O9" i="15" s="1"/>
  <c r="N3" i="15"/>
  <c r="N150" i="12"/>
  <c r="N151" i="12"/>
  <c r="N142" i="12"/>
  <c r="O142" i="12"/>
  <c r="O176" i="12"/>
  <c r="N176" i="12"/>
  <c r="O175" i="12"/>
  <c r="N175" i="12"/>
  <c r="O174" i="12"/>
  <c r="N174" i="12"/>
  <c r="O173" i="12"/>
  <c r="N173" i="12"/>
  <c r="O172" i="12"/>
  <c r="N172" i="12"/>
  <c r="O171" i="12"/>
  <c r="N171" i="12"/>
  <c r="O169" i="12"/>
  <c r="N169" i="12"/>
  <c r="O168" i="12"/>
  <c r="N168" i="12"/>
  <c r="O166" i="12"/>
  <c r="N166" i="12"/>
  <c r="O159" i="12"/>
  <c r="N159" i="12"/>
  <c r="O158" i="12"/>
  <c r="N158" i="12"/>
  <c r="O157" i="12"/>
  <c r="N157" i="12"/>
  <c r="O156" i="12"/>
  <c r="N156" i="12"/>
  <c r="O155" i="12"/>
  <c r="N155" i="12"/>
  <c r="O152" i="12"/>
  <c r="N152" i="12"/>
  <c r="O151" i="12"/>
  <c r="O150" i="12"/>
  <c r="O141" i="12"/>
  <c r="N141" i="12"/>
  <c r="O140" i="12"/>
  <c r="N140" i="12"/>
  <c r="O139" i="12"/>
  <c r="N139" i="12"/>
  <c r="O138" i="12"/>
  <c r="N138" i="12"/>
  <c r="O137" i="12"/>
  <c r="N137" i="12"/>
  <c r="O136" i="12"/>
  <c r="N136" i="12"/>
  <c r="O134" i="12"/>
  <c r="N134" i="12"/>
  <c r="O126" i="12"/>
  <c r="N126" i="12"/>
  <c r="O124" i="12"/>
  <c r="N124" i="12"/>
  <c r="O123" i="12"/>
  <c r="N123" i="12"/>
  <c r="O122" i="12"/>
  <c r="N122" i="12"/>
  <c r="O120" i="12"/>
  <c r="N120" i="12"/>
  <c r="O117" i="12"/>
  <c r="N117" i="12"/>
  <c r="O116" i="12"/>
  <c r="N116" i="12"/>
  <c r="O113" i="12"/>
  <c r="N113" i="12"/>
  <c r="O112" i="12"/>
  <c r="N112" i="12"/>
  <c r="O109" i="12"/>
  <c r="N109" i="12"/>
  <c r="O107" i="12"/>
  <c r="N107" i="12"/>
  <c r="O106" i="12"/>
  <c r="N106" i="12"/>
  <c r="O105" i="12"/>
  <c r="N105" i="12"/>
  <c r="O104" i="12"/>
  <c r="N104" i="12"/>
  <c r="O100" i="12"/>
  <c r="N100" i="12"/>
  <c r="O99" i="12"/>
  <c r="N99" i="12"/>
  <c r="O89" i="12"/>
  <c r="N89" i="12"/>
  <c r="O86" i="12"/>
  <c r="N86" i="12"/>
  <c r="O82" i="12"/>
  <c r="N82" i="12"/>
  <c r="O79" i="12"/>
  <c r="N79" i="12"/>
  <c r="O77" i="12"/>
  <c r="N77" i="12"/>
  <c r="O71" i="12"/>
  <c r="N71" i="12"/>
  <c r="O70" i="12"/>
  <c r="N70" i="12"/>
  <c r="O69" i="12"/>
  <c r="N69" i="12"/>
  <c r="O64" i="12"/>
  <c r="N64" i="12"/>
  <c r="O56" i="12"/>
  <c r="N56" i="12"/>
  <c r="O54" i="12"/>
  <c r="N54" i="12"/>
  <c r="O53" i="12"/>
  <c r="N53" i="12"/>
  <c r="O52" i="12"/>
  <c r="N52" i="12"/>
  <c r="O51" i="12"/>
  <c r="N51" i="12"/>
  <c r="O50" i="12"/>
  <c r="N50" i="12"/>
  <c r="O47" i="12"/>
  <c r="N47" i="12"/>
  <c r="O46" i="12"/>
  <c r="N46" i="12"/>
  <c r="O45" i="12"/>
  <c r="N45" i="12"/>
  <c r="O44" i="12"/>
  <c r="N44" i="12"/>
  <c r="O39" i="12"/>
  <c r="N39" i="12"/>
  <c r="O37" i="12"/>
  <c r="N37" i="12"/>
  <c r="O36" i="12"/>
  <c r="N36" i="12"/>
  <c r="O35" i="12"/>
  <c r="N35" i="12"/>
  <c r="O34" i="12"/>
  <c r="N34" i="12"/>
  <c r="O33" i="12"/>
  <c r="N33" i="12"/>
  <c r="O32" i="12"/>
  <c r="N32" i="12"/>
  <c r="O28" i="12"/>
  <c r="N28" i="12"/>
  <c r="O27" i="12"/>
  <c r="N27" i="12"/>
  <c r="O22" i="12"/>
  <c r="N22" i="12"/>
  <c r="N14" i="12"/>
  <c r="N15" i="12"/>
  <c r="N16" i="12"/>
  <c r="N17" i="12"/>
  <c r="N18" i="12"/>
  <c r="O10" i="12"/>
  <c r="O14" i="12"/>
  <c r="O15" i="12"/>
  <c r="O16" i="12"/>
  <c r="O17" i="12"/>
  <c r="O18" i="12"/>
  <c r="O5" i="12"/>
  <c r="A101" i="12"/>
  <c r="A90" i="12"/>
  <c r="B90" i="12"/>
  <c r="N90" i="12" s="1"/>
  <c r="A72" i="12"/>
  <c r="B72" i="12"/>
  <c r="N72" i="12" s="1"/>
  <c r="O72" i="12" s="1"/>
  <c r="A3" i="12"/>
  <c r="A19" i="12"/>
  <c r="B19" i="12"/>
  <c r="N19" i="12" s="1"/>
  <c r="A4" i="12"/>
  <c r="B4" i="12"/>
  <c r="N4" i="12" s="1"/>
  <c r="N5" i="12"/>
  <c r="A6" i="12"/>
  <c r="B6" i="12"/>
  <c r="N6" i="12" s="1"/>
  <c r="A7" i="12"/>
  <c r="B7" i="12"/>
  <c r="N7" i="12" s="1"/>
  <c r="A8" i="12"/>
  <c r="B8" i="12"/>
  <c r="N8" i="12" s="1"/>
  <c r="A9" i="12"/>
  <c r="B9" i="12"/>
  <c r="N9" i="12" s="1"/>
  <c r="A11" i="12"/>
  <c r="B11" i="12"/>
  <c r="N11" i="12" s="1"/>
  <c r="A12" i="12"/>
  <c r="B12" i="12"/>
  <c r="N12" i="12" s="1"/>
  <c r="A13" i="12"/>
  <c r="B13" i="12"/>
  <c r="N13" i="12" s="1"/>
  <c r="A21" i="12"/>
  <c r="B21" i="12"/>
  <c r="N21" i="12" s="1"/>
  <c r="A23" i="12"/>
  <c r="B23" i="12"/>
  <c r="N23" i="12" s="1"/>
  <c r="O23" i="12" s="1"/>
  <c r="A24" i="12"/>
  <c r="B24" i="12"/>
  <c r="N24" i="12" s="1"/>
  <c r="A25" i="12"/>
  <c r="B25" i="12"/>
  <c r="N25" i="12" s="1"/>
  <c r="A26" i="12"/>
  <c r="B26" i="12"/>
  <c r="N26" i="12" s="1"/>
  <c r="A29" i="12"/>
  <c r="B29" i="12"/>
  <c r="N29" i="12" s="1"/>
  <c r="A30" i="12"/>
  <c r="B30" i="12"/>
  <c r="N30" i="12" s="1"/>
  <c r="A31" i="12"/>
  <c r="B31" i="12"/>
  <c r="N31" i="12" s="1"/>
  <c r="A40" i="12"/>
  <c r="B40" i="12"/>
  <c r="N40" i="12" s="1"/>
  <c r="A41" i="12"/>
  <c r="B41" i="12"/>
  <c r="N41" i="12" s="1"/>
  <c r="A42" i="12"/>
  <c r="B42" i="12"/>
  <c r="N42" i="12" s="1"/>
  <c r="A43" i="12"/>
  <c r="B43" i="12"/>
  <c r="N43" i="12" s="1"/>
  <c r="A48" i="12"/>
  <c r="B48" i="12"/>
  <c r="N48" i="12" s="1"/>
  <c r="A49" i="12"/>
  <c r="B49" i="12"/>
  <c r="N49" i="12" s="1"/>
  <c r="A57" i="12"/>
  <c r="B57" i="12"/>
  <c r="N57" i="12" s="1"/>
  <c r="A58" i="12"/>
  <c r="B58" i="12"/>
  <c r="N58" i="12" s="1"/>
  <c r="A59" i="12"/>
  <c r="B59" i="12"/>
  <c r="N59" i="12" s="1"/>
  <c r="A60" i="12"/>
  <c r="B60" i="12"/>
  <c r="N60" i="12" s="1"/>
  <c r="O60" i="12" s="1"/>
  <c r="A61" i="12"/>
  <c r="B61" i="12"/>
  <c r="N61" i="12" s="1"/>
  <c r="A62" i="12"/>
  <c r="B62" i="12"/>
  <c r="N62" i="12" s="1"/>
  <c r="A63" i="12"/>
  <c r="B63" i="12"/>
  <c r="N63" i="12" s="1"/>
  <c r="A65" i="12"/>
  <c r="B65" i="12"/>
  <c r="N65" i="12" s="1"/>
  <c r="A66" i="12"/>
  <c r="B66" i="12"/>
  <c r="N66" i="12" s="1"/>
  <c r="A67" i="12"/>
  <c r="B67" i="12"/>
  <c r="N67" i="12" s="1"/>
  <c r="A68" i="12"/>
  <c r="B68" i="12"/>
  <c r="N68" i="12" s="1"/>
  <c r="A74" i="12"/>
  <c r="B74" i="12"/>
  <c r="N74" i="12" s="1"/>
  <c r="A75" i="12"/>
  <c r="B75" i="12"/>
  <c r="N75" i="12" s="1"/>
  <c r="A76" i="12"/>
  <c r="B76" i="12"/>
  <c r="N76" i="12" s="1"/>
  <c r="A78" i="12"/>
  <c r="B78" i="12"/>
  <c r="N78" i="12" s="1"/>
  <c r="A80" i="12"/>
  <c r="B80" i="12"/>
  <c r="N80" i="12" s="1"/>
  <c r="A81" i="12"/>
  <c r="B81" i="12"/>
  <c r="N81" i="12" s="1"/>
  <c r="A83" i="12"/>
  <c r="B83" i="12"/>
  <c r="N83" i="12" s="1"/>
  <c r="A84" i="12"/>
  <c r="B84" i="12"/>
  <c r="N84" i="12" s="1"/>
  <c r="A85" i="12"/>
  <c r="B85" i="12"/>
  <c r="N85" i="12" s="1"/>
  <c r="A87" i="12"/>
  <c r="B87" i="12"/>
  <c r="N87" i="12" s="1"/>
  <c r="A88" i="12"/>
  <c r="B88" i="12"/>
  <c r="N88" i="12" s="1"/>
  <c r="A92" i="12"/>
  <c r="B92" i="12"/>
  <c r="N92" i="12" s="1"/>
  <c r="A93" i="12"/>
  <c r="B93" i="12"/>
  <c r="N93" i="12" s="1"/>
  <c r="O93" i="12" s="1"/>
  <c r="A94" i="12"/>
  <c r="B94" i="12"/>
  <c r="N94" i="12" s="1"/>
  <c r="A95" i="12"/>
  <c r="B95" i="12"/>
  <c r="N95" i="12" s="1"/>
  <c r="A96" i="12"/>
  <c r="B96" i="12"/>
  <c r="N96" i="12" s="1"/>
  <c r="A97" i="12"/>
  <c r="B97" i="12"/>
  <c r="N97" i="12" s="1"/>
  <c r="A98" i="12"/>
  <c r="B98" i="12"/>
  <c r="N98" i="12" s="1"/>
  <c r="B101" i="12"/>
  <c r="N101" i="12" s="1"/>
  <c r="O101" i="12" s="1"/>
  <c r="A102" i="12"/>
  <c r="B102" i="12"/>
  <c r="N102" i="12" s="1"/>
  <c r="A103" i="12"/>
  <c r="B103" i="12"/>
  <c r="N103" i="12" s="1"/>
  <c r="A110" i="12"/>
  <c r="B110" i="12"/>
  <c r="N110" i="12" s="1"/>
  <c r="A111" i="12"/>
  <c r="B111" i="12"/>
  <c r="N111" i="12" s="1"/>
  <c r="A114" i="12"/>
  <c r="B114" i="12"/>
  <c r="N114" i="12" s="1"/>
  <c r="A115" i="12"/>
  <c r="B115" i="12"/>
  <c r="N115" i="12" s="1"/>
  <c r="A118" i="12"/>
  <c r="B118" i="12"/>
  <c r="N118" i="12" s="1"/>
  <c r="A119" i="12"/>
  <c r="B119" i="12"/>
  <c r="N119" i="12" s="1"/>
  <c r="A121" i="12"/>
  <c r="B121" i="12"/>
  <c r="N121" i="12" s="1"/>
  <c r="A127" i="12"/>
  <c r="O127" i="12" s="1"/>
  <c r="B127" i="12"/>
  <c r="N127" i="12" s="1"/>
  <c r="A128" i="12"/>
  <c r="B128" i="12"/>
  <c r="N128" i="12" s="1"/>
  <c r="A129" i="12"/>
  <c r="B129" i="12"/>
  <c r="N129" i="12" s="1"/>
  <c r="A130" i="12"/>
  <c r="B130" i="12"/>
  <c r="N130" i="12" s="1"/>
  <c r="A131" i="12"/>
  <c r="B131" i="12"/>
  <c r="N131" i="12" s="1"/>
  <c r="A132" i="12"/>
  <c r="B132" i="12"/>
  <c r="N132" i="12" s="1"/>
  <c r="A133" i="12"/>
  <c r="B133" i="12"/>
  <c r="N133" i="12" s="1"/>
  <c r="A135" i="12"/>
  <c r="B135" i="12"/>
  <c r="N135" i="12" s="1"/>
  <c r="A144" i="12"/>
  <c r="B144" i="12"/>
  <c r="N144" i="12" s="1"/>
  <c r="A145" i="12"/>
  <c r="B145" i="12"/>
  <c r="N145" i="12" s="1"/>
  <c r="A146" i="12"/>
  <c r="B146" i="12"/>
  <c r="N146" i="12" s="1"/>
  <c r="A147" i="12"/>
  <c r="B147" i="12"/>
  <c r="N147" i="12" s="1"/>
  <c r="A148" i="12"/>
  <c r="B148" i="12"/>
  <c r="N148" i="12" s="1"/>
  <c r="A149" i="12"/>
  <c r="B149" i="12"/>
  <c r="N149" i="12" s="1"/>
  <c r="A153" i="12"/>
  <c r="B153" i="12"/>
  <c r="N153" i="12" s="1"/>
  <c r="A154" i="12"/>
  <c r="B154" i="12"/>
  <c r="N154" i="12" s="1"/>
  <c r="O154" i="12" s="1"/>
  <c r="A161" i="12"/>
  <c r="B161" i="12"/>
  <c r="N161" i="12" s="1"/>
  <c r="A162" i="12"/>
  <c r="B162" i="12"/>
  <c r="N162" i="12" s="1"/>
  <c r="A163" i="12"/>
  <c r="B163" i="12"/>
  <c r="N163" i="12" s="1"/>
  <c r="A164" i="12"/>
  <c r="B164" i="12"/>
  <c r="N164" i="12" s="1"/>
  <c r="O164" i="12" s="1"/>
  <c r="A165" i="12"/>
  <c r="B165" i="12"/>
  <c r="N165" i="12" s="1"/>
  <c r="A167" i="12"/>
  <c r="B167" i="12"/>
  <c r="N167" i="12" s="1"/>
  <c r="A170" i="12"/>
  <c r="B170" i="12"/>
  <c r="N170" i="12" s="1"/>
  <c r="A177" i="12"/>
  <c r="B177" i="12"/>
  <c r="N177" i="12" s="1"/>
  <c r="O177" i="12" s="1"/>
  <c r="N10" i="12"/>
  <c r="B3" i="12"/>
  <c r="N3" i="12" s="1"/>
  <c r="P20" i="10"/>
  <c r="P25" i="10"/>
  <c r="P28" i="10"/>
  <c r="P33" i="10"/>
  <c r="P34" i="10"/>
  <c r="P11" i="10"/>
  <c r="P14" i="10"/>
  <c r="P15" i="10"/>
  <c r="P16" i="10"/>
  <c r="P17" i="10"/>
  <c r="P78" i="10"/>
  <c r="P80" i="10"/>
  <c r="P81" i="10"/>
  <c r="P87" i="10"/>
  <c r="P159" i="10"/>
  <c r="O144" i="12" l="1"/>
  <c r="O21" i="12"/>
  <c r="O131" i="12"/>
  <c r="O65" i="12"/>
  <c r="O68" i="12"/>
  <c r="O95" i="12"/>
  <c r="O88" i="12"/>
  <c r="O76" i="12"/>
  <c r="O62" i="12"/>
  <c r="O148" i="12"/>
  <c r="O9" i="12"/>
  <c r="O90" i="12"/>
  <c r="O58" i="12"/>
  <c r="O43" i="12"/>
  <c r="O31" i="12"/>
  <c r="O162" i="12"/>
  <c r="O149" i="12"/>
  <c r="O128" i="12"/>
  <c r="O118" i="12"/>
  <c r="O110" i="12"/>
  <c r="O161" i="12"/>
  <c r="O135" i="12"/>
  <c r="O114" i="12"/>
  <c r="O94" i="12"/>
  <c r="O87" i="12"/>
  <c r="O81" i="12"/>
  <c r="O66" i="12"/>
  <c r="O57" i="12"/>
  <c r="O42" i="12"/>
  <c r="O30" i="12"/>
  <c r="O24" i="12"/>
  <c r="O3" i="12"/>
  <c r="O167" i="12"/>
  <c r="O145" i="12"/>
  <c r="O119" i="12"/>
  <c r="O146" i="12"/>
  <c r="O12" i="12"/>
  <c r="O132" i="12"/>
  <c r="O165" i="12"/>
  <c r="O74" i="12"/>
  <c r="O6" i="12"/>
  <c r="O96" i="12"/>
  <c r="O84" i="12"/>
  <c r="O78" i="12"/>
  <c r="O63" i="12"/>
  <c r="O59" i="12"/>
  <c r="O48" i="12"/>
  <c r="O40" i="12"/>
  <c r="O26" i="12"/>
  <c r="O4" i="12"/>
  <c r="O130" i="12"/>
  <c r="O121" i="12"/>
  <c r="O102" i="12"/>
  <c r="O170" i="12"/>
  <c r="O163" i="12"/>
  <c r="O153" i="12"/>
  <c r="O111" i="12"/>
  <c r="O83" i="12"/>
  <c r="O13" i="12"/>
  <c r="O8" i="12"/>
  <c r="O19" i="12"/>
  <c r="O98" i="12"/>
  <c r="O75" i="12"/>
  <c r="O61" i="12"/>
  <c r="O67" i="12"/>
  <c r="O25" i="12"/>
  <c r="O133" i="12"/>
  <c r="O97" i="12"/>
  <c r="O85" i="12"/>
  <c r="O80" i="12"/>
  <c r="O49" i="12"/>
  <c r="O41" i="12"/>
  <c r="O29" i="12"/>
  <c r="O11" i="12"/>
  <c r="O129" i="12"/>
  <c r="O115" i="12"/>
  <c r="O103" i="12"/>
  <c r="O92" i="12"/>
  <c r="P60" i="10"/>
  <c r="P62" i="10"/>
  <c r="P63" i="10"/>
  <c r="P64" i="10"/>
  <c r="P71" i="10"/>
  <c r="P70" i="10"/>
  <c r="P69" i="10"/>
  <c r="P68" i="10"/>
  <c r="B20" i="10" l="1"/>
  <c r="B21" i="10"/>
  <c r="N21" i="10" s="1"/>
  <c r="O21" i="10" s="1"/>
  <c r="B22" i="10"/>
  <c r="N22" i="10" s="1"/>
  <c r="B23" i="10"/>
  <c r="N23" i="10" s="1"/>
  <c r="O23" i="10" s="1"/>
  <c r="P23" i="10" s="1"/>
  <c r="B24" i="10"/>
  <c r="N24" i="10" s="1"/>
  <c r="O24" i="10" s="1"/>
  <c r="P24" i="10" s="1"/>
  <c r="B25" i="10"/>
  <c r="B26" i="10"/>
  <c r="N26" i="10" s="1"/>
  <c r="O26" i="10" s="1"/>
  <c r="P26" i="10" s="1"/>
  <c r="B27" i="10"/>
  <c r="N27" i="10" s="1"/>
  <c r="O27" i="10" s="1"/>
  <c r="P27" i="10" s="1"/>
  <c r="B28" i="10"/>
  <c r="B29" i="10"/>
  <c r="N29" i="10" s="1"/>
  <c r="O29" i="10" s="1"/>
  <c r="P29" i="10" s="1"/>
  <c r="B30" i="10"/>
  <c r="N30" i="10" s="1"/>
  <c r="O30" i="10" s="1"/>
  <c r="P30" i="10" s="1"/>
  <c r="B31" i="10"/>
  <c r="N31" i="10" s="1"/>
  <c r="O31" i="10" s="1"/>
  <c r="P31" i="10" s="1"/>
  <c r="B32" i="10"/>
  <c r="N32" i="10" s="1"/>
  <c r="O32" i="10" s="1"/>
  <c r="P32" i="10" s="1"/>
  <c r="B33" i="10"/>
  <c r="B34" i="10"/>
  <c r="B35" i="10"/>
  <c r="B36" i="10"/>
  <c r="N36" i="10" s="1"/>
  <c r="B38" i="10"/>
  <c r="N38" i="10" s="1"/>
  <c r="B39" i="10"/>
  <c r="N39" i="10" s="1"/>
  <c r="B40" i="10"/>
  <c r="N40" i="10" s="1"/>
  <c r="O40" i="10" s="1"/>
  <c r="B41" i="10"/>
  <c r="N41" i="10" s="1"/>
  <c r="O41" i="10" s="1"/>
  <c r="B42" i="10"/>
  <c r="N42" i="10" s="1"/>
  <c r="O42" i="10" s="1"/>
  <c r="B43" i="10"/>
  <c r="N43" i="10" s="1"/>
  <c r="O43" i="10" s="1"/>
  <c r="B44" i="10"/>
  <c r="N44" i="10" s="1"/>
  <c r="O44" i="10" s="1"/>
  <c r="B45" i="10"/>
  <c r="N45" i="10" s="1"/>
  <c r="O45" i="10" s="1"/>
  <c r="B46" i="10"/>
  <c r="N46" i="10" s="1"/>
  <c r="B47" i="10"/>
  <c r="N47" i="10" s="1"/>
  <c r="B48" i="10"/>
  <c r="N48" i="10" s="1"/>
  <c r="B49" i="10"/>
  <c r="B50" i="10"/>
  <c r="N50" i="10" s="1"/>
  <c r="B51" i="10"/>
  <c r="N51" i="10" s="1"/>
  <c r="B52" i="10"/>
  <c r="N52" i="10" s="1"/>
  <c r="B53" i="10"/>
  <c r="N53" i="10" s="1"/>
  <c r="B54" i="10"/>
  <c r="N54" i="10" s="1"/>
  <c r="B56" i="10"/>
  <c r="N56" i="10" s="1"/>
  <c r="O56" i="10" s="1"/>
  <c r="B57" i="10"/>
  <c r="N57" i="10" s="1"/>
  <c r="B58" i="10"/>
  <c r="N58" i="10" s="1"/>
  <c r="O58" i="10" s="1"/>
  <c r="B59" i="10"/>
  <c r="N59" i="10" s="1"/>
  <c r="O59" i="10" s="1"/>
  <c r="B60" i="10"/>
  <c r="B61" i="10"/>
  <c r="N61" i="10" s="1"/>
  <c r="O61" i="10" s="1"/>
  <c r="B62" i="10"/>
  <c r="B63" i="10"/>
  <c r="B64" i="10"/>
  <c r="B65" i="10"/>
  <c r="N65" i="10" s="1"/>
  <c r="O65" i="10" s="1"/>
  <c r="B66" i="10"/>
  <c r="N66" i="10" s="1"/>
  <c r="O66" i="10" s="1"/>
  <c r="B67" i="10"/>
  <c r="N67" i="10" s="1"/>
  <c r="O67" i="10" s="1"/>
  <c r="B68" i="10"/>
  <c r="B69" i="10"/>
  <c r="B70" i="10"/>
  <c r="B71" i="10"/>
  <c r="B73" i="10"/>
  <c r="N73" i="10" s="1"/>
  <c r="B74" i="10"/>
  <c r="N74" i="10" s="1"/>
  <c r="O74" i="10" s="1"/>
  <c r="P74" i="10" s="1"/>
  <c r="B75" i="10"/>
  <c r="N75" i="10" s="1"/>
  <c r="O75" i="10" s="1"/>
  <c r="P75" i="10" s="1"/>
  <c r="B76" i="10"/>
  <c r="N76" i="10" s="1"/>
  <c r="B77" i="10"/>
  <c r="N77" i="10" s="1"/>
  <c r="B78" i="10"/>
  <c r="N78" i="10" s="1"/>
  <c r="B79" i="10"/>
  <c r="N79" i="10" s="1"/>
  <c r="O79" i="10" s="1"/>
  <c r="P79" i="10" s="1"/>
  <c r="B80" i="10"/>
  <c r="N80" i="10" s="1"/>
  <c r="B81" i="10"/>
  <c r="N81" i="10" s="1"/>
  <c r="B82" i="10"/>
  <c r="N82" i="10" s="1"/>
  <c r="O82" i="10" s="1"/>
  <c r="B83" i="10"/>
  <c r="N83" i="10" s="1"/>
  <c r="O83" i="10" s="1"/>
  <c r="P83" i="10" s="1"/>
  <c r="B84" i="10"/>
  <c r="N84" i="10" s="1"/>
  <c r="O84" i="10" s="1"/>
  <c r="B85" i="10"/>
  <c r="N85" i="10" s="1"/>
  <c r="O85" i="10" s="1"/>
  <c r="B86" i="10"/>
  <c r="N86" i="10" s="1"/>
  <c r="O86" i="10" s="1"/>
  <c r="P86" i="10" s="1"/>
  <c r="B87" i="10"/>
  <c r="N87" i="10" s="1"/>
  <c r="B88" i="10"/>
  <c r="N88" i="10" s="1"/>
  <c r="B90" i="10"/>
  <c r="N90" i="10" s="1"/>
  <c r="O90" i="10" s="1"/>
  <c r="P90" i="10" s="1"/>
  <c r="B91" i="10"/>
  <c r="N91" i="10" s="1"/>
  <c r="O91" i="10" s="1"/>
  <c r="P91" i="10" s="1"/>
  <c r="B92" i="10"/>
  <c r="N92" i="10" s="1"/>
  <c r="B93" i="10"/>
  <c r="N93" i="10" s="1"/>
  <c r="O93" i="10" s="1"/>
  <c r="P93" i="10" s="1"/>
  <c r="B94" i="10"/>
  <c r="N94" i="10" s="1"/>
  <c r="O94" i="10" s="1"/>
  <c r="P94" i="10" s="1"/>
  <c r="B95" i="10"/>
  <c r="N95" i="10" s="1"/>
  <c r="O95" i="10" s="1"/>
  <c r="P95" i="10" s="1"/>
  <c r="B96" i="10"/>
  <c r="N96" i="10" s="1"/>
  <c r="O96" i="10" s="1"/>
  <c r="B97" i="10"/>
  <c r="N97" i="10" s="1"/>
  <c r="O97" i="10" s="1"/>
  <c r="P97" i="10" s="1"/>
  <c r="B98" i="10"/>
  <c r="B99" i="10"/>
  <c r="N99" i="10" s="1"/>
  <c r="O99" i="10" s="1"/>
  <c r="B100" i="10"/>
  <c r="N100" i="10" s="1"/>
  <c r="O100" i="10" s="1"/>
  <c r="P100" i="10" s="1"/>
  <c r="B101" i="10"/>
  <c r="N101" i="10" s="1"/>
  <c r="O101" i="10" s="1"/>
  <c r="P101" i="10" s="1"/>
  <c r="B102" i="10"/>
  <c r="N102" i="10" s="1"/>
  <c r="O102" i="10" s="1"/>
  <c r="P102" i="10" s="1"/>
  <c r="B103" i="10"/>
  <c r="N103" i="10" s="1"/>
  <c r="O103" i="10" s="1"/>
  <c r="P103" i="10" s="1"/>
  <c r="B104" i="10"/>
  <c r="N104" i="10" s="1"/>
  <c r="O104" i="10" s="1"/>
  <c r="P104" i="10" s="1"/>
  <c r="B105" i="10"/>
  <c r="B107" i="10"/>
  <c r="N107" i="10" s="1"/>
  <c r="O107" i="10" s="1"/>
  <c r="B108" i="10"/>
  <c r="N108" i="10" s="1"/>
  <c r="B109" i="10"/>
  <c r="N109" i="10" s="1"/>
  <c r="B110" i="10"/>
  <c r="N110" i="10" s="1"/>
  <c r="B111" i="10"/>
  <c r="N111" i="10" s="1"/>
  <c r="B112" i="10"/>
  <c r="N112" i="10" s="1"/>
  <c r="B113" i="10"/>
  <c r="N113" i="10" s="1"/>
  <c r="B114" i="10"/>
  <c r="N114" i="10" s="1"/>
  <c r="B115" i="10"/>
  <c r="N115" i="10" s="1"/>
  <c r="B116" i="10"/>
  <c r="N116" i="10" s="1"/>
  <c r="B117" i="10"/>
  <c r="N117" i="10" s="1"/>
  <c r="B118" i="10"/>
  <c r="N118" i="10" s="1"/>
  <c r="B119" i="10"/>
  <c r="N119" i="10" s="1"/>
  <c r="B120" i="10"/>
  <c r="N120" i="10" s="1"/>
  <c r="B121" i="10"/>
  <c r="N121" i="10" s="1"/>
  <c r="B122" i="10"/>
  <c r="N122" i="10" s="1"/>
  <c r="B125" i="10"/>
  <c r="N125" i="10" s="1"/>
  <c r="B126" i="10"/>
  <c r="N126" i="10" s="1"/>
  <c r="O126" i="10" s="1"/>
  <c r="P126" i="10" s="1"/>
  <c r="B127" i="10"/>
  <c r="N127" i="10" s="1"/>
  <c r="O127" i="10" s="1"/>
  <c r="P127" i="10" s="1"/>
  <c r="B128" i="10"/>
  <c r="N128" i="10" s="1"/>
  <c r="B129" i="10"/>
  <c r="N129" i="10" s="1"/>
  <c r="B130" i="10"/>
  <c r="N130" i="10" s="1"/>
  <c r="B131" i="10"/>
  <c r="N131" i="10" s="1"/>
  <c r="O131" i="10" s="1"/>
  <c r="P131" i="10" s="1"/>
  <c r="B132" i="10"/>
  <c r="N132" i="10" s="1"/>
  <c r="O132" i="10" s="1"/>
  <c r="P132" i="10" s="1"/>
  <c r="B133" i="10"/>
  <c r="N133" i="10" s="1"/>
  <c r="B134" i="10"/>
  <c r="N134" i="10" s="1"/>
  <c r="O134" i="10" s="1"/>
  <c r="P134" i="10" s="1"/>
  <c r="B135" i="10"/>
  <c r="N135" i="10" s="1"/>
  <c r="O135" i="10" s="1"/>
  <c r="P135" i="10" s="1"/>
  <c r="B136" i="10"/>
  <c r="B137" i="10"/>
  <c r="B138" i="10"/>
  <c r="B139" i="10"/>
  <c r="B140" i="10"/>
  <c r="B142" i="10"/>
  <c r="N142" i="10" s="1"/>
  <c r="B143" i="10"/>
  <c r="N143" i="10" s="1"/>
  <c r="B144" i="10"/>
  <c r="N144" i="10" s="1"/>
  <c r="B145" i="10"/>
  <c r="N145" i="10" s="1"/>
  <c r="B146" i="10"/>
  <c r="N146" i="10" s="1"/>
  <c r="B147" i="10"/>
  <c r="N147" i="10" s="1"/>
  <c r="B148" i="10"/>
  <c r="N148" i="10" s="1"/>
  <c r="O148" i="10" s="1"/>
  <c r="B149" i="10"/>
  <c r="N149" i="10" s="1"/>
  <c r="B150" i="10"/>
  <c r="N150" i="10" s="1"/>
  <c r="B151" i="10"/>
  <c r="N151" i="10" s="1"/>
  <c r="O151" i="10" s="1"/>
  <c r="B152" i="10"/>
  <c r="N152" i="10" s="1"/>
  <c r="O152" i="10" s="1"/>
  <c r="B153" i="10"/>
  <c r="N153" i="10" s="1"/>
  <c r="O153" i="10" s="1"/>
  <c r="B154" i="10"/>
  <c r="N154" i="10" s="1"/>
  <c r="B155" i="10"/>
  <c r="N155" i="10" s="1"/>
  <c r="B156" i="10"/>
  <c r="N156" i="10" s="1"/>
  <c r="B157" i="10"/>
  <c r="N157" i="10" s="1"/>
  <c r="B159" i="10"/>
  <c r="N159" i="10" s="1"/>
  <c r="B160" i="10"/>
  <c r="N160" i="10" s="1"/>
  <c r="O160" i="10" s="1"/>
  <c r="P160" i="10" s="1"/>
  <c r="B161" i="10"/>
  <c r="N161" i="10" s="1"/>
  <c r="O161" i="10" s="1"/>
  <c r="B162" i="10"/>
  <c r="N162" i="10" s="1"/>
  <c r="B163" i="10"/>
  <c r="N163" i="10" s="1"/>
  <c r="O163" i="10" s="1"/>
  <c r="B164" i="10"/>
  <c r="B165" i="10"/>
  <c r="N165" i="10" s="1"/>
  <c r="O165" i="10" s="1"/>
  <c r="P165" i="10" s="1"/>
  <c r="B166" i="10"/>
  <c r="B167" i="10"/>
  <c r="B168" i="10"/>
  <c r="N168" i="10" s="1"/>
  <c r="O168" i="10" s="1"/>
  <c r="P168" i="10" s="1"/>
  <c r="B169" i="10"/>
  <c r="N169" i="10" s="1"/>
  <c r="O169" i="10" s="1"/>
  <c r="P169" i="10" s="1"/>
  <c r="B170" i="10"/>
  <c r="N170" i="10" s="1"/>
  <c r="B171" i="10"/>
  <c r="B172" i="10"/>
  <c r="B173" i="10"/>
  <c r="N173" i="10" s="1"/>
  <c r="B174" i="10"/>
  <c r="B175" i="10"/>
  <c r="N175" i="10" s="1"/>
  <c r="O175" i="10" s="1"/>
  <c r="P175" i="10" s="1"/>
  <c r="B4" i="10"/>
  <c r="N4" i="10" s="1"/>
  <c r="B5" i="10"/>
  <c r="N5" i="10" s="1"/>
  <c r="O5" i="10" s="1"/>
  <c r="P5" i="10" s="1"/>
  <c r="B6" i="10"/>
  <c r="N6" i="10" s="1"/>
  <c r="B7" i="10"/>
  <c r="N7" i="10" s="1"/>
  <c r="O7" i="10" s="1"/>
  <c r="B8" i="10"/>
  <c r="N8" i="10" s="1"/>
  <c r="O8" i="10" s="1"/>
  <c r="P8" i="10" s="1"/>
  <c r="B9" i="10"/>
  <c r="N9" i="10" s="1"/>
  <c r="O9" i="10" s="1"/>
  <c r="B10" i="10"/>
  <c r="N10" i="10" s="1"/>
  <c r="O10" i="10" s="1"/>
  <c r="B11" i="10"/>
  <c r="B12" i="10"/>
  <c r="N12" i="10" s="1"/>
  <c r="O12" i="10" s="1"/>
  <c r="P12" i="10" s="1"/>
  <c r="B13" i="10"/>
  <c r="N13" i="10" s="1"/>
  <c r="O13" i="10" s="1"/>
  <c r="P13" i="10" s="1"/>
  <c r="B14" i="10"/>
  <c r="B15" i="10"/>
  <c r="B16" i="10"/>
  <c r="B17" i="10"/>
  <c r="B18" i="10"/>
  <c r="B3" i="10"/>
  <c r="N3" i="10" s="1"/>
  <c r="O3" i="10" s="1"/>
  <c r="P3" i="10" s="1"/>
  <c r="A3" i="10"/>
  <c r="A20" i="10"/>
  <c r="A21" i="10"/>
  <c r="A22" i="10"/>
  <c r="A23" i="10"/>
  <c r="A24" i="10"/>
  <c r="A25" i="10"/>
  <c r="A26" i="10"/>
  <c r="A27" i="10"/>
  <c r="A28" i="10"/>
  <c r="A29" i="10"/>
  <c r="A30" i="10"/>
  <c r="A31" i="10"/>
  <c r="A32" i="10"/>
  <c r="A33" i="10"/>
  <c r="A34" i="10"/>
  <c r="A35" i="10"/>
  <c r="A36" i="10"/>
  <c r="A38" i="10"/>
  <c r="A39" i="10"/>
  <c r="A40" i="10"/>
  <c r="A41" i="10"/>
  <c r="A42" i="10"/>
  <c r="A43" i="10"/>
  <c r="A44" i="10"/>
  <c r="A45" i="10"/>
  <c r="A46" i="10"/>
  <c r="A47" i="10"/>
  <c r="A48" i="10"/>
  <c r="A49" i="10"/>
  <c r="A50" i="10"/>
  <c r="A51" i="10"/>
  <c r="A52" i="10"/>
  <c r="A53" i="10"/>
  <c r="A54" i="10"/>
  <c r="A56" i="10"/>
  <c r="A57" i="10"/>
  <c r="A58" i="10"/>
  <c r="A59" i="10"/>
  <c r="A60" i="10"/>
  <c r="A61" i="10"/>
  <c r="A62" i="10"/>
  <c r="A63" i="10"/>
  <c r="A64" i="10"/>
  <c r="A65" i="10"/>
  <c r="A66" i="10"/>
  <c r="A67" i="10"/>
  <c r="A68" i="10"/>
  <c r="A69" i="10"/>
  <c r="A70" i="10"/>
  <c r="A71" i="10"/>
  <c r="A73" i="10"/>
  <c r="A74" i="10"/>
  <c r="A75" i="10"/>
  <c r="A76" i="10"/>
  <c r="A77" i="10"/>
  <c r="A78" i="10"/>
  <c r="A79" i="10"/>
  <c r="A80" i="10"/>
  <c r="A81" i="10"/>
  <c r="A82" i="10"/>
  <c r="A83" i="10"/>
  <c r="A84" i="10"/>
  <c r="A85" i="10"/>
  <c r="A86" i="10"/>
  <c r="A87" i="10"/>
  <c r="A88" i="10"/>
  <c r="A90" i="10"/>
  <c r="A91" i="10"/>
  <c r="A92" i="10"/>
  <c r="A93" i="10"/>
  <c r="A94" i="10"/>
  <c r="A95" i="10"/>
  <c r="A96" i="10"/>
  <c r="A97" i="10"/>
  <c r="A98" i="10"/>
  <c r="A99" i="10"/>
  <c r="A100" i="10"/>
  <c r="A101" i="10"/>
  <c r="A102" i="10"/>
  <c r="A103" i="10"/>
  <c r="A104" i="10"/>
  <c r="A105" i="10"/>
  <c r="A107" i="10"/>
  <c r="A108" i="10"/>
  <c r="A109" i="10"/>
  <c r="A110" i="10"/>
  <c r="A111" i="10"/>
  <c r="A112" i="10"/>
  <c r="A113" i="10"/>
  <c r="A114" i="10"/>
  <c r="A115" i="10"/>
  <c r="A116" i="10"/>
  <c r="A117" i="10"/>
  <c r="A118" i="10"/>
  <c r="A119" i="10"/>
  <c r="A120" i="10"/>
  <c r="A121" i="10"/>
  <c r="A122" i="10"/>
  <c r="A125" i="10"/>
  <c r="A126" i="10"/>
  <c r="A127" i="10"/>
  <c r="A128" i="10"/>
  <c r="A129" i="10"/>
  <c r="A130" i="10"/>
  <c r="A131" i="10"/>
  <c r="A132" i="10"/>
  <c r="A133" i="10"/>
  <c r="A134" i="10"/>
  <c r="A135" i="10"/>
  <c r="A136" i="10"/>
  <c r="A137" i="10"/>
  <c r="A138" i="10"/>
  <c r="A139" i="10"/>
  <c r="A140" i="10"/>
  <c r="A142" i="10"/>
  <c r="A143" i="10"/>
  <c r="A144" i="10"/>
  <c r="A145" i="10"/>
  <c r="A146" i="10"/>
  <c r="A147" i="10"/>
  <c r="A148" i="10"/>
  <c r="A149" i="10"/>
  <c r="A150" i="10"/>
  <c r="A151" i="10"/>
  <c r="A152" i="10"/>
  <c r="A153" i="10"/>
  <c r="A154" i="10"/>
  <c r="A155" i="10"/>
  <c r="A156" i="10"/>
  <c r="A157" i="10"/>
  <c r="A159" i="10"/>
  <c r="A160" i="10"/>
  <c r="A161" i="10"/>
  <c r="A162" i="10"/>
  <c r="A163" i="10"/>
  <c r="A164" i="10"/>
  <c r="A165" i="10"/>
  <c r="A166" i="10"/>
  <c r="A167" i="10"/>
  <c r="A168" i="10"/>
  <c r="A169" i="10"/>
  <c r="A170" i="10"/>
  <c r="A171" i="10"/>
  <c r="A172" i="10"/>
  <c r="A173" i="10"/>
  <c r="A174" i="10"/>
  <c r="A175" i="10"/>
  <c r="A4" i="10"/>
  <c r="A5" i="10"/>
  <c r="A6" i="10"/>
  <c r="A7" i="10"/>
  <c r="A8" i="10"/>
  <c r="A9" i="10"/>
  <c r="A10" i="10"/>
  <c r="A11" i="10"/>
  <c r="A12" i="10"/>
  <c r="A13" i="10"/>
  <c r="A14" i="10"/>
  <c r="A15" i="10"/>
  <c r="A16" i="10"/>
  <c r="A17" i="10"/>
  <c r="A18" i="10"/>
  <c r="O4" i="10" l="1"/>
  <c r="P4" i="10" s="1"/>
  <c r="O170" i="10"/>
  <c r="P157" i="10"/>
  <c r="P155" i="10"/>
  <c r="P153" i="10"/>
  <c r="P150" i="10"/>
  <c r="P148" i="10"/>
  <c r="P147" i="10"/>
  <c r="O146" i="10"/>
  <c r="O142" i="10"/>
  <c r="P142" i="10" s="1"/>
  <c r="O130" i="10"/>
  <c r="O125" i="10"/>
  <c r="P118" i="10"/>
  <c r="O116" i="10"/>
  <c r="P116" i="10" s="1"/>
  <c r="P115" i="10"/>
  <c r="O113" i="10"/>
  <c r="P113" i="10" s="1"/>
  <c r="O108" i="10"/>
  <c r="P107" i="10"/>
  <c r="O92" i="10"/>
  <c r="P92" i="10" s="1"/>
  <c r="P88" i="10"/>
  <c r="O73" i="10"/>
  <c r="P73" i="10" s="1"/>
  <c r="P66" i="10"/>
  <c r="P61" i="10"/>
  <c r="P59" i="10"/>
  <c r="P53" i="10"/>
  <c r="P51" i="10"/>
  <c r="P48" i="10"/>
  <c r="P47" i="10"/>
  <c r="P46" i="10"/>
  <c r="P45" i="10"/>
  <c r="P44" i="10"/>
  <c r="P42" i="10"/>
  <c r="P41" i="10"/>
  <c r="P38" i="10"/>
  <c r="O36" i="10"/>
  <c r="P36" i="10" s="1"/>
  <c r="P35" i="10"/>
  <c r="O22" i="10"/>
  <c r="P22" i="10" s="1"/>
  <c r="P18" i="10"/>
  <c r="O87" i="8" l="1"/>
  <c r="A87" i="8"/>
  <c r="B87" i="8"/>
  <c r="O153" i="8"/>
  <c r="B154" i="8"/>
  <c r="M154" i="8" s="1"/>
  <c r="N154" i="8" s="1"/>
  <c r="O154" i="8" s="1"/>
  <c r="A154" i="8"/>
  <c r="O179" i="8"/>
  <c r="B179" i="8"/>
  <c r="A179" i="8"/>
  <c r="B177" i="8"/>
  <c r="A177" i="8"/>
  <c r="O177" i="8"/>
  <c r="O178" i="8"/>
  <c r="O176" i="8"/>
  <c r="O172" i="8"/>
  <c r="O170" i="8"/>
  <c r="O166" i="8"/>
  <c r="O162" i="8"/>
  <c r="O160" i="8"/>
  <c r="O158" i="8"/>
  <c r="O155" i="8"/>
  <c r="O152" i="8"/>
  <c r="O148" i="8"/>
  <c r="O131" i="8"/>
  <c r="O108" i="8"/>
  <c r="O101" i="8"/>
  <c r="O98" i="8"/>
  <c r="O93" i="8"/>
  <c r="O91" i="8"/>
  <c r="O90" i="8"/>
  <c r="O89" i="8"/>
  <c r="O88" i="8"/>
  <c r="O83" i="8"/>
  <c r="O77" i="8"/>
  <c r="O68" i="8"/>
  <c r="O65" i="8"/>
  <c r="O64" i="8"/>
  <c r="O63" i="8"/>
  <c r="O62" i="8"/>
  <c r="O61" i="8"/>
  <c r="O54" i="8"/>
  <c r="O47" i="8"/>
  <c r="O39" i="8"/>
  <c r="O33" i="8"/>
  <c r="B33" i="8"/>
  <c r="A33" i="8"/>
  <c r="A45" i="8"/>
  <c r="B45" i="8"/>
  <c r="M45" i="8" s="1"/>
  <c r="N45" i="8" s="1"/>
  <c r="O45" i="8" s="1"/>
  <c r="O36" i="8" l="1"/>
  <c r="O35" i="8"/>
  <c r="O34" i="8"/>
  <c r="O32" i="8"/>
  <c r="O29" i="8"/>
  <c r="O27" i="8"/>
  <c r="O25" i="8"/>
  <c r="O18" i="8"/>
  <c r="O17" i="8"/>
  <c r="O16" i="8"/>
  <c r="O15" i="8"/>
  <c r="O11" i="8"/>
  <c r="O10" i="8"/>
  <c r="O8" i="8"/>
  <c r="O116" i="8" l="1"/>
  <c r="O119" i="8"/>
  <c r="O122" i="8"/>
  <c r="O125" i="8"/>
  <c r="B21" i="8"/>
  <c r="B22" i="8"/>
  <c r="B23" i="8"/>
  <c r="M23" i="8" s="1"/>
  <c r="N23" i="8" s="1"/>
  <c r="O23" i="8" s="1"/>
  <c r="B24" i="8"/>
  <c r="M24" i="8" s="1"/>
  <c r="N24" i="8" s="1"/>
  <c r="O24" i="8" s="1"/>
  <c r="B25" i="8"/>
  <c r="B27" i="8"/>
  <c r="B28" i="8"/>
  <c r="M28" i="8" s="1"/>
  <c r="N28" i="8" s="1"/>
  <c r="O28" i="8" s="1"/>
  <c r="B29" i="8"/>
  <c r="B30" i="8"/>
  <c r="M30" i="8" s="1"/>
  <c r="N30" i="8" s="1"/>
  <c r="O30" i="8" s="1"/>
  <c r="B31" i="8"/>
  <c r="M31" i="8" s="1"/>
  <c r="N31" i="8" s="1"/>
  <c r="O31" i="8" s="1"/>
  <c r="B32" i="8"/>
  <c r="B34" i="8"/>
  <c r="B35" i="8"/>
  <c r="B36" i="8"/>
  <c r="B37" i="8"/>
  <c r="M37" i="8" s="1"/>
  <c r="N37" i="8" s="1"/>
  <c r="O37" i="8" s="1"/>
  <c r="B39" i="8"/>
  <c r="B40" i="8"/>
  <c r="M40" i="8" s="1"/>
  <c r="B41" i="8"/>
  <c r="B42" i="8"/>
  <c r="M42" i="8" s="1"/>
  <c r="N42" i="8" s="1"/>
  <c r="O42" i="8" s="1"/>
  <c r="B43" i="8"/>
  <c r="M43" i="8" s="1"/>
  <c r="N43" i="8" s="1"/>
  <c r="O43" i="8" s="1"/>
  <c r="B44" i="8"/>
  <c r="M44" i="8" s="1"/>
  <c r="N44" i="8" s="1"/>
  <c r="O44" i="8" s="1"/>
  <c r="B46" i="8"/>
  <c r="M46" i="8" s="1"/>
  <c r="N46" i="8" s="1"/>
  <c r="O46" i="8" s="1"/>
  <c r="B47" i="8"/>
  <c r="B48" i="8"/>
  <c r="M48" i="8" s="1"/>
  <c r="N48" i="8" s="1"/>
  <c r="O48" i="8" s="1"/>
  <c r="B49" i="8"/>
  <c r="M49" i="8" s="1"/>
  <c r="N49" i="8" s="1"/>
  <c r="O49" i="8" s="1"/>
  <c r="B50" i="8"/>
  <c r="M50" i="8" s="1"/>
  <c r="N50" i="8" s="1"/>
  <c r="O50" i="8" s="1"/>
  <c r="B52" i="8"/>
  <c r="M52" i="8" s="1"/>
  <c r="N52" i="8" s="1"/>
  <c r="O52" i="8" s="1"/>
  <c r="B54" i="8"/>
  <c r="B55" i="8"/>
  <c r="B58" i="8"/>
  <c r="M58" i="8" s="1"/>
  <c r="B60" i="8"/>
  <c r="M60" i="8" s="1"/>
  <c r="N60" i="8" s="1"/>
  <c r="O60" i="8" s="1"/>
  <c r="B61" i="8"/>
  <c r="B62" i="8"/>
  <c r="B63" i="8"/>
  <c r="B64" i="8"/>
  <c r="B65" i="8"/>
  <c r="B66" i="8"/>
  <c r="B67" i="8"/>
  <c r="M67" i="8" s="1"/>
  <c r="N67" i="8" s="1"/>
  <c r="O67" i="8" s="1"/>
  <c r="B68" i="8"/>
  <c r="B73" i="8"/>
  <c r="M73" i="8" s="1"/>
  <c r="N73" i="8" s="1"/>
  <c r="O73" i="8" s="1"/>
  <c r="B75" i="8"/>
  <c r="M75" i="8" s="1"/>
  <c r="N75" i="8" s="1"/>
  <c r="O75" i="8" s="1"/>
  <c r="B76" i="8"/>
  <c r="M76" i="8" s="1"/>
  <c r="N76" i="8" s="1"/>
  <c r="O76" i="8" s="1"/>
  <c r="B77" i="8"/>
  <c r="B78" i="8"/>
  <c r="M78" i="8" s="1"/>
  <c r="B79" i="8"/>
  <c r="B80" i="8"/>
  <c r="M80" i="8" s="1"/>
  <c r="N80" i="8" s="1"/>
  <c r="B81" i="8"/>
  <c r="M81" i="8" s="1"/>
  <c r="N81" i="8" s="1"/>
  <c r="B82" i="8"/>
  <c r="B83" i="8"/>
  <c r="B84" i="8"/>
  <c r="M84" i="8" s="1"/>
  <c r="N84" i="8" s="1"/>
  <c r="O84" i="8" s="1"/>
  <c r="B85" i="8"/>
  <c r="M85" i="8" s="1"/>
  <c r="N85" i="8" s="1"/>
  <c r="O85" i="8" s="1"/>
  <c r="B86" i="8"/>
  <c r="M86" i="8" s="1"/>
  <c r="N86" i="8" s="1"/>
  <c r="O86" i="8" s="1"/>
  <c r="B88" i="8"/>
  <c r="B89" i="8"/>
  <c r="B90" i="8"/>
  <c r="B91" i="8"/>
  <c r="B93" i="8"/>
  <c r="B94" i="8"/>
  <c r="B95" i="8"/>
  <c r="M95" i="8" s="1"/>
  <c r="N95" i="8" s="1"/>
  <c r="O95" i="8" s="1"/>
  <c r="B96" i="8"/>
  <c r="M96" i="8" s="1"/>
  <c r="N96" i="8" s="1"/>
  <c r="O96" i="8" s="1"/>
  <c r="B97" i="8"/>
  <c r="B98" i="8"/>
  <c r="B99" i="8"/>
  <c r="M99" i="8" s="1"/>
  <c r="N99" i="8" s="1"/>
  <c r="B100" i="8"/>
  <c r="M100" i="8" s="1"/>
  <c r="N100" i="8" s="1"/>
  <c r="O100" i="8" s="1"/>
  <c r="B101" i="8"/>
  <c r="B102" i="8"/>
  <c r="M102" i="8" s="1"/>
  <c r="N102" i="8" s="1"/>
  <c r="O102" i="8" s="1"/>
  <c r="B103" i="8"/>
  <c r="M103" i="8" s="1"/>
  <c r="N103" i="8" s="1"/>
  <c r="O103" i="8" s="1"/>
  <c r="B104" i="8"/>
  <c r="M104" i="8" s="1"/>
  <c r="N104" i="8" s="1"/>
  <c r="O104" i="8" s="1"/>
  <c r="B105" i="8"/>
  <c r="M105" i="8" s="1"/>
  <c r="N105" i="8" s="1"/>
  <c r="O105" i="8" s="1"/>
  <c r="B106" i="8"/>
  <c r="M106" i="8" s="1"/>
  <c r="N106" i="8" s="1"/>
  <c r="O106" i="8" s="1"/>
  <c r="B107" i="8"/>
  <c r="B108" i="8"/>
  <c r="B109" i="8"/>
  <c r="M109" i="8" s="1"/>
  <c r="N109" i="8" s="1"/>
  <c r="O109" i="8" s="1"/>
  <c r="B111" i="8"/>
  <c r="M111" i="8" s="1"/>
  <c r="N111" i="8" s="1"/>
  <c r="O111" i="8" s="1"/>
  <c r="B112" i="8"/>
  <c r="M112" i="8" s="1"/>
  <c r="N112" i="8" s="1"/>
  <c r="B113" i="8"/>
  <c r="M113" i="8" s="1"/>
  <c r="B114" i="8"/>
  <c r="M114" i="8" s="1"/>
  <c r="B115" i="8"/>
  <c r="M115" i="8" s="1"/>
  <c r="N115" i="8" s="1"/>
  <c r="O115" i="8" s="1"/>
  <c r="B116" i="8"/>
  <c r="B117" i="8"/>
  <c r="M117" i="8" s="1"/>
  <c r="N117" i="8" s="1"/>
  <c r="O117" i="8" s="1"/>
  <c r="B118" i="8"/>
  <c r="M118" i="8" s="1"/>
  <c r="N118" i="8" s="1"/>
  <c r="O118" i="8" s="1"/>
  <c r="B119" i="8"/>
  <c r="B120" i="8"/>
  <c r="M120" i="8" s="1"/>
  <c r="N120" i="8" s="1"/>
  <c r="O120" i="8" s="1"/>
  <c r="B121" i="8"/>
  <c r="M121" i="8" s="1"/>
  <c r="N121" i="8" s="1"/>
  <c r="O121" i="8" s="1"/>
  <c r="B122" i="8"/>
  <c r="B123" i="8"/>
  <c r="M123" i="8" s="1"/>
  <c r="N123" i="8" s="1"/>
  <c r="O123" i="8" s="1"/>
  <c r="B125" i="8"/>
  <c r="B127" i="8"/>
  <c r="M127" i="8" s="1"/>
  <c r="N127" i="8" s="1"/>
  <c r="O127" i="8" s="1"/>
  <c r="B129" i="8"/>
  <c r="M129" i="8" s="1"/>
  <c r="N129" i="8" s="1"/>
  <c r="O129" i="8" s="1"/>
  <c r="B130" i="8"/>
  <c r="B131" i="8"/>
  <c r="B132" i="8"/>
  <c r="M132" i="8" s="1"/>
  <c r="N132" i="8" s="1"/>
  <c r="B133" i="8"/>
  <c r="M133" i="8" s="1"/>
  <c r="N133" i="8" s="1"/>
  <c r="O133" i="8" s="1"/>
  <c r="B134" i="8"/>
  <c r="M134" i="8" s="1"/>
  <c r="N134" i="8" s="1"/>
  <c r="B135" i="8"/>
  <c r="M135" i="8" s="1"/>
  <c r="N135" i="8" s="1"/>
  <c r="O135" i="8" s="1"/>
  <c r="B136" i="8"/>
  <c r="B137" i="8"/>
  <c r="B138" i="8"/>
  <c r="M138" i="8" s="1"/>
  <c r="N138" i="8" s="1"/>
  <c r="O138" i="8" s="1"/>
  <c r="B139" i="8"/>
  <c r="B140" i="8"/>
  <c r="B141" i="8"/>
  <c r="B142" i="8"/>
  <c r="B144" i="8"/>
  <c r="B145" i="8"/>
  <c r="M145" i="8" s="1"/>
  <c r="N145" i="8" s="1"/>
  <c r="O145" i="8" s="1"/>
  <c r="B147" i="8"/>
  <c r="M147" i="8" s="1"/>
  <c r="N147" i="8" s="1"/>
  <c r="O147" i="8" s="1"/>
  <c r="B148" i="8"/>
  <c r="B149" i="8"/>
  <c r="M149" i="8" s="1"/>
  <c r="N149" i="8" s="1"/>
  <c r="O149" i="8" s="1"/>
  <c r="B150" i="8"/>
  <c r="B151" i="8"/>
  <c r="M151" i="8" s="1"/>
  <c r="N151" i="8" s="1"/>
  <c r="O151" i="8" s="1"/>
  <c r="B152" i="8"/>
  <c r="B153" i="8"/>
  <c r="B155" i="8"/>
  <c r="B156" i="8"/>
  <c r="M156" i="8" s="1"/>
  <c r="N156" i="8" s="1"/>
  <c r="O156" i="8" s="1"/>
  <c r="B157" i="8"/>
  <c r="B158" i="8"/>
  <c r="B160" i="8"/>
  <c r="B162" i="8"/>
  <c r="B164" i="8"/>
  <c r="M164" i="8" s="1"/>
  <c r="N164" i="8" s="1"/>
  <c r="O164" i="8" s="1"/>
  <c r="B165" i="8"/>
  <c r="M165" i="8" s="1"/>
  <c r="B166" i="8"/>
  <c r="B167" i="8"/>
  <c r="M167" i="8" s="1"/>
  <c r="N167" i="8" s="1"/>
  <c r="B168" i="8"/>
  <c r="M168" i="8" s="1"/>
  <c r="N168" i="8" s="1"/>
  <c r="O168" i="8" s="1"/>
  <c r="B169" i="8"/>
  <c r="B170" i="8"/>
  <c r="B171" i="8"/>
  <c r="M171" i="8" s="1"/>
  <c r="N171" i="8" s="1"/>
  <c r="O171" i="8" s="1"/>
  <c r="B172" i="8"/>
  <c r="B173" i="8"/>
  <c r="M173" i="8" s="1"/>
  <c r="N173" i="8" s="1"/>
  <c r="O173" i="8" s="1"/>
  <c r="B174" i="8"/>
  <c r="B175" i="8"/>
  <c r="M175" i="8" s="1"/>
  <c r="N175" i="8" s="1"/>
  <c r="O175" i="8" s="1"/>
  <c r="B176" i="8"/>
  <c r="B178" i="8"/>
  <c r="B180" i="8"/>
  <c r="M180" i="8" s="1"/>
  <c r="N180" i="8" s="1"/>
  <c r="O180" i="8" s="1"/>
  <c r="B4" i="8"/>
  <c r="M4" i="8" s="1"/>
  <c r="N4" i="8" s="1"/>
  <c r="O4" i="8" s="1"/>
  <c r="B5" i="8"/>
  <c r="M5" i="8" s="1"/>
  <c r="N5" i="8" s="1"/>
  <c r="O5" i="8" s="1"/>
  <c r="B6" i="8"/>
  <c r="B7" i="8"/>
  <c r="M7" i="8" s="1"/>
  <c r="N7" i="8" s="1"/>
  <c r="O7" i="8" s="1"/>
  <c r="B8" i="8"/>
  <c r="B9" i="8"/>
  <c r="M9" i="8" s="1"/>
  <c r="B10" i="8"/>
  <c r="B11" i="8"/>
  <c r="B12" i="8"/>
  <c r="M12" i="8" s="1"/>
  <c r="N12" i="8" s="1"/>
  <c r="O12" i="8" s="1"/>
  <c r="B13" i="8"/>
  <c r="M13" i="8" s="1"/>
  <c r="N13" i="8" s="1"/>
  <c r="O13" i="8" s="1"/>
  <c r="B14" i="8"/>
  <c r="M14" i="8" s="1"/>
  <c r="N14" i="8" s="1"/>
  <c r="O14" i="8" s="1"/>
  <c r="B15" i="8"/>
  <c r="B16" i="8"/>
  <c r="B17" i="8"/>
  <c r="B18" i="8"/>
  <c r="B19" i="8"/>
  <c r="M19" i="8" s="1"/>
  <c r="N19" i="8" s="1"/>
  <c r="B3" i="8"/>
  <c r="A9" i="8" l="1"/>
  <c r="A4" i="8"/>
  <c r="A5" i="8"/>
  <c r="A6" i="8"/>
  <c r="A7" i="8"/>
  <c r="A8" i="8"/>
  <c r="A10" i="8"/>
  <c r="A11" i="8"/>
  <c r="A12" i="8"/>
  <c r="A13" i="8"/>
  <c r="A14" i="8"/>
  <c r="A15" i="8"/>
  <c r="A16" i="8"/>
  <c r="A17" i="8"/>
  <c r="A18" i="8"/>
  <c r="A19" i="8"/>
  <c r="A21" i="8"/>
  <c r="A22" i="8"/>
  <c r="A23" i="8"/>
  <c r="A24" i="8"/>
  <c r="A25" i="8"/>
  <c r="A27" i="8"/>
  <c r="A28" i="8"/>
  <c r="A29" i="8"/>
  <c r="A30" i="8"/>
  <c r="A31" i="8"/>
  <c r="A32" i="8"/>
  <c r="A34" i="8"/>
  <c r="A35" i="8"/>
  <c r="A36" i="8"/>
  <c r="A37" i="8"/>
  <c r="A39" i="8"/>
  <c r="A40" i="8"/>
  <c r="A41" i="8"/>
  <c r="A42" i="8"/>
  <c r="A43" i="8"/>
  <c r="A44" i="8"/>
  <c r="A46" i="8"/>
  <c r="A47" i="8"/>
  <c r="A48" i="8"/>
  <c r="A49" i="8"/>
  <c r="A50" i="8"/>
  <c r="A52" i="8"/>
  <c r="A54" i="8"/>
  <c r="A55" i="8"/>
  <c r="A58" i="8"/>
  <c r="A60" i="8"/>
  <c r="A61" i="8"/>
  <c r="A62" i="8"/>
  <c r="A63" i="8"/>
  <c r="A64" i="8"/>
  <c r="A65" i="8"/>
  <c r="A66" i="8"/>
  <c r="A67" i="8"/>
  <c r="A68" i="8"/>
  <c r="A73" i="8"/>
  <c r="A75" i="8"/>
  <c r="A76" i="8"/>
  <c r="A77" i="8"/>
  <c r="A78" i="8"/>
  <c r="A79" i="8"/>
  <c r="A80" i="8"/>
  <c r="A81" i="8"/>
  <c r="A82" i="8"/>
  <c r="A83" i="8"/>
  <c r="A84" i="8"/>
  <c r="A85" i="8"/>
  <c r="A86" i="8"/>
  <c r="A88" i="8"/>
  <c r="A89" i="8"/>
  <c r="A90" i="8"/>
  <c r="A91" i="8"/>
  <c r="A93" i="8"/>
  <c r="A94" i="8"/>
  <c r="A95" i="8"/>
  <c r="A96" i="8"/>
  <c r="A97" i="8"/>
  <c r="A98" i="8"/>
  <c r="A99" i="8"/>
  <c r="A100" i="8"/>
  <c r="A101" i="8"/>
  <c r="A102" i="8"/>
  <c r="A103" i="8"/>
  <c r="A104" i="8"/>
  <c r="A105" i="8"/>
  <c r="A106" i="8"/>
  <c r="A107" i="8"/>
  <c r="A108" i="8"/>
  <c r="A109" i="8"/>
  <c r="A111" i="8"/>
  <c r="A112" i="8"/>
  <c r="A113" i="8"/>
  <c r="A114" i="8"/>
  <c r="A115" i="8"/>
  <c r="A116" i="8"/>
  <c r="A117" i="8"/>
  <c r="A118" i="8"/>
  <c r="A119" i="8"/>
  <c r="A120" i="8"/>
  <c r="A121" i="8"/>
  <c r="A122" i="8"/>
  <c r="A123" i="8"/>
  <c r="A125" i="8"/>
  <c r="A127" i="8"/>
  <c r="A129" i="8"/>
  <c r="A130" i="8"/>
  <c r="A131" i="8"/>
  <c r="A132" i="8"/>
  <c r="A133" i="8"/>
  <c r="A134" i="8"/>
  <c r="A135" i="8"/>
  <c r="A136" i="8"/>
  <c r="A137" i="8"/>
  <c r="A138" i="8"/>
  <c r="A139" i="8"/>
  <c r="A140" i="8"/>
  <c r="A141" i="8"/>
  <c r="A142" i="8"/>
  <c r="A144" i="8"/>
  <c r="A145" i="8"/>
  <c r="A147" i="8"/>
  <c r="A148" i="8"/>
  <c r="A149" i="8"/>
  <c r="A150" i="8"/>
  <c r="A151" i="8"/>
  <c r="A152" i="8"/>
  <c r="A153" i="8"/>
  <c r="A155" i="8"/>
  <c r="A156" i="8"/>
  <c r="A157" i="8"/>
  <c r="A158" i="8"/>
  <c r="A160" i="8"/>
  <c r="A162" i="8"/>
  <c r="A164" i="8"/>
  <c r="A165" i="8"/>
  <c r="A166" i="8"/>
  <c r="A167" i="8"/>
  <c r="A168" i="8"/>
  <c r="A169" i="8"/>
  <c r="A170" i="8"/>
  <c r="A171" i="8"/>
  <c r="A172" i="8"/>
  <c r="A173" i="8"/>
  <c r="A174" i="8"/>
  <c r="A175" i="8"/>
  <c r="A176" i="8"/>
  <c r="A178" i="8"/>
  <c r="A180" i="8"/>
  <c r="A3" i="8"/>
</calcChain>
</file>

<file path=xl/sharedStrings.xml><?xml version="1.0" encoding="utf-8"?>
<sst xmlns="http://schemas.openxmlformats.org/spreadsheetml/2006/main" count="16842" uniqueCount="1184">
  <si>
    <t>Greg Blome</t>
  </si>
  <si>
    <t>Antonio Brown</t>
  </si>
  <si>
    <t>WR</t>
  </si>
  <si>
    <t>PIT</t>
  </si>
  <si>
    <t>Aaron Rodgers</t>
  </si>
  <si>
    <t>QB</t>
  </si>
  <si>
    <t>GB</t>
  </si>
  <si>
    <t>Michael Crabtree</t>
  </si>
  <si>
    <t>OAK</t>
  </si>
  <si>
    <t>Bilal Powell</t>
  </si>
  <si>
    <t>RB</t>
  </si>
  <si>
    <t>NYJ</t>
  </si>
  <si>
    <t>Kareem Hunt</t>
  </si>
  <si>
    <t>KC</t>
  </si>
  <si>
    <t>Darren McFadden</t>
  </si>
  <si>
    <t>DAL</t>
  </si>
  <si>
    <t>DeAndre Hopkins</t>
  </si>
  <si>
    <t>HOU</t>
  </si>
  <si>
    <t>Tyrell Williams</t>
  </si>
  <si>
    <t>LAC</t>
  </si>
  <si>
    <t>Terrance West</t>
  </si>
  <si>
    <t>BAL</t>
  </si>
  <si>
    <t>Alshon Jeffery</t>
  </si>
  <si>
    <t>PHI</t>
  </si>
  <si>
    <t>Andrew Luck</t>
  </si>
  <si>
    <t>IND</t>
  </si>
  <si>
    <t>Eric Ebron</t>
  </si>
  <si>
    <t>TE</t>
  </si>
  <si>
    <t>DET</t>
  </si>
  <si>
    <t>Chris Hogan</t>
  </si>
  <si>
    <t>NE</t>
  </si>
  <si>
    <t>Devin Funchess</t>
  </si>
  <si>
    <t>CAR</t>
  </si>
  <si>
    <t>De'Angelo Henderson</t>
  </si>
  <si>
    <t>DEN</t>
  </si>
  <si>
    <t>NYG</t>
  </si>
  <si>
    <t>DEF</t>
  </si>
  <si>
    <t>Stefan Albers</t>
  </si>
  <si>
    <t>Odell Beckham</t>
  </si>
  <si>
    <t>Demaryius Thomas</t>
  </si>
  <si>
    <t>Dalvin Cook</t>
  </si>
  <si>
    <t>MIN</t>
  </si>
  <si>
    <t>Doug Martin</t>
  </si>
  <si>
    <t>TB</t>
  </si>
  <si>
    <t>Travis Kelce</t>
  </si>
  <si>
    <t>DeVante Parker</t>
  </si>
  <si>
    <t>MIA</t>
  </si>
  <si>
    <t>Tom Brady</t>
  </si>
  <si>
    <t>Eric Decker</t>
  </si>
  <si>
    <t>TEN</t>
  </si>
  <si>
    <t>Rex Burkhead</t>
  </si>
  <si>
    <t>Jamaal Williams</t>
  </si>
  <si>
    <t>Robby Anderson</t>
  </si>
  <si>
    <t>Shane Vereen</t>
  </si>
  <si>
    <t>DeAndre Washington</t>
  </si>
  <si>
    <t>Zay Jones</t>
  </si>
  <si>
    <t>BUF</t>
  </si>
  <si>
    <t>Julian Edelman</t>
  </si>
  <si>
    <t>Kyle Mertens</t>
  </si>
  <si>
    <t>Julio Jones</t>
  </si>
  <si>
    <t>ATL</t>
  </si>
  <si>
    <t>Christian McCaffrey</t>
  </si>
  <si>
    <t>Leonard Fournette</t>
  </si>
  <si>
    <t>JAX</t>
  </si>
  <si>
    <t>T.Y. Hilton</t>
  </si>
  <si>
    <t>Martavis Bryant</t>
  </si>
  <si>
    <t>Derrick Henry</t>
  </si>
  <si>
    <t>Delanie Walker</t>
  </si>
  <si>
    <t>Jameis Winston</t>
  </si>
  <si>
    <t>DeSean Jackson</t>
  </si>
  <si>
    <t>Isaiah Crowell</t>
  </si>
  <si>
    <t>CLE</t>
  </si>
  <si>
    <t>C.J. Prosise</t>
  </si>
  <si>
    <t>SEA</t>
  </si>
  <si>
    <t>Ben Roethlisberger</t>
  </si>
  <si>
    <t>Jonathan Stewart</t>
  </si>
  <si>
    <t>Marvin Jones</t>
  </si>
  <si>
    <t>Taylor Gabriel</t>
  </si>
  <si>
    <t>DHB Sandmen (SJ)</t>
  </si>
  <si>
    <t>LeSean McCoy</t>
  </si>
  <si>
    <t>Keenan Allen</t>
  </si>
  <si>
    <t>Drew Brees</t>
  </si>
  <si>
    <t>NO</t>
  </si>
  <si>
    <t>Joe Mixon</t>
  </si>
  <si>
    <t>CIN</t>
  </si>
  <si>
    <t>Kelvin Benjamin</t>
  </si>
  <si>
    <t>Paul Perkins</t>
  </si>
  <si>
    <t>Tyler Eifert</t>
  </si>
  <si>
    <t>Mike Gillislee</t>
  </si>
  <si>
    <t>Randall Cobb</t>
  </si>
  <si>
    <t>Terrelle Pryor</t>
  </si>
  <si>
    <t>WAS</t>
  </si>
  <si>
    <t>Jay Ajayi</t>
  </si>
  <si>
    <t>Cameron Brate</t>
  </si>
  <si>
    <t>Josh Doctson</t>
  </si>
  <si>
    <t>D'Onta Foreman</t>
  </si>
  <si>
    <t>Matthew Stafford</t>
  </si>
  <si>
    <t>Kyle Witte</t>
  </si>
  <si>
    <t>A.J. Green</t>
  </si>
  <si>
    <t>Brandin Cooks</t>
  </si>
  <si>
    <t>Golden Tate</t>
  </si>
  <si>
    <t>Ty Montgomery</t>
  </si>
  <si>
    <t>Jamison Crowder</t>
  </si>
  <si>
    <t>Adrian Peterson</t>
  </si>
  <si>
    <t>Jeremy Maclin</t>
  </si>
  <si>
    <t>Zach Ertz</t>
  </si>
  <si>
    <t>Cameron Meredith</t>
  </si>
  <si>
    <t>CHI</t>
  </si>
  <si>
    <t>Marcus Mariota</t>
  </si>
  <si>
    <t>Dion Lewis</t>
  </si>
  <si>
    <t>Spencer Ware</t>
  </si>
  <si>
    <t>Jacquizz Rodgers</t>
  </si>
  <si>
    <t>Jamaal Charles</t>
  </si>
  <si>
    <t>Marlon Mack</t>
  </si>
  <si>
    <t>Josh Grainger</t>
  </si>
  <si>
    <t>Mike Evans</t>
  </si>
  <si>
    <t>Lamar Miller</t>
  </si>
  <si>
    <t>Jordan Reed</t>
  </si>
  <si>
    <t>Stefon Diggs</t>
  </si>
  <si>
    <t>Sammy Watkins</t>
  </si>
  <si>
    <t>LAR</t>
  </si>
  <si>
    <t>C.J. Anderson</t>
  </si>
  <si>
    <t>Ameer Abdullah</t>
  </si>
  <si>
    <t>Derek Carr</t>
  </si>
  <si>
    <t>Le'Veon Bell</t>
  </si>
  <si>
    <t>Davante Adams</t>
  </si>
  <si>
    <t>Martellus Bennett</t>
  </si>
  <si>
    <t>Giovani Bernard</t>
  </si>
  <si>
    <t>Kenny Golladay</t>
  </si>
  <si>
    <t>O.J. Howard</t>
  </si>
  <si>
    <t>Nelson Agholor</t>
  </si>
  <si>
    <t>Andy Seibert</t>
  </si>
  <si>
    <t>Jordy Nelson</t>
  </si>
  <si>
    <t>Marshawn Lynch</t>
  </si>
  <si>
    <t>Carlos Hyde</t>
  </si>
  <si>
    <t>SF</t>
  </si>
  <si>
    <t>Larry Fitzgerald</t>
  </si>
  <si>
    <t>ARI</t>
  </si>
  <si>
    <t>Allen Robinson</t>
  </si>
  <si>
    <t>Theo Riddick</t>
  </si>
  <si>
    <t>Kyle Rudolph</t>
  </si>
  <si>
    <t>Brandon Marshall</t>
  </si>
  <si>
    <t>Adam Thielen</t>
  </si>
  <si>
    <t>Kevin White</t>
  </si>
  <si>
    <t>Darren Sproles</t>
  </si>
  <si>
    <t>LeGarrette Blount</t>
  </si>
  <si>
    <t>Kenny Britt</t>
  </si>
  <si>
    <t>Kirk Cousins</t>
  </si>
  <si>
    <t>Chris Conley</t>
  </si>
  <si>
    <t>Josh Schaefer</t>
  </si>
  <si>
    <t>Amari Cooper</t>
  </si>
  <si>
    <t>Todd Gurley</t>
  </si>
  <si>
    <t>Greg Olsen</t>
  </si>
  <si>
    <t>Matt Ryan</t>
  </si>
  <si>
    <t>Devonta Freeman</t>
  </si>
  <si>
    <t>Danny Woodhead</t>
  </si>
  <si>
    <t>Thomas Rawls</t>
  </si>
  <si>
    <t>Pierre Garcon</t>
  </si>
  <si>
    <t>Donte Moncrief</t>
  </si>
  <si>
    <t>Duke Johnson</t>
  </si>
  <si>
    <t>Matt Forte</t>
  </si>
  <si>
    <t>Michael Thomas</t>
  </si>
  <si>
    <t>Dak Prescott</t>
  </si>
  <si>
    <t>Jason Witten</t>
  </si>
  <si>
    <t>Latavius Murray</t>
  </si>
  <si>
    <t>Chad McCann</t>
  </si>
  <si>
    <t>Dez Bryant</t>
  </si>
  <si>
    <t>Ezekiel Elliott</t>
  </si>
  <si>
    <t>Tyreek Hill</t>
  </si>
  <si>
    <t>Melvin Gordon</t>
  </si>
  <si>
    <t>Mark Ingram</t>
  </si>
  <si>
    <t>Jimmy Graham</t>
  </si>
  <si>
    <t>Russell Wilson</t>
  </si>
  <si>
    <t>Willie Snead</t>
  </si>
  <si>
    <t>David Johnson</t>
  </si>
  <si>
    <t>Corey Davis</t>
  </si>
  <si>
    <t>John Brown</t>
  </si>
  <si>
    <t>John Ross</t>
  </si>
  <si>
    <t>Hunter Henry</t>
  </si>
  <si>
    <t>Corey Coleman</t>
  </si>
  <si>
    <t>Rob Kelley</t>
  </si>
  <si>
    <t>Scott Elbe</t>
  </si>
  <si>
    <t>Rob Gronkowski</t>
  </si>
  <si>
    <t>DeMarco Murray</t>
  </si>
  <si>
    <t>Jarvis Landry</t>
  </si>
  <si>
    <t>Doug Baldwin</t>
  </si>
  <si>
    <t>Frank Gore</t>
  </si>
  <si>
    <t>Emmanuel Sanders</t>
  </si>
  <si>
    <t>Tevin Coleman</t>
  </si>
  <si>
    <t>Cam Newton</t>
  </si>
  <si>
    <t>Jordan Matthews</t>
  </si>
  <si>
    <t>Jordan Howard</t>
  </si>
  <si>
    <t>Eddie Lacy</t>
  </si>
  <si>
    <t>Sterling Shepard</t>
  </si>
  <si>
    <t>Rishard Matthews</t>
  </si>
  <si>
    <t>James White</t>
  </si>
  <si>
    <t>Samaje Perine</t>
  </si>
  <si>
    <t>*** DRAFT RESULTS ***</t>
  </si>
  <si>
    <t>*** ROUND 1 RESULTS ***</t>
  </si>
  <si>
    <t>1.1 (1) --- Greg Blome --- Antonio Brown - WR (PIT)</t>
  </si>
  <si>
    <t>1.2 (2) --- Stefan Albers --- Odell Beckham - WR (NYG)</t>
  </si>
  <si>
    <t>1.3 (3) --- Kyle Mertens --- Julio Jones - WR (ATL)</t>
  </si>
  <si>
    <t>1.4 (4) --- DHB Sandmen (SJ) --- LeSean McCoy - RB (BUF)</t>
  </si>
  <si>
    <t>1.5 (5) --- Kyle Witte --- A.J. Green - WR (CIN)</t>
  </si>
  <si>
    <t>1.6 (6) --- Josh Grainger --- Mike Evans - WR (TB)</t>
  </si>
  <si>
    <t>1.7 (7) --- Andy Seibert --- Jordy Nelson - WR (GB)</t>
  </si>
  <si>
    <t>1.8 (8) --- Josh Schaefer --- Amari Cooper - WR (OAK)</t>
  </si>
  <si>
    <t>1.9 (9) --- Chad McCann --- Dez Bryant - WR (DAL)</t>
  </si>
  <si>
    <t>1.10 (10) --- Scott Elbe --- Rob Gronkowski - TE (NE)</t>
  </si>
  <si>
    <t>*** ROUND 2 RESULTS ***</t>
  </si>
  <si>
    <t>2.1 (11) --- Scott Elbe --- DeMarco Murray - RB (TEN)</t>
  </si>
  <si>
    <t>2.2 (12) --- Chad McCann --- Ezekiel Elliott - RB (DAL)</t>
  </si>
  <si>
    <t>2.3 (13) --- Josh Schaefer --- Todd Gurley - RB (LAR)</t>
  </si>
  <si>
    <t>2.4 (14) --- Andy Seibert --- Marshawn Lynch - RB (OAK)</t>
  </si>
  <si>
    <t>2.5 (15) --- Josh Grainger --- Lamar Miller - RB (HOU)</t>
  </si>
  <si>
    <t>2.6 (16) --- Kyle Witte --- Brandin Cooks - WR (NE)</t>
  </si>
  <si>
    <t>2.7 (17) --- DHB Sandmen (SJ) --- Keenan Allen - WR (LAC)</t>
  </si>
  <si>
    <t>2.8 (18) --- Kyle Mertens --- Christian McCaffrey - RB (CAR)</t>
  </si>
  <si>
    <t>2.9 (19) --- Stefan Albers --- Demaryius Thomas - WR (DEN)</t>
  </si>
  <si>
    <t>2.10 (20) --- Greg Blome --- Aaron Rodgers - QB (GB)</t>
  </si>
  <si>
    <t>*** ROUND 3 RESULTS ***</t>
  </si>
  <si>
    <t>3.1 (21) --- Greg Blome --- Michael Crabtree - WR (OAK)</t>
  </si>
  <si>
    <t>3.2 (22) --- Stefan Albers --- Dalvin Cook - RB (MIN)</t>
  </si>
  <si>
    <t>3.3 (23) --- Kyle Mertens --- Leonard Fournette - RB (JAX)</t>
  </si>
  <si>
    <t>3.4 (24) --- DHB Sandmen (SJ) --- Drew Brees - QB (NO)</t>
  </si>
  <si>
    <t>3.5 (25) --- Kyle Witte --- Golden Tate - WR (DET)</t>
  </si>
  <si>
    <t>3.6 (26) --- Josh Grainger --- Jordan Reed - TE (WAS)</t>
  </si>
  <si>
    <t>3.7 (27) --- Andy Seibert --- Carlos Hyde - RB (SF)</t>
  </si>
  <si>
    <t>3.8 (28) --- Josh Schaefer --- Greg Olsen - TE (CAR)</t>
  </si>
  <si>
    <t>3.9 (29) --- Chad McCann --- Tyreek Hill - WR (KC)</t>
  </si>
  <si>
    <t>3.10 (30) --- Scott Elbe --- Jarvis Landry - WR (MIA)</t>
  </si>
  <si>
    <t>*** ROUND 4 RESULTS ***</t>
  </si>
  <si>
    <t>4.1 (31) --- Scott Elbe --- Doug Baldwin - WR (SEA) *K*</t>
  </si>
  <si>
    <t>4.2 (32) --- Chad McCann --- Melvin Gordon - RB (LAC) *K*</t>
  </si>
  <si>
    <t>4.3 (33) --- Josh Schaefer --- Matt Ryan - QB (ATL)</t>
  </si>
  <si>
    <t>4.4 (34) --- Andy Seibert --- Larry Fitzgerald - WR (ARI)</t>
  </si>
  <si>
    <t>4.5 (35) --- Josh Grainger --- Stefon Diggs - WR (MIN)</t>
  </si>
  <si>
    <t>4.6 (36) --- Kyle Witte --- Ty Montgomery - RB (GB)</t>
  </si>
  <si>
    <t>4.7 (37) --- DHB Sandmen (SJ) --- Joe Mixon - RB (CIN)</t>
  </si>
  <si>
    <t>4.8 (38) --- Kyle Mertens --- T.Y. Hilton - WR (IND) *K*</t>
  </si>
  <si>
    <t>4.9 (39) --- Stefan Albers --- Doug Martin - RB (TB)</t>
  </si>
  <si>
    <t>4.10 (40) --- Greg Blome --- Bilal Powell - RB (NYJ)</t>
  </si>
  <si>
    <t>*** ROUND 5 RESULTS ***</t>
  </si>
  <si>
    <t>5.1 (41) --- Greg Blome --- Kareem Hunt - RB (KC)</t>
  </si>
  <si>
    <t>5.2 (42) --- Stefan Albers --- Travis Kelce - TE (KC) *K*</t>
  </si>
  <si>
    <t>5.3 (43) --- Kyle Mertens --- Martavis Bryant - WR (PIT)</t>
  </si>
  <si>
    <t>5.4 (44) --- DHB Sandmen (SJ) --- Kelvin Benjamin - WR (CAR)</t>
  </si>
  <si>
    <t>5.5 (45) --- Kyle Witte --- Jamison Crowder - WR (WAS)</t>
  </si>
  <si>
    <t>5.6 (46) --- Josh Grainger --- Sammy Watkins - WR (LAR)</t>
  </si>
  <si>
    <t>5.7 (47) --- Andy Seibert --- Allen Robinson - WR (JAX)</t>
  </si>
  <si>
    <t>5.8 (48) --- Josh Schaefer --- Devonta Freeman - RB (ATL) *K*</t>
  </si>
  <si>
    <t>5.9 (49) --- Chad McCann --- Mark Ingram - RB (NO)</t>
  </si>
  <si>
    <t>5.10 (50) --- Scott Elbe --- Frank Gore - RB (IND)</t>
  </si>
  <si>
    <t>*** ROUND 6 RESULTS ***</t>
  </si>
  <si>
    <t>6.1 (51) --- Scott Elbe --- Emmanuel Sanders - WR (DEN)</t>
  </si>
  <si>
    <t>6.2 (52) --- Chad McCann --- Jimmy Graham - TE (SEA)</t>
  </si>
  <si>
    <t>6.3 (53) --- Josh Schaefer --- Danny Woodhead - RB (BAL)</t>
  </si>
  <si>
    <t>6.4 (54) --- Andy Seibert --- Theo Riddick - RB (DET)</t>
  </si>
  <si>
    <t>6.5 (55) --- Josh Grainger --- C.J. Anderson - RB (DEN)</t>
  </si>
  <si>
    <t>6.6 (56) --- Kyle Witte --- Adrian Peterson - RB (NO)</t>
  </si>
  <si>
    <t>6.7 (57) --- DHB Sandmen (SJ) --- Paul Perkins - RB (NYG)</t>
  </si>
  <si>
    <t>6.8 (58) --- Kyle Mertens --- Derrick Henry - RB (TEN)</t>
  </si>
  <si>
    <t>6.9 (59) --- Stefan Albers --- DeVante Parker - WR (MIA)</t>
  </si>
  <si>
    <t>6.10 (60) --- Greg Blome --- Darren McFadden - RB (DAL)</t>
  </si>
  <si>
    <t>*** ROUND 7 RESULTS ***</t>
  </si>
  <si>
    <t>7.1 (61) --- Greg Blome --- DeAndre Hopkins - WR (HOU) *K*</t>
  </si>
  <si>
    <t>7.2 (62) --- Stefan Albers --- Tom Brady - QB (NE) *K*</t>
  </si>
  <si>
    <t>7.3 (63) --- Kyle Mertens --- Delanie Walker - TE (TEN)</t>
  </si>
  <si>
    <t>7.4 (64) --- DHB Sandmen (SJ) --- Tyler Eifert - TE (CIN)</t>
  </si>
  <si>
    <t>7.5 (65) --- Kyle Witte --- Jeremy Maclin - WR (BAL)</t>
  </si>
  <si>
    <t>7.6 (66) --- Josh Grainger --- Ameer Abdullah - RB (DET)</t>
  </si>
  <si>
    <t>7.7 (67) --- Andy Seibert --- Kyle Rudolph - TE (MIN)</t>
  </si>
  <si>
    <t>7.8 (68) --- Josh Schaefer --- Thomas Rawls - RB (SEA)</t>
  </si>
  <si>
    <t>7.9 (69) --- Chad McCann --- Russell Wilson - QB (SEA)</t>
  </si>
  <si>
    <t>7.10 (70) --- Scott Elbe --- Tevin Coleman - RB (ATL)</t>
  </si>
  <si>
    <t>*** ROUND 8 RESULTS ***</t>
  </si>
  <si>
    <t>8.1 (71) --- Scott Elbe --- Cam Newton - QB (CAR)</t>
  </si>
  <si>
    <t>8.2 (72) --- Chad McCann --- Willie Snead - WR (NO)</t>
  </si>
  <si>
    <t>8.3 (73) --- Josh Schaefer --- Pierre Garcon - WR (SF)</t>
  </si>
  <si>
    <t>8.4 (74) --- Andy Seibert --- Brandon Marshall - WR (NYG)</t>
  </si>
  <si>
    <t>8.5 (75) --- Josh Grainger --- Derek Carr - QB (OAK)</t>
  </si>
  <si>
    <t>8.6 (76) --- Kyle Witte --- Zach Ertz - TE (PHI)</t>
  </si>
  <si>
    <t>8.7 (77) --- DHB Sandmen (SJ) --- Mike Gillislee - RB (NE)</t>
  </si>
  <si>
    <t>8.8 (78) --- Kyle Mertens --- Jameis Winston - QB (TB)</t>
  </si>
  <si>
    <t>8.9 (79) --- Stefan Albers --- Eric Decker - WR (TEN)</t>
  </si>
  <si>
    <t>8.10 (80) --- Greg Blome --- Tyrell Williams - WR (LAC)</t>
  </si>
  <si>
    <t>*** ROUND 9 RESULTS ***</t>
  </si>
  <si>
    <t>9.1 (81) --- Greg Blome --- Terrance West - RB (BAL)</t>
  </si>
  <si>
    <t>9.2 (82) --- Stefan Albers --- Rex Burkhead - RB (NE)</t>
  </si>
  <si>
    <t>9.3 (83) --- Kyle Mertens --- DeSean Jackson - WR (TB)</t>
  </si>
  <si>
    <t>9.4 (84) --- DHB Sandmen (SJ) --- Randall Cobb - WR (GB)</t>
  </si>
  <si>
    <t>9.5 (85) --- Kyle Witte --- Cameron Meredith - WR (CHI)</t>
  </si>
  <si>
    <t>9.6 (86) --- Josh Grainger --- Le'Veon Bell - RB (PIT) *K*</t>
  </si>
  <si>
    <t>9.7 (87) --- Andy Seibert --- Adam Thielen - WR (MIN)</t>
  </si>
  <si>
    <t>9.8 (88) --- Josh Schaefer --- Donte Moncrief - WR (IND)</t>
  </si>
  <si>
    <t>9.9 (89) --- Chad McCann --- David Johnson - RB (ARI) *K*</t>
  </si>
  <si>
    <t>9.10 (90) --- Scott Elbe --- Jordan Matthews - WR (BUF)</t>
  </si>
  <si>
    <t>*** ROUND 10 RESULTS ***</t>
  </si>
  <si>
    <t>10.1 (91) --- Scott Elbe --- Jordan Howard - RB (CHI) *K*</t>
  </si>
  <si>
    <t>10.2 (92) --- Chad McCann --- Corey Davis - WR (TEN)</t>
  </si>
  <si>
    <t>10.3 (93) --- Josh Schaefer --- Duke Johnson - RB (CLE)</t>
  </si>
  <si>
    <t>10.4 (94) --- Andy Seibert --- Kevin White - WR (CHI)</t>
  </si>
  <si>
    <t>10.5 (95) --- Josh Grainger --- Davante Adams - WR (GB) *K*</t>
  </si>
  <si>
    <t>10.6 (96) --- Kyle Witte --- Marcus Mariota - QB (TEN) *K*</t>
  </si>
  <si>
    <t>10.7 (97) --- DHB Sandmen (SJ) --- Terrelle Pryor - WR (WAS) *K*</t>
  </si>
  <si>
    <t>10.8 (98) --- Kyle Mertens --- Isaiah Crowell - RB (CLE) *K*</t>
  </si>
  <si>
    <t>10.9 (99) --- Stefan Albers --- Jamaal Williams - RB (GB)</t>
  </si>
  <si>
    <t>10.10 (100) --- Greg Blome --- Alshon Jeffery - WR (PHI) *K*</t>
  </si>
  <si>
    <t>*** ROUND 11 RESULTS ***</t>
  </si>
  <si>
    <t>11.1 (101) --- Greg Blome --- Andrew Luck - QB (IND)</t>
  </si>
  <si>
    <t>11.2 (102) --- Stefan Albers --- DEN - DEF (DEN)</t>
  </si>
  <si>
    <t>11.3 (103) --- Kyle Mertens --- C.J. Prosise - RB (SEA)</t>
  </si>
  <si>
    <t>11.4 (104) --- DHB Sandmen (SJ) --- Jay Ajayi - RB (MIA) *K*</t>
  </si>
  <si>
    <t>11.5 (105) --- Kyle Witte --- Dion Lewis - RB (NE)</t>
  </si>
  <si>
    <t>11.6 (106) --- Josh Grainger --- Martellus Bennett - TE (GB)</t>
  </si>
  <si>
    <t>11.7 (107) --- Andy Seibert --- Darren Sproles - RB (PHI)</t>
  </si>
  <si>
    <t>11.8 (108) --- Josh Schaefer --- Matt Forte - RB (NYJ)</t>
  </si>
  <si>
    <t>11.9 (109) --- Chad McCann --- John Brown - WR (ARI)</t>
  </si>
  <si>
    <t>11.10 (110) --- Scott Elbe --- Eddie Lacy - RB (SEA)</t>
  </si>
  <si>
    <t>*** ROUND 12 RESULTS ***</t>
  </si>
  <si>
    <t>12.1 (111) --- Scott Elbe --- Sterling Shepard - WR (NYG)</t>
  </si>
  <si>
    <t>12.2 (112) --- Chad McCann --- John Ross - WR (CIN)</t>
  </si>
  <si>
    <t>12.3 (113) --- Josh Schaefer --- Michael Thomas - WR (NO) *K*</t>
  </si>
  <si>
    <t>12.4 (114) --- Andy Seibert --- LeGarrette Blount - RB (PHI)</t>
  </si>
  <si>
    <t>12.5 (115) --- Josh Grainger --- Giovani Bernard - RB (CIN)</t>
  </si>
  <si>
    <t>12.6 (116) --- Kyle Witte --- Spencer Ware - RB (KC) *K*</t>
  </si>
  <si>
    <t>12.7 (117) --- DHB Sandmen (SJ) --- Cameron Brate - TE (TB)</t>
  </si>
  <si>
    <t>12.8 (118) --- Kyle Mertens --- Ben Roethlisberger - QB (PIT)</t>
  </si>
  <si>
    <t>12.9 (119) --- Stefan Albers --- Robby Anderson - WR (NYJ)</t>
  </si>
  <si>
    <t>12.10 (120) --- Greg Blome --- Eric Ebron - TE (DET)</t>
  </si>
  <si>
    <t>*** ROUND 13 RESULTS ***</t>
  </si>
  <si>
    <t>13.1 (121) --- Greg Blome --- Chris Hogan - WR (NE)</t>
  </si>
  <si>
    <t>13.2 (122) --- Stefan Albers --- Shane Vereen - RB (NYG)</t>
  </si>
  <si>
    <t>13.3 (123) --- Kyle Mertens --- Jonathan Stewart - RB (CAR)</t>
  </si>
  <si>
    <t>13.4 (124) --- DHB Sandmen (SJ) --- SEA - DEF (SEA)</t>
  </si>
  <si>
    <t>13.5 (125) --- Kyle Witte --- Jacquizz Rodgers - RB (TB)</t>
  </si>
  <si>
    <t>13.6 (126) --- Josh Grainger --- Kenny Golladay - WR (DET)</t>
  </si>
  <si>
    <t>13.7 (127) --- Andy Seibert --- Kenny Britt - WR (CLE)</t>
  </si>
  <si>
    <t>13.8 (128) --- Josh Schaefer --- Dak Prescott - QB (DAL)</t>
  </si>
  <si>
    <t>13.9 (129) --- Chad McCann --- Hunter Henry - TE (LAC)</t>
  </si>
  <si>
    <t>13.10 (130) --- Scott Elbe --- KC - DEF (KC)</t>
  </si>
  <si>
    <t>*** ROUND 14 RESULTS ***</t>
  </si>
  <si>
    <t>14.1 (131) --- Scott Elbe --- Rishard Matthews - WR (TEN)</t>
  </si>
  <si>
    <t>14.2 (132) --- Chad McCann --- Corey Coleman - WR (CLE)</t>
  </si>
  <si>
    <t>14.3 (133) --- Josh Schaefer --- NE - DEF (NE)</t>
  </si>
  <si>
    <t>14.4 (134) --- Andy Seibert --- Kirk Cousins - QB (WAS) *K*</t>
  </si>
  <si>
    <t>14.5 (135) --- Josh Grainger --- O.J. Howard - TE (TB)</t>
  </si>
  <si>
    <t>14.6 (136) --- Kyle Witte --- HOU - DEF (HOU)</t>
  </si>
  <si>
    <t>14.7 (137) --- DHB Sandmen (SJ) --- Josh Doctson - WR (WAS)</t>
  </si>
  <si>
    <t>14.8 (138) --- Kyle Mertens --- Marvin Jones - WR (DET)</t>
  </si>
  <si>
    <t>14.9 (139) --- Stefan Albers --- DeAndre Washington - RB (OAK)</t>
  </si>
  <si>
    <t>14.10 (140) --- Greg Blome --- Devin Funchess - WR (CAR)</t>
  </si>
  <si>
    <t>*** ROUND 15 RESULTS ***</t>
  </si>
  <si>
    <t>15.1 (141) --- Greg Blome --- De'Angelo Henderson - RB (DEN)</t>
  </si>
  <si>
    <t>15.2 (142) --- Stefan Albers --- Zay Jones - WR (BUF)</t>
  </si>
  <si>
    <t>15.3 (143) --- Kyle Mertens --- MIN - DEF (MIN)</t>
  </si>
  <si>
    <t>15.4 (144) --- DHB Sandmen (SJ) --- D'Onta Foreman - RB (HOU)</t>
  </si>
  <si>
    <t>15.5 (145) --- Kyle Witte --- Jamaal Charles - RB (DEN)</t>
  </si>
  <si>
    <t>15.6 (146) --- Josh Grainger --- Nelson Agholor - WR (PHI)</t>
  </si>
  <si>
    <t>15.7 (147) --- Andy Seibert --- Chris Conley - WR (KC)</t>
  </si>
  <si>
    <t>15.8 (148) --- Josh Schaefer --- Jason Witten - TE (DAL)</t>
  </si>
  <si>
    <t>15.9 (149) --- Chad McCann --- Rob Kelley - RB (WAS)</t>
  </si>
  <si>
    <t>15.10 (150) --- Scott Elbe --- James White - RB (NE)</t>
  </si>
  <si>
    <t>*** ROUND 16 RESULTS ***</t>
  </si>
  <si>
    <t>16.1 (151) --- Scott Elbe --- Samaje Perine - RB (WAS)</t>
  </si>
  <si>
    <t>16.2 (152) --- Chad McCann --- CAR - DEF (CAR)</t>
  </si>
  <si>
    <t>16.3 (153) --- Josh Schaefer --- Latavius Murray - RB (MIN)</t>
  </si>
  <si>
    <t>16.4 (154) --- Andy Seibert --- ARI - DEF (ARI)</t>
  </si>
  <si>
    <t>16.5 (155) --- Josh Grainger --- LAR - DEF (LAR)</t>
  </si>
  <si>
    <t>16.6 (156) --- Kyle Witte --- Marlon Mack - RB (IND)</t>
  </si>
  <si>
    <t>16.7 (157) --- DHB Sandmen (SJ) --- Matthew Stafford - QB (DET)</t>
  </si>
  <si>
    <t>16.8 (158) --- Kyle Mertens --- Taylor Gabriel - WR (ATL)</t>
  </si>
  <si>
    <t>16.9 (159) --- Stefan Albers --- Julian Edelman - WR (NE)</t>
  </si>
  <si>
    <t>16.10 (160) --- Greg Blome --- NYG - DEF (NYG)</t>
  </si>
  <si>
    <t>Pick</t>
  </si>
  <si>
    <t>Player</t>
  </si>
  <si>
    <t>Position</t>
  </si>
  <si>
    <t>Team</t>
  </si>
  <si>
    <t>League Member</t>
  </si>
  <si>
    <t>Steelers</t>
  </si>
  <si>
    <t>Round in 2016</t>
  </si>
  <si>
    <t>TY Hilton</t>
  </si>
  <si>
    <t>Michael Floyd</t>
  </si>
  <si>
    <t>Odell Beckham Jr</t>
  </si>
  <si>
    <t>Alshon Jeffrey</t>
  </si>
  <si>
    <t>Scott Johnston</t>
  </si>
  <si>
    <t>Round in 2017</t>
  </si>
  <si>
    <t>N/A</t>
  </si>
  <si>
    <t>Available in 2018</t>
  </si>
  <si>
    <t>Deandre Hopkins</t>
  </si>
  <si>
    <t>FA</t>
  </si>
  <si>
    <t>Jared Goff</t>
  </si>
  <si>
    <t>LA</t>
  </si>
  <si>
    <t>Marqise Lee</t>
  </si>
  <si>
    <t>Jermaine Kearse</t>
  </si>
  <si>
    <t>Vernon Davis</t>
  </si>
  <si>
    <t>WASH</t>
  </si>
  <si>
    <t>2017 Status</t>
  </si>
  <si>
    <t>2018 Status</t>
  </si>
  <si>
    <t>2019 Status</t>
  </si>
  <si>
    <t>1 of 3</t>
  </si>
  <si>
    <t>2 of 3</t>
  </si>
  <si>
    <t>3 of 3</t>
  </si>
  <si>
    <t>Available in 2019</t>
  </si>
  <si>
    <t>SUMMARY</t>
  </si>
  <si>
    <t>TERM</t>
  </si>
  <si>
    <t>DRAFT ROUND FOR KEEPER</t>
  </si>
  <si>
    <t>Eagles</t>
  </si>
  <si>
    <t>Danny Amendola</t>
  </si>
  <si>
    <t>Jared Cook</t>
  </si>
  <si>
    <t xml:space="preserve">TE </t>
  </si>
  <si>
    <t>Tyler Lockett</t>
  </si>
  <si>
    <t>Alex Collins</t>
  </si>
  <si>
    <t>T</t>
  </si>
  <si>
    <t>Mike Davis</t>
  </si>
  <si>
    <t>AJ Green</t>
  </si>
  <si>
    <t>Evan Engram</t>
  </si>
  <si>
    <t>Redskins</t>
  </si>
  <si>
    <t>Deshaun Watson</t>
  </si>
  <si>
    <t>CJ Anderson</t>
  </si>
  <si>
    <t>TJ Yeldon</t>
  </si>
  <si>
    <t>Chris Ivory</t>
  </si>
  <si>
    <t>BUFF</t>
  </si>
  <si>
    <t>Joe Murray via Chad McCann</t>
  </si>
  <si>
    <t>Zach Rakowski via Josh Schaefer</t>
  </si>
  <si>
    <t>Cooper Kupp</t>
  </si>
  <si>
    <t>Lions</t>
  </si>
  <si>
    <t>Austin Ekeler</t>
  </si>
  <si>
    <t>Josh Gordon</t>
  </si>
  <si>
    <t>Sterling Shephard</t>
  </si>
  <si>
    <t>Ravens</t>
  </si>
  <si>
    <t>Alex Smith</t>
  </si>
  <si>
    <t>Chargers</t>
  </si>
  <si>
    <t>Chris Carson</t>
  </si>
  <si>
    <t>Kerwynn Williams</t>
  </si>
  <si>
    <t>Mike Wallace</t>
  </si>
  <si>
    <t>Panthers</t>
  </si>
  <si>
    <t>Kenyan Drake</t>
  </si>
  <si>
    <t>Jack Doyle</t>
  </si>
  <si>
    <t>Saints</t>
  </si>
  <si>
    <t>Wayne Gallman</t>
  </si>
  <si>
    <t>Jerick McKinnon</t>
  </si>
  <si>
    <t>Dede Westbrook</t>
  </si>
  <si>
    <t>Austin Seferian-Jenkins</t>
  </si>
  <si>
    <t>Peyton Barber</t>
  </si>
  <si>
    <t>Marquise Goodwin</t>
  </si>
  <si>
    <t>Jaguars</t>
  </si>
  <si>
    <t>Aaron Jones</t>
  </si>
  <si>
    <t>Philip Rivers</t>
  </si>
  <si>
    <t>Vikings</t>
  </si>
  <si>
    <t>Mohamed Sanu</t>
  </si>
  <si>
    <t>JuJu Smith-Schuster</t>
  </si>
  <si>
    <t>JD McKissic</t>
  </si>
  <si>
    <t>Case Keenum</t>
  </si>
  <si>
    <t>Alvin Kamara</t>
  </si>
  <si>
    <t>Marvin Jones Jr</t>
  </si>
  <si>
    <t>Bears</t>
  </si>
  <si>
    <t>Tarik Cohen</t>
  </si>
  <si>
    <t>Charles Clay</t>
  </si>
  <si>
    <t>Dontrelle Inman</t>
  </si>
  <si>
    <t>Carson Wentz</t>
  </si>
  <si>
    <t>Austin Hooper</t>
  </si>
  <si>
    <t>Robert Woods</t>
  </si>
  <si>
    <t>Will Fuller V</t>
  </si>
  <si>
    <t>Javorius Allen</t>
  </si>
  <si>
    <t>Round</t>
  </si>
  <si>
    <t>Leveon Bell</t>
  </si>
  <si>
    <t>Keepers Highlighted</t>
  </si>
  <si>
    <t>Saquon Barkley</t>
  </si>
  <si>
    <t>Colin Tracy</t>
  </si>
  <si>
    <t>Joe Murray</t>
  </si>
  <si>
    <t>Zach Rakowski</t>
  </si>
  <si>
    <t>SD</t>
  </si>
  <si>
    <t>Joe MIxon</t>
  </si>
  <si>
    <t>Aaron Rogers</t>
  </si>
  <si>
    <t>Lesean McCoy</t>
  </si>
  <si>
    <t>Demarious Thomas</t>
  </si>
  <si>
    <t>Royce Freeman</t>
  </si>
  <si>
    <t>Emmaneul Sanders</t>
  </si>
  <si>
    <t>Rex Berkhead</t>
  </si>
  <si>
    <t>Duke Johnson Jr.</t>
  </si>
  <si>
    <t>Kerryon Johnson</t>
  </si>
  <si>
    <t>Chris Thompson</t>
  </si>
  <si>
    <t>Jamal Williams</t>
  </si>
  <si>
    <t>Sony Michel</t>
  </si>
  <si>
    <t>Isaih Crowell</t>
  </si>
  <si>
    <t>Trey Burton</t>
  </si>
  <si>
    <t>Kenny Stills</t>
  </si>
  <si>
    <t>Rashaad Penny</t>
  </si>
  <si>
    <t>JAX DEF</t>
  </si>
  <si>
    <t>Keelan Cole</t>
  </si>
  <si>
    <t>Eagles DEF</t>
  </si>
  <si>
    <t>Vikings DEF</t>
  </si>
  <si>
    <t>Quincy Enuwma</t>
  </si>
  <si>
    <t>Dede Westrbrook</t>
  </si>
  <si>
    <t>Michael Gallup</t>
  </si>
  <si>
    <t>RAMS DEF</t>
  </si>
  <si>
    <t>Alfred Morris</t>
  </si>
  <si>
    <t>Matt Brieda</t>
  </si>
  <si>
    <t>DJ Moore</t>
  </si>
  <si>
    <t>Gio Bernard</t>
  </si>
  <si>
    <t>Mike Williams</t>
  </si>
  <si>
    <t>Los Angeles Chargers DEF</t>
  </si>
  <si>
    <t>Chris Godwin</t>
  </si>
  <si>
    <t>Calvin Ridley</t>
  </si>
  <si>
    <t>Ravens DEF</t>
  </si>
  <si>
    <t>Houston DEF</t>
  </si>
  <si>
    <t>Corey Clement</t>
  </si>
  <si>
    <t>Jimmy Garrapolo</t>
  </si>
  <si>
    <t>Matt Stafford</t>
  </si>
  <si>
    <t>James Conner</t>
  </si>
  <si>
    <t>Ronald Jones II</t>
  </si>
  <si>
    <t>Chicago</t>
  </si>
  <si>
    <t>Rashard Matthews</t>
  </si>
  <si>
    <t>Anthony Miller</t>
  </si>
  <si>
    <t>Geronimo Allison</t>
  </si>
  <si>
    <t>Allen Hurns</t>
  </si>
  <si>
    <t>James Washington</t>
  </si>
  <si>
    <t>Devante Parker</t>
  </si>
  <si>
    <t>Courtland Sutton</t>
  </si>
  <si>
    <t>George Kittle</t>
  </si>
  <si>
    <t>Denver Broncos DEF</t>
  </si>
  <si>
    <t>Trequan Smith</t>
  </si>
  <si>
    <t>Darius Guice</t>
  </si>
  <si>
    <t>Ryan Grant</t>
  </si>
  <si>
    <t>TBD</t>
  </si>
  <si>
    <t>LeGarrette Blunt</t>
  </si>
  <si>
    <t>Jalen Rashard</t>
  </si>
  <si>
    <t>Odell Beckham Jr.</t>
  </si>
  <si>
    <t>Dante Pettis</t>
  </si>
  <si>
    <t>LA Rams</t>
  </si>
  <si>
    <t>Houston Texans</t>
  </si>
  <si>
    <t>Gus Edwards</t>
  </si>
  <si>
    <t>Bruce Ellington</t>
  </si>
  <si>
    <t>D/ST</t>
  </si>
  <si>
    <t>Jalen Richard</t>
  </si>
  <si>
    <t>Pittsburgh Steelers</t>
  </si>
  <si>
    <t>Mitchell Trubisky</t>
  </si>
  <si>
    <t>Washington Redskins</t>
  </si>
  <si>
    <t>Tre'Quan Smith</t>
  </si>
  <si>
    <t>Lamar Jackson</t>
  </si>
  <si>
    <t>Robert Foster</t>
  </si>
  <si>
    <t>Damien Williams</t>
  </si>
  <si>
    <t>Kalen Ballage</t>
  </si>
  <si>
    <t>Cleveland Browns</t>
  </si>
  <si>
    <t>Tyler Boyd</t>
  </si>
  <si>
    <t>Nyheim Hines</t>
  </si>
  <si>
    <t>Jaylen Samuels</t>
  </si>
  <si>
    <t>Chicago Bears</t>
  </si>
  <si>
    <t>Ian Thomas</t>
  </si>
  <si>
    <t>OJ Howard</t>
  </si>
  <si>
    <t>Baker Mayfield</t>
  </si>
  <si>
    <t>Todd Gurley II</t>
  </si>
  <si>
    <t>Atlanta Falcons</t>
  </si>
  <si>
    <t>Marvin Jones Jr.</t>
  </si>
  <si>
    <t>Josh Reynolds</t>
  </si>
  <si>
    <t>David Njoku</t>
  </si>
  <si>
    <t>New England Patriots</t>
  </si>
  <si>
    <t>Justin Jackson</t>
  </si>
  <si>
    <t>Patrick Mahomes</t>
  </si>
  <si>
    <t>Elijah McGuire</t>
  </si>
  <si>
    <t>New Orleans Saints</t>
  </si>
  <si>
    <t>Adam Humphries</t>
  </si>
  <si>
    <t>Jeff Wilson Jr.</t>
  </si>
  <si>
    <t>Kenneth Dixon</t>
  </si>
  <si>
    <t>John Kelly</t>
  </si>
  <si>
    <t>Phillip Lindsay</t>
  </si>
  <si>
    <t>Buffalo Bills</t>
  </si>
  <si>
    <t>Minnesota Vikings</t>
  </si>
  <si>
    <t>Christian Kirk</t>
  </si>
  <si>
    <t>Nick Chubb</t>
  </si>
  <si>
    <t>Matt Breida</t>
  </si>
  <si>
    <t>Tennessee Titans</t>
  </si>
  <si>
    <t>Keke Coutee</t>
  </si>
  <si>
    <t>Jacksonville Jaguars</t>
  </si>
  <si>
    <t>Derrius Guice</t>
  </si>
  <si>
    <t>2020 Status</t>
  </si>
  <si>
    <t>F/A</t>
  </si>
  <si>
    <t>Sterling Shppard</t>
  </si>
  <si>
    <t>Tre'quan Smith</t>
  </si>
  <si>
    <t>David Montgomery</t>
  </si>
  <si>
    <t>Josh Jacobs</t>
  </si>
  <si>
    <t>Mark Ingram II</t>
  </si>
  <si>
    <t>Miles Sanders</t>
  </si>
  <si>
    <t>Tevan Coleman</t>
  </si>
  <si>
    <t>Darrell Henderson</t>
  </si>
  <si>
    <t>Curtis Samuel</t>
  </si>
  <si>
    <t>JAC</t>
  </si>
  <si>
    <t>Marquez Valdes-Scantling</t>
  </si>
  <si>
    <t>Sterling Shepherd</t>
  </si>
  <si>
    <t>Vance McDonald</t>
  </si>
  <si>
    <t>Justice Hill</t>
  </si>
  <si>
    <t>N'Keal Harry</t>
  </si>
  <si>
    <t>Devin Singletary</t>
  </si>
  <si>
    <t>Damien Harris</t>
  </si>
  <si>
    <t>Desean Jackson</t>
  </si>
  <si>
    <t>Kyler Murray</t>
  </si>
  <si>
    <t>Darwin Thompson</t>
  </si>
  <si>
    <t>Jacksonville Jaguars D</t>
  </si>
  <si>
    <t>Chase Edmonds</t>
  </si>
  <si>
    <t>Adian Peterson</t>
  </si>
  <si>
    <t>Miles Boykin</t>
  </si>
  <si>
    <t>Cole Hardman</t>
  </si>
  <si>
    <t>Ronald Jones</t>
  </si>
  <si>
    <t>Los Angeles Rams D</t>
  </si>
  <si>
    <t>Baltimore Ravens DEF</t>
  </si>
  <si>
    <t>Tony Pollard</t>
  </si>
  <si>
    <t>DAl</t>
  </si>
  <si>
    <t>Dallas Goedert</t>
  </si>
  <si>
    <t>Buffallo Bills DEF</t>
  </si>
  <si>
    <t>Dallas Cowboys DEF</t>
  </si>
  <si>
    <t>AJ Brown</t>
  </si>
  <si>
    <t>Alexander Mattison</t>
  </si>
  <si>
    <t>Mitch Trubisky</t>
  </si>
  <si>
    <t>Desean Hamilton</t>
  </si>
  <si>
    <t>Mike Boone</t>
  </si>
  <si>
    <t>Terry McLaurin</t>
  </si>
  <si>
    <t>DJ Chark Jr.</t>
  </si>
  <si>
    <t>Denver Broncos</t>
  </si>
  <si>
    <t>Green Bay Packers</t>
  </si>
  <si>
    <t>Marquise Brown</t>
  </si>
  <si>
    <t>Diontae Johnson</t>
  </si>
  <si>
    <t>Seattle Seahawks</t>
  </si>
  <si>
    <t>2021 Status</t>
  </si>
  <si>
    <t>Deebo Samuel</t>
  </si>
  <si>
    <t>Ten</t>
  </si>
  <si>
    <t>NA</t>
  </si>
  <si>
    <t>LAV</t>
  </si>
  <si>
    <t>Jacob Hollister</t>
  </si>
  <si>
    <t>Raheem Mostert</t>
  </si>
  <si>
    <t>Kansas City Chiefs</t>
  </si>
  <si>
    <t>Cole Beasley</t>
  </si>
  <si>
    <t>Zach Pascal</t>
  </si>
  <si>
    <t>Ryan Tannehill</t>
  </si>
  <si>
    <t>Josh Allen</t>
  </si>
  <si>
    <t>Mark Andrews</t>
  </si>
  <si>
    <t>Baltimore Ravens</t>
  </si>
  <si>
    <t>LeVeon Bell</t>
  </si>
  <si>
    <t>Benny Snell Jr.</t>
  </si>
  <si>
    <t>Boston Scott</t>
  </si>
  <si>
    <t>Tyler Higbee</t>
  </si>
  <si>
    <t>Breshad Perriman</t>
  </si>
  <si>
    <t>Darius Slayton</t>
  </si>
  <si>
    <t>NY Jets</t>
  </si>
  <si>
    <t>Bo Scarbrough</t>
  </si>
  <si>
    <t>Patrick Laird</t>
  </si>
  <si>
    <t>Jimmy Garoppolo</t>
  </si>
  <si>
    <t>Darren Waller</t>
  </si>
  <si>
    <t>San Francisco 49ers</t>
  </si>
  <si>
    <t>Marcus Johnson</t>
  </si>
  <si>
    <t>DK Metcalf</t>
  </si>
  <si>
    <t>Zach</t>
  </si>
  <si>
    <t>Joe</t>
  </si>
  <si>
    <t>Scott</t>
  </si>
  <si>
    <t>Elbe</t>
  </si>
  <si>
    <t>Stefan</t>
  </si>
  <si>
    <t>Clyde Edwards-Helaire</t>
  </si>
  <si>
    <t>Witte</t>
  </si>
  <si>
    <t>Merts</t>
  </si>
  <si>
    <t>Josh</t>
  </si>
  <si>
    <t>Greg</t>
  </si>
  <si>
    <t>Colin</t>
  </si>
  <si>
    <t>Sefan</t>
  </si>
  <si>
    <t>BUFFALO BILLS DEFENSE!!!!!!!</t>
  </si>
  <si>
    <t>PITTSBURGH STEELERS DEFENSE</t>
  </si>
  <si>
    <t>CHIGAGO BEARS DEF</t>
  </si>
  <si>
    <t>MINNESOTA VIKINGS DEF</t>
  </si>
  <si>
    <t>NEW ENGLAND PATRIOTS DEF</t>
  </si>
  <si>
    <t>SEATTLE SEAHAWKS DEF</t>
  </si>
  <si>
    <t>KANSAS CITY CHIEFS DEF</t>
  </si>
  <si>
    <t>Keshawn Baum ?</t>
  </si>
  <si>
    <t xml:space="preserve"> RB</t>
  </si>
  <si>
    <t xml:space="preserve"> TE</t>
  </si>
  <si>
    <t>LV</t>
  </si>
  <si>
    <t xml:space="preserve"> WR</t>
  </si>
  <si>
    <t xml:space="preserve"> GB</t>
  </si>
  <si>
    <t xml:space="preserve"> LV</t>
  </si>
  <si>
    <t xml:space="preserve"> KC</t>
  </si>
  <si>
    <t xml:space="preserve"> TB</t>
  </si>
  <si>
    <t xml:space="preserve"> QB</t>
  </si>
  <si>
    <t xml:space="preserve"> NE</t>
  </si>
  <si>
    <t xml:space="preserve">AR </t>
  </si>
  <si>
    <t xml:space="preserve"> NO</t>
  </si>
  <si>
    <t xml:space="preserve"> SF</t>
  </si>
  <si>
    <t xml:space="preserve"> CLE</t>
  </si>
  <si>
    <t xml:space="preserve"> SEA</t>
  </si>
  <si>
    <t>CeeDee Lamb</t>
  </si>
  <si>
    <t>DST</t>
  </si>
  <si>
    <t>Dolphins</t>
  </si>
  <si>
    <t>James Robinson</t>
  </si>
  <si>
    <t>Football Team</t>
  </si>
  <si>
    <t>D.J. Chark</t>
  </si>
  <si>
    <t>D.J. Moore</t>
  </si>
  <si>
    <t>Cam Akers</t>
  </si>
  <si>
    <t>Jonathan Taylor</t>
  </si>
  <si>
    <t>D'Andre Swift</t>
  </si>
  <si>
    <t>Michael Gallop</t>
  </si>
  <si>
    <t>J.K. Dobbins</t>
  </si>
  <si>
    <t>Antonio Gibson</t>
  </si>
  <si>
    <t>Zach Moss</t>
  </si>
  <si>
    <t>Henry Ruggs</t>
  </si>
  <si>
    <t>Preston Williams</t>
  </si>
  <si>
    <t>Allen Lazard</t>
  </si>
  <si>
    <t>Jerry Jeudy</t>
  </si>
  <si>
    <t>Emauel Sanders</t>
  </si>
  <si>
    <t>Mecole Hardiman</t>
  </si>
  <si>
    <t>D.K. Metcalf</t>
  </si>
  <si>
    <t>Brandon Aiyuk</t>
  </si>
  <si>
    <t>Noah Fant</t>
  </si>
  <si>
    <t>Jalen Reagor</t>
  </si>
  <si>
    <t>Hunter Renfrow</t>
  </si>
  <si>
    <t>Justin Jefferson</t>
  </si>
  <si>
    <t>Brian Edwards</t>
  </si>
  <si>
    <t>Hayden Hurst</t>
  </si>
  <si>
    <t>Ryquell Armstead</t>
  </si>
  <si>
    <t>Tee Higgins</t>
  </si>
  <si>
    <t>Joe Burrow</t>
  </si>
  <si>
    <t>Alshon Jefferey</t>
  </si>
  <si>
    <t>Chris Herndon</t>
  </si>
  <si>
    <t>Benny Snell Jr</t>
  </si>
  <si>
    <t>Steven Sims</t>
  </si>
  <si>
    <t>Malcolm Brown</t>
  </si>
  <si>
    <t>Tim Patrick</t>
  </si>
  <si>
    <t>Greg Ward</t>
  </si>
  <si>
    <t>Cordarrelle Patterson</t>
  </si>
  <si>
    <t>Keelan Cole Sr.</t>
  </si>
  <si>
    <t>Robert Tonyan</t>
  </si>
  <si>
    <t>WR,RB</t>
  </si>
  <si>
    <t>Parris Campell</t>
  </si>
  <si>
    <t>Logan Thomas</t>
  </si>
  <si>
    <t>49ers</t>
  </si>
  <si>
    <t>Myles Gaskin</t>
  </si>
  <si>
    <t>Jonnu Smith</t>
  </si>
  <si>
    <t>Jakobi Meyers</t>
  </si>
  <si>
    <t>Salvon Ahmed</t>
  </si>
  <si>
    <t>Jalen Hurts</t>
  </si>
  <si>
    <t>A.J. Brown</t>
  </si>
  <si>
    <t>Rams</t>
  </si>
  <si>
    <t>Mecole Hardman</t>
  </si>
  <si>
    <t>Chase Claypool</t>
  </si>
  <si>
    <t>Mike Gesicki</t>
  </si>
  <si>
    <t>Packers</t>
  </si>
  <si>
    <t>Browns</t>
  </si>
  <si>
    <t>Justin Herbert</t>
  </si>
  <si>
    <t>T.J. Hockenson</t>
  </si>
  <si>
    <t>Darrell Henderson Jr.</t>
  </si>
  <si>
    <t>Michael Pittman Jr.</t>
  </si>
  <si>
    <t>Rashard Higgins</t>
  </si>
  <si>
    <t>Devante Adams</t>
  </si>
  <si>
    <t>Buccaneers</t>
  </si>
  <si>
    <t>Zack Moss</t>
  </si>
  <si>
    <t>AJ Dillon</t>
  </si>
  <si>
    <t>Bills</t>
  </si>
  <si>
    <t>Saitns</t>
  </si>
  <si>
    <t>Devontae Booker</t>
  </si>
  <si>
    <t>Ty Johnson</t>
  </si>
  <si>
    <t>Cardinals</t>
  </si>
  <si>
    <t>2022 Status</t>
  </si>
  <si>
    <t>Kyle</t>
  </si>
  <si>
    <t>Najee Harris</t>
  </si>
  <si>
    <t>WA</t>
  </si>
  <si>
    <t>Javonte Williams</t>
  </si>
  <si>
    <t>Kyle Pitts</t>
  </si>
  <si>
    <t>Trey Sermon</t>
  </si>
  <si>
    <t>Ja'marr Chase</t>
  </si>
  <si>
    <t>Michael Carter</t>
  </si>
  <si>
    <t>Jaylen Waddle</t>
  </si>
  <si>
    <t>DeVonta Smith</t>
  </si>
  <si>
    <t>Lavishka Shenault Jr</t>
  </si>
  <si>
    <t>DJ Chark Jr</t>
  </si>
  <si>
    <t>Marquez Callaway</t>
  </si>
  <si>
    <t>Henry Ruggs III</t>
  </si>
  <si>
    <t>Melvin Gordon III</t>
  </si>
  <si>
    <t>Michael Pittman Jr</t>
  </si>
  <si>
    <t>Darnell Mooney</t>
  </si>
  <si>
    <t>Rhamondre Stevenson</t>
  </si>
  <si>
    <t>Rondale Moore</t>
  </si>
  <si>
    <t>Russell Gage</t>
  </si>
  <si>
    <t>Elijiah Moore</t>
  </si>
  <si>
    <t>J.D. McKissic</t>
  </si>
  <si>
    <t>Tampa Bay Bucs DEF</t>
  </si>
  <si>
    <t>Pittsburgh Steelers DEF</t>
  </si>
  <si>
    <t>WASHINGTON FOOTBALL TEAM DEF</t>
  </si>
  <si>
    <t>Trey Lance</t>
  </si>
  <si>
    <t>Gerald Everett</t>
  </si>
  <si>
    <t>Tua Tagovailoa</t>
  </si>
  <si>
    <t>Justin Fields</t>
  </si>
  <si>
    <t>San Francisco 49ers DEF</t>
  </si>
  <si>
    <t>Gabriel Davis</t>
  </si>
  <si>
    <t>Amari Rodgers</t>
  </si>
  <si>
    <t>Buffalo Bills DEF</t>
  </si>
  <si>
    <t>Trevor Lawrence</t>
  </si>
  <si>
    <t>Travis Etienne</t>
  </si>
  <si>
    <t>Kenneth Gainwell</t>
  </si>
  <si>
    <t>Rashod Bateman</t>
  </si>
  <si>
    <t>Los Angeles Rams DEF</t>
  </si>
  <si>
    <t>Chubba Hubbard</t>
  </si>
  <si>
    <t>Blake Jarwin</t>
  </si>
  <si>
    <t>Terrace Marshall</t>
  </si>
  <si>
    <t>Amon-Ra St. Brown</t>
  </si>
  <si>
    <t>2023 Status</t>
  </si>
  <si>
    <t>Kendrick Bourne</t>
  </si>
  <si>
    <t>Dalton Schultz</t>
  </si>
  <si>
    <t>Dawson Knox</t>
  </si>
  <si>
    <t>Devonte Booker</t>
  </si>
  <si>
    <t>Wr</t>
  </si>
  <si>
    <t>Darrel Williams</t>
  </si>
  <si>
    <t>KJ Osborn</t>
  </si>
  <si>
    <t>D'Ernest Johnson</t>
  </si>
  <si>
    <t>Van Jefferson</t>
  </si>
  <si>
    <t>Tyler Huntley</t>
  </si>
  <si>
    <t>ChuBba Hubbard</t>
  </si>
  <si>
    <t>Ja'Marr Chase</t>
  </si>
  <si>
    <t>Cole Kmet</t>
  </si>
  <si>
    <t>Jaret Patterson</t>
  </si>
  <si>
    <t>Colts</t>
  </si>
  <si>
    <t>Kadarius Toney</t>
  </si>
  <si>
    <t>Tyler Johnson</t>
  </si>
  <si>
    <t>Dare Ogunbowale</t>
  </si>
  <si>
    <t>Donovan Peoples-Jones</t>
  </si>
  <si>
    <t>Elijah Mitchell</t>
  </si>
  <si>
    <t>Patriots</t>
  </si>
  <si>
    <t>Alexand Mattison</t>
  </si>
  <si>
    <t xml:space="preserve">DJ Moore </t>
  </si>
  <si>
    <t>Dontrell Hilliard</t>
  </si>
  <si>
    <t>Cowboys</t>
  </si>
  <si>
    <t>Elijah Moore</t>
  </si>
  <si>
    <t>Travis Etienne Jr.</t>
  </si>
  <si>
    <t>Parris Campbell</t>
  </si>
  <si>
    <t>Juwan Johnson</t>
  </si>
  <si>
    <t>TJ Hockenson</t>
  </si>
  <si>
    <t>Jahan Dotson</t>
  </si>
  <si>
    <t>Khalil Herbert</t>
  </si>
  <si>
    <t>Christian Watson</t>
  </si>
  <si>
    <t>Tyler Allgeier</t>
  </si>
  <si>
    <t>Rachaad White</t>
  </si>
  <si>
    <t>James Cook</t>
  </si>
  <si>
    <t>Jameson Williams</t>
  </si>
  <si>
    <t>Gabe Davis</t>
  </si>
  <si>
    <t>Garrett Wilson</t>
  </si>
  <si>
    <t>Drake London</t>
  </si>
  <si>
    <t>Daniel Jones</t>
  </si>
  <si>
    <t>Chuba Hubbard</t>
  </si>
  <si>
    <t>Nico Collins</t>
  </si>
  <si>
    <t>George Pickens</t>
  </si>
  <si>
    <t>Chris Olave</t>
  </si>
  <si>
    <t>JK Dobbins</t>
  </si>
  <si>
    <t>Kyren Williams</t>
  </si>
  <si>
    <t>Jaylen Warren</t>
  </si>
  <si>
    <t>Treylon Burks</t>
  </si>
  <si>
    <t>2024 Status</t>
  </si>
  <si>
    <t>Bijan Robinson</t>
  </si>
  <si>
    <t>Breece Hall</t>
  </si>
  <si>
    <t>Jahmyr Gibbs</t>
  </si>
  <si>
    <t>Damien Pierce</t>
  </si>
  <si>
    <t>Kenneth Walker</t>
  </si>
  <si>
    <t>Jordan Addison</t>
  </si>
  <si>
    <t>Sky Moore</t>
  </si>
  <si>
    <t>Jaxon Smith-Njigba</t>
  </si>
  <si>
    <t>Zay Flowers</t>
  </si>
  <si>
    <t>Quentin Johnston</t>
  </si>
  <si>
    <t>Zach Charbonnet</t>
  </si>
  <si>
    <t>Semaje Perine</t>
  </si>
  <si>
    <t>Tank Bigby</t>
  </si>
  <si>
    <t>San Francisco DEF</t>
  </si>
  <si>
    <t>De'Von Achane</t>
  </si>
  <si>
    <t>Dalton Kincaid</t>
  </si>
  <si>
    <t>Anthony Richardson</t>
  </si>
  <si>
    <t>Adam Theilen</t>
  </si>
  <si>
    <t>Marvin Mims</t>
  </si>
  <si>
    <t>HOUT</t>
  </si>
  <si>
    <t>Jonathan Mingo</t>
  </si>
  <si>
    <t>Romeo Doubs</t>
  </si>
  <si>
    <t>DeShaun Watson</t>
  </si>
  <si>
    <t>Justin Ross</t>
  </si>
  <si>
    <t>Zamir White</t>
  </si>
  <si>
    <t>Jaden Reed</t>
  </si>
  <si>
    <t>Chigoziem Okonkwo</t>
  </si>
  <si>
    <t>Tyjae Spears</t>
  </si>
  <si>
    <t>Roschon Johnson</t>
  </si>
  <si>
    <t>Ty Chandler</t>
  </si>
  <si>
    <t>Puka Nacua</t>
  </si>
  <si>
    <t>New Orleans DEF</t>
  </si>
  <si>
    <t>Dallas DEF</t>
  </si>
  <si>
    <t>Philadelphia Eagles DEF</t>
  </si>
  <si>
    <t>Deuce Vaughn</t>
  </si>
  <si>
    <t>Tank Dell</t>
  </si>
  <si>
    <t>NYJ Jets DEF</t>
  </si>
  <si>
    <t>Rajee Rice</t>
  </si>
  <si>
    <t>Joshua Kelly</t>
  </si>
  <si>
    <t>Sam Howell</t>
  </si>
  <si>
    <t>Keaton Mitchell</t>
  </si>
  <si>
    <t>2024 Round to Keep</t>
  </si>
  <si>
    <t>2025 Status</t>
  </si>
  <si>
    <t>CJ Stroud</t>
  </si>
  <si>
    <t>Demarcus Robinson</t>
  </si>
  <si>
    <t>Falcons</t>
  </si>
  <si>
    <t>DeMario Douglas</t>
  </si>
  <si>
    <t>Justin Watson</t>
  </si>
  <si>
    <t>Raiders</t>
  </si>
  <si>
    <t>Rico Dowdle</t>
  </si>
  <si>
    <t>Jerome Ford</t>
  </si>
  <si>
    <t>Cade Otton</t>
  </si>
  <si>
    <t>Joshua Dobbs</t>
  </si>
  <si>
    <t>Isaiah Likely</t>
  </si>
  <si>
    <t>Tommy DeVito</t>
  </si>
  <si>
    <t>Rashee Rice</t>
  </si>
  <si>
    <t>Pat Freiermuth</t>
  </si>
  <si>
    <t>Rashid Shaheed</t>
  </si>
  <si>
    <t>Texans</t>
  </si>
  <si>
    <t>Chase Brown</t>
  </si>
  <si>
    <t>Pat FreiErmuth</t>
  </si>
  <si>
    <t>Jordan Love</t>
  </si>
  <si>
    <t>Isiah Pacheco</t>
  </si>
  <si>
    <t>Noah Brown</t>
  </si>
  <si>
    <t>Parker Washington</t>
  </si>
  <si>
    <t>Brian Robinson Jr.</t>
  </si>
  <si>
    <t>IsiAh Pacheco</t>
  </si>
  <si>
    <t>Sam LaPorta</t>
  </si>
  <si>
    <t>Jayden Reed</t>
  </si>
  <si>
    <t>Chiefs</t>
  </si>
  <si>
    <t>Dameon Pierce</t>
  </si>
  <si>
    <t>Joshua Palmer</t>
  </si>
  <si>
    <t>DiontAe Johnson</t>
  </si>
  <si>
    <t>Trey McBride</t>
  </si>
  <si>
    <t>Jets</t>
  </si>
  <si>
    <t>Jake Ferguson</t>
  </si>
  <si>
    <t>Brock Purdy</t>
  </si>
  <si>
    <t>Michael Wilson</t>
  </si>
  <si>
    <t>NJY</t>
  </si>
  <si>
    <t>Michael Pittman JR</t>
  </si>
  <si>
    <t>FLEX</t>
  </si>
  <si>
    <t>BENCH</t>
  </si>
  <si>
    <t>Comments</t>
  </si>
  <si>
    <t>[General surprise]</t>
  </si>
  <si>
    <t>"I'll take McCaffree" Colin, right after Josh took jim</t>
  </si>
  <si>
    <t>"I got Saquon" Joe, during Witte's turn</t>
  </si>
  <si>
    <t>"That's a good pick, Scott" Colin</t>
  </si>
  <si>
    <t>"Another good one" Colin; "I don't feel good about this" GG</t>
  </si>
  <si>
    <t>[Joe goes to get beer] "Oh yeah, you don't have a pick next round" Elbe to Joe; Joe, "Yeah, Zach fleeced me"</t>
  </si>
  <si>
    <t>[Joe trips coming back with beer]; "Those are reaches brotha" Colin to Stefan; "They aren't reaches because they won't be there when I pick next" Stefan</t>
  </si>
  <si>
    <t>"Early" Stefan "One of the best available out there" Kyle "Whateva brotha" Colin, again using "brotha" within 3 minutes</t>
  </si>
  <si>
    <t>"AJ Brown, really?" Stefan to Witte; [Witte tries to facetime in]</t>
  </si>
  <si>
    <t>"That doesn't look like Canada it looks like Hawaii" Elbe to Witte; "Ask him about Katie F.'s head" Kyle</t>
  </si>
  <si>
    <t>"Witte, nice keeper in the 2nd round" Stefan; "Are you keeping him next year?" GG; "Witte, are you shitting?" collective</t>
  </si>
  <si>
    <t>"In a keeper league, this is when the league is won" Colin; [talk of soft tissue injuries]; "My guy has a lot of children he has to feed, so he isn't getting hurt" Colin; "This is a tough one, boys" Elbe; "Where is Amari Rodgers playing?" Colin to Joe</t>
  </si>
  <si>
    <t>Malik Nabers</t>
  </si>
  <si>
    <t>"Danny Dimes throwing over his head 10 yds every time" Elbe "I saw him throw over his head a lot" Elbe under his breath; "Scared money aint make no money" Kyle</t>
  </si>
  <si>
    <t>"This is a tough spot for you" Kyle to Colin; [Joe sings 'Will You Be My Hero Baby']; [Colin has angst over pick]; "Ok change of scenary I'm going Josh Jacobs" "That's high up there. Second Round?" Stefan to Colin</t>
  </si>
  <si>
    <t>[WHOA - collective] "He could have got him on the way back" Kyle "This has to be a tight end" Kyle</t>
  </si>
  <si>
    <t>"That's a really good pick" kyle "That's a reach!" Colin "When you have that many picks in a row you can reach" Stefan "His receviers look pretty good" Elbe …. "He don't have any other running backs" Elbe in discussion re: Dolphins rbs</t>
  </si>
  <si>
    <t>"I'm taking…hmmmm…" [trails off] Colin; "Have fun with that. The most inefficient RB last year." Stefan</t>
  </si>
  <si>
    <t>"How's his vagina doing? That boy always pulling his vagina" Joe</t>
  </si>
  <si>
    <t>PHi</t>
  </si>
  <si>
    <t>"Alright, give him to me, Jalen Hurts" Elbe; "Get off the shitter, Witte" Elbe</t>
  </si>
  <si>
    <t>"They're all dog shit. I need a RB." Colin; "You don’t need to, it’s a PPR league." Stefan</t>
  </si>
  <si>
    <t>"Hey elbe, good pick." Stefan "He's especially good in PPR leagues" Stefan to Elbe; "Come on guys that was a couple years ago, now" Elbe; "I double TE'ed it" Joe; "That might be the worst pick of the draft" Stefan "Kincaid is an 11th round keeper, yall can suck my nuts" Joe; [discussion of Joe's nuts ensue]</t>
  </si>
  <si>
    <t>"Make sure you go get Joe Mixon you were just shitting on" Colin; "I don’t want him" Stefan "He won you a title last year, show some respect" Kyle to Stefan</t>
  </si>
  <si>
    <t>Kenneth Walker III</t>
  </si>
  <si>
    <t>"Great pick, Scott" Colin "Scott's building a squad" Colin "That makes me nervous" Scott</t>
  </si>
  <si>
    <t>"James Cookie monster" Joe</t>
  </si>
  <si>
    <t>[Greg and Stefan wispering]; [Colin talking about having 4 balls] "Let's see 'em" Joe to Colin</t>
  </si>
  <si>
    <t>"Dashaun can't throw the ball anymore" Elbe "Shut up man he's fine" Colin</t>
  </si>
  <si>
    <t>"He would yell 'fuck me' every time right before he'd snap it because he knew he was going to get plowed" Joe</t>
  </si>
  <si>
    <t>"He's going to find a way to fuck this up" Elbe [collective disgust other than Merts]</t>
  </si>
  <si>
    <t>[BREAK]; [Stefan talking shit to Scott about Tank Dell keeper comparing to Allen Robinson]</t>
  </si>
  <si>
    <t>"That little midget can't see" Elbe "Over Anthony Richardson?" Colin…"He could be the league winner, honestly" Colin</t>
  </si>
  <si>
    <t>"Man I almost puked after that last one" Colin referring to fire ball. No response from group. "Here comes another dumb ass pick from Zach, let's see who it is. Zamir White. Watch. Tee Higgins. Final Answer" Colin; "Jordan love off the board" Joe; "Rhamondre Stevenson would be wild" [Takes Aaron Jones] "That was the best pick he could have mad" Colin "He's going to trade all of these guys to us next year for more picks" Kyle "They're all toss ups. If I were him I wouldn't be happy with this draft....I'd take his draft" Colin</t>
  </si>
  <si>
    <t>[Discussing Elbe as Offensive Coordinator]; "The whiter the guy the bigger the penis" Colin; [Collective disagreement]</t>
  </si>
  <si>
    <t>"You guys want to eat some mushrooms? I brought 50 pills" Colin</t>
  </si>
  <si>
    <t>[</t>
  </si>
  <si>
    <t>[Stefan takes forever]; "That's a good pick" Kyle "Side Bet: Rhomndre ends the season with more fantasy points than Javonte Williams" Colin to Stefan; Accepted $25; Colin says I would take Javonte stoo</t>
  </si>
  <si>
    <t>[Complaints about draft board] "Then you host the draft party, bro!" Stefan; "Then you make the pizza rolls, bro" Greg, mocking Stef</t>
  </si>
  <si>
    <t>[coughing] "Was that cookies?" Stefan "JUNGLE COOKIES" Joe</t>
  </si>
  <si>
    <t>"Is Kenny Titty fuckin walkers still out there?" Joe; "That's a pretty solid pick, Joe" Stefan "You;ve come a long way" Stefan to Joe</t>
  </si>
  <si>
    <t>"Fuck I don't get to pick this round. I even said 20 minutes ago to remind myself. The keepers are good, but they always end up pissing me off" Kyle; "This is George Pickens" Stefan about Wittes pick; "He's going to take Swift" Kyle about Wittes pick</t>
  </si>
  <si>
    <t>"Zach just asked me if we have kickers" Stefan to group; "I shot a 34 at forest park on 90</t>
  </si>
  <si>
    <t xml:space="preserve">[Colin wants everyone to retire at 50]; "Elbe, its been a while you should know" Colin; Elbe: "That's probably right, but I'm not" Joe; </t>
  </si>
  <si>
    <t>"Stefan, are you doing the 1/2 marathon?" Kyle "I'll be there" Stefan "You'll probably beat me. But you'd be pretty embarassed if I beat you." "I took Rhamondre. Someone told me that was a good pick" Colin; no one said that here</t>
  </si>
  <si>
    <t>"Aw Greg your boy is sitting right there…Godwin" Kyle; [Colin pestering Greg] ; "I like that pick" Stefan "Fucking weird that weed chilled my shit" Colin</t>
  </si>
  <si>
    <t>[Stefan thinks Scott's turn is up because his draft board sucks]; "See noone understands this" Kyle "Its really not that hard" Stefan, as he keeps entering in picks in the wrong spots; [pace has slowed] "Witte took 15 minutes for an Evan Engram pick" Joe "Keenan Allen is fat now" Kyle "He weighs like 240 pounds right now" Stefan "Jordan Love is going to tear up this year. You need a QB" Stefan</t>
  </si>
  <si>
    <t>"Do you like that pick Stefan" Colin "No that may be the worst pick of the draft" Stefan "Is Diontae Johnson still available?" Stefan</t>
  </si>
  <si>
    <t>[Talk about JSN being good] "I GOT TYREEK HILL ON MY SQUAD" Colin confident; "I hate my team. They are all old." Colin [Colin lists out old players on his team in disgust]</t>
  </si>
  <si>
    <t/>
  </si>
  <si>
    <t>"I just took Keenan Allen" Colin; "I've got an old team" Colin "Experienced" (optistically) Kyle</t>
  </si>
  <si>
    <t>Xavier Worthy</t>
  </si>
  <si>
    <t xml:space="preserve">"Was that Zach?" Kyle "Witte loves the Chiefs" Stefan; </t>
  </si>
  <si>
    <t xml:space="preserve">"JAYDEN REED IS GOING TO BE REALLY GOOD" COLIN; "I think my old crew may blow you into oblivion" Colin; "Is it always Colin's turn? Or does your marco on this shit just suck?" Kyle "We can't all take two Tes though" Elbe to Joe; </t>
  </si>
  <si>
    <t>"When they reclassify him…[I'm going to be great]" Joe about Tes; "Scotty my scouting report says their Oline is hot trash" Joe</t>
  </si>
  <si>
    <t>[Colin takes snap chat and drops his phone] ; "Where was he taken last year?" Greg "I kept him" Stefan</t>
  </si>
  <si>
    <t>"Josh took slim shady" Elbe, in reference to Burrow</t>
  </si>
  <si>
    <t xml:space="preserve">"Give me Devin fucking Singletary…" Joe "You like that?" Elbe "No" Joe </t>
  </si>
  <si>
    <t>Rome Odunze</t>
  </si>
  <si>
    <t>TeN</t>
  </si>
  <si>
    <t>Jonathon Brooks</t>
  </si>
  <si>
    <t>"That boy got a broke dick or something" Joe</t>
  </si>
  <si>
    <t>[Pee break for everyone at Stefans]</t>
  </si>
  <si>
    <t>Brock Bowers</t>
  </si>
  <si>
    <t>Ladd McConkey</t>
  </si>
  <si>
    <t>"If you're in new orleans, get a BJ from an old lady" Elbe [talk ensues of Joe skull fjucking a 55+ year old in an alley]; [In reference to chubb pick, "That's what he should be doing" Kyle</t>
  </si>
  <si>
    <t>"Who did Josh take" Colin "Brian Robinson" group "Who did Josh take?" Colin "Brian Robison" again</t>
  </si>
  <si>
    <t>"So Stefan this is the most prepared you've ever been and you're prepare for Najee Harris?" Kyle</t>
  </si>
  <si>
    <t>"I wasn't happy with where I was drafting. But when you win the ship you don't get to pick where you draft" Stefan</t>
  </si>
  <si>
    <t>"Oh fuck I traded my tenth" Kyle</t>
  </si>
  <si>
    <t>Keon Coleman</t>
  </si>
  <si>
    <t>Dontayvion Wicks</t>
  </si>
  <si>
    <t>Blake Corum</t>
  </si>
  <si>
    <t>[Witte taking heat for being in Canada] "I'm so fucked up" Colin; "He just called that boy a pedaphile" Joe about Drake</t>
  </si>
  <si>
    <t>"Terrible pick. Denver boy" Kyle</t>
  </si>
  <si>
    <t>"Oh hell yeah, let's go" Kyle, realizing its his pick</t>
  </si>
  <si>
    <t>"Dallas Goedert….no wait shut up, that'd be my third TE" Joe</t>
  </si>
  <si>
    <t>Hollywood Brown</t>
  </si>
  <si>
    <t>"You picked two injured mother fuckers" Joe "You took the broke dick boys" Kyle</t>
  </si>
  <si>
    <t>Trey Benson</t>
  </si>
  <si>
    <t>"God damnnit" Elbe</t>
  </si>
  <si>
    <t>"These are the most important picks of the draft" Greg "Ekeler could go here" Colin "Ekeler went third oveall last year" Greg; "Worst pick of the draft" Colin; "Not a bad pick Elbe. You have a PPR QB and some good WRs" Stefan</t>
  </si>
  <si>
    <t>"I think I got a good value. [X] and Marquise Brown." Colin "Sure" Stefan</t>
  </si>
  <si>
    <t>MarShawn Lloyd</t>
  </si>
  <si>
    <t>Jayden Daniels</t>
  </si>
  <si>
    <t>"Why are you people taking backup QBs now?" Kyle, pissed because he hasn’t taken a QB</t>
  </si>
  <si>
    <t>"This draft board is really hard to follow. Can you put a counter on how many times I've said that?" Kyle, after people still confused about whose pick it is and Stefan's shitting draft board. "Kyle, who's your QB and TE" Greg. "TBD" Kyle</t>
  </si>
  <si>
    <t>Adonai Mitchell</t>
  </si>
  <si>
    <t>"Its [some hebrew pronounciation]" Colin about Adonai; "Its WR3 on an Indeeana team" Joe</t>
  </si>
  <si>
    <t>"Broke dick and dusty bones" Joe about Colin's team; "Scott's team is terrible" Witte to Kyle</t>
  </si>
  <si>
    <t>"Is Tyjae Spears still there" Colin [SHOT]</t>
  </si>
  <si>
    <t>Ja'Lynn Polk</t>
  </si>
  <si>
    <t>"Is he even in the top 300?" Stefan "Darnell Mooney really is the worst pick of the draft." Kyle "I'm not even going to mark that off"</t>
  </si>
  <si>
    <t>Ezekiel Elliot</t>
  </si>
  <si>
    <t>Are you googling 'is chubba hubbard hurt'" Kyle to Elbe? (Elbe laughs because its true); "I'm going with Fatty Zeke himself" Elbe "The dusiest of the dust" Stefan</t>
  </si>
  <si>
    <t>Jaleel McLaughlin</t>
  </si>
  <si>
    <t>"Do I do what I normally do?" Colin to nobody; "Is that a good pick" Colin, looking for validation</t>
  </si>
  <si>
    <t>"Desmond Riddler" Stefan</t>
  </si>
  <si>
    <t>Bucky Irving</t>
  </si>
  <si>
    <t>"That was a shitty pick" Colin "Alright Stefan, what you got, brotha" Colin, using Brotha for the third or fourth time</t>
  </si>
  <si>
    <t xml:space="preserve">"Has anyone taken Antonio Gibson?" Stefan everyone: "You figure it out" ; </t>
  </si>
  <si>
    <t>"Kyle, you still don't have a QB or a TE?" Stefan "Same as 5 rounds ago, yeah" Kyle; "Next thing you know Joe is trading Dalton Kincaid tomorrow" Elbe ; "Riding that broke dick train" Joe to Colin</t>
  </si>
  <si>
    <t xml:space="preserve">You bitch" Joe "Jordan Love in the 13th round is amazing value" Kyle "He plays QB and TE" Greg "Taysum Hill?" Stefan "That is a good idea now that you mention it" Kyle "That might have  been the best pick of the draft" Kyle…."Austin Ekeler is jaming his tiny dick down everyones holes" Joe </t>
  </si>
  <si>
    <t>"How about Jordan Walker today" Kyle "He just needs to go down and learn to lift the ball!" Stefan</t>
  </si>
  <si>
    <t>[Talk about white receivers]</t>
  </si>
  <si>
    <t>NYJ Defenese</t>
  </si>
  <si>
    <t>Jordan Mason</t>
  </si>
  <si>
    <t>Xavier Legette</t>
  </si>
  <si>
    <t xml:space="preserve">[Stefan can't find Legette; Colin asks Greg if he should take a shot] </t>
  </si>
  <si>
    <t>Jaylen Wright</t>
  </si>
  <si>
    <t>Ray Davis</t>
  </si>
  <si>
    <t>[TE Talk] "Youre TE is going to be Dalton Schlutz" Stefan "Sick Offense" kyle</t>
  </si>
  <si>
    <t>"gimmmmeeee…..Rasheeeeed Sha..fuckin…heed" Joe; "These guys are getting dropped" Greg</t>
  </si>
  <si>
    <t>"We're too drunk to be making good decisions" Joe; "You really can't be ridiculed for these picls now" Kyle</t>
  </si>
  <si>
    <t>"Do we get to make fun of that?" Elbe "Tyler Algeirer from Belleville West?" Greg "Didn't he get stabbed at Fishers on NYE?"  Kyle "Is he from Belleville?" Colin</t>
  </si>
  <si>
    <t>Cleveland Browns DEF</t>
  </si>
  <si>
    <t>"I don't care who you are that's good value" Kyle</t>
  </si>
  <si>
    <t>Curtis Smauel</t>
  </si>
  <si>
    <t>"Fuck dude I don’t know" Colin "Just pick somebody" Kyle "Youre going to drop this guy tomorrow" Stefan; [Joe thinks he's screwed because Allen only throws to white guys]</t>
  </si>
  <si>
    <t>"Oh fuck I'll take a try on this" Elbe</t>
  </si>
  <si>
    <t>Caleb Williams</t>
  </si>
  <si>
    <t>"Zesty boy…Caleb Williams" Kyle "Love and Williams…you have two of the fruitiest QBs in the league" Joe "Did you ever watch tom brady?" KYle</t>
  </si>
  <si>
    <t>"I'll take Dak" Greg "Merts doesn't have #1 QB room in the league now" Elbe</t>
  </si>
  <si>
    <t>"Is Antonio Gibson still available?" Colin [Stefan gets up to get the UV Blue but he was available]</t>
  </si>
  <si>
    <t>"You're really going to blow this draft if you don't take Purdy or Taysum Hill" Stefan to Kyle</t>
  </si>
  <si>
    <t>Adam Thielein</t>
  </si>
  <si>
    <t>"Although Bryce Love can't throw it more than 10 yards" Elbe</t>
  </si>
  <si>
    <t>"I got two broke dicks…that's my team name" Colin</t>
  </si>
  <si>
    <t xml:space="preserve">"We had a deal, Kyle!"Joe </t>
  </si>
  <si>
    <t xml:space="preserve">"AWWWW He started it" Elbe in reference to the defenses; </t>
  </si>
  <si>
    <t>"This is the most important pick of the draft" Greg……"Alright Greg lets go" [clap;clap] Kyle "Alrigjt….we're going…uh I don't know…" Greg</t>
  </si>
  <si>
    <t>Braelon Allen</t>
  </si>
  <si>
    <t>"After that decision, I feel great." Greg</t>
  </si>
  <si>
    <t xml:space="preserve">"I think I may end up keeping Jordan Love and Caleb Williams next year" Kyle; [Stefan throwing out fireballs, everyone catches except Colin. Misses again (questionable throw)]; "I was fucking spinning. I couldn’t make a deciison with that Zyn" Greg "That was the longest you took all draft" Elbe; </t>
  </si>
  <si>
    <t>"Cowboys DEF. Two defenses! I'm going to drop them after week 1 or trade them to one of yo asses" Greg</t>
  </si>
  <si>
    <t>"Give me league winning QB big dick Matthew Stafford" Joe "Isn't he hurt?" Stefan "Oh fuck, is he?" Joe</t>
  </si>
  <si>
    <t>Demario Douglas</t>
  </si>
  <si>
    <t>Cincinnati Bengals DEF</t>
  </si>
  <si>
    <t>"Do you have a backup QB? One signal caller or two?" Kyle to Colin</t>
  </si>
  <si>
    <t>Kansas City Chiefs DEF</t>
  </si>
  <si>
    <t>"Which one do you want first?" Stefan "Greg, you have two defenses right now" Stefan</t>
  </si>
  <si>
    <t>Draft ends at 10:27 pm</t>
  </si>
  <si>
    <t>2026 Status</t>
  </si>
  <si>
    <t>2025 Round to Keep</t>
  </si>
  <si>
    <t>Cedric Tillman</t>
  </si>
  <si>
    <t>Tyrone Tracy Jr.</t>
  </si>
  <si>
    <t>Brian Thomas Jr.</t>
  </si>
  <si>
    <t>Jordan Whittington</t>
  </si>
  <si>
    <t>Josh Downs</t>
  </si>
  <si>
    <t>Marvin Harrison Jr.</t>
  </si>
  <si>
    <t>Audric Estime</t>
  </si>
  <si>
    <t>Kendre Miller</t>
  </si>
  <si>
    <t>Tank Bigsby</t>
  </si>
  <si>
    <t>Ricky Pearsall</t>
  </si>
  <si>
    <t>Mike Desicki</t>
  </si>
  <si>
    <t>Khalil Shakir</t>
  </si>
  <si>
    <t>Kareen Hunt</t>
  </si>
  <si>
    <t>Bo Nix</t>
  </si>
  <si>
    <t>Jauan Jennings</t>
  </si>
  <si>
    <t>Sam Darnold</t>
  </si>
  <si>
    <t>Broncos</t>
  </si>
  <si>
    <t>Sincere McCormick</t>
  </si>
  <si>
    <t>Tre Tucker</t>
  </si>
  <si>
    <t>Tucker Kraft</t>
  </si>
  <si>
    <t>Isaac Guerendo</t>
  </si>
  <si>
    <t>Jalen McMillan</t>
  </si>
  <si>
    <t>TRADE</t>
  </si>
  <si>
    <t>Isaiah Pacheco</t>
  </si>
  <si>
    <t>Brian robinson Jr.</t>
  </si>
  <si>
    <t>Bijan RobiNson</t>
  </si>
  <si>
    <t>Deebo Samuel Sr.</t>
  </si>
  <si>
    <t>DeEbo Samuel Sr.</t>
  </si>
  <si>
    <t>Tyler AlLgeier</t>
  </si>
  <si>
    <t>Kept Last year</t>
  </si>
  <si>
    <t>x</t>
  </si>
  <si>
    <t>x-Greg</t>
  </si>
  <si>
    <t>x-Stefan</t>
  </si>
  <si>
    <t>x-Witte</t>
  </si>
  <si>
    <t>Total</t>
  </si>
  <si>
    <t>Ashton Jeanty</t>
  </si>
  <si>
    <t>Omarion Hampton</t>
  </si>
  <si>
    <t>TreVeyon Henderson</t>
  </si>
  <si>
    <t>Marvin Harrison JR</t>
  </si>
  <si>
    <t>Tetairoa McMillan</t>
  </si>
  <si>
    <t>RJ Harvey</t>
  </si>
  <si>
    <t>Emeka Egbuka</t>
  </si>
  <si>
    <t>Tyrone Tracy Jr</t>
  </si>
  <si>
    <t>Travis Hunter</t>
  </si>
  <si>
    <t>Matthew Golden</t>
  </si>
  <si>
    <t>Jayden Higgins</t>
  </si>
  <si>
    <t>Tyler Warren</t>
  </si>
  <si>
    <t>Travis Etienne Jr</t>
  </si>
  <si>
    <t>Luther Burden</t>
  </si>
  <si>
    <t>Jacory Croskey-Merritt</t>
  </si>
  <si>
    <t>Kaleb Johnson</t>
  </si>
  <si>
    <t>Marvin Mims Jr</t>
  </si>
  <si>
    <t>DENVER BRONCOS</t>
  </si>
  <si>
    <t>Cam Skattebo</t>
  </si>
  <si>
    <t>Jaydon Blue</t>
  </si>
  <si>
    <t>Colston Loveland</t>
  </si>
  <si>
    <t>Patrick Mahomes II</t>
  </si>
  <si>
    <t>Quinshon Judkins</t>
  </si>
  <si>
    <t>Kyle Williams</t>
  </si>
  <si>
    <t>Bhayshul Tuten</t>
  </si>
  <si>
    <t>Woody Marks</t>
  </si>
  <si>
    <t>Drake Maye</t>
  </si>
  <si>
    <t>Brian Robinson Jr</t>
  </si>
  <si>
    <t>PIT STEELERS</t>
  </si>
  <si>
    <t>Ollie Gordon</t>
  </si>
  <si>
    <t>Tre' Harris</t>
  </si>
  <si>
    <t>Pat Bryant</t>
  </si>
  <si>
    <t>JJ McCarthy</t>
  </si>
  <si>
    <t>BALTIMORE RAVENS</t>
  </si>
  <si>
    <t>Jack Bech</t>
  </si>
  <si>
    <t>Will Shipley</t>
  </si>
  <si>
    <t>BUFFALO BILLS</t>
  </si>
  <si>
    <t>Tory Horton</t>
  </si>
  <si>
    <t>PHI EAGLES</t>
  </si>
  <si>
    <t>Michael Penix Jr</t>
  </si>
  <si>
    <t>Tahj Brooks</t>
  </si>
  <si>
    <t>Arizona Cardinals</t>
  </si>
  <si>
    <t>Wan'Dale Robinson</t>
  </si>
  <si>
    <t>Patrios</t>
  </si>
  <si>
    <t>Calvin Austin</t>
  </si>
  <si>
    <t>Brenton Strange</t>
  </si>
  <si>
    <t>Marvin Harrison Jr</t>
  </si>
  <si>
    <t>Jacoby Brissett</t>
  </si>
  <si>
    <t>Kyle Monangai</t>
  </si>
  <si>
    <t>Harold Fannin</t>
  </si>
  <si>
    <t>Q</t>
  </si>
  <si>
    <t>Seahawks</t>
  </si>
  <si>
    <t>Terry Mclaurin</t>
  </si>
  <si>
    <t>Taysom Hill</t>
  </si>
  <si>
    <t>Dylan Sampson</t>
  </si>
  <si>
    <t>Chimere Dike</t>
  </si>
  <si>
    <t>Jaxson Dart</t>
  </si>
  <si>
    <t>Chris Rodriguez Jr</t>
  </si>
  <si>
    <t>Colby Parkinson</t>
  </si>
  <si>
    <t>Alec Pierce</t>
  </si>
  <si>
    <t>Rashid Shaeed</t>
  </si>
  <si>
    <t>John Metchie</t>
  </si>
  <si>
    <t>Paker Washington</t>
  </si>
  <si>
    <t>2026 Round to Keep</t>
  </si>
  <si>
    <t>Oronde Gadsen</t>
  </si>
  <si>
    <t>Kayshon Boutte</t>
  </si>
  <si>
    <t>Theo Johnson</t>
  </si>
  <si>
    <t>Jacory-Croskey Merritt</t>
  </si>
  <si>
    <t>Sean Tucker</t>
  </si>
  <si>
    <t>Jake Tonges</t>
  </si>
  <si>
    <t>2027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</si>
</sst>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8"/>
      <name val="Calibri"/>
      <family val="2"/>
      <scheme val="minor"/>
    </font>
    <font>
      <sz val="10"/>
      <color rgb="FF000000"/>
      <name val="Arial Unicode MS"/>
    </font>
  </fonts>
  <fills count="6">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92D050"/>
        <bgColor indexed="64"/>
      </patternFill>
    </fill>
    <fill>
      <patternFill patternType="solid">
        <fgColor theme="0"/>
        <bgColor indexed="64"/>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diagonal/>
    </border>
    <border>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10">
    <xf numFmtId="0" fontId="0" fillId="0" borderId="0" xfId="0"/>
    <xf numFmtId="1" fontId="0" fillId="0" borderId="0" xfId="0" applyNumberFormat="1" applyAlignment="1">
      <alignment horizontal="center"/>
    </xf>
    <xf numFmtId="0" fontId="0" fillId="0" borderId="0" xfId="0" applyAlignment="1">
      <alignment horizontal="center"/>
    </xf>
    <xf numFmtId="1" fontId="2" fillId="0" borderId="1" xfId="0" applyNumberFormat="1" applyFont="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vertical="center"/>
    </xf>
    <xf numFmtId="0" fontId="1" fillId="0" borderId="0" xfId="0" applyFont="1" applyAlignment="1">
      <alignment horizontal="center"/>
    </xf>
    <xf numFmtId="1" fontId="2" fillId="0" borderId="3" xfId="0" applyNumberFormat="1" applyFont="1" applyBorder="1" applyAlignment="1">
      <alignment horizontal="center" wrapText="1"/>
    </xf>
    <xf numFmtId="0" fontId="2" fillId="0" borderId="3" xfId="0" applyFont="1" applyBorder="1" applyAlignment="1">
      <alignment horizontal="center" wrapText="1"/>
    </xf>
    <xf numFmtId="1" fontId="1" fillId="0" borderId="2" xfId="0" applyNumberFormat="1" applyFont="1" applyBorder="1" applyAlignment="1">
      <alignment horizontal="center"/>
    </xf>
    <xf numFmtId="0" fontId="1" fillId="0" borderId="2" xfId="0" applyFont="1" applyBorder="1" applyAlignment="1">
      <alignment horizontal="center"/>
    </xf>
    <xf numFmtId="0" fontId="0" fillId="2" borderId="0" xfId="0" applyFill="1"/>
    <xf numFmtId="0" fontId="0" fillId="2" borderId="0" xfId="0" applyFill="1" applyAlignment="1">
      <alignment horizontal="center"/>
    </xf>
    <xf numFmtId="1" fontId="2" fillId="3" borderId="1" xfId="0" applyNumberFormat="1" applyFont="1" applyFill="1" applyBorder="1" applyAlignment="1">
      <alignment horizontal="center" wrapText="1"/>
    </xf>
    <xf numFmtId="0" fontId="2" fillId="3" borderId="1"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3" borderId="6" xfId="0" applyFont="1" applyFill="1" applyBorder="1" applyAlignment="1">
      <alignment horizontal="center" wrapText="1"/>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1" fontId="1" fillId="0" borderId="0" xfId="0" applyNumberFormat="1"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xf>
    <xf numFmtId="0" fontId="1" fillId="0" borderId="8" xfId="0" applyFont="1" applyBorder="1" applyAlignment="1">
      <alignment horizontal="center"/>
    </xf>
    <xf numFmtId="0" fontId="2" fillId="0" borderId="0" xfId="0" applyFont="1" applyAlignment="1">
      <alignment horizontal="center" vertical="center" wrapText="1"/>
    </xf>
    <xf numFmtId="0" fontId="3" fillId="0" borderId="9" xfId="0" applyFont="1" applyBorder="1" applyAlignment="1">
      <alignment wrapText="1"/>
    </xf>
    <xf numFmtId="0" fontId="3" fillId="0" borderId="10"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0" fontId="2" fillId="2" borderId="1" xfId="0" applyFont="1" applyFill="1" applyBorder="1" applyAlignment="1">
      <alignment wrapText="1"/>
    </xf>
    <xf numFmtId="0" fontId="2" fillId="0" borderId="11" xfId="0" applyFont="1" applyBorder="1" applyAlignment="1">
      <alignment horizontal="right" wrapText="1"/>
    </xf>
    <xf numFmtId="0" fontId="2" fillId="2" borderId="11" xfId="0" applyFont="1" applyFill="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3" fillId="0" borderId="13" xfId="0" applyFont="1" applyBorder="1" applyAlignment="1">
      <alignment wrapText="1"/>
    </xf>
    <xf numFmtId="0" fontId="3" fillId="0" borderId="14" xfId="0" applyFont="1" applyBorder="1" applyAlignment="1">
      <alignment wrapText="1"/>
    </xf>
    <xf numFmtId="0" fontId="2" fillId="0" borderId="15" xfId="0" applyFont="1" applyBorder="1" applyAlignment="1">
      <alignment wrapText="1"/>
    </xf>
    <xf numFmtId="0" fontId="2" fillId="0" borderId="3" xfId="0" applyFont="1" applyBorder="1" applyAlignment="1">
      <alignment wrapText="1"/>
    </xf>
    <xf numFmtId="0" fontId="2" fillId="0" borderId="0" xfId="0" applyFont="1" applyAlignment="1">
      <alignment horizontal="right" wrapText="1"/>
    </xf>
    <xf numFmtId="0" fontId="2" fillId="0" borderId="0" xfId="0" applyFont="1" applyAlignment="1">
      <alignment wrapText="1"/>
    </xf>
    <xf numFmtId="0" fontId="2" fillId="2" borderId="0" xfId="0" applyFont="1" applyFill="1" applyAlignment="1">
      <alignment wrapText="1"/>
    </xf>
    <xf numFmtId="0" fontId="2" fillId="0" borderId="2" xfId="0" applyFont="1" applyBorder="1" applyAlignment="1">
      <alignment horizontal="right" wrapText="1"/>
    </xf>
    <xf numFmtId="0" fontId="2" fillId="0" borderId="2" xfId="0" applyFont="1" applyBorder="1" applyAlignment="1">
      <alignment wrapText="1"/>
    </xf>
    <xf numFmtId="1" fontId="0" fillId="2" borderId="0" xfId="0" applyNumberFormat="1" applyFill="1" applyAlignment="1">
      <alignment horizontal="center"/>
    </xf>
    <xf numFmtId="0" fontId="2" fillId="0" borderId="1" xfId="0" applyFont="1" applyBorder="1" applyAlignment="1">
      <alignment horizontal="center"/>
    </xf>
    <xf numFmtId="0" fontId="1" fillId="2" borderId="2" xfId="0" applyFont="1" applyFill="1" applyBorder="1" applyAlignment="1">
      <alignment horizontal="center"/>
    </xf>
    <xf numFmtId="0" fontId="3" fillId="0" borderId="2" xfId="0" applyFont="1" applyBorder="1" applyAlignment="1">
      <alignment horizontal="center" wrapText="1"/>
    </xf>
    <xf numFmtId="1" fontId="2" fillId="4" borderId="3" xfId="0" applyNumberFormat="1" applyFont="1" applyFill="1" applyBorder="1" applyAlignment="1">
      <alignment horizontal="center" wrapText="1"/>
    </xf>
    <xf numFmtId="0" fontId="2" fillId="4" borderId="1" xfId="0" applyFont="1" applyFill="1" applyBorder="1" applyAlignment="1">
      <alignment horizontal="center" wrapText="1"/>
    </xf>
    <xf numFmtId="0" fontId="2" fillId="4" borderId="5" xfId="0" applyFont="1" applyFill="1" applyBorder="1" applyAlignment="1">
      <alignment horizontal="center" wrapText="1"/>
    </xf>
    <xf numFmtId="0" fontId="2" fillId="4" borderId="0" xfId="0" applyFont="1" applyFill="1" applyAlignment="1">
      <alignment horizontal="center" wrapText="1"/>
    </xf>
    <xf numFmtId="0" fontId="0" fillId="4" borderId="0" xfId="0" applyFill="1"/>
    <xf numFmtId="0" fontId="2" fillId="4" borderId="7"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4" borderId="0" xfId="0" applyFill="1" applyAlignment="1">
      <alignment horizontal="center"/>
    </xf>
    <xf numFmtId="1" fontId="0" fillId="4" borderId="0" xfId="0" applyNumberFormat="1" applyFill="1" applyAlignment="1">
      <alignment horizontal="center"/>
    </xf>
    <xf numFmtId="0" fontId="0" fillId="2" borderId="8" xfId="0" applyFill="1" applyBorder="1" applyAlignment="1">
      <alignment horizontal="center"/>
    </xf>
    <xf numFmtId="0" fontId="3" fillId="0" borderId="2" xfId="0" applyFont="1" applyBorder="1" applyAlignment="1">
      <alignment horizontal="left" wrapText="1"/>
    </xf>
    <xf numFmtId="0" fontId="0" fillId="0" borderId="8" xfId="0" applyBorder="1" applyAlignment="1">
      <alignment horizontal="center"/>
    </xf>
    <xf numFmtId="0" fontId="0" fillId="0" borderId="8" xfId="0" applyBorder="1" applyAlignment="1">
      <alignment horizontal="left"/>
    </xf>
    <xf numFmtId="0" fontId="0" fillId="2" borderId="0" xfId="0" applyFill="1" applyAlignment="1">
      <alignment horizontal="left"/>
    </xf>
    <xf numFmtId="0" fontId="0" fillId="2" borderId="8" xfId="0" applyFill="1" applyBorder="1" applyAlignment="1">
      <alignment horizontal="left"/>
    </xf>
    <xf numFmtId="0" fontId="0" fillId="0" borderId="0" xfId="0" applyAlignment="1">
      <alignment horizontal="left"/>
    </xf>
    <xf numFmtId="0" fontId="0" fillId="0" borderId="16" xfId="0" applyBorder="1" applyAlignment="1">
      <alignment horizontal="left"/>
    </xf>
    <xf numFmtId="0" fontId="5" fillId="0" borderId="0" xfId="0" applyFont="1" applyAlignment="1">
      <alignment vertical="center"/>
    </xf>
    <xf numFmtId="0" fontId="2" fillId="0" borderId="15" xfId="0" applyFont="1" applyBorder="1" applyAlignment="1">
      <alignment horizontal="center" wrapText="1"/>
    </xf>
    <xf numFmtId="0" fontId="2" fillId="0" borderId="17" xfId="0" applyFont="1" applyBorder="1" applyAlignment="1">
      <alignment horizontal="center" wrapText="1"/>
    </xf>
    <xf numFmtId="1" fontId="2" fillId="0" borderId="0" xfId="0" applyNumberFormat="1" applyFont="1" applyAlignment="1">
      <alignment horizontal="center" wrapText="1"/>
    </xf>
    <xf numFmtId="1" fontId="0" fillId="0" borderId="0" xfId="0" applyNumberFormat="1"/>
    <xf numFmtId="0" fontId="0" fillId="0" borderId="19" xfId="0"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vertical="center"/>
    </xf>
    <xf numFmtId="0" fontId="3" fillId="0" borderId="16" xfId="0" applyFont="1" applyBorder="1" applyAlignment="1">
      <alignment horizontal="center" vertical="center" wrapText="1"/>
    </xf>
    <xf numFmtId="0" fontId="3" fillId="0" borderId="19" xfId="0" applyFont="1" applyBorder="1" applyAlignment="1">
      <alignment horizontal="center" vertical="center" wrapText="1"/>
    </xf>
    <xf numFmtId="0" fontId="0" fillId="0" borderId="0" xfId="0" applyAlignment="1">
      <alignment horizontal="center" vertical="center"/>
    </xf>
    <xf numFmtId="0" fontId="5" fillId="0" borderId="20" xfId="0" applyFont="1" applyBorder="1" applyAlignment="1">
      <alignment horizontal="center" vertical="center"/>
    </xf>
    <xf numFmtId="1" fontId="2" fillId="2" borderId="3" xfId="0" applyNumberFormat="1" applyFont="1" applyFill="1" applyBorder="1" applyAlignment="1">
      <alignment horizontal="center" wrapText="1"/>
    </xf>
    <xf numFmtId="0" fontId="2" fillId="2" borderId="1" xfId="0" applyFont="1" applyFill="1" applyBorder="1" applyAlignment="1">
      <alignment horizontal="center" wrapText="1"/>
    </xf>
    <xf numFmtId="0" fontId="2" fillId="2" borderId="6" xfId="0" applyFont="1" applyFill="1" applyBorder="1" applyAlignment="1">
      <alignment horizontal="center" wrapText="1"/>
    </xf>
    <xf numFmtId="0" fontId="2" fillId="2" borderId="7"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xf>
    <xf numFmtId="0" fontId="2" fillId="2" borderId="3" xfId="0" applyFont="1" applyFill="1" applyBorder="1" applyAlignment="1">
      <alignment horizontal="center" wrapText="1"/>
    </xf>
    <xf numFmtId="0" fontId="2" fillId="2" borderId="5" xfId="0" applyFont="1" applyFill="1" applyBorder="1" applyAlignment="1">
      <alignment horizont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 xfId="0" applyBorder="1" applyAlignment="1">
      <alignment horizontal="center" vertical="center"/>
    </xf>
    <xf numFmtId="0" fontId="3" fillId="0" borderId="20" xfId="0" applyFont="1" applyBorder="1" applyAlignment="1">
      <alignment horizontal="left" vertical="center" wrapText="1"/>
    </xf>
    <xf numFmtId="0" fontId="0" fillId="0" borderId="20" xfId="0" applyBorder="1" applyAlignment="1">
      <alignment horizontal="left" vertical="center"/>
    </xf>
    <xf numFmtId="0" fontId="0" fillId="0" borderId="0" xfId="0" applyAlignment="1">
      <alignment horizontal="left" wrapText="1"/>
    </xf>
    <xf numFmtId="0" fontId="0" fillId="0" borderId="0" xfId="0" quotePrefix="1"/>
    <xf numFmtId="0" fontId="0" fillId="0" borderId="16" xfId="0" applyBorder="1" applyAlignment="1">
      <alignment horizontal="center"/>
    </xf>
    <xf numFmtId="0" fontId="0" fillId="0" borderId="0" xfId="0" quotePrefix="1" applyAlignment="1">
      <alignment horizontal="left"/>
    </xf>
    <xf numFmtId="0" fontId="0" fillId="0" borderId="0" xfId="0" quotePrefix="1" applyAlignment="1">
      <alignment horizontal="left" wrapText="1"/>
    </xf>
    <xf numFmtId="0" fontId="5" fillId="0" borderId="0" xfId="0" applyFont="1" applyAlignment="1">
      <alignment horizontal="center" vertical="center"/>
    </xf>
    <xf numFmtId="0" fontId="3" fillId="0" borderId="18" xfId="0" applyFont="1" applyBorder="1" applyAlignment="1">
      <alignment horizontal="center" vertical="center" wrapText="1"/>
    </xf>
    <xf numFmtId="0" fontId="1" fillId="5" borderId="0" xfId="0" applyFont="1" applyFill="1" applyAlignment="1">
      <alignment horizontal="center"/>
    </xf>
    <xf numFmtId="0" fontId="0" fillId="5" borderId="2" xfId="0" applyFill="1" applyBorder="1"/>
    <xf numFmtId="0" fontId="0" fillId="5" borderId="0" xfId="0" applyFill="1"/>
    <xf numFmtId="0" fontId="0" fillId="5" borderId="8" xfId="0" applyFill="1" applyBorder="1"/>
    <xf numFmtId="0" fontId="5" fillId="0" borderId="16" xfId="0" applyFont="1" applyBorder="1" applyAlignment="1">
      <alignment horizontal="center" vertical="center"/>
    </xf>
    <xf numFmtId="1" fontId="1" fillId="0" borderId="2" xfId="0" applyNumberFormat="1" applyFont="1" applyBorder="1" applyAlignment="1">
      <alignment horizontal="center"/>
    </xf>
    <xf numFmtId="0" fontId="1" fillId="0" borderId="0" xfId="0" applyFont="1" applyAlignment="1">
      <alignment horizontal="center"/>
    </xf>
    <xf numFmtId="0" fontId="1" fillId="0" borderId="2" xfId="0" applyFont="1" applyBorder="1" applyAlignment="1">
      <alignment horizontal="center"/>
    </xf>
    <xf numFmtId="0" fontId="2" fillId="0"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lmer.com\home\STLouisHome\SJohnston\Desktop\2024%20Fantasy%20Footb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B Sandmen"/>
      <sheetName val="BChen Overall"/>
      <sheetName val="BChen QB"/>
      <sheetName val="BChen TE"/>
    </sheetNames>
    <sheetDataSet>
      <sheetData sheetId="0"/>
      <sheetData sheetId="1">
        <row r="69">
          <cell r="C69" t="str">
            <v>Diontae Johnson</v>
          </cell>
        </row>
        <row r="85">
          <cell r="C85" t="str">
            <v>Jaxon Smith-Njigba</v>
          </cell>
        </row>
        <row r="132">
          <cell r="C132" t="str">
            <v>Khalil Shakir</v>
          </cell>
        </row>
      </sheetData>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9F9B7-1096-4AA6-A7C7-B65DAE59D9F3}">
  <sheetPr>
    <tabColor rgb="FF92D050"/>
    <pageSetUpPr fitToPage="1"/>
  </sheetPr>
  <dimension ref="A1:S5138"/>
  <sheetViews>
    <sheetView tabSelected="1" zoomScale="80" zoomScaleNormal="80" workbookViewId="0">
      <pane ySplit="2" topLeftCell="A3" activePane="bottomLeft" state="frozen"/>
      <selection pane="bottomLeft" activeCell="L8" sqref="L8"/>
    </sheetView>
  </sheetViews>
  <sheetFormatPr defaultRowHeight="15"/>
  <cols>
    <col min="1" max="1" width="9.140625" style="1"/>
    <col min="2" max="2" width="24.140625" style="2" customWidth="1"/>
    <col min="3" max="3" width="12.42578125" style="2" bestFit="1" customWidth="1"/>
    <col min="4" max="4" width="15.140625" style="2" bestFit="1" customWidth="1"/>
    <col min="5" max="5" width="6" customWidth="1"/>
    <col min="6" max="7" width="11.5703125" bestFit="1" customWidth="1"/>
    <col min="8" max="8" width="11.5703125" customWidth="1"/>
    <col min="9" max="9" width="6.85546875" customWidth="1"/>
    <col min="10" max="10" width="18.5703125" bestFit="1" customWidth="1"/>
    <col min="11" max="11" width="10.85546875" bestFit="1" customWidth="1"/>
    <col min="12" max="12" width="14.85546875" style="2" bestFit="1" customWidth="1"/>
    <col min="14" max="14" width="13.5703125" bestFit="1" customWidth="1"/>
    <col min="18" max="18" width="5.85546875" bestFit="1" customWidth="1"/>
    <col min="19" max="19" width="8.85546875" bestFit="1" customWidth="1"/>
  </cols>
  <sheetData>
    <row r="1" spans="1:19">
      <c r="A1" s="104" t="s">
        <v>404</v>
      </c>
      <c r="B1" s="104"/>
      <c r="C1" s="104"/>
      <c r="D1" s="104"/>
      <c r="F1" s="105"/>
      <c r="G1" s="105"/>
      <c r="H1" s="105"/>
      <c r="I1" s="6"/>
      <c r="J1" s="6"/>
    </row>
    <row r="2" spans="1:19" ht="15.75" thickBot="1">
      <c r="A2" s="9" t="s">
        <v>465</v>
      </c>
      <c r="B2" s="10" t="s">
        <v>375</v>
      </c>
      <c r="C2" s="10" t="s">
        <v>376</v>
      </c>
      <c r="D2" s="10" t="s">
        <v>378</v>
      </c>
      <c r="F2" s="10" t="s">
        <v>893</v>
      </c>
      <c r="G2" s="10" t="s">
        <v>1076</v>
      </c>
      <c r="H2" s="10" t="s">
        <v>1183</v>
      </c>
      <c r="I2" s="6"/>
      <c r="J2" s="10" t="s">
        <v>1176</v>
      </c>
      <c r="L2" s="2" t="s">
        <v>1107</v>
      </c>
    </row>
    <row r="3" spans="1:19" ht="15.75" thickBot="1">
      <c r="A3" s="7">
        <v>9</v>
      </c>
      <c r="B3" s="4" t="s">
        <v>96</v>
      </c>
      <c r="C3" s="8" t="s">
        <v>5</v>
      </c>
      <c r="D3" s="16" t="s">
        <v>469</v>
      </c>
      <c r="F3" s="15" t="s">
        <v>400</v>
      </c>
      <c r="G3" s="15" t="s">
        <v>401</v>
      </c>
      <c r="H3" s="15" t="s">
        <v>402</v>
      </c>
      <c r="I3" s="25"/>
      <c r="J3" s="1">
        <f>IF(A3="FA",9,A3-1)</f>
        <v>8</v>
      </c>
      <c r="S3" s="69"/>
    </row>
    <row r="4" spans="1:19" ht="15.75" thickBot="1">
      <c r="A4" s="7">
        <f>_xlfn.XLOOKUP(B4,'2025 Draft'!C:C,'2025 Draft'!A:A)</f>
        <v>11</v>
      </c>
      <c r="B4" s="4" t="s">
        <v>1032</v>
      </c>
      <c r="C4" s="4" t="s">
        <v>10</v>
      </c>
      <c r="D4" s="16" t="s">
        <v>469</v>
      </c>
      <c r="F4" s="15" t="s">
        <v>400</v>
      </c>
      <c r="G4" s="15" t="s">
        <v>401</v>
      </c>
      <c r="H4" s="15" t="s">
        <v>402</v>
      </c>
      <c r="I4" s="25"/>
      <c r="J4" s="1">
        <f t="shared" ref="J4:J18" si="0">IF(A4="FA",9,A4-1)</f>
        <v>10</v>
      </c>
      <c r="S4" s="69"/>
    </row>
    <row r="5" spans="1:19" ht="15.75" thickBot="1">
      <c r="A5" s="7">
        <f>_xlfn.XLOOKUP(B5,'2025 Draft'!C:C,'2025 Draft'!A:A)</f>
        <v>2</v>
      </c>
      <c r="B5" s="4" t="s">
        <v>1114</v>
      </c>
      <c r="C5" s="4" t="s">
        <v>10</v>
      </c>
      <c r="D5" s="16" t="s">
        <v>469</v>
      </c>
      <c r="F5" s="15" t="s">
        <v>400</v>
      </c>
      <c r="G5" s="15" t="s">
        <v>401</v>
      </c>
      <c r="H5" s="15" t="s">
        <v>402</v>
      </c>
      <c r="I5" s="25"/>
      <c r="J5" s="1">
        <f t="shared" si="0"/>
        <v>1</v>
      </c>
      <c r="K5" s="107" t="s">
        <v>1100</v>
      </c>
      <c r="S5" s="69"/>
    </row>
    <row r="6" spans="1:19" ht="15.75" thickBot="1">
      <c r="A6" s="7">
        <f>_xlfn.XLOOKUP(B6,'2025 Draft'!C:C,'2025 Draft'!A:A)</f>
        <v>1</v>
      </c>
      <c r="B6" s="4" t="s">
        <v>686</v>
      </c>
      <c r="C6" s="4" t="s">
        <v>2</v>
      </c>
      <c r="D6" s="16" t="s">
        <v>469</v>
      </c>
      <c r="F6" s="15" t="s">
        <v>400</v>
      </c>
      <c r="G6" s="15" t="s">
        <v>401</v>
      </c>
      <c r="H6" s="15" t="s">
        <v>402</v>
      </c>
      <c r="I6" s="25"/>
      <c r="J6" s="1">
        <f t="shared" si="0"/>
        <v>0</v>
      </c>
      <c r="S6" s="69"/>
    </row>
    <row r="7" spans="1:19" ht="15.75" thickBot="1">
      <c r="A7" s="7">
        <f>_xlfn.XLOOKUP(B7,'2025 Draft'!C:C,'2025 Draft'!A:A)</f>
        <v>7</v>
      </c>
      <c r="B7" s="4" t="s">
        <v>845</v>
      </c>
      <c r="C7" s="4" t="s">
        <v>2</v>
      </c>
      <c r="D7" s="16" t="s">
        <v>469</v>
      </c>
      <c r="F7" s="15" t="s">
        <v>400</v>
      </c>
      <c r="G7" s="15" t="s">
        <v>401</v>
      </c>
      <c r="H7" s="15" t="s">
        <v>402</v>
      </c>
      <c r="I7" s="25"/>
      <c r="J7" s="1">
        <f t="shared" si="0"/>
        <v>6</v>
      </c>
      <c r="S7" s="69"/>
    </row>
    <row r="8" spans="1:19" ht="15.75" thickBot="1">
      <c r="A8" s="7">
        <f>_xlfn.XLOOKUP(B8,'2025 Draft'!C:C,'2025 Draft'!A:A)</f>
        <v>9</v>
      </c>
      <c r="B8" s="4" t="s">
        <v>924</v>
      </c>
      <c r="C8" s="4" t="s">
        <v>27</v>
      </c>
      <c r="D8" s="16" t="s">
        <v>469</v>
      </c>
      <c r="F8" s="15" t="s">
        <v>401</v>
      </c>
      <c r="G8" s="15" t="s">
        <v>402</v>
      </c>
      <c r="H8" s="15" t="s">
        <v>387</v>
      </c>
      <c r="I8" s="25"/>
      <c r="J8" s="1">
        <f t="shared" si="0"/>
        <v>8</v>
      </c>
      <c r="S8" s="69"/>
    </row>
    <row r="9" spans="1:19" ht="15.75" thickBot="1">
      <c r="A9" s="7">
        <f>_xlfn.XLOOKUP(B9,'2025 Draft'!C:C,'2025 Draft'!A:A)</f>
        <v>10</v>
      </c>
      <c r="B9" s="4" t="s">
        <v>1092</v>
      </c>
      <c r="C9" s="8" t="s">
        <v>2</v>
      </c>
      <c r="D9" s="16" t="s">
        <v>469</v>
      </c>
      <c r="F9" s="15" t="s">
        <v>400</v>
      </c>
      <c r="G9" s="15" t="s">
        <v>401</v>
      </c>
      <c r="H9" s="15" t="s">
        <v>402</v>
      </c>
      <c r="I9" s="25"/>
      <c r="J9" s="1">
        <f t="shared" si="0"/>
        <v>9</v>
      </c>
      <c r="S9" s="69"/>
    </row>
    <row r="10" spans="1:19" ht="15.75" thickBot="1">
      <c r="A10" s="7">
        <v>9</v>
      </c>
      <c r="B10" s="4" t="s">
        <v>1120</v>
      </c>
      <c r="C10" s="4" t="s">
        <v>10</v>
      </c>
      <c r="D10" s="16" t="s">
        <v>469</v>
      </c>
      <c r="F10" s="15" t="s">
        <v>400</v>
      </c>
      <c r="G10" s="15" t="s">
        <v>401</v>
      </c>
      <c r="H10" s="15" t="s">
        <v>402</v>
      </c>
      <c r="I10" s="25"/>
      <c r="J10" s="1">
        <f t="shared" si="0"/>
        <v>8</v>
      </c>
      <c r="S10" s="69"/>
    </row>
    <row r="11" spans="1:19" ht="15.75" thickBot="1">
      <c r="A11" s="7">
        <v>9</v>
      </c>
      <c r="B11" s="4" t="s">
        <v>449</v>
      </c>
      <c r="C11" s="4" t="s">
        <v>534</v>
      </c>
      <c r="D11" s="16" t="s">
        <v>469</v>
      </c>
      <c r="F11" s="15" t="s">
        <v>400</v>
      </c>
      <c r="G11" s="15" t="s">
        <v>401</v>
      </c>
      <c r="H11" s="15" t="s">
        <v>402</v>
      </c>
      <c r="I11" s="25"/>
      <c r="J11" s="1">
        <f t="shared" si="0"/>
        <v>8</v>
      </c>
      <c r="S11" s="69"/>
    </row>
    <row r="12" spans="1:19" ht="15.75" thickBot="1">
      <c r="A12" s="7">
        <f>_xlfn.XLOOKUP(B12,'2025 Draft'!C:C,'2025 Draft'!A:A)</f>
        <v>2</v>
      </c>
      <c r="B12" s="4" t="s">
        <v>125</v>
      </c>
      <c r="C12" s="4" t="s">
        <v>2</v>
      </c>
      <c r="D12" s="16" t="s">
        <v>469</v>
      </c>
      <c r="F12" s="15" t="s">
        <v>400</v>
      </c>
      <c r="G12" s="15" t="s">
        <v>401</v>
      </c>
      <c r="H12" s="15" t="s">
        <v>402</v>
      </c>
      <c r="I12" s="25"/>
      <c r="J12" s="1">
        <f t="shared" si="0"/>
        <v>1</v>
      </c>
      <c r="S12" s="69"/>
    </row>
    <row r="13" spans="1:19" ht="15.75" thickBot="1">
      <c r="A13" s="7">
        <f>_xlfn.XLOOKUP(B13,'2025 Draft'!C:C,'2025 Draft'!A:A)</f>
        <v>4</v>
      </c>
      <c r="B13" s="4" t="s">
        <v>650</v>
      </c>
      <c r="C13" s="4" t="s">
        <v>2</v>
      </c>
      <c r="D13" s="16" t="s">
        <v>469</v>
      </c>
      <c r="F13" s="15" t="s">
        <v>400</v>
      </c>
      <c r="G13" s="15" t="s">
        <v>401</v>
      </c>
      <c r="H13" s="15" t="s">
        <v>402</v>
      </c>
      <c r="I13" s="25"/>
      <c r="J13" s="1">
        <f t="shared" si="0"/>
        <v>3</v>
      </c>
      <c r="S13" s="69"/>
    </row>
    <row r="14" spans="1:19" ht="15.75" thickBot="1">
      <c r="A14" s="7">
        <f>_xlfn.XLOOKUP(B14,'2025 Draft'!C:C,'2025 Draft'!A:A)</f>
        <v>7</v>
      </c>
      <c r="B14" s="4" t="s">
        <v>580</v>
      </c>
      <c r="C14" s="4" t="s">
        <v>10</v>
      </c>
      <c r="D14" s="16" t="s">
        <v>469</v>
      </c>
      <c r="F14" s="15" t="s">
        <v>400</v>
      </c>
      <c r="G14" s="15" t="s">
        <v>401</v>
      </c>
      <c r="H14" s="15" t="s">
        <v>402</v>
      </c>
      <c r="I14" s="25"/>
      <c r="J14" s="1">
        <f t="shared" si="0"/>
        <v>6</v>
      </c>
      <c r="S14" s="69"/>
    </row>
    <row r="15" spans="1:19" ht="15.75" thickBot="1">
      <c r="A15" s="7">
        <v>9</v>
      </c>
      <c r="B15" s="4" t="s">
        <v>1155</v>
      </c>
      <c r="C15" s="4" t="s">
        <v>2</v>
      </c>
      <c r="D15" s="16" t="s">
        <v>469</v>
      </c>
      <c r="F15" s="15" t="s">
        <v>400</v>
      </c>
      <c r="G15" s="15" t="s">
        <v>401</v>
      </c>
      <c r="H15" s="15" t="s">
        <v>402</v>
      </c>
      <c r="I15" s="25"/>
      <c r="J15" s="1">
        <f t="shared" si="0"/>
        <v>8</v>
      </c>
      <c r="S15" s="69"/>
    </row>
    <row r="16" spans="1:19" ht="15.75" thickBot="1">
      <c r="A16" s="7">
        <f>_xlfn.XLOOKUP(B16,'2025 Draft'!C:C,'2025 Draft'!A:A)</f>
        <v>2</v>
      </c>
      <c r="B16" s="4" t="s">
        <v>611</v>
      </c>
      <c r="C16" s="4" t="s">
        <v>2</v>
      </c>
      <c r="D16" s="16" t="s">
        <v>469</v>
      </c>
      <c r="F16" s="15" t="s">
        <v>400</v>
      </c>
      <c r="G16" s="15" t="s">
        <v>401</v>
      </c>
      <c r="H16" s="15" t="s">
        <v>402</v>
      </c>
      <c r="I16" s="25"/>
      <c r="J16" s="1">
        <f t="shared" si="0"/>
        <v>1</v>
      </c>
      <c r="K16" s="107" t="s">
        <v>1100</v>
      </c>
      <c r="S16" s="69"/>
    </row>
    <row r="17" spans="1:19" ht="15.75" thickBot="1">
      <c r="A17" s="7">
        <f>_xlfn.XLOOKUP(B17,'2025 Draft'!C:C,'2025 Draft'!A:A)</f>
        <v>13</v>
      </c>
      <c r="B17" s="4" t="s">
        <v>1091</v>
      </c>
      <c r="C17" s="4" t="s">
        <v>5</v>
      </c>
      <c r="D17" s="16" t="s">
        <v>469</v>
      </c>
      <c r="F17" s="15" t="s">
        <v>400</v>
      </c>
      <c r="G17" s="15" t="s">
        <v>401</v>
      </c>
      <c r="H17" s="15" t="s">
        <v>402</v>
      </c>
      <c r="I17" s="25"/>
      <c r="J17" s="1">
        <f t="shared" si="0"/>
        <v>12</v>
      </c>
      <c r="S17" s="69"/>
    </row>
    <row r="18" spans="1:19" ht="15.75" thickBot="1">
      <c r="A18" s="7">
        <f>_xlfn.XLOOKUP(B18,'2025 Draft'!C:C,'2025 Draft'!A:A)</f>
        <v>3</v>
      </c>
      <c r="B18" s="4" t="s">
        <v>454</v>
      </c>
      <c r="C18" s="4" t="s">
        <v>10</v>
      </c>
      <c r="D18" s="16" t="s">
        <v>469</v>
      </c>
      <c r="F18" s="15" t="s">
        <v>400</v>
      </c>
      <c r="G18" s="15" t="s">
        <v>401</v>
      </c>
      <c r="H18" s="15" t="s">
        <v>402</v>
      </c>
      <c r="I18" s="25"/>
      <c r="J18" s="1">
        <f t="shared" si="0"/>
        <v>2</v>
      </c>
      <c r="S18" s="69"/>
    </row>
    <row r="19" spans="1:19" ht="15.75" thickBot="1">
      <c r="A19" s="14"/>
      <c r="B19" s="14"/>
      <c r="C19" s="14"/>
      <c r="D19" s="18"/>
      <c r="E19" s="18"/>
      <c r="F19" s="18"/>
      <c r="G19" s="18"/>
      <c r="H19" s="18"/>
      <c r="I19" s="18"/>
      <c r="J19" s="18"/>
      <c r="S19" s="69"/>
    </row>
    <row r="20" spans="1:19" ht="15.75" thickBot="1">
      <c r="A20" s="7">
        <v>9</v>
      </c>
      <c r="B20" s="4" t="s">
        <v>391</v>
      </c>
      <c r="C20" s="8" t="s">
        <v>5</v>
      </c>
      <c r="D20" s="17" t="s">
        <v>470</v>
      </c>
      <c r="F20" s="15" t="s">
        <v>400</v>
      </c>
      <c r="G20" s="15" t="s">
        <v>401</v>
      </c>
      <c r="H20" s="15" t="s">
        <v>402</v>
      </c>
      <c r="I20" s="25"/>
      <c r="J20" s="1">
        <f>IF(A20="FA",9,A20-1)</f>
        <v>8</v>
      </c>
      <c r="S20" s="69"/>
    </row>
    <row r="21" spans="1:19" ht="15.75" thickBot="1">
      <c r="A21" s="7">
        <f>_xlfn.XLOOKUP(B21,'2025 Draft'!C:C,'2025 Draft'!A:A)</f>
        <v>1</v>
      </c>
      <c r="B21" s="4" t="s">
        <v>468</v>
      </c>
      <c r="C21" s="4" t="s">
        <v>10</v>
      </c>
      <c r="D21" s="17" t="s">
        <v>470</v>
      </c>
      <c r="F21" s="15" t="s">
        <v>400</v>
      </c>
      <c r="G21" s="15" t="s">
        <v>401</v>
      </c>
      <c r="H21" s="15" t="s">
        <v>402</v>
      </c>
      <c r="I21" s="25"/>
      <c r="J21" s="1">
        <f t="shared" ref="J21:J36" si="1">IF(A21="FA",9,A21-1)</f>
        <v>0</v>
      </c>
      <c r="S21" s="69"/>
    </row>
    <row r="22" spans="1:19" ht="15.75" thickBot="1">
      <c r="A22" s="7">
        <f>_xlfn.XLOOKUP(B22,'2025 Draft'!C:C,'2025 Draft'!A:A)</f>
        <v>2</v>
      </c>
      <c r="B22" s="4" t="s">
        <v>836</v>
      </c>
      <c r="C22" s="4" t="s">
        <v>10</v>
      </c>
      <c r="D22" s="17" t="s">
        <v>470</v>
      </c>
      <c r="F22" s="15" t="s">
        <v>400</v>
      </c>
      <c r="G22" s="15" t="s">
        <v>401</v>
      </c>
      <c r="H22" s="15" t="s">
        <v>402</v>
      </c>
      <c r="I22" s="25"/>
      <c r="J22" s="1">
        <f t="shared" si="1"/>
        <v>1</v>
      </c>
      <c r="S22" s="69"/>
    </row>
    <row r="23" spans="1:19" ht="15.75" thickBot="1">
      <c r="A23" s="7">
        <f>_xlfn.XLOOKUP(B23,'2025 Draft'!C:C,'2025 Draft'!A:A)</f>
        <v>6</v>
      </c>
      <c r="B23" s="4" t="s">
        <v>733</v>
      </c>
      <c r="C23" s="8" t="s">
        <v>2</v>
      </c>
      <c r="D23" s="16" t="s">
        <v>470</v>
      </c>
      <c r="F23" s="15" t="s">
        <v>400</v>
      </c>
      <c r="G23" s="15" t="s">
        <v>401</v>
      </c>
      <c r="H23" s="15" t="s">
        <v>402</v>
      </c>
      <c r="I23" s="25"/>
      <c r="J23" s="1">
        <f t="shared" si="1"/>
        <v>5</v>
      </c>
      <c r="S23" s="69"/>
    </row>
    <row r="24" spans="1:19" ht="15.75" thickBot="1">
      <c r="A24" s="7">
        <v>9</v>
      </c>
      <c r="B24" s="4" t="s">
        <v>80</v>
      </c>
      <c r="C24" s="4" t="s">
        <v>2</v>
      </c>
      <c r="D24" s="17" t="s">
        <v>470</v>
      </c>
      <c r="F24" s="15" t="s">
        <v>400</v>
      </c>
      <c r="G24" s="15" t="s">
        <v>401</v>
      </c>
      <c r="H24" s="15" t="s">
        <v>402</v>
      </c>
      <c r="I24" s="25"/>
      <c r="J24" s="1">
        <f t="shared" si="1"/>
        <v>8</v>
      </c>
      <c r="K24" s="23"/>
      <c r="S24" s="69"/>
    </row>
    <row r="25" spans="1:19" ht="15.75" thickBot="1">
      <c r="A25" s="7">
        <f>_xlfn.XLOOKUP(B25,'2025 Draft'!C:C,'2025 Draft'!A:A)</f>
        <v>7</v>
      </c>
      <c r="B25" s="4" t="s">
        <v>44</v>
      </c>
      <c r="C25" s="8" t="s">
        <v>27</v>
      </c>
      <c r="D25" s="16" t="s">
        <v>470</v>
      </c>
      <c r="F25" s="15" t="s">
        <v>400</v>
      </c>
      <c r="G25" s="15" t="s">
        <v>401</v>
      </c>
      <c r="H25" s="15" t="s">
        <v>402</v>
      </c>
      <c r="I25" s="25"/>
      <c r="J25" s="1">
        <f t="shared" si="1"/>
        <v>6</v>
      </c>
      <c r="S25" s="69"/>
    </row>
    <row r="26" spans="1:19" ht="15.75" thickBot="1">
      <c r="A26" s="7">
        <f>_xlfn.XLOOKUP(B26,'2025 Draft'!C:C,'2025 Draft'!A:A)</f>
        <v>3</v>
      </c>
      <c r="B26" s="4" t="s">
        <v>840</v>
      </c>
      <c r="C26" s="4" t="s">
        <v>2</v>
      </c>
      <c r="D26" s="17" t="s">
        <v>470</v>
      </c>
      <c r="F26" s="15" t="s">
        <v>400</v>
      </c>
      <c r="G26" s="15" t="s">
        <v>401</v>
      </c>
      <c r="H26" s="15" t="s">
        <v>402</v>
      </c>
      <c r="I26" s="25"/>
      <c r="J26" s="1">
        <f t="shared" si="1"/>
        <v>2</v>
      </c>
      <c r="S26" s="69"/>
    </row>
    <row r="27" spans="1:19" ht="15.75" thickBot="1">
      <c r="A27" s="7">
        <f>_xlfn.XLOOKUP(B27,'2025 Draft'!C:C,'2025 Draft'!A:A)</f>
        <v>3</v>
      </c>
      <c r="B27" s="4" t="s">
        <v>1115</v>
      </c>
      <c r="C27" s="4" t="s">
        <v>10</v>
      </c>
      <c r="D27" s="17" t="s">
        <v>470</v>
      </c>
      <c r="F27" s="15" t="s">
        <v>400</v>
      </c>
      <c r="G27" s="15" t="s">
        <v>401</v>
      </c>
      <c r="H27" s="15" t="s">
        <v>402</v>
      </c>
      <c r="I27" s="25"/>
      <c r="J27" s="1">
        <f t="shared" si="1"/>
        <v>2</v>
      </c>
      <c r="K27" s="23" t="s">
        <v>1100</v>
      </c>
      <c r="S27" s="69"/>
    </row>
    <row r="28" spans="1:19" ht="15.75" thickBot="1">
      <c r="A28" s="7">
        <v>9</v>
      </c>
      <c r="B28" s="4" t="s">
        <v>815</v>
      </c>
      <c r="C28" s="4" t="s">
        <v>534</v>
      </c>
      <c r="D28" s="17" t="s">
        <v>470</v>
      </c>
      <c r="F28" s="15" t="s">
        <v>400</v>
      </c>
      <c r="G28" s="15" t="s">
        <v>401</v>
      </c>
      <c r="H28" s="15" t="s">
        <v>402</v>
      </c>
      <c r="I28" s="25"/>
      <c r="J28" s="1">
        <f t="shared" si="1"/>
        <v>8</v>
      </c>
      <c r="S28" s="69"/>
    </row>
    <row r="29" spans="1:19" ht="15.75" thickBot="1">
      <c r="A29" s="7">
        <f>_xlfn.XLOOKUP(B29,'2025 Draft'!C:C,'2025 Draft'!A:A)</f>
        <v>4</v>
      </c>
      <c r="B29" s="4" t="s">
        <v>695</v>
      </c>
      <c r="C29" s="4" t="s">
        <v>10</v>
      </c>
      <c r="D29" s="17" t="s">
        <v>470</v>
      </c>
      <c r="F29" s="15" t="s">
        <v>400</v>
      </c>
      <c r="G29" s="15" t="s">
        <v>401</v>
      </c>
      <c r="H29" s="15" t="s">
        <v>402</v>
      </c>
      <c r="I29" s="25"/>
      <c r="J29" s="1">
        <f t="shared" si="1"/>
        <v>3</v>
      </c>
      <c r="S29" s="69"/>
    </row>
    <row r="30" spans="1:19" ht="15.75" thickBot="1">
      <c r="A30" s="7">
        <f>_xlfn.XLOOKUP(B30,'2025 Draft'!C:C,'2025 Draft'!A:A)</f>
        <v>10</v>
      </c>
      <c r="B30" s="4" t="s">
        <v>1018</v>
      </c>
      <c r="C30" s="4" t="s">
        <v>5</v>
      </c>
      <c r="D30" s="17" t="s">
        <v>470</v>
      </c>
      <c r="F30" s="15" t="s">
        <v>400</v>
      </c>
      <c r="G30" s="15" t="s">
        <v>401</v>
      </c>
      <c r="H30" s="15" t="s">
        <v>402</v>
      </c>
      <c r="I30" s="25"/>
      <c r="J30" s="1">
        <f t="shared" si="1"/>
        <v>9</v>
      </c>
      <c r="S30" s="69"/>
    </row>
    <row r="31" spans="1:19" ht="15.75" thickBot="1">
      <c r="A31" s="7">
        <v>9</v>
      </c>
      <c r="B31" s="4" t="s">
        <v>1054</v>
      </c>
      <c r="C31" s="4" t="s">
        <v>5</v>
      </c>
      <c r="D31" s="17" t="s">
        <v>470</v>
      </c>
      <c r="F31" s="15" t="s">
        <v>400</v>
      </c>
      <c r="G31" s="15" t="s">
        <v>401</v>
      </c>
      <c r="H31" s="15" t="s">
        <v>402</v>
      </c>
      <c r="I31" s="25"/>
      <c r="J31" s="1">
        <f t="shared" si="1"/>
        <v>8</v>
      </c>
      <c r="S31" s="69"/>
    </row>
    <row r="32" spans="1:19" ht="15.75" thickBot="1">
      <c r="A32" s="7">
        <v>9</v>
      </c>
      <c r="B32" s="4" t="s">
        <v>1096</v>
      </c>
      <c r="C32" s="4" t="s">
        <v>2</v>
      </c>
      <c r="D32" s="17" t="s">
        <v>470</v>
      </c>
      <c r="F32" s="15" t="s">
        <v>400</v>
      </c>
      <c r="G32" s="15" t="s">
        <v>401</v>
      </c>
      <c r="H32" s="15" t="s">
        <v>402</v>
      </c>
      <c r="I32" s="25"/>
      <c r="J32" s="1">
        <f t="shared" si="1"/>
        <v>8</v>
      </c>
      <c r="S32" s="69"/>
    </row>
    <row r="33" spans="1:19" ht="15.75" thickBot="1">
      <c r="A33" s="7">
        <v>9</v>
      </c>
      <c r="B33" s="4" t="s">
        <v>1157</v>
      </c>
      <c r="C33" s="4" t="s">
        <v>2</v>
      </c>
      <c r="D33" s="17" t="s">
        <v>470</v>
      </c>
      <c r="F33" s="15" t="s">
        <v>400</v>
      </c>
      <c r="G33" s="15" t="s">
        <v>401</v>
      </c>
      <c r="H33" s="15" t="s">
        <v>402</v>
      </c>
      <c r="I33" s="25"/>
      <c r="J33" s="1">
        <f t="shared" si="1"/>
        <v>8</v>
      </c>
      <c r="S33" s="69"/>
    </row>
    <row r="34" spans="1:19" ht="15.75" thickBot="1">
      <c r="A34" s="7">
        <v>9</v>
      </c>
      <c r="B34" s="4" t="s">
        <v>1158</v>
      </c>
      <c r="C34" s="4" t="s">
        <v>27</v>
      </c>
      <c r="D34" s="17" t="s">
        <v>470</v>
      </c>
      <c r="F34" s="15" t="s">
        <v>400</v>
      </c>
      <c r="G34" s="15" t="s">
        <v>401</v>
      </c>
      <c r="H34" s="15" t="s">
        <v>402</v>
      </c>
      <c r="I34" s="25"/>
      <c r="J34" s="1">
        <f t="shared" si="1"/>
        <v>8</v>
      </c>
      <c r="S34" s="69"/>
    </row>
    <row r="35" spans="1:19" ht="15.75" thickBot="1">
      <c r="A35" s="7">
        <v>9</v>
      </c>
      <c r="B35" s="4" t="s">
        <v>896</v>
      </c>
      <c r="C35" s="4" t="s">
        <v>534</v>
      </c>
      <c r="D35" s="17" t="s">
        <v>470</v>
      </c>
      <c r="F35" s="15" t="s">
        <v>400</v>
      </c>
      <c r="G35" s="15" t="s">
        <v>401</v>
      </c>
      <c r="H35" s="15" t="s">
        <v>402</v>
      </c>
      <c r="I35" s="25"/>
      <c r="J35" s="1">
        <f t="shared" si="1"/>
        <v>8</v>
      </c>
      <c r="S35" s="69"/>
    </row>
    <row r="36" spans="1:19" ht="15.75" thickBot="1">
      <c r="A36" s="7">
        <f>_xlfn.XLOOKUP(B36,'2025 Draft'!C:C,'2025 Draft'!A:A)</f>
        <v>3</v>
      </c>
      <c r="B36" s="4" t="s">
        <v>1159</v>
      </c>
      <c r="C36" s="4" t="s">
        <v>2</v>
      </c>
      <c r="D36" s="17" t="s">
        <v>470</v>
      </c>
      <c r="F36" s="15" t="s">
        <v>400</v>
      </c>
      <c r="G36" s="15" t="s">
        <v>401</v>
      </c>
      <c r="H36" s="15" t="s">
        <v>402</v>
      </c>
      <c r="I36" s="25"/>
      <c r="J36" s="1">
        <f t="shared" si="1"/>
        <v>2</v>
      </c>
      <c r="S36" s="69"/>
    </row>
    <row r="37" spans="1:19" ht="15.75" thickBot="1">
      <c r="A37" s="14"/>
      <c r="B37" s="14"/>
      <c r="C37" s="14"/>
      <c r="D37" s="18"/>
      <c r="E37" s="18"/>
      <c r="F37" s="18"/>
      <c r="G37" s="18"/>
      <c r="H37" s="18"/>
      <c r="I37" s="18"/>
      <c r="J37" s="18"/>
      <c r="S37" s="69"/>
    </row>
    <row r="38" spans="1:19" ht="15.75" thickBot="1">
      <c r="A38" s="7">
        <v>9</v>
      </c>
      <c r="B38" s="4" t="s">
        <v>1160</v>
      </c>
      <c r="C38" s="8" t="s">
        <v>5</v>
      </c>
      <c r="D38" s="19" t="s">
        <v>385</v>
      </c>
      <c r="F38" s="15" t="s">
        <v>400</v>
      </c>
      <c r="G38" s="15" t="s">
        <v>401</v>
      </c>
      <c r="H38" s="15" t="s">
        <v>402</v>
      </c>
      <c r="I38" s="25"/>
      <c r="J38" s="1">
        <f>IF(A38="FA",9,A38-1)</f>
        <v>8</v>
      </c>
      <c r="S38" s="69"/>
    </row>
    <row r="39" spans="1:19" ht="15.75" thickBot="1">
      <c r="A39" s="7">
        <f>_xlfn.XLOOKUP(B39,'2025 Draft'!C:C,'2025 Draft'!A:A)</f>
        <v>8</v>
      </c>
      <c r="B39" s="4" t="s">
        <v>847</v>
      </c>
      <c r="C39" s="4" t="s">
        <v>10</v>
      </c>
      <c r="D39" s="19" t="s">
        <v>385</v>
      </c>
      <c r="F39" s="15" t="s">
        <v>400</v>
      </c>
      <c r="G39" s="15" t="s">
        <v>401</v>
      </c>
      <c r="H39" s="15" t="s">
        <v>402</v>
      </c>
      <c r="I39" s="25"/>
      <c r="J39" s="1">
        <f t="shared" ref="J39:J54" si="2">IF(A39="FA",9,A39-1)</f>
        <v>7</v>
      </c>
      <c r="S39" s="69"/>
    </row>
    <row r="40" spans="1:19" ht="15.75" thickBot="1">
      <c r="A40" s="7">
        <v>9</v>
      </c>
      <c r="B40" s="4" t="s">
        <v>1161</v>
      </c>
      <c r="C40" s="4" t="s">
        <v>10</v>
      </c>
      <c r="D40" s="19" t="s">
        <v>385</v>
      </c>
      <c r="F40" s="15" t="s">
        <v>400</v>
      </c>
      <c r="G40" s="15" t="s">
        <v>401</v>
      </c>
      <c r="H40" s="15" t="s">
        <v>402</v>
      </c>
      <c r="I40" s="25"/>
      <c r="J40" s="1">
        <f t="shared" si="2"/>
        <v>8</v>
      </c>
      <c r="S40" s="69"/>
    </row>
    <row r="41" spans="1:19" ht="15.75" thickBot="1">
      <c r="A41" s="7">
        <f>_xlfn.XLOOKUP(B41,'2025 Draft'!C:C,'2025 Draft'!A:A)</f>
        <v>3</v>
      </c>
      <c r="B41" s="4" t="s">
        <v>616</v>
      </c>
      <c r="C41" s="4" t="s">
        <v>2</v>
      </c>
      <c r="D41" s="17" t="s">
        <v>385</v>
      </c>
      <c r="F41" s="15" t="s">
        <v>400</v>
      </c>
      <c r="G41" s="15" t="s">
        <v>401</v>
      </c>
      <c r="H41" s="15" t="s">
        <v>402</v>
      </c>
      <c r="I41" s="25"/>
      <c r="J41" s="1">
        <f t="shared" si="2"/>
        <v>2</v>
      </c>
      <c r="S41" s="69"/>
    </row>
    <row r="42" spans="1:19" ht="15.75" thickBot="1">
      <c r="A42" s="7">
        <v>9</v>
      </c>
      <c r="B42" s="4" t="s">
        <v>928</v>
      </c>
      <c r="C42" s="8" t="s">
        <v>2</v>
      </c>
      <c r="D42" s="16" t="s">
        <v>385</v>
      </c>
      <c r="F42" s="15" t="s">
        <v>400</v>
      </c>
      <c r="G42" s="15" t="s">
        <v>401</v>
      </c>
      <c r="H42" s="15" t="s">
        <v>402</v>
      </c>
      <c r="I42" s="25"/>
      <c r="J42" s="1">
        <f t="shared" si="2"/>
        <v>8</v>
      </c>
      <c r="S42" s="69"/>
    </row>
    <row r="43" spans="1:19" ht="15.75" thickBot="1">
      <c r="A43" s="7">
        <v>9</v>
      </c>
      <c r="B43" s="4" t="s">
        <v>762</v>
      </c>
      <c r="C43" s="4" t="s">
        <v>27</v>
      </c>
      <c r="D43" s="19" t="s">
        <v>385</v>
      </c>
      <c r="F43" s="15" t="s">
        <v>400</v>
      </c>
      <c r="G43" s="15" t="s">
        <v>401</v>
      </c>
      <c r="H43" s="15" t="s">
        <v>402</v>
      </c>
      <c r="I43" s="25"/>
      <c r="J43" s="1">
        <f t="shared" si="2"/>
        <v>8</v>
      </c>
      <c r="S43" s="69"/>
    </row>
    <row r="44" spans="1:19" ht="15.75" thickBot="1">
      <c r="A44" s="7">
        <f>_xlfn.XLOOKUP(B44,'2025 Draft'!C:C,'2025 Draft'!A:A)</f>
        <v>4</v>
      </c>
      <c r="B44" s="4" t="s">
        <v>1117</v>
      </c>
      <c r="C44" s="4" t="s">
        <v>2</v>
      </c>
      <c r="D44" s="19" t="s">
        <v>385</v>
      </c>
      <c r="F44" s="15" t="s">
        <v>400</v>
      </c>
      <c r="G44" s="15" t="s">
        <v>401</v>
      </c>
      <c r="H44" s="15" t="s">
        <v>402</v>
      </c>
      <c r="I44" s="25"/>
      <c r="J44" s="1">
        <f t="shared" si="2"/>
        <v>3</v>
      </c>
      <c r="S44" s="69"/>
    </row>
    <row r="45" spans="1:19" ht="15.75" thickBot="1">
      <c r="A45" s="7">
        <v>9</v>
      </c>
      <c r="B45" s="4" t="s">
        <v>1162</v>
      </c>
      <c r="C45" s="4" t="s">
        <v>27</v>
      </c>
      <c r="D45" s="19" t="s">
        <v>385</v>
      </c>
      <c r="F45" s="15" t="s">
        <v>400</v>
      </c>
      <c r="G45" s="15" t="s">
        <v>401</v>
      </c>
      <c r="H45" s="15" t="s">
        <v>402</v>
      </c>
      <c r="I45" s="25"/>
      <c r="J45" s="1">
        <f t="shared" si="2"/>
        <v>8</v>
      </c>
      <c r="S45" s="69"/>
    </row>
    <row r="46" spans="1:19" ht="15.75" thickBot="1">
      <c r="A46" s="7">
        <v>9</v>
      </c>
      <c r="B46" s="4" t="s">
        <v>439</v>
      </c>
      <c r="C46" s="4" t="s">
        <v>534</v>
      </c>
      <c r="D46" s="19" t="s">
        <v>385</v>
      </c>
      <c r="F46" s="15" t="s">
        <v>400</v>
      </c>
      <c r="G46" s="15" t="s">
        <v>401</v>
      </c>
      <c r="H46" s="15" t="s">
        <v>402</v>
      </c>
      <c r="I46" s="25"/>
      <c r="J46" s="1">
        <f t="shared" si="2"/>
        <v>8</v>
      </c>
      <c r="S46" s="69"/>
    </row>
    <row r="47" spans="1:19" ht="15.75" thickBot="1">
      <c r="A47" s="7">
        <f>_xlfn.XLOOKUP(B47,'2025 Draft'!C:C,'2025 Draft'!A:A)</f>
        <v>6</v>
      </c>
      <c r="B47" s="4" t="s">
        <v>1089</v>
      </c>
      <c r="C47" s="4" t="s">
        <v>2</v>
      </c>
      <c r="D47" s="19" t="s">
        <v>385</v>
      </c>
      <c r="F47" s="15" t="s">
        <v>400</v>
      </c>
      <c r="G47" s="15" t="s">
        <v>401</v>
      </c>
      <c r="H47" s="15" t="s">
        <v>402</v>
      </c>
      <c r="I47" s="25"/>
      <c r="J47" s="1">
        <f t="shared" si="2"/>
        <v>5</v>
      </c>
      <c r="S47" s="69"/>
    </row>
    <row r="48" spans="1:19" ht="15.75" thickBot="1">
      <c r="A48" s="7">
        <f>_xlfn.XLOOKUP(B48,'2025 Draft'!C:C,'2025 Draft'!A:A)</f>
        <v>10</v>
      </c>
      <c r="B48" s="4" t="s">
        <v>919</v>
      </c>
      <c r="C48" s="8" t="s">
        <v>2</v>
      </c>
      <c r="D48" s="16" t="s">
        <v>385</v>
      </c>
      <c r="F48" s="15" t="s">
        <v>400</v>
      </c>
      <c r="G48" s="15" t="s">
        <v>401</v>
      </c>
      <c r="H48" s="15" t="s">
        <v>402</v>
      </c>
      <c r="I48" s="25"/>
      <c r="J48" s="1">
        <f t="shared" si="2"/>
        <v>9</v>
      </c>
      <c r="S48" s="69"/>
    </row>
    <row r="49" spans="1:19" ht="15.75" thickBot="1">
      <c r="A49" s="7">
        <v>9</v>
      </c>
      <c r="B49" s="4" t="s">
        <v>1164</v>
      </c>
      <c r="C49" s="4" t="s">
        <v>534</v>
      </c>
      <c r="D49" s="19" t="s">
        <v>385</v>
      </c>
      <c r="F49" s="15" t="s">
        <v>400</v>
      </c>
      <c r="G49" s="15" t="s">
        <v>401</v>
      </c>
      <c r="H49" s="15" t="s">
        <v>402</v>
      </c>
      <c r="I49" s="25"/>
      <c r="J49" s="1">
        <f t="shared" si="2"/>
        <v>8</v>
      </c>
      <c r="K49" s="23"/>
      <c r="S49" s="69"/>
    </row>
    <row r="50" spans="1:19" ht="15.75" thickBot="1">
      <c r="A50" s="7">
        <v>9</v>
      </c>
      <c r="B50" s="4" t="s">
        <v>12</v>
      </c>
      <c r="C50" s="4" t="s">
        <v>10</v>
      </c>
      <c r="D50" s="19" t="s">
        <v>385</v>
      </c>
      <c r="F50" s="15" t="s">
        <v>400</v>
      </c>
      <c r="G50" s="15" t="s">
        <v>401</v>
      </c>
      <c r="H50" s="15" t="s">
        <v>402</v>
      </c>
      <c r="I50" s="25"/>
      <c r="J50" s="1">
        <f t="shared" si="2"/>
        <v>8</v>
      </c>
      <c r="S50" s="69"/>
    </row>
    <row r="51" spans="1:19" ht="15.75" thickBot="1">
      <c r="A51" s="7">
        <v>9</v>
      </c>
      <c r="B51" s="4" t="s">
        <v>927</v>
      </c>
      <c r="C51" s="4" t="s">
        <v>1163</v>
      </c>
      <c r="D51" s="19" t="s">
        <v>385</v>
      </c>
      <c r="F51" s="15" t="s">
        <v>400</v>
      </c>
      <c r="G51" s="15" t="s">
        <v>401</v>
      </c>
      <c r="H51" s="15" t="s">
        <v>402</v>
      </c>
      <c r="I51" s="25"/>
      <c r="J51" s="1">
        <f t="shared" si="2"/>
        <v>8</v>
      </c>
      <c r="S51" s="69"/>
    </row>
    <row r="52" spans="1:19" ht="15.75" thickBot="1">
      <c r="A52" s="7">
        <v>9</v>
      </c>
      <c r="B52" s="4" t="s">
        <v>1082</v>
      </c>
      <c r="C52" s="4" t="s">
        <v>2</v>
      </c>
      <c r="D52" s="19" t="s">
        <v>385</v>
      </c>
      <c r="F52" s="15" t="s">
        <v>400</v>
      </c>
      <c r="G52" s="15" t="s">
        <v>401</v>
      </c>
      <c r="H52" s="15" t="s">
        <v>402</v>
      </c>
      <c r="I52" s="25"/>
      <c r="J52" s="1">
        <f t="shared" si="2"/>
        <v>8</v>
      </c>
      <c r="S52" s="69"/>
    </row>
    <row r="53" spans="1:19" ht="15.75" thickBot="1">
      <c r="A53" s="7">
        <v>9</v>
      </c>
      <c r="B53" s="4" t="s">
        <v>1021</v>
      </c>
      <c r="C53" s="4" t="s">
        <v>2</v>
      </c>
      <c r="D53" s="19" t="s">
        <v>385</v>
      </c>
      <c r="F53" s="15" t="s">
        <v>400</v>
      </c>
      <c r="G53" s="15" t="s">
        <v>401</v>
      </c>
      <c r="H53" s="15" t="s">
        <v>402</v>
      </c>
      <c r="I53" s="25"/>
      <c r="J53" s="1">
        <f t="shared" si="2"/>
        <v>8</v>
      </c>
      <c r="S53" s="69"/>
    </row>
    <row r="54" spans="1:19" ht="15.75" thickBot="1">
      <c r="A54" s="7">
        <f>_xlfn.XLOOKUP(B54,'2025 Draft'!C:C,'2025 Draft'!A:A)</f>
        <v>15</v>
      </c>
      <c r="B54" s="4" t="s">
        <v>1150</v>
      </c>
      <c r="C54" s="4" t="s">
        <v>2</v>
      </c>
      <c r="D54" s="19" t="s">
        <v>385</v>
      </c>
      <c r="F54" s="15" t="s">
        <v>400</v>
      </c>
      <c r="G54" s="15" t="s">
        <v>401</v>
      </c>
      <c r="H54" s="15" t="s">
        <v>402</v>
      </c>
      <c r="I54" s="25"/>
      <c r="J54" s="1">
        <f t="shared" si="2"/>
        <v>14</v>
      </c>
      <c r="S54" s="69"/>
    </row>
    <row r="55" spans="1:19" ht="15.75" thickBot="1">
      <c r="A55" s="14"/>
      <c r="B55" s="14"/>
      <c r="C55" s="14"/>
      <c r="D55" s="18"/>
      <c r="E55" s="18"/>
      <c r="F55" s="18"/>
      <c r="G55" s="18"/>
      <c r="H55" s="18"/>
      <c r="I55" s="18"/>
      <c r="J55" s="18"/>
      <c r="S55" s="69"/>
    </row>
    <row r="56" spans="1:19" ht="15.75" thickBot="1">
      <c r="A56" s="7">
        <v>9</v>
      </c>
      <c r="B56" s="4" t="s">
        <v>791</v>
      </c>
      <c r="C56" s="8" t="s">
        <v>5</v>
      </c>
      <c r="D56" s="17" t="s">
        <v>0</v>
      </c>
      <c r="F56" s="15" t="s">
        <v>400</v>
      </c>
      <c r="G56" s="15" t="s">
        <v>401</v>
      </c>
      <c r="H56" s="15" t="s">
        <v>402</v>
      </c>
      <c r="I56" s="25"/>
      <c r="J56" s="1">
        <f>IF(A56="FA",9,A56-1)</f>
        <v>8</v>
      </c>
      <c r="S56" s="69"/>
    </row>
    <row r="57" spans="1:19" ht="15.75" thickBot="1">
      <c r="A57" s="7">
        <v>9</v>
      </c>
      <c r="B57" s="4" t="s">
        <v>447</v>
      </c>
      <c r="C57" s="4" t="s">
        <v>10</v>
      </c>
      <c r="D57" s="17" t="s">
        <v>0</v>
      </c>
      <c r="F57" s="15" t="s">
        <v>400</v>
      </c>
      <c r="G57" s="15" t="s">
        <v>401</v>
      </c>
      <c r="H57" s="15" t="s">
        <v>402</v>
      </c>
      <c r="I57" s="25"/>
      <c r="J57" s="1">
        <f t="shared" ref="J57:J72" si="3">IF(A57="FA",9,A57-1)</f>
        <v>8</v>
      </c>
      <c r="S57" s="69"/>
    </row>
    <row r="58" spans="1:19" ht="15.75" thickBot="1">
      <c r="A58" s="7">
        <f>_xlfn.XLOOKUP(B58,'2025 Draft'!C:C,'2025 Draft'!A:A)</f>
        <v>1</v>
      </c>
      <c r="B58" s="4" t="s">
        <v>66</v>
      </c>
      <c r="C58" s="4" t="s">
        <v>10</v>
      </c>
      <c r="D58" s="17" t="s">
        <v>0</v>
      </c>
      <c r="F58" s="15" t="s">
        <v>400</v>
      </c>
      <c r="G58" s="15" t="s">
        <v>401</v>
      </c>
      <c r="H58" s="15" t="s">
        <v>402</v>
      </c>
      <c r="I58" s="25"/>
      <c r="J58" s="1">
        <f t="shared" si="3"/>
        <v>0</v>
      </c>
      <c r="K58" s="107" t="s">
        <v>1100</v>
      </c>
      <c r="S58" s="69"/>
    </row>
    <row r="59" spans="1:19" ht="15.75" thickBot="1">
      <c r="A59" s="7">
        <f>_xlfn.XLOOKUP(B59,'2025 Draft'!C:C,'2025 Draft'!A:A)</f>
        <v>5</v>
      </c>
      <c r="B59" s="4" t="s">
        <v>766</v>
      </c>
      <c r="C59" s="4" t="s">
        <v>2</v>
      </c>
      <c r="D59" s="17" t="s">
        <v>0</v>
      </c>
      <c r="F59" s="15" t="s">
        <v>400</v>
      </c>
      <c r="G59" s="15" t="s">
        <v>401</v>
      </c>
      <c r="H59" s="15" t="s">
        <v>402</v>
      </c>
      <c r="I59" s="25"/>
      <c r="J59" s="1">
        <f t="shared" si="3"/>
        <v>4</v>
      </c>
      <c r="S59" s="69"/>
    </row>
    <row r="60" spans="1:19" s="11" customFormat="1" ht="15.75" thickBot="1">
      <c r="A60" s="78">
        <f>_xlfn.XLOOKUP(B60,'2025 Draft'!C:C,'2025 Draft'!A:A)</f>
        <v>12</v>
      </c>
      <c r="B60" s="79" t="s">
        <v>881</v>
      </c>
      <c r="C60" s="79" t="s">
        <v>2</v>
      </c>
      <c r="D60" s="80" t="s">
        <v>0</v>
      </c>
      <c r="F60" s="82" t="s">
        <v>400</v>
      </c>
      <c r="G60" s="82" t="s">
        <v>401</v>
      </c>
      <c r="H60" s="82" t="s">
        <v>402</v>
      </c>
      <c r="I60" s="83"/>
      <c r="J60" s="44">
        <f t="shared" si="3"/>
        <v>11</v>
      </c>
      <c r="K60" s="108" t="s">
        <v>1100</v>
      </c>
      <c r="L60" s="12"/>
      <c r="S60" s="109"/>
    </row>
    <row r="61" spans="1:19" ht="15.75" thickBot="1">
      <c r="A61" s="7">
        <v>9</v>
      </c>
      <c r="B61" s="4" t="s">
        <v>1166</v>
      </c>
      <c r="C61" s="4" t="s">
        <v>27</v>
      </c>
      <c r="D61" s="17" t="s">
        <v>0</v>
      </c>
      <c r="F61" s="15" t="s">
        <v>400</v>
      </c>
      <c r="G61" s="15" t="s">
        <v>401</v>
      </c>
      <c r="H61" s="15" t="s">
        <v>402</v>
      </c>
      <c r="I61" s="25"/>
      <c r="J61" s="1">
        <f t="shared" si="3"/>
        <v>8</v>
      </c>
      <c r="S61" s="69"/>
    </row>
    <row r="62" spans="1:19" ht="15.75" thickBot="1">
      <c r="A62" s="7">
        <f>_xlfn.XLOOKUP(B62,'2025 Draft'!C:C,'2025 Draft'!A:A)</f>
        <v>1</v>
      </c>
      <c r="B62" s="4" t="s">
        <v>694</v>
      </c>
      <c r="C62" s="8" t="s">
        <v>10</v>
      </c>
      <c r="D62" s="16" t="s">
        <v>0</v>
      </c>
      <c r="F62" s="15" t="s">
        <v>400</v>
      </c>
      <c r="G62" s="15" t="s">
        <v>401</v>
      </c>
      <c r="H62" s="15" t="s">
        <v>402</v>
      </c>
      <c r="I62" s="25"/>
      <c r="J62" s="1">
        <f t="shared" si="3"/>
        <v>0</v>
      </c>
      <c r="S62" s="69"/>
    </row>
    <row r="63" spans="1:19" ht="15.75" thickBot="1">
      <c r="A63" s="7">
        <v>9</v>
      </c>
      <c r="B63" s="4" t="s">
        <v>900</v>
      </c>
      <c r="C63" s="4" t="s">
        <v>2</v>
      </c>
      <c r="D63" s="17" t="s">
        <v>0</v>
      </c>
      <c r="F63" s="15" t="s">
        <v>400</v>
      </c>
      <c r="G63" s="15" t="s">
        <v>401</v>
      </c>
      <c r="H63" s="15" t="s">
        <v>402</v>
      </c>
      <c r="I63" s="25"/>
      <c r="J63" s="1">
        <f t="shared" si="3"/>
        <v>8</v>
      </c>
      <c r="S63" s="69"/>
    </row>
    <row r="64" spans="1:19" ht="15.75" thickBot="1">
      <c r="A64" s="7">
        <v>9</v>
      </c>
      <c r="B64" s="4" t="s">
        <v>909</v>
      </c>
      <c r="C64" s="4" t="s">
        <v>534</v>
      </c>
      <c r="D64" s="17" t="s">
        <v>0</v>
      </c>
      <c r="F64" s="15" t="s">
        <v>400</v>
      </c>
      <c r="G64" s="15" t="s">
        <v>401</v>
      </c>
      <c r="H64" s="15" t="s">
        <v>402</v>
      </c>
      <c r="I64" s="25"/>
      <c r="J64" s="1">
        <f t="shared" si="3"/>
        <v>8</v>
      </c>
      <c r="S64" s="69"/>
    </row>
    <row r="65" spans="1:19" ht="15.75" thickBot="1">
      <c r="A65" s="7">
        <f>_xlfn.XLOOKUP(B65,'2025 Draft'!C:C,'2025 Draft'!A:A)</f>
        <v>2</v>
      </c>
      <c r="B65" s="4" t="s">
        <v>540</v>
      </c>
      <c r="C65" s="4" t="s">
        <v>5</v>
      </c>
      <c r="D65" s="17" t="s">
        <v>0</v>
      </c>
      <c r="F65" s="15" t="s">
        <v>400</v>
      </c>
      <c r="G65" s="15" t="s">
        <v>401</v>
      </c>
      <c r="H65" s="15" t="s">
        <v>402</v>
      </c>
      <c r="I65" s="25"/>
      <c r="J65" s="1">
        <f t="shared" si="3"/>
        <v>1</v>
      </c>
      <c r="S65" s="69"/>
    </row>
    <row r="66" spans="1:19" ht="15.75" thickBot="1">
      <c r="A66" s="7">
        <f>_xlfn.XLOOKUP(B66,'2025 Draft'!C:C,'2025 Draft'!A:A)</f>
        <v>6</v>
      </c>
      <c r="B66" s="4" t="s">
        <v>520</v>
      </c>
      <c r="C66" s="4" t="s">
        <v>27</v>
      </c>
      <c r="D66" s="17" t="s">
        <v>0</v>
      </c>
      <c r="F66" s="15" t="s">
        <v>401</v>
      </c>
      <c r="G66" s="15" t="s">
        <v>402</v>
      </c>
      <c r="H66" s="15" t="s">
        <v>387</v>
      </c>
      <c r="I66" s="25"/>
      <c r="J66" s="1">
        <f t="shared" si="3"/>
        <v>5</v>
      </c>
      <c r="S66" s="69"/>
    </row>
    <row r="67" spans="1:19" ht="15.75" thickBot="1">
      <c r="A67" s="7">
        <f>_xlfn.XLOOKUP(B67,'2025 Draft'!C:C,'2025 Draft'!A:A)</f>
        <v>7</v>
      </c>
      <c r="B67" s="4" t="s">
        <v>992</v>
      </c>
      <c r="C67" s="4" t="s">
        <v>2</v>
      </c>
      <c r="D67" s="17" t="s">
        <v>0</v>
      </c>
      <c r="F67" s="15" t="s">
        <v>400</v>
      </c>
      <c r="G67" s="15" t="s">
        <v>401</v>
      </c>
      <c r="H67" s="15" t="s">
        <v>402</v>
      </c>
      <c r="I67" s="25"/>
      <c r="J67" s="1">
        <f t="shared" si="3"/>
        <v>6</v>
      </c>
      <c r="S67" s="69"/>
    </row>
    <row r="68" spans="1:19" ht="15.75" thickBot="1">
      <c r="A68" s="7">
        <f>_xlfn.XLOOKUP(B68,'2025 Draft'!C:C,'2025 Draft'!A:A)</f>
        <v>14</v>
      </c>
      <c r="B68" s="4" t="s">
        <v>834</v>
      </c>
      <c r="C68" s="4" t="s">
        <v>10</v>
      </c>
      <c r="D68" s="17" t="s">
        <v>0</v>
      </c>
      <c r="F68" s="15" t="s">
        <v>400</v>
      </c>
      <c r="G68" s="15" t="s">
        <v>401</v>
      </c>
      <c r="H68" s="15" t="s">
        <v>402</v>
      </c>
      <c r="I68" s="25"/>
      <c r="J68" s="1">
        <f t="shared" si="3"/>
        <v>13</v>
      </c>
      <c r="S68" s="69"/>
    </row>
    <row r="69" spans="1:19" ht="15.75" thickBot="1">
      <c r="A69" s="7">
        <v>9</v>
      </c>
      <c r="B69" s="4" t="s">
        <v>1138</v>
      </c>
      <c r="C69" s="4" t="s">
        <v>10</v>
      </c>
      <c r="D69" s="17" t="s">
        <v>0</v>
      </c>
      <c r="F69" s="15" t="s">
        <v>400</v>
      </c>
      <c r="G69" s="15" t="s">
        <v>401</v>
      </c>
      <c r="H69" s="15" t="s">
        <v>402</v>
      </c>
      <c r="I69" s="25"/>
      <c r="J69" s="1">
        <f t="shared" si="3"/>
        <v>8</v>
      </c>
      <c r="S69" s="69"/>
    </row>
    <row r="70" spans="1:19" ht="15.75" thickBot="1">
      <c r="A70" s="7">
        <v>9</v>
      </c>
      <c r="B70" s="4" t="s">
        <v>765</v>
      </c>
      <c r="C70" s="4" t="s">
        <v>10</v>
      </c>
      <c r="D70" s="17" t="s">
        <v>0</v>
      </c>
      <c r="F70" s="15" t="s">
        <v>400</v>
      </c>
      <c r="G70" s="15" t="s">
        <v>401</v>
      </c>
      <c r="H70" s="15" t="s">
        <v>402</v>
      </c>
      <c r="I70" s="25"/>
      <c r="J70" s="1">
        <f t="shared" si="3"/>
        <v>8</v>
      </c>
      <c r="S70" s="69"/>
    </row>
    <row r="71" spans="1:19" ht="15.75" thickBot="1">
      <c r="A71" s="7">
        <v>9</v>
      </c>
      <c r="B71" s="4" t="s">
        <v>1167</v>
      </c>
      <c r="C71" s="4" t="s">
        <v>10</v>
      </c>
      <c r="D71" s="17" t="s">
        <v>0</v>
      </c>
      <c r="F71" s="15" t="s">
        <v>400</v>
      </c>
      <c r="G71" s="15" t="s">
        <v>401</v>
      </c>
      <c r="H71" s="15" t="s">
        <v>402</v>
      </c>
      <c r="I71" s="25"/>
      <c r="J71" s="1">
        <f t="shared" si="3"/>
        <v>8</v>
      </c>
      <c r="S71" s="69"/>
    </row>
    <row r="72" spans="1:19" ht="15.75" thickBot="1">
      <c r="A72" s="7">
        <f>_xlfn.XLOOKUP(B72,'2025 Draft'!C:C,'2025 Draft'!A:A)</f>
        <v>5</v>
      </c>
      <c r="B72" s="4" t="s">
        <v>839</v>
      </c>
      <c r="C72" s="4" t="s">
        <v>2</v>
      </c>
      <c r="D72" s="17" t="s">
        <v>0</v>
      </c>
      <c r="F72" s="15" t="s">
        <v>401</v>
      </c>
      <c r="G72" s="15" t="s">
        <v>402</v>
      </c>
      <c r="H72" s="15" t="s">
        <v>387</v>
      </c>
      <c r="I72" s="25"/>
      <c r="J72" s="1">
        <f t="shared" si="3"/>
        <v>4</v>
      </c>
      <c r="S72" s="69"/>
    </row>
    <row r="73" spans="1:19" ht="15.75" thickBot="1">
      <c r="A73" s="14"/>
      <c r="B73" s="14"/>
      <c r="C73" s="14"/>
      <c r="D73" s="18"/>
      <c r="E73" s="18"/>
      <c r="F73" s="18"/>
      <c r="G73" s="18"/>
      <c r="H73" s="18"/>
      <c r="I73" s="18"/>
      <c r="J73" s="18"/>
      <c r="S73" s="69"/>
    </row>
    <row r="74" spans="1:19" ht="15.75" thickBot="1">
      <c r="A74" s="7">
        <f>_xlfn.XLOOKUP(B74,'2025 Draft'!C:C,'2025 Draft'!A:A)</f>
        <v>4</v>
      </c>
      <c r="B74" s="4" t="s">
        <v>716</v>
      </c>
      <c r="C74" s="8" t="s">
        <v>5</v>
      </c>
      <c r="D74" s="17" t="s">
        <v>114</v>
      </c>
      <c r="F74" s="15" t="s">
        <v>400</v>
      </c>
      <c r="G74" s="15" t="s">
        <v>401</v>
      </c>
      <c r="H74" s="15" t="s">
        <v>402</v>
      </c>
      <c r="I74" s="25"/>
      <c r="J74" s="1">
        <f>IF(A74="FA",9,A74-1)</f>
        <v>3</v>
      </c>
      <c r="S74" s="69"/>
    </row>
    <row r="75" spans="1:19" ht="15.75" thickBot="1">
      <c r="A75" s="7">
        <f>_xlfn.XLOOKUP(B75,'2025 Draft'!C:C,'2025 Draft'!A:A)</f>
        <v>7</v>
      </c>
      <c r="B75" s="4" t="s">
        <v>848</v>
      </c>
      <c r="C75" s="4" t="s">
        <v>10</v>
      </c>
      <c r="D75" s="17" t="s">
        <v>114</v>
      </c>
      <c r="F75" s="15" t="s">
        <v>400</v>
      </c>
      <c r="G75" s="15" t="s">
        <v>401</v>
      </c>
      <c r="H75" s="15" t="s">
        <v>402</v>
      </c>
      <c r="I75" s="25"/>
      <c r="J75" s="1">
        <f t="shared" ref="J75:J89" si="4">IF(A75="FA",9,A75-1)</f>
        <v>6</v>
      </c>
      <c r="S75" s="69"/>
    </row>
    <row r="76" spans="1:19" ht="15.75" thickBot="1">
      <c r="A76" s="7">
        <f>_xlfn.XLOOKUP(B76,'2025 Draft'!C:C,'2025 Draft'!A:A)</f>
        <v>8</v>
      </c>
      <c r="B76" s="4" t="s">
        <v>1125</v>
      </c>
      <c r="C76" s="4" t="s">
        <v>10</v>
      </c>
      <c r="D76" s="17" t="s">
        <v>114</v>
      </c>
      <c r="F76" s="15" t="s">
        <v>400</v>
      </c>
      <c r="G76" s="15" t="s">
        <v>401</v>
      </c>
      <c r="H76" s="15" t="s">
        <v>402</v>
      </c>
      <c r="I76" s="25"/>
      <c r="J76" s="1">
        <f t="shared" si="4"/>
        <v>7</v>
      </c>
      <c r="K76" s="107" t="s">
        <v>1100</v>
      </c>
      <c r="S76" s="69"/>
    </row>
    <row r="77" spans="1:19" ht="15.75" thickBot="1">
      <c r="A77" s="7">
        <f>_xlfn.XLOOKUP(B77,'2025 Draft'!C:C,'2025 Draft'!A:A)</f>
        <v>1</v>
      </c>
      <c r="B77" s="4" t="s">
        <v>799</v>
      </c>
      <c r="C77" s="8" t="s">
        <v>2</v>
      </c>
      <c r="D77" s="16" t="s">
        <v>114</v>
      </c>
      <c r="F77" s="15" t="s">
        <v>400</v>
      </c>
      <c r="G77" s="15" t="s">
        <v>401</v>
      </c>
      <c r="H77" s="15" t="s">
        <v>402</v>
      </c>
      <c r="I77" s="25"/>
      <c r="J77" s="1">
        <f t="shared" si="4"/>
        <v>0</v>
      </c>
      <c r="S77" s="69"/>
    </row>
    <row r="78" spans="1:19" ht="15.75" thickBot="1">
      <c r="A78" s="7">
        <f>_xlfn.XLOOKUP(B78,'2025 Draft'!C:C,'2025 Draft'!A:A)</f>
        <v>2</v>
      </c>
      <c r="B78" s="4" t="s">
        <v>812</v>
      </c>
      <c r="C78" s="8" t="s">
        <v>2</v>
      </c>
      <c r="D78" s="16" t="s">
        <v>114</v>
      </c>
      <c r="F78" s="15" t="s">
        <v>402</v>
      </c>
      <c r="G78" s="15" t="s">
        <v>387</v>
      </c>
      <c r="H78" s="15" t="s">
        <v>387</v>
      </c>
      <c r="I78" s="25"/>
      <c r="J78" s="1">
        <f t="shared" si="4"/>
        <v>1</v>
      </c>
      <c r="S78" s="69"/>
    </row>
    <row r="79" spans="1:19" ht="15.75" thickBot="1">
      <c r="A79" s="7">
        <f>_xlfn.XLOOKUP(B79,'2025 Draft'!C:C,'2025 Draft'!A:A)</f>
        <v>7</v>
      </c>
      <c r="B79" s="4" t="s">
        <v>997</v>
      </c>
      <c r="C79" s="4" t="s">
        <v>27</v>
      </c>
      <c r="D79" s="17" t="s">
        <v>114</v>
      </c>
      <c r="F79" s="15" t="s">
        <v>401</v>
      </c>
      <c r="G79" s="15" t="s">
        <v>402</v>
      </c>
      <c r="H79" s="15" t="s">
        <v>387</v>
      </c>
      <c r="I79" s="25"/>
      <c r="J79" s="1">
        <f t="shared" si="4"/>
        <v>6</v>
      </c>
      <c r="S79" s="69"/>
    </row>
    <row r="80" spans="1:19" ht="15.75" thickBot="1">
      <c r="A80" s="7">
        <f>_xlfn.XLOOKUP(B80,'2025 Draft'!C:C,'2025 Draft'!A:A)</f>
        <v>5</v>
      </c>
      <c r="B80" s="4" t="s">
        <v>767</v>
      </c>
      <c r="C80" s="4" t="s">
        <v>2</v>
      </c>
      <c r="D80" s="17" t="s">
        <v>114</v>
      </c>
      <c r="F80" s="15" t="s">
        <v>400</v>
      </c>
      <c r="G80" s="15" t="s">
        <v>401</v>
      </c>
      <c r="H80" s="15" t="s">
        <v>402</v>
      </c>
      <c r="I80" s="25"/>
      <c r="J80" s="1">
        <f t="shared" si="4"/>
        <v>4</v>
      </c>
      <c r="S80" s="69"/>
    </row>
    <row r="81" spans="1:19" ht="15.75" thickBot="1">
      <c r="A81" s="7">
        <f>_xlfn.XLOOKUP(B81,'2025 Draft'!C:C,'2025 Draft'!A:A)</f>
        <v>8</v>
      </c>
      <c r="B81" s="4" t="s">
        <v>624</v>
      </c>
      <c r="C81" s="4" t="s">
        <v>2</v>
      </c>
      <c r="D81" s="17" t="s">
        <v>114</v>
      </c>
      <c r="F81" s="15" t="s">
        <v>400</v>
      </c>
      <c r="G81" s="15" t="s">
        <v>401</v>
      </c>
      <c r="H81" s="15" t="s">
        <v>402</v>
      </c>
      <c r="I81" s="25"/>
      <c r="J81" s="1">
        <f t="shared" si="4"/>
        <v>7</v>
      </c>
      <c r="S81" s="69"/>
    </row>
    <row r="82" spans="1:19" ht="15.75" thickBot="1">
      <c r="A82" s="7">
        <v>9</v>
      </c>
      <c r="B82" s="4" t="s">
        <v>1094</v>
      </c>
      <c r="C82" s="4" t="s">
        <v>534</v>
      </c>
      <c r="D82" s="17" t="s">
        <v>114</v>
      </c>
      <c r="F82" s="15" t="s">
        <v>400</v>
      </c>
      <c r="G82" s="15" t="s">
        <v>401</v>
      </c>
      <c r="H82" s="15" t="s">
        <v>402</v>
      </c>
      <c r="I82" s="25"/>
      <c r="J82" s="1">
        <f t="shared" si="4"/>
        <v>8</v>
      </c>
      <c r="S82" s="69"/>
    </row>
    <row r="83" spans="1:19" ht="15.75" thickBot="1">
      <c r="A83" s="7">
        <f>_xlfn.XLOOKUP(B83,'2025 Draft'!C:C,'2025 Draft'!A:A)</f>
        <v>3</v>
      </c>
      <c r="B83" s="4" t="s">
        <v>855</v>
      </c>
      <c r="C83" s="4" t="s">
        <v>10</v>
      </c>
      <c r="D83" s="17" t="s">
        <v>114</v>
      </c>
      <c r="F83" s="15" t="s">
        <v>400</v>
      </c>
      <c r="G83" s="15" t="s">
        <v>401</v>
      </c>
      <c r="H83" s="15" t="s">
        <v>402</v>
      </c>
      <c r="I83" s="25"/>
      <c r="J83" s="1">
        <f t="shared" si="4"/>
        <v>2</v>
      </c>
      <c r="S83" s="69"/>
    </row>
    <row r="84" spans="1:19" ht="15.75" thickBot="1">
      <c r="A84" s="7">
        <f>_xlfn.XLOOKUP(B84,'2025 Draft'!C:C,'2025 Draft'!A:A)</f>
        <v>4</v>
      </c>
      <c r="B84" s="4" t="s">
        <v>499</v>
      </c>
      <c r="C84" s="4" t="s">
        <v>2</v>
      </c>
      <c r="D84" s="17" t="s">
        <v>114</v>
      </c>
      <c r="F84" s="15" t="s">
        <v>400</v>
      </c>
      <c r="G84" s="15" t="s">
        <v>401</v>
      </c>
      <c r="H84" s="15" t="s">
        <v>402</v>
      </c>
      <c r="I84" s="25"/>
      <c r="J84" s="1">
        <f t="shared" si="4"/>
        <v>3</v>
      </c>
      <c r="S84" s="69"/>
    </row>
    <row r="85" spans="1:19" ht="15.75" thickBot="1">
      <c r="A85" s="7">
        <f>_xlfn.XLOOKUP(B85,'2025 Draft'!C:C,'2025 Draft'!A:A)</f>
        <v>13</v>
      </c>
      <c r="B85" s="4" t="s">
        <v>1140</v>
      </c>
      <c r="C85" s="4" t="s">
        <v>10</v>
      </c>
      <c r="D85" s="17" t="s">
        <v>114</v>
      </c>
      <c r="F85" s="15" t="s">
        <v>400</v>
      </c>
      <c r="G85" s="15" t="s">
        <v>401</v>
      </c>
      <c r="H85" s="15" t="s">
        <v>402</v>
      </c>
      <c r="I85" s="25"/>
      <c r="J85" s="1">
        <f t="shared" si="4"/>
        <v>12</v>
      </c>
      <c r="S85" s="69"/>
    </row>
    <row r="86" spans="1:19" ht="15.75" thickBot="1">
      <c r="A86" s="7">
        <v>9</v>
      </c>
      <c r="B86" s="4" t="s">
        <v>793</v>
      </c>
      <c r="C86" s="4" t="s">
        <v>10</v>
      </c>
      <c r="D86" s="17" t="s">
        <v>114</v>
      </c>
      <c r="F86" s="15" t="s">
        <v>400</v>
      </c>
      <c r="G86" s="15" t="s">
        <v>401</v>
      </c>
      <c r="H86" s="15" t="s">
        <v>402</v>
      </c>
      <c r="I86" s="25"/>
      <c r="J86" s="1">
        <f t="shared" si="4"/>
        <v>8</v>
      </c>
      <c r="S86" s="69"/>
    </row>
    <row r="87" spans="1:19" ht="15.75" thickBot="1">
      <c r="A87" s="7">
        <v>9</v>
      </c>
      <c r="B87" s="4" t="s">
        <v>593</v>
      </c>
      <c r="C87" s="4" t="s">
        <v>10</v>
      </c>
      <c r="D87" s="17" t="s">
        <v>114</v>
      </c>
      <c r="F87" s="15" t="s">
        <v>400</v>
      </c>
      <c r="G87" s="15" t="s">
        <v>401</v>
      </c>
      <c r="H87" s="15" t="s">
        <v>402</v>
      </c>
      <c r="I87" s="25"/>
      <c r="J87" s="1">
        <f t="shared" si="4"/>
        <v>8</v>
      </c>
      <c r="S87" s="69"/>
    </row>
    <row r="88" spans="1:19" ht="15.75" thickBot="1">
      <c r="A88" s="7">
        <v>9</v>
      </c>
      <c r="B88" s="4" t="s">
        <v>1029</v>
      </c>
      <c r="C88" s="4" t="s">
        <v>10</v>
      </c>
      <c r="D88" s="17" t="s">
        <v>114</v>
      </c>
      <c r="F88" s="15" t="s">
        <v>400</v>
      </c>
      <c r="G88" s="15" t="s">
        <v>401</v>
      </c>
      <c r="H88" s="15" t="s">
        <v>402</v>
      </c>
      <c r="I88" s="25"/>
      <c r="J88" s="1">
        <f t="shared" si="4"/>
        <v>8</v>
      </c>
      <c r="S88" s="69"/>
    </row>
    <row r="89" spans="1:19" ht="15.75" thickBot="1">
      <c r="A89" s="7">
        <v>9</v>
      </c>
      <c r="B89" s="4" t="s">
        <v>1168</v>
      </c>
      <c r="C89" s="4" t="s">
        <v>2</v>
      </c>
      <c r="D89" s="17" t="s">
        <v>114</v>
      </c>
      <c r="F89" s="15" t="s">
        <v>400</v>
      </c>
      <c r="G89" s="15" t="s">
        <v>401</v>
      </c>
      <c r="H89" s="15" t="s">
        <v>402</v>
      </c>
      <c r="I89" s="25"/>
      <c r="J89" s="1">
        <f t="shared" si="4"/>
        <v>8</v>
      </c>
      <c r="S89" s="69"/>
    </row>
    <row r="90" spans="1:19" ht="15.75" thickBot="1">
      <c r="A90" s="14"/>
      <c r="B90" s="14"/>
      <c r="C90" s="14"/>
      <c r="D90" s="18"/>
      <c r="E90" s="18"/>
      <c r="F90" s="18"/>
      <c r="G90" s="18"/>
      <c r="H90" s="18"/>
      <c r="I90" s="18"/>
      <c r="J90" s="18"/>
      <c r="S90" s="69"/>
    </row>
    <row r="91" spans="1:19" ht="15.75" thickBot="1">
      <c r="A91" s="7">
        <v>9</v>
      </c>
      <c r="B91" s="4" t="s">
        <v>1169</v>
      </c>
      <c r="C91" s="8" t="s">
        <v>5</v>
      </c>
      <c r="D91" s="17" t="s">
        <v>471</v>
      </c>
      <c r="F91" s="15" t="s">
        <v>400</v>
      </c>
      <c r="G91" s="15" t="s">
        <v>401</v>
      </c>
      <c r="H91" s="15" t="s">
        <v>402</v>
      </c>
      <c r="I91" s="25"/>
      <c r="J91" s="1">
        <f>IF(A91="FA",9,A91-1)</f>
        <v>8</v>
      </c>
      <c r="S91" s="69"/>
    </row>
    <row r="92" spans="1:19" ht="15.75" thickBot="1">
      <c r="A92" s="7">
        <v>9</v>
      </c>
      <c r="B92" s="4" t="s">
        <v>1170</v>
      </c>
      <c r="C92" s="4" t="s">
        <v>10</v>
      </c>
      <c r="D92" s="17" t="s">
        <v>471</v>
      </c>
      <c r="F92" s="15" t="s">
        <v>400</v>
      </c>
      <c r="G92" s="15" t="s">
        <v>401</v>
      </c>
      <c r="H92" s="15" t="s">
        <v>402</v>
      </c>
      <c r="I92" s="25"/>
      <c r="J92" s="1">
        <f t="shared" ref="J92:J107" si="5">IF(A92="FA",9,A92-1)</f>
        <v>8</v>
      </c>
      <c r="S92" s="69"/>
    </row>
    <row r="93" spans="1:19" ht="15.75" thickBot="1">
      <c r="A93" s="7">
        <v>9</v>
      </c>
      <c r="B93" s="4" t="s">
        <v>878</v>
      </c>
      <c r="C93" s="8" t="s">
        <v>10</v>
      </c>
      <c r="D93" s="16" t="s">
        <v>471</v>
      </c>
      <c r="F93" s="15" t="s">
        <v>400</v>
      </c>
      <c r="G93" s="15" t="s">
        <v>401</v>
      </c>
      <c r="H93" s="15" t="s">
        <v>402</v>
      </c>
      <c r="I93" s="25"/>
      <c r="J93" s="1">
        <f t="shared" si="5"/>
        <v>8</v>
      </c>
      <c r="S93" s="69"/>
    </row>
    <row r="94" spans="1:19" ht="15.75" thickBot="1">
      <c r="A94" s="7">
        <f>_xlfn.XLOOKUP(B94,'2025 Draft'!C:C,'2025 Draft'!A:A)</f>
        <v>6</v>
      </c>
      <c r="B94" s="4" t="s">
        <v>1087</v>
      </c>
      <c r="C94" s="4" t="s">
        <v>2</v>
      </c>
      <c r="D94" s="17" t="s">
        <v>471</v>
      </c>
      <c r="F94" s="15" t="s">
        <v>400</v>
      </c>
      <c r="G94" s="15" t="s">
        <v>401</v>
      </c>
      <c r="H94" s="15" t="s">
        <v>402</v>
      </c>
      <c r="I94" s="25"/>
      <c r="J94" s="1">
        <f t="shared" si="5"/>
        <v>5</v>
      </c>
      <c r="S94" s="69"/>
    </row>
    <row r="95" spans="1:19" ht="15.75" thickBot="1">
      <c r="A95" s="7">
        <f>_xlfn.XLOOKUP(B95,'2025 Draft'!C:C,'2025 Draft'!A:A)</f>
        <v>8</v>
      </c>
      <c r="B95" s="4" t="s">
        <v>711</v>
      </c>
      <c r="C95" s="4" t="s">
        <v>2</v>
      </c>
      <c r="D95" s="17" t="s">
        <v>471</v>
      </c>
      <c r="F95" s="15" t="s">
        <v>401</v>
      </c>
      <c r="G95" s="15" t="s">
        <v>402</v>
      </c>
      <c r="H95" s="15" t="s">
        <v>387</v>
      </c>
      <c r="I95" s="25"/>
      <c r="J95" s="1">
        <f t="shared" si="5"/>
        <v>7</v>
      </c>
      <c r="S95" s="69"/>
    </row>
    <row r="96" spans="1:19" ht="15.75" thickBot="1">
      <c r="A96" s="7">
        <v>9</v>
      </c>
      <c r="B96" s="4" t="s">
        <v>1171</v>
      </c>
      <c r="C96" s="4" t="s">
        <v>27</v>
      </c>
      <c r="D96" s="17" t="s">
        <v>471</v>
      </c>
      <c r="F96" s="15" t="s">
        <v>400</v>
      </c>
      <c r="G96" s="15" t="s">
        <v>401</v>
      </c>
      <c r="H96" s="15" t="s">
        <v>402</v>
      </c>
      <c r="I96" s="25"/>
      <c r="J96" s="1">
        <f t="shared" si="5"/>
        <v>8</v>
      </c>
      <c r="S96" s="69"/>
    </row>
    <row r="97" spans="1:19" ht="15.75" thickBot="1">
      <c r="A97" s="7">
        <v>9</v>
      </c>
      <c r="B97" s="4" t="s">
        <v>872</v>
      </c>
      <c r="C97" s="4" t="s">
        <v>2</v>
      </c>
      <c r="D97" s="17" t="s">
        <v>471</v>
      </c>
      <c r="F97" s="15" t="s">
        <v>400</v>
      </c>
      <c r="G97" s="15" t="s">
        <v>401</v>
      </c>
      <c r="H97" s="15" t="s">
        <v>402</v>
      </c>
      <c r="I97" s="25"/>
      <c r="J97" s="1">
        <f t="shared" si="5"/>
        <v>8</v>
      </c>
      <c r="S97" s="69"/>
    </row>
    <row r="98" spans="1:19" ht="15.75" thickBot="1">
      <c r="A98" s="7">
        <v>9</v>
      </c>
      <c r="B98" s="4" t="s">
        <v>1172</v>
      </c>
      <c r="C98" s="4" t="s">
        <v>2</v>
      </c>
      <c r="D98" s="17" t="s">
        <v>471</v>
      </c>
      <c r="F98" s="15" t="s">
        <v>400</v>
      </c>
      <c r="G98" s="15" t="s">
        <v>401</v>
      </c>
      <c r="H98" s="15" t="s">
        <v>402</v>
      </c>
      <c r="I98" s="25"/>
      <c r="J98" s="1">
        <f t="shared" si="5"/>
        <v>8</v>
      </c>
      <c r="S98" s="69"/>
    </row>
    <row r="99" spans="1:19" ht="15.75" thickBot="1">
      <c r="A99" s="7">
        <v>9</v>
      </c>
      <c r="B99" s="4" t="s">
        <v>749</v>
      </c>
      <c r="C99" s="4" t="s">
        <v>534</v>
      </c>
      <c r="D99" s="17" t="s">
        <v>471</v>
      </c>
      <c r="F99" s="15" t="s">
        <v>400</v>
      </c>
      <c r="G99" s="15" t="s">
        <v>401</v>
      </c>
      <c r="H99" s="15" t="s">
        <v>402</v>
      </c>
      <c r="I99" s="25"/>
      <c r="J99" s="1">
        <f t="shared" si="5"/>
        <v>8</v>
      </c>
      <c r="S99" s="69"/>
    </row>
    <row r="100" spans="1:19" ht="15.75" thickBot="1">
      <c r="A100" s="7">
        <f>_xlfn.XLOOKUP(B100,'2025 Draft'!C:C,'2025 Draft'!A:A)</f>
        <v>3</v>
      </c>
      <c r="B100" s="4" t="s">
        <v>735</v>
      </c>
      <c r="C100" s="4" t="s">
        <v>5</v>
      </c>
      <c r="D100" s="17" t="s">
        <v>471</v>
      </c>
      <c r="F100" s="15" t="s">
        <v>400</v>
      </c>
      <c r="G100" s="15" t="s">
        <v>401</v>
      </c>
      <c r="H100" s="15" t="s">
        <v>402</v>
      </c>
      <c r="I100" s="25"/>
      <c r="J100" s="1">
        <f t="shared" si="5"/>
        <v>2</v>
      </c>
      <c r="S100" s="69"/>
    </row>
    <row r="101" spans="1:19" ht="15.75" thickBot="1">
      <c r="A101" s="7">
        <f>_xlfn.XLOOKUP(B101,'2025 Draft'!C:C,'2025 Draft'!A:A)</f>
        <v>8</v>
      </c>
      <c r="B101" s="4" t="s">
        <v>1126</v>
      </c>
      <c r="C101" s="4" t="s">
        <v>2</v>
      </c>
      <c r="D101" s="17" t="s">
        <v>471</v>
      </c>
      <c r="F101" s="15" t="s">
        <v>400</v>
      </c>
      <c r="G101" s="15" t="s">
        <v>401</v>
      </c>
      <c r="H101" s="15" t="s">
        <v>402</v>
      </c>
      <c r="I101" s="25"/>
      <c r="J101" s="1">
        <f t="shared" si="5"/>
        <v>7</v>
      </c>
      <c r="S101" s="69"/>
    </row>
    <row r="102" spans="1:19" ht="15.75" thickBot="1">
      <c r="A102" s="7">
        <v>9</v>
      </c>
      <c r="B102" s="4" t="s">
        <v>1123</v>
      </c>
      <c r="C102" s="4" t="s">
        <v>2</v>
      </c>
      <c r="D102" s="17" t="s">
        <v>471</v>
      </c>
      <c r="F102" s="15" t="s">
        <v>400</v>
      </c>
      <c r="G102" s="15" t="s">
        <v>401</v>
      </c>
      <c r="H102" s="15" t="s">
        <v>402</v>
      </c>
      <c r="I102" s="25"/>
      <c r="J102" s="1">
        <f t="shared" si="5"/>
        <v>8</v>
      </c>
      <c r="S102" s="69"/>
    </row>
    <row r="103" spans="1:19" ht="15.75" thickBot="1">
      <c r="A103" s="7">
        <f>_xlfn.XLOOKUP(B103,'2025 Draft'!C:C,'2025 Draft'!A:A)</f>
        <v>7</v>
      </c>
      <c r="B103" s="4" t="s">
        <v>998</v>
      </c>
      <c r="C103" s="4" t="s">
        <v>2</v>
      </c>
      <c r="D103" s="17" t="s">
        <v>471</v>
      </c>
      <c r="F103" s="15" t="s">
        <v>400</v>
      </c>
      <c r="G103" s="15" t="s">
        <v>401</v>
      </c>
      <c r="H103" s="15" t="s">
        <v>402</v>
      </c>
      <c r="I103" s="25"/>
      <c r="J103" s="1">
        <f t="shared" si="5"/>
        <v>6</v>
      </c>
      <c r="K103" s="107" t="s">
        <v>1100</v>
      </c>
      <c r="S103" s="69"/>
    </row>
    <row r="104" spans="1:19" ht="15.75" thickBot="1">
      <c r="A104" s="7">
        <v>9</v>
      </c>
      <c r="B104" s="4" t="s">
        <v>1040</v>
      </c>
      <c r="C104" s="4" t="s">
        <v>10</v>
      </c>
      <c r="D104" s="17" t="s">
        <v>471</v>
      </c>
      <c r="F104" s="15" t="s">
        <v>400</v>
      </c>
      <c r="G104" s="15" t="s">
        <v>401</v>
      </c>
      <c r="H104" s="15" t="s">
        <v>402</v>
      </c>
      <c r="I104" s="25"/>
      <c r="J104" s="1">
        <f t="shared" si="5"/>
        <v>8</v>
      </c>
      <c r="S104" s="69"/>
    </row>
    <row r="105" spans="1:19" ht="15.75" thickBot="1">
      <c r="A105" s="7">
        <v>9</v>
      </c>
      <c r="B105" s="4" t="s">
        <v>1173</v>
      </c>
      <c r="C105" s="4" t="s">
        <v>2</v>
      </c>
      <c r="D105" s="17" t="s">
        <v>471</v>
      </c>
      <c r="F105" s="15" t="s">
        <v>400</v>
      </c>
      <c r="G105" s="15" t="s">
        <v>401</v>
      </c>
      <c r="H105" s="15" t="s">
        <v>402</v>
      </c>
      <c r="I105" s="25"/>
      <c r="J105" s="1">
        <f t="shared" si="5"/>
        <v>8</v>
      </c>
      <c r="S105" s="69"/>
    </row>
    <row r="106" spans="1:19" ht="15.75" thickBot="1">
      <c r="A106" s="7">
        <v>9</v>
      </c>
      <c r="B106" s="4" t="s">
        <v>1144</v>
      </c>
      <c r="C106" s="4" t="s">
        <v>2</v>
      </c>
      <c r="D106" s="17" t="s">
        <v>471</v>
      </c>
      <c r="F106" s="15" t="s">
        <v>400</v>
      </c>
      <c r="G106" s="15" t="s">
        <v>401</v>
      </c>
      <c r="H106" s="15" t="s">
        <v>402</v>
      </c>
      <c r="I106" s="25"/>
      <c r="J106" s="1">
        <f t="shared" si="5"/>
        <v>8</v>
      </c>
      <c r="S106" s="69"/>
    </row>
    <row r="107" spans="1:19" ht="15.75" thickBot="1">
      <c r="A107" s="7">
        <f>_xlfn.XLOOKUP(B107,'2025 Draft'!C:C,'2025 Draft'!A:A)</f>
        <v>12</v>
      </c>
      <c r="B107" s="4" t="s">
        <v>1013</v>
      </c>
      <c r="C107" s="4" t="s">
        <v>10</v>
      </c>
      <c r="D107" s="17" t="s">
        <v>471</v>
      </c>
      <c r="F107" s="15" t="s">
        <v>400</v>
      </c>
      <c r="G107" s="15" t="s">
        <v>401</v>
      </c>
      <c r="H107" s="15" t="s">
        <v>402</v>
      </c>
      <c r="I107" s="25"/>
      <c r="J107" s="1">
        <f t="shared" si="5"/>
        <v>11</v>
      </c>
      <c r="S107" s="69"/>
    </row>
    <row r="108" spans="1:19" ht="15.75" thickBot="1">
      <c r="A108" s="14"/>
      <c r="B108" s="14"/>
      <c r="C108" s="14"/>
      <c r="D108" s="18"/>
      <c r="E108" s="18"/>
      <c r="F108" s="18"/>
      <c r="G108" s="18"/>
      <c r="H108" s="18"/>
      <c r="I108" s="18"/>
      <c r="J108" s="18"/>
      <c r="S108" s="69"/>
    </row>
    <row r="109" spans="1:19" ht="15.75" thickBot="1">
      <c r="A109" s="7">
        <f>_xlfn.XLOOKUP(B109,'2025 Draft'!C:C,'2025 Draft'!A:A)</f>
        <v>13</v>
      </c>
      <c r="B109" s="4" t="s">
        <v>1139</v>
      </c>
      <c r="C109" s="8" t="s">
        <v>5</v>
      </c>
      <c r="D109" s="17" t="s">
        <v>58</v>
      </c>
      <c r="F109" s="15" t="s">
        <v>400</v>
      </c>
      <c r="G109" s="15" t="s">
        <v>401</v>
      </c>
      <c r="H109" s="15" t="s">
        <v>402</v>
      </c>
      <c r="I109" s="25"/>
      <c r="J109" s="1">
        <f>IF(A109="FA",9,A109-1)</f>
        <v>12</v>
      </c>
      <c r="S109" s="69"/>
    </row>
    <row r="110" spans="1:19" ht="15.75" thickBot="1">
      <c r="A110" s="7">
        <f>_xlfn.XLOOKUP(B110,'2025 Draft'!C:C,'2025 Draft'!A:A)</f>
        <v>7</v>
      </c>
      <c r="B110" s="4" t="s">
        <v>910</v>
      </c>
      <c r="C110" s="4" t="s">
        <v>10</v>
      </c>
      <c r="D110" s="17" t="s">
        <v>58</v>
      </c>
      <c r="F110" s="15" t="s">
        <v>401</v>
      </c>
      <c r="G110" s="15" t="s">
        <v>402</v>
      </c>
      <c r="H110" s="15" t="s">
        <v>387</v>
      </c>
      <c r="I110" s="25"/>
      <c r="J110" s="1">
        <f t="shared" ref="J110:J124" si="6">IF(A110="FA",9,A110-1)</f>
        <v>6</v>
      </c>
      <c r="S110" s="69"/>
    </row>
    <row r="111" spans="1:19" ht="15.75" thickBot="1">
      <c r="A111" s="7">
        <f>_xlfn.XLOOKUP(B111,'2025 Draft'!C:C,'2025 Draft'!A:A)</f>
        <v>2</v>
      </c>
      <c r="B111" s="4" t="s">
        <v>581</v>
      </c>
      <c r="C111" s="4" t="s">
        <v>10</v>
      </c>
      <c r="D111" s="17" t="s">
        <v>58</v>
      </c>
      <c r="F111" s="15" t="s">
        <v>400</v>
      </c>
      <c r="G111" s="15" t="s">
        <v>401</v>
      </c>
      <c r="H111" s="15" t="s">
        <v>402</v>
      </c>
      <c r="I111" s="25"/>
      <c r="J111" s="1">
        <f t="shared" si="6"/>
        <v>1</v>
      </c>
      <c r="K111" s="107" t="s">
        <v>1100</v>
      </c>
      <c r="S111" s="69"/>
    </row>
    <row r="112" spans="1:19" ht="15.75" thickBot="1">
      <c r="A112" s="7">
        <f>_xlfn.XLOOKUP(B112,'2025 Draft'!C:C,'2025 Draft'!A:A)</f>
        <v>4</v>
      </c>
      <c r="B112" s="4" t="s">
        <v>844</v>
      </c>
      <c r="C112" s="4" t="s">
        <v>2</v>
      </c>
      <c r="D112" s="17" t="s">
        <v>58</v>
      </c>
      <c r="F112" s="15" t="s">
        <v>400</v>
      </c>
      <c r="G112" s="15" t="s">
        <v>401</v>
      </c>
      <c r="H112" s="15" t="s">
        <v>402</v>
      </c>
      <c r="I112" s="25"/>
      <c r="J112" s="1">
        <f t="shared" si="6"/>
        <v>3</v>
      </c>
      <c r="S112" s="69"/>
    </row>
    <row r="113" spans="1:19" ht="15.75" thickBot="1">
      <c r="A113" s="7">
        <f>_xlfn.XLOOKUP(B113,'2025 Draft'!C:C,'2025 Draft'!A:A)</f>
        <v>5</v>
      </c>
      <c r="B113" s="4" t="s">
        <v>858</v>
      </c>
      <c r="C113" s="4" t="s">
        <v>2</v>
      </c>
      <c r="D113" s="17" t="s">
        <v>58</v>
      </c>
      <c r="F113" s="15" t="s">
        <v>401</v>
      </c>
      <c r="G113" s="15" t="s">
        <v>402</v>
      </c>
      <c r="H113" s="15" t="s">
        <v>387</v>
      </c>
      <c r="I113" s="25"/>
      <c r="J113" s="1">
        <f t="shared" si="6"/>
        <v>4</v>
      </c>
      <c r="S113" s="69"/>
    </row>
    <row r="114" spans="1:19" ht="15.75" thickBot="1">
      <c r="A114" s="7">
        <f>_xlfn.XLOOKUP(B114,'2025 Draft'!C:C,'2025 Draft'!A:A)</f>
        <v>8</v>
      </c>
      <c r="B114" s="4" t="s">
        <v>1124</v>
      </c>
      <c r="C114" s="4" t="s">
        <v>27</v>
      </c>
      <c r="D114" s="17" t="s">
        <v>58</v>
      </c>
      <c r="F114" s="15" t="s">
        <v>400</v>
      </c>
      <c r="G114" s="15" t="s">
        <v>401</v>
      </c>
      <c r="H114" s="15" t="s">
        <v>402</v>
      </c>
      <c r="I114" s="25"/>
      <c r="J114" s="1">
        <f t="shared" si="6"/>
        <v>7</v>
      </c>
      <c r="K114" s="107" t="s">
        <v>1100</v>
      </c>
      <c r="S114" s="69"/>
    </row>
    <row r="115" spans="1:19" ht="15.75" thickBot="1">
      <c r="A115" s="7">
        <f>_xlfn.XLOOKUP(B115,'2025 Draft'!C:C,'2025 Draft'!A:A)</f>
        <v>4</v>
      </c>
      <c r="B115" s="4" t="s">
        <v>1118</v>
      </c>
      <c r="C115" s="4" t="s">
        <v>10</v>
      </c>
      <c r="D115" s="17" t="s">
        <v>58</v>
      </c>
      <c r="F115" s="15" t="s">
        <v>400</v>
      </c>
      <c r="G115" s="15" t="s">
        <v>401</v>
      </c>
      <c r="H115" s="15" t="s">
        <v>402</v>
      </c>
      <c r="I115" s="25"/>
      <c r="J115" s="1">
        <f t="shared" si="6"/>
        <v>3</v>
      </c>
      <c r="S115" s="69"/>
    </row>
    <row r="116" spans="1:19" ht="15.75" thickBot="1">
      <c r="A116" s="7">
        <f>_xlfn.XLOOKUP(B116,'2025 Draft'!C:C,'2025 Draft'!A:A)</f>
        <v>5</v>
      </c>
      <c r="B116" s="4" t="s">
        <v>1119</v>
      </c>
      <c r="C116" s="8" t="s">
        <v>2</v>
      </c>
      <c r="D116" s="16" t="s">
        <v>58</v>
      </c>
      <c r="F116" s="15" t="s">
        <v>400</v>
      </c>
      <c r="G116" s="15" t="s">
        <v>401</v>
      </c>
      <c r="H116" s="15" t="s">
        <v>402</v>
      </c>
      <c r="I116" s="25"/>
      <c r="J116" s="1">
        <f t="shared" si="6"/>
        <v>4</v>
      </c>
      <c r="S116" s="69"/>
    </row>
    <row r="117" spans="1:19" ht="15.75" thickBot="1">
      <c r="A117" s="7">
        <v>9</v>
      </c>
      <c r="B117" s="4" t="s">
        <v>456</v>
      </c>
      <c r="C117" s="4" t="s">
        <v>534</v>
      </c>
      <c r="D117" s="17" t="s">
        <v>58</v>
      </c>
      <c r="F117" s="15" t="s">
        <v>400</v>
      </c>
      <c r="G117" s="15" t="s">
        <v>401</v>
      </c>
      <c r="H117" s="15" t="s">
        <v>402</v>
      </c>
      <c r="I117" s="25"/>
      <c r="J117" s="1">
        <f t="shared" si="6"/>
        <v>8</v>
      </c>
      <c r="S117" s="69"/>
    </row>
    <row r="118" spans="1:19" ht="15.75" thickBot="1">
      <c r="A118" s="7">
        <f>_xlfn.XLOOKUP(B118,'2025 Draft'!C:C,'2025 Draft'!A:A)</f>
        <v>1</v>
      </c>
      <c r="B118" s="4" t="s">
        <v>1113</v>
      </c>
      <c r="C118" s="4" t="s">
        <v>10</v>
      </c>
      <c r="D118" s="17" t="s">
        <v>58</v>
      </c>
      <c r="F118" s="15" t="s">
        <v>400</v>
      </c>
      <c r="G118" s="15" t="s">
        <v>401</v>
      </c>
      <c r="H118" s="15" t="s">
        <v>402</v>
      </c>
      <c r="I118" s="25"/>
      <c r="J118" s="1">
        <f t="shared" si="6"/>
        <v>0</v>
      </c>
      <c r="S118" s="69"/>
    </row>
    <row r="119" spans="1:19" ht="15.75" thickBot="1">
      <c r="A119" s="7">
        <f>_xlfn.XLOOKUP(B119,'2025 Draft'!C:C,'2025 Draft'!A:A)</f>
        <v>12</v>
      </c>
      <c r="B119" s="4" t="s">
        <v>1137</v>
      </c>
      <c r="C119" s="4" t="s">
        <v>10</v>
      </c>
      <c r="D119" s="17" t="s">
        <v>58</v>
      </c>
      <c r="F119" s="15" t="s">
        <v>400</v>
      </c>
      <c r="G119" s="15" t="s">
        <v>401</v>
      </c>
      <c r="H119" s="15" t="s">
        <v>402</v>
      </c>
      <c r="I119" s="25"/>
      <c r="J119" s="1">
        <f t="shared" si="6"/>
        <v>11</v>
      </c>
      <c r="S119" s="69"/>
    </row>
    <row r="120" spans="1:19" ht="15.75" thickBot="1">
      <c r="A120" s="7">
        <v>9</v>
      </c>
      <c r="B120" s="4" t="s">
        <v>743</v>
      </c>
      <c r="C120" s="8" t="s">
        <v>5</v>
      </c>
      <c r="D120" s="16" t="s">
        <v>58</v>
      </c>
      <c r="F120" s="15" t="s">
        <v>400</v>
      </c>
      <c r="G120" s="15" t="s">
        <v>401</v>
      </c>
      <c r="H120" s="15" t="s">
        <v>402</v>
      </c>
      <c r="I120" s="25"/>
      <c r="J120" s="1">
        <f t="shared" si="6"/>
        <v>8</v>
      </c>
      <c r="S120" s="69"/>
    </row>
    <row r="121" spans="1:19" ht="15.75" thickBot="1">
      <c r="A121" s="7">
        <v>9</v>
      </c>
      <c r="B121" s="4" t="s">
        <v>860</v>
      </c>
      <c r="C121" s="4" t="s">
        <v>2</v>
      </c>
      <c r="D121" s="17" t="s">
        <v>58</v>
      </c>
      <c r="F121" s="15" t="s">
        <v>400</v>
      </c>
      <c r="G121" s="15" t="s">
        <v>401</v>
      </c>
      <c r="H121" s="15" t="s">
        <v>402</v>
      </c>
      <c r="I121" s="25"/>
      <c r="J121" s="1">
        <f t="shared" si="6"/>
        <v>8</v>
      </c>
      <c r="S121" s="69"/>
    </row>
    <row r="122" spans="1:19" ht="15.75" thickBot="1">
      <c r="A122" s="7">
        <v>9</v>
      </c>
      <c r="B122" s="4" t="s">
        <v>775</v>
      </c>
      <c r="C122" s="4" t="s">
        <v>10</v>
      </c>
      <c r="D122" s="17" t="s">
        <v>58</v>
      </c>
      <c r="F122" s="15" t="s">
        <v>400</v>
      </c>
      <c r="G122" s="15" t="s">
        <v>401</v>
      </c>
      <c r="H122" s="15" t="s">
        <v>402</v>
      </c>
      <c r="I122" s="25"/>
      <c r="J122" s="1">
        <f t="shared" si="6"/>
        <v>8</v>
      </c>
      <c r="S122" s="69"/>
    </row>
    <row r="123" spans="1:19" ht="15.75" thickBot="1">
      <c r="A123" s="7">
        <v>9</v>
      </c>
      <c r="B123" s="4" t="s">
        <v>833</v>
      </c>
      <c r="C123" s="4" t="s">
        <v>2</v>
      </c>
      <c r="D123" s="17" t="s">
        <v>58</v>
      </c>
      <c r="F123" s="15" t="s">
        <v>400</v>
      </c>
      <c r="G123" s="15" t="s">
        <v>401</v>
      </c>
      <c r="H123" s="15" t="s">
        <v>402</v>
      </c>
      <c r="I123" s="25"/>
      <c r="J123" s="1">
        <f t="shared" si="6"/>
        <v>8</v>
      </c>
      <c r="S123" s="69"/>
    </row>
    <row r="124" spans="1:19" ht="15.75" thickBot="1">
      <c r="A124" s="7">
        <v>9</v>
      </c>
      <c r="B124" s="4" t="s">
        <v>1156</v>
      </c>
      <c r="C124" s="4" t="s">
        <v>534</v>
      </c>
      <c r="D124" s="17" t="s">
        <v>58</v>
      </c>
      <c r="F124" s="15" t="s">
        <v>400</v>
      </c>
      <c r="G124" s="15" t="s">
        <v>401</v>
      </c>
      <c r="H124" s="15" t="s">
        <v>402</v>
      </c>
      <c r="I124" s="25"/>
      <c r="J124" s="1">
        <f t="shared" si="6"/>
        <v>8</v>
      </c>
      <c r="S124" s="69"/>
    </row>
    <row r="125" spans="1:19" ht="15.75" thickBot="1">
      <c r="A125" s="14"/>
      <c r="B125" s="14"/>
      <c r="C125" s="14"/>
      <c r="D125" s="18"/>
      <c r="E125" s="18"/>
      <c r="F125" s="18"/>
      <c r="G125" s="18"/>
      <c r="H125" s="18"/>
      <c r="I125" s="18"/>
      <c r="J125" s="18"/>
      <c r="S125" s="69"/>
    </row>
    <row r="126" spans="1:19" ht="15.75" thickBot="1">
      <c r="A126" s="7">
        <v>9</v>
      </c>
      <c r="B126" s="4" t="s">
        <v>894</v>
      </c>
      <c r="C126" s="8" t="s">
        <v>5</v>
      </c>
      <c r="D126" s="17" t="s">
        <v>97</v>
      </c>
      <c r="F126" s="15" t="s">
        <v>400</v>
      </c>
      <c r="G126" s="15" t="s">
        <v>401</v>
      </c>
      <c r="H126" s="15" t="s">
        <v>402</v>
      </c>
      <c r="I126" s="25"/>
      <c r="J126" s="1">
        <f>IF(A126="FA",9,A126-1)</f>
        <v>8</v>
      </c>
      <c r="S126" s="69"/>
    </row>
    <row r="127" spans="1:19" ht="15.75" thickBot="1">
      <c r="A127" s="7">
        <f>_xlfn.XLOOKUP(B127,'2025 Draft'!C:C,'2025 Draft'!A:A)</f>
        <v>5</v>
      </c>
      <c r="B127" s="4" t="s">
        <v>606</v>
      </c>
      <c r="C127" s="4" t="s">
        <v>10</v>
      </c>
      <c r="D127" s="17" t="s">
        <v>97</v>
      </c>
      <c r="F127" s="15" t="s">
        <v>400</v>
      </c>
      <c r="G127" s="15" t="s">
        <v>401</v>
      </c>
      <c r="H127" s="15" t="s">
        <v>402</v>
      </c>
      <c r="I127" s="25"/>
      <c r="J127" s="1">
        <f t="shared" ref="J127:J142" si="7">IF(A127="FA",9,A127-1)</f>
        <v>4</v>
      </c>
      <c r="K127" s="107" t="s">
        <v>1100</v>
      </c>
      <c r="S127" s="69"/>
    </row>
    <row r="128" spans="1:19" ht="15.75" thickBot="1">
      <c r="A128" s="7">
        <f>_xlfn.XLOOKUP(B128,'2025 Draft'!C:C,'2025 Draft'!A:A)</f>
        <v>9</v>
      </c>
      <c r="B128" s="4" t="s">
        <v>865</v>
      </c>
      <c r="C128" s="4" t="s">
        <v>10</v>
      </c>
      <c r="D128" s="17" t="s">
        <v>97</v>
      </c>
      <c r="F128" s="15" t="s">
        <v>400</v>
      </c>
      <c r="G128" s="15" t="s">
        <v>401</v>
      </c>
      <c r="H128" s="15" t="s">
        <v>402</v>
      </c>
      <c r="I128" s="25"/>
      <c r="J128" s="1">
        <f t="shared" si="7"/>
        <v>8</v>
      </c>
      <c r="K128" s="107" t="s">
        <v>1100</v>
      </c>
      <c r="L128" s="25"/>
      <c r="S128" s="69"/>
    </row>
    <row r="129" spans="1:19" ht="15.75" thickBot="1">
      <c r="A129" s="7">
        <f>_xlfn.XLOOKUP(B129,'2025 Draft'!C:C,'2025 Draft'!A:A)</f>
        <v>10</v>
      </c>
      <c r="B129" s="4" t="s">
        <v>774</v>
      </c>
      <c r="C129" s="4" t="s">
        <v>2</v>
      </c>
      <c r="D129" s="17" t="s">
        <v>97</v>
      </c>
      <c r="F129" s="15" t="s">
        <v>400</v>
      </c>
      <c r="G129" s="15" t="s">
        <v>401</v>
      </c>
      <c r="H129" s="15" t="s">
        <v>402</v>
      </c>
      <c r="I129" s="25"/>
      <c r="J129" s="1">
        <f t="shared" si="7"/>
        <v>9</v>
      </c>
      <c r="S129" s="69"/>
    </row>
    <row r="130" spans="1:19" ht="15.75" thickBot="1">
      <c r="A130" s="7">
        <v>9</v>
      </c>
      <c r="B130" s="4" t="s">
        <v>1174</v>
      </c>
      <c r="C130" s="4" t="s">
        <v>2</v>
      </c>
      <c r="D130" s="17" t="s">
        <v>97</v>
      </c>
      <c r="F130" s="15" t="s">
        <v>400</v>
      </c>
      <c r="G130" s="15" t="s">
        <v>401</v>
      </c>
      <c r="H130" s="15" t="s">
        <v>402</v>
      </c>
      <c r="I130" s="25"/>
      <c r="J130" s="1">
        <f t="shared" si="7"/>
        <v>8</v>
      </c>
      <c r="S130" s="69"/>
    </row>
    <row r="131" spans="1:19" ht="15.75" thickBot="1">
      <c r="A131" s="7">
        <v>9</v>
      </c>
      <c r="B131" s="4" t="s">
        <v>829</v>
      </c>
      <c r="C131" s="4" t="s">
        <v>27</v>
      </c>
      <c r="D131" s="17" t="s">
        <v>97</v>
      </c>
      <c r="F131" s="15" t="s">
        <v>400</v>
      </c>
      <c r="G131" s="15" t="s">
        <v>401</v>
      </c>
      <c r="H131" s="15" t="s">
        <v>402</v>
      </c>
      <c r="I131" s="25"/>
      <c r="J131" s="1">
        <f t="shared" si="7"/>
        <v>8</v>
      </c>
      <c r="S131" s="69"/>
    </row>
    <row r="132" spans="1:19" ht="15.75" thickBot="1">
      <c r="A132" s="7">
        <f>_xlfn.XLOOKUP(B132,'2025 Draft'!C:C,'2025 Draft'!A:A)</f>
        <v>8</v>
      </c>
      <c r="B132" s="4" t="s">
        <v>1080</v>
      </c>
      <c r="C132" s="4" t="s">
        <v>10</v>
      </c>
      <c r="D132" s="17" t="s">
        <v>97</v>
      </c>
      <c r="F132" s="15" t="s">
        <v>401</v>
      </c>
      <c r="G132" s="15" t="s">
        <v>402</v>
      </c>
      <c r="H132" s="15" t="s">
        <v>387</v>
      </c>
      <c r="I132" s="25"/>
      <c r="J132" s="1">
        <f t="shared" si="7"/>
        <v>7</v>
      </c>
      <c r="S132" s="69"/>
    </row>
    <row r="133" spans="1:19" ht="15.75" thickBot="1">
      <c r="A133" s="7">
        <f>_xlfn.XLOOKUP(B133,'2025 Draft'!C:C,'2025 Draft'!A:A)</f>
        <v>13</v>
      </c>
      <c r="B133" s="4" t="s">
        <v>503</v>
      </c>
      <c r="C133" s="4" t="s">
        <v>10</v>
      </c>
      <c r="D133" s="17" t="s">
        <v>97</v>
      </c>
      <c r="F133" s="15" t="s">
        <v>400</v>
      </c>
      <c r="G133" s="15" t="s">
        <v>401</v>
      </c>
      <c r="H133" s="15" t="s">
        <v>402</v>
      </c>
      <c r="I133" s="25"/>
      <c r="J133" s="1">
        <f t="shared" si="7"/>
        <v>12</v>
      </c>
      <c r="S133" s="69"/>
    </row>
    <row r="134" spans="1:19" ht="15.75" thickBot="1">
      <c r="A134" s="7">
        <v>9</v>
      </c>
      <c r="B134" s="4" t="s">
        <v>446</v>
      </c>
      <c r="C134" s="4" t="s">
        <v>534</v>
      </c>
      <c r="D134" s="17" t="s">
        <v>97</v>
      </c>
      <c r="F134" s="15" t="s">
        <v>400</v>
      </c>
      <c r="G134" s="15" t="s">
        <v>401</v>
      </c>
      <c r="H134" s="15" t="s">
        <v>402</v>
      </c>
      <c r="I134" s="25"/>
      <c r="J134" s="1">
        <f t="shared" si="7"/>
        <v>8</v>
      </c>
      <c r="S134" s="69"/>
    </row>
    <row r="135" spans="1:19" ht="15.75" thickBot="1">
      <c r="A135" s="7">
        <v>9</v>
      </c>
      <c r="B135" s="4" t="s">
        <v>985</v>
      </c>
      <c r="C135" s="4" t="s">
        <v>2</v>
      </c>
      <c r="D135" s="17" t="s">
        <v>97</v>
      </c>
      <c r="F135" s="15" t="s">
        <v>400</v>
      </c>
      <c r="G135" s="15" t="s">
        <v>401</v>
      </c>
      <c r="H135" s="15" t="s">
        <v>402</v>
      </c>
      <c r="I135" s="25"/>
      <c r="J135" s="1">
        <f t="shared" si="7"/>
        <v>8</v>
      </c>
      <c r="S135" s="69"/>
    </row>
    <row r="136" spans="1:19" ht="15.75" thickBot="1">
      <c r="A136" s="7">
        <f>_xlfn.XLOOKUP(B136,'2025 Draft'!C:C,'2025 Draft'!A:A)</f>
        <v>6</v>
      </c>
      <c r="B136" s="4" t="s">
        <v>856</v>
      </c>
      <c r="C136" s="4" t="s">
        <v>2</v>
      </c>
      <c r="D136" s="17" t="s">
        <v>97</v>
      </c>
      <c r="F136" s="15" t="s">
        <v>400</v>
      </c>
      <c r="G136" s="15" t="s">
        <v>401</v>
      </c>
      <c r="H136" s="15" t="s">
        <v>402</v>
      </c>
      <c r="I136" s="25"/>
      <c r="J136" s="1">
        <f t="shared" si="7"/>
        <v>5</v>
      </c>
      <c r="S136" s="69"/>
    </row>
    <row r="137" spans="1:19" ht="15.75" thickBot="1">
      <c r="A137" s="7">
        <f>_xlfn.XLOOKUP(B137,'2025 Draft'!C:C,'2025 Draft'!A:A)</f>
        <v>15</v>
      </c>
      <c r="B137" s="4" t="s">
        <v>707</v>
      </c>
      <c r="C137" s="4" t="s">
        <v>2</v>
      </c>
      <c r="D137" s="17" t="s">
        <v>97</v>
      </c>
      <c r="F137" s="15" t="s">
        <v>400</v>
      </c>
      <c r="G137" s="15" t="s">
        <v>401</v>
      </c>
      <c r="H137" s="15" t="s">
        <v>402</v>
      </c>
      <c r="I137" s="25"/>
      <c r="J137" s="1">
        <f t="shared" si="7"/>
        <v>14</v>
      </c>
      <c r="S137" s="69"/>
    </row>
    <row r="138" spans="1:19" ht="15.75" thickBot="1">
      <c r="A138" s="7">
        <v>9</v>
      </c>
      <c r="B138" s="4" t="s">
        <v>866</v>
      </c>
      <c r="C138" s="4" t="s">
        <v>27</v>
      </c>
      <c r="D138" s="17" t="s">
        <v>97</v>
      </c>
      <c r="F138" s="15" t="s">
        <v>400</v>
      </c>
      <c r="G138" s="15" t="s">
        <v>401</v>
      </c>
      <c r="H138" s="15" t="s">
        <v>402</v>
      </c>
      <c r="I138" s="25"/>
      <c r="J138" s="1">
        <f t="shared" si="7"/>
        <v>8</v>
      </c>
      <c r="S138" s="69"/>
    </row>
    <row r="139" spans="1:19" ht="15.75" thickBot="1">
      <c r="A139" s="7">
        <v>9</v>
      </c>
      <c r="B139" s="4" t="s">
        <v>1175</v>
      </c>
      <c r="C139" s="4" t="s">
        <v>2</v>
      </c>
      <c r="D139" s="17" t="s">
        <v>97</v>
      </c>
      <c r="F139" s="15" t="s">
        <v>400</v>
      </c>
      <c r="G139" s="15" t="s">
        <v>401</v>
      </c>
      <c r="H139" s="15" t="s">
        <v>402</v>
      </c>
      <c r="I139" s="25"/>
      <c r="J139" s="1">
        <f t="shared" si="7"/>
        <v>8</v>
      </c>
      <c r="S139" s="69"/>
    </row>
    <row r="140" spans="1:19" ht="15.75" thickBot="1">
      <c r="A140" s="7">
        <v>9</v>
      </c>
      <c r="B140" s="4" t="s">
        <v>891</v>
      </c>
      <c r="C140" s="4" t="s">
        <v>10</v>
      </c>
      <c r="D140" s="17" t="s">
        <v>97</v>
      </c>
      <c r="F140" s="15" t="s">
        <v>400</v>
      </c>
      <c r="G140" s="15" t="s">
        <v>401</v>
      </c>
      <c r="H140" s="15" t="s">
        <v>402</v>
      </c>
      <c r="I140" s="25"/>
      <c r="J140" s="1">
        <f t="shared" si="7"/>
        <v>8</v>
      </c>
      <c r="S140" s="69"/>
    </row>
    <row r="141" spans="1:19" ht="15.75" thickBot="1">
      <c r="A141" s="7">
        <v>9</v>
      </c>
      <c r="B141" s="4" t="s">
        <v>608</v>
      </c>
      <c r="C141" s="4" t="s">
        <v>27</v>
      </c>
      <c r="D141" s="17" t="s">
        <v>97</v>
      </c>
      <c r="F141" s="15" t="s">
        <v>400</v>
      </c>
      <c r="G141" s="15" t="s">
        <v>401</v>
      </c>
      <c r="H141" s="15" t="s">
        <v>402</v>
      </c>
      <c r="I141" s="25"/>
      <c r="J141" s="1">
        <f t="shared" si="7"/>
        <v>8</v>
      </c>
      <c r="S141" s="69"/>
    </row>
    <row r="142" spans="1:19" ht="15.75" thickBot="1">
      <c r="A142" s="7">
        <f>_xlfn.XLOOKUP(B142,'2025 Draft'!C:C,'2025 Draft'!A:A)</f>
        <v>12</v>
      </c>
      <c r="B142" s="4" t="s">
        <v>1097</v>
      </c>
      <c r="C142" s="4" t="s">
        <v>27</v>
      </c>
      <c r="D142" s="17" t="s">
        <v>97</v>
      </c>
      <c r="F142" s="15" t="s">
        <v>400</v>
      </c>
      <c r="G142" s="15" t="s">
        <v>401</v>
      </c>
      <c r="H142" s="15" t="s">
        <v>402</v>
      </c>
      <c r="I142" s="25"/>
      <c r="J142" s="1">
        <f t="shared" si="7"/>
        <v>11</v>
      </c>
      <c r="S142" s="69"/>
    </row>
    <row r="143" spans="1:19" ht="15.75" thickBot="1">
      <c r="A143" s="14"/>
      <c r="B143" s="14"/>
      <c r="C143" s="14"/>
      <c r="D143" s="18"/>
      <c r="E143" s="18"/>
      <c r="F143" s="18"/>
      <c r="G143" s="18"/>
      <c r="H143" s="18"/>
      <c r="I143" s="18"/>
      <c r="J143" s="18"/>
      <c r="S143" s="69"/>
    </row>
    <row r="144" spans="1:19" ht="15.75" thickBot="1">
      <c r="A144" s="7">
        <v>9</v>
      </c>
      <c r="B144" s="4" t="s">
        <v>162</v>
      </c>
      <c r="C144" s="8" t="s">
        <v>5</v>
      </c>
      <c r="D144" s="17" t="s">
        <v>181</v>
      </c>
      <c r="F144" s="15" t="s">
        <v>400</v>
      </c>
      <c r="G144" s="15" t="s">
        <v>401</v>
      </c>
      <c r="H144" s="15" t="s">
        <v>402</v>
      </c>
      <c r="I144" s="25"/>
      <c r="J144" s="1">
        <f>IF(A144="FA",9,A144-1)</f>
        <v>8</v>
      </c>
      <c r="S144" s="69"/>
    </row>
    <row r="145" spans="1:19" ht="15.75" thickBot="1">
      <c r="A145" s="7">
        <f>_xlfn.XLOOKUP(B145,'2025 Draft'!C:C,'2025 Draft'!A:A)</f>
        <v>1</v>
      </c>
      <c r="B145" s="4" t="s">
        <v>61</v>
      </c>
      <c r="C145" s="4" t="s">
        <v>10</v>
      </c>
      <c r="D145" s="17" t="s">
        <v>181</v>
      </c>
      <c r="F145" s="15" t="s">
        <v>400</v>
      </c>
      <c r="G145" s="15" t="s">
        <v>401</v>
      </c>
      <c r="H145" s="15" t="s">
        <v>402</v>
      </c>
      <c r="I145" s="25"/>
      <c r="J145" s="1">
        <f t="shared" ref="J145:J159" si="8">IF(A145="FA",9,A145-1)</f>
        <v>0</v>
      </c>
      <c r="S145" s="69"/>
    </row>
    <row r="146" spans="1:19" ht="15.75" thickBot="1">
      <c r="A146" s="7">
        <f>_xlfn.XLOOKUP(B146,'2025 Draft'!C:C,'2025 Draft'!A:A)</f>
        <v>8</v>
      </c>
      <c r="B146" s="4" t="s">
        <v>761</v>
      </c>
      <c r="C146" s="4" t="s">
        <v>10</v>
      </c>
      <c r="D146" s="17" t="s">
        <v>181</v>
      </c>
      <c r="F146" s="15" t="s">
        <v>400</v>
      </c>
      <c r="G146" s="15" t="s">
        <v>401</v>
      </c>
      <c r="H146" s="15" t="s">
        <v>402</v>
      </c>
      <c r="I146" s="25"/>
      <c r="J146" s="1">
        <f t="shared" si="8"/>
        <v>7</v>
      </c>
      <c r="S146" s="69"/>
    </row>
    <row r="147" spans="1:19" ht="15.75" thickBot="1">
      <c r="A147" s="7">
        <f>_xlfn.XLOOKUP(B147,'2025 Draft'!C:C,'2025 Draft'!A:A)</f>
        <v>5</v>
      </c>
      <c r="B147" s="4" t="s">
        <v>859</v>
      </c>
      <c r="C147" s="4" t="s">
        <v>2</v>
      </c>
      <c r="D147" s="17" t="s">
        <v>181</v>
      </c>
      <c r="F147" s="15" t="s">
        <v>400</v>
      </c>
      <c r="G147" s="15" t="s">
        <v>401</v>
      </c>
      <c r="H147" s="15" t="s">
        <v>402</v>
      </c>
      <c r="I147" s="25"/>
      <c r="J147" s="1">
        <f t="shared" si="8"/>
        <v>4</v>
      </c>
      <c r="S147" s="69"/>
    </row>
    <row r="148" spans="1:19" ht="15.75" thickBot="1">
      <c r="A148" s="7">
        <f>_xlfn.XLOOKUP(B148,'2025 Draft'!C:C,'2025 Draft'!A:A)</f>
        <v>8</v>
      </c>
      <c r="B148" s="4" t="s">
        <v>118</v>
      </c>
      <c r="C148" s="4" t="s">
        <v>2</v>
      </c>
      <c r="D148" s="17" t="s">
        <v>181</v>
      </c>
      <c r="F148" s="15" t="s">
        <v>400</v>
      </c>
      <c r="G148" s="15" t="s">
        <v>401</v>
      </c>
      <c r="H148" s="15" t="s">
        <v>402</v>
      </c>
      <c r="I148" s="25"/>
      <c r="J148" s="1">
        <f t="shared" si="8"/>
        <v>7</v>
      </c>
      <c r="K148" s="107" t="s">
        <v>1100</v>
      </c>
      <c r="S148" s="69"/>
    </row>
    <row r="149" spans="1:19" ht="15.75" thickBot="1">
      <c r="A149" s="7">
        <v>9</v>
      </c>
      <c r="B149" s="4" t="s">
        <v>1177</v>
      </c>
      <c r="C149" s="8" t="s">
        <v>27</v>
      </c>
      <c r="D149" s="16" t="s">
        <v>181</v>
      </c>
      <c r="F149" s="15" t="s">
        <v>400</v>
      </c>
      <c r="G149" s="15" t="s">
        <v>401</v>
      </c>
      <c r="H149" s="15" t="s">
        <v>402</v>
      </c>
      <c r="I149" s="25"/>
      <c r="J149" s="1">
        <f t="shared" si="8"/>
        <v>8</v>
      </c>
      <c r="S149" s="69"/>
    </row>
    <row r="150" spans="1:19" ht="15.75" thickBot="1">
      <c r="A150" s="7">
        <f>_xlfn.XLOOKUP(B150,'2025 Draft'!C:C,'2025 Draft'!A:A)</f>
        <v>4</v>
      </c>
      <c r="B150" s="4" t="s">
        <v>852</v>
      </c>
      <c r="C150" s="4" t="s">
        <v>2</v>
      </c>
      <c r="D150" s="17" t="s">
        <v>181</v>
      </c>
      <c r="F150" s="15" t="s">
        <v>400</v>
      </c>
      <c r="G150" s="15" t="s">
        <v>401</v>
      </c>
      <c r="H150" s="15" t="s">
        <v>402</v>
      </c>
      <c r="I150" s="25"/>
      <c r="J150" s="1">
        <f t="shared" si="8"/>
        <v>3</v>
      </c>
      <c r="S150" s="69"/>
    </row>
    <row r="151" spans="1:19" ht="15.75" thickBot="1">
      <c r="A151" s="7">
        <f>_xlfn.XLOOKUP(B151,'2025 Draft'!C:C,'2025 Draft'!A:A)</f>
        <v>11</v>
      </c>
      <c r="B151" s="4" t="s">
        <v>773</v>
      </c>
      <c r="C151" s="4" t="s">
        <v>2</v>
      </c>
      <c r="D151" s="17" t="s">
        <v>181</v>
      </c>
      <c r="F151" s="15" t="s">
        <v>400</v>
      </c>
      <c r="G151" s="15" t="s">
        <v>401</v>
      </c>
      <c r="H151" s="15" t="s">
        <v>402</v>
      </c>
      <c r="I151" s="25"/>
      <c r="J151" s="1">
        <f t="shared" si="8"/>
        <v>10</v>
      </c>
      <c r="S151" s="69"/>
    </row>
    <row r="152" spans="1:19" ht="15.75" thickBot="1">
      <c r="A152" s="7">
        <v>9</v>
      </c>
      <c r="B152" s="4" t="s">
        <v>730</v>
      </c>
      <c r="C152" s="4" t="s">
        <v>534</v>
      </c>
      <c r="D152" s="17" t="s">
        <v>181</v>
      </c>
      <c r="F152" s="15" t="s">
        <v>400</v>
      </c>
      <c r="G152" s="15" t="s">
        <v>401</v>
      </c>
      <c r="H152" s="15" t="s">
        <v>402</v>
      </c>
      <c r="I152" s="25"/>
      <c r="J152" s="1">
        <f t="shared" si="8"/>
        <v>8</v>
      </c>
      <c r="S152" s="69"/>
    </row>
    <row r="153" spans="1:19" ht="15.75" thickBot="1">
      <c r="A153" s="7">
        <f>_xlfn.XLOOKUP(B153,'2025 Draft'!C:C,'2025 Draft'!A:A)</f>
        <v>2</v>
      </c>
      <c r="B153" s="4" t="s">
        <v>715</v>
      </c>
      <c r="C153" s="4" t="s">
        <v>2</v>
      </c>
      <c r="D153" s="17" t="s">
        <v>181</v>
      </c>
      <c r="F153" s="15" t="s">
        <v>400</v>
      </c>
      <c r="G153" s="15" t="s">
        <v>401</v>
      </c>
      <c r="H153" s="15" t="s">
        <v>402</v>
      </c>
      <c r="I153" s="25"/>
      <c r="J153" s="1">
        <f t="shared" si="8"/>
        <v>1</v>
      </c>
      <c r="S153" s="69"/>
    </row>
    <row r="154" spans="1:19" ht="15.75" thickBot="1">
      <c r="A154" s="7">
        <v>9</v>
      </c>
      <c r="B154" s="4" t="s">
        <v>1178</v>
      </c>
      <c r="C154" s="4" t="s">
        <v>2</v>
      </c>
      <c r="D154" s="17" t="s">
        <v>181</v>
      </c>
      <c r="F154" s="15" t="s">
        <v>400</v>
      </c>
      <c r="G154" s="15" t="s">
        <v>401</v>
      </c>
      <c r="H154" s="15" t="s">
        <v>402</v>
      </c>
      <c r="I154" s="25"/>
      <c r="J154" s="1">
        <f t="shared" si="8"/>
        <v>8</v>
      </c>
      <c r="S154" s="69"/>
    </row>
    <row r="155" spans="1:19" ht="15.75" thickBot="1">
      <c r="A155" s="7">
        <f>_xlfn.XLOOKUP(B155,'2025 Draft'!C:C,'2025 Draft'!A:A)</f>
        <v>10</v>
      </c>
      <c r="B155" s="4" t="s">
        <v>1131</v>
      </c>
      <c r="C155" s="4" t="s">
        <v>10</v>
      </c>
      <c r="D155" s="17" t="s">
        <v>181</v>
      </c>
      <c r="F155" s="15" t="s">
        <v>400</v>
      </c>
      <c r="G155" s="15" t="s">
        <v>401</v>
      </c>
      <c r="H155" s="15" t="s">
        <v>402</v>
      </c>
      <c r="I155" s="25"/>
      <c r="J155" s="1">
        <f t="shared" si="8"/>
        <v>9</v>
      </c>
      <c r="K155" s="107" t="s">
        <v>1100</v>
      </c>
      <c r="S155" s="69"/>
    </row>
    <row r="156" spans="1:19" ht="15.75" thickBot="1">
      <c r="A156" s="7">
        <f>_xlfn.XLOOKUP(B156,'2025 Draft'!C:C,'2025 Draft'!A:A)</f>
        <v>11</v>
      </c>
      <c r="B156" s="4" t="s">
        <v>1134</v>
      </c>
      <c r="C156" s="4" t="s">
        <v>5</v>
      </c>
      <c r="D156" s="17" t="s">
        <v>181</v>
      </c>
      <c r="F156" s="15" t="s">
        <v>400</v>
      </c>
      <c r="G156" s="15" t="s">
        <v>401</v>
      </c>
      <c r="H156" s="15" t="s">
        <v>402</v>
      </c>
      <c r="I156" s="25"/>
      <c r="J156" s="1">
        <f t="shared" si="8"/>
        <v>10</v>
      </c>
      <c r="K156" s="107" t="s">
        <v>1100</v>
      </c>
      <c r="S156" s="69"/>
    </row>
    <row r="157" spans="1:19" ht="15.75" thickBot="1">
      <c r="A157" s="7">
        <f>_xlfn.XLOOKUP(B157,'2025 Draft'!C:C,'2025 Draft'!A:A)</f>
        <v>1</v>
      </c>
      <c r="B157" s="4" t="s">
        <v>946</v>
      </c>
      <c r="C157" s="4" t="s">
        <v>2</v>
      </c>
      <c r="D157" s="17" t="s">
        <v>181</v>
      </c>
      <c r="F157" s="15" t="s">
        <v>400</v>
      </c>
      <c r="G157" s="15" t="s">
        <v>401</v>
      </c>
      <c r="H157" s="15" t="s">
        <v>402</v>
      </c>
      <c r="I157" s="25"/>
      <c r="J157" s="1">
        <f t="shared" si="8"/>
        <v>0</v>
      </c>
      <c r="S157" s="69"/>
    </row>
    <row r="158" spans="1:19" ht="15.75" thickBot="1">
      <c r="A158" s="7">
        <v>9</v>
      </c>
      <c r="B158" s="4" t="s">
        <v>1179</v>
      </c>
      <c r="C158" s="4" t="s">
        <v>27</v>
      </c>
      <c r="D158" s="17" t="s">
        <v>181</v>
      </c>
      <c r="F158" s="15" t="s">
        <v>400</v>
      </c>
      <c r="G158" s="15" t="s">
        <v>401</v>
      </c>
      <c r="H158" s="15" t="s">
        <v>402</v>
      </c>
      <c r="I158" s="25"/>
      <c r="J158" s="1">
        <f t="shared" si="8"/>
        <v>8</v>
      </c>
      <c r="S158" s="69"/>
    </row>
    <row r="159" spans="1:19" ht="15.75" thickBot="1">
      <c r="A159" s="7">
        <v>9</v>
      </c>
      <c r="B159" s="4" t="s">
        <v>1180</v>
      </c>
      <c r="C159" s="4" t="s">
        <v>10</v>
      </c>
      <c r="D159" s="17" t="s">
        <v>181</v>
      </c>
      <c r="F159" s="15" t="s">
        <v>400</v>
      </c>
      <c r="G159" s="15" t="s">
        <v>401</v>
      </c>
      <c r="H159" s="15" t="s">
        <v>402</v>
      </c>
      <c r="I159" s="25"/>
      <c r="J159" s="1">
        <f t="shared" si="8"/>
        <v>8</v>
      </c>
      <c r="S159" s="69"/>
    </row>
    <row r="160" spans="1:19" ht="15.75" thickBot="1">
      <c r="A160" s="7">
        <f>_xlfn.XLOOKUP(B160,'2025 Draft'!C:C,'2025 Draft'!A:A)</f>
        <v>9</v>
      </c>
      <c r="B160" s="4" t="s">
        <v>918</v>
      </c>
      <c r="C160" s="4" t="s">
        <v>27</v>
      </c>
      <c r="D160" s="17" t="s">
        <v>181</v>
      </c>
      <c r="F160" s="15" t="s">
        <v>402</v>
      </c>
      <c r="G160" s="15" t="s">
        <v>387</v>
      </c>
      <c r="H160" s="15" t="s">
        <v>387</v>
      </c>
      <c r="I160" s="25"/>
      <c r="J160" s="1">
        <f t="shared" ref="J160" si="9">IF(A160="FA",9,A160-1)</f>
        <v>8</v>
      </c>
      <c r="S160" s="69"/>
    </row>
    <row r="161" spans="1:19" ht="15.75" thickBot="1">
      <c r="A161" s="14"/>
      <c r="B161" s="14"/>
      <c r="C161" s="14"/>
      <c r="D161" s="18"/>
      <c r="E161" s="18"/>
      <c r="F161" s="18"/>
      <c r="G161" s="18"/>
      <c r="H161" s="18"/>
      <c r="I161" s="18"/>
      <c r="J161" s="18"/>
      <c r="S161" s="69"/>
    </row>
    <row r="162" spans="1:19" ht="15.75" thickBot="1">
      <c r="A162" s="7">
        <f>_xlfn.XLOOKUP(B162,'2025 Draft'!C:C,'2025 Draft'!A:A)</f>
        <v>2</v>
      </c>
      <c r="B162" s="4" t="s">
        <v>634</v>
      </c>
      <c r="C162" s="8" t="s">
        <v>5</v>
      </c>
      <c r="D162" s="17" t="s">
        <v>37</v>
      </c>
      <c r="F162" s="15" t="s">
        <v>400</v>
      </c>
      <c r="G162" s="15" t="s">
        <v>401</v>
      </c>
      <c r="H162" s="15" t="s">
        <v>402</v>
      </c>
      <c r="I162" s="25"/>
      <c r="J162" s="1">
        <f>IF(A162="FA",9,A162-1)</f>
        <v>1</v>
      </c>
      <c r="S162" s="69"/>
    </row>
    <row r="163" spans="1:19" ht="15.75" thickBot="1">
      <c r="A163" s="7">
        <f>_xlfn.XLOOKUP(B163,'2025 Draft'!C:C,'2025 Draft'!A:A)</f>
        <v>1</v>
      </c>
      <c r="B163" s="4" t="s">
        <v>853</v>
      </c>
      <c r="C163" s="4" t="s">
        <v>10</v>
      </c>
      <c r="D163" s="17" t="s">
        <v>37</v>
      </c>
      <c r="F163" s="15" t="s">
        <v>400</v>
      </c>
      <c r="G163" s="15" t="s">
        <v>401</v>
      </c>
      <c r="H163" s="15" t="s">
        <v>402</v>
      </c>
      <c r="I163" s="25"/>
      <c r="J163" s="1">
        <f t="shared" ref="J163:J178" si="10">IF(A163="FA",9,A163-1)</f>
        <v>0</v>
      </c>
      <c r="S163" s="69"/>
    </row>
    <row r="164" spans="1:19" ht="15.75" thickBot="1">
      <c r="A164" s="7">
        <f>_xlfn.XLOOKUP(B164,'2025 Draft'!C:C,'2025 Draft'!A:A)</f>
        <v>1</v>
      </c>
      <c r="B164" s="4" t="s">
        <v>851</v>
      </c>
      <c r="C164" s="4" t="s">
        <v>10</v>
      </c>
      <c r="D164" s="17" t="s">
        <v>37</v>
      </c>
      <c r="F164" s="15" t="s">
        <v>400</v>
      </c>
      <c r="G164" s="15" t="s">
        <v>401</v>
      </c>
      <c r="H164" s="15" t="s">
        <v>402</v>
      </c>
      <c r="I164" s="25"/>
      <c r="J164" s="1">
        <f t="shared" si="10"/>
        <v>0</v>
      </c>
      <c r="K164" s="107" t="s">
        <v>1100</v>
      </c>
      <c r="S164" s="69"/>
    </row>
    <row r="165" spans="1:19" ht="15.75" thickBot="1">
      <c r="A165" s="7">
        <f>_xlfn.XLOOKUP(B165,'2025 Draft'!C:C,'2025 Draft'!A:A)</f>
        <v>3</v>
      </c>
      <c r="B165" s="4" t="s">
        <v>519</v>
      </c>
      <c r="C165" s="4" t="s">
        <v>2</v>
      </c>
      <c r="D165" s="17" t="s">
        <v>37</v>
      </c>
      <c r="F165" s="15" t="s">
        <v>400</v>
      </c>
      <c r="G165" s="15" t="s">
        <v>401</v>
      </c>
      <c r="H165" s="15" t="s">
        <v>402</v>
      </c>
      <c r="I165" s="25"/>
      <c r="J165" s="1">
        <f t="shared" si="10"/>
        <v>2</v>
      </c>
      <c r="S165" s="69"/>
    </row>
    <row r="166" spans="1:19" ht="15.75" thickBot="1">
      <c r="A166" s="7">
        <f>_xlfn.XLOOKUP(B166,'2025 Draft'!C:C,'2025 Draft'!A:A)</f>
        <v>9</v>
      </c>
      <c r="B166" s="4" t="s">
        <v>837</v>
      </c>
      <c r="C166" s="8" t="s">
        <v>2</v>
      </c>
      <c r="D166" s="16" t="s">
        <v>37</v>
      </c>
      <c r="F166" s="15" t="s">
        <v>401</v>
      </c>
      <c r="G166" s="15" t="s">
        <v>402</v>
      </c>
      <c r="H166" s="15" t="s">
        <v>387</v>
      </c>
      <c r="I166" s="25"/>
      <c r="J166" s="1">
        <f t="shared" si="10"/>
        <v>8</v>
      </c>
      <c r="L166" s="25"/>
      <c r="S166" s="69"/>
    </row>
    <row r="167" spans="1:19" ht="15.75" thickBot="1">
      <c r="A167" s="7">
        <v>9</v>
      </c>
      <c r="B167" s="4" t="s">
        <v>1133</v>
      </c>
      <c r="C167" s="4" t="s">
        <v>27</v>
      </c>
      <c r="D167" s="17" t="s">
        <v>37</v>
      </c>
      <c r="F167" s="15" t="s">
        <v>400</v>
      </c>
      <c r="G167" s="15" t="s">
        <v>401</v>
      </c>
      <c r="H167" s="15" t="s">
        <v>402</v>
      </c>
      <c r="I167" s="25"/>
      <c r="J167" s="1">
        <f t="shared" si="10"/>
        <v>8</v>
      </c>
      <c r="L167" s="25"/>
      <c r="S167" s="69"/>
    </row>
    <row r="168" spans="1:19" ht="15.75" thickBot="1">
      <c r="A168" s="7">
        <f>_xlfn.XLOOKUP(B168,'2025 Draft'!C:C,'2025 Draft'!A:A)</f>
        <v>3</v>
      </c>
      <c r="B168" s="4" t="s">
        <v>115</v>
      </c>
      <c r="C168" s="4" t="s">
        <v>2</v>
      </c>
      <c r="D168" s="17" t="s">
        <v>37</v>
      </c>
      <c r="F168" s="15" t="s">
        <v>400</v>
      </c>
      <c r="G168" s="15" t="s">
        <v>401</v>
      </c>
      <c r="H168" s="15" t="s">
        <v>402</v>
      </c>
      <c r="I168" s="25"/>
      <c r="J168" s="1">
        <f t="shared" si="10"/>
        <v>2</v>
      </c>
      <c r="L168"/>
      <c r="S168" s="69"/>
    </row>
    <row r="169" spans="1:19" ht="15.75" thickBot="1">
      <c r="A169" s="7">
        <f>_xlfn.XLOOKUP(B169,'2025 Draft'!C:C,'2025 Draft'!A:A)</f>
        <v>10</v>
      </c>
      <c r="B169" s="4" t="s">
        <v>843</v>
      </c>
      <c r="C169" s="8" t="s">
        <v>2</v>
      </c>
      <c r="D169" s="16" t="s">
        <v>37</v>
      </c>
      <c r="F169" s="15" t="s">
        <v>402</v>
      </c>
      <c r="G169" s="15" t="s">
        <v>387</v>
      </c>
      <c r="H169" s="15" t="s">
        <v>387</v>
      </c>
      <c r="I169" s="25"/>
      <c r="J169" s="1">
        <f t="shared" si="10"/>
        <v>9</v>
      </c>
      <c r="L169" s="25"/>
      <c r="S169" s="69"/>
    </row>
    <row r="170" spans="1:19" ht="15.75" thickBot="1">
      <c r="A170" s="7">
        <v>9</v>
      </c>
      <c r="B170" s="4" t="s">
        <v>379</v>
      </c>
      <c r="C170" s="4" t="s">
        <v>534</v>
      </c>
      <c r="D170" s="17" t="s">
        <v>37</v>
      </c>
      <c r="F170" s="15" t="s">
        <v>400</v>
      </c>
      <c r="G170" s="15" t="s">
        <v>401</v>
      </c>
      <c r="H170" s="15" t="s">
        <v>402</v>
      </c>
      <c r="I170" s="25"/>
      <c r="J170" s="1">
        <f t="shared" si="10"/>
        <v>8</v>
      </c>
      <c r="S170" s="69"/>
    </row>
    <row r="171" spans="1:19" ht="15.75" thickBot="1">
      <c r="A171" s="7">
        <f>_xlfn.XLOOKUP(B171,'2025 Draft'!C:C,'2025 Draft'!A:A)</f>
        <v>5</v>
      </c>
      <c r="B171" s="4" t="s">
        <v>906</v>
      </c>
      <c r="C171" s="4" t="s">
        <v>2</v>
      </c>
      <c r="D171" s="17" t="s">
        <v>37</v>
      </c>
      <c r="F171" s="15" t="s">
        <v>400</v>
      </c>
      <c r="G171" s="15" t="s">
        <v>401</v>
      </c>
      <c r="H171" s="15" t="s">
        <v>402</v>
      </c>
      <c r="I171" s="25"/>
      <c r="J171" s="1">
        <f t="shared" si="10"/>
        <v>4</v>
      </c>
      <c r="S171" s="69"/>
    </row>
    <row r="172" spans="1:19" ht="15.75" thickBot="1">
      <c r="A172" s="7">
        <f>_xlfn.XLOOKUP(B172,'2025 Draft'!C:C,'2025 Draft'!A:A)</f>
        <v>8</v>
      </c>
      <c r="B172" s="4" t="s">
        <v>861</v>
      </c>
      <c r="C172" s="4" t="s">
        <v>10</v>
      </c>
      <c r="D172" s="17" t="s">
        <v>37</v>
      </c>
      <c r="F172" s="15" t="s">
        <v>400</v>
      </c>
      <c r="G172" s="15" t="s">
        <v>401</v>
      </c>
      <c r="H172" s="15" t="s">
        <v>402</v>
      </c>
      <c r="I172" s="25"/>
      <c r="J172" s="1">
        <f t="shared" si="10"/>
        <v>7</v>
      </c>
      <c r="S172" s="69"/>
    </row>
    <row r="173" spans="1:19" ht="15.75" thickBot="1">
      <c r="A173" s="7">
        <v>9</v>
      </c>
      <c r="B173" s="4" t="s">
        <v>926</v>
      </c>
      <c r="C173" s="4" t="s">
        <v>27</v>
      </c>
      <c r="D173" s="17" t="s">
        <v>37</v>
      </c>
      <c r="F173" s="15" t="s">
        <v>400</v>
      </c>
      <c r="G173" s="15" t="s">
        <v>401</v>
      </c>
      <c r="H173" s="15" t="s">
        <v>402</v>
      </c>
      <c r="I173" s="25"/>
      <c r="J173" s="1">
        <f t="shared" si="10"/>
        <v>8</v>
      </c>
      <c r="S173" s="69"/>
    </row>
    <row r="174" spans="1:19" ht="15.75" thickBot="1">
      <c r="A174" s="7">
        <v>9</v>
      </c>
      <c r="B174" s="4" t="s">
        <v>1006</v>
      </c>
      <c r="C174" s="4" t="s">
        <v>10</v>
      </c>
      <c r="D174" s="17" t="s">
        <v>37</v>
      </c>
      <c r="F174" s="15" t="s">
        <v>400</v>
      </c>
      <c r="G174" s="15" t="s">
        <v>401</v>
      </c>
      <c r="H174" s="15" t="s">
        <v>402</v>
      </c>
      <c r="I174" s="25"/>
      <c r="J174" s="1">
        <f t="shared" si="10"/>
        <v>8</v>
      </c>
      <c r="S174" s="69"/>
    </row>
    <row r="175" spans="1:19" ht="15.75" thickBot="1">
      <c r="A175" s="7">
        <v>9</v>
      </c>
      <c r="B175" s="4" t="s">
        <v>1181</v>
      </c>
      <c r="C175" s="4" t="s">
        <v>10</v>
      </c>
      <c r="D175" s="17" t="s">
        <v>37</v>
      </c>
      <c r="F175" s="15" t="s">
        <v>400</v>
      </c>
      <c r="G175" s="15" t="s">
        <v>401</v>
      </c>
      <c r="H175" s="15" t="s">
        <v>402</v>
      </c>
      <c r="I175" s="25"/>
      <c r="J175" s="1">
        <f t="shared" si="10"/>
        <v>8</v>
      </c>
      <c r="S175" s="69"/>
    </row>
    <row r="176" spans="1:19" ht="15.75" thickBot="1">
      <c r="A176" s="7">
        <v>9</v>
      </c>
      <c r="B176" s="4" t="s">
        <v>147</v>
      </c>
      <c r="C176" s="4" t="s">
        <v>5</v>
      </c>
      <c r="D176" s="17" t="s">
        <v>37</v>
      </c>
      <c r="F176" s="15" t="s">
        <v>400</v>
      </c>
      <c r="G176" s="15" t="s">
        <v>401</v>
      </c>
      <c r="H176" s="15" t="s">
        <v>402</v>
      </c>
      <c r="I176" s="25"/>
      <c r="J176" s="1">
        <f t="shared" si="10"/>
        <v>8</v>
      </c>
      <c r="S176" s="69"/>
    </row>
    <row r="177" spans="1:19" ht="15.75" thickBot="1">
      <c r="A177" s="7">
        <v>9</v>
      </c>
      <c r="B177" s="4" t="s">
        <v>1182</v>
      </c>
      <c r="C177" s="4" t="s">
        <v>27</v>
      </c>
      <c r="D177" s="17" t="s">
        <v>37</v>
      </c>
      <c r="F177" s="15" t="s">
        <v>400</v>
      </c>
      <c r="G177" s="15" t="s">
        <v>401</v>
      </c>
      <c r="H177" s="15" t="s">
        <v>402</v>
      </c>
      <c r="I177" s="25"/>
      <c r="J177" s="1">
        <f t="shared" si="10"/>
        <v>8</v>
      </c>
      <c r="S177" s="69"/>
    </row>
    <row r="178" spans="1:19" ht="15.75" thickBot="1">
      <c r="A178" s="7">
        <v>9</v>
      </c>
      <c r="B178" s="66" t="s">
        <v>1135</v>
      </c>
      <c r="C178" s="66" t="s">
        <v>10</v>
      </c>
      <c r="D178" s="67" t="s">
        <v>37</v>
      </c>
      <c r="F178" s="15" t="s">
        <v>400</v>
      </c>
      <c r="G178" s="15" t="s">
        <v>401</v>
      </c>
      <c r="H178" s="15" t="s">
        <v>402</v>
      </c>
      <c r="I178" s="25"/>
      <c r="J178" s="1">
        <f t="shared" si="10"/>
        <v>8</v>
      </c>
      <c r="S178" s="69"/>
    </row>
    <row r="179" spans="1:19">
      <c r="A179" s="68"/>
      <c r="B179" s="22"/>
      <c r="C179" s="22"/>
      <c r="D179" s="22"/>
    </row>
    <row r="180" spans="1:19">
      <c r="A180" s="68"/>
      <c r="B180" s="22"/>
      <c r="C180" s="22"/>
      <c r="D180" s="22"/>
    </row>
    <row r="181" spans="1:19">
      <c r="A181" s="68"/>
      <c r="B181" s="22"/>
      <c r="C181" s="22"/>
      <c r="D181" s="22"/>
    </row>
    <row r="182" spans="1:19">
      <c r="A182" s="68"/>
      <c r="B182" s="22"/>
      <c r="C182" s="22"/>
      <c r="D182" s="22"/>
    </row>
    <row r="183" spans="1:19">
      <c r="A183" s="68"/>
      <c r="B183" s="22"/>
      <c r="C183" s="22"/>
      <c r="D183" s="22"/>
    </row>
    <row r="184" spans="1:19">
      <c r="A184" s="68"/>
      <c r="B184" s="22"/>
      <c r="C184" s="22"/>
      <c r="D184" s="22"/>
    </row>
    <row r="185" spans="1:19">
      <c r="A185" s="68"/>
      <c r="B185" s="22"/>
      <c r="C185" s="22"/>
      <c r="D185" s="22"/>
    </row>
    <row r="186" spans="1:19">
      <c r="A186" s="68"/>
      <c r="B186" s="22"/>
      <c r="C186" s="22"/>
      <c r="D186" s="22"/>
    </row>
    <row r="187" spans="1:19">
      <c r="A187" s="68"/>
      <c r="B187" s="22"/>
      <c r="C187" s="22"/>
      <c r="D187" s="22"/>
    </row>
    <row r="188" spans="1:19">
      <c r="A188" s="68"/>
      <c r="B188" s="22"/>
      <c r="C188" s="22"/>
      <c r="D188" s="22"/>
    </row>
    <row r="189" spans="1:19">
      <c r="A189" s="68"/>
      <c r="B189" s="22"/>
      <c r="C189" s="22"/>
      <c r="D189" s="22"/>
    </row>
    <row r="190" spans="1:19">
      <c r="A190" s="68"/>
      <c r="B190" s="22"/>
      <c r="C190" s="22"/>
      <c r="D190" s="22"/>
    </row>
    <row r="191" spans="1:19">
      <c r="A191" s="68"/>
      <c r="B191" s="22"/>
      <c r="C191" s="22"/>
      <c r="D191" s="22"/>
    </row>
    <row r="192" spans="1:19">
      <c r="A192" s="68"/>
      <c r="B192" s="22"/>
      <c r="C192" s="22"/>
      <c r="D192" s="22"/>
    </row>
    <row r="193" spans="1:4">
      <c r="A193" s="68"/>
      <c r="B193" s="22"/>
      <c r="C193" s="22"/>
      <c r="D193" s="22"/>
    </row>
    <row r="194" spans="1:4">
      <c r="A194" s="68"/>
      <c r="B194" s="22"/>
      <c r="C194" s="22"/>
      <c r="D194" s="22"/>
    </row>
    <row r="195" spans="1:4">
      <c r="A195" s="68"/>
      <c r="B195" s="22"/>
      <c r="C195" s="22"/>
      <c r="D195" s="22"/>
    </row>
    <row r="196" spans="1:4">
      <c r="A196" s="68"/>
      <c r="B196" s="22"/>
      <c r="C196" s="22"/>
      <c r="D196" s="22"/>
    </row>
    <row r="197" spans="1:4">
      <c r="A197" s="68"/>
      <c r="B197" s="22"/>
      <c r="C197" s="22"/>
      <c r="D197" s="22"/>
    </row>
    <row r="198" spans="1:4">
      <c r="A198" s="68"/>
      <c r="B198" s="22"/>
      <c r="C198" s="22"/>
      <c r="D198" s="22"/>
    </row>
    <row r="199" spans="1:4">
      <c r="A199" s="68"/>
      <c r="B199" s="22"/>
      <c r="C199" s="22"/>
      <c r="D199" s="22"/>
    </row>
    <row r="200" spans="1:4">
      <c r="A200" s="68"/>
      <c r="B200" s="22"/>
      <c r="C200" s="22"/>
      <c r="D200" s="22"/>
    </row>
    <row r="201" spans="1:4">
      <c r="A201" s="68"/>
      <c r="B201" s="22"/>
      <c r="C201" s="22"/>
      <c r="D201" s="22"/>
    </row>
    <row r="202" spans="1:4">
      <c r="A202" s="68"/>
      <c r="B202" s="22"/>
      <c r="C202" s="22"/>
      <c r="D202" s="22"/>
    </row>
    <row r="203" spans="1:4">
      <c r="A203" s="68"/>
      <c r="B203" s="22"/>
      <c r="C203" s="22"/>
      <c r="D203" s="22"/>
    </row>
    <row r="204" spans="1:4">
      <c r="A204" s="68"/>
      <c r="B204" s="22"/>
      <c r="C204" s="22"/>
      <c r="D204" s="22"/>
    </row>
    <row r="205" spans="1:4">
      <c r="A205" s="68"/>
      <c r="B205" s="22"/>
      <c r="C205" s="22"/>
      <c r="D205" s="22"/>
    </row>
    <row r="206" spans="1:4">
      <c r="A206" s="68"/>
      <c r="B206" s="22"/>
      <c r="C206" s="22"/>
      <c r="D206" s="22"/>
    </row>
    <row r="207" spans="1:4">
      <c r="A207" s="68"/>
      <c r="B207" s="22"/>
      <c r="C207" s="22"/>
      <c r="D207" s="22"/>
    </row>
    <row r="208" spans="1:4">
      <c r="A208" s="68"/>
      <c r="B208" s="22"/>
      <c r="C208" s="22"/>
      <c r="D208" s="22"/>
    </row>
    <row r="209" spans="1:4">
      <c r="A209" s="68"/>
      <c r="B209" s="22"/>
      <c r="C209" s="22"/>
      <c r="D209" s="22"/>
    </row>
    <row r="210" spans="1:4">
      <c r="A210" s="68"/>
      <c r="B210" s="22"/>
      <c r="C210" s="22"/>
      <c r="D210" s="22"/>
    </row>
    <row r="211" spans="1:4">
      <c r="A211" s="68"/>
      <c r="B211" s="22"/>
      <c r="C211" s="22"/>
      <c r="D211" s="22"/>
    </row>
    <row r="212" spans="1:4">
      <c r="A212" s="68"/>
      <c r="B212" s="22"/>
      <c r="C212" s="22"/>
      <c r="D212" s="22"/>
    </row>
    <row r="213" spans="1:4">
      <c r="A213" s="68"/>
      <c r="B213" s="22"/>
      <c r="C213" s="22"/>
      <c r="D213" s="22"/>
    </row>
    <row r="214" spans="1:4">
      <c r="A214" s="68"/>
      <c r="B214" s="22"/>
      <c r="C214" s="22"/>
      <c r="D214" s="22"/>
    </row>
    <row r="215" spans="1:4">
      <c r="A215" s="68"/>
      <c r="B215" s="22"/>
      <c r="C215" s="22"/>
      <c r="D215" s="22"/>
    </row>
    <row r="216" spans="1:4">
      <c r="A216" s="68"/>
      <c r="B216" s="22"/>
      <c r="C216" s="22"/>
      <c r="D216" s="22"/>
    </row>
    <row r="217" spans="1:4">
      <c r="A217" s="68"/>
      <c r="B217" s="22"/>
      <c r="C217" s="22"/>
      <c r="D217" s="22"/>
    </row>
    <row r="218" spans="1:4">
      <c r="A218" s="68"/>
      <c r="B218" s="22"/>
      <c r="C218" s="22"/>
      <c r="D218" s="22"/>
    </row>
    <row r="219" spans="1:4">
      <c r="A219" s="68"/>
      <c r="B219" s="22"/>
      <c r="C219" s="22"/>
      <c r="D219" s="22"/>
    </row>
    <row r="220" spans="1:4">
      <c r="A220" s="68"/>
      <c r="B220" s="22"/>
      <c r="C220" s="22"/>
      <c r="D220" s="22"/>
    </row>
    <row r="221" spans="1:4">
      <c r="A221" s="68"/>
      <c r="B221" s="22"/>
      <c r="C221" s="22"/>
      <c r="D221" s="22"/>
    </row>
    <row r="222" spans="1:4">
      <c r="A222" s="68"/>
      <c r="B222" s="22"/>
      <c r="C222" s="22"/>
      <c r="D222" s="22"/>
    </row>
    <row r="223" spans="1:4">
      <c r="A223" s="68"/>
      <c r="B223" s="22"/>
      <c r="C223" s="22"/>
      <c r="D223" s="22"/>
    </row>
    <row r="224" spans="1:4">
      <c r="A224" s="68"/>
      <c r="B224" s="22"/>
      <c r="C224" s="22"/>
      <c r="D224" s="22"/>
    </row>
    <row r="225" spans="1:4">
      <c r="A225" s="68"/>
      <c r="B225" s="22"/>
      <c r="C225" s="22"/>
      <c r="D225" s="22"/>
    </row>
    <row r="226" spans="1:4">
      <c r="A226" s="68"/>
      <c r="B226" s="22"/>
      <c r="C226" s="22"/>
      <c r="D226" s="22"/>
    </row>
    <row r="227" spans="1:4">
      <c r="A227" s="68"/>
      <c r="B227" s="22"/>
      <c r="C227" s="22"/>
      <c r="D227" s="22"/>
    </row>
    <row r="228" spans="1:4">
      <c r="A228" s="68"/>
      <c r="B228" s="22"/>
      <c r="C228" s="22"/>
      <c r="D228" s="22"/>
    </row>
    <row r="229" spans="1:4">
      <c r="A229" s="68"/>
      <c r="B229" s="22"/>
      <c r="C229" s="22"/>
      <c r="D229" s="22"/>
    </row>
    <row r="230" spans="1:4">
      <c r="A230" s="68"/>
      <c r="B230" s="22"/>
      <c r="C230" s="22"/>
      <c r="D230" s="22"/>
    </row>
    <row r="231" spans="1:4">
      <c r="A231" s="68"/>
      <c r="B231" s="22"/>
      <c r="C231" s="22"/>
      <c r="D231" s="22"/>
    </row>
    <row r="232" spans="1:4">
      <c r="A232" s="68"/>
      <c r="B232" s="22"/>
      <c r="C232" s="22"/>
      <c r="D232" s="22"/>
    </row>
    <row r="233" spans="1:4">
      <c r="A233" s="68"/>
      <c r="B233" s="22"/>
      <c r="C233" s="22"/>
      <c r="D233" s="22"/>
    </row>
    <row r="234" spans="1:4">
      <c r="A234" s="68"/>
      <c r="B234" s="22"/>
      <c r="C234" s="22"/>
      <c r="D234" s="22"/>
    </row>
    <row r="235" spans="1:4">
      <c r="A235" s="68"/>
      <c r="B235" s="22"/>
      <c r="C235" s="22"/>
      <c r="D235" s="22"/>
    </row>
    <row r="236" spans="1:4">
      <c r="A236" s="68"/>
      <c r="B236" s="22"/>
      <c r="C236" s="22"/>
      <c r="D236" s="22"/>
    </row>
    <row r="237" spans="1:4">
      <c r="A237" s="68"/>
      <c r="B237" s="22"/>
      <c r="C237" s="22"/>
      <c r="D237" s="22"/>
    </row>
    <row r="238" spans="1:4">
      <c r="A238" s="68"/>
      <c r="B238" s="22"/>
      <c r="C238" s="22"/>
      <c r="D238" s="22"/>
    </row>
    <row r="239" spans="1:4">
      <c r="A239" s="68"/>
      <c r="B239" s="22"/>
      <c r="C239" s="22"/>
      <c r="D239" s="22"/>
    </row>
    <row r="240" spans="1:4">
      <c r="A240" s="68"/>
      <c r="B240" s="22"/>
      <c r="C240" s="22"/>
      <c r="D240" s="22"/>
    </row>
    <row r="241" spans="1:4">
      <c r="A241" s="68"/>
      <c r="B241" s="22"/>
      <c r="C241" s="22"/>
      <c r="D241" s="22"/>
    </row>
    <row r="242" spans="1:4">
      <c r="A242" s="68"/>
      <c r="B242" s="22"/>
      <c r="C242" s="22"/>
      <c r="D242" s="22"/>
    </row>
    <row r="243" spans="1:4">
      <c r="A243" s="68"/>
      <c r="B243" s="22"/>
      <c r="C243" s="22"/>
      <c r="D243" s="22"/>
    </row>
    <row r="244" spans="1:4">
      <c r="A244" s="68"/>
      <c r="B244" s="22"/>
      <c r="C244" s="22"/>
      <c r="D244" s="22"/>
    </row>
    <row r="245" spans="1:4">
      <c r="A245" s="68"/>
      <c r="B245" s="22"/>
      <c r="C245" s="22"/>
      <c r="D245" s="22"/>
    </row>
    <row r="246" spans="1:4">
      <c r="A246" s="68"/>
      <c r="B246" s="22"/>
      <c r="C246" s="22"/>
      <c r="D246" s="22"/>
    </row>
    <row r="247" spans="1:4">
      <c r="A247" s="68"/>
      <c r="B247" s="22"/>
      <c r="C247" s="22"/>
      <c r="D247" s="22"/>
    </row>
    <row r="248" spans="1:4">
      <c r="A248" s="68"/>
      <c r="B248" s="22"/>
      <c r="C248" s="22"/>
      <c r="D248" s="22"/>
    </row>
    <row r="249" spans="1:4">
      <c r="A249" s="68"/>
      <c r="B249" s="22"/>
      <c r="C249" s="22"/>
      <c r="D249" s="22"/>
    </row>
    <row r="250" spans="1:4">
      <c r="A250" s="68"/>
      <c r="B250" s="22"/>
      <c r="C250" s="22"/>
      <c r="D250" s="22"/>
    </row>
    <row r="251" spans="1:4">
      <c r="A251" s="68"/>
      <c r="B251" s="22"/>
      <c r="C251" s="22"/>
      <c r="D251" s="22"/>
    </row>
    <row r="252" spans="1:4">
      <c r="A252" s="68"/>
      <c r="B252" s="22"/>
      <c r="C252" s="22"/>
      <c r="D252" s="22"/>
    </row>
    <row r="253" spans="1:4">
      <c r="A253" s="68"/>
      <c r="B253" s="22"/>
      <c r="C253" s="22"/>
      <c r="D253" s="22"/>
    </row>
    <row r="254" spans="1:4">
      <c r="A254" s="68"/>
      <c r="B254" s="22"/>
      <c r="C254" s="22"/>
      <c r="D254" s="22"/>
    </row>
    <row r="255" spans="1:4">
      <c r="A255" s="68"/>
      <c r="B255" s="22"/>
      <c r="C255" s="22"/>
      <c r="D255" s="22"/>
    </row>
    <row r="256" spans="1:4">
      <c r="A256" s="68"/>
      <c r="B256" s="22"/>
      <c r="C256" s="22"/>
      <c r="D256" s="22"/>
    </row>
    <row r="257" spans="1:4">
      <c r="A257" s="68"/>
      <c r="B257" s="22"/>
      <c r="C257" s="22"/>
      <c r="D257" s="22"/>
    </row>
    <row r="258" spans="1:4">
      <c r="A258" s="68"/>
      <c r="B258" s="22"/>
      <c r="C258" s="22"/>
      <c r="D258" s="22"/>
    </row>
    <row r="259" spans="1:4">
      <c r="A259" s="68"/>
      <c r="B259" s="22"/>
      <c r="C259" s="22"/>
      <c r="D259" s="22"/>
    </row>
    <row r="260" spans="1:4">
      <c r="A260" s="68"/>
      <c r="B260" s="22"/>
      <c r="C260" s="22"/>
      <c r="D260" s="22"/>
    </row>
    <row r="261" spans="1:4">
      <c r="A261" s="68"/>
      <c r="B261" s="22"/>
      <c r="C261" s="22"/>
      <c r="D261" s="22"/>
    </row>
    <row r="262" spans="1:4">
      <c r="A262" s="68"/>
      <c r="B262" s="22"/>
      <c r="C262" s="22"/>
      <c r="D262" s="22"/>
    </row>
    <row r="263" spans="1:4">
      <c r="A263" s="68"/>
      <c r="B263" s="22"/>
      <c r="C263" s="22"/>
      <c r="D263" s="22"/>
    </row>
    <row r="264" spans="1:4">
      <c r="A264" s="68"/>
      <c r="B264" s="22"/>
      <c r="C264" s="22"/>
      <c r="D264" s="22"/>
    </row>
    <row r="265" spans="1:4">
      <c r="A265" s="68"/>
      <c r="B265" s="22"/>
      <c r="C265" s="22"/>
      <c r="D265" s="22"/>
    </row>
    <row r="266" spans="1:4">
      <c r="A266" s="68"/>
      <c r="B266" s="22"/>
      <c r="C266" s="22"/>
      <c r="D266" s="22"/>
    </row>
    <row r="267" spans="1:4">
      <c r="A267" s="68"/>
      <c r="B267" s="22"/>
      <c r="C267" s="22"/>
      <c r="D267" s="22"/>
    </row>
    <row r="268" spans="1:4">
      <c r="A268" s="68"/>
      <c r="B268" s="22"/>
      <c r="C268" s="22"/>
      <c r="D268" s="22"/>
    </row>
    <row r="269" spans="1:4">
      <c r="A269" s="68"/>
      <c r="B269" s="22"/>
      <c r="C269" s="22"/>
      <c r="D269" s="22"/>
    </row>
    <row r="270" spans="1:4">
      <c r="A270" s="68"/>
      <c r="B270" s="22"/>
      <c r="C270" s="22"/>
      <c r="D270" s="22"/>
    </row>
    <row r="271" spans="1:4">
      <c r="A271" s="68"/>
      <c r="B271" s="22"/>
      <c r="C271" s="22"/>
      <c r="D271" s="22"/>
    </row>
    <row r="272" spans="1:4">
      <c r="A272" s="68"/>
      <c r="B272" s="22"/>
      <c r="C272" s="22"/>
      <c r="D272" s="22"/>
    </row>
    <row r="273" spans="1:4">
      <c r="A273" s="68"/>
      <c r="B273" s="22"/>
      <c r="C273" s="22"/>
      <c r="D273" s="22"/>
    </row>
    <row r="274" spans="1:4">
      <c r="A274" s="68"/>
      <c r="B274" s="22"/>
      <c r="C274" s="22"/>
      <c r="D274" s="22"/>
    </row>
    <row r="275" spans="1:4">
      <c r="A275" s="68"/>
      <c r="B275" s="22"/>
      <c r="C275" s="22"/>
      <c r="D275" s="22"/>
    </row>
    <row r="276" spans="1:4">
      <c r="A276" s="68"/>
      <c r="B276" s="22"/>
      <c r="C276" s="22"/>
      <c r="D276" s="22"/>
    </row>
    <row r="277" spans="1:4">
      <c r="A277" s="68"/>
      <c r="B277" s="22"/>
      <c r="C277" s="22"/>
      <c r="D277" s="22"/>
    </row>
    <row r="278" spans="1:4">
      <c r="A278" s="68"/>
      <c r="B278" s="22"/>
      <c r="C278" s="22"/>
      <c r="D278" s="22"/>
    </row>
    <row r="279" spans="1:4">
      <c r="A279" s="68"/>
      <c r="B279" s="22"/>
      <c r="C279" s="22"/>
      <c r="D279" s="22"/>
    </row>
    <row r="280" spans="1:4">
      <c r="A280" s="68"/>
      <c r="B280" s="22"/>
      <c r="C280" s="22"/>
      <c r="D280" s="22"/>
    </row>
    <row r="281" spans="1:4">
      <c r="A281" s="68"/>
      <c r="B281" s="22"/>
      <c r="C281" s="22"/>
      <c r="D281" s="22"/>
    </row>
    <row r="282" spans="1:4">
      <c r="A282" s="68"/>
      <c r="B282" s="22"/>
      <c r="C282" s="22"/>
      <c r="D282" s="22"/>
    </row>
    <row r="283" spans="1:4">
      <c r="A283" s="68"/>
      <c r="B283" s="22"/>
      <c r="C283" s="22"/>
      <c r="D283" s="22"/>
    </row>
    <row r="284" spans="1:4">
      <c r="A284" s="68"/>
      <c r="B284" s="22"/>
      <c r="C284" s="22"/>
      <c r="D284" s="22"/>
    </row>
    <row r="285" spans="1:4">
      <c r="A285" s="68"/>
      <c r="B285" s="22"/>
      <c r="C285" s="22"/>
      <c r="D285" s="22"/>
    </row>
    <row r="286" spans="1:4">
      <c r="A286" s="68"/>
      <c r="B286" s="22"/>
      <c r="C286" s="22"/>
      <c r="D286" s="22"/>
    </row>
    <row r="287" spans="1:4">
      <c r="A287" s="68"/>
      <c r="B287" s="22"/>
      <c r="C287" s="22"/>
      <c r="D287" s="22"/>
    </row>
    <row r="288" spans="1:4">
      <c r="A288" s="68"/>
      <c r="B288" s="22"/>
      <c r="C288" s="22"/>
      <c r="D288" s="22"/>
    </row>
    <row r="289" spans="1:4">
      <c r="A289" s="68"/>
      <c r="B289" s="22"/>
      <c r="C289" s="22"/>
      <c r="D289" s="22"/>
    </row>
    <row r="290" spans="1:4">
      <c r="A290" s="68"/>
      <c r="B290" s="22"/>
      <c r="C290" s="22"/>
      <c r="D290" s="22"/>
    </row>
    <row r="291" spans="1:4">
      <c r="A291" s="68"/>
      <c r="B291" s="22"/>
      <c r="C291" s="22"/>
      <c r="D291" s="22"/>
    </row>
    <row r="292" spans="1:4">
      <c r="A292" s="68"/>
      <c r="B292" s="22"/>
      <c r="C292" s="22"/>
      <c r="D292" s="22"/>
    </row>
    <row r="293" spans="1:4">
      <c r="A293" s="68"/>
      <c r="B293" s="22"/>
      <c r="C293" s="22"/>
      <c r="D293" s="22"/>
    </row>
    <row r="294" spans="1:4">
      <c r="A294" s="68"/>
      <c r="B294" s="22"/>
      <c r="C294" s="22"/>
      <c r="D294" s="22"/>
    </row>
    <row r="295" spans="1:4">
      <c r="A295" s="68"/>
      <c r="B295" s="22"/>
      <c r="C295" s="22"/>
      <c r="D295" s="22"/>
    </row>
    <row r="296" spans="1:4">
      <c r="A296" s="68"/>
      <c r="B296" s="22"/>
      <c r="C296" s="22"/>
      <c r="D296" s="22"/>
    </row>
    <row r="297" spans="1:4">
      <c r="A297" s="68"/>
      <c r="B297" s="22"/>
      <c r="C297" s="22"/>
      <c r="D297" s="22"/>
    </row>
    <row r="298" spans="1:4">
      <c r="A298" s="68"/>
      <c r="B298" s="22"/>
      <c r="C298" s="22"/>
      <c r="D298" s="22"/>
    </row>
    <row r="299" spans="1:4">
      <c r="A299" s="68"/>
      <c r="B299" s="22"/>
      <c r="C299" s="22"/>
      <c r="D299" s="22"/>
    </row>
    <row r="300" spans="1:4">
      <c r="A300" s="68"/>
      <c r="B300" s="22"/>
      <c r="C300" s="22"/>
      <c r="D300" s="22"/>
    </row>
    <row r="301" spans="1:4">
      <c r="A301" s="68"/>
      <c r="B301" s="22"/>
      <c r="C301" s="22"/>
      <c r="D301" s="22"/>
    </row>
    <row r="302" spans="1:4">
      <c r="A302" s="68"/>
      <c r="B302" s="22"/>
      <c r="C302" s="22"/>
      <c r="D302" s="22"/>
    </row>
    <row r="303" spans="1:4">
      <c r="A303" s="68"/>
      <c r="B303" s="22"/>
      <c r="C303" s="22"/>
      <c r="D303" s="22"/>
    </row>
    <row r="304" spans="1:4">
      <c r="A304" s="68"/>
      <c r="B304" s="22"/>
      <c r="C304" s="22"/>
      <c r="D304" s="22"/>
    </row>
    <row r="305" spans="1:4">
      <c r="A305" s="68"/>
      <c r="B305" s="22"/>
      <c r="C305" s="22"/>
      <c r="D305" s="22"/>
    </row>
    <row r="306" spans="1:4">
      <c r="A306" s="68"/>
      <c r="B306" s="22"/>
      <c r="C306" s="22"/>
      <c r="D306" s="22"/>
    </row>
    <row r="307" spans="1:4">
      <c r="A307" s="68"/>
      <c r="B307" s="22"/>
      <c r="C307" s="22"/>
      <c r="D307" s="22"/>
    </row>
    <row r="308" spans="1:4">
      <c r="A308" s="68"/>
      <c r="B308" s="22"/>
      <c r="C308" s="22"/>
      <c r="D308" s="22"/>
    </row>
    <row r="309" spans="1:4">
      <c r="A309" s="68"/>
      <c r="B309" s="22"/>
      <c r="C309" s="22"/>
      <c r="D309" s="22"/>
    </row>
    <row r="310" spans="1:4">
      <c r="A310" s="68"/>
      <c r="B310" s="22"/>
      <c r="C310" s="22"/>
      <c r="D310" s="22"/>
    </row>
    <row r="311" spans="1:4">
      <c r="A311" s="68"/>
      <c r="B311" s="22"/>
      <c r="C311" s="22"/>
      <c r="D311" s="22"/>
    </row>
    <row r="312" spans="1:4">
      <c r="A312" s="68"/>
      <c r="B312" s="22"/>
      <c r="C312" s="22"/>
      <c r="D312" s="22"/>
    </row>
    <row r="313" spans="1:4">
      <c r="A313" s="68"/>
      <c r="B313" s="22"/>
      <c r="C313" s="22"/>
      <c r="D313" s="22"/>
    </row>
    <row r="314" spans="1:4">
      <c r="A314" s="68"/>
      <c r="B314" s="22"/>
      <c r="C314" s="22"/>
      <c r="D314" s="22"/>
    </row>
    <row r="315" spans="1:4">
      <c r="A315" s="68"/>
      <c r="B315" s="22"/>
      <c r="C315" s="22"/>
      <c r="D315" s="22"/>
    </row>
    <row r="316" spans="1:4">
      <c r="A316" s="68"/>
      <c r="B316" s="22"/>
      <c r="C316" s="22"/>
      <c r="D316" s="22"/>
    </row>
    <row r="317" spans="1:4">
      <c r="A317" s="68"/>
      <c r="B317" s="22"/>
      <c r="C317" s="22"/>
      <c r="D317" s="22"/>
    </row>
    <row r="318" spans="1:4">
      <c r="A318" s="68"/>
      <c r="B318" s="22"/>
      <c r="C318" s="22"/>
      <c r="D318" s="22"/>
    </row>
    <row r="319" spans="1:4">
      <c r="A319" s="68"/>
      <c r="B319" s="22"/>
      <c r="C319" s="22"/>
      <c r="D319" s="22"/>
    </row>
    <row r="320" spans="1:4">
      <c r="A320" s="68"/>
      <c r="B320" s="22"/>
      <c r="C320" s="22"/>
      <c r="D320" s="22"/>
    </row>
    <row r="321" spans="1:4">
      <c r="A321" s="68"/>
      <c r="B321" s="22"/>
      <c r="C321" s="22"/>
      <c r="D321" s="22"/>
    </row>
    <row r="322" spans="1:4">
      <c r="A322" s="68"/>
      <c r="B322" s="22"/>
      <c r="C322" s="22"/>
      <c r="D322" s="22"/>
    </row>
    <row r="323" spans="1:4">
      <c r="A323" s="68"/>
      <c r="B323" s="22"/>
      <c r="C323" s="22"/>
      <c r="D323" s="22"/>
    </row>
    <row r="324" spans="1:4">
      <c r="A324" s="68"/>
      <c r="B324" s="22"/>
      <c r="C324" s="22"/>
      <c r="D324" s="22"/>
    </row>
    <row r="325" spans="1:4">
      <c r="A325" s="68"/>
      <c r="B325" s="22"/>
      <c r="C325" s="22"/>
      <c r="D325" s="22"/>
    </row>
    <row r="326" spans="1:4">
      <c r="A326" s="68"/>
      <c r="B326" s="22"/>
      <c r="C326" s="22"/>
      <c r="D326" s="22"/>
    </row>
    <row r="327" spans="1:4">
      <c r="A327" s="68"/>
      <c r="B327" s="22"/>
      <c r="C327" s="22"/>
      <c r="D327" s="22"/>
    </row>
    <row r="328" spans="1:4">
      <c r="A328" s="68"/>
      <c r="B328" s="22"/>
      <c r="C328" s="22"/>
      <c r="D328" s="22"/>
    </row>
    <row r="329" spans="1:4">
      <c r="A329" s="68"/>
      <c r="B329" s="22"/>
      <c r="C329" s="22"/>
      <c r="D329" s="22"/>
    </row>
    <row r="330" spans="1:4">
      <c r="A330" s="68"/>
      <c r="B330" s="22"/>
      <c r="C330" s="22"/>
      <c r="D330" s="22"/>
    </row>
    <row r="331" spans="1:4">
      <c r="A331" s="68"/>
      <c r="B331" s="22"/>
      <c r="C331" s="22"/>
      <c r="D331" s="22"/>
    </row>
    <row r="332" spans="1:4">
      <c r="A332" s="68"/>
      <c r="B332" s="22"/>
      <c r="C332" s="22"/>
      <c r="D332" s="22"/>
    </row>
    <row r="333" spans="1:4">
      <c r="A333" s="68"/>
      <c r="B333" s="22"/>
      <c r="C333" s="22"/>
      <c r="D333" s="22"/>
    </row>
    <row r="334" spans="1:4">
      <c r="A334" s="68"/>
      <c r="B334" s="22"/>
      <c r="C334" s="22"/>
      <c r="D334" s="22"/>
    </row>
    <row r="335" spans="1:4">
      <c r="A335" s="68"/>
      <c r="B335" s="22"/>
      <c r="C335" s="22"/>
      <c r="D335" s="22"/>
    </row>
    <row r="336" spans="1:4">
      <c r="A336" s="68"/>
      <c r="B336" s="22"/>
      <c r="C336" s="22"/>
      <c r="D336" s="22"/>
    </row>
    <row r="337" spans="1:4">
      <c r="A337" s="68"/>
      <c r="B337" s="22"/>
      <c r="C337" s="22"/>
      <c r="D337" s="22"/>
    </row>
    <row r="338" spans="1:4">
      <c r="A338" s="68"/>
      <c r="B338" s="22"/>
      <c r="C338" s="22"/>
      <c r="D338" s="22"/>
    </row>
    <row r="339" spans="1:4">
      <c r="A339" s="68"/>
      <c r="B339" s="22"/>
      <c r="C339" s="22"/>
      <c r="D339" s="22"/>
    </row>
    <row r="340" spans="1:4">
      <c r="A340" s="68"/>
      <c r="B340" s="22"/>
      <c r="C340" s="22"/>
      <c r="D340" s="22"/>
    </row>
    <row r="341" spans="1:4">
      <c r="A341" s="68"/>
      <c r="B341" s="22"/>
      <c r="C341" s="22"/>
      <c r="D341" s="22"/>
    </row>
    <row r="342" spans="1:4">
      <c r="A342" s="68"/>
      <c r="B342" s="22"/>
      <c r="C342" s="22"/>
      <c r="D342" s="22"/>
    </row>
    <row r="343" spans="1:4">
      <c r="A343" s="68"/>
      <c r="B343" s="22"/>
      <c r="C343" s="22"/>
      <c r="D343" s="22"/>
    </row>
    <row r="344" spans="1:4">
      <c r="A344" s="68"/>
      <c r="B344" s="22"/>
      <c r="C344" s="22"/>
      <c r="D344" s="22"/>
    </row>
    <row r="345" spans="1:4">
      <c r="A345" s="68"/>
      <c r="B345" s="22"/>
      <c r="C345" s="22"/>
      <c r="D345" s="22"/>
    </row>
    <row r="346" spans="1:4">
      <c r="A346" s="68"/>
      <c r="B346" s="22"/>
      <c r="C346" s="22"/>
      <c r="D346" s="22"/>
    </row>
    <row r="347" spans="1:4">
      <c r="A347" s="68"/>
      <c r="B347" s="22"/>
      <c r="C347" s="22"/>
      <c r="D347" s="22"/>
    </row>
    <row r="348" spans="1:4">
      <c r="A348" s="68"/>
      <c r="B348" s="22"/>
      <c r="C348" s="22"/>
      <c r="D348" s="22"/>
    </row>
    <row r="349" spans="1:4">
      <c r="A349" s="68"/>
      <c r="B349" s="22"/>
      <c r="C349" s="22"/>
      <c r="D349" s="22"/>
    </row>
    <row r="350" spans="1:4">
      <c r="A350" s="68"/>
      <c r="B350" s="22"/>
      <c r="C350" s="22"/>
      <c r="D350" s="22"/>
    </row>
    <row r="351" spans="1:4">
      <c r="A351" s="68"/>
      <c r="B351" s="22"/>
      <c r="C351" s="22"/>
      <c r="D351" s="22"/>
    </row>
    <row r="352" spans="1:4">
      <c r="A352" s="68"/>
      <c r="B352" s="22"/>
      <c r="C352" s="22"/>
      <c r="D352" s="22"/>
    </row>
    <row r="353" spans="1:4">
      <c r="A353" s="68"/>
      <c r="B353" s="22"/>
      <c r="C353" s="22"/>
      <c r="D353" s="22"/>
    </row>
    <row r="354" spans="1:4">
      <c r="A354" s="68"/>
      <c r="B354" s="22"/>
      <c r="C354" s="22"/>
      <c r="D354" s="22"/>
    </row>
    <row r="355" spans="1:4">
      <c r="A355" s="68"/>
      <c r="B355" s="22"/>
      <c r="C355" s="22"/>
      <c r="D355" s="22"/>
    </row>
    <row r="356" spans="1:4">
      <c r="A356" s="68"/>
      <c r="B356" s="22"/>
      <c r="C356" s="22"/>
      <c r="D356" s="22"/>
    </row>
    <row r="357" spans="1:4">
      <c r="A357" s="68"/>
      <c r="B357" s="22"/>
      <c r="C357" s="22"/>
      <c r="D357" s="22"/>
    </row>
    <row r="358" spans="1:4">
      <c r="A358" s="68"/>
      <c r="B358" s="22"/>
      <c r="C358" s="22"/>
      <c r="D358" s="22"/>
    </row>
    <row r="359" spans="1:4">
      <c r="A359" s="68"/>
      <c r="B359" s="22"/>
      <c r="C359" s="22"/>
      <c r="D359" s="22"/>
    </row>
    <row r="360" spans="1:4">
      <c r="A360" s="68"/>
      <c r="B360" s="22"/>
      <c r="C360" s="22"/>
      <c r="D360" s="22"/>
    </row>
    <row r="361" spans="1:4">
      <c r="A361" s="68"/>
      <c r="B361" s="22"/>
      <c r="C361" s="22"/>
      <c r="D361" s="22"/>
    </row>
    <row r="362" spans="1:4">
      <c r="A362" s="68"/>
      <c r="B362" s="22"/>
      <c r="C362" s="22"/>
      <c r="D362" s="22"/>
    </row>
    <row r="363" spans="1:4">
      <c r="A363" s="68"/>
      <c r="B363" s="22"/>
      <c r="C363" s="22"/>
      <c r="D363" s="22"/>
    </row>
    <row r="364" spans="1:4">
      <c r="A364" s="68"/>
      <c r="B364" s="22"/>
      <c r="C364" s="22"/>
      <c r="D364" s="22"/>
    </row>
    <row r="365" spans="1:4">
      <c r="A365" s="68"/>
      <c r="B365" s="22"/>
      <c r="C365" s="22"/>
      <c r="D365" s="22"/>
    </row>
    <row r="366" spans="1:4">
      <c r="A366" s="68"/>
      <c r="B366" s="22"/>
      <c r="C366" s="22"/>
      <c r="D366" s="22"/>
    </row>
    <row r="367" spans="1:4">
      <c r="A367" s="68"/>
      <c r="B367" s="22"/>
      <c r="C367" s="22"/>
      <c r="D367" s="22"/>
    </row>
    <row r="368" spans="1:4">
      <c r="A368" s="68"/>
      <c r="B368" s="22"/>
      <c r="C368" s="22"/>
      <c r="D368" s="22"/>
    </row>
    <row r="369" spans="1:4">
      <c r="A369" s="68"/>
      <c r="B369" s="22"/>
      <c r="C369" s="22"/>
      <c r="D369" s="22"/>
    </row>
    <row r="370" spans="1:4">
      <c r="A370" s="68"/>
      <c r="B370" s="22"/>
      <c r="C370" s="22"/>
      <c r="D370" s="22"/>
    </row>
    <row r="371" spans="1:4">
      <c r="A371" s="68"/>
      <c r="B371" s="22"/>
      <c r="C371" s="22"/>
      <c r="D371" s="22"/>
    </row>
    <row r="372" spans="1:4">
      <c r="A372" s="68"/>
      <c r="B372" s="22"/>
      <c r="C372" s="22"/>
      <c r="D372" s="22"/>
    </row>
    <row r="373" spans="1:4">
      <c r="A373" s="68"/>
      <c r="B373" s="22"/>
      <c r="C373" s="22"/>
      <c r="D373" s="22"/>
    </row>
    <row r="374" spans="1:4">
      <c r="A374" s="68"/>
      <c r="B374" s="22"/>
      <c r="C374" s="22"/>
      <c r="D374" s="22"/>
    </row>
    <row r="375" spans="1:4">
      <c r="A375" s="68"/>
      <c r="B375" s="22"/>
      <c r="C375" s="22"/>
      <c r="D375" s="22"/>
    </row>
    <row r="376" spans="1:4">
      <c r="A376" s="68"/>
      <c r="B376" s="22"/>
      <c r="C376" s="22"/>
      <c r="D376" s="22"/>
    </row>
    <row r="377" spans="1:4">
      <c r="A377" s="68"/>
      <c r="B377" s="22"/>
      <c r="C377" s="22"/>
      <c r="D377" s="22"/>
    </row>
    <row r="378" spans="1:4">
      <c r="A378" s="68"/>
      <c r="B378" s="22"/>
      <c r="C378" s="22"/>
      <c r="D378" s="22"/>
    </row>
    <row r="379" spans="1:4">
      <c r="A379" s="68"/>
      <c r="B379" s="22"/>
      <c r="C379" s="22"/>
      <c r="D379" s="22"/>
    </row>
    <row r="380" spans="1:4">
      <c r="A380" s="68"/>
      <c r="B380" s="22"/>
      <c r="C380" s="22"/>
      <c r="D380" s="22"/>
    </row>
    <row r="381" spans="1:4">
      <c r="A381" s="68"/>
      <c r="B381" s="22"/>
      <c r="C381" s="22"/>
      <c r="D381" s="22"/>
    </row>
    <row r="382" spans="1:4">
      <c r="A382" s="68"/>
      <c r="B382" s="22"/>
      <c r="C382" s="22"/>
      <c r="D382" s="22"/>
    </row>
    <row r="383" spans="1:4">
      <c r="A383" s="68"/>
      <c r="B383" s="22"/>
      <c r="C383" s="22"/>
      <c r="D383" s="22"/>
    </row>
    <row r="384" spans="1:4">
      <c r="A384" s="68"/>
      <c r="B384" s="22"/>
      <c r="C384" s="22"/>
      <c r="D384" s="22"/>
    </row>
    <row r="385" spans="1:4">
      <c r="A385" s="68"/>
      <c r="B385" s="22"/>
      <c r="C385" s="22"/>
      <c r="D385" s="22"/>
    </row>
    <row r="386" spans="1:4">
      <c r="A386" s="68"/>
      <c r="B386" s="22"/>
      <c r="C386" s="22"/>
      <c r="D386" s="22"/>
    </row>
    <row r="387" spans="1:4">
      <c r="A387" s="68"/>
      <c r="B387" s="22"/>
      <c r="C387" s="22"/>
      <c r="D387" s="22"/>
    </row>
    <row r="388" spans="1:4">
      <c r="A388" s="68"/>
      <c r="B388" s="22"/>
      <c r="C388" s="22"/>
      <c r="D388" s="22"/>
    </row>
    <row r="389" spans="1:4">
      <c r="A389" s="68"/>
      <c r="B389" s="22"/>
      <c r="C389" s="22"/>
      <c r="D389" s="22"/>
    </row>
    <row r="390" spans="1:4">
      <c r="A390" s="68"/>
      <c r="B390" s="22"/>
      <c r="C390" s="22"/>
      <c r="D390" s="22"/>
    </row>
    <row r="391" spans="1:4">
      <c r="A391" s="68"/>
      <c r="B391" s="22"/>
      <c r="C391" s="22"/>
      <c r="D391" s="22"/>
    </row>
    <row r="392" spans="1:4">
      <c r="A392" s="68"/>
      <c r="B392" s="22"/>
      <c r="C392" s="22"/>
      <c r="D392" s="22"/>
    </row>
    <row r="393" spans="1:4">
      <c r="A393" s="68"/>
      <c r="B393" s="22"/>
      <c r="C393" s="22"/>
      <c r="D393" s="22"/>
    </row>
    <row r="394" spans="1:4">
      <c r="A394" s="68"/>
      <c r="B394" s="22"/>
      <c r="C394" s="22"/>
      <c r="D394" s="22"/>
    </row>
    <row r="395" spans="1:4">
      <c r="A395" s="68"/>
      <c r="B395" s="22"/>
      <c r="C395" s="22"/>
      <c r="D395" s="22"/>
    </row>
    <row r="396" spans="1:4">
      <c r="A396" s="68"/>
      <c r="B396" s="22"/>
      <c r="C396" s="22"/>
      <c r="D396" s="22"/>
    </row>
    <row r="397" spans="1:4">
      <c r="A397" s="68"/>
      <c r="B397" s="22"/>
      <c r="C397" s="22"/>
      <c r="D397" s="22"/>
    </row>
    <row r="398" spans="1:4">
      <c r="A398" s="68"/>
      <c r="B398" s="22"/>
      <c r="C398" s="22"/>
      <c r="D398" s="22"/>
    </row>
    <row r="399" spans="1:4">
      <c r="A399" s="68"/>
      <c r="B399" s="22"/>
      <c r="C399" s="22"/>
      <c r="D399" s="22"/>
    </row>
    <row r="400" spans="1:4">
      <c r="A400" s="68"/>
      <c r="B400" s="22"/>
      <c r="C400" s="22"/>
      <c r="D400" s="22"/>
    </row>
    <row r="401" spans="1:4">
      <c r="A401" s="68"/>
      <c r="B401" s="22"/>
      <c r="C401" s="22"/>
      <c r="D401" s="22"/>
    </row>
    <row r="402" spans="1:4">
      <c r="A402" s="68"/>
      <c r="B402" s="22"/>
      <c r="C402" s="22"/>
      <c r="D402" s="22"/>
    </row>
    <row r="403" spans="1:4">
      <c r="A403" s="68"/>
      <c r="B403" s="22"/>
      <c r="C403" s="22"/>
      <c r="D403" s="22"/>
    </row>
    <row r="404" spans="1:4">
      <c r="A404" s="68"/>
      <c r="B404" s="22"/>
      <c r="C404" s="22"/>
      <c r="D404" s="22"/>
    </row>
    <row r="405" spans="1:4">
      <c r="A405" s="68"/>
      <c r="B405" s="22"/>
      <c r="C405" s="22"/>
      <c r="D405" s="22"/>
    </row>
    <row r="406" spans="1:4">
      <c r="A406" s="68"/>
      <c r="B406" s="22"/>
      <c r="C406" s="22"/>
      <c r="D406" s="22"/>
    </row>
    <row r="407" spans="1:4">
      <c r="A407" s="68"/>
      <c r="B407" s="22"/>
      <c r="C407" s="22"/>
      <c r="D407" s="22"/>
    </row>
    <row r="408" spans="1:4">
      <c r="A408" s="68"/>
      <c r="B408" s="22"/>
      <c r="C408" s="22"/>
      <c r="D408" s="22"/>
    </row>
    <row r="409" spans="1:4">
      <c r="A409" s="68"/>
      <c r="B409" s="22"/>
      <c r="C409" s="22"/>
      <c r="D409" s="22"/>
    </row>
    <row r="410" spans="1:4">
      <c r="A410" s="68"/>
      <c r="B410" s="22"/>
      <c r="C410" s="22"/>
      <c r="D410" s="22"/>
    </row>
    <row r="411" spans="1:4">
      <c r="A411" s="68"/>
      <c r="B411" s="22"/>
      <c r="C411" s="22"/>
      <c r="D411" s="22"/>
    </row>
    <row r="412" spans="1:4">
      <c r="A412" s="68"/>
      <c r="B412" s="22"/>
      <c r="C412" s="22"/>
      <c r="D412" s="22"/>
    </row>
    <row r="413" spans="1:4">
      <c r="A413" s="68"/>
      <c r="B413" s="22"/>
      <c r="C413" s="22"/>
      <c r="D413" s="22"/>
    </row>
    <row r="414" spans="1:4">
      <c r="A414" s="68"/>
      <c r="B414" s="22"/>
      <c r="C414" s="22"/>
      <c r="D414" s="22"/>
    </row>
    <row r="415" spans="1:4">
      <c r="A415" s="68"/>
      <c r="B415" s="22"/>
      <c r="C415" s="22"/>
      <c r="D415" s="22"/>
    </row>
    <row r="416" spans="1:4">
      <c r="A416" s="68"/>
      <c r="B416" s="22"/>
      <c r="C416" s="22"/>
      <c r="D416" s="22"/>
    </row>
    <row r="417" spans="1:4">
      <c r="A417" s="68"/>
      <c r="B417" s="22"/>
      <c r="C417" s="22"/>
      <c r="D417" s="22"/>
    </row>
    <row r="418" spans="1:4">
      <c r="A418" s="68"/>
      <c r="B418" s="22"/>
      <c r="C418" s="22"/>
      <c r="D418" s="22"/>
    </row>
    <row r="419" spans="1:4">
      <c r="A419" s="68"/>
      <c r="B419" s="22"/>
      <c r="C419" s="22"/>
      <c r="D419" s="22"/>
    </row>
    <row r="420" spans="1:4">
      <c r="A420" s="68"/>
      <c r="B420" s="22"/>
      <c r="C420" s="22"/>
      <c r="D420" s="22"/>
    </row>
    <row r="421" spans="1:4">
      <c r="A421" s="68"/>
      <c r="B421" s="22"/>
      <c r="C421" s="22"/>
      <c r="D421" s="22"/>
    </row>
    <row r="422" spans="1:4">
      <c r="A422" s="68"/>
      <c r="B422" s="22"/>
      <c r="C422" s="22"/>
      <c r="D422" s="22"/>
    </row>
    <row r="423" spans="1:4">
      <c r="A423" s="68"/>
      <c r="B423" s="22"/>
      <c r="C423" s="22"/>
      <c r="D423" s="22"/>
    </row>
    <row r="424" spans="1:4">
      <c r="A424" s="68"/>
      <c r="B424" s="22"/>
      <c r="C424" s="22"/>
      <c r="D424" s="22"/>
    </row>
    <row r="425" spans="1:4">
      <c r="A425" s="68"/>
      <c r="B425" s="22"/>
      <c r="C425" s="22"/>
      <c r="D425" s="22"/>
    </row>
    <row r="426" spans="1:4">
      <c r="A426" s="68"/>
      <c r="B426" s="22"/>
      <c r="C426" s="22"/>
      <c r="D426" s="22"/>
    </row>
    <row r="427" spans="1:4">
      <c r="A427" s="68"/>
      <c r="B427" s="22"/>
      <c r="C427" s="22"/>
      <c r="D427" s="22"/>
    </row>
    <row r="428" spans="1:4">
      <c r="A428" s="68"/>
      <c r="B428" s="22"/>
      <c r="C428" s="22"/>
      <c r="D428" s="22"/>
    </row>
    <row r="429" spans="1:4">
      <c r="A429" s="68"/>
      <c r="B429" s="22"/>
      <c r="C429" s="22"/>
      <c r="D429" s="22"/>
    </row>
    <row r="430" spans="1:4">
      <c r="A430" s="68"/>
      <c r="B430" s="22"/>
      <c r="C430" s="22"/>
      <c r="D430" s="22"/>
    </row>
    <row r="431" spans="1:4">
      <c r="A431" s="68"/>
      <c r="B431" s="22"/>
      <c r="C431" s="22"/>
      <c r="D431" s="22"/>
    </row>
    <row r="432" spans="1:4">
      <c r="A432" s="68"/>
      <c r="B432" s="22"/>
      <c r="C432" s="22"/>
      <c r="D432" s="22"/>
    </row>
    <row r="433" spans="1:4">
      <c r="A433" s="68"/>
      <c r="B433" s="22"/>
      <c r="C433" s="22"/>
      <c r="D433" s="22"/>
    </row>
    <row r="434" spans="1:4">
      <c r="A434" s="68"/>
      <c r="B434" s="22"/>
      <c r="C434" s="22"/>
      <c r="D434" s="22"/>
    </row>
    <row r="435" spans="1:4">
      <c r="A435" s="68"/>
      <c r="B435" s="22"/>
      <c r="C435" s="22"/>
      <c r="D435" s="22"/>
    </row>
    <row r="436" spans="1:4">
      <c r="A436" s="68"/>
      <c r="B436" s="22"/>
      <c r="C436" s="22"/>
      <c r="D436" s="22"/>
    </row>
    <row r="437" spans="1:4">
      <c r="A437" s="68"/>
      <c r="B437" s="22"/>
      <c r="C437" s="22"/>
      <c r="D437" s="22"/>
    </row>
    <row r="438" spans="1:4">
      <c r="A438" s="68"/>
      <c r="B438" s="22"/>
      <c r="C438" s="22"/>
      <c r="D438" s="22"/>
    </row>
    <row r="439" spans="1:4">
      <c r="A439" s="68"/>
      <c r="B439" s="22"/>
      <c r="C439" s="22"/>
      <c r="D439" s="22"/>
    </row>
    <row r="440" spans="1:4">
      <c r="A440" s="68"/>
      <c r="B440" s="22"/>
      <c r="C440" s="22"/>
      <c r="D440" s="22"/>
    </row>
    <row r="441" spans="1:4">
      <c r="A441" s="68"/>
      <c r="B441" s="22"/>
      <c r="C441" s="22"/>
      <c r="D441" s="22"/>
    </row>
    <row r="442" spans="1:4">
      <c r="A442" s="68"/>
      <c r="B442" s="22"/>
      <c r="C442" s="22"/>
      <c r="D442" s="22"/>
    </row>
    <row r="443" spans="1:4">
      <c r="A443" s="68"/>
      <c r="B443" s="22"/>
      <c r="C443" s="22"/>
      <c r="D443" s="22"/>
    </row>
    <row r="444" spans="1:4">
      <c r="A444" s="68"/>
      <c r="B444" s="22"/>
      <c r="C444" s="22"/>
      <c r="D444" s="22"/>
    </row>
    <row r="445" spans="1:4">
      <c r="A445" s="68"/>
      <c r="B445" s="22"/>
      <c r="C445" s="22"/>
      <c r="D445" s="22"/>
    </row>
    <row r="446" spans="1:4">
      <c r="A446" s="68"/>
      <c r="B446" s="22"/>
      <c r="C446" s="22"/>
      <c r="D446" s="22"/>
    </row>
    <row r="447" spans="1:4">
      <c r="A447" s="68"/>
      <c r="B447" s="22"/>
      <c r="C447" s="22"/>
      <c r="D447" s="22"/>
    </row>
    <row r="448" spans="1:4">
      <c r="A448" s="68"/>
      <c r="B448" s="22"/>
      <c r="C448" s="22"/>
      <c r="D448" s="22"/>
    </row>
    <row r="449" spans="1:4">
      <c r="A449" s="68"/>
      <c r="B449" s="22"/>
      <c r="C449" s="22"/>
      <c r="D449" s="22"/>
    </row>
    <row r="450" spans="1:4">
      <c r="A450" s="68"/>
      <c r="B450" s="22"/>
      <c r="C450" s="22"/>
      <c r="D450" s="22"/>
    </row>
    <row r="451" spans="1:4">
      <c r="A451" s="68"/>
      <c r="B451" s="22"/>
      <c r="C451" s="22"/>
      <c r="D451" s="22"/>
    </row>
    <row r="452" spans="1:4">
      <c r="A452" s="68"/>
      <c r="B452" s="22"/>
      <c r="C452" s="22"/>
      <c r="D452" s="22"/>
    </row>
    <row r="453" spans="1:4">
      <c r="A453" s="68"/>
      <c r="B453" s="22"/>
      <c r="C453" s="22"/>
      <c r="D453" s="22"/>
    </row>
    <row r="454" spans="1:4">
      <c r="A454" s="68"/>
      <c r="B454" s="22"/>
      <c r="C454" s="22"/>
      <c r="D454" s="22"/>
    </row>
    <row r="455" spans="1:4">
      <c r="A455" s="68"/>
      <c r="B455" s="22"/>
      <c r="C455" s="22"/>
      <c r="D455" s="22"/>
    </row>
    <row r="456" spans="1:4">
      <c r="A456" s="68"/>
      <c r="B456" s="22"/>
      <c r="C456" s="22"/>
      <c r="D456" s="22"/>
    </row>
    <row r="457" spans="1:4">
      <c r="A457" s="68"/>
      <c r="B457" s="22"/>
      <c r="C457" s="22"/>
      <c r="D457" s="22"/>
    </row>
    <row r="458" spans="1:4">
      <c r="A458" s="68"/>
      <c r="B458" s="22"/>
      <c r="C458" s="22"/>
      <c r="D458" s="22"/>
    </row>
    <row r="459" spans="1:4">
      <c r="A459" s="68"/>
      <c r="B459" s="22"/>
      <c r="C459" s="22"/>
      <c r="D459" s="22"/>
    </row>
    <row r="460" spans="1:4">
      <c r="A460" s="68"/>
      <c r="B460" s="22"/>
      <c r="C460" s="22"/>
      <c r="D460" s="22"/>
    </row>
    <row r="461" spans="1:4">
      <c r="A461" s="68"/>
      <c r="B461" s="22"/>
      <c r="C461" s="22"/>
      <c r="D461" s="22"/>
    </row>
    <row r="462" spans="1:4">
      <c r="A462" s="68"/>
      <c r="B462" s="22"/>
      <c r="C462" s="22"/>
      <c r="D462" s="22"/>
    </row>
    <row r="463" spans="1:4">
      <c r="A463" s="68"/>
      <c r="B463" s="22"/>
      <c r="C463" s="22"/>
      <c r="D463" s="22"/>
    </row>
    <row r="464" spans="1:4">
      <c r="A464" s="68"/>
      <c r="B464" s="22"/>
      <c r="C464" s="22"/>
      <c r="D464" s="22"/>
    </row>
    <row r="465" spans="1:4">
      <c r="A465" s="68"/>
      <c r="B465" s="22"/>
      <c r="C465" s="22"/>
      <c r="D465" s="22"/>
    </row>
    <row r="466" spans="1:4">
      <c r="A466" s="68"/>
      <c r="B466" s="22"/>
      <c r="C466" s="22"/>
      <c r="D466" s="22"/>
    </row>
    <row r="467" spans="1:4">
      <c r="A467" s="68"/>
      <c r="B467" s="22"/>
      <c r="C467" s="22"/>
      <c r="D467" s="22"/>
    </row>
    <row r="468" spans="1:4">
      <c r="A468" s="68"/>
      <c r="B468" s="22"/>
      <c r="C468" s="22"/>
      <c r="D468" s="22"/>
    </row>
    <row r="469" spans="1:4">
      <c r="A469" s="68"/>
      <c r="B469" s="22"/>
      <c r="C469" s="22"/>
      <c r="D469" s="22"/>
    </row>
    <row r="470" spans="1:4">
      <c r="A470" s="68"/>
      <c r="B470" s="22"/>
      <c r="C470" s="22"/>
      <c r="D470" s="22"/>
    </row>
    <row r="471" spans="1:4">
      <c r="A471" s="68"/>
      <c r="B471" s="22"/>
      <c r="C471" s="22"/>
      <c r="D471" s="22"/>
    </row>
    <row r="472" spans="1:4">
      <c r="A472" s="68"/>
      <c r="B472" s="22"/>
      <c r="C472" s="22"/>
      <c r="D472" s="22"/>
    </row>
    <row r="473" spans="1:4">
      <c r="A473" s="68"/>
      <c r="B473" s="22"/>
      <c r="C473" s="22"/>
      <c r="D473" s="22"/>
    </row>
    <row r="474" spans="1:4">
      <c r="A474" s="68"/>
      <c r="B474" s="22"/>
      <c r="C474" s="22"/>
      <c r="D474" s="22"/>
    </row>
    <row r="475" spans="1:4">
      <c r="A475" s="68"/>
      <c r="B475" s="22"/>
      <c r="C475" s="22"/>
      <c r="D475" s="22"/>
    </row>
    <row r="476" spans="1:4">
      <c r="A476" s="68"/>
      <c r="B476" s="22"/>
      <c r="C476" s="22"/>
      <c r="D476" s="22"/>
    </row>
    <row r="477" spans="1:4">
      <c r="A477" s="68"/>
      <c r="B477" s="22"/>
      <c r="C477" s="22"/>
      <c r="D477" s="22"/>
    </row>
    <row r="478" spans="1:4">
      <c r="A478" s="68"/>
      <c r="B478" s="22"/>
      <c r="C478" s="22"/>
      <c r="D478" s="22"/>
    </row>
    <row r="479" spans="1:4">
      <c r="A479" s="68"/>
      <c r="B479" s="22"/>
      <c r="C479" s="22"/>
      <c r="D479" s="22"/>
    </row>
    <row r="480" spans="1:4">
      <c r="A480" s="68"/>
      <c r="B480" s="22"/>
      <c r="C480" s="22"/>
      <c r="D480" s="22"/>
    </row>
    <row r="481" spans="1:4">
      <c r="A481" s="68"/>
      <c r="B481" s="22"/>
      <c r="C481" s="22"/>
      <c r="D481" s="22"/>
    </row>
    <row r="482" spans="1:4">
      <c r="A482" s="68"/>
      <c r="B482" s="22"/>
      <c r="C482" s="22"/>
      <c r="D482" s="22"/>
    </row>
    <row r="483" spans="1:4">
      <c r="A483" s="68"/>
      <c r="B483" s="22"/>
      <c r="C483" s="22"/>
      <c r="D483" s="22"/>
    </row>
    <row r="484" spans="1:4">
      <c r="A484" s="68"/>
      <c r="B484" s="22"/>
      <c r="C484" s="22"/>
      <c r="D484" s="22"/>
    </row>
    <row r="485" spans="1:4">
      <c r="A485" s="68"/>
      <c r="B485" s="22"/>
      <c r="C485" s="22"/>
      <c r="D485" s="22"/>
    </row>
    <row r="486" spans="1:4">
      <c r="A486" s="68"/>
      <c r="B486" s="22"/>
      <c r="C486" s="22"/>
      <c r="D486" s="22"/>
    </row>
    <row r="487" spans="1:4">
      <c r="A487" s="68"/>
      <c r="B487" s="22"/>
      <c r="C487" s="22"/>
      <c r="D487" s="22"/>
    </row>
    <row r="488" spans="1:4">
      <c r="A488" s="68"/>
      <c r="B488" s="22"/>
      <c r="C488" s="22"/>
      <c r="D488" s="22"/>
    </row>
    <row r="489" spans="1:4">
      <c r="A489" s="68"/>
      <c r="B489" s="22"/>
      <c r="C489" s="22"/>
      <c r="D489" s="22"/>
    </row>
    <row r="490" spans="1:4" ht="15.75" thickBot="1">
      <c r="A490" s="7"/>
      <c r="B490" s="8"/>
      <c r="C490" s="8"/>
      <c r="D490" s="16"/>
    </row>
    <row r="491" spans="1:4" ht="15.75" thickBot="1">
      <c r="A491" s="3"/>
      <c r="B491" s="4"/>
      <c r="C491" s="4"/>
      <c r="D491" s="17"/>
    </row>
    <row r="492" spans="1:4" ht="15.75" thickBot="1">
      <c r="A492" s="3"/>
      <c r="B492" s="4"/>
      <c r="C492" s="4"/>
      <c r="D492" s="17"/>
    </row>
    <row r="493" spans="1:4" ht="15.75" thickBot="1">
      <c r="A493" s="3"/>
      <c r="B493" s="4"/>
      <c r="C493" s="4"/>
      <c r="D493" s="17"/>
    </row>
    <row r="494" spans="1:4" ht="15.75" thickBot="1">
      <c r="A494" s="3"/>
      <c r="B494" s="4"/>
      <c r="C494" s="4"/>
      <c r="D494" s="17"/>
    </row>
    <row r="495" spans="1:4" ht="15.75" thickBot="1">
      <c r="A495" s="3"/>
      <c r="B495" s="4"/>
      <c r="C495" s="4"/>
      <c r="D495" s="17"/>
    </row>
    <row r="496" spans="1:4" ht="15.75" thickBot="1">
      <c r="A496" s="3"/>
      <c r="B496" s="4"/>
      <c r="C496" s="4"/>
      <c r="D496" s="17"/>
    </row>
    <row r="497" spans="1:4" ht="15.75" thickBot="1">
      <c r="A497" s="3"/>
      <c r="B497" s="4"/>
      <c r="C497" s="4"/>
      <c r="D497" s="17"/>
    </row>
    <row r="498" spans="1:4" ht="15.75" thickBot="1">
      <c r="A498" s="3"/>
      <c r="B498" s="4"/>
      <c r="C498" s="4"/>
      <c r="D498" s="17"/>
    </row>
    <row r="499" spans="1:4" ht="15.75" thickBot="1">
      <c r="A499" s="3"/>
      <c r="B499" s="4"/>
      <c r="C499" s="4"/>
      <c r="D499" s="17"/>
    </row>
    <row r="500" spans="1:4" ht="15.75" thickBot="1">
      <c r="A500" s="3"/>
      <c r="B500" s="4"/>
      <c r="C500" s="4"/>
      <c r="D500" s="17"/>
    </row>
    <row r="501" spans="1:4" ht="15.75" thickBot="1">
      <c r="A501" s="3"/>
      <c r="B501" s="4"/>
      <c r="C501" s="4"/>
      <c r="D501" s="17"/>
    </row>
    <row r="502" spans="1:4" ht="15.75" thickBot="1">
      <c r="A502" s="3"/>
      <c r="B502" s="4"/>
      <c r="C502" s="4"/>
      <c r="D502" s="17"/>
    </row>
    <row r="503" spans="1:4" ht="15.75" thickBot="1">
      <c r="A503" s="3"/>
      <c r="B503" s="4"/>
      <c r="C503" s="4"/>
      <c r="D503" s="17"/>
    </row>
    <row r="504" spans="1:4" ht="15.75" thickBot="1">
      <c r="A504" s="3"/>
      <c r="B504" s="4"/>
      <c r="C504" s="4"/>
      <c r="D504" s="17"/>
    </row>
    <row r="505" spans="1:4" ht="15.75" thickBot="1">
      <c r="A505" s="3"/>
      <c r="B505" s="4"/>
      <c r="C505" s="4"/>
      <c r="D505" s="17"/>
    </row>
    <row r="506" spans="1:4" ht="15.75" thickBot="1">
      <c r="A506" s="3"/>
      <c r="B506" s="4"/>
      <c r="C506" s="4"/>
      <c r="D506" s="17"/>
    </row>
    <row r="507" spans="1:4" ht="15.75" thickBot="1">
      <c r="A507" s="3"/>
      <c r="B507" s="4"/>
      <c r="C507" s="4"/>
      <c r="D507" s="17"/>
    </row>
    <row r="508" spans="1:4" ht="15.75" thickBot="1">
      <c r="A508" s="3"/>
      <c r="B508" s="4"/>
      <c r="C508" s="4"/>
      <c r="D508" s="17"/>
    </row>
    <row r="509" spans="1:4" ht="15.75" thickBot="1">
      <c r="A509" s="3"/>
      <c r="B509" s="4"/>
      <c r="C509" s="4"/>
      <c r="D509" s="17"/>
    </row>
    <row r="510" spans="1:4" ht="15.75" thickBot="1">
      <c r="A510" s="3"/>
      <c r="B510" s="4"/>
      <c r="C510" s="4"/>
      <c r="D510" s="17"/>
    </row>
    <row r="511" spans="1:4" ht="15.75" thickBot="1">
      <c r="A511" s="3"/>
      <c r="B511" s="4"/>
      <c r="C511" s="4"/>
      <c r="D511" s="17"/>
    </row>
    <row r="512" spans="1:4" ht="15.75" thickBot="1">
      <c r="A512" s="3"/>
      <c r="B512" s="4"/>
      <c r="C512" s="4"/>
      <c r="D512" s="17"/>
    </row>
    <row r="513" spans="1:4" ht="15.75" thickBot="1">
      <c r="A513" s="3"/>
      <c r="B513" s="4"/>
      <c r="C513" s="4"/>
      <c r="D513" s="17"/>
    </row>
    <row r="514" spans="1:4" ht="15.75" thickBot="1">
      <c r="A514" s="3"/>
      <c r="B514" s="4"/>
      <c r="C514" s="4"/>
      <c r="D514" s="17"/>
    </row>
    <row r="515" spans="1:4" ht="15.75" thickBot="1">
      <c r="A515" s="3"/>
      <c r="B515" s="4"/>
      <c r="C515" s="4"/>
      <c r="D515" s="17"/>
    </row>
    <row r="516" spans="1:4" ht="15.75" thickBot="1">
      <c r="A516" s="3"/>
      <c r="B516" s="4"/>
      <c r="C516" s="4"/>
      <c r="D516" s="17"/>
    </row>
    <row r="517" spans="1:4" ht="15.75" thickBot="1">
      <c r="A517" s="3"/>
      <c r="B517" s="4"/>
      <c r="C517" s="4"/>
      <c r="D517" s="17"/>
    </row>
    <row r="518" spans="1:4" ht="15.75" thickBot="1">
      <c r="A518" s="3"/>
      <c r="B518" s="4"/>
      <c r="C518" s="4"/>
      <c r="D518" s="17"/>
    </row>
    <row r="519" spans="1:4" ht="15.75" thickBot="1">
      <c r="A519" s="3"/>
      <c r="B519" s="4"/>
      <c r="C519" s="4"/>
      <c r="D519" s="17"/>
    </row>
    <row r="520" spans="1:4" ht="15.75" thickBot="1">
      <c r="A520" s="3"/>
      <c r="B520" s="4"/>
      <c r="C520" s="4"/>
      <c r="D520" s="17"/>
    </row>
    <row r="521" spans="1:4" ht="15.75" thickBot="1">
      <c r="A521" s="3"/>
      <c r="B521" s="4"/>
      <c r="C521" s="4"/>
      <c r="D521" s="17"/>
    </row>
    <row r="522" spans="1:4" ht="15.75" thickBot="1">
      <c r="A522" s="3"/>
      <c r="B522" s="4"/>
      <c r="C522" s="4"/>
      <c r="D522" s="17"/>
    </row>
    <row r="523" spans="1:4" ht="15.75" thickBot="1">
      <c r="A523" s="3"/>
      <c r="B523" s="4"/>
      <c r="C523" s="4"/>
      <c r="D523" s="17"/>
    </row>
    <row r="524" spans="1:4" ht="15.75" thickBot="1">
      <c r="A524" s="3"/>
      <c r="B524" s="4"/>
      <c r="C524" s="4"/>
      <c r="D524" s="17"/>
    </row>
    <row r="525" spans="1:4" ht="15.75" thickBot="1">
      <c r="A525" s="3"/>
      <c r="B525" s="4"/>
      <c r="C525" s="4"/>
      <c r="D525" s="17"/>
    </row>
    <row r="526" spans="1:4" ht="15.75" thickBot="1">
      <c r="A526" s="3"/>
      <c r="B526" s="4"/>
      <c r="C526" s="4"/>
      <c r="D526" s="17"/>
    </row>
    <row r="527" spans="1:4" ht="15.75" thickBot="1">
      <c r="A527" s="3"/>
      <c r="B527" s="4"/>
      <c r="C527" s="4"/>
      <c r="D527" s="17"/>
    </row>
    <row r="528" spans="1:4" ht="15.75" thickBot="1">
      <c r="A528" s="3"/>
      <c r="B528" s="4"/>
      <c r="C528" s="4"/>
      <c r="D528" s="17"/>
    </row>
    <row r="529" spans="1:4" ht="15.75" thickBot="1">
      <c r="A529" s="3"/>
      <c r="B529" s="4"/>
      <c r="C529" s="4"/>
      <c r="D529" s="17"/>
    </row>
    <row r="530" spans="1:4" ht="15.75" thickBot="1">
      <c r="A530" s="3"/>
      <c r="B530" s="4"/>
      <c r="C530" s="4"/>
      <c r="D530" s="17"/>
    </row>
    <row r="531" spans="1:4" ht="15.75" thickBot="1">
      <c r="A531" s="3"/>
      <c r="B531" s="4"/>
      <c r="C531" s="4"/>
      <c r="D531" s="17"/>
    </row>
    <row r="532" spans="1:4" ht="15.75" thickBot="1">
      <c r="A532" s="3"/>
      <c r="B532" s="4"/>
      <c r="C532" s="4"/>
      <c r="D532" s="17"/>
    </row>
    <row r="533" spans="1:4" ht="15.75" thickBot="1">
      <c r="A533" s="3"/>
      <c r="B533" s="4"/>
      <c r="C533" s="4"/>
      <c r="D533" s="17"/>
    </row>
    <row r="534" spans="1:4" ht="15.75" thickBot="1">
      <c r="A534" s="3"/>
      <c r="B534" s="4"/>
      <c r="C534" s="4"/>
      <c r="D534" s="17"/>
    </row>
    <row r="535" spans="1:4" ht="15.75" thickBot="1">
      <c r="A535" s="3"/>
      <c r="B535" s="4"/>
      <c r="C535" s="4"/>
      <c r="D535" s="17"/>
    </row>
    <row r="536" spans="1:4" ht="15.75" thickBot="1">
      <c r="A536" s="3"/>
      <c r="B536" s="4"/>
      <c r="C536" s="4"/>
      <c r="D536" s="17"/>
    </row>
    <row r="537" spans="1:4" ht="15.75" thickBot="1">
      <c r="A537" s="3"/>
      <c r="B537" s="4"/>
      <c r="C537" s="4"/>
      <c r="D537" s="17"/>
    </row>
    <row r="538" spans="1:4" ht="15.75" thickBot="1">
      <c r="A538" s="3"/>
      <c r="B538" s="4"/>
      <c r="C538" s="4"/>
      <c r="D538" s="17"/>
    </row>
    <row r="539" spans="1:4" ht="15.75" thickBot="1">
      <c r="A539" s="3"/>
      <c r="B539" s="4"/>
      <c r="C539" s="4"/>
      <c r="D539" s="17"/>
    </row>
    <row r="540" spans="1:4" ht="15.75" thickBot="1">
      <c r="A540" s="3"/>
      <c r="B540" s="4"/>
      <c r="C540" s="4"/>
      <c r="D540" s="17"/>
    </row>
    <row r="541" spans="1:4" ht="15.75" thickBot="1">
      <c r="A541" s="3"/>
      <c r="B541" s="4"/>
      <c r="C541" s="4"/>
      <c r="D541" s="17"/>
    </row>
    <row r="542" spans="1:4" ht="15.75" thickBot="1">
      <c r="A542" s="3"/>
      <c r="B542" s="4"/>
      <c r="C542" s="4"/>
      <c r="D542" s="17"/>
    </row>
    <row r="543" spans="1:4" ht="15.75" thickBot="1">
      <c r="A543" s="3"/>
      <c r="B543" s="4"/>
      <c r="C543" s="4"/>
      <c r="D543" s="17"/>
    </row>
    <row r="544" spans="1:4" ht="15.75" thickBot="1">
      <c r="A544" s="3"/>
      <c r="B544" s="4"/>
      <c r="C544" s="4"/>
      <c r="D544" s="17"/>
    </row>
    <row r="545" spans="1:4" ht="15.75" thickBot="1">
      <c r="A545" s="3"/>
      <c r="B545" s="4"/>
      <c r="C545" s="4"/>
      <c r="D545" s="17"/>
    </row>
    <row r="546" spans="1:4" ht="15.75" thickBot="1">
      <c r="A546" s="3"/>
      <c r="B546" s="4"/>
      <c r="C546" s="4"/>
      <c r="D546" s="17"/>
    </row>
    <row r="547" spans="1:4" ht="15.75" thickBot="1">
      <c r="A547" s="3"/>
      <c r="B547" s="4"/>
      <c r="C547" s="4"/>
      <c r="D547" s="17"/>
    </row>
    <row r="548" spans="1:4" ht="15.75" thickBot="1">
      <c r="A548" s="3"/>
      <c r="B548" s="4"/>
      <c r="C548" s="4"/>
      <c r="D548" s="17"/>
    </row>
    <row r="549" spans="1:4" ht="15.75" thickBot="1">
      <c r="A549" s="3"/>
      <c r="B549" s="4"/>
      <c r="C549" s="4"/>
      <c r="D549" s="17"/>
    </row>
    <row r="550" spans="1:4" ht="15.75" thickBot="1">
      <c r="A550" s="3"/>
      <c r="B550" s="4"/>
      <c r="C550" s="4"/>
      <c r="D550" s="17"/>
    </row>
    <row r="551" spans="1:4" ht="15.75" thickBot="1">
      <c r="A551" s="3"/>
      <c r="B551" s="4"/>
      <c r="C551" s="4"/>
      <c r="D551" s="17"/>
    </row>
    <row r="552" spans="1:4" ht="15.75" thickBot="1">
      <c r="A552" s="3"/>
      <c r="B552" s="4"/>
      <c r="C552" s="4"/>
      <c r="D552" s="17"/>
    </row>
    <row r="553" spans="1:4" ht="15.75" thickBot="1">
      <c r="A553" s="3"/>
      <c r="B553" s="4"/>
      <c r="C553" s="4"/>
      <c r="D553" s="17"/>
    </row>
    <row r="554" spans="1:4" ht="15.75" thickBot="1">
      <c r="A554" s="3"/>
      <c r="B554" s="4"/>
      <c r="C554" s="4"/>
      <c r="D554" s="17"/>
    </row>
    <row r="555" spans="1:4" ht="15.75" thickBot="1">
      <c r="A555" s="3"/>
      <c r="B555" s="4"/>
      <c r="C555" s="4"/>
      <c r="D555" s="17"/>
    </row>
    <row r="556" spans="1:4" ht="15.75" thickBot="1">
      <c r="A556" s="3"/>
      <c r="B556" s="4"/>
      <c r="C556" s="4"/>
      <c r="D556" s="17"/>
    </row>
    <row r="557" spans="1:4" ht="15.75" thickBot="1">
      <c r="A557" s="3"/>
      <c r="B557" s="4"/>
      <c r="C557" s="4"/>
      <c r="D557" s="17"/>
    </row>
    <row r="558" spans="1:4" ht="15.75" thickBot="1">
      <c r="A558" s="3"/>
      <c r="B558" s="4"/>
      <c r="C558" s="4"/>
      <c r="D558" s="17"/>
    </row>
    <row r="559" spans="1:4" ht="15.75" thickBot="1">
      <c r="A559" s="3"/>
      <c r="B559" s="4"/>
      <c r="C559" s="4"/>
      <c r="D559" s="17"/>
    </row>
    <row r="560" spans="1:4" ht="15.75" thickBot="1">
      <c r="A560" s="3"/>
      <c r="B560" s="4"/>
      <c r="C560" s="4"/>
      <c r="D560" s="17"/>
    </row>
    <row r="561" spans="1:4" ht="15.75" thickBot="1">
      <c r="A561" s="3"/>
      <c r="B561" s="4"/>
      <c r="C561" s="4"/>
      <c r="D561" s="17"/>
    </row>
    <row r="562" spans="1:4" ht="15.75" thickBot="1">
      <c r="A562" s="3"/>
      <c r="B562" s="4"/>
      <c r="C562" s="4"/>
      <c r="D562" s="17"/>
    </row>
    <row r="563" spans="1:4" ht="15.75" thickBot="1">
      <c r="A563" s="3"/>
      <c r="B563" s="4"/>
      <c r="C563" s="4"/>
      <c r="D563" s="17"/>
    </row>
    <row r="564" spans="1:4" ht="15.75" thickBot="1">
      <c r="A564" s="3"/>
      <c r="B564" s="4"/>
      <c r="C564" s="4"/>
      <c r="D564" s="17"/>
    </row>
    <row r="565" spans="1:4" ht="15.75" thickBot="1">
      <c r="A565" s="3"/>
      <c r="B565" s="4"/>
      <c r="C565" s="4"/>
      <c r="D565" s="17"/>
    </row>
    <row r="566" spans="1:4" ht="15.75" thickBot="1">
      <c r="A566" s="3"/>
      <c r="B566" s="4"/>
      <c r="C566" s="4"/>
      <c r="D566" s="17"/>
    </row>
    <row r="567" spans="1:4" ht="15.75" thickBot="1">
      <c r="A567" s="3"/>
      <c r="B567" s="4"/>
      <c r="C567" s="4"/>
      <c r="D567" s="17"/>
    </row>
    <row r="568" spans="1:4" ht="15.75" thickBot="1">
      <c r="A568" s="3"/>
      <c r="B568" s="4"/>
      <c r="C568" s="4"/>
      <c r="D568" s="17"/>
    </row>
    <row r="569" spans="1:4" ht="15.75" thickBot="1">
      <c r="A569" s="3"/>
      <c r="B569" s="4"/>
      <c r="C569" s="4"/>
      <c r="D569" s="17"/>
    </row>
    <row r="570" spans="1:4" ht="15.75" thickBot="1">
      <c r="A570" s="3"/>
      <c r="B570" s="4"/>
      <c r="C570" s="4"/>
      <c r="D570" s="17"/>
    </row>
    <row r="571" spans="1:4" ht="15.75" thickBot="1">
      <c r="A571" s="3"/>
      <c r="B571" s="4"/>
      <c r="C571" s="4"/>
      <c r="D571" s="17"/>
    </row>
    <row r="572" spans="1:4" ht="15.75" thickBot="1">
      <c r="A572" s="3"/>
      <c r="B572" s="4"/>
      <c r="C572" s="4"/>
      <c r="D572" s="17"/>
    </row>
    <row r="573" spans="1:4" ht="15.75" thickBot="1">
      <c r="A573" s="3"/>
      <c r="B573" s="4"/>
      <c r="C573" s="4"/>
      <c r="D573" s="17"/>
    </row>
    <row r="574" spans="1:4" ht="15.75" thickBot="1">
      <c r="A574" s="3"/>
      <c r="B574" s="4"/>
      <c r="C574" s="4"/>
      <c r="D574" s="17"/>
    </row>
    <row r="575" spans="1:4" ht="15.75" thickBot="1">
      <c r="A575" s="3"/>
      <c r="B575" s="4"/>
      <c r="C575" s="4"/>
      <c r="D575" s="17"/>
    </row>
    <row r="576" spans="1:4" ht="15.75" thickBot="1">
      <c r="A576" s="3"/>
      <c r="B576" s="4"/>
      <c r="C576" s="4"/>
      <c r="D576" s="17"/>
    </row>
    <row r="577" spans="1:4" ht="15.75" thickBot="1">
      <c r="A577" s="3"/>
      <c r="B577" s="4"/>
      <c r="C577" s="4"/>
      <c r="D577" s="17"/>
    </row>
    <row r="578" spans="1:4" ht="15.75" thickBot="1">
      <c r="A578" s="3"/>
      <c r="B578" s="4"/>
      <c r="C578" s="4"/>
      <c r="D578" s="17"/>
    </row>
    <row r="579" spans="1:4" ht="15.75" thickBot="1">
      <c r="A579" s="3"/>
      <c r="B579" s="4"/>
      <c r="C579" s="4"/>
      <c r="D579" s="17"/>
    </row>
    <row r="580" spans="1:4" ht="15.75" thickBot="1">
      <c r="A580" s="3"/>
      <c r="B580" s="4"/>
      <c r="C580" s="4"/>
      <c r="D580" s="17"/>
    </row>
    <row r="581" spans="1:4" ht="15.75" thickBot="1">
      <c r="A581" s="3"/>
      <c r="B581" s="4"/>
      <c r="C581" s="4"/>
      <c r="D581" s="17"/>
    </row>
    <row r="582" spans="1:4" ht="15.75" thickBot="1">
      <c r="A582" s="3"/>
      <c r="B582" s="4"/>
      <c r="C582" s="4"/>
      <c r="D582" s="17"/>
    </row>
    <row r="583" spans="1:4" ht="15.75" thickBot="1">
      <c r="A583" s="3"/>
      <c r="B583" s="4"/>
      <c r="C583" s="4"/>
      <c r="D583" s="17"/>
    </row>
    <row r="584" spans="1:4" ht="15.75" thickBot="1">
      <c r="A584" s="3"/>
      <c r="B584" s="4"/>
      <c r="C584" s="4"/>
      <c r="D584" s="17"/>
    </row>
    <row r="585" spans="1:4" ht="15.75" thickBot="1">
      <c r="A585" s="3"/>
      <c r="B585" s="4"/>
      <c r="C585" s="4"/>
      <c r="D585" s="17"/>
    </row>
    <row r="586" spans="1:4" ht="15.75" thickBot="1">
      <c r="A586" s="3"/>
      <c r="B586" s="4"/>
      <c r="C586" s="4"/>
      <c r="D586" s="17"/>
    </row>
    <row r="587" spans="1:4" ht="15.75" thickBot="1">
      <c r="A587" s="3"/>
      <c r="B587" s="4"/>
      <c r="C587" s="4"/>
      <c r="D587" s="17"/>
    </row>
    <row r="588" spans="1:4" ht="15.75" thickBot="1">
      <c r="A588" s="3"/>
      <c r="B588" s="4"/>
      <c r="C588" s="4"/>
      <c r="D588" s="17"/>
    </row>
    <row r="589" spans="1:4" ht="15.75" thickBot="1">
      <c r="A589" s="3"/>
      <c r="B589" s="4"/>
      <c r="C589" s="4"/>
      <c r="D589" s="17"/>
    </row>
    <row r="590" spans="1:4" ht="15.75" thickBot="1">
      <c r="A590" s="3"/>
      <c r="B590" s="4"/>
      <c r="C590" s="4"/>
      <c r="D590" s="17"/>
    </row>
    <row r="591" spans="1:4" ht="15.75" thickBot="1">
      <c r="A591" s="3"/>
      <c r="B591" s="4"/>
      <c r="C591" s="4"/>
      <c r="D591" s="17"/>
    </row>
    <row r="592" spans="1:4" ht="15.75" thickBot="1">
      <c r="A592" s="3"/>
      <c r="B592" s="4"/>
      <c r="C592" s="4"/>
      <c r="D592" s="17"/>
    </row>
    <row r="593" spans="1:4" ht="15.75" thickBot="1">
      <c r="A593" s="3"/>
      <c r="B593" s="4"/>
      <c r="C593" s="4"/>
      <c r="D593" s="17"/>
    </row>
    <row r="594" spans="1:4" ht="15.75" thickBot="1">
      <c r="A594" s="3"/>
      <c r="B594" s="4"/>
      <c r="C594" s="4"/>
      <c r="D594" s="17"/>
    </row>
    <row r="595" spans="1:4" ht="15.75" thickBot="1">
      <c r="A595" s="3"/>
      <c r="B595" s="4"/>
      <c r="C595" s="4"/>
      <c r="D595" s="17"/>
    </row>
    <row r="596" spans="1:4" ht="15.75" thickBot="1">
      <c r="A596" s="3"/>
      <c r="B596" s="4"/>
      <c r="C596" s="4"/>
      <c r="D596" s="17"/>
    </row>
    <row r="597" spans="1:4" ht="15.75" thickBot="1">
      <c r="A597" s="3"/>
      <c r="B597" s="4"/>
      <c r="C597" s="4"/>
      <c r="D597" s="17"/>
    </row>
    <row r="598" spans="1:4" ht="15.75" thickBot="1">
      <c r="A598" s="3"/>
      <c r="B598" s="4"/>
      <c r="C598" s="4"/>
      <c r="D598" s="17"/>
    </row>
    <row r="599" spans="1:4" ht="15.75" thickBot="1">
      <c r="A599" s="3"/>
      <c r="B599" s="4"/>
      <c r="C599" s="4"/>
      <c r="D599" s="17"/>
    </row>
    <row r="600" spans="1:4" ht="15.75" thickBot="1">
      <c r="A600" s="3"/>
      <c r="B600" s="4"/>
      <c r="C600" s="4"/>
      <c r="D600" s="17"/>
    </row>
    <row r="601" spans="1:4" ht="15.75" thickBot="1">
      <c r="A601" s="3"/>
      <c r="B601" s="4"/>
      <c r="C601" s="4"/>
      <c r="D601" s="17"/>
    </row>
    <row r="602" spans="1:4" ht="15.75" thickBot="1">
      <c r="A602" s="3"/>
      <c r="B602" s="4"/>
      <c r="C602" s="4"/>
      <c r="D602" s="17"/>
    </row>
    <row r="603" spans="1:4" ht="15.75" thickBot="1">
      <c r="A603" s="3"/>
      <c r="B603" s="4"/>
      <c r="C603" s="4"/>
      <c r="D603" s="17"/>
    </row>
    <row r="604" spans="1:4" ht="15.75" thickBot="1">
      <c r="A604" s="3"/>
      <c r="B604" s="4"/>
      <c r="C604" s="4"/>
      <c r="D604" s="17"/>
    </row>
    <row r="605" spans="1:4" ht="15.75" thickBot="1">
      <c r="A605" s="3"/>
      <c r="B605" s="4"/>
      <c r="C605" s="4"/>
      <c r="D605" s="17"/>
    </row>
    <row r="606" spans="1:4" ht="15.75" thickBot="1">
      <c r="A606" s="3"/>
      <c r="B606" s="4"/>
      <c r="C606" s="4"/>
      <c r="D606" s="17"/>
    </row>
    <row r="607" spans="1:4" ht="15.75" thickBot="1">
      <c r="A607" s="3"/>
      <c r="B607" s="4"/>
      <c r="C607" s="4"/>
      <c r="D607" s="17"/>
    </row>
    <row r="608" spans="1:4" ht="15.75" thickBot="1">
      <c r="A608" s="3"/>
      <c r="B608" s="4"/>
      <c r="C608" s="4"/>
      <c r="D608" s="17"/>
    </row>
    <row r="609" spans="1:4" ht="15.75" thickBot="1">
      <c r="A609" s="3"/>
      <c r="B609" s="4"/>
      <c r="C609" s="4"/>
      <c r="D609" s="17"/>
    </row>
    <row r="610" spans="1:4" ht="15.75" thickBot="1">
      <c r="A610" s="3"/>
      <c r="B610" s="4"/>
      <c r="C610" s="4"/>
      <c r="D610" s="17"/>
    </row>
    <row r="611" spans="1:4" ht="15.75" thickBot="1">
      <c r="A611" s="3"/>
      <c r="B611" s="4"/>
      <c r="C611" s="4"/>
      <c r="D611" s="17"/>
    </row>
    <row r="612" spans="1:4" ht="15.75" thickBot="1">
      <c r="A612" s="3"/>
      <c r="B612" s="4"/>
      <c r="C612" s="4"/>
      <c r="D612" s="17"/>
    </row>
    <row r="613" spans="1:4" ht="15.75" thickBot="1">
      <c r="A613" s="3"/>
      <c r="B613" s="4"/>
      <c r="C613" s="4"/>
      <c r="D613" s="17"/>
    </row>
    <row r="614" spans="1:4" ht="15.75" thickBot="1">
      <c r="A614" s="3"/>
      <c r="B614" s="4"/>
      <c r="C614" s="4"/>
      <c r="D614" s="17"/>
    </row>
    <row r="615" spans="1:4" ht="15.75" thickBot="1">
      <c r="A615" s="3"/>
      <c r="B615" s="4"/>
      <c r="C615" s="4"/>
      <c r="D615" s="17"/>
    </row>
    <row r="616" spans="1:4" ht="15.75" thickBot="1">
      <c r="A616" s="3"/>
      <c r="B616" s="4"/>
      <c r="C616" s="4"/>
      <c r="D616" s="17"/>
    </row>
    <row r="617" spans="1:4" ht="15.75" thickBot="1">
      <c r="A617" s="3"/>
      <c r="B617" s="4"/>
      <c r="C617" s="4"/>
      <c r="D617" s="17"/>
    </row>
    <row r="618" spans="1:4" ht="15.75" thickBot="1">
      <c r="A618" s="3"/>
      <c r="B618" s="4"/>
      <c r="C618" s="4"/>
      <c r="D618" s="17"/>
    </row>
    <row r="619" spans="1:4" ht="15.75" thickBot="1">
      <c r="A619" s="3"/>
      <c r="B619" s="4"/>
      <c r="C619" s="4"/>
      <c r="D619" s="17"/>
    </row>
    <row r="620" spans="1:4" ht="15.75" thickBot="1">
      <c r="A620" s="3"/>
      <c r="B620" s="4"/>
      <c r="C620" s="4"/>
      <c r="D620" s="17"/>
    </row>
    <row r="621" spans="1:4" ht="15.75" thickBot="1">
      <c r="A621" s="3"/>
      <c r="B621" s="4"/>
      <c r="C621" s="4"/>
      <c r="D621" s="17"/>
    </row>
    <row r="622" spans="1:4" ht="15.75" thickBot="1">
      <c r="A622" s="3"/>
      <c r="B622" s="4"/>
      <c r="C622" s="4"/>
      <c r="D622" s="17"/>
    </row>
    <row r="623" spans="1:4" ht="15.75" thickBot="1">
      <c r="A623" s="3"/>
      <c r="B623" s="4"/>
      <c r="C623" s="4"/>
      <c r="D623" s="17"/>
    </row>
    <row r="624" spans="1:4" ht="15.75" thickBot="1">
      <c r="A624" s="3"/>
      <c r="B624" s="4"/>
      <c r="C624" s="4"/>
      <c r="D624" s="17"/>
    </row>
    <row r="625" spans="1:4" ht="15.75" thickBot="1">
      <c r="A625" s="3"/>
      <c r="B625" s="4"/>
      <c r="C625" s="4"/>
      <c r="D625" s="17"/>
    </row>
    <row r="626" spans="1:4" ht="15.75" thickBot="1">
      <c r="A626" s="3"/>
      <c r="B626" s="4"/>
      <c r="C626" s="4"/>
      <c r="D626" s="17"/>
    </row>
    <row r="627" spans="1:4" ht="15.75" thickBot="1">
      <c r="A627" s="3"/>
      <c r="B627" s="4"/>
      <c r="C627" s="4"/>
      <c r="D627" s="17"/>
    </row>
    <row r="628" spans="1:4" ht="15.75" thickBot="1">
      <c r="A628" s="3"/>
      <c r="B628" s="4"/>
      <c r="C628" s="4"/>
      <c r="D628" s="17"/>
    </row>
    <row r="629" spans="1:4" ht="15.75" thickBot="1">
      <c r="A629" s="3"/>
      <c r="B629" s="4"/>
      <c r="C629" s="4"/>
      <c r="D629" s="17"/>
    </row>
    <row r="630" spans="1:4" ht="15.75" thickBot="1">
      <c r="A630" s="3"/>
      <c r="B630" s="4"/>
      <c r="C630" s="4"/>
      <c r="D630" s="17"/>
    </row>
    <row r="631" spans="1:4" ht="15.75" thickBot="1">
      <c r="A631" s="3"/>
      <c r="B631" s="4"/>
      <c r="C631" s="4"/>
      <c r="D631" s="17"/>
    </row>
    <row r="632" spans="1:4" ht="15.75" thickBot="1">
      <c r="A632" s="3"/>
      <c r="B632" s="4"/>
      <c r="C632" s="4"/>
      <c r="D632" s="17"/>
    </row>
    <row r="633" spans="1:4" ht="15.75" thickBot="1">
      <c r="A633" s="3"/>
      <c r="B633" s="4"/>
      <c r="C633" s="4"/>
      <c r="D633" s="17"/>
    </row>
    <row r="634" spans="1:4" ht="15.75" thickBot="1">
      <c r="A634" s="3"/>
      <c r="B634" s="4"/>
      <c r="C634" s="4"/>
      <c r="D634" s="17"/>
    </row>
    <row r="635" spans="1:4" ht="15.75" thickBot="1">
      <c r="A635" s="3"/>
      <c r="B635" s="4"/>
      <c r="C635" s="4"/>
      <c r="D635" s="17"/>
    </row>
    <row r="636" spans="1:4" ht="15.75" thickBot="1">
      <c r="A636" s="3"/>
      <c r="B636" s="4"/>
      <c r="C636" s="4"/>
      <c r="D636" s="17"/>
    </row>
    <row r="637" spans="1:4" ht="15.75" thickBot="1">
      <c r="A637" s="3"/>
      <c r="B637" s="4"/>
      <c r="C637" s="4"/>
      <c r="D637" s="17"/>
    </row>
    <row r="638" spans="1:4" ht="15.75" thickBot="1">
      <c r="A638" s="3"/>
      <c r="B638" s="4"/>
      <c r="C638" s="4"/>
      <c r="D638" s="17"/>
    </row>
    <row r="639" spans="1:4" ht="15.75" thickBot="1">
      <c r="A639" s="3"/>
      <c r="B639" s="4"/>
      <c r="C639" s="4"/>
      <c r="D639" s="17"/>
    </row>
    <row r="640" spans="1:4" ht="15.75" thickBot="1">
      <c r="A640" s="3"/>
      <c r="B640" s="4"/>
      <c r="C640" s="4"/>
      <c r="D640" s="17"/>
    </row>
    <row r="641" spans="1:4" ht="15.75" thickBot="1">
      <c r="A641" s="3"/>
      <c r="B641" s="4"/>
      <c r="C641" s="4"/>
      <c r="D641" s="17"/>
    </row>
    <row r="642" spans="1:4" ht="15.75" thickBot="1">
      <c r="A642" s="3"/>
      <c r="B642" s="4"/>
      <c r="C642" s="4"/>
      <c r="D642" s="17"/>
    </row>
    <row r="643" spans="1:4" ht="15.75" thickBot="1">
      <c r="A643" s="3"/>
      <c r="B643" s="4"/>
      <c r="C643" s="4"/>
      <c r="D643" s="17"/>
    </row>
    <row r="644" spans="1:4" ht="15.75" thickBot="1">
      <c r="A644" s="3"/>
      <c r="B644" s="4"/>
      <c r="C644" s="4"/>
      <c r="D644" s="17"/>
    </row>
    <row r="645" spans="1:4" ht="15.75" thickBot="1">
      <c r="A645" s="3"/>
      <c r="B645" s="4"/>
      <c r="C645" s="4"/>
      <c r="D645" s="17"/>
    </row>
    <row r="646" spans="1:4" ht="15.75" thickBot="1">
      <c r="A646" s="3"/>
      <c r="B646" s="4"/>
      <c r="C646" s="4"/>
      <c r="D646" s="17"/>
    </row>
    <row r="647" spans="1:4" ht="15.75" thickBot="1">
      <c r="A647" s="3"/>
      <c r="B647" s="4"/>
      <c r="C647" s="4"/>
      <c r="D647" s="17"/>
    </row>
    <row r="648" spans="1:4" ht="15.75" thickBot="1">
      <c r="A648" s="3"/>
      <c r="B648" s="4"/>
      <c r="C648" s="4"/>
      <c r="D648" s="17"/>
    </row>
    <row r="649" spans="1:4" ht="15.75" thickBot="1">
      <c r="A649" s="3"/>
      <c r="B649" s="4"/>
      <c r="C649" s="4"/>
      <c r="D649" s="17"/>
    </row>
    <row r="650" spans="1:4" ht="15.75" thickBot="1">
      <c r="A650" s="3"/>
      <c r="B650" s="4"/>
      <c r="C650" s="4"/>
      <c r="D650" s="17"/>
    </row>
    <row r="651" spans="1:4" ht="15.75" thickBot="1">
      <c r="A651" s="3"/>
      <c r="B651" s="4"/>
      <c r="C651" s="4"/>
      <c r="D651" s="17"/>
    </row>
    <row r="652" spans="1:4" ht="15.75" thickBot="1">
      <c r="A652" s="3"/>
      <c r="B652" s="4"/>
      <c r="C652" s="4"/>
      <c r="D652" s="17"/>
    </row>
    <row r="653" spans="1:4" ht="15.75" thickBot="1">
      <c r="A653" s="3"/>
      <c r="B653" s="4"/>
      <c r="C653" s="4"/>
      <c r="D653" s="17"/>
    </row>
    <row r="654" spans="1:4" ht="15.75" thickBot="1">
      <c r="A654" s="3"/>
      <c r="B654" s="4"/>
      <c r="C654" s="4"/>
      <c r="D654" s="17"/>
    </row>
    <row r="655" spans="1:4" ht="15.75" thickBot="1">
      <c r="A655" s="3"/>
      <c r="B655" s="4"/>
      <c r="C655" s="4"/>
      <c r="D655" s="17"/>
    </row>
    <row r="656" spans="1:4" ht="15.75" thickBot="1">
      <c r="A656" s="3"/>
      <c r="B656" s="4"/>
      <c r="C656" s="4"/>
      <c r="D656" s="17"/>
    </row>
    <row r="657" spans="1:4" ht="15.75" thickBot="1">
      <c r="A657" s="3"/>
      <c r="B657" s="4"/>
      <c r="C657" s="4"/>
      <c r="D657" s="17"/>
    </row>
    <row r="658" spans="1:4" ht="15.75" thickBot="1">
      <c r="A658" s="3"/>
      <c r="B658" s="4"/>
      <c r="C658" s="4"/>
      <c r="D658" s="17"/>
    </row>
    <row r="659" spans="1:4" ht="15.75" thickBot="1">
      <c r="A659" s="3"/>
      <c r="B659" s="4"/>
      <c r="C659" s="4"/>
      <c r="D659" s="17"/>
    </row>
    <row r="660" spans="1:4" ht="15.75" thickBot="1">
      <c r="A660" s="3"/>
      <c r="B660" s="4"/>
      <c r="C660" s="4"/>
      <c r="D660" s="17"/>
    </row>
    <row r="661" spans="1:4" ht="15.75" thickBot="1">
      <c r="A661" s="3"/>
      <c r="B661" s="4"/>
      <c r="C661" s="4"/>
      <c r="D661" s="17"/>
    </row>
    <row r="662" spans="1:4" ht="15.75" thickBot="1">
      <c r="A662" s="3"/>
      <c r="B662" s="4"/>
      <c r="C662" s="4"/>
      <c r="D662" s="17"/>
    </row>
    <row r="663" spans="1:4" ht="15.75" thickBot="1">
      <c r="A663" s="3"/>
      <c r="B663" s="4"/>
      <c r="C663" s="4"/>
      <c r="D663" s="17"/>
    </row>
    <row r="664" spans="1:4" ht="15.75" thickBot="1">
      <c r="A664" s="3"/>
      <c r="B664" s="4"/>
      <c r="C664" s="4"/>
      <c r="D664" s="17"/>
    </row>
    <row r="665" spans="1:4" ht="15.75" thickBot="1">
      <c r="A665" s="3"/>
      <c r="B665" s="4"/>
      <c r="C665" s="4"/>
      <c r="D665" s="17"/>
    </row>
    <row r="666" spans="1:4" ht="15.75" thickBot="1">
      <c r="A666" s="3"/>
      <c r="B666" s="4"/>
      <c r="C666" s="4"/>
      <c r="D666" s="17"/>
    </row>
    <row r="667" spans="1:4" ht="15.75" thickBot="1">
      <c r="A667" s="3"/>
      <c r="B667" s="4"/>
      <c r="C667" s="4"/>
      <c r="D667" s="17"/>
    </row>
    <row r="668" spans="1:4" ht="15.75" thickBot="1">
      <c r="A668" s="3"/>
      <c r="B668" s="4"/>
      <c r="C668" s="4"/>
      <c r="D668" s="17"/>
    </row>
    <row r="669" spans="1:4" ht="15.75" thickBot="1">
      <c r="A669" s="3"/>
      <c r="B669" s="4"/>
      <c r="C669" s="4"/>
      <c r="D669" s="17"/>
    </row>
    <row r="670" spans="1:4" ht="15.75" thickBot="1">
      <c r="A670" s="3"/>
      <c r="B670" s="4"/>
      <c r="C670" s="4"/>
      <c r="D670" s="17"/>
    </row>
    <row r="671" spans="1:4" ht="15.75" thickBot="1">
      <c r="A671" s="3"/>
      <c r="B671" s="4"/>
      <c r="C671" s="4"/>
      <c r="D671" s="17"/>
    </row>
    <row r="672" spans="1:4" ht="15.75" thickBot="1">
      <c r="A672" s="3"/>
      <c r="B672" s="4"/>
      <c r="C672" s="4"/>
      <c r="D672" s="17"/>
    </row>
    <row r="673" spans="1:4" ht="15.75" thickBot="1">
      <c r="A673" s="3"/>
      <c r="B673" s="4"/>
      <c r="C673" s="4"/>
      <c r="D673" s="17"/>
    </row>
    <row r="674" spans="1:4" ht="15.75" thickBot="1">
      <c r="A674" s="3"/>
      <c r="B674" s="4"/>
      <c r="C674" s="4"/>
      <c r="D674" s="17"/>
    </row>
    <row r="675" spans="1:4" ht="15.75" thickBot="1">
      <c r="A675" s="3"/>
      <c r="B675" s="4"/>
      <c r="C675" s="4"/>
      <c r="D675" s="17"/>
    </row>
    <row r="676" spans="1:4" ht="15.75" thickBot="1">
      <c r="A676" s="3"/>
      <c r="B676" s="4"/>
      <c r="C676" s="4"/>
      <c r="D676" s="17"/>
    </row>
    <row r="677" spans="1:4" ht="15.75" thickBot="1">
      <c r="A677" s="3"/>
      <c r="B677" s="4"/>
      <c r="C677" s="4"/>
      <c r="D677" s="17"/>
    </row>
    <row r="678" spans="1:4" ht="15.75" thickBot="1">
      <c r="A678" s="3"/>
      <c r="B678" s="4"/>
      <c r="C678" s="4"/>
      <c r="D678" s="17"/>
    </row>
    <row r="679" spans="1:4" ht="15.75" thickBot="1">
      <c r="A679" s="3"/>
      <c r="B679" s="4"/>
      <c r="C679" s="4"/>
      <c r="D679" s="17"/>
    </row>
    <row r="680" spans="1:4" ht="15.75" thickBot="1">
      <c r="A680" s="3"/>
      <c r="B680" s="4"/>
      <c r="C680" s="4"/>
      <c r="D680" s="17"/>
    </row>
    <row r="681" spans="1:4" ht="15.75" thickBot="1">
      <c r="A681" s="3"/>
      <c r="B681" s="4"/>
      <c r="C681" s="4"/>
      <c r="D681" s="17"/>
    </row>
    <row r="682" spans="1:4" ht="15.75" thickBot="1">
      <c r="A682" s="3"/>
      <c r="B682" s="4"/>
      <c r="C682" s="4"/>
      <c r="D682" s="17"/>
    </row>
    <row r="683" spans="1:4" ht="15.75" thickBot="1">
      <c r="A683" s="3"/>
      <c r="B683" s="4"/>
      <c r="C683" s="4"/>
      <c r="D683" s="17"/>
    </row>
    <row r="684" spans="1:4" ht="15.75" thickBot="1">
      <c r="A684" s="3"/>
      <c r="B684" s="4"/>
      <c r="C684" s="4"/>
      <c r="D684" s="17"/>
    </row>
    <row r="685" spans="1:4" ht="15.75" thickBot="1">
      <c r="A685" s="3"/>
      <c r="B685" s="4"/>
      <c r="C685" s="4"/>
      <c r="D685" s="17"/>
    </row>
    <row r="686" spans="1:4" ht="15.75" thickBot="1">
      <c r="A686" s="3"/>
      <c r="B686" s="4"/>
      <c r="C686" s="4"/>
      <c r="D686" s="17"/>
    </row>
    <row r="687" spans="1:4" ht="15.75" thickBot="1">
      <c r="A687" s="3"/>
      <c r="B687" s="4"/>
      <c r="C687" s="4"/>
      <c r="D687" s="17"/>
    </row>
    <row r="688" spans="1:4" ht="15.75" thickBot="1">
      <c r="A688" s="3"/>
      <c r="B688" s="4"/>
      <c r="C688" s="4"/>
      <c r="D688" s="17"/>
    </row>
    <row r="689" spans="1:4" ht="15.75" thickBot="1">
      <c r="A689" s="3"/>
      <c r="B689" s="4"/>
      <c r="C689" s="4"/>
      <c r="D689" s="17"/>
    </row>
    <row r="690" spans="1:4" ht="15.75" thickBot="1">
      <c r="A690" s="3"/>
      <c r="B690" s="4"/>
      <c r="C690" s="4"/>
      <c r="D690" s="17"/>
    </row>
    <row r="691" spans="1:4" ht="15.75" thickBot="1">
      <c r="A691" s="3"/>
      <c r="B691" s="4"/>
      <c r="C691" s="4"/>
      <c r="D691" s="17"/>
    </row>
    <row r="692" spans="1:4" ht="15.75" thickBot="1">
      <c r="A692" s="3"/>
      <c r="B692" s="4"/>
      <c r="C692" s="4"/>
      <c r="D692" s="17"/>
    </row>
    <row r="693" spans="1:4" ht="15.75" thickBot="1">
      <c r="A693" s="3"/>
      <c r="B693" s="4"/>
      <c r="C693" s="4"/>
      <c r="D693" s="17"/>
    </row>
    <row r="694" spans="1:4" ht="15.75" thickBot="1">
      <c r="A694" s="3"/>
      <c r="B694" s="4"/>
      <c r="C694" s="4"/>
      <c r="D694" s="17"/>
    </row>
    <row r="695" spans="1:4" ht="15.75" thickBot="1">
      <c r="A695" s="3"/>
      <c r="B695" s="4"/>
      <c r="C695" s="4"/>
      <c r="D695" s="17"/>
    </row>
    <row r="696" spans="1:4" ht="15.75" thickBot="1">
      <c r="A696" s="3"/>
      <c r="B696" s="4"/>
      <c r="C696" s="4"/>
      <c r="D696" s="17"/>
    </row>
    <row r="697" spans="1:4" ht="15.75" thickBot="1">
      <c r="A697" s="3"/>
      <c r="B697" s="4"/>
      <c r="C697" s="4"/>
      <c r="D697" s="17"/>
    </row>
    <row r="698" spans="1:4" ht="15.75" thickBot="1">
      <c r="A698" s="3"/>
      <c r="B698" s="4"/>
      <c r="C698" s="4"/>
      <c r="D698" s="17"/>
    </row>
    <row r="699" spans="1:4" ht="15.75" thickBot="1">
      <c r="A699" s="3"/>
      <c r="B699" s="4"/>
      <c r="C699" s="4"/>
      <c r="D699" s="17"/>
    </row>
    <row r="700" spans="1:4" ht="15.75" thickBot="1">
      <c r="A700" s="3"/>
      <c r="B700" s="4"/>
      <c r="C700" s="4"/>
      <c r="D700" s="17"/>
    </row>
    <row r="701" spans="1:4" ht="15.75" thickBot="1">
      <c r="A701" s="3"/>
      <c r="B701" s="4"/>
      <c r="C701" s="4"/>
      <c r="D701" s="17"/>
    </row>
    <row r="702" spans="1:4" ht="15.75" thickBot="1">
      <c r="A702" s="3"/>
      <c r="B702" s="4"/>
      <c r="C702" s="4"/>
      <c r="D702" s="17"/>
    </row>
    <row r="703" spans="1:4" ht="15.75" thickBot="1">
      <c r="A703" s="3"/>
      <c r="B703" s="4"/>
      <c r="C703" s="4"/>
      <c r="D703" s="17"/>
    </row>
    <row r="704" spans="1:4" ht="15.75" thickBot="1">
      <c r="A704" s="3"/>
      <c r="B704" s="4"/>
      <c r="C704" s="4"/>
      <c r="D704" s="17"/>
    </row>
    <row r="705" spans="1:4" ht="15.75" thickBot="1">
      <c r="A705" s="3"/>
      <c r="B705" s="4"/>
      <c r="C705" s="4"/>
      <c r="D705" s="17"/>
    </row>
    <row r="706" spans="1:4" ht="15.75" thickBot="1">
      <c r="A706" s="3"/>
      <c r="B706" s="4"/>
      <c r="C706" s="4"/>
      <c r="D706" s="17"/>
    </row>
    <row r="707" spans="1:4" ht="15.75" thickBot="1">
      <c r="A707" s="3"/>
      <c r="B707" s="4"/>
      <c r="C707" s="4"/>
      <c r="D707" s="17"/>
    </row>
    <row r="708" spans="1:4" ht="15.75" thickBot="1">
      <c r="A708" s="3"/>
      <c r="B708" s="4"/>
      <c r="C708" s="4"/>
      <c r="D708" s="17"/>
    </row>
    <row r="709" spans="1:4" ht="15.75" thickBot="1">
      <c r="A709" s="3"/>
      <c r="B709" s="4"/>
      <c r="C709" s="4"/>
      <c r="D709" s="17"/>
    </row>
    <row r="710" spans="1:4" ht="15.75" thickBot="1">
      <c r="A710" s="3"/>
      <c r="B710" s="4"/>
      <c r="C710" s="4"/>
      <c r="D710" s="17"/>
    </row>
    <row r="711" spans="1:4" ht="15.75" thickBot="1">
      <c r="A711" s="3"/>
      <c r="B711" s="4"/>
      <c r="C711" s="4"/>
      <c r="D711" s="17"/>
    </row>
    <row r="712" spans="1:4" ht="15.75" thickBot="1">
      <c r="A712" s="3"/>
      <c r="B712" s="4"/>
      <c r="C712" s="4"/>
      <c r="D712" s="17"/>
    </row>
    <row r="713" spans="1:4" ht="15.75" thickBot="1">
      <c r="A713" s="3"/>
      <c r="B713" s="4"/>
      <c r="C713" s="4"/>
      <c r="D713" s="17"/>
    </row>
    <row r="714" spans="1:4" ht="15.75" thickBot="1">
      <c r="A714" s="3"/>
      <c r="B714" s="4"/>
      <c r="C714" s="4"/>
      <c r="D714" s="17"/>
    </row>
    <row r="715" spans="1:4" ht="15.75" thickBot="1">
      <c r="A715" s="3"/>
      <c r="B715" s="4"/>
      <c r="C715" s="4"/>
      <c r="D715" s="17"/>
    </row>
    <row r="716" spans="1:4" ht="15.75" thickBot="1">
      <c r="A716" s="3"/>
      <c r="B716" s="4"/>
      <c r="C716" s="4"/>
      <c r="D716" s="17"/>
    </row>
    <row r="717" spans="1:4" ht="15.75" thickBot="1">
      <c r="A717" s="3"/>
      <c r="B717" s="4"/>
      <c r="C717" s="4"/>
      <c r="D717" s="17"/>
    </row>
    <row r="718" spans="1:4" ht="15.75" thickBot="1">
      <c r="A718" s="3"/>
      <c r="B718" s="4"/>
      <c r="C718" s="4"/>
      <c r="D718" s="17"/>
    </row>
    <row r="719" spans="1:4" ht="15.75" thickBot="1">
      <c r="A719" s="3"/>
      <c r="B719" s="4"/>
      <c r="C719" s="4"/>
      <c r="D719" s="17"/>
    </row>
    <row r="720" spans="1:4" ht="15.75" thickBot="1">
      <c r="A720" s="3"/>
      <c r="B720" s="4"/>
      <c r="C720" s="4"/>
      <c r="D720" s="17"/>
    </row>
    <row r="721" spans="1:4" ht="15.75" thickBot="1">
      <c r="A721" s="3"/>
      <c r="B721" s="4"/>
      <c r="C721" s="4"/>
      <c r="D721" s="17"/>
    </row>
    <row r="722" spans="1:4" ht="15.75" thickBot="1">
      <c r="A722" s="3"/>
      <c r="B722" s="4"/>
      <c r="C722" s="4"/>
      <c r="D722" s="17"/>
    </row>
    <row r="723" spans="1:4" ht="15.75" thickBot="1">
      <c r="A723" s="3"/>
      <c r="B723" s="4"/>
      <c r="C723" s="4"/>
      <c r="D723" s="17"/>
    </row>
    <row r="724" spans="1:4" ht="15.75" thickBot="1">
      <c r="A724" s="3"/>
      <c r="B724" s="4"/>
      <c r="C724" s="4"/>
      <c r="D724" s="17"/>
    </row>
    <row r="725" spans="1:4" ht="15.75" thickBot="1">
      <c r="A725" s="3"/>
      <c r="B725" s="4"/>
      <c r="C725" s="4"/>
      <c r="D725" s="17"/>
    </row>
    <row r="726" spans="1:4" ht="15.75" thickBot="1">
      <c r="A726" s="3"/>
      <c r="B726" s="4"/>
      <c r="C726" s="4"/>
      <c r="D726" s="17"/>
    </row>
    <row r="727" spans="1:4" ht="15.75" thickBot="1">
      <c r="A727" s="3"/>
      <c r="B727" s="4"/>
      <c r="C727" s="4"/>
      <c r="D727" s="17"/>
    </row>
    <row r="728" spans="1:4" ht="15.75" thickBot="1">
      <c r="A728" s="3"/>
      <c r="B728" s="4"/>
      <c r="C728" s="4"/>
      <c r="D728" s="17"/>
    </row>
    <row r="729" spans="1:4" ht="15.75" thickBot="1">
      <c r="A729" s="3"/>
      <c r="B729" s="4"/>
      <c r="C729" s="4"/>
      <c r="D729" s="17"/>
    </row>
    <row r="730" spans="1:4" ht="15.75" thickBot="1">
      <c r="A730" s="3"/>
      <c r="B730" s="4"/>
      <c r="C730" s="4"/>
      <c r="D730" s="17"/>
    </row>
    <row r="731" spans="1:4" ht="15.75" thickBot="1">
      <c r="A731" s="3"/>
      <c r="B731" s="4"/>
      <c r="C731" s="4"/>
      <c r="D731" s="17"/>
    </row>
    <row r="732" spans="1:4" ht="15.75" thickBot="1">
      <c r="A732" s="3"/>
      <c r="B732" s="4"/>
      <c r="C732" s="4"/>
      <c r="D732" s="17"/>
    </row>
    <row r="733" spans="1:4" ht="15.75" thickBot="1">
      <c r="A733" s="3"/>
      <c r="B733" s="4"/>
      <c r="C733" s="4"/>
      <c r="D733" s="17"/>
    </row>
    <row r="734" spans="1:4" ht="15.75" thickBot="1">
      <c r="A734" s="3"/>
      <c r="B734" s="4"/>
      <c r="C734" s="4"/>
      <c r="D734" s="17"/>
    </row>
    <row r="735" spans="1:4" ht="15.75" thickBot="1">
      <c r="A735" s="3"/>
      <c r="B735" s="4"/>
      <c r="C735" s="4"/>
      <c r="D735" s="17"/>
    </row>
    <row r="736" spans="1:4" ht="15.75" thickBot="1">
      <c r="A736" s="3"/>
      <c r="B736" s="4"/>
      <c r="C736" s="4"/>
      <c r="D736" s="17"/>
    </row>
    <row r="737" spans="1:4" ht="15.75" thickBot="1">
      <c r="A737" s="3"/>
      <c r="B737" s="4"/>
      <c r="C737" s="4"/>
      <c r="D737" s="17"/>
    </row>
    <row r="738" spans="1:4" ht="15.75" thickBot="1">
      <c r="A738" s="3"/>
      <c r="B738" s="4"/>
      <c r="C738" s="4"/>
      <c r="D738" s="17"/>
    </row>
    <row r="739" spans="1:4" ht="15.75" thickBot="1">
      <c r="A739" s="3"/>
      <c r="B739" s="4"/>
      <c r="C739" s="4"/>
      <c r="D739" s="17"/>
    </row>
    <row r="740" spans="1:4" ht="15.75" thickBot="1">
      <c r="A740" s="3"/>
      <c r="B740" s="4"/>
      <c r="C740" s="4"/>
      <c r="D740" s="17"/>
    </row>
    <row r="741" spans="1:4" ht="15.75" thickBot="1">
      <c r="A741" s="3"/>
      <c r="B741" s="4"/>
      <c r="C741" s="4"/>
      <c r="D741" s="17"/>
    </row>
    <row r="742" spans="1:4" ht="15.75" thickBot="1">
      <c r="A742" s="3"/>
      <c r="B742" s="4"/>
      <c r="C742" s="4"/>
      <c r="D742" s="17"/>
    </row>
    <row r="743" spans="1:4" ht="15.75" thickBot="1">
      <c r="A743" s="3"/>
      <c r="B743" s="4"/>
      <c r="C743" s="4"/>
      <c r="D743" s="17"/>
    </row>
    <row r="744" spans="1:4" ht="15.75" thickBot="1">
      <c r="A744" s="3"/>
      <c r="B744" s="4"/>
      <c r="C744" s="4"/>
      <c r="D744" s="17"/>
    </row>
    <row r="745" spans="1:4" ht="15.75" thickBot="1">
      <c r="A745" s="3"/>
      <c r="B745" s="4"/>
      <c r="C745" s="4"/>
      <c r="D745" s="17"/>
    </row>
    <row r="746" spans="1:4" ht="15.75" thickBot="1">
      <c r="A746" s="3"/>
      <c r="B746" s="4"/>
      <c r="C746" s="4"/>
      <c r="D746" s="17"/>
    </row>
    <row r="747" spans="1:4" ht="15.75" thickBot="1">
      <c r="A747" s="3"/>
      <c r="B747" s="4"/>
      <c r="C747" s="4"/>
      <c r="D747" s="17"/>
    </row>
    <row r="748" spans="1:4" ht="15.75" thickBot="1">
      <c r="A748" s="3"/>
      <c r="B748" s="4"/>
      <c r="C748" s="4"/>
      <c r="D748" s="17"/>
    </row>
    <row r="749" spans="1:4" ht="15.75" thickBot="1">
      <c r="A749" s="3"/>
      <c r="B749" s="4"/>
      <c r="C749" s="4"/>
      <c r="D749" s="17"/>
    </row>
    <row r="750" spans="1:4" ht="15.75" thickBot="1">
      <c r="A750" s="3"/>
      <c r="B750" s="4"/>
      <c r="C750" s="4"/>
      <c r="D750" s="17"/>
    </row>
    <row r="751" spans="1:4" ht="15.75" thickBot="1">
      <c r="A751" s="3"/>
      <c r="B751" s="4"/>
      <c r="C751" s="4"/>
      <c r="D751" s="17"/>
    </row>
    <row r="752" spans="1:4" ht="15.75" thickBot="1">
      <c r="A752" s="3"/>
      <c r="B752" s="4"/>
      <c r="C752" s="4"/>
      <c r="D752" s="17"/>
    </row>
    <row r="753" spans="1:4" ht="15.75" thickBot="1">
      <c r="A753" s="3"/>
      <c r="B753" s="4"/>
      <c r="C753" s="4"/>
      <c r="D753" s="17"/>
    </row>
    <row r="754" spans="1:4" ht="15.75" thickBot="1">
      <c r="A754" s="3"/>
      <c r="B754" s="4"/>
      <c r="C754" s="4"/>
      <c r="D754" s="17"/>
    </row>
    <row r="755" spans="1:4" ht="15.75" thickBot="1">
      <c r="A755" s="3"/>
      <c r="B755" s="4"/>
      <c r="C755" s="4"/>
      <c r="D755" s="17"/>
    </row>
    <row r="756" spans="1:4" ht="15.75" thickBot="1">
      <c r="A756" s="3"/>
      <c r="B756" s="4"/>
      <c r="C756" s="4"/>
      <c r="D756" s="17"/>
    </row>
    <row r="757" spans="1:4" ht="15.75" thickBot="1">
      <c r="A757" s="3"/>
      <c r="B757" s="4"/>
      <c r="C757" s="4"/>
      <c r="D757" s="17"/>
    </row>
    <row r="758" spans="1:4" ht="15.75" thickBot="1">
      <c r="A758" s="3"/>
      <c r="B758" s="4"/>
      <c r="C758" s="4"/>
      <c r="D758" s="17"/>
    </row>
    <row r="759" spans="1:4" ht="15.75" thickBot="1">
      <c r="A759" s="3"/>
      <c r="B759" s="4"/>
      <c r="C759" s="4"/>
      <c r="D759" s="17"/>
    </row>
    <row r="760" spans="1:4" ht="15.75" thickBot="1">
      <c r="A760" s="3"/>
      <c r="B760" s="4"/>
      <c r="C760" s="4"/>
      <c r="D760" s="17"/>
    </row>
    <row r="761" spans="1:4" ht="15.75" thickBot="1">
      <c r="A761" s="3"/>
      <c r="B761" s="4"/>
      <c r="C761" s="4"/>
      <c r="D761" s="17"/>
    </row>
    <row r="762" spans="1:4" ht="15.75" thickBot="1">
      <c r="A762" s="3"/>
      <c r="B762" s="4"/>
      <c r="C762" s="4"/>
      <c r="D762" s="17"/>
    </row>
    <row r="763" spans="1:4" ht="15.75" thickBot="1">
      <c r="A763" s="3"/>
      <c r="B763" s="4"/>
      <c r="C763" s="4"/>
      <c r="D763" s="17"/>
    </row>
    <row r="764" spans="1:4" ht="15.75" thickBot="1">
      <c r="A764" s="3"/>
      <c r="B764" s="4"/>
      <c r="C764" s="4"/>
      <c r="D764" s="17"/>
    </row>
    <row r="765" spans="1:4" ht="15.75" thickBot="1">
      <c r="A765" s="3"/>
      <c r="B765" s="4"/>
      <c r="C765" s="4"/>
      <c r="D765" s="17"/>
    </row>
    <row r="766" spans="1:4" ht="15.75" thickBot="1">
      <c r="A766" s="3"/>
      <c r="B766" s="4"/>
      <c r="C766" s="4"/>
      <c r="D766" s="17"/>
    </row>
    <row r="767" spans="1:4" ht="15.75" thickBot="1">
      <c r="A767" s="3"/>
      <c r="B767" s="4"/>
      <c r="C767" s="4"/>
      <c r="D767" s="17"/>
    </row>
    <row r="768" spans="1:4" ht="15.75" thickBot="1">
      <c r="A768" s="3"/>
      <c r="B768" s="4"/>
      <c r="C768" s="4"/>
      <c r="D768" s="17"/>
    </row>
    <row r="769" spans="1:4" ht="15.75" thickBot="1">
      <c r="A769" s="3"/>
      <c r="B769" s="4"/>
      <c r="C769" s="4"/>
      <c r="D769" s="17"/>
    </row>
    <row r="770" spans="1:4" ht="15.75" thickBot="1">
      <c r="A770" s="3"/>
      <c r="B770" s="4"/>
      <c r="C770" s="4"/>
      <c r="D770" s="17"/>
    </row>
    <row r="771" spans="1:4" ht="15.75" thickBot="1">
      <c r="A771" s="3"/>
      <c r="B771" s="4"/>
      <c r="C771" s="4"/>
      <c r="D771" s="17"/>
    </row>
    <row r="772" spans="1:4" ht="15.75" thickBot="1">
      <c r="A772" s="3"/>
      <c r="B772" s="4"/>
      <c r="C772" s="4"/>
      <c r="D772" s="17"/>
    </row>
    <row r="773" spans="1:4" ht="15.75" thickBot="1">
      <c r="A773" s="3"/>
      <c r="B773" s="4"/>
      <c r="C773" s="4"/>
      <c r="D773" s="17"/>
    </row>
    <row r="774" spans="1:4" ht="15.75" thickBot="1">
      <c r="A774" s="3"/>
      <c r="B774" s="4"/>
      <c r="C774" s="4"/>
      <c r="D774" s="17"/>
    </row>
    <row r="775" spans="1:4" ht="15.75" thickBot="1">
      <c r="A775" s="3"/>
      <c r="B775" s="4"/>
      <c r="C775" s="4"/>
      <c r="D775" s="17"/>
    </row>
    <row r="776" spans="1:4" ht="15.75" thickBot="1">
      <c r="A776" s="3"/>
      <c r="B776" s="4"/>
      <c r="C776" s="4"/>
      <c r="D776" s="17"/>
    </row>
    <row r="777" spans="1:4" ht="15.75" thickBot="1">
      <c r="A777" s="3"/>
      <c r="B777" s="4"/>
      <c r="C777" s="4"/>
      <c r="D777" s="17"/>
    </row>
    <row r="778" spans="1:4" ht="15.75" thickBot="1">
      <c r="A778" s="3"/>
      <c r="B778" s="4"/>
      <c r="C778" s="4"/>
      <c r="D778" s="17"/>
    </row>
    <row r="779" spans="1:4" ht="15.75" thickBot="1">
      <c r="A779" s="3"/>
      <c r="B779" s="4"/>
      <c r="C779" s="4"/>
      <c r="D779" s="17"/>
    </row>
    <row r="780" spans="1:4" ht="15.75" thickBot="1">
      <c r="A780" s="3"/>
      <c r="B780" s="4"/>
      <c r="C780" s="4"/>
      <c r="D780" s="17"/>
    </row>
    <row r="781" spans="1:4" ht="15.75" thickBot="1">
      <c r="A781" s="3"/>
      <c r="B781" s="4"/>
      <c r="C781" s="4"/>
      <c r="D781" s="17"/>
    </row>
    <row r="782" spans="1:4" ht="15.75" thickBot="1">
      <c r="A782" s="3"/>
      <c r="B782" s="4"/>
      <c r="C782" s="4"/>
      <c r="D782" s="17"/>
    </row>
    <row r="783" spans="1:4" ht="15.75" thickBot="1">
      <c r="A783" s="3"/>
      <c r="B783" s="4"/>
      <c r="C783" s="4"/>
      <c r="D783" s="17"/>
    </row>
    <row r="784" spans="1:4" ht="15.75" thickBot="1">
      <c r="A784" s="3"/>
      <c r="B784" s="4"/>
      <c r="C784" s="4"/>
      <c r="D784" s="17"/>
    </row>
    <row r="785" spans="1:4" ht="15.75" thickBot="1">
      <c r="A785" s="3"/>
      <c r="B785" s="4"/>
      <c r="C785" s="4"/>
      <c r="D785" s="17"/>
    </row>
    <row r="786" spans="1:4" ht="15.75" thickBot="1">
      <c r="A786" s="3"/>
      <c r="B786" s="4"/>
      <c r="C786" s="4"/>
      <c r="D786" s="17"/>
    </row>
    <row r="787" spans="1:4" ht="15.75" thickBot="1">
      <c r="A787" s="3"/>
      <c r="B787" s="4"/>
      <c r="C787" s="4"/>
      <c r="D787" s="17"/>
    </row>
    <row r="788" spans="1:4" ht="15.75" thickBot="1">
      <c r="A788" s="3"/>
      <c r="B788" s="4"/>
      <c r="C788" s="4"/>
      <c r="D788" s="17"/>
    </row>
    <row r="789" spans="1:4" ht="15.75" thickBot="1">
      <c r="A789" s="3"/>
      <c r="B789" s="4"/>
      <c r="C789" s="4"/>
      <c r="D789" s="17"/>
    </row>
    <row r="790" spans="1:4" ht="15.75" thickBot="1">
      <c r="A790" s="3"/>
      <c r="B790" s="4"/>
      <c r="C790" s="4"/>
      <c r="D790" s="17"/>
    </row>
    <row r="791" spans="1:4" ht="15.75" thickBot="1">
      <c r="A791" s="3"/>
      <c r="B791" s="4"/>
      <c r="C791" s="4"/>
      <c r="D791" s="17"/>
    </row>
    <row r="792" spans="1:4" ht="15.75" thickBot="1">
      <c r="A792" s="3"/>
      <c r="B792" s="4"/>
      <c r="C792" s="4"/>
      <c r="D792" s="17"/>
    </row>
    <row r="793" spans="1:4" ht="15.75" thickBot="1">
      <c r="A793" s="3"/>
      <c r="B793" s="4"/>
      <c r="C793" s="4"/>
      <c r="D793" s="17"/>
    </row>
    <row r="794" spans="1:4" ht="15.75" thickBot="1">
      <c r="A794" s="3"/>
      <c r="B794" s="4"/>
      <c r="C794" s="4"/>
      <c r="D794" s="17"/>
    </row>
    <row r="795" spans="1:4" ht="15.75" thickBot="1">
      <c r="A795" s="3"/>
      <c r="B795" s="4"/>
      <c r="C795" s="4"/>
      <c r="D795" s="17"/>
    </row>
    <row r="796" spans="1:4" ht="15.75" thickBot="1">
      <c r="A796" s="3"/>
      <c r="B796" s="4"/>
      <c r="C796" s="4"/>
      <c r="D796" s="17"/>
    </row>
    <row r="797" spans="1:4" ht="15.75" thickBot="1">
      <c r="A797" s="3"/>
      <c r="B797" s="4"/>
      <c r="C797" s="4"/>
      <c r="D797" s="17"/>
    </row>
    <row r="798" spans="1:4" ht="15.75" thickBot="1">
      <c r="A798" s="3"/>
      <c r="B798" s="4"/>
      <c r="C798" s="4"/>
      <c r="D798" s="17"/>
    </row>
    <row r="799" spans="1:4" ht="15.75" thickBot="1">
      <c r="A799" s="3"/>
      <c r="B799" s="4"/>
      <c r="C799" s="4"/>
      <c r="D799" s="17"/>
    </row>
    <row r="800" spans="1:4" ht="15.75" thickBot="1">
      <c r="A800" s="3"/>
      <c r="B800" s="4"/>
      <c r="C800" s="4"/>
      <c r="D800" s="17"/>
    </row>
    <row r="801" spans="1:4" ht="15.75" thickBot="1">
      <c r="A801" s="3"/>
      <c r="B801" s="4"/>
      <c r="C801" s="4"/>
      <c r="D801" s="17"/>
    </row>
    <row r="802" spans="1:4" ht="15.75" thickBot="1">
      <c r="A802" s="3"/>
      <c r="B802" s="4"/>
      <c r="C802" s="4"/>
      <c r="D802" s="17"/>
    </row>
    <row r="803" spans="1:4" ht="15.75" thickBot="1">
      <c r="A803" s="3"/>
      <c r="B803" s="4"/>
      <c r="C803" s="4"/>
      <c r="D803" s="17"/>
    </row>
    <row r="804" spans="1:4" ht="15.75" thickBot="1">
      <c r="A804" s="3"/>
      <c r="B804" s="4"/>
      <c r="C804" s="4"/>
      <c r="D804" s="17"/>
    </row>
    <row r="805" spans="1:4" ht="15.75" thickBot="1">
      <c r="A805" s="3"/>
      <c r="B805" s="4"/>
      <c r="C805" s="4"/>
      <c r="D805" s="17"/>
    </row>
    <row r="806" spans="1:4" ht="15.75" thickBot="1">
      <c r="A806" s="3"/>
      <c r="B806" s="4"/>
      <c r="C806" s="4"/>
      <c r="D806" s="17"/>
    </row>
    <row r="807" spans="1:4" ht="15.75" thickBot="1">
      <c r="A807" s="3"/>
      <c r="B807" s="4"/>
      <c r="C807" s="4"/>
      <c r="D807" s="17"/>
    </row>
    <row r="808" spans="1:4" ht="15.75" thickBot="1">
      <c r="A808" s="3"/>
      <c r="B808" s="4"/>
      <c r="C808" s="4"/>
      <c r="D808" s="17"/>
    </row>
    <row r="809" spans="1:4" ht="15.75" thickBot="1">
      <c r="A809" s="3"/>
      <c r="B809" s="4"/>
      <c r="C809" s="4"/>
      <c r="D809" s="17"/>
    </row>
    <row r="810" spans="1:4" ht="15.75" thickBot="1">
      <c r="A810" s="3"/>
      <c r="B810" s="4"/>
      <c r="C810" s="4"/>
      <c r="D810" s="17"/>
    </row>
    <row r="811" spans="1:4" ht="15.75" thickBot="1">
      <c r="A811" s="3"/>
      <c r="B811" s="4"/>
      <c r="C811" s="4"/>
      <c r="D811" s="17"/>
    </row>
    <row r="812" spans="1:4" ht="15.75" thickBot="1">
      <c r="A812" s="3"/>
      <c r="B812" s="4"/>
      <c r="C812" s="4"/>
      <c r="D812" s="17"/>
    </row>
    <row r="813" spans="1:4" ht="15.75" thickBot="1">
      <c r="A813" s="3"/>
      <c r="B813" s="4"/>
      <c r="C813" s="4"/>
      <c r="D813" s="17"/>
    </row>
    <row r="814" spans="1:4" ht="15.75" thickBot="1">
      <c r="A814" s="3"/>
      <c r="B814" s="4"/>
      <c r="C814" s="4"/>
      <c r="D814" s="17"/>
    </row>
    <row r="815" spans="1:4" ht="15.75" thickBot="1">
      <c r="A815" s="3"/>
      <c r="B815" s="4"/>
      <c r="C815" s="4"/>
      <c r="D815" s="17"/>
    </row>
    <row r="816" spans="1:4" ht="15.75" thickBot="1">
      <c r="A816" s="3"/>
      <c r="B816" s="4"/>
      <c r="C816" s="4"/>
      <c r="D816" s="17"/>
    </row>
    <row r="817" spans="1:4" ht="15.75" thickBot="1">
      <c r="A817" s="3"/>
      <c r="B817" s="4"/>
      <c r="C817" s="4"/>
      <c r="D817" s="17"/>
    </row>
    <row r="818" spans="1:4" ht="15.75" thickBot="1">
      <c r="A818" s="3"/>
      <c r="B818" s="4"/>
      <c r="C818" s="4"/>
      <c r="D818" s="17"/>
    </row>
    <row r="819" spans="1:4" ht="15.75" thickBot="1">
      <c r="A819" s="3"/>
      <c r="B819" s="4"/>
      <c r="C819" s="4"/>
      <c r="D819" s="17"/>
    </row>
    <row r="820" spans="1:4" ht="15.75" thickBot="1">
      <c r="A820" s="3"/>
      <c r="B820" s="4"/>
      <c r="C820" s="4"/>
      <c r="D820" s="17"/>
    </row>
    <row r="821" spans="1:4" ht="15.75" thickBot="1">
      <c r="A821" s="3"/>
      <c r="B821" s="4"/>
      <c r="C821" s="4"/>
      <c r="D821" s="17"/>
    </row>
    <row r="822" spans="1:4" ht="15.75" thickBot="1">
      <c r="A822" s="3"/>
      <c r="B822" s="4"/>
      <c r="C822" s="4"/>
      <c r="D822" s="17"/>
    </row>
    <row r="823" spans="1:4" ht="15.75" thickBot="1">
      <c r="A823" s="3"/>
      <c r="B823" s="4"/>
      <c r="C823" s="4"/>
      <c r="D823" s="17"/>
    </row>
    <row r="824" spans="1:4" ht="15.75" thickBot="1">
      <c r="A824" s="3"/>
      <c r="B824" s="4"/>
      <c r="C824" s="4"/>
      <c r="D824" s="17"/>
    </row>
    <row r="825" spans="1:4" ht="15.75" thickBot="1">
      <c r="A825" s="3"/>
      <c r="B825" s="4"/>
      <c r="C825" s="4"/>
      <c r="D825" s="17"/>
    </row>
    <row r="826" spans="1:4" ht="15.75" thickBot="1">
      <c r="A826" s="3"/>
      <c r="B826" s="4"/>
      <c r="C826" s="4"/>
      <c r="D826" s="17"/>
    </row>
    <row r="827" spans="1:4" ht="15.75" thickBot="1">
      <c r="A827" s="3"/>
      <c r="B827" s="4"/>
      <c r="C827" s="4"/>
      <c r="D827" s="17"/>
    </row>
    <row r="828" spans="1:4" ht="15.75" thickBot="1">
      <c r="A828" s="3"/>
      <c r="B828" s="4"/>
      <c r="C828" s="4"/>
      <c r="D828" s="17"/>
    </row>
    <row r="829" spans="1:4" ht="15.75" thickBot="1">
      <c r="A829" s="3"/>
      <c r="B829" s="4"/>
      <c r="C829" s="4"/>
      <c r="D829" s="17"/>
    </row>
    <row r="830" spans="1:4" ht="15.75" thickBot="1">
      <c r="A830" s="3"/>
      <c r="B830" s="4"/>
      <c r="C830" s="4"/>
      <c r="D830" s="17"/>
    </row>
    <row r="831" spans="1:4" ht="15.75" thickBot="1">
      <c r="A831" s="3"/>
      <c r="B831" s="4"/>
      <c r="C831" s="4"/>
      <c r="D831" s="17"/>
    </row>
    <row r="832" spans="1:4" ht="15.75" thickBot="1">
      <c r="A832" s="3"/>
      <c r="B832" s="4"/>
      <c r="C832" s="4"/>
      <c r="D832" s="17"/>
    </row>
    <row r="833" spans="1:4" ht="15.75" thickBot="1">
      <c r="A833" s="3"/>
      <c r="B833" s="4"/>
      <c r="C833" s="4"/>
      <c r="D833" s="17"/>
    </row>
    <row r="834" spans="1:4" ht="15.75" thickBot="1">
      <c r="A834" s="3"/>
      <c r="B834" s="4"/>
      <c r="C834" s="4"/>
      <c r="D834" s="17"/>
    </row>
    <row r="835" spans="1:4" ht="15.75" thickBot="1">
      <c r="A835" s="3"/>
      <c r="B835" s="4"/>
      <c r="C835" s="4"/>
      <c r="D835" s="17"/>
    </row>
    <row r="836" spans="1:4" ht="15.75" thickBot="1">
      <c r="A836" s="3"/>
      <c r="B836" s="4"/>
      <c r="C836" s="4"/>
      <c r="D836" s="17"/>
    </row>
    <row r="837" spans="1:4" ht="15.75" thickBot="1">
      <c r="A837" s="3"/>
      <c r="B837" s="4"/>
      <c r="C837" s="4"/>
      <c r="D837" s="17"/>
    </row>
    <row r="838" spans="1:4" ht="15.75" thickBot="1">
      <c r="A838" s="3"/>
      <c r="B838" s="4"/>
      <c r="C838" s="4"/>
      <c r="D838" s="17"/>
    </row>
    <row r="839" spans="1:4" ht="15.75" thickBot="1">
      <c r="A839" s="3"/>
      <c r="B839" s="4"/>
      <c r="C839" s="4"/>
      <c r="D839" s="17"/>
    </row>
    <row r="840" spans="1:4" ht="15.75" thickBot="1">
      <c r="A840" s="3"/>
      <c r="B840" s="4"/>
      <c r="C840" s="4"/>
      <c r="D840" s="17"/>
    </row>
    <row r="841" spans="1:4" ht="15.75" thickBot="1">
      <c r="A841" s="3"/>
      <c r="B841" s="4"/>
      <c r="C841" s="4"/>
      <c r="D841" s="17"/>
    </row>
    <row r="842" spans="1:4" ht="15.75" thickBot="1">
      <c r="A842" s="3"/>
      <c r="B842" s="4"/>
      <c r="C842" s="4"/>
      <c r="D842" s="17"/>
    </row>
    <row r="843" spans="1:4" ht="15.75" thickBot="1">
      <c r="A843" s="3"/>
      <c r="B843" s="4"/>
      <c r="C843" s="4"/>
      <c r="D843" s="17"/>
    </row>
    <row r="844" spans="1:4" ht="15.75" thickBot="1">
      <c r="A844" s="3"/>
      <c r="B844" s="4"/>
      <c r="C844" s="4"/>
      <c r="D844" s="17"/>
    </row>
    <row r="845" spans="1:4" ht="15.75" thickBot="1">
      <c r="A845" s="3"/>
      <c r="B845" s="4"/>
      <c r="C845" s="4"/>
      <c r="D845" s="17"/>
    </row>
    <row r="846" spans="1:4" ht="15.75" thickBot="1">
      <c r="A846" s="3"/>
      <c r="B846" s="4"/>
      <c r="C846" s="4"/>
      <c r="D846" s="17"/>
    </row>
    <row r="847" spans="1:4" ht="15.75" thickBot="1">
      <c r="A847" s="3"/>
      <c r="B847" s="4"/>
      <c r="C847" s="4"/>
      <c r="D847" s="17"/>
    </row>
    <row r="848" spans="1:4" ht="15.75" thickBot="1">
      <c r="A848" s="3"/>
      <c r="B848" s="4"/>
      <c r="C848" s="4"/>
      <c r="D848" s="17"/>
    </row>
    <row r="849" spans="1:4" ht="15.75" thickBot="1">
      <c r="A849" s="3"/>
      <c r="B849" s="4"/>
      <c r="C849" s="4"/>
      <c r="D849" s="17"/>
    </row>
    <row r="850" spans="1:4" ht="15.75" thickBot="1">
      <c r="A850" s="3"/>
      <c r="B850" s="4"/>
      <c r="C850" s="4"/>
      <c r="D850" s="17"/>
    </row>
    <row r="865" spans="1:10" s="2" customFormat="1">
      <c r="A865" s="1"/>
      <c r="E865"/>
      <c r="F865"/>
      <c r="G865"/>
      <c r="H865"/>
      <c r="I865"/>
      <c r="J865"/>
    </row>
    <row r="866" spans="1:10" s="2" customFormat="1">
      <c r="A866" s="1"/>
      <c r="E866"/>
      <c r="F866"/>
      <c r="G866"/>
      <c r="H866"/>
      <c r="I866"/>
      <c r="J866"/>
    </row>
    <row r="867" spans="1:10" s="2" customFormat="1">
      <c r="A867" s="1"/>
      <c r="E867"/>
      <c r="F867"/>
      <c r="G867"/>
      <c r="H867"/>
      <c r="I867"/>
      <c r="J867"/>
    </row>
    <row r="868" spans="1:10" s="2" customFormat="1">
      <c r="A868" s="1"/>
      <c r="E868"/>
      <c r="F868"/>
      <c r="G868"/>
      <c r="H868"/>
      <c r="I868"/>
      <c r="J868"/>
    </row>
    <row r="869" spans="1:10" s="2" customFormat="1">
      <c r="A869" s="1"/>
      <c r="E869"/>
      <c r="F869"/>
      <c r="G869"/>
      <c r="H869"/>
      <c r="I869"/>
      <c r="J869"/>
    </row>
    <row r="870" spans="1:10" s="2" customFormat="1">
      <c r="A870" s="1"/>
      <c r="E870"/>
      <c r="F870"/>
      <c r="G870"/>
      <c r="H870"/>
      <c r="I870"/>
      <c r="J870"/>
    </row>
    <row r="871" spans="1:10" s="2" customFormat="1">
      <c r="A871" s="1"/>
      <c r="E871"/>
      <c r="F871"/>
      <c r="G871"/>
      <c r="H871"/>
      <c r="I871"/>
      <c r="J871"/>
    </row>
    <row r="872" spans="1:10" s="2" customFormat="1">
      <c r="A872" s="1"/>
      <c r="E872"/>
      <c r="F872"/>
      <c r="G872"/>
      <c r="H872"/>
      <c r="I872"/>
      <c r="J872"/>
    </row>
    <row r="873" spans="1:10" s="2" customFormat="1">
      <c r="A873" s="1"/>
      <c r="E873"/>
      <c r="F873"/>
      <c r="G873"/>
      <c r="H873"/>
      <c r="I873"/>
      <c r="J873"/>
    </row>
    <row r="874" spans="1:10" s="2" customFormat="1">
      <c r="A874" s="1"/>
      <c r="E874"/>
      <c r="F874"/>
      <c r="G874"/>
      <c r="H874"/>
      <c r="I874"/>
      <c r="J874"/>
    </row>
    <row r="875" spans="1:10" s="2" customFormat="1">
      <c r="A875" s="1"/>
      <c r="E875"/>
      <c r="F875"/>
      <c r="G875"/>
      <c r="H875"/>
      <c r="I875"/>
      <c r="J875"/>
    </row>
    <row r="876" spans="1:10" s="2" customFormat="1">
      <c r="A876" s="1"/>
      <c r="E876"/>
      <c r="F876"/>
      <c r="G876"/>
      <c r="H876"/>
      <c r="I876"/>
      <c r="J876"/>
    </row>
    <row r="877" spans="1:10" s="2" customFormat="1">
      <c r="A877" s="1"/>
      <c r="E877"/>
      <c r="F877"/>
      <c r="G877"/>
      <c r="H877"/>
      <c r="I877"/>
      <c r="J877"/>
    </row>
    <row r="878" spans="1:10" s="2" customFormat="1">
      <c r="A878" s="1"/>
      <c r="E878"/>
      <c r="F878"/>
      <c r="G878"/>
      <c r="H878"/>
      <c r="I878"/>
      <c r="J878"/>
    </row>
    <row r="879" spans="1:10" s="2" customFormat="1">
      <c r="A879" s="1"/>
      <c r="E879"/>
      <c r="F879"/>
      <c r="G879"/>
      <c r="H879"/>
      <c r="I879"/>
      <c r="J879"/>
    </row>
    <row r="880" spans="1:10" s="2" customFormat="1">
      <c r="A880" s="1"/>
      <c r="E880"/>
      <c r="F880"/>
      <c r="G880"/>
      <c r="H880"/>
      <c r="I880"/>
      <c r="J880"/>
    </row>
    <row r="881" spans="1:10" s="2" customFormat="1">
      <c r="A881" s="1"/>
      <c r="E881"/>
      <c r="F881"/>
      <c r="G881"/>
      <c r="H881"/>
      <c r="I881"/>
      <c r="J881"/>
    </row>
    <row r="882" spans="1:10" s="2" customFormat="1">
      <c r="A882" s="1"/>
      <c r="E882"/>
      <c r="F882"/>
      <c r="G882"/>
      <c r="H882"/>
      <c r="I882"/>
      <c r="J882"/>
    </row>
    <row r="883" spans="1:10" s="2" customFormat="1">
      <c r="A883" s="1"/>
      <c r="E883"/>
      <c r="F883"/>
      <c r="G883"/>
      <c r="H883"/>
      <c r="I883"/>
      <c r="J883"/>
    </row>
    <row r="884" spans="1:10" s="2" customFormat="1">
      <c r="A884" s="1"/>
      <c r="E884"/>
      <c r="F884"/>
      <c r="G884"/>
      <c r="H884"/>
      <c r="I884"/>
      <c r="J884"/>
    </row>
    <row r="885" spans="1:10" s="2" customFormat="1">
      <c r="A885" s="1"/>
      <c r="E885"/>
      <c r="F885"/>
      <c r="G885"/>
      <c r="H885"/>
      <c r="I885"/>
      <c r="J885"/>
    </row>
    <row r="886" spans="1:10" s="2" customFormat="1">
      <c r="A886" s="1"/>
      <c r="E886"/>
      <c r="F886"/>
      <c r="G886"/>
      <c r="H886"/>
      <c r="I886"/>
      <c r="J886"/>
    </row>
    <row r="887" spans="1:10" s="2" customFormat="1">
      <c r="A887" s="1"/>
      <c r="E887"/>
      <c r="F887"/>
      <c r="G887"/>
      <c r="H887"/>
      <c r="I887"/>
      <c r="J887"/>
    </row>
    <row r="888" spans="1:10" s="2" customFormat="1">
      <c r="A888" s="1"/>
      <c r="E888"/>
      <c r="F888"/>
      <c r="G888"/>
      <c r="H888"/>
      <c r="I888"/>
      <c r="J888"/>
    </row>
    <row r="889" spans="1:10" s="2" customFormat="1">
      <c r="A889" s="1"/>
      <c r="E889"/>
      <c r="F889"/>
      <c r="G889"/>
      <c r="H889"/>
      <c r="I889"/>
      <c r="J889"/>
    </row>
    <row r="890" spans="1:10" s="2" customFormat="1">
      <c r="A890" s="1"/>
      <c r="E890"/>
      <c r="F890"/>
      <c r="G890"/>
      <c r="H890"/>
      <c r="I890"/>
      <c r="J890"/>
    </row>
    <row r="891" spans="1:10" s="2" customFormat="1">
      <c r="A891" s="1"/>
      <c r="E891"/>
      <c r="F891"/>
      <c r="G891"/>
      <c r="H891"/>
      <c r="I891"/>
      <c r="J891"/>
    </row>
    <row r="892" spans="1:10" s="2" customFormat="1">
      <c r="A892" s="1"/>
      <c r="E892"/>
      <c r="F892"/>
      <c r="G892"/>
      <c r="H892"/>
      <c r="I892"/>
      <c r="J892"/>
    </row>
    <row r="893" spans="1:10" s="2" customFormat="1">
      <c r="A893" s="1"/>
      <c r="E893"/>
      <c r="F893"/>
      <c r="G893"/>
      <c r="H893"/>
      <c r="I893"/>
      <c r="J893"/>
    </row>
    <row r="894" spans="1:10" s="2" customFormat="1">
      <c r="A894" s="1"/>
      <c r="E894"/>
      <c r="F894"/>
      <c r="G894"/>
      <c r="H894"/>
      <c r="I894"/>
      <c r="J894"/>
    </row>
    <row r="895" spans="1:10" s="2" customFormat="1">
      <c r="A895" s="1"/>
      <c r="E895"/>
      <c r="F895"/>
      <c r="G895"/>
      <c r="H895"/>
      <c r="I895"/>
      <c r="J895"/>
    </row>
    <row r="896" spans="1:10" s="2" customFormat="1">
      <c r="A896" s="1"/>
      <c r="E896"/>
      <c r="F896"/>
      <c r="G896"/>
      <c r="H896"/>
      <c r="I896"/>
      <c r="J896"/>
    </row>
    <row r="897" spans="1:10" s="2" customFormat="1">
      <c r="A897" s="1"/>
      <c r="E897"/>
      <c r="F897"/>
      <c r="G897"/>
      <c r="H897"/>
      <c r="I897"/>
      <c r="J897"/>
    </row>
    <row r="898" spans="1:10" s="2" customFormat="1">
      <c r="A898" s="1"/>
      <c r="E898"/>
      <c r="F898"/>
      <c r="G898"/>
      <c r="H898"/>
      <c r="I898"/>
      <c r="J898"/>
    </row>
    <row r="899" spans="1:10" s="2" customFormat="1">
      <c r="A899" s="1"/>
      <c r="E899"/>
      <c r="F899"/>
      <c r="G899"/>
      <c r="H899"/>
      <c r="I899"/>
      <c r="J899"/>
    </row>
    <row r="900" spans="1:10" s="2" customFormat="1">
      <c r="A900" s="1"/>
      <c r="E900"/>
      <c r="F900"/>
      <c r="G900"/>
      <c r="H900"/>
      <c r="I900"/>
      <c r="J900"/>
    </row>
    <row r="901" spans="1:10" s="2" customFormat="1">
      <c r="A901" s="1"/>
      <c r="E901"/>
      <c r="F901"/>
      <c r="G901"/>
      <c r="H901"/>
      <c r="I901"/>
      <c r="J901"/>
    </row>
    <row r="902" spans="1:10" s="2" customFormat="1">
      <c r="A902" s="1"/>
      <c r="E902"/>
      <c r="F902"/>
      <c r="G902"/>
      <c r="H902"/>
      <c r="I902"/>
      <c r="J902"/>
    </row>
    <row r="903" spans="1:10" s="2" customFormat="1">
      <c r="A903" s="1"/>
      <c r="E903"/>
      <c r="F903"/>
      <c r="G903"/>
      <c r="H903"/>
      <c r="I903"/>
      <c r="J903"/>
    </row>
    <row r="904" spans="1:10" s="2" customFormat="1">
      <c r="A904" s="1"/>
      <c r="E904"/>
      <c r="F904"/>
      <c r="G904"/>
      <c r="H904"/>
      <c r="I904"/>
      <c r="J904"/>
    </row>
    <row r="905" spans="1:10" s="2" customFormat="1">
      <c r="A905" s="1"/>
      <c r="E905"/>
      <c r="F905"/>
      <c r="G905"/>
      <c r="H905"/>
      <c r="I905"/>
      <c r="J905"/>
    </row>
    <row r="906" spans="1:10" s="2" customFormat="1">
      <c r="A906" s="1"/>
      <c r="E906"/>
      <c r="F906"/>
      <c r="G906"/>
      <c r="H906"/>
      <c r="I906"/>
      <c r="J906"/>
    </row>
    <row r="907" spans="1:10" s="2" customFormat="1">
      <c r="A907" s="1"/>
      <c r="E907"/>
      <c r="F907"/>
      <c r="G907"/>
      <c r="H907"/>
      <c r="I907"/>
      <c r="J907"/>
    </row>
    <row r="908" spans="1:10" s="2" customFormat="1">
      <c r="A908" s="1"/>
      <c r="E908"/>
      <c r="F908"/>
      <c r="G908"/>
      <c r="H908"/>
      <c r="I908"/>
      <c r="J908"/>
    </row>
    <row r="909" spans="1:10" s="2" customFormat="1">
      <c r="A909" s="1"/>
      <c r="E909"/>
      <c r="F909"/>
      <c r="G909"/>
      <c r="H909"/>
      <c r="I909"/>
      <c r="J909"/>
    </row>
    <row r="910" spans="1:10" s="2" customFormat="1">
      <c r="A910" s="1"/>
      <c r="E910"/>
      <c r="F910"/>
      <c r="G910"/>
      <c r="H910"/>
      <c r="I910"/>
      <c r="J910"/>
    </row>
    <row r="911" spans="1:10" s="2" customFormat="1">
      <c r="A911" s="1"/>
      <c r="E911"/>
      <c r="F911"/>
      <c r="G911"/>
      <c r="H911"/>
      <c r="I911"/>
      <c r="J911"/>
    </row>
    <row r="912" spans="1:10" s="2" customFormat="1">
      <c r="A912" s="1"/>
      <c r="E912"/>
      <c r="F912"/>
      <c r="G912"/>
      <c r="H912"/>
      <c r="I912"/>
      <c r="J912"/>
    </row>
    <row r="913" spans="1:10" s="2" customFormat="1">
      <c r="A913" s="1"/>
      <c r="E913"/>
      <c r="F913"/>
      <c r="G913"/>
      <c r="H913"/>
      <c r="I913"/>
      <c r="J913"/>
    </row>
    <row r="914" spans="1:10" s="2" customFormat="1">
      <c r="A914" s="1"/>
      <c r="E914"/>
      <c r="F914"/>
      <c r="G914"/>
      <c r="H914"/>
      <c r="I914"/>
      <c r="J914"/>
    </row>
    <row r="915" spans="1:10" s="2" customFormat="1">
      <c r="A915" s="1"/>
      <c r="E915"/>
      <c r="F915"/>
      <c r="G915"/>
      <c r="H915"/>
      <c r="I915"/>
      <c r="J915"/>
    </row>
    <row r="916" spans="1:10" s="2" customFormat="1">
      <c r="A916" s="1"/>
      <c r="E916"/>
      <c r="F916"/>
      <c r="G916"/>
      <c r="H916"/>
      <c r="I916"/>
      <c r="J916"/>
    </row>
    <row r="917" spans="1:10" s="2" customFormat="1">
      <c r="A917" s="1"/>
      <c r="E917"/>
      <c r="F917"/>
      <c r="G917"/>
      <c r="H917"/>
      <c r="I917"/>
      <c r="J917"/>
    </row>
    <row r="918" spans="1:10" s="2" customFormat="1">
      <c r="A918" s="1"/>
      <c r="E918"/>
      <c r="F918"/>
      <c r="G918"/>
      <c r="H918"/>
      <c r="I918"/>
      <c r="J918"/>
    </row>
    <row r="919" spans="1:10" s="2" customFormat="1">
      <c r="A919" s="1"/>
      <c r="E919"/>
      <c r="F919"/>
      <c r="G919"/>
      <c r="H919"/>
      <c r="I919"/>
      <c r="J919"/>
    </row>
    <row r="920" spans="1:10" s="2" customFormat="1">
      <c r="A920" s="1"/>
      <c r="E920"/>
      <c r="F920"/>
      <c r="G920"/>
      <c r="H920"/>
      <c r="I920"/>
      <c r="J920"/>
    </row>
    <row r="921" spans="1:10" s="2" customFormat="1">
      <c r="A921" s="1"/>
      <c r="E921"/>
      <c r="F921"/>
      <c r="G921"/>
      <c r="H921"/>
      <c r="I921"/>
      <c r="J921"/>
    </row>
    <row r="922" spans="1:10" s="2" customFormat="1">
      <c r="A922" s="1"/>
      <c r="E922"/>
      <c r="F922"/>
      <c r="G922"/>
      <c r="H922"/>
      <c r="I922"/>
      <c r="J922"/>
    </row>
    <row r="923" spans="1:10" s="2" customFormat="1">
      <c r="A923" s="1"/>
      <c r="E923"/>
      <c r="F923"/>
      <c r="G923"/>
      <c r="H923"/>
      <c r="I923"/>
      <c r="J923"/>
    </row>
    <row r="924" spans="1:10" s="2" customFormat="1">
      <c r="A924" s="1"/>
      <c r="E924"/>
      <c r="F924"/>
      <c r="G924"/>
      <c r="H924"/>
      <c r="I924"/>
      <c r="J924"/>
    </row>
    <row r="925" spans="1:10" s="2" customFormat="1">
      <c r="A925" s="1"/>
      <c r="E925"/>
      <c r="F925"/>
      <c r="G925"/>
      <c r="H925"/>
      <c r="I925"/>
      <c r="J925"/>
    </row>
    <row r="926" spans="1:10" s="2" customFormat="1">
      <c r="A926" s="1"/>
      <c r="E926"/>
      <c r="F926"/>
      <c r="G926"/>
      <c r="H926"/>
      <c r="I926"/>
      <c r="J926"/>
    </row>
    <row r="927" spans="1:10" s="2" customFormat="1">
      <c r="A927" s="1"/>
      <c r="E927"/>
      <c r="F927"/>
      <c r="G927"/>
      <c r="H927"/>
      <c r="I927"/>
      <c r="J927"/>
    </row>
    <row r="928" spans="1:10" s="2" customFormat="1">
      <c r="A928" s="1"/>
      <c r="E928"/>
      <c r="F928"/>
      <c r="G928"/>
      <c r="H928"/>
      <c r="I928"/>
      <c r="J928"/>
    </row>
    <row r="929" spans="1:10" s="2" customFormat="1">
      <c r="A929" s="1"/>
      <c r="E929"/>
      <c r="F929"/>
      <c r="G929"/>
      <c r="H929"/>
      <c r="I929"/>
      <c r="J929"/>
    </row>
    <row r="930" spans="1:10" s="2" customFormat="1">
      <c r="A930" s="1"/>
      <c r="E930"/>
      <c r="F930"/>
      <c r="G930"/>
      <c r="H930"/>
      <c r="I930"/>
      <c r="J930"/>
    </row>
    <row r="931" spans="1:10" s="2" customFormat="1">
      <c r="A931" s="1"/>
      <c r="E931"/>
      <c r="F931"/>
      <c r="G931"/>
      <c r="H931"/>
      <c r="I931"/>
      <c r="J931"/>
    </row>
    <row r="932" spans="1:10" s="2" customFormat="1">
      <c r="A932" s="1"/>
      <c r="E932"/>
      <c r="F932"/>
      <c r="G932"/>
      <c r="H932"/>
      <c r="I932"/>
      <c r="J932"/>
    </row>
    <row r="933" spans="1:10" s="2" customFormat="1">
      <c r="A933" s="1"/>
      <c r="E933"/>
      <c r="F933"/>
      <c r="G933"/>
      <c r="H933"/>
      <c r="I933"/>
      <c r="J933"/>
    </row>
    <row r="934" spans="1:10" s="2" customFormat="1">
      <c r="A934" s="1"/>
      <c r="E934"/>
      <c r="F934"/>
      <c r="G934"/>
      <c r="H934"/>
      <c r="I934"/>
      <c r="J934"/>
    </row>
    <row r="935" spans="1:10" s="2" customFormat="1">
      <c r="A935" s="1"/>
      <c r="E935"/>
      <c r="F935"/>
      <c r="G935"/>
      <c r="H935"/>
      <c r="I935"/>
      <c r="J935"/>
    </row>
    <row r="936" spans="1:10" s="2" customFormat="1">
      <c r="A936" s="1"/>
      <c r="E936"/>
      <c r="F936"/>
      <c r="G936"/>
      <c r="H936"/>
      <c r="I936"/>
      <c r="J936"/>
    </row>
    <row r="937" spans="1:10" s="2" customFormat="1">
      <c r="A937" s="1"/>
      <c r="E937"/>
      <c r="F937"/>
      <c r="G937"/>
      <c r="H937"/>
      <c r="I937"/>
      <c r="J937"/>
    </row>
    <row r="938" spans="1:10" s="2" customFormat="1">
      <c r="A938" s="1"/>
      <c r="E938"/>
      <c r="F938"/>
      <c r="G938"/>
      <c r="H938"/>
      <c r="I938"/>
      <c r="J938"/>
    </row>
    <row r="939" spans="1:10" s="2" customFormat="1">
      <c r="A939" s="1"/>
      <c r="E939"/>
      <c r="F939"/>
      <c r="G939"/>
      <c r="H939"/>
      <c r="I939"/>
      <c r="J939"/>
    </row>
    <row r="940" spans="1:10" s="2" customFormat="1">
      <c r="A940" s="1"/>
      <c r="E940"/>
      <c r="F940"/>
      <c r="G940"/>
      <c r="H940"/>
      <c r="I940"/>
      <c r="J940"/>
    </row>
    <row r="941" spans="1:10" s="2" customFormat="1">
      <c r="A941" s="1"/>
      <c r="E941"/>
      <c r="F941"/>
      <c r="G941"/>
      <c r="H941"/>
      <c r="I941"/>
      <c r="J941"/>
    </row>
    <row r="942" spans="1:10" s="2" customFormat="1">
      <c r="A942" s="1"/>
      <c r="E942"/>
      <c r="F942"/>
      <c r="G942"/>
      <c r="H942"/>
      <c r="I942"/>
      <c r="J942"/>
    </row>
    <row r="943" spans="1:10" s="2" customFormat="1">
      <c r="A943" s="1"/>
      <c r="E943"/>
      <c r="F943"/>
      <c r="G943"/>
      <c r="H943"/>
      <c r="I943"/>
      <c r="J943"/>
    </row>
    <row r="944" spans="1:10" s="2" customFormat="1">
      <c r="A944" s="1"/>
      <c r="E944"/>
      <c r="F944"/>
      <c r="G944"/>
      <c r="H944"/>
      <c r="I944"/>
      <c r="J944"/>
    </row>
    <row r="945" spans="1:10" s="2" customFormat="1">
      <c r="A945" s="1"/>
      <c r="E945"/>
      <c r="F945"/>
      <c r="G945"/>
      <c r="H945"/>
      <c r="I945"/>
      <c r="J945"/>
    </row>
    <row r="946" spans="1:10" s="2" customFormat="1">
      <c r="A946" s="1"/>
      <c r="E946"/>
      <c r="F946"/>
      <c r="G946"/>
      <c r="H946"/>
      <c r="I946"/>
      <c r="J946"/>
    </row>
    <row r="947" spans="1:10" s="2" customFormat="1">
      <c r="A947" s="1"/>
      <c r="E947"/>
      <c r="F947"/>
      <c r="G947"/>
      <c r="H947"/>
      <c r="I947"/>
      <c r="J947"/>
    </row>
    <row r="948" spans="1:10" s="2" customFormat="1">
      <c r="A948" s="1"/>
      <c r="E948"/>
      <c r="F948"/>
      <c r="G948"/>
      <c r="H948"/>
      <c r="I948"/>
      <c r="J948"/>
    </row>
    <row r="949" spans="1:10" s="2" customFormat="1">
      <c r="A949" s="1"/>
      <c r="E949"/>
      <c r="F949"/>
      <c r="G949"/>
      <c r="H949"/>
      <c r="I949"/>
      <c r="J949"/>
    </row>
    <row r="950" spans="1:10" s="2" customFormat="1">
      <c r="A950" s="1"/>
      <c r="E950"/>
      <c r="F950"/>
      <c r="G950"/>
      <c r="H950"/>
      <c r="I950"/>
      <c r="J950"/>
    </row>
    <row r="951" spans="1:10" s="2" customFormat="1">
      <c r="A951" s="1"/>
      <c r="E951"/>
      <c r="F951"/>
      <c r="G951"/>
      <c r="H951"/>
      <c r="I951"/>
      <c r="J951"/>
    </row>
    <row r="952" spans="1:10" s="2" customFormat="1">
      <c r="A952" s="1"/>
      <c r="E952"/>
      <c r="F952"/>
      <c r="G952"/>
      <c r="H952"/>
      <c r="I952"/>
      <c r="J952"/>
    </row>
    <row r="953" spans="1:10" s="2" customFormat="1">
      <c r="A953" s="1"/>
      <c r="E953"/>
      <c r="F953"/>
      <c r="G953"/>
      <c r="H953"/>
      <c r="I953"/>
      <c r="J953"/>
    </row>
    <row r="954" spans="1:10" s="2" customFormat="1">
      <c r="A954" s="1"/>
      <c r="E954"/>
      <c r="F954"/>
      <c r="G954"/>
      <c r="H954"/>
      <c r="I954"/>
      <c r="J954"/>
    </row>
    <row r="955" spans="1:10" s="2" customFormat="1">
      <c r="A955" s="1"/>
      <c r="E955"/>
      <c r="F955"/>
      <c r="G955"/>
      <c r="H955"/>
      <c r="I955"/>
      <c r="J955"/>
    </row>
    <row r="956" spans="1:10" s="2" customFormat="1">
      <c r="A956" s="1"/>
      <c r="E956"/>
      <c r="F956"/>
      <c r="G956"/>
      <c r="H956"/>
      <c r="I956"/>
      <c r="J956"/>
    </row>
    <row r="957" spans="1:10" s="2" customFormat="1">
      <c r="A957" s="1"/>
      <c r="E957"/>
      <c r="F957"/>
      <c r="G957"/>
      <c r="H957"/>
      <c r="I957"/>
      <c r="J957"/>
    </row>
    <row r="958" spans="1:10" s="2" customFormat="1">
      <c r="A958" s="1"/>
      <c r="E958"/>
      <c r="F958"/>
      <c r="G958"/>
      <c r="H958"/>
      <c r="I958"/>
      <c r="J958"/>
    </row>
    <row r="959" spans="1:10" s="2" customFormat="1">
      <c r="A959" s="1"/>
      <c r="E959"/>
      <c r="F959"/>
      <c r="G959"/>
      <c r="H959"/>
      <c r="I959"/>
      <c r="J959"/>
    </row>
    <row r="960" spans="1:10" s="2" customFormat="1">
      <c r="A960" s="1"/>
      <c r="E960"/>
      <c r="F960"/>
      <c r="G960"/>
      <c r="H960"/>
      <c r="I960"/>
      <c r="J960"/>
    </row>
    <row r="961" spans="1:10" s="2" customFormat="1">
      <c r="A961" s="1"/>
      <c r="E961"/>
      <c r="F961"/>
      <c r="G961"/>
      <c r="H961"/>
      <c r="I961"/>
      <c r="J961"/>
    </row>
    <row r="962" spans="1:10" s="2" customFormat="1">
      <c r="A962" s="1"/>
      <c r="E962"/>
      <c r="F962"/>
      <c r="G962"/>
      <c r="H962"/>
      <c r="I962"/>
      <c r="J962"/>
    </row>
    <row r="963" spans="1:10" s="2" customFormat="1">
      <c r="A963" s="1"/>
      <c r="E963"/>
      <c r="F963"/>
      <c r="G963"/>
      <c r="H963"/>
      <c r="I963"/>
      <c r="J963"/>
    </row>
    <row r="964" spans="1:10" s="2" customFormat="1">
      <c r="A964" s="1"/>
      <c r="E964"/>
      <c r="F964"/>
      <c r="G964"/>
      <c r="H964"/>
      <c r="I964"/>
      <c r="J964"/>
    </row>
    <row r="965" spans="1:10" s="2" customFormat="1">
      <c r="A965" s="1"/>
      <c r="E965"/>
      <c r="F965"/>
      <c r="G965"/>
      <c r="H965"/>
      <c r="I965"/>
      <c r="J965"/>
    </row>
    <row r="966" spans="1:10" s="2" customFormat="1">
      <c r="A966" s="1"/>
      <c r="E966"/>
      <c r="F966"/>
      <c r="G966"/>
      <c r="H966"/>
      <c r="I966"/>
      <c r="J966"/>
    </row>
    <row r="967" spans="1:10" s="2" customFormat="1">
      <c r="A967" s="1"/>
      <c r="E967"/>
      <c r="F967"/>
      <c r="G967"/>
      <c r="H967"/>
      <c r="I967"/>
      <c r="J967"/>
    </row>
    <row r="968" spans="1:10" s="2" customFormat="1">
      <c r="A968" s="1"/>
      <c r="E968"/>
      <c r="F968"/>
      <c r="G968"/>
      <c r="H968"/>
      <c r="I968"/>
      <c r="J968"/>
    </row>
    <row r="969" spans="1:10" s="2" customFormat="1">
      <c r="A969" s="1"/>
      <c r="E969"/>
      <c r="F969"/>
      <c r="G969"/>
      <c r="H969"/>
      <c r="I969"/>
      <c r="J969"/>
    </row>
    <row r="970" spans="1:10" s="2" customFormat="1">
      <c r="A970" s="1"/>
      <c r="E970"/>
      <c r="F970"/>
      <c r="G970"/>
      <c r="H970"/>
      <c r="I970"/>
      <c r="J970"/>
    </row>
    <row r="971" spans="1:10" s="2" customFormat="1">
      <c r="A971" s="1"/>
      <c r="E971"/>
      <c r="F971"/>
      <c r="G971"/>
      <c r="H971"/>
      <c r="I971"/>
      <c r="J971"/>
    </row>
    <row r="972" spans="1:10" s="2" customFormat="1">
      <c r="A972" s="1"/>
      <c r="E972"/>
      <c r="F972"/>
      <c r="G972"/>
      <c r="H972"/>
      <c r="I972"/>
      <c r="J972"/>
    </row>
    <row r="973" spans="1:10" s="2" customFormat="1">
      <c r="A973" s="1"/>
      <c r="E973"/>
      <c r="F973"/>
      <c r="G973"/>
      <c r="H973"/>
      <c r="I973"/>
      <c r="J973"/>
    </row>
    <row r="974" spans="1:10" s="2" customFormat="1">
      <c r="A974" s="1"/>
      <c r="E974"/>
      <c r="F974"/>
      <c r="G974"/>
      <c r="H974"/>
      <c r="I974"/>
      <c r="J974"/>
    </row>
    <row r="975" spans="1:10" s="2" customFormat="1">
      <c r="A975" s="1"/>
      <c r="E975"/>
      <c r="F975"/>
      <c r="G975"/>
      <c r="H975"/>
      <c r="I975"/>
      <c r="J975"/>
    </row>
    <row r="976" spans="1:10" s="2" customFormat="1">
      <c r="A976" s="1"/>
      <c r="E976"/>
      <c r="F976"/>
      <c r="G976"/>
      <c r="H976"/>
      <c r="I976"/>
      <c r="J976"/>
    </row>
    <row r="977" spans="1:10" s="2" customFormat="1">
      <c r="A977" s="1"/>
      <c r="E977"/>
      <c r="F977"/>
      <c r="G977"/>
      <c r="H977"/>
      <c r="I977"/>
      <c r="J977"/>
    </row>
    <row r="978" spans="1:10" s="2" customFormat="1">
      <c r="A978" s="1"/>
      <c r="E978"/>
      <c r="F978"/>
      <c r="G978"/>
      <c r="H978"/>
      <c r="I978"/>
      <c r="J978"/>
    </row>
    <row r="979" spans="1:10" s="2" customFormat="1">
      <c r="A979" s="1"/>
      <c r="E979"/>
      <c r="F979"/>
      <c r="G979"/>
      <c r="H979"/>
      <c r="I979"/>
      <c r="J979"/>
    </row>
    <row r="980" spans="1:10" s="2" customFormat="1">
      <c r="A980" s="1"/>
      <c r="E980"/>
      <c r="F980"/>
      <c r="G980"/>
      <c r="H980"/>
      <c r="I980"/>
      <c r="J980"/>
    </row>
    <row r="981" spans="1:10" s="2" customFormat="1">
      <c r="A981" s="1"/>
      <c r="E981"/>
      <c r="F981"/>
      <c r="G981"/>
      <c r="H981"/>
      <c r="I981"/>
      <c r="J981"/>
    </row>
    <row r="982" spans="1:10" s="2" customFormat="1">
      <c r="A982" s="1"/>
      <c r="E982"/>
      <c r="F982"/>
      <c r="G982"/>
      <c r="H982"/>
      <c r="I982"/>
      <c r="J982"/>
    </row>
    <row r="983" spans="1:10" s="2" customFormat="1">
      <c r="A983" s="1"/>
      <c r="E983"/>
      <c r="F983"/>
      <c r="G983"/>
      <c r="H983"/>
      <c r="I983"/>
      <c r="J983"/>
    </row>
    <row r="984" spans="1:10" s="2" customFormat="1">
      <c r="A984" s="1"/>
      <c r="E984"/>
      <c r="F984"/>
      <c r="G984"/>
      <c r="H984"/>
      <c r="I984"/>
      <c r="J984"/>
    </row>
    <row r="985" spans="1:10" s="2" customFormat="1">
      <c r="A985" s="1"/>
      <c r="E985"/>
      <c r="F985"/>
      <c r="G985"/>
      <c r="H985"/>
      <c r="I985"/>
      <c r="J985"/>
    </row>
    <row r="986" spans="1:10" s="2" customFormat="1">
      <c r="A986" s="1"/>
      <c r="E986"/>
      <c r="F986"/>
      <c r="G986"/>
      <c r="H986"/>
      <c r="I986"/>
      <c r="J986"/>
    </row>
    <row r="987" spans="1:10" s="2" customFormat="1">
      <c r="A987" s="1"/>
      <c r="E987"/>
      <c r="F987"/>
      <c r="G987"/>
      <c r="H987"/>
      <c r="I987"/>
      <c r="J987"/>
    </row>
    <row r="988" spans="1:10" s="2" customFormat="1">
      <c r="A988" s="1"/>
      <c r="E988"/>
      <c r="F988"/>
      <c r="G988"/>
      <c r="H988"/>
      <c r="I988"/>
      <c r="J988"/>
    </row>
    <row r="989" spans="1:10" s="2" customFormat="1">
      <c r="A989" s="1"/>
      <c r="E989"/>
      <c r="F989"/>
      <c r="G989"/>
      <c r="H989"/>
      <c r="I989"/>
      <c r="J989"/>
    </row>
    <row r="990" spans="1:10" s="2" customFormat="1">
      <c r="A990" s="1"/>
      <c r="E990"/>
      <c r="F990"/>
      <c r="G990"/>
      <c r="H990"/>
      <c r="I990"/>
      <c r="J990"/>
    </row>
    <row r="991" spans="1:10" s="2" customFormat="1">
      <c r="A991" s="1"/>
      <c r="E991"/>
      <c r="F991"/>
      <c r="G991"/>
      <c r="H991"/>
      <c r="I991"/>
      <c r="J991"/>
    </row>
    <row r="992" spans="1:10" s="2" customFormat="1">
      <c r="A992" s="1"/>
      <c r="E992"/>
      <c r="F992"/>
      <c r="G992"/>
      <c r="H992"/>
      <c r="I992"/>
      <c r="J992"/>
    </row>
    <row r="993" spans="1:10" s="2" customFormat="1">
      <c r="A993" s="1"/>
      <c r="E993"/>
      <c r="F993"/>
      <c r="G993"/>
      <c r="H993"/>
      <c r="I993"/>
      <c r="J993"/>
    </row>
    <row r="994" spans="1:10" s="2" customFormat="1">
      <c r="A994" s="1"/>
      <c r="E994"/>
      <c r="F994"/>
      <c r="G994"/>
      <c r="H994"/>
      <c r="I994"/>
      <c r="J994"/>
    </row>
    <row r="995" spans="1:10" s="2" customFormat="1">
      <c r="A995" s="1"/>
      <c r="E995"/>
      <c r="F995"/>
      <c r="G995"/>
      <c r="H995"/>
      <c r="I995"/>
      <c r="J995"/>
    </row>
    <row r="996" spans="1:10" s="2" customFormat="1">
      <c r="A996" s="1"/>
      <c r="E996"/>
      <c r="F996"/>
      <c r="G996"/>
      <c r="H996"/>
      <c r="I996"/>
      <c r="J996"/>
    </row>
    <row r="997" spans="1:10" s="2" customFormat="1">
      <c r="A997" s="1"/>
      <c r="E997"/>
      <c r="F997"/>
      <c r="G997"/>
      <c r="H997"/>
      <c r="I997"/>
      <c r="J997"/>
    </row>
    <row r="998" spans="1:10" s="2" customFormat="1">
      <c r="A998" s="1"/>
      <c r="E998"/>
      <c r="F998"/>
      <c r="G998"/>
      <c r="H998"/>
      <c r="I998"/>
      <c r="J998"/>
    </row>
    <row r="999" spans="1:10" s="2" customFormat="1">
      <c r="A999" s="1"/>
      <c r="E999"/>
      <c r="F999"/>
      <c r="G999"/>
      <c r="H999"/>
      <c r="I999"/>
      <c r="J999"/>
    </row>
    <row r="1000" spans="1:10" s="2" customFormat="1">
      <c r="A1000" s="1"/>
      <c r="E1000"/>
      <c r="F1000"/>
      <c r="G1000"/>
      <c r="H1000"/>
      <c r="I1000"/>
      <c r="J1000"/>
    </row>
    <row r="1001" spans="1:10" s="2" customFormat="1">
      <c r="A1001" s="1"/>
      <c r="E1001"/>
      <c r="F1001"/>
      <c r="G1001"/>
      <c r="H1001"/>
      <c r="I1001"/>
      <c r="J1001"/>
    </row>
    <row r="1002" spans="1:10" s="2" customFormat="1">
      <c r="A1002" s="1"/>
      <c r="E1002"/>
      <c r="F1002"/>
      <c r="G1002"/>
      <c r="H1002"/>
      <c r="I1002"/>
      <c r="J1002"/>
    </row>
    <row r="1003" spans="1:10" s="2" customFormat="1">
      <c r="A1003" s="1"/>
      <c r="E1003"/>
      <c r="F1003"/>
      <c r="G1003"/>
      <c r="H1003"/>
      <c r="I1003"/>
      <c r="J1003"/>
    </row>
    <row r="1004" spans="1:10" s="2" customFormat="1">
      <c r="A1004" s="1"/>
      <c r="E1004"/>
      <c r="F1004"/>
      <c r="G1004"/>
      <c r="H1004"/>
      <c r="I1004"/>
      <c r="J1004"/>
    </row>
    <row r="1005" spans="1:10" s="2" customFormat="1">
      <c r="A1005" s="1"/>
      <c r="E1005"/>
      <c r="F1005"/>
      <c r="G1005"/>
      <c r="H1005"/>
      <c r="I1005"/>
      <c r="J1005"/>
    </row>
    <row r="1006" spans="1:10" s="2" customFormat="1">
      <c r="A1006" s="1"/>
      <c r="E1006"/>
      <c r="F1006"/>
      <c r="G1006"/>
      <c r="H1006"/>
      <c r="I1006"/>
      <c r="J1006"/>
    </row>
    <row r="1007" spans="1:10" s="2" customFormat="1">
      <c r="A1007" s="1"/>
      <c r="E1007"/>
      <c r="F1007"/>
      <c r="G1007"/>
      <c r="H1007"/>
      <c r="I1007"/>
      <c r="J1007"/>
    </row>
    <row r="1008" spans="1:10" s="2" customFormat="1">
      <c r="A1008" s="1"/>
      <c r="E1008"/>
      <c r="F1008"/>
      <c r="G1008"/>
      <c r="H1008"/>
      <c r="I1008"/>
      <c r="J1008"/>
    </row>
    <row r="1009" spans="1:10" s="2" customFormat="1">
      <c r="A1009" s="1"/>
      <c r="E1009"/>
      <c r="F1009"/>
      <c r="G1009"/>
      <c r="H1009"/>
      <c r="I1009"/>
      <c r="J1009"/>
    </row>
    <row r="1010" spans="1:10" s="2" customFormat="1">
      <c r="A1010" s="1"/>
      <c r="E1010"/>
      <c r="F1010"/>
      <c r="G1010"/>
      <c r="H1010"/>
      <c r="I1010"/>
      <c r="J1010"/>
    </row>
    <row r="1011" spans="1:10" s="2" customFormat="1">
      <c r="A1011" s="1"/>
      <c r="E1011"/>
      <c r="F1011"/>
      <c r="G1011"/>
      <c r="H1011"/>
      <c r="I1011"/>
      <c r="J1011"/>
    </row>
    <row r="1012" spans="1:10" s="2" customFormat="1">
      <c r="A1012" s="1"/>
      <c r="E1012"/>
      <c r="F1012"/>
      <c r="G1012"/>
      <c r="H1012"/>
      <c r="I1012"/>
      <c r="J1012"/>
    </row>
    <row r="1013" spans="1:10" s="2" customFormat="1">
      <c r="A1013" s="1"/>
      <c r="E1013"/>
      <c r="F1013"/>
      <c r="G1013"/>
      <c r="H1013"/>
      <c r="I1013"/>
      <c r="J1013"/>
    </row>
    <row r="1014" spans="1:10" s="2" customFormat="1">
      <c r="A1014" s="1"/>
      <c r="E1014"/>
      <c r="F1014"/>
      <c r="G1014"/>
      <c r="H1014"/>
      <c r="I1014"/>
      <c r="J1014"/>
    </row>
    <row r="1015" spans="1:10" s="2" customFormat="1">
      <c r="A1015" s="1"/>
      <c r="E1015"/>
      <c r="F1015"/>
      <c r="G1015"/>
      <c r="H1015"/>
      <c r="I1015"/>
      <c r="J1015"/>
    </row>
    <row r="1016" spans="1:10" s="2" customFormat="1">
      <c r="A1016" s="1"/>
      <c r="E1016"/>
      <c r="F1016"/>
      <c r="G1016"/>
      <c r="H1016"/>
      <c r="I1016"/>
      <c r="J1016"/>
    </row>
    <row r="1017" spans="1:10" s="2" customFormat="1">
      <c r="A1017" s="1"/>
      <c r="E1017"/>
      <c r="F1017"/>
      <c r="G1017"/>
      <c r="H1017"/>
      <c r="I1017"/>
      <c r="J1017"/>
    </row>
    <row r="1018" spans="1:10" s="2" customFormat="1">
      <c r="A1018" s="1"/>
      <c r="E1018"/>
      <c r="F1018"/>
      <c r="G1018"/>
      <c r="H1018"/>
      <c r="I1018"/>
      <c r="J1018"/>
    </row>
    <row r="1019" spans="1:10" s="2" customFormat="1">
      <c r="A1019" s="1"/>
      <c r="E1019"/>
      <c r="F1019"/>
      <c r="G1019"/>
      <c r="H1019"/>
      <c r="I1019"/>
      <c r="J1019"/>
    </row>
    <row r="1020" spans="1:10" s="2" customFormat="1">
      <c r="A1020" s="1"/>
      <c r="E1020"/>
      <c r="F1020"/>
      <c r="G1020"/>
      <c r="H1020"/>
      <c r="I1020"/>
      <c r="J1020"/>
    </row>
    <row r="1021" spans="1:10" s="2" customFormat="1">
      <c r="A1021" s="1"/>
      <c r="E1021"/>
      <c r="F1021"/>
      <c r="G1021"/>
      <c r="H1021"/>
      <c r="I1021"/>
      <c r="J1021"/>
    </row>
    <row r="1022" spans="1:10" s="2" customFormat="1">
      <c r="A1022" s="1"/>
      <c r="E1022"/>
      <c r="F1022"/>
      <c r="G1022"/>
      <c r="H1022"/>
      <c r="I1022"/>
      <c r="J1022"/>
    </row>
    <row r="1023" spans="1:10" s="2" customFormat="1">
      <c r="A1023" s="1"/>
      <c r="E1023"/>
      <c r="F1023"/>
      <c r="G1023"/>
      <c r="H1023"/>
      <c r="I1023"/>
      <c r="J1023"/>
    </row>
    <row r="1024" spans="1:10" s="2" customFormat="1">
      <c r="A1024" s="1"/>
      <c r="E1024"/>
      <c r="F1024"/>
      <c r="G1024"/>
      <c r="H1024"/>
      <c r="I1024"/>
      <c r="J1024"/>
    </row>
    <row r="1025" spans="1:10" s="2" customFormat="1">
      <c r="A1025" s="1"/>
      <c r="E1025"/>
      <c r="F1025"/>
      <c r="G1025"/>
      <c r="H1025"/>
      <c r="I1025"/>
      <c r="J1025"/>
    </row>
    <row r="1026" spans="1:10" s="2" customFormat="1">
      <c r="A1026" s="1"/>
      <c r="E1026"/>
      <c r="F1026"/>
      <c r="G1026"/>
      <c r="H1026"/>
      <c r="I1026"/>
      <c r="J1026"/>
    </row>
    <row r="1027" spans="1:10" s="2" customFormat="1">
      <c r="A1027" s="1"/>
      <c r="E1027"/>
      <c r="F1027"/>
      <c r="G1027"/>
      <c r="H1027"/>
      <c r="I1027"/>
      <c r="J1027"/>
    </row>
    <row r="1028" spans="1:10" s="2" customFormat="1">
      <c r="A1028" s="1"/>
      <c r="E1028"/>
      <c r="F1028"/>
      <c r="G1028"/>
      <c r="H1028"/>
      <c r="I1028"/>
      <c r="J1028"/>
    </row>
    <row r="1029" spans="1:10" s="2" customFormat="1">
      <c r="A1029" s="1"/>
      <c r="E1029"/>
      <c r="F1029"/>
      <c r="G1029"/>
      <c r="H1029"/>
      <c r="I1029"/>
      <c r="J1029"/>
    </row>
    <row r="1030" spans="1:10" s="2" customFormat="1">
      <c r="A1030" s="1"/>
      <c r="E1030"/>
      <c r="F1030"/>
      <c r="G1030"/>
      <c r="H1030"/>
      <c r="I1030"/>
      <c r="J1030"/>
    </row>
    <row r="1031" spans="1:10" s="2" customFormat="1">
      <c r="A1031" s="1"/>
      <c r="E1031"/>
      <c r="F1031"/>
      <c r="G1031"/>
      <c r="H1031"/>
      <c r="I1031"/>
      <c r="J1031"/>
    </row>
    <row r="1032" spans="1:10" s="2" customFormat="1">
      <c r="A1032" s="1"/>
      <c r="E1032"/>
      <c r="F1032"/>
      <c r="G1032"/>
      <c r="H1032"/>
      <c r="I1032"/>
      <c r="J1032"/>
    </row>
    <row r="1033" spans="1:10" s="2" customFormat="1">
      <c r="A1033" s="1"/>
      <c r="E1033"/>
      <c r="F1033"/>
      <c r="G1033"/>
      <c r="H1033"/>
      <c r="I1033"/>
      <c r="J1033"/>
    </row>
    <row r="1034" spans="1:10" s="2" customFormat="1">
      <c r="A1034" s="1"/>
      <c r="E1034"/>
      <c r="F1034"/>
      <c r="G1034"/>
      <c r="H1034"/>
      <c r="I1034"/>
      <c r="J1034"/>
    </row>
    <row r="1035" spans="1:10" s="2" customFormat="1">
      <c r="A1035" s="1"/>
      <c r="E1035"/>
      <c r="F1035"/>
      <c r="G1035"/>
      <c r="H1035"/>
      <c r="I1035"/>
      <c r="J1035"/>
    </row>
    <row r="1036" spans="1:10" s="2" customFormat="1">
      <c r="A1036" s="1"/>
      <c r="E1036"/>
      <c r="F1036"/>
      <c r="G1036"/>
      <c r="H1036"/>
      <c r="I1036"/>
      <c r="J1036"/>
    </row>
    <row r="1037" spans="1:10" s="2" customFormat="1">
      <c r="A1037" s="1"/>
      <c r="E1037"/>
      <c r="F1037"/>
      <c r="G1037"/>
      <c r="H1037"/>
      <c r="I1037"/>
      <c r="J1037"/>
    </row>
    <row r="1038" spans="1:10" s="2" customFormat="1">
      <c r="A1038" s="1"/>
      <c r="E1038"/>
      <c r="F1038"/>
      <c r="G1038"/>
      <c r="H1038"/>
      <c r="I1038"/>
      <c r="J1038"/>
    </row>
    <row r="1039" spans="1:10" s="2" customFormat="1">
      <c r="A1039" s="1"/>
      <c r="E1039"/>
      <c r="F1039"/>
      <c r="G1039"/>
      <c r="H1039"/>
      <c r="I1039"/>
      <c r="J1039"/>
    </row>
    <row r="1040" spans="1:10" s="2" customFormat="1">
      <c r="A1040" s="1"/>
      <c r="E1040"/>
      <c r="F1040"/>
      <c r="G1040"/>
      <c r="H1040"/>
      <c r="I1040"/>
      <c r="J1040"/>
    </row>
    <row r="1041" spans="1:10" s="2" customFormat="1">
      <c r="A1041" s="1"/>
      <c r="E1041"/>
      <c r="F1041"/>
      <c r="G1041"/>
      <c r="H1041"/>
      <c r="I1041"/>
      <c r="J1041"/>
    </row>
    <row r="1042" spans="1:10" s="2" customFormat="1">
      <c r="A1042" s="1"/>
      <c r="E1042"/>
      <c r="F1042"/>
      <c r="G1042"/>
      <c r="H1042"/>
      <c r="I1042"/>
      <c r="J1042"/>
    </row>
    <row r="1043" spans="1:10" s="2" customFormat="1">
      <c r="A1043" s="1"/>
      <c r="E1043"/>
      <c r="F1043"/>
      <c r="G1043"/>
      <c r="H1043"/>
      <c r="I1043"/>
      <c r="J1043"/>
    </row>
    <row r="1044" spans="1:10" s="2" customFormat="1">
      <c r="A1044" s="1"/>
      <c r="E1044"/>
      <c r="F1044"/>
      <c r="G1044"/>
      <c r="H1044"/>
      <c r="I1044"/>
      <c r="J1044"/>
    </row>
    <row r="1045" spans="1:10" s="2" customFormat="1">
      <c r="A1045" s="1"/>
      <c r="E1045"/>
      <c r="F1045"/>
      <c r="G1045"/>
      <c r="H1045"/>
      <c r="I1045"/>
      <c r="J1045"/>
    </row>
    <row r="1046" spans="1:10" s="2" customFormat="1">
      <c r="A1046" s="1"/>
      <c r="E1046"/>
      <c r="F1046"/>
      <c r="G1046"/>
      <c r="H1046"/>
      <c r="I1046"/>
      <c r="J1046"/>
    </row>
    <row r="1047" spans="1:10" s="2" customFormat="1">
      <c r="A1047" s="1"/>
      <c r="E1047"/>
      <c r="F1047"/>
      <c r="G1047"/>
      <c r="H1047"/>
      <c r="I1047"/>
      <c r="J1047"/>
    </row>
    <row r="1048" spans="1:10" s="2" customFormat="1">
      <c r="A1048" s="1"/>
      <c r="E1048"/>
      <c r="F1048"/>
      <c r="G1048"/>
      <c r="H1048"/>
      <c r="I1048"/>
      <c r="J1048"/>
    </row>
    <row r="1049" spans="1:10" s="2" customFormat="1">
      <c r="A1049" s="1"/>
      <c r="E1049"/>
      <c r="F1049"/>
      <c r="G1049"/>
      <c r="H1049"/>
      <c r="I1049"/>
      <c r="J1049"/>
    </row>
    <row r="1050" spans="1:10" s="2" customFormat="1">
      <c r="A1050" s="1"/>
      <c r="E1050"/>
      <c r="F1050"/>
      <c r="G1050"/>
      <c r="H1050"/>
      <c r="I1050"/>
      <c r="J1050"/>
    </row>
    <row r="1051" spans="1:10" s="2" customFormat="1">
      <c r="A1051" s="1"/>
      <c r="E1051"/>
      <c r="F1051"/>
      <c r="G1051"/>
      <c r="H1051"/>
      <c r="I1051"/>
      <c r="J1051"/>
    </row>
    <row r="1052" spans="1:10" s="2" customFormat="1">
      <c r="A1052" s="1"/>
      <c r="E1052"/>
      <c r="F1052"/>
      <c r="G1052"/>
      <c r="H1052"/>
      <c r="I1052"/>
      <c r="J1052"/>
    </row>
    <row r="1053" spans="1:10" s="2" customFormat="1">
      <c r="A1053" s="1"/>
      <c r="E1053"/>
      <c r="F1053"/>
      <c r="G1053"/>
      <c r="H1053"/>
      <c r="I1053"/>
      <c r="J1053"/>
    </row>
    <row r="1054" spans="1:10" s="2" customFormat="1">
      <c r="A1054" s="1"/>
      <c r="E1054"/>
      <c r="F1054"/>
      <c r="G1054"/>
      <c r="H1054"/>
      <c r="I1054"/>
      <c r="J1054"/>
    </row>
    <row r="1055" spans="1:10" s="2" customFormat="1">
      <c r="A1055" s="1"/>
      <c r="E1055"/>
      <c r="F1055"/>
      <c r="G1055"/>
      <c r="H1055"/>
      <c r="I1055"/>
      <c r="J1055"/>
    </row>
    <row r="1056" spans="1:10" s="2" customFormat="1">
      <c r="A1056" s="1"/>
      <c r="E1056"/>
      <c r="F1056"/>
      <c r="G1056"/>
      <c r="H1056"/>
      <c r="I1056"/>
      <c r="J1056"/>
    </row>
    <row r="1057" spans="1:10" s="2" customFormat="1">
      <c r="A1057" s="1"/>
      <c r="E1057"/>
      <c r="F1057"/>
      <c r="G1057"/>
      <c r="H1057"/>
      <c r="I1057"/>
      <c r="J1057"/>
    </row>
    <row r="1058" spans="1:10" s="2" customFormat="1">
      <c r="A1058" s="1"/>
      <c r="E1058"/>
      <c r="F1058"/>
      <c r="G1058"/>
      <c r="H1058"/>
      <c r="I1058"/>
      <c r="J1058"/>
    </row>
    <row r="1059" spans="1:10" s="2" customFormat="1">
      <c r="A1059" s="1"/>
      <c r="E1059"/>
      <c r="F1059"/>
      <c r="G1059"/>
      <c r="H1059"/>
      <c r="I1059"/>
      <c r="J1059"/>
    </row>
    <row r="1060" spans="1:10" s="2" customFormat="1">
      <c r="A1060" s="1"/>
      <c r="E1060"/>
      <c r="F1060"/>
      <c r="G1060"/>
      <c r="H1060"/>
      <c r="I1060"/>
      <c r="J1060"/>
    </row>
    <row r="1061" spans="1:10" s="2" customFormat="1">
      <c r="A1061" s="1"/>
      <c r="E1061"/>
      <c r="F1061"/>
      <c r="G1061"/>
      <c r="H1061"/>
      <c r="I1061"/>
      <c r="J1061"/>
    </row>
    <row r="1062" spans="1:10" s="2" customFormat="1">
      <c r="A1062" s="1"/>
      <c r="E1062"/>
      <c r="F1062"/>
      <c r="G1062"/>
      <c r="H1062"/>
      <c r="I1062"/>
      <c r="J1062"/>
    </row>
    <row r="1063" spans="1:10" s="2" customFormat="1">
      <c r="A1063" s="1"/>
      <c r="E1063"/>
      <c r="F1063"/>
      <c r="G1063"/>
      <c r="H1063"/>
      <c r="I1063"/>
      <c r="J1063"/>
    </row>
    <row r="1064" spans="1:10" s="2" customFormat="1">
      <c r="A1064" s="1"/>
      <c r="E1064"/>
      <c r="F1064"/>
      <c r="G1064"/>
      <c r="H1064"/>
      <c r="I1064"/>
      <c r="J1064"/>
    </row>
    <row r="1065" spans="1:10" s="2" customFormat="1">
      <c r="A1065" s="1"/>
      <c r="E1065"/>
      <c r="F1065"/>
      <c r="G1065"/>
      <c r="H1065"/>
      <c r="I1065"/>
      <c r="J1065"/>
    </row>
    <row r="1066" spans="1:10" s="2" customFormat="1">
      <c r="A1066" s="1"/>
      <c r="E1066"/>
      <c r="F1066"/>
      <c r="G1066"/>
      <c r="H1066"/>
      <c r="I1066"/>
      <c r="J1066"/>
    </row>
    <row r="1067" spans="1:10" s="2" customFormat="1">
      <c r="A1067" s="1"/>
      <c r="E1067"/>
      <c r="F1067"/>
      <c r="G1067"/>
      <c r="H1067"/>
      <c r="I1067"/>
      <c r="J1067"/>
    </row>
    <row r="1068" spans="1:10" s="2" customFormat="1">
      <c r="A1068" s="1"/>
      <c r="E1068"/>
      <c r="F1068"/>
      <c r="G1068"/>
      <c r="H1068"/>
      <c r="I1068"/>
      <c r="J1068"/>
    </row>
    <row r="1069" spans="1:10" s="2" customFormat="1">
      <c r="A1069" s="1"/>
      <c r="E1069"/>
      <c r="F1069"/>
      <c r="G1069"/>
      <c r="H1069"/>
      <c r="I1069"/>
      <c r="J1069"/>
    </row>
    <row r="1070" spans="1:10" s="2" customFormat="1">
      <c r="A1070" s="1"/>
      <c r="E1070"/>
      <c r="F1070"/>
      <c r="G1070"/>
      <c r="H1070"/>
      <c r="I1070"/>
      <c r="J1070"/>
    </row>
    <row r="1071" spans="1:10" s="2" customFormat="1">
      <c r="A1071" s="1"/>
      <c r="E1071"/>
      <c r="F1071"/>
      <c r="G1071"/>
      <c r="H1071"/>
      <c r="I1071"/>
      <c r="J1071"/>
    </row>
    <row r="1072" spans="1:10" s="2" customFormat="1">
      <c r="A1072" s="1"/>
      <c r="E1072"/>
      <c r="F1072"/>
      <c r="G1072"/>
      <c r="H1072"/>
      <c r="I1072"/>
      <c r="J1072"/>
    </row>
    <row r="1073" spans="1:10" s="2" customFormat="1">
      <c r="A1073" s="1"/>
      <c r="E1073"/>
      <c r="F1073"/>
      <c r="G1073"/>
      <c r="H1073"/>
      <c r="I1073"/>
      <c r="J1073"/>
    </row>
    <row r="1074" spans="1:10" s="2" customFormat="1">
      <c r="A1074" s="1"/>
      <c r="E1074"/>
      <c r="F1074"/>
      <c r="G1074"/>
      <c r="H1074"/>
      <c r="I1074"/>
      <c r="J1074"/>
    </row>
    <row r="1075" spans="1:10" s="2" customFormat="1">
      <c r="A1075" s="1"/>
      <c r="E1075"/>
      <c r="F1075"/>
      <c r="G1075"/>
      <c r="H1075"/>
      <c r="I1075"/>
      <c r="J1075"/>
    </row>
    <row r="1076" spans="1:10" s="2" customFormat="1">
      <c r="A1076" s="1"/>
      <c r="E1076"/>
      <c r="F1076"/>
      <c r="G1076"/>
      <c r="H1076"/>
      <c r="I1076"/>
      <c r="J1076"/>
    </row>
    <row r="1077" spans="1:10" s="2" customFormat="1">
      <c r="A1077" s="1"/>
      <c r="E1077"/>
      <c r="F1077"/>
      <c r="G1077"/>
      <c r="H1077"/>
      <c r="I1077"/>
      <c r="J1077"/>
    </row>
    <row r="1078" spans="1:10" s="2" customFormat="1">
      <c r="A1078" s="1"/>
      <c r="E1078"/>
      <c r="F1078"/>
      <c r="G1078"/>
      <c r="H1078"/>
      <c r="I1078"/>
      <c r="J1078"/>
    </row>
    <row r="1079" spans="1:10" s="2" customFormat="1">
      <c r="A1079" s="1"/>
      <c r="E1079"/>
      <c r="F1079"/>
      <c r="G1079"/>
      <c r="H1079"/>
      <c r="I1079"/>
      <c r="J1079"/>
    </row>
    <row r="1080" spans="1:10" s="2" customFormat="1">
      <c r="A1080" s="1"/>
      <c r="E1080"/>
      <c r="F1080"/>
      <c r="G1080"/>
      <c r="H1080"/>
      <c r="I1080"/>
      <c r="J1080"/>
    </row>
    <row r="1081" spans="1:10" s="2" customFormat="1">
      <c r="A1081" s="1"/>
      <c r="E1081"/>
      <c r="F1081"/>
      <c r="G1081"/>
      <c r="H1081"/>
      <c r="I1081"/>
      <c r="J1081"/>
    </row>
    <row r="1082" spans="1:10" s="2" customFormat="1">
      <c r="A1082" s="1"/>
      <c r="E1082"/>
      <c r="F1082"/>
      <c r="G1082"/>
      <c r="H1082"/>
      <c r="I1082"/>
      <c r="J1082"/>
    </row>
    <row r="1083" spans="1:10" s="2" customFormat="1">
      <c r="A1083" s="1"/>
      <c r="E1083"/>
      <c r="F1083"/>
      <c r="G1083"/>
      <c r="H1083"/>
      <c r="I1083"/>
      <c r="J1083"/>
    </row>
    <row r="1084" spans="1:10" s="2" customFormat="1">
      <c r="A1084" s="1"/>
      <c r="E1084"/>
      <c r="F1084"/>
      <c r="G1084"/>
      <c r="H1084"/>
      <c r="I1084"/>
      <c r="J1084"/>
    </row>
    <row r="1085" spans="1:10" s="2" customFormat="1">
      <c r="A1085" s="1"/>
      <c r="E1085"/>
      <c r="F1085"/>
      <c r="G1085"/>
      <c r="H1085"/>
      <c r="I1085"/>
      <c r="J1085"/>
    </row>
    <row r="1086" spans="1:10" s="2" customFormat="1">
      <c r="A1086" s="1"/>
      <c r="E1086"/>
      <c r="F1086"/>
      <c r="G1086"/>
      <c r="H1086"/>
      <c r="I1086"/>
      <c r="J1086"/>
    </row>
    <row r="1087" spans="1:10" s="2" customFormat="1">
      <c r="A1087" s="1"/>
      <c r="E1087"/>
      <c r="F1087"/>
      <c r="G1087"/>
      <c r="H1087"/>
      <c r="I1087"/>
      <c r="J1087"/>
    </row>
    <row r="1088" spans="1:10" s="2" customFormat="1">
      <c r="A1088" s="1"/>
      <c r="E1088"/>
      <c r="F1088"/>
      <c r="G1088"/>
      <c r="H1088"/>
      <c r="I1088"/>
      <c r="J1088"/>
    </row>
    <row r="1089" spans="1:10" s="2" customFormat="1">
      <c r="A1089" s="1"/>
      <c r="E1089"/>
      <c r="F1089"/>
      <c r="G1089"/>
      <c r="H1089"/>
      <c r="I1089"/>
      <c r="J1089"/>
    </row>
    <row r="1090" spans="1:10" s="2" customFormat="1">
      <c r="A1090" s="1"/>
      <c r="E1090"/>
      <c r="F1090"/>
      <c r="G1090"/>
      <c r="H1090"/>
      <c r="I1090"/>
      <c r="J1090"/>
    </row>
    <row r="1091" spans="1:10" s="2" customFormat="1">
      <c r="A1091" s="1"/>
      <c r="E1091"/>
      <c r="F1091"/>
      <c r="G1091"/>
      <c r="H1091"/>
      <c r="I1091"/>
      <c r="J1091"/>
    </row>
    <row r="1092" spans="1:10" s="2" customFormat="1">
      <c r="A1092" s="1"/>
      <c r="E1092"/>
      <c r="F1092"/>
      <c r="G1092"/>
      <c r="H1092"/>
      <c r="I1092"/>
      <c r="J1092"/>
    </row>
    <row r="1093" spans="1:10" s="2" customFormat="1">
      <c r="A1093" s="1"/>
      <c r="E1093"/>
      <c r="F1093"/>
      <c r="G1093"/>
      <c r="H1093"/>
      <c r="I1093"/>
      <c r="J1093"/>
    </row>
    <row r="1094" spans="1:10" s="2" customFormat="1">
      <c r="A1094" s="1"/>
      <c r="E1094"/>
      <c r="F1094"/>
      <c r="G1094"/>
      <c r="H1094"/>
      <c r="I1094"/>
      <c r="J1094"/>
    </row>
    <row r="1095" spans="1:10" s="2" customFormat="1">
      <c r="A1095" s="1"/>
      <c r="E1095"/>
      <c r="F1095"/>
      <c r="G1095"/>
      <c r="H1095"/>
      <c r="I1095"/>
      <c r="J1095"/>
    </row>
    <row r="1096" spans="1:10" s="2" customFormat="1">
      <c r="A1096" s="1"/>
      <c r="E1096"/>
      <c r="F1096"/>
      <c r="G1096"/>
      <c r="H1096"/>
      <c r="I1096"/>
      <c r="J1096"/>
    </row>
    <row r="1097" spans="1:10" s="2" customFormat="1">
      <c r="A1097" s="1"/>
      <c r="E1097"/>
      <c r="F1097"/>
      <c r="G1097"/>
      <c r="H1097"/>
      <c r="I1097"/>
      <c r="J1097"/>
    </row>
    <row r="1098" spans="1:10" s="2" customFormat="1">
      <c r="A1098" s="1"/>
      <c r="E1098"/>
      <c r="F1098"/>
      <c r="G1098"/>
      <c r="H1098"/>
      <c r="I1098"/>
      <c r="J1098"/>
    </row>
    <row r="1099" spans="1:10" s="2" customFormat="1">
      <c r="A1099" s="1"/>
      <c r="E1099"/>
      <c r="F1099"/>
      <c r="G1099"/>
      <c r="H1099"/>
      <c r="I1099"/>
      <c r="J1099"/>
    </row>
    <row r="1100" spans="1:10" s="2" customFormat="1">
      <c r="A1100" s="1"/>
      <c r="E1100"/>
      <c r="F1100"/>
      <c r="G1100"/>
      <c r="H1100"/>
      <c r="I1100"/>
      <c r="J1100"/>
    </row>
    <row r="1101" spans="1:10" s="2" customFormat="1">
      <c r="A1101" s="1"/>
      <c r="E1101"/>
      <c r="F1101"/>
      <c r="G1101"/>
      <c r="H1101"/>
      <c r="I1101"/>
      <c r="J1101"/>
    </row>
    <row r="1102" spans="1:10" s="2" customFormat="1">
      <c r="A1102" s="1"/>
      <c r="E1102"/>
      <c r="F1102"/>
      <c r="G1102"/>
      <c r="H1102"/>
      <c r="I1102"/>
      <c r="J1102"/>
    </row>
    <row r="1103" spans="1:10" s="2" customFormat="1">
      <c r="A1103" s="1"/>
      <c r="E1103"/>
      <c r="F1103"/>
      <c r="G1103"/>
      <c r="H1103"/>
      <c r="I1103"/>
      <c r="J1103"/>
    </row>
    <row r="1104" spans="1:10" s="2" customFormat="1">
      <c r="A1104" s="1"/>
      <c r="E1104"/>
      <c r="F1104"/>
      <c r="G1104"/>
      <c r="H1104"/>
      <c r="I1104"/>
      <c r="J1104"/>
    </row>
    <row r="1105" spans="1:10" s="2" customFormat="1">
      <c r="A1105" s="1"/>
      <c r="E1105"/>
      <c r="F1105"/>
      <c r="G1105"/>
      <c r="H1105"/>
      <c r="I1105"/>
      <c r="J1105"/>
    </row>
    <row r="1106" spans="1:10" s="2" customFormat="1">
      <c r="A1106" s="1"/>
      <c r="E1106"/>
      <c r="F1106"/>
      <c r="G1106"/>
      <c r="H1106"/>
      <c r="I1106"/>
      <c r="J1106"/>
    </row>
    <row r="1107" spans="1:10" s="2" customFormat="1">
      <c r="A1107" s="1"/>
      <c r="E1107"/>
      <c r="F1107"/>
      <c r="G1107"/>
      <c r="H1107"/>
      <c r="I1107"/>
      <c r="J1107"/>
    </row>
    <row r="1108" spans="1:10" s="2" customFormat="1">
      <c r="A1108" s="1"/>
      <c r="E1108"/>
      <c r="F1108"/>
      <c r="G1108"/>
      <c r="H1108"/>
      <c r="I1108"/>
      <c r="J1108"/>
    </row>
    <row r="1109" spans="1:10" s="2" customFormat="1">
      <c r="A1109" s="1"/>
      <c r="E1109"/>
      <c r="F1109"/>
      <c r="G1109"/>
      <c r="H1109"/>
      <c r="I1109"/>
      <c r="J1109"/>
    </row>
    <row r="1110" spans="1:10" s="2" customFormat="1">
      <c r="A1110" s="1"/>
      <c r="E1110"/>
      <c r="F1110"/>
      <c r="G1110"/>
      <c r="H1110"/>
      <c r="I1110"/>
      <c r="J1110"/>
    </row>
    <row r="1111" spans="1:10" s="2" customFormat="1">
      <c r="A1111" s="1"/>
      <c r="E1111"/>
      <c r="F1111"/>
      <c r="G1111"/>
      <c r="H1111"/>
      <c r="I1111"/>
      <c r="J1111"/>
    </row>
    <row r="1112" spans="1:10" s="2" customFormat="1">
      <c r="A1112" s="1"/>
      <c r="E1112"/>
      <c r="F1112"/>
      <c r="G1112"/>
      <c r="H1112"/>
      <c r="I1112"/>
      <c r="J1112"/>
    </row>
    <row r="1113" spans="1:10" s="2" customFormat="1">
      <c r="A1113" s="1"/>
      <c r="E1113"/>
      <c r="F1113"/>
      <c r="G1113"/>
      <c r="H1113"/>
      <c r="I1113"/>
      <c r="J1113"/>
    </row>
    <row r="1114" spans="1:10" s="2" customFormat="1">
      <c r="A1114" s="1"/>
      <c r="E1114"/>
      <c r="F1114"/>
      <c r="G1114"/>
      <c r="H1114"/>
      <c r="I1114"/>
      <c r="J1114"/>
    </row>
    <row r="1115" spans="1:10" s="2" customFormat="1">
      <c r="A1115" s="1"/>
      <c r="E1115"/>
      <c r="F1115"/>
      <c r="G1115"/>
      <c r="H1115"/>
      <c r="I1115"/>
      <c r="J1115"/>
    </row>
    <row r="1116" spans="1:10" s="2" customFormat="1">
      <c r="A1116" s="1"/>
      <c r="E1116"/>
      <c r="F1116"/>
      <c r="G1116"/>
      <c r="H1116"/>
      <c r="I1116"/>
      <c r="J1116"/>
    </row>
    <row r="1117" spans="1:10" s="2" customFormat="1">
      <c r="A1117" s="1"/>
      <c r="E1117"/>
      <c r="F1117"/>
      <c r="G1117"/>
      <c r="H1117"/>
      <c r="I1117"/>
      <c r="J1117"/>
    </row>
    <row r="1118" spans="1:10" s="2" customFormat="1">
      <c r="A1118" s="1"/>
      <c r="E1118"/>
      <c r="F1118"/>
      <c r="G1118"/>
      <c r="H1118"/>
      <c r="I1118"/>
      <c r="J1118"/>
    </row>
    <row r="1119" spans="1:10" s="2" customFormat="1">
      <c r="A1119" s="1"/>
      <c r="E1119"/>
      <c r="F1119"/>
      <c r="G1119"/>
      <c r="H1119"/>
      <c r="I1119"/>
      <c r="J1119"/>
    </row>
    <row r="1120" spans="1:10" s="2" customFormat="1">
      <c r="A1120" s="1"/>
      <c r="E1120"/>
      <c r="F1120"/>
      <c r="G1120"/>
      <c r="H1120"/>
      <c r="I1120"/>
      <c r="J1120"/>
    </row>
    <row r="1121" spans="1:10" s="2" customFormat="1">
      <c r="A1121" s="1"/>
      <c r="E1121"/>
      <c r="F1121"/>
      <c r="G1121"/>
      <c r="H1121"/>
      <c r="I1121"/>
      <c r="J1121"/>
    </row>
    <row r="1122" spans="1:10" s="2" customFormat="1">
      <c r="A1122" s="1"/>
      <c r="E1122"/>
      <c r="F1122"/>
      <c r="G1122"/>
      <c r="H1122"/>
      <c r="I1122"/>
      <c r="J1122"/>
    </row>
    <row r="1123" spans="1:10" s="2" customFormat="1">
      <c r="A1123" s="1"/>
      <c r="E1123"/>
      <c r="F1123"/>
      <c r="G1123"/>
      <c r="H1123"/>
      <c r="I1123"/>
      <c r="J1123"/>
    </row>
    <row r="1124" spans="1:10" s="2" customFormat="1">
      <c r="A1124" s="1"/>
      <c r="E1124"/>
      <c r="F1124"/>
      <c r="G1124"/>
      <c r="H1124"/>
      <c r="I1124"/>
      <c r="J1124"/>
    </row>
    <row r="1125" spans="1:10" s="2" customFormat="1">
      <c r="A1125" s="1"/>
      <c r="E1125"/>
      <c r="F1125"/>
      <c r="G1125"/>
      <c r="H1125"/>
      <c r="I1125"/>
      <c r="J1125"/>
    </row>
    <row r="1126" spans="1:10" s="2" customFormat="1">
      <c r="A1126" s="1"/>
      <c r="E1126"/>
      <c r="F1126"/>
      <c r="G1126"/>
      <c r="H1126"/>
      <c r="I1126"/>
      <c r="J1126"/>
    </row>
    <row r="1127" spans="1:10" s="2" customFormat="1">
      <c r="A1127" s="1"/>
      <c r="E1127"/>
      <c r="F1127"/>
      <c r="G1127"/>
      <c r="H1127"/>
      <c r="I1127"/>
      <c r="J1127"/>
    </row>
    <row r="1128" spans="1:10" s="2" customFormat="1">
      <c r="A1128" s="1"/>
      <c r="E1128"/>
      <c r="F1128"/>
      <c r="G1128"/>
      <c r="H1128"/>
      <c r="I1128"/>
      <c r="J1128"/>
    </row>
    <row r="1129" spans="1:10" s="2" customFormat="1">
      <c r="A1129" s="1"/>
      <c r="E1129"/>
      <c r="F1129"/>
      <c r="G1129"/>
      <c r="H1129"/>
      <c r="I1129"/>
      <c r="J1129"/>
    </row>
    <row r="1130" spans="1:10" s="2" customFormat="1">
      <c r="A1130" s="1"/>
      <c r="E1130"/>
      <c r="F1130"/>
      <c r="G1130"/>
      <c r="H1130"/>
      <c r="I1130"/>
      <c r="J1130"/>
    </row>
    <row r="1131" spans="1:10" s="2" customFormat="1">
      <c r="A1131" s="1"/>
      <c r="E1131"/>
      <c r="F1131"/>
      <c r="G1131"/>
      <c r="H1131"/>
      <c r="I1131"/>
      <c r="J1131"/>
    </row>
    <row r="1132" spans="1:10" s="2" customFormat="1">
      <c r="A1132" s="1"/>
      <c r="E1132"/>
      <c r="F1132"/>
      <c r="G1132"/>
      <c r="H1132"/>
      <c r="I1132"/>
      <c r="J1132"/>
    </row>
    <row r="1133" spans="1:10" s="2" customFormat="1">
      <c r="A1133" s="1"/>
      <c r="E1133"/>
      <c r="F1133"/>
      <c r="G1133"/>
      <c r="H1133"/>
      <c r="I1133"/>
      <c r="J1133"/>
    </row>
    <row r="1134" spans="1:10" s="2" customFormat="1">
      <c r="A1134" s="1"/>
      <c r="E1134"/>
      <c r="F1134"/>
      <c r="G1134"/>
      <c r="H1134"/>
      <c r="I1134"/>
      <c r="J1134"/>
    </row>
    <row r="1135" spans="1:10" s="2" customFormat="1">
      <c r="A1135" s="1"/>
      <c r="E1135"/>
      <c r="F1135"/>
      <c r="G1135"/>
      <c r="H1135"/>
      <c r="I1135"/>
      <c r="J1135"/>
    </row>
    <row r="1136" spans="1:10" s="2" customFormat="1">
      <c r="A1136" s="1"/>
      <c r="E1136"/>
      <c r="F1136"/>
      <c r="G1136"/>
      <c r="H1136"/>
      <c r="I1136"/>
      <c r="J1136"/>
    </row>
    <row r="1137" spans="1:10" s="2" customFormat="1">
      <c r="A1137" s="1"/>
      <c r="E1137"/>
      <c r="F1137"/>
      <c r="G1137"/>
      <c r="H1137"/>
      <c r="I1137"/>
      <c r="J1137"/>
    </row>
    <row r="1138" spans="1:10" s="2" customFormat="1">
      <c r="A1138" s="1"/>
      <c r="E1138"/>
      <c r="F1138"/>
      <c r="G1138"/>
      <c r="H1138"/>
      <c r="I1138"/>
      <c r="J1138"/>
    </row>
    <row r="1139" spans="1:10" s="2" customFormat="1">
      <c r="A1139" s="1"/>
      <c r="E1139"/>
      <c r="F1139"/>
      <c r="G1139"/>
      <c r="H1139"/>
      <c r="I1139"/>
      <c r="J1139"/>
    </row>
    <row r="1140" spans="1:10" s="2" customFormat="1">
      <c r="A1140" s="1"/>
      <c r="E1140"/>
      <c r="F1140"/>
      <c r="G1140"/>
      <c r="H1140"/>
      <c r="I1140"/>
      <c r="J1140"/>
    </row>
    <row r="1141" spans="1:10" s="2" customFormat="1">
      <c r="A1141" s="1"/>
      <c r="E1141"/>
      <c r="F1141"/>
      <c r="G1141"/>
      <c r="H1141"/>
      <c r="I1141"/>
      <c r="J1141"/>
    </row>
    <row r="1142" spans="1:10" s="2" customFormat="1">
      <c r="A1142" s="1"/>
      <c r="E1142"/>
      <c r="F1142"/>
      <c r="G1142"/>
      <c r="H1142"/>
      <c r="I1142"/>
      <c r="J1142"/>
    </row>
    <row r="1143" spans="1:10" s="2" customFormat="1">
      <c r="A1143" s="1"/>
      <c r="E1143"/>
      <c r="F1143"/>
      <c r="G1143"/>
      <c r="H1143"/>
      <c r="I1143"/>
      <c r="J1143"/>
    </row>
    <row r="1144" spans="1:10" s="2" customFormat="1">
      <c r="A1144" s="1"/>
      <c r="E1144"/>
      <c r="F1144"/>
      <c r="G1144"/>
      <c r="H1144"/>
      <c r="I1144"/>
      <c r="J1144"/>
    </row>
    <row r="1145" spans="1:10" s="2" customFormat="1">
      <c r="A1145" s="1"/>
      <c r="E1145"/>
      <c r="F1145"/>
      <c r="G1145"/>
      <c r="H1145"/>
      <c r="I1145"/>
      <c r="J1145"/>
    </row>
    <row r="1146" spans="1:10" s="2" customFormat="1">
      <c r="A1146" s="1"/>
      <c r="E1146"/>
      <c r="F1146"/>
      <c r="G1146"/>
      <c r="H1146"/>
      <c r="I1146"/>
      <c r="J1146"/>
    </row>
    <row r="1147" spans="1:10" s="2" customFormat="1">
      <c r="A1147" s="1"/>
      <c r="E1147"/>
      <c r="F1147"/>
      <c r="G1147"/>
      <c r="H1147"/>
      <c r="I1147"/>
      <c r="J1147"/>
    </row>
    <row r="1148" spans="1:10" s="2" customFormat="1">
      <c r="A1148" s="1"/>
      <c r="E1148"/>
      <c r="F1148"/>
      <c r="G1148"/>
      <c r="H1148"/>
      <c r="I1148"/>
      <c r="J1148"/>
    </row>
    <row r="1149" spans="1:10" s="2" customFormat="1">
      <c r="A1149" s="1"/>
      <c r="E1149"/>
      <c r="F1149"/>
      <c r="G1149"/>
      <c r="H1149"/>
      <c r="I1149"/>
      <c r="J1149"/>
    </row>
    <row r="1150" spans="1:10" s="2" customFormat="1">
      <c r="A1150" s="1"/>
      <c r="E1150"/>
      <c r="F1150"/>
      <c r="G1150"/>
      <c r="H1150"/>
      <c r="I1150"/>
      <c r="J1150"/>
    </row>
    <row r="1151" spans="1:10" s="2" customFormat="1">
      <c r="A1151" s="1"/>
      <c r="E1151"/>
      <c r="F1151"/>
      <c r="G1151"/>
      <c r="H1151"/>
      <c r="I1151"/>
      <c r="J1151"/>
    </row>
    <row r="1152" spans="1:10" s="2" customFormat="1">
      <c r="A1152" s="1"/>
      <c r="E1152"/>
      <c r="F1152"/>
      <c r="G1152"/>
      <c r="H1152"/>
      <c r="I1152"/>
      <c r="J1152"/>
    </row>
    <row r="1153" spans="1:10" s="2" customFormat="1">
      <c r="A1153" s="1"/>
      <c r="E1153"/>
      <c r="F1153"/>
      <c r="G1153"/>
      <c r="H1153"/>
      <c r="I1153"/>
      <c r="J1153"/>
    </row>
    <row r="1154" spans="1:10" s="2" customFormat="1">
      <c r="A1154" s="1"/>
      <c r="E1154"/>
      <c r="F1154"/>
      <c r="G1154"/>
      <c r="H1154"/>
      <c r="I1154"/>
      <c r="J1154"/>
    </row>
    <row r="1155" spans="1:10" s="2" customFormat="1">
      <c r="A1155" s="1"/>
      <c r="E1155"/>
      <c r="F1155"/>
      <c r="G1155"/>
      <c r="H1155"/>
      <c r="I1155"/>
      <c r="J1155"/>
    </row>
    <row r="1156" spans="1:10" s="2" customFormat="1">
      <c r="A1156" s="1"/>
      <c r="E1156"/>
      <c r="F1156"/>
      <c r="G1156"/>
      <c r="H1156"/>
      <c r="I1156"/>
      <c r="J1156"/>
    </row>
    <row r="1157" spans="1:10" s="2" customFormat="1">
      <c r="A1157" s="1"/>
      <c r="E1157"/>
      <c r="F1157"/>
      <c r="G1157"/>
      <c r="H1157"/>
      <c r="I1157"/>
      <c r="J1157"/>
    </row>
    <row r="1158" spans="1:10" s="2" customFormat="1">
      <c r="A1158" s="1"/>
      <c r="E1158"/>
      <c r="F1158"/>
      <c r="G1158"/>
      <c r="H1158"/>
      <c r="I1158"/>
      <c r="J1158"/>
    </row>
    <row r="1159" spans="1:10" s="2" customFormat="1">
      <c r="A1159" s="1"/>
      <c r="E1159"/>
      <c r="F1159"/>
      <c r="G1159"/>
      <c r="H1159"/>
      <c r="I1159"/>
      <c r="J1159"/>
    </row>
    <row r="1160" spans="1:10" s="2" customFormat="1">
      <c r="A1160" s="1"/>
      <c r="E1160"/>
      <c r="F1160"/>
      <c r="G1160"/>
      <c r="H1160"/>
      <c r="I1160"/>
      <c r="J1160"/>
    </row>
    <row r="1161" spans="1:10" s="2" customFormat="1">
      <c r="A1161" s="1"/>
      <c r="E1161"/>
      <c r="F1161"/>
      <c r="G1161"/>
      <c r="H1161"/>
      <c r="I1161"/>
      <c r="J1161"/>
    </row>
    <row r="1162" spans="1:10" s="2" customFormat="1">
      <c r="A1162" s="1"/>
      <c r="E1162"/>
      <c r="F1162"/>
      <c r="G1162"/>
      <c r="H1162"/>
      <c r="I1162"/>
      <c r="J1162"/>
    </row>
    <row r="1163" spans="1:10" s="2" customFormat="1">
      <c r="A1163" s="1"/>
      <c r="E1163"/>
      <c r="F1163"/>
      <c r="G1163"/>
      <c r="H1163"/>
      <c r="I1163"/>
      <c r="J1163"/>
    </row>
    <row r="1164" spans="1:10" s="2" customFormat="1">
      <c r="A1164" s="1"/>
      <c r="E1164"/>
      <c r="F1164"/>
      <c r="G1164"/>
      <c r="H1164"/>
      <c r="I1164"/>
      <c r="J1164"/>
    </row>
    <row r="1165" spans="1:10" s="2" customFormat="1">
      <c r="A1165" s="1"/>
      <c r="E1165"/>
      <c r="F1165"/>
      <c r="G1165"/>
      <c r="H1165"/>
      <c r="I1165"/>
      <c r="J1165"/>
    </row>
    <row r="1166" spans="1:10" s="2" customFormat="1">
      <c r="A1166" s="1"/>
      <c r="E1166"/>
      <c r="F1166"/>
      <c r="G1166"/>
      <c r="H1166"/>
      <c r="I1166"/>
      <c r="J1166"/>
    </row>
    <row r="1167" spans="1:10" s="2" customFormat="1">
      <c r="A1167" s="1"/>
      <c r="E1167"/>
      <c r="F1167"/>
      <c r="G1167"/>
      <c r="H1167"/>
      <c r="I1167"/>
      <c r="J1167"/>
    </row>
    <row r="1168" spans="1:10" s="2" customFormat="1">
      <c r="A1168" s="1"/>
      <c r="E1168"/>
      <c r="F1168"/>
      <c r="G1168"/>
      <c r="H1168"/>
      <c r="I1168"/>
      <c r="J1168"/>
    </row>
    <row r="1169" spans="1:10" s="2" customFormat="1">
      <c r="A1169" s="1"/>
      <c r="E1169"/>
      <c r="F1169"/>
      <c r="G1169"/>
      <c r="H1169"/>
      <c r="I1169"/>
      <c r="J1169"/>
    </row>
    <row r="1170" spans="1:10" s="2" customFormat="1">
      <c r="A1170" s="1"/>
      <c r="E1170"/>
      <c r="F1170"/>
      <c r="G1170"/>
      <c r="H1170"/>
      <c r="I1170"/>
      <c r="J1170"/>
    </row>
    <row r="1171" spans="1:10" s="2" customFormat="1">
      <c r="A1171" s="1"/>
      <c r="E1171"/>
      <c r="F1171"/>
      <c r="G1171"/>
      <c r="H1171"/>
      <c r="I1171"/>
      <c r="J1171"/>
    </row>
    <row r="1172" spans="1:10" s="2" customFormat="1">
      <c r="A1172" s="1"/>
      <c r="E1172"/>
      <c r="F1172"/>
      <c r="G1172"/>
      <c r="H1172"/>
      <c r="I1172"/>
      <c r="J1172"/>
    </row>
    <row r="1173" spans="1:10" s="2" customFormat="1">
      <c r="A1173" s="1"/>
      <c r="E1173"/>
      <c r="F1173"/>
      <c r="G1173"/>
      <c r="H1173"/>
      <c r="I1173"/>
      <c r="J1173"/>
    </row>
    <row r="1174" spans="1:10" s="2" customFormat="1">
      <c r="A1174" s="1"/>
      <c r="E1174"/>
      <c r="F1174"/>
      <c r="G1174"/>
      <c r="H1174"/>
      <c r="I1174"/>
      <c r="J1174"/>
    </row>
    <row r="1175" spans="1:10" s="2" customFormat="1">
      <c r="A1175" s="1"/>
      <c r="E1175"/>
      <c r="F1175"/>
      <c r="G1175"/>
      <c r="H1175"/>
      <c r="I1175"/>
      <c r="J1175"/>
    </row>
    <row r="1176" spans="1:10" s="2" customFormat="1">
      <c r="A1176" s="1"/>
      <c r="E1176"/>
      <c r="F1176"/>
      <c r="G1176"/>
      <c r="H1176"/>
      <c r="I1176"/>
      <c r="J1176"/>
    </row>
    <row r="1177" spans="1:10" s="2" customFormat="1">
      <c r="A1177" s="1"/>
      <c r="E1177"/>
      <c r="F1177"/>
      <c r="G1177"/>
      <c r="H1177"/>
      <c r="I1177"/>
      <c r="J1177"/>
    </row>
    <row r="1178" spans="1:10" s="2" customFormat="1">
      <c r="A1178" s="1"/>
      <c r="E1178"/>
      <c r="F1178"/>
      <c r="G1178"/>
      <c r="H1178"/>
      <c r="I1178"/>
      <c r="J1178"/>
    </row>
    <row r="1179" spans="1:10" s="2" customFormat="1">
      <c r="A1179" s="1"/>
      <c r="E1179"/>
      <c r="F1179"/>
      <c r="G1179"/>
      <c r="H1179"/>
      <c r="I1179"/>
      <c r="J1179"/>
    </row>
    <row r="1180" spans="1:10" s="2" customFormat="1">
      <c r="A1180" s="1"/>
      <c r="E1180"/>
      <c r="F1180"/>
      <c r="G1180"/>
      <c r="H1180"/>
      <c r="I1180"/>
      <c r="J1180"/>
    </row>
    <row r="1181" spans="1:10" s="2" customFormat="1">
      <c r="A1181" s="1"/>
      <c r="E1181"/>
      <c r="F1181"/>
      <c r="G1181"/>
      <c r="H1181"/>
      <c r="I1181"/>
      <c r="J1181"/>
    </row>
    <row r="1182" spans="1:10" s="2" customFormat="1">
      <c r="A1182" s="1"/>
      <c r="E1182"/>
      <c r="F1182"/>
      <c r="G1182"/>
      <c r="H1182"/>
      <c r="I1182"/>
      <c r="J1182"/>
    </row>
    <row r="1183" spans="1:10" s="2" customFormat="1">
      <c r="A1183" s="1"/>
      <c r="E1183"/>
      <c r="F1183"/>
      <c r="G1183"/>
      <c r="H1183"/>
      <c r="I1183"/>
      <c r="J1183"/>
    </row>
    <row r="1184" spans="1:10" s="2" customFormat="1">
      <c r="A1184" s="1"/>
      <c r="E1184"/>
      <c r="F1184"/>
      <c r="G1184"/>
      <c r="H1184"/>
      <c r="I1184"/>
      <c r="J1184"/>
    </row>
    <row r="1185" spans="1:10" s="2" customFormat="1">
      <c r="A1185" s="1"/>
      <c r="E1185"/>
      <c r="F1185"/>
      <c r="G1185"/>
      <c r="H1185"/>
      <c r="I1185"/>
      <c r="J1185"/>
    </row>
    <row r="1186" spans="1:10" s="2" customFormat="1">
      <c r="A1186" s="1"/>
      <c r="E1186"/>
      <c r="F1186"/>
      <c r="G1186"/>
      <c r="H1186"/>
      <c r="I1186"/>
      <c r="J1186"/>
    </row>
    <row r="1187" spans="1:10" s="2" customFormat="1">
      <c r="A1187" s="1"/>
      <c r="E1187"/>
      <c r="F1187"/>
      <c r="G1187"/>
      <c r="H1187"/>
      <c r="I1187"/>
      <c r="J1187"/>
    </row>
    <row r="1188" spans="1:10" s="2" customFormat="1">
      <c r="A1188" s="1"/>
      <c r="E1188"/>
      <c r="F1188"/>
      <c r="G1188"/>
      <c r="H1188"/>
      <c r="I1188"/>
      <c r="J1188"/>
    </row>
    <row r="1189" spans="1:10" s="2" customFormat="1">
      <c r="A1189" s="1"/>
      <c r="E1189"/>
      <c r="F1189"/>
      <c r="G1189"/>
      <c r="H1189"/>
      <c r="I1189"/>
      <c r="J1189"/>
    </row>
    <row r="1190" spans="1:10" s="2" customFormat="1">
      <c r="A1190" s="1"/>
      <c r="E1190"/>
      <c r="F1190"/>
      <c r="G1190"/>
      <c r="H1190"/>
      <c r="I1190"/>
      <c r="J1190"/>
    </row>
    <row r="1191" spans="1:10" s="2" customFormat="1">
      <c r="A1191" s="1"/>
      <c r="E1191"/>
      <c r="F1191"/>
      <c r="G1191"/>
      <c r="H1191"/>
      <c r="I1191"/>
      <c r="J1191"/>
    </row>
    <row r="1192" spans="1:10" s="2" customFormat="1">
      <c r="A1192" s="1"/>
      <c r="E1192"/>
      <c r="F1192"/>
      <c r="G1192"/>
      <c r="H1192"/>
      <c r="I1192"/>
      <c r="J1192"/>
    </row>
    <row r="1193" spans="1:10" s="2" customFormat="1">
      <c r="A1193" s="1"/>
      <c r="E1193"/>
      <c r="F1193"/>
      <c r="G1193"/>
      <c r="H1193"/>
      <c r="I1193"/>
      <c r="J1193"/>
    </row>
    <row r="1194" spans="1:10" s="2" customFormat="1">
      <c r="A1194" s="1"/>
      <c r="E1194"/>
      <c r="F1194"/>
      <c r="G1194"/>
      <c r="H1194"/>
      <c r="I1194"/>
      <c r="J1194"/>
    </row>
    <row r="1195" spans="1:10" s="2" customFormat="1">
      <c r="A1195" s="1"/>
      <c r="E1195"/>
      <c r="F1195"/>
      <c r="G1195"/>
      <c r="H1195"/>
      <c r="I1195"/>
      <c r="J1195"/>
    </row>
    <row r="1196" spans="1:10" s="2" customFormat="1">
      <c r="A1196" s="1"/>
      <c r="E1196"/>
      <c r="F1196"/>
      <c r="G1196"/>
      <c r="H1196"/>
      <c r="I1196"/>
      <c r="J1196"/>
    </row>
    <row r="1197" spans="1:10" s="2" customFormat="1">
      <c r="A1197" s="1"/>
      <c r="E1197"/>
      <c r="F1197"/>
      <c r="G1197"/>
      <c r="H1197"/>
      <c r="I1197"/>
      <c r="J1197"/>
    </row>
    <row r="1198" spans="1:10" s="2" customFormat="1">
      <c r="A1198" s="1"/>
      <c r="E1198"/>
      <c r="F1198"/>
      <c r="G1198"/>
      <c r="H1198"/>
      <c r="I1198"/>
      <c r="J1198"/>
    </row>
    <row r="1199" spans="1:10" s="2" customFormat="1">
      <c r="A1199" s="1"/>
      <c r="E1199"/>
      <c r="F1199"/>
      <c r="G1199"/>
      <c r="H1199"/>
      <c r="I1199"/>
      <c r="J1199"/>
    </row>
    <row r="1200" spans="1:10" s="2" customFormat="1">
      <c r="A1200" s="1"/>
      <c r="E1200"/>
      <c r="F1200"/>
      <c r="G1200"/>
      <c r="H1200"/>
      <c r="I1200"/>
      <c r="J1200"/>
    </row>
    <row r="1201" spans="1:10" s="2" customFormat="1">
      <c r="A1201" s="1"/>
      <c r="E1201"/>
      <c r="F1201"/>
      <c r="G1201"/>
      <c r="H1201"/>
      <c r="I1201"/>
      <c r="J1201"/>
    </row>
    <row r="1202" spans="1:10" s="2" customFormat="1">
      <c r="A1202" s="1"/>
      <c r="E1202"/>
      <c r="F1202"/>
      <c r="G1202"/>
      <c r="H1202"/>
      <c r="I1202"/>
      <c r="J1202"/>
    </row>
    <row r="1203" spans="1:10" s="2" customFormat="1">
      <c r="A1203" s="1"/>
      <c r="E1203"/>
      <c r="F1203"/>
      <c r="G1203"/>
      <c r="H1203"/>
      <c r="I1203"/>
      <c r="J1203"/>
    </row>
    <row r="1204" spans="1:10" s="2" customFormat="1">
      <c r="A1204" s="1"/>
      <c r="E1204"/>
      <c r="F1204"/>
      <c r="G1204"/>
      <c r="H1204"/>
      <c r="I1204"/>
      <c r="J1204"/>
    </row>
    <row r="1205" spans="1:10" s="2" customFormat="1">
      <c r="A1205" s="1"/>
      <c r="E1205"/>
      <c r="F1205"/>
      <c r="G1205"/>
      <c r="H1205"/>
      <c r="I1205"/>
      <c r="J1205"/>
    </row>
    <row r="1206" spans="1:10" s="2" customFormat="1">
      <c r="A1206" s="1"/>
      <c r="E1206"/>
      <c r="F1206"/>
      <c r="G1206"/>
      <c r="H1206"/>
      <c r="I1206"/>
      <c r="J1206"/>
    </row>
    <row r="1207" spans="1:10" s="2" customFormat="1">
      <c r="A1207" s="1"/>
      <c r="E1207"/>
      <c r="F1207"/>
      <c r="G1207"/>
      <c r="H1207"/>
      <c r="I1207"/>
      <c r="J1207"/>
    </row>
    <row r="1208" spans="1:10" s="2" customFormat="1">
      <c r="A1208" s="1"/>
      <c r="E1208"/>
      <c r="F1208"/>
      <c r="G1208"/>
      <c r="H1208"/>
      <c r="I1208"/>
      <c r="J1208"/>
    </row>
    <row r="1209" spans="1:10" s="2" customFormat="1">
      <c r="A1209" s="1"/>
      <c r="E1209"/>
      <c r="F1209"/>
      <c r="G1209"/>
      <c r="H1209"/>
      <c r="I1209"/>
      <c r="J1209"/>
    </row>
    <row r="1210" spans="1:10" s="2" customFormat="1">
      <c r="A1210" s="1"/>
      <c r="E1210"/>
      <c r="F1210"/>
      <c r="G1210"/>
      <c r="H1210"/>
      <c r="I1210"/>
      <c r="J1210"/>
    </row>
    <row r="1211" spans="1:10" s="2" customFormat="1">
      <c r="A1211" s="1"/>
      <c r="E1211"/>
      <c r="F1211"/>
      <c r="G1211"/>
      <c r="H1211"/>
      <c r="I1211"/>
      <c r="J1211"/>
    </row>
    <row r="1212" spans="1:10" s="2" customFormat="1">
      <c r="A1212" s="1"/>
      <c r="E1212"/>
      <c r="F1212"/>
      <c r="G1212"/>
      <c r="H1212"/>
      <c r="I1212"/>
      <c r="J1212"/>
    </row>
    <row r="1213" spans="1:10" s="2" customFormat="1">
      <c r="A1213" s="1"/>
      <c r="E1213"/>
      <c r="F1213"/>
      <c r="G1213"/>
      <c r="H1213"/>
      <c r="I1213"/>
      <c r="J1213"/>
    </row>
    <row r="1214" spans="1:10" s="2" customFormat="1">
      <c r="A1214" s="1"/>
      <c r="E1214"/>
      <c r="F1214"/>
      <c r="G1214"/>
      <c r="H1214"/>
      <c r="I1214"/>
      <c r="J1214"/>
    </row>
    <row r="1215" spans="1:10" s="2" customFormat="1">
      <c r="A1215" s="1"/>
      <c r="E1215"/>
      <c r="F1215"/>
      <c r="G1215"/>
      <c r="H1215"/>
      <c r="I1215"/>
      <c r="J1215"/>
    </row>
    <row r="1216" spans="1:10" s="2" customFormat="1">
      <c r="A1216" s="1"/>
      <c r="E1216"/>
      <c r="F1216"/>
      <c r="G1216"/>
      <c r="H1216"/>
      <c r="I1216"/>
      <c r="J1216"/>
    </row>
    <row r="1217" spans="1:10" s="2" customFormat="1">
      <c r="A1217" s="1"/>
      <c r="E1217"/>
      <c r="F1217"/>
      <c r="G1217"/>
      <c r="H1217"/>
      <c r="I1217"/>
      <c r="J1217"/>
    </row>
    <row r="1218" spans="1:10" s="2" customFormat="1">
      <c r="A1218" s="1"/>
      <c r="E1218"/>
      <c r="F1218"/>
      <c r="G1218"/>
      <c r="H1218"/>
      <c r="I1218"/>
      <c r="J1218"/>
    </row>
    <row r="1219" spans="1:10" s="2" customFormat="1">
      <c r="A1219" s="1"/>
      <c r="E1219"/>
      <c r="F1219"/>
      <c r="G1219"/>
      <c r="H1219"/>
      <c r="I1219"/>
      <c r="J1219"/>
    </row>
    <row r="1220" spans="1:10" s="2" customFormat="1">
      <c r="A1220" s="1"/>
      <c r="E1220"/>
      <c r="F1220"/>
      <c r="G1220"/>
      <c r="H1220"/>
      <c r="I1220"/>
      <c r="J1220"/>
    </row>
    <row r="1221" spans="1:10" s="2" customFormat="1">
      <c r="A1221" s="1"/>
      <c r="E1221"/>
      <c r="F1221"/>
      <c r="G1221"/>
      <c r="H1221"/>
      <c r="I1221"/>
      <c r="J1221"/>
    </row>
    <row r="1222" spans="1:10" s="2" customFormat="1">
      <c r="A1222" s="1"/>
      <c r="E1222"/>
      <c r="F1222"/>
      <c r="G1222"/>
      <c r="H1222"/>
      <c r="I1222"/>
      <c r="J1222"/>
    </row>
    <row r="1223" spans="1:10" s="2" customFormat="1">
      <c r="A1223" s="1"/>
      <c r="E1223"/>
      <c r="F1223"/>
      <c r="G1223"/>
      <c r="H1223"/>
      <c r="I1223"/>
      <c r="J1223"/>
    </row>
    <row r="1224" spans="1:10" s="2" customFormat="1">
      <c r="A1224" s="1"/>
      <c r="E1224"/>
      <c r="F1224"/>
      <c r="G1224"/>
      <c r="H1224"/>
      <c r="I1224"/>
      <c r="J1224"/>
    </row>
    <row r="1225" spans="1:10" s="2" customFormat="1">
      <c r="A1225" s="1"/>
      <c r="E1225"/>
      <c r="F1225"/>
      <c r="G1225"/>
      <c r="H1225"/>
      <c r="I1225"/>
      <c r="J1225"/>
    </row>
    <row r="1226" spans="1:10" s="2" customFormat="1">
      <c r="A1226" s="1"/>
      <c r="E1226"/>
      <c r="F1226"/>
      <c r="G1226"/>
      <c r="H1226"/>
      <c r="I1226"/>
      <c r="J1226"/>
    </row>
    <row r="1227" spans="1:10" s="2" customFormat="1">
      <c r="A1227" s="1"/>
      <c r="E1227"/>
      <c r="F1227"/>
      <c r="G1227"/>
      <c r="H1227"/>
      <c r="I1227"/>
      <c r="J1227"/>
    </row>
    <row r="1228" spans="1:10" s="2" customFormat="1">
      <c r="A1228" s="1"/>
      <c r="E1228"/>
      <c r="F1228"/>
      <c r="G1228"/>
      <c r="H1228"/>
      <c r="I1228"/>
      <c r="J1228"/>
    </row>
    <row r="1229" spans="1:10" s="2" customFormat="1">
      <c r="A1229" s="1"/>
      <c r="E1229"/>
      <c r="F1229"/>
      <c r="G1229"/>
      <c r="H1229"/>
      <c r="I1229"/>
      <c r="J1229"/>
    </row>
    <row r="1230" spans="1:10" s="2" customFormat="1">
      <c r="A1230" s="1"/>
      <c r="E1230"/>
      <c r="F1230"/>
      <c r="G1230"/>
      <c r="H1230"/>
      <c r="I1230"/>
      <c r="J1230"/>
    </row>
    <row r="1231" spans="1:10" s="2" customFormat="1">
      <c r="A1231" s="1"/>
      <c r="E1231"/>
      <c r="F1231"/>
      <c r="G1231"/>
      <c r="H1231"/>
      <c r="I1231"/>
      <c r="J1231"/>
    </row>
    <row r="1232" spans="1:10" s="2" customFormat="1">
      <c r="A1232" s="1"/>
      <c r="E1232"/>
      <c r="F1232"/>
      <c r="G1232"/>
      <c r="H1232"/>
      <c r="I1232"/>
      <c r="J1232"/>
    </row>
    <row r="1233" spans="1:10" s="2" customFormat="1">
      <c r="A1233" s="1"/>
      <c r="E1233"/>
      <c r="F1233"/>
      <c r="G1233"/>
      <c r="H1233"/>
      <c r="I1233"/>
      <c r="J1233"/>
    </row>
    <row r="1234" spans="1:10" s="2" customFormat="1">
      <c r="A1234" s="1"/>
      <c r="E1234"/>
      <c r="F1234"/>
      <c r="G1234"/>
      <c r="H1234"/>
      <c r="I1234"/>
      <c r="J1234"/>
    </row>
    <row r="1235" spans="1:10" s="2" customFormat="1">
      <c r="A1235" s="1"/>
      <c r="E1235"/>
      <c r="F1235"/>
      <c r="G1235"/>
      <c r="H1235"/>
      <c r="I1235"/>
      <c r="J1235"/>
    </row>
    <row r="1236" spans="1:10" s="2" customFormat="1">
      <c r="A1236" s="1"/>
      <c r="E1236"/>
      <c r="F1236"/>
      <c r="G1236"/>
      <c r="H1236"/>
      <c r="I1236"/>
      <c r="J1236"/>
    </row>
    <row r="1237" spans="1:10" s="2" customFormat="1">
      <c r="A1237" s="1"/>
      <c r="E1237"/>
      <c r="F1237"/>
      <c r="G1237"/>
      <c r="H1237"/>
      <c r="I1237"/>
      <c r="J1237"/>
    </row>
    <row r="1238" spans="1:10" s="2" customFormat="1">
      <c r="A1238" s="1"/>
      <c r="E1238"/>
      <c r="F1238"/>
      <c r="G1238"/>
      <c r="H1238"/>
      <c r="I1238"/>
      <c r="J1238"/>
    </row>
    <row r="1239" spans="1:10" s="2" customFormat="1">
      <c r="A1239" s="1"/>
      <c r="E1239"/>
      <c r="F1239"/>
      <c r="G1239"/>
      <c r="H1239"/>
      <c r="I1239"/>
      <c r="J1239"/>
    </row>
    <row r="1240" spans="1:10" s="2" customFormat="1">
      <c r="A1240" s="1"/>
      <c r="E1240"/>
      <c r="F1240"/>
      <c r="G1240"/>
      <c r="H1240"/>
      <c r="I1240"/>
      <c r="J1240"/>
    </row>
    <row r="1241" spans="1:10" s="2" customFormat="1">
      <c r="A1241" s="1"/>
      <c r="E1241"/>
      <c r="F1241"/>
      <c r="G1241"/>
      <c r="H1241"/>
      <c r="I1241"/>
      <c r="J1241"/>
    </row>
    <row r="1242" spans="1:10" s="2" customFormat="1">
      <c r="A1242" s="1"/>
      <c r="E1242"/>
      <c r="F1242"/>
      <c r="G1242"/>
      <c r="H1242"/>
      <c r="I1242"/>
      <c r="J1242"/>
    </row>
    <row r="1243" spans="1:10" s="2" customFormat="1">
      <c r="A1243" s="1"/>
      <c r="E1243"/>
      <c r="F1243"/>
      <c r="G1243"/>
      <c r="H1243"/>
      <c r="I1243"/>
      <c r="J1243"/>
    </row>
    <row r="1244" spans="1:10" s="2" customFormat="1">
      <c r="A1244" s="1"/>
      <c r="E1244"/>
      <c r="F1244"/>
      <c r="G1244"/>
      <c r="H1244"/>
      <c r="I1244"/>
      <c r="J1244"/>
    </row>
    <row r="1245" spans="1:10" s="2" customFormat="1">
      <c r="A1245" s="1"/>
      <c r="E1245"/>
      <c r="F1245"/>
      <c r="G1245"/>
      <c r="H1245"/>
      <c r="I1245"/>
      <c r="J1245"/>
    </row>
    <row r="1246" spans="1:10" s="2" customFormat="1">
      <c r="A1246" s="1"/>
      <c r="E1246"/>
      <c r="F1246"/>
      <c r="G1246"/>
      <c r="H1246"/>
      <c r="I1246"/>
      <c r="J1246"/>
    </row>
    <row r="1247" spans="1:10" s="2" customFormat="1">
      <c r="A1247" s="1"/>
      <c r="E1247"/>
      <c r="F1247"/>
      <c r="G1247"/>
      <c r="H1247"/>
      <c r="I1247"/>
      <c r="J1247"/>
    </row>
    <row r="1248" spans="1:10" s="2" customFormat="1">
      <c r="A1248" s="1"/>
      <c r="E1248"/>
      <c r="F1248"/>
      <c r="G1248"/>
      <c r="H1248"/>
      <c r="I1248"/>
      <c r="J1248"/>
    </row>
    <row r="1249" spans="1:10" s="2" customFormat="1">
      <c r="A1249" s="1"/>
      <c r="E1249"/>
      <c r="F1249"/>
      <c r="G1249"/>
      <c r="H1249"/>
      <c r="I1249"/>
      <c r="J1249"/>
    </row>
    <row r="1250" spans="1:10" s="2" customFormat="1">
      <c r="A1250" s="1"/>
      <c r="E1250"/>
      <c r="F1250"/>
      <c r="G1250"/>
      <c r="H1250"/>
      <c r="I1250"/>
      <c r="J1250"/>
    </row>
    <row r="1251" spans="1:10" s="2" customFormat="1">
      <c r="A1251" s="1"/>
      <c r="E1251"/>
      <c r="F1251"/>
      <c r="G1251"/>
      <c r="H1251"/>
      <c r="I1251"/>
      <c r="J1251"/>
    </row>
    <row r="1252" spans="1:10" s="2" customFormat="1">
      <c r="A1252" s="1"/>
      <c r="E1252"/>
      <c r="F1252"/>
      <c r="G1252"/>
      <c r="H1252"/>
      <c r="I1252"/>
      <c r="J1252"/>
    </row>
    <row r="1253" spans="1:10" s="2" customFormat="1">
      <c r="A1253" s="1"/>
      <c r="E1253"/>
      <c r="F1253"/>
      <c r="G1253"/>
      <c r="H1253"/>
      <c r="I1253"/>
      <c r="J1253"/>
    </row>
    <row r="1254" spans="1:10" s="2" customFormat="1">
      <c r="A1254" s="1"/>
      <c r="E1254"/>
      <c r="F1254"/>
      <c r="G1254"/>
      <c r="H1254"/>
      <c r="I1254"/>
      <c r="J1254"/>
    </row>
    <row r="1255" spans="1:10" s="2" customFormat="1">
      <c r="A1255" s="1"/>
      <c r="E1255"/>
      <c r="F1255"/>
      <c r="G1255"/>
      <c r="H1255"/>
      <c r="I1255"/>
      <c r="J1255"/>
    </row>
    <row r="1256" spans="1:10" s="2" customFormat="1">
      <c r="A1256" s="1"/>
      <c r="E1256"/>
      <c r="F1256"/>
      <c r="G1256"/>
      <c r="H1256"/>
      <c r="I1256"/>
      <c r="J1256"/>
    </row>
    <row r="1257" spans="1:10" s="2" customFormat="1">
      <c r="A1257" s="1"/>
      <c r="E1257"/>
      <c r="F1257"/>
      <c r="G1257"/>
      <c r="H1257"/>
      <c r="I1257"/>
      <c r="J1257"/>
    </row>
    <row r="1258" spans="1:10" s="2" customFormat="1">
      <c r="A1258" s="1"/>
      <c r="E1258"/>
      <c r="F1258"/>
      <c r="G1258"/>
      <c r="H1258"/>
      <c r="I1258"/>
      <c r="J1258"/>
    </row>
    <row r="1259" spans="1:10" s="2" customFormat="1">
      <c r="A1259" s="1"/>
      <c r="E1259"/>
      <c r="F1259"/>
      <c r="G1259"/>
      <c r="H1259"/>
      <c r="I1259"/>
      <c r="J1259"/>
    </row>
    <row r="1260" spans="1:10" s="2" customFormat="1">
      <c r="A1260" s="1"/>
      <c r="E1260"/>
      <c r="F1260"/>
      <c r="G1260"/>
      <c r="H1260"/>
      <c r="I1260"/>
      <c r="J1260"/>
    </row>
    <row r="1261" spans="1:10" s="2" customFormat="1">
      <c r="A1261" s="1"/>
      <c r="E1261"/>
      <c r="F1261"/>
      <c r="G1261"/>
      <c r="H1261"/>
      <c r="I1261"/>
      <c r="J1261"/>
    </row>
    <row r="1262" spans="1:10" s="2" customFormat="1">
      <c r="A1262" s="1"/>
      <c r="E1262"/>
      <c r="F1262"/>
      <c r="G1262"/>
      <c r="H1262"/>
      <c r="I1262"/>
      <c r="J1262"/>
    </row>
    <row r="1263" spans="1:10" s="2" customFormat="1">
      <c r="A1263" s="1"/>
      <c r="E1263"/>
      <c r="F1263"/>
      <c r="G1263"/>
      <c r="H1263"/>
      <c r="I1263"/>
      <c r="J1263"/>
    </row>
    <row r="1264" spans="1:10" s="2" customFormat="1">
      <c r="A1264" s="1"/>
      <c r="E1264"/>
      <c r="F1264"/>
      <c r="G1264"/>
      <c r="H1264"/>
      <c r="I1264"/>
      <c r="J1264"/>
    </row>
    <row r="1265" spans="1:10" s="2" customFormat="1">
      <c r="A1265" s="1"/>
      <c r="E1265"/>
      <c r="F1265"/>
      <c r="G1265"/>
      <c r="H1265"/>
      <c r="I1265"/>
      <c r="J1265"/>
    </row>
    <row r="1266" spans="1:10" s="2" customFormat="1">
      <c r="A1266" s="1"/>
      <c r="E1266"/>
      <c r="F1266"/>
      <c r="G1266"/>
      <c r="H1266"/>
      <c r="I1266"/>
      <c r="J1266"/>
    </row>
    <row r="1267" spans="1:10" s="2" customFormat="1">
      <c r="A1267" s="1"/>
      <c r="E1267"/>
      <c r="F1267"/>
      <c r="G1267"/>
      <c r="H1267"/>
      <c r="I1267"/>
      <c r="J1267"/>
    </row>
    <row r="1268" spans="1:10" s="2" customFormat="1">
      <c r="A1268" s="1"/>
      <c r="E1268"/>
      <c r="F1268"/>
      <c r="G1268"/>
      <c r="H1268"/>
      <c r="I1268"/>
      <c r="J1268"/>
    </row>
    <row r="1269" spans="1:10" s="2" customFormat="1">
      <c r="A1269" s="1"/>
      <c r="E1269"/>
      <c r="F1269"/>
      <c r="G1269"/>
      <c r="H1269"/>
      <c r="I1269"/>
      <c r="J1269"/>
    </row>
    <row r="1270" spans="1:10" s="2" customFormat="1">
      <c r="A1270" s="1"/>
      <c r="E1270"/>
      <c r="F1270"/>
      <c r="G1270"/>
      <c r="H1270"/>
      <c r="I1270"/>
      <c r="J1270"/>
    </row>
    <row r="1271" spans="1:10" s="2" customFormat="1">
      <c r="A1271" s="1"/>
      <c r="E1271"/>
      <c r="F1271"/>
      <c r="G1271"/>
      <c r="H1271"/>
      <c r="I1271"/>
      <c r="J1271"/>
    </row>
    <row r="1272" spans="1:10" s="2" customFormat="1">
      <c r="A1272" s="1"/>
      <c r="E1272"/>
      <c r="F1272"/>
      <c r="G1272"/>
      <c r="H1272"/>
      <c r="I1272"/>
      <c r="J1272"/>
    </row>
    <row r="1273" spans="1:10" s="2" customFormat="1">
      <c r="A1273" s="1"/>
      <c r="E1273"/>
      <c r="F1273"/>
      <c r="G1273"/>
      <c r="H1273"/>
      <c r="I1273"/>
      <c r="J1273"/>
    </row>
    <row r="1274" spans="1:10" s="2" customFormat="1">
      <c r="A1274" s="1"/>
      <c r="E1274"/>
      <c r="F1274"/>
      <c r="G1274"/>
      <c r="H1274"/>
      <c r="I1274"/>
      <c r="J1274"/>
    </row>
    <row r="1275" spans="1:10" s="2" customFormat="1">
      <c r="A1275" s="1"/>
      <c r="E1275"/>
      <c r="F1275"/>
      <c r="G1275"/>
      <c r="H1275"/>
      <c r="I1275"/>
      <c r="J1275"/>
    </row>
    <row r="1276" spans="1:10" s="2" customFormat="1">
      <c r="A1276" s="1"/>
      <c r="E1276"/>
      <c r="F1276"/>
      <c r="G1276"/>
      <c r="H1276"/>
      <c r="I1276"/>
      <c r="J1276"/>
    </row>
    <row r="1277" spans="1:10" s="2" customFormat="1">
      <c r="A1277" s="1"/>
      <c r="E1277"/>
      <c r="F1277"/>
      <c r="G1277"/>
      <c r="H1277"/>
      <c r="I1277"/>
      <c r="J1277"/>
    </row>
    <row r="1278" spans="1:10" s="2" customFormat="1">
      <c r="A1278" s="1"/>
      <c r="E1278"/>
      <c r="F1278"/>
      <c r="G1278"/>
      <c r="H1278"/>
      <c r="I1278"/>
      <c r="J1278"/>
    </row>
    <row r="1279" spans="1:10" s="2" customFormat="1">
      <c r="A1279" s="1"/>
      <c r="E1279"/>
      <c r="F1279"/>
      <c r="G1279"/>
      <c r="H1279"/>
      <c r="I1279"/>
      <c r="J1279"/>
    </row>
    <row r="1280" spans="1:10" s="2" customFormat="1">
      <c r="A1280" s="1"/>
      <c r="E1280"/>
      <c r="F1280"/>
      <c r="G1280"/>
      <c r="H1280"/>
      <c r="I1280"/>
      <c r="J1280"/>
    </row>
    <row r="1281" spans="1:10" s="2" customFormat="1">
      <c r="A1281" s="1"/>
      <c r="E1281"/>
      <c r="F1281"/>
      <c r="G1281"/>
      <c r="H1281"/>
      <c r="I1281"/>
      <c r="J1281"/>
    </row>
    <row r="1282" spans="1:10" s="2" customFormat="1">
      <c r="A1282" s="1"/>
      <c r="E1282"/>
      <c r="F1282"/>
      <c r="G1282"/>
      <c r="H1282"/>
      <c r="I1282"/>
      <c r="J1282"/>
    </row>
    <row r="1283" spans="1:10" s="2" customFormat="1">
      <c r="A1283" s="1"/>
      <c r="E1283"/>
      <c r="F1283"/>
      <c r="G1283"/>
      <c r="H1283"/>
      <c r="I1283"/>
      <c r="J1283"/>
    </row>
    <row r="1284" spans="1:10" s="2" customFormat="1">
      <c r="A1284" s="1"/>
      <c r="E1284"/>
      <c r="F1284"/>
      <c r="G1284"/>
      <c r="H1284"/>
      <c r="I1284"/>
      <c r="J1284"/>
    </row>
    <row r="1285" spans="1:10" s="2" customFormat="1">
      <c r="A1285" s="1"/>
      <c r="E1285"/>
      <c r="F1285"/>
      <c r="G1285"/>
      <c r="H1285"/>
      <c r="I1285"/>
      <c r="J1285"/>
    </row>
    <row r="1286" spans="1:10" s="2" customFormat="1">
      <c r="A1286" s="1"/>
      <c r="E1286"/>
      <c r="F1286"/>
      <c r="G1286"/>
      <c r="H1286"/>
      <c r="I1286"/>
      <c r="J1286"/>
    </row>
    <row r="1287" spans="1:10" s="2" customFormat="1">
      <c r="A1287" s="1"/>
      <c r="E1287"/>
      <c r="F1287"/>
      <c r="G1287"/>
      <c r="H1287"/>
      <c r="I1287"/>
      <c r="J1287"/>
    </row>
    <row r="1288" spans="1:10" s="2" customFormat="1">
      <c r="A1288" s="1"/>
      <c r="E1288"/>
      <c r="F1288"/>
      <c r="G1288"/>
      <c r="H1288"/>
      <c r="I1288"/>
      <c r="J1288"/>
    </row>
    <row r="1289" spans="1:10" s="2" customFormat="1">
      <c r="A1289" s="1"/>
      <c r="E1289"/>
      <c r="F1289"/>
      <c r="G1289"/>
      <c r="H1289"/>
      <c r="I1289"/>
      <c r="J1289"/>
    </row>
    <row r="1290" spans="1:10" s="2" customFormat="1">
      <c r="A1290" s="1"/>
      <c r="E1290"/>
      <c r="F1290"/>
      <c r="G1290"/>
      <c r="H1290"/>
      <c r="I1290"/>
      <c r="J1290"/>
    </row>
    <row r="1291" spans="1:10" s="2" customFormat="1">
      <c r="A1291" s="1"/>
      <c r="E1291"/>
      <c r="F1291"/>
      <c r="G1291"/>
      <c r="H1291"/>
      <c r="I1291"/>
      <c r="J1291"/>
    </row>
    <row r="1292" spans="1:10" s="2" customFormat="1">
      <c r="A1292" s="1"/>
      <c r="E1292"/>
      <c r="F1292"/>
      <c r="G1292"/>
      <c r="H1292"/>
      <c r="I1292"/>
      <c r="J1292"/>
    </row>
    <row r="1293" spans="1:10" s="2" customFormat="1">
      <c r="A1293" s="1"/>
      <c r="E1293"/>
      <c r="F1293"/>
      <c r="G1293"/>
      <c r="H1293"/>
      <c r="I1293"/>
      <c r="J1293"/>
    </row>
    <row r="1294" spans="1:10" s="2" customFormat="1">
      <c r="A1294" s="1"/>
      <c r="E1294"/>
      <c r="F1294"/>
      <c r="G1294"/>
      <c r="H1294"/>
      <c r="I1294"/>
      <c r="J1294"/>
    </row>
    <row r="1295" spans="1:10" s="2" customFormat="1">
      <c r="A1295" s="1"/>
      <c r="E1295"/>
      <c r="F1295"/>
      <c r="G1295"/>
      <c r="H1295"/>
      <c r="I1295"/>
      <c r="J1295"/>
    </row>
    <row r="1296" spans="1:10" s="2" customFormat="1">
      <c r="A1296" s="1"/>
      <c r="E1296"/>
      <c r="F1296"/>
      <c r="G1296"/>
      <c r="H1296"/>
      <c r="I1296"/>
      <c r="J1296"/>
    </row>
    <row r="1297" spans="1:10" s="2" customFormat="1">
      <c r="A1297" s="1"/>
      <c r="E1297"/>
      <c r="F1297"/>
      <c r="G1297"/>
      <c r="H1297"/>
      <c r="I1297"/>
      <c r="J1297"/>
    </row>
    <row r="1298" spans="1:10" s="2" customFormat="1">
      <c r="A1298" s="1"/>
      <c r="E1298"/>
      <c r="F1298"/>
      <c r="G1298"/>
      <c r="H1298"/>
      <c r="I1298"/>
      <c r="J1298"/>
    </row>
    <row r="1299" spans="1:10" s="2" customFormat="1">
      <c r="A1299" s="1"/>
      <c r="E1299"/>
      <c r="F1299"/>
      <c r="G1299"/>
      <c r="H1299"/>
      <c r="I1299"/>
      <c r="J1299"/>
    </row>
    <row r="1300" spans="1:10" s="2" customFormat="1">
      <c r="A1300" s="1"/>
      <c r="E1300"/>
      <c r="F1300"/>
      <c r="G1300"/>
      <c r="H1300"/>
      <c r="I1300"/>
      <c r="J1300"/>
    </row>
    <row r="1301" spans="1:10" s="2" customFormat="1">
      <c r="A1301" s="1"/>
      <c r="E1301"/>
      <c r="F1301"/>
      <c r="G1301"/>
      <c r="H1301"/>
      <c r="I1301"/>
      <c r="J1301"/>
    </row>
    <row r="1302" spans="1:10" s="2" customFormat="1">
      <c r="A1302" s="1"/>
      <c r="E1302"/>
      <c r="F1302"/>
      <c r="G1302"/>
      <c r="H1302"/>
      <c r="I1302"/>
      <c r="J1302"/>
    </row>
    <row r="1303" spans="1:10" s="2" customFormat="1">
      <c r="A1303" s="1"/>
      <c r="E1303"/>
      <c r="F1303"/>
      <c r="G1303"/>
      <c r="H1303"/>
      <c r="I1303"/>
      <c r="J1303"/>
    </row>
    <row r="1304" spans="1:10" s="2" customFormat="1">
      <c r="A1304" s="1"/>
      <c r="E1304"/>
      <c r="F1304"/>
      <c r="G1304"/>
      <c r="H1304"/>
      <c r="I1304"/>
      <c r="J1304"/>
    </row>
    <row r="1305" spans="1:10" s="2" customFormat="1">
      <c r="A1305" s="1"/>
      <c r="E1305"/>
      <c r="F1305"/>
      <c r="G1305"/>
      <c r="H1305"/>
      <c r="I1305"/>
      <c r="J1305"/>
    </row>
    <row r="1306" spans="1:10" s="2" customFormat="1">
      <c r="A1306" s="1"/>
      <c r="E1306"/>
      <c r="F1306"/>
      <c r="G1306"/>
      <c r="H1306"/>
      <c r="I1306"/>
      <c r="J1306"/>
    </row>
    <row r="1307" spans="1:10" s="2" customFormat="1">
      <c r="A1307" s="1"/>
      <c r="E1307"/>
      <c r="F1307"/>
      <c r="G1307"/>
      <c r="H1307"/>
      <c r="I1307"/>
      <c r="J1307"/>
    </row>
    <row r="1308" spans="1:10" s="2" customFormat="1">
      <c r="A1308" s="1"/>
      <c r="E1308"/>
      <c r="F1308"/>
      <c r="G1308"/>
      <c r="H1308"/>
      <c r="I1308"/>
      <c r="J1308"/>
    </row>
    <row r="1309" spans="1:10" s="2" customFormat="1">
      <c r="A1309" s="1"/>
      <c r="E1309"/>
      <c r="F1309"/>
      <c r="G1309"/>
      <c r="H1309"/>
      <c r="I1309"/>
      <c r="J1309"/>
    </row>
    <row r="1310" spans="1:10" s="2" customFormat="1">
      <c r="A1310" s="1"/>
      <c r="E1310"/>
      <c r="F1310"/>
      <c r="G1310"/>
      <c r="H1310"/>
      <c r="I1310"/>
      <c r="J1310"/>
    </row>
    <row r="1311" spans="1:10" s="2" customFormat="1">
      <c r="A1311" s="1"/>
      <c r="E1311"/>
      <c r="F1311"/>
      <c r="G1311"/>
      <c r="H1311"/>
      <c r="I1311"/>
      <c r="J1311"/>
    </row>
    <row r="1312" spans="1:10" s="2" customFormat="1">
      <c r="A1312" s="1"/>
      <c r="E1312"/>
      <c r="F1312"/>
      <c r="G1312"/>
      <c r="H1312"/>
      <c r="I1312"/>
      <c r="J1312"/>
    </row>
    <row r="1313" spans="1:10" s="2" customFormat="1">
      <c r="A1313" s="1"/>
      <c r="E1313"/>
      <c r="F1313"/>
      <c r="G1313"/>
      <c r="H1313"/>
      <c r="I1313"/>
      <c r="J1313"/>
    </row>
    <row r="1314" spans="1:10" s="2" customFormat="1">
      <c r="A1314" s="1"/>
      <c r="E1314"/>
      <c r="F1314"/>
      <c r="G1314"/>
      <c r="H1314"/>
      <c r="I1314"/>
      <c r="J1314"/>
    </row>
    <row r="1315" spans="1:10" s="2" customFormat="1">
      <c r="A1315" s="1"/>
      <c r="E1315"/>
      <c r="F1315"/>
      <c r="G1315"/>
      <c r="H1315"/>
      <c r="I1315"/>
      <c r="J1315"/>
    </row>
    <row r="1316" spans="1:10" s="2" customFormat="1">
      <c r="A1316" s="1"/>
      <c r="E1316"/>
      <c r="F1316"/>
      <c r="G1316"/>
      <c r="H1316"/>
      <c r="I1316"/>
      <c r="J1316"/>
    </row>
    <row r="1317" spans="1:10" s="2" customFormat="1">
      <c r="A1317" s="1"/>
      <c r="E1317"/>
      <c r="F1317"/>
      <c r="G1317"/>
      <c r="H1317"/>
      <c r="I1317"/>
      <c r="J1317"/>
    </row>
    <row r="1318" spans="1:10" s="2" customFormat="1">
      <c r="A1318" s="1"/>
      <c r="E1318"/>
      <c r="F1318"/>
      <c r="G1318"/>
      <c r="H1318"/>
      <c r="I1318"/>
      <c r="J1318"/>
    </row>
    <row r="1319" spans="1:10" s="2" customFormat="1">
      <c r="A1319" s="1"/>
      <c r="E1319"/>
      <c r="F1319"/>
      <c r="G1319"/>
      <c r="H1319"/>
      <c r="I1319"/>
      <c r="J1319"/>
    </row>
    <row r="1320" spans="1:10" s="2" customFormat="1">
      <c r="A1320" s="1"/>
      <c r="E1320"/>
      <c r="F1320"/>
      <c r="G1320"/>
      <c r="H1320"/>
      <c r="I1320"/>
      <c r="J1320"/>
    </row>
    <row r="1321" spans="1:10" s="2" customFormat="1">
      <c r="A1321" s="1"/>
      <c r="E1321"/>
      <c r="F1321"/>
      <c r="G1321"/>
      <c r="H1321"/>
      <c r="I1321"/>
      <c r="J1321"/>
    </row>
    <row r="1322" spans="1:10" s="2" customFormat="1">
      <c r="A1322" s="1"/>
      <c r="E1322"/>
      <c r="F1322"/>
      <c r="G1322"/>
      <c r="H1322"/>
      <c r="I1322"/>
      <c r="J1322"/>
    </row>
    <row r="1323" spans="1:10" s="2" customFormat="1">
      <c r="A1323" s="1"/>
      <c r="E1323"/>
      <c r="F1323"/>
      <c r="G1323"/>
      <c r="H1323"/>
      <c r="I1323"/>
      <c r="J1323"/>
    </row>
    <row r="1324" spans="1:10" s="2" customFormat="1">
      <c r="A1324" s="1"/>
      <c r="E1324"/>
      <c r="F1324"/>
      <c r="G1324"/>
      <c r="H1324"/>
      <c r="I1324"/>
      <c r="J1324"/>
    </row>
    <row r="1325" spans="1:10" s="2" customFormat="1">
      <c r="A1325" s="1"/>
      <c r="E1325"/>
      <c r="F1325"/>
      <c r="G1325"/>
      <c r="H1325"/>
      <c r="I1325"/>
      <c r="J1325"/>
    </row>
    <row r="1326" spans="1:10" s="2" customFormat="1">
      <c r="A1326" s="1"/>
      <c r="E1326"/>
      <c r="F1326"/>
      <c r="G1326"/>
      <c r="H1326"/>
      <c r="I1326"/>
      <c r="J1326"/>
    </row>
    <row r="1327" spans="1:10" s="2" customFormat="1">
      <c r="A1327" s="1"/>
      <c r="E1327"/>
      <c r="F1327"/>
      <c r="G1327"/>
      <c r="H1327"/>
      <c r="I1327"/>
      <c r="J1327"/>
    </row>
    <row r="1328" spans="1:10" s="2" customFormat="1">
      <c r="A1328" s="1"/>
      <c r="E1328"/>
      <c r="F1328"/>
      <c r="G1328"/>
      <c r="H1328"/>
      <c r="I1328"/>
      <c r="J1328"/>
    </row>
    <row r="1329" spans="1:10" s="2" customFormat="1">
      <c r="A1329" s="1"/>
      <c r="E1329"/>
      <c r="F1329"/>
      <c r="G1329"/>
      <c r="H1329"/>
      <c r="I1329"/>
      <c r="J1329"/>
    </row>
    <row r="1330" spans="1:10" s="2" customFormat="1">
      <c r="A1330" s="1"/>
      <c r="E1330"/>
      <c r="F1330"/>
      <c r="G1330"/>
      <c r="H1330"/>
      <c r="I1330"/>
      <c r="J1330"/>
    </row>
    <row r="1331" spans="1:10" s="2" customFormat="1">
      <c r="A1331" s="1"/>
      <c r="E1331"/>
      <c r="F1331"/>
      <c r="G1331"/>
      <c r="H1331"/>
      <c r="I1331"/>
      <c r="J1331"/>
    </row>
    <row r="1332" spans="1:10" s="2" customFormat="1">
      <c r="A1332" s="1"/>
      <c r="E1332"/>
      <c r="F1332"/>
      <c r="G1332"/>
      <c r="H1332"/>
      <c r="I1332"/>
      <c r="J1332"/>
    </row>
    <row r="1333" spans="1:10" s="2" customFormat="1">
      <c r="A1333" s="1"/>
      <c r="E1333"/>
      <c r="F1333"/>
      <c r="G1333"/>
      <c r="H1333"/>
      <c r="I1333"/>
      <c r="J1333"/>
    </row>
    <row r="1334" spans="1:10" s="2" customFormat="1">
      <c r="A1334" s="1"/>
      <c r="E1334"/>
      <c r="F1334"/>
      <c r="G1334"/>
      <c r="H1334"/>
      <c r="I1334"/>
      <c r="J1334"/>
    </row>
    <row r="1335" spans="1:10" s="2" customFormat="1">
      <c r="A1335" s="1"/>
      <c r="E1335"/>
      <c r="F1335"/>
      <c r="G1335"/>
      <c r="H1335"/>
      <c r="I1335"/>
      <c r="J1335"/>
    </row>
    <row r="1336" spans="1:10" s="2" customFormat="1">
      <c r="A1336" s="1"/>
      <c r="E1336"/>
      <c r="F1336"/>
      <c r="G1336"/>
      <c r="H1336"/>
      <c r="I1336"/>
      <c r="J1336"/>
    </row>
    <row r="1337" spans="1:10" s="2" customFormat="1">
      <c r="A1337" s="1"/>
      <c r="E1337"/>
      <c r="F1337"/>
      <c r="G1337"/>
      <c r="H1337"/>
      <c r="I1337"/>
      <c r="J1337"/>
    </row>
    <row r="1338" spans="1:10" s="2" customFormat="1">
      <c r="A1338" s="1"/>
      <c r="E1338"/>
      <c r="F1338"/>
      <c r="G1338"/>
      <c r="H1338"/>
      <c r="I1338"/>
      <c r="J1338"/>
    </row>
    <row r="1339" spans="1:10" s="2" customFormat="1">
      <c r="A1339" s="1"/>
      <c r="E1339"/>
      <c r="F1339"/>
      <c r="G1339"/>
      <c r="H1339"/>
      <c r="I1339"/>
      <c r="J1339"/>
    </row>
    <row r="1340" spans="1:10" s="2" customFormat="1">
      <c r="A1340" s="1"/>
      <c r="E1340"/>
      <c r="F1340"/>
      <c r="G1340"/>
      <c r="H1340"/>
      <c r="I1340"/>
      <c r="J1340"/>
    </row>
    <row r="1341" spans="1:10" s="2" customFormat="1">
      <c r="A1341" s="1"/>
      <c r="E1341"/>
      <c r="F1341"/>
      <c r="G1341"/>
      <c r="H1341"/>
      <c r="I1341"/>
      <c r="J1341"/>
    </row>
    <row r="1342" spans="1:10" s="2" customFormat="1">
      <c r="A1342" s="1"/>
      <c r="E1342"/>
      <c r="F1342"/>
      <c r="G1342"/>
      <c r="H1342"/>
      <c r="I1342"/>
      <c r="J1342"/>
    </row>
    <row r="1343" spans="1:10" s="2" customFormat="1">
      <c r="A1343" s="1"/>
      <c r="E1343"/>
      <c r="F1343"/>
      <c r="G1343"/>
      <c r="H1343"/>
      <c r="I1343"/>
      <c r="J1343"/>
    </row>
    <row r="1344" spans="1:10" s="2" customFormat="1">
      <c r="A1344" s="1"/>
      <c r="E1344"/>
      <c r="F1344"/>
      <c r="G1344"/>
      <c r="H1344"/>
      <c r="I1344"/>
      <c r="J1344"/>
    </row>
    <row r="1345" spans="1:10" s="2" customFormat="1">
      <c r="A1345" s="1"/>
      <c r="E1345"/>
      <c r="F1345"/>
      <c r="G1345"/>
      <c r="H1345"/>
      <c r="I1345"/>
      <c r="J1345"/>
    </row>
    <row r="1346" spans="1:10" s="2" customFormat="1">
      <c r="A1346" s="1"/>
      <c r="E1346"/>
      <c r="F1346"/>
      <c r="G1346"/>
      <c r="H1346"/>
      <c r="I1346"/>
      <c r="J1346"/>
    </row>
    <row r="1347" spans="1:10" s="2" customFormat="1">
      <c r="A1347" s="1"/>
      <c r="E1347"/>
      <c r="F1347"/>
      <c r="G1347"/>
      <c r="H1347"/>
      <c r="I1347"/>
      <c r="J1347"/>
    </row>
    <row r="1348" spans="1:10" s="2" customFormat="1">
      <c r="A1348" s="1"/>
      <c r="E1348"/>
      <c r="F1348"/>
      <c r="G1348"/>
      <c r="H1348"/>
      <c r="I1348"/>
      <c r="J1348"/>
    </row>
    <row r="1349" spans="1:10" s="2" customFormat="1">
      <c r="A1349" s="1"/>
      <c r="E1349"/>
      <c r="F1349"/>
      <c r="G1349"/>
      <c r="H1349"/>
      <c r="I1349"/>
      <c r="J1349"/>
    </row>
    <row r="1350" spans="1:10" s="2" customFormat="1">
      <c r="A1350" s="1"/>
      <c r="E1350"/>
      <c r="F1350"/>
      <c r="G1350"/>
      <c r="H1350"/>
      <c r="I1350"/>
      <c r="J1350"/>
    </row>
    <row r="1351" spans="1:10" s="2" customFormat="1">
      <c r="A1351" s="1"/>
      <c r="E1351"/>
      <c r="F1351"/>
      <c r="G1351"/>
      <c r="H1351"/>
      <c r="I1351"/>
      <c r="J1351"/>
    </row>
    <row r="1352" spans="1:10" s="2" customFormat="1">
      <c r="A1352" s="1"/>
      <c r="E1352"/>
      <c r="F1352"/>
      <c r="G1352"/>
      <c r="H1352"/>
      <c r="I1352"/>
      <c r="J1352"/>
    </row>
    <row r="1353" spans="1:10" s="2" customFormat="1">
      <c r="A1353" s="1"/>
      <c r="E1353"/>
      <c r="F1353"/>
      <c r="G1353"/>
      <c r="H1353"/>
      <c r="I1353"/>
      <c r="J1353"/>
    </row>
    <row r="1354" spans="1:10" s="2" customFormat="1">
      <c r="A1354" s="1"/>
      <c r="E1354"/>
      <c r="F1354"/>
      <c r="G1354"/>
      <c r="H1354"/>
      <c r="I1354"/>
      <c r="J1354"/>
    </row>
    <row r="1355" spans="1:10" s="2" customFormat="1">
      <c r="A1355" s="1"/>
      <c r="E1355"/>
      <c r="F1355"/>
      <c r="G1355"/>
      <c r="H1355"/>
      <c r="I1355"/>
      <c r="J1355"/>
    </row>
    <row r="1356" spans="1:10" s="2" customFormat="1">
      <c r="A1356" s="1"/>
      <c r="E1356"/>
      <c r="F1356"/>
      <c r="G1356"/>
      <c r="H1356"/>
      <c r="I1356"/>
      <c r="J1356"/>
    </row>
    <row r="1357" spans="1:10" s="2" customFormat="1">
      <c r="A1357" s="1"/>
      <c r="E1357"/>
      <c r="F1357"/>
      <c r="G1357"/>
      <c r="H1357"/>
      <c r="I1357"/>
      <c r="J1357"/>
    </row>
    <row r="1358" spans="1:10" s="2" customFormat="1">
      <c r="A1358" s="1"/>
      <c r="E1358"/>
      <c r="F1358"/>
      <c r="G1358"/>
      <c r="H1358"/>
      <c r="I1358"/>
      <c r="J1358"/>
    </row>
    <row r="1359" spans="1:10" s="2" customFormat="1">
      <c r="A1359" s="1"/>
      <c r="E1359"/>
      <c r="F1359"/>
      <c r="G1359"/>
      <c r="H1359"/>
      <c r="I1359"/>
      <c r="J1359"/>
    </row>
    <row r="1360" spans="1:10" s="2" customFormat="1">
      <c r="A1360" s="1"/>
      <c r="E1360"/>
      <c r="F1360"/>
      <c r="G1360"/>
      <c r="H1360"/>
      <c r="I1360"/>
      <c r="J1360"/>
    </row>
    <row r="1361" spans="1:10" s="2" customFormat="1">
      <c r="A1361" s="1"/>
      <c r="E1361"/>
      <c r="F1361"/>
      <c r="G1361"/>
      <c r="H1361"/>
      <c r="I1361"/>
      <c r="J1361"/>
    </row>
    <row r="1362" spans="1:10" s="2" customFormat="1">
      <c r="A1362" s="1"/>
      <c r="E1362"/>
      <c r="F1362"/>
      <c r="G1362"/>
      <c r="H1362"/>
      <c r="I1362"/>
      <c r="J1362"/>
    </row>
    <row r="1363" spans="1:10" s="2" customFormat="1">
      <c r="A1363" s="1"/>
      <c r="E1363"/>
      <c r="F1363"/>
      <c r="G1363"/>
      <c r="H1363"/>
      <c r="I1363"/>
      <c r="J1363"/>
    </row>
    <row r="1364" spans="1:10" s="2" customFormat="1">
      <c r="A1364" s="1"/>
      <c r="E1364"/>
      <c r="F1364"/>
      <c r="G1364"/>
      <c r="H1364"/>
      <c r="I1364"/>
      <c r="J1364"/>
    </row>
    <row r="1365" spans="1:10" s="2" customFormat="1">
      <c r="A1365" s="1"/>
      <c r="E1365"/>
      <c r="F1365"/>
      <c r="G1365"/>
      <c r="H1365"/>
      <c r="I1365"/>
      <c r="J1365"/>
    </row>
    <row r="1366" spans="1:10" s="2" customFormat="1">
      <c r="A1366" s="1"/>
      <c r="E1366"/>
      <c r="F1366"/>
      <c r="G1366"/>
      <c r="H1366"/>
      <c r="I1366"/>
      <c r="J1366"/>
    </row>
    <row r="1367" spans="1:10" s="2" customFormat="1">
      <c r="A1367" s="1"/>
      <c r="E1367"/>
      <c r="F1367"/>
      <c r="G1367"/>
      <c r="H1367"/>
      <c r="I1367"/>
      <c r="J1367"/>
    </row>
    <row r="1368" spans="1:10" s="2" customFormat="1">
      <c r="A1368" s="1"/>
      <c r="E1368"/>
      <c r="F1368"/>
      <c r="G1368"/>
      <c r="H1368"/>
      <c r="I1368"/>
      <c r="J1368"/>
    </row>
    <row r="1369" spans="1:10" s="2" customFormat="1">
      <c r="A1369" s="1"/>
      <c r="E1369"/>
      <c r="F1369"/>
      <c r="G1369"/>
      <c r="H1369"/>
      <c r="I1369"/>
      <c r="J1369"/>
    </row>
    <row r="1370" spans="1:10" s="2" customFormat="1">
      <c r="A1370" s="1"/>
      <c r="E1370"/>
      <c r="F1370"/>
      <c r="G1370"/>
      <c r="H1370"/>
      <c r="I1370"/>
      <c r="J1370"/>
    </row>
    <row r="1371" spans="1:10" s="2" customFormat="1">
      <c r="A1371" s="1"/>
      <c r="E1371"/>
      <c r="F1371"/>
      <c r="G1371"/>
      <c r="H1371"/>
      <c r="I1371"/>
      <c r="J1371"/>
    </row>
    <row r="1372" spans="1:10" s="2" customFormat="1">
      <c r="A1372" s="1"/>
      <c r="E1372"/>
      <c r="F1372"/>
      <c r="G1372"/>
      <c r="H1372"/>
      <c r="I1372"/>
      <c r="J1372"/>
    </row>
    <row r="1373" spans="1:10" s="2" customFormat="1">
      <c r="A1373" s="1"/>
      <c r="E1373"/>
      <c r="F1373"/>
      <c r="G1373"/>
      <c r="H1373"/>
      <c r="I1373"/>
      <c r="J1373"/>
    </row>
    <row r="1374" spans="1:10" s="2" customFormat="1">
      <c r="A1374" s="1"/>
      <c r="E1374"/>
      <c r="F1374"/>
      <c r="G1374"/>
      <c r="H1374"/>
      <c r="I1374"/>
      <c r="J1374"/>
    </row>
    <row r="1375" spans="1:10" s="2" customFormat="1">
      <c r="A1375" s="1"/>
      <c r="E1375"/>
      <c r="F1375"/>
      <c r="G1375"/>
      <c r="H1375"/>
      <c r="I1375"/>
      <c r="J1375"/>
    </row>
    <row r="1376" spans="1:10" s="2" customFormat="1">
      <c r="A1376" s="1"/>
      <c r="E1376"/>
      <c r="F1376"/>
      <c r="G1376"/>
      <c r="H1376"/>
      <c r="I1376"/>
      <c r="J1376"/>
    </row>
    <row r="1377" spans="1:10" s="2" customFormat="1">
      <c r="A1377" s="1"/>
      <c r="E1377"/>
      <c r="F1377"/>
      <c r="G1377"/>
      <c r="H1377"/>
      <c r="I1377"/>
      <c r="J1377"/>
    </row>
    <row r="1378" spans="1:10" s="2" customFormat="1">
      <c r="A1378" s="1"/>
      <c r="E1378"/>
      <c r="F1378"/>
      <c r="G1378"/>
      <c r="H1378"/>
      <c r="I1378"/>
      <c r="J1378"/>
    </row>
    <row r="1379" spans="1:10" s="2" customFormat="1">
      <c r="A1379" s="1"/>
      <c r="E1379"/>
      <c r="F1379"/>
      <c r="G1379"/>
      <c r="H1379"/>
      <c r="I1379"/>
      <c r="J1379"/>
    </row>
    <row r="1380" spans="1:10" s="2" customFormat="1">
      <c r="A1380" s="1"/>
      <c r="E1380"/>
      <c r="F1380"/>
      <c r="G1380"/>
      <c r="H1380"/>
      <c r="I1380"/>
      <c r="J1380"/>
    </row>
    <row r="1381" spans="1:10" s="2" customFormat="1">
      <c r="A1381" s="1"/>
      <c r="E1381"/>
      <c r="F1381"/>
      <c r="G1381"/>
      <c r="H1381"/>
      <c r="I1381"/>
      <c r="J1381"/>
    </row>
    <row r="1382" spans="1:10" s="2" customFormat="1">
      <c r="A1382" s="1"/>
      <c r="E1382"/>
      <c r="F1382"/>
      <c r="G1382"/>
      <c r="H1382"/>
      <c r="I1382"/>
      <c r="J1382"/>
    </row>
    <row r="1383" spans="1:10" s="2" customFormat="1">
      <c r="A1383" s="1"/>
      <c r="E1383"/>
      <c r="F1383"/>
      <c r="G1383"/>
      <c r="H1383"/>
      <c r="I1383"/>
      <c r="J1383"/>
    </row>
    <row r="1384" spans="1:10" s="2" customFormat="1">
      <c r="A1384" s="1"/>
      <c r="E1384"/>
      <c r="F1384"/>
      <c r="G1384"/>
      <c r="H1384"/>
      <c r="I1384"/>
      <c r="J1384"/>
    </row>
    <row r="1385" spans="1:10" s="2" customFormat="1">
      <c r="A1385" s="1"/>
      <c r="E1385"/>
      <c r="F1385"/>
      <c r="G1385"/>
      <c r="H1385"/>
      <c r="I1385"/>
      <c r="J1385"/>
    </row>
    <row r="1386" spans="1:10" s="2" customFormat="1">
      <c r="A1386" s="1"/>
      <c r="E1386"/>
      <c r="F1386"/>
      <c r="G1386"/>
      <c r="H1386"/>
      <c r="I1386"/>
      <c r="J1386"/>
    </row>
    <row r="1387" spans="1:10" s="2" customFormat="1">
      <c r="A1387" s="1"/>
      <c r="E1387"/>
      <c r="F1387"/>
      <c r="G1387"/>
      <c r="H1387"/>
      <c r="I1387"/>
      <c r="J1387"/>
    </row>
    <row r="1388" spans="1:10" s="2" customFormat="1">
      <c r="A1388" s="1"/>
      <c r="E1388"/>
      <c r="F1388"/>
      <c r="G1388"/>
      <c r="H1388"/>
      <c r="I1388"/>
      <c r="J1388"/>
    </row>
    <row r="1389" spans="1:10" s="2" customFormat="1">
      <c r="A1389" s="1"/>
      <c r="E1389"/>
      <c r="F1389"/>
      <c r="G1389"/>
      <c r="H1389"/>
      <c r="I1389"/>
      <c r="J1389"/>
    </row>
    <row r="1390" spans="1:10" s="2" customFormat="1">
      <c r="A1390" s="1"/>
      <c r="E1390"/>
      <c r="F1390"/>
      <c r="G1390"/>
      <c r="H1390"/>
      <c r="I1390"/>
      <c r="J1390"/>
    </row>
    <row r="1391" spans="1:10" s="2" customFormat="1">
      <c r="A1391" s="1"/>
      <c r="E1391"/>
      <c r="F1391"/>
      <c r="G1391"/>
      <c r="H1391"/>
      <c r="I1391"/>
      <c r="J1391"/>
    </row>
    <row r="1392" spans="1:10" s="2" customFormat="1">
      <c r="A1392" s="1"/>
      <c r="E1392"/>
      <c r="F1392"/>
      <c r="G1392"/>
      <c r="H1392"/>
      <c r="I1392"/>
      <c r="J1392"/>
    </row>
    <row r="1393" spans="1:10" s="2" customFormat="1">
      <c r="A1393" s="1"/>
      <c r="E1393"/>
      <c r="F1393"/>
      <c r="G1393"/>
      <c r="H1393"/>
      <c r="I1393"/>
      <c r="J1393"/>
    </row>
    <row r="1394" spans="1:10" s="2" customFormat="1">
      <c r="A1394" s="1"/>
      <c r="E1394"/>
      <c r="F1394"/>
      <c r="G1394"/>
      <c r="H1394"/>
      <c r="I1394"/>
      <c r="J1394"/>
    </row>
    <row r="1395" spans="1:10" s="2" customFormat="1">
      <c r="A1395" s="1"/>
      <c r="E1395"/>
      <c r="F1395"/>
      <c r="G1395"/>
      <c r="H1395"/>
      <c r="I1395"/>
      <c r="J1395"/>
    </row>
    <row r="1396" spans="1:10" s="2" customFormat="1">
      <c r="A1396" s="1"/>
      <c r="E1396"/>
      <c r="F1396"/>
      <c r="G1396"/>
      <c r="H1396"/>
      <c r="I1396"/>
      <c r="J1396"/>
    </row>
    <row r="1397" spans="1:10" s="2" customFormat="1">
      <c r="A1397" s="1"/>
      <c r="E1397"/>
      <c r="F1397"/>
      <c r="G1397"/>
      <c r="H1397"/>
      <c r="I1397"/>
      <c r="J1397"/>
    </row>
    <row r="1398" spans="1:10" s="2" customFormat="1">
      <c r="A1398" s="1"/>
      <c r="E1398"/>
      <c r="F1398"/>
      <c r="G1398"/>
      <c r="H1398"/>
      <c r="I1398"/>
      <c r="J1398"/>
    </row>
    <row r="1399" spans="1:10" s="2" customFormat="1">
      <c r="A1399" s="1"/>
      <c r="E1399"/>
      <c r="F1399"/>
      <c r="G1399"/>
      <c r="H1399"/>
      <c r="I1399"/>
      <c r="J1399"/>
    </row>
    <row r="1400" spans="1:10" s="2" customFormat="1">
      <c r="A1400" s="1"/>
      <c r="E1400"/>
      <c r="F1400"/>
      <c r="G1400"/>
      <c r="H1400"/>
      <c r="I1400"/>
      <c r="J1400"/>
    </row>
    <row r="1401" spans="1:10" s="2" customFormat="1">
      <c r="A1401" s="1"/>
      <c r="E1401"/>
      <c r="F1401"/>
      <c r="G1401"/>
      <c r="H1401"/>
      <c r="I1401"/>
      <c r="J1401"/>
    </row>
    <row r="1402" spans="1:10" s="2" customFormat="1">
      <c r="A1402" s="1"/>
      <c r="E1402"/>
      <c r="F1402"/>
      <c r="G1402"/>
      <c r="H1402"/>
      <c r="I1402"/>
      <c r="J1402"/>
    </row>
    <row r="1403" spans="1:10" s="2" customFormat="1">
      <c r="A1403" s="1"/>
      <c r="E1403"/>
      <c r="F1403"/>
      <c r="G1403"/>
      <c r="H1403"/>
      <c r="I1403"/>
      <c r="J1403"/>
    </row>
    <row r="1404" spans="1:10" s="2" customFormat="1">
      <c r="A1404" s="1"/>
      <c r="E1404"/>
      <c r="F1404"/>
      <c r="G1404"/>
      <c r="H1404"/>
      <c r="I1404"/>
      <c r="J1404"/>
    </row>
    <row r="1405" spans="1:10" s="2" customFormat="1">
      <c r="A1405" s="1"/>
      <c r="E1405"/>
      <c r="F1405"/>
      <c r="G1405"/>
      <c r="H1405"/>
      <c r="I1405"/>
      <c r="J1405"/>
    </row>
    <row r="1406" spans="1:10" s="2" customFormat="1">
      <c r="A1406" s="1"/>
      <c r="E1406"/>
      <c r="F1406"/>
      <c r="G1406"/>
      <c r="H1406"/>
      <c r="I1406"/>
      <c r="J1406"/>
    </row>
    <row r="1407" spans="1:10" s="2" customFormat="1">
      <c r="A1407" s="1"/>
      <c r="E1407"/>
      <c r="F1407"/>
      <c r="G1407"/>
      <c r="H1407"/>
      <c r="I1407"/>
      <c r="J1407"/>
    </row>
    <row r="1408" spans="1:10" s="2" customFormat="1">
      <c r="A1408" s="1"/>
      <c r="E1408"/>
      <c r="F1408"/>
      <c r="G1408"/>
      <c r="H1408"/>
      <c r="I1408"/>
      <c r="J1408"/>
    </row>
    <row r="1409" spans="1:10" s="2" customFormat="1">
      <c r="A1409" s="1"/>
      <c r="E1409"/>
      <c r="F1409"/>
      <c r="G1409"/>
      <c r="H1409"/>
      <c r="I1409"/>
      <c r="J1409"/>
    </row>
    <row r="1410" spans="1:10" s="2" customFormat="1">
      <c r="A1410" s="1"/>
      <c r="E1410"/>
      <c r="F1410"/>
      <c r="G1410"/>
      <c r="H1410"/>
      <c r="I1410"/>
      <c r="J1410"/>
    </row>
    <row r="1411" spans="1:10" s="2" customFormat="1">
      <c r="A1411" s="1"/>
      <c r="E1411"/>
      <c r="F1411"/>
      <c r="G1411"/>
      <c r="H1411"/>
      <c r="I1411"/>
      <c r="J1411"/>
    </row>
    <row r="1412" spans="1:10" s="2" customFormat="1">
      <c r="A1412" s="1"/>
      <c r="E1412"/>
      <c r="F1412"/>
      <c r="G1412"/>
      <c r="H1412"/>
      <c r="I1412"/>
      <c r="J1412"/>
    </row>
    <row r="1413" spans="1:10" s="2" customFormat="1">
      <c r="A1413" s="1"/>
      <c r="E1413"/>
      <c r="F1413"/>
      <c r="G1413"/>
      <c r="H1413"/>
      <c r="I1413"/>
      <c r="J1413"/>
    </row>
    <row r="1414" spans="1:10" s="2" customFormat="1">
      <c r="A1414" s="1"/>
      <c r="E1414"/>
      <c r="F1414"/>
      <c r="G1414"/>
      <c r="H1414"/>
      <c r="I1414"/>
      <c r="J1414"/>
    </row>
    <row r="1415" spans="1:10" s="2" customFormat="1">
      <c r="A1415" s="1"/>
      <c r="E1415"/>
      <c r="F1415"/>
      <c r="G1415"/>
      <c r="H1415"/>
      <c r="I1415"/>
      <c r="J1415"/>
    </row>
    <row r="1416" spans="1:10" s="2" customFormat="1">
      <c r="A1416" s="1"/>
      <c r="E1416"/>
      <c r="F1416"/>
      <c r="G1416"/>
      <c r="H1416"/>
      <c r="I1416"/>
      <c r="J1416"/>
    </row>
    <row r="1417" spans="1:10" s="2" customFormat="1">
      <c r="A1417" s="1"/>
      <c r="E1417"/>
      <c r="F1417"/>
      <c r="G1417"/>
      <c r="H1417"/>
      <c r="I1417"/>
      <c r="J1417"/>
    </row>
    <row r="1418" spans="1:10" s="2" customFormat="1">
      <c r="A1418" s="1"/>
      <c r="E1418"/>
      <c r="F1418"/>
      <c r="G1418"/>
      <c r="H1418"/>
      <c r="I1418"/>
      <c r="J1418"/>
    </row>
    <row r="1419" spans="1:10" s="2" customFormat="1">
      <c r="A1419" s="1"/>
      <c r="E1419"/>
      <c r="F1419"/>
      <c r="G1419"/>
      <c r="H1419"/>
      <c r="I1419"/>
      <c r="J1419"/>
    </row>
    <row r="1420" spans="1:10" s="2" customFormat="1">
      <c r="A1420" s="1"/>
      <c r="E1420"/>
      <c r="F1420"/>
      <c r="G1420"/>
      <c r="H1420"/>
      <c r="I1420"/>
      <c r="J1420"/>
    </row>
    <row r="1421" spans="1:10" s="2" customFormat="1">
      <c r="A1421" s="1"/>
      <c r="E1421"/>
      <c r="F1421"/>
      <c r="G1421"/>
      <c r="H1421"/>
      <c r="I1421"/>
      <c r="J1421"/>
    </row>
    <row r="1422" spans="1:10" s="2" customFormat="1">
      <c r="A1422" s="1"/>
      <c r="E1422"/>
      <c r="F1422"/>
      <c r="G1422"/>
      <c r="H1422"/>
      <c r="I1422"/>
      <c r="J1422"/>
    </row>
    <row r="1423" spans="1:10" s="2" customFormat="1">
      <c r="A1423" s="1"/>
      <c r="E1423"/>
      <c r="F1423"/>
      <c r="G1423"/>
      <c r="H1423"/>
      <c r="I1423"/>
      <c r="J1423"/>
    </row>
    <row r="1424" spans="1:10" s="2" customFormat="1">
      <c r="A1424" s="1"/>
      <c r="E1424"/>
      <c r="F1424"/>
      <c r="G1424"/>
      <c r="H1424"/>
      <c r="I1424"/>
      <c r="J1424"/>
    </row>
    <row r="1425" spans="1:10" s="2" customFormat="1">
      <c r="A1425" s="1"/>
      <c r="E1425"/>
      <c r="F1425"/>
      <c r="G1425"/>
      <c r="H1425"/>
      <c r="I1425"/>
      <c r="J1425"/>
    </row>
    <row r="1426" spans="1:10" s="2" customFormat="1">
      <c r="A1426" s="1"/>
      <c r="E1426"/>
      <c r="F1426"/>
      <c r="G1426"/>
      <c r="H1426"/>
      <c r="I1426"/>
      <c r="J1426"/>
    </row>
    <row r="1427" spans="1:10" s="2" customFormat="1">
      <c r="A1427" s="1"/>
      <c r="E1427"/>
      <c r="F1427"/>
      <c r="G1427"/>
      <c r="H1427"/>
      <c r="I1427"/>
      <c r="J1427"/>
    </row>
    <row r="1428" spans="1:10" s="2" customFormat="1">
      <c r="A1428" s="1"/>
      <c r="E1428"/>
      <c r="F1428"/>
      <c r="G1428"/>
      <c r="H1428"/>
      <c r="I1428"/>
      <c r="J1428"/>
    </row>
    <row r="1429" spans="1:10" s="2" customFormat="1">
      <c r="A1429" s="1"/>
      <c r="E1429"/>
      <c r="F1429"/>
      <c r="G1429"/>
      <c r="H1429"/>
      <c r="I1429"/>
      <c r="J1429"/>
    </row>
    <row r="1430" spans="1:10" s="2" customFormat="1">
      <c r="A1430" s="1"/>
      <c r="E1430"/>
      <c r="F1430"/>
      <c r="G1430"/>
      <c r="H1430"/>
      <c r="I1430"/>
      <c r="J1430"/>
    </row>
    <row r="1431" spans="1:10" s="2" customFormat="1">
      <c r="A1431" s="1"/>
      <c r="E1431"/>
      <c r="F1431"/>
      <c r="G1431"/>
      <c r="H1431"/>
      <c r="I1431"/>
      <c r="J1431"/>
    </row>
    <row r="1432" spans="1:10" s="2" customFormat="1">
      <c r="A1432" s="1"/>
      <c r="E1432"/>
      <c r="F1432"/>
      <c r="G1432"/>
      <c r="H1432"/>
      <c r="I1432"/>
      <c r="J1432"/>
    </row>
    <row r="1433" spans="1:10" s="2" customFormat="1">
      <c r="A1433" s="1"/>
      <c r="E1433"/>
      <c r="F1433"/>
      <c r="G1433"/>
      <c r="H1433"/>
      <c r="I1433"/>
      <c r="J1433"/>
    </row>
    <row r="1434" spans="1:10" s="2" customFormat="1">
      <c r="A1434" s="1"/>
      <c r="E1434"/>
      <c r="F1434"/>
      <c r="G1434"/>
      <c r="H1434"/>
      <c r="I1434"/>
      <c r="J1434"/>
    </row>
    <row r="1435" spans="1:10" s="2" customFormat="1">
      <c r="A1435" s="1"/>
      <c r="E1435"/>
      <c r="F1435"/>
      <c r="G1435"/>
      <c r="H1435"/>
      <c r="I1435"/>
      <c r="J1435"/>
    </row>
    <row r="1436" spans="1:10" s="2" customFormat="1">
      <c r="A1436" s="1"/>
      <c r="E1436"/>
      <c r="F1436"/>
      <c r="G1436"/>
      <c r="H1436"/>
      <c r="I1436"/>
      <c r="J1436"/>
    </row>
    <row r="1437" spans="1:10" s="2" customFormat="1">
      <c r="A1437" s="1"/>
      <c r="E1437"/>
      <c r="F1437"/>
      <c r="G1437"/>
      <c r="H1437"/>
      <c r="I1437"/>
      <c r="J1437"/>
    </row>
    <row r="1438" spans="1:10" s="2" customFormat="1">
      <c r="A1438" s="1"/>
      <c r="E1438"/>
      <c r="F1438"/>
      <c r="G1438"/>
      <c r="H1438"/>
      <c r="I1438"/>
      <c r="J1438"/>
    </row>
    <row r="1439" spans="1:10" s="2" customFormat="1">
      <c r="A1439" s="1"/>
      <c r="E1439"/>
      <c r="F1439"/>
      <c r="G1439"/>
      <c r="H1439"/>
      <c r="I1439"/>
      <c r="J1439"/>
    </row>
    <row r="1440" spans="1:10" s="2" customFormat="1">
      <c r="A1440" s="1"/>
      <c r="E1440"/>
      <c r="F1440"/>
      <c r="G1440"/>
      <c r="H1440"/>
      <c r="I1440"/>
      <c r="J1440"/>
    </row>
    <row r="1441" spans="1:10" s="2" customFormat="1">
      <c r="A1441" s="1"/>
      <c r="E1441"/>
      <c r="F1441"/>
      <c r="G1441"/>
      <c r="H1441"/>
      <c r="I1441"/>
      <c r="J1441"/>
    </row>
    <row r="1442" spans="1:10" s="2" customFormat="1">
      <c r="A1442" s="1"/>
      <c r="E1442"/>
      <c r="F1442"/>
      <c r="G1442"/>
      <c r="H1442"/>
      <c r="I1442"/>
      <c r="J1442"/>
    </row>
    <row r="1443" spans="1:10" s="2" customFormat="1">
      <c r="A1443" s="1"/>
      <c r="E1443"/>
      <c r="F1443"/>
      <c r="G1443"/>
      <c r="H1443"/>
      <c r="I1443"/>
      <c r="J1443"/>
    </row>
    <row r="1444" spans="1:10" s="2" customFormat="1">
      <c r="A1444" s="1"/>
      <c r="E1444"/>
      <c r="F1444"/>
      <c r="G1444"/>
      <c r="H1444"/>
      <c r="I1444"/>
      <c r="J1444"/>
    </row>
    <row r="1445" spans="1:10" s="2" customFormat="1">
      <c r="A1445" s="1"/>
      <c r="E1445"/>
      <c r="F1445"/>
      <c r="G1445"/>
      <c r="H1445"/>
      <c r="I1445"/>
      <c r="J1445"/>
    </row>
    <row r="1446" spans="1:10" s="2" customFormat="1">
      <c r="A1446" s="1"/>
      <c r="E1446"/>
      <c r="F1446"/>
      <c r="G1446"/>
      <c r="H1446"/>
      <c r="I1446"/>
      <c r="J1446"/>
    </row>
    <row r="1447" spans="1:10" s="2" customFormat="1">
      <c r="A1447" s="1"/>
      <c r="E1447"/>
      <c r="F1447"/>
      <c r="G1447"/>
      <c r="H1447"/>
      <c r="I1447"/>
      <c r="J1447"/>
    </row>
    <row r="1448" spans="1:10" s="2" customFormat="1">
      <c r="A1448" s="1"/>
      <c r="E1448"/>
      <c r="F1448"/>
      <c r="G1448"/>
      <c r="H1448"/>
      <c r="I1448"/>
      <c r="J1448"/>
    </row>
    <row r="1449" spans="1:10" s="2" customFormat="1">
      <c r="A1449" s="1"/>
      <c r="E1449"/>
      <c r="F1449"/>
      <c r="G1449"/>
      <c r="H1449"/>
      <c r="I1449"/>
      <c r="J1449"/>
    </row>
    <row r="1450" spans="1:10" s="2" customFormat="1">
      <c r="A1450" s="1"/>
      <c r="E1450"/>
      <c r="F1450"/>
      <c r="G1450"/>
      <c r="H1450"/>
      <c r="I1450"/>
      <c r="J1450"/>
    </row>
    <row r="1451" spans="1:10" s="2" customFormat="1">
      <c r="A1451" s="1"/>
      <c r="E1451"/>
      <c r="F1451"/>
      <c r="G1451"/>
      <c r="H1451"/>
      <c r="I1451"/>
      <c r="J1451"/>
    </row>
    <row r="1452" spans="1:10" s="2" customFormat="1">
      <c r="A1452" s="1"/>
      <c r="E1452"/>
      <c r="F1452"/>
      <c r="G1452"/>
      <c r="H1452"/>
      <c r="I1452"/>
      <c r="J1452"/>
    </row>
    <row r="1453" spans="1:10" s="2" customFormat="1">
      <c r="A1453" s="1"/>
      <c r="E1453"/>
      <c r="F1453"/>
      <c r="G1453"/>
      <c r="H1453"/>
      <c r="I1453"/>
      <c r="J1453"/>
    </row>
    <row r="1454" spans="1:10" s="2" customFormat="1">
      <c r="A1454" s="1"/>
      <c r="E1454"/>
      <c r="F1454"/>
      <c r="G1454"/>
      <c r="H1454"/>
      <c r="I1454"/>
      <c r="J1454"/>
    </row>
    <row r="1455" spans="1:10" s="2" customFormat="1">
      <c r="A1455" s="1"/>
      <c r="E1455"/>
      <c r="F1455"/>
      <c r="G1455"/>
      <c r="H1455"/>
      <c r="I1455"/>
      <c r="J1455"/>
    </row>
    <row r="1456" spans="1:10" s="2" customFormat="1">
      <c r="A1456" s="1"/>
      <c r="E1456"/>
      <c r="F1456"/>
      <c r="G1456"/>
      <c r="H1456"/>
      <c r="I1456"/>
      <c r="J1456"/>
    </row>
    <row r="1457" spans="1:10" s="2" customFormat="1">
      <c r="A1457" s="1"/>
      <c r="E1457"/>
      <c r="F1457"/>
      <c r="G1457"/>
      <c r="H1457"/>
      <c r="I1457"/>
      <c r="J1457"/>
    </row>
    <row r="1458" spans="1:10" s="2" customFormat="1">
      <c r="A1458" s="1"/>
      <c r="E1458"/>
      <c r="F1458"/>
      <c r="G1458"/>
      <c r="H1458"/>
      <c r="I1458"/>
      <c r="J1458"/>
    </row>
    <row r="1459" spans="1:10" s="2" customFormat="1">
      <c r="A1459" s="1"/>
      <c r="E1459"/>
      <c r="F1459"/>
      <c r="G1459"/>
      <c r="H1459"/>
      <c r="I1459"/>
      <c r="J1459"/>
    </row>
    <row r="1460" spans="1:10" s="2" customFormat="1">
      <c r="A1460" s="1"/>
      <c r="E1460"/>
      <c r="F1460"/>
      <c r="G1460"/>
      <c r="H1460"/>
      <c r="I1460"/>
      <c r="J1460"/>
    </row>
    <row r="1461" spans="1:10" s="2" customFormat="1">
      <c r="A1461" s="1"/>
      <c r="E1461"/>
      <c r="F1461"/>
      <c r="G1461"/>
      <c r="H1461"/>
      <c r="I1461"/>
      <c r="J1461"/>
    </row>
    <row r="1462" spans="1:10" s="2" customFormat="1">
      <c r="A1462" s="1"/>
      <c r="E1462"/>
      <c r="F1462"/>
      <c r="G1462"/>
      <c r="H1462"/>
      <c r="I1462"/>
      <c r="J1462"/>
    </row>
    <row r="1463" spans="1:10" s="2" customFormat="1">
      <c r="A1463" s="1"/>
      <c r="E1463"/>
      <c r="F1463"/>
      <c r="G1463"/>
      <c r="H1463"/>
      <c r="I1463"/>
      <c r="J1463"/>
    </row>
    <row r="1464" spans="1:10" s="2" customFormat="1">
      <c r="A1464" s="1"/>
      <c r="E1464"/>
      <c r="F1464"/>
      <c r="G1464"/>
      <c r="H1464"/>
      <c r="I1464"/>
      <c r="J1464"/>
    </row>
    <row r="1465" spans="1:10" s="2" customFormat="1">
      <c r="A1465" s="1"/>
      <c r="E1465"/>
      <c r="F1465"/>
      <c r="G1465"/>
      <c r="H1465"/>
      <c r="I1465"/>
      <c r="J1465"/>
    </row>
    <row r="1466" spans="1:10" s="2" customFormat="1">
      <c r="A1466" s="1"/>
      <c r="E1466"/>
      <c r="F1466"/>
      <c r="G1466"/>
      <c r="H1466"/>
      <c r="I1466"/>
      <c r="J1466"/>
    </row>
    <row r="1467" spans="1:10" s="2" customFormat="1">
      <c r="A1467" s="1"/>
      <c r="E1467"/>
      <c r="F1467"/>
      <c r="G1467"/>
      <c r="H1467"/>
      <c r="I1467"/>
      <c r="J1467"/>
    </row>
    <row r="1468" spans="1:10" s="2" customFormat="1">
      <c r="A1468" s="1"/>
      <c r="E1468"/>
      <c r="F1468"/>
      <c r="G1468"/>
      <c r="H1468"/>
      <c r="I1468"/>
      <c r="J1468"/>
    </row>
    <row r="1469" spans="1:10" s="2" customFormat="1">
      <c r="A1469" s="1"/>
      <c r="E1469"/>
      <c r="F1469"/>
      <c r="G1469"/>
      <c r="H1469"/>
      <c r="I1469"/>
      <c r="J1469"/>
    </row>
    <row r="1470" spans="1:10" s="2" customFormat="1">
      <c r="A1470" s="1"/>
      <c r="E1470"/>
      <c r="F1470"/>
      <c r="G1470"/>
      <c r="H1470"/>
      <c r="I1470"/>
      <c r="J1470"/>
    </row>
    <row r="1471" spans="1:10" s="2" customFormat="1">
      <c r="A1471" s="1"/>
      <c r="E1471"/>
      <c r="F1471"/>
      <c r="G1471"/>
      <c r="H1471"/>
      <c r="I1471"/>
      <c r="J1471"/>
    </row>
    <row r="1472" spans="1:10" s="2" customFormat="1">
      <c r="A1472" s="1"/>
      <c r="E1472"/>
      <c r="F1472"/>
      <c r="G1472"/>
      <c r="H1472"/>
      <c r="I1472"/>
      <c r="J1472"/>
    </row>
    <row r="1473" spans="1:10" s="2" customFormat="1">
      <c r="A1473" s="1"/>
      <c r="E1473"/>
      <c r="F1473"/>
      <c r="G1473"/>
      <c r="H1473"/>
      <c r="I1473"/>
      <c r="J1473"/>
    </row>
    <row r="1474" spans="1:10" s="2" customFormat="1">
      <c r="A1474" s="1"/>
      <c r="E1474"/>
      <c r="F1474"/>
      <c r="G1474"/>
      <c r="H1474"/>
      <c r="I1474"/>
      <c r="J1474"/>
    </row>
    <row r="1475" spans="1:10" s="2" customFormat="1">
      <c r="A1475" s="1"/>
      <c r="E1475"/>
      <c r="F1475"/>
      <c r="G1475"/>
      <c r="H1475"/>
      <c r="I1475"/>
      <c r="J1475"/>
    </row>
    <row r="1476" spans="1:10" s="2" customFormat="1">
      <c r="A1476" s="1"/>
      <c r="E1476"/>
      <c r="F1476"/>
      <c r="G1476"/>
      <c r="H1476"/>
      <c r="I1476"/>
      <c r="J1476"/>
    </row>
    <row r="1477" spans="1:10" s="2" customFormat="1">
      <c r="A1477" s="1"/>
      <c r="E1477"/>
      <c r="F1477"/>
      <c r="G1477"/>
      <c r="H1477"/>
      <c r="I1477"/>
      <c r="J1477"/>
    </row>
    <row r="1478" spans="1:10" s="2" customFormat="1">
      <c r="A1478" s="1"/>
      <c r="E1478"/>
      <c r="F1478"/>
      <c r="G1478"/>
      <c r="H1478"/>
      <c r="I1478"/>
      <c r="J1478"/>
    </row>
    <row r="1479" spans="1:10" s="2" customFormat="1">
      <c r="A1479" s="1"/>
      <c r="E1479"/>
      <c r="F1479"/>
      <c r="G1479"/>
      <c r="H1479"/>
      <c r="I1479"/>
      <c r="J1479"/>
    </row>
    <row r="1480" spans="1:10" s="2" customFormat="1">
      <c r="A1480" s="1"/>
      <c r="E1480"/>
      <c r="F1480"/>
      <c r="G1480"/>
      <c r="H1480"/>
      <c r="I1480"/>
      <c r="J1480"/>
    </row>
    <row r="1481" spans="1:10" s="2" customFormat="1">
      <c r="A1481" s="1"/>
      <c r="E1481"/>
      <c r="F1481"/>
      <c r="G1481"/>
      <c r="H1481"/>
      <c r="I1481"/>
      <c r="J1481"/>
    </row>
    <row r="1482" spans="1:10" s="2" customFormat="1">
      <c r="A1482" s="1"/>
      <c r="E1482"/>
      <c r="F1482"/>
      <c r="G1482"/>
      <c r="H1482"/>
      <c r="I1482"/>
      <c r="J1482"/>
    </row>
    <row r="1483" spans="1:10" s="2" customFormat="1">
      <c r="A1483" s="1"/>
      <c r="E1483"/>
      <c r="F1483"/>
      <c r="G1483"/>
      <c r="H1483"/>
      <c r="I1483"/>
      <c r="J1483"/>
    </row>
    <row r="1484" spans="1:10" s="2" customFormat="1">
      <c r="A1484" s="1"/>
      <c r="E1484"/>
      <c r="F1484"/>
      <c r="G1484"/>
      <c r="H1484"/>
      <c r="I1484"/>
      <c r="J1484"/>
    </row>
    <row r="1485" spans="1:10" s="2" customFormat="1">
      <c r="A1485" s="1"/>
      <c r="E1485"/>
      <c r="F1485"/>
      <c r="G1485"/>
      <c r="H1485"/>
      <c r="I1485"/>
      <c r="J1485"/>
    </row>
    <row r="1486" spans="1:10" s="2" customFormat="1">
      <c r="A1486" s="1"/>
      <c r="E1486"/>
      <c r="F1486"/>
      <c r="G1486"/>
      <c r="H1486"/>
      <c r="I1486"/>
      <c r="J1486"/>
    </row>
    <row r="1487" spans="1:10" s="2" customFormat="1">
      <c r="A1487" s="1"/>
      <c r="E1487"/>
      <c r="F1487"/>
      <c r="G1487"/>
      <c r="H1487"/>
      <c r="I1487"/>
      <c r="J1487"/>
    </row>
    <row r="1488" spans="1:10" s="2" customFormat="1">
      <c r="A1488" s="1"/>
      <c r="E1488"/>
      <c r="F1488"/>
      <c r="G1488"/>
      <c r="H1488"/>
      <c r="I1488"/>
      <c r="J1488"/>
    </row>
    <row r="1489" spans="1:10" s="2" customFormat="1">
      <c r="A1489" s="1"/>
      <c r="E1489"/>
      <c r="F1489"/>
      <c r="G1489"/>
      <c r="H1489"/>
      <c r="I1489"/>
      <c r="J1489"/>
    </row>
    <row r="1490" spans="1:10" s="2" customFormat="1">
      <c r="A1490" s="1"/>
      <c r="E1490"/>
      <c r="F1490"/>
      <c r="G1490"/>
      <c r="H1490"/>
      <c r="I1490"/>
      <c r="J1490"/>
    </row>
    <row r="1491" spans="1:10" s="2" customFormat="1">
      <c r="A1491" s="1"/>
      <c r="E1491"/>
      <c r="F1491"/>
      <c r="G1491"/>
      <c r="H1491"/>
      <c r="I1491"/>
      <c r="J1491"/>
    </row>
    <row r="1492" spans="1:10" s="2" customFormat="1">
      <c r="A1492" s="1"/>
      <c r="E1492"/>
      <c r="F1492"/>
      <c r="G1492"/>
      <c r="H1492"/>
      <c r="I1492"/>
      <c r="J1492"/>
    </row>
    <row r="1493" spans="1:10" s="2" customFormat="1">
      <c r="A1493" s="1"/>
      <c r="E1493"/>
      <c r="F1493"/>
      <c r="G1493"/>
      <c r="H1493"/>
      <c r="I1493"/>
      <c r="J1493"/>
    </row>
    <row r="1494" spans="1:10" s="2" customFormat="1">
      <c r="A1494" s="1"/>
      <c r="E1494"/>
      <c r="F1494"/>
      <c r="G1494"/>
      <c r="H1494"/>
      <c r="I1494"/>
      <c r="J1494"/>
    </row>
    <row r="1495" spans="1:10" s="2" customFormat="1">
      <c r="A1495" s="1"/>
      <c r="E1495"/>
      <c r="F1495"/>
      <c r="G1495"/>
      <c r="H1495"/>
      <c r="I1495"/>
      <c r="J1495"/>
    </row>
    <row r="1496" spans="1:10" s="2" customFormat="1">
      <c r="A1496" s="1"/>
      <c r="E1496"/>
      <c r="F1496"/>
      <c r="G1496"/>
      <c r="H1496"/>
      <c r="I1496"/>
      <c r="J1496"/>
    </row>
    <row r="1497" spans="1:10" s="2" customFormat="1">
      <c r="A1497" s="1"/>
      <c r="E1497"/>
      <c r="F1497"/>
      <c r="G1497"/>
      <c r="H1497"/>
      <c r="I1497"/>
      <c r="J1497"/>
    </row>
    <row r="1498" spans="1:10" s="2" customFormat="1">
      <c r="A1498" s="1"/>
      <c r="E1498"/>
      <c r="F1498"/>
      <c r="G1498"/>
      <c r="H1498"/>
      <c r="I1498"/>
      <c r="J1498"/>
    </row>
    <row r="1499" spans="1:10" s="2" customFormat="1">
      <c r="A1499" s="1"/>
      <c r="E1499"/>
      <c r="F1499"/>
      <c r="G1499"/>
      <c r="H1499"/>
      <c r="I1499"/>
      <c r="J1499"/>
    </row>
    <row r="1500" spans="1:10" s="2" customFormat="1">
      <c r="A1500" s="1"/>
      <c r="E1500"/>
      <c r="F1500"/>
      <c r="G1500"/>
      <c r="H1500"/>
      <c r="I1500"/>
      <c r="J1500"/>
    </row>
    <row r="1501" spans="1:10" s="2" customFormat="1">
      <c r="A1501" s="1"/>
      <c r="E1501"/>
      <c r="F1501"/>
      <c r="G1501"/>
      <c r="H1501"/>
      <c r="I1501"/>
      <c r="J1501"/>
    </row>
    <row r="1502" spans="1:10" s="2" customFormat="1">
      <c r="A1502" s="1"/>
      <c r="E1502"/>
      <c r="F1502"/>
      <c r="G1502"/>
      <c r="H1502"/>
      <c r="I1502"/>
      <c r="J1502"/>
    </row>
    <row r="1503" spans="1:10" s="2" customFormat="1">
      <c r="A1503" s="1"/>
      <c r="E1503"/>
      <c r="F1503"/>
      <c r="G1503"/>
      <c r="H1503"/>
      <c r="I1503"/>
      <c r="J1503"/>
    </row>
    <row r="1504" spans="1:10" s="2" customFormat="1">
      <c r="A1504" s="1"/>
      <c r="E1504"/>
      <c r="F1504"/>
      <c r="G1504"/>
      <c r="H1504"/>
      <c r="I1504"/>
      <c r="J1504"/>
    </row>
    <row r="1505" spans="1:10" s="2" customFormat="1">
      <c r="A1505" s="1"/>
      <c r="E1505"/>
      <c r="F1505"/>
      <c r="G1505"/>
      <c r="H1505"/>
      <c r="I1505"/>
      <c r="J1505"/>
    </row>
    <row r="1506" spans="1:10" s="2" customFormat="1">
      <c r="A1506" s="1"/>
      <c r="E1506"/>
      <c r="F1506"/>
      <c r="G1506"/>
      <c r="H1506"/>
      <c r="I1506"/>
      <c r="J1506"/>
    </row>
    <row r="1507" spans="1:10" s="2" customFormat="1">
      <c r="A1507" s="1"/>
      <c r="E1507"/>
      <c r="F1507"/>
      <c r="G1507"/>
      <c r="H1507"/>
      <c r="I1507"/>
      <c r="J1507"/>
    </row>
    <row r="1508" spans="1:10" s="2" customFormat="1">
      <c r="A1508" s="1"/>
      <c r="E1508"/>
      <c r="F1508"/>
      <c r="G1508"/>
      <c r="H1508"/>
      <c r="I1508"/>
      <c r="J1508"/>
    </row>
    <row r="1509" spans="1:10" s="2" customFormat="1">
      <c r="A1509" s="1"/>
      <c r="E1509"/>
      <c r="F1509"/>
      <c r="G1509"/>
      <c r="H1509"/>
      <c r="I1509"/>
      <c r="J1509"/>
    </row>
    <row r="1510" spans="1:10" s="2" customFormat="1">
      <c r="A1510" s="1"/>
      <c r="E1510"/>
      <c r="F1510"/>
      <c r="G1510"/>
      <c r="H1510"/>
      <c r="I1510"/>
      <c r="J1510"/>
    </row>
    <row r="1511" spans="1:10" s="2" customFormat="1">
      <c r="A1511" s="1"/>
      <c r="E1511"/>
      <c r="F1511"/>
      <c r="G1511"/>
      <c r="H1511"/>
      <c r="I1511"/>
      <c r="J1511"/>
    </row>
    <row r="1512" spans="1:10" s="2" customFormat="1">
      <c r="A1512" s="1"/>
      <c r="E1512"/>
      <c r="F1512"/>
      <c r="G1512"/>
      <c r="H1512"/>
      <c r="I1512"/>
      <c r="J1512"/>
    </row>
    <row r="1513" spans="1:10" s="2" customFormat="1">
      <c r="A1513" s="1"/>
      <c r="E1513"/>
      <c r="F1513"/>
      <c r="G1513"/>
      <c r="H1513"/>
      <c r="I1513"/>
      <c r="J1513"/>
    </row>
    <row r="1514" spans="1:10" s="2" customFormat="1">
      <c r="A1514" s="1"/>
      <c r="E1514"/>
      <c r="F1514"/>
      <c r="G1514"/>
      <c r="H1514"/>
      <c r="I1514"/>
      <c r="J1514"/>
    </row>
    <row r="1515" spans="1:10" s="2" customFormat="1">
      <c r="A1515" s="1"/>
      <c r="E1515"/>
      <c r="F1515"/>
      <c r="G1515"/>
      <c r="H1515"/>
      <c r="I1515"/>
      <c r="J1515"/>
    </row>
    <row r="1516" spans="1:10" s="2" customFormat="1">
      <c r="A1516" s="1"/>
      <c r="E1516"/>
      <c r="F1516"/>
      <c r="G1516"/>
      <c r="H1516"/>
      <c r="I1516"/>
      <c r="J1516"/>
    </row>
    <row r="1517" spans="1:10" s="2" customFormat="1">
      <c r="A1517" s="1"/>
      <c r="E1517"/>
      <c r="F1517"/>
      <c r="G1517"/>
      <c r="H1517"/>
      <c r="I1517"/>
      <c r="J1517"/>
    </row>
    <row r="1518" spans="1:10" s="2" customFormat="1">
      <c r="A1518" s="1"/>
      <c r="E1518"/>
      <c r="F1518"/>
      <c r="G1518"/>
      <c r="H1518"/>
      <c r="I1518"/>
      <c r="J1518"/>
    </row>
    <row r="1519" spans="1:10" s="2" customFormat="1">
      <c r="A1519" s="1"/>
      <c r="E1519"/>
      <c r="F1519"/>
      <c r="G1519"/>
      <c r="H1519"/>
      <c r="I1519"/>
      <c r="J1519"/>
    </row>
    <row r="1520" spans="1:10" s="2" customFormat="1">
      <c r="A1520" s="1"/>
      <c r="E1520"/>
      <c r="F1520"/>
      <c r="G1520"/>
      <c r="H1520"/>
      <c r="I1520"/>
      <c r="J1520"/>
    </row>
    <row r="1521" spans="1:10" s="2" customFormat="1">
      <c r="A1521" s="1"/>
      <c r="E1521"/>
      <c r="F1521"/>
      <c r="G1521"/>
      <c r="H1521"/>
      <c r="I1521"/>
      <c r="J1521"/>
    </row>
    <row r="1522" spans="1:10" s="2" customFormat="1">
      <c r="A1522" s="1"/>
      <c r="E1522"/>
      <c r="F1522"/>
      <c r="G1522"/>
      <c r="H1522"/>
      <c r="I1522"/>
      <c r="J1522"/>
    </row>
    <row r="1523" spans="1:10" s="2" customFormat="1">
      <c r="A1523" s="1"/>
      <c r="E1523"/>
      <c r="F1523"/>
      <c r="G1523"/>
      <c r="H1523"/>
      <c r="I1523"/>
      <c r="J1523"/>
    </row>
    <row r="1524" spans="1:10" s="2" customFormat="1">
      <c r="A1524" s="1"/>
      <c r="E1524"/>
      <c r="F1524"/>
      <c r="G1524"/>
      <c r="H1524"/>
      <c r="I1524"/>
      <c r="J1524"/>
    </row>
    <row r="1525" spans="1:10" s="2" customFormat="1">
      <c r="A1525" s="1"/>
      <c r="E1525"/>
      <c r="F1525"/>
      <c r="G1525"/>
      <c r="H1525"/>
      <c r="I1525"/>
      <c r="J1525"/>
    </row>
    <row r="1526" spans="1:10" s="2" customFormat="1">
      <c r="A1526" s="1"/>
      <c r="E1526"/>
      <c r="F1526"/>
      <c r="G1526"/>
      <c r="H1526"/>
      <c r="I1526"/>
      <c r="J1526"/>
    </row>
    <row r="1527" spans="1:10" s="2" customFormat="1">
      <c r="A1527" s="1"/>
      <c r="E1527"/>
      <c r="F1527"/>
      <c r="G1527"/>
      <c r="H1527"/>
      <c r="I1527"/>
      <c r="J1527"/>
    </row>
    <row r="1528" spans="1:10" s="2" customFormat="1">
      <c r="A1528" s="1"/>
      <c r="E1528"/>
      <c r="F1528"/>
      <c r="G1528"/>
      <c r="H1528"/>
      <c r="I1528"/>
      <c r="J1528"/>
    </row>
    <row r="1529" spans="1:10" s="2" customFormat="1">
      <c r="A1529" s="1"/>
      <c r="E1529"/>
      <c r="F1529"/>
      <c r="G1529"/>
      <c r="H1529"/>
      <c r="I1529"/>
      <c r="J1529"/>
    </row>
    <row r="1530" spans="1:10" s="2" customFormat="1">
      <c r="A1530" s="1"/>
      <c r="E1530"/>
      <c r="F1530"/>
      <c r="G1530"/>
      <c r="H1530"/>
      <c r="I1530"/>
      <c r="J1530"/>
    </row>
    <row r="1531" spans="1:10" s="2" customFormat="1">
      <c r="A1531" s="1"/>
      <c r="E1531"/>
      <c r="F1531"/>
      <c r="G1531"/>
      <c r="H1531"/>
      <c r="I1531"/>
      <c r="J1531"/>
    </row>
    <row r="1532" spans="1:10" s="2" customFormat="1">
      <c r="A1532" s="1"/>
      <c r="E1532"/>
      <c r="F1532"/>
      <c r="G1532"/>
      <c r="H1532"/>
      <c r="I1532"/>
      <c r="J1532"/>
    </row>
    <row r="1533" spans="1:10" s="2" customFormat="1">
      <c r="A1533" s="1"/>
      <c r="E1533"/>
      <c r="F1533"/>
      <c r="G1533"/>
      <c r="H1533"/>
      <c r="I1533"/>
      <c r="J1533"/>
    </row>
    <row r="1534" spans="1:10" s="2" customFormat="1">
      <c r="A1534" s="1"/>
      <c r="E1534"/>
      <c r="F1534"/>
      <c r="G1534"/>
      <c r="H1534"/>
      <c r="I1534"/>
      <c r="J1534"/>
    </row>
    <row r="1535" spans="1:10" s="2" customFormat="1">
      <c r="A1535" s="1"/>
      <c r="E1535"/>
      <c r="F1535"/>
      <c r="G1535"/>
      <c r="H1535"/>
      <c r="I1535"/>
      <c r="J1535"/>
    </row>
    <row r="1536" spans="1:10" s="2" customFormat="1">
      <c r="A1536" s="1"/>
      <c r="E1536"/>
      <c r="F1536"/>
      <c r="G1536"/>
      <c r="H1536"/>
      <c r="I1536"/>
      <c r="J1536"/>
    </row>
    <row r="1537" spans="1:10" s="2" customFormat="1">
      <c r="A1537" s="1"/>
      <c r="E1537"/>
      <c r="F1537"/>
      <c r="G1537"/>
      <c r="H1537"/>
      <c r="I1537"/>
      <c r="J1537"/>
    </row>
    <row r="1538" spans="1:10" s="2" customFormat="1">
      <c r="A1538" s="1"/>
      <c r="E1538"/>
      <c r="F1538"/>
      <c r="G1538"/>
      <c r="H1538"/>
      <c r="I1538"/>
      <c r="J1538"/>
    </row>
    <row r="1539" spans="1:10" s="2" customFormat="1">
      <c r="A1539" s="1"/>
      <c r="E1539"/>
      <c r="F1539"/>
      <c r="G1539"/>
      <c r="H1539"/>
      <c r="I1539"/>
      <c r="J1539"/>
    </row>
    <row r="1540" spans="1:10" s="2" customFormat="1">
      <c r="A1540" s="1"/>
      <c r="E1540"/>
      <c r="F1540"/>
      <c r="G1540"/>
      <c r="H1540"/>
      <c r="I1540"/>
      <c r="J1540"/>
    </row>
    <row r="1541" spans="1:10" s="2" customFormat="1">
      <c r="A1541" s="1"/>
      <c r="E1541"/>
      <c r="F1541"/>
      <c r="G1541"/>
      <c r="H1541"/>
      <c r="I1541"/>
      <c r="J1541"/>
    </row>
    <row r="1542" spans="1:10" s="2" customFormat="1">
      <c r="A1542" s="1"/>
      <c r="E1542"/>
      <c r="F1542"/>
      <c r="G1542"/>
      <c r="H1542"/>
      <c r="I1542"/>
      <c r="J1542"/>
    </row>
    <row r="1543" spans="1:10" s="2" customFormat="1">
      <c r="A1543" s="1"/>
      <c r="E1543"/>
      <c r="F1543"/>
      <c r="G1543"/>
      <c r="H1543"/>
      <c r="I1543"/>
      <c r="J1543"/>
    </row>
    <row r="1544" spans="1:10" s="2" customFormat="1">
      <c r="A1544" s="1"/>
      <c r="E1544"/>
      <c r="F1544"/>
      <c r="G1544"/>
      <c r="H1544"/>
      <c r="I1544"/>
      <c r="J1544"/>
    </row>
    <row r="1545" spans="1:10" s="2" customFormat="1">
      <c r="A1545" s="1"/>
      <c r="E1545"/>
      <c r="F1545"/>
      <c r="G1545"/>
      <c r="H1545"/>
      <c r="I1545"/>
      <c r="J1545"/>
    </row>
    <row r="1546" spans="1:10" s="2" customFormat="1">
      <c r="A1546" s="1"/>
      <c r="E1546"/>
      <c r="F1546"/>
      <c r="G1546"/>
      <c r="H1546"/>
      <c r="I1546"/>
      <c r="J1546"/>
    </row>
    <row r="1547" spans="1:10" s="2" customFormat="1">
      <c r="A1547" s="1"/>
      <c r="E1547"/>
      <c r="F1547"/>
      <c r="G1547"/>
      <c r="H1547"/>
      <c r="I1547"/>
      <c r="J1547"/>
    </row>
    <row r="1548" spans="1:10" s="2" customFormat="1">
      <c r="A1548" s="1"/>
      <c r="E1548"/>
      <c r="F1548"/>
      <c r="G1548"/>
      <c r="H1548"/>
      <c r="I1548"/>
      <c r="J1548"/>
    </row>
    <row r="1549" spans="1:10" s="2" customFormat="1">
      <c r="A1549" s="1"/>
      <c r="E1549"/>
      <c r="F1549"/>
      <c r="G1549"/>
      <c r="H1549"/>
      <c r="I1549"/>
      <c r="J1549"/>
    </row>
    <row r="1550" spans="1:10" s="2" customFormat="1">
      <c r="A1550" s="1"/>
      <c r="E1550"/>
      <c r="F1550"/>
      <c r="G1550"/>
      <c r="H1550"/>
      <c r="I1550"/>
      <c r="J1550"/>
    </row>
    <row r="1551" spans="1:10" s="2" customFormat="1">
      <c r="A1551" s="1"/>
      <c r="E1551"/>
      <c r="F1551"/>
      <c r="G1551"/>
      <c r="H1551"/>
      <c r="I1551"/>
      <c r="J1551"/>
    </row>
    <row r="1552" spans="1:10" s="2" customFormat="1">
      <c r="A1552" s="1"/>
      <c r="E1552"/>
      <c r="F1552"/>
      <c r="G1552"/>
      <c r="H1552"/>
      <c r="I1552"/>
      <c r="J1552"/>
    </row>
    <row r="1553" spans="1:10" s="2" customFormat="1">
      <c r="A1553" s="1"/>
      <c r="E1553"/>
      <c r="F1553"/>
      <c r="G1553"/>
      <c r="H1553"/>
      <c r="I1553"/>
      <c r="J1553"/>
    </row>
    <row r="1554" spans="1:10" s="2" customFormat="1">
      <c r="A1554" s="1"/>
      <c r="E1554"/>
      <c r="F1554"/>
      <c r="G1554"/>
      <c r="H1554"/>
      <c r="I1554"/>
      <c r="J1554"/>
    </row>
    <row r="1555" spans="1:10" s="2" customFormat="1">
      <c r="A1555" s="1"/>
      <c r="E1555"/>
      <c r="F1555"/>
      <c r="G1555"/>
      <c r="H1555"/>
      <c r="I1555"/>
      <c r="J1555"/>
    </row>
    <row r="1556" spans="1:10" s="2" customFormat="1">
      <c r="A1556" s="1"/>
      <c r="E1556"/>
      <c r="F1556"/>
      <c r="G1556"/>
      <c r="H1556"/>
      <c r="I1556"/>
      <c r="J1556"/>
    </row>
    <row r="1557" spans="1:10" s="2" customFormat="1">
      <c r="A1557" s="1"/>
      <c r="E1557"/>
      <c r="F1557"/>
      <c r="G1557"/>
      <c r="H1557"/>
      <c r="I1557"/>
      <c r="J1557"/>
    </row>
    <row r="1558" spans="1:10" s="2" customFormat="1">
      <c r="A1558" s="1"/>
      <c r="E1558"/>
      <c r="F1558"/>
      <c r="G1558"/>
      <c r="H1558"/>
      <c r="I1558"/>
      <c r="J1558"/>
    </row>
    <row r="1559" spans="1:10" s="2" customFormat="1">
      <c r="A1559" s="1"/>
      <c r="E1559"/>
      <c r="F1559"/>
      <c r="G1559"/>
      <c r="H1559"/>
      <c r="I1559"/>
      <c r="J1559"/>
    </row>
    <row r="1560" spans="1:10" s="2" customFormat="1">
      <c r="A1560" s="1"/>
      <c r="E1560"/>
      <c r="F1560"/>
      <c r="G1560"/>
      <c r="H1560"/>
      <c r="I1560"/>
      <c r="J1560"/>
    </row>
    <row r="1561" spans="1:10" s="2" customFormat="1">
      <c r="A1561" s="1"/>
      <c r="E1561"/>
      <c r="F1561"/>
      <c r="G1561"/>
      <c r="H1561"/>
      <c r="I1561"/>
      <c r="J1561"/>
    </row>
    <row r="1562" spans="1:10" s="2" customFormat="1">
      <c r="A1562" s="1"/>
      <c r="E1562"/>
      <c r="F1562"/>
      <c r="G1562"/>
      <c r="H1562"/>
      <c r="I1562"/>
      <c r="J1562"/>
    </row>
    <row r="1563" spans="1:10" s="2" customFormat="1">
      <c r="A1563" s="1"/>
      <c r="E1563"/>
      <c r="F1563"/>
      <c r="G1563"/>
      <c r="H1563"/>
      <c r="I1563"/>
      <c r="J1563"/>
    </row>
    <row r="1564" spans="1:10" s="2" customFormat="1">
      <c r="A1564" s="1"/>
      <c r="E1564"/>
      <c r="F1564"/>
      <c r="G1564"/>
      <c r="H1564"/>
      <c r="I1564"/>
      <c r="J1564"/>
    </row>
    <row r="1565" spans="1:10" s="2" customFormat="1">
      <c r="A1565" s="1"/>
      <c r="E1565"/>
      <c r="F1565"/>
      <c r="G1565"/>
      <c r="H1565"/>
      <c r="I1565"/>
      <c r="J1565"/>
    </row>
    <row r="1566" spans="1:10" s="2" customFormat="1">
      <c r="A1566" s="1"/>
      <c r="E1566"/>
      <c r="F1566"/>
      <c r="G1566"/>
      <c r="H1566"/>
      <c r="I1566"/>
      <c r="J1566"/>
    </row>
    <row r="1567" spans="1:10" s="2" customFormat="1">
      <c r="A1567" s="1"/>
      <c r="E1567"/>
      <c r="F1567"/>
      <c r="G1567"/>
      <c r="H1567"/>
      <c r="I1567"/>
      <c r="J1567"/>
    </row>
    <row r="1568" spans="1:10" s="2" customFormat="1">
      <c r="A1568" s="1"/>
      <c r="E1568"/>
      <c r="F1568"/>
      <c r="G1568"/>
      <c r="H1568"/>
      <c r="I1568"/>
      <c r="J1568"/>
    </row>
    <row r="1569" spans="1:10" s="2" customFormat="1">
      <c r="A1569" s="1"/>
      <c r="E1569"/>
      <c r="F1569"/>
      <c r="G1569"/>
      <c r="H1569"/>
      <c r="I1569"/>
      <c r="J1569"/>
    </row>
    <row r="1570" spans="1:10" s="2" customFormat="1">
      <c r="A1570" s="1"/>
      <c r="E1570"/>
      <c r="F1570"/>
      <c r="G1570"/>
      <c r="H1570"/>
      <c r="I1570"/>
      <c r="J1570"/>
    </row>
    <row r="1571" spans="1:10" s="2" customFormat="1">
      <c r="A1571" s="1"/>
      <c r="E1571"/>
      <c r="F1571"/>
      <c r="G1571"/>
      <c r="H1571"/>
      <c r="I1571"/>
      <c r="J1571"/>
    </row>
    <row r="1572" spans="1:10" s="2" customFormat="1">
      <c r="A1572" s="1"/>
      <c r="E1572"/>
      <c r="F1572"/>
      <c r="G1572"/>
      <c r="H1572"/>
      <c r="I1572"/>
      <c r="J1572"/>
    </row>
    <row r="1573" spans="1:10" s="2" customFormat="1">
      <c r="A1573" s="1"/>
      <c r="E1573"/>
      <c r="F1573"/>
      <c r="G1573"/>
      <c r="H1573"/>
      <c r="I1573"/>
      <c r="J1573"/>
    </row>
    <row r="1574" spans="1:10" s="2" customFormat="1">
      <c r="A1574" s="1"/>
      <c r="E1574"/>
      <c r="F1574"/>
      <c r="G1574"/>
      <c r="H1574"/>
      <c r="I1574"/>
      <c r="J1574"/>
    </row>
    <row r="1575" spans="1:10" s="2" customFormat="1">
      <c r="A1575" s="1"/>
      <c r="E1575"/>
      <c r="F1575"/>
      <c r="G1575"/>
      <c r="H1575"/>
      <c r="I1575"/>
      <c r="J1575"/>
    </row>
    <row r="1576" spans="1:10" s="2" customFormat="1">
      <c r="A1576" s="1"/>
      <c r="E1576"/>
      <c r="F1576"/>
      <c r="G1576"/>
      <c r="H1576"/>
      <c r="I1576"/>
      <c r="J1576"/>
    </row>
    <row r="1577" spans="1:10" s="2" customFormat="1">
      <c r="A1577" s="1"/>
      <c r="E1577"/>
      <c r="F1577"/>
      <c r="G1577"/>
      <c r="H1577"/>
      <c r="I1577"/>
      <c r="J1577"/>
    </row>
    <row r="1578" spans="1:10" s="2" customFormat="1">
      <c r="A1578" s="1"/>
      <c r="E1578"/>
      <c r="F1578"/>
      <c r="G1578"/>
      <c r="H1578"/>
      <c r="I1578"/>
      <c r="J1578"/>
    </row>
    <row r="1579" spans="1:10" s="2" customFormat="1">
      <c r="A1579" s="1"/>
      <c r="E1579"/>
      <c r="F1579"/>
      <c r="G1579"/>
      <c r="H1579"/>
      <c r="I1579"/>
      <c r="J1579"/>
    </row>
    <row r="1580" spans="1:10" s="2" customFormat="1">
      <c r="A1580" s="1"/>
      <c r="E1580"/>
      <c r="F1580"/>
      <c r="G1580"/>
      <c r="H1580"/>
      <c r="I1580"/>
      <c r="J1580"/>
    </row>
    <row r="1581" spans="1:10" s="2" customFormat="1">
      <c r="A1581" s="1"/>
      <c r="E1581"/>
      <c r="F1581"/>
      <c r="G1581"/>
      <c r="H1581"/>
      <c r="I1581"/>
      <c r="J1581"/>
    </row>
    <row r="1582" spans="1:10" s="2" customFormat="1">
      <c r="A1582" s="1"/>
      <c r="E1582"/>
      <c r="F1582"/>
      <c r="G1582"/>
      <c r="H1582"/>
      <c r="I1582"/>
      <c r="J1582"/>
    </row>
    <row r="1583" spans="1:10" s="2" customFormat="1">
      <c r="A1583" s="1"/>
      <c r="E1583"/>
      <c r="F1583"/>
      <c r="G1583"/>
      <c r="H1583"/>
      <c r="I1583"/>
      <c r="J1583"/>
    </row>
    <row r="1584" spans="1:10" s="2" customFormat="1">
      <c r="A1584" s="1"/>
      <c r="E1584"/>
      <c r="F1584"/>
      <c r="G1584"/>
      <c r="H1584"/>
      <c r="I1584"/>
      <c r="J1584"/>
    </row>
    <row r="1585" spans="1:10" s="2" customFormat="1">
      <c r="A1585" s="1"/>
      <c r="E1585"/>
      <c r="F1585"/>
      <c r="G1585"/>
      <c r="H1585"/>
      <c r="I1585"/>
      <c r="J1585"/>
    </row>
    <row r="1586" spans="1:10" s="2" customFormat="1">
      <c r="A1586" s="1"/>
      <c r="E1586"/>
      <c r="F1586"/>
      <c r="G1586"/>
      <c r="H1586"/>
      <c r="I1586"/>
      <c r="J1586"/>
    </row>
    <row r="1587" spans="1:10" s="2" customFormat="1">
      <c r="A1587" s="1"/>
      <c r="E1587"/>
      <c r="F1587"/>
      <c r="G1587"/>
      <c r="H1587"/>
      <c r="I1587"/>
      <c r="J1587"/>
    </row>
    <row r="1588" spans="1:10" s="2" customFormat="1">
      <c r="A1588" s="1"/>
      <c r="E1588"/>
      <c r="F1588"/>
      <c r="G1588"/>
      <c r="H1588"/>
      <c r="I1588"/>
      <c r="J1588"/>
    </row>
    <row r="1589" spans="1:10" s="2" customFormat="1">
      <c r="A1589" s="1"/>
      <c r="E1589"/>
      <c r="F1589"/>
      <c r="G1589"/>
      <c r="H1589"/>
      <c r="I1589"/>
      <c r="J1589"/>
    </row>
    <row r="1590" spans="1:10" s="2" customFormat="1">
      <c r="A1590" s="1"/>
      <c r="E1590"/>
      <c r="F1590"/>
      <c r="G1590"/>
      <c r="H1590"/>
      <c r="I1590"/>
      <c r="J1590"/>
    </row>
    <row r="1591" spans="1:10" s="2" customFormat="1">
      <c r="A1591" s="1"/>
      <c r="E1591"/>
      <c r="F1591"/>
      <c r="G1591"/>
      <c r="H1591"/>
      <c r="I1591"/>
      <c r="J1591"/>
    </row>
    <row r="1592" spans="1:10" s="2" customFormat="1">
      <c r="A1592" s="1"/>
      <c r="E1592"/>
      <c r="F1592"/>
      <c r="G1592"/>
      <c r="H1592"/>
      <c r="I1592"/>
      <c r="J1592"/>
    </row>
    <row r="1593" spans="1:10" s="2" customFormat="1">
      <c r="A1593" s="1"/>
      <c r="E1593"/>
      <c r="F1593"/>
      <c r="G1593"/>
      <c r="H1593"/>
      <c r="I1593"/>
      <c r="J1593"/>
    </row>
    <row r="1594" spans="1:10" s="2" customFormat="1">
      <c r="A1594" s="1"/>
      <c r="E1594"/>
      <c r="F1594"/>
      <c r="G1594"/>
      <c r="H1594"/>
      <c r="I1594"/>
      <c r="J1594"/>
    </row>
    <row r="1595" spans="1:10" s="2" customFormat="1">
      <c r="A1595" s="1"/>
      <c r="E1595"/>
      <c r="F1595"/>
      <c r="G1595"/>
      <c r="H1595"/>
      <c r="I1595"/>
      <c r="J1595"/>
    </row>
    <row r="1596" spans="1:10" s="2" customFormat="1">
      <c r="A1596" s="1"/>
      <c r="E1596"/>
      <c r="F1596"/>
      <c r="G1596"/>
      <c r="H1596"/>
      <c r="I1596"/>
      <c r="J1596"/>
    </row>
    <row r="1597" spans="1:10" s="2" customFormat="1">
      <c r="A1597" s="1"/>
      <c r="E1597"/>
      <c r="F1597"/>
      <c r="G1597"/>
      <c r="H1597"/>
      <c r="I1597"/>
      <c r="J1597"/>
    </row>
    <row r="1598" spans="1:10" s="2" customFormat="1">
      <c r="A1598" s="1"/>
      <c r="E1598"/>
      <c r="F1598"/>
      <c r="G1598"/>
      <c r="H1598"/>
      <c r="I1598"/>
      <c r="J1598"/>
    </row>
    <row r="1599" spans="1:10" s="2" customFormat="1">
      <c r="A1599" s="1"/>
      <c r="E1599"/>
      <c r="F1599"/>
      <c r="G1599"/>
      <c r="H1599"/>
      <c r="I1599"/>
      <c r="J1599"/>
    </row>
    <row r="1600" spans="1:10" s="2" customFormat="1">
      <c r="A1600" s="1"/>
      <c r="E1600"/>
      <c r="F1600"/>
      <c r="G1600"/>
      <c r="H1600"/>
      <c r="I1600"/>
      <c r="J1600"/>
    </row>
    <row r="1601" spans="1:10" s="2" customFormat="1">
      <c r="A1601" s="1"/>
      <c r="E1601"/>
      <c r="F1601"/>
      <c r="G1601"/>
      <c r="H1601"/>
      <c r="I1601"/>
      <c r="J1601"/>
    </row>
    <row r="1602" spans="1:10" s="2" customFormat="1">
      <c r="A1602" s="1"/>
      <c r="E1602"/>
      <c r="F1602"/>
      <c r="G1602"/>
      <c r="H1602"/>
      <c r="I1602"/>
      <c r="J1602"/>
    </row>
    <row r="1603" spans="1:10" s="2" customFormat="1">
      <c r="A1603" s="1"/>
      <c r="E1603"/>
      <c r="F1603"/>
      <c r="G1603"/>
      <c r="H1603"/>
      <c r="I1603"/>
      <c r="J1603"/>
    </row>
    <row r="1604" spans="1:10" s="2" customFormat="1">
      <c r="A1604" s="1"/>
      <c r="E1604"/>
      <c r="F1604"/>
      <c r="G1604"/>
      <c r="H1604"/>
      <c r="I1604"/>
      <c r="J1604"/>
    </row>
    <row r="1605" spans="1:10" s="2" customFormat="1">
      <c r="A1605" s="1"/>
      <c r="E1605"/>
      <c r="F1605"/>
      <c r="G1605"/>
      <c r="H1605"/>
      <c r="I1605"/>
      <c r="J1605"/>
    </row>
    <row r="1606" spans="1:10" s="2" customFormat="1">
      <c r="A1606" s="1"/>
      <c r="E1606"/>
      <c r="F1606"/>
      <c r="G1606"/>
      <c r="H1606"/>
      <c r="I1606"/>
      <c r="J1606"/>
    </row>
    <row r="1607" spans="1:10" s="2" customFormat="1">
      <c r="A1607" s="1"/>
      <c r="E1607"/>
      <c r="F1607"/>
      <c r="G1607"/>
      <c r="H1607"/>
      <c r="I1607"/>
      <c r="J1607"/>
    </row>
    <row r="1608" spans="1:10" s="2" customFormat="1">
      <c r="A1608" s="1"/>
      <c r="E1608"/>
      <c r="F1608"/>
      <c r="G1608"/>
      <c r="H1608"/>
      <c r="I1608"/>
      <c r="J1608"/>
    </row>
    <row r="1609" spans="1:10" s="2" customFormat="1">
      <c r="A1609" s="1"/>
      <c r="E1609"/>
      <c r="F1609"/>
      <c r="G1609"/>
      <c r="H1609"/>
      <c r="I1609"/>
      <c r="J1609"/>
    </row>
    <row r="1610" spans="1:10" s="2" customFormat="1">
      <c r="A1610" s="1"/>
      <c r="E1610"/>
      <c r="F1610"/>
      <c r="G1610"/>
      <c r="H1610"/>
      <c r="I1610"/>
      <c r="J1610"/>
    </row>
    <row r="1611" spans="1:10" s="2" customFormat="1">
      <c r="A1611" s="1"/>
      <c r="E1611"/>
      <c r="F1611"/>
      <c r="G1611"/>
      <c r="H1611"/>
      <c r="I1611"/>
      <c r="J1611"/>
    </row>
    <row r="1612" spans="1:10" s="2" customFormat="1">
      <c r="A1612" s="1"/>
      <c r="E1612"/>
      <c r="F1612"/>
      <c r="G1612"/>
      <c r="H1612"/>
      <c r="I1612"/>
      <c r="J1612"/>
    </row>
    <row r="1613" spans="1:10" s="2" customFormat="1">
      <c r="A1613" s="1"/>
      <c r="E1613"/>
      <c r="F1613"/>
      <c r="G1613"/>
      <c r="H1613"/>
      <c r="I1613"/>
      <c r="J1613"/>
    </row>
    <row r="1614" spans="1:10" s="2" customFormat="1">
      <c r="A1614" s="1"/>
      <c r="E1614"/>
      <c r="F1614"/>
      <c r="G1614"/>
      <c r="H1614"/>
      <c r="I1614"/>
      <c r="J1614"/>
    </row>
    <row r="1615" spans="1:10" s="2" customFormat="1">
      <c r="A1615" s="1"/>
      <c r="E1615"/>
      <c r="F1615"/>
      <c r="G1615"/>
      <c r="H1615"/>
      <c r="I1615"/>
      <c r="J1615"/>
    </row>
    <row r="1616" spans="1:10" s="2" customFormat="1">
      <c r="A1616" s="1"/>
      <c r="E1616"/>
      <c r="F1616"/>
      <c r="G1616"/>
      <c r="H1616"/>
      <c r="I1616"/>
      <c r="J1616"/>
    </row>
    <row r="1617" spans="1:10" s="2" customFormat="1">
      <c r="A1617" s="1"/>
      <c r="E1617"/>
      <c r="F1617"/>
      <c r="G1617"/>
      <c r="H1617"/>
      <c r="I1617"/>
      <c r="J1617"/>
    </row>
    <row r="1618" spans="1:10" s="2" customFormat="1">
      <c r="A1618" s="1"/>
      <c r="E1618"/>
      <c r="F1618"/>
      <c r="G1618"/>
      <c r="H1618"/>
      <c r="I1618"/>
      <c r="J1618"/>
    </row>
    <row r="1619" spans="1:10" s="2" customFormat="1">
      <c r="A1619" s="1"/>
      <c r="E1619"/>
      <c r="F1619"/>
      <c r="G1619"/>
      <c r="H1619"/>
      <c r="I1619"/>
      <c r="J1619"/>
    </row>
    <row r="1620" spans="1:10" s="2" customFormat="1">
      <c r="A1620" s="1"/>
      <c r="E1620"/>
      <c r="F1620"/>
      <c r="G1620"/>
      <c r="H1620"/>
      <c r="I1620"/>
      <c r="J1620"/>
    </row>
    <row r="1621" spans="1:10" s="2" customFormat="1">
      <c r="A1621" s="1"/>
      <c r="E1621"/>
      <c r="F1621"/>
      <c r="G1621"/>
      <c r="H1621"/>
      <c r="I1621"/>
      <c r="J1621"/>
    </row>
    <row r="1622" spans="1:10" s="2" customFormat="1">
      <c r="A1622" s="1"/>
      <c r="E1622"/>
      <c r="F1622"/>
      <c r="G1622"/>
      <c r="H1622"/>
      <c r="I1622"/>
      <c r="J1622"/>
    </row>
    <row r="1623" spans="1:10" s="2" customFormat="1">
      <c r="A1623" s="1"/>
      <c r="E1623"/>
      <c r="F1623"/>
      <c r="G1623"/>
      <c r="H1623"/>
      <c r="I1623"/>
      <c r="J1623"/>
    </row>
    <row r="1624" spans="1:10" s="2" customFormat="1">
      <c r="A1624" s="1"/>
      <c r="E1624"/>
      <c r="F1624"/>
      <c r="G1624"/>
      <c r="H1624"/>
      <c r="I1624"/>
      <c r="J1624"/>
    </row>
    <row r="1625" spans="1:10" s="2" customFormat="1">
      <c r="A1625" s="1"/>
      <c r="E1625"/>
      <c r="F1625"/>
      <c r="G1625"/>
      <c r="H1625"/>
      <c r="I1625"/>
      <c r="J1625"/>
    </row>
    <row r="1626" spans="1:10" s="2" customFormat="1">
      <c r="A1626" s="1"/>
      <c r="E1626"/>
      <c r="F1626"/>
      <c r="G1626"/>
      <c r="H1626"/>
      <c r="I1626"/>
      <c r="J1626"/>
    </row>
    <row r="1627" spans="1:10" s="2" customFormat="1">
      <c r="A1627" s="1"/>
      <c r="E1627"/>
      <c r="F1627"/>
      <c r="G1627"/>
      <c r="H1627"/>
      <c r="I1627"/>
      <c r="J1627"/>
    </row>
    <row r="1628" spans="1:10" s="2" customFormat="1">
      <c r="A1628" s="1"/>
      <c r="E1628"/>
      <c r="F1628"/>
      <c r="G1628"/>
      <c r="H1628"/>
      <c r="I1628"/>
      <c r="J1628"/>
    </row>
    <row r="1629" spans="1:10" s="2" customFormat="1">
      <c r="A1629" s="1"/>
      <c r="E1629"/>
      <c r="F1629"/>
      <c r="G1629"/>
      <c r="H1629"/>
      <c r="I1629"/>
      <c r="J1629"/>
    </row>
    <row r="1630" spans="1:10" s="2" customFormat="1">
      <c r="A1630" s="1"/>
      <c r="E1630"/>
      <c r="F1630"/>
      <c r="G1630"/>
      <c r="H1630"/>
      <c r="I1630"/>
      <c r="J1630"/>
    </row>
    <row r="1631" spans="1:10" s="2" customFormat="1">
      <c r="A1631" s="1"/>
      <c r="E1631"/>
      <c r="F1631"/>
      <c r="G1631"/>
      <c r="H1631"/>
      <c r="I1631"/>
      <c r="J1631"/>
    </row>
    <row r="1632" spans="1:10" s="2" customFormat="1">
      <c r="A1632" s="1"/>
      <c r="E1632"/>
      <c r="F1632"/>
      <c r="G1632"/>
      <c r="H1632"/>
      <c r="I1632"/>
      <c r="J1632"/>
    </row>
    <row r="1633" spans="1:10" s="2" customFormat="1">
      <c r="A1633" s="1"/>
      <c r="E1633"/>
      <c r="F1633"/>
      <c r="G1633"/>
      <c r="H1633"/>
      <c r="I1633"/>
      <c r="J1633"/>
    </row>
    <row r="1634" spans="1:10" s="2" customFormat="1">
      <c r="A1634" s="1"/>
      <c r="E1634"/>
      <c r="F1634"/>
      <c r="G1634"/>
      <c r="H1634"/>
      <c r="I1634"/>
      <c r="J1634"/>
    </row>
    <row r="1635" spans="1:10" s="2" customFormat="1">
      <c r="A1635" s="1"/>
      <c r="E1635"/>
      <c r="F1635"/>
      <c r="G1635"/>
      <c r="H1635"/>
      <c r="I1635"/>
      <c r="J1635"/>
    </row>
    <row r="1636" spans="1:10" s="2" customFormat="1">
      <c r="A1636" s="1"/>
      <c r="E1636"/>
      <c r="F1636"/>
      <c r="G1636"/>
      <c r="H1636"/>
      <c r="I1636"/>
      <c r="J1636"/>
    </row>
    <row r="1637" spans="1:10" s="2" customFormat="1">
      <c r="A1637" s="1"/>
      <c r="E1637"/>
      <c r="F1637"/>
      <c r="G1637"/>
      <c r="H1637"/>
      <c r="I1637"/>
      <c r="J1637"/>
    </row>
    <row r="1638" spans="1:10" s="2" customFormat="1">
      <c r="A1638" s="1"/>
      <c r="E1638"/>
      <c r="F1638"/>
      <c r="G1638"/>
      <c r="H1638"/>
      <c r="I1638"/>
      <c r="J1638"/>
    </row>
    <row r="1639" spans="1:10" s="2" customFormat="1">
      <c r="A1639" s="1"/>
      <c r="E1639"/>
      <c r="F1639"/>
      <c r="G1639"/>
      <c r="H1639"/>
      <c r="I1639"/>
      <c r="J1639"/>
    </row>
    <row r="1640" spans="1:10" s="2" customFormat="1">
      <c r="A1640" s="1"/>
      <c r="E1640"/>
      <c r="F1640"/>
      <c r="G1640"/>
      <c r="H1640"/>
      <c r="I1640"/>
      <c r="J1640"/>
    </row>
    <row r="1641" spans="1:10" s="2" customFormat="1">
      <c r="A1641" s="1"/>
      <c r="E1641"/>
      <c r="F1641"/>
      <c r="G1641"/>
      <c r="H1641"/>
      <c r="I1641"/>
      <c r="J1641"/>
    </row>
    <row r="1642" spans="1:10" s="2" customFormat="1">
      <c r="A1642" s="1"/>
      <c r="E1642"/>
      <c r="F1642"/>
      <c r="G1642"/>
      <c r="H1642"/>
      <c r="I1642"/>
      <c r="J1642"/>
    </row>
    <row r="1643" spans="1:10" s="2" customFormat="1">
      <c r="A1643" s="1"/>
      <c r="E1643"/>
      <c r="F1643"/>
      <c r="G1643"/>
      <c r="H1643"/>
      <c r="I1643"/>
      <c r="J1643"/>
    </row>
    <row r="1644" spans="1:10" s="2" customFormat="1">
      <c r="A1644" s="1"/>
      <c r="E1644"/>
      <c r="F1644"/>
      <c r="G1644"/>
      <c r="H1644"/>
      <c r="I1644"/>
      <c r="J1644"/>
    </row>
    <row r="1645" spans="1:10" s="2" customFormat="1">
      <c r="A1645" s="1"/>
      <c r="E1645"/>
      <c r="F1645"/>
      <c r="G1645"/>
      <c r="H1645"/>
      <c r="I1645"/>
      <c r="J1645"/>
    </row>
    <row r="1646" spans="1:10" s="2" customFormat="1">
      <c r="A1646" s="1"/>
      <c r="E1646"/>
      <c r="F1646"/>
      <c r="G1646"/>
      <c r="H1646"/>
      <c r="I1646"/>
      <c r="J1646"/>
    </row>
    <row r="1647" spans="1:10" s="2" customFormat="1">
      <c r="A1647" s="1"/>
      <c r="E1647"/>
      <c r="F1647"/>
      <c r="G1647"/>
      <c r="H1647"/>
      <c r="I1647"/>
      <c r="J1647"/>
    </row>
    <row r="1648" spans="1:10" s="2" customFormat="1">
      <c r="A1648" s="1"/>
      <c r="E1648"/>
      <c r="F1648"/>
      <c r="G1648"/>
      <c r="H1648"/>
      <c r="I1648"/>
      <c r="J1648"/>
    </row>
    <row r="1649" spans="1:10" s="2" customFormat="1">
      <c r="A1649" s="1"/>
      <c r="E1649"/>
      <c r="F1649"/>
      <c r="G1649"/>
      <c r="H1649"/>
      <c r="I1649"/>
      <c r="J1649"/>
    </row>
    <row r="1650" spans="1:10" s="2" customFormat="1">
      <c r="A1650" s="1"/>
      <c r="E1650"/>
      <c r="F1650"/>
      <c r="G1650"/>
      <c r="H1650"/>
      <c r="I1650"/>
      <c r="J1650"/>
    </row>
    <row r="1651" spans="1:10" s="2" customFormat="1">
      <c r="A1651" s="1"/>
      <c r="E1651"/>
      <c r="F1651"/>
      <c r="G1651"/>
      <c r="H1651"/>
      <c r="I1651"/>
      <c r="J1651"/>
    </row>
    <row r="1652" spans="1:10" s="2" customFormat="1">
      <c r="A1652" s="1"/>
      <c r="E1652"/>
      <c r="F1652"/>
      <c r="G1652"/>
      <c r="H1652"/>
      <c r="I1652"/>
      <c r="J1652"/>
    </row>
    <row r="1653" spans="1:10" s="2" customFormat="1">
      <c r="A1653" s="1"/>
      <c r="E1653"/>
      <c r="F1653"/>
      <c r="G1653"/>
      <c r="H1653"/>
      <c r="I1653"/>
      <c r="J1653"/>
    </row>
    <row r="1654" spans="1:10" s="2" customFormat="1">
      <c r="A1654" s="1"/>
      <c r="E1654"/>
      <c r="F1654"/>
      <c r="G1654"/>
      <c r="H1654"/>
      <c r="I1654"/>
      <c r="J1654"/>
    </row>
    <row r="1655" spans="1:10" s="2" customFormat="1">
      <c r="A1655" s="1"/>
      <c r="E1655"/>
      <c r="F1655"/>
      <c r="G1655"/>
      <c r="H1655"/>
      <c r="I1655"/>
      <c r="J1655"/>
    </row>
    <row r="1656" spans="1:10" s="2" customFormat="1">
      <c r="A1656" s="1"/>
      <c r="E1656"/>
      <c r="F1656"/>
      <c r="G1656"/>
      <c r="H1656"/>
      <c r="I1656"/>
      <c r="J1656"/>
    </row>
    <row r="1657" spans="1:10" s="2" customFormat="1">
      <c r="A1657" s="1"/>
      <c r="E1657"/>
      <c r="F1657"/>
      <c r="G1657"/>
      <c r="H1657"/>
      <c r="I1657"/>
      <c r="J1657"/>
    </row>
    <row r="1658" spans="1:10" s="2" customFormat="1">
      <c r="A1658" s="1"/>
      <c r="E1658"/>
      <c r="F1658"/>
      <c r="G1658"/>
      <c r="H1658"/>
      <c r="I1658"/>
      <c r="J1658"/>
    </row>
    <row r="1659" spans="1:10" s="2" customFormat="1">
      <c r="A1659" s="1"/>
      <c r="E1659"/>
      <c r="F1659"/>
      <c r="G1659"/>
      <c r="H1659"/>
      <c r="I1659"/>
      <c r="J1659"/>
    </row>
    <row r="1660" spans="1:10" s="2" customFormat="1">
      <c r="A1660" s="1"/>
      <c r="E1660"/>
      <c r="F1660"/>
      <c r="G1660"/>
      <c r="H1660"/>
      <c r="I1660"/>
      <c r="J1660"/>
    </row>
    <row r="1661" spans="1:10" s="2" customFormat="1">
      <c r="A1661" s="1"/>
      <c r="E1661"/>
      <c r="F1661"/>
      <c r="G1661"/>
      <c r="H1661"/>
      <c r="I1661"/>
      <c r="J1661"/>
    </row>
    <row r="1662" spans="1:10" s="2" customFormat="1">
      <c r="A1662" s="1"/>
      <c r="E1662"/>
      <c r="F1662"/>
      <c r="G1662"/>
      <c r="H1662"/>
      <c r="I1662"/>
      <c r="J1662"/>
    </row>
    <row r="1663" spans="1:10" s="2" customFormat="1">
      <c r="A1663" s="1"/>
      <c r="E1663"/>
      <c r="F1663"/>
      <c r="G1663"/>
      <c r="H1663"/>
      <c r="I1663"/>
      <c r="J1663"/>
    </row>
    <row r="1664" spans="1:10" s="2" customFormat="1">
      <c r="A1664" s="1"/>
      <c r="E1664"/>
      <c r="F1664"/>
      <c r="G1664"/>
      <c r="H1664"/>
      <c r="I1664"/>
      <c r="J1664"/>
    </row>
    <row r="1665" spans="1:10" s="2" customFormat="1">
      <c r="A1665" s="1"/>
      <c r="E1665"/>
      <c r="F1665"/>
      <c r="G1665"/>
      <c r="H1665"/>
      <c r="I1665"/>
      <c r="J1665"/>
    </row>
    <row r="1666" spans="1:10" s="2" customFormat="1">
      <c r="A1666" s="1"/>
      <c r="E1666"/>
      <c r="F1666"/>
      <c r="G1666"/>
      <c r="H1666"/>
      <c r="I1666"/>
      <c r="J1666"/>
    </row>
    <row r="1667" spans="1:10" s="2" customFormat="1">
      <c r="A1667" s="1"/>
      <c r="E1667"/>
      <c r="F1667"/>
      <c r="G1667"/>
      <c r="H1667"/>
      <c r="I1667"/>
      <c r="J1667"/>
    </row>
    <row r="1668" spans="1:10" s="2" customFormat="1">
      <c r="A1668" s="1"/>
      <c r="E1668"/>
      <c r="F1668"/>
      <c r="G1668"/>
      <c r="H1668"/>
      <c r="I1668"/>
      <c r="J1668"/>
    </row>
    <row r="1669" spans="1:10" s="2" customFormat="1">
      <c r="A1669" s="1"/>
      <c r="E1669"/>
      <c r="F1669"/>
      <c r="G1669"/>
      <c r="H1669"/>
      <c r="I1669"/>
      <c r="J1669"/>
    </row>
    <row r="1670" spans="1:10" s="2" customFormat="1">
      <c r="A1670" s="1"/>
      <c r="E1670"/>
      <c r="F1670"/>
      <c r="G1670"/>
      <c r="H1670"/>
      <c r="I1670"/>
      <c r="J1670"/>
    </row>
    <row r="1671" spans="1:10" s="2" customFormat="1">
      <c r="A1671" s="1"/>
      <c r="E1671"/>
      <c r="F1671"/>
      <c r="G1671"/>
      <c r="H1671"/>
      <c r="I1671"/>
      <c r="J1671"/>
    </row>
    <row r="1672" spans="1:10" s="2" customFormat="1">
      <c r="A1672" s="1"/>
      <c r="E1672"/>
      <c r="F1672"/>
      <c r="G1672"/>
      <c r="H1672"/>
      <c r="I1672"/>
      <c r="J1672"/>
    </row>
    <row r="1673" spans="1:10" s="2" customFormat="1">
      <c r="A1673" s="1"/>
      <c r="E1673"/>
      <c r="F1673"/>
      <c r="G1673"/>
      <c r="H1673"/>
      <c r="I1673"/>
      <c r="J1673"/>
    </row>
    <row r="1674" spans="1:10" s="2" customFormat="1">
      <c r="A1674" s="1"/>
      <c r="E1674"/>
      <c r="F1674"/>
      <c r="G1674"/>
      <c r="H1674"/>
      <c r="I1674"/>
      <c r="J1674"/>
    </row>
    <row r="1675" spans="1:10" s="2" customFormat="1">
      <c r="A1675" s="1"/>
      <c r="E1675"/>
      <c r="F1675"/>
      <c r="G1675"/>
      <c r="H1675"/>
      <c r="I1675"/>
      <c r="J1675"/>
    </row>
    <row r="1676" spans="1:10" s="2" customFormat="1">
      <c r="A1676" s="1"/>
      <c r="E1676"/>
      <c r="F1676"/>
      <c r="G1676"/>
      <c r="H1676"/>
      <c r="I1676"/>
      <c r="J1676"/>
    </row>
    <row r="1677" spans="1:10" s="2" customFormat="1">
      <c r="A1677" s="1"/>
      <c r="E1677"/>
      <c r="F1677"/>
      <c r="G1677"/>
      <c r="H1677"/>
      <c r="I1677"/>
      <c r="J1677"/>
    </row>
    <row r="1678" spans="1:10" s="2" customFormat="1">
      <c r="A1678" s="1"/>
      <c r="E1678"/>
      <c r="F1678"/>
      <c r="G1678"/>
      <c r="H1678"/>
      <c r="I1678"/>
      <c r="J1678"/>
    </row>
    <row r="1679" spans="1:10" s="2" customFormat="1">
      <c r="A1679" s="1"/>
      <c r="E1679"/>
      <c r="F1679"/>
      <c r="G1679"/>
      <c r="H1679"/>
      <c r="I1679"/>
      <c r="J1679"/>
    </row>
    <row r="1680" spans="1:10" s="2" customFormat="1">
      <c r="A1680" s="1"/>
      <c r="E1680"/>
      <c r="F1680"/>
      <c r="G1680"/>
      <c r="H1680"/>
      <c r="I1680"/>
      <c r="J1680"/>
    </row>
    <row r="1681" spans="1:10" s="2" customFormat="1">
      <c r="A1681" s="1"/>
      <c r="E1681"/>
      <c r="F1681"/>
      <c r="G1681"/>
      <c r="H1681"/>
      <c r="I1681"/>
      <c r="J1681"/>
    </row>
    <row r="1682" spans="1:10" s="2" customFormat="1">
      <c r="A1682" s="1"/>
      <c r="E1682"/>
      <c r="F1682"/>
      <c r="G1682"/>
      <c r="H1682"/>
      <c r="I1682"/>
      <c r="J1682"/>
    </row>
    <row r="1683" spans="1:10" s="2" customFormat="1">
      <c r="A1683" s="1"/>
      <c r="E1683"/>
      <c r="F1683"/>
      <c r="G1683"/>
      <c r="H1683"/>
      <c r="I1683"/>
      <c r="J1683"/>
    </row>
    <row r="1684" spans="1:10" s="2" customFormat="1">
      <c r="A1684" s="1"/>
      <c r="E1684"/>
      <c r="F1684"/>
      <c r="G1684"/>
      <c r="H1684"/>
      <c r="I1684"/>
      <c r="J1684"/>
    </row>
    <row r="1685" spans="1:10" s="2" customFormat="1">
      <c r="A1685" s="1"/>
      <c r="E1685"/>
      <c r="F1685"/>
      <c r="G1685"/>
      <c r="H1685"/>
      <c r="I1685"/>
      <c r="J1685"/>
    </row>
    <row r="1686" spans="1:10" s="2" customFormat="1">
      <c r="A1686" s="1"/>
      <c r="E1686"/>
      <c r="F1686"/>
      <c r="G1686"/>
      <c r="H1686"/>
      <c r="I1686"/>
      <c r="J1686"/>
    </row>
    <row r="1687" spans="1:10" s="2" customFormat="1">
      <c r="A1687" s="1"/>
      <c r="E1687"/>
      <c r="F1687"/>
      <c r="G1687"/>
      <c r="H1687"/>
      <c r="I1687"/>
      <c r="J1687"/>
    </row>
    <row r="1688" spans="1:10" s="2" customFormat="1">
      <c r="A1688" s="1"/>
      <c r="E1688"/>
      <c r="F1688"/>
      <c r="G1688"/>
      <c r="H1688"/>
      <c r="I1688"/>
      <c r="J1688"/>
    </row>
    <row r="1689" spans="1:10" s="2" customFormat="1">
      <c r="A1689" s="1"/>
      <c r="E1689"/>
      <c r="F1689"/>
      <c r="G1689"/>
      <c r="H1689"/>
      <c r="I1689"/>
      <c r="J1689"/>
    </row>
    <row r="1690" spans="1:10" s="2" customFormat="1">
      <c r="A1690" s="1"/>
      <c r="E1690"/>
      <c r="F1690"/>
      <c r="G1690"/>
      <c r="H1690"/>
      <c r="I1690"/>
      <c r="J1690"/>
    </row>
    <row r="1691" spans="1:10" s="2" customFormat="1">
      <c r="A1691" s="1"/>
      <c r="E1691"/>
      <c r="F1691"/>
      <c r="G1691"/>
      <c r="H1691"/>
      <c r="I1691"/>
      <c r="J1691"/>
    </row>
    <row r="1692" spans="1:10" s="2" customFormat="1">
      <c r="A1692" s="1"/>
      <c r="E1692"/>
      <c r="F1692"/>
      <c r="G1692"/>
      <c r="H1692"/>
      <c r="I1692"/>
      <c r="J1692"/>
    </row>
    <row r="1693" spans="1:10" s="2" customFormat="1">
      <c r="A1693" s="1"/>
      <c r="E1693"/>
      <c r="F1693"/>
      <c r="G1693"/>
      <c r="H1693"/>
      <c r="I1693"/>
      <c r="J1693"/>
    </row>
    <row r="1694" spans="1:10" s="2" customFormat="1">
      <c r="A1694" s="1"/>
      <c r="E1694"/>
      <c r="F1694"/>
      <c r="G1694"/>
      <c r="H1694"/>
      <c r="I1694"/>
      <c r="J1694"/>
    </row>
    <row r="1695" spans="1:10" s="2" customFormat="1">
      <c r="A1695" s="1"/>
      <c r="E1695"/>
      <c r="F1695"/>
      <c r="G1695"/>
      <c r="H1695"/>
      <c r="I1695"/>
      <c r="J1695"/>
    </row>
    <row r="1696" spans="1:10" s="2" customFormat="1">
      <c r="A1696" s="1"/>
      <c r="E1696"/>
      <c r="F1696"/>
      <c r="G1696"/>
      <c r="H1696"/>
      <c r="I1696"/>
      <c r="J1696"/>
    </row>
    <row r="1697" spans="1:10" s="2" customFormat="1">
      <c r="A1697" s="1"/>
      <c r="E1697"/>
      <c r="F1697"/>
      <c r="G1697"/>
      <c r="H1697"/>
      <c r="I1697"/>
      <c r="J1697"/>
    </row>
    <row r="1698" spans="1:10" s="2" customFormat="1">
      <c r="A1698" s="1"/>
      <c r="E1698"/>
      <c r="F1698"/>
      <c r="G1698"/>
      <c r="H1698"/>
      <c r="I1698"/>
      <c r="J1698"/>
    </row>
    <row r="1699" spans="1:10" s="2" customFormat="1">
      <c r="A1699" s="1"/>
      <c r="E1699"/>
      <c r="F1699"/>
      <c r="G1699"/>
      <c r="H1699"/>
      <c r="I1699"/>
      <c r="J1699"/>
    </row>
    <row r="1700" spans="1:10" s="2" customFormat="1">
      <c r="A1700" s="1"/>
      <c r="E1700"/>
      <c r="F1700"/>
      <c r="G1700"/>
      <c r="H1700"/>
      <c r="I1700"/>
      <c r="J1700"/>
    </row>
    <row r="1701" spans="1:10" s="2" customFormat="1">
      <c r="A1701" s="1"/>
      <c r="E1701"/>
      <c r="F1701"/>
      <c r="G1701"/>
      <c r="H1701"/>
      <c r="I1701"/>
      <c r="J1701"/>
    </row>
    <row r="1702" spans="1:10" s="2" customFormat="1">
      <c r="A1702" s="1"/>
      <c r="E1702"/>
      <c r="F1702"/>
      <c r="G1702"/>
      <c r="H1702"/>
      <c r="I1702"/>
      <c r="J1702"/>
    </row>
    <row r="1703" spans="1:10" s="2" customFormat="1">
      <c r="A1703" s="1"/>
      <c r="E1703"/>
      <c r="F1703"/>
      <c r="G1703"/>
      <c r="H1703"/>
      <c r="I1703"/>
      <c r="J1703"/>
    </row>
    <row r="1704" spans="1:10" s="2" customFormat="1">
      <c r="A1704" s="1"/>
      <c r="E1704"/>
      <c r="F1704"/>
      <c r="G1704"/>
      <c r="H1704"/>
      <c r="I1704"/>
      <c r="J1704"/>
    </row>
    <row r="1705" spans="1:10" s="2" customFormat="1">
      <c r="A1705" s="1"/>
      <c r="E1705"/>
      <c r="F1705"/>
      <c r="G1705"/>
      <c r="H1705"/>
      <c r="I1705"/>
      <c r="J1705"/>
    </row>
    <row r="1706" spans="1:10" s="2" customFormat="1">
      <c r="A1706" s="1"/>
      <c r="E1706"/>
      <c r="F1706"/>
      <c r="G1706"/>
      <c r="H1706"/>
      <c r="I1706"/>
      <c r="J1706"/>
    </row>
    <row r="1707" spans="1:10" s="2" customFormat="1">
      <c r="A1707" s="1"/>
      <c r="E1707"/>
      <c r="F1707"/>
      <c r="G1707"/>
      <c r="H1707"/>
      <c r="I1707"/>
      <c r="J1707"/>
    </row>
    <row r="1708" spans="1:10" s="2" customFormat="1">
      <c r="A1708" s="1"/>
      <c r="E1708"/>
      <c r="F1708"/>
      <c r="G1708"/>
      <c r="H1708"/>
      <c r="I1708"/>
      <c r="J1708"/>
    </row>
    <row r="1709" spans="1:10" s="2" customFormat="1">
      <c r="A1709" s="1"/>
      <c r="E1709"/>
      <c r="F1709"/>
      <c r="G1709"/>
      <c r="H1709"/>
      <c r="I1709"/>
      <c r="J1709"/>
    </row>
    <row r="1710" spans="1:10" s="2" customFormat="1">
      <c r="A1710" s="1"/>
      <c r="E1710"/>
      <c r="F1710"/>
      <c r="G1710"/>
      <c r="H1710"/>
      <c r="I1710"/>
      <c r="J1710"/>
    </row>
    <row r="1711" spans="1:10" s="2" customFormat="1">
      <c r="A1711" s="1"/>
      <c r="E1711"/>
      <c r="F1711"/>
      <c r="G1711"/>
      <c r="H1711"/>
      <c r="I1711"/>
      <c r="J1711"/>
    </row>
    <row r="1712" spans="1:10" s="2" customFormat="1">
      <c r="A1712" s="1"/>
      <c r="E1712"/>
      <c r="F1712"/>
      <c r="G1712"/>
      <c r="H1712"/>
      <c r="I1712"/>
      <c r="J1712"/>
    </row>
    <row r="1713" spans="1:10" s="2" customFormat="1">
      <c r="A1713" s="1"/>
      <c r="E1713"/>
      <c r="F1713"/>
      <c r="G1713"/>
      <c r="H1713"/>
      <c r="I1713"/>
      <c r="J1713"/>
    </row>
    <row r="1714" spans="1:10" s="2" customFormat="1">
      <c r="A1714" s="1"/>
      <c r="E1714"/>
      <c r="F1714"/>
      <c r="G1714"/>
      <c r="H1714"/>
      <c r="I1714"/>
      <c r="J1714"/>
    </row>
    <row r="1715" spans="1:10" s="2" customFormat="1">
      <c r="A1715" s="1"/>
      <c r="E1715"/>
      <c r="F1715"/>
      <c r="G1715"/>
      <c r="H1715"/>
      <c r="I1715"/>
      <c r="J1715"/>
    </row>
    <row r="1716" spans="1:10" s="2" customFormat="1">
      <c r="A1716" s="1"/>
      <c r="E1716"/>
      <c r="F1716"/>
      <c r="G1716"/>
      <c r="H1716"/>
      <c r="I1716"/>
      <c r="J1716"/>
    </row>
    <row r="1717" spans="1:10" s="2" customFormat="1">
      <c r="A1717" s="1"/>
      <c r="E1717"/>
      <c r="F1717"/>
      <c r="G1717"/>
      <c r="H1717"/>
      <c r="I1717"/>
      <c r="J1717"/>
    </row>
    <row r="1718" spans="1:10" s="2" customFormat="1">
      <c r="A1718" s="1"/>
      <c r="E1718"/>
      <c r="F1718"/>
      <c r="G1718"/>
      <c r="H1718"/>
      <c r="I1718"/>
      <c r="J1718"/>
    </row>
    <row r="1719" spans="1:10" s="2" customFormat="1">
      <c r="A1719" s="1"/>
      <c r="E1719"/>
      <c r="F1719"/>
      <c r="G1719"/>
      <c r="H1719"/>
      <c r="I1719"/>
      <c r="J1719"/>
    </row>
    <row r="1720" spans="1:10" s="2" customFormat="1">
      <c r="A1720" s="1"/>
      <c r="E1720"/>
      <c r="F1720"/>
      <c r="G1720"/>
      <c r="H1720"/>
      <c r="I1720"/>
      <c r="J1720"/>
    </row>
    <row r="1721" spans="1:10" s="2" customFormat="1">
      <c r="A1721" s="1"/>
      <c r="E1721"/>
      <c r="F1721"/>
      <c r="G1721"/>
      <c r="H1721"/>
      <c r="I1721"/>
      <c r="J1721"/>
    </row>
    <row r="1722" spans="1:10" s="2" customFormat="1">
      <c r="A1722" s="1"/>
      <c r="E1722"/>
      <c r="F1722"/>
      <c r="G1722"/>
      <c r="H1722"/>
      <c r="I1722"/>
      <c r="J1722"/>
    </row>
    <row r="1723" spans="1:10" s="2" customFormat="1">
      <c r="A1723" s="1"/>
      <c r="E1723"/>
      <c r="F1723"/>
      <c r="G1723"/>
      <c r="H1723"/>
      <c r="I1723"/>
      <c r="J1723"/>
    </row>
    <row r="1724" spans="1:10" s="2" customFormat="1">
      <c r="A1724" s="1"/>
      <c r="E1724"/>
      <c r="F1724"/>
      <c r="G1724"/>
      <c r="H1724"/>
      <c r="I1724"/>
      <c r="J1724"/>
    </row>
    <row r="1725" spans="1:10" s="2" customFormat="1">
      <c r="A1725" s="1"/>
      <c r="E1725"/>
      <c r="F1725"/>
      <c r="G1725"/>
      <c r="H1725"/>
      <c r="I1725"/>
      <c r="J1725"/>
    </row>
    <row r="1726" spans="1:10" s="2" customFormat="1">
      <c r="A1726" s="1"/>
      <c r="E1726"/>
      <c r="F1726"/>
      <c r="G1726"/>
      <c r="H1726"/>
      <c r="I1726"/>
      <c r="J1726"/>
    </row>
    <row r="1727" spans="1:10" s="2" customFormat="1">
      <c r="A1727" s="1"/>
      <c r="E1727"/>
      <c r="F1727"/>
      <c r="G1727"/>
      <c r="H1727"/>
      <c r="I1727"/>
      <c r="J1727"/>
    </row>
    <row r="1728" spans="1:10" s="2" customFormat="1">
      <c r="A1728" s="1"/>
      <c r="E1728"/>
      <c r="F1728"/>
      <c r="G1728"/>
      <c r="H1728"/>
      <c r="I1728"/>
      <c r="J1728"/>
    </row>
    <row r="1729" spans="1:10" s="2" customFormat="1">
      <c r="A1729" s="1"/>
      <c r="E1729"/>
      <c r="F1729"/>
      <c r="G1729"/>
      <c r="H1729"/>
      <c r="I1729"/>
      <c r="J1729"/>
    </row>
    <row r="1730" spans="1:10" s="2" customFormat="1">
      <c r="A1730" s="1"/>
      <c r="E1730"/>
      <c r="F1730"/>
      <c r="G1730"/>
      <c r="H1730"/>
      <c r="I1730"/>
      <c r="J1730"/>
    </row>
    <row r="1731" spans="1:10" s="2" customFormat="1">
      <c r="A1731" s="1"/>
      <c r="E1731"/>
      <c r="F1731"/>
      <c r="G1731"/>
      <c r="H1731"/>
      <c r="I1731"/>
      <c r="J1731"/>
    </row>
    <row r="1732" spans="1:10" s="2" customFormat="1">
      <c r="A1732" s="1"/>
      <c r="E1732"/>
      <c r="F1732"/>
      <c r="G1732"/>
      <c r="H1732"/>
      <c r="I1732"/>
      <c r="J1732"/>
    </row>
    <row r="1733" spans="1:10" s="2" customFormat="1">
      <c r="A1733" s="1"/>
      <c r="E1733"/>
      <c r="F1733"/>
      <c r="G1733"/>
      <c r="H1733"/>
      <c r="I1733"/>
      <c r="J1733"/>
    </row>
    <row r="1734" spans="1:10" s="2" customFormat="1">
      <c r="A1734" s="1"/>
      <c r="E1734"/>
      <c r="F1734"/>
      <c r="G1734"/>
      <c r="H1734"/>
      <c r="I1734"/>
      <c r="J1734"/>
    </row>
    <row r="1735" spans="1:10" s="2" customFormat="1">
      <c r="A1735" s="1"/>
      <c r="E1735"/>
      <c r="F1735"/>
      <c r="G1735"/>
      <c r="H1735"/>
      <c r="I1735"/>
      <c r="J1735"/>
    </row>
    <row r="1736" spans="1:10" s="2" customFormat="1">
      <c r="A1736" s="1"/>
      <c r="E1736"/>
      <c r="F1736"/>
      <c r="G1736"/>
      <c r="H1736"/>
      <c r="I1736"/>
      <c r="J1736"/>
    </row>
    <row r="1737" spans="1:10" s="2" customFormat="1">
      <c r="A1737" s="1"/>
      <c r="E1737"/>
      <c r="F1737"/>
      <c r="G1737"/>
      <c r="H1737"/>
      <c r="I1737"/>
      <c r="J1737"/>
    </row>
    <row r="1738" spans="1:10" s="2" customFormat="1">
      <c r="A1738" s="1"/>
      <c r="E1738"/>
      <c r="F1738"/>
      <c r="G1738"/>
      <c r="H1738"/>
      <c r="I1738"/>
      <c r="J1738"/>
    </row>
    <row r="1739" spans="1:10" s="2" customFormat="1">
      <c r="A1739" s="1"/>
      <c r="E1739"/>
      <c r="F1739"/>
      <c r="G1739"/>
      <c r="H1739"/>
      <c r="I1739"/>
      <c r="J1739"/>
    </row>
    <row r="1740" spans="1:10" s="2" customFormat="1">
      <c r="A1740" s="1"/>
      <c r="E1740"/>
      <c r="F1740"/>
      <c r="G1740"/>
      <c r="H1740"/>
      <c r="I1740"/>
      <c r="J1740"/>
    </row>
    <row r="1741" spans="1:10" s="2" customFormat="1">
      <c r="A1741" s="1"/>
      <c r="E1741"/>
      <c r="F1741"/>
      <c r="G1741"/>
      <c r="H1741"/>
      <c r="I1741"/>
      <c r="J1741"/>
    </row>
    <row r="1742" spans="1:10" s="2" customFormat="1">
      <c r="A1742" s="1"/>
      <c r="E1742"/>
      <c r="F1742"/>
      <c r="G1742"/>
      <c r="H1742"/>
      <c r="I1742"/>
      <c r="J1742"/>
    </row>
    <row r="1743" spans="1:10" s="2" customFormat="1">
      <c r="A1743" s="1"/>
      <c r="E1743"/>
      <c r="F1743"/>
      <c r="G1743"/>
      <c r="H1743"/>
      <c r="I1743"/>
      <c r="J1743"/>
    </row>
    <row r="1744" spans="1:10" s="2" customFormat="1">
      <c r="A1744" s="1"/>
      <c r="E1744"/>
      <c r="F1744"/>
      <c r="G1744"/>
      <c r="H1744"/>
      <c r="I1744"/>
      <c r="J1744"/>
    </row>
    <row r="1745" spans="1:10" s="2" customFormat="1">
      <c r="A1745" s="1"/>
      <c r="E1745"/>
      <c r="F1745"/>
      <c r="G1745"/>
      <c r="H1745"/>
      <c r="I1745"/>
      <c r="J1745"/>
    </row>
    <row r="1746" spans="1:10" s="2" customFormat="1">
      <c r="A1746" s="1"/>
      <c r="E1746"/>
      <c r="F1746"/>
      <c r="G1746"/>
      <c r="H1746"/>
      <c r="I1746"/>
      <c r="J1746"/>
    </row>
    <row r="1747" spans="1:10" s="2" customFormat="1">
      <c r="A1747" s="1"/>
      <c r="E1747"/>
      <c r="F1747"/>
      <c r="G1747"/>
      <c r="H1747"/>
      <c r="I1747"/>
      <c r="J1747"/>
    </row>
    <row r="1748" spans="1:10" s="2" customFormat="1">
      <c r="A1748" s="1"/>
      <c r="E1748"/>
      <c r="F1748"/>
      <c r="G1748"/>
      <c r="H1748"/>
      <c r="I1748"/>
      <c r="J1748"/>
    </row>
    <row r="1749" spans="1:10" s="2" customFormat="1">
      <c r="A1749" s="1"/>
      <c r="E1749"/>
      <c r="F1749"/>
      <c r="G1749"/>
      <c r="H1749"/>
      <c r="I1749"/>
      <c r="J1749"/>
    </row>
    <row r="1750" spans="1:10" s="2" customFormat="1">
      <c r="A1750" s="1"/>
      <c r="E1750"/>
      <c r="F1750"/>
      <c r="G1750"/>
      <c r="H1750"/>
      <c r="I1750"/>
      <c r="J1750"/>
    </row>
    <row r="1751" spans="1:10" s="2" customFormat="1">
      <c r="A1751" s="1"/>
      <c r="E1751"/>
      <c r="F1751"/>
      <c r="G1751"/>
      <c r="H1751"/>
      <c r="I1751"/>
      <c r="J1751"/>
    </row>
    <row r="1752" spans="1:10" s="2" customFormat="1">
      <c r="A1752" s="1"/>
      <c r="E1752"/>
      <c r="F1752"/>
      <c r="G1752"/>
      <c r="H1752"/>
      <c r="I1752"/>
      <c r="J1752"/>
    </row>
    <row r="1753" spans="1:10" s="2" customFormat="1">
      <c r="A1753" s="1"/>
      <c r="E1753"/>
      <c r="F1753"/>
      <c r="G1753"/>
      <c r="H1753"/>
      <c r="I1753"/>
      <c r="J1753"/>
    </row>
    <row r="1754" spans="1:10" s="2" customFormat="1">
      <c r="A1754" s="1"/>
      <c r="E1754"/>
      <c r="F1754"/>
      <c r="G1754"/>
      <c r="H1754"/>
      <c r="I1754"/>
      <c r="J1754"/>
    </row>
    <row r="1755" spans="1:10" s="2" customFormat="1">
      <c r="A1755" s="1"/>
      <c r="E1755"/>
      <c r="F1755"/>
      <c r="G1755"/>
      <c r="H1755"/>
      <c r="I1755"/>
      <c r="J1755"/>
    </row>
    <row r="1756" spans="1:10" s="2" customFormat="1">
      <c r="A1756" s="1"/>
      <c r="E1756"/>
      <c r="F1756"/>
      <c r="G1756"/>
      <c r="H1756"/>
      <c r="I1756"/>
      <c r="J1756"/>
    </row>
    <row r="1757" spans="1:10" s="2" customFormat="1">
      <c r="A1757" s="1"/>
      <c r="E1757"/>
      <c r="F1757"/>
      <c r="G1757"/>
      <c r="H1757"/>
      <c r="I1757"/>
      <c r="J1757"/>
    </row>
    <row r="1758" spans="1:10" s="2" customFormat="1">
      <c r="A1758" s="1"/>
      <c r="E1758"/>
      <c r="F1758"/>
      <c r="G1758"/>
      <c r="H1758"/>
      <c r="I1758"/>
      <c r="J1758"/>
    </row>
    <row r="1759" spans="1:10" s="2" customFormat="1">
      <c r="A1759" s="1"/>
      <c r="E1759"/>
      <c r="F1759"/>
      <c r="G1759"/>
      <c r="H1759"/>
      <c r="I1759"/>
      <c r="J1759"/>
    </row>
    <row r="1760" spans="1:10" s="2" customFormat="1">
      <c r="A1760" s="1"/>
      <c r="E1760"/>
      <c r="F1760"/>
      <c r="G1760"/>
      <c r="H1760"/>
      <c r="I1760"/>
      <c r="J1760"/>
    </row>
    <row r="1761" spans="1:10" s="2" customFormat="1">
      <c r="A1761" s="1"/>
      <c r="E1761"/>
      <c r="F1761"/>
      <c r="G1761"/>
      <c r="H1761"/>
      <c r="I1761"/>
      <c r="J1761"/>
    </row>
    <row r="1762" spans="1:10" s="2" customFormat="1">
      <c r="A1762" s="1"/>
      <c r="E1762"/>
      <c r="F1762"/>
      <c r="G1762"/>
      <c r="H1762"/>
      <c r="I1762"/>
      <c r="J1762"/>
    </row>
    <row r="1763" spans="1:10" s="2" customFormat="1">
      <c r="A1763" s="1"/>
      <c r="E1763"/>
      <c r="F1763"/>
      <c r="G1763"/>
      <c r="H1763"/>
      <c r="I1763"/>
      <c r="J1763"/>
    </row>
    <row r="1764" spans="1:10" s="2" customFormat="1">
      <c r="A1764" s="1"/>
      <c r="E1764"/>
      <c r="F1764"/>
      <c r="G1764"/>
      <c r="H1764"/>
      <c r="I1764"/>
      <c r="J1764"/>
    </row>
    <row r="1765" spans="1:10" s="2" customFormat="1">
      <c r="A1765" s="1"/>
      <c r="E1765"/>
      <c r="F1765"/>
      <c r="G1765"/>
      <c r="H1765"/>
      <c r="I1765"/>
      <c r="J1765"/>
    </row>
    <row r="1766" spans="1:10" s="2" customFormat="1">
      <c r="A1766" s="1"/>
      <c r="E1766"/>
      <c r="F1766"/>
      <c r="G1766"/>
      <c r="H1766"/>
      <c r="I1766"/>
      <c r="J1766"/>
    </row>
    <row r="1767" spans="1:10" s="2" customFormat="1">
      <c r="A1767" s="1"/>
      <c r="E1767"/>
      <c r="F1767"/>
      <c r="G1767"/>
      <c r="H1767"/>
      <c r="I1767"/>
      <c r="J1767"/>
    </row>
    <row r="1768" spans="1:10" s="2" customFormat="1">
      <c r="A1768" s="1"/>
      <c r="E1768"/>
      <c r="F1768"/>
      <c r="G1768"/>
      <c r="H1768"/>
      <c r="I1768"/>
      <c r="J1768"/>
    </row>
    <row r="1769" spans="1:10" s="2" customFormat="1">
      <c r="A1769" s="1"/>
      <c r="E1769"/>
      <c r="F1769"/>
      <c r="G1769"/>
      <c r="H1769"/>
      <c r="I1769"/>
      <c r="J1769"/>
    </row>
    <row r="1770" spans="1:10" s="2" customFormat="1">
      <c r="A1770" s="1"/>
      <c r="E1770"/>
      <c r="F1770"/>
      <c r="G1770"/>
      <c r="H1770"/>
      <c r="I1770"/>
      <c r="J1770"/>
    </row>
    <row r="1771" spans="1:10" s="2" customFormat="1">
      <c r="A1771" s="1"/>
      <c r="E1771"/>
      <c r="F1771"/>
      <c r="G1771"/>
      <c r="H1771"/>
      <c r="I1771"/>
      <c r="J1771"/>
    </row>
    <row r="1772" spans="1:10" s="2" customFormat="1">
      <c r="A1772" s="1"/>
      <c r="E1772"/>
      <c r="F1772"/>
      <c r="G1772"/>
      <c r="H1772"/>
      <c r="I1772"/>
      <c r="J1772"/>
    </row>
    <row r="1773" spans="1:10" s="2" customFormat="1">
      <c r="A1773" s="1"/>
      <c r="E1773"/>
      <c r="F1773"/>
      <c r="G1773"/>
      <c r="H1773"/>
      <c r="I1773"/>
      <c r="J1773"/>
    </row>
    <row r="1774" spans="1:10" s="2" customFormat="1">
      <c r="A1774" s="1"/>
      <c r="E1774"/>
      <c r="F1774"/>
      <c r="G1774"/>
      <c r="H1774"/>
      <c r="I1774"/>
      <c r="J1774"/>
    </row>
    <row r="1775" spans="1:10" s="2" customFormat="1">
      <c r="A1775" s="1"/>
      <c r="E1775"/>
      <c r="F1775"/>
      <c r="G1775"/>
      <c r="H1775"/>
      <c r="I1775"/>
      <c r="J1775"/>
    </row>
    <row r="1776" spans="1:10" s="2" customFormat="1">
      <c r="A1776" s="1"/>
      <c r="E1776"/>
      <c r="F1776"/>
      <c r="G1776"/>
      <c r="H1776"/>
      <c r="I1776"/>
      <c r="J1776"/>
    </row>
    <row r="1777" spans="1:10" s="2" customFormat="1">
      <c r="A1777" s="1"/>
      <c r="E1777"/>
      <c r="F1777"/>
      <c r="G1777"/>
      <c r="H1777"/>
      <c r="I1777"/>
      <c r="J1777"/>
    </row>
    <row r="1778" spans="1:10" s="2" customFormat="1">
      <c r="A1778" s="1"/>
      <c r="E1778"/>
      <c r="F1778"/>
      <c r="G1778"/>
      <c r="H1778"/>
      <c r="I1778"/>
      <c r="J1778"/>
    </row>
    <row r="1779" spans="1:10" s="2" customFormat="1">
      <c r="A1779" s="1"/>
      <c r="E1779"/>
      <c r="F1779"/>
      <c r="G1779"/>
      <c r="H1779"/>
      <c r="I1779"/>
      <c r="J1779"/>
    </row>
    <row r="1780" spans="1:10" s="2" customFormat="1">
      <c r="A1780" s="1"/>
      <c r="E1780"/>
      <c r="F1780"/>
      <c r="G1780"/>
      <c r="H1780"/>
      <c r="I1780"/>
      <c r="J1780"/>
    </row>
    <row r="1781" spans="1:10" s="2" customFormat="1">
      <c r="A1781" s="1"/>
      <c r="E1781"/>
      <c r="F1781"/>
      <c r="G1781"/>
      <c r="H1781"/>
      <c r="I1781"/>
      <c r="J1781"/>
    </row>
    <row r="1782" spans="1:10" s="2" customFormat="1">
      <c r="A1782" s="1"/>
      <c r="E1782"/>
      <c r="F1782"/>
      <c r="G1782"/>
      <c r="H1782"/>
      <c r="I1782"/>
      <c r="J1782"/>
    </row>
    <row r="1783" spans="1:10" s="2" customFormat="1">
      <c r="A1783" s="1"/>
      <c r="E1783"/>
      <c r="F1783"/>
      <c r="G1783"/>
      <c r="H1783"/>
      <c r="I1783"/>
      <c r="J1783"/>
    </row>
    <row r="1784" spans="1:10" s="2" customFormat="1">
      <c r="A1784" s="1"/>
      <c r="E1784"/>
      <c r="F1784"/>
      <c r="G1784"/>
      <c r="H1784"/>
      <c r="I1784"/>
      <c r="J1784"/>
    </row>
    <row r="1785" spans="1:10" s="2" customFormat="1">
      <c r="A1785" s="1"/>
      <c r="E1785"/>
      <c r="F1785"/>
      <c r="G1785"/>
      <c r="H1785"/>
      <c r="I1785"/>
      <c r="J1785"/>
    </row>
    <row r="1786" spans="1:10" s="2" customFormat="1">
      <c r="A1786" s="1"/>
      <c r="E1786"/>
      <c r="F1786"/>
      <c r="G1786"/>
      <c r="H1786"/>
      <c r="I1786"/>
      <c r="J1786"/>
    </row>
    <row r="1787" spans="1:10" s="2" customFormat="1">
      <c r="A1787" s="1"/>
      <c r="E1787"/>
      <c r="F1787"/>
      <c r="G1787"/>
      <c r="H1787"/>
      <c r="I1787"/>
      <c r="J1787"/>
    </row>
    <row r="1788" spans="1:10" s="2" customFormat="1">
      <c r="A1788" s="1"/>
      <c r="E1788"/>
      <c r="F1788"/>
      <c r="G1788"/>
      <c r="H1788"/>
      <c r="I1788"/>
      <c r="J1788"/>
    </row>
    <row r="1789" spans="1:10" s="2" customFormat="1">
      <c r="A1789" s="1"/>
      <c r="E1789"/>
      <c r="F1789"/>
      <c r="G1789"/>
      <c r="H1789"/>
      <c r="I1789"/>
      <c r="J1789"/>
    </row>
    <row r="1790" spans="1:10" s="2" customFormat="1">
      <c r="A1790" s="1"/>
      <c r="E1790"/>
      <c r="F1790"/>
      <c r="G1790"/>
      <c r="H1790"/>
      <c r="I1790"/>
      <c r="J1790"/>
    </row>
    <row r="1791" spans="1:10" s="2" customFormat="1">
      <c r="A1791" s="1"/>
      <c r="E1791"/>
      <c r="F1791"/>
      <c r="G1791"/>
      <c r="H1791"/>
      <c r="I1791"/>
      <c r="J1791"/>
    </row>
    <row r="1792" spans="1:10" s="2" customFormat="1">
      <c r="A1792" s="1"/>
      <c r="E1792"/>
      <c r="F1792"/>
      <c r="G1792"/>
      <c r="H1792"/>
      <c r="I1792"/>
      <c r="J1792"/>
    </row>
    <row r="1793" spans="1:10" s="2" customFormat="1">
      <c r="A1793" s="1"/>
      <c r="E1793"/>
      <c r="F1793"/>
      <c r="G1793"/>
      <c r="H1793"/>
      <c r="I1793"/>
      <c r="J1793"/>
    </row>
    <row r="1794" spans="1:10" s="2" customFormat="1">
      <c r="A1794" s="1"/>
      <c r="E1794"/>
      <c r="F1794"/>
      <c r="G1794"/>
      <c r="H1794"/>
      <c r="I1794"/>
      <c r="J1794"/>
    </row>
    <row r="1795" spans="1:10" s="2" customFormat="1">
      <c r="A1795" s="1"/>
      <c r="E1795"/>
      <c r="F1795"/>
      <c r="G1795"/>
      <c r="H1795"/>
      <c r="I1795"/>
      <c r="J1795"/>
    </row>
    <row r="1796" spans="1:10" s="2" customFormat="1">
      <c r="A1796" s="1"/>
      <c r="E1796"/>
      <c r="F1796"/>
      <c r="G1796"/>
      <c r="H1796"/>
      <c r="I1796"/>
      <c r="J1796"/>
    </row>
    <row r="1797" spans="1:10" s="2" customFormat="1">
      <c r="A1797" s="1"/>
      <c r="E1797"/>
      <c r="F1797"/>
      <c r="G1797"/>
      <c r="H1797"/>
      <c r="I1797"/>
      <c r="J1797"/>
    </row>
    <row r="1798" spans="1:10" s="2" customFormat="1">
      <c r="A1798" s="1"/>
      <c r="E1798"/>
      <c r="F1798"/>
      <c r="G1798"/>
      <c r="H1798"/>
      <c r="I1798"/>
      <c r="J1798"/>
    </row>
    <row r="1799" spans="1:10" s="2" customFormat="1">
      <c r="A1799" s="1"/>
      <c r="E1799"/>
      <c r="F1799"/>
      <c r="G1799"/>
      <c r="H1799"/>
      <c r="I1799"/>
      <c r="J1799"/>
    </row>
    <row r="1800" spans="1:10" s="2" customFormat="1">
      <c r="A1800" s="1"/>
      <c r="E1800"/>
      <c r="F1800"/>
      <c r="G1800"/>
      <c r="H1800"/>
      <c r="I1800"/>
      <c r="J1800"/>
    </row>
    <row r="1801" spans="1:10" s="2" customFormat="1">
      <c r="A1801" s="1"/>
      <c r="E1801"/>
      <c r="F1801"/>
      <c r="G1801"/>
      <c r="H1801"/>
      <c r="I1801"/>
      <c r="J1801"/>
    </row>
    <row r="1802" spans="1:10" s="2" customFormat="1">
      <c r="A1802" s="1"/>
      <c r="E1802"/>
      <c r="F1802"/>
      <c r="G1802"/>
      <c r="H1802"/>
      <c r="I1802"/>
      <c r="J1802"/>
    </row>
    <row r="1803" spans="1:10" s="2" customFormat="1">
      <c r="A1803" s="1"/>
      <c r="E1803"/>
      <c r="F1803"/>
      <c r="G1803"/>
      <c r="H1803"/>
      <c r="I1803"/>
      <c r="J1803"/>
    </row>
    <row r="1804" spans="1:10" s="2" customFormat="1">
      <c r="A1804" s="1"/>
      <c r="E1804"/>
      <c r="F1804"/>
      <c r="G1804"/>
      <c r="H1804"/>
      <c r="I1804"/>
      <c r="J1804"/>
    </row>
    <row r="1805" spans="1:10" s="2" customFormat="1">
      <c r="A1805" s="1"/>
      <c r="E1805"/>
      <c r="F1805"/>
      <c r="G1805"/>
      <c r="H1805"/>
      <c r="I1805"/>
      <c r="J1805"/>
    </row>
    <row r="1806" spans="1:10" s="2" customFormat="1">
      <c r="A1806" s="1"/>
      <c r="E1806"/>
      <c r="F1806"/>
      <c r="G1806"/>
      <c r="H1806"/>
      <c r="I1806"/>
      <c r="J1806"/>
    </row>
    <row r="1807" spans="1:10" s="2" customFormat="1">
      <c r="A1807" s="1"/>
      <c r="E1807"/>
      <c r="F1807"/>
      <c r="G1807"/>
      <c r="H1807"/>
      <c r="I1807"/>
      <c r="J1807"/>
    </row>
    <row r="1808" spans="1:10" s="2" customFormat="1">
      <c r="A1808" s="1"/>
      <c r="E1808"/>
      <c r="F1808"/>
      <c r="G1808"/>
      <c r="H1808"/>
      <c r="I1808"/>
      <c r="J1808"/>
    </row>
    <row r="1809" spans="1:10" s="2" customFormat="1">
      <c r="A1809" s="1"/>
      <c r="E1809"/>
      <c r="F1809"/>
      <c r="G1809"/>
      <c r="H1809"/>
      <c r="I1809"/>
      <c r="J1809"/>
    </row>
    <row r="1810" spans="1:10" s="2" customFormat="1">
      <c r="A1810" s="1"/>
      <c r="E1810"/>
      <c r="F1810"/>
      <c r="G1810"/>
      <c r="H1810"/>
      <c r="I1810"/>
      <c r="J1810"/>
    </row>
    <row r="1811" spans="1:10" s="2" customFormat="1">
      <c r="A1811" s="1"/>
      <c r="E1811"/>
      <c r="F1811"/>
      <c r="G1811"/>
      <c r="H1811"/>
      <c r="I1811"/>
      <c r="J1811"/>
    </row>
    <row r="1812" spans="1:10" s="2" customFormat="1">
      <c r="A1812" s="1"/>
      <c r="E1812"/>
      <c r="F1812"/>
      <c r="G1812"/>
      <c r="H1812"/>
      <c r="I1812"/>
      <c r="J1812"/>
    </row>
    <row r="1813" spans="1:10" s="2" customFormat="1">
      <c r="A1813" s="1"/>
      <c r="E1813"/>
      <c r="F1813"/>
      <c r="G1813"/>
      <c r="H1813"/>
      <c r="I1813"/>
      <c r="J1813"/>
    </row>
    <row r="1814" spans="1:10" s="2" customFormat="1">
      <c r="A1814" s="1"/>
      <c r="E1814"/>
      <c r="F1814"/>
      <c r="G1814"/>
      <c r="H1814"/>
      <c r="I1814"/>
      <c r="J1814"/>
    </row>
    <row r="1815" spans="1:10" s="2" customFormat="1">
      <c r="A1815" s="1"/>
      <c r="E1815"/>
      <c r="F1815"/>
      <c r="G1815"/>
      <c r="H1815"/>
      <c r="I1815"/>
      <c r="J1815"/>
    </row>
    <row r="1816" spans="1:10" s="2" customFormat="1">
      <c r="A1816" s="1"/>
      <c r="E1816"/>
      <c r="F1816"/>
      <c r="G1816"/>
      <c r="H1816"/>
      <c r="I1816"/>
      <c r="J1816"/>
    </row>
    <row r="1817" spans="1:10" s="2" customFormat="1">
      <c r="A1817" s="1"/>
      <c r="E1817"/>
      <c r="F1817"/>
      <c r="G1817"/>
      <c r="H1817"/>
      <c r="I1817"/>
      <c r="J1817"/>
    </row>
    <row r="1818" spans="1:10" s="2" customFormat="1">
      <c r="A1818" s="1"/>
      <c r="E1818"/>
      <c r="F1818"/>
      <c r="G1818"/>
      <c r="H1818"/>
      <c r="I1818"/>
      <c r="J1818"/>
    </row>
    <row r="1819" spans="1:10" s="2" customFormat="1">
      <c r="A1819" s="1"/>
      <c r="E1819"/>
      <c r="F1819"/>
      <c r="G1819"/>
      <c r="H1819"/>
      <c r="I1819"/>
      <c r="J1819"/>
    </row>
    <row r="1820" spans="1:10" s="2" customFormat="1">
      <c r="A1820" s="1"/>
      <c r="E1820"/>
      <c r="F1820"/>
      <c r="G1820"/>
      <c r="H1820"/>
      <c r="I1820"/>
      <c r="J1820"/>
    </row>
    <row r="1821" spans="1:10" s="2" customFormat="1">
      <c r="A1821" s="1"/>
      <c r="E1821"/>
      <c r="F1821"/>
      <c r="G1821"/>
      <c r="H1821"/>
      <c r="I1821"/>
      <c r="J1821"/>
    </row>
    <row r="1822" spans="1:10" s="2" customFormat="1">
      <c r="A1822" s="1"/>
      <c r="E1822"/>
      <c r="F1822"/>
      <c r="G1822"/>
      <c r="H1822"/>
      <c r="I1822"/>
      <c r="J1822"/>
    </row>
    <row r="1823" spans="1:10" s="2" customFormat="1">
      <c r="A1823" s="1"/>
      <c r="E1823"/>
      <c r="F1823"/>
      <c r="G1823"/>
      <c r="H1823"/>
      <c r="I1823"/>
      <c r="J1823"/>
    </row>
    <row r="1824" spans="1:10" s="2" customFormat="1">
      <c r="A1824" s="1"/>
      <c r="E1824"/>
      <c r="F1824"/>
      <c r="G1824"/>
      <c r="H1824"/>
      <c r="I1824"/>
      <c r="J1824"/>
    </row>
    <row r="1825" spans="1:10" s="2" customFormat="1">
      <c r="A1825" s="1"/>
      <c r="E1825"/>
      <c r="F1825"/>
      <c r="G1825"/>
      <c r="H1825"/>
      <c r="I1825"/>
      <c r="J1825"/>
    </row>
    <row r="1826" spans="1:10" s="2" customFormat="1">
      <c r="A1826" s="1"/>
      <c r="E1826"/>
      <c r="F1826"/>
      <c r="G1826"/>
      <c r="H1826"/>
      <c r="I1826"/>
      <c r="J1826"/>
    </row>
    <row r="1827" spans="1:10" s="2" customFormat="1">
      <c r="A1827" s="1"/>
      <c r="E1827"/>
      <c r="F1827"/>
      <c r="G1827"/>
      <c r="H1827"/>
      <c r="I1827"/>
      <c r="J1827"/>
    </row>
    <row r="1828" spans="1:10" s="2" customFormat="1">
      <c r="A1828" s="1"/>
      <c r="E1828"/>
      <c r="F1828"/>
      <c r="G1828"/>
      <c r="H1828"/>
      <c r="I1828"/>
      <c r="J1828"/>
    </row>
    <row r="1829" spans="1:10" s="2" customFormat="1">
      <c r="A1829" s="1"/>
      <c r="E1829"/>
      <c r="F1829"/>
      <c r="G1829"/>
      <c r="H1829"/>
      <c r="I1829"/>
      <c r="J1829"/>
    </row>
    <row r="1830" spans="1:10" s="2" customFormat="1">
      <c r="A1830" s="1"/>
      <c r="E1830"/>
      <c r="F1830"/>
      <c r="G1830"/>
      <c r="H1830"/>
      <c r="I1830"/>
      <c r="J1830"/>
    </row>
    <row r="1831" spans="1:10" s="2" customFormat="1">
      <c r="A1831" s="1"/>
      <c r="E1831"/>
      <c r="F1831"/>
      <c r="G1831"/>
      <c r="H1831"/>
      <c r="I1831"/>
      <c r="J1831"/>
    </row>
    <row r="1832" spans="1:10" s="2" customFormat="1">
      <c r="A1832" s="1"/>
      <c r="E1832"/>
      <c r="F1832"/>
      <c r="G1832"/>
      <c r="H1832"/>
      <c r="I1832"/>
      <c r="J1832"/>
    </row>
    <row r="1833" spans="1:10" s="2" customFormat="1">
      <c r="A1833" s="1"/>
      <c r="E1833"/>
      <c r="F1833"/>
      <c r="G1833"/>
      <c r="H1833"/>
      <c r="I1833"/>
      <c r="J1833"/>
    </row>
    <row r="1834" spans="1:10" s="2" customFormat="1">
      <c r="A1834" s="1"/>
      <c r="E1834"/>
      <c r="F1834"/>
      <c r="G1834"/>
      <c r="H1834"/>
      <c r="I1834"/>
      <c r="J1834"/>
    </row>
    <row r="1835" spans="1:10" s="2" customFormat="1">
      <c r="A1835" s="1"/>
      <c r="E1835"/>
      <c r="F1835"/>
      <c r="G1835"/>
      <c r="H1835"/>
      <c r="I1835"/>
      <c r="J1835"/>
    </row>
    <row r="1836" spans="1:10" s="2" customFormat="1">
      <c r="A1836" s="1"/>
      <c r="E1836"/>
      <c r="F1836"/>
      <c r="G1836"/>
      <c r="H1836"/>
      <c r="I1836"/>
      <c r="J1836"/>
    </row>
    <row r="1837" spans="1:10" s="2" customFormat="1">
      <c r="A1837" s="1"/>
      <c r="E1837"/>
      <c r="F1837"/>
      <c r="G1837"/>
      <c r="H1837"/>
      <c r="I1837"/>
      <c r="J1837"/>
    </row>
    <row r="1838" spans="1:10" s="2" customFormat="1">
      <c r="A1838" s="1"/>
      <c r="E1838"/>
      <c r="F1838"/>
      <c r="G1838"/>
      <c r="H1838"/>
      <c r="I1838"/>
      <c r="J1838"/>
    </row>
    <row r="1839" spans="1:10" s="2" customFormat="1">
      <c r="A1839" s="1"/>
      <c r="E1839"/>
      <c r="F1839"/>
      <c r="G1839"/>
      <c r="H1839"/>
      <c r="I1839"/>
      <c r="J1839"/>
    </row>
    <row r="1840" spans="1:10" s="2" customFormat="1">
      <c r="A1840" s="1"/>
      <c r="E1840"/>
      <c r="F1840"/>
      <c r="G1840"/>
      <c r="H1840"/>
      <c r="I1840"/>
      <c r="J1840"/>
    </row>
    <row r="1841" spans="1:10" s="2" customFormat="1">
      <c r="A1841" s="1"/>
      <c r="E1841"/>
      <c r="F1841"/>
      <c r="G1841"/>
      <c r="H1841"/>
      <c r="I1841"/>
      <c r="J1841"/>
    </row>
    <row r="1842" spans="1:10" s="2" customFormat="1">
      <c r="A1842" s="1"/>
      <c r="E1842"/>
      <c r="F1842"/>
      <c r="G1842"/>
      <c r="H1842"/>
      <c r="I1842"/>
      <c r="J1842"/>
    </row>
    <row r="1843" spans="1:10" s="2" customFormat="1">
      <c r="A1843" s="1"/>
      <c r="E1843"/>
      <c r="F1843"/>
      <c r="G1843"/>
      <c r="H1843"/>
      <c r="I1843"/>
      <c r="J1843"/>
    </row>
    <row r="1844" spans="1:10" s="2" customFormat="1">
      <c r="A1844" s="1"/>
      <c r="E1844"/>
      <c r="F1844"/>
      <c r="G1844"/>
      <c r="H1844"/>
      <c r="I1844"/>
      <c r="J1844"/>
    </row>
    <row r="1845" spans="1:10" s="2" customFormat="1">
      <c r="A1845" s="1"/>
      <c r="E1845"/>
      <c r="F1845"/>
      <c r="G1845"/>
      <c r="H1845"/>
      <c r="I1845"/>
      <c r="J1845"/>
    </row>
    <row r="1846" spans="1:10" s="2" customFormat="1">
      <c r="A1846" s="1"/>
      <c r="E1846"/>
      <c r="F1846"/>
      <c r="G1846"/>
      <c r="H1846"/>
      <c r="I1846"/>
      <c r="J1846"/>
    </row>
    <row r="1847" spans="1:10" s="2" customFormat="1">
      <c r="A1847" s="1"/>
      <c r="E1847"/>
      <c r="F1847"/>
      <c r="G1847"/>
      <c r="H1847"/>
      <c r="I1847"/>
      <c r="J1847"/>
    </row>
    <row r="1848" spans="1:10" s="2" customFormat="1">
      <c r="A1848" s="1"/>
      <c r="E1848"/>
      <c r="F1848"/>
      <c r="G1848"/>
      <c r="H1848"/>
      <c r="I1848"/>
      <c r="J1848"/>
    </row>
    <row r="1849" spans="1:10" s="2" customFormat="1">
      <c r="A1849" s="1"/>
      <c r="E1849"/>
      <c r="F1849"/>
      <c r="G1849"/>
      <c r="H1849"/>
      <c r="I1849"/>
      <c r="J1849"/>
    </row>
    <row r="1850" spans="1:10" s="2" customFormat="1">
      <c r="A1850" s="1"/>
      <c r="E1850"/>
      <c r="F1850"/>
      <c r="G1850"/>
      <c r="H1850"/>
      <c r="I1850"/>
      <c r="J1850"/>
    </row>
    <row r="1851" spans="1:10" s="2" customFormat="1">
      <c r="A1851" s="1"/>
      <c r="E1851"/>
      <c r="F1851"/>
      <c r="G1851"/>
      <c r="H1851"/>
      <c r="I1851"/>
      <c r="J1851"/>
    </row>
    <row r="1852" spans="1:10" s="2" customFormat="1">
      <c r="A1852" s="1"/>
      <c r="E1852"/>
      <c r="F1852"/>
      <c r="G1852"/>
      <c r="H1852"/>
      <c r="I1852"/>
      <c r="J1852"/>
    </row>
    <row r="1853" spans="1:10" s="2" customFormat="1">
      <c r="A1853" s="1"/>
      <c r="E1853"/>
      <c r="F1853"/>
      <c r="G1853"/>
      <c r="H1853"/>
      <c r="I1853"/>
      <c r="J1853"/>
    </row>
    <row r="1854" spans="1:10" s="2" customFormat="1">
      <c r="A1854" s="1"/>
      <c r="E1854"/>
      <c r="F1854"/>
      <c r="G1854"/>
      <c r="H1854"/>
      <c r="I1854"/>
      <c r="J1854"/>
    </row>
    <row r="1855" spans="1:10" s="2" customFormat="1">
      <c r="A1855" s="1"/>
      <c r="E1855"/>
      <c r="F1855"/>
      <c r="G1855"/>
      <c r="H1855"/>
      <c r="I1855"/>
      <c r="J1855"/>
    </row>
    <row r="1856" spans="1:10" s="2" customFormat="1">
      <c r="A1856" s="1"/>
      <c r="E1856"/>
      <c r="F1856"/>
      <c r="G1856"/>
      <c r="H1856"/>
      <c r="I1856"/>
      <c r="J1856"/>
    </row>
    <row r="1857" spans="1:10" s="2" customFormat="1">
      <c r="A1857" s="1"/>
      <c r="E1857"/>
      <c r="F1857"/>
      <c r="G1857"/>
      <c r="H1857"/>
      <c r="I1857"/>
      <c r="J1857"/>
    </row>
    <row r="1858" spans="1:10" s="2" customFormat="1">
      <c r="A1858" s="1"/>
      <c r="E1858"/>
      <c r="F1858"/>
      <c r="G1858"/>
      <c r="H1858"/>
      <c r="I1858"/>
      <c r="J1858"/>
    </row>
    <row r="1859" spans="1:10" s="2" customFormat="1">
      <c r="A1859" s="1"/>
      <c r="E1859"/>
      <c r="F1859"/>
      <c r="G1859"/>
      <c r="H1859"/>
      <c r="I1859"/>
      <c r="J1859"/>
    </row>
    <row r="1860" spans="1:10" s="2" customFormat="1">
      <c r="A1860" s="1"/>
      <c r="E1860"/>
      <c r="F1860"/>
      <c r="G1860"/>
      <c r="H1860"/>
      <c r="I1860"/>
      <c r="J1860"/>
    </row>
    <row r="1861" spans="1:10" s="2" customFormat="1">
      <c r="A1861" s="1"/>
      <c r="E1861"/>
      <c r="F1861"/>
      <c r="G1861"/>
      <c r="H1861"/>
      <c r="I1861"/>
      <c r="J1861"/>
    </row>
    <row r="1862" spans="1:10" s="2" customFormat="1">
      <c r="A1862" s="1"/>
      <c r="E1862"/>
      <c r="F1862"/>
      <c r="G1862"/>
      <c r="H1862"/>
      <c r="I1862"/>
      <c r="J1862"/>
    </row>
    <row r="1863" spans="1:10" s="2" customFormat="1">
      <c r="A1863" s="1"/>
      <c r="E1863"/>
      <c r="F1863"/>
      <c r="G1863"/>
      <c r="H1863"/>
      <c r="I1863"/>
      <c r="J1863"/>
    </row>
    <row r="1864" spans="1:10" s="2" customFormat="1">
      <c r="A1864" s="1"/>
      <c r="E1864"/>
      <c r="F1864"/>
      <c r="G1864"/>
      <c r="H1864"/>
      <c r="I1864"/>
      <c r="J1864"/>
    </row>
    <row r="1865" spans="1:10" s="2" customFormat="1">
      <c r="A1865" s="1"/>
      <c r="E1865"/>
      <c r="F1865"/>
      <c r="G1865"/>
      <c r="H1865"/>
      <c r="I1865"/>
      <c r="J1865"/>
    </row>
    <row r="1866" spans="1:10" s="2" customFormat="1">
      <c r="A1866" s="1"/>
      <c r="E1866"/>
      <c r="F1866"/>
      <c r="G1866"/>
      <c r="H1866"/>
      <c r="I1866"/>
      <c r="J1866"/>
    </row>
    <row r="1867" spans="1:10" s="2" customFormat="1">
      <c r="A1867" s="1"/>
      <c r="E1867"/>
      <c r="F1867"/>
      <c r="G1867"/>
      <c r="H1867"/>
      <c r="I1867"/>
      <c r="J1867"/>
    </row>
    <row r="1868" spans="1:10" s="2" customFormat="1">
      <c r="A1868" s="1"/>
      <c r="E1868"/>
      <c r="F1868"/>
      <c r="G1868"/>
      <c r="H1868"/>
      <c r="I1868"/>
      <c r="J1868"/>
    </row>
    <row r="1869" spans="1:10" s="2" customFormat="1">
      <c r="A1869" s="1"/>
      <c r="E1869"/>
      <c r="F1869"/>
      <c r="G1869"/>
      <c r="H1869"/>
      <c r="I1869"/>
      <c r="J1869"/>
    </row>
    <row r="1870" spans="1:10" s="2" customFormat="1">
      <c r="A1870" s="1"/>
      <c r="E1870"/>
      <c r="F1870"/>
      <c r="G1870"/>
      <c r="H1870"/>
      <c r="I1870"/>
      <c r="J1870"/>
    </row>
    <row r="1871" spans="1:10" s="2" customFormat="1">
      <c r="A1871" s="1"/>
      <c r="E1871"/>
      <c r="F1871"/>
      <c r="G1871"/>
      <c r="H1871"/>
      <c r="I1871"/>
      <c r="J1871"/>
    </row>
    <row r="1872" spans="1:10" s="2" customFormat="1">
      <c r="A1872" s="1"/>
      <c r="E1872"/>
      <c r="F1872"/>
      <c r="G1872"/>
      <c r="H1872"/>
      <c r="I1872"/>
      <c r="J1872"/>
    </row>
    <row r="1873" spans="1:10" s="2" customFormat="1">
      <c r="A1873" s="1"/>
      <c r="E1873"/>
      <c r="F1873"/>
      <c r="G1873"/>
      <c r="H1873"/>
      <c r="I1873"/>
      <c r="J1873"/>
    </row>
    <row r="1874" spans="1:10" s="2" customFormat="1">
      <c r="A1874" s="1"/>
      <c r="E1874"/>
      <c r="F1874"/>
      <c r="G1874"/>
      <c r="H1874"/>
      <c r="I1874"/>
      <c r="J1874"/>
    </row>
    <row r="1875" spans="1:10" s="2" customFormat="1">
      <c r="A1875" s="1"/>
      <c r="E1875"/>
      <c r="F1875"/>
      <c r="G1875"/>
      <c r="H1875"/>
      <c r="I1875"/>
      <c r="J1875"/>
    </row>
    <row r="1876" spans="1:10" s="2" customFormat="1">
      <c r="A1876" s="1"/>
      <c r="E1876"/>
      <c r="F1876"/>
      <c r="G1876"/>
      <c r="H1876"/>
      <c r="I1876"/>
      <c r="J1876"/>
    </row>
    <row r="1877" spans="1:10" s="2" customFormat="1">
      <c r="A1877" s="1"/>
      <c r="E1877"/>
      <c r="F1877"/>
      <c r="G1877"/>
      <c r="H1877"/>
      <c r="I1877"/>
      <c r="J1877"/>
    </row>
    <row r="1878" spans="1:10" s="2" customFormat="1">
      <c r="A1878" s="1"/>
      <c r="E1878"/>
      <c r="F1878"/>
      <c r="G1878"/>
      <c r="H1878"/>
      <c r="I1878"/>
      <c r="J1878"/>
    </row>
    <row r="1879" spans="1:10" s="2" customFormat="1">
      <c r="A1879" s="1"/>
      <c r="E1879"/>
      <c r="F1879"/>
      <c r="G1879"/>
      <c r="H1879"/>
      <c r="I1879"/>
      <c r="J1879"/>
    </row>
    <row r="1880" spans="1:10" s="2" customFormat="1">
      <c r="A1880" s="1"/>
      <c r="E1880"/>
      <c r="F1880"/>
      <c r="G1880"/>
      <c r="H1880"/>
      <c r="I1880"/>
      <c r="J1880"/>
    </row>
    <row r="1881" spans="1:10" s="2" customFormat="1">
      <c r="A1881" s="1"/>
      <c r="E1881"/>
      <c r="F1881"/>
      <c r="G1881"/>
      <c r="H1881"/>
      <c r="I1881"/>
      <c r="J1881"/>
    </row>
    <row r="1882" spans="1:10" s="2" customFormat="1">
      <c r="A1882" s="1"/>
      <c r="E1882"/>
      <c r="F1882"/>
      <c r="G1882"/>
      <c r="H1882"/>
      <c r="I1882"/>
      <c r="J1882"/>
    </row>
    <row r="1883" spans="1:10" s="2" customFormat="1">
      <c r="A1883" s="1"/>
      <c r="E1883"/>
      <c r="F1883"/>
      <c r="G1883"/>
      <c r="H1883"/>
      <c r="I1883"/>
      <c r="J1883"/>
    </row>
    <row r="1884" spans="1:10" s="2" customFormat="1">
      <c r="A1884" s="1"/>
      <c r="E1884"/>
      <c r="F1884"/>
      <c r="G1884"/>
      <c r="H1884"/>
      <c r="I1884"/>
      <c r="J1884"/>
    </row>
    <row r="1885" spans="1:10" s="2" customFormat="1">
      <c r="A1885" s="1"/>
      <c r="E1885"/>
      <c r="F1885"/>
      <c r="G1885"/>
      <c r="H1885"/>
      <c r="I1885"/>
      <c r="J1885"/>
    </row>
    <row r="1886" spans="1:10" s="2" customFormat="1">
      <c r="A1886" s="1"/>
      <c r="E1886"/>
      <c r="F1886"/>
      <c r="G1886"/>
      <c r="H1886"/>
      <c r="I1886"/>
      <c r="J1886"/>
    </row>
    <row r="1887" spans="1:10" s="2" customFormat="1">
      <c r="A1887" s="1"/>
      <c r="E1887"/>
      <c r="F1887"/>
      <c r="G1887"/>
      <c r="H1887"/>
      <c r="I1887"/>
      <c r="J1887"/>
    </row>
    <row r="1888" spans="1:10" s="2" customFormat="1">
      <c r="A1888" s="1"/>
      <c r="E1888"/>
      <c r="F1888"/>
      <c r="G1888"/>
      <c r="H1888"/>
      <c r="I1888"/>
      <c r="J1888"/>
    </row>
    <row r="1889" spans="1:10" s="2" customFormat="1">
      <c r="A1889" s="1"/>
      <c r="E1889"/>
      <c r="F1889"/>
      <c r="G1889"/>
      <c r="H1889"/>
      <c r="I1889"/>
      <c r="J1889"/>
    </row>
    <row r="1890" spans="1:10" s="2" customFormat="1">
      <c r="A1890" s="1"/>
      <c r="E1890"/>
      <c r="F1890"/>
      <c r="G1890"/>
      <c r="H1890"/>
      <c r="I1890"/>
      <c r="J1890"/>
    </row>
    <row r="1891" spans="1:10" s="2" customFormat="1">
      <c r="A1891" s="1"/>
      <c r="E1891"/>
      <c r="F1891"/>
      <c r="G1891"/>
      <c r="H1891"/>
      <c r="I1891"/>
      <c r="J1891"/>
    </row>
    <row r="1892" spans="1:10" s="2" customFormat="1">
      <c r="A1892" s="1"/>
      <c r="E1892"/>
      <c r="F1892"/>
      <c r="G1892"/>
      <c r="H1892"/>
      <c r="I1892"/>
      <c r="J1892"/>
    </row>
    <row r="1893" spans="1:10" s="2" customFormat="1">
      <c r="A1893" s="1"/>
      <c r="E1893"/>
      <c r="F1893"/>
      <c r="G1893"/>
      <c r="H1893"/>
      <c r="I1893"/>
      <c r="J1893"/>
    </row>
    <row r="1894" spans="1:10" s="2" customFormat="1">
      <c r="A1894" s="1"/>
      <c r="E1894"/>
      <c r="F1894"/>
      <c r="G1894"/>
      <c r="H1894"/>
      <c r="I1894"/>
      <c r="J1894"/>
    </row>
    <row r="1895" spans="1:10" s="2" customFormat="1">
      <c r="A1895" s="1"/>
      <c r="E1895"/>
      <c r="F1895"/>
      <c r="G1895"/>
      <c r="H1895"/>
      <c r="I1895"/>
      <c r="J1895"/>
    </row>
    <row r="1896" spans="1:10" s="2" customFormat="1">
      <c r="A1896" s="1"/>
      <c r="E1896"/>
      <c r="F1896"/>
      <c r="G1896"/>
      <c r="H1896"/>
      <c r="I1896"/>
      <c r="J1896"/>
    </row>
    <row r="1897" spans="1:10" s="2" customFormat="1">
      <c r="A1897" s="1"/>
      <c r="E1897"/>
      <c r="F1897"/>
      <c r="G1897"/>
      <c r="H1897"/>
      <c r="I1897"/>
      <c r="J1897"/>
    </row>
    <row r="1898" spans="1:10" s="2" customFormat="1">
      <c r="A1898" s="1"/>
      <c r="E1898"/>
      <c r="F1898"/>
      <c r="G1898"/>
      <c r="H1898"/>
      <c r="I1898"/>
      <c r="J1898"/>
    </row>
    <row r="1899" spans="1:10" s="2" customFormat="1">
      <c r="A1899" s="1"/>
      <c r="E1899"/>
      <c r="F1899"/>
      <c r="G1899"/>
      <c r="H1899"/>
      <c r="I1899"/>
      <c r="J1899"/>
    </row>
    <row r="1900" spans="1:10" s="2" customFormat="1">
      <c r="A1900" s="1"/>
      <c r="E1900"/>
      <c r="F1900"/>
      <c r="G1900"/>
      <c r="H1900"/>
      <c r="I1900"/>
      <c r="J1900"/>
    </row>
    <row r="1901" spans="1:10" s="2" customFormat="1">
      <c r="A1901" s="1"/>
      <c r="E1901"/>
      <c r="F1901"/>
      <c r="G1901"/>
      <c r="H1901"/>
      <c r="I1901"/>
      <c r="J1901"/>
    </row>
    <row r="1902" spans="1:10" s="2" customFormat="1">
      <c r="A1902" s="1"/>
      <c r="E1902"/>
      <c r="F1902"/>
      <c r="G1902"/>
      <c r="H1902"/>
      <c r="I1902"/>
      <c r="J1902"/>
    </row>
    <row r="1903" spans="1:10" s="2" customFormat="1">
      <c r="A1903" s="1"/>
      <c r="E1903"/>
      <c r="F1903"/>
      <c r="G1903"/>
      <c r="H1903"/>
      <c r="I1903"/>
      <c r="J1903"/>
    </row>
    <row r="1904" spans="1:10" s="2" customFormat="1">
      <c r="A1904" s="1"/>
      <c r="E1904"/>
      <c r="F1904"/>
      <c r="G1904"/>
      <c r="H1904"/>
      <c r="I1904"/>
      <c r="J1904"/>
    </row>
    <row r="1905" spans="1:10" s="2" customFormat="1">
      <c r="A1905" s="1"/>
      <c r="E1905"/>
      <c r="F1905"/>
      <c r="G1905"/>
      <c r="H1905"/>
      <c r="I1905"/>
      <c r="J1905"/>
    </row>
    <row r="1906" spans="1:10" s="2" customFormat="1">
      <c r="A1906" s="1"/>
      <c r="E1906"/>
      <c r="F1906"/>
      <c r="G1906"/>
      <c r="H1906"/>
      <c r="I1906"/>
      <c r="J1906"/>
    </row>
    <row r="1907" spans="1:10" s="2" customFormat="1">
      <c r="A1907" s="1"/>
      <c r="E1907"/>
      <c r="F1907"/>
      <c r="G1907"/>
      <c r="H1907"/>
      <c r="I1907"/>
      <c r="J1907"/>
    </row>
    <row r="1908" spans="1:10" s="2" customFormat="1">
      <c r="A1908" s="1"/>
      <c r="E1908"/>
      <c r="F1908"/>
      <c r="G1908"/>
      <c r="H1908"/>
      <c r="I1908"/>
      <c r="J1908"/>
    </row>
    <row r="1909" spans="1:10" s="2" customFormat="1">
      <c r="A1909" s="1"/>
      <c r="E1909"/>
      <c r="F1909"/>
      <c r="G1909"/>
      <c r="H1909"/>
      <c r="I1909"/>
      <c r="J1909"/>
    </row>
    <row r="1910" spans="1:10" s="2" customFormat="1">
      <c r="A1910" s="1"/>
      <c r="E1910"/>
      <c r="F1910"/>
      <c r="G1910"/>
      <c r="H1910"/>
      <c r="I1910"/>
      <c r="J1910"/>
    </row>
    <row r="1911" spans="1:10" s="2" customFormat="1">
      <c r="A1911" s="1"/>
      <c r="E1911"/>
      <c r="F1911"/>
      <c r="G1911"/>
      <c r="H1911"/>
      <c r="I1911"/>
      <c r="J1911"/>
    </row>
    <row r="1912" spans="1:10" s="2" customFormat="1">
      <c r="A1912" s="1"/>
      <c r="E1912"/>
      <c r="F1912"/>
      <c r="G1912"/>
      <c r="H1912"/>
      <c r="I1912"/>
      <c r="J1912"/>
    </row>
    <row r="1913" spans="1:10" s="2" customFormat="1">
      <c r="A1913" s="1"/>
      <c r="E1913"/>
      <c r="F1913"/>
      <c r="G1913"/>
      <c r="H1913"/>
      <c r="I1913"/>
      <c r="J1913"/>
    </row>
    <row r="1914" spans="1:10" s="2" customFormat="1">
      <c r="A1914" s="1"/>
      <c r="E1914"/>
      <c r="F1914"/>
      <c r="G1914"/>
      <c r="H1914"/>
      <c r="I1914"/>
      <c r="J1914"/>
    </row>
    <row r="1915" spans="1:10" s="2" customFormat="1">
      <c r="A1915" s="1"/>
      <c r="E1915"/>
      <c r="F1915"/>
      <c r="G1915"/>
      <c r="H1915"/>
      <c r="I1915"/>
      <c r="J1915"/>
    </row>
    <row r="1916" spans="1:10" s="2" customFormat="1">
      <c r="A1916" s="1"/>
      <c r="E1916"/>
      <c r="F1916"/>
      <c r="G1916"/>
      <c r="H1916"/>
      <c r="I1916"/>
      <c r="J1916"/>
    </row>
    <row r="1917" spans="1:10" s="2" customFormat="1">
      <c r="A1917" s="1"/>
      <c r="E1917"/>
      <c r="F1917"/>
      <c r="G1917"/>
      <c r="H1917"/>
      <c r="I1917"/>
      <c r="J1917"/>
    </row>
    <row r="1918" spans="1:10" s="2" customFormat="1">
      <c r="A1918" s="1"/>
      <c r="E1918"/>
      <c r="F1918"/>
      <c r="G1918"/>
      <c r="H1918"/>
      <c r="I1918"/>
      <c r="J1918"/>
    </row>
    <row r="1919" spans="1:10" s="2" customFormat="1">
      <c r="A1919" s="1"/>
      <c r="E1919"/>
      <c r="F1919"/>
      <c r="G1919"/>
      <c r="H1919"/>
      <c r="I1919"/>
      <c r="J1919"/>
    </row>
    <row r="1920" spans="1:10" s="2" customFormat="1">
      <c r="A1920" s="1"/>
      <c r="E1920"/>
      <c r="F1920"/>
      <c r="G1920"/>
      <c r="H1920"/>
      <c r="I1920"/>
      <c r="J1920"/>
    </row>
    <row r="1921" spans="1:10" s="2" customFormat="1">
      <c r="A1921" s="1"/>
      <c r="E1921"/>
      <c r="F1921"/>
      <c r="G1921"/>
      <c r="H1921"/>
      <c r="I1921"/>
      <c r="J1921"/>
    </row>
    <row r="1922" spans="1:10" s="2" customFormat="1">
      <c r="A1922" s="1"/>
      <c r="E1922"/>
      <c r="F1922"/>
      <c r="G1922"/>
      <c r="H1922"/>
      <c r="I1922"/>
      <c r="J1922"/>
    </row>
    <row r="1923" spans="1:10" s="2" customFormat="1">
      <c r="A1923" s="1"/>
      <c r="E1923"/>
      <c r="F1923"/>
      <c r="G1923"/>
      <c r="H1923"/>
      <c r="I1923"/>
      <c r="J1923"/>
    </row>
    <row r="1924" spans="1:10" s="2" customFormat="1">
      <c r="A1924" s="1"/>
      <c r="E1924"/>
      <c r="F1924"/>
      <c r="G1924"/>
      <c r="H1924"/>
      <c r="I1924"/>
      <c r="J1924"/>
    </row>
    <row r="1925" spans="1:10" s="2" customFormat="1">
      <c r="A1925" s="1"/>
      <c r="E1925"/>
      <c r="F1925"/>
      <c r="G1925"/>
      <c r="H1925"/>
      <c r="I1925"/>
      <c r="J1925"/>
    </row>
    <row r="1926" spans="1:10" s="2" customFormat="1">
      <c r="A1926" s="1"/>
      <c r="E1926"/>
      <c r="F1926"/>
      <c r="G1926"/>
      <c r="H1926"/>
      <c r="I1926"/>
      <c r="J1926"/>
    </row>
    <row r="1927" spans="1:10" s="2" customFormat="1">
      <c r="A1927" s="1"/>
      <c r="E1927"/>
      <c r="F1927"/>
      <c r="G1927"/>
      <c r="H1927"/>
      <c r="I1927"/>
      <c r="J1927"/>
    </row>
    <row r="1928" spans="1:10" s="2" customFormat="1">
      <c r="A1928" s="1"/>
      <c r="E1928"/>
      <c r="F1928"/>
      <c r="G1928"/>
      <c r="H1928"/>
      <c r="I1928"/>
      <c r="J1928"/>
    </row>
    <row r="1929" spans="1:10" s="2" customFormat="1">
      <c r="A1929" s="1"/>
      <c r="E1929"/>
      <c r="F1929"/>
      <c r="G1929"/>
      <c r="H1929"/>
      <c r="I1929"/>
      <c r="J1929"/>
    </row>
    <row r="1930" spans="1:10" s="2" customFormat="1">
      <c r="A1930" s="1"/>
      <c r="E1930"/>
      <c r="F1930"/>
      <c r="G1930"/>
      <c r="H1930"/>
      <c r="I1930"/>
      <c r="J1930"/>
    </row>
    <row r="1931" spans="1:10" s="2" customFormat="1">
      <c r="A1931" s="1"/>
      <c r="E1931"/>
      <c r="F1931"/>
      <c r="G1931"/>
      <c r="H1931"/>
      <c r="I1931"/>
      <c r="J1931"/>
    </row>
    <row r="1932" spans="1:10" s="2" customFormat="1">
      <c r="A1932" s="1"/>
      <c r="E1932"/>
      <c r="F1932"/>
      <c r="G1932"/>
      <c r="H1932"/>
      <c r="I1932"/>
      <c r="J1932"/>
    </row>
    <row r="1933" spans="1:10" s="2" customFormat="1">
      <c r="A1933" s="1"/>
      <c r="E1933"/>
      <c r="F1933"/>
      <c r="G1933"/>
      <c r="H1933"/>
      <c r="I1933"/>
      <c r="J1933"/>
    </row>
    <row r="1934" spans="1:10" s="2" customFormat="1">
      <c r="A1934" s="1"/>
      <c r="E1934"/>
      <c r="F1934"/>
      <c r="G1934"/>
      <c r="H1934"/>
      <c r="I1934"/>
      <c r="J1934"/>
    </row>
    <row r="1935" spans="1:10" s="2" customFormat="1">
      <c r="A1935" s="1"/>
      <c r="E1935"/>
      <c r="F1935"/>
      <c r="G1935"/>
      <c r="H1935"/>
      <c r="I1935"/>
      <c r="J1935"/>
    </row>
    <row r="1936" spans="1:10" s="2" customFormat="1">
      <c r="A1936" s="1"/>
      <c r="E1936"/>
      <c r="F1936"/>
      <c r="G1936"/>
      <c r="H1936"/>
      <c r="I1936"/>
      <c r="J1936"/>
    </row>
    <row r="1937" spans="1:10" s="2" customFormat="1">
      <c r="A1937" s="1"/>
      <c r="E1937"/>
      <c r="F1937"/>
      <c r="G1937"/>
      <c r="H1937"/>
      <c r="I1937"/>
      <c r="J1937"/>
    </row>
    <row r="1938" spans="1:10" s="2" customFormat="1">
      <c r="A1938" s="1"/>
      <c r="E1938"/>
      <c r="F1938"/>
      <c r="G1938"/>
      <c r="H1938"/>
      <c r="I1938"/>
      <c r="J1938"/>
    </row>
    <row r="1939" spans="1:10" s="2" customFormat="1">
      <c r="A1939" s="1"/>
      <c r="E1939"/>
      <c r="F1939"/>
      <c r="G1939"/>
      <c r="H1939"/>
      <c r="I1939"/>
      <c r="J1939"/>
    </row>
    <row r="1940" spans="1:10" s="2" customFormat="1">
      <c r="A1940" s="1"/>
      <c r="E1940"/>
      <c r="F1940"/>
      <c r="G1940"/>
      <c r="H1940"/>
      <c r="I1940"/>
      <c r="J1940"/>
    </row>
    <row r="1941" spans="1:10" s="2" customFormat="1">
      <c r="A1941" s="1"/>
      <c r="E1941"/>
      <c r="F1941"/>
      <c r="G1941"/>
      <c r="H1941"/>
      <c r="I1941"/>
      <c r="J1941"/>
    </row>
    <row r="1942" spans="1:10" s="2" customFormat="1">
      <c r="A1942" s="1"/>
      <c r="E1942"/>
      <c r="F1942"/>
      <c r="G1942"/>
      <c r="H1942"/>
      <c r="I1942"/>
      <c r="J1942"/>
    </row>
    <row r="1943" spans="1:10" s="2" customFormat="1">
      <c r="A1943" s="1"/>
      <c r="E1943"/>
      <c r="F1943"/>
      <c r="G1943"/>
      <c r="H1943"/>
      <c r="I1943"/>
      <c r="J1943"/>
    </row>
    <row r="1944" spans="1:10" s="2" customFormat="1">
      <c r="A1944" s="1"/>
      <c r="E1944"/>
      <c r="F1944"/>
      <c r="G1944"/>
      <c r="H1944"/>
      <c r="I1944"/>
      <c r="J1944"/>
    </row>
    <row r="1945" spans="1:10" s="2" customFormat="1">
      <c r="A1945" s="1"/>
      <c r="E1945"/>
      <c r="F1945"/>
      <c r="G1945"/>
      <c r="H1945"/>
      <c r="I1945"/>
      <c r="J1945"/>
    </row>
    <row r="1946" spans="1:10" s="2" customFormat="1">
      <c r="A1946" s="1"/>
      <c r="E1946"/>
      <c r="F1946"/>
      <c r="G1946"/>
      <c r="H1946"/>
      <c r="I1946"/>
      <c r="J1946"/>
    </row>
    <row r="1947" spans="1:10" s="2" customFormat="1">
      <c r="A1947" s="1"/>
      <c r="E1947"/>
      <c r="F1947"/>
      <c r="G1947"/>
      <c r="H1947"/>
      <c r="I1947"/>
      <c r="J1947"/>
    </row>
    <row r="1948" spans="1:10" s="2" customFormat="1">
      <c r="A1948" s="1"/>
      <c r="E1948"/>
      <c r="F1948"/>
      <c r="G1948"/>
      <c r="H1948"/>
      <c r="I1948"/>
      <c r="J1948"/>
    </row>
    <row r="1949" spans="1:10" s="2" customFormat="1">
      <c r="A1949" s="1"/>
      <c r="E1949"/>
      <c r="F1949"/>
      <c r="G1949"/>
      <c r="H1949"/>
      <c r="I1949"/>
      <c r="J1949"/>
    </row>
    <row r="1950" spans="1:10" s="2" customFormat="1">
      <c r="A1950" s="1"/>
      <c r="E1950"/>
      <c r="F1950"/>
      <c r="G1950"/>
      <c r="H1950"/>
      <c r="I1950"/>
      <c r="J1950"/>
    </row>
    <row r="1951" spans="1:10" s="2" customFormat="1">
      <c r="A1951" s="1"/>
      <c r="E1951"/>
      <c r="F1951"/>
      <c r="G1951"/>
      <c r="H1951"/>
      <c r="I1951"/>
      <c r="J1951"/>
    </row>
    <row r="1952" spans="1:10" s="2" customFormat="1">
      <c r="A1952" s="1"/>
      <c r="E1952"/>
      <c r="F1952"/>
      <c r="G1952"/>
      <c r="H1952"/>
      <c r="I1952"/>
      <c r="J1952"/>
    </row>
    <row r="1953" spans="1:10" s="2" customFormat="1">
      <c r="A1953" s="1"/>
      <c r="E1953"/>
      <c r="F1953"/>
      <c r="G1953"/>
      <c r="H1953"/>
      <c r="I1953"/>
      <c r="J1953"/>
    </row>
    <row r="1954" spans="1:10" s="2" customFormat="1">
      <c r="A1954" s="1"/>
      <c r="E1954"/>
      <c r="F1954"/>
      <c r="G1954"/>
      <c r="H1954"/>
      <c r="I1954"/>
      <c r="J1954"/>
    </row>
    <row r="1955" spans="1:10" s="2" customFormat="1">
      <c r="A1955" s="1"/>
      <c r="E1955"/>
      <c r="F1955"/>
      <c r="G1955"/>
      <c r="H1955"/>
      <c r="I1955"/>
      <c r="J1955"/>
    </row>
    <row r="1956" spans="1:10" s="2" customFormat="1">
      <c r="A1956" s="1"/>
      <c r="E1956"/>
      <c r="F1956"/>
      <c r="G1956"/>
      <c r="H1956"/>
      <c r="I1956"/>
      <c r="J1956"/>
    </row>
    <row r="1957" spans="1:10" s="2" customFormat="1">
      <c r="A1957" s="1"/>
      <c r="E1957"/>
      <c r="F1957"/>
      <c r="G1957"/>
      <c r="H1957"/>
      <c r="I1957"/>
      <c r="J1957"/>
    </row>
    <row r="1958" spans="1:10" s="2" customFormat="1">
      <c r="A1958" s="1"/>
      <c r="E1958"/>
      <c r="F1958"/>
      <c r="G1958"/>
      <c r="H1958"/>
      <c r="I1958"/>
      <c r="J1958"/>
    </row>
    <row r="1959" spans="1:10" s="2" customFormat="1">
      <c r="A1959" s="1"/>
      <c r="E1959"/>
      <c r="F1959"/>
      <c r="G1959"/>
      <c r="H1959"/>
      <c r="I1959"/>
      <c r="J1959"/>
    </row>
    <row r="1960" spans="1:10" s="2" customFormat="1">
      <c r="A1960" s="1"/>
      <c r="E1960"/>
      <c r="F1960"/>
      <c r="G1960"/>
      <c r="H1960"/>
      <c r="I1960"/>
      <c r="J1960"/>
    </row>
    <row r="1961" spans="1:10" s="2" customFormat="1">
      <c r="A1961" s="1"/>
      <c r="E1961"/>
      <c r="F1961"/>
      <c r="G1961"/>
      <c r="H1961"/>
      <c r="I1961"/>
      <c r="J1961"/>
    </row>
    <row r="1962" spans="1:10" s="2" customFormat="1">
      <c r="A1962" s="1"/>
      <c r="E1962"/>
      <c r="F1962"/>
      <c r="G1962"/>
      <c r="H1962"/>
      <c r="I1962"/>
      <c r="J1962"/>
    </row>
    <row r="1963" spans="1:10" s="2" customFormat="1">
      <c r="A1963" s="1"/>
      <c r="E1963"/>
      <c r="F1963"/>
      <c r="G1963"/>
      <c r="H1963"/>
      <c r="I1963"/>
      <c r="J1963"/>
    </row>
    <row r="1964" spans="1:10" s="2" customFormat="1">
      <c r="A1964" s="1"/>
      <c r="E1964"/>
      <c r="F1964"/>
      <c r="G1964"/>
      <c r="H1964"/>
      <c r="I1964"/>
      <c r="J1964"/>
    </row>
    <row r="1965" spans="1:10" s="2" customFormat="1">
      <c r="A1965" s="1"/>
      <c r="E1965"/>
      <c r="F1965"/>
      <c r="G1965"/>
      <c r="H1965"/>
      <c r="I1965"/>
      <c r="J1965"/>
    </row>
    <row r="1966" spans="1:10" s="2" customFormat="1">
      <c r="A1966" s="1"/>
      <c r="E1966"/>
      <c r="F1966"/>
      <c r="G1966"/>
      <c r="H1966"/>
      <c r="I1966"/>
      <c r="J1966"/>
    </row>
    <row r="1967" spans="1:10" s="2" customFormat="1">
      <c r="A1967" s="1"/>
      <c r="E1967"/>
      <c r="F1967"/>
      <c r="G1967"/>
      <c r="H1967"/>
      <c r="I1967"/>
      <c r="J1967"/>
    </row>
    <row r="1968" spans="1:10" s="2" customFormat="1">
      <c r="A1968" s="1"/>
      <c r="E1968"/>
      <c r="F1968"/>
      <c r="G1968"/>
      <c r="H1968"/>
      <c r="I1968"/>
      <c r="J1968"/>
    </row>
    <row r="1969" spans="1:10" s="2" customFormat="1">
      <c r="A1969" s="1"/>
      <c r="E1969"/>
      <c r="F1969"/>
      <c r="G1969"/>
      <c r="H1969"/>
      <c r="I1969"/>
      <c r="J1969"/>
    </row>
    <row r="1970" spans="1:10" s="2" customFormat="1">
      <c r="A1970" s="1"/>
      <c r="E1970"/>
      <c r="F1970"/>
      <c r="G1970"/>
      <c r="H1970"/>
      <c r="I1970"/>
      <c r="J1970"/>
    </row>
    <row r="1971" spans="1:10" s="2" customFormat="1">
      <c r="A1971" s="1"/>
      <c r="E1971"/>
      <c r="F1971"/>
      <c r="G1971"/>
      <c r="H1971"/>
      <c r="I1971"/>
      <c r="J1971"/>
    </row>
    <row r="1972" spans="1:10" s="2" customFormat="1">
      <c r="A1972" s="1"/>
      <c r="E1972"/>
      <c r="F1972"/>
      <c r="G1972"/>
      <c r="H1972"/>
      <c r="I1972"/>
      <c r="J1972"/>
    </row>
    <row r="1973" spans="1:10" s="2" customFormat="1">
      <c r="A1973" s="1"/>
      <c r="E1973"/>
      <c r="F1973"/>
      <c r="G1973"/>
      <c r="H1973"/>
      <c r="I1973"/>
      <c r="J1973"/>
    </row>
    <row r="1974" spans="1:10" s="2" customFormat="1">
      <c r="A1974" s="1"/>
      <c r="E1974"/>
      <c r="F1974"/>
      <c r="G1974"/>
      <c r="H1974"/>
      <c r="I1974"/>
      <c r="J1974"/>
    </row>
    <row r="1975" spans="1:10" s="2" customFormat="1">
      <c r="A1975" s="1"/>
      <c r="E1975"/>
      <c r="F1975"/>
      <c r="G1975"/>
      <c r="H1975"/>
      <c r="I1975"/>
      <c r="J1975"/>
    </row>
    <row r="1976" spans="1:10" s="2" customFormat="1">
      <c r="A1976" s="1"/>
      <c r="E1976"/>
      <c r="F1976"/>
      <c r="G1976"/>
      <c r="H1976"/>
      <c r="I1976"/>
      <c r="J1976"/>
    </row>
    <row r="1977" spans="1:10" s="2" customFormat="1">
      <c r="A1977" s="1"/>
      <c r="E1977"/>
      <c r="F1977"/>
      <c r="G1977"/>
      <c r="H1977"/>
      <c r="I1977"/>
      <c r="J1977"/>
    </row>
    <row r="1978" spans="1:10" s="2" customFormat="1">
      <c r="A1978" s="1"/>
      <c r="E1978"/>
      <c r="F1978"/>
      <c r="G1978"/>
      <c r="H1978"/>
      <c r="I1978"/>
      <c r="J1978"/>
    </row>
    <row r="1979" spans="1:10" s="2" customFormat="1">
      <c r="A1979" s="1"/>
      <c r="E1979"/>
      <c r="F1979"/>
      <c r="G1979"/>
      <c r="H1979"/>
      <c r="I1979"/>
      <c r="J1979"/>
    </row>
    <row r="1980" spans="1:10" s="2" customFormat="1">
      <c r="A1980" s="1"/>
      <c r="E1980"/>
      <c r="F1980"/>
      <c r="G1980"/>
      <c r="H1980"/>
      <c r="I1980"/>
      <c r="J1980"/>
    </row>
    <row r="1981" spans="1:10" s="2" customFormat="1">
      <c r="A1981" s="1"/>
      <c r="E1981"/>
      <c r="F1981"/>
      <c r="G1981"/>
      <c r="H1981"/>
      <c r="I1981"/>
      <c r="J1981"/>
    </row>
    <row r="1982" spans="1:10" s="2" customFormat="1">
      <c r="A1982" s="1"/>
      <c r="E1982"/>
      <c r="F1982"/>
      <c r="G1982"/>
      <c r="H1982"/>
      <c r="I1982"/>
      <c r="J1982"/>
    </row>
    <row r="1983" spans="1:10" s="2" customFormat="1">
      <c r="A1983" s="1"/>
      <c r="E1983"/>
      <c r="F1983"/>
      <c r="G1983"/>
      <c r="H1983"/>
      <c r="I1983"/>
      <c r="J1983"/>
    </row>
    <row r="1984" spans="1:10" s="2" customFormat="1">
      <c r="A1984" s="1"/>
      <c r="E1984"/>
      <c r="F1984"/>
      <c r="G1984"/>
      <c r="H1984"/>
      <c r="I1984"/>
      <c r="J1984"/>
    </row>
    <row r="1985" spans="1:10" s="2" customFormat="1">
      <c r="A1985" s="1"/>
      <c r="E1985"/>
      <c r="F1985"/>
      <c r="G1985"/>
      <c r="H1985"/>
      <c r="I1985"/>
      <c r="J1985"/>
    </row>
    <row r="1986" spans="1:10" s="2" customFormat="1">
      <c r="A1986" s="1"/>
      <c r="E1986"/>
      <c r="F1986"/>
      <c r="G1986"/>
      <c r="H1986"/>
      <c r="I1986"/>
      <c r="J1986"/>
    </row>
    <row r="1987" spans="1:10" s="2" customFormat="1">
      <c r="A1987" s="1"/>
      <c r="E1987"/>
      <c r="F1987"/>
      <c r="G1987"/>
      <c r="H1987"/>
      <c r="I1987"/>
      <c r="J1987"/>
    </row>
    <row r="1988" spans="1:10" s="2" customFormat="1">
      <c r="A1988" s="1"/>
      <c r="E1988"/>
      <c r="F1988"/>
      <c r="G1988"/>
      <c r="H1988"/>
      <c r="I1988"/>
      <c r="J1988"/>
    </row>
    <row r="1989" spans="1:10" s="2" customFormat="1">
      <c r="A1989" s="1"/>
      <c r="E1989"/>
      <c r="F1989"/>
      <c r="G1989"/>
      <c r="H1989"/>
      <c r="I1989"/>
      <c r="J1989"/>
    </row>
    <row r="1990" spans="1:10" s="2" customFormat="1">
      <c r="A1990" s="1"/>
      <c r="E1990"/>
      <c r="F1990"/>
      <c r="G1990"/>
      <c r="H1990"/>
      <c r="I1990"/>
      <c r="J1990"/>
    </row>
    <row r="1991" spans="1:10" s="2" customFormat="1">
      <c r="A1991" s="1"/>
      <c r="E1991"/>
      <c r="F1991"/>
      <c r="G1991"/>
      <c r="H1991"/>
      <c r="I1991"/>
      <c r="J1991"/>
    </row>
    <row r="1992" spans="1:10" s="2" customFormat="1">
      <c r="A1992" s="1"/>
      <c r="E1992"/>
      <c r="F1992"/>
      <c r="G1992"/>
      <c r="H1992"/>
      <c r="I1992"/>
      <c r="J1992"/>
    </row>
    <row r="1993" spans="1:10" s="2" customFormat="1">
      <c r="A1993" s="1"/>
      <c r="E1993"/>
      <c r="F1993"/>
      <c r="G1993"/>
      <c r="H1993"/>
      <c r="I1993"/>
      <c r="J1993"/>
    </row>
    <row r="1994" spans="1:10" s="2" customFormat="1">
      <c r="A1994" s="1"/>
      <c r="E1994"/>
      <c r="F1994"/>
      <c r="G1994"/>
      <c r="H1994"/>
      <c r="I1994"/>
      <c r="J1994"/>
    </row>
    <row r="1995" spans="1:10" s="2" customFormat="1">
      <c r="A1995" s="1"/>
      <c r="E1995"/>
      <c r="F1995"/>
      <c r="G1995"/>
      <c r="H1995"/>
      <c r="I1995"/>
      <c r="J1995"/>
    </row>
    <row r="1996" spans="1:10" s="2" customFormat="1">
      <c r="A1996" s="1"/>
      <c r="E1996"/>
      <c r="F1996"/>
      <c r="G1996"/>
      <c r="H1996"/>
      <c r="I1996"/>
      <c r="J1996"/>
    </row>
    <row r="1997" spans="1:10" s="2" customFormat="1">
      <c r="A1997" s="1"/>
      <c r="E1997"/>
      <c r="F1997"/>
      <c r="G1997"/>
      <c r="H1997"/>
      <c r="I1997"/>
      <c r="J1997"/>
    </row>
    <row r="1998" spans="1:10" s="2" customFormat="1">
      <c r="A1998" s="1"/>
      <c r="E1998"/>
      <c r="F1998"/>
      <c r="G1998"/>
      <c r="H1998"/>
      <c r="I1998"/>
      <c r="J1998"/>
    </row>
    <row r="1999" spans="1:10" s="2" customFormat="1">
      <c r="A1999" s="1"/>
      <c r="E1999"/>
      <c r="F1999"/>
      <c r="G1999"/>
      <c r="H1999"/>
      <c r="I1999"/>
      <c r="J1999"/>
    </row>
    <row r="2000" spans="1:10" s="2" customFormat="1">
      <c r="A2000" s="1"/>
      <c r="E2000"/>
      <c r="F2000"/>
      <c r="G2000"/>
      <c r="H2000"/>
      <c r="I2000"/>
      <c r="J2000"/>
    </row>
    <row r="2001" spans="1:10" s="2" customFormat="1">
      <c r="A2001" s="1"/>
      <c r="E2001"/>
      <c r="F2001"/>
      <c r="G2001"/>
      <c r="H2001"/>
      <c r="I2001"/>
      <c r="J2001"/>
    </row>
    <row r="2002" spans="1:10" s="2" customFormat="1">
      <c r="A2002" s="1"/>
      <c r="E2002"/>
      <c r="F2002"/>
      <c r="G2002"/>
      <c r="H2002"/>
      <c r="I2002"/>
      <c r="J2002"/>
    </row>
    <row r="2003" spans="1:10" s="2" customFormat="1">
      <c r="A2003" s="1"/>
      <c r="E2003"/>
      <c r="F2003"/>
      <c r="G2003"/>
      <c r="H2003"/>
      <c r="I2003"/>
      <c r="J2003"/>
    </row>
    <row r="2004" spans="1:10" s="2" customFormat="1">
      <c r="A2004" s="1"/>
      <c r="E2004"/>
      <c r="F2004"/>
      <c r="G2004"/>
      <c r="H2004"/>
      <c r="I2004"/>
      <c r="J2004"/>
    </row>
    <row r="2005" spans="1:10" s="2" customFormat="1">
      <c r="A2005" s="1"/>
      <c r="E2005"/>
      <c r="F2005"/>
      <c r="G2005"/>
      <c r="H2005"/>
      <c r="I2005"/>
      <c r="J2005"/>
    </row>
    <row r="2006" spans="1:10" s="2" customFormat="1">
      <c r="A2006" s="1"/>
      <c r="E2006"/>
      <c r="F2006"/>
      <c r="G2006"/>
      <c r="H2006"/>
      <c r="I2006"/>
      <c r="J2006"/>
    </row>
    <row r="2007" spans="1:10" s="2" customFormat="1">
      <c r="A2007" s="1"/>
      <c r="E2007"/>
      <c r="F2007"/>
      <c r="G2007"/>
      <c r="H2007"/>
      <c r="I2007"/>
      <c r="J2007"/>
    </row>
    <row r="2008" spans="1:10" s="2" customFormat="1">
      <c r="A2008" s="1"/>
      <c r="E2008"/>
      <c r="F2008"/>
      <c r="G2008"/>
      <c r="H2008"/>
      <c r="I2008"/>
      <c r="J2008"/>
    </row>
    <row r="2009" spans="1:10" s="2" customFormat="1">
      <c r="A2009" s="1"/>
      <c r="E2009"/>
      <c r="F2009"/>
      <c r="G2009"/>
      <c r="H2009"/>
      <c r="I2009"/>
      <c r="J2009"/>
    </row>
    <row r="2010" spans="1:10" s="2" customFormat="1">
      <c r="A2010" s="1"/>
      <c r="E2010"/>
      <c r="F2010"/>
      <c r="G2010"/>
      <c r="H2010"/>
      <c r="I2010"/>
      <c r="J2010"/>
    </row>
    <row r="2011" spans="1:10" s="2" customFormat="1">
      <c r="A2011" s="1"/>
      <c r="E2011"/>
      <c r="F2011"/>
      <c r="G2011"/>
      <c r="H2011"/>
      <c r="I2011"/>
      <c r="J2011"/>
    </row>
    <row r="2012" spans="1:10" s="2" customFormat="1">
      <c r="A2012" s="1"/>
      <c r="E2012"/>
      <c r="F2012"/>
      <c r="G2012"/>
      <c r="H2012"/>
      <c r="I2012"/>
      <c r="J2012"/>
    </row>
    <row r="2013" spans="1:10" s="2" customFormat="1">
      <c r="A2013" s="1"/>
      <c r="E2013"/>
      <c r="F2013"/>
      <c r="G2013"/>
      <c r="H2013"/>
      <c r="I2013"/>
      <c r="J2013"/>
    </row>
    <row r="2014" spans="1:10" s="2" customFormat="1">
      <c r="A2014" s="1"/>
      <c r="E2014"/>
      <c r="F2014"/>
      <c r="G2014"/>
      <c r="H2014"/>
      <c r="I2014"/>
      <c r="J2014"/>
    </row>
    <row r="2015" spans="1:10" s="2" customFormat="1">
      <c r="A2015" s="1"/>
      <c r="E2015"/>
      <c r="F2015"/>
      <c r="G2015"/>
      <c r="H2015"/>
      <c r="I2015"/>
      <c r="J2015"/>
    </row>
    <row r="2016" spans="1:10" s="2" customFormat="1">
      <c r="A2016" s="1"/>
      <c r="E2016"/>
      <c r="F2016"/>
      <c r="G2016"/>
      <c r="H2016"/>
      <c r="I2016"/>
      <c r="J2016"/>
    </row>
    <row r="2017" spans="1:10" s="2" customFormat="1">
      <c r="A2017" s="1"/>
      <c r="E2017"/>
      <c r="F2017"/>
      <c r="G2017"/>
      <c r="H2017"/>
      <c r="I2017"/>
      <c r="J2017"/>
    </row>
    <row r="2018" spans="1:10" s="2" customFormat="1">
      <c r="A2018" s="1"/>
      <c r="E2018"/>
      <c r="F2018"/>
      <c r="G2018"/>
      <c r="H2018"/>
      <c r="I2018"/>
      <c r="J2018"/>
    </row>
    <row r="2019" spans="1:10" s="2" customFormat="1">
      <c r="A2019" s="1"/>
      <c r="E2019"/>
      <c r="F2019"/>
      <c r="G2019"/>
      <c r="H2019"/>
      <c r="I2019"/>
      <c r="J2019"/>
    </row>
    <row r="2020" spans="1:10" s="2" customFormat="1">
      <c r="A2020" s="1"/>
      <c r="E2020"/>
      <c r="F2020"/>
      <c r="G2020"/>
      <c r="H2020"/>
      <c r="I2020"/>
      <c r="J2020"/>
    </row>
    <row r="2021" spans="1:10" s="2" customFormat="1">
      <c r="A2021" s="1"/>
      <c r="E2021"/>
      <c r="F2021"/>
      <c r="G2021"/>
      <c r="H2021"/>
      <c r="I2021"/>
      <c r="J2021"/>
    </row>
    <row r="2022" spans="1:10" s="2" customFormat="1">
      <c r="A2022" s="1"/>
      <c r="E2022"/>
      <c r="F2022"/>
      <c r="G2022"/>
      <c r="H2022"/>
      <c r="I2022"/>
      <c r="J2022"/>
    </row>
    <row r="2023" spans="1:10" s="2" customFormat="1">
      <c r="A2023" s="1"/>
      <c r="E2023"/>
      <c r="F2023"/>
      <c r="G2023"/>
      <c r="H2023"/>
      <c r="I2023"/>
      <c r="J2023"/>
    </row>
    <row r="2024" spans="1:10" s="2" customFormat="1">
      <c r="A2024" s="1"/>
      <c r="E2024"/>
      <c r="F2024"/>
      <c r="G2024"/>
      <c r="H2024"/>
      <c r="I2024"/>
      <c r="J2024"/>
    </row>
    <row r="2025" spans="1:10" s="2" customFormat="1">
      <c r="A2025" s="1"/>
      <c r="E2025"/>
      <c r="F2025"/>
      <c r="G2025"/>
      <c r="H2025"/>
      <c r="I2025"/>
      <c r="J2025"/>
    </row>
    <row r="2026" spans="1:10" s="2" customFormat="1">
      <c r="A2026" s="1"/>
      <c r="E2026"/>
      <c r="F2026"/>
      <c r="G2026"/>
      <c r="H2026"/>
      <c r="I2026"/>
      <c r="J2026"/>
    </row>
    <row r="2027" spans="1:10" s="2" customFormat="1">
      <c r="A2027" s="1"/>
      <c r="E2027"/>
      <c r="F2027"/>
      <c r="G2027"/>
      <c r="H2027"/>
      <c r="I2027"/>
      <c r="J2027"/>
    </row>
    <row r="2028" spans="1:10" s="2" customFormat="1">
      <c r="A2028" s="1"/>
      <c r="E2028"/>
      <c r="F2028"/>
      <c r="G2028"/>
      <c r="H2028"/>
      <c r="I2028"/>
      <c r="J2028"/>
    </row>
    <row r="2029" spans="1:10" s="2" customFormat="1">
      <c r="A2029" s="1"/>
      <c r="E2029"/>
      <c r="F2029"/>
      <c r="G2029"/>
      <c r="H2029"/>
      <c r="I2029"/>
      <c r="J2029"/>
    </row>
    <row r="2030" spans="1:10" s="2" customFormat="1">
      <c r="A2030" s="1"/>
      <c r="E2030"/>
      <c r="F2030"/>
      <c r="G2030"/>
      <c r="H2030"/>
      <c r="I2030"/>
      <c r="J2030"/>
    </row>
    <row r="2031" spans="1:10" s="2" customFormat="1">
      <c r="A2031" s="1"/>
      <c r="E2031"/>
      <c r="F2031"/>
      <c r="G2031"/>
      <c r="H2031"/>
      <c r="I2031"/>
      <c r="J2031"/>
    </row>
    <row r="2032" spans="1:10" s="2" customFormat="1">
      <c r="A2032" s="1"/>
      <c r="E2032"/>
      <c r="F2032"/>
      <c r="G2032"/>
      <c r="H2032"/>
      <c r="I2032"/>
      <c r="J2032"/>
    </row>
    <row r="2033" spans="1:10" s="2" customFormat="1">
      <c r="A2033" s="1"/>
      <c r="E2033"/>
      <c r="F2033"/>
      <c r="G2033"/>
      <c r="H2033"/>
      <c r="I2033"/>
      <c r="J2033"/>
    </row>
    <row r="2034" spans="1:10" s="2" customFormat="1">
      <c r="A2034" s="1"/>
      <c r="E2034"/>
      <c r="F2034"/>
      <c r="G2034"/>
      <c r="H2034"/>
      <c r="I2034"/>
      <c r="J2034"/>
    </row>
    <row r="2035" spans="1:10" s="2" customFormat="1">
      <c r="A2035" s="1"/>
      <c r="E2035"/>
      <c r="F2035"/>
      <c r="G2035"/>
      <c r="H2035"/>
      <c r="I2035"/>
      <c r="J2035"/>
    </row>
    <row r="2036" spans="1:10" s="2" customFormat="1">
      <c r="A2036" s="1"/>
      <c r="E2036"/>
      <c r="F2036"/>
      <c r="G2036"/>
      <c r="H2036"/>
      <c r="I2036"/>
      <c r="J2036"/>
    </row>
    <row r="2037" spans="1:10" s="2" customFormat="1">
      <c r="A2037" s="1"/>
      <c r="E2037"/>
      <c r="F2037"/>
      <c r="G2037"/>
      <c r="H2037"/>
      <c r="I2037"/>
      <c r="J2037"/>
    </row>
    <row r="2038" spans="1:10" s="2" customFormat="1">
      <c r="A2038" s="1"/>
      <c r="E2038"/>
      <c r="F2038"/>
      <c r="G2038"/>
      <c r="H2038"/>
      <c r="I2038"/>
      <c r="J2038"/>
    </row>
    <row r="2039" spans="1:10" s="2" customFormat="1">
      <c r="A2039" s="1"/>
      <c r="E2039"/>
      <c r="F2039"/>
      <c r="G2039"/>
      <c r="H2039"/>
      <c r="I2039"/>
      <c r="J2039"/>
    </row>
    <row r="2040" spans="1:10" s="2" customFormat="1">
      <c r="A2040" s="1"/>
      <c r="E2040"/>
      <c r="F2040"/>
      <c r="G2040"/>
      <c r="H2040"/>
      <c r="I2040"/>
      <c r="J2040"/>
    </row>
    <row r="2041" spans="1:10" s="2" customFormat="1">
      <c r="A2041" s="1"/>
      <c r="E2041"/>
      <c r="F2041"/>
      <c r="G2041"/>
      <c r="H2041"/>
      <c r="I2041"/>
      <c r="J2041"/>
    </row>
    <row r="2042" spans="1:10" s="2" customFormat="1">
      <c r="A2042" s="1"/>
      <c r="E2042"/>
      <c r="F2042"/>
      <c r="G2042"/>
      <c r="H2042"/>
      <c r="I2042"/>
      <c r="J2042"/>
    </row>
    <row r="2043" spans="1:10" s="2" customFormat="1">
      <c r="A2043" s="1"/>
      <c r="E2043"/>
      <c r="F2043"/>
      <c r="G2043"/>
      <c r="H2043"/>
      <c r="I2043"/>
      <c r="J2043"/>
    </row>
    <row r="2044" spans="1:10" s="2" customFormat="1">
      <c r="A2044" s="1"/>
      <c r="E2044"/>
      <c r="F2044"/>
      <c r="G2044"/>
      <c r="H2044"/>
      <c r="I2044"/>
      <c r="J2044"/>
    </row>
    <row r="2045" spans="1:10" s="2" customFormat="1">
      <c r="A2045" s="1"/>
      <c r="E2045"/>
      <c r="F2045"/>
      <c r="G2045"/>
      <c r="H2045"/>
      <c r="I2045"/>
      <c r="J2045"/>
    </row>
    <row r="2046" spans="1:10" s="2" customFormat="1">
      <c r="A2046" s="1"/>
      <c r="E2046"/>
      <c r="F2046"/>
      <c r="G2046"/>
      <c r="H2046"/>
      <c r="I2046"/>
      <c r="J2046"/>
    </row>
    <row r="2047" spans="1:10" s="2" customFormat="1">
      <c r="A2047" s="1"/>
      <c r="E2047"/>
      <c r="F2047"/>
      <c r="G2047"/>
      <c r="H2047"/>
      <c r="I2047"/>
      <c r="J2047"/>
    </row>
    <row r="2048" spans="1:10" s="2" customFormat="1">
      <c r="A2048" s="1"/>
      <c r="E2048"/>
      <c r="F2048"/>
      <c r="G2048"/>
      <c r="H2048"/>
      <c r="I2048"/>
      <c r="J2048"/>
    </row>
    <row r="2049" spans="1:10" s="2" customFormat="1">
      <c r="A2049" s="1"/>
      <c r="E2049"/>
      <c r="F2049"/>
      <c r="G2049"/>
      <c r="H2049"/>
      <c r="I2049"/>
      <c r="J2049"/>
    </row>
    <row r="2050" spans="1:10" s="2" customFormat="1">
      <c r="A2050" s="1"/>
      <c r="E2050"/>
      <c r="F2050"/>
      <c r="G2050"/>
      <c r="H2050"/>
      <c r="I2050"/>
      <c r="J2050"/>
    </row>
    <row r="2051" spans="1:10" s="2" customFormat="1">
      <c r="A2051" s="1"/>
      <c r="E2051"/>
      <c r="F2051"/>
      <c r="G2051"/>
      <c r="H2051"/>
      <c r="I2051"/>
      <c r="J2051"/>
    </row>
    <row r="2052" spans="1:10" s="2" customFormat="1">
      <c r="A2052" s="1"/>
      <c r="E2052"/>
      <c r="F2052"/>
      <c r="G2052"/>
      <c r="H2052"/>
      <c r="I2052"/>
      <c r="J2052"/>
    </row>
    <row r="2053" spans="1:10" s="2" customFormat="1">
      <c r="A2053" s="1"/>
      <c r="E2053"/>
      <c r="F2053"/>
      <c r="G2053"/>
      <c r="H2053"/>
      <c r="I2053"/>
      <c r="J2053"/>
    </row>
    <row r="2054" spans="1:10" s="2" customFormat="1">
      <c r="A2054" s="1"/>
      <c r="E2054"/>
      <c r="F2054"/>
      <c r="G2054"/>
      <c r="H2054"/>
      <c r="I2054"/>
      <c r="J2054"/>
    </row>
    <row r="2055" spans="1:10" s="2" customFormat="1">
      <c r="A2055" s="1"/>
      <c r="E2055"/>
      <c r="F2055"/>
      <c r="G2055"/>
      <c r="H2055"/>
      <c r="I2055"/>
      <c r="J2055"/>
    </row>
    <row r="2056" spans="1:10" s="2" customFormat="1">
      <c r="A2056" s="1"/>
      <c r="E2056"/>
      <c r="F2056"/>
      <c r="G2056"/>
      <c r="H2056"/>
      <c r="I2056"/>
      <c r="J2056"/>
    </row>
    <row r="2057" spans="1:10" s="2" customFormat="1">
      <c r="A2057" s="1"/>
      <c r="E2057"/>
      <c r="F2057"/>
      <c r="G2057"/>
      <c r="H2057"/>
      <c r="I2057"/>
      <c r="J2057"/>
    </row>
    <row r="2058" spans="1:10" s="2" customFormat="1">
      <c r="A2058" s="1"/>
      <c r="E2058"/>
      <c r="F2058"/>
      <c r="G2058"/>
      <c r="H2058"/>
      <c r="I2058"/>
      <c r="J2058"/>
    </row>
    <row r="2059" spans="1:10" s="2" customFormat="1">
      <c r="A2059" s="1"/>
      <c r="E2059"/>
      <c r="F2059"/>
      <c r="G2059"/>
      <c r="H2059"/>
      <c r="I2059"/>
      <c r="J2059"/>
    </row>
    <row r="2060" spans="1:10" s="2" customFormat="1">
      <c r="A2060" s="1"/>
      <c r="E2060"/>
      <c r="F2060"/>
      <c r="G2060"/>
      <c r="H2060"/>
      <c r="I2060"/>
      <c r="J2060"/>
    </row>
    <row r="2061" spans="1:10" s="2" customFormat="1">
      <c r="A2061" s="1"/>
      <c r="E2061"/>
      <c r="F2061"/>
      <c r="G2061"/>
      <c r="H2061"/>
      <c r="I2061"/>
      <c r="J2061"/>
    </row>
    <row r="2062" spans="1:10" s="2" customFormat="1">
      <c r="A2062" s="1"/>
      <c r="E2062"/>
      <c r="F2062"/>
      <c r="G2062"/>
      <c r="H2062"/>
      <c r="I2062"/>
      <c r="J2062"/>
    </row>
    <row r="2063" spans="1:10" s="2" customFormat="1">
      <c r="A2063" s="1"/>
      <c r="E2063"/>
      <c r="F2063"/>
      <c r="G2063"/>
      <c r="H2063"/>
      <c r="I2063"/>
      <c r="J2063"/>
    </row>
    <row r="2064" spans="1:10" s="2" customFormat="1">
      <c r="A2064" s="1"/>
      <c r="E2064"/>
      <c r="F2064"/>
      <c r="G2064"/>
      <c r="H2064"/>
      <c r="I2064"/>
      <c r="J2064"/>
    </row>
    <row r="2065" spans="1:10" s="2" customFormat="1">
      <c r="A2065" s="1"/>
      <c r="E2065"/>
      <c r="F2065"/>
      <c r="G2065"/>
      <c r="H2065"/>
      <c r="I2065"/>
      <c r="J2065"/>
    </row>
    <row r="2066" spans="1:10" s="2" customFormat="1">
      <c r="A2066" s="1"/>
      <c r="E2066"/>
      <c r="F2066"/>
      <c r="G2066"/>
      <c r="H2066"/>
      <c r="I2066"/>
      <c r="J2066"/>
    </row>
    <row r="2067" spans="1:10" s="2" customFormat="1">
      <c r="A2067" s="1"/>
      <c r="E2067"/>
      <c r="F2067"/>
      <c r="G2067"/>
      <c r="H2067"/>
      <c r="I2067"/>
      <c r="J2067"/>
    </row>
    <row r="2068" spans="1:10" s="2" customFormat="1">
      <c r="A2068" s="1"/>
      <c r="E2068"/>
      <c r="F2068"/>
      <c r="G2068"/>
      <c r="H2068"/>
      <c r="I2068"/>
      <c r="J2068"/>
    </row>
    <row r="2069" spans="1:10" s="2" customFormat="1">
      <c r="A2069" s="1"/>
      <c r="E2069"/>
      <c r="F2069"/>
      <c r="G2069"/>
      <c r="H2069"/>
      <c r="I2069"/>
      <c r="J2069"/>
    </row>
    <row r="2070" spans="1:10" s="2" customFormat="1">
      <c r="A2070" s="1"/>
      <c r="E2070"/>
      <c r="F2070"/>
      <c r="G2070"/>
      <c r="H2070"/>
      <c r="I2070"/>
      <c r="J2070"/>
    </row>
    <row r="2071" spans="1:10" s="2" customFormat="1">
      <c r="A2071" s="1"/>
      <c r="E2071"/>
      <c r="F2071"/>
      <c r="G2071"/>
      <c r="H2071"/>
      <c r="I2071"/>
      <c r="J2071"/>
    </row>
    <row r="2072" spans="1:10" s="2" customFormat="1">
      <c r="A2072" s="1"/>
      <c r="E2072"/>
      <c r="F2072"/>
      <c r="G2072"/>
      <c r="H2072"/>
      <c r="I2072"/>
      <c r="J2072"/>
    </row>
    <row r="2073" spans="1:10" s="2" customFormat="1">
      <c r="A2073" s="1"/>
      <c r="E2073"/>
      <c r="F2073"/>
      <c r="G2073"/>
      <c r="H2073"/>
      <c r="I2073"/>
      <c r="J2073"/>
    </row>
    <row r="2074" spans="1:10" s="2" customFormat="1">
      <c r="A2074" s="1"/>
      <c r="E2074"/>
      <c r="F2074"/>
      <c r="G2074"/>
      <c r="H2074"/>
      <c r="I2074"/>
      <c r="J2074"/>
    </row>
    <row r="2075" spans="1:10" s="2" customFormat="1">
      <c r="A2075" s="1"/>
      <c r="E2075"/>
      <c r="F2075"/>
      <c r="G2075"/>
      <c r="H2075"/>
      <c r="I2075"/>
      <c r="J2075"/>
    </row>
    <row r="2076" spans="1:10" s="2" customFormat="1">
      <c r="A2076" s="1"/>
      <c r="E2076"/>
      <c r="F2076"/>
      <c r="G2076"/>
      <c r="H2076"/>
      <c r="I2076"/>
      <c r="J2076"/>
    </row>
    <row r="2077" spans="1:10" s="2" customFormat="1">
      <c r="A2077" s="1"/>
      <c r="E2077"/>
      <c r="F2077"/>
      <c r="G2077"/>
      <c r="H2077"/>
      <c r="I2077"/>
      <c r="J2077"/>
    </row>
    <row r="2078" spans="1:10" s="2" customFormat="1">
      <c r="A2078" s="1"/>
      <c r="E2078"/>
      <c r="F2078"/>
      <c r="G2078"/>
      <c r="H2078"/>
      <c r="I2078"/>
      <c r="J2078"/>
    </row>
    <row r="2079" spans="1:10" s="2" customFormat="1">
      <c r="A2079" s="1"/>
      <c r="E2079"/>
      <c r="F2079"/>
      <c r="G2079"/>
      <c r="H2079"/>
      <c r="I2079"/>
      <c r="J2079"/>
    </row>
    <row r="2080" spans="1:10" s="2" customFormat="1">
      <c r="A2080" s="1"/>
      <c r="E2080"/>
      <c r="F2080"/>
      <c r="G2080"/>
      <c r="H2080"/>
      <c r="I2080"/>
      <c r="J2080"/>
    </row>
    <row r="2081" spans="1:10" s="2" customFormat="1">
      <c r="A2081" s="1"/>
      <c r="E2081"/>
      <c r="F2081"/>
      <c r="G2081"/>
      <c r="H2081"/>
      <c r="I2081"/>
      <c r="J2081"/>
    </row>
    <row r="2082" spans="1:10" s="2" customFormat="1">
      <c r="A2082" s="1"/>
      <c r="E2082"/>
      <c r="F2082"/>
      <c r="G2082"/>
      <c r="H2082"/>
      <c r="I2082"/>
      <c r="J2082"/>
    </row>
    <row r="2083" spans="1:10" s="2" customFormat="1">
      <c r="A2083" s="1"/>
      <c r="E2083"/>
      <c r="F2083"/>
      <c r="G2083"/>
      <c r="H2083"/>
      <c r="I2083"/>
      <c r="J2083"/>
    </row>
    <row r="2084" spans="1:10" s="2" customFormat="1">
      <c r="A2084" s="1"/>
      <c r="E2084"/>
      <c r="F2084"/>
      <c r="G2084"/>
      <c r="H2084"/>
      <c r="I2084"/>
      <c r="J2084"/>
    </row>
    <row r="2085" spans="1:10" s="2" customFormat="1">
      <c r="A2085" s="1"/>
      <c r="E2085"/>
      <c r="F2085"/>
      <c r="G2085"/>
      <c r="H2085"/>
      <c r="I2085"/>
      <c r="J2085"/>
    </row>
    <row r="2086" spans="1:10" s="2" customFormat="1">
      <c r="A2086" s="1"/>
      <c r="E2086"/>
      <c r="F2086"/>
      <c r="G2086"/>
      <c r="H2086"/>
      <c r="I2086"/>
      <c r="J2086"/>
    </row>
    <row r="2087" spans="1:10" s="2" customFormat="1">
      <c r="A2087" s="1"/>
      <c r="E2087"/>
      <c r="F2087"/>
      <c r="G2087"/>
      <c r="H2087"/>
      <c r="I2087"/>
      <c r="J2087"/>
    </row>
    <row r="2088" spans="1:10" s="2" customFormat="1">
      <c r="A2088" s="1"/>
      <c r="E2088"/>
      <c r="F2088"/>
      <c r="G2088"/>
      <c r="H2088"/>
      <c r="I2088"/>
      <c r="J2088"/>
    </row>
    <row r="2089" spans="1:10" s="2" customFormat="1">
      <c r="A2089" s="1"/>
      <c r="E2089"/>
      <c r="F2089"/>
      <c r="G2089"/>
      <c r="H2089"/>
      <c r="I2089"/>
      <c r="J2089"/>
    </row>
    <row r="2090" spans="1:10" s="2" customFormat="1">
      <c r="A2090" s="1"/>
      <c r="E2090"/>
      <c r="F2090"/>
      <c r="G2090"/>
      <c r="H2090"/>
      <c r="I2090"/>
      <c r="J2090"/>
    </row>
    <row r="2091" spans="1:10" s="2" customFormat="1">
      <c r="A2091" s="1"/>
      <c r="E2091"/>
      <c r="F2091"/>
      <c r="G2091"/>
      <c r="H2091"/>
      <c r="I2091"/>
      <c r="J2091"/>
    </row>
    <row r="2092" spans="1:10" s="2" customFormat="1">
      <c r="A2092" s="1"/>
      <c r="E2092"/>
      <c r="F2092"/>
      <c r="G2092"/>
      <c r="H2092"/>
      <c r="I2092"/>
      <c r="J2092"/>
    </row>
    <row r="2093" spans="1:10" s="2" customFormat="1">
      <c r="A2093" s="1"/>
      <c r="E2093"/>
      <c r="F2093"/>
      <c r="G2093"/>
      <c r="H2093"/>
      <c r="I2093"/>
      <c r="J2093"/>
    </row>
    <row r="2094" spans="1:10" s="2" customFormat="1">
      <c r="A2094" s="1"/>
      <c r="E2094"/>
      <c r="F2094"/>
      <c r="G2094"/>
      <c r="H2094"/>
      <c r="I2094"/>
      <c r="J2094"/>
    </row>
    <row r="2095" spans="1:10" s="2" customFormat="1">
      <c r="A2095" s="1"/>
      <c r="E2095"/>
      <c r="F2095"/>
      <c r="G2095"/>
      <c r="H2095"/>
      <c r="I2095"/>
      <c r="J2095"/>
    </row>
    <row r="2096" spans="1:10" s="2" customFormat="1">
      <c r="A2096" s="1"/>
      <c r="E2096"/>
      <c r="F2096"/>
      <c r="G2096"/>
      <c r="H2096"/>
      <c r="I2096"/>
      <c r="J2096"/>
    </row>
    <row r="2097" spans="1:10" s="2" customFormat="1">
      <c r="A2097" s="1"/>
      <c r="E2097"/>
      <c r="F2097"/>
      <c r="G2097"/>
      <c r="H2097"/>
      <c r="I2097"/>
      <c r="J2097"/>
    </row>
    <row r="2098" spans="1:10" s="2" customFormat="1">
      <c r="A2098" s="1"/>
      <c r="E2098"/>
      <c r="F2098"/>
      <c r="G2098"/>
      <c r="H2098"/>
      <c r="I2098"/>
      <c r="J2098"/>
    </row>
    <row r="2099" spans="1:10" s="2" customFormat="1">
      <c r="A2099" s="1"/>
      <c r="E2099"/>
      <c r="F2099"/>
      <c r="G2099"/>
      <c r="H2099"/>
      <c r="I2099"/>
      <c r="J2099"/>
    </row>
    <row r="2100" spans="1:10" s="2" customFormat="1">
      <c r="A2100" s="1"/>
      <c r="E2100"/>
      <c r="F2100"/>
      <c r="G2100"/>
      <c r="H2100"/>
      <c r="I2100"/>
      <c r="J2100"/>
    </row>
    <row r="2101" spans="1:10" s="2" customFormat="1">
      <c r="A2101" s="1"/>
      <c r="E2101"/>
      <c r="F2101"/>
      <c r="G2101"/>
      <c r="H2101"/>
      <c r="I2101"/>
      <c r="J2101"/>
    </row>
    <row r="2102" spans="1:10" s="2" customFormat="1">
      <c r="A2102" s="1"/>
      <c r="E2102"/>
      <c r="F2102"/>
      <c r="G2102"/>
      <c r="H2102"/>
      <c r="I2102"/>
      <c r="J2102"/>
    </row>
    <row r="2103" spans="1:10" s="2" customFormat="1">
      <c r="A2103" s="1"/>
      <c r="E2103"/>
      <c r="F2103"/>
      <c r="G2103"/>
      <c r="H2103"/>
      <c r="I2103"/>
      <c r="J2103"/>
    </row>
    <row r="2104" spans="1:10" s="2" customFormat="1">
      <c r="A2104" s="1"/>
      <c r="E2104"/>
      <c r="F2104"/>
      <c r="G2104"/>
      <c r="H2104"/>
      <c r="I2104"/>
      <c r="J2104"/>
    </row>
    <row r="2105" spans="1:10" s="2" customFormat="1">
      <c r="A2105" s="1"/>
      <c r="E2105"/>
      <c r="F2105"/>
      <c r="G2105"/>
      <c r="H2105"/>
      <c r="I2105"/>
      <c r="J2105"/>
    </row>
    <row r="2106" spans="1:10" s="2" customFormat="1">
      <c r="A2106" s="1"/>
      <c r="E2106"/>
      <c r="F2106"/>
      <c r="G2106"/>
      <c r="H2106"/>
      <c r="I2106"/>
      <c r="J2106"/>
    </row>
    <row r="2107" spans="1:10" s="2" customFormat="1">
      <c r="A2107" s="1"/>
      <c r="E2107"/>
      <c r="F2107"/>
      <c r="G2107"/>
      <c r="H2107"/>
      <c r="I2107"/>
      <c r="J2107"/>
    </row>
    <row r="2108" spans="1:10" s="2" customFormat="1">
      <c r="A2108" s="1"/>
      <c r="E2108"/>
      <c r="F2108"/>
      <c r="G2108"/>
      <c r="H2108"/>
      <c r="I2108"/>
      <c r="J2108"/>
    </row>
    <row r="2109" spans="1:10" s="2" customFormat="1">
      <c r="A2109" s="1"/>
      <c r="E2109"/>
      <c r="F2109"/>
      <c r="G2109"/>
      <c r="H2109"/>
      <c r="I2109"/>
      <c r="J2109"/>
    </row>
    <row r="2110" spans="1:10" s="2" customFormat="1">
      <c r="A2110" s="1"/>
      <c r="E2110"/>
      <c r="F2110"/>
      <c r="G2110"/>
      <c r="H2110"/>
      <c r="I2110"/>
      <c r="J2110"/>
    </row>
    <row r="2111" spans="1:10" s="2" customFormat="1">
      <c r="A2111" s="1"/>
      <c r="E2111"/>
      <c r="F2111"/>
      <c r="G2111"/>
      <c r="H2111"/>
      <c r="I2111"/>
      <c r="J2111"/>
    </row>
    <row r="2112" spans="1:10" s="2" customFormat="1">
      <c r="A2112" s="1"/>
      <c r="E2112"/>
      <c r="F2112"/>
      <c r="G2112"/>
      <c r="H2112"/>
      <c r="I2112"/>
      <c r="J2112"/>
    </row>
    <row r="2113" spans="1:10" s="2" customFormat="1">
      <c r="A2113" s="1"/>
      <c r="E2113"/>
      <c r="F2113"/>
      <c r="G2113"/>
      <c r="H2113"/>
      <c r="I2113"/>
      <c r="J2113"/>
    </row>
    <row r="2114" spans="1:10" s="2" customFormat="1">
      <c r="A2114" s="1"/>
      <c r="E2114"/>
      <c r="F2114"/>
      <c r="G2114"/>
      <c r="H2114"/>
      <c r="I2114"/>
      <c r="J2114"/>
    </row>
    <row r="2115" spans="1:10" s="2" customFormat="1">
      <c r="A2115" s="1"/>
      <c r="E2115"/>
      <c r="F2115"/>
      <c r="G2115"/>
      <c r="H2115"/>
      <c r="I2115"/>
      <c r="J2115"/>
    </row>
    <row r="2116" spans="1:10" s="2" customFormat="1">
      <c r="A2116" s="1"/>
      <c r="E2116"/>
      <c r="F2116"/>
      <c r="G2116"/>
      <c r="H2116"/>
      <c r="I2116"/>
      <c r="J2116"/>
    </row>
    <row r="2117" spans="1:10" s="2" customFormat="1">
      <c r="A2117" s="1"/>
      <c r="E2117"/>
      <c r="F2117"/>
      <c r="G2117"/>
      <c r="H2117"/>
      <c r="I2117"/>
      <c r="J2117"/>
    </row>
    <row r="2118" spans="1:10" s="2" customFormat="1">
      <c r="A2118" s="1"/>
      <c r="E2118"/>
      <c r="F2118"/>
      <c r="G2118"/>
      <c r="H2118"/>
      <c r="I2118"/>
      <c r="J2118"/>
    </row>
    <row r="2119" spans="1:10" s="2" customFormat="1">
      <c r="A2119" s="1"/>
      <c r="E2119"/>
      <c r="F2119"/>
      <c r="G2119"/>
      <c r="H2119"/>
      <c r="I2119"/>
      <c r="J2119"/>
    </row>
    <row r="2120" spans="1:10" s="2" customFormat="1">
      <c r="A2120" s="1"/>
      <c r="E2120"/>
      <c r="F2120"/>
      <c r="G2120"/>
      <c r="H2120"/>
      <c r="I2120"/>
      <c r="J2120"/>
    </row>
    <row r="2121" spans="1:10" s="2" customFormat="1">
      <c r="A2121" s="1"/>
      <c r="E2121"/>
      <c r="F2121"/>
      <c r="G2121"/>
      <c r="H2121"/>
      <c r="I2121"/>
      <c r="J2121"/>
    </row>
    <row r="2122" spans="1:10" s="2" customFormat="1">
      <c r="A2122" s="1"/>
      <c r="E2122"/>
      <c r="F2122"/>
      <c r="G2122"/>
      <c r="H2122"/>
      <c r="I2122"/>
      <c r="J2122"/>
    </row>
    <row r="2123" spans="1:10" s="2" customFormat="1">
      <c r="A2123" s="1"/>
      <c r="E2123"/>
      <c r="F2123"/>
      <c r="G2123"/>
      <c r="H2123"/>
      <c r="I2123"/>
      <c r="J2123"/>
    </row>
    <row r="2124" spans="1:10" s="2" customFormat="1">
      <c r="A2124" s="1"/>
      <c r="E2124"/>
      <c r="F2124"/>
      <c r="G2124"/>
      <c r="H2124"/>
      <c r="I2124"/>
      <c r="J2124"/>
    </row>
    <row r="2125" spans="1:10" s="2" customFormat="1">
      <c r="A2125" s="1"/>
      <c r="E2125"/>
      <c r="F2125"/>
      <c r="G2125"/>
      <c r="H2125"/>
      <c r="I2125"/>
      <c r="J2125"/>
    </row>
    <row r="2126" spans="1:10" s="2" customFormat="1">
      <c r="A2126" s="1"/>
      <c r="E2126"/>
      <c r="F2126"/>
      <c r="G2126"/>
      <c r="H2126"/>
      <c r="I2126"/>
      <c r="J2126"/>
    </row>
    <row r="2127" spans="1:10" s="2" customFormat="1">
      <c r="A2127" s="1"/>
      <c r="E2127"/>
      <c r="F2127"/>
      <c r="G2127"/>
      <c r="H2127"/>
      <c r="I2127"/>
      <c r="J2127"/>
    </row>
    <row r="2128" spans="1:10" s="2" customFormat="1">
      <c r="A2128" s="1"/>
      <c r="E2128"/>
      <c r="F2128"/>
      <c r="G2128"/>
      <c r="H2128"/>
      <c r="I2128"/>
      <c r="J2128"/>
    </row>
    <row r="2129" spans="1:10" s="2" customFormat="1">
      <c r="A2129" s="1"/>
      <c r="E2129"/>
      <c r="F2129"/>
      <c r="G2129"/>
      <c r="H2129"/>
      <c r="I2129"/>
      <c r="J2129"/>
    </row>
    <row r="2130" spans="1:10" s="2" customFormat="1">
      <c r="A2130" s="1"/>
      <c r="E2130"/>
      <c r="F2130"/>
      <c r="G2130"/>
      <c r="H2130"/>
      <c r="I2130"/>
      <c r="J2130"/>
    </row>
    <row r="2131" spans="1:10" s="2" customFormat="1">
      <c r="A2131" s="1"/>
      <c r="E2131"/>
      <c r="F2131"/>
      <c r="G2131"/>
      <c r="H2131"/>
      <c r="I2131"/>
      <c r="J2131"/>
    </row>
    <row r="2132" spans="1:10" s="2" customFormat="1">
      <c r="A2132" s="1"/>
      <c r="E2132"/>
      <c r="F2132"/>
      <c r="G2132"/>
      <c r="H2132"/>
      <c r="I2132"/>
      <c r="J2132"/>
    </row>
    <row r="2133" spans="1:10" s="2" customFormat="1">
      <c r="A2133" s="1"/>
      <c r="E2133"/>
      <c r="F2133"/>
      <c r="G2133"/>
      <c r="H2133"/>
      <c r="I2133"/>
      <c r="J2133"/>
    </row>
    <row r="2134" spans="1:10" s="2" customFormat="1">
      <c r="A2134" s="1"/>
      <c r="E2134"/>
      <c r="F2134"/>
      <c r="G2134"/>
      <c r="H2134"/>
      <c r="I2134"/>
      <c r="J2134"/>
    </row>
    <row r="2135" spans="1:10" s="2" customFormat="1">
      <c r="A2135" s="1"/>
      <c r="E2135"/>
      <c r="F2135"/>
      <c r="G2135"/>
      <c r="H2135"/>
      <c r="I2135"/>
      <c r="J2135"/>
    </row>
    <row r="2136" spans="1:10" s="2" customFormat="1">
      <c r="A2136" s="1"/>
      <c r="E2136"/>
      <c r="F2136"/>
      <c r="G2136"/>
      <c r="H2136"/>
      <c r="I2136"/>
      <c r="J2136"/>
    </row>
    <row r="2137" spans="1:10" s="2" customFormat="1">
      <c r="A2137" s="1"/>
      <c r="E2137"/>
      <c r="F2137"/>
      <c r="G2137"/>
      <c r="H2137"/>
      <c r="I2137"/>
      <c r="J2137"/>
    </row>
    <row r="2138" spans="1:10" s="2" customFormat="1">
      <c r="A2138" s="1"/>
      <c r="E2138"/>
      <c r="F2138"/>
      <c r="G2138"/>
      <c r="H2138"/>
      <c r="I2138"/>
      <c r="J2138"/>
    </row>
    <row r="2139" spans="1:10" s="2" customFormat="1">
      <c r="A2139" s="1"/>
      <c r="E2139"/>
      <c r="F2139"/>
      <c r="G2139"/>
      <c r="H2139"/>
      <c r="I2139"/>
      <c r="J2139"/>
    </row>
    <row r="2140" spans="1:10" s="2" customFormat="1">
      <c r="A2140" s="1"/>
      <c r="E2140"/>
      <c r="F2140"/>
      <c r="G2140"/>
      <c r="H2140"/>
      <c r="I2140"/>
      <c r="J2140"/>
    </row>
    <row r="2141" spans="1:10" s="2" customFormat="1">
      <c r="A2141" s="1"/>
      <c r="E2141"/>
      <c r="F2141"/>
      <c r="G2141"/>
      <c r="H2141"/>
      <c r="I2141"/>
      <c r="J2141"/>
    </row>
    <row r="2142" spans="1:10" s="2" customFormat="1">
      <c r="A2142" s="1"/>
      <c r="E2142"/>
      <c r="F2142"/>
      <c r="G2142"/>
      <c r="H2142"/>
      <c r="I2142"/>
      <c r="J2142"/>
    </row>
    <row r="2143" spans="1:10" s="2" customFormat="1">
      <c r="A2143" s="1"/>
      <c r="E2143"/>
      <c r="F2143"/>
      <c r="G2143"/>
      <c r="H2143"/>
      <c r="I2143"/>
      <c r="J2143"/>
    </row>
    <row r="2144" spans="1:10" s="2" customFormat="1">
      <c r="A2144" s="1"/>
      <c r="E2144"/>
      <c r="F2144"/>
      <c r="G2144"/>
      <c r="H2144"/>
      <c r="I2144"/>
      <c r="J2144"/>
    </row>
    <row r="2145" spans="1:10" s="2" customFormat="1">
      <c r="A2145" s="1"/>
      <c r="E2145"/>
      <c r="F2145"/>
      <c r="G2145"/>
      <c r="H2145"/>
      <c r="I2145"/>
      <c r="J2145"/>
    </row>
    <row r="2146" spans="1:10" s="2" customFormat="1">
      <c r="A2146" s="1"/>
      <c r="E2146"/>
      <c r="F2146"/>
      <c r="G2146"/>
      <c r="H2146"/>
      <c r="I2146"/>
      <c r="J2146"/>
    </row>
    <row r="2147" spans="1:10" s="2" customFormat="1">
      <c r="A2147" s="1"/>
      <c r="E2147"/>
      <c r="F2147"/>
      <c r="G2147"/>
      <c r="H2147"/>
      <c r="I2147"/>
      <c r="J2147"/>
    </row>
    <row r="2148" spans="1:10" s="2" customFormat="1">
      <c r="A2148" s="1"/>
      <c r="E2148"/>
      <c r="F2148"/>
      <c r="G2148"/>
      <c r="H2148"/>
      <c r="I2148"/>
      <c r="J2148"/>
    </row>
    <row r="2149" spans="1:10" s="2" customFormat="1">
      <c r="A2149" s="1"/>
      <c r="E2149"/>
      <c r="F2149"/>
      <c r="G2149"/>
      <c r="H2149"/>
      <c r="I2149"/>
      <c r="J2149"/>
    </row>
    <row r="2150" spans="1:10" s="2" customFormat="1">
      <c r="A2150" s="1"/>
      <c r="E2150"/>
      <c r="F2150"/>
      <c r="G2150"/>
      <c r="H2150"/>
      <c r="I2150"/>
      <c r="J2150"/>
    </row>
    <row r="2151" spans="1:10" s="2" customFormat="1">
      <c r="A2151" s="1"/>
      <c r="E2151"/>
      <c r="F2151"/>
      <c r="G2151"/>
      <c r="H2151"/>
      <c r="I2151"/>
      <c r="J2151"/>
    </row>
    <row r="2152" spans="1:10" s="2" customFormat="1">
      <c r="A2152" s="1"/>
      <c r="E2152"/>
      <c r="F2152"/>
      <c r="G2152"/>
      <c r="H2152"/>
      <c r="I2152"/>
      <c r="J2152"/>
    </row>
    <row r="2153" spans="1:10" s="2" customFormat="1">
      <c r="A2153" s="1"/>
      <c r="E2153"/>
      <c r="F2153"/>
      <c r="G2153"/>
      <c r="H2153"/>
      <c r="I2153"/>
      <c r="J2153"/>
    </row>
    <row r="2154" spans="1:10" s="2" customFormat="1">
      <c r="A2154" s="1"/>
      <c r="E2154"/>
      <c r="F2154"/>
      <c r="G2154"/>
      <c r="H2154"/>
      <c r="I2154"/>
      <c r="J2154"/>
    </row>
    <row r="2155" spans="1:10" s="2" customFormat="1">
      <c r="A2155" s="1"/>
      <c r="E2155"/>
      <c r="F2155"/>
      <c r="G2155"/>
      <c r="H2155"/>
      <c r="I2155"/>
      <c r="J2155"/>
    </row>
    <row r="2156" spans="1:10" s="2" customFormat="1">
      <c r="A2156" s="1"/>
      <c r="E2156"/>
      <c r="F2156"/>
      <c r="G2156"/>
      <c r="H2156"/>
      <c r="I2156"/>
      <c r="J2156"/>
    </row>
    <row r="2157" spans="1:10" s="2" customFormat="1">
      <c r="A2157" s="1"/>
      <c r="E2157"/>
      <c r="F2157"/>
      <c r="G2157"/>
      <c r="H2157"/>
      <c r="I2157"/>
      <c r="J2157"/>
    </row>
    <row r="2158" spans="1:10" s="2" customFormat="1">
      <c r="A2158" s="1"/>
      <c r="E2158"/>
      <c r="F2158"/>
      <c r="G2158"/>
      <c r="H2158"/>
      <c r="I2158"/>
      <c r="J2158"/>
    </row>
    <row r="2159" spans="1:10" s="2" customFormat="1">
      <c r="A2159" s="1"/>
      <c r="E2159"/>
      <c r="F2159"/>
      <c r="G2159"/>
      <c r="H2159"/>
      <c r="I2159"/>
      <c r="J2159"/>
    </row>
    <row r="2160" spans="1:10" s="2" customFormat="1">
      <c r="A2160" s="1"/>
      <c r="E2160"/>
      <c r="F2160"/>
      <c r="G2160"/>
      <c r="H2160"/>
      <c r="I2160"/>
      <c r="J2160"/>
    </row>
    <row r="2161" spans="1:10" s="2" customFormat="1">
      <c r="A2161" s="1"/>
      <c r="E2161"/>
      <c r="F2161"/>
      <c r="G2161"/>
      <c r="H2161"/>
      <c r="I2161"/>
      <c r="J2161"/>
    </row>
    <row r="2162" spans="1:10" s="2" customFormat="1">
      <c r="A2162" s="1"/>
      <c r="E2162"/>
      <c r="F2162"/>
      <c r="G2162"/>
      <c r="H2162"/>
      <c r="I2162"/>
      <c r="J2162"/>
    </row>
    <row r="2163" spans="1:10" s="2" customFormat="1">
      <c r="A2163" s="1"/>
      <c r="E2163"/>
      <c r="F2163"/>
      <c r="G2163"/>
      <c r="H2163"/>
      <c r="I2163"/>
      <c r="J2163"/>
    </row>
    <row r="2164" spans="1:10" s="2" customFormat="1">
      <c r="A2164" s="1"/>
      <c r="E2164"/>
      <c r="F2164"/>
      <c r="G2164"/>
      <c r="H2164"/>
      <c r="I2164"/>
      <c r="J2164"/>
    </row>
    <row r="2165" spans="1:10" s="2" customFormat="1">
      <c r="A2165" s="1"/>
      <c r="E2165"/>
      <c r="F2165"/>
      <c r="G2165"/>
      <c r="H2165"/>
      <c r="I2165"/>
      <c r="J2165"/>
    </row>
    <row r="2166" spans="1:10" s="2" customFormat="1">
      <c r="A2166" s="1"/>
      <c r="E2166"/>
      <c r="F2166"/>
      <c r="G2166"/>
      <c r="H2166"/>
      <c r="I2166"/>
      <c r="J2166"/>
    </row>
    <row r="2167" spans="1:10" s="2" customFormat="1">
      <c r="A2167" s="1"/>
      <c r="E2167"/>
      <c r="F2167"/>
      <c r="G2167"/>
      <c r="H2167"/>
      <c r="I2167"/>
      <c r="J2167"/>
    </row>
    <row r="2168" spans="1:10" s="2" customFormat="1">
      <c r="A2168" s="1"/>
      <c r="E2168"/>
      <c r="F2168"/>
      <c r="G2168"/>
      <c r="H2168"/>
      <c r="I2168"/>
      <c r="J2168"/>
    </row>
    <row r="2169" spans="1:10" s="2" customFormat="1">
      <c r="A2169" s="1"/>
      <c r="E2169"/>
      <c r="F2169"/>
      <c r="G2169"/>
      <c r="H2169"/>
      <c r="I2169"/>
      <c r="J2169"/>
    </row>
    <row r="2170" spans="1:10" s="2" customFormat="1">
      <c r="A2170" s="1"/>
      <c r="E2170"/>
      <c r="F2170"/>
      <c r="G2170"/>
      <c r="H2170"/>
      <c r="I2170"/>
      <c r="J2170"/>
    </row>
    <row r="2171" spans="1:10" s="2" customFormat="1">
      <c r="A2171" s="1"/>
      <c r="E2171"/>
      <c r="F2171"/>
      <c r="G2171"/>
      <c r="H2171"/>
      <c r="I2171"/>
      <c r="J2171"/>
    </row>
    <row r="2172" spans="1:10" s="2" customFormat="1">
      <c r="A2172" s="1"/>
      <c r="E2172"/>
      <c r="F2172"/>
      <c r="G2172"/>
      <c r="H2172"/>
      <c r="I2172"/>
      <c r="J2172"/>
    </row>
    <row r="2173" spans="1:10" s="2" customFormat="1">
      <c r="A2173" s="1"/>
      <c r="E2173"/>
      <c r="F2173"/>
      <c r="G2173"/>
      <c r="H2173"/>
      <c r="I2173"/>
      <c r="J2173"/>
    </row>
    <row r="2174" spans="1:10" s="2" customFormat="1">
      <c r="A2174" s="1"/>
      <c r="E2174"/>
      <c r="F2174"/>
      <c r="G2174"/>
      <c r="H2174"/>
      <c r="I2174"/>
      <c r="J2174"/>
    </row>
    <row r="2175" spans="1:10" s="2" customFormat="1">
      <c r="A2175" s="1"/>
      <c r="E2175"/>
      <c r="F2175"/>
      <c r="G2175"/>
      <c r="H2175"/>
      <c r="I2175"/>
      <c r="J2175"/>
    </row>
    <row r="2176" spans="1:10" s="2" customFormat="1">
      <c r="A2176" s="1"/>
      <c r="E2176"/>
      <c r="F2176"/>
      <c r="G2176"/>
      <c r="H2176"/>
      <c r="I2176"/>
      <c r="J2176"/>
    </row>
    <row r="2177" spans="1:10" s="2" customFormat="1">
      <c r="A2177" s="1"/>
      <c r="E2177"/>
      <c r="F2177"/>
      <c r="G2177"/>
      <c r="H2177"/>
      <c r="I2177"/>
      <c r="J2177"/>
    </row>
    <row r="2178" spans="1:10" s="2" customFormat="1">
      <c r="A2178" s="1"/>
      <c r="E2178"/>
      <c r="F2178"/>
      <c r="G2178"/>
      <c r="H2178"/>
      <c r="I2178"/>
      <c r="J2178"/>
    </row>
    <row r="2179" spans="1:10" s="2" customFormat="1">
      <c r="A2179" s="1"/>
      <c r="E2179"/>
      <c r="F2179"/>
      <c r="G2179"/>
      <c r="H2179"/>
      <c r="I2179"/>
      <c r="J2179"/>
    </row>
    <row r="2180" spans="1:10" s="2" customFormat="1">
      <c r="A2180" s="1"/>
      <c r="E2180"/>
      <c r="F2180"/>
      <c r="G2180"/>
      <c r="H2180"/>
      <c r="I2180"/>
      <c r="J2180"/>
    </row>
    <row r="2181" spans="1:10" s="2" customFormat="1">
      <c r="A2181" s="1"/>
      <c r="E2181"/>
      <c r="F2181"/>
      <c r="G2181"/>
      <c r="H2181"/>
      <c r="I2181"/>
      <c r="J2181"/>
    </row>
    <row r="2182" spans="1:10" s="2" customFormat="1">
      <c r="A2182" s="1"/>
      <c r="E2182"/>
      <c r="F2182"/>
      <c r="G2182"/>
      <c r="H2182"/>
      <c r="I2182"/>
      <c r="J2182"/>
    </row>
    <row r="2183" spans="1:10" s="2" customFormat="1">
      <c r="A2183" s="1"/>
      <c r="E2183"/>
      <c r="F2183"/>
      <c r="G2183"/>
      <c r="H2183"/>
      <c r="I2183"/>
      <c r="J2183"/>
    </row>
    <row r="2184" spans="1:10" s="2" customFormat="1">
      <c r="A2184" s="1"/>
      <c r="E2184"/>
      <c r="F2184"/>
      <c r="G2184"/>
      <c r="H2184"/>
      <c r="I2184"/>
      <c r="J2184"/>
    </row>
    <row r="2185" spans="1:10" s="2" customFormat="1">
      <c r="A2185" s="1"/>
      <c r="E2185"/>
      <c r="F2185"/>
      <c r="G2185"/>
      <c r="H2185"/>
      <c r="I2185"/>
      <c r="J2185"/>
    </row>
    <row r="2186" spans="1:10" s="2" customFormat="1">
      <c r="A2186" s="1"/>
      <c r="E2186"/>
      <c r="F2186"/>
      <c r="G2186"/>
      <c r="H2186"/>
      <c r="I2186"/>
      <c r="J2186"/>
    </row>
    <row r="2187" spans="1:10" s="2" customFormat="1">
      <c r="A2187" s="1"/>
      <c r="E2187"/>
      <c r="F2187"/>
      <c r="G2187"/>
      <c r="H2187"/>
      <c r="I2187"/>
      <c r="J2187"/>
    </row>
    <row r="2188" spans="1:10" s="2" customFormat="1">
      <c r="A2188" s="1"/>
      <c r="E2188"/>
      <c r="F2188"/>
      <c r="G2188"/>
      <c r="H2188"/>
      <c r="I2188"/>
      <c r="J2188"/>
    </row>
    <row r="2189" spans="1:10" s="2" customFormat="1">
      <c r="A2189" s="1"/>
      <c r="E2189"/>
      <c r="F2189"/>
      <c r="G2189"/>
      <c r="H2189"/>
      <c r="I2189"/>
      <c r="J2189"/>
    </row>
    <row r="2190" spans="1:10" s="2" customFormat="1">
      <c r="A2190" s="1"/>
      <c r="E2190"/>
      <c r="F2190"/>
      <c r="G2190"/>
      <c r="H2190"/>
      <c r="I2190"/>
      <c r="J2190"/>
    </row>
    <row r="2191" spans="1:10" s="2" customFormat="1">
      <c r="A2191" s="1"/>
      <c r="E2191"/>
      <c r="F2191"/>
      <c r="G2191"/>
      <c r="H2191"/>
      <c r="I2191"/>
      <c r="J2191"/>
    </row>
    <row r="2192" spans="1:10" s="2" customFormat="1">
      <c r="A2192" s="1"/>
      <c r="E2192"/>
      <c r="F2192"/>
      <c r="G2192"/>
      <c r="H2192"/>
      <c r="I2192"/>
      <c r="J2192"/>
    </row>
    <row r="2193" spans="1:10" s="2" customFormat="1">
      <c r="A2193" s="1"/>
      <c r="E2193"/>
      <c r="F2193"/>
      <c r="G2193"/>
      <c r="H2193"/>
      <c r="I2193"/>
      <c r="J2193"/>
    </row>
    <row r="2194" spans="1:10" s="2" customFormat="1">
      <c r="A2194" s="1"/>
      <c r="E2194"/>
      <c r="F2194"/>
      <c r="G2194"/>
      <c r="H2194"/>
      <c r="I2194"/>
      <c r="J2194"/>
    </row>
    <row r="2195" spans="1:10" s="2" customFormat="1">
      <c r="A2195" s="1"/>
      <c r="E2195"/>
      <c r="F2195"/>
      <c r="G2195"/>
      <c r="H2195"/>
      <c r="I2195"/>
      <c r="J2195"/>
    </row>
    <row r="2196" spans="1:10" s="2" customFormat="1">
      <c r="A2196" s="1"/>
      <c r="E2196"/>
      <c r="F2196"/>
      <c r="G2196"/>
      <c r="H2196"/>
      <c r="I2196"/>
      <c r="J2196"/>
    </row>
    <row r="2197" spans="1:10" s="2" customFormat="1">
      <c r="A2197" s="1"/>
      <c r="E2197"/>
      <c r="F2197"/>
      <c r="G2197"/>
      <c r="H2197"/>
      <c r="I2197"/>
      <c r="J2197"/>
    </row>
    <row r="2198" spans="1:10" s="2" customFormat="1">
      <c r="A2198" s="1"/>
      <c r="E2198"/>
      <c r="F2198"/>
      <c r="G2198"/>
      <c r="H2198"/>
      <c r="I2198"/>
      <c r="J2198"/>
    </row>
    <row r="2199" spans="1:10" s="2" customFormat="1">
      <c r="A2199" s="1"/>
      <c r="E2199"/>
      <c r="F2199"/>
      <c r="G2199"/>
      <c r="H2199"/>
      <c r="I2199"/>
      <c r="J2199"/>
    </row>
    <row r="2200" spans="1:10" s="2" customFormat="1">
      <c r="A2200" s="1"/>
      <c r="E2200"/>
      <c r="F2200"/>
      <c r="G2200"/>
      <c r="H2200"/>
      <c r="I2200"/>
      <c r="J2200"/>
    </row>
    <row r="2201" spans="1:10" s="2" customFormat="1">
      <c r="A2201" s="1"/>
      <c r="E2201"/>
      <c r="F2201"/>
      <c r="G2201"/>
      <c r="H2201"/>
      <c r="I2201"/>
      <c r="J2201"/>
    </row>
    <row r="2202" spans="1:10" s="2" customFormat="1">
      <c r="A2202" s="1"/>
      <c r="E2202"/>
      <c r="F2202"/>
      <c r="G2202"/>
      <c r="H2202"/>
      <c r="I2202"/>
      <c r="J2202"/>
    </row>
    <row r="2203" spans="1:10" s="2" customFormat="1">
      <c r="A2203" s="1"/>
      <c r="E2203"/>
      <c r="F2203"/>
      <c r="G2203"/>
      <c r="H2203"/>
      <c r="I2203"/>
      <c r="J2203"/>
    </row>
    <row r="2204" spans="1:10" s="2" customFormat="1">
      <c r="A2204" s="1"/>
      <c r="E2204"/>
      <c r="F2204"/>
      <c r="G2204"/>
      <c r="H2204"/>
      <c r="I2204"/>
      <c r="J2204"/>
    </row>
    <row r="2205" spans="1:10" s="2" customFormat="1">
      <c r="A2205" s="1"/>
      <c r="E2205"/>
      <c r="F2205"/>
      <c r="G2205"/>
      <c r="H2205"/>
      <c r="I2205"/>
      <c r="J2205"/>
    </row>
    <row r="2206" spans="1:10" s="2" customFormat="1">
      <c r="A2206" s="1"/>
      <c r="E2206"/>
      <c r="F2206"/>
      <c r="G2206"/>
      <c r="H2206"/>
      <c r="I2206"/>
      <c r="J2206"/>
    </row>
    <row r="2207" spans="1:10" s="2" customFormat="1">
      <c r="A2207" s="1"/>
      <c r="E2207"/>
      <c r="F2207"/>
      <c r="G2207"/>
      <c r="H2207"/>
      <c r="I2207"/>
      <c r="J2207"/>
    </row>
    <row r="2208" spans="1:10" s="2" customFormat="1">
      <c r="A2208" s="1"/>
      <c r="E2208"/>
      <c r="F2208"/>
      <c r="G2208"/>
      <c r="H2208"/>
      <c r="I2208"/>
      <c r="J2208"/>
    </row>
    <row r="2209" spans="1:10" s="2" customFormat="1">
      <c r="A2209" s="1"/>
      <c r="E2209"/>
      <c r="F2209"/>
      <c r="G2209"/>
      <c r="H2209"/>
      <c r="I2209"/>
      <c r="J2209"/>
    </row>
    <row r="2210" spans="1:10" s="2" customFormat="1">
      <c r="A2210" s="1"/>
      <c r="E2210"/>
      <c r="F2210"/>
      <c r="G2210"/>
      <c r="H2210"/>
      <c r="I2210"/>
      <c r="J2210"/>
    </row>
    <row r="2211" spans="1:10" s="2" customFormat="1">
      <c r="A2211" s="1"/>
      <c r="E2211"/>
      <c r="F2211"/>
      <c r="G2211"/>
      <c r="H2211"/>
      <c r="I2211"/>
      <c r="J2211"/>
    </row>
    <row r="2212" spans="1:10" s="2" customFormat="1">
      <c r="A2212" s="1"/>
      <c r="E2212"/>
      <c r="F2212"/>
      <c r="G2212"/>
      <c r="H2212"/>
      <c r="I2212"/>
      <c r="J2212"/>
    </row>
    <row r="2213" spans="1:10" s="2" customFormat="1">
      <c r="A2213" s="1"/>
      <c r="E2213"/>
      <c r="F2213"/>
      <c r="G2213"/>
      <c r="H2213"/>
      <c r="I2213"/>
      <c r="J2213"/>
    </row>
    <row r="2214" spans="1:10" s="2" customFormat="1">
      <c r="A2214" s="1"/>
      <c r="E2214"/>
      <c r="F2214"/>
      <c r="G2214"/>
      <c r="H2214"/>
      <c r="I2214"/>
      <c r="J2214"/>
    </row>
    <row r="2215" spans="1:10" s="2" customFormat="1">
      <c r="A2215" s="1"/>
      <c r="E2215"/>
      <c r="F2215"/>
      <c r="G2215"/>
      <c r="H2215"/>
      <c r="I2215"/>
      <c r="J2215"/>
    </row>
    <row r="2216" spans="1:10" s="2" customFormat="1">
      <c r="A2216" s="1"/>
      <c r="E2216"/>
      <c r="F2216"/>
      <c r="G2216"/>
      <c r="H2216"/>
      <c r="I2216"/>
      <c r="J2216"/>
    </row>
    <row r="2217" spans="1:10" s="2" customFormat="1">
      <c r="A2217" s="1"/>
      <c r="E2217"/>
      <c r="F2217"/>
      <c r="G2217"/>
      <c r="H2217"/>
      <c r="I2217"/>
      <c r="J2217"/>
    </row>
    <row r="2218" spans="1:10" s="2" customFormat="1">
      <c r="A2218" s="1"/>
      <c r="E2218"/>
      <c r="F2218"/>
      <c r="G2218"/>
      <c r="H2218"/>
      <c r="I2218"/>
      <c r="J2218"/>
    </row>
    <row r="2219" spans="1:10" s="2" customFormat="1">
      <c r="A2219" s="1"/>
      <c r="E2219"/>
      <c r="F2219"/>
      <c r="G2219"/>
      <c r="H2219"/>
      <c r="I2219"/>
      <c r="J2219"/>
    </row>
    <row r="2220" spans="1:10" s="2" customFormat="1">
      <c r="A2220" s="1"/>
      <c r="E2220"/>
      <c r="F2220"/>
      <c r="G2220"/>
      <c r="H2220"/>
      <c r="I2220"/>
      <c r="J2220"/>
    </row>
    <row r="2221" spans="1:10" s="2" customFormat="1">
      <c r="A2221" s="1"/>
      <c r="E2221"/>
      <c r="F2221"/>
      <c r="G2221"/>
      <c r="H2221"/>
      <c r="I2221"/>
      <c r="J2221"/>
    </row>
    <row r="2222" spans="1:10" s="2" customFormat="1">
      <c r="A2222" s="1"/>
      <c r="E2222"/>
      <c r="F2222"/>
      <c r="G2222"/>
      <c r="H2222"/>
      <c r="I2222"/>
      <c r="J2222"/>
    </row>
    <row r="2223" spans="1:10" s="2" customFormat="1">
      <c r="A2223" s="1"/>
      <c r="E2223"/>
      <c r="F2223"/>
      <c r="G2223"/>
      <c r="H2223"/>
      <c r="I2223"/>
      <c r="J2223"/>
    </row>
    <row r="2224" spans="1:10" s="2" customFormat="1">
      <c r="A2224" s="1"/>
      <c r="E2224"/>
      <c r="F2224"/>
      <c r="G2224"/>
      <c r="H2224"/>
      <c r="I2224"/>
      <c r="J2224"/>
    </row>
    <row r="2225" spans="1:10" s="2" customFormat="1">
      <c r="A2225" s="1"/>
      <c r="E2225"/>
      <c r="F2225"/>
      <c r="G2225"/>
      <c r="H2225"/>
      <c r="I2225"/>
      <c r="J2225"/>
    </row>
    <row r="2226" spans="1:10" s="2" customFormat="1">
      <c r="A2226" s="1"/>
      <c r="E2226"/>
      <c r="F2226"/>
      <c r="G2226"/>
      <c r="H2226"/>
      <c r="I2226"/>
      <c r="J2226"/>
    </row>
    <row r="2227" spans="1:10" s="2" customFormat="1">
      <c r="A2227" s="1"/>
      <c r="E2227"/>
      <c r="F2227"/>
      <c r="G2227"/>
      <c r="H2227"/>
      <c r="I2227"/>
      <c r="J2227"/>
    </row>
    <row r="2228" spans="1:10" s="2" customFormat="1">
      <c r="A2228" s="1"/>
      <c r="E2228"/>
      <c r="F2228"/>
      <c r="G2228"/>
      <c r="H2228"/>
      <c r="I2228"/>
      <c r="J2228"/>
    </row>
    <row r="2229" spans="1:10" s="2" customFormat="1">
      <c r="A2229" s="1"/>
      <c r="E2229"/>
      <c r="F2229"/>
      <c r="G2229"/>
      <c r="H2229"/>
      <c r="I2229"/>
      <c r="J2229"/>
    </row>
    <row r="2230" spans="1:10" s="2" customFormat="1">
      <c r="A2230" s="1"/>
      <c r="E2230"/>
      <c r="F2230"/>
      <c r="G2230"/>
      <c r="H2230"/>
      <c r="I2230"/>
      <c r="J2230"/>
    </row>
    <row r="2231" spans="1:10" s="2" customFormat="1">
      <c r="A2231" s="1"/>
      <c r="E2231"/>
      <c r="F2231"/>
      <c r="G2231"/>
      <c r="H2231"/>
      <c r="I2231"/>
      <c r="J2231"/>
    </row>
    <row r="2232" spans="1:10" s="2" customFormat="1">
      <c r="A2232" s="1"/>
      <c r="E2232"/>
      <c r="F2232"/>
      <c r="G2232"/>
      <c r="H2232"/>
      <c r="I2232"/>
      <c r="J2232"/>
    </row>
    <row r="2233" spans="1:10" s="2" customFormat="1">
      <c r="A2233" s="1"/>
      <c r="E2233"/>
      <c r="F2233"/>
      <c r="G2233"/>
      <c r="H2233"/>
      <c r="I2233"/>
      <c r="J2233"/>
    </row>
    <row r="2234" spans="1:10" s="2" customFormat="1">
      <c r="A2234" s="1"/>
      <c r="E2234"/>
      <c r="F2234"/>
      <c r="G2234"/>
      <c r="H2234"/>
      <c r="I2234"/>
      <c r="J2234"/>
    </row>
    <row r="2235" spans="1:10" s="2" customFormat="1">
      <c r="A2235" s="1"/>
      <c r="E2235"/>
      <c r="F2235"/>
      <c r="G2235"/>
      <c r="H2235"/>
      <c r="I2235"/>
      <c r="J2235"/>
    </row>
    <row r="2236" spans="1:10" s="2" customFormat="1">
      <c r="A2236" s="1"/>
      <c r="E2236"/>
      <c r="F2236"/>
      <c r="G2236"/>
      <c r="H2236"/>
      <c r="I2236"/>
      <c r="J2236"/>
    </row>
    <row r="2237" spans="1:10" s="2" customFormat="1">
      <c r="A2237" s="1"/>
      <c r="E2237"/>
      <c r="F2237"/>
      <c r="G2237"/>
      <c r="H2237"/>
      <c r="I2237"/>
      <c r="J2237"/>
    </row>
    <row r="2238" spans="1:10" s="2" customFormat="1">
      <c r="A2238" s="1"/>
      <c r="E2238"/>
      <c r="F2238"/>
      <c r="G2238"/>
      <c r="H2238"/>
      <c r="I2238"/>
      <c r="J2238"/>
    </row>
    <row r="2239" spans="1:10" s="2" customFormat="1">
      <c r="A2239" s="1"/>
      <c r="E2239"/>
      <c r="F2239"/>
      <c r="G2239"/>
      <c r="H2239"/>
      <c r="I2239"/>
      <c r="J2239"/>
    </row>
    <row r="2240" spans="1:10" s="2" customFormat="1">
      <c r="A2240" s="1"/>
      <c r="E2240"/>
      <c r="F2240"/>
      <c r="G2240"/>
      <c r="H2240"/>
      <c r="I2240"/>
      <c r="J2240"/>
    </row>
    <row r="2241" spans="1:10" s="2" customFormat="1">
      <c r="A2241" s="1"/>
      <c r="E2241"/>
      <c r="F2241"/>
      <c r="G2241"/>
      <c r="H2241"/>
      <c r="I2241"/>
      <c r="J2241"/>
    </row>
    <row r="2242" spans="1:10" s="2" customFormat="1">
      <c r="A2242" s="1"/>
      <c r="E2242"/>
      <c r="F2242"/>
      <c r="G2242"/>
      <c r="H2242"/>
      <c r="I2242"/>
      <c r="J2242"/>
    </row>
    <row r="2243" spans="1:10" s="2" customFormat="1">
      <c r="A2243" s="1"/>
      <c r="E2243"/>
      <c r="F2243"/>
      <c r="G2243"/>
      <c r="H2243"/>
      <c r="I2243"/>
      <c r="J2243"/>
    </row>
    <row r="2244" spans="1:10" s="2" customFormat="1">
      <c r="A2244" s="1"/>
      <c r="E2244"/>
      <c r="F2244"/>
      <c r="G2244"/>
      <c r="H2244"/>
      <c r="I2244"/>
      <c r="J2244"/>
    </row>
    <row r="2245" spans="1:10" s="2" customFormat="1">
      <c r="A2245" s="1"/>
      <c r="E2245"/>
      <c r="F2245"/>
      <c r="G2245"/>
      <c r="H2245"/>
      <c r="I2245"/>
      <c r="J2245"/>
    </row>
    <row r="2246" spans="1:10" s="2" customFormat="1">
      <c r="A2246" s="1"/>
      <c r="E2246"/>
      <c r="F2246"/>
      <c r="G2246"/>
      <c r="H2246"/>
      <c r="I2246"/>
      <c r="J2246"/>
    </row>
    <row r="2247" spans="1:10" s="2" customFormat="1">
      <c r="A2247" s="1"/>
      <c r="E2247"/>
      <c r="F2247"/>
      <c r="G2247"/>
      <c r="H2247"/>
      <c r="I2247"/>
      <c r="J2247"/>
    </row>
    <row r="2248" spans="1:10" s="2" customFormat="1">
      <c r="A2248" s="1"/>
      <c r="E2248"/>
      <c r="F2248"/>
      <c r="G2248"/>
      <c r="H2248"/>
      <c r="I2248"/>
      <c r="J2248"/>
    </row>
    <row r="2249" spans="1:10" s="2" customFormat="1">
      <c r="A2249" s="1"/>
      <c r="E2249"/>
      <c r="F2249"/>
      <c r="G2249"/>
      <c r="H2249"/>
      <c r="I2249"/>
      <c r="J2249"/>
    </row>
    <row r="2250" spans="1:10" s="2" customFormat="1">
      <c r="A2250" s="1"/>
      <c r="E2250"/>
      <c r="F2250"/>
      <c r="G2250"/>
      <c r="H2250"/>
      <c r="I2250"/>
      <c r="J2250"/>
    </row>
    <row r="2251" spans="1:10" s="2" customFormat="1">
      <c r="A2251" s="1"/>
      <c r="E2251"/>
      <c r="F2251"/>
      <c r="G2251"/>
      <c r="H2251"/>
      <c r="I2251"/>
      <c r="J2251"/>
    </row>
    <row r="2252" spans="1:10" s="2" customFormat="1">
      <c r="A2252" s="1"/>
      <c r="E2252"/>
      <c r="F2252"/>
      <c r="G2252"/>
      <c r="H2252"/>
      <c r="I2252"/>
      <c r="J2252"/>
    </row>
    <row r="2253" spans="1:10" s="2" customFormat="1">
      <c r="A2253" s="1"/>
      <c r="E2253"/>
      <c r="F2253"/>
      <c r="G2253"/>
      <c r="H2253"/>
      <c r="I2253"/>
      <c r="J2253"/>
    </row>
    <row r="2254" spans="1:10" s="2" customFormat="1">
      <c r="A2254" s="1"/>
      <c r="E2254"/>
      <c r="F2254"/>
      <c r="G2254"/>
      <c r="H2254"/>
      <c r="I2254"/>
      <c r="J2254"/>
    </row>
    <row r="2255" spans="1:10" s="2" customFormat="1">
      <c r="A2255" s="1"/>
      <c r="E2255"/>
      <c r="F2255"/>
      <c r="G2255"/>
      <c r="H2255"/>
      <c r="I2255"/>
      <c r="J2255"/>
    </row>
    <row r="2256" spans="1:10" s="2" customFormat="1">
      <c r="A2256" s="1"/>
      <c r="E2256"/>
      <c r="F2256"/>
      <c r="G2256"/>
      <c r="H2256"/>
      <c r="I2256"/>
      <c r="J2256"/>
    </row>
    <row r="2257" spans="1:10" s="2" customFormat="1">
      <c r="A2257" s="1"/>
      <c r="E2257"/>
      <c r="F2257"/>
      <c r="G2257"/>
      <c r="H2257"/>
      <c r="I2257"/>
      <c r="J2257"/>
    </row>
    <row r="2258" spans="1:10" s="2" customFormat="1">
      <c r="A2258" s="1"/>
      <c r="E2258"/>
      <c r="F2258"/>
      <c r="G2258"/>
      <c r="H2258"/>
      <c r="I2258"/>
      <c r="J2258"/>
    </row>
    <row r="2259" spans="1:10" s="2" customFormat="1">
      <c r="A2259" s="1"/>
      <c r="E2259"/>
      <c r="F2259"/>
      <c r="G2259"/>
      <c r="H2259"/>
      <c r="I2259"/>
      <c r="J2259"/>
    </row>
    <row r="2260" spans="1:10" s="2" customFormat="1">
      <c r="A2260" s="1"/>
      <c r="E2260"/>
      <c r="F2260"/>
      <c r="G2260"/>
      <c r="H2260"/>
      <c r="I2260"/>
      <c r="J2260"/>
    </row>
    <row r="2261" spans="1:10" s="2" customFormat="1">
      <c r="A2261" s="1"/>
      <c r="E2261"/>
      <c r="F2261"/>
      <c r="G2261"/>
      <c r="H2261"/>
      <c r="I2261"/>
      <c r="J2261"/>
    </row>
    <row r="2262" spans="1:10" s="2" customFormat="1">
      <c r="A2262" s="1"/>
      <c r="E2262"/>
      <c r="F2262"/>
      <c r="G2262"/>
      <c r="H2262"/>
      <c r="I2262"/>
      <c r="J2262"/>
    </row>
    <row r="2263" spans="1:10" s="2" customFormat="1">
      <c r="A2263" s="1"/>
      <c r="E2263"/>
      <c r="F2263"/>
      <c r="G2263"/>
      <c r="H2263"/>
      <c r="I2263"/>
      <c r="J2263"/>
    </row>
    <row r="2264" spans="1:10" s="2" customFormat="1">
      <c r="A2264" s="1"/>
      <c r="E2264"/>
      <c r="F2264"/>
      <c r="G2264"/>
      <c r="H2264"/>
      <c r="I2264"/>
      <c r="J2264"/>
    </row>
    <row r="2265" spans="1:10" s="2" customFormat="1">
      <c r="A2265" s="1"/>
      <c r="E2265"/>
      <c r="F2265"/>
      <c r="G2265"/>
      <c r="H2265"/>
      <c r="I2265"/>
      <c r="J2265"/>
    </row>
    <row r="2266" spans="1:10" s="2" customFormat="1">
      <c r="A2266" s="1"/>
      <c r="E2266"/>
      <c r="F2266"/>
      <c r="G2266"/>
      <c r="H2266"/>
      <c r="I2266"/>
      <c r="J2266"/>
    </row>
    <row r="2267" spans="1:10" s="2" customFormat="1">
      <c r="A2267" s="1"/>
      <c r="E2267"/>
      <c r="F2267"/>
      <c r="G2267"/>
      <c r="H2267"/>
      <c r="I2267"/>
      <c r="J2267"/>
    </row>
    <row r="2268" spans="1:10" s="2" customFormat="1">
      <c r="A2268" s="1"/>
      <c r="E2268"/>
      <c r="F2268"/>
      <c r="G2268"/>
      <c r="H2268"/>
      <c r="I2268"/>
      <c r="J2268"/>
    </row>
    <row r="2269" spans="1:10" s="2" customFormat="1">
      <c r="A2269" s="1"/>
      <c r="E2269"/>
      <c r="F2269"/>
      <c r="G2269"/>
      <c r="H2269"/>
      <c r="I2269"/>
      <c r="J2269"/>
    </row>
    <row r="2270" spans="1:10" s="2" customFormat="1">
      <c r="A2270" s="1"/>
      <c r="E2270"/>
      <c r="F2270"/>
      <c r="G2270"/>
      <c r="H2270"/>
      <c r="I2270"/>
      <c r="J2270"/>
    </row>
    <row r="2271" spans="1:10" s="2" customFormat="1">
      <c r="A2271" s="1"/>
      <c r="E2271"/>
      <c r="F2271"/>
      <c r="G2271"/>
      <c r="H2271"/>
      <c r="I2271"/>
      <c r="J2271"/>
    </row>
    <row r="2272" spans="1:10" s="2" customFormat="1">
      <c r="A2272" s="1"/>
      <c r="E2272"/>
      <c r="F2272"/>
      <c r="G2272"/>
      <c r="H2272"/>
      <c r="I2272"/>
      <c r="J2272"/>
    </row>
    <row r="2273" spans="1:10" s="2" customFormat="1">
      <c r="A2273" s="1"/>
      <c r="E2273"/>
      <c r="F2273"/>
      <c r="G2273"/>
      <c r="H2273"/>
      <c r="I2273"/>
      <c r="J2273"/>
    </row>
    <row r="2274" spans="1:10" s="2" customFormat="1">
      <c r="A2274" s="1"/>
      <c r="E2274"/>
      <c r="F2274"/>
      <c r="G2274"/>
      <c r="H2274"/>
      <c r="I2274"/>
      <c r="J2274"/>
    </row>
    <row r="2275" spans="1:10" s="2" customFormat="1">
      <c r="A2275" s="1"/>
      <c r="E2275"/>
      <c r="F2275"/>
      <c r="G2275"/>
      <c r="H2275"/>
      <c r="I2275"/>
      <c r="J2275"/>
    </row>
    <row r="2276" spans="1:10" s="2" customFormat="1">
      <c r="A2276" s="1"/>
      <c r="E2276"/>
      <c r="F2276"/>
      <c r="G2276"/>
      <c r="H2276"/>
      <c r="I2276"/>
      <c r="J2276"/>
    </row>
    <row r="2277" spans="1:10" s="2" customFormat="1">
      <c r="A2277" s="1"/>
      <c r="E2277"/>
      <c r="F2277"/>
      <c r="G2277"/>
      <c r="H2277"/>
      <c r="I2277"/>
      <c r="J2277"/>
    </row>
    <row r="2278" spans="1:10" s="2" customFormat="1">
      <c r="A2278" s="1"/>
      <c r="E2278"/>
      <c r="F2278"/>
      <c r="G2278"/>
      <c r="H2278"/>
      <c r="I2278"/>
      <c r="J2278"/>
    </row>
    <row r="2279" spans="1:10" s="2" customFormat="1">
      <c r="A2279" s="1"/>
      <c r="E2279"/>
      <c r="F2279"/>
      <c r="G2279"/>
      <c r="H2279"/>
      <c r="I2279"/>
      <c r="J2279"/>
    </row>
    <row r="2280" spans="1:10" s="2" customFormat="1">
      <c r="A2280" s="1"/>
      <c r="E2280"/>
      <c r="F2280"/>
      <c r="G2280"/>
      <c r="H2280"/>
      <c r="I2280"/>
      <c r="J2280"/>
    </row>
    <row r="2281" spans="1:10" s="2" customFormat="1">
      <c r="A2281" s="1"/>
      <c r="E2281"/>
      <c r="F2281"/>
      <c r="G2281"/>
      <c r="H2281"/>
      <c r="I2281"/>
      <c r="J2281"/>
    </row>
    <row r="2282" spans="1:10" s="2" customFormat="1">
      <c r="A2282" s="1"/>
      <c r="E2282"/>
      <c r="F2282"/>
      <c r="G2282"/>
      <c r="H2282"/>
      <c r="I2282"/>
      <c r="J2282"/>
    </row>
    <row r="2283" spans="1:10" s="2" customFormat="1">
      <c r="A2283" s="1"/>
      <c r="E2283"/>
      <c r="F2283"/>
      <c r="G2283"/>
      <c r="H2283"/>
      <c r="I2283"/>
      <c r="J2283"/>
    </row>
    <row r="2284" spans="1:10" s="2" customFormat="1">
      <c r="A2284" s="1"/>
      <c r="E2284"/>
      <c r="F2284"/>
      <c r="G2284"/>
      <c r="H2284"/>
      <c r="I2284"/>
      <c r="J2284"/>
    </row>
    <row r="2285" spans="1:10" s="2" customFormat="1">
      <c r="A2285" s="1"/>
      <c r="E2285"/>
      <c r="F2285"/>
      <c r="G2285"/>
      <c r="H2285"/>
      <c r="I2285"/>
      <c r="J2285"/>
    </row>
    <row r="2286" spans="1:10" s="2" customFormat="1">
      <c r="A2286" s="1"/>
      <c r="E2286"/>
      <c r="F2286"/>
      <c r="G2286"/>
      <c r="H2286"/>
      <c r="I2286"/>
      <c r="J2286"/>
    </row>
    <row r="2287" spans="1:10" s="2" customFormat="1">
      <c r="A2287" s="1"/>
      <c r="E2287"/>
      <c r="F2287"/>
      <c r="G2287"/>
      <c r="H2287"/>
      <c r="I2287"/>
      <c r="J2287"/>
    </row>
    <row r="2288" spans="1:10" s="2" customFormat="1">
      <c r="A2288" s="1"/>
      <c r="E2288"/>
      <c r="F2288"/>
      <c r="G2288"/>
      <c r="H2288"/>
      <c r="I2288"/>
      <c r="J2288"/>
    </row>
    <row r="2289" spans="1:10" s="2" customFormat="1">
      <c r="A2289" s="1"/>
      <c r="E2289"/>
      <c r="F2289"/>
      <c r="G2289"/>
      <c r="H2289"/>
      <c r="I2289"/>
      <c r="J2289"/>
    </row>
    <row r="2290" spans="1:10" s="2" customFormat="1">
      <c r="A2290" s="1"/>
      <c r="E2290"/>
      <c r="F2290"/>
      <c r="G2290"/>
      <c r="H2290"/>
      <c r="I2290"/>
      <c r="J2290"/>
    </row>
    <row r="2291" spans="1:10" s="2" customFormat="1">
      <c r="A2291" s="1"/>
      <c r="E2291"/>
      <c r="F2291"/>
      <c r="G2291"/>
      <c r="H2291"/>
      <c r="I2291"/>
      <c r="J2291"/>
    </row>
    <row r="2292" spans="1:10" s="2" customFormat="1">
      <c r="A2292" s="1"/>
      <c r="E2292"/>
      <c r="F2292"/>
      <c r="G2292"/>
      <c r="H2292"/>
      <c r="I2292"/>
      <c r="J2292"/>
    </row>
    <row r="2293" spans="1:10" s="2" customFormat="1">
      <c r="A2293" s="1"/>
      <c r="E2293"/>
      <c r="F2293"/>
      <c r="G2293"/>
      <c r="H2293"/>
      <c r="I2293"/>
      <c r="J2293"/>
    </row>
    <row r="2294" spans="1:10" s="2" customFormat="1">
      <c r="A2294" s="1"/>
      <c r="E2294"/>
      <c r="F2294"/>
      <c r="G2294"/>
      <c r="H2294"/>
      <c r="I2294"/>
      <c r="J2294"/>
    </row>
    <row r="2295" spans="1:10" s="2" customFormat="1">
      <c r="A2295" s="1"/>
      <c r="E2295"/>
      <c r="F2295"/>
      <c r="G2295"/>
      <c r="H2295"/>
      <c r="I2295"/>
      <c r="J2295"/>
    </row>
    <row r="2296" spans="1:10" s="2" customFormat="1">
      <c r="A2296" s="1"/>
      <c r="E2296"/>
      <c r="F2296"/>
      <c r="G2296"/>
      <c r="H2296"/>
      <c r="I2296"/>
      <c r="J2296"/>
    </row>
    <row r="2297" spans="1:10" s="2" customFormat="1">
      <c r="A2297" s="1"/>
      <c r="E2297"/>
      <c r="F2297"/>
      <c r="G2297"/>
      <c r="H2297"/>
      <c r="I2297"/>
      <c r="J2297"/>
    </row>
    <row r="2298" spans="1:10" s="2" customFormat="1">
      <c r="A2298" s="1"/>
      <c r="E2298"/>
      <c r="F2298"/>
      <c r="G2298"/>
      <c r="H2298"/>
      <c r="I2298"/>
      <c r="J2298"/>
    </row>
    <row r="2299" spans="1:10" s="2" customFormat="1">
      <c r="A2299" s="1"/>
      <c r="E2299"/>
      <c r="F2299"/>
      <c r="G2299"/>
      <c r="H2299"/>
      <c r="I2299"/>
      <c r="J2299"/>
    </row>
    <row r="2300" spans="1:10" s="2" customFormat="1">
      <c r="A2300" s="1"/>
      <c r="E2300"/>
      <c r="F2300"/>
      <c r="G2300"/>
      <c r="H2300"/>
      <c r="I2300"/>
      <c r="J2300"/>
    </row>
    <row r="2301" spans="1:10" s="2" customFormat="1">
      <c r="A2301" s="1"/>
      <c r="E2301"/>
      <c r="F2301"/>
      <c r="G2301"/>
      <c r="H2301"/>
      <c r="I2301"/>
      <c r="J2301"/>
    </row>
    <row r="2302" spans="1:10" s="2" customFormat="1">
      <c r="A2302" s="1"/>
      <c r="E2302"/>
      <c r="F2302"/>
      <c r="G2302"/>
      <c r="H2302"/>
      <c r="I2302"/>
      <c r="J2302"/>
    </row>
    <row r="2303" spans="1:10" s="2" customFormat="1">
      <c r="A2303" s="1"/>
      <c r="E2303"/>
      <c r="F2303"/>
      <c r="G2303"/>
      <c r="H2303"/>
      <c r="I2303"/>
      <c r="J2303"/>
    </row>
    <row r="2304" spans="1:10" s="2" customFormat="1">
      <c r="A2304" s="1"/>
      <c r="E2304"/>
      <c r="F2304"/>
      <c r="G2304"/>
      <c r="H2304"/>
      <c r="I2304"/>
      <c r="J2304"/>
    </row>
    <row r="2305" spans="1:10" s="2" customFormat="1">
      <c r="A2305" s="1"/>
      <c r="E2305"/>
      <c r="F2305"/>
      <c r="G2305"/>
      <c r="H2305"/>
      <c r="I2305"/>
      <c r="J2305"/>
    </row>
    <row r="2306" spans="1:10" s="2" customFormat="1">
      <c r="A2306" s="1"/>
      <c r="E2306"/>
      <c r="F2306"/>
      <c r="G2306"/>
      <c r="H2306"/>
      <c r="I2306"/>
      <c r="J2306"/>
    </row>
    <row r="2307" spans="1:10" s="2" customFormat="1">
      <c r="A2307" s="1"/>
      <c r="E2307"/>
      <c r="F2307"/>
      <c r="G2307"/>
      <c r="H2307"/>
      <c r="I2307"/>
      <c r="J2307"/>
    </row>
    <row r="2308" spans="1:10" s="2" customFormat="1">
      <c r="A2308" s="1"/>
      <c r="E2308"/>
      <c r="F2308"/>
      <c r="G2308"/>
      <c r="H2308"/>
      <c r="I2308"/>
      <c r="J2308"/>
    </row>
    <row r="2309" spans="1:10" s="2" customFormat="1">
      <c r="A2309" s="1"/>
      <c r="E2309"/>
      <c r="F2309"/>
      <c r="G2309"/>
      <c r="H2309"/>
      <c r="I2309"/>
      <c r="J2309"/>
    </row>
    <row r="2310" spans="1:10" s="2" customFormat="1">
      <c r="A2310" s="1"/>
      <c r="E2310"/>
      <c r="F2310"/>
      <c r="G2310"/>
      <c r="H2310"/>
      <c r="I2310"/>
      <c r="J2310"/>
    </row>
    <row r="2311" spans="1:10" s="2" customFormat="1">
      <c r="A2311" s="1"/>
      <c r="E2311"/>
      <c r="F2311"/>
      <c r="G2311"/>
      <c r="H2311"/>
      <c r="I2311"/>
      <c r="J2311"/>
    </row>
    <row r="2312" spans="1:10" s="2" customFormat="1">
      <c r="A2312" s="1"/>
      <c r="E2312"/>
      <c r="F2312"/>
      <c r="G2312"/>
      <c r="H2312"/>
      <c r="I2312"/>
      <c r="J2312"/>
    </row>
    <row r="2313" spans="1:10" s="2" customFormat="1">
      <c r="A2313" s="1"/>
      <c r="E2313"/>
      <c r="F2313"/>
      <c r="G2313"/>
      <c r="H2313"/>
      <c r="I2313"/>
      <c r="J2313"/>
    </row>
    <row r="2314" spans="1:10" s="2" customFormat="1">
      <c r="A2314" s="1"/>
      <c r="E2314"/>
      <c r="F2314"/>
      <c r="G2314"/>
      <c r="H2314"/>
      <c r="I2314"/>
      <c r="J2314"/>
    </row>
    <row r="2315" spans="1:10" s="2" customFormat="1">
      <c r="A2315" s="1"/>
      <c r="E2315"/>
      <c r="F2315"/>
      <c r="G2315"/>
      <c r="H2315"/>
      <c r="I2315"/>
      <c r="J2315"/>
    </row>
    <row r="2316" spans="1:10" s="2" customFormat="1">
      <c r="A2316" s="1"/>
      <c r="E2316"/>
      <c r="F2316"/>
      <c r="G2316"/>
      <c r="H2316"/>
      <c r="I2316"/>
      <c r="J2316"/>
    </row>
    <row r="2317" spans="1:10" s="2" customFormat="1">
      <c r="A2317" s="1"/>
      <c r="E2317"/>
      <c r="F2317"/>
      <c r="G2317"/>
      <c r="H2317"/>
      <c r="I2317"/>
      <c r="J2317"/>
    </row>
    <row r="2318" spans="1:10" s="2" customFormat="1">
      <c r="A2318" s="1"/>
      <c r="E2318"/>
      <c r="F2318"/>
      <c r="G2318"/>
      <c r="H2318"/>
      <c r="I2318"/>
      <c r="J2318"/>
    </row>
    <row r="2319" spans="1:10" s="2" customFormat="1">
      <c r="A2319" s="1"/>
      <c r="E2319"/>
      <c r="F2319"/>
      <c r="G2319"/>
      <c r="H2319"/>
      <c r="I2319"/>
      <c r="J2319"/>
    </row>
    <row r="2320" spans="1:10" s="2" customFormat="1">
      <c r="A2320" s="1"/>
      <c r="E2320"/>
      <c r="F2320"/>
      <c r="G2320"/>
      <c r="H2320"/>
      <c r="I2320"/>
      <c r="J2320"/>
    </row>
    <row r="2321" spans="1:10" s="2" customFormat="1">
      <c r="A2321" s="1"/>
      <c r="E2321"/>
      <c r="F2321"/>
      <c r="G2321"/>
      <c r="H2321"/>
      <c r="I2321"/>
      <c r="J2321"/>
    </row>
    <row r="2322" spans="1:10" s="2" customFormat="1">
      <c r="A2322" s="1"/>
      <c r="E2322"/>
      <c r="F2322"/>
      <c r="G2322"/>
      <c r="H2322"/>
      <c r="I2322"/>
      <c r="J2322"/>
    </row>
    <row r="2323" spans="1:10" s="2" customFormat="1">
      <c r="A2323" s="1"/>
      <c r="E2323"/>
      <c r="F2323"/>
      <c r="G2323"/>
      <c r="H2323"/>
      <c r="I2323"/>
      <c r="J2323"/>
    </row>
    <row r="2324" spans="1:10" s="2" customFormat="1">
      <c r="A2324" s="1"/>
      <c r="E2324"/>
      <c r="F2324"/>
      <c r="G2324"/>
      <c r="H2324"/>
      <c r="I2324"/>
      <c r="J2324"/>
    </row>
    <row r="2325" spans="1:10" s="2" customFormat="1">
      <c r="A2325" s="1"/>
      <c r="E2325"/>
      <c r="F2325"/>
      <c r="G2325"/>
      <c r="H2325"/>
      <c r="I2325"/>
      <c r="J2325"/>
    </row>
    <row r="2326" spans="1:10" s="2" customFormat="1">
      <c r="A2326" s="1"/>
      <c r="E2326"/>
      <c r="F2326"/>
      <c r="G2326"/>
      <c r="H2326"/>
      <c r="I2326"/>
      <c r="J2326"/>
    </row>
    <row r="2327" spans="1:10" s="2" customFormat="1">
      <c r="A2327" s="1"/>
      <c r="E2327"/>
      <c r="F2327"/>
      <c r="G2327"/>
      <c r="H2327"/>
      <c r="I2327"/>
      <c r="J2327"/>
    </row>
    <row r="2328" spans="1:10" s="2" customFormat="1">
      <c r="A2328" s="1"/>
      <c r="E2328"/>
      <c r="F2328"/>
      <c r="G2328"/>
      <c r="H2328"/>
      <c r="I2328"/>
      <c r="J2328"/>
    </row>
    <row r="2329" spans="1:10" s="2" customFormat="1">
      <c r="A2329" s="1"/>
      <c r="E2329"/>
      <c r="F2329"/>
      <c r="G2329"/>
      <c r="H2329"/>
      <c r="I2329"/>
      <c r="J2329"/>
    </row>
    <row r="2330" spans="1:10" s="2" customFormat="1">
      <c r="A2330" s="1"/>
      <c r="E2330"/>
      <c r="F2330"/>
      <c r="G2330"/>
      <c r="H2330"/>
      <c r="I2330"/>
      <c r="J2330"/>
    </row>
    <row r="2331" spans="1:10" s="2" customFormat="1">
      <c r="A2331" s="1"/>
      <c r="E2331"/>
      <c r="F2331"/>
      <c r="G2331"/>
      <c r="H2331"/>
      <c r="I2331"/>
      <c r="J2331"/>
    </row>
    <row r="2332" spans="1:10" s="2" customFormat="1">
      <c r="A2332" s="1"/>
      <c r="E2332"/>
      <c r="F2332"/>
      <c r="G2332"/>
      <c r="H2332"/>
      <c r="I2332"/>
      <c r="J2332"/>
    </row>
    <row r="2333" spans="1:10" s="2" customFormat="1">
      <c r="A2333" s="1"/>
      <c r="E2333"/>
      <c r="F2333"/>
      <c r="G2333"/>
      <c r="H2333"/>
      <c r="I2333"/>
      <c r="J2333"/>
    </row>
    <row r="2334" spans="1:10" s="2" customFormat="1">
      <c r="A2334" s="1"/>
      <c r="E2334"/>
      <c r="F2334"/>
      <c r="G2334"/>
      <c r="H2334"/>
      <c r="I2334"/>
      <c r="J2334"/>
    </row>
    <row r="2335" spans="1:10" s="2" customFormat="1">
      <c r="A2335" s="1"/>
      <c r="E2335"/>
      <c r="F2335"/>
      <c r="G2335"/>
      <c r="H2335"/>
      <c r="I2335"/>
      <c r="J2335"/>
    </row>
    <row r="2336" spans="1:10" s="2" customFormat="1">
      <c r="A2336" s="1"/>
      <c r="E2336"/>
      <c r="F2336"/>
      <c r="G2336"/>
      <c r="H2336"/>
      <c r="I2336"/>
      <c r="J2336"/>
    </row>
    <row r="2337" spans="1:10" s="2" customFormat="1">
      <c r="A2337" s="1"/>
      <c r="E2337"/>
      <c r="F2337"/>
      <c r="G2337"/>
      <c r="H2337"/>
      <c r="I2337"/>
      <c r="J2337"/>
    </row>
    <row r="2338" spans="1:10" s="2" customFormat="1">
      <c r="A2338" s="1"/>
      <c r="E2338"/>
      <c r="F2338"/>
      <c r="G2338"/>
      <c r="H2338"/>
      <c r="I2338"/>
      <c r="J2338"/>
    </row>
    <row r="2339" spans="1:10" s="2" customFormat="1">
      <c r="A2339" s="1"/>
      <c r="E2339"/>
      <c r="F2339"/>
      <c r="G2339"/>
      <c r="H2339"/>
      <c r="I2339"/>
      <c r="J2339"/>
    </row>
    <row r="2340" spans="1:10" s="2" customFormat="1">
      <c r="A2340" s="1"/>
      <c r="E2340"/>
      <c r="F2340"/>
      <c r="G2340"/>
      <c r="H2340"/>
      <c r="I2340"/>
      <c r="J2340"/>
    </row>
    <row r="2341" spans="1:10" s="2" customFormat="1">
      <c r="A2341" s="1"/>
      <c r="E2341"/>
      <c r="F2341"/>
      <c r="G2341"/>
      <c r="H2341"/>
      <c r="I2341"/>
      <c r="J2341"/>
    </row>
    <row r="2342" spans="1:10" s="2" customFormat="1">
      <c r="A2342" s="1"/>
      <c r="E2342"/>
      <c r="F2342"/>
      <c r="G2342"/>
      <c r="H2342"/>
      <c r="I2342"/>
      <c r="J2342"/>
    </row>
    <row r="2343" spans="1:10" s="2" customFormat="1">
      <c r="A2343" s="1"/>
      <c r="E2343"/>
      <c r="F2343"/>
      <c r="G2343"/>
      <c r="H2343"/>
      <c r="I2343"/>
      <c r="J2343"/>
    </row>
    <row r="2344" spans="1:10" s="2" customFormat="1">
      <c r="A2344" s="1"/>
      <c r="E2344"/>
      <c r="F2344"/>
      <c r="G2344"/>
      <c r="H2344"/>
      <c r="I2344"/>
      <c r="J2344"/>
    </row>
    <row r="2345" spans="1:10" s="2" customFormat="1">
      <c r="A2345" s="1"/>
      <c r="E2345"/>
      <c r="F2345"/>
      <c r="G2345"/>
      <c r="H2345"/>
      <c r="I2345"/>
      <c r="J2345"/>
    </row>
    <row r="2346" spans="1:10" s="2" customFormat="1">
      <c r="A2346" s="1"/>
      <c r="E2346"/>
      <c r="F2346"/>
      <c r="G2346"/>
      <c r="H2346"/>
      <c r="I2346"/>
      <c r="J2346"/>
    </row>
    <row r="2347" spans="1:10" s="2" customFormat="1">
      <c r="A2347" s="1"/>
      <c r="E2347"/>
      <c r="F2347"/>
      <c r="G2347"/>
      <c r="H2347"/>
      <c r="I2347"/>
      <c r="J2347"/>
    </row>
    <row r="2348" spans="1:10" s="2" customFormat="1">
      <c r="A2348" s="1"/>
      <c r="E2348"/>
      <c r="F2348"/>
      <c r="G2348"/>
      <c r="H2348"/>
      <c r="I2348"/>
      <c r="J2348"/>
    </row>
    <row r="2349" spans="1:10" s="2" customFormat="1">
      <c r="A2349" s="1"/>
      <c r="E2349"/>
      <c r="F2349"/>
      <c r="G2349"/>
      <c r="H2349"/>
      <c r="I2349"/>
      <c r="J2349"/>
    </row>
    <row r="2350" spans="1:10" s="2" customFormat="1">
      <c r="A2350" s="1"/>
      <c r="E2350"/>
      <c r="F2350"/>
      <c r="G2350"/>
      <c r="H2350"/>
      <c r="I2350"/>
      <c r="J2350"/>
    </row>
    <row r="2351" spans="1:10" s="2" customFormat="1">
      <c r="A2351" s="1"/>
      <c r="E2351"/>
      <c r="F2351"/>
      <c r="G2351"/>
      <c r="H2351"/>
      <c r="I2351"/>
      <c r="J2351"/>
    </row>
    <row r="2352" spans="1:10" s="2" customFormat="1">
      <c r="A2352" s="1"/>
      <c r="E2352"/>
      <c r="F2352"/>
      <c r="G2352"/>
      <c r="H2352"/>
      <c r="I2352"/>
      <c r="J2352"/>
    </row>
    <row r="2353" spans="1:10" s="2" customFormat="1">
      <c r="A2353" s="1"/>
      <c r="E2353"/>
      <c r="F2353"/>
      <c r="G2353"/>
      <c r="H2353"/>
      <c r="I2353"/>
      <c r="J2353"/>
    </row>
    <row r="2354" spans="1:10" s="2" customFormat="1">
      <c r="A2354" s="1"/>
      <c r="E2354"/>
      <c r="F2354"/>
      <c r="G2354"/>
      <c r="H2354"/>
      <c r="I2354"/>
      <c r="J2354"/>
    </row>
    <row r="2355" spans="1:10" s="2" customFormat="1">
      <c r="A2355" s="1"/>
      <c r="E2355"/>
      <c r="F2355"/>
      <c r="G2355"/>
      <c r="H2355"/>
      <c r="I2355"/>
      <c r="J2355"/>
    </row>
    <row r="2356" spans="1:10" s="2" customFormat="1">
      <c r="A2356" s="1"/>
      <c r="E2356"/>
      <c r="F2356"/>
      <c r="G2356"/>
      <c r="H2356"/>
      <c r="I2356"/>
      <c r="J2356"/>
    </row>
    <row r="2357" spans="1:10" s="2" customFormat="1">
      <c r="A2357" s="1"/>
      <c r="E2357"/>
      <c r="F2357"/>
      <c r="G2357"/>
      <c r="H2357"/>
      <c r="I2357"/>
      <c r="J2357"/>
    </row>
    <row r="2358" spans="1:10" s="2" customFormat="1">
      <c r="A2358" s="1"/>
      <c r="E2358"/>
      <c r="F2358"/>
      <c r="G2358"/>
      <c r="H2358"/>
      <c r="I2358"/>
      <c r="J2358"/>
    </row>
    <row r="2359" spans="1:10" s="2" customFormat="1">
      <c r="A2359" s="1"/>
      <c r="E2359"/>
      <c r="F2359"/>
      <c r="G2359"/>
      <c r="H2359"/>
      <c r="I2359"/>
      <c r="J2359"/>
    </row>
    <row r="2360" spans="1:10" s="2" customFormat="1">
      <c r="A2360" s="1"/>
      <c r="E2360"/>
      <c r="F2360"/>
      <c r="G2360"/>
      <c r="H2360"/>
      <c r="I2360"/>
      <c r="J2360"/>
    </row>
    <row r="2361" spans="1:10" s="2" customFormat="1">
      <c r="A2361" s="1"/>
      <c r="E2361"/>
      <c r="F2361"/>
      <c r="G2361"/>
      <c r="H2361"/>
      <c r="I2361"/>
      <c r="J2361"/>
    </row>
    <row r="2362" spans="1:10" s="2" customFormat="1">
      <c r="A2362" s="1"/>
      <c r="E2362"/>
      <c r="F2362"/>
      <c r="G2362"/>
      <c r="H2362"/>
      <c r="I2362"/>
      <c r="J2362"/>
    </row>
    <row r="2363" spans="1:10" s="2" customFormat="1">
      <c r="A2363" s="1"/>
      <c r="E2363"/>
      <c r="F2363"/>
      <c r="G2363"/>
      <c r="H2363"/>
      <c r="I2363"/>
      <c r="J2363"/>
    </row>
    <row r="2364" spans="1:10" s="2" customFormat="1">
      <c r="A2364" s="1"/>
      <c r="E2364"/>
      <c r="F2364"/>
      <c r="G2364"/>
      <c r="H2364"/>
      <c r="I2364"/>
      <c r="J2364"/>
    </row>
    <row r="2365" spans="1:10" s="2" customFormat="1">
      <c r="A2365" s="1"/>
      <c r="E2365"/>
      <c r="F2365"/>
      <c r="G2365"/>
      <c r="H2365"/>
      <c r="I2365"/>
      <c r="J2365"/>
    </row>
    <row r="2366" spans="1:10" s="2" customFormat="1">
      <c r="A2366" s="1"/>
      <c r="E2366"/>
      <c r="F2366"/>
      <c r="G2366"/>
      <c r="H2366"/>
      <c r="I2366"/>
      <c r="J2366"/>
    </row>
    <row r="2367" spans="1:10" s="2" customFormat="1">
      <c r="A2367" s="1"/>
      <c r="E2367"/>
      <c r="F2367"/>
      <c r="G2367"/>
      <c r="H2367"/>
      <c r="I2367"/>
      <c r="J2367"/>
    </row>
    <row r="2368" spans="1:10" s="2" customFormat="1">
      <c r="A2368" s="1"/>
      <c r="E2368"/>
      <c r="F2368"/>
      <c r="G2368"/>
      <c r="H2368"/>
      <c r="I2368"/>
      <c r="J2368"/>
    </row>
    <row r="2369" spans="1:10" s="2" customFormat="1">
      <c r="A2369" s="1"/>
      <c r="E2369"/>
      <c r="F2369"/>
      <c r="G2369"/>
      <c r="H2369"/>
      <c r="I2369"/>
      <c r="J2369"/>
    </row>
    <row r="2370" spans="1:10" s="2" customFormat="1">
      <c r="A2370" s="1"/>
      <c r="E2370"/>
      <c r="F2370"/>
      <c r="G2370"/>
      <c r="H2370"/>
      <c r="I2370"/>
      <c r="J2370"/>
    </row>
    <row r="2371" spans="1:10" s="2" customFormat="1">
      <c r="A2371" s="1"/>
      <c r="E2371"/>
      <c r="F2371"/>
      <c r="G2371"/>
      <c r="H2371"/>
      <c r="I2371"/>
      <c r="J2371"/>
    </row>
    <row r="2372" spans="1:10" s="2" customFormat="1">
      <c r="A2372" s="1"/>
      <c r="E2372"/>
      <c r="F2372"/>
      <c r="G2372"/>
      <c r="H2372"/>
      <c r="I2372"/>
      <c r="J2372"/>
    </row>
    <row r="2373" spans="1:10" s="2" customFormat="1">
      <c r="A2373" s="1"/>
      <c r="E2373"/>
      <c r="F2373"/>
      <c r="G2373"/>
      <c r="H2373"/>
      <c r="I2373"/>
      <c r="J2373"/>
    </row>
    <row r="2374" spans="1:10" s="2" customFormat="1">
      <c r="A2374" s="1"/>
      <c r="E2374"/>
      <c r="F2374"/>
      <c r="G2374"/>
      <c r="H2374"/>
      <c r="I2374"/>
      <c r="J2374"/>
    </row>
    <row r="2375" spans="1:10" s="2" customFormat="1">
      <c r="A2375" s="1"/>
      <c r="E2375"/>
      <c r="F2375"/>
      <c r="G2375"/>
      <c r="H2375"/>
      <c r="I2375"/>
      <c r="J2375"/>
    </row>
    <row r="2376" spans="1:10" s="2" customFormat="1">
      <c r="A2376" s="1"/>
      <c r="E2376"/>
      <c r="F2376"/>
      <c r="G2376"/>
      <c r="H2376"/>
      <c r="I2376"/>
      <c r="J2376"/>
    </row>
    <row r="2377" spans="1:10" s="2" customFormat="1">
      <c r="A2377" s="1"/>
      <c r="E2377"/>
      <c r="F2377"/>
      <c r="G2377"/>
      <c r="H2377"/>
      <c r="I2377"/>
      <c r="J2377"/>
    </row>
    <row r="2378" spans="1:10" s="2" customFormat="1">
      <c r="A2378" s="1"/>
      <c r="E2378"/>
      <c r="F2378"/>
      <c r="G2378"/>
      <c r="H2378"/>
      <c r="I2378"/>
      <c r="J2378"/>
    </row>
    <row r="2379" spans="1:10" s="2" customFormat="1">
      <c r="A2379" s="1"/>
      <c r="E2379"/>
      <c r="F2379"/>
      <c r="G2379"/>
      <c r="H2379"/>
      <c r="I2379"/>
      <c r="J2379"/>
    </row>
    <row r="2380" spans="1:10" s="2" customFormat="1">
      <c r="A2380" s="1"/>
      <c r="E2380"/>
      <c r="F2380"/>
      <c r="G2380"/>
      <c r="H2380"/>
      <c r="I2380"/>
      <c r="J2380"/>
    </row>
    <row r="2381" spans="1:10" s="2" customFormat="1">
      <c r="A2381" s="1"/>
      <c r="E2381"/>
      <c r="F2381"/>
      <c r="G2381"/>
      <c r="H2381"/>
      <c r="I2381"/>
      <c r="J2381"/>
    </row>
    <row r="2382" spans="1:10" s="2" customFormat="1">
      <c r="A2382" s="1"/>
      <c r="E2382"/>
      <c r="F2382"/>
      <c r="G2382"/>
      <c r="H2382"/>
      <c r="I2382"/>
      <c r="J2382"/>
    </row>
    <row r="2383" spans="1:10" s="2" customFormat="1">
      <c r="A2383" s="1"/>
      <c r="E2383"/>
      <c r="F2383"/>
      <c r="G2383"/>
      <c r="H2383"/>
      <c r="I2383"/>
      <c r="J2383"/>
    </row>
    <row r="2384" spans="1:10" s="2" customFormat="1">
      <c r="A2384" s="1"/>
      <c r="E2384"/>
      <c r="F2384"/>
      <c r="G2384"/>
      <c r="H2384"/>
      <c r="I2384"/>
      <c r="J2384"/>
    </row>
    <row r="2385" spans="1:10" s="2" customFormat="1">
      <c r="A2385" s="1"/>
      <c r="E2385"/>
      <c r="F2385"/>
      <c r="G2385"/>
      <c r="H2385"/>
      <c r="I2385"/>
      <c r="J2385"/>
    </row>
    <row r="2386" spans="1:10" s="2" customFormat="1">
      <c r="A2386" s="1"/>
      <c r="E2386"/>
      <c r="F2386"/>
      <c r="G2386"/>
      <c r="H2386"/>
      <c r="I2386"/>
      <c r="J2386"/>
    </row>
    <row r="2387" spans="1:10" s="2" customFormat="1">
      <c r="A2387" s="1"/>
      <c r="E2387"/>
      <c r="F2387"/>
      <c r="G2387"/>
      <c r="H2387"/>
      <c r="I2387"/>
      <c r="J2387"/>
    </row>
    <row r="2388" spans="1:10" s="2" customFormat="1">
      <c r="A2388" s="1"/>
      <c r="E2388"/>
      <c r="F2388"/>
      <c r="G2388"/>
      <c r="H2388"/>
      <c r="I2388"/>
      <c r="J2388"/>
    </row>
    <row r="2389" spans="1:10" s="2" customFormat="1">
      <c r="A2389" s="1"/>
      <c r="E2389"/>
      <c r="F2389"/>
      <c r="G2389"/>
      <c r="H2389"/>
      <c r="I2389"/>
      <c r="J2389"/>
    </row>
    <row r="2390" spans="1:10" s="2" customFormat="1">
      <c r="A2390" s="1"/>
      <c r="E2390"/>
      <c r="F2390"/>
      <c r="G2390"/>
      <c r="H2390"/>
      <c r="I2390"/>
      <c r="J2390"/>
    </row>
    <row r="2391" spans="1:10" s="2" customFormat="1">
      <c r="A2391" s="1"/>
      <c r="E2391"/>
      <c r="F2391"/>
      <c r="G2391"/>
      <c r="H2391"/>
      <c r="I2391"/>
      <c r="J2391"/>
    </row>
    <row r="2392" spans="1:10" s="2" customFormat="1">
      <c r="A2392" s="1"/>
      <c r="E2392"/>
      <c r="F2392"/>
      <c r="G2392"/>
      <c r="H2392"/>
      <c r="I2392"/>
      <c r="J2392"/>
    </row>
    <row r="2393" spans="1:10" s="2" customFormat="1">
      <c r="A2393" s="1"/>
      <c r="E2393"/>
      <c r="F2393"/>
      <c r="G2393"/>
      <c r="H2393"/>
      <c r="I2393"/>
      <c r="J2393"/>
    </row>
    <row r="2394" spans="1:10" s="2" customFormat="1">
      <c r="A2394" s="1"/>
      <c r="E2394"/>
      <c r="F2394"/>
      <c r="G2394"/>
      <c r="H2394"/>
      <c r="I2394"/>
      <c r="J2394"/>
    </row>
    <row r="2395" spans="1:10" s="2" customFormat="1">
      <c r="A2395" s="1"/>
      <c r="E2395"/>
      <c r="F2395"/>
      <c r="G2395"/>
      <c r="H2395"/>
      <c r="I2395"/>
      <c r="J2395"/>
    </row>
    <row r="2396" spans="1:10" s="2" customFormat="1">
      <c r="A2396" s="1"/>
      <c r="E2396"/>
      <c r="F2396"/>
      <c r="G2396"/>
      <c r="H2396"/>
      <c r="I2396"/>
      <c r="J2396"/>
    </row>
    <row r="2397" spans="1:10" s="2" customFormat="1">
      <c r="A2397" s="1"/>
      <c r="E2397"/>
      <c r="F2397"/>
      <c r="G2397"/>
      <c r="H2397"/>
      <c r="I2397"/>
      <c r="J2397"/>
    </row>
    <row r="2398" spans="1:10" s="2" customFormat="1">
      <c r="A2398" s="1"/>
      <c r="E2398"/>
      <c r="F2398"/>
      <c r="G2398"/>
      <c r="H2398"/>
      <c r="I2398"/>
      <c r="J2398"/>
    </row>
    <row r="2399" spans="1:10" s="2" customFormat="1">
      <c r="A2399" s="1"/>
      <c r="E2399"/>
      <c r="F2399"/>
      <c r="G2399"/>
      <c r="H2399"/>
      <c r="I2399"/>
      <c r="J2399"/>
    </row>
    <row r="2400" spans="1:10" s="2" customFormat="1">
      <c r="A2400" s="1"/>
      <c r="E2400"/>
      <c r="F2400"/>
      <c r="G2400"/>
      <c r="H2400"/>
      <c r="I2400"/>
      <c r="J2400"/>
    </row>
    <row r="2401" spans="1:10" s="2" customFormat="1">
      <c r="A2401" s="1"/>
      <c r="E2401"/>
      <c r="F2401"/>
      <c r="G2401"/>
      <c r="H2401"/>
      <c r="I2401"/>
      <c r="J2401"/>
    </row>
    <row r="2402" spans="1:10" s="2" customFormat="1">
      <c r="A2402" s="1"/>
      <c r="E2402"/>
      <c r="F2402"/>
      <c r="G2402"/>
      <c r="H2402"/>
      <c r="I2402"/>
      <c r="J2402"/>
    </row>
    <row r="2403" spans="1:10" s="2" customFormat="1">
      <c r="A2403" s="1"/>
      <c r="E2403"/>
      <c r="F2403"/>
      <c r="G2403"/>
      <c r="H2403"/>
      <c r="I2403"/>
      <c r="J2403"/>
    </row>
    <row r="2404" spans="1:10" s="2" customFormat="1">
      <c r="A2404" s="1"/>
      <c r="E2404"/>
      <c r="F2404"/>
      <c r="G2404"/>
      <c r="H2404"/>
      <c r="I2404"/>
      <c r="J2404"/>
    </row>
    <row r="2405" spans="1:10" s="2" customFormat="1">
      <c r="A2405" s="1"/>
      <c r="E2405"/>
      <c r="F2405"/>
      <c r="G2405"/>
      <c r="H2405"/>
      <c r="I2405"/>
      <c r="J2405"/>
    </row>
    <row r="2406" spans="1:10" s="2" customFormat="1">
      <c r="A2406" s="1"/>
      <c r="E2406"/>
      <c r="F2406"/>
      <c r="G2406"/>
      <c r="H2406"/>
      <c r="I2406"/>
      <c r="J2406"/>
    </row>
    <row r="2407" spans="1:10" s="2" customFormat="1">
      <c r="A2407" s="1"/>
      <c r="E2407"/>
      <c r="F2407"/>
      <c r="G2407"/>
      <c r="H2407"/>
      <c r="I2407"/>
      <c r="J2407"/>
    </row>
    <row r="2408" spans="1:10" s="2" customFormat="1">
      <c r="A2408" s="1"/>
      <c r="E2408"/>
      <c r="F2408"/>
      <c r="G2408"/>
      <c r="H2408"/>
      <c r="I2408"/>
      <c r="J2408"/>
    </row>
    <row r="2409" spans="1:10" s="2" customFormat="1">
      <c r="A2409" s="1"/>
      <c r="E2409"/>
      <c r="F2409"/>
      <c r="G2409"/>
      <c r="H2409"/>
      <c r="I2409"/>
      <c r="J2409"/>
    </row>
    <row r="2410" spans="1:10" s="2" customFormat="1">
      <c r="A2410" s="1"/>
      <c r="E2410"/>
      <c r="F2410"/>
      <c r="G2410"/>
      <c r="H2410"/>
      <c r="I2410"/>
      <c r="J2410"/>
    </row>
    <row r="2411" spans="1:10" s="2" customFormat="1">
      <c r="A2411" s="1"/>
      <c r="E2411"/>
      <c r="F2411"/>
      <c r="G2411"/>
      <c r="H2411"/>
      <c r="I2411"/>
      <c r="J2411"/>
    </row>
    <row r="2412" spans="1:10" s="2" customFormat="1">
      <c r="A2412" s="1"/>
      <c r="E2412"/>
      <c r="F2412"/>
      <c r="G2412"/>
      <c r="H2412"/>
      <c r="I2412"/>
      <c r="J2412"/>
    </row>
    <row r="2413" spans="1:10" s="2" customFormat="1">
      <c r="A2413" s="1"/>
      <c r="E2413"/>
      <c r="F2413"/>
      <c r="G2413"/>
      <c r="H2413"/>
      <c r="I2413"/>
      <c r="J2413"/>
    </row>
    <row r="2414" spans="1:10" s="2" customFormat="1">
      <c r="A2414" s="1"/>
      <c r="E2414"/>
      <c r="F2414"/>
      <c r="G2414"/>
      <c r="H2414"/>
      <c r="I2414"/>
      <c r="J2414"/>
    </row>
    <row r="2415" spans="1:10" s="2" customFormat="1">
      <c r="A2415" s="1"/>
      <c r="E2415"/>
      <c r="F2415"/>
      <c r="G2415"/>
      <c r="H2415"/>
      <c r="I2415"/>
      <c r="J2415"/>
    </row>
    <row r="2416" spans="1:10" s="2" customFormat="1">
      <c r="A2416" s="1"/>
      <c r="E2416"/>
      <c r="F2416"/>
      <c r="G2416"/>
      <c r="H2416"/>
      <c r="I2416"/>
      <c r="J2416"/>
    </row>
    <row r="2417" spans="1:10" s="2" customFormat="1">
      <c r="A2417" s="1"/>
      <c r="E2417"/>
      <c r="F2417"/>
      <c r="G2417"/>
      <c r="H2417"/>
      <c r="I2417"/>
      <c r="J2417"/>
    </row>
    <row r="2418" spans="1:10" s="2" customFormat="1">
      <c r="A2418" s="1"/>
      <c r="E2418"/>
      <c r="F2418"/>
      <c r="G2418"/>
      <c r="H2418"/>
      <c r="I2418"/>
      <c r="J2418"/>
    </row>
    <row r="2419" spans="1:10" s="2" customFormat="1">
      <c r="A2419" s="1"/>
      <c r="E2419"/>
      <c r="F2419"/>
      <c r="G2419"/>
      <c r="H2419"/>
      <c r="I2419"/>
      <c r="J2419"/>
    </row>
    <row r="2420" spans="1:10" s="2" customFormat="1">
      <c r="A2420" s="1"/>
      <c r="E2420"/>
      <c r="F2420"/>
      <c r="G2420"/>
      <c r="H2420"/>
      <c r="I2420"/>
      <c r="J2420"/>
    </row>
    <row r="2421" spans="1:10" s="2" customFormat="1">
      <c r="A2421" s="1"/>
      <c r="E2421"/>
      <c r="F2421"/>
      <c r="G2421"/>
      <c r="H2421"/>
      <c r="I2421"/>
      <c r="J2421"/>
    </row>
    <row r="2422" spans="1:10" s="2" customFormat="1">
      <c r="A2422" s="1"/>
      <c r="E2422"/>
      <c r="F2422"/>
      <c r="G2422"/>
      <c r="H2422"/>
      <c r="I2422"/>
      <c r="J2422"/>
    </row>
    <row r="2423" spans="1:10" s="2" customFormat="1">
      <c r="A2423" s="1"/>
      <c r="E2423"/>
      <c r="F2423"/>
      <c r="G2423"/>
      <c r="H2423"/>
      <c r="I2423"/>
      <c r="J2423"/>
    </row>
    <row r="2424" spans="1:10" s="2" customFormat="1">
      <c r="A2424" s="1"/>
      <c r="E2424"/>
      <c r="F2424"/>
      <c r="G2424"/>
      <c r="H2424"/>
      <c r="I2424"/>
      <c r="J2424"/>
    </row>
    <row r="2425" spans="1:10" s="2" customFormat="1">
      <c r="A2425" s="1"/>
      <c r="E2425"/>
      <c r="F2425"/>
      <c r="G2425"/>
      <c r="H2425"/>
      <c r="I2425"/>
      <c r="J2425"/>
    </row>
    <row r="2426" spans="1:10" s="2" customFormat="1">
      <c r="A2426" s="1"/>
      <c r="E2426"/>
      <c r="F2426"/>
      <c r="G2426"/>
      <c r="H2426"/>
      <c r="I2426"/>
      <c r="J2426"/>
    </row>
    <row r="2427" spans="1:10" s="2" customFormat="1">
      <c r="A2427" s="1"/>
      <c r="E2427"/>
      <c r="F2427"/>
      <c r="G2427"/>
      <c r="H2427"/>
      <c r="I2427"/>
      <c r="J2427"/>
    </row>
    <row r="2428" spans="1:10" s="2" customFormat="1">
      <c r="A2428" s="1"/>
      <c r="E2428"/>
      <c r="F2428"/>
      <c r="G2428"/>
      <c r="H2428"/>
      <c r="I2428"/>
      <c r="J2428"/>
    </row>
    <row r="2429" spans="1:10" s="2" customFormat="1">
      <c r="A2429" s="1"/>
      <c r="E2429"/>
      <c r="F2429"/>
      <c r="G2429"/>
      <c r="H2429"/>
      <c r="I2429"/>
      <c r="J2429"/>
    </row>
    <row r="2430" spans="1:10" s="2" customFormat="1">
      <c r="A2430" s="1"/>
      <c r="E2430"/>
      <c r="F2430"/>
      <c r="G2430"/>
      <c r="H2430"/>
      <c r="I2430"/>
      <c r="J2430"/>
    </row>
    <row r="2431" spans="1:10" s="2" customFormat="1">
      <c r="A2431" s="1"/>
      <c r="E2431"/>
      <c r="F2431"/>
      <c r="G2431"/>
      <c r="H2431"/>
      <c r="I2431"/>
      <c r="J2431"/>
    </row>
    <row r="2432" spans="1:10" s="2" customFormat="1">
      <c r="A2432" s="1"/>
      <c r="E2432"/>
      <c r="F2432"/>
      <c r="G2432"/>
      <c r="H2432"/>
      <c r="I2432"/>
      <c r="J2432"/>
    </row>
    <row r="2433" spans="1:10" s="2" customFormat="1">
      <c r="A2433" s="1"/>
      <c r="E2433"/>
      <c r="F2433"/>
      <c r="G2433"/>
      <c r="H2433"/>
      <c r="I2433"/>
      <c r="J2433"/>
    </row>
    <row r="2434" spans="1:10" s="2" customFormat="1">
      <c r="A2434" s="1"/>
      <c r="E2434"/>
      <c r="F2434"/>
      <c r="G2434"/>
      <c r="H2434"/>
      <c r="I2434"/>
      <c r="J2434"/>
    </row>
    <row r="2435" spans="1:10" s="2" customFormat="1">
      <c r="A2435" s="1"/>
      <c r="E2435"/>
      <c r="F2435"/>
      <c r="G2435"/>
      <c r="H2435"/>
      <c r="I2435"/>
      <c r="J2435"/>
    </row>
    <row r="2436" spans="1:10" s="2" customFormat="1">
      <c r="A2436" s="1"/>
      <c r="E2436"/>
      <c r="F2436"/>
      <c r="G2436"/>
      <c r="H2436"/>
      <c r="I2436"/>
      <c r="J2436"/>
    </row>
    <row r="2437" spans="1:10" s="2" customFormat="1">
      <c r="A2437" s="1"/>
      <c r="E2437"/>
      <c r="F2437"/>
      <c r="G2437"/>
      <c r="H2437"/>
      <c r="I2437"/>
      <c r="J2437"/>
    </row>
    <row r="2438" spans="1:10" s="2" customFormat="1">
      <c r="A2438" s="1"/>
      <c r="E2438"/>
      <c r="F2438"/>
      <c r="G2438"/>
      <c r="H2438"/>
      <c r="I2438"/>
      <c r="J2438"/>
    </row>
    <row r="2439" spans="1:10" s="2" customFormat="1">
      <c r="A2439" s="1"/>
      <c r="E2439"/>
      <c r="F2439"/>
      <c r="G2439"/>
      <c r="H2439"/>
      <c r="I2439"/>
      <c r="J2439"/>
    </row>
    <row r="2440" spans="1:10" s="2" customFormat="1">
      <c r="A2440" s="1"/>
      <c r="E2440"/>
      <c r="F2440"/>
      <c r="G2440"/>
      <c r="H2440"/>
      <c r="I2440"/>
      <c r="J2440"/>
    </row>
    <row r="2441" spans="1:10" s="2" customFormat="1">
      <c r="A2441" s="1"/>
      <c r="E2441"/>
      <c r="F2441"/>
      <c r="G2441"/>
      <c r="H2441"/>
      <c r="I2441"/>
      <c r="J2441"/>
    </row>
    <row r="2442" spans="1:10" s="2" customFormat="1">
      <c r="A2442" s="1"/>
      <c r="E2442"/>
      <c r="F2442"/>
      <c r="G2442"/>
      <c r="H2442"/>
      <c r="I2442"/>
      <c r="J2442"/>
    </row>
    <row r="2443" spans="1:10" s="2" customFormat="1">
      <c r="A2443" s="1"/>
      <c r="E2443"/>
      <c r="F2443"/>
      <c r="G2443"/>
      <c r="H2443"/>
      <c r="I2443"/>
      <c r="J2443"/>
    </row>
    <row r="2444" spans="1:10" s="2" customFormat="1">
      <c r="A2444" s="1"/>
      <c r="E2444"/>
      <c r="F2444"/>
      <c r="G2444"/>
      <c r="H2444"/>
      <c r="I2444"/>
      <c r="J2444"/>
    </row>
    <row r="2445" spans="1:10" s="2" customFormat="1">
      <c r="A2445" s="1"/>
      <c r="E2445"/>
      <c r="F2445"/>
      <c r="G2445"/>
      <c r="H2445"/>
      <c r="I2445"/>
      <c r="J2445"/>
    </row>
    <row r="2446" spans="1:10" s="2" customFormat="1">
      <c r="A2446" s="1"/>
      <c r="E2446"/>
      <c r="F2446"/>
      <c r="G2446"/>
      <c r="H2446"/>
      <c r="I2446"/>
      <c r="J2446"/>
    </row>
    <row r="2447" spans="1:10" s="2" customFormat="1">
      <c r="A2447" s="1"/>
      <c r="E2447"/>
      <c r="F2447"/>
      <c r="G2447"/>
      <c r="H2447"/>
      <c r="I2447"/>
      <c r="J2447"/>
    </row>
    <row r="2448" spans="1:10" s="2" customFormat="1">
      <c r="A2448" s="1"/>
      <c r="E2448"/>
      <c r="F2448"/>
      <c r="G2448"/>
      <c r="H2448"/>
      <c r="I2448"/>
      <c r="J2448"/>
    </row>
    <row r="2449" spans="1:10" s="2" customFormat="1">
      <c r="A2449" s="1"/>
      <c r="E2449"/>
      <c r="F2449"/>
      <c r="G2449"/>
      <c r="H2449"/>
      <c r="I2449"/>
      <c r="J2449"/>
    </row>
    <row r="2450" spans="1:10" s="2" customFormat="1">
      <c r="A2450" s="1"/>
      <c r="E2450"/>
      <c r="F2450"/>
      <c r="G2450"/>
      <c r="H2450"/>
      <c r="I2450"/>
      <c r="J2450"/>
    </row>
    <row r="2451" spans="1:10" s="2" customFormat="1">
      <c r="A2451" s="1"/>
      <c r="E2451"/>
      <c r="F2451"/>
      <c r="G2451"/>
      <c r="H2451"/>
      <c r="I2451"/>
      <c r="J2451"/>
    </row>
    <row r="2452" spans="1:10" s="2" customFormat="1">
      <c r="A2452" s="1"/>
      <c r="E2452"/>
      <c r="F2452"/>
      <c r="G2452"/>
      <c r="H2452"/>
      <c r="I2452"/>
      <c r="J2452"/>
    </row>
    <row r="2453" spans="1:10" s="2" customFormat="1">
      <c r="A2453" s="1"/>
      <c r="E2453"/>
      <c r="F2453"/>
      <c r="G2453"/>
      <c r="H2453"/>
      <c r="I2453"/>
      <c r="J2453"/>
    </row>
    <row r="2454" spans="1:10" s="2" customFormat="1">
      <c r="A2454" s="1"/>
      <c r="E2454"/>
      <c r="F2454"/>
      <c r="G2454"/>
      <c r="H2454"/>
      <c r="I2454"/>
      <c r="J2454"/>
    </row>
    <row r="2455" spans="1:10" s="2" customFormat="1">
      <c r="A2455" s="1"/>
      <c r="E2455"/>
      <c r="F2455"/>
      <c r="G2455"/>
      <c r="H2455"/>
      <c r="I2455"/>
      <c r="J2455"/>
    </row>
    <row r="2456" spans="1:10" s="2" customFormat="1">
      <c r="A2456" s="1"/>
      <c r="E2456"/>
      <c r="F2456"/>
      <c r="G2456"/>
      <c r="H2456"/>
      <c r="I2456"/>
      <c r="J2456"/>
    </row>
    <row r="2457" spans="1:10" s="2" customFormat="1">
      <c r="A2457" s="1"/>
      <c r="E2457"/>
      <c r="F2457"/>
      <c r="G2457"/>
      <c r="H2457"/>
      <c r="I2457"/>
      <c r="J2457"/>
    </row>
    <row r="2458" spans="1:10" s="2" customFormat="1">
      <c r="A2458" s="1"/>
      <c r="E2458"/>
      <c r="F2458"/>
      <c r="G2458"/>
      <c r="H2458"/>
      <c r="I2458"/>
      <c r="J2458"/>
    </row>
    <row r="2459" spans="1:10" s="2" customFormat="1">
      <c r="A2459" s="1"/>
      <c r="E2459"/>
      <c r="F2459"/>
      <c r="G2459"/>
      <c r="H2459"/>
      <c r="I2459"/>
      <c r="J2459"/>
    </row>
    <row r="2460" spans="1:10" s="2" customFormat="1">
      <c r="A2460" s="1"/>
      <c r="E2460"/>
      <c r="F2460"/>
      <c r="G2460"/>
      <c r="H2460"/>
      <c r="I2460"/>
      <c r="J2460"/>
    </row>
    <row r="2461" spans="1:10" s="2" customFormat="1">
      <c r="A2461" s="1"/>
      <c r="E2461"/>
      <c r="F2461"/>
      <c r="G2461"/>
      <c r="H2461"/>
      <c r="I2461"/>
      <c r="J2461"/>
    </row>
    <row r="2462" spans="1:10" s="2" customFormat="1">
      <c r="A2462" s="1"/>
      <c r="E2462"/>
      <c r="F2462"/>
      <c r="G2462"/>
      <c r="H2462"/>
      <c r="I2462"/>
      <c r="J2462"/>
    </row>
    <row r="2463" spans="1:10" s="2" customFormat="1">
      <c r="A2463" s="1"/>
      <c r="E2463"/>
      <c r="F2463"/>
      <c r="G2463"/>
      <c r="H2463"/>
      <c r="I2463"/>
      <c r="J2463"/>
    </row>
    <row r="2464" spans="1:10" s="2" customFormat="1">
      <c r="A2464" s="1"/>
      <c r="E2464"/>
      <c r="F2464"/>
      <c r="G2464"/>
      <c r="H2464"/>
      <c r="I2464"/>
      <c r="J2464"/>
    </row>
    <row r="2465" spans="1:10" s="2" customFormat="1">
      <c r="A2465" s="1"/>
      <c r="E2465"/>
      <c r="F2465"/>
      <c r="G2465"/>
      <c r="H2465"/>
      <c r="I2465"/>
      <c r="J2465"/>
    </row>
    <row r="2466" spans="1:10" s="2" customFormat="1">
      <c r="A2466" s="1"/>
      <c r="E2466"/>
      <c r="F2466"/>
      <c r="G2466"/>
      <c r="H2466"/>
      <c r="I2466"/>
      <c r="J2466"/>
    </row>
    <row r="2467" spans="1:10" s="2" customFormat="1">
      <c r="A2467" s="1"/>
      <c r="E2467"/>
      <c r="F2467"/>
      <c r="G2467"/>
      <c r="H2467"/>
      <c r="I2467"/>
      <c r="J2467"/>
    </row>
    <row r="2468" spans="1:10" s="2" customFormat="1">
      <c r="A2468" s="1"/>
      <c r="E2468"/>
      <c r="F2468"/>
      <c r="G2468"/>
      <c r="H2468"/>
      <c r="I2468"/>
      <c r="J2468"/>
    </row>
    <row r="2469" spans="1:10" s="2" customFormat="1">
      <c r="A2469" s="1"/>
      <c r="E2469"/>
      <c r="F2469"/>
      <c r="G2469"/>
      <c r="H2469"/>
      <c r="I2469"/>
      <c r="J2469"/>
    </row>
    <row r="2470" spans="1:10" s="2" customFormat="1">
      <c r="A2470" s="1"/>
      <c r="E2470"/>
      <c r="F2470"/>
      <c r="G2470"/>
      <c r="H2470"/>
      <c r="I2470"/>
      <c r="J2470"/>
    </row>
    <row r="2471" spans="1:10" s="2" customFormat="1">
      <c r="A2471" s="1"/>
      <c r="E2471"/>
      <c r="F2471"/>
      <c r="G2471"/>
      <c r="H2471"/>
      <c r="I2471"/>
      <c r="J2471"/>
    </row>
    <row r="2472" spans="1:10" s="2" customFormat="1">
      <c r="A2472" s="1"/>
      <c r="E2472"/>
      <c r="F2472"/>
      <c r="G2472"/>
      <c r="H2472"/>
      <c r="I2472"/>
      <c r="J2472"/>
    </row>
    <row r="2473" spans="1:10" s="2" customFormat="1">
      <c r="A2473" s="1"/>
      <c r="E2473"/>
      <c r="F2473"/>
      <c r="G2473"/>
      <c r="H2473"/>
      <c r="I2473"/>
      <c r="J2473"/>
    </row>
    <row r="2474" spans="1:10" s="2" customFormat="1">
      <c r="A2474" s="1"/>
      <c r="E2474"/>
      <c r="F2474"/>
      <c r="G2474"/>
      <c r="H2474"/>
      <c r="I2474"/>
      <c r="J2474"/>
    </row>
    <row r="2475" spans="1:10" s="2" customFormat="1">
      <c r="A2475" s="1"/>
      <c r="E2475"/>
      <c r="F2475"/>
      <c r="G2475"/>
      <c r="H2475"/>
      <c r="I2475"/>
      <c r="J2475"/>
    </row>
    <row r="2476" spans="1:10" s="2" customFormat="1">
      <c r="A2476" s="1"/>
      <c r="E2476"/>
      <c r="F2476"/>
      <c r="G2476"/>
      <c r="H2476"/>
      <c r="I2476"/>
      <c r="J2476"/>
    </row>
    <row r="2477" spans="1:10" s="2" customFormat="1">
      <c r="A2477" s="1"/>
      <c r="E2477"/>
      <c r="F2477"/>
      <c r="G2477"/>
      <c r="H2477"/>
      <c r="I2477"/>
      <c r="J2477"/>
    </row>
    <row r="2478" spans="1:10" s="2" customFormat="1">
      <c r="A2478" s="1"/>
      <c r="E2478"/>
      <c r="F2478"/>
      <c r="G2478"/>
      <c r="H2478"/>
      <c r="I2478"/>
      <c r="J2478"/>
    </row>
    <row r="2479" spans="1:10" s="2" customFormat="1">
      <c r="A2479" s="1"/>
      <c r="E2479"/>
      <c r="F2479"/>
      <c r="G2479"/>
      <c r="H2479"/>
      <c r="I2479"/>
      <c r="J2479"/>
    </row>
    <row r="2480" spans="1:10" s="2" customFormat="1">
      <c r="A2480" s="1"/>
      <c r="E2480"/>
      <c r="F2480"/>
      <c r="G2480"/>
      <c r="H2480"/>
      <c r="I2480"/>
      <c r="J2480"/>
    </row>
    <row r="2481" spans="1:10" s="2" customFormat="1">
      <c r="A2481" s="1"/>
      <c r="E2481"/>
      <c r="F2481"/>
      <c r="G2481"/>
      <c r="H2481"/>
      <c r="I2481"/>
      <c r="J2481"/>
    </row>
    <row r="2482" spans="1:10" s="2" customFormat="1">
      <c r="A2482" s="1"/>
      <c r="E2482"/>
      <c r="F2482"/>
      <c r="G2482"/>
      <c r="H2482"/>
      <c r="I2482"/>
      <c r="J2482"/>
    </row>
    <row r="2483" spans="1:10" s="2" customFormat="1">
      <c r="A2483" s="1"/>
      <c r="E2483"/>
      <c r="F2483"/>
      <c r="G2483"/>
      <c r="H2483"/>
      <c r="I2483"/>
      <c r="J2483"/>
    </row>
    <row r="2484" spans="1:10" s="2" customFormat="1">
      <c r="A2484" s="1"/>
      <c r="E2484"/>
      <c r="F2484"/>
      <c r="G2484"/>
      <c r="H2484"/>
      <c r="I2484"/>
      <c r="J2484"/>
    </row>
    <row r="2485" spans="1:10" s="2" customFormat="1">
      <c r="A2485" s="1"/>
      <c r="E2485"/>
      <c r="F2485"/>
      <c r="G2485"/>
      <c r="H2485"/>
      <c r="I2485"/>
      <c r="J2485"/>
    </row>
    <row r="2486" spans="1:10" s="2" customFormat="1">
      <c r="A2486" s="1"/>
      <c r="E2486"/>
      <c r="F2486"/>
      <c r="G2486"/>
      <c r="H2486"/>
      <c r="I2486"/>
      <c r="J2486"/>
    </row>
    <row r="2487" spans="1:10" s="2" customFormat="1">
      <c r="A2487" s="1"/>
      <c r="E2487"/>
      <c r="F2487"/>
      <c r="G2487"/>
      <c r="H2487"/>
      <c r="I2487"/>
      <c r="J2487"/>
    </row>
    <row r="2488" spans="1:10" s="2" customFormat="1">
      <c r="A2488" s="1"/>
      <c r="E2488"/>
      <c r="F2488"/>
      <c r="G2488"/>
      <c r="H2488"/>
      <c r="I2488"/>
      <c r="J2488"/>
    </row>
    <row r="2489" spans="1:10" s="2" customFormat="1">
      <c r="A2489" s="1"/>
      <c r="E2489"/>
      <c r="F2489"/>
      <c r="G2489"/>
      <c r="H2489"/>
      <c r="I2489"/>
      <c r="J2489"/>
    </row>
    <row r="2490" spans="1:10" s="2" customFormat="1">
      <c r="A2490" s="1"/>
      <c r="E2490"/>
      <c r="F2490"/>
      <c r="G2490"/>
      <c r="H2490"/>
      <c r="I2490"/>
      <c r="J2490"/>
    </row>
    <row r="2491" spans="1:10" s="2" customFormat="1">
      <c r="A2491" s="1"/>
      <c r="E2491"/>
      <c r="F2491"/>
      <c r="G2491"/>
      <c r="H2491"/>
      <c r="I2491"/>
      <c r="J2491"/>
    </row>
    <row r="2492" spans="1:10" s="2" customFormat="1">
      <c r="A2492" s="1"/>
      <c r="E2492"/>
      <c r="F2492"/>
      <c r="G2492"/>
      <c r="H2492"/>
      <c r="I2492"/>
      <c r="J2492"/>
    </row>
    <row r="2493" spans="1:10" s="2" customFormat="1">
      <c r="A2493" s="1"/>
      <c r="E2493"/>
      <c r="F2493"/>
      <c r="G2493"/>
      <c r="H2493"/>
      <c r="I2493"/>
      <c r="J2493"/>
    </row>
    <row r="2494" spans="1:10" s="2" customFormat="1">
      <c r="A2494" s="1"/>
      <c r="E2494"/>
      <c r="F2494"/>
      <c r="G2494"/>
      <c r="H2494"/>
      <c r="I2494"/>
      <c r="J2494"/>
    </row>
    <row r="2495" spans="1:10" s="2" customFormat="1">
      <c r="A2495" s="1"/>
      <c r="E2495"/>
      <c r="F2495"/>
      <c r="G2495"/>
      <c r="H2495"/>
      <c r="I2495"/>
      <c r="J2495"/>
    </row>
    <row r="2496" spans="1:10" s="2" customFormat="1">
      <c r="A2496" s="1"/>
      <c r="E2496"/>
      <c r="F2496"/>
      <c r="G2496"/>
      <c r="H2496"/>
      <c r="I2496"/>
      <c r="J2496"/>
    </row>
    <row r="2497" spans="1:10" s="2" customFormat="1">
      <c r="A2497" s="1"/>
      <c r="E2497"/>
      <c r="F2497"/>
      <c r="G2497"/>
      <c r="H2497"/>
      <c r="I2497"/>
      <c r="J2497"/>
    </row>
    <row r="2498" spans="1:10" s="2" customFormat="1">
      <c r="A2498" s="1"/>
      <c r="E2498"/>
      <c r="F2498"/>
      <c r="G2498"/>
      <c r="H2498"/>
      <c r="I2498"/>
      <c r="J2498"/>
    </row>
    <row r="2499" spans="1:10" s="2" customFormat="1">
      <c r="A2499" s="1"/>
      <c r="E2499"/>
      <c r="F2499"/>
      <c r="G2499"/>
      <c r="H2499"/>
      <c r="I2499"/>
      <c r="J2499"/>
    </row>
    <row r="2500" spans="1:10" s="2" customFormat="1">
      <c r="A2500" s="1"/>
      <c r="E2500"/>
      <c r="F2500"/>
      <c r="G2500"/>
      <c r="H2500"/>
      <c r="I2500"/>
      <c r="J2500"/>
    </row>
    <row r="2501" spans="1:10" s="2" customFormat="1">
      <c r="A2501" s="1"/>
      <c r="E2501"/>
      <c r="F2501"/>
      <c r="G2501"/>
      <c r="H2501"/>
      <c r="I2501"/>
      <c r="J2501"/>
    </row>
    <row r="2502" spans="1:10" s="2" customFormat="1">
      <c r="A2502" s="1"/>
      <c r="E2502"/>
      <c r="F2502"/>
      <c r="G2502"/>
      <c r="H2502"/>
      <c r="I2502"/>
      <c r="J2502"/>
    </row>
    <row r="2503" spans="1:10" s="2" customFormat="1">
      <c r="A2503" s="1"/>
      <c r="E2503"/>
      <c r="F2503"/>
      <c r="G2503"/>
      <c r="H2503"/>
      <c r="I2503"/>
      <c r="J2503"/>
    </row>
    <row r="2504" spans="1:10" s="2" customFormat="1">
      <c r="A2504" s="1"/>
      <c r="E2504"/>
      <c r="F2504"/>
      <c r="G2504"/>
      <c r="H2504"/>
      <c r="I2504"/>
      <c r="J2504"/>
    </row>
    <row r="2505" spans="1:10" s="2" customFormat="1">
      <c r="A2505" s="1"/>
      <c r="E2505"/>
      <c r="F2505"/>
      <c r="G2505"/>
      <c r="H2505"/>
      <c r="I2505"/>
      <c r="J2505"/>
    </row>
    <row r="2506" spans="1:10" s="2" customFormat="1">
      <c r="A2506" s="1"/>
      <c r="E2506"/>
      <c r="F2506"/>
      <c r="G2506"/>
      <c r="H2506"/>
      <c r="I2506"/>
      <c r="J2506"/>
    </row>
    <row r="2507" spans="1:10" s="2" customFormat="1">
      <c r="A2507" s="1"/>
      <c r="E2507"/>
      <c r="F2507"/>
      <c r="G2507"/>
      <c r="H2507"/>
      <c r="I2507"/>
      <c r="J2507"/>
    </row>
    <row r="2508" spans="1:10" s="2" customFormat="1">
      <c r="A2508" s="1"/>
      <c r="E2508"/>
      <c r="F2508"/>
      <c r="G2508"/>
      <c r="H2508"/>
      <c r="I2508"/>
      <c r="J2508"/>
    </row>
    <row r="2509" spans="1:10" s="2" customFormat="1">
      <c r="A2509" s="1"/>
      <c r="E2509"/>
      <c r="F2509"/>
      <c r="G2509"/>
      <c r="H2509"/>
      <c r="I2509"/>
      <c r="J2509"/>
    </row>
    <row r="2510" spans="1:10" s="2" customFormat="1">
      <c r="A2510" s="1"/>
      <c r="E2510"/>
      <c r="F2510"/>
      <c r="G2510"/>
      <c r="H2510"/>
      <c r="I2510"/>
      <c r="J2510"/>
    </row>
    <row r="2511" spans="1:10" s="2" customFormat="1">
      <c r="A2511" s="1"/>
      <c r="E2511"/>
      <c r="F2511"/>
      <c r="G2511"/>
      <c r="H2511"/>
      <c r="I2511"/>
      <c r="J2511"/>
    </row>
    <row r="2512" spans="1:10" s="2" customFormat="1">
      <c r="A2512" s="1"/>
      <c r="E2512"/>
      <c r="F2512"/>
      <c r="G2512"/>
      <c r="H2512"/>
      <c r="I2512"/>
      <c r="J2512"/>
    </row>
    <row r="2513" spans="1:10" s="2" customFormat="1">
      <c r="A2513" s="1"/>
      <c r="E2513"/>
      <c r="F2513"/>
      <c r="G2513"/>
      <c r="H2513"/>
      <c r="I2513"/>
      <c r="J2513"/>
    </row>
    <row r="2514" spans="1:10" s="2" customFormat="1">
      <c r="A2514" s="1"/>
      <c r="E2514"/>
      <c r="F2514"/>
      <c r="G2514"/>
      <c r="H2514"/>
      <c r="I2514"/>
      <c r="J2514"/>
    </row>
    <row r="2515" spans="1:10" s="2" customFormat="1">
      <c r="A2515" s="1"/>
      <c r="E2515"/>
      <c r="F2515"/>
      <c r="G2515"/>
      <c r="H2515"/>
      <c r="I2515"/>
      <c r="J2515"/>
    </row>
    <row r="2516" spans="1:10" s="2" customFormat="1">
      <c r="A2516" s="1"/>
      <c r="E2516"/>
      <c r="F2516"/>
      <c r="G2516"/>
      <c r="H2516"/>
      <c r="I2516"/>
      <c r="J2516"/>
    </row>
    <row r="2517" spans="1:10" s="2" customFormat="1">
      <c r="A2517" s="1"/>
      <c r="E2517"/>
      <c r="F2517"/>
      <c r="G2517"/>
      <c r="H2517"/>
      <c r="I2517"/>
      <c r="J2517"/>
    </row>
    <row r="2518" spans="1:10" s="2" customFormat="1">
      <c r="A2518" s="1"/>
      <c r="E2518"/>
      <c r="F2518"/>
      <c r="G2518"/>
      <c r="H2518"/>
      <c r="I2518"/>
      <c r="J2518"/>
    </row>
    <row r="2519" spans="1:10" s="2" customFormat="1">
      <c r="A2519" s="1"/>
      <c r="E2519"/>
      <c r="F2519"/>
      <c r="G2519"/>
      <c r="H2519"/>
      <c r="I2519"/>
      <c r="J2519"/>
    </row>
    <row r="2520" spans="1:10" s="2" customFormat="1">
      <c r="A2520" s="1"/>
      <c r="E2520"/>
      <c r="F2520"/>
      <c r="G2520"/>
      <c r="H2520"/>
      <c r="I2520"/>
      <c r="J2520"/>
    </row>
    <row r="2521" spans="1:10" s="2" customFormat="1">
      <c r="A2521" s="1"/>
      <c r="E2521"/>
      <c r="F2521"/>
      <c r="G2521"/>
      <c r="H2521"/>
      <c r="I2521"/>
      <c r="J2521"/>
    </row>
    <row r="2522" spans="1:10" s="2" customFormat="1">
      <c r="A2522" s="1"/>
      <c r="E2522"/>
      <c r="F2522"/>
      <c r="G2522"/>
      <c r="H2522"/>
      <c r="I2522"/>
      <c r="J2522"/>
    </row>
    <row r="2523" spans="1:10" s="2" customFormat="1">
      <c r="A2523" s="1"/>
      <c r="E2523"/>
      <c r="F2523"/>
      <c r="G2523"/>
      <c r="H2523"/>
      <c r="I2523"/>
      <c r="J2523"/>
    </row>
    <row r="2524" spans="1:10" s="2" customFormat="1">
      <c r="A2524" s="1"/>
      <c r="E2524"/>
      <c r="F2524"/>
      <c r="G2524"/>
      <c r="H2524"/>
      <c r="I2524"/>
      <c r="J2524"/>
    </row>
    <row r="2525" spans="1:10" s="2" customFormat="1">
      <c r="A2525" s="1"/>
      <c r="E2525"/>
      <c r="F2525"/>
      <c r="G2525"/>
      <c r="H2525"/>
      <c r="I2525"/>
      <c r="J2525"/>
    </row>
    <row r="2526" spans="1:10" s="2" customFormat="1">
      <c r="A2526" s="1"/>
      <c r="E2526"/>
      <c r="F2526"/>
      <c r="G2526"/>
      <c r="H2526"/>
      <c r="I2526"/>
      <c r="J2526"/>
    </row>
    <row r="2527" spans="1:10" s="2" customFormat="1">
      <c r="A2527" s="1"/>
      <c r="E2527"/>
      <c r="F2527"/>
      <c r="G2527"/>
      <c r="H2527"/>
      <c r="I2527"/>
      <c r="J2527"/>
    </row>
    <row r="2528" spans="1:10" s="2" customFormat="1">
      <c r="A2528" s="1"/>
      <c r="E2528"/>
      <c r="F2528"/>
      <c r="G2528"/>
      <c r="H2528"/>
      <c r="I2528"/>
      <c r="J2528"/>
    </row>
    <row r="2529" spans="1:10" s="2" customFormat="1">
      <c r="A2529" s="1"/>
      <c r="E2529"/>
      <c r="F2529"/>
      <c r="G2529"/>
      <c r="H2529"/>
      <c r="I2529"/>
      <c r="J2529"/>
    </row>
    <row r="2530" spans="1:10" s="2" customFormat="1">
      <c r="A2530" s="1"/>
      <c r="E2530"/>
      <c r="F2530"/>
      <c r="G2530"/>
      <c r="H2530"/>
      <c r="I2530"/>
      <c r="J2530"/>
    </row>
    <row r="2531" spans="1:10" s="2" customFormat="1">
      <c r="A2531" s="1"/>
      <c r="E2531"/>
      <c r="F2531"/>
      <c r="G2531"/>
      <c r="H2531"/>
      <c r="I2531"/>
      <c r="J2531"/>
    </row>
    <row r="2532" spans="1:10" s="2" customFormat="1">
      <c r="A2532" s="1"/>
      <c r="E2532"/>
      <c r="F2532"/>
      <c r="G2532"/>
      <c r="H2532"/>
      <c r="I2532"/>
      <c r="J2532"/>
    </row>
    <row r="2533" spans="1:10" s="2" customFormat="1">
      <c r="A2533" s="1"/>
      <c r="E2533"/>
      <c r="F2533"/>
      <c r="G2533"/>
      <c r="H2533"/>
      <c r="I2533"/>
      <c r="J2533"/>
    </row>
    <row r="2534" spans="1:10" s="2" customFormat="1">
      <c r="A2534" s="1"/>
      <c r="E2534"/>
      <c r="F2534"/>
      <c r="G2534"/>
      <c r="H2534"/>
      <c r="I2534"/>
      <c r="J2534"/>
    </row>
    <row r="2535" spans="1:10" s="2" customFormat="1">
      <c r="A2535" s="1"/>
      <c r="E2535"/>
      <c r="F2535"/>
      <c r="G2535"/>
      <c r="H2535"/>
      <c r="I2535"/>
      <c r="J2535"/>
    </row>
    <row r="2536" spans="1:10" s="2" customFormat="1">
      <c r="A2536" s="1"/>
      <c r="E2536"/>
      <c r="F2536"/>
      <c r="G2536"/>
      <c r="H2536"/>
      <c r="I2536"/>
      <c r="J2536"/>
    </row>
    <row r="2537" spans="1:10" s="2" customFormat="1">
      <c r="A2537" s="1"/>
      <c r="E2537"/>
      <c r="F2537"/>
      <c r="G2537"/>
      <c r="H2537"/>
      <c r="I2537"/>
      <c r="J2537"/>
    </row>
    <row r="2538" spans="1:10" s="2" customFormat="1">
      <c r="A2538" s="1"/>
      <c r="E2538"/>
      <c r="F2538"/>
      <c r="G2538"/>
      <c r="H2538"/>
      <c r="I2538"/>
      <c r="J2538"/>
    </row>
    <row r="2539" spans="1:10" s="2" customFormat="1">
      <c r="A2539" s="1"/>
      <c r="E2539"/>
      <c r="F2539"/>
      <c r="G2539"/>
      <c r="H2539"/>
      <c r="I2539"/>
      <c r="J2539"/>
    </row>
    <row r="2540" spans="1:10" s="2" customFormat="1">
      <c r="A2540" s="1"/>
      <c r="E2540"/>
      <c r="F2540"/>
      <c r="G2540"/>
      <c r="H2540"/>
      <c r="I2540"/>
      <c r="J2540"/>
    </row>
    <row r="2541" spans="1:10" s="2" customFormat="1">
      <c r="A2541" s="1"/>
      <c r="E2541"/>
      <c r="F2541"/>
      <c r="G2541"/>
      <c r="H2541"/>
      <c r="I2541"/>
      <c r="J2541"/>
    </row>
    <row r="2542" spans="1:10" s="2" customFormat="1">
      <c r="A2542" s="1"/>
      <c r="E2542"/>
      <c r="F2542"/>
      <c r="G2542"/>
      <c r="H2542"/>
      <c r="I2542"/>
      <c r="J2542"/>
    </row>
    <row r="2543" spans="1:10" s="2" customFormat="1">
      <c r="A2543" s="1"/>
      <c r="E2543"/>
      <c r="F2543"/>
      <c r="G2543"/>
      <c r="H2543"/>
      <c r="I2543"/>
      <c r="J2543"/>
    </row>
    <row r="2544" spans="1:10" s="2" customFormat="1">
      <c r="A2544" s="1"/>
      <c r="E2544"/>
      <c r="F2544"/>
      <c r="G2544"/>
      <c r="H2544"/>
      <c r="I2544"/>
      <c r="J2544"/>
    </row>
    <row r="2545" spans="1:10" s="2" customFormat="1">
      <c r="A2545" s="1"/>
      <c r="E2545"/>
      <c r="F2545"/>
      <c r="G2545"/>
      <c r="H2545"/>
      <c r="I2545"/>
      <c r="J2545"/>
    </row>
    <row r="2546" spans="1:10" s="2" customFormat="1">
      <c r="A2546" s="1"/>
      <c r="E2546"/>
      <c r="F2546"/>
      <c r="G2546"/>
      <c r="H2546"/>
      <c r="I2546"/>
      <c r="J2546"/>
    </row>
    <row r="2547" spans="1:10" s="2" customFormat="1">
      <c r="A2547" s="1"/>
      <c r="E2547"/>
      <c r="F2547"/>
      <c r="G2547"/>
      <c r="H2547"/>
      <c r="I2547"/>
      <c r="J2547"/>
    </row>
    <row r="2548" spans="1:10" s="2" customFormat="1">
      <c r="A2548" s="1"/>
      <c r="E2548"/>
      <c r="F2548"/>
      <c r="G2548"/>
      <c r="H2548"/>
      <c r="I2548"/>
      <c r="J2548"/>
    </row>
    <row r="2549" spans="1:10" s="2" customFormat="1">
      <c r="A2549" s="1"/>
      <c r="E2549"/>
      <c r="F2549"/>
      <c r="G2549"/>
      <c r="H2549"/>
      <c r="I2549"/>
      <c r="J2549"/>
    </row>
    <row r="2550" spans="1:10" s="2" customFormat="1">
      <c r="A2550" s="1"/>
      <c r="E2550"/>
      <c r="F2550"/>
      <c r="G2550"/>
      <c r="H2550"/>
      <c r="I2550"/>
      <c r="J2550"/>
    </row>
    <row r="2551" spans="1:10" s="2" customFormat="1">
      <c r="A2551" s="1"/>
      <c r="E2551"/>
      <c r="F2551"/>
      <c r="G2551"/>
      <c r="H2551"/>
      <c r="I2551"/>
      <c r="J2551"/>
    </row>
    <row r="2552" spans="1:10" s="2" customFormat="1">
      <c r="A2552" s="1"/>
      <c r="E2552"/>
      <c r="F2552"/>
      <c r="G2552"/>
      <c r="H2552"/>
      <c r="I2552"/>
      <c r="J2552"/>
    </row>
    <row r="2553" spans="1:10" s="2" customFormat="1">
      <c r="A2553" s="1"/>
      <c r="E2553"/>
      <c r="F2553"/>
      <c r="G2553"/>
      <c r="H2553"/>
      <c r="I2553"/>
      <c r="J2553"/>
    </row>
    <row r="2554" spans="1:10" s="2" customFormat="1">
      <c r="A2554" s="1"/>
      <c r="E2554"/>
      <c r="F2554"/>
      <c r="G2554"/>
      <c r="H2554"/>
      <c r="I2554"/>
      <c r="J2554"/>
    </row>
    <row r="2555" spans="1:10" s="2" customFormat="1">
      <c r="A2555" s="1"/>
      <c r="E2555"/>
      <c r="F2555"/>
      <c r="G2555"/>
      <c r="H2555"/>
      <c r="I2555"/>
      <c r="J2555"/>
    </row>
    <row r="2556" spans="1:10" s="2" customFormat="1">
      <c r="A2556" s="1"/>
      <c r="E2556"/>
      <c r="F2556"/>
      <c r="G2556"/>
      <c r="H2556"/>
      <c r="I2556"/>
      <c r="J2556"/>
    </row>
    <row r="2557" spans="1:10" s="2" customFormat="1">
      <c r="A2557" s="1"/>
      <c r="E2557"/>
      <c r="F2557"/>
      <c r="G2557"/>
      <c r="H2557"/>
      <c r="I2557"/>
      <c r="J2557"/>
    </row>
    <row r="2558" spans="1:10" s="2" customFormat="1">
      <c r="A2558" s="1"/>
      <c r="E2558"/>
      <c r="F2558"/>
      <c r="G2558"/>
      <c r="H2558"/>
      <c r="I2558"/>
      <c r="J2558"/>
    </row>
    <row r="2559" spans="1:10" s="2" customFormat="1">
      <c r="A2559" s="1"/>
      <c r="E2559"/>
      <c r="F2559"/>
      <c r="G2559"/>
      <c r="H2559"/>
      <c r="I2559"/>
      <c r="J2559"/>
    </row>
    <row r="2560" spans="1:10" s="2" customFormat="1">
      <c r="A2560" s="1"/>
      <c r="E2560"/>
      <c r="F2560"/>
      <c r="G2560"/>
      <c r="H2560"/>
      <c r="I2560"/>
      <c r="J2560"/>
    </row>
    <row r="2561" spans="1:10" s="2" customFormat="1">
      <c r="A2561" s="1"/>
      <c r="E2561"/>
      <c r="F2561"/>
      <c r="G2561"/>
      <c r="H2561"/>
      <c r="I2561"/>
      <c r="J2561"/>
    </row>
    <row r="2562" spans="1:10" s="2" customFormat="1">
      <c r="A2562" s="1"/>
      <c r="E2562"/>
      <c r="F2562"/>
      <c r="G2562"/>
      <c r="H2562"/>
      <c r="I2562"/>
      <c r="J2562"/>
    </row>
    <row r="2563" spans="1:10" s="2" customFormat="1">
      <c r="A2563" s="1"/>
      <c r="E2563"/>
      <c r="F2563"/>
      <c r="G2563"/>
      <c r="H2563"/>
      <c r="I2563"/>
      <c r="J2563"/>
    </row>
    <row r="2564" spans="1:10" s="2" customFormat="1">
      <c r="A2564" s="1"/>
      <c r="E2564"/>
      <c r="F2564"/>
      <c r="G2564"/>
      <c r="H2564"/>
      <c r="I2564"/>
      <c r="J2564"/>
    </row>
    <row r="2565" spans="1:10" s="2" customFormat="1">
      <c r="A2565" s="1"/>
      <c r="E2565"/>
      <c r="F2565"/>
      <c r="G2565"/>
      <c r="H2565"/>
      <c r="I2565"/>
      <c r="J2565"/>
    </row>
    <row r="2566" spans="1:10" s="2" customFormat="1">
      <c r="A2566" s="1"/>
      <c r="E2566"/>
      <c r="F2566"/>
      <c r="G2566"/>
      <c r="H2566"/>
      <c r="I2566"/>
      <c r="J2566"/>
    </row>
    <row r="2567" spans="1:10" s="2" customFormat="1">
      <c r="A2567" s="1"/>
      <c r="E2567"/>
      <c r="F2567"/>
      <c r="G2567"/>
      <c r="H2567"/>
      <c r="I2567"/>
      <c r="J2567"/>
    </row>
    <row r="2568" spans="1:10" s="2" customFormat="1">
      <c r="A2568" s="1"/>
      <c r="E2568"/>
      <c r="F2568"/>
      <c r="G2568"/>
      <c r="H2568"/>
      <c r="I2568"/>
      <c r="J2568"/>
    </row>
    <row r="2569" spans="1:10" s="2" customFormat="1">
      <c r="A2569" s="1"/>
      <c r="E2569"/>
      <c r="F2569"/>
      <c r="G2569"/>
      <c r="H2569"/>
      <c r="I2569"/>
      <c r="J2569"/>
    </row>
    <row r="2570" spans="1:10" s="2" customFormat="1">
      <c r="A2570" s="1"/>
      <c r="E2570"/>
      <c r="F2570"/>
      <c r="G2570"/>
      <c r="H2570"/>
      <c r="I2570"/>
      <c r="J2570"/>
    </row>
    <row r="2571" spans="1:10" s="2" customFormat="1">
      <c r="A2571" s="1"/>
      <c r="E2571"/>
      <c r="F2571"/>
      <c r="G2571"/>
      <c r="H2571"/>
      <c r="I2571"/>
      <c r="J2571"/>
    </row>
    <row r="2572" spans="1:10" s="2" customFormat="1">
      <c r="A2572" s="1"/>
      <c r="E2572"/>
      <c r="F2572"/>
      <c r="G2572"/>
      <c r="H2572"/>
      <c r="I2572"/>
      <c r="J2572"/>
    </row>
    <row r="2573" spans="1:10" s="2" customFormat="1">
      <c r="A2573" s="1"/>
      <c r="E2573"/>
      <c r="F2573"/>
      <c r="G2573"/>
      <c r="H2573"/>
      <c r="I2573"/>
      <c r="J2573"/>
    </row>
    <row r="2574" spans="1:10" s="2" customFormat="1">
      <c r="A2574" s="1"/>
      <c r="E2574"/>
      <c r="F2574"/>
      <c r="G2574"/>
      <c r="H2574"/>
      <c r="I2574"/>
      <c r="J2574"/>
    </row>
    <row r="2575" spans="1:10" s="2" customFormat="1">
      <c r="A2575" s="1"/>
      <c r="E2575"/>
      <c r="F2575"/>
      <c r="G2575"/>
      <c r="H2575"/>
      <c r="I2575"/>
      <c r="J2575"/>
    </row>
    <row r="2576" spans="1:10" s="2" customFormat="1">
      <c r="A2576" s="1"/>
      <c r="E2576"/>
      <c r="F2576"/>
      <c r="G2576"/>
      <c r="H2576"/>
      <c r="I2576"/>
      <c r="J2576"/>
    </row>
    <row r="2577" spans="1:10" s="2" customFormat="1">
      <c r="A2577" s="1"/>
      <c r="E2577"/>
      <c r="F2577"/>
      <c r="G2577"/>
      <c r="H2577"/>
      <c r="I2577"/>
      <c r="J2577"/>
    </row>
    <row r="2578" spans="1:10" s="2" customFormat="1">
      <c r="A2578" s="1"/>
      <c r="E2578"/>
      <c r="F2578"/>
      <c r="G2578"/>
      <c r="H2578"/>
      <c r="I2578"/>
      <c r="J2578"/>
    </row>
    <row r="2579" spans="1:10" s="2" customFormat="1">
      <c r="A2579" s="1"/>
      <c r="E2579"/>
      <c r="F2579"/>
      <c r="G2579"/>
      <c r="H2579"/>
      <c r="I2579"/>
      <c r="J2579"/>
    </row>
    <row r="2580" spans="1:10" s="2" customFormat="1">
      <c r="A2580" s="1"/>
      <c r="E2580"/>
      <c r="F2580"/>
      <c r="G2580"/>
      <c r="H2580"/>
      <c r="I2580"/>
      <c r="J2580"/>
    </row>
    <row r="2581" spans="1:10" s="2" customFormat="1">
      <c r="A2581" s="1"/>
      <c r="E2581"/>
      <c r="F2581"/>
      <c r="G2581"/>
      <c r="H2581"/>
      <c r="I2581"/>
      <c r="J2581"/>
    </row>
    <row r="2582" spans="1:10" s="2" customFormat="1">
      <c r="A2582" s="1"/>
      <c r="E2582"/>
      <c r="F2582"/>
      <c r="G2582"/>
      <c r="H2582"/>
      <c r="I2582"/>
      <c r="J2582"/>
    </row>
    <row r="2583" spans="1:10" s="2" customFormat="1">
      <c r="A2583" s="1"/>
      <c r="E2583"/>
      <c r="F2583"/>
      <c r="G2583"/>
      <c r="H2583"/>
      <c r="I2583"/>
      <c r="J2583"/>
    </row>
    <row r="2584" spans="1:10" s="2" customFormat="1">
      <c r="A2584" s="1"/>
      <c r="E2584"/>
      <c r="F2584"/>
      <c r="G2584"/>
      <c r="H2584"/>
      <c r="I2584"/>
      <c r="J2584"/>
    </row>
    <row r="2585" spans="1:10" s="2" customFormat="1">
      <c r="A2585" s="1"/>
      <c r="E2585"/>
      <c r="F2585"/>
      <c r="G2585"/>
      <c r="H2585"/>
      <c r="I2585"/>
      <c r="J2585"/>
    </row>
    <row r="2586" spans="1:10" s="2" customFormat="1">
      <c r="A2586" s="1"/>
      <c r="E2586"/>
      <c r="F2586"/>
      <c r="G2586"/>
      <c r="H2586"/>
      <c r="I2586"/>
      <c r="J2586"/>
    </row>
    <row r="2587" spans="1:10" s="2" customFormat="1">
      <c r="A2587" s="1"/>
      <c r="E2587"/>
      <c r="F2587"/>
      <c r="G2587"/>
      <c r="H2587"/>
      <c r="I2587"/>
      <c r="J2587"/>
    </row>
    <row r="2588" spans="1:10" s="2" customFormat="1">
      <c r="A2588" s="1"/>
      <c r="E2588"/>
      <c r="F2588"/>
      <c r="G2588"/>
      <c r="H2588"/>
      <c r="I2588"/>
      <c r="J2588"/>
    </row>
    <row r="2589" spans="1:10" s="2" customFormat="1">
      <c r="A2589" s="1"/>
      <c r="E2589"/>
      <c r="F2589"/>
      <c r="G2589"/>
      <c r="H2589"/>
      <c r="I2589"/>
      <c r="J2589"/>
    </row>
    <row r="2590" spans="1:10" s="2" customFormat="1">
      <c r="A2590" s="1"/>
      <c r="E2590"/>
      <c r="F2590"/>
      <c r="G2590"/>
      <c r="H2590"/>
      <c r="I2590"/>
      <c r="J2590"/>
    </row>
    <row r="2591" spans="1:10" s="2" customFormat="1">
      <c r="A2591" s="1"/>
      <c r="E2591"/>
      <c r="F2591"/>
      <c r="G2591"/>
      <c r="H2591"/>
      <c r="I2591"/>
      <c r="J2591"/>
    </row>
    <row r="2592" spans="1:10" s="2" customFormat="1">
      <c r="A2592" s="1"/>
      <c r="E2592"/>
      <c r="F2592"/>
      <c r="G2592"/>
      <c r="H2592"/>
      <c r="I2592"/>
      <c r="J2592"/>
    </row>
    <row r="2593" spans="1:10" s="2" customFormat="1">
      <c r="A2593" s="1"/>
      <c r="E2593"/>
      <c r="F2593"/>
      <c r="G2593"/>
      <c r="H2593"/>
      <c r="I2593"/>
      <c r="J2593"/>
    </row>
    <row r="2594" spans="1:10" s="2" customFormat="1">
      <c r="A2594" s="1"/>
      <c r="E2594"/>
      <c r="F2594"/>
      <c r="G2594"/>
      <c r="H2594"/>
      <c r="I2594"/>
      <c r="J2594"/>
    </row>
    <row r="2595" spans="1:10" s="2" customFormat="1">
      <c r="A2595" s="1"/>
      <c r="E2595"/>
      <c r="F2595"/>
      <c r="G2595"/>
      <c r="H2595"/>
      <c r="I2595"/>
      <c r="J2595"/>
    </row>
    <row r="2596" spans="1:10" s="2" customFormat="1">
      <c r="A2596" s="1"/>
      <c r="E2596"/>
      <c r="F2596"/>
      <c r="G2596"/>
      <c r="H2596"/>
      <c r="I2596"/>
      <c r="J2596"/>
    </row>
    <row r="2597" spans="1:10" s="2" customFormat="1">
      <c r="A2597" s="1"/>
      <c r="E2597"/>
      <c r="F2597"/>
      <c r="G2597"/>
      <c r="H2597"/>
      <c r="I2597"/>
      <c r="J2597"/>
    </row>
    <row r="2598" spans="1:10" s="2" customFormat="1">
      <c r="A2598" s="1"/>
      <c r="E2598"/>
      <c r="F2598"/>
      <c r="G2598"/>
      <c r="H2598"/>
      <c r="I2598"/>
      <c r="J2598"/>
    </row>
    <row r="2599" spans="1:10" s="2" customFormat="1">
      <c r="A2599" s="1"/>
      <c r="E2599"/>
      <c r="F2599"/>
      <c r="G2599"/>
      <c r="H2599"/>
      <c r="I2599"/>
      <c r="J2599"/>
    </row>
    <row r="2600" spans="1:10" s="2" customFormat="1">
      <c r="A2600" s="1"/>
      <c r="E2600"/>
      <c r="F2600"/>
      <c r="G2600"/>
      <c r="H2600"/>
      <c r="I2600"/>
      <c r="J2600"/>
    </row>
    <row r="2601" spans="1:10" s="2" customFormat="1">
      <c r="A2601" s="1"/>
      <c r="E2601"/>
      <c r="F2601"/>
      <c r="G2601"/>
      <c r="H2601"/>
      <c r="I2601"/>
      <c r="J2601"/>
    </row>
    <row r="2602" spans="1:10" s="2" customFormat="1">
      <c r="A2602" s="1"/>
      <c r="E2602"/>
      <c r="F2602"/>
      <c r="G2602"/>
      <c r="H2602"/>
      <c r="I2602"/>
      <c r="J2602"/>
    </row>
    <row r="2603" spans="1:10" s="2" customFormat="1">
      <c r="A2603" s="1"/>
      <c r="E2603"/>
      <c r="F2603"/>
      <c r="G2603"/>
      <c r="H2603"/>
      <c r="I2603"/>
      <c r="J2603"/>
    </row>
    <row r="2604" spans="1:10" s="2" customFormat="1">
      <c r="A2604" s="1"/>
      <c r="E2604"/>
      <c r="F2604"/>
      <c r="G2604"/>
      <c r="H2604"/>
      <c r="I2604"/>
      <c r="J2604"/>
    </row>
    <row r="2605" spans="1:10" s="2" customFormat="1">
      <c r="A2605" s="1"/>
      <c r="E2605"/>
      <c r="F2605"/>
      <c r="G2605"/>
      <c r="H2605"/>
      <c r="I2605"/>
      <c r="J2605"/>
    </row>
    <row r="2606" spans="1:10" s="2" customFormat="1">
      <c r="A2606" s="1"/>
      <c r="E2606"/>
      <c r="F2606"/>
      <c r="G2606"/>
      <c r="H2606"/>
      <c r="I2606"/>
      <c r="J2606"/>
    </row>
    <row r="2607" spans="1:10" s="2" customFormat="1">
      <c r="A2607" s="1"/>
      <c r="E2607"/>
      <c r="F2607"/>
      <c r="G2607"/>
      <c r="H2607"/>
      <c r="I2607"/>
      <c r="J2607"/>
    </row>
    <row r="2608" spans="1:10" s="2" customFormat="1">
      <c r="A2608" s="1"/>
      <c r="E2608"/>
      <c r="F2608"/>
      <c r="G2608"/>
      <c r="H2608"/>
      <c r="I2608"/>
      <c r="J2608"/>
    </row>
    <row r="2609" spans="1:10" s="2" customFormat="1">
      <c r="A2609" s="1"/>
      <c r="E2609"/>
      <c r="F2609"/>
      <c r="G2609"/>
      <c r="H2609"/>
      <c r="I2609"/>
      <c r="J2609"/>
    </row>
    <row r="2610" spans="1:10" s="2" customFormat="1">
      <c r="A2610" s="1"/>
      <c r="E2610"/>
      <c r="F2610"/>
      <c r="G2610"/>
      <c r="H2610"/>
      <c r="I2610"/>
      <c r="J2610"/>
    </row>
    <row r="2611" spans="1:10" s="2" customFormat="1">
      <c r="A2611" s="1"/>
      <c r="E2611"/>
      <c r="F2611"/>
      <c r="G2611"/>
      <c r="H2611"/>
      <c r="I2611"/>
      <c r="J2611"/>
    </row>
    <row r="2612" spans="1:10" s="2" customFormat="1">
      <c r="A2612" s="1"/>
      <c r="E2612"/>
      <c r="F2612"/>
      <c r="G2612"/>
      <c r="H2612"/>
      <c r="I2612"/>
      <c r="J2612"/>
    </row>
    <row r="2613" spans="1:10" s="2" customFormat="1">
      <c r="A2613" s="1"/>
      <c r="E2613"/>
      <c r="F2613"/>
      <c r="G2613"/>
      <c r="H2613"/>
      <c r="I2613"/>
      <c r="J2613"/>
    </row>
    <row r="2614" spans="1:10" s="2" customFormat="1">
      <c r="A2614" s="1"/>
      <c r="E2614"/>
      <c r="F2614"/>
      <c r="G2614"/>
      <c r="H2614"/>
      <c r="I2614"/>
      <c r="J2614"/>
    </row>
    <row r="2615" spans="1:10" s="2" customFormat="1">
      <c r="A2615" s="1"/>
      <c r="E2615"/>
      <c r="F2615"/>
      <c r="G2615"/>
      <c r="H2615"/>
      <c r="I2615"/>
      <c r="J2615"/>
    </row>
    <row r="2616" spans="1:10" s="2" customFormat="1">
      <c r="A2616" s="1"/>
      <c r="E2616"/>
      <c r="F2616"/>
      <c r="G2616"/>
      <c r="H2616"/>
      <c r="I2616"/>
      <c r="J2616"/>
    </row>
    <row r="2617" spans="1:10" s="2" customFormat="1">
      <c r="A2617" s="1"/>
      <c r="E2617"/>
      <c r="F2617"/>
      <c r="G2617"/>
      <c r="H2617"/>
      <c r="I2617"/>
      <c r="J2617"/>
    </row>
    <row r="2618" spans="1:10" s="2" customFormat="1">
      <c r="A2618" s="1"/>
      <c r="E2618"/>
      <c r="F2618"/>
      <c r="G2618"/>
      <c r="H2618"/>
      <c r="I2618"/>
      <c r="J2618"/>
    </row>
    <row r="2619" spans="1:10" s="2" customFormat="1">
      <c r="A2619" s="1"/>
      <c r="E2619"/>
      <c r="F2619"/>
      <c r="G2619"/>
      <c r="H2619"/>
      <c r="I2619"/>
      <c r="J2619"/>
    </row>
    <row r="2620" spans="1:10" s="2" customFormat="1">
      <c r="A2620" s="1"/>
      <c r="E2620"/>
      <c r="F2620"/>
      <c r="G2620"/>
      <c r="H2620"/>
      <c r="I2620"/>
      <c r="J2620"/>
    </row>
    <row r="2621" spans="1:10" s="2" customFormat="1">
      <c r="A2621" s="1"/>
      <c r="E2621"/>
      <c r="F2621"/>
      <c r="G2621"/>
      <c r="H2621"/>
      <c r="I2621"/>
      <c r="J2621"/>
    </row>
    <row r="2622" spans="1:10" s="2" customFormat="1">
      <c r="A2622" s="1"/>
      <c r="E2622"/>
      <c r="F2622"/>
      <c r="G2622"/>
      <c r="H2622"/>
      <c r="I2622"/>
      <c r="J2622"/>
    </row>
    <row r="2623" spans="1:10" s="2" customFormat="1">
      <c r="A2623" s="1"/>
      <c r="E2623"/>
      <c r="F2623"/>
      <c r="G2623"/>
      <c r="H2623"/>
      <c r="I2623"/>
      <c r="J2623"/>
    </row>
    <row r="2624" spans="1:10" s="2" customFormat="1">
      <c r="A2624" s="1"/>
      <c r="E2624"/>
      <c r="F2624"/>
      <c r="G2624"/>
      <c r="H2624"/>
      <c r="I2624"/>
      <c r="J2624"/>
    </row>
    <row r="2625" spans="1:10" s="2" customFormat="1">
      <c r="A2625" s="1"/>
      <c r="E2625"/>
      <c r="F2625"/>
      <c r="G2625"/>
      <c r="H2625"/>
      <c r="I2625"/>
      <c r="J2625"/>
    </row>
    <row r="2626" spans="1:10" s="2" customFormat="1">
      <c r="A2626" s="1"/>
      <c r="E2626"/>
      <c r="F2626"/>
      <c r="G2626"/>
      <c r="H2626"/>
      <c r="I2626"/>
      <c r="J2626"/>
    </row>
    <row r="2627" spans="1:10" s="2" customFormat="1">
      <c r="A2627" s="1"/>
      <c r="E2627"/>
      <c r="F2627"/>
      <c r="G2627"/>
      <c r="H2627"/>
      <c r="I2627"/>
      <c r="J2627"/>
    </row>
    <row r="2628" spans="1:10" s="2" customFormat="1">
      <c r="A2628" s="1"/>
      <c r="E2628"/>
      <c r="F2628"/>
      <c r="G2628"/>
      <c r="H2628"/>
      <c r="I2628"/>
      <c r="J2628"/>
    </row>
    <row r="2629" spans="1:10" s="2" customFormat="1">
      <c r="A2629" s="1"/>
      <c r="E2629"/>
      <c r="F2629"/>
      <c r="G2629"/>
      <c r="H2629"/>
      <c r="I2629"/>
      <c r="J2629"/>
    </row>
    <row r="2630" spans="1:10" s="2" customFormat="1">
      <c r="A2630" s="1"/>
      <c r="E2630"/>
      <c r="F2630"/>
      <c r="G2630"/>
      <c r="H2630"/>
      <c r="I2630"/>
      <c r="J2630"/>
    </row>
    <row r="2631" spans="1:10" s="2" customFormat="1">
      <c r="A2631" s="1"/>
      <c r="E2631"/>
      <c r="F2631"/>
      <c r="G2631"/>
      <c r="H2631"/>
      <c r="I2631"/>
      <c r="J2631"/>
    </row>
    <row r="2632" spans="1:10" s="2" customFormat="1">
      <c r="A2632" s="1"/>
      <c r="E2632"/>
      <c r="F2632"/>
      <c r="G2632"/>
      <c r="H2632"/>
      <c r="I2632"/>
      <c r="J2632"/>
    </row>
    <row r="2633" spans="1:10" s="2" customFormat="1">
      <c r="A2633" s="1"/>
      <c r="E2633"/>
      <c r="F2633"/>
      <c r="G2633"/>
      <c r="H2633"/>
      <c r="I2633"/>
      <c r="J2633"/>
    </row>
    <row r="2634" spans="1:10" s="2" customFormat="1">
      <c r="A2634" s="1"/>
      <c r="E2634"/>
      <c r="F2634"/>
      <c r="G2634"/>
      <c r="H2634"/>
      <c r="I2634"/>
      <c r="J2634"/>
    </row>
    <row r="2635" spans="1:10" s="2" customFormat="1">
      <c r="A2635" s="1"/>
      <c r="E2635"/>
      <c r="F2635"/>
      <c r="G2635"/>
      <c r="H2635"/>
      <c r="I2635"/>
      <c r="J2635"/>
    </row>
    <row r="2636" spans="1:10" s="2" customFormat="1">
      <c r="A2636" s="1"/>
      <c r="E2636"/>
      <c r="F2636"/>
      <c r="G2636"/>
      <c r="H2636"/>
      <c r="I2636"/>
      <c r="J2636"/>
    </row>
    <row r="2637" spans="1:10" s="2" customFormat="1">
      <c r="A2637" s="1"/>
      <c r="E2637"/>
      <c r="F2637"/>
      <c r="G2637"/>
      <c r="H2637"/>
      <c r="I2637"/>
      <c r="J2637"/>
    </row>
    <row r="2638" spans="1:10" s="2" customFormat="1">
      <c r="A2638" s="1"/>
      <c r="E2638"/>
      <c r="F2638"/>
      <c r="G2638"/>
      <c r="H2638"/>
      <c r="I2638"/>
      <c r="J2638"/>
    </row>
    <row r="2639" spans="1:10" s="2" customFormat="1">
      <c r="A2639" s="1"/>
      <c r="E2639"/>
      <c r="F2639"/>
      <c r="G2639"/>
      <c r="H2639"/>
      <c r="I2639"/>
      <c r="J2639"/>
    </row>
    <row r="2640" spans="1:10" s="2" customFormat="1">
      <c r="A2640" s="1"/>
      <c r="E2640"/>
      <c r="F2640"/>
      <c r="G2640"/>
      <c r="H2640"/>
      <c r="I2640"/>
      <c r="J2640"/>
    </row>
    <row r="2641" spans="1:10" s="2" customFormat="1">
      <c r="A2641" s="1"/>
      <c r="E2641"/>
      <c r="F2641"/>
      <c r="G2641"/>
      <c r="H2641"/>
      <c r="I2641"/>
      <c r="J2641"/>
    </row>
    <row r="2642" spans="1:10" s="2" customFormat="1">
      <c r="A2642" s="1"/>
      <c r="E2642"/>
      <c r="F2642"/>
      <c r="G2642"/>
      <c r="H2642"/>
      <c r="I2642"/>
      <c r="J2642"/>
    </row>
    <row r="2643" spans="1:10" s="2" customFormat="1">
      <c r="A2643" s="1"/>
      <c r="E2643"/>
      <c r="F2643"/>
      <c r="G2643"/>
      <c r="H2643"/>
      <c r="I2643"/>
      <c r="J2643"/>
    </row>
    <row r="2644" spans="1:10" s="2" customFormat="1">
      <c r="A2644" s="1"/>
      <c r="E2644"/>
      <c r="F2644"/>
      <c r="G2644"/>
      <c r="H2644"/>
      <c r="I2644"/>
      <c r="J2644"/>
    </row>
    <row r="2645" spans="1:10" s="2" customFormat="1">
      <c r="A2645" s="1"/>
      <c r="E2645"/>
      <c r="F2645"/>
      <c r="G2645"/>
      <c r="H2645"/>
      <c r="I2645"/>
      <c r="J2645"/>
    </row>
    <row r="2646" spans="1:10" s="2" customFormat="1">
      <c r="A2646" s="1"/>
      <c r="E2646"/>
      <c r="F2646"/>
      <c r="G2646"/>
      <c r="H2646"/>
      <c r="I2646"/>
      <c r="J2646"/>
    </row>
    <row r="2647" spans="1:10" s="2" customFormat="1">
      <c r="A2647" s="1"/>
      <c r="E2647"/>
      <c r="F2647"/>
      <c r="G2647"/>
      <c r="H2647"/>
      <c r="I2647"/>
      <c r="J2647"/>
    </row>
    <row r="2648" spans="1:10" s="2" customFormat="1">
      <c r="A2648" s="1"/>
      <c r="E2648"/>
      <c r="F2648"/>
      <c r="G2648"/>
      <c r="H2648"/>
      <c r="I2648"/>
      <c r="J2648"/>
    </row>
    <row r="2649" spans="1:10" s="2" customFormat="1">
      <c r="A2649" s="1"/>
      <c r="E2649"/>
      <c r="F2649"/>
      <c r="G2649"/>
      <c r="H2649"/>
      <c r="I2649"/>
      <c r="J2649"/>
    </row>
    <row r="2650" spans="1:10" s="2" customFormat="1">
      <c r="A2650" s="1"/>
      <c r="E2650"/>
      <c r="F2650"/>
      <c r="G2650"/>
      <c r="H2650"/>
      <c r="I2650"/>
      <c r="J2650"/>
    </row>
    <row r="2651" spans="1:10" s="2" customFormat="1">
      <c r="A2651" s="1"/>
      <c r="E2651"/>
      <c r="F2651"/>
      <c r="G2651"/>
      <c r="H2651"/>
      <c r="I2651"/>
      <c r="J2651"/>
    </row>
    <row r="2652" spans="1:10" s="2" customFormat="1">
      <c r="A2652" s="1"/>
      <c r="E2652"/>
      <c r="F2652"/>
      <c r="G2652"/>
      <c r="H2652"/>
      <c r="I2652"/>
      <c r="J2652"/>
    </row>
    <row r="2653" spans="1:10" s="2" customFormat="1">
      <c r="A2653" s="1"/>
      <c r="E2653"/>
      <c r="F2653"/>
      <c r="G2653"/>
      <c r="H2653"/>
      <c r="I2653"/>
      <c r="J2653"/>
    </row>
    <row r="2654" spans="1:10" s="2" customFormat="1">
      <c r="A2654" s="1"/>
      <c r="E2654"/>
      <c r="F2654"/>
      <c r="G2654"/>
      <c r="H2654"/>
      <c r="I2654"/>
      <c r="J2654"/>
    </row>
    <row r="2655" spans="1:10" s="2" customFormat="1">
      <c r="A2655" s="1"/>
      <c r="E2655"/>
      <c r="F2655"/>
      <c r="G2655"/>
      <c r="H2655"/>
      <c r="I2655"/>
      <c r="J2655"/>
    </row>
    <row r="2656" spans="1:10" s="2" customFormat="1">
      <c r="A2656" s="1"/>
      <c r="E2656"/>
      <c r="F2656"/>
      <c r="G2656"/>
      <c r="H2656"/>
      <c r="I2656"/>
      <c r="J2656"/>
    </row>
    <row r="2657" spans="1:10" s="2" customFormat="1">
      <c r="A2657" s="1"/>
      <c r="E2657"/>
      <c r="F2657"/>
      <c r="G2657"/>
      <c r="H2657"/>
      <c r="I2657"/>
      <c r="J2657"/>
    </row>
    <row r="2658" spans="1:10" s="2" customFormat="1">
      <c r="A2658" s="1"/>
      <c r="E2658"/>
      <c r="F2658"/>
      <c r="G2658"/>
      <c r="H2658"/>
      <c r="I2658"/>
      <c r="J2658"/>
    </row>
    <row r="2659" spans="1:10" s="2" customFormat="1">
      <c r="A2659" s="1"/>
      <c r="E2659"/>
      <c r="F2659"/>
      <c r="G2659"/>
      <c r="H2659"/>
      <c r="I2659"/>
      <c r="J2659"/>
    </row>
    <row r="2660" spans="1:10" s="2" customFormat="1">
      <c r="A2660" s="1"/>
      <c r="E2660"/>
      <c r="F2660"/>
      <c r="G2660"/>
      <c r="H2660"/>
      <c r="I2660"/>
      <c r="J2660"/>
    </row>
    <row r="2661" spans="1:10" s="2" customFormat="1">
      <c r="A2661" s="1"/>
      <c r="E2661"/>
      <c r="F2661"/>
      <c r="G2661"/>
      <c r="H2661"/>
      <c r="I2661"/>
      <c r="J2661"/>
    </row>
    <row r="2662" spans="1:10" s="2" customFormat="1">
      <c r="A2662" s="1"/>
      <c r="E2662"/>
      <c r="F2662"/>
      <c r="G2662"/>
      <c r="H2662"/>
      <c r="I2662"/>
      <c r="J2662"/>
    </row>
    <row r="2663" spans="1:10" s="2" customFormat="1">
      <c r="A2663" s="1"/>
      <c r="E2663"/>
      <c r="F2663"/>
      <c r="G2663"/>
      <c r="H2663"/>
      <c r="I2663"/>
      <c r="J2663"/>
    </row>
    <row r="2664" spans="1:10" s="2" customFormat="1">
      <c r="A2664" s="1"/>
      <c r="E2664"/>
      <c r="F2664"/>
      <c r="G2664"/>
      <c r="H2664"/>
      <c r="I2664"/>
      <c r="J2664"/>
    </row>
    <row r="2665" spans="1:10" s="2" customFormat="1">
      <c r="A2665" s="1"/>
      <c r="E2665"/>
      <c r="F2665"/>
      <c r="G2665"/>
      <c r="H2665"/>
      <c r="I2665"/>
      <c r="J2665"/>
    </row>
    <row r="2666" spans="1:10" s="2" customFormat="1">
      <c r="A2666" s="1"/>
      <c r="E2666"/>
      <c r="F2666"/>
      <c r="G2666"/>
      <c r="H2666"/>
      <c r="I2666"/>
      <c r="J2666"/>
    </row>
    <row r="2667" spans="1:10" s="2" customFormat="1">
      <c r="A2667" s="1"/>
      <c r="E2667"/>
      <c r="F2667"/>
      <c r="G2667"/>
      <c r="H2667"/>
      <c r="I2667"/>
      <c r="J2667"/>
    </row>
    <row r="2668" spans="1:10" s="2" customFormat="1">
      <c r="A2668" s="1"/>
      <c r="E2668"/>
      <c r="F2668"/>
      <c r="G2668"/>
      <c r="H2668"/>
      <c r="I2668"/>
      <c r="J2668"/>
    </row>
    <row r="2669" spans="1:10" s="2" customFormat="1">
      <c r="A2669" s="1"/>
      <c r="E2669"/>
      <c r="F2669"/>
      <c r="G2669"/>
      <c r="H2669"/>
      <c r="I2669"/>
      <c r="J2669"/>
    </row>
    <row r="2670" spans="1:10" s="2" customFormat="1">
      <c r="A2670" s="1"/>
      <c r="E2670"/>
      <c r="F2670"/>
      <c r="G2670"/>
      <c r="H2670"/>
      <c r="I2670"/>
      <c r="J2670"/>
    </row>
    <row r="2671" spans="1:10" s="2" customFormat="1">
      <c r="A2671" s="1"/>
      <c r="E2671"/>
      <c r="F2671"/>
      <c r="G2671"/>
      <c r="H2671"/>
      <c r="I2671"/>
      <c r="J2671"/>
    </row>
    <row r="2672" spans="1:10" s="2" customFormat="1">
      <c r="A2672" s="1"/>
      <c r="E2672"/>
      <c r="F2672"/>
      <c r="G2672"/>
      <c r="H2672"/>
      <c r="I2672"/>
      <c r="J2672"/>
    </row>
    <row r="2673" spans="1:10" s="2" customFormat="1">
      <c r="A2673" s="1"/>
      <c r="E2673"/>
      <c r="F2673"/>
      <c r="G2673"/>
      <c r="H2673"/>
      <c r="I2673"/>
      <c r="J2673"/>
    </row>
    <row r="2674" spans="1:10" s="2" customFormat="1">
      <c r="A2674" s="1"/>
      <c r="E2674"/>
      <c r="F2674"/>
      <c r="G2674"/>
      <c r="H2674"/>
      <c r="I2674"/>
      <c r="J2674"/>
    </row>
    <row r="2675" spans="1:10" s="2" customFormat="1">
      <c r="A2675" s="1"/>
      <c r="E2675"/>
      <c r="F2675"/>
      <c r="G2675"/>
      <c r="H2675"/>
      <c r="I2675"/>
      <c r="J2675"/>
    </row>
    <row r="2676" spans="1:10" s="2" customFormat="1">
      <c r="A2676" s="1"/>
      <c r="E2676"/>
      <c r="F2676"/>
      <c r="G2676"/>
      <c r="H2676"/>
      <c r="I2676"/>
      <c r="J2676"/>
    </row>
    <row r="2677" spans="1:10" s="2" customFormat="1">
      <c r="A2677" s="1"/>
      <c r="E2677"/>
      <c r="F2677"/>
      <c r="G2677"/>
      <c r="H2677"/>
      <c r="I2677"/>
      <c r="J2677"/>
    </row>
    <row r="2678" spans="1:10" s="2" customFormat="1">
      <c r="A2678" s="1"/>
      <c r="E2678"/>
      <c r="F2678"/>
      <c r="G2678"/>
      <c r="H2678"/>
      <c r="I2678"/>
      <c r="J2678"/>
    </row>
    <row r="2679" spans="1:10" s="2" customFormat="1">
      <c r="A2679" s="1"/>
      <c r="E2679"/>
      <c r="F2679"/>
      <c r="G2679"/>
      <c r="H2679"/>
      <c r="I2679"/>
      <c r="J2679"/>
    </row>
    <row r="2680" spans="1:10" s="2" customFormat="1">
      <c r="A2680" s="1"/>
      <c r="E2680"/>
      <c r="F2680"/>
      <c r="G2680"/>
      <c r="H2680"/>
      <c r="I2680"/>
      <c r="J2680"/>
    </row>
    <row r="2681" spans="1:10" s="2" customFormat="1">
      <c r="A2681" s="1"/>
      <c r="E2681"/>
      <c r="F2681"/>
      <c r="G2681"/>
      <c r="H2681"/>
      <c r="I2681"/>
      <c r="J2681"/>
    </row>
    <row r="2682" spans="1:10" s="2" customFormat="1">
      <c r="A2682" s="1"/>
      <c r="E2682"/>
      <c r="F2682"/>
      <c r="G2682"/>
      <c r="H2682"/>
      <c r="I2682"/>
      <c r="J2682"/>
    </row>
    <row r="2683" spans="1:10" s="2" customFormat="1">
      <c r="A2683" s="1"/>
      <c r="E2683"/>
      <c r="F2683"/>
      <c r="G2683"/>
      <c r="H2683"/>
      <c r="I2683"/>
      <c r="J2683"/>
    </row>
    <row r="2684" spans="1:10" s="2" customFormat="1">
      <c r="A2684" s="1"/>
      <c r="E2684"/>
      <c r="F2684"/>
      <c r="G2684"/>
      <c r="H2684"/>
      <c r="I2684"/>
      <c r="J2684"/>
    </row>
    <row r="2685" spans="1:10" s="2" customFormat="1">
      <c r="A2685" s="1"/>
      <c r="E2685"/>
      <c r="F2685"/>
      <c r="G2685"/>
      <c r="H2685"/>
      <c r="I2685"/>
      <c r="J2685"/>
    </row>
    <row r="2686" spans="1:10" s="2" customFormat="1">
      <c r="A2686" s="1"/>
      <c r="E2686"/>
      <c r="F2686"/>
      <c r="G2686"/>
      <c r="H2686"/>
      <c r="I2686"/>
      <c r="J2686"/>
    </row>
    <row r="2687" spans="1:10" s="2" customFormat="1">
      <c r="A2687" s="1"/>
      <c r="E2687"/>
      <c r="F2687"/>
      <c r="G2687"/>
      <c r="H2687"/>
      <c r="I2687"/>
      <c r="J2687"/>
    </row>
    <row r="2688" spans="1:10" s="2" customFormat="1">
      <c r="A2688" s="1"/>
      <c r="E2688"/>
      <c r="F2688"/>
      <c r="G2688"/>
      <c r="H2688"/>
      <c r="I2688"/>
      <c r="J2688"/>
    </row>
    <row r="2689" spans="1:10" s="2" customFormat="1">
      <c r="A2689" s="1"/>
      <c r="E2689"/>
      <c r="F2689"/>
      <c r="G2689"/>
      <c r="H2689"/>
      <c r="I2689"/>
      <c r="J2689"/>
    </row>
    <row r="2690" spans="1:10" s="2" customFormat="1">
      <c r="A2690" s="1"/>
      <c r="E2690"/>
      <c r="F2690"/>
      <c r="G2690"/>
      <c r="H2690"/>
      <c r="I2690"/>
      <c r="J2690"/>
    </row>
    <row r="2691" spans="1:10" s="2" customFormat="1">
      <c r="A2691" s="1"/>
      <c r="E2691"/>
      <c r="F2691"/>
      <c r="G2691"/>
      <c r="H2691"/>
      <c r="I2691"/>
      <c r="J2691"/>
    </row>
    <row r="2692" spans="1:10" s="2" customFormat="1">
      <c r="A2692" s="1"/>
      <c r="E2692"/>
      <c r="F2692"/>
      <c r="G2692"/>
      <c r="H2692"/>
      <c r="I2692"/>
      <c r="J2692"/>
    </row>
    <row r="2693" spans="1:10" s="2" customFormat="1">
      <c r="A2693" s="1"/>
      <c r="E2693"/>
      <c r="F2693"/>
      <c r="G2693"/>
      <c r="H2693"/>
      <c r="I2693"/>
      <c r="J2693"/>
    </row>
    <row r="2694" spans="1:10" s="2" customFormat="1">
      <c r="A2694" s="1"/>
      <c r="E2694"/>
      <c r="F2694"/>
      <c r="G2694"/>
      <c r="H2694"/>
      <c r="I2694"/>
      <c r="J2694"/>
    </row>
    <row r="2695" spans="1:10" s="2" customFormat="1">
      <c r="A2695" s="1"/>
      <c r="E2695"/>
      <c r="F2695"/>
      <c r="G2695"/>
      <c r="H2695"/>
      <c r="I2695"/>
      <c r="J2695"/>
    </row>
    <row r="2696" spans="1:10" s="2" customFormat="1">
      <c r="A2696" s="1"/>
      <c r="E2696"/>
      <c r="F2696"/>
      <c r="G2696"/>
      <c r="H2696"/>
      <c r="I2696"/>
      <c r="J2696"/>
    </row>
    <row r="2697" spans="1:10" s="2" customFormat="1">
      <c r="A2697" s="1"/>
      <c r="E2697"/>
      <c r="F2697"/>
      <c r="G2697"/>
      <c r="H2697"/>
      <c r="I2697"/>
      <c r="J2697"/>
    </row>
    <row r="2698" spans="1:10" s="2" customFormat="1">
      <c r="A2698" s="1"/>
      <c r="E2698"/>
      <c r="F2698"/>
      <c r="G2698"/>
      <c r="H2698"/>
      <c r="I2698"/>
      <c r="J2698"/>
    </row>
    <row r="2699" spans="1:10" s="2" customFormat="1">
      <c r="A2699" s="1"/>
      <c r="E2699"/>
      <c r="F2699"/>
      <c r="G2699"/>
      <c r="H2699"/>
      <c r="I2699"/>
      <c r="J2699"/>
    </row>
    <row r="2700" spans="1:10" s="2" customFormat="1">
      <c r="A2700" s="1"/>
      <c r="E2700"/>
      <c r="F2700"/>
      <c r="G2700"/>
      <c r="H2700"/>
      <c r="I2700"/>
      <c r="J2700"/>
    </row>
    <row r="2701" spans="1:10" s="2" customFormat="1">
      <c r="A2701" s="1"/>
      <c r="E2701"/>
      <c r="F2701"/>
      <c r="G2701"/>
      <c r="H2701"/>
      <c r="I2701"/>
      <c r="J2701"/>
    </row>
    <row r="2702" spans="1:10" s="2" customFormat="1">
      <c r="A2702" s="1"/>
      <c r="E2702"/>
      <c r="F2702"/>
      <c r="G2702"/>
      <c r="H2702"/>
      <c r="I2702"/>
      <c r="J2702"/>
    </row>
    <row r="2703" spans="1:10" s="2" customFormat="1">
      <c r="A2703" s="1"/>
      <c r="E2703"/>
      <c r="F2703"/>
      <c r="G2703"/>
      <c r="H2703"/>
      <c r="I2703"/>
      <c r="J2703"/>
    </row>
    <row r="2704" spans="1:10" s="2" customFormat="1">
      <c r="A2704" s="1"/>
      <c r="E2704"/>
      <c r="F2704"/>
      <c r="G2704"/>
      <c r="H2704"/>
      <c r="I2704"/>
      <c r="J2704"/>
    </row>
    <row r="2705" spans="1:10" s="2" customFormat="1">
      <c r="A2705" s="1"/>
      <c r="E2705"/>
      <c r="F2705"/>
      <c r="G2705"/>
      <c r="H2705"/>
      <c r="I2705"/>
      <c r="J2705"/>
    </row>
    <row r="2706" spans="1:10" s="2" customFormat="1">
      <c r="A2706" s="1"/>
      <c r="E2706"/>
      <c r="F2706"/>
      <c r="G2706"/>
      <c r="H2706"/>
      <c r="I2706"/>
      <c r="J2706"/>
    </row>
    <row r="2707" spans="1:10" s="2" customFormat="1">
      <c r="A2707" s="1"/>
      <c r="E2707"/>
      <c r="F2707"/>
      <c r="G2707"/>
      <c r="H2707"/>
      <c r="I2707"/>
      <c r="J2707"/>
    </row>
    <row r="2708" spans="1:10" s="2" customFormat="1">
      <c r="A2708" s="1"/>
      <c r="E2708"/>
      <c r="F2708"/>
      <c r="G2708"/>
      <c r="H2708"/>
      <c r="I2708"/>
      <c r="J2708"/>
    </row>
    <row r="2709" spans="1:10" s="2" customFormat="1">
      <c r="A2709" s="1"/>
      <c r="E2709"/>
      <c r="F2709"/>
      <c r="G2709"/>
      <c r="H2709"/>
      <c r="I2709"/>
      <c r="J2709"/>
    </row>
    <row r="2710" spans="1:10" s="2" customFormat="1">
      <c r="A2710" s="1"/>
      <c r="E2710"/>
      <c r="F2710"/>
      <c r="G2710"/>
      <c r="H2710"/>
      <c r="I2710"/>
      <c r="J2710"/>
    </row>
    <row r="2711" spans="1:10" s="2" customFormat="1">
      <c r="A2711" s="1"/>
      <c r="E2711"/>
      <c r="F2711"/>
      <c r="G2711"/>
      <c r="H2711"/>
      <c r="I2711"/>
      <c r="J2711"/>
    </row>
    <row r="2712" spans="1:10" s="2" customFormat="1">
      <c r="A2712" s="1"/>
      <c r="E2712"/>
      <c r="F2712"/>
      <c r="G2712"/>
      <c r="H2712"/>
      <c r="I2712"/>
      <c r="J2712"/>
    </row>
    <row r="2713" spans="1:10" s="2" customFormat="1">
      <c r="A2713" s="1"/>
      <c r="E2713"/>
      <c r="F2713"/>
      <c r="G2713"/>
      <c r="H2713"/>
      <c r="I2713"/>
      <c r="J2713"/>
    </row>
    <row r="2714" spans="1:10" s="2" customFormat="1">
      <c r="A2714" s="1"/>
      <c r="E2714"/>
      <c r="F2714"/>
      <c r="G2714"/>
      <c r="H2714"/>
      <c r="I2714"/>
      <c r="J2714"/>
    </row>
    <row r="2715" spans="1:10" s="2" customFormat="1">
      <c r="A2715" s="1"/>
      <c r="E2715"/>
      <c r="F2715"/>
      <c r="G2715"/>
      <c r="H2715"/>
      <c r="I2715"/>
      <c r="J2715"/>
    </row>
    <row r="2716" spans="1:10" s="2" customFormat="1">
      <c r="A2716" s="1"/>
      <c r="E2716"/>
      <c r="F2716"/>
      <c r="G2716"/>
      <c r="H2716"/>
      <c r="I2716"/>
      <c r="J2716"/>
    </row>
    <row r="2717" spans="1:10" s="2" customFormat="1">
      <c r="A2717" s="1"/>
      <c r="E2717"/>
      <c r="F2717"/>
      <c r="G2717"/>
      <c r="H2717"/>
      <c r="I2717"/>
      <c r="J2717"/>
    </row>
    <row r="2718" spans="1:10" s="2" customFormat="1">
      <c r="A2718" s="1"/>
      <c r="E2718"/>
      <c r="F2718"/>
      <c r="G2718"/>
      <c r="H2718"/>
      <c r="I2718"/>
      <c r="J2718"/>
    </row>
    <row r="2719" spans="1:10" s="2" customFormat="1">
      <c r="A2719" s="1"/>
      <c r="E2719"/>
      <c r="F2719"/>
      <c r="G2719"/>
      <c r="H2719"/>
      <c r="I2719"/>
      <c r="J2719"/>
    </row>
    <row r="2720" spans="1:10" s="2" customFormat="1">
      <c r="A2720" s="1"/>
      <c r="E2720"/>
      <c r="F2720"/>
      <c r="G2720"/>
      <c r="H2720"/>
      <c r="I2720"/>
      <c r="J2720"/>
    </row>
    <row r="2721" spans="1:10" s="2" customFormat="1">
      <c r="A2721" s="1"/>
      <c r="E2721"/>
      <c r="F2721"/>
      <c r="G2721"/>
      <c r="H2721"/>
      <c r="I2721"/>
      <c r="J2721"/>
    </row>
    <row r="2722" spans="1:10" s="2" customFormat="1">
      <c r="A2722" s="1"/>
      <c r="E2722"/>
      <c r="F2722"/>
      <c r="G2722"/>
      <c r="H2722"/>
      <c r="I2722"/>
      <c r="J2722"/>
    </row>
    <row r="2723" spans="1:10" s="2" customFormat="1">
      <c r="A2723" s="1"/>
      <c r="E2723"/>
      <c r="F2723"/>
      <c r="G2723"/>
      <c r="H2723"/>
      <c r="I2723"/>
      <c r="J2723"/>
    </row>
    <row r="2724" spans="1:10" s="2" customFormat="1">
      <c r="A2724" s="1"/>
      <c r="E2724"/>
      <c r="F2724"/>
      <c r="G2724"/>
      <c r="H2724"/>
      <c r="I2724"/>
      <c r="J2724"/>
    </row>
    <row r="2725" spans="1:10" s="2" customFormat="1">
      <c r="A2725" s="1"/>
      <c r="E2725"/>
      <c r="F2725"/>
      <c r="G2725"/>
      <c r="H2725"/>
      <c r="I2725"/>
      <c r="J2725"/>
    </row>
    <row r="2726" spans="1:10" s="2" customFormat="1">
      <c r="A2726" s="1"/>
      <c r="E2726"/>
      <c r="F2726"/>
      <c r="G2726"/>
      <c r="H2726"/>
      <c r="I2726"/>
      <c r="J2726"/>
    </row>
    <row r="2727" spans="1:10" s="2" customFormat="1">
      <c r="A2727" s="1"/>
      <c r="E2727"/>
      <c r="F2727"/>
      <c r="G2727"/>
      <c r="H2727"/>
      <c r="I2727"/>
      <c r="J2727"/>
    </row>
    <row r="2728" spans="1:10" s="2" customFormat="1">
      <c r="A2728" s="1"/>
      <c r="E2728"/>
      <c r="F2728"/>
      <c r="G2728"/>
      <c r="H2728"/>
      <c r="I2728"/>
      <c r="J2728"/>
    </row>
    <row r="2729" spans="1:10" s="2" customFormat="1">
      <c r="A2729" s="1"/>
      <c r="E2729"/>
      <c r="F2729"/>
      <c r="G2729"/>
      <c r="H2729"/>
      <c r="I2729"/>
      <c r="J2729"/>
    </row>
    <row r="2730" spans="1:10" s="2" customFormat="1">
      <c r="A2730" s="1"/>
      <c r="E2730"/>
      <c r="F2730"/>
      <c r="G2730"/>
      <c r="H2730"/>
      <c r="I2730"/>
      <c r="J2730"/>
    </row>
    <row r="2731" spans="1:10" s="2" customFormat="1">
      <c r="A2731" s="1"/>
      <c r="E2731"/>
      <c r="F2731"/>
      <c r="G2731"/>
      <c r="H2731"/>
      <c r="I2731"/>
      <c r="J2731"/>
    </row>
    <row r="2732" spans="1:10" s="2" customFormat="1">
      <c r="A2732" s="1"/>
      <c r="E2732"/>
      <c r="F2732"/>
      <c r="G2732"/>
      <c r="H2732"/>
      <c r="I2732"/>
      <c r="J2732"/>
    </row>
    <row r="2733" spans="1:10" s="2" customFormat="1">
      <c r="A2733" s="1"/>
      <c r="E2733"/>
      <c r="F2733"/>
      <c r="G2733"/>
      <c r="H2733"/>
      <c r="I2733"/>
      <c r="J2733"/>
    </row>
    <row r="2734" spans="1:10" s="2" customFormat="1">
      <c r="A2734" s="1"/>
      <c r="E2734"/>
      <c r="F2734"/>
      <c r="G2734"/>
      <c r="H2734"/>
      <c r="I2734"/>
      <c r="J2734"/>
    </row>
    <row r="2735" spans="1:10" s="2" customFormat="1">
      <c r="A2735" s="1"/>
      <c r="E2735"/>
      <c r="F2735"/>
      <c r="G2735"/>
      <c r="H2735"/>
      <c r="I2735"/>
      <c r="J2735"/>
    </row>
    <row r="2736" spans="1:10" s="2" customFormat="1">
      <c r="A2736" s="1"/>
      <c r="E2736"/>
      <c r="F2736"/>
      <c r="G2736"/>
      <c r="H2736"/>
      <c r="I2736"/>
      <c r="J2736"/>
    </row>
    <row r="2737" spans="1:10" s="2" customFormat="1">
      <c r="A2737" s="1"/>
      <c r="E2737"/>
      <c r="F2737"/>
      <c r="G2737"/>
      <c r="H2737"/>
      <c r="I2737"/>
      <c r="J2737"/>
    </row>
    <row r="2738" spans="1:10" s="2" customFormat="1">
      <c r="A2738" s="1"/>
      <c r="E2738"/>
      <c r="F2738"/>
      <c r="G2738"/>
      <c r="H2738"/>
      <c r="I2738"/>
      <c r="J2738"/>
    </row>
    <row r="2739" spans="1:10" s="2" customFormat="1">
      <c r="A2739" s="1"/>
      <c r="E2739"/>
      <c r="F2739"/>
      <c r="G2739"/>
      <c r="H2739"/>
      <c r="I2739"/>
      <c r="J2739"/>
    </row>
    <row r="2740" spans="1:10" s="2" customFormat="1">
      <c r="A2740" s="1"/>
      <c r="E2740"/>
      <c r="F2740"/>
      <c r="G2740"/>
      <c r="H2740"/>
      <c r="I2740"/>
      <c r="J2740"/>
    </row>
    <row r="2741" spans="1:10" s="2" customFormat="1">
      <c r="A2741" s="1"/>
      <c r="E2741"/>
      <c r="F2741"/>
      <c r="G2741"/>
      <c r="H2741"/>
      <c r="I2741"/>
      <c r="J2741"/>
    </row>
    <row r="2742" spans="1:10" s="2" customFormat="1">
      <c r="A2742" s="1"/>
      <c r="E2742"/>
      <c r="F2742"/>
      <c r="G2742"/>
      <c r="H2742"/>
      <c r="I2742"/>
      <c r="J2742"/>
    </row>
    <row r="2743" spans="1:10" s="2" customFormat="1">
      <c r="A2743" s="1"/>
      <c r="E2743"/>
      <c r="F2743"/>
      <c r="G2743"/>
      <c r="H2743"/>
      <c r="I2743"/>
      <c r="J2743"/>
    </row>
    <row r="2744" spans="1:10" s="2" customFormat="1">
      <c r="A2744" s="1"/>
      <c r="E2744"/>
      <c r="F2744"/>
      <c r="G2744"/>
      <c r="H2744"/>
      <c r="I2744"/>
      <c r="J2744"/>
    </row>
    <row r="2745" spans="1:10" s="2" customFormat="1">
      <c r="A2745" s="1"/>
      <c r="E2745"/>
      <c r="F2745"/>
      <c r="G2745"/>
      <c r="H2745"/>
      <c r="I2745"/>
      <c r="J2745"/>
    </row>
    <row r="2746" spans="1:10" s="2" customFormat="1">
      <c r="A2746" s="1"/>
      <c r="E2746"/>
      <c r="F2746"/>
      <c r="G2746"/>
      <c r="H2746"/>
      <c r="I2746"/>
      <c r="J2746"/>
    </row>
    <row r="2747" spans="1:10" s="2" customFormat="1">
      <c r="A2747" s="1"/>
      <c r="E2747"/>
      <c r="F2747"/>
      <c r="G2747"/>
      <c r="H2747"/>
      <c r="I2747"/>
      <c r="J2747"/>
    </row>
    <row r="2748" spans="1:10" s="2" customFormat="1">
      <c r="A2748" s="1"/>
      <c r="E2748"/>
      <c r="F2748"/>
      <c r="G2748"/>
      <c r="H2748"/>
      <c r="I2748"/>
      <c r="J2748"/>
    </row>
    <row r="2749" spans="1:10" s="2" customFormat="1">
      <c r="A2749" s="1"/>
      <c r="E2749"/>
      <c r="F2749"/>
      <c r="G2749"/>
      <c r="H2749"/>
      <c r="I2749"/>
      <c r="J2749"/>
    </row>
    <row r="2750" spans="1:10" s="2" customFormat="1">
      <c r="A2750" s="1"/>
      <c r="E2750"/>
      <c r="F2750"/>
      <c r="G2750"/>
      <c r="H2750"/>
      <c r="I2750"/>
      <c r="J2750"/>
    </row>
    <row r="2751" spans="1:10" s="2" customFormat="1">
      <c r="A2751" s="1"/>
      <c r="E2751"/>
      <c r="F2751"/>
      <c r="G2751"/>
      <c r="H2751"/>
      <c r="I2751"/>
      <c r="J2751"/>
    </row>
    <row r="2752" spans="1:10" s="2" customFormat="1">
      <c r="A2752" s="1"/>
      <c r="E2752"/>
      <c r="F2752"/>
      <c r="G2752"/>
      <c r="H2752"/>
      <c r="I2752"/>
      <c r="J2752"/>
    </row>
    <row r="2753" spans="1:10" s="2" customFormat="1">
      <c r="A2753" s="1"/>
      <c r="E2753"/>
      <c r="F2753"/>
      <c r="G2753"/>
      <c r="H2753"/>
      <c r="I2753"/>
      <c r="J2753"/>
    </row>
    <row r="2754" spans="1:10" s="2" customFormat="1">
      <c r="A2754" s="1"/>
      <c r="E2754"/>
      <c r="F2754"/>
      <c r="G2754"/>
      <c r="H2754"/>
      <c r="I2754"/>
      <c r="J2754"/>
    </row>
    <row r="2755" spans="1:10" s="2" customFormat="1">
      <c r="A2755" s="1"/>
      <c r="E2755"/>
      <c r="F2755"/>
      <c r="G2755"/>
      <c r="H2755"/>
      <c r="I2755"/>
      <c r="J2755"/>
    </row>
    <row r="2756" spans="1:10" s="2" customFormat="1">
      <c r="A2756" s="1"/>
      <c r="E2756"/>
      <c r="F2756"/>
      <c r="G2756"/>
      <c r="H2756"/>
      <c r="I2756"/>
      <c r="J2756"/>
    </row>
    <row r="2757" spans="1:10" s="2" customFormat="1">
      <c r="A2757" s="1"/>
      <c r="E2757"/>
      <c r="F2757"/>
      <c r="G2757"/>
      <c r="H2757"/>
      <c r="I2757"/>
      <c r="J2757"/>
    </row>
    <row r="2758" spans="1:10" s="2" customFormat="1">
      <c r="A2758" s="1"/>
      <c r="E2758"/>
      <c r="F2758"/>
      <c r="G2758"/>
      <c r="H2758"/>
      <c r="I2758"/>
      <c r="J2758"/>
    </row>
    <row r="2759" spans="1:10" s="2" customFormat="1">
      <c r="A2759" s="1"/>
      <c r="E2759"/>
      <c r="F2759"/>
      <c r="G2759"/>
      <c r="H2759"/>
      <c r="I2759"/>
      <c r="J2759"/>
    </row>
    <row r="2760" spans="1:10" s="2" customFormat="1">
      <c r="A2760" s="1"/>
      <c r="E2760"/>
      <c r="F2760"/>
      <c r="G2760"/>
      <c r="H2760"/>
      <c r="I2760"/>
      <c r="J2760"/>
    </row>
    <row r="2761" spans="1:10" s="2" customFormat="1">
      <c r="A2761" s="1"/>
      <c r="E2761"/>
      <c r="F2761"/>
      <c r="G2761"/>
      <c r="H2761"/>
      <c r="I2761"/>
      <c r="J2761"/>
    </row>
    <row r="2762" spans="1:10" s="2" customFormat="1">
      <c r="A2762" s="1"/>
      <c r="E2762"/>
      <c r="F2762"/>
      <c r="G2762"/>
      <c r="H2762"/>
      <c r="I2762"/>
      <c r="J2762"/>
    </row>
    <row r="2763" spans="1:10" s="2" customFormat="1">
      <c r="A2763" s="1"/>
      <c r="E2763"/>
      <c r="F2763"/>
      <c r="G2763"/>
      <c r="H2763"/>
      <c r="I2763"/>
      <c r="J2763"/>
    </row>
    <row r="2764" spans="1:10" s="2" customFormat="1">
      <c r="A2764" s="1"/>
      <c r="E2764"/>
      <c r="F2764"/>
      <c r="G2764"/>
      <c r="H2764"/>
      <c r="I2764"/>
      <c r="J2764"/>
    </row>
    <row r="2765" spans="1:10" s="2" customFormat="1">
      <c r="A2765" s="1"/>
      <c r="E2765"/>
      <c r="F2765"/>
      <c r="G2765"/>
      <c r="H2765"/>
      <c r="I2765"/>
      <c r="J2765"/>
    </row>
    <row r="2766" spans="1:10" s="2" customFormat="1">
      <c r="A2766" s="1"/>
      <c r="E2766"/>
      <c r="F2766"/>
      <c r="G2766"/>
      <c r="H2766"/>
      <c r="I2766"/>
      <c r="J2766"/>
    </row>
    <row r="2767" spans="1:10" s="2" customFormat="1">
      <c r="A2767" s="1"/>
      <c r="E2767"/>
      <c r="F2767"/>
      <c r="G2767"/>
      <c r="H2767"/>
      <c r="I2767"/>
      <c r="J2767"/>
    </row>
    <row r="2768" spans="1:10" s="2" customFormat="1">
      <c r="A2768" s="1"/>
      <c r="E2768"/>
      <c r="F2768"/>
      <c r="G2768"/>
      <c r="H2768"/>
      <c r="I2768"/>
      <c r="J2768"/>
    </row>
    <row r="2769" spans="1:10" s="2" customFormat="1">
      <c r="A2769" s="1"/>
      <c r="E2769"/>
      <c r="F2769"/>
      <c r="G2769"/>
      <c r="H2769"/>
      <c r="I2769"/>
      <c r="J2769"/>
    </row>
    <row r="2770" spans="1:10" s="2" customFormat="1">
      <c r="A2770" s="1"/>
      <c r="E2770"/>
      <c r="F2770"/>
      <c r="G2770"/>
      <c r="H2770"/>
      <c r="I2770"/>
      <c r="J2770"/>
    </row>
    <row r="2771" spans="1:10" s="2" customFormat="1">
      <c r="A2771" s="1"/>
      <c r="E2771"/>
      <c r="F2771"/>
      <c r="G2771"/>
      <c r="H2771"/>
      <c r="I2771"/>
      <c r="J2771"/>
    </row>
    <row r="2772" spans="1:10" s="2" customFormat="1">
      <c r="A2772" s="1"/>
      <c r="E2772"/>
      <c r="F2772"/>
      <c r="G2772"/>
      <c r="H2772"/>
      <c r="I2772"/>
      <c r="J2772"/>
    </row>
    <row r="2773" spans="1:10" s="2" customFormat="1">
      <c r="A2773" s="1"/>
      <c r="E2773"/>
      <c r="F2773"/>
      <c r="G2773"/>
      <c r="H2773"/>
      <c r="I2773"/>
      <c r="J2773"/>
    </row>
    <row r="2774" spans="1:10" s="2" customFormat="1">
      <c r="A2774" s="1"/>
      <c r="E2774"/>
      <c r="F2774"/>
      <c r="G2774"/>
      <c r="H2774"/>
      <c r="I2774"/>
      <c r="J2774"/>
    </row>
    <row r="2775" spans="1:10" s="2" customFormat="1">
      <c r="A2775" s="1"/>
      <c r="E2775"/>
      <c r="F2775"/>
      <c r="G2775"/>
      <c r="H2775"/>
      <c r="I2775"/>
      <c r="J2775"/>
    </row>
    <row r="2776" spans="1:10" s="2" customFormat="1">
      <c r="A2776" s="1"/>
      <c r="E2776"/>
      <c r="F2776"/>
      <c r="G2776"/>
      <c r="H2776"/>
      <c r="I2776"/>
      <c r="J2776"/>
    </row>
    <row r="2777" spans="1:10" s="2" customFormat="1">
      <c r="A2777" s="1"/>
      <c r="E2777"/>
      <c r="F2777"/>
      <c r="G2777"/>
      <c r="H2777"/>
      <c r="I2777"/>
      <c r="J2777"/>
    </row>
    <row r="2778" spans="1:10" s="2" customFormat="1">
      <c r="A2778" s="1"/>
      <c r="E2778"/>
      <c r="F2778"/>
      <c r="G2778"/>
      <c r="H2778"/>
      <c r="I2778"/>
      <c r="J2778"/>
    </row>
    <row r="2779" spans="1:10" s="2" customFormat="1">
      <c r="A2779" s="1"/>
      <c r="E2779"/>
      <c r="F2779"/>
      <c r="G2779"/>
      <c r="H2779"/>
      <c r="I2779"/>
      <c r="J2779"/>
    </row>
    <row r="2780" spans="1:10" s="2" customFormat="1">
      <c r="A2780" s="1"/>
      <c r="E2780"/>
      <c r="F2780"/>
      <c r="G2780"/>
      <c r="H2780"/>
      <c r="I2780"/>
      <c r="J2780"/>
    </row>
    <row r="2781" spans="1:10" s="2" customFormat="1">
      <c r="A2781" s="1"/>
      <c r="E2781"/>
      <c r="F2781"/>
      <c r="G2781"/>
      <c r="H2781"/>
      <c r="I2781"/>
      <c r="J2781"/>
    </row>
    <row r="2782" spans="1:10" s="2" customFormat="1">
      <c r="A2782" s="1"/>
      <c r="E2782"/>
      <c r="F2782"/>
      <c r="G2782"/>
      <c r="H2782"/>
      <c r="I2782"/>
      <c r="J2782"/>
    </row>
    <row r="2783" spans="1:10" s="2" customFormat="1">
      <c r="A2783" s="1"/>
      <c r="E2783"/>
      <c r="F2783"/>
      <c r="G2783"/>
      <c r="H2783"/>
      <c r="I2783"/>
      <c r="J2783"/>
    </row>
    <row r="2784" spans="1:10" s="2" customFormat="1">
      <c r="A2784" s="1"/>
      <c r="E2784"/>
      <c r="F2784"/>
      <c r="G2784"/>
      <c r="H2784"/>
      <c r="I2784"/>
      <c r="J2784"/>
    </row>
    <row r="2785" spans="1:10" s="2" customFormat="1">
      <c r="A2785" s="1"/>
      <c r="E2785"/>
      <c r="F2785"/>
      <c r="G2785"/>
      <c r="H2785"/>
      <c r="I2785"/>
      <c r="J2785"/>
    </row>
    <row r="2786" spans="1:10" s="2" customFormat="1">
      <c r="A2786" s="1"/>
      <c r="E2786"/>
      <c r="F2786"/>
      <c r="G2786"/>
      <c r="H2786"/>
      <c r="I2786"/>
      <c r="J2786"/>
    </row>
    <row r="2787" spans="1:10" s="2" customFormat="1">
      <c r="A2787" s="1"/>
      <c r="E2787"/>
      <c r="F2787"/>
      <c r="G2787"/>
      <c r="H2787"/>
      <c r="I2787"/>
      <c r="J2787"/>
    </row>
    <row r="2788" spans="1:10" s="2" customFormat="1">
      <c r="A2788" s="1"/>
      <c r="E2788"/>
      <c r="F2788"/>
      <c r="G2788"/>
      <c r="H2788"/>
      <c r="I2788"/>
      <c r="J2788"/>
    </row>
    <row r="2789" spans="1:10" s="2" customFormat="1">
      <c r="A2789" s="1"/>
      <c r="E2789"/>
      <c r="F2789"/>
      <c r="G2789"/>
      <c r="H2789"/>
      <c r="I2789"/>
      <c r="J2789"/>
    </row>
    <row r="2790" spans="1:10" s="2" customFormat="1">
      <c r="A2790" s="1"/>
      <c r="E2790"/>
      <c r="F2790"/>
      <c r="G2790"/>
      <c r="H2790"/>
      <c r="I2790"/>
      <c r="J2790"/>
    </row>
    <row r="2791" spans="1:10" s="2" customFormat="1">
      <c r="A2791" s="1"/>
      <c r="E2791"/>
      <c r="F2791"/>
      <c r="G2791"/>
      <c r="H2791"/>
      <c r="I2791"/>
      <c r="J2791"/>
    </row>
    <row r="2792" spans="1:10" s="2" customFormat="1">
      <c r="A2792" s="1"/>
      <c r="E2792"/>
      <c r="F2792"/>
      <c r="G2792"/>
      <c r="H2792"/>
      <c r="I2792"/>
      <c r="J2792"/>
    </row>
    <row r="2793" spans="1:10" s="2" customFormat="1">
      <c r="A2793" s="1"/>
      <c r="E2793"/>
      <c r="F2793"/>
      <c r="G2793"/>
      <c r="H2793"/>
      <c r="I2793"/>
      <c r="J2793"/>
    </row>
    <row r="2794" spans="1:10" s="2" customFormat="1">
      <c r="A2794" s="1"/>
      <c r="E2794"/>
      <c r="F2794"/>
      <c r="G2794"/>
      <c r="H2794"/>
      <c r="I2794"/>
      <c r="J2794"/>
    </row>
    <row r="2795" spans="1:10" s="2" customFormat="1">
      <c r="A2795" s="1"/>
      <c r="E2795"/>
      <c r="F2795"/>
      <c r="G2795"/>
      <c r="H2795"/>
      <c r="I2795"/>
      <c r="J2795"/>
    </row>
    <row r="2796" spans="1:10" s="2" customFormat="1">
      <c r="A2796" s="1"/>
      <c r="E2796"/>
      <c r="F2796"/>
      <c r="G2796"/>
      <c r="H2796"/>
      <c r="I2796"/>
      <c r="J2796"/>
    </row>
    <row r="2797" spans="1:10" s="2" customFormat="1">
      <c r="A2797" s="1"/>
      <c r="E2797"/>
      <c r="F2797"/>
      <c r="G2797"/>
      <c r="H2797"/>
      <c r="I2797"/>
      <c r="J2797"/>
    </row>
    <row r="2798" spans="1:10" s="2" customFormat="1">
      <c r="A2798" s="1"/>
      <c r="E2798"/>
      <c r="F2798"/>
      <c r="G2798"/>
      <c r="H2798"/>
      <c r="I2798"/>
      <c r="J2798"/>
    </row>
    <row r="2799" spans="1:10" s="2" customFormat="1">
      <c r="A2799" s="1"/>
      <c r="E2799"/>
      <c r="F2799"/>
      <c r="G2799"/>
      <c r="H2799"/>
      <c r="I2799"/>
      <c r="J2799"/>
    </row>
    <row r="2800" spans="1:10" s="2" customFormat="1">
      <c r="A2800" s="1"/>
      <c r="E2800"/>
      <c r="F2800"/>
      <c r="G2800"/>
      <c r="H2800"/>
      <c r="I2800"/>
      <c r="J2800"/>
    </row>
    <row r="2801" spans="1:10" s="2" customFormat="1">
      <c r="A2801" s="1"/>
      <c r="E2801"/>
      <c r="F2801"/>
      <c r="G2801"/>
      <c r="H2801"/>
      <c r="I2801"/>
      <c r="J2801"/>
    </row>
    <row r="2802" spans="1:10" s="2" customFormat="1">
      <c r="A2802" s="1"/>
      <c r="E2802"/>
      <c r="F2802"/>
      <c r="G2802"/>
      <c r="H2802"/>
      <c r="I2802"/>
      <c r="J2802"/>
    </row>
    <row r="2803" spans="1:10" s="2" customFormat="1">
      <c r="A2803" s="1"/>
      <c r="E2803"/>
      <c r="F2803"/>
      <c r="G2803"/>
      <c r="H2803"/>
      <c r="I2803"/>
      <c r="J2803"/>
    </row>
    <row r="2804" spans="1:10" s="2" customFormat="1">
      <c r="A2804" s="1"/>
      <c r="E2804"/>
      <c r="F2804"/>
      <c r="G2804"/>
      <c r="H2804"/>
      <c r="I2804"/>
      <c r="J2804"/>
    </row>
    <row r="2805" spans="1:10" s="2" customFormat="1">
      <c r="A2805" s="1"/>
      <c r="E2805"/>
      <c r="F2805"/>
      <c r="G2805"/>
      <c r="H2805"/>
      <c r="I2805"/>
      <c r="J2805"/>
    </row>
    <row r="2806" spans="1:10" s="2" customFormat="1">
      <c r="A2806" s="1"/>
      <c r="E2806"/>
      <c r="F2806"/>
      <c r="G2806"/>
      <c r="H2806"/>
      <c r="I2806"/>
      <c r="J2806"/>
    </row>
    <row r="2807" spans="1:10" s="2" customFormat="1">
      <c r="A2807" s="1"/>
      <c r="E2807"/>
      <c r="F2807"/>
      <c r="G2807"/>
      <c r="H2807"/>
      <c r="I2807"/>
      <c r="J2807"/>
    </row>
    <row r="2808" spans="1:10" s="2" customFormat="1">
      <c r="A2808" s="1"/>
      <c r="E2808"/>
      <c r="F2808"/>
      <c r="G2808"/>
      <c r="H2808"/>
      <c r="I2808"/>
      <c r="J2808"/>
    </row>
    <row r="2809" spans="1:10" s="2" customFormat="1">
      <c r="A2809" s="1"/>
      <c r="E2809"/>
      <c r="F2809"/>
      <c r="G2809"/>
      <c r="H2809"/>
      <c r="I2809"/>
      <c r="J2809"/>
    </row>
    <row r="2810" spans="1:10" s="2" customFormat="1">
      <c r="A2810" s="1"/>
      <c r="E2810"/>
      <c r="F2810"/>
      <c r="G2810"/>
      <c r="H2810"/>
      <c r="I2810"/>
      <c r="J2810"/>
    </row>
    <row r="2811" spans="1:10" s="2" customFormat="1">
      <c r="A2811" s="1"/>
      <c r="E2811"/>
      <c r="F2811"/>
      <c r="G2811"/>
      <c r="H2811"/>
      <c r="I2811"/>
      <c r="J2811"/>
    </row>
    <row r="2812" spans="1:10" s="2" customFormat="1">
      <c r="A2812" s="1"/>
      <c r="E2812"/>
      <c r="F2812"/>
      <c r="G2812"/>
      <c r="H2812"/>
      <c r="I2812"/>
      <c r="J2812"/>
    </row>
    <row r="2813" spans="1:10" s="2" customFormat="1">
      <c r="A2813" s="1"/>
      <c r="E2813"/>
      <c r="F2813"/>
      <c r="G2813"/>
      <c r="H2813"/>
      <c r="I2813"/>
      <c r="J2813"/>
    </row>
    <row r="2814" spans="1:10" s="2" customFormat="1">
      <c r="A2814" s="1"/>
      <c r="E2814"/>
      <c r="F2814"/>
      <c r="G2814"/>
      <c r="H2814"/>
      <c r="I2814"/>
      <c r="J2814"/>
    </row>
    <row r="2815" spans="1:10" s="2" customFormat="1">
      <c r="A2815" s="1"/>
      <c r="E2815"/>
      <c r="F2815"/>
      <c r="G2815"/>
      <c r="H2815"/>
      <c r="I2815"/>
      <c r="J2815"/>
    </row>
    <row r="2816" spans="1:10" s="2" customFormat="1">
      <c r="A2816" s="1"/>
      <c r="E2816"/>
      <c r="F2816"/>
      <c r="G2816"/>
      <c r="H2816"/>
      <c r="I2816"/>
      <c r="J2816"/>
    </row>
    <row r="2817" spans="1:10" s="2" customFormat="1">
      <c r="A2817" s="1"/>
      <c r="E2817"/>
      <c r="F2817"/>
      <c r="G2817"/>
      <c r="H2817"/>
      <c r="I2817"/>
      <c r="J2817"/>
    </row>
    <row r="2818" spans="1:10" s="2" customFormat="1">
      <c r="A2818" s="1"/>
      <c r="E2818"/>
      <c r="F2818"/>
      <c r="G2818"/>
      <c r="H2818"/>
      <c r="I2818"/>
      <c r="J2818"/>
    </row>
    <row r="2819" spans="1:10" s="2" customFormat="1">
      <c r="A2819" s="1"/>
      <c r="E2819"/>
      <c r="F2819"/>
      <c r="G2819"/>
      <c r="H2819"/>
      <c r="I2819"/>
      <c r="J2819"/>
    </row>
    <row r="2820" spans="1:10" s="2" customFormat="1">
      <c r="A2820" s="1"/>
      <c r="E2820"/>
      <c r="F2820"/>
      <c r="G2820"/>
      <c r="H2820"/>
      <c r="I2820"/>
      <c r="J2820"/>
    </row>
    <row r="2821" spans="1:10" s="2" customFormat="1">
      <c r="A2821" s="1"/>
      <c r="E2821"/>
      <c r="F2821"/>
      <c r="G2821"/>
      <c r="H2821"/>
      <c r="I2821"/>
      <c r="J2821"/>
    </row>
    <row r="2822" spans="1:10" s="2" customFormat="1">
      <c r="A2822" s="1"/>
      <c r="E2822"/>
      <c r="F2822"/>
      <c r="G2822"/>
      <c r="H2822"/>
      <c r="I2822"/>
      <c r="J2822"/>
    </row>
    <row r="2823" spans="1:10" s="2" customFormat="1">
      <c r="A2823" s="1"/>
      <c r="E2823"/>
      <c r="F2823"/>
      <c r="G2823"/>
      <c r="H2823"/>
      <c r="I2823"/>
      <c r="J2823"/>
    </row>
    <row r="2824" spans="1:10" s="2" customFormat="1">
      <c r="A2824" s="1"/>
      <c r="E2824"/>
      <c r="F2824"/>
      <c r="G2824"/>
      <c r="H2824"/>
      <c r="I2824"/>
      <c r="J2824"/>
    </row>
    <row r="2825" spans="1:10" s="2" customFormat="1">
      <c r="A2825" s="1"/>
      <c r="E2825"/>
      <c r="F2825"/>
      <c r="G2825"/>
      <c r="H2825"/>
      <c r="I2825"/>
      <c r="J2825"/>
    </row>
    <row r="2826" spans="1:10" s="2" customFormat="1">
      <c r="A2826" s="1"/>
      <c r="E2826"/>
      <c r="F2826"/>
      <c r="G2826"/>
      <c r="H2826"/>
      <c r="I2826"/>
      <c r="J2826"/>
    </row>
    <row r="2827" spans="1:10" s="2" customFormat="1">
      <c r="A2827" s="1"/>
      <c r="E2827"/>
      <c r="F2827"/>
      <c r="G2827"/>
      <c r="H2827"/>
      <c r="I2827"/>
      <c r="J2827"/>
    </row>
    <row r="2828" spans="1:10" s="2" customFormat="1">
      <c r="A2828" s="1"/>
      <c r="E2828"/>
      <c r="F2828"/>
      <c r="G2828"/>
      <c r="H2828"/>
      <c r="I2828"/>
      <c r="J2828"/>
    </row>
    <row r="2829" spans="1:10" s="2" customFormat="1">
      <c r="A2829" s="1"/>
      <c r="E2829"/>
      <c r="F2829"/>
      <c r="G2829"/>
      <c r="H2829"/>
      <c r="I2829"/>
      <c r="J2829"/>
    </row>
    <row r="2830" spans="1:10" s="2" customFormat="1">
      <c r="A2830" s="1"/>
      <c r="E2830"/>
      <c r="F2830"/>
      <c r="G2830"/>
      <c r="H2830"/>
      <c r="I2830"/>
      <c r="J2830"/>
    </row>
    <row r="2831" spans="1:10" s="2" customFormat="1">
      <c r="A2831" s="1"/>
      <c r="E2831"/>
      <c r="F2831"/>
      <c r="G2831"/>
      <c r="H2831"/>
      <c r="I2831"/>
      <c r="J2831"/>
    </row>
    <row r="2832" spans="1:10" s="2" customFormat="1">
      <c r="A2832" s="1"/>
      <c r="E2832"/>
      <c r="F2832"/>
      <c r="G2832"/>
      <c r="H2832"/>
      <c r="I2832"/>
      <c r="J2832"/>
    </row>
    <row r="2833" spans="1:10" s="2" customFormat="1">
      <c r="A2833" s="1"/>
      <c r="E2833"/>
      <c r="F2833"/>
      <c r="G2833"/>
      <c r="H2833"/>
      <c r="I2833"/>
      <c r="J2833"/>
    </row>
    <row r="2834" spans="1:10" s="2" customFormat="1">
      <c r="A2834" s="1"/>
      <c r="E2834"/>
      <c r="F2834"/>
      <c r="G2834"/>
      <c r="H2834"/>
      <c r="I2834"/>
      <c r="J2834"/>
    </row>
    <row r="2835" spans="1:10" s="2" customFormat="1">
      <c r="A2835" s="1"/>
      <c r="E2835"/>
      <c r="F2835"/>
      <c r="G2835"/>
      <c r="H2835"/>
      <c r="I2835"/>
      <c r="J2835"/>
    </row>
    <row r="2836" spans="1:10" s="2" customFormat="1">
      <c r="A2836" s="1"/>
      <c r="E2836"/>
      <c r="F2836"/>
      <c r="G2836"/>
      <c r="H2836"/>
      <c r="I2836"/>
      <c r="J2836"/>
    </row>
    <row r="2837" spans="1:10" s="2" customFormat="1">
      <c r="A2837" s="1"/>
      <c r="E2837"/>
      <c r="F2837"/>
      <c r="G2837"/>
      <c r="H2837"/>
      <c r="I2837"/>
      <c r="J2837"/>
    </row>
    <row r="2838" spans="1:10" s="2" customFormat="1">
      <c r="A2838" s="1"/>
      <c r="E2838"/>
      <c r="F2838"/>
      <c r="G2838"/>
      <c r="H2838"/>
      <c r="I2838"/>
      <c r="J2838"/>
    </row>
    <row r="2839" spans="1:10" s="2" customFormat="1">
      <c r="A2839" s="1"/>
      <c r="E2839"/>
      <c r="F2839"/>
      <c r="G2839"/>
      <c r="H2839"/>
      <c r="I2839"/>
      <c r="J2839"/>
    </row>
    <row r="2840" spans="1:10" s="2" customFormat="1">
      <c r="A2840" s="1"/>
      <c r="E2840"/>
      <c r="F2840"/>
      <c r="G2840"/>
      <c r="H2840"/>
      <c r="I2840"/>
      <c r="J2840"/>
    </row>
    <row r="2841" spans="1:10" s="2" customFormat="1">
      <c r="A2841" s="1"/>
      <c r="E2841"/>
      <c r="F2841"/>
      <c r="G2841"/>
      <c r="H2841"/>
      <c r="I2841"/>
      <c r="J2841"/>
    </row>
    <row r="2842" spans="1:10" s="2" customFormat="1">
      <c r="A2842" s="1"/>
      <c r="E2842"/>
      <c r="F2842"/>
      <c r="G2842"/>
      <c r="H2842"/>
      <c r="I2842"/>
      <c r="J2842"/>
    </row>
    <row r="2843" spans="1:10" s="2" customFormat="1">
      <c r="A2843" s="1"/>
      <c r="E2843"/>
      <c r="F2843"/>
      <c r="G2843"/>
      <c r="H2843"/>
      <c r="I2843"/>
      <c r="J2843"/>
    </row>
    <row r="2844" spans="1:10" s="2" customFormat="1">
      <c r="A2844" s="1"/>
      <c r="E2844"/>
      <c r="F2844"/>
      <c r="G2844"/>
      <c r="H2844"/>
      <c r="I2844"/>
      <c r="J2844"/>
    </row>
    <row r="2845" spans="1:10" s="2" customFormat="1">
      <c r="A2845" s="1"/>
      <c r="E2845"/>
      <c r="F2845"/>
      <c r="G2845"/>
      <c r="H2845"/>
      <c r="I2845"/>
      <c r="J2845"/>
    </row>
    <row r="2846" spans="1:10" s="2" customFormat="1">
      <c r="A2846" s="1"/>
      <c r="E2846"/>
      <c r="F2846"/>
      <c r="G2846"/>
      <c r="H2846"/>
      <c r="I2846"/>
      <c r="J2846"/>
    </row>
    <row r="2847" spans="1:10" s="2" customFormat="1">
      <c r="A2847" s="1"/>
      <c r="E2847"/>
      <c r="F2847"/>
      <c r="G2847"/>
      <c r="H2847"/>
      <c r="I2847"/>
      <c r="J2847"/>
    </row>
    <row r="2848" spans="1:10" s="2" customFormat="1">
      <c r="A2848" s="1"/>
      <c r="E2848"/>
      <c r="F2848"/>
      <c r="G2848"/>
      <c r="H2848"/>
      <c r="I2848"/>
      <c r="J2848"/>
    </row>
    <row r="2849" spans="1:10" s="2" customFormat="1">
      <c r="A2849" s="1"/>
      <c r="E2849"/>
      <c r="F2849"/>
      <c r="G2849"/>
      <c r="H2849"/>
      <c r="I2849"/>
      <c r="J2849"/>
    </row>
    <row r="2850" spans="1:10" s="2" customFormat="1">
      <c r="A2850" s="1"/>
      <c r="E2850"/>
      <c r="F2850"/>
      <c r="G2850"/>
      <c r="H2850"/>
      <c r="I2850"/>
      <c r="J2850"/>
    </row>
    <row r="2851" spans="1:10" s="2" customFormat="1">
      <c r="A2851" s="1"/>
      <c r="E2851"/>
      <c r="F2851"/>
      <c r="G2851"/>
      <c r="H2851"/>
      <c r="I2851"/>
      <c r="J2851"/>
    </row>
    <row r="2852" spans="1:10" s="2" customFormat="1">
      <c r="A2852" s="1"/>
      <c r="E2852"/>
      <c r="F2852"/>
      <c r="G2852"/>
      <c r="H2852"/>
      <c r="I2852"/>
      <c r="J2852"/>
    </row>
    <row r="2853" spans="1:10" s="2" customFormat="1">
      <c r="A2853" s="1"/>
      <c r="E2853"/>
      <c r="F2853"/>
      <c r="G2853"/>
      <c r="H2853"/>
      <c r="I2853"/>
      <c r="J2853"/>
    </row>
    <row r="2854" spans="1:10" s="2" customFormat="1">
      <c r="A2854" s="1"/>
      <c r="E2854"/>
      <c r="F2854"/>
      <c r="G2854"/>
      <c r="H2854"/>
      <c r="I2854"/>
      <c r="J2854"/>
    </row>
    <row r="2855" spans="1:10" s="2" customFormat="1">
      <c r="A2855" s="1"/>
      <c r="E2855"/>
      <c r="F2855"/>
      <c r="G2855"/>
      <c r="H2855"/>
      <c r="I2855"/>
      <c r="J2855"/>
    </row>
    <row r="2856" spans="1:10" s="2" customFormat="1">
      <c r="A2856" s="1"/>
      <c r="E2856"/>
      <c r="F2856"/>
      <c r="G2856"/>
      <c r="H2856"/>
      <c r="I2856"/>
      <c r="J2856"/>
    </row>
    <row r="2857" spans="1:10" s="2" customFormat="1">
      <c r="A2857" s="1"/>
      <c r="E2857"/>
      <c r="F2857"/>
      <c r="G2857"/>
      <c r="H2857"/>
      <c r="I2857"/>
      <c r="J2857"/>
    </row>
    <row r="2858" spans="1:10" s="2" customFormat="1">
      <c r="A2858" s="1"/>
      <c r="E2858"/>
      <c r="F2858"/>
      <c r="G2858"/>
      <c r="H2858"/>
      <c r="I2858"/>
      <c r="J2858"/>
    </row>
    <row r="2859" spans="1:10" s="2" customFormat="1">
      <c r="A2859" s="1"/>
      <c r="E2859"/>
      <c r="F2859"/>
      <c r="G2859"/>
      <c r="H2859"/>
      <c r="I2859"/>
      <c r="J2859"/>
    </row>
    <row r="2860" spans="1:10" s="2" customFormat="1">
      <c r="A2860" s="1"/>
      <c r="E2860"/>
      <c r="F2860"/>
      <c r="G2860"/>
      <c r="H2860"/>
      <c r="I2860"/>
      <c r="J2860"/>
    </row>
    <row r="2861" spans="1:10" s="2" customFormat="1">
      <c r="A2861" s="1"/>
      <c r="E2861"/>
      <c r="F2861"/>
      <c r="G2861"/>
      <c r="H2861"/>
      <c r="I2861"/>
      <c r="J2861"/>
    </row>
    <row r="2862" spans="1:10" s="2" customFormat="1">
      <c r="A2862" s="1"/>
      <c r="E2862"/>
      <c r="F2862"/>
      <c r="G2862"/>
      <c r="H2862"/>
      <c r="I2862"/>
      <c r="J2862"/>
    </row>
    <row r="2863" spans="1:10" s="2" customFormat="1">
      <c r="A2863" s="1"/>
      <c r="E2863"/>
      <c r="F2863"/>
      <c r="G2863"/>
      <c r="H2863"/>
      <c r="I2863"/>
      <c r="J2863"/>
    </row>
    <row r="2864" spans="1:10" s="2" customFormat="1">
      <c r="A2864" s="1"/>
      <c r="E2864"/>
      <c r="F2864"/>
      <c r="G2864"/>
      <c r="H2864"/>
      <c r="I2864"/>
      <c r="J2864"/>
    </row>
    <row r="2865" spans="1:10" s="2" customFormat="1">
      <c r="A2865" s="1"/>
      <c r="E2865"/>
      <c r="F2865"/>
      <c r="G2865"/>
      <c r="H2865"/>
      <c r="I2865"/>
      <c r="J2865"/>
    </row>
    <row r="2866" spans="1:10" s="2" customFormat="1">
      <c r="A2866" s="1"/>
      <c r="E2866"/>
      <c r="F2866"/>
      <c r="G2866"/>
      <c r="H2866"/>
      <c r="I2866"/>
      <c r="J2866"/>
    </row>
    <row r="2867" spans="1:10" s="2" customFormat="1">
      <c r="A2867" s="1"/>
      <c r="E2867"/>
      <c r="F2867"/>
      <c r="G2867"/>
      <c r="H2867"/>
      <c r="I2867"/>
      <c r="J2867"/>
    </row>
    <row r="2868" spans="1:10" s="2" customFormat="1">
      <c r="A2868" s="1"/>
      <c r="E2868"/>
      <c r="F2868"/>
      <c r="G2868"/>
      <c r="H2868"/>
      <c r="I2868"/>
      <c r="J2868"/>
    </row>
    <row r="2869" spans="1:10" s="2" customFormat="1">
      <c r="A2869" s="1"/>
      <c r="E2869"/>
      <c r="F2869"/>
      <c r="G2869"/>
      <c r="H2869"/>
      <c r="I2869"/>
      <c r="J2869"/>
    </row>
    <row r="2870" spans="1:10" s="2" customFormat="1">
      <c r="A2870" s="1"/>
      <c r="E2870"/>
      <c r="F2870"/>
      <c r="G2870"/>
      <c r="H2870"/>
      <c r="I2870"/>
      <c r="J2870"/>
    </row>
    <row r="2871" spans="1:10" s="2" customFormat="1">
      <c r="A2871" s="1"/>
      <c r="E2871"/>
      <c r="F2871"/>
      <c r="G2871"/>
      <c r="H2871"/>
      <c r="I2871"/>
      <c r="J2871"/>
    </row>
    <row r="2872" spans="1:10" s="2" customFormat="1">
      <c r="A2872" s="1"/>
      <c r="E2872"/>
      <c r="F2872"/>
      <c r="G2872"/>
      <c r="H2872"/>
      <c r="I2872"/>
      <c r="J2872"/>
    </row>
    <row r="2873" spans="1:10" s="2" customFormat="1">
      <c r="A2873" s="1"/>
      <c r="E2873"/>
      <c r="F2873"/>
      <c r="G2873"/>
      <c r="H2873"/>
      <c r="I2873"/>
      <c r="J2873"/>
    </row>
    <row r="2874" spans="1:10" s="2" customFormat="1">
      <c r="A2874" s="1"/>
      <c r="E2874"/>
      <c r="F2874"/>
      <c r="G2874"/>
      <c r="H2874"/>
      <c r="I2874"/>
      <c r="J2874"/>
    </row>
    <row r="2875" spans="1:10" s="2" customFormat="1">
      <c r="A2875" s="1"/>
      <c r="E2875"/>
      <c r="F2875"/>
      <c r="G2875"/>
      <c r="H2875"/>
      <c r="I2875"/>
      <c r="J2875"/>
    </row>
    <row r="2876" spans="1:10" s="2" customFormat="1">
      <c r="A2876" s="1"/>
      <c r="E2876"/>
      <c r="F2876"/>
      <c r="G2876"/>
      <c r="H2876"/>
      <c r="I2876"/>
      <c r="J2876"/>
    </row>
    <row r="2877" spans="1:10" s="2" customFormat="1">
      <c r="A2877" s="1"/>
      <c r="E2877"/>
      <c r="F2877"/>
      <c r="G2877"/>
      <c r="H2877"/>
      <c r="I2877"/>
      <c r="J2877"/>
    </row>
    <row r="2878" spans="1:10" s="2" customFormat="1">
      <c r="A2878" s="1"/>
      <c r="E2878"/>
      <c r="F2878"/>
      <c r="G2878"/>
      <c r="H2878"/>
      <c r="I2878"/>
      <c r="J2878"/>
    </row>
    <row r="2879" spans="1:10" s="2" customFormat="1">
      <c r="A2879" s="1"/>
      <c r="E2879"/>
      <c r="F2879"/>
      <c r="G2879"/>
      <c r="H2879"/>
      <c r="I2879"/>
      <c r="J2879"/>
    </row>
    <row r="2880" spans="1:10" s="2" customFormat="1">
      <c r="A2880" s="1"/>
      <c r="E2880"/>
      <c r="F2880"/>
      <c r="G2880"/>
      <c r="H2880"/>
      <c r="I2880"/>
      <c r="J2880"/>
    </row>
    <row r="2881" spans="1:10" s="2" customFormat="1">
      <c r="A2881" s="1"/>
      <c r="E2881"/>
      <c r="F2881"/>
      <c r="G2881"/>
      <c r="H2881"/>
      <c r="I2881"/>
      <c r="J2881"/>
    </row>
    <row r="2882" spans="1:10" s="2" customFormat="1">
      <c r="A2882" s="1"/>
      <c r="E2882"/>
      <c r="F2882"/>
      <c r="G2882"/>
      <c r="H2882"/>
      <c r="I2882"/>
      <c r="J2882"/>
    </row>
    <row r="2883" spans="1:10" s="2" customFormat="1">
      <c r="A2883" s="1"/>
      <c r="E2883"/>
      <c r="F2883"/>
      <c r="G2883"/>
      <c r="H2883"/>
      <c r="I2883"/>
      <c r="J2883"/>
    </row>
    <row r="2884" spans="1:10" s="2" customFormat="1">
      <c r="A2884" s="1"/>
      <c r="E2884"/>
      <c r="F2884"/>
      <c r="G2884"/>
      <c r="H2884"/>
      <c r="I2884"/>
      <c r="J2884"/>
    </row>
    <row r="2885" spans="1:10" s="2" customFormat="1">
      <c r="A2885" s="1"/>
      <c r="E2885"/>
      <c r="F2885"/>
      <c r="G2885"/>
      <c r="H2885"/>
      <c r="I2885"/>
      <c r="J2885"/>
    </row>
    <row r="2886" spans="1:10" s="2" customFormat="1">
      <c r="A2886" s="1"/>
      <c r="E2886"/>
      <c r="F2886"/>
      <c r="G2886"/>
      <c r="H2886"/>
      <c r="I2886"/>
      <c r="J2886"/>
    </row>
    <row r="2887" spans="1:10" s="2" customFormat="1">
      <c r="A2887" s="1"/>
      <c r="E2887"/>
      <c r="F2887"/>
      <c r="G2887"/>
      <c r="H2887"/>
      <c r="I2887"/>
      <c r="J2887"/>
    </row>
    <row r="2888" spans="1:10" s="2" customFormat="1">
      <c r="A2888" s="1"/>
      <c r="E2888"/>
      <c r="F2888"/>
      <c r="G2888"/>
      <c r="H2888"/>
      <c r="I2888"/>
      <c r="J2888"/>
    </row>
    <row r="2889" spans="1:10" s="2" customFormat="1">
      <c r="A2889" s="1"/>
      <c r="E2889"/>
      <c r="F2889"/>
      <c r="G2889"/>
      <c r="H2889"/>
      <c r="I2889"/>
      <c r="J2889"/>
    </row>
    <row r="2890" spans="1:10" s="2" customFormat="1">
      <c r="A2890" s="1"/>
      <c r="E2890"/>
      <c r="F2890"/>
      <c r="G2890"/>
      <c r="H2890"/>
      <c r="I2890"/>
      <c r="J2890"/>
    </row>
    <row r="2891" spans="1:10" s="2" customFormat="1">
      <c r="A2891" s="1"/>
      <c r="E2891"/>
      <c r="F2891"/>
      <c r="G2891"/>
      <c r="H2891"/>
      <c r="I2891"/>
      <c r="J2891"/>
    </row>
    <row r="2892" spans="1:10" s="2" customFormat="1">
      <c r="A2892" s="1"/>
      <c r="E2892"/>
      <c r="F2892"/>
      <c r="G2892"/>
      <c r="H2892"/>
      <c r="I2892"/>
      <c r="J2892"/>
    </row>
    <row r="2893" spans="1:10" s="2" customFormat="1">
      <c r="A2893" s="1"/>
      <c r="E2893"/>
      <c r="F2893"/>
      <c r="G2893"/>
      <c r="H2893"/>
      <c r="I2893"/>
      <c r="J2893"/>
    </row>
    <row r="2894" spans="1:10" s="2" customFormat="1">
      <c r="A2894" s="1"/>
      <c r="E2894"/>
      <c r="F2894"/>
      <c r="G2894"/>
      <c r="H2894"/>
      <c r="I2894"/>
      <c r="J2894"/>
    </row>
    <row r="2895" spans="1:10" s="2" customFormat="1">
      <c r="A2895" s="1"/>
      <c r="E2895"/>
      <c r="F2895"/>
      <c r="G2895"/>
      <c r="H2895"/>
      <c r="I2895"/>
      <c r="J2895"/>
    </row>
    <row r="2896" spans="1:10" s="2" customFormat="1">
      <c r="A2896" s="1"/>
      <c r="E2896"/>
      <c r="F2896"/>
      <c r="G2896"/>
      <c r="H2896"/>
      <c r="I2896"/>
      <c r="J2896"/>
    </row>
    <row r="2897" spans="1:10" s="2" customFormat="1">
      <c r="A2897" s="1"/>
      <c r="E2897"/>
      <c r="F2897"/>
      <c r="G2897"/>
      <c r="H2897"/>
      <c r="I2897"/>
      <c r="J2897"/>
    </row>
    <row r="2898" spans="1:10" s="2" customFormat="1">
      <c r="A2898" s="1"/>
      <c r="E2898"/>
      <c r="F2898"/>
      <c r="G2898"/>
      <c r="H2898"/>
      <c r="I2898"/>
      <c r="J2898"/>
    </row>
    <row r="2899" spans="1:10" s="2" customFormat="1">
      <c r="A2899" s="1"/>
      <c r="E2899"/>
      <c r="F2899"/>
      <c r="G2899"/>
      <c r="H2899"/>
      <c r="I2899"/>
      <c r="J2899"/>
    </row>
    <row r="2900" spans="1:10" s="2" customFormat="1">
      <c r="A2900" s="1"/>
      <c r="E2900"/>
      <c r="F2900"/>
      <c r="G2900"/>
      <c r="H2900"/>
      <c r="I2900"/>
      <c r="J2900"/>
    </row>
    <row r="2901" spans="1:10" s="2" customFormat="1">
      <c r="A2901" s="1"/>
      <c r="E2901"/>
      <c r="F2901"/>
      <c r="G2901"/>
      <c r="H2901"/>
      <c r="I2901"/>
      <c r="J2901"/>
    </row>
    <row r="2902" spans="1:10" s="2" customFormat="1">
      <c r="A2902" s="1"/>
      <c r="E2902"/>
      <c r="F2902"/>
      <c r="G2902"/>
      <c r="H2902"/>
      <c r="I2902"/>
      <c r="J2902"/>
    </row>
    <row r="2903" spans="1:10" s="2" customFormat="1">
      <c r="A2903" s="1"/>
      <c r="E2903"/>
      <c r="F2903"/>
      <c r="G2903"/>
      <c r="H2903"/>
      <c r="I2903"/>
      <c r="J2903"/>
    </row>
    <row r="2904" spans="1:10" s="2" customFormat="1">
      <c r="A2904" s="1"/>
      <c r="E2904"/>
      <c r="F2904"/>
      <c r="G2904"/>
      <c r="H2904"/>
      <c r="I2904"/>
      <c r="J2904"/>
    </row>
    <row r="2905" spans="1:10" s="2" customFormat="1">
      <c r="A2905" s="1"/>
      <c r="E2905"/>
      <c r="F2905"/>
      <c r="G2905"/>
      <c r="H2905"/>
      <c r="I2905"/>
      <c r="J2905"/>
    </row>
    <row r="2906" spans="1:10" s="2" customFormat="1">
      <c r="A2906" s="1"/>
      <c r="E2906"/>
      <c r="F2906"/>
      <c r="G2906"/>
      <c r="H2906"/>
      <c r="I2906"/>
      <c r="J2906"/>
    </row>
    <row r="2907" spans="1:10" s="2" customFormat="1">
      <c r="A2907" s="1"/>
      <c r="E2907"/>
      <c r="F2907"/>
      <c r="G2907"/>
      <c r="H2907"/>
      <c r="I2907"/>
      <c r="J2907"/>
    </row>
    <row r="2908" spans="1:10" s="2" customFormat="1">
      <c r="A2908" s="1"/>
      <c r="E2908"/>
      <c r="F2908"/>
      <c r="G2908"/>
      <c r="H2908"/>
      <c r="I2908"/>
      <c r="J2908"/>
    </row>
    <row r="2909" spans="1:10" s="2" customFormat="1">
      <c r="A2909" s="1"/>
      <c r="E2909"/>
      <c r="F2909"/>
      <c r="G2909"/>
      <c r="H2909"/>
      <c r="I2909"/>
      <c r="J2909"/>
    </row>
    <row r="2910" spans="1:10" s="2" customFormat="1">
      <c r="A2910" s="1"/>
      <c r="E2910"/>
      <c r="F2910"/>
      <c r="G2910"/>
      <c r="H2910"/>
      <c r="I2910"/>
      <c r="J2910"/>
    </row>
    <row r="2911" spans="1:10" s="2" customFormat="1">
      <c r="A2911" s="1"/>
      <c r="E2911"/>
      <c r="F2911"/>
      <c r="G2911"/>
      <c r="H2911"/>
      <c r="I2911"/>
      <c r="J2911"/>
    </row>
    <row r="2912" spans="1:10" s="2" customFormat="1">
      <c r="A2912" s="1"/>
      <c r="E2912"/>
      <c r="F2912"/>
      <c r="G2912"/>
      <c r="H2912"/>
      <c r="I2912"/>
      <c r="J2912"/>
    </row>
    <row r="2913" spans="1:10" s="2" customFormat="1">
      <c r="A2913" s="1"/>
      <c r="E2913"/>
      <c r="F2913"/>
      <c r="G2913"/>
      <c r="H2913"/>
      <c r="I2913"/>
      <c r="J2913"/>
    </row>
    <row r="2914" spans="1:10" s="2" customFormat="1">
      <c r="A2914" s="1"/>
      <c r="E2914"/>
      <c r="F2914"/>
      <c r="G2914"/>
      <c r="H2914"/>
      <c r="I2914"/>
      <c r="J2914"/>
    </row>
    <row r="2915" spans="1:10" s="2" customFormat="1">
      <c r="A2915" s="1"/>
      <c r="E2915"/>
      <c r="F2915"/>
      <c r="G2915"/>
      <c r="H2915"/>
      <c r="I2915"/>
      <c r="J2915"/>
    </row>
    <row r="2916" spans="1:10" s="2" customFormat="1">
      <c r="A2916" s="1"/>
      <c r="E2916"/>
      <c r="F2916"/>
      <c r="G2916"/>
      <c r="H2916"/>
      <c r="I2916"/>
      <c r="J2916"/>
    </row>
    <row r="2917" spans="1:10" s="2" customFormat="1">
      <c r="A2917" s="1"/>
      <c r="E2917"/>
      <c r="F2917"/>
      <c r="G2917"/>
      <c r="H2917"/>
      <c r="I2917"/>
      <c r="J2917"/>
    </row>
    <row r="2918" spans="1:10" s="2" customFormat="1">
      <c r="A2918" s="1"/>
      <c r="E2918"/>
      <c r="F2918"/>
      <c r="G2918"/>
      <c r="H2918"/>
      <c r="I2918"/>
      <c r="J2918"/>
    </row>
    <row r="2919" spans="1:10" s="2" customFormat="1">
      <c r="A2919" s="1"/>
      <c r="E2919"/>
      <c r="F2919"/>
      <c r="G2919"/>
      <c r="H2919"/>
      <c r="I2919"/>
      <c r="J2919"/>
    </row>
    <row r="2920" spans="1:10" s="2" customFormat="1">
      <c r="A2920" s="1"/>
      <c r="E2920"/>
      <c r="F2920"/>
      <c r="G2920"/>
      <c r="H2920"/>
      <c r="I2920"/>
      <c r="J2920"/>
    </row>
    <row r="2921" spans="1:10" s="2" customFormat="1">
      <c r="A2921" s="1"/>
      <c r="E2921"/>
      <c r="F2921"/>
      <c r="G2921"/>
      <c r="H2921"/>
      <c r="I2921"/>
      <c r="J2921"/>
    </row>
    <row r="2922" spans="1:10" s="2" customFormat="1">
      <c r="A2922" s="1"/>
      <c r="E2922"/>
      <c r="F2922"/>
      <c r="G2922"/>
      <c r="H2922"/>
      <c r="I2922"/>
      <c r="J2922"/>
    </row>
    <row r="2923" spans="1:10" s="2" customFormat="1">
      <c r="A2923" s="1"/>
      <c r="E2923"/>
      <c r="F2923"/>
      <c r="G2923"/>
      <c r="H2923"/>
      <c r="I2923"/>
      <c r="J2923"/>
    </row>
    <row r="2924" spans="1:10" s="2" customFormat="1">
      <c r="A2924" s="1"/>
      <c r="E2924"/>
      <c r="F2924"/>
      <c r="G2924"/>
      <c r="H2924"/>
      <c r="I2924"/>
      <c r="J2924"/>
    </row>
    <row r="2925" spans="1:10" s="2" customFormat="1">
      <c r="A2925" s="1"/>
      <c r="E2925"/>
      <c r="F2925"/>
      <c r="G2925"/>
      <c r="H2925"/>
      <c r="I2925"/>
      <c r="J2925"/>
    </row>
    <row r="2926" spans="1:10" s="2" customFormat="1">
      <c r="A2926" s="1"/>
      <c r="E2926"/>
      <c r="F2926"/>
      <c r="G2926"/>
      <c r="H2926"/>
      <c r="I2926"/>
      <c r="J2926"/>
    </row>
    <row r="2927" spans="1:10" s="2" customFormat="1">
      <c r="A2927" s="1"/>
      <c r="E2927"/>
      <c r="F2927"/>
      <c r="G2927"/>
      <c r="H2927"/>
      <c r="I2927"/>
      <c r="J2927"/>
    </row>
    <row r="2928" spans="1:10" s="2" customFormat="1">
      <c r="A2928" s="1"/>
      <c r="E2928"/>
      <c r="F2928"/>
      <c r="G2928"/>
      <c r="H2928"/>
      <c r="I2928"/>
      <c r="J2928"/>
    </row>
    <row r="2929" spans="1:10" s="2" customFormat="1">
      <c r="A2929" s="1"/>
      <c r="E2929"/>
      <c r="F2929"/>
      <c r="G2929"/>
      <c r="H2929"/>
      <c r="I2929"/>
      <c r="J2929"/>
    </row>
    <row r="2930" spans="1:10" s="2" customFormat="1">
      <c r="A2930" s="1"/>
      <c r="E2930"/>
      <c r="F2930"/>
      <c r="G2930"/>
      <c r="H2930"/>
      <c r="I2930"/>
      <c r="J2930"/>
    </row>
    <row r="2931" spans="1:10" s="2" customFormat="1">
      <c r="A2931" s="1"/>
      <c r="E2931"/>
      <c r="F2931"/>
      <c r="G2931"/>
      <c r="H2931"/>
      <c r="I2931"/>
      <c r="J2931"/>
    </row>
    <row r="2932" spans="1:10" s="2" customFormat="1">
      <c r="A2932" s="1"/>
      <c r="E2932"/>
      <c r="F2932"/>
      <c r="G2932"/>
      <c r="H2932"/>
      <c r="I2932"/>
      <c r="J2932"/>
    </row>
    <row r="2933" spans="1:10" s="2" customFormat="1">
      <c r="A2933" s="1"/>
      <c r="E2933"/>
      <c r="F2933"/>
      <c r="G2933"/>
      <c r="H2933"/>
      <c r="I2933"/>
      <c r="J2933"/>
    </row>
    <row r="2934" spans="1:10" s="2" customFormat="1">
      <c r="A2934" s="1"/>
      <c r="E2934"/>
      <c r="F2934"/>
      <c r="G2934"/>
      <c r="H2934"/>
      <c r="I2934"/>
      <c r="J2934"/>
    </row>
    <row r="2935" spans="1:10" s="2" customFormat="1">
      <c r="A2935" s="1"/>
      <c r="E2935"/>
      <c r="F2935"/>
      <c r="G2935"/>
      <c r="H2935"/>
      <c r="I2935"/>
      <c r="J2935"/>
    </row>
    <row r="2936" spans="1:10" s="2" customFormat="1">
      <c r="A2936" s="1"/>
      <c r="E2936"/>
      <c r="F2936"/>
      <c r="G2936"/>
      <c r="H2936"/>
      <c r="I2936"/>
      <c r="J2936"/>
    </row>
    <row r="2937" spans="1:10" s="2" customFormat="1">
      <c r="A2937" s="1"/>
      <c r="E2937"/>
      <c r="F2937"/>
      <c r="G2937"/>
      <c r="H2937"/>
      <c r="I2937"/>
      <c r="J2937"/>
    </row>
    <row r="2938" spans="1:10" s="2" customFormat="1">
      <c r="A2938" s="1"/>
      <c r="E2938"/>
      <c r="F2938"/>
      <c r="G2938"/>
      <c r="H2938"/>
      <c r="I2938"/>
      <c r="J2938"/>
    </row>
    <row r="2939" spans="1:10" s="2" customFormat="1">
      <c r="A2939" s="1"/>
      <c r="E2939"/>
      <c r="F2939"/>
      <c r="G2939"/>
      <c r="H2939"/>
      <c r="I2939"/>
      <c r="J2939"/>
    </row>
    <row r="2940" spans="1:10" s="2" customFormat="1">
      <c r="A2940" s="1"/>
      <c r="E2940"/>
      <c r="F2940"/>
      <c r="G2940"/>
      <c r="H2940"/>
      <c r="I2940"/>
      <c r="J2940"/>
    </row>
    <row r="2941" spans="1:10" s="2" customFormat="1">
      <c r="A2941" s="1"/>
      <c r="E2941"/>
      <c r="F2941"/>
      <c r="G2941"/>
      <c r="H2941"/>
      <c r="I2941"/>
      <c r="J2941"/>
    </row>
    <row r="2942" spans="1:10" s="2" customFormat="1">
      <c r="A2942" s="1"/>
      <c r="E2942"/>
      <c r="F2942"/>
      <c r="G2942"/>
      <c r="H2942"/>
      <c r="I2942"/>
      <c r="J2942"/>
    </row>
    <row r="2943" spans="1:10" s="2" customFormat="1">
      <c r="A2943" s="1"/>
      <c r="E2943"/>
      <c r="F2943"/>
      <c r="G2943"/>
      <c r="H2943"/>
      <c r="I2943"/>
      <c r="J2943"/>
    </row>
    <row r="2944" spans="1:10" s="2" customFormat="1">
      <c r="A2944" s="1"/>
      <c r="E2944"/>
      <c r="F2944"/>
      <c r="G2944"/>
      <c r="H2944"/>
      <c r="I2944"/>
      <c r="J2944"/>
    </row>
    <row r="2945" spans="1:10" s="2" customFormat="1">
      <c r="A2945" s="1"/>
      <c r="E2945"/>
      <c r="F2945"/>
      <c r="G2945"/>
      <c r="H2945"/>
      <c r="I2945"/>
      <c r="J2945"/>
    </row>
    <row r="2946" spans="1:10" s="2" customFormat="1">
      <c r="A2946" s="1"/>
      <c r="E2946"/>
      <c r="F2946"/>
      <c r="G2946"/>
      <c r="H2946"/>
      <c r="I2946"/>
      <c r="J2946"/>
    </row>
    <row r="2947" spans="1:10" s="2" customFormat="1">
      <c r="A2947" s="1"/>
      <c r="E2947"/>
      <c r="F2947"/>
      <c r="G2947"/>
      <c r="H2947"/>
      <c r="I2947"/>
      <c r="J2947"/>
    </row>
    <row r="2948" spans="1:10" s="2" customFormat="1">
      <c r="A2948" s="1"/>
      <c r="E2948"/>
      <c r="F2948"/>
      <c r="G2948"/>
      <c r="H2948"/>
      <c r="I2948"/>
      <c r="J2948"/>
    </row>
    <row r="2949" spans="1:10" s="2" customFormat="1">
      <c r="A2949" s="1"/>
      <c r="E2949"/>
      <c r="F2949"/>
      <c r="G2949"/>
      <c r="H2949"/>
      <c r="I2949"/>
      <c r="J2949"/>
    </row>
    <row r="2950" spans="1:10" s="2" customFormat="1">
      <c r="A2950" s="1"/>
      <c r="E2950"/>
      <c r="F2950"/>
      <c r="G2950"/>
      <c r="H2950"/>
      <c r="I2950"/>
      <c r="J2950"/>
    </row>
    <row r="2951" spans="1:10" s="2" customFormat="1">
      <c r="A2951" s="1"/>
      <c r="E2951"/>
      <c r="F2951"/>
      <c r="G2951"/>
      <c r="H2951"/>
      <c r="I2951"/>
      <c r="J2951"/>
    </row>
    <row r="2952" spans="1:10" s="2" customFormat="1">
      <c r="A2952" s="1"/>
      <c r="E2952"/>
      <c r="F2952"/>
      <c r="G2952"/>
      <c r="H2952"/>
      <c r="I2952"/>
      <c r="J2952"/>
    </row>
    <row r="2953" spans="1:10" s="2" customFormat="1">
      <c r="A2953" s="1"/>
      <c r="E2953"/>
      <c r="F2953"/>
      <c r="G2953"/>
      <c r="H2953"/>
      <c r="I2953"/>
      <c r="J2953"/>
    </row>
    <row r="2954" spans="1:10" s="2" customFormat="1">
      <c r="A2954" s="1"/>
      <c r="E2954"/>
      <c r="F2954"/>
      <c r="G2954"/>
      <c r="H2954"/>
      <c r="I2954"/>
      <c r="J2954"/>
    </row>
    <row r="2955" spans="1:10" s="2" customFormat="1">
      <c r="A2955" s="1"/>
      <c r="E2955"/>
      <c r="F2955"/>
      <c r="G2955"/>
      <c r="H2955"/>
      <c r="I2955"/>
      <c r="J2955"/>
    </row>
    <row r="2956" spans="1:10" s="2" customFormat="1">
      <c r="A2956" s="1"/>
      <c r="E2956"/>
      <c r="F2956"/>
      <c r="G2956"/>
      <c r="H2956"/>
      <c r="I2956"/>
      <c r="J2956"/>
    </row>
    <row r="2957" spans="1:10" s="2" customFormat="1">
      <c r="A2957" s="1"/>
      <c r="E2957"/>
      <c r="F2957"/>
      <c r="G2957"/>
      <c r="H2957"/>
      <c r="I2957"/>
      <c r="J2957"/>
    </row>
    <row r="2958" spans="1:10" s="2" customFormat="1">
      <c r="A2958" s="1"/>
      <c r="E2958"/>
      <c r="F2958"/>
      <c r="G2958"/>
      <c r="H2958"/>
      <c r="I2958"/>
      <c r="J2958"/>
    </row>
    <row r="2959" spans="1:10" s="2" customFormat="1">
      <c r="A2959" s="1"/>
      <c r="E2959"/>
      <c r="F2959"/>
      <c r="G2959"/>
      <c r="H2959"/>
      <c r="I2959"/>
      <c r="J2959"/>
    </row>
    <row r="2960" spans="1:10" s="2" customFormat="1">
      <c r="A2960" s="1"/>
      <c r="E2960"/>
      <c r="F2960"/>
      <c r="G2960"/>
      <c r="H2960"/>
      <c r="I2960"/>
      <c r="J2960"/>
    </row>
    <row r="2961" spans="1:10" s="2" customFormat="1">
      <c r="A2961" s="1"/>
      <c r="E2961"/>
      <c r="F2961"/>
      <c r="G2961"/>
      <c r="H2961"/>
      <c r="I2961"/>
      <c r="J2961"/>
    </row>
    <row r="2962" spans="1:10" s="2" customFormat="1">
      <c r="A2962" s="1"/>
      <c r="E2962"/>
      <c r="F2962"/>
      <c r="G2962"/>
      <c r="H2962"/>
      <c r="I2962"/>
      <c r="J2962"/>
    </row>
    <row r="2963" spans="1:10" s="2" customFormat="1">
      <c r="A2963" s="1"/>
      <c r="E2963"/>
      <c r="F2963"/>
      <c r="G2963"/>
      <c r="H2963"/>
      <c r="I2963"/>
      <c r="J2963"/>
    </row>
    <row r="2964" spans="1:10" s="2" customFormat="1">
      <c r="A2964" s="1"/>
      <c r="E2964"/>
      <c r="F2964"/>
      <c r="G2964"/>
      <c r="H2964"/>
      <c r="I2964"/>
      <c r="J2964"/>
    </row>
    <row r="2965" spans="1:10" s="2" customFormat="1">
      <c r="A2965" s="1"/>
      <c r="E2965"/>
      <c r="F2965"/>
      <c r="G2965"/>
      <c r="H2965"/>
      <c r="I2965"/>
      <c r="J2965"/>
    </row>
    <row r="2966" spans="1:10" s="2" customFormat="1">
      <c r="A2966" s="1"/>
      <c r="E2966"/>
      <c r="F2966"/>
      <c r="G2966"/>
      <c r="H2966"/>
      <c r="I2966"/>
      <c r="J2966"/>
    </row>
    <row r="2967" spans="1:10" s="2" customFormat="1">
      <c r="A2967" s="1"/>
      <c r="E2967"/>
      <c r="F2967"/>
      <c r="G2967"/>
      <c r="H2967"/>
      <c r="I2967"/>
      <c r="J2967"/>
    </row>
    <row r="2968" spans="1:10" s="2" customFormat="1">
      <c r="A2968" s="1"/>
      <c r="E2968"/>
      <c r="F2968"/>
      <c r="G2968"/>
      <c r="H2968"/>
      <c r="I2968"/>
      <c r="J2968"/>
    </row>
    <row r="2969" spans="1:10" s="2" customFormat="1">
      <c r="A2969" s="1"/>
      <c r="E2969"/>
      <c r="F2969"/>
      <c r="G2969"/>
      <c r="H2969"/>
      <c r="I2969"/>
      <c r="J2969"/>
    </row>
    <row r="2970" spans="1:10" s="2" customFormat="1">
      <c r="A2970" s="1"/>
      <c r="E2970"/>
      <c r="F2970"/>
      <c r="G2970"/>
      <c r="H2970"/>
      <c r="I2970"/>
      <c r="J2970"/>
    </row>
    <row r="2971" spans="1:10" s="2" customFormat="1">
      <c r="A2971" s="1"/>
      <c r="E2971"/>
      <c r="F2971"/>
      <c r="G2971"/>
      <c r="H2971"/>
      <c r="I2971"/>
      <c r="J2971"/>
    </row>
    <row r="2972" spans="1:10" s="2" customFormat="1">
      <c r="A2972" s="1"/>
      <c r="E2972"/>
      <c r="F2972"/>
      <c r="G2972"/>
      <c r="H2972"/>
      <c r="I2972"/>
      <c r="J2972"/>
    </row>
    <row r="2973" spans="1:10" s="2" customFormat="1">
      <c r="A2973" s="1"/>
      <c r="E2973"/>
      <c r="F2973"/>
      <c r="G2973"/>
      <c r="H2973"/>
      <c r="I2973"/>
      <c r="J2973"/>
    </row>
    <row r="2974" spans="1:10" s="2" customFormat="1">
      <c r="A2974" s="1"/>
      <c r="E2974"/>
      <c r="F2974"/>
      <c r="G2974"/>
      <c r="H2974"/>
      <c r="I2974"/>
      <c r="J2974"/>
    </row>
    <row r="2975" spans="1:10" s="2" customFormat="1">
      <c r="A2975" s="1"/>
      <c r="E2975"/>
      <c r="F2975"/>
      <c r="G2975"/>
      <c r="H2975"/>
      <c r="I2975"/>
      <c r="J2975"/>
    </row>
    <row r="2976" spans="1:10" s="2" customFormat="1">
      <c r="A2976" s="1"/>
      <c r="E2976"/>
      <c r="F2976"/>
      <c r="G2976"/>
      <c r="H2976"/>
      <c r="I2976"/>
      <c r="J2976"/>
    </row>
    <row r="2977" spans="1:10" s="2" customFormat="1">
      <c r="A2977" s="1"/>
      <c r="E2977"/>
      <c r="F2977"/>
      <c r="G2977"/>
      <c r="H2977"/>
      <c r="I2977"/>
      <c r="J2977"/>
    </row>
    <row r="2978" spans="1:10" s="2" customFormat="1">
      <c r="A2978" s="1"/>
      <c r="E2978"/>
      <c r="F2978"/>
      <c r="G2978"/>
      <c r="H2978"/>
      <c r="I2978"/>
      <c r="J2978"/>
    </row>
    <row r="2979" spans="1:10" s="2" customFormat="1">
      <c r="A2979" s="1"/>
      <c r="E2979"/>
      <c r="F2979"/>
      <c r="G2979"/>
      <c r="H2979"/>
      <c r="I2979"/>
      <c r="J2979"/>
    </row>
    <row r="2980" spans="1:10" s="2" customFormat="1">
      <c r="A2980" s="1"/>
      <c r="E2980"/>
      <c r="F2980"/>
      <c r="G2980"/>
      <c r="H2980"/>
      <c r="I2980"/>
      <c r="J2980"/>
    </row>
    <row r="2981" spans="1:10" s="2" customFormat="1">
      <c r="A2981" s="1"/>
      <c r="E2981"/>
      <c r="F2981"/>
      <c r="G2981"/>
      <c r="H2981"/>
      <c r="I2981"/>
      <c r="J2981"/>
    </row>
    <row r="2982" spans="1:10" s="2" customFormat="1">
      <c r="A2982" s="1"/>
      <c r="E2982"/>
      <c r="F2982"/>
      <c r="G2982"/>
      <c r="H2982"/>
      <c r="I2982"/>
      <c r="J2982"/>
    </row>
    <row r="2983" spans="1:10" s="2" customFormat="1">
      <c r="A2983" s="1"/>
      <c r="E2983"/>
      <c r="F2983"/>
      <c r="G2983"/>
      <c r="H2983"/>
      <c r="I2983"/>
      <c r="J2983"/>
    </row>
    <row r="2984" spans="1:10" s="2" customFormat="1">
      <c r="A2984" s="1"/>
      <c r="E2984"/>
      <c r="F2984"/>
      <c r="G2984"/>
      <c r="H2984"/>
      <c r="I2984"/>
      <c r="J2984"/>
    </row>
    <row r="2985" spans="1:10" s="2" customFormat="1">
      <c r="A2985" s="1"/>
      <c r="E2985"/>
      <c r="F2985"/>
      <c r="G2985"/>
      <c r="H2985"/>
      <c r="I2985"/>
      <c r="J2985"/>
    </row>
    <row r="2986" spans="1:10" s="2" customFormat="1">
      <c r="A2986" s="1"/>
      <c r="E2986"/>
      <c r="F2986"/>
      <c r="G2986"/>
      <c r="H2986"/>
      <c r="I2986"/>
      <c r="J2986"/>
    </row>
    <row r="2987" spans="1:10" s="2" customFormat="1">
      <c r="A2987" s="1"/>
      <c r="E2987"/>
      <c r="F2987"/>
      <c r="G2987"/>
      <c r="H2987"/>
      <c r="I2987"/>
      <c r="J2987"/>
    </row>
    <row r="2988" spans="1:10" s="2" customFormat="1">
      <c r="A2988" s="1"/>
      <c r="E2988"/>
      <c r="F2988"/>
      <c r="G2988"/>
      <c r="H2988"/>
      <c r="I2988"/>
      <c r="J2988"/>
    </row>
    <row r="2989" spans="1:10" s="2" customFormat="1">
      <c r="A2989" s="1"/>
      <c r="E2989"/>
      <c r="F2989"/>
      <c r="G2989"/>
      <c r="H2989"/>
      <c r="I2989"/>
      <c r="J2989"/>
    </row>
    <row r="2990" spans="1:10" s="2" customFormat="1">
      <c r="A2990" s="1"/>
      <c r="E2990"/>
      <c r="F2990"/>
      <c r="G2990"/>
      <c r="H2990"/>
      <c r="I2990"/>
      <c r="J2990"/>
    </row>
    <row r="2991" spans="1:10" s="2" customFormat="1">
      <c r="A2991" s="1"/>
      <c r="E2991"/>
      <c r="F2991"/>
      <c r="G2991"/>
      <c r="H2991"/>
      <c r="I2991"/>
      <c r="J2991"/>
    </row>
    <row r="2992" spans="1:10" s="2" customFormat="1">
      <c r="A2992" s="1"/>
      <c r="E2992"/>
      <c r="F2992"/>
      <c r="G2992"/>
      <c r="H2992"/>
      <c r="I2992"/>
      <c r="J2992"/>
    </row>
    <row r="2993" spans="1:10" s="2" customFormat="1">
      <c r="A2993" s="1"/>
      <c r="E2993"/>
      <c r="F2993"/>
      <c r="G2993"/>
      <c r="H2993"/>
      <c r="I2993"/>
      <c r="J2993"/>
    </row>
    <row r="2994" spans="1:10" s="2" customFormat="1">
      <c r="A2994" s="1"/>
      <c r="E2994"/>
      <c r="F2994"/>
      <c r="G2994"/>
      <c r="H2994"/>
      <c r="I2994"/>
      <c r="J2994"/>
    </row>
    <row r="2995" spans="1:10" s="2" customFormat="1">
      <c r="A2995" s="1"/>
      <c r="E2995"/>
      <c r="F2995"/>
      <c r="G2995"/>
      <c r="H2995"/>
      <c r="I2995"/>
      <c r="J2995"/>
    </row>
    <row r="2996" spans="1:10" s="2" customFormat="1">
      <c r="A2996" s="1"/>
      <c r="E2996"/>
      <c r="F2996"/>
      <c r="G2996"/>
      <c r="H2996"/>
      <c r="I2996"/>
      <c r="J2996"/>
    </row>
    <row r="2997" spans="1:10" s="2" customFormat="1">
      <c r="A2997" s="1"/>
      <c r="E2997"/>
      <c r="F2997"/>
      <c r="G2997"/>
      <c r="H2997"/>
      <c r="I2997"/>
      <c r="J2997"/>
    </row>
    <row r="2998" spans="1:10" s="2" customFormat="1">
      <c r="A2998" s="1"/>
      <c r="E2998"/>
      <c r="F2998"/>
      <c r="G2998"/>
      <c r="H2998"/>
      <c r="I2998"/>
      <c r="J2998"/>
    </row>
    <row r="2999" spans="1:10" s="2" customFormat="1">
      <c r="A2999" s="1"/>
      <c r="E2999"/>
      <c r="F2999"/>
      <c r="G2999"/>
      <c r="H2999"/>
      <c r="I2999"/>
      <c r="J2999"/>
    </row>
    <row r="3000" spans="1:10" s="2" customFormat="1">
      <c r="A3000" s="1"/>
      <c r="E3000"/>
      <c r="F3000"/>
      <c r="G3000"/>
      <c r="H3000"/>
      <c r="I3000"/>
      <c r="J3000"/>
    </row>
    <row r="3001" spans="1:10" s="2" customFormat="1">
      <c r="A3001" s="1"/>
      <c r="E3001"/>
      <c r="F3001"/>
      <c r="G3001"/>
      <c r="H3001"/>
      <c r="I3001"/>
      <c r="J3001"/>
    </row>
    <row r="3002" spans="1:10" s="2" customFormat="1">
      <c r="A3002" s="1"/>
      <c r="E3002"/>
      <c r="F3002"/>
      <c r="G3002"/>
      <c r="H3002"/>
      <c r="I3002"/>
      <c r="J3002"/>
    </row>
    <row r="3003" spans="1:10" s="2" customFormat="1">
      <c r="A3003" s="1"/>
      <c r="E3003"/>
      <c r="F3003"/>
      <c r="G3003"/>
      <c r="H3003"/>
      <c r="I3003"/>
      <c r="J3003"/>
    </row>
    <row r="3004" spans="1:10" s="2" customFormat="1">
      <c r="A3004" s="1"/>
      <c r="E3004"/>
      <c r="F3004"/>
      <c r="G3004"/>
      <c r="H3004"/>
      <c r="I3004"/>
      <c r="J3004"/>
    </row>
    <row r="3005" spans="1:10" s="2" customFormat="1">
      <c r="A3005" s="1"/>
      <c r="E3005"/>
      <c r="F3005"/>
      <c r="G3005"/>
      <c r="H3005"/>
      <c r="I3005"/>
      <c r="J3005"/>
    </row>
    <row r="3006" spans="1:10" s="2" customFormat="1">
      <c r="A3006" s="1"/>
      <c r="E3006"/>
      <c r="F3006"/>
      <c r="G3006"/>
      <c r="H3006"/>
      <c r="I3006"/>
      <c r="J3006"/>
    </row>
    <row r="3007" spans="1:10" s="2" customFormat="1">
      <c r="A3007" s="1"/>
      <c r="E3007"/>
      <c r="F3007"/>
      <c r="G3007"/>
      <c r="H3007"/>
      <c r="I3007"/>
      <c r="J3007"/>
    </row>
    <row r="3008" spans="1:10" s="2" customFormat="1">
      <c r="A3008" s="1"/>
      <c r="E3008"/>
      <c r="F3008"/>
      <c r="G3008"/>
      <c r="H3008"/>
      <c r="I3008"/>
      <c r="J3008"/>
    </row>
    <row r="3009" spans="1:10" s="2" customFormat="1">
      <c r="A3009" s="1"/>
      <c r="E3009"/>
      <c r="F3009"/>
      <c r="G3009"/>
      <c r="H3009"/>
      <c r="I3009"/>
      <c r="J3009"/>
    </row>
    <row r="3010" spans="1:10" s="2" customFormat="1">
      <c r="A3010" s="1"/>
      <c r="E3010"/>
      <c r="F3010"/>
      <c r="G3010"/>
      <c r="H3010"/>
      <c r="I3010"/>
      <c r="J3010"/>
    </row>
    <row r="3011" spans="1:10" s="2" customFormat="1">
      <c r="A3011" s="1"/>
      <c r="E3011"/>
      <c r="F3011"/>
      <c r="G3011"/>
      <c r="H3011"/>
      <c r="I3011"/>
      <c r="J3011"/>
    </row>
    <row r="3012" spans="1:10" s="2" customFormat="1">
      <c r="A3012" s="1"/>
      <c r="E3012"/>
      <c r="F3012"/>
      <c r="G3012"/>
      <c r="H3012"/>
      <c r="I3012"/>
      <c r="J3012"/>
    </row>
    <row r="3013" spans="1:10" s="2" customFormat="1">
      <c r="A3013" s="1"/>
      <c r="E3013"/>
      <c r="F3013"/>
      <c r="G3013"/>
      <c r="H3013"/>
      <c r="I3013"/>
      <c r="J3013"/>
    </row>
    <row r="3014" spans="1:10" s="2" customFormat="1">
      <c r="A3014" s="1"/>
      <c r="E3014"/>
      <c r="F3014"/>
      <c r="G3014"/>
      <c r="H3014"/>
      <c r="I3014"/>
      <c r="J3014"/>
    </row>
    <row r="3015" spans="1:10" s="2" customFormat="1">
      <c r="A3015" s="1"/>
      <c r="E3015"/>
      <c r="F3015"/>
      <c r="G3015"/>
      <c r="H3015"/>
      <c r="I3015"/>
      <c r="J3015"/>
    </row>
    <row r="3016" spans="1:10" s="2" customFormat="1">
      <c r="A3016" s="1"/>
      <c r="E3016"/>
      <c r="F3016"/>
      <c r="G3016"/>
      <c r="H3016"/>
      <c r="I3016"/>
      <c r="J3016"/>
    </row>
    <row r="3017" spans="1:10" s="2" customFormat="1">
      <c r="A3017" s="1"/>
      <c r="E3017"/>
      <c r="F3017"/>
      <c r="G3017"/>
      <c r="H3017"/>
      <c r="I3017"/>
      <c r="J3017"/>
    </row>
    <row r="3018" spans="1:10" s="2" customFormat="1">
      <c r="A3018" s="1"/>
      <c r="E3018"/>
      <c r="F3018"/>
      <c r="G3018"/>
      <c r="H3018"/>
      <c r="I3018"/>
      <c r="J3018"/>
    </row>
    <row r="3019" spans="1:10" s="2" customFormat="1">
      <c r="A3019" s="1"/>
      <c r="E3019"/>
      <c r="F3019"/>
      <c r="G3019"/>
      <c r="H3019"/>
      <c r="I3019"/>
      <c r="J3019"/>
    </row>
    <row r="3020" spans="1:10" s="2" customFormat="1">
      <c r="A3020" s="1"/>
      <c r="E3020"/>
      <c r="F3020"/>
      <c r="G3020"/>
      <c r="H3020"/>
      <c r="I3020"/>
      <c r="J3020"/>
    </row>
    <row r="3021" spans="1:10" s="2" customFormat="1">
      <c r="A3021" s="1"/>
      <c r="E3021"/>
      <c r="F3021"/>
      <c r="G3021"/>
      <c r="H3021"/>
      <c r="I3021"/>
      <c r="J3021"/>
    </row>
    <row r="3022" spans="1:10" s="2" customFormat="1">
      <c r="A3022" s="1"/>
      <c r="E3022"/>
      <c r="F3022"/>
      <c r="G3022"/>
      <c r="H3022"/>
      <c r="I3022"/>
      <c r="J3022"/>
    </row>
    <row r="3023" spans="1:10" s="2" customFormat="1">
      <c r="A3023" s="1"/>
      <c r="E3023"/>
      <c r="F3023"/>
      <c r="G3023"/>
      <c r="H3023"/>
      <c r="I3023"/>
      <c r="J3023"/>
    </row>
    <row r="3024" spans="1:10" s="2" customFormat="1">
      <c r="A3024" s="1"/>
      <c r="E3024"/>
      <c r="F3024"/>
      <c r="G3024"/>
      <c r="H3024"/>
      <c r="I3024"/>
      <c r="J3024"/>
    </row>
    <row r="3025" spans="1:10" s="2" customFormat="1">
      <c r="A3025" s="1"/>
      <c r="E3025"/>
      <c r="F3025"/>
      <c r="G3025"/>
      <c r="H3025"/>
      <c r="I3025"/>
      <c r="J3025"/>
    </row>
    <row r="3026" spans="1:10" s="2" customFormat="1">
      <c r="A3026" s="1"/>
      <c r="E3026"/>
      <c r="F3026"/>
      <c r="G3026"/>
      <c r="H3026"/>
      <c r="I3026"/>
      <c r="J3026"/>
    </row>
    <row r="3027" spans="1:10" s="2" customFormat="1">
      <c r="A3027" s="1"/>
      <c r="E3027"/>
      <c r="F3027"/>
      <c r="G3027"/>
      <c r="H3027"/>
      <c r="I3027"/>
      <c r="J3027"/>
    </row>
    <row r="3028" spans="1:10" s="2" customFormat="1">
      <c r="A3028" s="1"/>
      <c r="E3028"/>
      <c r="F3028"/>
      <c r="G3028"/>
      <c r="H3028"/>
      <c r="I3028"/>
      <c r="J3028"/>
    </row>
    <row r="3029" spans="1:10" s="2" customFormat="1">
      <c r="A3029" s="1"/>
      <c r="E3029"/>
      <c r="F3029"/>
      <c r="G3029"/>
      <c r="H3029"/>
      <c r="I3029"/>
      <c r="J3029"/>
    </row>
    <row r="3030" spans="1:10" s="2" customFormat="1">
      <c r="A3030" s="1"/>
      <c r="E3030"/>
      <c r="F3030"/>
      <c r="G3030"/>
      <c r="H3030"/>
      <c r="I3030"/>
      <c r="J3030"/>
    </row>
    <row r="3031" spans="1:10" s="2" customFormat="1">
      <c r="A3031" s="1"/>
      <c r="E3031"/>
      <c r="F3031"/>
      <c r="G3031"/>
      <c r="H3031"/>
      <c r="I3031"/>
      <c r="J3031"/>
    </row>
    <row r="3032" spans="1:10" s="2" customFormat="1">
      <c r="A3032" s="1"/>
      <c r="E3032"/>
      <c r="F3032"/>
      <c r="G3032"/>
      <c r="H3032"/>
      <c r="I3032"/>
      <c r="J3032"/>
    </row>
    <row r="3033" spans="1:10" s="2" customFormat="1">
      <c r="A3033" s="1"/>
      <c r="E3033"/>
      <c r="F3033"/>
      <c r="G3033"/>
      <c r="H3033"/>
      <c r="I3033"/>
      <c r="J3033"/>
    </row>
    <row r="3034" spans="1:10" s="2" customFormat="1">
      <c r="A3034" s="1"/>
      <c r="E3034"/>
      <c r="F3034"/>
      <c r="G3034"/>
      <c r="H3034"/>
      <c r="I3034"/>
      <c r="J3034"/>
    </row>
    <row r="3035" spans="1:10" s="2" customFormat="1">
      <c r="A3035" s="1"/>
      <c r="E3035"/>
      <c r="F3035"/>
      <c r="G3035"/>
      <c r="H3035"/>
      <c r="I3035"/>
      <c r="J3035"/>
    </row>
    <row r="3036" spans="1:10" s="2" customFormat="1">
      <c r="A3036" s="1"/>
      <c r="E3036"/>
      <c r="F3036"/>
      <c r="G3036"/>
      <c r="H3036"/>
      <c r="I3036"/>
      <c r="J3036"/>
    </row>
    <row r="3037" spans="1:10" s="2" customFormat="1">
      <c r="A3037" s="1"/>
      <c r="E3037"/>
      <c r="F3037"/>
      <c r="G3037"/>
      <c r="H3037"/>
      <c r="I3037"/>
      <c r="J3037"/>
    </row>
    <row r="3038" spans="1:10" s="2" customFormat="1">
      <c r="A3038" s="1"/>
      <c r="E3038"/>
      <c r="F3038"/>
      <c r="G3038"/>
      <c r="H3038"/>
      <c r="I3038"/>
      <c r="J3038"/>
    </row>
    <row r="3039" spans="1:10" s="2" customFormat="1">
      <c r="A3039" s="1"/>
      <c r="E3039"/>
      <c r="F3039"/>
      <c r="G3039"/>
      <c r="H3039"/>
      <c r="I3039"/>
      <c r="J3039"/>
    </row>
    <row r="3040" spans="1:10" s="2" customFormat="1">
      <c r="A3040" s="1"/>
      <c r="E3040"/>
      <c r="F3040"/>
      <c r="G3040"/>
      <c r="H3040"/>
      <c r="I3040"/>
      <c r="J3040"/>
    </row>
    <row r="3041" spans="1:10" s="2" customFormat="1">
      <c r="A3041" s="1"/>
      <c r="E3041"/>
      <c r="F3041"/>
      <c r="G3041"/>
      <c r="H3041"/>
      <c r="I3041"/>
      <c r="J3041"/>
    </row>
    <row r="3042" spans="1:10" s="2" customFormat="1">
      <c r="A3042" s="1"/>
      <c r="E3042"/>
      <c r="F3042"/>
      <c r="G3042"/>
      <c r="H3042"/>
      <c r="I3042"/>
      <c r="J3042"/>
    </row>
    <row r="3043" spans="1:10" s="2" customFormat="1">
      <c r="A3043" s="1"/>
      <c r="E3043"/>
      <c r="F3043"/>
      <c r="G3043"/>
      <c r="H3043"/>
      <c r="I3043"/>
      <c r="J3043"/>
    </row>
    <row r="3044" spans="1:10" s="2" customFormat="1">
      <c r="A3044" s="1"/>
      <c r="E3044"/>
      <c r="F3044"/>
      <c r="G3044"/>
      <c r="H3044"/>
      <c r="I3044"/>
      <c r="J3044"/>
    </row>
    <row r="3045" spans="1:10" s="2" customFormat="1">
      <c r="A3045" s="1"/>
      <c r="E3045"/>
      <c r="F3045"/>
      <c r="G3045"/>
      <c r="H3045"/>
      <c r="I3045"/>
      <c r="J3045"/>
    </row>
    <row r="3046" spans="1:10" s="2" customFormat="1">
      <c r="A3046" s="1"/>
      <c r="E3046"/>
      <c r="F3046"/>
      <c r="G3046"/>
      <c r="H3046"/>
      <c r="I3046"/>
      <c r="J3046"/>
    </row>
    <row r="3047" spans="1:10" s="2" customFormat="1">
      <c r="A3047" s="1"/>
      <c r="E3047"/>
      <c r="F3047"/>
      <c r="G3047"/>
      <c r="H3047"/>
      <c r="I3047"/>
      <c r="J3047"/>
    </row>
    <row r="3048" spans="1:10" s="2" customFormat="1">
      <c r="A3048" s="1"/>
      <c r="E3048"/>
      <c r="F3048"/>
      <c r="G3048"/>
      <c r="H3048"/>
      <c r="I3048"/>
      <c r="J3048"/>
    </row>
    <row r="3049" spans="1:10" s="2" customFormat="1">
      <c r="A3049" s="1"/>
      <c r="E3049"/>
      <c r="F3049"/>
      <c r="G3049"/>
      <c r="H3049"/>
      <c r="I3049"/>
      <c r="J3049"/>
    </row>
    <row r="3050" spans="1:10" s="2" customFormat="1">
      <c r="A3050" s="1"/>
      <c r="E3050"/>
      <c r="F3050"/>
      <c r="G3050"/>
      <c r="H3050"/>
      <c r="I3050"/>
      <c r="J3050"/>
    </row>
    <row r="3051" spans="1:10" s="2" customFormat="1">
      <c r="A3051" s="1"/>
      <c r="E3051"/>
      <c r="F3051"/>
      <c r="G3051"/>
      <c r="H3051"/>
      <c r="I3051"/>
      <c r="J3051"/>
    </row>
    <row r="3052" spans="1:10" s="2" customFormat="1">
      <c r="A3052" s="1"/>
      <c r="E3052"/>
      <c r="F3052"/>
      <c r="G3052"/>
      <c r="H3052"/>
      <c r="I3052"/>
      <c r="J3052"/>
    </row>
    <row r="3053" spans="1:10" s="2" customFormat="1">
      <c r="A3053" s="1"/>
      <c r="E3053"/>
      <c r="F3053"/>
      <c r="G3053"/>
      <c r="H3053"/>
      <c r="I3053"/>
      <c r="J3053"/>
    </row>
    <row r="3054" spans="1:10" s="2" customFormat="1">
      <c r="A3054" s="1"/>
      <c r="E3054"/>
      <c r="F3054"/>
      <c r="G3054"/>
      <c r="H3054"/>
      <c r="I3054"/>
      <c r="J3054"/>
    </row>
    <row r="3055" spans="1:10" s="2" customFormat="1">
      <c r="A3055" s="1"/>
      <c r="E3055"/>
      <c r="F3055"/>
      <c r="G3055"/>
      <c r="H3055"/>
      <c r="I3055"/>
      <c r="J3055"/>
    </row>
    <row r="3056" spans="1:10" s="2" customFormat="1">
      <c r="A3056" s="1"/>
      <c r="E3056"/>
      <c r="F3056"/>
      <c r="G3056"/>
      <c r="H3056"/>
      <c r="I3056"/>
      <c r="J3056"/>
    </row>
    <row r="3057" spans="1:10" s="2" customFormat="1">
      <c r="A3057" s="1"/>
      <c r="E3057"/>
      <c r="F3057"/>
      <c r="G3057"/>
      <c r="H3057"/>
      <c r="I3057"/>
      <c r="J3057"/>
    </row>
    <row r="3058" spans="1:10" s="2" customFormat="1">
      <c r="A3058" s="1"/>
      <c r="E3058"/>
      <c r="F3058"/>
      <c r="G3058"/>
      <c r="H3058"/>
      <c r="I3058"/>
      <c r="J3058"/>
    </row>
    <row r="3059" spans="1:10" s="2" customFormat="1">
      <c r="A3059" s="1"/>
      <c r="E3059"/>
      <c r="F3059"/>
      <c r="G3059"/>
      <c r="H3059"/>
      <c r="I3059"/>
      <c r="J3059"/>
    </row>
    <row r="3060" spans="1:10" s="2" customFormat="1">
      <c r="A3060" s="1"/>
      <c r="E3060"/>
      <c r="F3060"/>
      <c r="G3060"/>
      <c r="H3060"/>
      <c r="I3060"/>
      <c r="J3060"/>
    </row>
    <row r="3061" spans="1:10" s="2" customFormat="1">
      <c r="A3061" s="1"/>
      <c r="E3061"/>
      <c r="F3061"/>
      <c r="G3061"/>
      <c r="H3061"/>
      <c r="I3061"/>
      <c r="J3061"/>
    </row>
    <row r="3062" spans="1:10" s="2" customFormat="1">
      <c r="A3062" s="1"/>
      <c r="E3062"/>
      <c r="F3062"/>
      <c r="G3062"/>
      <c r="H3062"/>
      <c r="I3062"/>
      <c r="J3062"/>
    </row>
    <row r="3063" spans="1:10" s="2" customFormat="1">
      <c r="A3063" s="1"/>
      <c r="E3063"/>
      <c r="F3063"/>
      <c r="G3063"/>
      <c r="H3063"/>
      <c r="I3063"/>
      <c r="J3063"/>
    </row>
    <row r="3064" spans="1:10" s="2" customFormat="1">
      <c r="A3064" s="1"/>
      <c r="E3064"/>
      <c r="F3064"/>
      <c r="G3064"/>
      <c r="H3064"/>
      <c r="I3064"/>
      <c r="J3064"/>
    </row>
    <row r="3065" spans="1:10" s="2" customFormat="1">
      <c r="A3065" s="1"/>
      <c r="E3065"/>
      <c r="F3065"/>
      <c r="G3065"/>
      <c r="H3065"/>
      <c r="I3065"/>
      <c r="J3065"/>
    </row>
    <row r="3066" spans="1:10" s="2" customFormat="1">
      <c r="A3066" s="1"/>
      <c r="E3066"/>
      <c r="F3066"/>
      <c r="G3066"/>
      <c r="H3066"/>
      <c r="I3066"/>
      <c r="J3066"/>
    </row>
    <row r="3067" spans="1:10" s="2" customFormat="1">
      <c r="A3067" s="1"/>
      <c r="E3067"/>
      <c r="F3067"/>
      <c r="G3067"/>
      <c r="H3067"/>
      <c r="I3067"/>
      <c r="J3067"/>
    </row>
    <row r="3068" spans="1:10" s="2" customFormat="1">
      <c r="A3068" s="1"/>
      <c r="E3068"/>
      <c r="F3068"/>
      <c r="G3068"/>
      <c r="H3068"/>
      <c r="I3068"/>
      <c r="J3068"/>
    </row>
    <row r="3069" spans="1:10" s="2" customFormat="1">
      <c r="A3069" s="1"/>
      <c r="E3069"/>
      <c r="F3069"/>
      <c r="G3069"/>
      <c r="H3069"/>
      <c r="I3069"/>
      <c r="J3069"/>
    </row>
    <row r="3070" spans="1:10" s="2" customFormat="1">
      <c r="A3070" s="1"/>
      <c r="E3070"/>
      <c r="F3070"/>
      <c r="G3070"/>
      <c r="H3070"/>
      <c r="I3070"/>
      <c r="J3070"/>
    </row>
    <row r="3071" spans="1:10" s="2" customFormat="1">
      <c r="A3071" s="1"/>
      <c r="E3071"/>
      <c r="F3071"/>
      <c r="G3071"/>
      <c r="H3071"/>
      <c r="I3071"/>
      <c r="J3071"/>
    </row>
    <row r="3072" spans="1:10" s="2" customFormat="1">
      <c r="A3072" s="1"/>
      <c r="E3072"/>
      <c r="F3072"/>
      <c r="G3072"/>
      <c r="H3072"/>
      <c r="I3072"/>
      <c r="J3072"/>
    </row>
    <row r="3073" spans="1:10" s="2" customFormat="1">
      <c r="A3073" s="1"/>
      <c r="E3073"/>
      <c r="F3073"/>
      <c r="G3073"/>
      <c r="H3073"/>
      <c r="I3073"/>
      <c r="J3073"/>
    </row>
    <row r="3074" spans="1:10" s="2" customFormat="1">
      <c r="A3074" s="1"/>
      <c r="E3074"/>
      <c r="F3074"/>
      <c r="G3074"/>
      <c r="H3074"/>
      <c r="I3074"/>
      <c r="J3074"/>
    </row>
    <row r="3075" spans="1:10" s="2" customFormat="1">
      <c r="A3075" s="1"/>
      <c r="E3075"/>
      <c r="F3075"/>
      <c r="G3075"/>
      <c r="H3075"/>
      <c r="I3075"/>
      <c r="J3075"/>
    </row>
    <row r="3076" spans="1:10" s="2" customFormat="1">
      <c r="A3076" s="1"/>
      <c r="E3076"/>
      <c r="F3076"/>
      <c r="G3076"/>
      <c r="H3076"/>
      <c r="I3076"/>
      <c r="J3076"/>
    </row>
    <row r="3077" spans="1:10" s="2" customFormat="1">
      <c r="A3077" s="1"/>
      <c r="E3077"/>
      <c r="F3077"/>
      <c r="G3077"/>
      <c r="H3077"/>
      <c r="I3077"/>
      <c r="J3077"/>
    </row>
    <row r="3078" spans="1:10" s="2" customFormat="1">
      <c r="A3078" s="1"/>
      <c r="E3078"/>
      <c r="F3078"/>
      <c r="G3078"/>
      <c r="H3078"/>
      <c r="I3078"/>
      <c r="J3078"/>
    </row>
    <row r="3079" spans="1:10" s="2" customFormat="1">
      <c r="A3079" s="1"/>
      <c r="E3079"/>
      <c r="F3079"/>
      <c r="G3079"/>
      <c r="H3079"/>
      <c r="I3079"/>
      <c r="J3079"/>
    </row>
    <row r="3080" spans="1:10" s="2" customFormat="1">
      <c r="A3080" s="1"/>
      <c r="E3080"/>
      <c r="F3080"/>
      <c r="G3080"/>
      <c r="H3080"/>
      <c r="I3080"/>
      <c r="J3080"/>
    </row>
    <row r="3081" spans="1:10" s="2" customFormat="1">
      <c r="A3081" s="1"/>
      <c r="E3081"/>
      <c r="F3081"/>
      <c r="G3081"/>
      <c r="H3081"/>
      <c r="I3081"/>
      <c r="J3081"/>
    </row>
    <row r="3082" spans="1:10" s="2" customFormat="1">
      <c r="A3082" s="1"/>
      <c r="E3082"/>
      <c r="F3082"/>
      <c r="G3082"/>
      <c r="H3082"/>
      <c r="I3082"/>
      <c r="J3082"/>
    </row>
    <row r="3083" spans="1:10" s="2" customFormat="1">
      <c r="A3083" s="1"/>
      <c r="E3083"/>
      <c r="F3083"/>
      <c r="G3083"/>
      <c r="H3083"/>
      <c r="I3083"/>
      <c r="J3083"/>
    </row>
    <row r="3084" spans="1:10" s="2" customFormat="1">
      <c r="A3084" s="1"/>
      <c r="E3084"/>
      <c r="F3084"/>
      <c r="G3084"/>
      <c r="H3084"/>
      <c r="I3084"/>
      <c r="J3084"/>
    </row>
    <row r="3085" spans="1:10" s="2" customFormat="1">
      <c r="A3085" s="1"/>
      <c r="E3085"/>
      <c r="F3085"/>
      <c r="G3085"/>
      <c r="H3085"/>
      <c r="I3085"/>
      <c r="J3085"/>
    </row>
    <row r="3086" spans="1:10" s="2" customFormat="1">
      <c r="A3086" s="1"/>
      <c r="E3086"/>
      <c r="F3086"/>
      <c r="G3086"/>
      <c r="H3086"/>
      <c r="I3086"/>
      <c r="J3086"/>
    </row>
    <row r="3087" spans="1:10" s="2" customFormat="1">
      <c r="A3087" s="1"/>
      <c r="E3087"/>
      <c r="F3087"/>
      <c r="G3087"/>
      <c r="H3087"/>
      <c r="I3087"/>
      <c r="J3087"/>
    </row>
    <row r="3088" spans="1:10" s="2" customFormat="1">
      <c r="A3088" s="1"/>
      <c r="E3088"/>
      <c r="F3088"/>
      <c r="G3088"/>
      <c r="H3088"/>
      <c r="I3088"/>
      <c r="J3088"/>
    </row>
    <row r="3089" spans="1:10" s="2" customFormat="1">
      <c r="A3089" s="1"/>
      <c r="E3089"/>
      <c r="F3089"/>
      <c r="G3089"/>
      <c r="H3089"/>
      <c r="I3089"/>
      <c r="J3089"/>
    </row>
    <row r="3090" spans="1:10" s="2" customFormat="1">
      <c r="A3090" s="1"/>
      <c r="E3090"/>
      <c r="F3090"/>
      <c r="G3090"/>
      <c r="H3090"/>
      <c r="I3090"/>
      <c r="J3090"/>
    </row>
    <row r="3091" spans="1:10" s="2" customFormat="1">
      <c r="A3091" s="1"/>
      <c r="E3091"/>
      <c r="F3091"/>
      <c r="G3091"/>
      <c r="H3091"/>
      <c r="I3091"/>
      <c r="J3091"/>
    </row>
    <row r="3092" spans="1:10" s="2" customFormat="1">
      <c r="A3092" s="1"/>
      <c r="E3092"/>
      <c r="F3092"/>
      <c r="G3092"/>
      <c r="H3092"/>
      <c r="I3092"/>
      <c r="J3092"/>
    </row>
    <row r="3093" spans="1:10" s="2" customFormat="1">
      <c r="A3093" s="1"/>
      <c r="E3093"/>
      <c r="F3093"/>
      <c r="G3093"/>
      <c r="H3093"/>
      <c r="I3093"/>
      <c r="J3093"/>
    </row>
    <row r="3094" spans="1:10" s="2" customFormat="1">
      <c r="A3094" s="1"/>
      <c r="E3094"/>
      <c r="F3094"/>
      <c r="G3094"/>
      <c r="H3094"/>
      <c r="I3094"/>
      <c r="J3094"/>
    </row>
    <row r="3095" spans="1:10" s="2" customFormat="1">
      <c r="A3095" s="1"/>
      <c r="E3095"/>
      <c r="F3095"/>
      <c r="G3095"/>
      <c r="H3095"/>
      <c r="I3095"/>
      <c r="J3095"/>
    </row>
    <row r="3096" spans="1:10" s="2" customFormat="1">
      <c r="A3096" s="1"/>
      <c r="E3096"/>
      <c r="F3096"/>
      <c r="G3096"/>
      <c r="H3096"/>
      <c r="I3096"/>
      <c r="J3096"/>
    </row>
    <row r="3097" spans="1:10" s="2" customFormat="1">
      <c r="A3097" s="1"/>
      <c r="E3097"/>
      <c r="F3097"/>
      <c r="G3097"/>
      <c r="H3097"/>
      <c r="I3097"/>
      <c r="J3097"/>
    </row>
    <row r="3098" spans="1:10" s="2" customFormat="1">
      <c r="A3098" s="1"/>
      <c r="E3098"/>
      <c r="F3098"/>
      <c r="G3098"/>
      <c r="H3098"/>
      <c r="I3098"/>
      <c r="J3098"/>
    </row>
    <row r="3099" spans="1:10" s="2" customFormat="1">
      <c r="A3099" s="1"/>
      <c r="E3099"/>
      <c r="F3099"/>
      <c r="G3099"/>
      <c r="H3099"/>
      <c r="I3099"/>
      <c r="J3099"/>
    </row>
    <row r="3100" spans="1:10" s="2" customFormat="1">
      <c r="A3100" s="1"/>
      <c r="E3100"/>
      <c r="F3100"/>
      <c r="G3100"/>
      <c r="H3100"/>
      <c r="I3100"/>
      <c r="J3100"/>
    </row>
    <row r="3101" spans="1:10" s="2" customFormat="1">
      <c r="A3101" s="1"/>
      <c r="E3101"/>
      <c r="F3101"/>
      <c r="G3101"/>
      <c r="H3101"/>
      <c r="I3101"/>
      <c r="J3101"/>
    </row>
    <row r="3102" spans="1:10" s="2" customFormat="1">
      <c r="A3102" s="1"/>
      <c r="E3102"/>
      <c r="F3102"/>
      <c r="G3102"/>
      <c r="H3102"/>
      <c r="I3102"/>
      <c r="J3102"/>
    </row>
    <row r="3103" spans="1:10" s="2" customFormat="1">
      <c r="A3103" s="1"/>
      <c r="E3103"/>
      <c r="F3103"/>
      <c r="G3103"/>
      <c r="H3103"/>
      <c r="I3103"/>
      <c r="J3103"/>
    </row>
    <row r="3104" spans="1:10" s="2" customFormat="1">
      <c r="A3104" s="1"/>
      <c r="E3104"/>
      <c r="F3104"/>
      <c r="G3104"/>
      <c r="H3104"/>
      <c r="I3104"/>
      <c r="J3104"/>
    </row>
    <row r="3105" spans="1:10" s="2" customFormat="1">
      <c r="A3105" s="1"/>
      <c r="E3105"/>
      <c r="F3105"/>
      <c r="G3105"/>
      <c r="H3105"/>
      <c r="I3105"/>
      <c r="J3105"/>
    </row>
    <row r="3106" spans="1:10" s="2" customFormat="1">
      <c r="A3106" s="1"/>
      <c r="E3106"/>
      <c r="F3106"/>
      <c r="G3106"/>
      <c r="H3106"/>
      <c r="I3106"/>
      <c r="J3106"/>
    </row>
    <row r="3107" spans="1:10" s="2" customFormat="1">
      <c r="A3107" s="1"/>
      <c r="E3107"/>
      <c r="F3107"/>
      <c r="G3107"/>
      <c r="H3107"/>
      <c r="I3107"/>
      <c r="J3107"/>
    </row>
    <row r="3108" spans="1:10" s="2" customFormat="1">
      <c r="A3108" s="1"/>
      <c r="E3108"/>
      <c r="F3108"/>
      <c r="G3108"/>
      <c r="H3108"/>
      <c r="I3108"/>
      <c r="J3108"/>
    </row>
    <row r="3109" spans="1:10" s="2" customFormat="1">
      <c r="A3109" s="1"/>
      <c r="E3109"/>
      <c r="F3109"/>
      <c r="G3109"/>
      <c r="H3109"/>
      <c r="I3109"/>
      <c r="J3109"/>
    </row>
    <row r="3110" spans="1:10" s="2" customFormat="1">
      <c r="A3110" s="1"/>
      <c r="E3110"/>
      <c r="F3110"/>
      <c r="G3110"/>
      <c r="H3110"/>
      <c r="I3110"/>
      <c r="J3110"/>
    </row>
    <row r="3111" spans="1:10" s="2" customFormat="1">
      <c r="A3111" s="1"/>
      <c r="E3111"/>
      <c r="F3111"/>
      <c r="G3111"/>
      <c r="H3111"/>
      <c r="I3111"/>
      <c r="J3111"/>
    </row>
    <row r="3112" spans="1:10" s="2" customFormat="1">
      <c r="A3112" s="1"/>
      <c r="E3112"/>
      <c r="F3112"/>
      <c r="G3112"/>
      <c r="H3112"/>
      <c r="I3112"/>
      <c r="J3112"/>
    </row>
    <row r="3113" spans="1:10" s="2" customFormat="1">
      <c r="A3113" s="1"/>
      <c r="E3113"/>
      <c r="F3113"/>
      <c r="G3113"/>
      <c r="H3113"/>
      <c r="I3113"/>
      <c r="J3113"/>
    </row>
    <row r="3114" spans="1:10" s="2" customFormat="1">
      <c r="A3114" s="1"/>
      <c r="E3114"/>
      <c r="F3114"/>
      <c r="G3114"/>
      <c r="H3114"/>
      <c r="I3114"/>
      <c r="J3114"/>
    </row>
    <row r="3115" spans="1:10" s="2" customFormat="1">
      <c r="A3115" s="1"/>
      <c r="E3115"/>
      <c r="F3115"/>
      <c r="G3115"/>
      <c r="H3115"/>
      <c r="I3115"/>
      <c r="J3115"/>
    </row>
    <row r="3116" spans="1:10" s="2" customFormat="1">
      <c r="A3116" s="1"/>
      <c r="E3116"/>
      <c r="F3116"/>
      <c r="G3116"/>
      <c r="H3116"/>
      <c r="I3116"/>
      <c r="J3116"/>
    </row>
    <row r="3117" spans="1:10" s="2" customFormat="1">
      <c r="A3117" s="1"/>
      <c r="E3117"/>
      <c r="F3117"/>
      <c r="G3117"/>
      <c r="H3117"/>
      <c r="I3117"/>
      <c r="J3117"/>
    </row>
    <row r="3118" spans="1:10" s="2" customFormat="1">
      <c r="A3118" s="1"/>
      <c r="E3118"/>
      <c r="F3118"/>
      <c r="G3118"/>
      <c r="H3118"/>
      <c r="I3118"/>
      <c r="J3118"/>
    </row>
    <row r="3119" spans="1:10" s="2" customFormat="1">
      <c r="A3119" s="1"/>
      <c r="E3119"/>
      <c r="F3119"/>
      <c r="G3119"/>
      <c r="H3119"/>
      <c r="I3119"/>
      <c r="J3119"/>
    </row>
    <row r="3120" spans="1:10" s="2" customFormat="1">
      <c r="A3120" s="1"/>
      <c r="E3120"/>
      <c r="F3120"/>
      <c r="G3120"/>
      <c r="H3120"/>
      <c r="I3120"/>
      <c r="J3120"/>
    </row>
    <row r="3121" spans="1:10" s="2" customFormat="1">
      <c r="A3121" s="1"/>
      <c r="E3121"/>
      <c r="F3121"/>
      <c r="G3121"/>
      <c r="H3121"/>
      <c r="I3121"/>
      <c r="J3121"/>
    </row>
    <row r="3122" spans="1:10" s="2" customFormat="1">
      <c r="A3122" s="1"/>
      <c r="E3122"/>
      <c r="F3122"/>
      <c r="G3122"/>
      <c r="H3122"/>
      <c r="I3122"/>
      <c r="J3122"/>
    </row>
    <row r="3123" spans="1:10" s="2" customFormat="1">
      <c r="A3123" s="1"/>
      <c r="E3123"/>
      <c r="F3123"/>
      <c r="G3123"/>
      <c r="H3123"/>
      <c r="I3123"/>
      <c r="J3123"/>
    </row>
    <row r="3124" spans="1:10" s="2" customFormat="1">
      <c r="A3124" s="1"/>
      <c r="E3124"/>
      <c r="F3124"/>
      <c r="G3124"/>
      <c r="H3124"/>
      <c r="I3124"/>
      <c r="J3124"/>
    </row>
    <row r="3125" spans="1:10" s="2" customFormat="1">
      <c r="A3125" s="1"/>
      <c r="E3125"/>
      <c r="F3125"/>
      <c r="G3125"/>
      <c r="H3125"/>
      <c r="I3125"/>
      <c r="J3125"/>
    </row>
    <row r="3126" spans="1:10" s="2" customFormat="1">
      <c r="A3126" s="1"/>
      <c r="E3126"/>
      <c r="F3126"/>
      <c r="G3126"/>
      <c r="H3126"/>
      <c r="I3126"/>
      <c r="J3126"/>
    </row>
    <row r="3127" spans="1:10" s="2" customFormat="1">
      <c r="A3127" s="1"/>
      <c r="E3127"/>
      <c r="F3127"/>
      <c r="G3127"/>
      <c r="H3127"/>
      <c r="I3127"/>
      <c r="J3127"/>
    </row>
    <row r="3128" spans="1:10" s="2" customFormat="1">
      <c r="A3128" s="1"/>
      <c r="E3128"/>
      <c r="F3128"/>
      <c r="G3128"/>
      <c r="H3128"/>
      <c r="I3128"/>
      <c r="J3128"/>
    </row>
    <row r="3129" spans="1:10" s="2" customFormat="1">
      <c r="A3129" s="1"/>
      <c r="E3129"/>
      <c r="F3129"/>
      <c r="G3129"/>
      <c r="H3129"/>
      <c r="I3129"/>
      <c r="J3129"/>
    </row>
    <row r="3130" spans="1:10" s="2" customFormat="1">
      <c r="A3130" s="1"/>
      <c r="E3130"/>
      <c r="F3130"/>
      <c r="G3130"/>
      <c r="H3130"/>
      <c r="I3130"/>
      <c r="J3130"/>
    </row>
    <row r="3131" spans="1:10" s="2" customFormat="1">
      <c r="A3131" s="1"/>
      <c r="E3131"/>
      <c r="F3131"/>
      <c r="G3131"/>
      <c r="H3131"/>
      <c r="I3131"/>
      <c r="J3131"/>
    </row>
    <row r="3132" spans="1:10" s="2" customFormat="1">
      <c r="A3132" s="1"/>
      <c r="E3132"/>
      <c r="F3132"/>
      <c r="G3132"/>
      <c r="H3132"/>
      <c r="I3132"/>
      <c r="J3132"/>
    </row>
    <row r="3133" spans="1:10" s="2" customFormat="1">
      <c r="A3133" s="1"/>
      <c r="E3133"/>
      <c r="F3133"/>
      <c r="G3133"/>
      <c r="H3133"/>
      <c r="I3133"/>
      <c r="J3133"/>
    </row>
    <row r="3134" spans="1:10" s="2" customFormat="1">
      <c r="A3134" s="1"/>
      <c r="E3134"/>
      <c r="F3134"/>
      <c r="G3134"/>
      <c r="H3134"/>
      <c r="I3134"/>
      <c r="J3134"/>
    </row>
    <row r="3135" spans="1:10" s="2" customFormat="1">
      <c r="A3135" s="1"/>
      <c r="E3135"/>
      <c r="F3135"/>
      <c r="G3135"/>
      <c r="H3135"/>
      <c r="I3135"/>
      <c r="J3135"/>
    </row>
    <row r="3136" spans="1:10" s="2" customFormat="1">
      <c r="A3136" s="1"/>
      <c r="E3136"/>
      <c r="F3136"/>
      <c r="G3136"/>
      <c r="H3136"/>
      <c r="I3136"/>
      <c r="J3136"/>
    </row>
    <row r="3137" spans="1:10" s="2" customFormat="1">
      <c r="A3137" s="1"/>
      <c r="E3137"/>
      <c r="F3137"/>
      <c r="G3137"/>
      <c r="H3137"/>
      <c r="I3137"/>
      <c r="J3137"/>
    </row>
    <row r="3138" spans="1:10" s="2" customFormat="1">
      <c r="A3138" s="1"/>
      <c r="E3138"/>
      <c r="F3138"/>
      <c r="G3138"/>
      <c r="H3138"/>
      <c r="I3138"/>
      <c r="J3138"/>
    </row>
    <row r="3139" spans="1:10" s="2" customFormat="1">
      <c r="A3139" s="1"/>
      <c r="E3139"/>
      <c r="F3139"/>
      <c r="G3139"/>
      <c r="H3139"/>
      <c r="I3139"/>
      <c r="J3139"/>
    </row>
    <row r="3140" spans="1:10" s="2" customFormat="1">
      <c r="A3140" s="1"/>
      <c r="E3140"/>
      <c r="F3140"/>
      <c r="G3140"/>
      <c r="H3140"/>
      <c r="I3140"/>
      <c r="J3140"/>
    </row>
    <row r="3141" spans="1:10" s="2" customFormat="1">
      <c r="A3141" s="1"/>
      <c r="E3141"/>
      <c r="F3141"/>
      <c r="G3141"/>
      <c r="H3141"/>
      <c r="I3141"/>
      <c r="J3141"/>
    </row>
    <row r="3142" spans="1:10" s="2" customFormat="1">
      <c r="A3142" s="1"/>
      <c r="E3142"/>
      <c r="F3142"/>
      <c r="G3142"/>
      <c r="H3142"/>
      <c r="I3142"/>
      <c r="J3142"/>
    </row>
    <row r="3143" spans="1:10" s="2" customFormat="1">
      <c r="A3143" s="1"/>
      <c r="E3143"/>
      <c r="F3143"/>
      <c r="G3143"/>
      <c r="H3143"/>
      <c r="I3143"/>
      <c r="J3143"/>
    </row>
    <row r="3144" spans="1:10" s="2" customFormat="1">
      <c r="A3144" s="1"/>
      <c r="E3144"/>
      <c r="F3144"/>
      <c r="G3144"/>
      <c r="H3144"/>
      <c r="I3144"/>
      <c r="J3144"/>
    </row>
    <row r="3145" spans="1:10" s="2" customFormat="1">
      <c r="A3145" s="1"/>
      <c r="E3145"/>
      <c r="F3145"/>
      <c r="G3145"/>
      <c r="H3145"/>
      <c r="I3145"/>
      <c r="J3145"/>
    </row>
    <row r="3146" spans="1:10" s="2" customFormat="1">
      <c r="A3146" s="1"/>
      <c r="E3146"/>
      <c r="F3146"/>
      <c r="G3146"/>
      <c r="H3146"/>
      <c r="I3146"/>
      <c r="J3146"/>
    </row>
    <row r="3147" spans="1:10" s="2" customFormat="1">
      <c r="A3147" s="1"/>
      <c r="E3147"/>
      <c r="F3147"/>
      <c r="G3147"/>
      <c r="H3147"/>
      <c r="I3147"/>
      <c r="J3147"/>
    </row>
    <row r="3148" spans="1:10" s="2" customFormat="1">
      <c r="A3148" s="1"/>
      <c r="E3148"/>
      <c r="F3148"/>
      <c r="G3148"/>
      <c r="H3148"/>
      <c r="I3148"/>
      <c r="J3148"/>
    </row>
    <row r="3149" spans="1:10" s="2" customFormat="1">
      <c r="A3149" s="1"/>
      <c r="E3149"/>
      <c r="F3149"/>
      <c r="G3149"/>
      <c r="H3149"/>
      <c r="I3149"/>
      <c r="J3149"/>
    </row>
    <row r="3150" spans="1:10" s="2" customFormat="1">
      <c r="A3150" s="1"/>
      <c r="E3150"/>
      <c r="F3150"/>
      <c r="G3150"/>
      <c r="H3150"/>
      <c r="I3150"/>
      <c r="J3150"/>
    </row>
    <row r="3151" spans="1:10" s="2" customFormat="1">
      <c r="A3151" s="1"/>
      <c r="E3151"/>
      <c r="F3151"/>
      <c r="G3151"/>
      <c r="H3151"/>
      <c r="I3151"/>
      <c r="J3151"/>
    </row>
    <row r="3152" spans="1:10" s="2" customFormat="1">
      <c r="A3152" s="1"/>
      <c r="E3152"/>
      <c r="F3152"/>
      <c r="G3152"/>
      <c r="H3152"/>
      <c r="I3152"/>
      <c r="J3152"/>
    </row>
    <row r="3153" spans="1:10" s="2" customFormat="1">
      <c r="A3153" s="1"/>
      <c r="E3153"/>
      <c r="F3153"/>
      <c r="G3153"/>
      <c r="H3153"/>
      <c r="I3153"/>
      <c r="J3153"/>
    </row>
    <row r="3154" spans="1:10" s="2" customFormat="1">
      <c r="A3154" s="1"/>
      <c r="E3154"/>
      <c r="F3154"/>
      <c r="G3154"/>
      <c r="H3154"/>
      <c r="I3154"/>
      <c r="J3154"/>
    </row>
    <row r="3155" spans="1:10" s="2" customFormat="1">
      <c r="A3155" s="1"/>
      <c r="E3155"/>
      <c r="F3155"/>
      <c r="G3155"/>
      <c r="H3155"/>
      <c r="I3155"/>
      <c r="J3155"/>
    </row>
    <row r="3156" spans="1:10" s="2" customFormat="1">
      <c r="A3156" s="1"/>
      <c r="E3156"/>
      <c r="F3156"/>
      <c r="G3156"/>
      <c r="H3156"/>
      <c r="I3156"/>
      <c r="J3156"/>
    </row>
    <row r="3157" spans="1:10" s="2" customFormat="1">
      <c r="A3157" s="1"/>
      <c r="E3157"/>
      <c r="F3157"/>
      <c r="G3157"/>
      <c r="H3157"/>
      <c r="I3157"/>
      <c r="J3157"/>
    </row>
    <row r="3158" spans="1:10" s="2" customFormat="1">
      <c r="A3158" s="1"/>
      <c r="E3158"/>
      <c r="F3158"/>
      <c r="G3158"/>
      <c r="H3158"/>
      <c r="I3158"/>
      <c r="J3158"/>
    </row>
    <row r="3159" spans="1:10" s="2" customFormat="1">
      <c r="A3159" s="1"/>
      <c r="E3159"/>
      <c r="F3159"/>
      <c r="G3159"/>
      <c r="H3159"/>
      <c r="I3159"/>
      <c r="J3159"/>
    </row>
    <row r="3160" spans="1:10" s="2" customFormat="1">
      <c r="A3160" s="1"/>
      <c r="E3160"/>
      <c r="F3160"/>
      <c r="G3160"/>
      <c r="H3160"/>
      <c r="I3160"/>
      <c r="J3160"/>
    </row>
    <row r="3161" spans="1:10" s="2" customFormat="1">
      <c r="A3161" s="1"/>
      <c r="E3161"/>
      <c r="F3161"/>
      <c r="G3161"/>
      <c r="H3161"/>
      <c r="I3161"/>
      <c r="J3161"/>
    </row>
    <row r="3162" spans="1:10" s="2" customFormat="1">
      <c r="A3162" s="1"/>
      <c r="E3162"/>
      <c r="F3162"/>
      <c r="G3162"/>
      <c r="H3162"/>
      <c r="I3162"/>
      <c r="J3162"/>
    </row>
    <row r="3163" spans="1:10" s="2" customFormat="1">
      <c r="A3163" s="1"/>
      <c r="E3163"/>
      <c r="F3163"/>
      <c r="G3163"/>
      <c r="H3163"/>
      <c r="I3163"/>
      <c r="J3163"/>
    </row>
    <row r="3164" spans="1:10" s="2" customFormat="1">
      <c r="A3164" s="1"/>
      <c r="E3164"/>
      <c r="F3164"/>
      <c r="G3164"/>
      <c r="H3164"/>
      <c r="I3164"/>
      <c r="J3164"/>
    </row>
    <row r="3165" spans="1:10" s="2" customFormat="1">
      <c r="A3165" s="1"/>
      <c r="E3165"/>
      <c r="F3165"/>
      <c r="G3165"/>
      <c r="H3165"/>
      <c r="I3165"/>
      <c r="J3165"/>
    </row>
    <row r="3166" spans="1:10" s="2" customFormat="1">
      <c r="A3166" s="1"/>
      <c r="E3166"/>
      <c r="F3166"/>
      <c r="G3166"/>
      <c r="H3166"/>
      <c r="I3166"/>
      <c r="J3166"/>
    </row>
    <row r="3167" spans="1:10" s="2" customFormat="1">
      <c r="A3167" s="1"/>
      <c r="E3167"/>
      <c r="F3167"/>
      <c r="G3167"/>
      <c r="H3167"/>
      <c r="I3167"/>
      <c r="J3167"/>
    </row>
    <row r="3168" spans="1:10" s="2" customFormat="1">
      <c r="A3168" s="1"/>
      <c r="E3168"/>
      <c r="F3168"/>
      <c r="G3168"/>
      <c r="H3168"/>
      <c r="I3168"/>
      <c r="J3168"/>
    </row>
    <row r="3169" spans="1:10" s="2" customFormat="1">
      <c r="A3169" s="1"/>
      <c r="E3169"/>
      <c r="F3169"/>
      <c r="G3169"/>
      <c r="H3169"/>
      <c r="I3169"/>
      <c r="J3169"/>
    </row>
    <row r="3170" spans="1:10" s="2" customFormat="1">
      <c r="A3170" s="1"/>
      <c r="E3170"/>
      <c r="F3170"/>
      <c r="G3170"/>
      <c r="H3170"/>
      <c r="I3170"/>
      <c r="J3170"/>
    </row>
    <row r="3171" spans="1:10" s="2" customFormat="1">
      <c r="A3171" s="1"/>
      <c r="E3171"/>
      <c r="F3171"/>
      <c r="G3171"/>
      <c r="H3171"/>
      <c r="I3171"/>
      <c r="J3171"/>
    </row>
    <row r="3172" spans="1:10" s="2" customFormat="1">
      <c r="A3172" s="1"/>
      <c r="E3172"/>
      <c r="F3172"/>
      <c r="G3172"/>
      <c r="H3172"/>
      <c r="I3172"/>
      <c r="J3172"/>
    </row>
    <row r="3173" spans="1:10" s="2" customFormat="1">
      <c r="A3173" s="1"/>
      <c r="E3173"/>
      <c r="F3173"/>
      <c r="G3173"/>
      <c r="H3173"/>
      <c r="I3173"/>
      <c r="J3173"/>
    </row>
    <row r="3174" spans="1:10" s="2" customFormat="1">
      <c r="A3174" s="1"/>
      <c r="E3174"/>
      <c r="F3174"/>
      <c r="G3174"/>
      <c r="H3174"/>
      <c r="I3174"/>
      <c r="J3174"/>
    </row>
    <row r="3175" spans="1:10" s="2" customFormat="1">
      <c r="A3175" s="1"/>
      <c r="E3175"/>
      <c r="F3175"/>
      <c r="G3175"/>
      <c r="H3175"/>
      <c r="I3175"/>
      <c r="J3175"/>
    </row>
    <row r="3176" spans="1:10" s="2" customFormat="1">
      <c r="A3176" s="1"/>
      <c r="E3176"/>
      <c r="F3176"/>
      <c r="G3176"/>
      <c r="H3176"/>
      <c r="I3176"/>
      <c r="J3176"/>
    </row>
    <row r="3177" spans="1:10" s="2" customFormat="1">
      <c r="A3177" s="1"/>
      <c r="E3177"/>
      <c r="F3177"/>
      <c r="G3177"/>
      <c r="H3177"/>
      <c r="I3177"/>
      <c r="J3177"/>
    </row>
    <row r="3178" spans="1:10" s="2" customFormat="1">
      <c r="A3178" s="1"/>
      <c r="E3178"/>
      <c r="F3178"/>
      <c r="G3178"/>
      <c r="H3178"/>
      <c r="I3178"/>
      <c r="J3178"/>
    </row>
    <row r="3179" spans="1:10" s="2" customFormat="1">
      <c r="A3179" s="1"/>
      <c r="E3179"/>
      <c r="F3179"/>
      <c r="G3179"/>
      <c r="H3179"/>
      <c r="I3179"/>
      <c r="J3179"/>
    </row>
    <row r="3180" spans="1:10" s="2" customFormat="1">
      <c r="A3180" s="1"/>
      <c r="E3180"/>
      <c r="F3180"/>
      <c r="G3180"/>
      <c r="H3180"/>
      <c r="I3180"/>
      <c r="J3180"/>
    </row>
    <row r="3181" spans="1:10" s="2" customFormat="1">
      <c r="A3181" s="1"/>
      <c r="E3181"/>
      <c r="F3181"/>
      <c r="G3181"/>
      <c r="H3181"/>
      <c r="I3181"/>
      <c r="J3181"/>
    </row>
    <row r="3182" spans="1:10" s="2" customFormat="1">
      <c r="A3182" s="1"/>
      <c r="E3182"/>
      <c r="F3182"/>
      <c r="G3182"/>
      <c r="H3182"/>
      <c r="I3182"/>
      <c r="J3182"/>
    </row>
    <row r="3183" spans="1:10" s="2" customFormat="1">
      <c r="A3183" s="1"/>
      <c r="E3183"/>
      <c r="F3183"/>
      <c r="G3183"/>
      <c r="H3183"/>
      <c r="I3183"/>
      <c r="J3183"/>
    </row>
    <row r="3184" spans="1:10" s="2" customFormat="1">
      <c r="A3184" s="1"/>
      <c r="E3184"/>
      <c r="F3184"/>
      <c r="G3184"/>
      <c r="H3184"/>
      <c r="I3184"/>
      <c r="J3184"/>
    </row>
    <row r="3185" spans="1:10" s="2" customFormat="1">
      <c r="A3185" s="1"/>
      <c r="E3185"/>
      <c r="F3185"/>
      <c r="G3185"/>
      <c r="H3185"/>
      <c r="I3185"/>
      <c r="J3185"/>
    </row>
    <row r="3186" spans="1:10" s="2" customFormat="1">
      <c r="A3186" s="1"/>
      <c r="E3186"/>
      <c r="F3186"/>
      <c r="G3186"/>
      <c r="H3186"/>
      <c r="I3186"/>
      <c r="J3186"/>
    </row>
    <row r="3187" spans="1:10" s="2" customFormat="1">
      <c r="A3187" s="1"/>
      <c r="E3187"/>
      <c r="F3187"/>
      <c r="G3187"/>
      <c r="H3187"/>
      <c r="I3187"/>
      <c r="J3187"/>
    </row>
    <row r="3188" spans="1:10" s="2" customFormat="1">
      <c r="A3188" s="1"/>
      <c r="E3188"/>
      <c r="F3188"/>
      <c r="G3188"/>
      <c r="H3188"/>
      <c r="I3188"/>
      <c r="J3188"/>
    </row>
    <row r="3189" spans="1:10" s="2" customFormat="1">
      <c r="A3189" s="1"/>
      <c r="E3189"/>
      <c r="F3189"/>
      <c r="G3189"/>
      <c r="H3189"/>
      <c r="I3189"/>
      <c r="J3189"/>
    </row>
    <row r="3190" spans="1:10" s="2" customFormat="1">
      <c r="A3190" s="1"/>
      <c r="E3190"/>
      <c r="F3190"/>
      <c r="G3190"/>
      <c r="H3190"/>
      <c r="I3190"/>
      <c r="J3190"/>
    </row>
    <row r="3191" spans="1:10" s="2" customFormat="1">
      <c r="A3191" s="1"/>
      <c r="E3191"/>
      <c r="F3191"/>
      <c r="G3191"/>
      <c r="H3191"/>
      <c r="I3191"/>
      <c r="J3191"/>
    </row>
    <row r="3192" spans="1:10" s="2" customFormat="1">
      <c r="A3192" s="1"/>
      <c r="E3192"/>
      <c r="F3192"/>
      <c r="G3192"/>
      <c r="H3192"/>
      <c r="I3192"/>
      <c r="J3192"/>
    </row>
    <row r="3193" spans="1:10" s="2" customFormat="1">
      <c r="A3193" s="1"/>
      <c r="E3193"/>
      <c r="F3193"/>
      <c r="G3193"/>
      <c r="H3193"/>
      <c r="I3193"/>
      <c r="J3193"/>
    </row>
    <row r="3194" spans="1:10" s="2" customFormat="1">
      <c r="A3194" s="1"/>
      <c r="E3194"/>
      <c r="F3194"/>
      <c r="G3194"/>
      <c r="H3194"/>
      <c r="I3194"/>
      <c r="J3194"/>
    </row>
    <row r="3195" spans="1:10" s="2" customFormat="1">
      <c r="A3195" s="1"/>
      <c r="E3195"/>
      <c r="F3195"/>
      <c r="G3195"/>
      <c r="H3195"/>
      <c r="I3195"/>
      <c r="J3195"/>
    </row>
    <row r="3196" spans="1:10" s="2" customFormat="1">
      <c r="A3196" s="1"/>
      <c r="E3196"/>
      <c r="F3196"/>
      <c r="G3196"/>
      <c r="H3196"/>
      <c r="I3196"/>
      <c r="J3196"/>
    </row>
    <row r="3197" spans="1:10" s="2" customFormat="1">
      <c r="A3197" s="1"/>
      <c r="E3197"/>
      <c r="F3197"/>
      <c r="G3197"/>
      <c r="H3197"/>
      <c r="I3197"/>
      <c r="J3197"/>
    </row>
    <row r="3198" spans="1:10" s="2" customFormat="1">
      <c r="A3198" s="1"/>
      <c r="E3198"/>
      <c r="F3198"/>
      <c r="G3198"/>
      <c r="H3198"/>
      <c r="I3198"/>
      <c r="J3198"/>
    </row>
    <row r="3199" spans="1:10" s="2" customFormat="1">
      <c r="A3199" s="1"/>
      <c r="E3199"/>
      <c r="F3199"/>
      <c r="G3199"/>
      <c r="H3199"/>
      <c r="I3199"/>
      <c r="J3199"/>
    </row>
    <row r="3200" spans="1:10" s="2" customFormat="1">
      <c r="A3200" s="1"/>
      <c r="E3200"/>
      <c r="F3200"/>
      <c r="G3200"/>
      <c r="H3200"/>
      <c r="I3200"/>
      <c r="J3200"/>
    </row>
    <row r="3201" spans="1:10" s="2" customFormat="1">
      <c r="A3201" s="1"/>
      <c r="E3201"/>
      <c r="F3201"/>
      <c r="G3201"/>
      <c r="H3201"/>
      <c r="I3201"/>
      <c r="J3201"/>
    </row>
    <row r="3202" spans="1:10" s="2" customFormat="1">
      <c r="A3202" s="1"/>
      <c r="E3202"/>
      <c r="F3202"/>
      <c r="G3202"/>
      <c r="H3202"/>
      <c r="I3202"/>
      <c r="J3202"/>
    </row>
    <row r="3203" spans="1:10" s="2" customFormat="1">
      <c r="A3203" s="1"/>
      <c r="E3203"/>
      <c r="F3203"/>
      <c r="G3203"/>
      <c r="H3203"/>
      <c r="I3203"/>
      <c r="J3203"/>
    </row>
    <row r="3204" spans="1:10" s="2" customFormat="1">
      <c r="A3204" s="1"/>
      <c r="E3204"/>
      <c r="F3204"/>
      <c r="G3204"/>
      <c r="H3204"/>
      <c r="I3204"/>
      <c r="J3204"/>
    </row>
    <row r="3205" spans="1:10" s="2" customFormat="1">
      <c r="A3205" s="1"/>
      <c r="E3205"/>
      <c r="F3205"/>
      <c r="G3205"/>
      <c r="H3205"/>
      <c r="I3205"/>
      <c r="J3205"/>
    </row>
    <row r="3206" spans="1:10" s="2" customFormat="1">
      <c r="A3206" s="1"/>
      <c r="E3206"/>
      <c r="F3206"/>
      <c r="G3206"/>
      <c r="H3206"/>
      <c r="I3206"/>
      <c r="J3206"/>
    </row>
    <row r="3207" spans="1:10" s="2" customFormat="1">
      <c r="A3207" s="1"/>
      <c r="E3207"/>
      <c r="F3207"/>
      <c r="G3207"/>
      <c r="H3207"/>
      <c r="I3207"/>
      <c r="J3207"/>
    </row>
    <row r="3208" spans="1:10" s="2" customFormat="1">
      <c r="A3208" s="1"/>
      <c r="E3208"/>
      <c r="F3208"/>
      <c r="G3208"/>
      <c r="H3208"/>
      <c r="I3208"/>
      <c r="J3208"/>
    </row>
    <row r="3209" spans="1:10" s="2" customFormat="1">
      <c r="A3209" s="1"/>
      <c r="E3209"/>
      <c r="F3209"/>
      <c r="G3209"/>
      <c r="H3209"/>
      <c r="I3209"/>
      <c r="J3209"/>
    </row>
    <row r="3210" spans="1:10" s="2" customFormat="1">
      <c r="A3210" s="1"/>
      <c r="E3210"/>
      <c r="F3210"/>
      <c r="G3210"/>
      <c r="H3210"/>
      <c r="I3210"/>
      <c r="J3210"/>
    </row>
    <row r="3211" spans="1:10" s="2" customFormat="1">
      <c r="A3211" s="1"/>
      <c r="E3211"/>
      <c r="F3211"/>
      <c r="G3211"/>
      <c r="H3211"/>
      <c r="I3211"/>
      <c r="J3211"/>
    </row>
    <row r="3212" spans="1:10" s="2" customFormat="1">
      <c r="A3212" s="1"/>
      <c r="E3212"/>
      <c r="F3212"/>
      <c r="G3212"/>
      <c r="H3212"/>
      <c r="I3212"/>
      <c r="J3212"/>
    </row>
    <row r="3213" spans="1:10" s="2" customFormat="1">
      <c r="A3213" s="1"/>
      <c r="E3213"/>
      <c r="F3213"/>
      <c r="G3213"/>
      <c r="H3213"/>
      <c r="I3213"/>
      <c r="J3213"/>
    </row>
    <row r="3214" spans="1:10" s="2" customFormat="1">
      <c r="A3214" s="1"/>
      <c r="E3214"/>
      <c r="F3214"/>
      <c r="G3214"/>
      <c r="H3214"/>
      <c r="I3214"/>
      <c r="J3214"/>
    </row>
    <row r="3215" spans="1:10" s="2" customFormat="1">
      <c r="A3215" s="1"/>
      <c r="E3215"/>
      <c r="F3215"/>
      <c r="G3215"/>
      <c r="H3215"/>
      <c r="I3215"/>
      <c r="J3215"/>
    </row>
    <row r="3216" spans="1:10" s="2" customFormat="1">
      <c r="A3216" s="1"/>
      <c r="E3216"/>
      <c r="F3216"/>
      <c r="G3216"/>
      <c r="H3216"/>
      <c r="I3216"/>
      <c r="J3216"/>
    </row>
    <row r="3217" spans="1:10" s="2" customFormat="1">
      <c r="A3217" s="1"/>
      <c r="E3217"/>
      <c r="F3217"/>
      <c r="G3217"/>
      <c r="H3217"/>
      <c r="I3217"/>
      <c r="J3217"/>
    </row>
    <row r="3218" spans="1:10" s="2" customFormat="1">
      <c r="A3218" s="1"/>
      <c r="E3218"/>
      <c r="F3218"/>
      <c r="G3218"/>
      <c r="H3218"/>
      <c r="I3218"/>
      <c r="J3218"/>
    </row>
    <row r="3219" spans="1:10" s="2" customFormat="1">
      <c r="A3219" s="1"/>
      <c r="E3219"/>
      <c r="F3219"/>
      <c r="G3219"/>
      <c r="H3219"/>
      <c r="I3219"/>
      <c r="J3219"/>
    </row>
    <row r="3220" spans="1:10" s="2" customFormat="1">
      <c r="A3220" s="1"/>
      <c r="E3220"/>
      <c r="F3220"/>
      <c r="G3220"/>
      <c r="H3220"/>
      <c r="I3220"/>
      <c r="J3220"/>
    </row>
    <row r="3221" spans="1:10" s="2" customFormat="1">
      <c r="A3221" s="1"/>
      <c r="E3221"/>
      <c r="F3221"/>
      <c r="G3221"/>
      <c r="H3221"/>
      <c r="I3221"/>
      <c r="J3221"/>
    </row>
    <row r="3222" spans="1:10" s="2" customFormat="1">
      <c r="A3222" s="1"/>
      <c r="E3222"/>
      <c r="F3222"/>
      <c r="G3222"/>
      <c r="H3222"/>
      <c r="I3222"/>
      <c r="J3222"/>
    </row>
    <row r="3223" spans="1:10" s="2" customFormat="1">
      <c r="A3223" s="1"/>
      <c r="E3223"/>
      <c r="F3223"/>
      <c r="G3223"/>
      <c r="H3223"/>
      <c r="I3223"/>
      <c r="J3223"/>
    </row>
    <row r="3224" spans="1:10" s="2" customFormat="1">
      <c r="A3224" s="1"/>
      <c r="E3224"/>
      <c r="F3224"/>
      <c r="G3224"/>
      <c r="H3224"/>
      <c r="I3224"/>
      <c r="J3224"/>
    </row>
    <row r="3225" spans="1:10" s="2" customFormat="1">
      <c r="A3225" s="1"/>
      <c r="E3225"/>
      <c r="F3225"/>
      <c r="G3225"/>
      <c r="H3225"/>
      <c r="I3225"/>
      <c r="J3225"/>
    </row>
    <row r="3226" spans="1:10" s="2" customFormat="1">
      <c r="A3226" s="1"/>
      <c r="E3226"/>
      <c r="F3226"/>
      <c r="G3226"/>
      <c r="H3226"/>
      <c r="I3226"/>
      <c r="J3226"/>
    </row>
    <row r="3227" spans="1:10" s="2" customFormat="1">
      <c r="A3227" s="1"/>
      <c r="E3227"/>
      <c r="F3227"/>
      <c r="G3227"/>
      <c r="H3227"/>
      <c r="I3227"/>
      <c r="J3227"/>
    </row>
    <row r="3228" spans="1:10" s="2" customFormat="1">
      <c r="A3228" s="1"/>
      <c r="E3228"/>
      <c r="F3228"/>
      <c r="G3228"/>
      <c r="H3228"/>
      <c r="I3228"/>
      <c r="J3228"/>
    </row>
    <row r="3229" spans="1:10" s="2" customFormat="1">
      <c r="A3229" s="1"/>
      <c r="E3229"/>
      <c r="F3229"/>
      <c r="G3229"/>
      <c r="H3229"/>
      <c r="I3229"/>
      <c r="J3229"/>
    </row>
    <row r="3230" spans="1:10" s="2" customFormat="1">
      <c r="A3230" s="1"/>
      <c r="E3230"/>
      <c r="F3230"/>
      <c r="G3230"/>
      <c r="H3230"/>
      <c r="I3230"/>
      <c r="J3230"/>
    </row>
    <row r="3231" spans="1:10" s="2" customFormat="1">
      <c r="A3231" s="1"/>
      <c r="E3231"/>
      <c r="F3231"/>
      <c r="G3231"/>
      <c r="H3231"/>
      <c r="I3231"/>
      <c r="J3231"/>
    </row>
    <row r="3232" spans="1:10" s="2" customFormat="1">
      <c r="A3232" s="1"/>
      <c r="E3232"/>
      <c r="F3232"/>
      <c r="G3232"/>
      <c r="H3232"/>
      <c r="I3232"/>
      <c r="J3232"/>
    </row>
    <row r="3233" spans="1:10" s="2" customFormat="1">
      <c r="A3233" s="1"/>
      <c r="E3233"/>
      <c r="F3233"/>
      <c r="G3233"/>
      <c r="H3233"/>
      <c r="I3233"/>
      <c r="J3233"/>
    </row>
    <row r="3234" spans="1:10" s="2" customFormat="1">
      <c r="A3234" s="1"/>
      <c r="E3234"/>
      <c r="F3234"/>
      <c r="G3234"/>
      <c r="H3234"/>
      <c r="I3234"/>
      <c r="J3234"/>
    </row>
    <row r="3235" spans="1:10" s="2" customFormat="1">
      <c r="A3235" s="1"/>
      <c r="E3235"/>
      <c r="F3235"/>
      <c r="G3235"/>
      <c r="H3235"/>
      <c r="I3235"/>
      <c r="J3235"/>
    </row>
    <row r="3236" spans="1:10" s="2" customFormat="1">
      <c r="A3236" s="1"/>
      <c r="E3236"/>
      <c r="F3236"/>
      <c r="G3236"/>
      <c r="H3236"/>
      <c r="I3236"/>
      <c r="J3236"/>
    </row>
    <row r="3237" spans="1:10" s="2" customFormat="1">
      <c r="A3237" s="1"/>
      <c r="E3237"/>
      <c r="F3237"/>
      <c r="G3237"/>
      <c r="H3237"/>
      <c r="I3237"/>
      <c r="J3237"/>
    </row>
    <row r="3238" spans="1:10" s="2" customFormat="1">
      <c r="A3238" s="1"/>
      <c r="E3238"/>
      <c r="F3238"/>
      <c r="G3238"/>
      <c r="H3238"/>
      <c r="I3238"/>
      <c r="J3238"/>
    </row>
    <row r="3239" spans="1:10" s="2" customFormat="1">
      <c r="A3239" s="1"/>
      <c r="E3239"/>
      <c r="F3239"/>
      <c r="G3239"/>
      <c r="H3239"/>
      <c r="I3239"/>
      <c r="J3239"/>
    </row>
    <row r="3240" spans="1:10" s="2" customFormat="1">
      <c r="A3240" s="1"/>
      <c r="E3240"/>
      <c r="F3240"/>
      <c r="G3240"/>
      <c r="H3240"/>
      <c r="I3240"/>
      <c r="J3240"/>
    </row>
    <row r="3241" spans="1:10" s="2" customFormat="1">
      <c r="A3241" s="1"/>
      <c r="E3241"/>
      <c r="F3241"/>
      <c r="G3241"/>
      <c r="H3241"/>
      <c r="I3241"/>
      <c r="J3241"/>
    </row>
    <row r="3242" spans="1:10" s="2" customFormat="1">
      <c r="A3242" s="1"/>
      <c r="E3242"/>
      <c r="F3242"/>
      <c r="G3242"/>
      <c r="H3242"/>
      <c r="I3242"/>
      <c r="J3242"/>
    </row>
    <row r="3243" spans="1:10" s="2" customFormat="1">
      <c r="A3243" s="1"/>
      <c r="E3243"/>
      <c r="F3243"/>
      <c r="G3243"/>
      <c r="H3243"/>
      <c r="I3243"/>
      <c r="J3243"/>
    </row>
    <row r="3244" spans="1:10" s="2" customFormat="1">
      <c r="A3244" s="1"/>
      <c r="E3244"/>
      <c r="F3244"/>
      <c r="G3244"/>
      <c r="H3244"/>
      <c r="I3244"/>
      <c r="J3244"/>
    </row>
    <row r="3245" spans="1:10" s="2" customFormat="1">
      <c r="A3245" s="1"/>
      <c r="E3245"/>
      <c r="F3245"/>
      <c r="G3245"/>
      <c r="H3245"/>
      <c r="I3245"/>
      <c r="J3245"/>
    </row>
    <row r="3246" spans="1:10" s="2" customFormat="1">
      <c r="A3246" s="1"/>
      <c r="E3246"/>
      <c r="F3246"/>
      <c r="G3246"/>
      <c r="H3246"/>
      <c r="I3246"/>
      <c r="J3246"/>
    </row>
    <row r="3247" spans="1:10" s="2" customFormat="1">
      <c r="A3247" s="1"/>
      <c r="E3247"/>
      <c r="F3247"/>
      <c r="G3247"/>
      <c r="H3247"/>
      <c r="I3247"/>
      <c r="J3247"/>
    </row>
    <row r="3248" spans="1:10" s="2" customFormat="1">
      <c r="A3248" s="1"/>
      <c r="E3248"/>
      <c r="F3248"/>
      <c r="G3248"/>
      <c r="H3248"/>
      <c r="I3248"/>
      <c r="J3248"/>
    </row>
    <row r="3249" spans="1:10" s="2" customFormat="1">
      <c r="A3249" s="1"/>
      <c r="E3249"/>
      <c r="F3249"/>
      <c r="G3249"/>
      <c r="H3249"/>
      <c r="I3249"/>
      <c r="J3249"/>
    </row>
    <row r="3250" spans="1:10" s="2" customFormat="1">
      <c r="A3250" s="1"/>
      <c r="E3250"/>
      <c r="F3250"/>
      <c r="G3250"/>
      <c r="H3250"/>
      <c r="I3250"/>
      <c r="J3250"/>
    </row>
    <row r="3251" spans="1:10" s="2" customFormat="1">
      <c r="A3251" s="1"/>
      <c r="E3251"/>
      <c r="F3251"/>
      <c r="G3251"/>
      <c r="H3251"/>
      <c r="I3251"/>
      <c r="J3251"/>
    </row>
    <row r="3252" spans="1:10" s="2" customFormat="1">
      <c r="A3252" s="1"/>
      <c r="E3252"/>
      <c r="F3252"/>
      <c r="G3252"/>
      <c r="H3252"/>
      <c r="I3252"/>
      <c r="J3252"/>
    </row>
    <row r="3253" spans="1:10" s="2" customFormat="1">
      <c r="A3253" s="1"/>
      <c r="E3253"/>
      <c r="F3253"/>
      <c r="G3253"/>
      <c r="H3253"/>
      <c r="I3253"/>
      <c r="J3253"/>
    </row>
    <row r="3254" spans="1:10" s="2" customFormat="1">
      <c r="A3254" s="1"/>
      <c r="E3254"/>
      <c r="F3254"/>
      <c r="G3254"/>
      <c r="H3254"/>
      <c r="I3254"/>
      <c r="J3254"/>
    </row>
    <row r="3255" spans="1:10" s="2" customFormat="1">
      <c r="A3255" s="1"/>
      <c r="E3255"/>
      <c r="F3255"/>
      <c r="G3255"/>
      <c r="H3255"/>
      <c r="I3255"/>
      <c r="J3255"/>
    </row>
    <row r="3256" spans="1:10" s="2" customFormat="1">
      <c r="A3256" s="1"/>
      <c r="E3256"/>
      <c r="F3256"/>
      <c r="G3256"/>
      <c r="H3256"/>
      <c r="I3256"/>
      <c r="J3256"/>
    </row>
    <row r="3257" spans="1:10" s="2" customFormat="1">
      <c r="A3257" s="1"/>
      <c r="E3257"/>
      <c r="F3257"/>
      <c r="G3257"/>
      <c r="H3257"/>
      <c r="I3257"/>
      <c r="J3257"/>
    </row>
    <row r="3258" spans="1:10" s="2" customFormat="1">
      <c r="A3258" s="1"/>
      <c r="E3258"/>
      <c r="F3258"/>
      <c r="G3258"/>
      <c r="H3258"/>
      <c r="I3258"/>
      <c r="J3258"/>
    </row>
    <row r="3259" spans="1:10" s="2" customFormat="1">
      <c r="A3259" s="1"/>
      <c r="E3259"/>
      <c r="F3259"/>
      <c r="G3259"/>
      <c r="H3259"/>
      <c r="I3259"/>
      <c r="J3259"/>
    </row>
    <row r="3260" spans="1:10" s="2" customFormat="1">
      <c r="A3260" s="1"/>
      <c r="E3260"/>
      <c r="F3260"/>
      <c r="G3260"/>
      <c r="H3260"/>
      <c r="I3260"/>
      <c r="J3260"/>
    </row>
    <row r="3261" spans="1:10" s="2" customFormat="1">
      <c r="A3261" s="1"/>
      <c r="E3261"/>
      <c r="F3261"/>
      <c r="G3261"/>
      <c r="H3261"/>
      <c r="I3261"/>
      <c r="J3261"/>
    </row>
    <row r="3262" spans="1:10" s="2" customFormat="1">
      <c r="A3262" s="1"/>
      <c r="E3262"/>
      <c r="F3262"/>
      <c r="G3262"/>
      <c r="H3262"/>
      <c r="I3262"/>
      <c r="J3262"/>
    </row>
    <row r="3263" spans="1:10" s="2" customFormat="1">
      <c r="A3263" s="1"/>
      <c r="E3263"/>
      <c r="F3263"/>
      <c r="G3263"/>
      <c r="H3263"/>
      <c r="I3263"/>
      <c r="J3263"/>
    </row>
    <row r="3264" spans="1:10" s="2" customFormat="1">
      <c r="A3264" s="1"/>
      <c r="E3264"/>
      <c r="F3264"/>
      <c r="G3264"/>
      <c r="H3264"/>
      <c r="I3264"/>
      <c r="J3264"/>
    </row>
    <row r="3265" spans="1:10" s="2" customFormat="1">
      <c r="A3265" s="1"/>
      <c r="E3265"/>
      <c r="F3265"/>
      <c r="G3265"/>
      <c r="H3265"/>
      <c r="I3265"/>
      <c r="J3265"/>
    </row>
    <row r="3266" spans="1:10" s="2" customFormat="1">
      <c r="A3266" s="1"/>
      <c r="E3266"/>
      <c r="F3266"/>
      <c r="G3266"/>
      <c r="H3266"/>
      <c r="I3266"/>
      <c r="J3266"/>
    </row>
    <row r="3267" spans="1:10" s="2" customFormat="1">
      <c r="A3267" s="1"/>
      <c r="E3267"/>
      <c r="F3267"/>
      <c r="G3267"/>
      <c r="H3267"/>
      <c r="I3267"/>
      <c r="J3267"/>
    </row>
    <row r="3268" spans="1:10" s="2" customFormat="1">
      <c r="A3268" s="1"/>
      <c r="E3268"/>
      <c r="F3268"/>
      <c r="G3268"/>
      <c r="H3268"/>
      <c r="I3268"/>
      <c r="J3268"/>
    </row>
    <row r="3269" spans="1:10" s="2" customFormat="1">
      <c r="A3269" s="1"/>
      <c r="E3269"/>
      <c r="F3269"/>
      <c r="G3269"/>
      <c r="H3269"/>
      <c r="I3269"/>
      <c r="J3269"/>
    </row>
    <row r="3270" spans="1:10" s="2" customFormat="1">
      <c r="A3270" s="1"/>
      <c r="E3270"/>
      <c r="F3270"/>
      <c r="G3270"/>
      <c r="H3270"/>
      <c r="I3270"/>
      <c r="J3270"/>
    </row>
    <row r="3271" spans="1:10" s="2" customFormat="1">
      <c r="A3271" s="1"/>
      <c r="E3271"/>
      <c r="F3271"/>
      <c r="G3271"/>
      <c r="H3271"/>
      <c r="I3271"/>
      <c r="J3271"/>
    </row>
    <row r="3272" spans="1:10" s="2" customFormat="1">
      <c r="A3272" s="1"/>
      <c r="E3272"/>
      <c r="F3272"/>
      <c r="G3272"/>
      <c r="H3272"/>
      <c r="I3272"/>
      <c r="J3272"/>
    </row>
    <row r="3273" spans="1:10" s="2" customFormat="1">
      <c r="A3273" s="1"/>
      <c r="E3273"/>
      <c r="F3273"/>
      <c r="G3273"/>
      <c r="H3273"/>
      <c r="I3273"/>
      <c r="J3273"/>
    </row>
    <row r="3274" spans="1:10" s="2" customFormat="1">
      <c r="A3274" s="1"/>
      <c r="E3274"/>
      <c r="F3274"/>
      <c r="G3274"/>
      <c r="H3274"/>
      <c r="I3274"/>
      <c r="J3274"/>
    </row>
    <row r="3275" spans="1:10" s="2" customFormat="1">
      <c r="A3275" s="1"/>
      <c r="E3275"/>
      <c r="F3275"/>
      <c r="G3275"/>
      <c r="H3275"/>
      <c r="I3275"/>
      <c r="J3275"/>
    </row>
    <row r="3276" spans="1:10" s="2" customFormat="1">
      <c r="A3276" s="1"/>
      <c r="E3276"/>
      <c r="F3276"/>
      <c r="G3276"/>
      <c r="H3276"/>
      <c r="I3276"/>
      <c r="J3276"/>
    </row>
    <row r="3277" spans="1:10" s="2" customFormat="1">
      <c r="A3277" s="1"/>
      <c r="E3277"/>
      <c r="F3277"/>
      <c r="G3277"/>
      <c r="H3277"/>
      <c r="I3277"/>
      <c r="J3277"/>
    </row>
    <row r="3278" spans="1:10" s="2" customFormat="1">
      <c r="A3278" s="1"/>
      <c r="E3278"/>
      <c r="F3278"/>
      <c r="G3278"/>
      <c r="H3278"/>
      <c r="I3278"/>
      <c r="J3278"/>
    </row>
    <row r="3279" spans="1:10" s="2" customFormat="1">
      <c r="A3279" s="1"/>
      <c r="E3279"/>
      <c r="F3279"/>
      <c r="G3279"/>
      <c r="H3279"/>
      <c r="I3279"/>
      <c r="J3279"/>
    </row>
    <row r="3280" spans="1:10" s="2" customFormat="1">
      <c r="A3280" s="1"/>
      <c r="E3280"/>
      <c r="F3280"/>
      <c r="G3280"/>
      <c r="H3280"/>
      <c r="I3280"/>
      <c r="J3280"/>
    </row>
    <row r="3281" spans="1:10" s="2" customFormat="1">
      <c r="A3281" s="1"/>
      <c r="E3281"/>
      <c r="F3281"/>
      <c r="G3281"/>
      <c r="H3281"/>
      <c r="I3281"/>
      <c r="J3281"/>
    </row>
    <row r="3282" spans="1:10" s="2" customFormat="1">
      <c r="A3282" s="1"/>
      <c r="E3282"/>
      <c r="F3282"/>
      <c r="G3282"/>
      <c r="H3282"/>
      <c r="I3282"/>
      <c r="J3282"/>
    </row>
    <row r="3283" spans="1:10" s="2" customFormat="1">
      <c r="A3283" s="1"/>
      <c r="E3283"/>
      <c r="F3283"/>
      <c r="G3283"/>
      <c r="H3283"/>
      <c r="I3283"/>
      <c r="J3283"/>
    </row>
    <row r="3284" spans="1:10" s="2" customFormat="1">
      <c r="A3284" s="1"/>
      <c r="E3284"/>
      <c r="F3284"/>
      <c r="G3284"/>
      <c r="H3284"/>
      <c r="I3284"/>
      <c r="J3284"/>
    </row>
    <row r="3285" spans="1:10" s="2" customFormat="1">
      <c r="A3285" s="1"/>
      <c r="E3285"/>
      <c r="F3285"/>
      <c r="G3285"/>
      <c r="H3285"/>
      <c r="I3285"/>
      <c r="J3285"/>
    </row>
    <row r="3286" spans="1:10" s="2" customFormat="1">
      <c r="A3286" s="1"/>
      <c r="E3286"/>
      <c r="F3286"/>
      <c r="G3286"/>
      <c r="H3286"/>
      <c r="I3286"/>
      <c r="J3286"/>
    </row>
    <row r="3287" spans="1:10" s="2" customFormat="1">
      <c r="A3287" s="1"/>
      <c r="E3287"/>
      <c r="F3287"/>
      <c r="G3287"/>
      <c r="H3287"/>
      <c r="I3287"/>
      <c r="J3287"/>
    </row>
    <row r="3288" spans="1:10" s="2" customFormat="1">
      <c r="A3288" s="1"/>
      <c r="E3288"/>
      <c r="F3288"/>
      <c r="G3288"/>
      <c r="H3288"/>
      <c r="I3288"/>
      <c r="J3288"/>
    </row>
    <row r="3289" spans="1:10" s="2" customFormat="1">
      <c r="A3289" s="1"/>
      <c r="E3289"/>
      <c r="F3289"/>
      <c r="G3289"/>
      <c r="H3289"/>
      <c r="I3289"/>
      <c r="J3289"/>
    </row>
    <row r="3290" spans="1:10" s="2" customFormat="1">
      <c r="A3290" s="1"/>
      <c r="E3290"/>
      <c r="F3290"/>
      <c r="G3290"/>
      <c r="H3290"/>
      <c r="I3290"/>
      <c r="J3290"/>
    </row>
    <row r="3291" spans="1:10" s="2" customFormat="1">
      <c r="A3291" s="1"/>
      <c r="E3291"/>
      <c r="F3291"/>
      <c r="G3291"/>
      <c r="H3291"/>
      <c r="I3291"/>
      <c r="J3291"/>
    </row>
    <row r="3292" spans="1:10" s="2" customFormat="1">
      <c r="A3292" s="1"/>
      <c r="E3292"/>
      <c r="F3292"/>
      <c r="G3292"/>
      <c r="H3292"/>
      <c r="I3292"/>
      <c r="J3292"/>
    </row>
    <row r="3293" spans="1:10" s="2" customFormat="1">
      <c r="A3293" s="1"/>
      <c r="E3293"/>
      <c r="F3293"/>
      <c r="G3293"/>
      <c r="H3293"/>
      <c r="I3293"/>
      <c r="J3293"/>
    </row>
    <row r="3294" spans="1:10" s="2" customFormat="1">
      <c r="A3294" s="1"/>
      <c r="E3294"/>
      <c r="F3294"/>
      <c r="G3294"/>
      <c r="H3294"/>
      <c r="I3294"/>
      <c r="J3294"/>
    </row>
    <row r="3295" spans="1:10" s="2" customFormat="1">
      <c r="A3295" s="1"/>
      <c r="E3295"/>
      <c r="F3295"/>
      <c r="G3295"/>
      <c r="H3295"/>
      <c r="I3295"/>
      <c r="J3295"/>
    </row>
    <row r="3296" spans="1:10" s="2" customFormat="1">
      <c r="A3296" s="1"/>
      <c r="E3296"/>
      <c r="F3296"/>
      <c r="G3296"/>
      <c r="H3296"/>
      <c r="I3296"/>
      <c r="J3296"/>
    </row>
    <row r="3297" spans="1:10" s="2" customFormat="1">
      <c r="A3297" s="1"/>
      <c r="E3297"/>
      <c r="F3297"/>
      <c r="G3297"/>
      <c r="H3297"/>
      <c r="I3297"/>
      <c r="J3297"/>
    </row>
    <row r="3298" spans="1:10" s="2" customFormat="1">
      <c r="A3298" s="1"/>
      <c r="E3298"/>
      <c r="F3298"/>
      <c r="G3298"/>
      <c r="H3298"/>
      <c r="I3298"/>
      <c r="J3298"/>
    </row>
    <row r="3299" spans="1:10" s="2" customFormat="1">
      <c r="A3299" s="1"/>
      <c r="E3299"/>
      <c r="F3299"/>
      <c r="G3299"/>
      <c r="H3299"/>
      <c r="I3299"/>
      <c r="J3299"/>
    </row>
    <row r="3300" spans="1:10" s="2" customFormat="1">
      <c r="A3300" s="1"/>
      <c r="E3300"/>
      <c r="F3300"/>
      <c r="G3300"/>
      <c r="H3300"/>
      <c r="I3300"/>
      <c r="J3300"/>
    </row>
    <row r="3301" spans="1:10" s="2" customFormat="1">
      <c r="A3301" s="1"/>
      <c r="E3301"/>
      <c r="F3301"/>
      <c r="G3301"/>
      <c r="H3301"/>
      <c r="I3301"/>
      <c r="J3301"/>
    </row>
    <row r="3302" spans="1:10" s="2" customFormat="1">
      <c r="A3302" s="1"/>
      <c r="E3302"/>
      <c r="F3302"/>
      <c r="G3302"/>
      <c r="H3302"/>
      <c r="I3302"/>
      <c r="J3302"/>
    </row>
    <row r="3303" spans="1:10" s="2" customFormat="1">
      <c r="A3303" s="1"/>
      <c r="E3303"/>
      <c r="F3303"/>
      <c r="G3303"/>
      <c r="H3303"/>
      <c r="I3303"/>
      <c r="J3303"/>
    </row>
    <row r="3304" spans="1:10" s="2" customFormat="1">
      <c r="A3304" s="1"/>
      <c r="E3304"/>
      <c r="F3304"/>
      <c r="G3304"/>
      <c r="H3304"/>
      <c r="I3304"/>
      <c r="J3304"/>
    </row>
    <row r="3305" spans="1:10" s="2" customFormat="1">
      <c r="A3305" s="1"/>
      <c r="E3305"/>
      <c r="F3305"/>
      <c r="G3305"/>
      <c r="H3305"/>
      <c r="I3305"/>
      <c r="J3305"/>
    </row>
    <row r="3306" spans="1:10" s="2" customFormat="1">
      <c r="A3306" s="1"/>
      <c r="E3306"/>
      <c r="F3306"/>
      <c r="G3306"/>
      <c r="H3306"/>
      <c r="I3306"/>
      <c r="J3306"/>
    </row>
    <row r="3307" spans="1:10" s="2" customFormat="1">
      <c r="A3307" s="1"/>
      <c r="E3307"/>
      <c r="F3307"/>
      <c r="G3307"/>
      <c r="H3307"/>
      <c r="I3307"/>
      <c r="J3307"/>
    </row>
    <row r="3308" spans="1:10" s="2" customFormat="1">
      <c r="A3308" s="1"/>
      <c r="E3308"/>
      <c r="F3308"/>
      <c r="G3308"/>
      <c r="H3308"/>
      <c r="I3308"/>
      <c r="J3308"/>
    </row>
    <row r="3309" spans="1:10" s="2" customFormat="1">
      <c r="A3309" s="1"/>
      <c r="E3309"/>
      <c r="F3309"/>
      <c r="G3309"/>
      <c r="H3309"/>
      <c r="I3309"/>
      <c r="J3309"/>
    </row>
    <row r="3310" spans="1:10" s="2" customFormat="1">
      <c r="A3310" s="1"/>
      <c r="E3310"/>
      <c r="F3310"/>
      <c r="G3310"/>
      <c r="H3310"/>
      <c r="I3310"/>
      <c r="J3310"/>
    </row>
    <row r="3311" spans="1:10" s="2" customFormat="1">
      <c r="A3311" s="1"/>
      <c r="E3311"/>
      <c r="F3311"/>
      <c r="G3311"/>
      <c r="H3311"/>
      <c r="I3311"/>
      <c r="J3311"/>
    </row>
    <row r="3312" spans="1:10" s="2" customFormat="1">
      <c r="A3312" s="1"/>
      <c r="E3312"/>
      <c r="F3312"/>
      <c r="G3312"/>
      <c r="H3312"/>
      <c r="I3312"/>
      <c r="J3312"/>
    </row>
    <row r="3313" spans="1:10" s="2" customFormat="1">
      <c r="A3313" s="1"/>
      <c r="E3313"/>
      <c r="F3313"/>
      <c r="G3313"/>
      <c r="H3313"/>
      <c r="I3313"/>
      <c r="J3313"/>
    </row>
    <row r="3314" spans="1:10" s="2" customFormat="1">
      <c r="A3314" s="1"/>
      <c r="E3314"/>
      <c r="F3314"/>
      <c r="G3314"/>
      <c r="H3314"/>
      <c r="I3314"/>
      <c r="J3314"/>
    </row>
    <row r="3315" spans="1:10" s="2" customFormat="1">
      <c r="A3315" s="1"/>
      <c r="E3315"/>
      <c r="F3315"/>
      <c r="G3315"/>
      <c r="H3315"/>
      <c r="I3315"/>
      <c r="J3315"/>
    </row>
    <row r="3316" spans="1:10" s="2" customFormat="1">
      <c r="A3316" s="1"/>
      <c r="E3316"/>
      <c r="F3316"/>
      <c r="G3316"/>
      <c r="H3316"/>
      <c r="I3316"/>
      <c r="J3316"/>
    </row>
    <row r="3317" spans="1:10" s="2" customFormat="1">
      <c r="A3317" s="1"/>
      <c r="E3317"/>
      <c r="F3317"/>
      <c r="G3317"/>
      <c r="H3317"/>
      <c r="I3317"/>
      <c r="J3317"/>
    </row>
    <row r="3318" spans="1:10" s="2" customFormat="1">
      <c r="A3318" s="1"/>
      <c r="E3318"/>
      <c r="F3318"/>
      <c r="G3318"/>
      <c r="H3318"/>
      <c r="I3318"/>
      <c r="J3318"/>
    </row>
    <row r="3319" spans="1:10" s="2" customFormat="1">
      <c r="A3319" s="1"/>
      <c r="E3319"/>
      <c r="F3319"/>
      <c r="G3319"/>
      <c r="H3319"/>
      <c r="I3319"/>
      <c r="J3319"/>
    </row>
    <row r="3320" spans="1:10" s="2" customFormat="1">
      <c r="A3320" s="1"/>
      <c r="E3320"/>
      <c r="F3320"/>
      <c r="G3320"/>
      <c r="H3320"/>
      <c r="I3320"/>
      <c r="J3320"/>
    </row>
    <row r="3321" spans="1:10" s="2" customFormat="1">
      <c r="A3321" s="1"/>
      <c r="E3321"/>
      <c r="F3321"/>
      <c r="G3321"/>
      <c r="H3321"/>
      <c r="I3321"/>
      <c r="J3321"/>
    </row>
    <row r="3322" spans="1:10" s="2" customFormat="1">
      <c r="A3322" s="1"/>
      <c r="E3322"/>
      <c r="F3322"/>
      <c r="G3322"/>
      <c r="H3322"/>
      <c r="I3322"/>
      <c r="J3322"/>
    </row>
    <row r="3323" spans="1:10" s="2" customFormat="1">
      <c r="A3323" s="1"/>
      <c r="E3323"/>
      <c r="F3323"/>
      <c r="G3323"/>
      <c r="H3323"/>
      <c r="I3323"/>
      <c r="J3323"/>
    </row>
    <row r="3324" spans="1:10" s="2" customFormat="1">
      <c r="A3324" s="1"/>
      <c r="E3324"/>
      <c r="F3324"/>
      <c r="G3324"/>
      <c r="H3324"/>
      <c r="I3324"/>
      <c r="J3324"/>
    </row>
    <row r="3325" spans="1:10" s="2" customFormat="1">
      <c r="A3325" s="1"/>
      <c r="E3325"/>
      <c r="F3325"/>
      <c r="G3325"/>
      <c r="H3325"/>
      <c r="I3325"/>
      <c r="J3325"/>
    </row>
    <row r="3326" spans="1:10" s="2" customFormat="1">
      <c r="A3326" s="1"/>
      <c r="E3326"/>
      <c r="F3326"/>
      <c r="G3326"/>
      <c r="H3326"/>
      <c r="I3326"/>
      <c r="J3326"/>
    </row>
    <row r="3327" spans="1:10" s="2" customFormat="1">
      <c r="A3327" s="1"/>
      <c r="E3327"/>
      <c r="F3327"/>
      <c r="G3327"/>
      <c r="H3327"/>
      <c r="I3327"/>
      <c r="J3327"/>
    </row>
    <row r="3328" spans="1:10" s="2" customFormat="1">
      <c r="A3328" s="1"/>
      <c r="E3328"/>
      <c r="F3328"/>
      <c r="G3328"/>
      <c r="H3328"/>
      <c r="I3328"/>
      <c r="J3328"/>
    </row>
    <row r="3329" spans="1:10" s="2" customFormat="1">
      <c r="A3329" s="1"/>
      <c r="E3329"/>
      <c r="F3329"/>
      <c r="G3329"/>
      <c r="H3329"/>
      <c r="I3329"/>
      <c r="J3329"/>
    </row>
    <row r="3330" spans="1:10" s="2" customFormat="1">
      <c r="A3330" s="1"/>
      <c r="E3330"/>
      <c r="F3330"/>
      <c r="G3330"/>
      <c r="H3330"/>
      <c r="I3330"/>
      <c r="J3330"/>
    </row>
    <row r="3331" spans="1:10" s="2" customFormat="1">
      <c r="A3331" s="1"/>
      <c r="E3331"/>
      <c r="F3331"/>
      <c r="G3331"/>
      <c r="H3331"/>
      <c r="I3331"/>
      <c r="J3331"/>
    </row>
    <row r="3332" spans="1:10" s="2" customFormat="1">
      <c r="A3332" s="1"/>
      <c r="E3332"/>
      <c r="F3332"/>
      <c r="G3332"/>
      <c r="H3332"/>
      <c r="I3332"/>
      <c r="J3332"/>
    </row>
    <row r="3333" spans="1:10" s="2" customFormat="1">
      <c r="A3333" s="1"/>
      <c r="E3333"/>
      <c r="F3333"/>
      <c r="G3333"/>
      <c r="H3333"/>
      <c r="I3333"/>
      <c r="J3333"/>
    </row>
    <row r="3334" spans="1:10" s="2" customFormat="1">
      <c r="A3334" s="1"/>
      <c r="E3334"/>
      <c r="F3334"/>
      <c r="G3334"/>
      <c r="H3334"/>
      <c r="I3334"/>
      <c r="J3334"/>
    </row>
    <row r="3335" spans="1:10" s="2" customFormat="1">
      <c r="A3335" s="1"/>
      <c r="E3335"/>
      <c r="F3335"/>
      <c r="G3335"/>
      <c r="H3335"/>
      <c r="I3335"/>
      <c r="J3335"/>
    </row>
    <row r="3336" spans="1:10" s="2" customFormat="1">
      <c r="A3336" s="1"/>
      <c r="E3336"/>
      <c r="F3336"/>
      <c r="G3336"/>
      <c r="H3336"/>
      <c r="I3336"/>
      <c r="J3336"/>
    </row>
    <row r="3337" spans="1:10" s="2" customFormat="1">
      <c r="A3337" s="1"/>
      <c r="E3337"/>
      <c r="F3337"/>
      <c r="G3337"/>
      <c r="H3337"/>
      <c r="I3337"/>
      <c r="J3337"/>
    </row>
    <row r="3338" spans="1:10" s="2" customFormat="1">
      <c r="A3338" s="1"/>
      <c r="E3338"/>
      <c r="F3338"/>
      <c r="G3338"/>
      <c r="H3338"/>
      <c r="I3338"/>
      <c r="J3338"/>
    </row>
    <row r="3339" spans="1:10" s="2" customFormat="1">
      <c r="A3339" s="1"/>
      <c r="E3339"/>
      <c r="F3339"/>
      <c r="G3339"/>
      <c r="H3339"/>
      <c r="I3339"/>
      <c r="J3339"/>
    </row>
    <row r="3340" spans="1:10" s="2" customFormat="1">
      <c r="A3340" s="1"/>
      <c r="E3340"/>
      <c r="F3340"/>
      <c r="G3340"/>
      <c r="H3340"/>
      <c r="I3340"/>
      <c r="J3340"/>
    </row>
    <row r="3341" spans="1:10" s="2" customFormat="1">
      <c r="A3341" s="1"/>
      <c r="E3341"/>
      <c r="F3341"/>
      <c r="G3341"/>
      <c r="H3341"/>
      <c r="I3341"/>
      <c r="J3341"/>
    </row>
    <row r="3342" spans="1:10" s="2" customFormat="1">
      <c r="A3342" s="1"/>
      <c r="E3342"/>
      <c r="F3342"/>
      <c r="G3342"/>
      <c r="H3342"/>
      <c r="I3342"/>
      <c r="J3342"/>
    </row>
    <row r="3343" spans="1:10" s="2" customFormat="1">
      <c r="A3343" s="1"/>
      <c r="E3343"/>
      <c r="F3343"/>
      <c r="G3343"/>
      <c r="H3343"/>
      <c r="I3343"/>
      <c r="J3343"/>
    </row>
    <row r="3344" spans="1:10" s="2" customFormat="1">
      <c r="A3344" s="1"/>
      <c r="E3344"/>
      <c r="F3344"/>
      <c r="G3344"/>
      <c r="H3344"/>
      <c r="I3344"/>
      <c r="J3344"/>
    </row>
    <row r="3345" spans="1:10" s="2" customFormat="1">
      <c r="A3345" s="1"/>
      <c r="E3345"/>
      <c r="F3345"/>
      <c r="G3345"/>
      <c r="H3345"/>
      <c r="I3345"/>
      <c r="J3345"/>
    </row>
    <row r="3346" spans="1:10" s="2" customFormat="1">
      <c r="A3346" s="1"/>
      <c r="E3346"/>
      <c r="F3346"/>
      <c r="G3346"/>
      <c r="H3346"/>
      <c r="I3346"/>
      <c r="J3346"/>
    </row>
    <row r="3347" spans="1:10" s="2" customFormat="1">
      <c r="A3347" s="1"/>
      <c r="E3347"/>
      <c r="F3347"/>
      <c r="G3347"/>
      <c r="H3347"/>
      <c r="I3347"/>
      <c r="J3347"/>
    </row>
    <row r="3348" spans="1:10" s="2" customFormat="1">
      <c r="A3348" s="1"/>
      <c r="E3348"/>
      <c r="F3348"/>
      <c r="G3348"/>
      <c r="H3348"/>
      <c r="I3348"/>
      <c r="J3348"/>
    </row>
    <row r="3349" spans="1:10" s="2" customFormat="1">
      <c r="A3349" s="1"/>
      <c r="E3349"/>
      <c r="F3349"/>
      <c r="G3349"/>
      <c r="H3349"/>
      <c r="I3349"/>
      <c r="J3349"/>
    </row>
    <row r="3350" spans="1:10" s="2" customFormat="1">
      <c r="A3350" s="1"/>
      <c r="E3350"/>
      <c r="F3350"/>
      <c r="G3350"/>
      <c r="H3350"/>
      <c r="I3350"/>
      <c r="J3350"/>
    </row>
    <row r="3351" spans="1:10" s="2" customFormat="1">
      <c r="A3351" s="1"/>
      <c r="E3351"/>
      <c r="F3351"/>
      <c r="G3351"/>
      <c r="H3351"/>
      <c r="I3351"/>
      <c r="J3351"/>
    </row>
    <row r="3352" spans="1:10" s="2" customFormat="1">
      <c r="A3352" s="1"/>
      <c r="E3352"/>
      <c r="F3352"/>
      <c r="G3352"/>
      <c r="H3352"/>
      <c r="I3352"/>
      <c r="J3352"/>
    </row>
    <row r="3353" spans="1:10" s="2" customFormat="1">
      <c r="A3353" s="1"/>
      <c r="E3353"/>
      <c r="F3353"/>
      <c r="G3353"/>
      <c r="H3353"/>
      <c r="I3353"/>
      <c r="J3353"/>
    </row>
    <row r="3354" spans="1:10" s="2" customFormat="1">
      <c r="A3354" s="1"/>
      <c r="E3354"/>
      <c r="F3354"/>
      <c r="G3354"/>
      <c r="H3354"/>
      <c r="I3354"/>
      <c r="J3354"/>
    </row>
    <row r="3355" spans="1:10" s="2" customFormat="1">
      <c r="A3355" s="1"/>
      <c r="E3355"/>
      <c r="F3355"/>
      <c r="G3355"/>
      <c r="H3355"/>
      <c r="I3355"/>
      <c r="J3355"/>
    </row>
    <row r="3356" spans="1:10" s="2" customFormat="1">
      <c r="A3356" s="1"/>
      <c r="E3356"/>
      <c r="F3356"/>
      <c r="G3356"/>
      <c r="H3356"/>
      <c r="I3356"/>
      <c r="J3356"/>
    </row>
    <row r="3357" spans="1:10" s="2" customFormat="1">
      <c r="A3357" s="1"/>
      <c r="E3357"/>
      <c r="F3357"/>
      <c r="G3357"/>
      <c r="H3357"/>
      <c r="I3357"/>
      <c r="J3357"/>
    </row>
    <row r="3358" spans="1:10" s="2" customFormat="1">
      <c r="A3358" s="1"/>
      <c r="E3358"/>
      <c r="F3358"/>
      <c r="G3358"/>
      <c r="H3358"/>
      <c r="I3358"/>
      <c r="J3358"/>
    </row>
    <row r="3359" spans="1:10" s="2" customFormat="1">
      <c r="A3359" s="1"/>
      <c r="E3359"/>
      <c r="F3359"/>
      <c r="G3359"/>
      <c r="H3359"/>
      <c r="I3359"/>
      <c r="J3359"/>
    </row>
    <row r="3360" spans="1:10" s="2" customFormat="1">
      <c r="A3360" s="1"/>
      <c r="E3360"/>
      <c r="F3360"/>
      <c r="G3360"/>
      <c r="H3360"/>
      <c r="I3360"/>
      <c r="J3360"/>
    </row>
    <row r="3361" spans="1:10" s="2" customFormat="1">
      <c r="A3361" s="1"/>
      <c r="E3361"/>
      <c r="F3361"/>
      <c r="G3361"/>
      <c r="H3361"/>
      <c r="I3361"/>
      <c r="J3361"/>
    </row>
    <row r="3362" spans="1:10" s="2" customFormat="1">
      <c r="A3362" s="1"/>
      <c r="E3362"/>
      <c r="F3362"/>
      <c r="G3362"/>
      <c r="H3362"/>
      <c r="I3362"/>
      <c r="J3362"/>
    </row>
    <row r="3363" spans="1:10" s="2" customFormat="1">
      <c r="A3363" s="1"/>
      <c r="E3363"/>
      <c r="F3363"/>
      <c r="G3363"/>
      <c r="H3363"/>
      <c r="I3363"/>
      <c r="J3363"/>
    </row>
    <row r="3364" spans="1:10" s="2" customFormat="1">
      <c r="A3364" s="1"/>
      <c r="E3364"/>
      <c r="F3364"/>
      <c r="G3364"/>
      <c r="H3364"/>
      <c r="I3364"/>
      <c r="J3364"/>
    </row>
    <row r="3365" spans="1:10" s="2" customFormat="1">
      <c r="A3365" s="1"/>
      <c r="E3365"/>
      <c r="F3365"/>
      <c r="G3365"/>
      <c r="H3365"/>
      <c r="I3365"/>
      <c r="J3365"/>
    </row>
    <row r="3366" spans="1:10" s="2" customFormat="1">
      <c r="A3366" s="1"/>
      <c r="E3366"/>
      <c r="F3366"/>
      <c r="G3366"/>
      <c r="H3366"/>
      <c r="I3366"/>
      <c r="J3366"/>
    </row>
    <row r="3367" spans="1:10" s="2" customFormat="1">
      <c r="A3367" s="1"/>
      <c r="E3367"/>
      <c r="F3367"/>
      <c r="G3367"/>
      <c r="H3367"/>
      <c r="I3367"/>
      <c r="J3367"/>
    </row>
    <row r="3368" spans="1:10" s="2" customFormat="1">
      <c r="A3368" s="1"/>
      <c r="E3368"/>
      <c r="F3368"/>
      <c r="G3368"/>
      <c r="H3368"/>
      <c r="I3368"/>
      <c r="J3368"/>
    </row>
    <row r="3369" spans="1:10" s="2" customFormat="1">
      <c r="A3369" s="1"/>
      <c r="E3369"/>
      <c r="F3369"/>
      <c r="G3369"/>
      <c r="H3369"/>
      <c r="I3369"/>
      <c r="J3369"/>
    </row>
    <row r="3370" spans="1:10" s="2" customFormat="1">
      <c r="A3370" s="1"/>
      <c r="E3370"/>
      <c r="F3370"/>
      <c r="G3370"/>
      <c r="H3370"/>
      <c r="I3370"/>
      <c r="J3370"/>
    </row>
    <row r="3371" spans="1:10" s="2" customFormat="1">
      <c r="A3371" s="1"/>
      <c r="E3371"/>
      <c r="F3371"/>
      <c r="G3371"/>
      <c r="H3371"/>
      <c r="I3371"/>
      <c r="J3371"/>
    </row>
    <row r="3372" spans="1:10" s="2" customFormat="1">
      <c r="A3372" s="1"/>
      <c r="E3372"/>
      <c r="F3372"/>
      <c r="G3372"/>
      <c r="H3372"/>
      <c r="I3372"/>
      <c r="J3372"/>
    </row>
    <row r="3373" spans="1:10" s="2" customFormat="1">
      <c r="A3373" s="1"/>
      <c r="E3373"/>
      <c r="F3373"/>
      <c r="G3373"/>
      <c r="H3373"/>
      <c r="I3373"/>
      <c r="J3373"/>
    </row>
    <row r="3374" spans="1:10" s="2" customFormat="1">
      <c r="A3374" s="1"/>
      <c r="E3374"/>
      <c r="F3374"/>
      <c r="G3374"/>
      <c r="H3374"/>
      <c r="I3374"/>
      <c r="J3374"/>
    </row>
    <row r="3375" spans="1:10" s="2" customFormat="1">
      <c r="A3375" s="1"/>
      <c r="E3375"/>
      <c r="F3375"/>
      <c r="G3375"/>
      <c r="H3375"/>
      <c r="I3375"/>
      <c r="J3375"/>
    </row>
    <row r="3376" spans="1:10" s="2" customFormat="1">
      <c r="A3376" s="1"/>
      <c r="E3376"/>
      <c r="F3376"/>
      <c r="G3376"/>
      <c r="H3376"/>
      <c r="I3376"/>
      <c r="J3376"/>
    </row>
    <row r="3377" spans="1:10" s="2" customFormat="1">
      <c r="A3377" s="1"/>
      <c r="E3377"/>
      <c r="F3377"/>
      <c r="G3377"/>
      <c r="H3377"/>
      <c r="I3377"/>
      <c r="J3377"/>
    </row>
    <row r="3378" spans="1:10" s="2" customFormat="1">
      <c r="A3378" s="1"/>
      <c r="E3378"/>
      <c r="F3378"/>
      <c r="G3378"/>
      <c r="H3378"/>
      <c r="I3378"/>
      <c r="J3378"/>
    </row>
    <row r="3379" spans="1:10" s="2" customFormat="1">
      <c r="A3379" s="1"/>
      <c r="E3379"/>
      <c r="F3379"/>
      <c r="G3379"/>
      <c r="H3379"/>
      <c r="I3379"/>
      <c r="J3379"/>
    </row>
    <row r="3380" spans="1:10" s="2" customFormat="1">
      <c r="A3380" s="1"/>
      <c r="E3380"/>
      <c r="F3380"/>
      <c r="G3380"/>
      <c r="H3380"/>
      <c r="I3380"/>
      <c r="J3380"/>
    </row>
    <row r="3381" spans="1:10" s="2" customFormat="1">
      <c r="A3381" s="1"/>
      <c r="E3381"/>
      <c r="F3381"/>
      <c r="G3381"/>
      <c r="H3381"/>
      <c r="I3381"/>
      <c r="J3381"/>
    </row>
    <row r="3382" spans="1:10" s="2" customFormat="1">
      <c r="A3382" s="1"/>
      <c r="E3382"/>
      <c r="F3382"/>
      <c r="G3382"/>
      <c r="H3382"/>
      <c r="I3382"/>
      <c r="J3382"/>
    </row>
    <row r="3383" spans="1:10" s="2" customFormat="1">
      <c r="A3383" s="1"/>
      <c r="E3383"/>
      <c r="F3383"/>
      <c r="G3383"/>
      <c r="H3383"/>
      <c r="I3383"/>
      <c r="J3383"/>
    </row>
    <row r="3384" spans="1:10" s="2" customFormat="1">
      <c r="A3384" s="1"/>
      <c r="E3384"/>
      <c r="F3384"/>
      <c r="G3384"/>
      <c r="H3384"/>
      <c r="I3384"/>
      <c r="J3384"/>
    </row>
    <row r="3385" spans="1:10" s="2" customFormat="1">
      <c r="A3385" s="1"/>
      <c r="E3385"/>
      <c r="F3385"/>
      <c r="G3385"/>
      <c r="H3385"/>
      <c r="I3385"/>
      <c r="J3385"/>
    </row>
    <row r="3386" spans="1:10" s="2" customFormat="1">
      <c r="A3386" s="1"/>
      <c r="E3386"/>
      <c r="F3386"/>
      <c r="G3386"/>
      <c r="H3386"/>
      <c r="I3386"/>
      <c r="J3386"/>
    </row>
    <row r="3387" spans="1:10" s="2" customFormat="1">
      <c r="A3387" s="1"/>
      <c r="E3387"/>
      <c r="F3387"/>
      <c r="G3387"/>
      <c r="H3387"/>
      <c r="I3387"/>
      <c r="J3387"/>
    </row>
    <row r="3388" spans="1:10" s="2" customFormat="1">
      <c r="A3388" s="1"/>
      <c r="E3388"/>
      <c r="F3388"/>
      <c r="G3388"/>
      <c r="H3388"/>
      <c r="I3388"/>
      <c r="J3388"/>
    </row>
    <row r="3389" spans="1:10" s="2" customFormat="1">
      <c r="A3389" s="1"/>
      <c r="E3389"/>
      <c r="F3389"/>
      <c r="G3389"/>
      <c r="H3389"/>
      <c r="I3389"/>
      <c r="J3389"/>
    </row>
    <row r="3390" spans="1:10" s="2" customFormat="1">
      <c r="A3390" s="1"/>
      <c r="E3390"/>
      <c r="F3390"/>
      <c r="G3390"/>
      <c r="H3390"/>
      <c r="I3390"/>
      <c r="J3390"/>
    </row>
    <row r="3391" spans="1:10" s="2" customFormat="1">
      <c r="A3391" s="1"/>
      <c r="E3391"/>
      <c r="F3391"/>
      <c r="G3391"/>
      <c r="H3391"/>
      <c r="I3391"/>
      <c r="J3391"/>
    </row>
    <row r="3392" spans="1:10" s="2" customFormat="1">
      <c r="A3392" s="1"/>
      <c r="E3392"/>
      <c r="F3392"/>
      <c r="G3392"/>
      <c r="H3392"/>
      <c r="I3392"/>
      <c r="J3392"/>
    </row>
    <row r="3393" spans="1:10" s="2" customFormat="1">
      <c r="A3393" s="1"/>
      <c r="E3393"/>
      <c r="F3393"/>
      <c r="G3393"/>
      <c r="H3393"/>
      <c r="I3393"/>
      <c r="J3393"/>
    </row>
    <row r="3394" spans="1:10" s="2" customFormat="1">
      <c r="A3394" s="1"/>
      <c r="E3394"/>
      <c r="F3394"/>
      <c r="G3394"/>
      <c r="H3394"/>
      <c r="I3394"/>
      <c r="J3394"/>
    </row>
    <row r="3395" spans="1:10" s="2" customFormat="1">
      <c r="A3395" s="1"/>
      <c r="E3395"/>
      <c r="F3395"/>
      <c r="G3395"/>
      <c r="H3395"/>
      <c r="I3395"/>
      <c r="J3395"/>
    </row>
    <row r="3396" spans="1:10" s="2" customFormat="1">
      <c r="A3396" s="1"/>
      <c r="E3396"/>
      <c r="F3396"/>
      <c r="G3396"/>
      <c r="H3396"/>
      <c r="I3396"/>
      <c r="J3396"/>
    </row>
    <row r="3397" spans="1:10" s="2" customFormat="1">
      <c r="A3397" s="1"/>
      <c r="E3397"/>
      <c r="F3397"/>
      <c r="G3397"/>
      <c r="H3397"/>
      <c r="I3397"/>
      <c r="J3397"/>
    </row>
    <row r="3398" spans="1:10" s="2" customFormat="1">
      <c r="A3398" s="1"/>
      <c r="E3398"/>
      <c r="F3398"/>
      <c r="G3398"/>
      <c r="H3398"/>
      <c r="I3398"/>
      <c r="J3398"/>
    </row>
    <row r="3399" spans="1:10" s="2" customFormat="1">
      <c r="A3399" s="1"/>
      <c r="E3399"/>
      <c r="F3399"/>
      <c r="G3399"/>
      <c r="H3399"/>
      <c r="I3399"/>
      <c r="J3399"/>
    </row>
    <row r="3400" spans="1:10" s="2" customFormat="1">
      <c r="A3400" s="1"/>
      <c r="E3400"/>
      <c r="F3400"/>
      <c r="G3400"/>
      <c r="H3400"/>
      <c r="I3400"/>
      <c r="J3400"/>
    </row>
    <row r="3401" spans="1:10" s="2" customFormat="1">
      <c r="A3401" s="1"/>
      <c r="E3401"/>
      <c r="F3401"/>
      <c r="G3401"/>
      <c r="H3401"/>
      <c r="I3401"/>
      <c r="J3401"/>
    </row>
    <row r="3402" spans="1:10" s="2" customFormat="1">
      <c r="A3402" s="1"/>
      <c r="E3402"/>
      <c r="F3402"/>
      <c r="G3402"/>
      <c r="H3402"/>
      <c r="I3402"/>
      <c r="J3402"/>
    </row>
    <row r="3403" spans="1:10" s="2" customFormat="1">
      <c r="A3403" s="1"/>
      <c r="E3403"/>
      <c r="F3403"/>
      <c r="G3403"/>
      <c r="H3403"/>
      <c r="I3403"/>
      <c r="J3403"/>
    </row>
    <row r="3404" spans="1:10" s="2" customFormat="1">
      <c r="A3404" s="1"/>
      <c r="E3404"/>
      <c r="F3404"/>
      <c r="G3404"/>
      <c r="H3404"/>
      <c r="I3404"/>
      <c r="J3404"/>
    </row>
    <row r="3405" spans="1:10" s="2" customFormat="1">
      <c r="A3405" s="1"/>
      <c r="E3405"/>
      <c r="F3405"/>
      <c r="G3405"/>
      <c r="H3405"/>
      <c r="I3405"/>
      <c r="J3405"/>
    </row>
    <row r="3406" spans="1:10" s="2" customFormat="1">
      <c r="A3406" s="1"/>
      <c r="E3406"/>
      <c r="F3406"/>
      <c r="G3406"/>
      <c r="H3406"/>
      <c r="I3406"/>
      <c r="J3406"/>
    </row>
    <row r="3407" spans="1:10" s="2" customFormat="1">
      <c r="A3407" s="1"/>
      <c r="E3407"/>
      <c r="F3407"/>
      <c r="G3407"/>
      <c r="H3407"/>
      <c r="I3407"/>
      <c r="J3407"/>
    </row>
    <row r="3408" spans="1:10" s="2" customFormat="1">
      <c r="A3408" s="1"/>
      <c r="E3408"/>
      <c r="F3408"/>
      <c r="G3408"/>
      <c r="H3408"/>
      <c r="I3408"/>
      <c r="J3408"/>
    </row>
    <row r="3409" spans="1:10" s="2" customFormat="1">
      <c r="A3409" s="1"/>
      <c r="E3409"/>
      <c r="F3409"/>
      <c r="G3409"/>
      <c r="H3409"/>
      <c r="I3409"/>
      <c r="J3409"/>
    </row>
    <row r="3410" spans="1:10" s="2" customFormat="1">
      <c r="A3410" s="1"/>
      <c r="E3410"/>
      <c r="F3410"/>
      <c r="G3410"/>
      <c r="H3410"/>
      <c r="I3410"/>
      <c r="J3410"/>
    </row>
    <row r="3411" spans="1:10" s="2" customFormat="1">
      <c r="A3411" s="1"/>
      <c r="E3411"/>
      <c r="F3411"/>
      <c r="G3411"/>
      <c r="H3411"/>
      <c r="I3411"/>
      <c r="J3411"/>
    </row>
    <row r="3412" spans="1:10" s="2" customFormat="1">
      <c r="A3412" s="1"/>
      <c r="E3412"/>
      <c r="F3412"/>
      <c r="G3412"/>
      <c r="H3412"/>
      <c r="I3412"/>
      <c r="J3412"/>
    </row>
    <row r="3413" spans="1:10" s="2" customFormat="1">
      <c r="A3413" s="1"/>
      <c r="E3413"/>
      <c r="F3413"/>
      <c r="G3413"/>
      <c r="H3413"/>
      <c r="I3413"/>
      <c r="J3413"/>
    </row>
    <row r="3414" spans="1:10" s="2" customFormat="1">
      <c r="A3414" s="1"/>
      <c r="E3414"/>
      <c r="F3414"/>
      <c r="G3414"/>
      <c r="H3414"/>
      <c r="I3414"/>
      <c r="J3414"/>
    </row>
    <row r="3415" spans="1:10" s="2" customFormat="1">
      <c r="A3415" s="1"/>
      <c r="E3415"/>
      <c r="F3415"/>
      <c r="G3415"/>
      <c r="H3415"/>
      <c r="I3415"/>
      <c r="J3415"/>
    </row>
    <row r="3416" spans="1:10" s="2" customFormat="1">
      <c r="A3416" s="1"/>
      <c r="E3416"/>
      <c r="F3416"/>
      <c r="G3416"/>
      <c r="H3416"/>
      <c r="I3416"/>
      <c r="J3416"/>
    </row>
    <row r="3417" spans="1:10" s="2" customFormat="1">
      <c r="A3417" s="1"/>
      <c r="E3417"/>
      <c r="F3417"/>
      <c r="G3417"/>
      <c r="H3417"/>
      <c r="I3417"/>
      <c r="J3417"/>
    </row>
    <row r="3418" spans="1:10" s="2" customFormat="1">
      <c r="A3418" s="1"/>
      <c r="E3418"/>
      <c r="F3418"/>
      <c r="G3418"/>
      <c r="H3418"/>
      <c r="I3418"/>
      <c r="J3418"/>
    </row>
    <row r="3419" spans="1:10" s="2" customFormat="1">
      <c r="A3419" s="1"/>
      <c r="E3419"/>
      <c r="F3419"/>
      <c r="G3419"/>
      <c r="H3419"/>
      <c r="I3419"/>
      <c r="J3419"/>
    </row>
    <row r="3420" spans="1:10" s="2" customFormat="1">
      <c r="A3420" s="1"/>
      <c r="E3420"/>
      <c r="F3420"/>
      <c r="G3420"/>
      <c r="H3420"/>
      <c r="I3420"/>
      <c r="J3420"/>
    </row>
    <row r="3421" spans="1:10" s="2" customFormat="1">
      <c r="A3421" s="1"/>
      <c r="E3421"/>
      <c r="F3421"/>
      <c r="G3421"/>
      <c r="H3421"/>
      <c r="I3421"/>
      <c r="J3421"/>
    </row>
    <row r="3422" spans="1:10" s="2" customFormat="1">
      <c r="A3422" s="1"/>
      <c r="E3422"/>
      <c r="F3422"/>
      <c r="G3422"/>
      <c r="H3422"/>
      <c r="I3422"/>
      <c r="J3422"/>
    </row>
    <row r="3423" spans="1:10" s="2" customFormat="1">
      <c r="A3423" s="1"/>
      <c r="E3423"/>
      <c r="F3423"/>
      <c r="G3423"/>
      <c r="H3423"/>
      <c r="I3423"/>
      <c r="J3423"/>
    </row>
    <row r="3424" spans="1:10" s="2" customFormat="1">
      <c r="A3424" s="1"/>
      <c r="E3424"/>
      <c r="F3424"/>
      <c r="G3424"/>
      <c r="H3424"/>
      <c r="I3424"/>
      <c r="J3424"/>
    </row>
    <row r="3425" spans="1:10" s="2" customFormat="1">
      <c r="A3425" s="1"/>
      <c r="E3425"/>
      <c r="F3425"/>
      <c r="G3425"/>
      <c r="H3425"/>
      <c r="I3425"/>
      <c r="J3425"/>
    </row>
    <row r="3426" spans="1:10" s="2" customFormat="1">
      <c r="A3426" s="1"/>
      <c r="E3426"/>
      <c r="F3426"/>
      <c r="G3426"/>
      <c r="H3426"/>
      <c r="I3426"/>
      <c r="J3426"/>
    </row>
    <row r="3427" spans="1:10" s="2" customFormat="1">
      <c r="A3427" s="1"/>
      <c r="E3427"/>
      <c r="F3427"/>
      <c r="G3427"/>
      <c r="H3427"/>
      <c r="I3427"/>
      <c r="J3427"/>
    </row>
    <row r="3428" spans="1:10" s="2" customFormat="1">
      <c r="A3428" s="1"/>
      <c r="E3428"/>
      <c r="F3428"/>
      <c r="G3428"/>
      <c r="H3428"/>
      <c r="I3428"/>
      <c r="J3428"/>
    </row>
    <row r="3429" spans="1:10" s="2" customFormat="1">
      <c r="A3429" s="1"/>
      <c r="E3429"/>
      <c r="F3429"/>
      <c r="G3429"/>
      <c r="H3429"/>
      <c r="I3429"/>
      <c r="J3429"/>
    </row>
    <row r="3430" spans="1:10" s="2" customFormat="1">
      <c r="A3430" s="1"/>
      <c r="E3430"/>
      <c r="F3430"/>
      <c r="G3430"/>
      <c r="H3430"/>
      <c r="I3430"/>
      <c r="J3430"/>
    </row>
    <row r="3431" spans="1:10" s="2" customFormat="1">
      <c r="A3431" s="1"/>
      <c r="E3431"/>
      <c r="F3431"/>
      <c r="G3431"/>
      <c r="H3431"/>
      <c r="I3431"/>
      <c r="J3431"/>
    </row>
    <row r="3432" spans="1:10" s="2" customFormat="1">
      <c r="A3432" s="1"/>
      <c r="E3432"/>
      <c r="F3432"/>
      <c r="G3432"/>
      <c r="H3432"/>
      <c r="I3432"/>
      <c r="J3432"/>
    </row>
    <row r="3433" spans="1:10" s="2" customFormat="1">
      <c r="A3433" s="1"/>
      <c r="E3433"/>
      <c r="F3433"/>
      <c r="G3433"/>
      <c r="H3433"/>
      <c r="I3433"/>
      <c r="J3433"/>
    </row>
    <row r="3434" spans="1:10" s="2" customFormat="1">
      <c r="A3434" s="1"/>
      <c r="E3434"/>
      <c r="F3434"/>
      <c r="G3434"/>
      <c r="H3434"/>
      <c r="I3434"/>
      <c r="J3434"/>
    </row>
    <row r="3435" spans="1:10" s="2" customFormat="1">
      <c r="A3435" s="1"/>
      <c r="E3435"/>
      <c r="F3435"/>
      <c r="G3435"/>
      <c r="H3435"/>
      <c r="I3435"/>
      <c r="J3435"/>
    </row>
    <row r="3436" spans="1:10" s="2" customFormat="1">
      <c r="A3436" s="1"/>
      <c r="E3436"/>
      <c r="F3436"/>
      <c r="G3436"/>
      <c r="H3436"/>
      <c r="I3436"/>
      <c r="J3436"/>
    </row>
    <row r="3437" spans="1:10" s="2" customFormat="1">
      <c r="A3437" s="1"/>
      <c r="E3437"/>
      <c r="F3437"/>
      <c r="G3437"/>
      <c r="H3437"/>
      <c r="I3437"/>
      <c r="J3437"/>
    </row>
    <row r="3438" spans="1:10" s="2" customFormat="1">
      <c r="A3438" s="1"/>
      <c r="E3438"/>
      <c r="F3438"/>
      <c r="G3438"/>
      <c r="H3438"/>
      <c r="I3438"/>
      <c r="J3438"/>
    </row>
    <row r="3439" spans="1:10" s="2" customFormat="1">
      <c r="A3439" s="1"/>
      <c r="E3439"/>
      <c r="F3439"/>
      <c r="G3439"/>
      <c r="H3439"/>
      <c r="I3439"/>
      <c r="J3439"/>
    </row>
    <row r="3440" spans="1:10" s="2" customFormat="1">
      <c r="A3440" s="1"/>
      <c r="E3440"/>
      <c r="F3440"/>
      <c r="G3440"/>
      <c r="H3440"/>
      <c r="I3440"/>
      <c r="J3440"/>
    </row>
    <row r="3441" spans="1:10" s="2" customFormat="1">
      <c r="A3441" s="1"/>
      <c r="E3441"/>
      <c r="F3441"/>
      <c r="G3441"/>
      <c r="H3441"/>
      <c r="I3441"/>
      <c r="J3441"/>
    </row>
    <row r="3442" spans="1:10" s="2" customFormat="1">
      <c r="A3442" s="1"/>
      <c r="E3442"/>
      <c r="F3442"/>
      <c r="G3442"/>
      <c r="H3442"/>
      <c r="I3442"/>
      <c r="J3442"/>
    </row>
    <row r="3443" spans="1:10" s="2" customFormat="1">
      <c r="A3443" s="1"/>
      <c r="E3443"/>
      <c r="F3443"/>
      <c r="G3443"/>
      <c r="H3443"/>
      <c r="I3443"/>
      <c r="J3443"/>
    </row>
    <row r="3444" spans="1:10" s="2" customFormat="1">
      <c r="A3444" s="1"/>
      <c r="E3444"/>
      <c r="F3444"/>
      <c r="G3444"/>
      <c r="H3444"/>
      <c r="I3444"/>
      <c r="J3444"/>
    </row>
    <row r="3445" spans="1:10" s="2" customFormat="1">
      <c r="A3445" s="1"/>
      <c r="E3445"/>
      <c r="F3445"/>
      <c r="G3445"/>
      <c r="H3445"/>
      <c r="I3445"/>
      <c r="J3445"/>
    </row>
    <row r="3446" spans="1:10" s="2" customFormat="1">
      <c r="A3446" s="1"/>
      <c r="E3446"/>
      <c r="F3446"/>
      <c r="G3446"/>
      <c r="H3446"/>
      <c r="I3446"/>
      <c r="J3446"/>
    </row>
    <row r="3447" spans="1:10" s="2" customFormat="1">
      <c r="A3447" s="1"/>
      <c r="E3447"/>
      <c r="F3447"/>
      <c r="G3447"/>
      <c r="H3447"/>
      <c r="I3447"/>
      <c r="J3447"/>
    </row>
    <row r="3448" spans="1:10" s="2" customFormat="1">
      <c r="A3448" s="1"/>
      <c r="E3448"/>
      <c r="F3448"/>
      <c r="G3448"/>
      <c r="H3448"/>
      <c r="I3448"/>
      <c r="J3448"/>
    </row>
    <row r="3449" spans="1:10" s="2" customFormat="1">
      <c r="A3449" s="1"/>
      <c r="E3449"/>
      <c r="F3449"/>
      <c r="G3449"/>
      <c r="H3449"/>
      <c r="I3449"/>
      <c r="J3449"/>
    </row>
    <row r="3450" spans="1:10" s="2" customFormat="1">
      <c r="A3450" s="1"/>
      <c r="E3450"/>
      <c r="F3450"/>
      <c r="G3450"/>
      <c r="H3450"/>
      <c r="I3450"/>
      <c r="J3450"/>
    </row>
    <row r="3451" spans="1:10" s="2" customFormat="1">
      <c r="A3451" s="1"/>
      <c r="E3451"/>
      <c r="F3451"/>
      <c r="G3451"/>
      <c r="H3451"/>
      <c r="I3451"/>
      <c r="J3451"/>
    </row>
    <row r="3452" spans="1:10" s="2" customFormat="1">
      <c r="A3452" s="1"/>
      <c r="E3452"/>
      <c r="F3452"/>
      <c r="G3452"/>
      <c r="H3452"/>
      <c r="I3452"/>
      <c r="J3452"/>
    </row>
    <row r="3453" spans="1:10" s="2" customFormat="1">
      <c r="A3453" s="1"/>
      <c r="E3453"/>
      <c r="F3453"/>
      <c r="G3453"/>
      <c r="H3453"/>
      <c r="I3453"/>
      <c r="J3453"/>
    </row>
    <row r="3454" spans="1:10" s="2" customFormat="1">
      <c r="A3454" s="1"/>
      <c r="E3454"/>
      <c r="F3454"/>
      <c r="G3454"/>
      <c r="H3454"/>
      <c r="I3454"/>
      <c r="J3454"/>
    </row>
    <row r="3455" spans="1:10" s="2" customFormat="1">
      <c r="A3455" s="1"/>
      <c r="E3455"/>
      <c r="F3455"/>
      <c r="G3455"/>
      <c r="H3455"/>
      <c r="I3455"/>
      <c r="J3455"/>
    </row>
    <row r="3456" spans="1:10" s="2" customFormat="1">
      <c r="A3456" s="1"/>
      <c r="E3456"/>
      <c r="F3456"/>
      <c r="G3456"/>
      <c r="H3456"/>
      <c r="I3456"/>
      <c r="J3456"/>
    </row>
    <row r="3457" spans="1:10" s="2" customFormat="1">
      <c r="A3457" s="1"/>
      <c r="E3457"/>
      <c r="F3457"/>
      <c r="G3457"/>
      <c r="H3457"/>
      <c r="I3457"/>
      <c r="J3457"/>
    </row>
    <row r="3458" spans="1:10" s="2" customFormat="1">
      <c r="A3458" s="1"/>
      <c r="E3458"/>
      <c r="F3458"/>
      <c r="G3458"/>
      <c r="H3458"/>
      <c r="I3458"/>
      <c r="J3458"/>
    </row>
    <row r="3459" spans="1:10" s="2" customFormat="1">
      <c r="A3459" s="1"/>
      <c r="E3459"/>
      <c r="F3459"/>
      <c r="G3459"/>
      <c r="H3459"/>
      <c r="I3459"/>
      <c r="J3459"/>
    </row>
    <row r="3460" spans="1:10" s="2" customFormat="1">
      <c r="A3460" s="1"/>
      <c r="E3460"/>
      <c r="F3460"/>
      <c r="G3460"/>
      <c r="H3460"/>
      <c r="I3460"/>
      <c r="J3460"/>
    </row>
    <row r="3461" spans="1:10" s="2" customFormat="1">
      <c r="A3461" s="1"/>
      <c r="E3461"/>
      <c r="F3461"/>
      <c r="G3461"/>
      <c r="H3461"/>
      <c r="I3461"/>
      <c r="J3461"/>
    </row>
    <row r="3462" spans="1:10" s="2" customFormat="1">
      <c r="A3462" s="1"/>
      <c r="E3462"/>
      <c r="F3462"/>
      <c r="G3462"/>
      <c r="H3462"/>
      <c r="I3462"/>
      <c r="J3462"/>
    </row>
    <row r="3463" spans="1:10" s="2" customFormat="1">
      <c r="A3463" s="1"/>
      <c r="E3463"/>
      <c r="F3463"/>
      <c r="G3463"/>
      <c r="H3463"/>
      <c r="I3463"/>
      <c r="J3463"/>
    </row>
    <row r="3464" spans="1:10" s="2" customFormat="1">
      <c r="A3464" s="1"/>
      <c r="E3464"/>
      <c r="F3464"/>
      <c r="G3464"/>
      <c r="H3464"/>
      <c r="I3464"/>
      <c r="J3464"/>
    </row>
    <row r="3465" spans="1:10" s="2" customFormat="1">
      <c r="A3465" s="1"/>
      <c r="E3465"/>
      <c r="F3465"/>
      <c r="G3465"/>
      <c r="H3465"/>
      <c r="I3465"/>
      <c r="J3465"/>
    </row>
    <row r="3466" spans="1:10" s="2" customFormat="1">
      <c r="A3466" s="1"/>
      <c r="E3466"/>
      <c r="F3466"/>
      <c r="G3466"/>
      <c r="H3466"/>
      <c r="I3466"/>
      <c r="J3466"/>
    </row>
    <row r="3467" spans="1:10" s="2" customFormat="1">
      <c r="A3467" s="1"/>
      <c r="E3467"/>
      <c r="F3467"/>
      <c r="G3467"/>
      <c r="H3467"/>
      <c r="I3467"/>
      <c r="J3467"/>
    </row>
    <row r="3468" spans="1:10" s="2" customFormat="1">
      <c r="A3468" s="1"/>
      <c r="E3468"/>
      <c r="F3468"/>
      <c r="G3468"/>
      <c r="H3468"/>
      <c r="I3468"/>
      <c r="J3468"/>
    </row>
    <row r="3469" spans="1:10" s="2" customFormat="1">
      <c r="A3469" s="1"/>
      <c r="E3469"/>
      <c r="F3469"/>
      <c r="G3469"/>
      <c r="H3469"/>
      <c r="I3469"/>
      <c r="J3469"/>
    </row>
    <row r="3470" spans="1:10" s="2" customFormat="1">
      <c r="A3470" s="1"/>
      <c r="E3470"/>
      <c r="F3470"/>
      <c r="G3470"/>
      <c r="H3470"/>
      <c r="I3470"/>
      <c r="J3470"/>
    </row>
    <row r="3471" spans="1:10" s="2" customFormat="1">
      <c r="A3471" s="1"/>
      <c r="E3471"/>
      <c r="F3471"/>
      <c r="G3471"/>
      <c r="H3471"/>
      <c r="I3471"/>
      <c r="J3471"/>
    </row>
    <row r="3472" spans="1:10" s="2" customFormat="1">
      <c r="A3472" s="1"/>
      <c r="E3472"/>
      <c r="F3472"/>
      <c r="G3472"/>
      <c r="H3472"/>
      <c r="I3472"/>
      <c r="J3472"/>
    </row>
    <row r="3473" spans="1:10" s="2" customFormat="1">
      <c r="A3473" s="1"/>
      <c r="E3473"/>
      <c r="F3473"/>
      <c r="G3473"/>
      <c r="H3473"/>
      <c r="I3473"/>
      <c r="J3473"/>
    </row>
    <row r="3474" spans="1:10" s="2" customFormat="1">
      <c r="A3474" s="1"/>
      <c r="E3474"/>
      <c r="F3474"/>
      <c r="G3474"/>
      <c r="H3474"/>
      <c r="I3474"/>
      <c r="J3474"/>
    </row>
    <row r="3475" spans="1:10" s="2" customFormat="1">
      <c r="A3475" s="1"/>
      <c r="E3475"/>
      <c r="F3475"/>
      <c r="G3475"/>
      <c r="H3475"/>
      <c r="I3475"/>
      <c r="J3475"/>
    </row>
    <row r="3476" spans="1:10" s="2" customFormat="1">
      <c r="A3476" s="1"/>
      <c r="E3476"/>
      <c r="F3476"/>
      <c r="G3476"/>
      <c r="H3476"/>
      <c r="I3476"/>
      <c r="J3476"/>
    </row>
    <row r="3477" spans="1:10" s="2" customFormat="1">
      <c r="A3477" s="1"/>
      <c r="E3477"/>
      <c r="F3477"/>
      <c r="G3477"/>
      <c r="H3477"/>
      <c r="I3477"/>
      <c r="J3477"/>
    </row>
    <row r="3478" spans="1:10" s="2" customFormat="1">
      <c r="A3478" s="1"/>
      <c r="E3478"/>
      <c r="F3478"/>
      <c r="G3478"/>
      <c r="H3478"/>
      <c r="I3478"/>
      <c r="J3478"/>
    </row>
    <row r="3479" spans="1:10" s="2" customFormat="1">
      <c r="A3479" s="1"/>
      <c r="E3479"/>
      <c r="F3479"/>
      <c r="G3479"/>
      <c r="H3479"/>
      <c r="I3479"/>
      <c r="J3479"/>
    </row>
    <row r="3480" spans="1:10" s="2" customFormat="1">
      <c r="A3480" s="1"/>
      <c r="E3480"/>
      <c r="F3480"/>
      <c r="G3480"/>
      <c r="H3480"/>
      <c r="I3480"/>
      <c r="J3480"/>
    </row>
    <row r="3481" spans="1:10" s="2" customFormat="1">
      <c r="A3481" s="1"/>
      <c r="E3481"/>
      <c r="F3481"/>
      <c r="G3481"/>
      <c r="H3481"/>
      <c r="I3481"/>
      <c r="J3481"/>
    </row>
    <row r="3482" spans="1:10" s="2" customFormat="1">
      <c r="A3482" s="1"/>
      <c r="E3482"/>
      <c r="F3482"/>
      <c r="G3482"/>
      <c r="H3482"/>
      <c r="I3482"/>
      <c r="J3482"/>
    </row>
    <row r="3483" spans="1:10" s="2" customFormat="1">
      <c r="A3483" s="1"/>
      <c r="E3483"/>
      <c r="F3483"/>
      <c r="G3483"/>
      <c r="H3483"/>
      <c r="I3483"/>
      <c r="J3483"/>
    </row>
    <row r="3484" spans="1:10" s="2" customFormat="1">
      <c r="A3484" s="1"/>
      <c r="E3484"/>
      <c r="F3484"/>
      <c r="G3484"/>
      <c r="H3484"/>
      <c r="I3484"/>
      <c r="J3484"/>
    </row>
    <row r="3485" spans="1:10" s="2" customFormat="1">
      <c r="A3485" s="1"/>
      <c r="E3485"/>
      <c r="F3485"/>
      <c r="G3485"/>
      <c r="H3485"/>
      <c r="I3485"/>
      <c r="J3485"/>
    </row>
    <row r="3486" spans="1:10" s="2" customFormat="1">
      <c r="A3486" s="1"/>
      <c r="E3486"/>
      <c r="F3486"/>
      <c r="G3486"/>
      <c r="H3486"/>
      <c r="I3486"/>
      <c r="J3486"/>
    </row>
    <row r="3487" spans="1:10" s="2" customFormat="1">
      <c r="A3487" s="1"/>
      <c r="E3487"/>
      <c r="F3487"/>
      <c r="G3487"/>
      <c r="H3487"/>
      <c r="I3487"/>
      <c r="J3487"/>
    </row>
    <row r="3488" spans="1:10" s="2" customFormat="1">
      <c r="A3488" s="1"/>
      <c r="E3488"/>
      <c r="F3488"/>
      <c r="G3488"/>
      <c r="H3488"/>
      <c r="I3488"/>
      <c r="J3488"/>
    </row>
    <row r="3489" spans="1:10" s="2" customFormat="1">
      <c r="A3489" s="1"/>
      <c r="E3489"/>
      <c r="F3489"/>
      <c r="G3489"/>
      <c r="H3489"/>
      <c r="I3489"/>
      <c r="J3489"/>
    </row>
    <row r="3490" spans="1:10" s="2" customFormat="1">
      <c r="A3490" s="1"/>
      <c r="E3490"/>
      <c r="F3490"/>
      <c r="G3490"/>
      <c r="H3490"/>
      <c r="I3490"/>
      <c r="J3490"/>
    </row>
    <row r="3491" spans="1:10" s="2" customFormat="1">
      <c r="A3491" s="1"/>
      <c r="E3491"/>
      <c r="F3491"/>
      <c r="G3491"/>
      <c r="H3491"/>
      <c r="I3491"/>
      <c r="J3491"/>
    </row>
    <row r="3492" spans="1:10" s="2" customFormat="1">
      <c r="A3492" s="1"/>
      <c r="E3492"/>
      <c r="F3492"/>
      <c r="G3492"/>
      <c r="H3492"/>
      <c r="I3492"/>
      <c r="J3492"/>
    </row>
    <row r="3493" spans="1:10" s="2" customFormat="1">
      <c r="A3493" s="1"/>
      <c r="E3493"/>
      <c r="F3493"/>
      <c r="G3493"/>
      <c r="H3493"/>
      <c r="I3493"/>
      <c r="J3493"/>
    </row>
    <row r="3494" spans="1:10" s="2" customFormat="1">
      <c r="A3494" s="1"/>
      <c r="E3494"/>
      <c r="F3494"/>
      <c r="G3494"/>
      <c r="H3494"/>
      <c r="I3494"/>
      <c r="J3494"/>
    </row>
    <row r="3495" spans="1:10" s="2" customFormat="1">
      <c r="A3495" s="1"/>
      <c r="E3495"/>
      <c r="F3495"/>
      <c r="G3495"/>
      <c r="H3495"/>
      <c r="I3495"/>
      <c r="J3495"/>
    </row>
    <row r="3496" spans="1:10" s="2" customFormat="1">
      <c r="A3496" s="1"/>
      <c r="E3496"/>
      <c r="F3496"/>
      <c r="G3496"/>
      <c r="H3496"/>
      <c r="I3496"/>
      <c r="J3496"/>
    </row>
    <row r="3497" spans="1:10" s="2" customFormat="1">
      <c r="A3497" s="1"/>
      <c r="E3497"/>
      <c r="F3497"/>
      <c r="G3497"/>
      <c r="H3497"/>
      <c r="I3497"/>
      <c r="J3497"/>
    </row>
    <row r="3498" spans="1:10" s="2" customFormat="1">
      <c r="A3498" s="1"/>
      <c r="E3498"/>
      <c r="F3498"/>
      <c r="G3498"/>
      <c r="H3498"/>
      <c r="I3498"/>
      <c r="J3498"/>
    </row>
    <row r="3499" spans="1:10" s="2" customFormat="1">
      <c r="A3499" s="1"/>
      <c r="E3499"/>
      <c r="F3499"/>
      <c r="G3499"/>
      <c r="H3499"/>
      <c r="I3499"/>
      <c r="J3499"/>
    </row>
    <row r="3500" spans="1:10" s="2" customFormat="1">
      <c r="A3500" s="1"/>
      <c r="E3500"/>
      <c r="F3500"/>
      <c r="G3500"/>
      <c r="H3500"/>
      <c r="I3500"/>
      <c r="J3500"/>
    </row>
    <row r="3501" spans="1:10" s="2" customFormat="1">
      <c r="A3501" s="1"/>
      <c r="E3501"/>
      <c r="F3501"/>
      <c r="G3501"/>
      <c r="H3501"/>
      <c r="I3501"/>
      <c r="J3501"/>
    </row>
    <row r="3502" spans="1:10" s="2" customFormat="1">
      <c r="A3502" s="1"/>
      <c r="E3502"/>
      <c r="F3502"/>
      <c r="G3502"/>
      <c r="H3502"/>
      <c r="I3502"/>
      <c r="J3502"/>
    </row>
    <row r="3503" spans="1:10" s="2" customFormat="1">
      <c r="A3503" s="1"/>
      <c r="E3503"/>
      <c r="F3503"/>
      <c r="G3503"/>
      <c r="H3503"/>
      <c r="I3503"/>
      <c r="J3503"/>
    </row>
    <row r="3504" spans="1:10" s="2" customFormat="1">
      <c r="A3504" s="1"/>
      <c r="E3504"/>
      <c r="F3504"/>
      <c r="G3504"/>
      <c r="H3504"/>
      <c r="I3504"/>
      <c r="J3504"/>
    </row>
    <row r="3505" spans="1:10" s="2" customFormat="1">
      <c r="A3505" s="1"/>
      <c r="E3505"/>
      <c r="F3505"/>
      <c r="G3505"/>
      <c r="H3505"/>
      <c r="I3505"/>
      <c r="J3505"/>
    </row>
    <row r="3506" spans="1:10" s="2" customFormat="1">
      <c r="A3506" s="1"/>
      <c r="E3506"/>
      <c r="F3506"/>
      <c r="G3506"/>
      <c r="H3506"/>
      <c r="I3506"/>
      <c r="J3506"/>
    </row>
    <row r="3507" spans="1:10" s="2" customFormat="1">
      <c r="A3507" s="1"/>
      <c r="E3507"/>
      <c r="F3507"/>
      <c r="G3507"/>
      <c r="H3507"/>
      <c r="I3507"/>
      <c r="J3507"/>
    </row>
    <row r="3508" spans="1:10" s="2" customFormat="1">
      <c r="A3508" s="1"/>
      <c r="E3508"/>
      <c r="F3508"/>
      <c r="G3508"/>
      <c r="H3508"/>
      <c r="I3508"/>
      <c r="J3508"/>
    </row>
    <row r="3509" spans="1:10" s="2" customFormat="1">
      <c r="A3509" s="1"/>
      <c r="E3509"/>
      <c r="F3509"/>
      <c r="G3509"/>
      <c r="H3509"/>
      <c r="I3509"/>
      <c r="J3509"/>
    </row>
    <row r="3510" spans="1:10" s="2" customFormat="1">
      <c r="A3510" s="1"/>
      <c r="E3510"/>
      <c r="F3510"/>
      <c r="G3510"/>
      <c r="H3510"/>
      <c r="I3510"/>
      <c r="J3510"/>
    </row>
    <row r="3511" spans="1:10" s="2" customFormat="1">
      <c r="A3511" s="1"/>
      <c r="E3511"/>
      <c r="F3511"/>
      <c r="G3511"/>
      <c r="H3511"/>
      <c r="I3511"/>
      <c r="J3511"/>
    </row>
    <row r="3512" spans="1:10" s="2" customFormat="1">
      <c r="A3512" s="1"/>
      <c r="E3512"/>
      <c r="F3512"/>
      <c r="G3512"/>
      <c r="H3512"/>
      <c r="I3512"/>
      <c r="J3512"/>
    </row>
    <row r="3513" spans="1:10" s="2" customFormat="1">
      <c r="A3513" s="1"/>
      <c r="E3513"/>
      <c r="F3513"/>
      <c r="G3513"/>
      <c r="H3513"/>
      <c r="I3513"/>
      <c r="J3513"/>
    </row>
    <row r="3514" spans="1:10" s="2" customFormat="1">
      <c r="A3514" s="1"/>
      <c r="E3514"/>
      <c r="F3514"/>
      <c r="G3514"/>
      <c r="H3514"/>
      <c r="I3514"/>
      <c r="J3514"/>
    </row>
    <row r="3515" spans="1:10" s="2" customFormat="1">
      <c r="A3515" s="1"/>
      <c r="E3515"/>
      <c r="F3515"/>
      <c r="G3515"/>
      <c r="H3515"/>
      <c r="I3515"/>
      <c r="J3515"/>
    </row>
    <row r="3516" spans="1:10" s="2" customFormat="1">
      <c r="A3516" s="1"/>
      <c r="E3516"/>
      <c r="F3516"/>
      <c r="G3516"/>
      <c r="H3516"/>
      <c r="I3516"/>
      <c r="J3516"/>
    </row>
    <row r="3517" spans="1:10" s="2" customFormat="1">
      <c r="A3517" s="1"/>
      <c r="E3517"/>
      <c r="F3517"/>
      <c r="G3517"/>
      <c r="H3517"/>
      <c r="I3517"/>
      <c r="J3517"/>
    </row>
    <row r="3518" spans="1:10" s="2" customFormat="1">
      <c r="A3518" s="1"/>
      <c r="E3518"/>
      <c r="F3518"/>
      <c r="G3518"/>
      <c r="H3518"/>
      <c r="I3518"/>
      <c r="J3518"/>
    </row>
    <row r="3519" spans="1:10" s="2" customFormat="1">
      <c r="A3519" s="1"/>
      <c r="E3519"/>
      <c r="F3519"/>
      <c r="G3519"/>
      <c r="H3519"/>
      <c r="I3519"/>
      <c r="J3519"/>
    </row>
    <row r="3520" spans="1:10" s="2" customFormat="1">
      <c r="A3520" s="1"/>
      <c r="E3520"/>
      <c r="F3520"/>
      <c r="G3520"/>
      <c r="H3520"/>
      <c r="I3520"/>
      <c r="J3520"/>
    </row>
    <row r="3521" spans="1:10" s="2" customFormat="1">
      <c r="A3521" s="1"/>
      <c r="E3521"/>
      <c r="F3521"/>
      <c r="G3521"/>
      <c r="H3521"/>
      <c r="I3521"/>
      <c r="J3521"/>
    </row>
    <row r="3522" spans="1:10" s="2" customFormat="1">
      <c r="A3522" s="1"/>
      <c r="E3522"/>
      <c r="F3522"/>
      <c r="G3522"/>
      <c r="H3522"/>
      <c r="I3522"/>
      <c r="J3522"/>
    </row>
    <row r="3523" spans="1:10" s="2" customFormat="1">
      <c r="A3523" s="1"/>
      <c r="E3523"/>
      <c r="F3523"/>
      <c r="G3523"/>
      <c r="H3523"/>
      <c r="I3523"/>
      <c r="J3523"/>
    </row>
    <row r="3524" spans="1:10" s="2" customFormat="1">
      <c r="A3524" s="1"/>
      <c r="E3524"/>
      <c r="F3524"/>
      <c r="G3524"/>
      <c r="H3524"/>
      <c r="I3524"/>
      <c r="J3524"/>
    </row>
    <row r="3525" spans="1:10" s="2" customFormat="1">
      <c r="A3525" s="1"/>
      <c r="E3525"/>
      <c r="F3525"/>
      <c r="G3525"/>
      <c r="H3525"/>
      <c r="I3525"/>
      <c r="J3525"/>
    </row>
    <row r="3526" spans="1:10" s="2" customFormat="1">
      <c r="A3526" s="1"/>
      <c r="E3526"/>
      <c r="F3526"/>
      <c r="G3526"/>
      <c r="H3526"/>
      <c r="I3526"/>
      <c r="J3526"/>
    </row>
    <row r="3527" spans="1:10" s="2" customFormat="1">
      <c r="A3527" s="1"/>
      <c r="E3527"/>
      <c r="F3527"/>
      <c r="G3527"/>
      <c r="H3527"/>
      <c r="I3527"/>
      <c r="J3527"/>
    </row>
    <row r="3528" spans="1:10" s="2" customFormat="1">
      <c r="A3528" s="1"/>
      <c r="E3528"/>
      <c r="F3528"/>
      <c r="G3528"/>
      <c r="H3528"/>
      <c r="I3528"/>
      <c r="J3528"/>
    </row>
    <row r="3529" spans="1:10" s="2" customFormat="1">
      <c r="A3529" s="1"/>
      <c r="E3529"/>
      <c r="F3529"/>
      <c r="G3529"/>
      <c r="H3529"/>
      <c r="I3529"/>
      <c r="J3529"/>
    </row>
    <row r="3530" spans="1:10" s="2" customFormat="1">
      <c r="A3530" s="1"/>
      <c r="E3530"/>
      <c r="F3530"/>
      <c r="G3530"/>
      <c r="H3530"/>
      <c r="I3530"/>
      <c r="J3530"/>
    </row>
    <row r="3531" spans="1:10" s="2" customFormat="1">
      <c r="A3531" s="1"/>
      <c r="E3531"/>
      <c r="F3531"/>
      <c r="G3531"/>
      <c r="H3531"/>
      <c r="I3531"/>
      <c r="J3531"/>
    </row>
    <row r="3532" spans="1:10" s="2" customFormat="1">
      <c r="A3532" s="1"/>
      <c r="E3532"/>
      <c r="F3532"/>
      <c r="G3532"/>
      <c r="H3532"/>
      <c r="I3532"/>
      <c r="J3532"/>
    </row>
    <row r="3533" spans="1:10" s="2" customFormat="1">
      <c r="A3533" s="1"/>
      <c r="E3533"/>
      <c r="F3533"/>
      <c r="G3533"/>
      <c r="H3533"/>
      <c r="I3533"/>
      <c r="J3533"/>
    </row>
    <row r="3534" spans="1:10" s="2" customFormat="1">
      <c r="A3534" s="1"/>
      <c r="E3534"/>
      <c r="F3534"/>
      <c r="G3534"/>
      <c r="H3534"/>
      <c r="I3534"/>
      <c r="J3534"/>
    </row>
    <row r="3535" spans="1:10" s="2" customFormat="1">
      <c r="A3535" s="1"/>
      <c r="E3535"/>
      <c r="F3535"/>
      <c r="G3535"/>
      <c r="H3535"/>
      <c r="I3535"/>
      <c r="J3535"/>
    </row>
    <row r="3536" spans="1:10" s="2" customFormat="1">
      <c r="A3536" s="1"/>
      <c r="E3536"/>
      <c r="F3536"/>
      <c r="G3536"/>
      <c r="H3536"/>
      <c r="I3536"/>
      <c r="J3536"/>
    </row>
    <row r="3537" spans="1:10" s="2" customFormat="1">
      <c r="A3537" s="1"/>
      <c r="E3537"/>
      <c r="F3537"/>
      <c r="G3537"/>
      <c r="H3537"/>
      <c r="I3537"/>
      <c r="J3537"/>
    </row>
    <row r="3538" spans="1:10" s="2" customFormat="1">
      <c r="A3538" s="1"/>
      <c r="E3538"/>
      <c r="F3538"/>
      <c r="G3538"/>
      <c r="H3538"/>
      <c r="I3538"/>
      <c r="J3538"/>
    </row>
    <row r="3539" spans="1:10" s="2" customFormat="1">
      <c r="A3539" s="1"/>
      <c r="E3539"/>
      <c r="F3539"/>
      <c r="G3539"/>
      <c r="H3539"/>
      <c r="I3539"/>
      <c r="J3539"/>
    </row>
    <row r="3540" spans="1:10" s="2" customFormat="1">
      <c r="A3540" s="1"/>
      <c r="E3540"/>
      <c r="F3540"/>
      <c r="G3540"/>
      <c r="H3540"/>
      <c r="I3540"/>
      <c r="J3540"/>
    </row>
    <row r="3541" spans="1:10" s="2" customFormat="1">
      <c r="A3541" s="1"/>
      <c r="E3541"/>
      <c r="F3541"/>
      <c r="G3541"/>
      <c r="H3541"/>
      <c r="I3541"/>
      <c r="J3541"/>
    </row>
    <row r="3542" spans="1:10" s="2" customFormat="1">
      <c r="A3542" s="1"/>
      <c r="E3542"/>
      <c r="F3542"/>
      <c r="G3542"/>
      <c r="H3542"/>
      <c r="I3542"/>
      <c r="J3542"/>
    </row>
    <row r="3543" spans="1:10" s="2" customFormat="1">
      <c r="A3543" s="1"/>
      <c r="E3543"/>
      <c r="F3543"/>
      <c r="G3543"/>
      <c r="H3543"/>
      <c r="I3543"/>
      <c r="J3543"/>
    </row>
    <row r="3544" spans="1:10" s="2" customFormat="1">
      <c r="A3544" s="1"/>
      <c r="E3544"/>
      <c r="F3544"/>
      <c r="G3544"/>
      <c r="H3544"/>
      <c r="I3544"/>
      <c r="J3544"/>
    </row>
    <row r="3545" spans="1:10" s="2" customFormat="1">
      <c r="A3545" s="1"/>
      <c r="E3545"/>
      <c r="F3545"/>
      <c r="G3545"/>
      <c r="H3545"/>
      <c r="I3545"/>
      <c r="J3545"/>
    </row>
    <row r="3546" spans="1:10" s="2" customFormat="1">
      <c r="A3546" s="1"/>
      <c r="E3546"/>
      <c r="F3546"/>
      <c r="G3546"/>
      <c r="H3546"/>
      <c r="I3546"/>
      <c r="J3546"/>
    </row>
    <row r="3547" spans="1:10" s="2" customFormat="1">
      <c r="A3547" s="1"/>
      <c r="E3547"/>
      <c r="F3547"/>
      <c r="G3547"/>
      <c r="H3547"/>
      <c r="I3547"/>
      <c r="J3547"/>
    </row>
    <row r="3548" spans="1:10" s="2" customFormat="1">
      <c r="A3548" s="1"/>
      <c r="E3548"/>
      <c r="F3548"/>
      <c r="G3548"/>
      <c r="H3548"/>
      <c r="I3548"/>
      <c r="J3548"/>
    </row>
    <row r="3549" spans="1:10" s="2" customFormat="1">
      <c r="A3549" s="1"/>
      <c r="E3549"/>
      <c r="F3549"/>
      <c r="G3549"/>
      <c r="H3549"/>
      <c r="I3549"/>
      <c r="J3549"/>
    </row>
    <row r="3550" spans="1:10" s="2" customFormat="1">
      <c r="A3550" s="1"/>
      <c r="E3550"/>
      <c r="F3550"/>
      <c r="G3550"/>
      <c r="H3550"/>
      <c r="I3550"/>
      <c r="J3550"/>
    </row>
    <row r="3551" spans="1:10" s="2" customFormat="1">
      <c r="A3551" s="1"/>
      <c r="E3551"/>
      <c r="F3551"/>
      <c r="G3551"/>
      <c r="H3551"/>
      <c r="I3551"/>
      <c r="J3551"/>
    </row>
    <row r="3552" spans="1:10" s="2" customFormat="1">
      <c r="A3552" s="1"/>
      <c r="E3552"/>
      <c r="F3552"/>
      <c r="G3552"/>
      <c r="H3552"/>
      <c r="I3552"/>
      <c r="J3552"/>
    </row>
    <row r="3553" spans="1:10" s="2" customFormat="1">
      <c r="A3553" s="1"/>
      <c r="E3553"/>
      <c r="F3553"/>
      <c r="G3553"/>
      <c r="H3553"/>
      <c r="I3553"/>
      <c r="J3553"/>
    </row>
    <row r="3554" spans="1:10" s="2" customFormat="1">
      <c r="A3554" s="1"/>
      <c r="E3554"/>
      <c r="F3554"/>
      <c r="G3554"/>
      <c r="H3554"/>
      <c r="I3554"/>
      <c r="J3554"/>
    </row>
    <row r="3555" spans="1:10" s="2" customFormat="1">
      <c r="A3555" s="1"/>
      <c r="E3555"/>
      <c r="F3555"/>
      <c r="G3555"/>
      <c r="H3555"/>
      <c r="I3555"/>
      <c r="J3555"/>
    </row>
    <row r="3556" spans="1:10" s="2" customFormat="1">
      <c r="A3556" s="1"/>
      <c r="E3556"/>
      <c r="F3556"/>
      <c r="G3556"/>
      <c r="H3556"/>
      <c r="I3556"/>
      <c r="J3556"/>
    </row>
    <row r="3557" spans="1:10" s="2" customFormat="1">
      <c r="A3557" s="1"/>
      <c r="E3557"/>
      <c r="F3557"/>
      <c r="G3557"/>
      <c r="H3557"/>
      <c r="I3557"/>
      <c r="J3557"/>
    </row>
    <row r="3558" spans="1:10" s="2" customFormat="1">
      <c r="A3558" s="1"/>
      <c r="E3558"/>
      <c r="F3558"/>
      <c r="G3558"/>
      <c r="H3558"/>
      <c r="I3558"/>
      <c r="J3558"/>
    </row>
    <row r="3559" spans="1:10" s="2" customFormat="1">
      <c r="A3559" s="1"/>
      <c r="E3559"/>
      <c r="F3559"/>
      <c r="G3559"/>
      <c r="H3559"/>
      <c r="I3559"/>
      <c r="J3559"/>
    </row>
    <row r="3560" spans="1:10" s="2" customFormat="1">
      <c r="A3560" s="1"/>
      <c r="E3560"/>
      <c r="F3560"/>
      <c r="G3560"/>
      <c r="H3560"/>
      <c r="I3560"/>
      <c r="J3560"/>
    </row>
    <row r="3561" spans="1:10" s="2" customFormat="1">
      <c r="A3561" s="1"/>
      <c r="E3561"/>
      <c r="F3561"/>
      <c r="G3561"/>
      <c r="H3561"/>
      <c r="I3561"/>
      <c r="J3561"/>
    </row>
    <row r="3562" spans="1:10" s="2" customFormat="1">
      <c r="A3562" s="1"/>
      <c r="E3562"/>
      <c r="F3562"/>
      <c r="G3562"/>
      <c r="H3562"/>
      <c r="I3562"/>
      <c r="J3562"/>
    </row>
    <row r="3563" spans="1:10" s="2" customFormat="1">
      <c r="A3563" s="1"/>
      <c r="E3563"/>
      <c r="F3563"/>
      <c r="G3563"/>
      <c r="H3563"/>
      <c r="I3563"/>
      <c r="J3563"/>
    </row>
    <row r="3564" spans="1:10" s="2" customFormat="1">
      <c r="A3564" s="1"/>
      <c r="E3564"/>
      <c r="F3564"/>
      <c r="G3564"/>
      <c r="H3564"/>
      <c r="I3564"/>
      <c r="J3564"/>
    </row>
    <row r="3565" spans="1:10" s="2" customFormat="1">
      <c r="A3565" s="1"/>
      <c r="E3565"/>
      <c r="F3565"/>
      <c r="G3565"/>
      <c r="H3565"/>
      <c r="I3565"/>
      <c r="J3565"/>
    </row>
    <row r="3566" spans="1:10" s="2" customFormat="1">
      <c r="A3566" s="1"/>
      <c r="E3566"/>
      <c r="F3566"/>
      <c r="G3566"/>
      <c r="H3566"/>
      <c r="I3566"/>
      <c r="J3566"/>
    </row>
    <row r="3567" spans="1:10" s="2" customFormat="1">
      <c r="A3567" s="1"/>
      <c r="E3567"/>
      <c r="F3567"/>
      <c r="G3567"/>
      <c r="H3567"/>
      <c r="I3567"/>
      <c r="J3567"/>
    </row>
    <row r="3568" spans="1:10" s="2" customFormat="1">
      <c r="A3568" s="1"/>
      <c r="E3568"/>
      <c r="F3568"/>
      <c r="G3568"/>
      <c r="H3568"/>
      <c r="I3568"/>
      <c r="J3568"/>
    </row>
    <row r="3569" spans="1:10" s="2" customFormat="1">
      <c r="A3569" s="1"/>
      <c r="E3569"/>
      <c r="F3569"/>
      <c r="G3569"/>
      <c r="H3569"/>
      <c r="I3569"/>
      <c r="J3569"/>
    </row>
    <row r="3570" spans="1:10" s="2" customFormat="1">
      <c r="A3570" s="1"/>
      <c r="E3570"/>
      <c r="F3570"/>
      <c r="G3570"/>
      <c r="H3570"/>
      <c r="I3570"/>
      <c r="J3570"/>
    </row>
    <row r="3571" spans="1:10" s="2" customFormat="1">
      <c r="A3571" s="1"/>
      <c r="E3571"/>
      <c r="F3571"/>
      <c r="G3571"/>
      <c r="H3571"/>
      <c r="I3571"/>
      <c r="J3571"/>
    </row>
    <row r="3572" spans="1:10" s="2" customFormat="1">
      <c r="A3572" s="1"/>
      <c r="E3572"/>
      <c r="F3572"/>
      <c r="G3572"/>
      <c r="H3572"/>
      <c r="I3572"/>
      <c r="J3572"/>
    </row>
    <row r="3573" spans="1:10" s="2" customFormat="1">
      <c r="A3573" s="1"/>
      <c r="E3573"/>
      <c r="F3573"/>
      <c r="G3573"/>
      <c r="H3573"/>
      <c r="I3573"/>
      <c r="J3573"/>
    </row>
    <row r="3574" spans="1:10" s="2" customFormat="1">
      <c r="A3574" s="1"/>
      <c r="E3574"/>
      <c r="F3574"/>
      <c r="G3574"/>
      <c r="H3574"/>
      <c r="I3574"/>
      <c r="J3574"/>
    </row>
    <row r="3575" spans="1:10" s="2" customFormat="1">
      <c r="A3575" s="1"/>
      <c r="E3575"/>
      <c r="F3575"/>
      <c r="G3575"/>
      <c r="H3575"/>
      <c r="I3575"/>
      <c r="J3575"/>
    </row>
    <row r="3576" spans="1:10" s="2" customFormat="1">
      <c r="A3576" s="1"/>
      <c r="E3576"/>
      <c r="F3576"/>
      <c r="G3576"/>
      <c r="H3576"/>
      <c r="I3576"/>
      <c r="J3576"/>
    </row>
    <row r="3577" spans="1:10" s="2" customFormat="1">
      <c r="A3577" s="1"/>
      <c r="E3577"/>
      <c r="F3577"/>
      <c r="G3577"/>
      <c r="H3577"/>
      <c r="I3577"/>
      <c r="J3577"/>
    </row>
    <row r="3578" spans="1:10" s="2" customFormat="1">
      <c r="A3578" s="1"/>
      <c r="E3578"/>
      <c r="F3578"/>
      <c r="G3578"/>
      <c r="H3578"/>
      <c r="I3578"/>
      <c r="J3578"/>
    </row>
    <row r="3579" spans="1:10" s="2" customFormat="1">
      <c r="A3579" s="1"/>
      <c r="E3579"/>
      <c r="F3579"/>
      <c r="G3579"/>
      <c r="H3579"/>
      <c r="I3579"/>
      <c r="J3579"/>
    </row>
    <row r="3580" spans="1:10" s="2" customFormat="1">
      <c r="A3580" s="1"/>
      <c r="E3580"/>
      <c r="F3580"/>
      <c r="G3580"/>
      <c r="H3580"/>
      <c r="I3580"/>
      <c r="J3580"/>
    </row>
    <row r="3581" spans="1:10" s="2" customFormat="1">
      <c r="A3581" s="1"/>
      <c r="E3581"/>
      <c r="F3581"/>
      <c r="G3581"/>
      <c r="H3581"/>
      <c r="I3581"/>
      <c r="J3581"/>
    </row>
    <row r="3582" spans="1:10" s="2" customFormat="1">
      <c r="A3582" s="1"/>
      <c r="E3582"/>
      <c r="F3582"/>
      <c r="G3582"/>
      <c r="H3582"/>
      <c r="I3582"/>
      <c r="J3582"/>
    </row>
    <row r="3583" spans="1:10" s="2" customFormat="1">
      <c r="A3583" s="1"/>
      <c r="E3583"/>
      <c r="F3583"/>
      <c r="G3583"/>
      <c r="H3583"/>
      <c r="I3583"/>
      <c r="J3583"/>
    </row>
    <row r="3584" spans="1:10" s="2" customFormat="1">
      <c r="A3584" s="1"/>
      <c r="E3584"/>
      <c r="F3584"/>
      <c r="G3584"/>
      <c r="H3584"/>
      <c r="I3584"/>
      <c r="J3584"/>
    </row>
    <row r="3585" spans="1:10" s="2" customFormat="1">
      <c r="A3585" s="1"/>
      <c r="E3585"/>
      <c r="F3585"/>
      <c r="G3585"/>
      <c r="H3585"/>
      <c r="I3585"/>
      <c r="J3585"/>
    </row>
    <row r="3586" spans="1:10" s="2" customFormat="1">
      <c r="A3586" s="1"/>
      <c r="E3586"/>
      <c r="F3586"/>
      <c r="G3586"/>
      <c r="H3586"/>
      <c r="I3586"/>
      <c r="J3586"/>
    </row>
    <row r="3587" spans="1:10" s="2" customFormat="1">
      <c r="A3587" s="1"/>
      <c r="E3587"/>
      <c r="F3587"/>
      <c r="G3587"/>
      <c r="H3587"/>
      <c r="I3587"/>
      <c r="J3587"/>
    </row>
    <row r="3588" spans="1:10" s="2" customFormat="1">
      <c r="A3588" s="1"/>
      <c r="E3588"/>
      <c r="F3588"/>
      <c r="G3588"/>
      <c r="H3588"/>
      <c r="I3588"/>
      <c r="J3588"/>
    </row>
    <row r="3589" spans="1:10" s="2" customFormat="1">
      <c r="A3589" s="1"/>
      <c r="E3589"/>
      <c r="F3589"/>
      <c r="G3589"/>
      <c r="H3589"/>
      <c r="I3589"/>
      <c r="J3589"/>
    </row>
    <row r="3590" spans="1:10" s="2" customFormat="1">
      <c r="A3590" s="1"/>
      <c r="E3590"/>
      <c r="F3590"/>
      <c r="G3590"/>
      <c r="H3590"/>
      <c r="I3590"/>
      <c r="J3590"/>
    </row>
    <row r="3591" spans="1:10" s="2" customFormat="1">
      <c r="A3591" s="1"/>
      <c r="E3591"/>
      <c r="F3591"/>
      <c r="G3591"/>
      <c r="H3591"/>
      <c r="I3591"/>
      <c r="J3591"/>
    </row>
    <row r="3592" spans="1:10" s="2" customFormat="1">
      <c r="A3592" s="1"/>
      <c r="E3592"/>
      <c r="F3592"/>
      <c r="G3592"/>
      <c r="H3592"/>
      <c r="I3592"/>
      <c r="J3592"/>
    </row>
    <row r="3593" spans="1:10" s="2" customFormat="1">
      <c r="A3593" s="1"/>
      <c r="E3593"/>
      <c r="F3593"/>
      <c r="G3593"/>
      <c r="H3593"/>
      <c r="I3593"/>
      <c r="J3593"/>
    </row>
    <row r="3594" spans="1:10" s="2" customFormat="1">
      <c r="A3594" s="1"/>
      <c r="E3594"/>
      <c r="F3594"/>
      <c r="G3594"/>
      <c r="H3594"/>
      <c r="I3594"/>
      <c r="J3594"/>
    </row>
    <row r="3595" spans="1:10" s="2" customFormat="1">
      <c r="A3595" s="1"/>
      <c r="E3595"/>
      <c r="F3595"/>
      <c r="G3595"/>
      <c r="H3595"/>
      <c r="I3595"/>
      <c r="J3595"/>
    </row>
    <row r="3596" spans="1:10" s="2" customFormat="1">
      <c r="A3596" s="1"/>
      <c r="E3596"/>
      <c r="F3596"/>
      <c r="G3596"/>
      <c r="H3596"/>
      <c r="I3596"/>
      <c r="J3596"/>
    </row>
    <row r="3597" spans="1:10" s="2" customFormat="1">
      <c r="A3597" s="1"/>
      <c r="E3597"/>
      <c r="F3597"/>
      <c r="G3597"/>
      <c r="H3597"/>
      <c r="I3597"/>
      <c r="J3597"/>
    </row>
    <row r="3598" spans="1:10" s="2" customFormat="1">
      <c r="A3598" s="1"/>
      <c r="E3598"/>
      <c r="F3598"/>
      <c r="G3598"/>
      <c r="H3598"/>
      <c r="I3598"/>
      <c r="J3598"/>
    </row>
    <row r="3599" spans="1:10" s="2" customFormat="1">
      <c r="A3599" s="1"/>
      <c r="E3599"/>
      <c r="F3599"/>
      <c r="G3599"/>
      <c r="H3599"/>
      <c r="I3599"/>
      <c r="J3599"/>
    </row>
    <row r="3600" spans="1:10" s="2" customFormat="1">
      <c r="A3600" s="1"/>
      <c r="E3600"/>
      <c r="F3600"/>
      <c r="G3600"/>
      <c r="H3600"/>
      <c r="I3600"/>
      <c r="J3600"/>
    </row>
    <row r="3601" spans="1:10" s="2" customFormat="1">
      <c r="A3601" s="1"/>
      <c r="E3601"/>
      <c r="F3601"/>
      <c r="G3601"/>
      <c r="H3601"/>
      <c r="I3601"/>
      <c r="J3601"/>
    </row>
    <row r="3602" spans="1:10" s="2" customFormat="1">
      <c r="A3602" s="1"/>
      <c r="E3602"/>
      <c r="F3602"/>
      <c r="G3602"/>
      <c r="H3602"/>
      <c r="I3602"/>
      <c r="J3602"/>
    </row>
    <row r="3603" spans="1:10" s="2" customFormat="1">
      <c r="A3603" s="1"/>
      <c r="E3603"/>
      <c r="F3603"/>
      <c r="G3603"/>
      <c r="H3603"/>
      <c r="I3603"/>
      <c r="J3603"/>
    </row>
    <row r="3604" spans="1:10" s="2" customFormat="1">
      <c r="A3604" s="1"/>
      <c r="E3604"/>
      <c r="F3604"/>
      <c r="G3604"/>
      <c r="H3604"/>
      <c r="I3604"/>
      <c r="J3604"/>
    </row>
    <row r="3605" spans="1:10" s="2" customFormat="1">
      <c r="A3605" s="1"/>
      <c r="E3605"/>
      <c r="F3605"/>
      <c r="G3605"/>
      <c r="H3605"/>
      <c r="I3605"/>
      <c r="J3605"/>
    </row>
    <row r="3606" spans="1:10" s="2" customFormat="1">
      <c r="A3606" s="1"/>
      <c r="E3606"/>
      <c r="F3606"/>
      <c r="G3606"/>
      <c r="H3606"/>
      <c r="I3606"/>
      <c r="J3606"/>
    </row>
    <row r="3607" spans="1:10" s="2" customFormat="1">
      <c r="A3607" s="1"/>
      <c r="E3607"/>
      <c r="F3607"/>
      <c r="G3607"/>
      <c r="H3607"/>
      <c r="I3607"/>
      <c r="J3607"/>
    </row>
    <row r="3608" spans="1:10" s="2" customFormat="1">
      <c r="A3608" s="1"/>
      <c r="E3608"/>
      <c r="F3608"/>
      <c r="G3608"/>
      <c r="H3608"/>
      <c r="I3608"/>
      <c r="J3608"/>
    </row>
    <row r="3609" spans="1:10" s="2" customFormat="1">
      <c r="A3609" s="1"/>
      <c r="E3609"/>
      <c r="F3609"/>
      <c r="G3609"/>
      <c r="H3609"/>
      <c r="I3609"/>
      <c r="J3609"/>
    </row>
    <row r="3610" spans="1:10" s="2" customFormat="1">
      <c r="A3610" s="1"/>
      <c r="E3610"/>
      <c r="F3610"/>
      <c r="G3610"/>
      <c r="H3610"/>
      <c r="I3610"/>
      <c r="J3610"/>
    </row>
    <row r="3611" spans="1:10" s="2" customFormat="1">
      <c r="A3611" s="1"/>
      <c r="E3611"/>
      <c r="F3611"/>
      <c r="G3611"/>
      <c r="H3611"/>
      <c r="I3611"/>
      <c r="J3611"/>
    </row>
    <row r="3612" spans="1:10" s="2" customFormat="1">
      <c r="A3612" s="1"/>
      <c r="E3612"/>
      <c r="F3612"/>
      <c r="G3612"/>
      <c r="H3612"/>
      <c r="I3612"/>
      <c r="J3612"/>
    </row>
    <row r="3613" spans="1:10" s="2" customFormat="1">
      <c r="A3613" s="1"/>
      <c r="E3613"/>
      <c r="F3613"/>
      <c r="G3613"/>
      <c r="H3613"/>
      <c r="I3613"/>
      <c r="J3613"/>
    </row>
    <row r="3614" spans="1:10" s="2" customFormat="1">
      <c r="A3614" s="1"/>
      <c r="E3614"/>
      <c r="F3614"/>
      <c r="G3614"/>
      <c r="H3614"/>
      <c r="I3614"/>
      <c r="J3614"/>
    </row>
    <row r="3615" spans="1:10" s="2" customFormat="1">
      <c r="A3615" s="1"/>
      <c r="E3615"/>
      <c r="F3615"/>
      <c r="G3615"/>
      <c r="H3615"/>
      <c r="I3615"/>
      <c r="J3615"/>
    </row>
    <row r="3616" spans="1:10" s="2" customFormat="1">
      <c r="A3616" s="1"/>
      <c r="E3616"/>
      <c r="F3616"/>
      <c r="G3616"/>
      <c r="H3616"/>
      <c r="I3616"/>
      <c r="J3616"/>
    </row>
    <row r="3617" spans="1:10" s="2" customFormat="1">
      <c r="A3617" s="1"/>
      <c r="E3617"/>
      <c r="F3617"/>
      <c r="G3617"/>
      <c r="H3617"/>
      <c r="I3617"/>
      <c r="J3617"/>
    </row>
    <row r="3618" spans="1:10" s="2" customFormat="1">
      <c r="A3618" s="1"/>
      <c r="E3618"/>
      <c r="F3618"/>
      <c r="G3618"/>
      <c r="H3618"/>
      <c r="I3618"/>
      <c r="J3618"/>
    </row>
    <row r="3619" spans="1:10" s="2" customFormat="1">
      <c r="A3619" s="1"/>
      <c r="E3619"/>
      <c r="F3619"/>
      <c r="G3619"/>
      <c r="H3619"/>
      <c r="I3619"/>
      <c r="J3619"/>
    </row>
    <row r="3620" spans="1:10" s="2" customFormat="1">
      <c r="A3620" s="1"/>
      <c r="E3620"/>
      <c r="F3620"/>
      <c r="G3620"/>
      <c r="H3620"/>
      <c r="I3620"/>
      <c r="J3620"/>
    </row>
    <row r="3621" spans="1:10" s="2" customFormat="1">
      <c r="A3621" s="1"/>
      <c r="E3621"/>
      <c r="F3621"/>
      <c r="G3621"/>
      <c r="H3621"/>
      <c r="I3621"/>
      <c r="J3621"/>
    </row>
    <row r="3622" spans="1:10" s="2" customFormat="1">
      <c r="A3622" s="1"/>
      <c r="E3622"/>
      <c r="F3622"/>
      <c r="G3622"/>
      <c r="H3622"/>
      <c r="I3622"/>
      <c r="J3622"/>
    </row>
    <row r="3623" spans="1:10" s="2" customFormat="1">
      <c r="A3623" s="1"/>
      <c r="E3623"/>
      <c r="F3623"/>
      <c r="G3623"/>
      <c r="H3623"/>
      <c r="I3623"/>
      <c r="J3623"/>
    </row>
    <row r="3624" spans="1:10" s="2" customFormat="1">
      <c r="A3624" s="1"/>
      <c r="E3624"/>
      <c r="F3624"/>
      <c r="G3624"/>
      <c r="H3624"/>
      <c r="I3624"/>
      <c r="J3624"/>
    </row>
    <row r="3625" spans="1:10" s="2" customFormat="1">
      <c r="A3625" s="1"/>
      <c r="E3625"/>
      <c r="F3625"/>
      <c r="G3625"/>
      <c r="H3625"/>
      <c r="I3625"/>
      <c r="J3625"/>
    </row>
    <row r="3626" spans="1:10" s="2" customFormat="1">
      <c r="A3626" s="1"/>
      <c r="E3626"/>
      <c r="F3626"/>
      <c r="G3626"/>
      <c r="H3626"/>
      <c r="I3626"/>
      <c r="J3626"/>
    </row>
    <row r="3627" spans="1:10" s="2" customFormat="1">
      <c r="A3627" s="1"/>
      <c r="E3627"/>
      <c r="F3627"/>
      <c r="G3627"/>
      <c r="H3627"/>
      <c r="I3627"/>
      <c r="J3627"/>
    </row>
    <row r="3628" spans="1:10" s="2" customFormat="1">
      <c r="A3628" s="1"/>
      <c r="E3628"/>
      <c r="F3628"/>
      <c r="G3628"/>
      <c r="H3628"/>
      <c r="I3628"/>
      <c r="J3628"/>
    </row>
    <row r="3629" spans="1:10" s="2" customFormat="1">
      <c r="A3629" s="1"/>
      <c r="E3629"/>
      <c r="F3629"/>
      <c r="G3629"/>
      <c r="H3629"/>
      <c r="I3629"/>
      <c r="J3629"/>
    </row>
    <row r="3630" spans="1:10" s="2" customFormat="1">
      <c r="A3630" s="1"/>
      <c r="E3630"/>
      <c r="F3630"/>
      <c r="G3630"/>
      <c r="H3630"/>
      <c r="I3630"/>
      <c r="J3630"/>
    </row>
    <row r="3631" spans="1:10" s="2" customFormat="1">
      <c r="A3631" s="1"/>
      <c r="E3631"/>
      <c r="F3631"/>
      <c r="G3631"/>
      <c r="H3631"/>
      <c r="I3631"/>
      <c r="J3631"/>
    </row>
    <row r="3632" spans="1:10" s="2" customFormat="1">
      <c r="A3632" s="1"/>
      <c r="E3632"/>
      <c r="F3632"/>
      <c r="G3632"/>
      <c r="H3632"/>
      <c r="I3632"/>
      <c r="J3632"/>
    </row>
    <row r="3633" spans="1:10" s="2" customFormat="1">
      <c r="A3633" s="1"/>
      <c r="E3633"/>
      <c r="F3633"/>
      <c r="G3633"/>
      <c r="H3633"/>
      <c r="I3633"/>
      <c r="J3633"/>
    </row>
    <row r="3634" spans="1:10" s="2" customFormat="1">
      <c r="A3634" s="1"/>
      <c r="E3634"/>
      <c r="F3634"/>
      <c r="G3634"/>
      <c r="H3634"/>
      <c r="I3634"/>
      <c r="J3634"/>
    </row>
    <row r="3635" spans="1:10" s="2" customFormat="1">
      <c r="A3635" s="1"/>
      <c r="E3635"/>
      <c r="F3635"/>
      <c r="G3635"/>
      <c r="H3635"/>
      <c r="I3635"/>
      <c r="J3635"/>
    </row>
    <row r="3636" spans="1:10" s="2" customFormat="1">
      <c r="A3636" s="1"/>
      <c r="E3636"/>
      <c r="F3636"/>
      <c r="G3636"/>
      <c r="H3636"/>
      <c r="I3636"/>
      <c r="J3636"/>
    </row>
    <row r="3637" spans="1:10" s="2" customFormat="1">
      <c r="A3637" s="1"/>
      <c r="E3637"/>
      <c r="F3637"/>
      <c r="G3637"/>
      <c r="H3637"/>
      <c r="I3637"/>
      <c r="J3637"/>
    </row>
    <row r="3638" spans="1:10" s="2" customFormat="1">
      <c r="A3638" s="1"/>
      <c r="E3638"/>
      <c r="F3638"/>
      <c r="G3638"/>
      <c r="H3638"/>
      <c r="I3638"/>
      <c r="J3638"/>
    </row>
    <row r="3639" spans="1:10" s="2" customFormat="1">
      <c r="A3639" s="1"/>
      <c r="E3639"/>
      <c r="F3639"/>
      <c r="G3639"/>
      <c r="H3639"/>
      <c r="I3639"/>
      <c r="J3639"/>
    </row>
    <row r="3640" spans="1:10" s="2" customFormat="1">
      <c r="A3640" s="1"/>
      <c r="E3640"/>
      <c r="F3640"/>
      <c r="G3640"/>
      <c r="H3640"/>
      <c r="I3640"/>
      <c r="J3640"/>
    </row>
    <row r="3641" spans="1:10" s="2" customFormat="1">
      <c r="A3641" s="1"/>
      <c r="E3641"/>
      <c r="F3641"/>
      <c r="G3641"/>
      <c r="H3641"/>
      <c r="I3641"/>
      <c r="J3641"/>
    </row>
    <row r="3642" spans="1:10" s="2" customFormat="1">
      <c r="A3642" s="1"/>
      <c r="E3642"/>
      <c r="F3642"/>
      <c r="G3642"/>
      <c r="H3642"/>
      <c r="I3642"/>
      <c r="J3642"/>
    </row>
    <row r="3643" spans="1:10" s="2" customFormat="1">
      <c r="A3643" s="1"/>
      <c r="E3643"/>
      <c r="F3643"/>
      <c r="G3643"/>
      <c r="H3643"/>
      <c r="I3643"/>
      <c r="J3643"/>
    </row>
    <row r="3644" spans="1:10" s="2" customFormat="1">
      <c r="A3644" s="1"/>
      <c r="E3644"/>
      <c r="F3644"/>
      <c r="G3644"/>
      <c r="H3644"/>
      <c r="I3644"/>
      <c r="J3644"/>
    </row>
    <row r="3645" spans="1:10" s="2" customFormat="1">
      <c r="A3645" s="1"/>
      <c r="E3645"/>
      <c r="F3645"/>
      <c r="G3645"/>
      <c r="H3645"/>
      <c r="I3645"/>
      <c r="J3645"/>
    </row>
    <row r="3646" spans="1:10" s="2" customFormat="1">
      <c r="A3646" s="1"/>
      <c r="E3646"/>
      <c r="F3646"/>
      <c r="G3646"/>
      <c r="H3646"/>
      <c r="I3646"/>
      <c r="J3646"/>
    </row>
    <row r="3647" spans="1:10" s="2" customFormat="1">
      <c r="A3647" s="1"/>
      <c r="E3647"/>
      <c r="F3647"/>
      <c r="G3647"/>
      <c r="H3647"/>
      <c r="I3647"/>
      <c r="J3647"/>
    </row>
    <row r="3648" spans="1:10" s="2" customFormat="1">
      <c r="A3648" s="1"/>
      <c r="E3648"/>
      <c r="F3648"/>
      <c r="G3648"/>
      <c r="H3648"/>
      <c r="I3648"/>
      <c r="J3648"/>
    </row>
    <row r="3649" spans="1:10" s="2" customFormat="1">
      <c r="A3649" s="1"/>
      <c r="E3649"/>
      <c r="F3649"/>
      <c r="G3649"/>
      <c r="H3649"/>
      <c r="I3649"/>
      <c r="J3649"/>
    </row>
    <row r="3650" spans="1:10" s="2" customFormat="1">
      <c r="A3650" s="1"/>
      <c r="E3650"/>
      <c r="F3650"/>
      <c r="G3650"/>
      <c r="H3650"/>
      <c r="I3650"/>
      <c r="J3650"/>
    </row>
    <row r="3651" spans="1:10" s="2" customFormat="1">
      <c r="A3651" s="1"/>
      <c r="E3651"/>
      <c r="F3651"/>
      <c r="G3651"/>
      <c r="H3651"/>
      <c r="I3651"/>
      <c r="J3651"/>
    </row>
    <row r="3652" spans="1:10" s="2" customFormat="1">
      <c r="A3652" s="1"/>
      <c r="E3652"/>
      <c r="F3652"/>
      <c r="G3652"/>
      <c r="H3652"/>
      <c r="I3652"/>
      <c r="J3652"/>
    </row>
    <row r="3653" spans="1:10" s="2" customFormat="1">
      <c r="A3653" s="1"/>
      <c r="E3653"/>
      <c r="F3653"/>
      <c r="G3653"/>
      <c r="H3653"/>
      <c r="I3653"/>
      <c r="J3653"/>
    </row>
    <row r="3654" spans="1:10" s="2" customFormat="1">
      <c r="A3654" s="1"/>
      <c r="E3654"/>
      <c r="F3654"/>
      <c r="G3654"/>
      <c r="H3654"/>
      <c r="I3654"/>
      <c r="J3654"/>
    </row>
    <row r="3655" spans="1:10" s="2" customFormat="1">
      <c r="A3655" s="1"/>
      <c r="E3655"/>
      <c r="F3655"/>
      <c r="G3655"/>
      <c r="H3655"/>
      <c r="I3655"/>
      <c r="J3655"/>
    </row>
    <row r="3656" spans="1:10" s="2" customFormat="1">
      <c r="A3656" s="1"/>
      <c r="E3656"/>
      <c r="F3656"/>
      <c r="G3656"/>
      <c r="H3656"/>
      <c r="I3656"/>
      <c r="J3656"/>
    </row>
    <row r="3657" spans="1:10" s="2" customFormat="1">
      <c r="A3657" s="1"/>
      <c r="E3657"/>
      <c r="F3657"/>
      <c r="G3657"/>
      <c r="H3657"/>
      <c r="I3657"/>
      <c r="J3657"/>
    </row>
    <row r="3658" spans="1:10" s="2" customFormat="1">
      <c r="A3658" s="1"/>
      <c r="E3658"/>
      <c r="F3658"/>
      <c r="G3658"/>
      <c r="H3658"/>
      <c r="I3658"/>
      <c r="J3658"/>
    </row>
    <row r="3659" spans="1:10" s="2" customFormat="1">
      <c r="A3659" s="1"/>
      <c r="E3659"/>
      <c r="F3659"/>
      <c r="G3659"/>
      <c r="H3659"/>
      <c r="I3659"/>
      <c r="J3659"/>
    </row>
    <row r="3660" spans="1:10" s="2" customFormat="1">
      <c r="A3660" s="1"/>
      <c r="E3660"/>
      <c r="F3660"/>
      <c r="G3660"/>
      <c r="H3660"/>
      <c r="I3660"/>
      <c r="J3660"/>
    </row>
    <row r="3661" spans="1:10" s="2" customFormat="1">
      <c r="A3661" s="1"/>
      <c r="E3661"/>
      <c r="F3661"/>
      <c r="G3661"/>
      <c r="H3661"/>
      <c r="I3661"/>
      <c r="J3661"/>
    </row>
    <row r="3662" spans="1:10" s="2" customFormat="1">
      <c r="A3662" s="1"/>
      <c r="E3662"/>
      <c r="F3662"/>
      <c r="G3662"/>
      <c r="H3662"/>
      <c r="I3662"/>
      <c r="J3662"/>
    </row>
    <row r="3663" spans="1:10" s="2" customFormat="1">
      <c r="A3663" s="1"/>
      <c r="E3663"/>
      <c r="F3663"/>
      <c r="G3663"/>
      <c r="H3663"/>
      <c r="I3663"/>
      <c r="J3663"/>
    </row>
    <row r="3664" spans="1:10" s="2" customFormat="1">
      <c r="A3664" s="1"/>
      <c r="E3664"/>
      <c r="F3664"/>
      <c r="G3664"/>
      <c r="H3664"/>
      <c r="I3664"/>
      <c r="J3664"/>
    </row>
    <row r="3665" spans="1:10" s="2" customFormat="1">
      <c r="A3665" s="1"/>
      <c r="E3665"/>
      <c r="F3665"/>
      <c r="G3665"/>
      <c r="H3665"/>
      <c r="I3665"/>
      <c r="J3665"/>
    </row>
    <row r="3666" spans="1:10" s="2" customFormat="1">
      <c r="A3666" s="1"/>
      <c r="E3666"/>
      <c r="F3666"/>
      <c r="G3666"/>
      <c r="H3666"/>
      <c r="I3666"/>
      <c r="J3666"/>
    </row>
    <row r="3667" spans="1:10" s="2" customFormat="1">
      <c r="A3667" s="1"/>
      <c r="E3667"/>
      <c r="F3667"/>
      <c r="G3667"/>
      <c r="H3667"/>
      <c r="I3667"/>
      <c r="J3667"/>
    </row>
    <row r="3668" spans="1:10" s="2" customFormat="1">
      <c r="A3668" s="1"/>
      <c r="E3668"/>
      <c r="F3668"/>
      <c r="G3668"/>
      <c r="H3668"/>
      <c r="I3668"/>
      <c r="J3668"/>
    </row>
    <row r="3669" spans="1:10" s="2" customFormat="1">
      <c r="A3669" s="1"/>
      <c r="E3669"/>
      <c r="F3669"/>
      <c r="G3669"/>
      <c r="H3669"/>
      <c r="I3669"/>
      <c r="J3669"/>
    </row>
    <row r="3670" spans="1:10" s="2" customFormat="1">
      <c r="A3670" s="1"/>
      <c r="E3670"/>
      <c r="F3670"/>
      <c r="G3670"/>
      <c r="H3670"/>
      <c r="I3670"/>
      <c r="J3670"/>
    </row>
    <row r="3671" spans="1:10" s="2" customFormat="1">
      <c r="A3671" s="1"/>
      <c r="E3671"/>
      <c r="F3671"/>
      <c r="G3671"/>
      <c r="H3671"/>
      <c r="I3671"/>
      <c r="J3671"/>
    </row>
    <row r="3672" spans="1:10" s="2" customFormat="1">
      <c r="A3672" s="1"/>
      <c r="E3672"/>
      <c r="F3672"/>
      <c r="G3672"/>
      <c r="H3672"/>
      <c r="I3672"/>
      <c r="J3672"/>
    </row>
    <row r="3673" spans="1:10" s="2" customFormat="1">
      <c r="A3673" s="1"/>
      <c r="E3673"/>
      <c r="F3673"/>
      <c r="G3673"/>
      <c r="H3673"/>
      <c r="I3673"/>
      <c r="J3673"/>
    </row>
    <row r="3674" spans="1:10" s="2" customFormat="1">
      <c r="A3674" s="1"/>
      <c r="E3674"/>
      <c r="F3674"/>
      <c r="G3674"/>
      <c r="H3674"/>
      <c r="I3674"/>
      <c r="J3674"/>
    </row>
    <row r="3675" spans="1:10" s="2" customFormat="1">
      <c r="A3675" s="1"/>
      <c r="E3675"/>
      <c r="F3675"/>
      <c r="G3675"/>
      <c r="H3675"/>
      <c r="I3675"/>
      <c r="J3675"/>
    </row>
    <row r="3676" spans="1:10" s="2" customFormat="1">
      <c r="A3676" s="1"/>
      <c r="E3676"/>
      <c r="F3676"/>
      <c r="G3676"/>
      <c r="H3676"/>
      <c r="I3676"/>
      <c r="J3676"/>
    </row>
    <row r="3677" spans="1:10" s="2" customFormat="1">
      <c r="A3677" s="1"/>
      <c r="E3677"/>
      <c r="F3677"/>
      <c r="G3677"/>
      <c r="H3677"/>
      <c r="I3677"/>
      <c r="J3677"/>
    </row>
    <row r="3678" spans="1:10" s="2" customFormat="1">
      <c r="A3678" s="1"/>
      <c r="E3678"/>
      <c r="F3678"/>
      <c r="G3678"/>
      <c r="H3678"/>
      <c r="I3678"/>
      <c r="J3678"/>
    </row>
    <row r="3679" spans="1:10" s="2" customFormat="1">
      <c r="A3679" s="1"/>
      <c r="E3679"/>
      <c r="F3679"/>
      <c r="G3679"/>
      <c r="H3679"/>
      <c r="I3679"/>
      <c r="J3679"/>
    </row>
    <row r="3680" spans="1:10" s="2" customFormat="1">
      <c r="A3680" s="1"/>
      <c r="E3680"/>
      <c r="F3680"/>
      <c r="G3680"/>
      <c r="H3680"/>
      <c r="I3680"/>
      <c r="J3680"/>
    </row>
    <row r="3681" spans="1:10" s="2" customFormat="1">
      <c r="A3681" s="1"/>
      <c r="E3681"/>
      <c r="F3681"/>
      <c r="G3681"/>
      <c r="H3681"/>
      <c r="I3681"/>
      <c r="J3681"/>
    </row>
    <row r="3682" spans="1:10" s="2" customFormat="1">
      <c r="A3682" s="1"/>
      <c r="E3682"/>
      <c r="F3682"/>
      <c r="G3682"/>
      <c r="H3682"/>
      <c r="I3682"/>
      <c r="J3682"/>
    </row>
    <row r="3683" spans="1:10" s="2" customFormat="1">
      <c r="A3683" s="1"/>
      <c r="E3683"/>
      <c r="F3683"/>
      <c r="G3683"/>
      <c r="H3683"/>
      <c r="I3683"/>
      <c r="J3683"/>
    </row>
    <row r="3684" spans="1:10" s="2" customFormat="1">
      <c r="A3684" s="1"/>
      <c r="E3684"/>
      <c r="F3684"/>
      <c r="G3684"/>
      <c r="H3684"/>
      <c r="I3684"/>
      <c r="J3684"/>
    </row>
    <row r="3685" spans="1:10" s="2" customFormat="1">
      <c r="A3685" s="1"/>
      <c r="E3685"/>
      <c r="F3685"/>
      <c r="G3685"/>
      <c r="H3685"/>
      <c r="I3685"/>
      <c r="J3685"/>
    </row>
    <row r="3686" spans="1:10" s="2" customFormat="1">
      <c r="A3686" s="1"/>
      <c r="E3686"/>
      <c r="F3686"/>
      <c r="G3686"/>
      <c r="H3686"/>
      <c r="I3686"/>
      <c r="J3686"/>
    </row>
    <row r="3687" spans="1:10" s="2" customFormat="1">
      <c r="A3687" s="1"/>
      <c r="E3687"/>
      <c r="F3687"/>
      <c r="G3687"/>
      <c r="H3687"/>
      <c r="I3687"/>
      <c r="J3687"/>
    </row>
    <row r="3688" spans="1:10" s="2" customFormat="1">
      <c r="A3688" s="1"/>
      <c r="E3688"/>
      <c r="F3688"/>
      <c r="G3688"/>
      <c r="H3688"/>
      <c r="I3688"/>
      <c r="J3688"/>
    </row>
    <row r="3689" spans="1:10" s="2" customFormat="1">
      <c r="A3689" s="1"/>
      <c r="E3689"/>
      <c r="F3689"/>
      <c r="G3689"/>
      <c r="H3689"/>
      <c r="I3689"/>
      <c r="J3689"/>
    </row>
    <row r="3690" spans="1:10" s="2" customFormat="1">
      <c r="A3690" s="1"/>
      <c r="E3690"/>
      <c r="F3690"/>
      <c r="G3690"/>
      <c r="H3690"/>
      <c r="I3690"/>
      <c r="J3690"/>
    </row>
    <row r="3691" spans="1:10" s="2" customFormat="1">
      <c r="A3691" s="1"/>
      <c r="E3691"/>
      <c r="F3691"/>
      <c r="G3691"/>
      <c r="H3691"/>
      <c r="I3691"/>
      <c r="J3691"/>
    </row>
    <row r="3692" spans="1:10" s="2" customFormat="1">
      <c r="A3692" s="1"/>
      <c r="E3692"/>
      <c r="F3692"/>
      <c r="G3692"/>
      <c r="H3692"/>
      <c r="I3692"/>
      <c r="J3692"/>
    </row>
    <row r="3693" spans="1:10" s="2" customFormat="1">
      <c r="A3693" s="1"/>
      <c r="E3693"/>
      <c r="F3693"/>
      <c r="G3693"/>
      <c r="H3693"/>
      <c r="I3693"/>
      <c r="J3693"/>
    </row>
    <row r="3694" spans="1:10" s="2" customFormat="1">
      <c r="A3694" s="1"/>
      <c r="E3694"/>
      <c r="F3694"/>
      <c r="G3694"/>
      <c r="H3694"/>
      <c r="I3694"/>
      <c r="J3694"/>
    </row>
    <row r="3695" spans="1:10" s="2" customFormat="1">
      <c r="A3695" s="1"/>
      <c r="E3695"/>
      <c r="F3695"/>
      <c r="G3695"/>
      <c r="H3695"/>
      <c r="I3695"/>
      <c r="J3695"/>
    </row>
    <row r="3696" spans="1:10" s="2" customFormat="1">
      <c r="A3696" s="1"/>
      <c r="E3696"/>
      <c r="F3696"/>
      <c r="G3696"/>
      <c r="H3696"/>
      <c r="I3696"/>
      <c r="J3696"/>
    </row>
    <row r="3697" spans="1:10" s="2" customFormat="1">
      <c r="A3697" s="1"/>
      <c r="E3697"/>
      <c r="F3697"/>
      <c r="G3697"/>
      <c r="H3697"/>
      <c r="I3697"/>
      <c r="J3697"/>
    </row>
    <row r="3698" spans="1:10" s="2" customFormat="1">
      <c r="A3698" s="1"/>
      <c r="E3698"/>
      <c r="F3698"/>
      <c r="G3698"/>
      <c r="H3698"/>
      <c r="I3698"/>
      <c r="J3698"/>
    </row>
    <row r="3699" spans="1:10" s="2" customFormat="1">
      <c r="A3699" s="1"/>
      <c r="E3699"/>
      <c r="F3699"/>
      <c r="G3699"/>
      <c r="H3699"/>
      <c r="I3699"/>
      <c r="J3699"/>
    </row>
    <row r="3700" spans="1:10" s="2" customFormat="1">
      <c r="A3700" s="1"/>
      <c r="E3700"/>
      <c r="F3700"/>
      <c r="G3700"/>
      <c r="H3700"/>
      <c r="I3700"/>
      <c r="J3700"/>
    </row>
    <row r="3701" spans="1:10" s="2" customFormat="1">
      <c r="A3701" s="1"/>
      <c r="E3701"/>
      <c r="F3701"/>
      <c r="G3701"/>
      <c r="H3701"/>
      <c r="I3701"/>
      <c r="J3701"/>
    </row>
    <row r="3702" spans="1:10" s="2" customFormat="1">
      <c r="A3702" s="1"/>
      <c r="E3702"/>
      <c r="F3702"/>
      <c r="G3702"/>
      <c r="H3702"/>
      <c r="I3702"/>
      <c r="J3702"/>
    </row>
    <row r="3703" spans="1:10" s="2" customFormat="1">
      <c r="A3703" s="1"/>
      <c r="E3703"/>
      <c r="F3703"/>
      <c r="G3703"/>
      <c r="H3703"/>
      <c r="I3703"/>
      <c r="J3703"/>
    </row>
    <row r="3704" spans="1:10" s="2" customFormat="1">
      <c r="A3704" s="1"/>
      <c r="E3704"/>
      <c r="F3704"/>
      <c r="G3704"/>
      <c r="H3704"/>
      <c r="I3704"/>
      <c r="J3704"/>
    </row>
    <row r="3705" spans="1:10" s="2" customFormat="1">
      <c r="A3705" s="1"/>
      <c r="E3705"/>
      <c r="F3705"/>
      <c r="G3705"/>
      <c r="H3705"/>
      <c r="I3705"/>
      <c r="J3705"/>
    </row>
    <row r="3706" spans="1:10" s="2" customFormat="1">
      <c r="A3706" s="1"/>
      <c r="E3706"/>
      <c r="F3706"/>
      <c r="G3706"/>
      <c r="H3706"/>
      <c r="I3706"/>
      <c r="J3706"/>
    </row>
    <row r="3707" spans="1:10" s="2" customFormat="1">
      <c r="A3707" s="1"/>
      <c r="E3707"/>
      <c r="F3707"/>
      <c r="G3707"/>
      <c r="H3707"/>
      <c r="I3707"/>
      <c r="J3707"/>
    </row>
    <row r="3708" spans="1:10" s="2" customFormat="1">
      <c r="A3708" s="1"/>
      <c r="E3708"/>
      <c r="F3708"/>
      <c r="G3708"/>
      <c r="H3708"/>
      <c r="I3708"/>
      <c r="J3708"/>
    </row>
    <row r="3709" spans="1:10" s="2" customFormat="1">
      <c r="A3709" s="1"/>
      <c r="E3709"/>
      <c r="F3709"/>
      <c r="G3709"/>
      <c r="H3709"/>
      <c r="I3709"/>
      <c r="J3709"/>
    </row>
    <row r="3710" spans="1:10" s="2" customFormat="1">
      <c r="A3710" s="1"/>
      <c r="E3710"/>
      <c r="F3710"/>
      <c r="G3710"/>
      <c r="H3710"/>
      <c r="I3710"/>
      <c r="J3710"/>
    </row>
    <row r="3711" spans="1:10" s="2" customFormat="1">
      <c r="A3711" s="1"/>
      <c r="E3711"/>
      <c r="F3711"/>
      <c r="G3711"/>
      <c r="H3711"/>
      <c r="I3711"/>
      <c r="J3711"/>
    </row>
    <row r="3712" spans="1:10" s="2" customFormat="1">
      <c r="A3712" s="1"/>
      <c r="E3712"/>
      <c r="F3712"/>
      <c r="G3712"/>
      <c r="H3712"/>
      <c r="I3712"/>
      <c r="J3712"/>
    </row>
    <row r="3713" spans="1:10" s="2" customFormat="1">
      <c r="A3713" s="1"/>
      <c r="E3713"/>
      <c r="F3713"/>
      <c r="G3713"/>
      <c r="H3713"/>
      <c r="I3713"/>
      <c r="J3713"/>
    </row>
    <row r="3714" spans="1:10" s="2" customFormat="1">
      <c r="A3714" s="1"/>
      <c r="E3714"/>
      <c r="F3714"/>
      <c r="G3714"/>
      <c r="H3714"/>
      <c r="I3714"/>
      <c r="J3714"/>
    </row>
    <row r="3715" spans="1:10" s="2" customFormat="1">
      <c r="A3715" s="1"/>
      <c r="E3715"/>
      <c r="F3715"/>
      <c r="G3715"/>
      <c r="H3715"/>
      <c r="I3715"/>
      <c r="J3715"/>
    </row>
    <row r="3716" spans="1:10" s="2" customFormat="1">
      <c r="A3716" s="1"/>
      <c r="E3716"/>
      <c r="F3716"/>
      <c r="G3716"/>
      <c r="H3716"/>
      <c r="I3716"/>
      <c r="J3716"/>
    </row>
    <row r="3717" spans="1:10" s="2" customFormat="1">
      <c r="A3717" s="1"/>
      <c r="E3717"/>
      <c r="F3717"/>
      <c r="G3717"/>
      <c r="H3717"/>
      <c r="I3717"/>
      <c r="J3717"/>
    </row>
    <row r="3718" spans="1:10" s="2" customFormat="1">
      <c r="A3718" s="1"/>
      <c r="E3718"/>
      <c r="F3718"/>
      <c r="G3718"/>
      <c r="H3718"/>
      <c r="I3718"/>
      <c r="J3718"/>
    </row>
    <row r="3719" spans="1:10" s="2" customFormat="1">
      <c r="A3719" s="1"/>
      <c r="E3719"/>
      <c r="F3719"/>
      <c r="G3719"/>
      <c r="H3719"/>
      <c r="I3719"/>
      <c r="J3719"/>
    </row>
    <row r="3720" spans="1:10" s="2" customFormat="1">
      <c r="A3720" s="1"/>
      <c r="E3720"/>
      <c r="F3720"/>
      <c r="G3720"/>
      <c r="H3720"/>
      <c r="I3720"/>
      <c r="J3720"/>
    </row>
    <row r="3721" spans="1:10" s="2" customFormat="1">
      <c r="A3721" s="1"/>
      <c r="E3721"/>
      <c r="F3721"/>
      <c r="G3721"/>
      <c r="H3721"/>
      <c r="I3721"/>
      <c r="J3721"/>
    </row>
    <row r="3722" spans="1:10" s="2" customFormat="1">
      <c r="A3722" s="1"/>
      <c r="E3722"/>
      <c r="F3722"/>
      <c r="G3722"/>
      <c r="H3722"/>
      <c r="I3722"/>
      <c r="J3722"/>
    </row>
    <row r="3723" spans="1:10" s="2" customFormat="1">
      <c r="A3723" s="1"/>
      <c r="E3723"/>
      <c r="F3723"/>
      <c r="G3723"/>
      <c r="H3723"/>
      <c r="I3723"/>
      <c r="J3723"/>
    </row>
    <row r="3724" spans="1:10" s="2" customFormat="1">
      <c r="A3724" s="1"/>
      <c r="E3724"/>
      <c r="F3724"/>
      <c r="G3724"/>
      <c r="H3724"/>
      <c r="I3724"/>
      <c r="J3724"/>
    </row>
    <row r="3725" spans="1:10" s="2" customFormat="1">
      <c r="A3725" s="1"/>
      <c r="E3725"/>
      <c r="F3725"/>
      <c r="G3725"/>
      <c r="H3725"/>
      <c r="I3725"/>
      <c r="J3725"/>
    </row>
    <row r="3726" spans="1:10" s="2" customFormat="1">
      <c r="A3726" s="1"/>
      <c r="E3726"/>
      <c r="F3726"/>
      <c r="G3726"/>
      <c r="H3726"/>
      <c r="I3726"/>
      <c r="J3726"/>
    </row>
    <row r="3727" spans="1:10" s="2" customFormat="1">
      <c r="A3727" s="1"/>
      <c r="E3727"/>
      <c r="F3727"/>
      <c r="G3727"/>
      <c r="H3727"/>
      <c r="I3727"/>
      <c r="J3727"/>
    </row>
    <row r="3728" spans="1:10" s="2" customFormat="1">
      <c r="A3728" s="1"/>
      <c r="E3728"/>
      <c r="F3728"/>
      <c r="G3728"/>
      <c r="H3728"/>
      <c r="I3728"/>
      <c r="J3728"/>
    </row>
    <row r="3729" spans="1:10" s="2" customFormat="1">
      <c r="A3729" s="1"/>
      <c r="E3729"/>
      <c r="F3729"/>
      <c r="G3729"/>
      <c r="H3729"/>
      <c r="I3729"/>
      <c r="J3729"/>
    </row>
    <row r="3730" spans="1:10" s="2" customFormat="1">
      <c r="A3730" s="1"/>
      <c r="E3730"/>
      <c r="F3730"/>
      <c r="G3730"/>
      <c r="H3730"/>
      <c r="I3730"/>
      <c r="J3730"/>
    </row>
    <row r="3731" spans="1:10" s="2" customFormat="1">
      <c r="A3731" s="1"/>
      <c r="E3731"/>
      <c r="F3731"/>
      <c r="G3731"/>
      <c r="H3731"/>
      <c r="I3731"/>
      <c r="J3731"/>
    </row>
    <row r="3732" spans="1:10" s="2" customFormat="1">
      <c r="A3732" s="1"/>
      <c r="E3732"/>
      <c r="F3732"/>
      <c r="G3732"/>
      <c r="H3732"/>
      <c r="I3732"/>
      <c r="J3732"/>
    </row>
    <row r="3733" spans="1:10" s="2" customFormat="1">
      <c r="A3733" s="1"/>
      <c r="E3733"/>
      <c r="F3733"/>
      <c r="G3733"/>
      <c r="H3733"/>
      <c r="I3733"/>
      <c r="J3733"/>
    </row>
    <row r="3734" spans="1:10" s="2" customFormat="1">
      <c r="A3734" s="1"/>
      <c r="E3734"/>
      <c r="F3734"/>
      <c r="G3734"/>
      <c r="H3734"/>
      <c r="I3734"/>
      <c r="J3734"/>
    </row>
    <row r="3735" spans="1:10" s="2" customFormat="1">
      <c r="A3735" s="1"/>
      <c r="E3735"/>
      <c r="F3735"/>
      <c r="G3735"/>
      <c r="H3735"/>
      <c r="I3735"/>
      <c r="J3735"/>
    </row>
    <row r="3736" spans="1:10" s="2" customFormat="1">
      <c r="A3736" s="1"/>
      <c r="E3736"/>
      <c r="F3736"/>
      <c r="G3736"/>
      <c r="H3736"/>
      <c r="I3736"/>
      <c r="J3736"/>
    </row>
    <row r="3737" spans="1:10" s="2" customFormat="1">
      <c r="A3737" s="1"/>
      <c r="E3737"/>
      <c r="F3737"/>
      <c r="G3737"/>
      <c r="H3737"/>
      <c r="I3737"/>
      <c r="J3737"/>
    </row>
    <row r="3738" spans="1:10" s="2" customFormat="1">
      <c r="A3738" s="1"/>
      <c r="E3738"/>
      <c r="F3738"/>
      <c r="G3738"/>
      <c r="H3738"/>
      <c r="I3738"/>
      <c r="J3738"/>
    </row>
    <row r="3739" spans="1:10" s="2" customFormat="1">
      <c r="A3739" s="1"/>
      <c r="E3739"/>
      <c r="F3739"/>
      <c r="G3739"/>
      <c r="H3739"/>
      <c r="I3739"/>
      <c r="J3739"/>
    </row>
    <row r="3740" spans="1:10" s="2" customFormat="1">
      <c r="A3740" s="1"/>
      <c r="E3740"/>
      <c r="F3740"/>
      <c r="G3740"/>
      <c r="H3740"/>
      <c r="I3740"/>
      <c r="J3740"/>
    </row>
    <row r="3741" spans="1:10" s="2" customFormat="1">
      <c r="A3741" s="1"/>
      <c r="E3741"/>
      <c r="F3741"/>
      <c r="G3741"/>
      <c r="H3741"/>
      <c r="I3741"/>
      <c r="J3741"/>
    </row>
    <row r="3742" spans="1:10" s="2" customFormat="1">
      <c r="A3742" s="1"/>
      <c r="E3742"/>
      <c r="F3742"/>
      <c r="G3742"/>
      <c r="H3742"/>
      <c r="I3742"/>
      <c r="J3742"/>
    </row>
    <row r="3743" spans="1:10" s="2" customFormat="1">
      <c r="A3743" s="1"/>
      <c r="E3743"/>
      <c r="F3743"/>
      <c r="G3743"/>
      <c r="H3743"/>
      <c r="I3743"/>
      <c r="J3743"/>
    </row>
    <row r="3744" spans="1:10" s="2" customFormat="1">
      <c r="A3744" s="1"/>
      <c r="E3744"/>
      <c r="F3744"/>
      <c r="G3744"/>
      <c r="H3744"/>
      <c r="I3744"/>
      <c r="J3744"/>
    </row>
    <row r="3745" spans="1:10" s="2" customFormat="1">
      <c r="A3745" s="1"/>
      <c r="E3745"/>
      <c r="F3745"/>
      <c r="G3745"/>
      <c r="H3745"/>
      <c r="I3745"/>
      <c r="J3745"/>
    </row>
    <row r="3746" spans="1:10" s="2" customFormat="1">
      <c r="A3746" s="1"/>
      <c r="E3746"/>
      <c r="F3746"/>
      <c r="G3746"/>
      <c r="H3746"/>
      <c r="I3746"/>
      <c r="J3746"/>
    </row>
    <row r="3747" spans="1:10" s="2" customFormat="1">
      <c r="A3747" s="1"/>
      <c r="E3747"/>
      <c r="F3747"/>
      <c r="G3747"/>
      <c r="H3747"/>
      <c r="I3747"/>
      <c r="J3747"/>
    </row>
    <row r="3748" spans="1:10" s="2" customFormat="1">
      <c r="A3748" s="1"/>
      <c r="E3748"/>
      <c r="F3748"/>
      <c r="G3748"/>
      <c r="H3748"/>
      <c r="I3748"/>
      <c r="J3748"/>
    </row>
    <row r="3749" spans="1:10" s="2" customFormat="1">
      <c r="A3749" s="1"/>
      <c r="E3749"/>
      <c r="F3749"/>
      <c r="G3749"/>
      <c r="H3749"/>
      <c r="I3749"/>
      <c r="J3749"/>
    </row>
    <row r="3750" spans="1:10" s="2" customFormat="1">
      <c r="A3750" s="1"/>
      <c r="E3750"/>
      <c r="F3750"/>
      <c r="G3750"/>
      <c r="H3750"/>
      <c r="I3750"/>
      <c r="J3750"/>
    </row>
    <row r="3751" spans="1:10" s="2" customFormat="1">
      <c r="A3751" s="1"/>
      <c r="E3751"/>
      <c r="F3751"/>
      <c r="G3751"/>
      <c r="H3751"/>
      <c r="I3751"/>
      <c r="J3751"/>
    </row>
    <row r="3752" spans="1:10" s="2" customFormat="1">
      <c r="A3752" s="1"/>
      <c r="E3752"/>
      <c r="F3752"/>
      <c r="G3752"/>
      <c r="H3752"/>
      <c r="I3752"/>
      <c r="J3752"/>
    </row>
    <row r="3753" spans="1:10" s="2" customFormat="1">
      <c r="A3753" s="1"/>
      <c r="E3753"/>
      <c r="F3753"/>
      <c r="G3753"/>
      <c r="H3753"/>
      <c r="I3753"/>
      <c r="J3753"/>
    </row>
    <row r="3754" spans="1:10" s="2" customFormat="1">
      <c r="A3754" s="1"/>
      <c r="E3754"/>
      <c r="F3754"/>
      <c r="G3754"/>
      <c r="H3754"/>
      <c r="I3754"/>
      <c r="J3754"/>
    </row>
    <row r="3755" spans="1:10" s="2" customFormat="1">
      <c r="A3755" s="1"/>
      <c r="E3755"/>
      <c r="F3755"/>
      <c r="G3755"/>
      <c r="H3755"/>
      <c r="I3755"/>
      <c r="J3755"/>
    </row>
    <row r="3756" spans="1:10" s="2" customFormat="1">
      <c r="A3756" s="1"/>
      <c r="E3756"/>
      <c r="F3756"/>
      <c r="G3756"/>
      <c r="H3756"/>
      <c r="I3756"/>
      <c r="J3756"/>
    </row>
    <row r="3757" spans="1:10" s="2" customFormat="1">
      <c r="A3757" s="1"/>
      <c r="E3757"/>
      <c r="F3757"/>
      <c r="G3757"/>
      <c r="H3757"/>
      <c r="I3757"/>
      <c r="J3757"/>
    </row>
    <row r="3758" spans="1:10" s="2" customFormat="1">
      <c r="A3758" s="1"/>
      <c r="E3758"/>
      <c r="F3758"/>
      <c r="G3758"/>
      <c r="H3758"/>
      <c r="I3758"/>
      <c r="J3758"/>
    </row>
    <row r="3759" spans="1:10" s="2" customFormat="1">
      <c r="A3759" s="1"/>
      <c r="E3759"/>
      <c r="F3759"/>
      <c r="G3759"/>
      <c r="H3759"/>
      <c r="I3759"/>
      <c r="J3759"/>
    </row>
    <row r="3760" spans="1:10" s="2" customFormat="1">
      <c r="A3760" s="1"/>
      <c r="E3760"/>
      <c r="F3760"/>
      <c r="G3760"/>
      <c r="H3760"/>
      <c r="I3760"/>
      <c r="J3760"/>
    </row>
    <row r="3761" spans="1:10" s="2" customFormat="1">
      <c r="A3761" s="1"/>
      <c r="E3761"/>
      <c r="F3761"/>
      <c r="G3761"/>
      <c r="H3761"/>
      <c r="I3761"/>
      <c r="J3761"/>
    </row>
    <row r="3762" spans="1:10" s="2" customFormat="1">
      <c r="A3762" s="1"/>
      <c r="E3762"/>
      <c r="F3762"/>
      <c r="G3762"/>
      <c r="H3762"/>
      <c r="I3762"/>
      <c r="J3762"/>
    </row>
    <row r="3763" spans="1:10" s="2" customFormat="1">
      <c r="A3763" s="1"/>
      <c r="E3763"/>
      <c r="F3763"/>
      <c r="G3763"/>
      <c r="H3763"/>
      <c r="I3763"/>
      <c r="J3763"/>
    </row>
    <row r="3764" spans="1:10" s="2" customFormat="1">
      <c r="A3764" s="1"/>
      <c r="E3764"/>
      <c r="F3764"/>
      <c r="G3764"/>
      <c r="H3764"/>
      <c r="I3764"/>
      <c r="J3764"/>
    </row>
    <row r="3765" spans="1:10" s="2" customFormat="1">
      <c r="A3765" s="1"/>
      <c r="E3765"/>
      <c r="F3765"/>
      <c r="G3765"/>
      <c r="H3765"/>
      <c r="I3765"/>
      <c r="J3765"/>
    </row>
    <row r="3766" spans="1:10" s="2" customFormat="1">
      <c r="A3766" s="1"/>
      <c r="E3766"/>
      <c r="F3766"/>
      <c r="G3766"/>
      <c r="H3766"/>
      <c r="I3766"/>
      <c r="J3766"/>
    </row>
    <row r="3767" spans="1:10" s="2" customFormat="1">
      <c r="A3767" s="1"/>
      <c r="E3767"/>
      <c r="F3767"/>
      <c r="G3767"/>
      <c r="H3767"/>
      <c r="I3767"/>
      <c r="J3767"/>
    </row>
    <row r="3768" spans="1:10" s="2" customFormat="1">
      <c r="A3768" s="1"/>
      <c r="E3768"/>
      <c r="F3768"/>
      <c r="G3768"/>
      <c r="H3768"/>
      <c r="I3768"/>
      <c r="J3768"/>
    </row>
    <row r="3769" spans="1:10" s="2" customFormat="1">
      <c r="A3769" s="1"/>
      <c r="E3769"/>
      <c r="F3769"/>
      <c r="G3769"/>
      <c r="H3769"/>
      <c r="I3769"/>
      <c r="J3769"/>
    </row>
    <row r="3770" spans="1:10" s="2" customFormat="1">
      <c r="A3770" s="1"/>
      <c r="E3770"/>
      <c r="F3770"/>
      <c r="G3770"/>
      <c r="H3770"/>
      <c r="I3770"/>
      <c r="J3770"/>
    </row>
    <row r="3771" spans="1:10" s="2" customFormat="1">
      <c r="A3771" s="1"/>
      <c r="E3771"/>
      <c r="F3771"/>
      <c r="G3771"/>
      <c r="H3771"/>
      <c r="I3771"/>
      <c r="J3771"/>
    </row>
    <row r="3772" spans="1:10" s="2" customFormat="1">
      <c r="A3772" s="1"/>
      <c r="E3772"/>
      <c r="F3772"/>
      <c r="G3772"/>
      <c r="H3772"/>
      <c r="I3772"/>
      <c r="J3772"/>
    </row>
    <row r="3773" spans="1:10" s="2" customFormat="1">
      <c r="A3773" s="1"/>
      <c r="E3773"/>
      <c r="F3773"/>
      <c r="G3773"/>
      <c r="H3773"/>
      <c r="I3773"/>
      <c r="J3773"/>
    </row>
    <row r="3774" spans="1:10" s="2" customFormat="1">
      <c r="A3774" s="1"/>
      <c r="E3774"/>
      <c r="F3774"/>
      <c r="G3774"/>
      <c r="H3774"/>
      <c r="I3774"/>
      <c r="J3774"/>
    </row>
    <row r="3775" spans="1:10" s="2" customFormat="1">
      <c r="A3775" s="1"/>
      <c r="E3775"/>
      <c r="F3775"/>
      <c r="G3775"/>
      <c r="H3775"/>
      <c r="I3775"/>
      <c r="J3775"/>
    </row>
    <row r="3776" spans="1:10" s="2" customFormat="1">
      <c r="A3776" s="1"/>
      <c r="E3776"/>
      <c r="F3776"/>
      <c r="G3776"/>
      <c r="H3776"/>
      <c r="I3776"/>
      <c r="J3776"/>
    </row>
    <row r="3777" spans="1:10" s="2" customFormat="1">
      <c r="A3777" s="1"/>
      <c r="E3777"/>
      <c r="F3777"/>
      <c r="G3777"/>
      <c r="H3777"/>
      <c r="I3777"/>
      <c r="J3777"/>
    </row>
    <row r="3778" spans="1:10" s="2" customFormat="1">
      <c r="A3778" s="1"/>
      <c r="E3778"/>
      <c r="F3778"/>
      <c r="G3778"/>
      <c r="H3778"/>
      <c r="I3778"/>
      <c r="J3778"/>
    </row>
    <row r="3779" spans="1:10" s="2" customFormat="1">
      <c r="A3779" s="1"/>
      <c r="E3779"/>
      <c r="F3779"/>
      <c r="G3779"/>
      <c r="H3779"/>
      <c r="I3779"/>
      <c r="J3779"/>
    </row>
    <row r="3780" spans="1:10" s="2" customFormat="1">
      <c r="A3780" s="1"/>
      <c r="E3780"/>
      <c r="F3780"/>
      <c r="G3780"/>
      <c r="H3780"/>
      <c r="I3780"/>
      <c r="J3780"/>
    </row>
    <row r="3781" spans="1:10" s="2" customFormat="1">
      <c r="A3781" s="1"/>
      <c r="E3781"/>
      <c r="F3781"/>
      <c r="G3781"/>
      <c r="H3781"/>
      <c r="I3781"/>
      <c r="J3781"/>
    </row>
    <row r="3782" spans="1:10" s="2" customFormat="1">
      <c r="A3782" s="1"/>
      <c r="E3782"/>
      <c r="F3782"/>
      <c r="G3782"/>
      <c r="H3782"/>
      <c r="I3782"/>
      <c r="J3782"/>
    </row>
    <row r="3783" spans="1:10" s="2" customFormat="1">
      <c r="A3783" s="1"/>
      <c r="E3783"/>
      <c r="F3783"/>
      <c r="G3783"/>
      <c r="H3783"/>
      <c r="I3783"/>
      <c r="J3783"/>
    </row>
    <row r="3784" spans="1:10" s="2" customFormat="1">
      <c r="A3784" s="1"/>
      <c r="E3784"/>
      <c r="F3784"/>
      <c r="G3784"/>
      <c r="H3784"/>
      <c r="I3784"/>
      <c r="J3784"/>
    </row>
    <row r="3785" spans="1:10" s="2" customFormat="1">
      <c r="A3785" s="1"/>
      <c r="E3785"/>
      <c r="F3785"/>
      <c r="G3785"/>
      <c r="H3785"/>
      <c r="I3785"/>
      <c r="J3785"/>
    </row>
    <row r="3786" spans="1:10" s="2" customFormat="1">
      <c r="A3786" s="1"/>
      <c r="E3786"/>
      <c r="F3786"/>
      <c r="G3786"/>
      <c r="H3786"/>
      <c r="I3786"/>
      <c r="J3786"/>
    </row>
    <row r="3787" spans="1:10" s="2" customFormat="1">
      <c r="A3787" s="1"/>
      <c r="E3787"/>
      <c r="F3787"/>
      <c r="G3787"/>
      <c r="H3787"/>
      <c r="I3787"/>
      <c r="J3787"/>
    </row>
    <row r="3788" spans="1:10" s="2" customFormat="1">
      <c r="A3788" s="1"/>
      <c r="E3788"/>
      <c r="F3788"/>
      <c r="G3788"/>
      <c r="H3788"/>
      <c r="I3788"/>
      <c r="J3788"/>
    </row>
    <row r="3789" spans="1:10" s="2" customFormat="1">
      <c r="A3789" s="1"/>
      <c r="E3789"/>
      <c r="F3789"/>
      <c r="G3789"/>
      <c r="H3789"/>
      <c r="I3789"/>
      <c r="J3789"/>
    </row>
    <row r="3790" spans="1:10" s="2" customFormat="1">
      <c r="A3790" s="1"/>
      <c r="E3790"/>
      <c r="F3790"/>
      <c r="G3790"/>
      <c r="H3790"/>
      <c r="I3790"/>
      <c r="J3790"/>
    </row>
    <row r="3791" spans="1:10" s="2" customFormat="1">
      <c r="A3791" s="1"/>
      <c r="E3791"/>
      <c r="F3791"/>
      <c r="G3791"/>
      <c r="H3791"/>
      <c r="I3791"/>
      <c r="J3791"/>
    </row>
    <row r="3792" spans="1:10" s="2" customFormat="1">
      <c r="A3792" s="1"/>
      <c r="E3792"/>
      <c r="F3792"/>
      <c r="G3792"/>
      <c r="H3792"/>
      <c r="I3792"/>
      <c r="J3792"/>
    </row>
    <row r="3793" spans="1:10" s="2" customFormat="1">
      <c r="A3793" s="1"/>
      <c r="E3793"/>
      <c r="F3793"/>
      <c r="G3793"/>
      <c r="H3793"/>
      <c r="I3793"/>
      <c r="J3793"/>
    </row>
    <row r="3794" spans="1:10" s="2" customFormat="1">
      <c r="A3794" s="1"/>
      <c r="E3794"/>
      <c r="F3794"/>
      <c r="G3794"/>
      <c r="H3794"/>
      <c r="I3794"/>
      <c r="J3794"/>
    </row>
    <row r="3795" spans="1:10" s="2" customFormat="1">
      <c r="A3795" s="1"/>
      <c r="E3795"/>
      <c r="F3795"/>
      <c r="G3795"/>
      <c r="H3795"/>
      <c r="I3795"/>
      <c r="J3795"/>
    </row>
    <row r="3796" spans="1:10" s="2" customFormat="1">
      <c r="A3796" s="1"/>
      <c r="E3796"/>
      <c r="F3796"/>
      <c r="G3796"/>
      <c r="H3796"/>
      <c r="I3796"/>
      <c r="J3796"/>
    </row>
    <row r="3797" spans="1:10" s="2" customFormat="1">
      <c r="A3797" s="1"/>
      <c r="E3797"/>
      <c r="F3797"/>
      <c r="G3797"/>
      <c r="H3797"/>
      <c r="I3797"/>
      <c r="J3797"/>
    </row>
    <row r="3798" spans="1:10" s="2" customFormat="1">
      <c r="A3798" s="1"/>
      <c r="E3798"/>
      <c r="F3798"/>
      <c r="G3798"/>
      <c r="H3798"/>
      <c r="I3798"/>
      <c r="J3798"/>
    </row>
    <row r="3799" spans="1:10" s="2" customFormat="1">
      <c r="A3799" s="1"/>
      <c r="E3799"/>
      <c r="F3799"/>
      <c r="G3799"/>
      <c r="H3799"/>
      <c r="I3799"/>
      <c r="J3799"/>
    </row>
    <row r="3800" spans="1:10" s="2" customFormat="1">
      <c r="A3800" s="1"/>
      <c r="E3800"/>
      <c r="F3800"/>
      <c r="G3800"/>
      <c r="H3800"/>
      <c r="I3800"/>
      <c r="J3800"/>
    </row>
    <row r="3801" spans="1:10" s="2" customFormat="1">
      <c r="A3801" s="1"/>
      <c r="E3801"/>
      <c r="F3801"/>
      <c r="G3801"/>
      <c r="H3801"/>
      <c r="I3801"/>
      <c r="J3801"/>
    </row>
    <row r="3802" spans="1:10" s="2" customFormat="1">
      <c r="A3802" s="1"/>
      <c r="E3802"/>
      <c r="F3802"/>
      <c r="G3802"/>
      <c r="H3802"/>
      <c r="I3802"/>
      <c r="J3802"/>
    </row>
    <row r="3803" spans="1:10" s="2" customFormat="1">
      <c r="A3803" s="1"/>
      <c r="E3803"/>
      <c r="F3803"/>
      <c r="G3803"/>
      <c r="H3803"/>
      <c r="I3803"/>
      <c r="J3803"/>
    </row>
    <row r="3804" spans="1:10" s="2" customFormat="1">
      <c r="A3804" s="1"/>
      <c r="E3804"/>
      <c r="F3804"/>
      <c r="G3804"/>
      <c r="H3804"/>
      <c r="I3804"/>
      <c r="J3804"/>
    </row>
    <row r="3805" spans="1:10" s="2" customFormat="1">
      <c r="A3805" s="1"/>
      <c r="E3805"/>
      <c r="F3805"/>
      <c r="G3805"/>
      <c r="H3805"/>
      <c r="I3805"/>
      <c r="J3805"/>
    </row>
    <row r="3806" spans="1:10" s="2" customFormat="1">
      <c r="A3806" s="1"/>
      <c r="E3806"/>
      <c r="F3806"/>
      <c r="G3806"/>
      <c r="H3806"/>
      <c r="I3806"/>
      <c r="J3806"/>
    </row>
    <row r="3807" spans="1:10" s="2" customFormat="1">
      <c r="A3807" s="1"/>
      <c r="E3807"/>
      <c r="F3807"/>
      <c r="G3807"/>
      <c r="H3807"/>
      <c r="I3807"/>
      <c r="J3807"/>
    </row>
    <row r="3808" spans="1:10" s="2" customFormat="1">
      <c r="A3808" s="1"/>
      <c r="E3808"/>
      <c r="F3808"/>
      <c r="G3808"/>
      <c r="H3808"/>
      <c r="I3808"/>
      <c r="J3808"/>
    </row>
    <row r="3809" spans="1:10" s="2" customFormat="1">
      <c r="A3809" s="1"/>
      <c r="E3809"/>
      <c r="F3809"/>
      <c r="G3809"/>
      <c r="H3809"/>
      <c r="I3809"/>
      <c r="J3809"/>
    </row>
    <row r="3810" spans="1:10" s="2" customFormat="1">
      <c r="A3810" s="1"/>
      <c r="E3810"/>
      <c r="F3810"/>
      <c r="G3810"/>
      <c r="H3810"/>
      <c r="I3810"/>
      <c r="J3810"/>
    </row>
    <row r="3811" spans="1:10" s="2" customFormat="1">
      <c r="A3811" s="1"/>
      <c r="E3811"/>
      <c r="F3811"/>
      <c r="G3811"/>
      <c r="H3811"/>
      <c r="I3811"/>
      <c r="J3811"/>
    </row>
    <row r="3812" spans="1:10" s="2" customFormat="1">
      <c r="A3812" s="1"/>
      <c r="E3812"/>
      <c r="F3812"/>
      <c r="G3812"/>
      <c r="H3812"/>
      <c r="I3812"/>
      <c r="J3812"/>
    </row>
    <row r="3813" spans="1:10" s="2" customFormat="1">
      <c r="A3813" s="1"/>
      <c r="E3813"/>
      <c r="F3813"/>
      <c r="G3813"/>
      <c r="H3813"/>
      <c r="I3813"/>
      <c r="J3813"/>
    </row>
    <row r="3814" spans="1:10" s="2" customFormat="1">
      <c r="A3814" s="1"/>
      <c r="E3814"/>
      <c r="F3814"/>
      <c r="G3814"/>
      <c r="H3814"/>
      <c r="I3814"/>
      <c r="J3814"/>
    </row>
    <row r="3815" spans="1:10" s="2" customFormat="1">
      <c r="A3815" s="1"/>
      <c r="E3815"/>
      <c r="F3815"/>
      <c r="G3815"/>
      <c r="H3815"/>
      <c r="I3815"/>
      <c r="J3815"/>
    </row>
    <row r="3816" spans="1:10" s="2" customFormat="1">
      <c r="A3816" s="1"/>
      <c r="E3816"/>
      <c r="F3816"/>
      <c r="G3816"/>
      <c r="H3816"/>
      <c r="I3816"/>
      <c r="J3816"/>
    </row>
    <row r="3817" spans="1:10" s="2" customFormat="1">
      <c r="A3817" s="1"/>
      <c r="E3817"/>
      <c r="F3817"/>
      <c r="G3817"/>
      <c r="H3817"/>
      <c r="I3817"/>
      <c r="J3817"/>
    </row>
    <row r="3818" spans="1:10" s="2" customFormat="1">
      <c r="A3818" s="1"/>
      <c r="E3818"/>
      <c r="F3818"/>
      <c r="G3818"/>
      <c r="H3818"/>
      <c r="I3818"/>
      <c r="J3818"/>
    </row>
    <row r="3819" spans="1:10" s="2" customFormat="1">
      <c r="A3819" s="1"/>
      <c r="E3819"/>
      <c r="F3819"/>
      <c r="G3819"/>
      <c r="H3819"/>
      <c r="I3819"/>
      <c r="J3819"/>
    </row>
    <row r="3820" spans="1:10" s="2" customFormat="1">
      <c r="A3820" s="1"/>
      <c r="E3820"/>
      <c r="F3820"/>
      <c r="G3820"/>
      <c r="H3820"/>
      <c r="I3820"/>
      <c r="J3820"/>
    </row>
    <row r="3821" spans="1:10" s="2" customFormat="1">
      <c r="A3821" s="1"/>
      <c r="E3821"/>
      <c r="F3821"/>
      <c r="G3821"/>
      <c r="H3821"/>
      <c r="I3821"/>
      <c r="J3821"/>
    </row>
    <row r="3822" spans="1:10" s="2" customFormat="1">
      <c r="A3822" s="1"/>
      <c r="E3822"/>
      <c r="F3822"/>
      <c r="G3822"/>
      <c r="H3822"/>
      <c r="I3822"/>
      <c r="J3822"/>
    </row>
    <row r="3823" spans="1:10" s="2" customFormat="1">
      <c r="A3823" s="1"/>
      <c r="E3823"/>
      <c r="F3823"/>
      <c r="G3823"/>
      <c r="H3823"/>
      <c r="I3823"/>
      <c r="J3823"/>
    </row>
    <row r="3824" spans="1:10" s="2" customFormat="1">
      <c r="A3824" s="1"/>
      <c r="E3824"/>
      <c r="F3824"/>
      <c r="G3824"/>
      <c r="H3824"/>
      <c r="I3824"/>
      <c r="J3824"/>
    </row>
    <row r="3825" spans="1:10" s="2" customFormat="1">
      <c r="A3825" s="1"/>
      <c r="E3825"/>
      <c r="F3825"/>
      <c r="G3825"/>
      <c r="H3825"/>
      <c r="I3825"/>
      <c r="J3825"/>
    </row>
    <row r="3826" spans="1:10" s="2" customFormat="1">
      <c r="A3826" s="1"/>
      <c r="E3826"/>
      <c r="F3826"/>
      <c r="G3826"/>
      <c r="H3826"/>
      <c r="I3826"/>
      <c r="J3826"/>
    </row>
    <row r="3827" spans="1:10" s="2" customFormat="1">
      <c r="A3827" s="1"/>
      <c r="E3827"/>
      <c r="F3827"/>
      <c r="G3827"/>
      <c r="H3827"/>
      <c r="I3827"/>
      <c r="J3827"/>
    </row>
    <row r="3828" spans="1:10" s="2" customFormat="1">
      <c r="A3828" s="1"/>
      <c r="E3828"/>
      <c r="F3828"/>
      <c r="G3828"/>
      <c r="H3828"/>
      <c r="I3828"/>
      <c r="J3828"/>
    </row>
    <row r="3829" spans="1:10" s="2" customFormat="1">
      <c r="A3829" s="1"/>
      <c r="E3829"/>
      <c r="F3829"/>
      <c r="G3829"/>
      <c r="H3829"/>
      <c r="I3829"/>
      <c r="J3829"/>
    </row>
    <row r="3830" spans="1:10" s="2" customFormat="1">
      <c r="A3830" s="1"/>
      <c r="E3830"/>
      <c r="F3830"/>
      <c r="G3830"/>
      <c r="H3830"/>
      <c r="I3830"/>
      <c r="J3830"/>
    </row>
    <row r="3831" spans="1:10" s="2" customFormat="1">
      <c r="A3831" s="1"/>
      <c r="E3831"/>
      <c r="F3831"/>
      <c r="G3831"/>
      <c r="H3831"/>
      <c r="I3831"/>
      <c r="J3831"/>
    </row>
    <row r="3832" spans="1:10" s="2" customFormat="1">
      <c r="A3832" s="1"/>
      <c r="E3832"/>
      <c r="F3832"/>
      <c r="G3832"/>
      <c r="H3832"/>
      <c r="I3832"/>
      <c r="J3832"/>
    </row>
    <row r="3833" spans="1:10" s="2" customFormat="1">
      <c r="A3833" s="1"/>
      <c r="E3833"/>
      <c r="F3833"/>
      <c r="G3833"/>
      <c r="H3833"/>
      <c r="I3833"/>
      <c r="J3833"/>
    </row>
    <row r="3834" spans="1:10" s="2" customFormat="1">
      <c r="A3834" s="1"/>
      <c r="E3834"/>
      <c r="F3834"/>
      <c r="G3834"/>
      <c r="H3834"/>
      <c r="I3834"/>
      <c r="J3834"/>
    </row>
    <row r="3835" spans="1:10" s="2" customFormat="1">
      <c r="A3835" s="1"/>
      <c r="E3835"/>
      <c r="F3835"/>
      <c r="G3835"/>
      <c r="H3835"/>
      <c r="I3835"/>
      <c r="J3835"/>
    </row>
    <row r="3836" spans="1:10" s="2" customFormat="1">
      <c r="A3836" s="1"/>
      <c r="E3836"/>
      <c r="F3836"/>
      <c r="G3836"/>
      <c r="H3836"/>
      <c r="I3836"/>
      <c r="J3836"/>
    </row>
    <row r="3837" spans="1:10" s="2" customFormat="1">
      <c r="A3837" s="1"/>
      <c r="E3837"/>
      <c r="F3837"/>
      <c r="G3837"/>
      <c r="H3837"/>
      <c r="I3837"/>
      <c r="J3837"/>
    </row>
    <row r="3838" spans="1:10" s="2" customFormat="1">
      <c r="A3838" s="1"/>
      <c r="E3838"/>
      <c r="F3838"/>
      <c r="G3838"/>
      <c r="H3838"/>
      <c r="I3838"/>
      <c r="J3838"/>
    </row>
    <row r="3839" spans="1:10" s="2" customFormat="1">
      <c r="A3839" s="1"/>
      <c r="E3839"/>
      <c r="F3839"/>
      <c r="G3839"/>
      <c r="H3839"/>
      <c r="I3839"/>
      <c r="J3839"/>
    </row>
    <row r="3840" spans="1:10" s="2" customFormat="1">
      <c r="A3840" s="1"/>
      <c r="E3840"/>
      <c r="F3840"/>
      <c r="G3840"/>
      <c r="H3840"/>
      <c r="I3840"/>
      <c r="J3840"/>
    </row>
    <row r="3841" spans="1:10" s="2" customFormat="1">
      <c r="A3841" s="1"/>
      <c r="E3841"/>
      <c r="F3841"/>
      <c r="G3841"/>
      <c r="H3841"/>
      <c r="I3841"/>
      <c r="J3841"/>
    </row>
    <row r="3842" spans="1:10" s="2" customFormat="1">
      <c r="A3842" s="1"/>
      <c r="E3842"/>
      <c r="F3842"/>
      <c r="G3842"/>
      <c r="H3842"/>
      <c r="I3842"/>
      <c r="J3842"/>
    </row>
    <row r="3843" spans="1:10" s="2" customFormat="1">
      <c r="A3843" s="1"/>
      <c r="E3843"/>
      <c r="F3843"/>
      <c r="G3843"/>
      <c r="H3843"/>
      <c r="I3843"/>
      <c r="J3843"/>
    </row>
    <row r="3844" spans="1:10" s="2" customFormat="1">
      <c r="A3844" s="1"/>
      <c r="E3844"/>
      <c r="F3844"/>
      <c r="G3844"/>
      <c r="H3844"/>
      <c r="I3844"/>
      <c r="J3844"/>
    </row>
    <row r="3845" spans="1:10" s="2" customFormat="1">
      <c r="A3845" s="1"/>
      <c r="E3845"/>
      <c r="F3845"/>
      <c r="G3845"/>
      <c r="H3845"/>
      <c r="I3845"/>
      <c r="J3845"/>
    </row>
    <row r="3846" spans="1:10" s="2" customFormat="1">
      <c r="A3846" s="1"/>
      <c r="E3846"/>
      <c r="F3846"/>
      <c r="G3846"/>
      <c r="H3846"/>
      <c r="I3846"/>
      <c r="J3846"/>
    </row>
    <row r="3847" spans="1:10" s="2" customFormat="1">
      <c r="A3847" s="1"/>
      <c r="E3847"/>
      <c r="F3847"/>
      <c r="G3847"/>
      <c r="H3847"/>
      <c r="I3847"/>
      <c r="J3847"/>
    </row>
    <row r="3848" spans="1:10" s="2" customFormat="1">
      <c r="A3848" s="1"/>
      <c r="E3848"/>
      <c r="F3848"/>
      <c r="G3848"/>
      <c r="H3848"/>
      <c r="I3848"/>
      <c r="J3848"/>
    </row>
    <row r="3849" spans="1:10" s="2" customFormat="1">
      <c r="A3849" s="1"/>
      <c r="E3849"/>
      <c r="F3849"/>
      <c r="G3849"/>
      <c r="H3849"/>
      <c r="I3849"/>
      <c r="J3849"/>
    </row>
    <row r="3850" spans="1:10" s="2" customFormat="1">
      <c r="A3850" s="1"/>
      <c r="E3850"/>
      <c r="F3850"/>
      <c r="G3850"/>
      <c r="H3850"/>
      <c r="I3850"/>
      <c r="J3850"/>
    </row>
    <row r="3851" spans="1:10" s="2" customFormat="1">
      <c r="A3851" s="1"/>
      <c r="E3851"/>
      <c r="F3851"/>
      <c r="G3851"/>
      <c r="H3851"/>
      <c r="I3851"/>
      <c r="J3851"/>
    </row>
    <row r="3852" spans="1:10" s="2" customFormat="1">
      <c r="A3852" s="1"/>
      <c r="E3852"/>
      <c r="F3852"/>
      <c r="G3852"/>
      <c r="H3852"/>
      <c r="I3852"/>
      <c r="J3852"/>
    </row>
    <row r="3853" spans="1:10" s="2" customFormat="1">
      <c r="A3853" s="1"/>
      <c r="E3853"/>
      <c r="F3853"/>
      <c r="G3853"/>
      <c r="H3853"/>
      <c r="I3853"/>
      <c r="J3853"/>
    </row>
    <row r="3854" spans="1:10" s="2" customFormat="1">
      <c r="A3854" s="1"/>
      <c r="E3854"/>
      <c r="F3854"/>
      <c r="G3854"/>
      <c r="H3854"/>
      <c r="I3854"/>
      <c r="J3854"/>
    </row>
    <row r="3855" spans="1:10" s="2" customFormat="1">
      <c r="A3855" s="1"/>
      <c r="E3855"/>
      <c r="F3855"/>
      <c r="G3855"/>
      <c r="H3855"/>
      <c r="I3855"/>
      <c r="J3855"/>
    </row>
    <row r="3856" spans="1:10" s="2" customFormat="1">
      <c r="A3856" s="1"/>
      <c r="E3856"/>
      <c r="F3856"/>
      <c r="G3856"/>
      <c r="H3856"/>
      <c r="I3856"/>
      <c r="J3856"/>
    </row>
    <row r="3857" spans="1:10" s="2" customFormat="1">
      <c r="A3857" s="1"/>
      <c r="E3857"/>
      <c r="F3857"/>
      <c r="G3857"/>
      <c r="H3857"/>
      <c r="I3857"/>
      <c r="J3857"/>
    </row>
    <row r="3858" spans="1:10" s="2" customFormat="1">
      <c r="A3858" s="1"/>
      <c r="E3858"/>
      <c r="F3858"/>
      <c r="G3858"/>
      <c r="H3858"/>
      <c r="I3858"/>
      <c r="J3858"/>
    </row>
    <row r="3859" spans="1:10" s="2" customFormat="1">
      <c r="A3859" s="1"/>
      <c r="E3859"/>
      <c r="F3859"/>
      <c r="G3859"/>
      <c r="H3859"/>
      <c r="I3859"/>
      <c r="J3859"/>
    </row>
    <row r="3860" spans="1:10" s="2" customFormat="1">
      <c r="A3860" s="1"/>
      <c r="E3860"/>
      <c r="F3860"/>
      <c r="G3860"/>
      <c r="H3860"/>
      <c r="I3860"/>
      <c r="J3860"/>
    </row>
    <row r="3861" spans="1:10" s="2" customFormat="1">
      <c r="A3861" s="1"/>
      <c r="E3861"/>
      <c r="F3861"/>
      <c r="G3861"/>
      <c r="H3861"/>
      <c r="I3861"/>
      <c r="J3861"/>
    </row>
    <row r="3862" spans="1:10" s="2" customFormat="1">
      <c r="A3862" s="1"/>
      <c r="E3862"/>
      <c r="F3862"/>
      <c r="G3862"/>
      <c r="H3862"/>
      <c r="I3862"/>
      <c r="J3862"/>
    </row>
    <row r="3863" spans="1:10" s="2" customFormat="1">
      <c r="A3863" s="1"/>
      <c r="E3863"/>
      <c r="F3863"/>
      <c r="G3863"/>
      <c r="H3863"/>
      <c r="I3863"/>
      <c r="J3863"/>
    </row>
    <row r="3864" spans="1:10" s="2" customFormat="1">
      <c r="A3864" s="1"/>
      <c r="E3864"/>
      <c r="F3864"/>
      <c r="G3864"/>
      <c r="H3864"/>
      <c r="I3864"/>
      <c r="J3864"/>
    </row>
    <row r="3865" spans="1:10" s="2" customFormat="1">
      <c r="A3865" s="1"/>
      <c r="E3865"/>
      <c r="F3865"/>
      <c r="G3865"/>
      <c r="H3865"/>
      <c r="I3865"/>
      <c r="J3865"/>
    </row>
    <row r="3866" spans="1:10" s="2" customFormat="1">
      <c r="A3866" s="1"/>
      <c r="E3866"/>
      <c r="F3866"/>
      <c r="G3866"/>
      <c r="H3866"/>
      <c r="I3866"/>
      <c r="J3866"/>
    </row>
    <row r="3867" spans="1:10" s="2" customFormat="1">
      <c r="A3867" s="1"/>
      <c r="E3867"/>
      <c r="F3867"/>
      <c r="G3867"/>
      <c r="H3867"/>
      <c r="I3867"/>
      <c r="J3867"/>
    </row>
    <row r="3868" spans="1:10" s="2" customFormat="1">
      <c r="A3868" s="1"/>
      <c r="E3868"/>
      <c r="F3868"/>
      <c r="G3868"/>
      <c r="H3868"/>
      <c r="I3868"/>
      <c r="J3868"/>
    </row>
    <row r="3869" spans="1:10" s="2" customFormat="1">
      <c r="A3869" s="1"/>
      <c r="E3869"/>
      <c r="F3869"/>
      <c r="G3869"/>
      <c r="H3869"/>
      <c r="I3869"/>
      <c r="J3869"/>
    </row>
    <row r="3870" spans="1:10" s="2" customFormat="1">
      <c r="A3870" s="1"/>
      <c r="E3870"/>
      <c r="F3870"/>
      <c r="G3870"/>
      <c r="H3870"/>
      <c r="I3870"/>
      <c r="J3870"/>
    </row>
    <row r="3871" spans="1:10" s="2" customFormat="1">
      <c r="A3871" s="1"/>
      <c r="E3871"/>
      <c r="F3871"/>
      <c r="G3871"/>
      <c r="H3871"/>
      <c r="I3871"/>
      <c r="J3871"/>
    </row>
    <row r="3872" spans="1:10" s="2" customFormat="1">
      <c r="A3872" s="1"/>
      <c r="E3872"/>
      <c r="F3872"/>
      <c r="G3872"/>
      <c r="H3872"/>
      <c r="I3872"/>
      <c r="J3872"/>
    </row>
    <row r="3873" spans="1:10" s="2" customFormat="1">
      <c r="A3873" s="1"/>
      <c r="E3873"/>
      <c r="F3873"/>
      <c r="G3873"/>
      <c r="H3873"/>
      <c r="I3873"/>
      <c r="J3873"/>
    </row>
    <row r="3874" spans="1:10" s="2" customFormat="1">
      <c r="A3874" s="1"/>
      <c r="E3874"/>
      <c r="F3874"/>
      <c r="G3874"/>
      <c r="H3874"/>
      <c r="I3874"/>
      <c r="J3874"/>
    </row>
    <row r="3875" spans="1:10" s="2" customFormat="1">
      <c r="A3875" s="1"/>
      <c r="E3875"/>
      <c r="F3875"/>
      <c r="G3875"/>
      <c r="H3875"/>
      <c r="I3875"/>
      <c r="J3875"/>
    </row>
    <row r="3876" spans="1:10" s="2" customFormat="1">
      <c r="A3876" s="1"/>
      <c r="E3876"/>
      <c r="F3876"/>
      <c r="G3876"/>
      <c r="H3876"/>
      <c r="I3876"/>
      <c r="J3876"/>
    </row>
    <row r="3877" spans="1:10" s="2" customFormat="1">
      <c r="A3877" s="1"/>
      <c r="E3877"/>
      <c r="F3877"/>
      <c r="G3877"/>
      <c r="H3877"/>
      <c r="I3877"/>
      <c r="J3877"/>
    </row>
    <row r="3878" spans="1:10" s="2" customFormat="1">
      <c r="A3878" s="1"/>
      <c r="E3878"/>
      <c r="F3878"/>
      <c r="G3878"/>
      <c r="H3878"/>
      <c r="I3878"/>
      <c r="J3878"/>
    </row>
    <row r="3879" spans="1:10" s="2" customFormat="1">
      <c r="A3879" s="1"/>
      <c r="E3879"/>
      <c r="F3879"/>
      <c r="G3879"/>
      <c r="H3879"/>
      <c r="I3879"/>
      <c r="J3879"/>
    </row>
    <row r="3880" spans="1:10" s="2" customFormat="1">
      <c r="A3880" s="1"/>
      <c r="E3880"/>
      <c r="F3880"/>
      <c r="G3880"/>
      <c r="H3880"/>
      <c r="I3880"/>
      <c r="J3880"/>
    </row>
    <row r="3881" spans="1:10" s="2" customFormat="1">
      <c r="A3881" s="1"/>
      <c r="E3881"/>
      <c r="F3881"/>
      <c r="G3881"/>
      <c r="H3881"/>
      <c r="I3881"/>
      <c r="J3881"/>
    </row>
    <row r="3882" spans="1:10" s="2" customFormat="1">
      <c r="A3882" s="1"/>
      <c r="E3882"/>
      <c r="F3882"/>
      <c r="G3882"/>
      <c r="H3882"/>
      <c r="I3882"/>
      <c r="J3882"/>
    </row>
    <row r="3883" spans="1:10" s="2" customFormat="1">
      <c r="A3883" s="1"/>
      <c r="E3883"/>
      <c r="F3883"/>
      <c r="G3883"/>
      <c r="H3883"/>
      <c r="I3883"/>
      <c r="J3883"/>
    </row>
    <row r="3884" spans="1:10" s="2" customFormat="1">
      <c r="A3884" s="1"/>
      <c r="E3884"/>
      <c r="F3884"/>
      <c r="G3884"/>
      <c r="H3884"/>
      <c r="I3884"/>
      <c r="J3884"/>
    </row>
    <row r="3885" spans="1:10" s="2" customFormat="1">
      <c r="A3885" s="1"/>
      <c r="E3885"/>
      <c r="F3885"/>
      <c r="G3885"/>
      <c r="H3885"/>
      <c r="I3885"/>
      <c r="J3885"/>
    </row>
    <row r="3886" spans="1:10" s="2" customFormat="1">
      <c r="A3886" s="1"/>
      <c r="E3886"/>
      <c r="F3886"/>
      <c r="G3886"/>
      <c r="H3886"/>
      <c r="I3886"/>
      <c r="J3886"/>
    </row>
    <row r="3887" spans="1:10" s="2" customFormat="1">
      <c r="A3887" s="1"/>
      <c r="E3887"/>
      <c r="F3887"/>
      <c r="G3887"/>
      <c r="H3887"/>
      <c r="I3887"/>
      <c r="J3887"/>
    </row>
    <row r="3888" spans="1:10" s="2" customFormat="1">
      <c r="A3888" s="1"/>
      <c r="E3888"/>
      <c r="F3888"/>
      <c r="G3888"/>
      <c r="H3888"/>
      <c r="I3888"/>
      <c r="J3888"/>
    </row>
    <row r="3889" spans="1:10" s="2" customFormat="1">
      <c r="A3889" s="1"/>
      <c r="E3889"/>
      <c r="F3889"/>
      <c r="G3889"/>
      <c r="H3889"/>
      <c r="I3889"/>
      <c r="J3889"/>
    </row>
    <row r="3890" spans="1:10" s="2" customFormat="1">
      <c r="A3890" s="1"/>
      <c r="E3890"/>
      <c r="F3890"/>
      <c r="G3890"/>
      <c r="H3890"/>
      <c r="I3890"/>
      <c r="J3890"/>
    </row>
    <row r="3891" spans="1:10" s="2" customFormat="1">
      <c r="A3891" s="1"/>
      <c r="E3891"/>
      <c r="F3891"/>
      <c r="G3891"/>
      <c r="H3891"/>
      <c r="I3891"/>
      <c r="J3891"/>
    </row>
    <row r="3892" spans="1:10" s="2" customFormat="1">
      <c r="A3892" s="1"/>
      <c r="E3892"/>
      <c r="F3892"/>
      <c r="G3892"/>
      <c r="H3892"/>
      <c r="I3892"/>
      <c r="J3892"/>
    </row>
    <row r="3893" spans="1:10" s="2" customFormat="1">
      <c r="A3893" s="1"/>
      <c r="E3893"/>
      <c r="F3893"/>
      <c r="G3893"/>
      <c r="H3893"/>
      <c r="I3893"/>
      <c r="J3893"/>
    </row>
    <row r="3894" spans="1:10" s="2" customFormat="1">
      <c r="A3894" s="1"/>
      <c r="E3894"/>
      <c r="F3894"/>
      <c r="G3894"/>
      <c r="H3894"/>
      <c r="I3894"/>
      <c r="J3894"/>
    </row>
    <row r="3895" spans="1:10" s="2" customFormat="1">
      <c r="A3895" s="1"/>
      <c r="E3895"/>
      <c r="F3895"/>
      <c r="G3895"/>
      <c r="H3895"/>
      <c r="I3895"/>
      <c r="J3895"/>
    </row>
    <row r="3896" spans="1:10" s="2" customFormat="1">
      <c r="A3896" s="1"/>
      <c r="E3896"/>
      <c r="F3896"/>
      <c r="G3896"/>
      <c r="H3896"/>
      <c r="I3896"/>
      <c r="J3896"/>
    </row>
    <row r="3897" spans="1:10" s="2" customFormat="1">
      <c r="A3897" s="1"/>
      <c r="E3897"/>
      <c r="F3897"/>
      <c r="G3897"/>
      <c r="H3897"/>
      <c r="I3897"/>
      <c r="J3897"/>
    </row>
    <row r="3898" spans="1:10" s="2" customFormat="1">
      <c r="A3898" s="1"/>
      <c r="E3898"/>
      <c r="F3898"/>
      <c r="G3898"/>
      <c r="H3898"/>
      <c r="I3898"/>
      <c r="J3898"/>
    </row>
    <row r="3899" spans="1:10" s="2" customFormat="1">
      <c r="A3899" s="1"/>
      <c r="E3899"/>
      <c r="F3899"/>
      <c r="G3899"/>
      <c r="H3899"/>
      <c r="I3899"/>
      <c r="J3899"/>
    </row>
    <row r="3900" spans="1:10" s="2" customFormat="1">
      <c r="A3900" s="1"/>
      <c r="E3900"/>
      <c r="F3900"/>
      <c r="G3900"/>
      <c r="H3900"/>
      <c r="I3900"/>
      <c r="J3900"/>
    </row>
    <row r="3901" spans="1:10" s="2" customFormat="1">
      <c r="A3901" s="1"/>
      <c r="E3901"/>
      <c r="F3901"/>
      <c r="G3901"/>
      <c r="H3901"/>
      <c r="I3901"/>
      <c r="J3901"/>
    </row>
    <row r="3902" spans="1:10" s="2" customFormat="1">
      <c r="A3902" s="1"/>
      <c r="E3902"/>
      <c r="F3902"/>
      <c r="G3902"/>
      <c r="H3902"/>
      <c r="I3902"/>
      <c r="J3902"/>
    </row>
    <row r="3903" spans="1:10" s="2" customFormat="1">
      <c r="A3903" s="1"/>
      <c r="E3903"/>
      <c r="F3903"/>
      <c r="G3903"/>
      <c r="H3903"/>
      <c r="I3903"/>
      <c r="J3903"/>
    </row>
    <row r="3904" spans="1:10" s="2" customFormat="1">
      <c r="A3904" s="1"/>
      <c r="E3904"/>
      <c r="F3904"/>
      <c r="G3904"/>
      <c r="H3904"/>
      <c r="I3904"/>
      <c r="J3904"/>
    </row>
    <row r="3905" spans="1:10" s="2" customFormat="1">
      <c r="A3905" s="1"/>
      <c r="E3905"/>
      <c r="F3905"/>
      <c r="G3905"/>
      <c r="H3905"/>
      <c r="I3905"/>
      <c r="J3905"/>
    </row>
    <row r="3906" spans="1:10" s="2" customFormat="1">
      <c r="A3906" s="1"/>
      <c r="E3906"/>
      <c r="F3906"/>
      <c r="G3906"/>
      <c r="H3906"/>
      <c r="I3906"/>
      <c r="J3906"/>
    </row>
    <row r="3907" spans="1:10" s="2" customFormat="1">
      <c r="A3907" s="1"/>
      <c r="E3907"/>
      <c r="F3907"/>
      <c r="G3907"/>
      <c r="H3907"/>
      <c r="I3907"/>
      <c r="J3907"/>
    </row>
    <row r="3908" spans="1:10" s="2" customFormat="1">
      <c r="A3908" s="1"/>
      <c r="E3908"/>
      <c r="F3908"/>
      <c r="G3908"/>
      <c r="H3908"/>
      <c r="I3908"/>
      <c r="J3908"/>
    </row>
    <row r="3909" spans="1:10" s="2" customFormat="1">
      <c r="A3909" s="1"/>
      <c r="E3909"/>
      <c r="F3909"/>
      <c r="G3909"/>
      <c r="H3909"/>
      <c r="I3909"/>
      <c r="J3909"/>
    </row>
    <row r="3910" spans="1:10" s="2" customFormat="1">
      <c r="A3910" s="1"/>
      <c r="E3910"/>
      <c r="F3910"/>
      <c r="G3910"/>
      <c r="H3910"/>
      <c r="I3910"/>
      <c r="J3910"/>
    </row>
    <row r="3911" spans="1:10" s="2" customFormat="1">
      <c r="A3911" s="1"/>
      <c r="E3911"/>
      <c r="F3911"/>
      <c r="G3911"/>
      <c r="H3911"/>
      <c r="I3911"/>
      <c r="J3911"/>
    </row>
    <row r="3912" spans="1:10" s="2" customFormat="1">
      <c r="A3912" s="1"/>
      <c r="E3912"/>
      <c r="F3912"/>
      <c r="G3912"/>
      <c r="H3912"/>
      <c r="I3912"/>
      <c r="J3912"/>
    </row>
    <row r="3913" spans="1:10" s="2" customFormat="1">
      <c r="A3913" s="1"/>
      <c r="E3913"/>
      <c r="F3913"/>
      <c r="G3913"/>
      <c r="H3913"/>
      <c r="I3913"/>
      <c r="J3913"/>
    </row>
    <row r="3914" spans="1:10" s="2" customFormat="1">
      <c r="A3914" s="1"/>
      <c r="E3914"/>
      <c r="F3914"/>
      <c r="G3914"/>
      <c r="H3914"/>
      <c r="I3914"/>
      <c r="J3914"/>
    </row>
    <row r="3915" spans="1:10" s="2" customFormat="1">
      <c r="A3915" s="1"/>
      <c r="E3915"/>
      <c r="F3915"/>
      <c r="G3915"/>
      <c r="H3915"/>
      <c r="I3915"/>
      <c r="J3915"/>
    </row>
    <row r="3916" spans="1:10" s="2" customFormat="1">
      <c r="A3916" s="1"/>
      <c r="E3916"/>
      <c r="F3916"/>
      <c r="G3916"/>
      <c r="H3916"/>
      <c r="I3916"/>
      <c r="J3916"/>
    </row>
    <row r="3917" spans="1:10" s="2" customFormat="1">
      <c r="A3917" s="1"/>
      <c r="E3917"/>
      <c r="F3917"/>
      <c r="G3917"/>
      <c r="H3917"/>
      <c r="I3917"/>
      <c r="J3917"/>
    </row>
    <row r="3918" spans="1:10" s="2" customFormat="1">
      <c r="A3918" s="1"/>
      <c r="E3918"/>
      <c r="F3918"/>
      <c r="G3918"/>
      <c r="H3918"/>
      <c r="I3918"/>
      <c r="J3918"/>
    </row>
    <row r="3919" spans="1:10" s="2" customFormat="1">
      <c r="A3919" s="1"/>
      <c r="E3919"/>
      <c r="F3919"/>
      <c r="G3919"/>
      <c r="H3919"/>
      <c r="I3919"/>
      <c r="J3919"/>
    </row>
    <row r="3920" spans="1:10" s="2" customFormat="1">
      <c r="A3920" s="1"/>
      <c r="E3920"/>
      <c r="F3920"/>
      <c r="G3920"/>
      <c r="H3920"/>
      <c r="I3920"/>
      <c r="J3920"/>
    </row>
    <row r="3921" spans="1:10" s="2" customFormat="1">
      <c r="A3921" s="1"/>
      <c r="E3921"/>
      <c r="F3921"/>
      <c r="G3921"/>
      <c r="H3921"/>
      <c r="I3921"/>
      <c r="J3921"/>
    </row>
    <row r="3922" spans="1:10" s="2" customFormat="1">
      <c r="A3922" s="1"/>
      <c r="E3922"/>
      <c r="F3922"/>
      <c r="G3922"/>
      <c r="H3922"/>
      <c r="I3922"/>
      <c r="J3922"/>
    </row>
    <row r="3923" spans="1:10" s="2" customFormat="1">
      <c r="A3923" s="1"/>
      <c r="E3923"/>
      <c r="F3923"/>
      <c r="G3923"/>
      <c r="H3923"/>
      <c r="I3923"/>
      <c r="J3923"/>
    </row>
    <row r="3924" spans="1:10" s="2" customFormat="1">
      <c r="A3924" s="1"/>
      <c r="E3924"/>
      <c r="F3924"/>
      <c r="G3924"/>
      <c r="H3924"/>
      <c r="I3924"/>
      <c r="J3924"/>
    </row>
    <row r="3925" spans="1:10" s="2" customFormat="1">
      <c r="A3925" s="1"/>
      <c r="E3925"/>
      <c r="F3925"/>
      <c r="G3925"/>
      <c r="H3925"/>
      <c r="I3925"/>
      <c r="J3925"/>
    </row>
    <row r="3926" spans="1:10" s="2" customFormat="1">
      <c r="A3926" s="1"/>
      <c r="E3926"/>
      <c r="F3926"/>
      <c r="G3926"/>
      <c r="H3926"/>
      <c r="I3926"/>
      <c r="J3926"/>
    </row>
    <row r="3927" spans="1:10" s="2" customFormat="1">
      <c r="A3927" s="1"/>
      <c r="E3927"/>
      <c r="F3927"/>
      <c r="G3927"/>
      <c r="H3927"/>
      <c r="I3927"/>
      <c r="J3927"/>
    </row>
    <row r="3928" spans="1:10" s="2" customFormat="1">
      <c r="A3928" s="1"/>
      <c r="E3928"/>
      <c r="F3928"/>
      <c r="G3928"/>
      <c r="H3928"/>
      <c r="I3928"/>
      <c r="J3928"/>
    </row>
    <row r="3929" spans="1:10" s="2" customFormat="1">
      <c r="A3929" s="1"/>
      <c r="E3929"/>
      <c r="F3929"/>
      <c r="G3929"/>
      <c r="H3929"/>
      <c r="I3929"/>
      <c r="J3929"/>
    </row>
    <row r="3930" spans="1:10" s="2" customFormat="1">
      <c r="A3930" s="1"/>
      <c r="E3930"/>
      <c r="F3930"/>
      <c r="G3930"/>
      <c r="H3930"/>
      <c r="I3930"/>
      <c r="J3930"/>
    </row>
    <row r="3931" spans="1:10" s="2" customFormat="1">
      <c r="A3931" s="1"/>
      <c r="E3931"/>
      <c r="F3931"/>
      <c r="G3931"/>
      <c r="H3931"/>
      <c r="I3931"/>
      <c r="J3931"/>
    </row>
    <row r="3932" spans="1:10" s="2" customFormat="1">
      <c r="A3932" s="1"/>
      <c r="E3932"/>
      <c r="F3932"/>
      <c r="G3932"/>
      <c r="H3932"/>
      <c r="I3932"/>
      <c r="J3932"/>
    </row>
    <row r="3933" spans="1:10" s="2" customFormat="1">
      <c r="A3933" s="1"/>
      <c r="E3933"/>
      <c r="F3933"/>
      <c r="G3933"/>
      <c r="H3933"/>
      <c r="I3933"/>
      <c r="J3933"/>
    </row>
    <row r="3934" spans="1:10" s="2" customFormat="1">
      <c r="A3934" s="1"/>
      <c r="E3934"/>
      <c r="F3934"/>
      <c r="G3934"/>
      <c r="H3934"/>
      <c r="I3934"/>
      <c r="J3934"/>
    </row>
    <row r="3935" spans="1:10" s="2" customFormat="1">
      <c r="A3935" s="1"/>
      <c r="E3935"/>
      <c r="F3935"/>
      <c r="G3935"/>
      <c r="H3935"/>
      <c r="I3935"/>
      <c r="J3935"/>
    </row>
    <row r="3936" spans="1:10" s="2" customFormat="1">
      <c r="A3936" s="1"/>
      <c r="E3936"/>
      <c r="F3936"/>
      <c r="G3936"/>
      <c r="H3936"/>
      <c r="I3936"/>
      <c r="J3936"/>
    </row>
    <row r="3937" spans="1:10" s="2" customFormat="1">
      <c r="A3937" s="1"/>
      <c r="E3937"/>
      <c r="F3937"/>
      <c r="G3937"/>
      <c r="H3937"/>
      <c r="I3937"/>
      <c r="J3937"/>
    </row>
    <row r="3938" spans="1:10" s="2" customFormat="1">
      <c r="A3938" s="1"/>
      <c r="E3938"/>
      <c r="F3938"/>
      <c r="G3938"/>
      <c r="H3938"/>
      <c r="I3938"/>
      <c r="J3938"/>
    </row>
    <row r="3939" spans="1:10" s="2" customFormat="1">
      <c r="A3939" s="1"/>
      <c r="E3939"/>
      <c r="F3939"/>
      <c r="G3939"/>
      <c r="H3939"/>
      <c r="I3939"/>
      <c r="J3939"/>
    </row>
    <row r="3940" spans="1:10" s="2" customFormat="1">
      <c r="A3940" s="1"/>
      <c r="E3940"/>
      <c r="F3940"/>
      <c r="G3940"/>
      <c r="H3940"/>
      <c r="I3940"/>
      <c r="J3940"/>
    </row>
    <row r="3941" spans="1:10" s="2" customFormat="1">
      <c r="A3941" s="1"/>
      <c r="E3941"/>
      <c r="F3941"/>
      <c r="G3941"/>
      <c r="H3941"/>
      <c r="I3941"/>
      <c r="J3941"/>
    </row>
    <row r="3942" spans="1:10" s="2" customFormat="1">
      <c r="A3942" s="1"/>
      <c r="E3942"/>
      <c r="F3942"/>
      <c r="G3942"/>
      <c r="H3942"/>
      <c r="I3942"/>
      <c r="J3942"/>
    </row>
    <row r="3943" spans="1:10" s="2" customFormat="1">
      <c r="A3943" s="1"/>
      <c r="E3943"/>
      <c r="F3943"/>
      <c r="G3943"/>
      <c r="H3943"/>
      <c r="I3943"/>
      <c r="J3943"/>
    </row>
    <row r="3944" spans="1:10" s="2" customFormat="1">
      <c r="A3944" s="1"/>
      <c r="E3944"/>
      <c r="F3944"/>
      <c r="G3944"/>
      <c r="H3944"/>
      <c r="I3944"/>
      <c r="J3944"/>
    </row>
    <row r="3945" spans="1:10" s="2" customFormat="1">
      <c r="A3945" s="1"/>
      <c r="E3945"/>
      <c r="F3945"/>
      <c r="G3945"/>
      <c r="H3945"/>
      <c r="I3945"/>
      <c r="J3945"/>
    </row>
    <row r="3946" spans="1:10" s="2" customFormat="1">
      <c r="A3946" s="1"/>
      <c r="E3946"/>
      <c r="F3946"/>
      <c r="G3946"/>
      <c r="H3946"/>
      <c r="I3946"/>
      <c r="J3946"/>
    </row>
    <row r="3947" spans="1:10" s="2" customFormat="1">
      <c r="A3947" s="1"/>
      <c r="E3947"/>
      <c r="F3947"/>
      <c r="G3947"/>
      <c r="H3947"/>
      <c r="I3947"/>
      <c r="J3947"/>
    </row>
    <row r="3948" spans="1:10" s="2" customFormat="1">
      <c r="A3948" s="1"/>
      <c r="E3948"/>
      <c r="F3948"/>
      <c r="G3948"/>
      <c r="H3948"/>
      <c r="I3948"/>
      <c r="J3948"/>
    </row>
    <row r="3949" spans="1:10" s="2" customFormat="1">
      <c r="A3949" s="1"/>
      <c r="E3949"/>
      <c r="F3949"/>
      <c r="G3949"/>
      <c r="H3949"/>
      <c r="I3949"/>
      <c r="J3949"/>
    </row>
    <row r="3950" spans="1:10" s="2" customFormat="1">
      <c r="A3950" s="1"/>
      <c r="E3950"/>
      <c r="F3950"/>
      <c r="G3950"/>
      <c r="H3950"/>
      <c r="I3950"/>
      <c r="J3950"/>
    </row>
    <row r="3951" spans="1:10" s="2" customFormat="1">
      <c r="A3951" s="1"/>
      <c r="E3951"/>
      <c r="F3951"/>
      <c r="G3951"/>
      <c r="H3951"/>
      <c r="I3951"/>
      <c r="J3951"/>
    </row>
    <row r="3952" spans="1:10" s="2" customFormat="1">
      <c r="A3952" s="1"/>
      <c r="E3952"/>
      <c r="F3952"/>
      <c r="G3952"/>
      <c r="H3952"/>
      <c r="I3952"/>
      <c r="J3952"/>
    </row>
    <row r="3953" spans="1:10" s="2" customFormat="1">
      <c r="A3953" s="1"/>
      <c r="E3953"/>
      <c r="F3953"/>
      <c r="G3953"/>
      <c r="H3953"/>
      <c r="I3953"/>
      <c r="J3953"/>
    </row>
    <row r="3954" spans="1:10" s="2" customFormat="1">
      <c r="A3954" s="1"/>
      <c r="E3954"/>
      <c r="F3954"/>
      <c r="G3954"/>
      <c r="H3954"/>
      <c r="I3954"/>
      <c r="J3954"/>
    </row>
    <row r="3955" spans="1:10" s="2" customFormat="1">
      <c r="A3955" s="1"/>
      <c r="E3955"/>
      <c r="F3955"/>
      <c r="G3955"/>
      <c r="H3955"/>
      <c r="I3955"/>
      <c r="J3955"/>
    </row>
    <row r="3956" spans="1:10" s="2" customFormat="1">
      <c r="A3956" s="1"/>
      <c r="E3956"/>
      <c r="F3956"/>
      <c r="G3956"/>
      <c r="H3956"/>
      <c r="I3956"/>
      <c r="J3956"/>
    </row>
    <row r="3957" spans="1:10" s="2" customFormat="1">
      <c r="A3957" s="1"/>
      <c r="E3957"/>
      <c r="F3957"/>
      <c r="G3957"/>
      <c r="H3957"/>
      <c r="I3957"/>
      <c r="J3957"/>
    </row>
    <row r="3958" spans="1:10" s="2" customFormat="1">
      <c r="A3958" s="1"/>
      <c r="E3958"/>
      <c r="F3958"/>
      <c r="G3958"/>
      <c r="H3958"/>
      <c r="I3958"/>
      <c r="J3958"/>
    </row>
    <row r="3959" spans="1:10" s="2" customFormat="1">
      <c r="A3959" s="1"/>
      <c r="E3959"/>
      <c r="F3959"/>
      <c r="G3959"/>
      <c r="H3959"/>
      <c r="I3959"/>
      <c r="J3959"/>
    </row>
    <row r="3960" spans="1:10" s="2" customFormat="1">
      <c r="A3960" s="1"/>
      <c r="E3960"/>
      <c r="F3960"/>
      <c r="G3960"/>
      <c r="H3960"/>
      <c r="I3960"/>
      <c r="J3960"/>
    </row>
    <row r="3961" spans="1:10" s="2" customFormat="1">
      <c r="A3961" s="1"/>
      <c r="E3961"/>
      <c r="F3961"/>
      <c r="G3961"/>
      <c r="H3961"/>
      <c r="I3961"/>
      <c r="J3961"/>
    </row>
    <row r="3962" spans="1:10" s="2" customFormat="1">
      <c r="A3962" s="1"/>
      <c r="E3962"/>
      <c r="F3962"/>
      <c r="G3962"/>
      <c r="H3962"/>
      <c r="I3962"/>
      <c r="J3962"/>
    </row>
    <row r="3963" spans="1:10" s="2" customFormat="1">
      <c r="A3963" s="1"/>
      <c r="E3963"/>
      <c r="F3963"/>
      <c r="G3963"/>
      <c r="H3963"/>
      <c r="I3963"/>
      <c r="J3963"/>
    </row>
    <row r="3964" spans="1:10" s="2" customFormat="1">
      <c r="A3964" s="1"/>
      <c r="E3964"/>
      <c r="F3964"/>
      <c r="G3964"/>
      <c r="H3964"/>
      <c r="I3964"/>
      <c r="J3964"/>
    </row>
    <row r="3965" spans="1:10" s="2" customFormat="1">
      <c r="A3965" s="1"/>
      <c r="E3965"/>
      <c r="F3965"/>
      <c r="G3965"/>
      <c r="H3965"/>
      <c r="I3965"/>
      <c r="J3965"/>
    </row>
    <row r="3966" spans="1:10" s="2" customFormat="1">
      <c r="A3966" s="1"/>
      <c r="E3966"/>
      <c r="F3966"/>
      <c r="G3966"/>
      <c r="H3966"/>
      <c r="I3966"/>
      <c r="J3966"/>
    </row>
    <row r="3967" spans="1:10" s="2" customFormat="1">
      <c r="A3967" s="1"/>
      <c r="E3967"/>
      <c r="F3967"/>
      <c r="G3967"/>
      <c r="H3967"/>
      <c r="I3967"/>
      <c r="J3967"/>
    </row>
    <row r="3968" spans="1:10" s="2" customFormat="1">
      <c r="A3968" s="1"/>
      <c r="E3968"/>
      <c r="F3968"/>
      <c r="G3968"/>
      <c r="H3968"/>
      <c r="I3968"/>
      <c r="J3968"/>
    </row>
    <row r="3969" spans="1:10" s="2" customFormat="1">
      <c r="A3969" s="1"/>
      <c r="E3969"/>
      <c r="F3969"/>
      <c r="G3969"/>
      <c r="H3969"/>
      <c r="I3969"/>
      <c r="J3969"/>
    </row>
    <row r="3970" spans="1:10" s="2" customFormat="1">
      <c r="A3970" s="1"/>
      <c r="E3970"/>
      <c r="F3970"/>
      <c r="G3970"/>
      <c r="H3970"/>
      <c r="I3970"/>
      <c r="J3970"/>
    </row>
    <row r="3971" spans="1:10" s="2" customFormat="1">
      <c r="A3971" s="1"/>
      <c r="E3971"/>
      <c r="F3971"/>
      <c r="G3971"/>
      <c r="H3971"/>
      <c r="I3971"/>
      <c r="J3971"/>
    </row>
    <row r="3972" spans="1:10" s="2" customFormat="1">
      <c r="A3972" s="1"/>
      <c r="E3972"/>
      <c r="F3972"/>
      <c r="G3972"/>
      <c r="H3972"/>
      <c r="I3972"/>
      <c r="J3972"/>
    </row>
    <row r="3973" spans="1:10" s="2" customFormat="1">
      <c r="A3973" s="1"/>
      <c r="E3973"/>
      <c r="F3973"/>
      <c r="G3973"/>
      <c r="H3973"/>
      <c r="I3973"/>
      <c r="J3973"/>
    </row>
    <row r="3974" spans="1:10" s="2" customFormat="1">
      <c r="A3974" s="1"/>
      <c r="E3974"/>
      <c r="F3974"/>
      <c r="G3974"/>
      <c r="H3974"/>
      <c r="I3974"/>
      <c r="J3974"/>
    </row>
    <row r="3975" spans="1:10" s="2" customFormat="1">
      <c r="A3975" s="1"/>
      <c r="E3975"/>
      <c r="F3975"/>
      <c r="G3975"/>
      <c r="H3975"/>
      <c r="I3975"/>
      <c r="J3975"/>
    </row>
    <row r="3976" spans="1:10" s="2" customFormat="1">
      <c r="A3976" s="1"/>
      <c r="E3976"/>
      <c r="F3976"/>
      <c r="G3976"/>
      <c r="H3976"/>
      <c r="I3976"/>
      <c r="J3976"/>
    </row>
    <row r="3977" spans="1:10" s="2" customFormat="1">
      <c r="A3977" s="1"/>
      <c r="E3977"/>
      <c r="F3977"/>
      <c r="G3977"/>
      <c r="H3977"/>
      <c r="I3977"/>
      <c r="J3977"/>
    </row>
    <row r="3978" spans="1:10" s="2" customFormat="1">
      <c r="A3978" s="1"/>
      <c r="E3978"/>
      <c r="F3978"/>
      <c r="G3978"/>
      <c r="H3978"/>
      <c r="I3978"/>
      <c r="J3978"/>
    </row>
    <row r="3979" spans="1:10" s="2" customFormat="1">
      <c r="A3979" s="1"/>
      <c r="E3979"/>
      <c r="F3979"/>
      <c r="G3979"/>
      <c r="H3979"/>
      <c r="I3979"/>
      <c r="J3979"/>
    </row>
    <row r="3980" spans="1:10" s="2" customFormat="1">
      <c r="A3980" s="1"/>
      <c r="E3980"/>
      <c r="F3980"/>
      <c r="G3980"/>
      <c r="H3980"/>
      <c r="I3980"/>
      <c r="J3980"/>
    </row>
    <row r="3981" spans="1:10" s="2" customFormat="1">
      <c r="A3981" s="1"/>
      <c r="E3981"/>
      <c r="F3981"/>
      <c r="G3981"/>
      <c r="H3981"/>
      <c r="I3981"/>
      <c r="J3981"/>
    </row>
    <row r="3982" spans="1:10" s="2" customFormat="1">
      <c r="A3982" s="1"/>
      <c r="E3982"/>
      <c r="F3982"/>
      <c r="G3982"/>
      <c r="H3982"/>
      <c r="I3982"/>
      <c r="J3982"/>
    </row>
    <row r="3983" spans="1:10" s="2" customFormat="1">
      <c r="A3983" s="1"/>
      <c r="E3983"/>
      <c r="F3983"/>
      <c r="G3983"/>
      <c r="H3983"/>
      <c r="I3983"/>
      <c r="J3983"/>
    </row>
    <row r="3984" spans="1:10" s="2" customFormat="1">
      <c r="A3984" s="1"/>
      <c r="E3984"/>
      <c r="F3984"/>
      <c r="G3984"/>
      <c r="H3984"/>
      <c r="I3984"/>
      <c r="J3984"/>
    </row>
    <row r="3985" spans="1:10" s="2" customFormat="1">
      <c r="A3985" s="1"/>
      <c r="E3985"/>
      <c r="F3985"/>
      <c r="G3985"/>
      <c r="H3985"/>
      <c r="I3985"/>
      <c r="J3985"/>
    </row>
    <row r="3986" spans="1:10" s="2" customFormat="1">
      <c r="A3986" s="1"/>
      <c r="E3986"/>
      <c r="F3986"/>
      <c r="G3986"/>
      <c r="H3986"/>
      <c r="I3986"/>
      <c r="J3986"/>
    </row>
    <row r="3987" spans="1:10" s="2" customFormat="1">
      <c r="A3987" s="1"/>
      <c r="E3987"/>
      <c r="F3987"/>
      <c r="G3987"/>
      <c r="H3987"/>
      <c r="I3987"/>
      <c r="J3987"/>
    </row>
    <row r="3988" spans="1:10" s="2" customFormat="1">
      <c r="A3988" s="1"/>
      <c r="E3988"/>
      <c r="F3988"/>
      <c r="G3988"/>
      <c r="H3988"/>
      <c r="I3988"/>
      <c r="J3988"/>
    </row>
    <row r="3989" spans="1:10" s="2" customFormat="1">
      <c r="A3989" s="1"/>
      <c r="E3989"/>
      <c r="F3989"/>
      <c r="G3989"/>
      <c r="H3989"/>
      <c r="I3989"/>
      <c r="J3989"/>
    </row>
    <row r="3990" spans="1:10" s="2" customFormat="1">
      <c r="A3990" s="1"/>
      <c r="E3990"/>
      <c r="F3990"/>
      <c r="G3990"/>
      <c r="H3990"/>
      <c r="I3990"/>
      <c r="J3990"/>
    </row>
    <row r="3991" spans="1:10" s="2" customFormat="1">
      <c r="A3991" s="1"/>
      <c r="E3991"/>
      <c r="F3991"/>
      <c r="G3991"/>
      <c r="H3991"/>
      <c r="I3991"/>
      <c r="J3991"/>
    </row>
    <row r="3992" spans="1:10" s="2" customFormat="1">
      <c r="A3992" s="1"/>
      <c r="E3992"/>
      <c r="F3992"/>
      <c r="G3992"/>
      <c r="H3992"/>
      <c r="I3992"/>
      <c r="J3992"/>
    </row>
    <row r="3993" spans="1:10" s="2" customFormat="1">
      <c r="A3993" s="1"/>
      <c r="E3993"/>
      <c r="F3993"/>
      <c r="G3993"/>
      <c r="H3993"/>
      <c r="I3993"/>
      <c r="J3993"/>
    </row>
    <row r="3994" spans="1:10" s="2" customFormat="1">
      <c r="A3994" s="1"/>
      <c r="E3994"/>
      <c r="F3994"/>
      <c r="G3994"/>
      <c r="H3994"/>
      <c r="I3994"/>
      <c r="J3994"/>
    </row>
    <row r="3995" spans="1:10" s="2" customFormat="1">
      <c r="A3995" s="1"/>
      <c r="E3995"/>
      <c r="F3995"/>
      <c r="G3995"/>
      <c r="H3995"/>
      <c r="I3995"/>
      <c r="J3995"/>
    </row>
    <row r="3996" spans="1:10" s="2" customFormat="1">
      <c r="A3996" s="1"/>
      <c r="E3996"/>
      <c r="F3996"/>
      <c r="G3996"/>
      <c r="H3996"/>
      <c r="I3996"/>
      <c r="J3996"/>
    </row>
    <row r="3997" spans="1:10" s="2" customFormat="1">
      <c r="A3997" s="1"/>
      <c r="E3997"/>
      <c r="F3997"/>
      <c r="G3997"/>
      <c r="H3997"/>
      <c r="I3997"/>
      <c r="J3997"/>
    </row>
    <row r="3998" spans="1:10" s="2" customFormat="1">
      <c r="A3998" s="1"/>
      <c r="E3998"/>
      <c r="F3998"/>
      <c r="G3998"/>
      <c r="H3998"/>
      <c r="I3998"/>
      <c r="J3998"/>
    </row>
    <row r="3999" spans="1:10" s="2" customFormat="1">
      <c r="A3999" s="1"/>
      <c r="E3999"/>
      <c r="F3999"/>
      <c r="G3999"/>
      <c r="H3999"/>
      <c r="I3999"/>
      <c r="J3999"/>
    </row>
    <row r="4000" spans="1:10" s="2" customFormat="1">
      <c r="A4000" s="1"/>
      <c r="E4000"/>
      <c r="F4000"/>
      <c r="G4000"/>
      <c r="H4000"/>
      <c r="I4000"/>
      <c r="J4000"/>
    </row>
    <row r="4001" spans="1:10" s="2" customFormat="1">
      <c r="A4001" s="1"/>
      <c r="E4001"/>
      <c r="F4001"/>
      <c r="G4001"/>
      <c r="H4001"/>
      <c r="I4001"/>
      <c r="J4001"/>
    </row>
    <row r="4002" spans="1:10" s="2" customFormat="1">
      <c r="A4002" s="1"/>
      <c r="E4002"/>
      <c r="F4002"/>
      <c r="G4002"/>
      <c r="H4002"/>
      <c r="I4002"/>
      <c r="J4002"/>
    </row>
    <row r="4003" spans="1:10" s="2" customFormat="1">
      <c r="A4003" s="1"/>
      <c r="E4003"/>
      <c r="F4003"/>
      <c r="G4003"/>
      <c r="H4003"/>
      <c r="I4003"/>
      <c r="J4003"/>
    </row>
    <row r="4004" spans="1:10" s="2" customFormat="1">
      <c r="A4004" s="1"/>
      <c r="E4004"/>
      <c r="F4004"/>
      <c r="G4004"/>
      <c r="H4004"/>
      <c r="I4004"/>
      <c r="J4004"/>
    </row>
    <row r="4005" spans="1:10" s="2" customFormat="1">
      <c r="A4005" s="1"/>
      <c r="E4005"/>
      <c r="F4005"/>
      <c r="G4005"/>
      <c r="H4005"/>
      <c r="I4005"/>
      <c r="J4005"/>
    </row>
    <row r="4006" spans="1:10" s="2" customFormat="1">
      <c r="A4006" s="1"/>
      <c r="E4006"/>
      <c r="F4006"/>
      <c r="G4006"/>
      <c r="H4006"/>
      <c r="I4006"/>
      <c r="J4006"/>
    </row>
    <row r="4007" spans="1:10" s="2" customFormat="1">
      <c r="A4007" s="1"/>
      <c r="E4007"/>
      <c r="F4007"/>
      <c r="G4007"/>
      <c r="H4007"/>
      <c r="I4007"/>
      <c r="J4007"/>
    </row>
    <row r="4008" spans="1:10" s="2" customFormat="1">
      <c r="A4008" s="1"/>
      <c r="E4008"/>
      <c r="F4008"/>
      <c r="G4008"/>
      <c r="H4008"/>
      <c r="I4008"/>
      <c r="J4008"/>
    </row>
    <row r="4009" spans="1:10" s="2" customFormat="1">
      <c r="A4009" s="1"/>
      <c r="E4009"/>
      <c r="F4009"/>
      <c r="G4009"/>
      <c r="H4009"/>
      <c r="I4009"/>
      <c r="J4009"/>
    </row>
    <row r="4010" spans="1:10" s="2" customFormat="1">
      <c r="A4010" s="1"/>
      <c r="E4010"/>
      <c r="F4010"/>
      <c r="G4010"/>
      <c r="H4010"/>
      <c r="I4010"/>
      <c r="J4010"/>
    </row>
    <row r="4011" spans="1:10" s="2" customFormat="1">
      <c r="A4011" s="1"/>
      <c r="E4011"/>
      <c r="F4011"/>
      <c r="G4011"/>
      <c r="H4011"/>
      <c r="I4011"/>
      <c r="J4011"/>
    </row>
    <row r="4012" spans="1:10" s="2" customFormat="1">
      <c r="A4012" s="1"/>
      <c r="E4012"/>
      <c r="F4012"/>
      <c r="G4012"/>
      <c r="H4012"/>
      <c r="I4012"/>
      <c r="J4012"/>
    </row>
    <row r="4013" spans="1:10" s="2" customFormat="1">
      <c r="A4013" s="1"/>
      <c r="E4013"/>
      <c r="F4013"/>
      <c r="G4013"/>
      <c r="H4013"/>
      <c r="I4013"/>
      <c r="J4013"/>
    </row>
    <row r="4014" spans="1:10" s="2" customFormat="1">
      <c r="A4014" s="1"/>
      <c r="E4014"/>
      <c r="F4014"/>
      <c r="G4014"/>
      <c r="H4014"/>
      <c r="I4014"/>
      <c r="J4014"/>
    </row>
    <row r="4015" spans="1:10" s="2" customFormat="1">
      <c r="A4015" s="1"/>
      <c r="E4015"/>
      <c r="F4015"/>
      <c r="G4015"/>
      <c r="H4015"/>
      <c r="I4015"/>
      <c r="J4015"/>
    </row>
    <row r="4016" spans="1:10" s="2" customFormat="1">
      <c r="A4016" s="1"/>
      <c r="E4016"/>
      <c r="F4016"/>
      <c r="G4016"/>
      <c r="H4016"/>
      <c r="I4016"/>
      <c r="J4016"/>
    </row>
    <row r="4017" spans="1:10" s="2" customFormat="1">
      <c r="A4017" s="1"/>
      <c r="E4017"/>
      <c r="F4017"/>
      <c r="G4017"/>
      <c r="H4017"/>
      <c r="I4017"/>
      <c r="J4017"/>
    </row>
    <row r="4018" spans="1:10" s="2" customFormat="1">
      <c r="A4018" s="1"/>
      <c r="E4018"/>
      <c r="F4018"/>
      <c r="G4018"/>
      <c r="H4018"/>
      <c r="I4018"/>
      <c r="J4018"/>
    </row>
    <row r="4019" spans="1:10" s="2" customFormat="1">
      <c r="A4019" s="1"/>
      <c r="E4019"/>
      <c r="F4019"/>
      <c r="G4019"/>
      <c r="H4019"/>
      <c r="I4019"/>
      <c r="J4019"/>
    </row>
    <row r="4020" spans="1:10" s="2" customFormat="1">
      <c r="A4020" s="1"/>
      <c r="E4020"/>
      <c r="F4020"/>
      <c r="G4020"/>
      <c r="H4020"/>
      <c r="I4020"/>
      <c r="J4020"/>
    </row>
    <row r="4021" spans="1:10" s="2" customFormat="1">
      <c r="A4021" s="1"/>
      <c r="E4021"/>
      <c r="F4021"/>
      <c r="G4021"/>
      <c r="H4021"/>
      <c r="I4021"/>
      <c r="J4021"/>
    </row>
    <row r="4022" spans="1:10" s="2" customFormat="1">
      <c r="A4022" s="1"/>
      <c r="E4022"/>
      <c r="F4022"/>
      <c r="G4022"/>
      <c r="H4022"/>
      <c r="I4022"/>
      <c r="J4022"/>
    </row>
    <row r="4023" spans="1:10" s="2" customFormat="1">
      <c r="A4023" s="1"/>
      <c r="E4023"/>
      <c r="F4023"/>
      <c r="G4023"/>
      <c r="H4023"/>
      <c r="I4023"/>
      <c r="J4023"/>
    </row>
    <row r="4024" spans="1:10" s="2" customFormat="1">
      <c r="A4024" s="1"/>
      <c r="E4024"/>
      <c r="F4024"/>
      <c r="G4024"/>
      <c r="H4024"/>
      <c r="I4024"/>
      <c r="J4024"/>
    </row>
    <row r="4025" spans="1:10" s="2" customFormat="1">
      <c r="A4025" s="1"/>
      <c r="E4025"/>
      <c r="F4025"/>
      <c r="G4025"/>
      <c r="H4025"/>
      <c r="I4025"/>
      <c r="J4025"/>
    </row>
    <row r="4026" spans="1:10" s="2" customFormat="1">
      <c r="A4026" s="1"/>
      <c r="E4026"/>
      <c r="F4026"/>
      <c r="G4026"/>
      <c r="H4026"/>
      <c r="I4026"/>
      <c r="J4026"/>
    </row>
    <row r="4027" spans="1:10" s="2" customFormat="1">
      <c r="A4027" s="1"/>
      <c r="E4027"/>
      <c r="F4027"/>
      <c r="G4027"/>
      <c r="H4027"/>
      <c r="I4027"/>
      <c r="J4027"/>
    </row>
    <row r="4028" spans="1:10" s="2" customFormat="1">
      <c r="A4028" s="1"/>
      <c r="E4028"/>
      <c r="F4028"/>
      <c r="G4028"/>
      <c r="H4028"/>
      <c r="I4028"/>
      <c r="J4028"/>
    </row>
    <row r="4029" spans="1:10" s="2" customFormat="1">
      <c r="A4029" s="1"/>
      <c r="E4029"/>
      <c r="F4029"/>
      <c r="G4029"/>
      <c r="H4029"/>
      <c r="I4029"/>
      <c r="J4029"/>
    </row>
    <row r="4030" spans="1:10" s="2" customFormat="1">
      <c r="A4030" s="1"/>
      <c r="E4030"/>
      <c r="F4030"/>
      <c r="G4030"/>
      <c r="H4030"/>
      <c r="I4030"/>
      <c r="J4030"/>
    </row>
    <row r="4031" spans="1:10" s="2" customFormat="1">
      <c r="A4031" s="1"/>
      <c r="E4031"/>
      <c r="F4031"/>
      <c r="G4031"/>
      <c r="H4031"/>
      <c r="I4031"/>
      <c r="J4031"/>
    </row>
    <row r="4032" spans="1:10" s="2" customFormat="1">
      <c r="A4032" s="1"/>
      <c r="E4032"/>
      <c r="F4032"/>
      <c r="G4032"/>
      <c r="H4032"/>
      <c r="I4032"/>
      <c r="J4032"/>
    </row>
    <row r="4033" spans="1:10" s="2" customFormat="1">
      <c r="A4033" s="1"/>
      <c r="E4033"/>
      <c r="F4033"/>
      <c r="G4033"/>
      <c r="H4033"/>
      <c r="I4033"/>
      <c r="J4033"/>
    </row>
    <row r="4034" spans="1:10" s="2" customFormat="1">
      <c r="A4034" s="1"/>
      <c r="E4034"/>
      <c r="F4034"/>
      <c r="G4034"/>
      <c r="H4034"/>
      <c r="I4034"/>
      <c r="J4034"/>
    </row>
    <row r="4035" spans="1:10" s="2" customFormat="1">
      <c r="A4035" s="1"/>
      <c r="E4035"/>
      <c r="F4035"/>
      <c r="G4035"/>
      <c r="H4035"/>
      <c r="I4035"/>
      <c r="J4035"/>
    </row>
    <row r="4036" spans="1:10" s="2" customFormat="1">
      <c r="A4036" s="1"/>
      <c r="E4036"/>
      <c r="F4036"/>
      <c r="G4036"/>
      <c r="H4036"/>
      <c r="I4036"/>
      <c r="J4036"/>
    </row>
    <row r="4037" spans="1:10" s="2" customFormat="1">
      <c r="A4037" s="1"/>
      <c r="E4037"/>
      <c r="F4037"/>
      <c r="G4037"/>
      <c r="H4037"/>
      <c r="I4037"/>
      <c r="J4037"/>
    </row>
    <row r="4038" spans="1:10" s="2" customFormat="1">
      <c r="A4038" s="1"/>
      <c r="E4038"/>
      <c r="F4038"/>
      <c r="G4038"/>
      <c r="H4038"/>
      <c r="I4038"/>
      <c r="J4038"/>
    </row>
    <row r="4039" spans="1:10" s="2" customFormat="1">
      <c r="A4039" s="1"/>
      <c r="E4039"/>
      <c r="F4039"/>
      <c r="G4039"/>
      <c r="H4039"/>
      <c r="I4039"/>
      <c r="J4039"/>
    </row>
    <row r="4040" spans="1:10" s="2" customFormat="1">
      <c r="A4040" s="1"/>
      <c r="E4040"/>
      <c r="F4040"/>
      <c r="G4040"/>
      <c r="H4040"/>
      <c r="I4040"/>
      <c r="J4040"/>
    </row>
    <row r="4041" spans="1:10" s="2" customFormat="1">
      <c r="A4041" s="1"/>
      <c r="E4041"/>
      <c r="F4041"/>
      <c r="G4041"/>
      <c r="H4041"/>
      <c r="I4041"/>
      <c r="J4041"/>
    </row>
    <row r="4042" spans="1:10" s="2" customFormat="1">
      <c r="A4042" s="1"/>
      <c r="E4042"/>
      <c r="F4042"/>
      <c r="G4042"/>
      <c r="H4042"/>
      <c r="I4042"/>
      <c r="J4042"/>
    </row>
    <row r="4043" spans="1:10" s="2" customFormat="1">
      <c r="A4043" s="1"/>
      <c r="E4043"/>
      <c r="F4043"/>
      <c r="G4043"/>
      <c r="H4043"/>
      <c r="I4043"/>
      <c r="J4043"/>
    </row>
    <row r="4044" spans="1:10" s="2" customFormat="1">
      <c r="A4044" s="1"/>
      <c r="E4044"/>
      <c r="F4044"/>
      <c r="G4044"/>
      <c r="H4044"/>
      <c r="I4044"/>
      <c r="J4044"/>
    </row>
    <row r="4045" spans="1:10" s="2" customFormat="1">
      <c r="A4045" s="1"/>
      <c r="E4045"/>
      <c r="F4045"/>
      <c r="G4045"/>
      <c r="H4045"/>
      <c r="I4045"/>
      <c r="J4045"/>
    </row>
    <row r="4046" spans="1:10" s="2" customFormat="1">
      <c r="A4046" s="1"/>
      <c r="E4046"/>
      <c r="F4046"/>
      <c r="G4046"/>
      <c r="H4046"/>
      <c r="I4046"/>
      <c r="J4046"/>
    </row>
    <row r="4047" spans="1:10" s="2" customFormat="1">
      <c r="A4047" s="1"/>
      <c r="E4047"/>
      <c r="F4047"/>
      <c r="G4047"/>
      <c r="H4047"/>
      <c r="I4047"/>
      <c r="J4047"/>
    </row>
    <row r="4048" spans="1:10" s="2" customFormat="1">
      <c r="A4048" s="1"/>
      <c r="E4048"/>
      <c r="F4048"/>
      <c r="G4048"/>
      <c r="H4048"/>
      <c r="I4048"/>
      <c r="J4048"/>
    </row>
    <row r="4049" spans="1:10" s="2" customFormat="1">
      <c r="A4049" s="1"/>
      <c r="E4049"/>
      <c r="F4049"/>
      <c r="G4049"/>
      <c r="H4049"/>
      <c r="I4049"/>
      <c r="J4049"/>
    </row>
    <row r="4050" spans="1:10" s="2" customFormat="1">
      <c r="A4050" s="1"/>
      <c r="E4050"/>
      <c r="F4050"/>
      <c r="G4050"/>
      <c r="H4050"/>
      <c r="I4050"/>
      <c r="J4050"/>
    </row>
    <row r="4051" spans="1:10" s="2" customFormat="1">
      <c r="A4051" s="1"/>
      <c r="E4051"/>
      <c r="F4051"/>
      <c r="G4051"/>
      <c r="H4051"/>
      <c r="I4051"/>
      <c r="J4051"/>
    </row>
    <row r="4052" spans="1:10" s="2" customFormat="1">
      <c r="A4052" s="1"/>
      <c r="E4052"/>
      <c r="F4052"/>
      <c r="G4052"/>
      <c r="H4052"/>
      <c r="I4052"/>
      <c r="J4052"/>
    </row>
    <row r="4053" spans="1:10" s="2" customFormat="1">
      <c r="A4053" s="1"/>
      <c r="E4053"/>
      <c r="F4053"/>
      <c r="G4053"/>
      <c r="H4053"/>
      <c r="I4053"/>
      <c r="J4053"/>
    </row>
    <row r="4054" spans="1:10" s="2" customFormat="1">
      <c r="A4054" s="1"/>
      <c r="E4054"/>
      <c r="F4054"/>
      <c r="G4054"/>
      <c r="H4054"/>
      <c r="I4054"/>
      <c r="J4054"/>
    </row>
    <row r="4055" spans="1:10" s="2" customFormat="1">
      <c r="A4055" s="1"/>
      <c r="E4055"/>
      <c r="F4055"/>
      <c r="G4055"/>
      <c r="H4055"/>
      <c r="I4055"/>
      <c r="J4055"/>
    </row>
    <row r="4056" spans="1:10" s="2" customFormat="1">
      <c r="A4056" s="1"/>
      <c r="E4056"/>
      <c r="F4056"/>
      <c r="G4056"/>
      <c r="H4056"/>
      <c r="I4056"/>
      <c r="J4056"/>
    </row>
    <row r="4057" spans="1:10" s="2" customFormat="1">
      <c r="A4057" s="1"/>
      <c r="E4057"/>
      <c r="F4057"/>
      <c r="G4057"/>
      <c r="H4057"/>
      <c r="I4057"/>
      <c r="J4057"/>
    </row>
    <row r="4058" spans="1:10" s="2" customFormat="1">
      <c r="A4058" s="1"/>
      <c r="E4058"/>
      <c r="F4058"/>
      <c r="G4058"/>
      <c r="H4058"/>
      <c r="I4058"/>
      <c r="J4058"/>
    </row>
    <row r="4059" spans="1:10" s="2" customFormat="1">
      <c r="A4059" s="1"/>
      <c r="E4059"/>
      <c r="F4059"/>
      <c r="G4059"/>
      <c r="H4059"/>
      <c r="I4059"/>
      <c r="J4059"/>
    </row>
    <row r="4060" spans="1:10" s="2" customFormat="1">
      <c r="A4060" s="1"/>
      <c r="E4060"/>
      <c r="F4060"/>
      <c r="G4060"/>
      <c r="H4060"/>
      <c r="I4060"/>
      <c r="J4060"/>
    </row>
    <row r="4061" spans="1:10" s="2" customFormat="1">
      <c r="A4061" s="1"/>
      <c r="E4061"/>
      <c r="F4061"/>
      <c r="G4061"/>
      <c r="H4061"/>
      <c r="I4061"/>
      <c r="J4061"/>
    </row>
    <row r="4062" spans="1:10" s="2" customFormat="1">
      <c r="A4062" s="1"/>
      <c r="E4062"/>
      <c r="F4062"/>
      <c r="G4062"/>
      <c r="H4062"/>
      <c r="I4062"/>
      <c r="J4062"/>
    </row>
    <row r="4063" spans="1:10" s="2" customFormat="1">
      <c r="A4063" s="1"/>
      <c r="E4063"/>
      <c r="F4063"/>
      <c r="G4063"/>
      <c r="H4063"/>
      <c r="I4063"/>
      <c r="J4063"/>
    </row>
    <row r="4064" spans="1:10" s="2" customFormat="1">
      <c r="A4064" s="1"/>
      <c r="E4064"/>
      <c r="F4064"/>
      <c r="G4064"/>
      <c r="H4064"/>
      <c r="I4064"/>
      <c r="J4064"/>
    </row>
    <row r="4065" spans="1:10" s="2" customFormat="1">
      <c r="A4065" s="1"/>
      <c r="E4065"/>
      <c r="F4065"/>
      <c r="G4065"/>
      <c r="H4065"/>
      <c r="I4065"/>
      <c r="J4065"/>
    </row>
    <row r="4066" spans="1:10" s="2" customFormat="1">
      <c r="A4066" s="1"/>
      <c r="E4066"/>
      <c r="F4066"/>
      <c r="G4066"/>
      <c r="H4066"/>
      <c r="I4066"/>
      <c r="J4066"/>
    </row>
    <row r="4067" spans="1:10" s="2" customFormat="1">
      <c r="A4067" s="1"/>
      <c r="E4067"/>
      <c r="F4067"/>
      <c r="G4067"/>
      <c r="H4067"/>
      <c r="I4067"/>
      <c r="J4067"/>
    </row>
    <row r="4068" spans="1:10" s="2" customFormat="1">
      <c r="A4068" s="1"/>
      <c r="E4068"/>
      <c r="F4068"/>
      <c r="G4068"/>
      <c r="H4068"/>
      <c r="I4068"/>
      <c r="J4068"/>
    </row>
    <row r="4069" spans="1:10" s="2" customFormat="1">
      <c r="A4069" s="1"/>
      <c r="E4069"/>
      <c r="F4069"/>
      <c r="G4069"/>
      <c r="H4069"/>
      <c r="I4069"/>
      <c r="J4069"/>
    </row>
    <row r="4070" spans="1:10" s="2" customFormat="1">
      <c r="A4070" s="1"/>
      <c r="E4070"/>
      <c r="F4070"/>
      <c r="G4070"/>
      <c r="H4070"/>
      <c r="I4070"/>
      <c r="J4070"/>
    </row>
    <row r="4071" spans="1:10" s="2" customFormat="1">
      <c r="A4071" s="1"/>
      <c r="E4071"/>
      <c r="F4071"/>
      <c r="G4071"/>
      <c r="H4071"/>
      <c r="I4071"/>
      <c r="J4071"/>
    </row>
    <row r="4072" spans="1:10" s="2" customFormat="1">
      <c r="A4072" s="1"/>
      <c r="E4072"/>
      <c r="F4072"/>
      <c r="G4072"/>
      <c r="H4072"/>
      <c r="I4072"/>
      <c r="J4072"/>
    </row>
    <row r="4073" spans="1:10" s="2" customFormat="1">
      <c r="A4073" s="1"/>
      <c r="E4073"/>
      <c r="F4073"/>
      <c r="G4073"/>
      <c r="H4073"/>
      <c r="I4073"/>
      <c r="J4073"/>
    </row>
    <row r="4074" spans="1:10" s="2" customFormat="1">
      <c r="A4074" s="1"/>
      <c r="E4074"/>
      <c r="F4074"/>
      <c r="G4074"/>
      <c r="H4074"/>
      <c r="I4074"/>
      <c r="J4074"/>
    </row>
    <row r="4075" spans="1:10" s="2" customFormat="1">
      <c r="A4075" s="1"/>
      <c r="E4075"/>
      <c r="F4075"/>
      <c r="G4075"/>
      <c r="H4075"/>
      <c r="I4075"/>
      <c r="J4075"/>
    </row>
    <row r="4076" spans="1:10" s="2" customFormat="1">
      <c r="A4076" s="1"/>
      <c r="E4076"/>
      <c r="F4076"/>
      <c r="G4076"/>
      <c r="H4076"/>
      <c r="I4076"/>
      <c r="J4076"/>
    </row>
    <row r="4077" spans="1:10" s="2" customFormat="1">
      <c r="A4077" s="1"/>
      <c r="E4077"/>
      <c r="F4077"/>
      <c r="G4077"/>
      <c r="H4077"/>
      <c r="I4077"/>
      <c r="J4077"/>
    </row>
    <row r="4078" spans="1:10" s="2" customFormat="1">
      <c r="A4078" s="1"/>
      <c r="E4078"/>
      <c r="F4078"/>
      <c r="G4078"/>
      <c r="H4078"/>
      <c r="I4078"/>
      <c r="J4078"/>
    </row>
    <row r="4079" spans="1:10" s="2" customFormat="1">
      <c r="A4079" s="1"/>
      <c r="E4079"/>
      <c r="F4079"/>
      <c r="G4079"/>
      <c r="H4079"/>
      <c r="I4079"/>
      <c r="J4079"/>
    </row>
    <row r="4080" spans="1:10" s="2" customFormat="1">
      <c r="A4080" s="1"/>
      <c r="E4080"/>
      <c r="F4080"/>
      <c r="G4080"/>
      <c r="H4080"/>
      <c r="I4080"/>
      <c r="J4080"/>
    </row>
    <row r="4081" spans="1:10" s="2" customFormat="1">
      <c r="A4081" s="1"/>
      <c r="E4081"/>
      <c r="F4081"/>
      <c r="G4081"/>
      <c r="H4081"/>
      <c r="I4081"/>
      <c r="J4081"/>
    </row>
    <row r="4082" spans="1:10" s="2" customFormat="1">
      <c r="A4082" s="1"/>
      <c r="E4082"/>
      <c r="F4082"/>
      <c r="G4082"/>
      <c r="H4082"/>
      <c r="I4082"/>
      <c r="J4082"/>
    </row>
    <row r="4083" spans="1:10" s="2" customFormat="1">
      <c r="A4083" s="1"/>
      <c r="E4083"/>
      <c r="F4083"/>
      <c r="G4083"/>
      <c r="H4083"/>
      <c r="I4083"/>
      <c r="J4083"/>
    </row>
    <row r="4084" spans="1:10" s="2" customFormat="1">
      <c r="A4084" s="1"/>
      <c r="E4084"/>
      <c r="F4084"/>
      <c r="G4084"/>
      <c r="H4084"/>
      <c r="I4084"/>
      <c r="J4084"/>
    </row>
    <row r="4085" spans="1:10" s="2" customFormat="1">
      <c r="A4085" s="1"/>
      <c r="E4085"/>
      <c r="F4085"/>
      <c r="G4085"/>
      <c r="H4085"/>
      <c r="I4085"/>
      <c r="J4085"/>
    </row>
    <row r="4086" spans="1:10" s="2" customFormat="1">
      <c r="A4086" s="1"/>
      <c r="E4086"/>
      <c r="F4086"/>
      <c r="G4086"/>
      <c r="H4086"/>
      <c r="I4086"/>
      <c r="J4086"/>
    </row>
    <row r="4087" spans="1:10" s="2" customFormat="1">
      <c r="A4087" s="1"/>
      <c r="E4087"/>
      <c r="F4087"/>
      <c r="G4087"/>
      <c r="H4087"/>
      <c r="I4087"/>
      <c r="J4087"/>
    </row>
    <row r="4088" spans="1:10" s="2" customFormat="1">
      <c r="A4088" s="1"/>
      <c r="E4088"/>
      <c r="F4088"/>
      <c r="G4088"/>
      <c r="H4088"/>
      <c r="I4088"/>
      <c r="J4088"/>
    </row>
    <row r="4089" spans="1:10" s="2" customFormat="1">
      <c r="A4089" s="1"/>
      <c r="E4089"/>
      <c r="F4089"/>
      <c r="G4089"/>
      <c r="H4089"/>
      <c r="I4089"/>
      <c r="J4089"/>
    </row>
    <row r="4090" spans="1:10" s="2" customFormat="1">
      <c r="A4090" s="1"/>
      <c r="E4090"/>
      <c r="F4090"/>
      <c r="G4090"/>
      <c r="H4090"/>
      <c r="I4090"/>
      <c r="J4090"/>
    </row>
    <row r="4091" spans="1:10" s="2" customFormat="1">
      <c r="A4091" s="1"/>
      <c r="E4091"/>
      <c r="F4091"/>
      <c r="G4091"/>
      <c r="H4091"/>
      <c r="I4091"/>
      <c r="J4091"/>
    </row>
    <row r="4092" spans="1:10" s="2" customFormat="1">
      <c r="A4092" s="1"/>
      <c r="E4092"/>
      <c r="F4092"/>
      <c r="G4092"/>
      <c r="H4092"/>
      <c r="I4092"/>
      <c r="J4092"/>
    </row>
    <row r="4093" spans="1:10" s="2" customFormat="1">
      <c r="A4093" s="1"/>
      <c r="E4093"/>
      <c r="F4093"/>
      <c r="G4093"/>
      <c r="H4093"/>
      <c r="I4093"/>
      <c r="J4093"/>
    </row>
    <row r="4094" spans="1:10" s="2" customFormat="1">
      <c r="A4094" s="1"/>
      <c r="E4094"/>
      <c r="F4094"/>
      <c r="G4094"/>
      <c r="H4094"/>
      <c r="I4094"/>
      <c r="J4094"/>
    </row>
    <row r="4095" spans="1:10" s="2" customFormat="1">
      <c r="A4095" s="1"/>
      <c r="E4095"/>
      <c r="F4095"/>
      <c r="G4095"/>
      <c r="H4095"/>
      <c r="I4095"/>
      <c r="J4095"/>
    </row>
    <row r="4096" spans="1:10" s="2" customFormat="1">
      <c r="A4096" s="1"/>
      <c r="E4096"/>
      <c r="F4096"/>
      <c r="G4096"/>
      <c r="H4096"/>
      <c r="I4096"/>
      <c r="J4096"/>
    </row>
    <row r="4097" spans="1:10" s="2" customFormat="1">
      <c r="A4097" s="1"/>
      <c r="E4097"/>
      <c r="F4097"/>
      <c r="G4097"/>
      <c r="H4097"/>
      <c r="I4097"/>
      <c r="J4097"/>
    </row>
    <row r="4098" spans="1:10" s="2" customFormat="1">
      <c r="A4098" s="1"/>
      <c r="E4098"/>
      <c r="F4098"/>
      <c r="G4098"/>
      <c r="H4098"/>
      <c r="I4098"/>
      <c r="J4098"/>
    </row>
    <row r="4099" spans="1:10" s="2" customFormat="1">
      <c r="A4099" s="1"/>
      <c r="E4099"/>
      <c r="F4099"/>
      <c r="G4099"/>
      <c r="H4099"/>
      <c r="I4099"/>
      <c r="J4099"/>
    </row>
    <row r="4100" spans="1:10" s="2" customFormat="1">
      <c r="A4100" s="1"/>
      <c r="E4100"/>
      <c r="F4100"/>
      <c r="G4100"/>
      <c r="H4100"/>
      <c r="I4100"/>
      <c r="J4100"/>
    </row>
    <row r="4101" spans="1:10" s="2" customFormat="1">
      <c r="A4101" s="1"/>
      <c r="E4101"/>
      <c r="F4101"/>
      <c r="G4101"/>
      <c r="H4101"/>
      <c r="I4101"/>
      <c r="J4101"/>
    </row>
    <row r="4102" spans="1:10" s="2" customFormat="1">
      <c r="A4102" s="1"/>
      <c r="E4102"/>
      <c r="F4102"/>
      <c r="G4102"/>
      <c r="H4102"/>
      <c r="I4102"/>
      <c r="J4102"/>
    </row>
    <row r="4103" spans="1:10" s="2" customFormat="1">
      <c r="A4103" s="1"/>
      <c r="E4103"/>
      <c r="F4103"/>
      <c r="G4103"/>
      <c r="H4103"/>
      <c r="I4103"/>
      <c r="J4103"/>
    </row>
    <row r="4104" spans="1:10" s="2" customFormat="1">
      <c r="A4104" s="1"/>
      <c r="E4104"/>
      <c r="F4104"/>
      <c r="G4104"/>
      <c r="H4104"/>
      <c r="I4104"/>
      <c r="J4104"/>
    </row>
    <row r="4105" spans="1:10" s="2" customFormat="1">
      <c r="A4105" s="1"/>
      <c r="E4105"/>
      <c r="F4105"/>
      <c r="G4105"/>
      <c r="H4105"/>
      <c r="I4105"/>
      <c r="J4105"/>
    </row>
    <row r="4106" spans="1:10" s="2" customFormat="1">
      <c r="A4106" s="1"/>
      <c r="E4106"/>
      <c r="F4106"/>
      <c r="G4106"/>
      <c r="H4106"/>
      <c r="I4106"/>
      <c r="J4106"/>
    </row>
    <row r="4107" spans="1:10" s="2" customFormat="1">
      <c r="A4107" s="1"/>
      <c r="E4107"/>
      <c r="F4107"/>
      <c r="G4107"/>
      <c r="H4107"/>
      <c r="I4107"/>
      <c r="J4107"/>
    </row>
    <row r="4108" spans="1:10" s="2" customFormat="1">
      <c r="A4108" s="1"/>
      <c r="E4108"/>
      <c r="F4108"/>
      <c r="G4108"/>
      <c r="H4108"/>
      <c r="I4108"/>
      <c r="J4108"/>
    </row>
    <row r="4109" spans="1:10" s="2" customFormat="1">
      <c r="A4109" s="1"/>
      <c r="E4109"/>
      <c r="F4109"/>
      <c r="G4109"/>
      <c r="H4109"/>
      <c r="I4109"/>
      <c r="J4109"/>
    </row>
    <row r="4110" spans="1:10" s="2" customFormat="1">
      <c r="A4110" s="1"/>
      <c r="E4110"/>
      <c r="F4110"/>
      <c r="G4110"/>
      <c r="H4110"/>
      <c r="I4110"/>
      <c r="J4110"/>
    </row>
    <row r="4111" spans="1:10" s="2" customFormat="1">
      <c r="A4111" s="1"/>
      <c r="E4111"/>
      <c r="F4111"/>
      <c r="G4111"/>
      <c r="H4111"/>
      <c r="I4111"/>
      <c r="J4111"/>
    </row>
    <row r="4112" spans="1:10" s="2" customFormat="1">
      <c r="A4112" s="1"/>
      <c r="E4112"/>
      <c r="F4112"/>
      <c r="G4112"/>
      <c r="H4112"/>
      <c r="I4112"/>
      <c r="J4112"/>
    </row>
    <row r="4113" spans="1:10" s="2" customFormat="1">
      <c r="A4113" s="1"/>
      <c r="E4113"/>
      <c r="F4113"/>
      <c r="G4113"/>
      <c r="H4113"/>
      <c r="I4113"/>
      <c r="J4113"/>
    </row>
    <row r="4114" spans="1:10" s="2" customFormat="1">
      <c r="A4114" s="1"/>
      <c r="E4114"/>
      <c r="F4114"/>
      <c r="G4114"/>
      <c r="H4114"/>
      <c r="I4114"/>
      <c r="J4114"/>
    </row>
    <row r="4115" spans="1:10" s="2" customFormat="1">
      <c r="A4115" s="1"/>
      <c r="E4115"/>
      <c r="F4115"/>
      <c r="G4115"/>
      <c r="H4115"/>
      <c r="I4115"/>
      <c r="J4115"/>
    </row>
    <row r="4116" spans="1:10" s="2" customFormat="1">
      <c r="A4116" s="1"/>
      <c r="E4116"/>
      <c r="F4116"/>
      <c r="G4116"/>
      <c r="H4116"/>
      <c r="I4116"/>
      <c r="J4116"/>
    </row>
    <row r="4117" spans="1:10" s="2" customFormat="1">
      <c r="A4117" s="1"/>
      <c r="E4117"/>
      <c r="F4117"/>
      <c r="G4117"/>
      <c r="H4117"/>
      <c r="I4117"/>
      <c r="J4117"/>
    </row>
    <row r="4118" spans="1:10" s="2" customFormat="1">
      <c r="A4118" s="1"/>
      <c r="E4118"/>
      <c r="F4118"/>
      <c r="G4118"/>
      <c r="H4118"/>
      <c r="I4118"/>
      <c r="J4118"/>
    </row>
    <row r="4119" spans="1:10" s="2" customFormat="1">
      <c r="A4119" s="1"/>
      <c r="E4119"/>
      <c r="F4119"/>
      <c r="G4119"/>
      <c r="H4119"/>
      <c r="I4119"/>
      <c r="J4119"/>
    </row>
    <row r="4120" spans="1:10" s="2" customFormat="1">
      <c r="A4120" s="1"/>
      <c r="E4120"/>
      <c r="F4120"/>
      <c r="G4120"/>
      <c r="H4120"/>
      <c r="I4120"/>
      <c r="J4120"/>
    </row>
    <row r="4121" spans="1:10" s="2" customFormat="1">
      <c r="A4121" s="1"/>
      <c r="E4121"/>
      <c r="F4121"/>
      <c r="G4121"/>
      <c r="H4121"/>
      <c r="I4121"/>
      <c r="J4121"/>
    </row>
    <row r="4122" spans="1:10" s="2" customFormat="1">
      <c r="A4122" s="1"/>
      <c r="E4122"/>
      <c r="F4122"/>
      <c r="G4122"/>
      <c r="H4122"/>
      <c r="I4122"/>
      <c r="J4122"/>
    </row>
    <row r="4123" spans="1:10" s="2" customFormat="1">
      <c r="A4123" s="1"/>
      <c r="E4123"/>
      <c r="F4123"/>
      <c r="G4123"/>
      <c r="H4123"/>
      <c r="I4123"/>
      <c r="J4123"/>
    </row>
    <row r="4124" spans="1:10" s="2" customFormat="1">
      <c r="A4124" s="1"/>
      <c r="E4124"/>
      <c r="F4124"/>
      <c r="G4124"/>
      <c r="H4124"/>
      <c r="I4124"/>
      <c r="J4124"/>
    </row>
    <row r="4125" spans="1:10" s="2" customFormat="1">
      <c r="A4125" s="1"/>
      <c r="E4125"/>
      <c r="F4125"/>
      <c r="G4125"/>
      <c r="H4125"/>
      <c r="I4125"/>
      <c r="J4125"/>
    </row>
    <row r="4126" spans="1:10" s="2" customFormat="1">
      <c r="A4126" s="1"/>
      <c r="E4126"/>
      <c r="F4126"/>
      <c r="G4126"/>
      <c r="H4126"/>
      <c r="I4126"/>
      <c r="J4126"/>
    </row>
    <row r="4127" spans="1:10" s="2" customFormat="1">
      <c r="A4127" s="1"/>
      <c r="E4127"/>
      <c r="F4127"/>
      <c r="G4127"/>
      <c r="H4127"/>
      <c r="I4127"/>
      <c r="J4127"/>
    </row>
    <row r="4128" spans="1:10" s="2" customFormat="1">
      <c r="A4128" s="1"/>
      <c r="E4128"/>
      <c r="F4128"/>
      <c r="G4128"/>
      <c r="H4128"/>
      <c r="I4128"/>
      <c r="J4128"/>
    </row>
    <row r="4129" spans="1:10" s="2" customFormat="1">
      <c r="A4129" s="1"/>
      <c r="E4129"/>
      <c r="F4129"/>
      <c r="G4129"/>
      <c r="H4129"/>
      <c r="I4129"/>
      <c r="J4129"/>
    </row>
    <row r="4130" spans="1:10" s="2" customFormat="1">
      <c r="A4130" s="1"/>
      <c r="E4130"/>
      <c r="F4130"/>
      <c r="G4130"/>
      <c r="H4130"/>
      <c r="I4130"/>
      <c r="J4130"/>
    </row>
    <row r="4131" spans="1:10" s="2" customFormat="1">
      <c r="A4131" s="1"/>
      <c r="E4131"/>
      <c r="F4131"/>
      <c r="G4131"/>
      <c r="H4131"/>
      <c r="I4131"/>
      <c r="J4131"/>
    </row>
    <row r="4132" spans="1:10" s="2" customFormat="1">
      <c r="A4132" s="1"/>
      <c r="E4132"/>
      <c r="F4132"/>
      <c r="G4132"/>
      <c r="H4132"/>
      <c r="I4132"/>
      <c r="J4132"/>
    </row>
    <row r="4133" spans="1:10" s="2" customFormat="1">
      <c r="A4133" s="1"/>
      <c r="E4133"/>
      <c r="F4133"/>
      <c r="G4133"/>
      <c r="H4133"/>
      <c r="I4133"/>
      <c r="J4133"/>
    </row>
    <row r="4134" spans="1:10" s="2" customFormat="1">
      <c r="A4134" s="1"/>
      <c r="E4134"/>
      <c r="F4134"/>
      <c r="G4134"/>
      <c r="H4134"/>
      <c r="I4134"/>
      <c r="J4134"/>
    </row>
    <row r="4135" spans="1:10" s="2" customFormat="1">
      <c r="A4135" s="1"/>
      <c r="E4135"/>
      <c r="F4135"/>
      <c r="G4135"/>
      <c r="H4135"/>
      <c r="I4135"/>
      <c r="J4135"/>
    </row>
    <row r="4136" spans="1:10" s="2" customFormat="1">
      <c r="A4136" s="1"/>
      <c r="E4136"/>
      <c r="F4136"/>
      <c r="G4136"/>
      <c r="H4136"/>
      <c r="I4136"/>
      <c r="J4136"/>
    </row>
    <row r="4137" spans="1:10" s="2" customFormat="1">
      <c r="A4137" s="1"/>
      <c r="E4137"/>
      <c r="F4137"/>
      <c r="G4137"/>
      <c r="H4137"/>
      <c r="I4137"/>
      <c r="J4137"/>
    </row>
    <row r="4138" spans="1:10" s="2" customFormat="1">
      <c r="A4138" s="1"/>
      <c r="E4138"/>
      <c r="F4138"/>
      <c r="G4138"/>
      <c r="H4138"/>
      <c r="I4138"/>
      <c r="J4138"/>
    </row>
    <row r="4139" spans="1:10" s="2" customFormat="1">
      <c r="A4139" s="1"/>
      <c r="E4139"/>
      <c r="F4139"/>
      <c r="G4139"/>
      <c r="H4139"/>
      <c r="I4139"/>
      <c r="J4139"/>
    </row>
    <row r="4140" spans="1:10" s="2" customFormat="1">
      <c r="A4140" s="1"/>
      <c r="E4140"/>
      <c r="F4140"/>
      <c r="G4140"/>
      <c r="H4140"/>
      <c r="I4140"/>
      <c r="J4140"/>
    </row>
    <row r="4141" spans="1:10" s="2" customFormat="1">
      <c r="A4141" s="1"/>
      <c r="E4141"/>
      <c r="F4141"/>
      <c r="G4141"/>
      <c r="H4141"/>
      <c r="I4141"/>
      <c r="J4141"/>
    </row>
    <row r="4142" spans="1:10" s="2" customFormat="1">
      <c r="A4142" s="1"/>
      <c r="E4142"/>
      <c r="F4142"/>
      <c r="G4142"/>
      <c r="H4142"/>
      <c r="I4142"/>
      <c r="J4142"/>
    </row>
    <row r="4143" spans="1:10" s="2" customFormat="1">
      <c r="A4143" s="1"/>
      <c r="E4143"/>
      <c r="F4143"/>
      <c r="G4143"/>
      <c r="H4143"/>
      <c r="I4143"/>
      <c r="J4143"/>
    </row>
    <row r="4144" spans="1:10" s="2" customFormat="1">
      <c r="A4144" s="1"/>
      <c r="E4144"/>
      <c r="F4144"/>
      <c r="G4144"/>
      <c r="H4144"/>
      <c r="I4144"/>
      <c r="J4144"/>
    </row>
    <row r="4145" spans="1:10" s="2" customFormat="1">
      <c r="A4145" s="1"/>
      <c r="E4145"/>
      <c r="F4145"/>
      <c r="G4145"/>
      <c r="H4145"/>
      <c r="I4145"/>
      <c r="J4145"/>
    </row>
    <row r="4146" spans="1:10" s="2" customFormat="1">
      <c r="A4146" s="1"/>
      <c r="E4146"/>
      <c r="F4146"/>
      <c r="G4146"/>
      <c r="H4146"/>
      <c r="I4146"/>
      <c r="J4146"/>
    </row>
    <row r="4147" spans="1:10" s="2" customFormat="1">
      <c r="A4147" s="1"/>
      <c r="E4147"/>
      <c r="F4147"/>
      <c r="G4147"/>
      <c r="H4147"/>
      <c r="I4147"/>
      <c r="J4147"/>
    </row>
    <row r="4148" spans="1:10" s="2" customFormat="1">
      <c r="A4148" s="1"/>
      <c r="E4148"/>
      <c r="F4148"/>
      <c r="G4148"/>
      <c r="H4148"/>
      <c r="I4148"/>
      <c r="J4148"/>
    </row>
    <row r="4149" spans="1:10" s="2" customFormat="1">
      <c r="A4149" s="1"/>
      <c r="E4149"/>
      <c r="F4149"/>
      <c r="G4149"/>
      <c r="H4149"/>
      <c r="I4149"/>
      <c r="J4149"/>
    </row>
    <row r="4150" spans="1:10" s="2" customFormat="1">
      <c r="A4150" s="1"/>
      <c r="E4150"/>
      <c r="F4150"/>
      <c r="G4150"/>
      <c r="H4150"/>
      <c r="I4150"/>
      <c r="J4150"/>
    </row>
    <row r="4151" spans="1:10" s="2" customFormat="1">
      <c r="A4151" s="1"/>
      <c r="E4151"/>
      <c r="F4151"/>
      <c r="G4151"/>
      <c r="H4151"/>
      <c r="I4151"/>
      <c r="J4151"/>
    </row>
    <row r="4152" spans="1:10" s="2" customFormat="1">
      <c r="A4152" s="1"/>
      <c r="E4152"/>
      <c r="F4152"/>
      <c r="G4152"/>
      <c r="H4152"/>
      <c r="I4152"/>
      <c r="J4152"/>
    </row>
    <row r="4153" spans="1:10" s="2" customFormat="1">
      <c r="A4153" s="1"/>
      <c r="E4153"/>
      <c r="F4153"/>
      <c r="G4153"/>
      <c r="H4153"/>
      <c r="I4153"/>
      <c r="J4153"/>
    </row>
    <row r="4154" spans="1:10" s="2" customFormat="1">
      <c r="A4154" s="1"/>
      <c r="E4154"/>
      <c r="F4154"/>
      <c r="G4154"/>
      <c r="H4154"/>
      <c r="I4154"/>
      <c r="J4154"/>
    </row>
    <row r="4155" spans="1:10" s="2" customFormat="1">
      <c r="A4155" s="1"/>
      <c r="E4155"/>
      <c r="F4155"/>
      <c r="G4155"/>
      <c r="H4155"/>
      <c r="I4155"/>
      <c r="J4155"/>
    </row>
    <row r="4156" spans="1:10" s="2" customFormat="1">
      <c r="A4156" s="1"/>
      <c r="E4156"/>
      <c r="F4156"/>
      <c r="G4156"/>
      <c r="H4156"/>
      <c r="I4156"/>
      <c r="J4156"/>
    </row>
    <row r="4157" spans="1:10" s="2" customFormat="1">
      <c r="A4157" s="1"/>
      <c r="E4157"/>
      <c r="F4157"/>
      <c r="G4157"/>
      <c r="H4157"/>
      <c r="I4157"/>
      <c r="J4157"/>
    </row>
    <row r="4158" spans="1:10" s="2" customFormat="1">
      <c r="A4158" s="1"/>
      <c r="E4158"/>
      <c r="F4158"/>
      <c r="G4158"/>
      <c r="H4158"/>
      <c r="I4158"/>
      <c r="J4158"/>
    </row>
    <row r="4159" spans="1:10" s="2" customFormat="1">
      <c r="A4159" s="1"/>
      <c r="E4159"/>
      <c r="F4159"/>
      <c r="G4159"/>
      <c r="H4159"/>
      <c r="I4159"/>
      <c r="J4159"/>
    </row>
    <row r="4160" spans="1:10" s="2" customFormat="1">
      <c r="A4160" s="1"/>
      <c r="E4160"/>
      <c r="F4160"/>
      <c r="G4160"/>
      <c r="H4160"/>
      <c r="I4160"/>
      <c r="J4160"/>
    </row>
    <row r="4161" spans="1:10" s="2" customFormat="1">
      <c r="A4161" s="1"/>
      <c r="E4161"/>
      <c r="F4161"/>
      <c r="G4161"/>
      <c r="H4161"/>
      <c r="I4161"/>
      <c r="J4161"/>
    </row>
    <row r="4162" spans="1:10" s="2" customFormat="1">
      <c r="A4162" s="1"/>
      <c r="E4162"/>
      <c r="F4162"/>
      <c r="G4162"/>
      <c r="H4162"/>
      <c r="I4162"/>
      <c r="J4162"/>
    </row>
    <row r="4163" spans="1:10" s="2" customFormat="1">
      <c r="A4163" s="1"/>
      <c r="E4163"/>
      <c r="F4163"/>
      <c r="G4163"/>
      <c r="H4163"/>
      <c r="I4163"/>
      <c r="J4163"/>
    </row>
    <row r="4164" spans="1:10" s="2" customFormat="1">
      <c r="A4164" s="1"/>
      <c r="E4164"/>
      <c r="F4164"/>
      <c r="G4164"/>
      <c r="H4164"/>
      <c r="I4164"/>
      <c r="J4164"/>
    </row>
    <row r="4165" spans="1:10" s="2" customFormat="1">
      <c r="A4165" s="1"/>
      <c r="E4165"/>
      <c r="F4165"/>
      <c r="G4165"/>
      <c r="H4165"/>
      <c r="I4165"/>
      <c r="J4165"/>
    </row>
    <row r="4166" spans="1:10" s="2" customFormat="1">
      <c r="A4166" s="1"/>
      <c r="E4166"/>
      <c r="F4166"/>
      <c r="G4166"/>
      <c r="H4166"/>
      <c r="I4166"/>
      <c r="J4166"/>
    </row>
    <row r="4167" spans="1:10" s="2" customFormat="1">
      <c r="A4167" s="1"/>
      <c r="E4167"/>
      <c r="F4167"/>
      <c r="G4167"/>
      <c r="H4167"/>
      <c r="I4167"/>
      <c r="J4167"/>
    </row>
    <row r="4168" spans="1:10" s="2" customFormat="1">
      <c r="A4168" s="1"/>
      <c r="E4168"/>
      <c r="F4168"/>
      <c r="G4168"/>
      <c r="H4168"/>
      <c r="I4168"/>
      <c r="J4168"/>
    </row>
    <row r="4169" spans="1:10" s="2" customFormat="1">
      <c r="A4169" s="1"/>
      <c r="E4169"/>
      <c r="F4169"/>
      <c r="G4169"/>
      <c r="H4169"/>
      <c r="I4169"/>
      <c r="J4169"/>
    </row>
    <row r="4170" spans="1:10" s="2" customFormat="1">
      <c r="A4170" s="1"/>
      <c r="E4170"/>
      <c r="F4170"/>
      <c r="G4170"/>
      <c r="H4170"/>
      <c r="I4170"/>
      <c r="J4170"/>
    </row>
    <row r="4171" spans="1:10" s="2" customFormat="1">
      <c r="A4171" s="1"/>
      <c r="E4171"/>
      <c r="F4171"/>
      <c r="G4171"/>
      <c r="H4171"/>
      <c r="I4171"/>
      <c r="J4171"/>
    </row>
    <row r="4172" spans="1:10" s="2" customFormat="1">
      <c r="A4172" s="1"/>
      <c r="E4172"/>
      <c r="F4172"/>
      <c r="G4172"/>
      <c r="H4172"/>
      <c r="I4172"/>
      <c r="J4172"/>
    </row>
    <row r="4173" spans="1:10" s="2" customFormat="1">
      <c r="A4173" s="1"/>
      <c r="E4173"/>
      <c r="F4173"/>
      <c r="G4173"/>
      <c r="H4173"/>
      <c r="I4173"/>
      <c r="J4173"/>
    </row>
    <row r="4174" spans="1:10" s="2" customFormat="1">
      <c r="A4174" s="1"/>
      <c r="E4174"/>
      <c r="F4174"/>
      <c r="G4174"/>
      <c r="H4174"/>
      <c r="I4174"/>
      <c r="J4174"/>
    </row>
    <row r="4175" spans="1:10" s="2" customFormat="1">
      <c r="A4175" s="1"/>
      <c r="E4175"/>
      <c r="F4175"/>
      <c r="G4175"/>
      <c r="H4175"/>
      <c r="I4175"/>
      <c r="J4175"/>
    </row>
    <row r="4176" spans="1:10" s="2" customFormat="1">
      <c r="A4176" s="1"/>
      <c r="E4176"/>
      <c r="F4176"/>
      <c r="G4176"/>
      <c r="H4176"/>
      <c r="I4176"/>
      <c r="J4176"/>
    </row>
    <row r="4177" spans="1:10" s="2" customFormat="1">
      <c r="A4177" s="1"/>
      <c r="E4177"/>
      <c r="F4177"/>
      <c r="G4177"/>
      <c r="H4177"/>
      <c r="I4177"/>
      <c r="J4177"/>
    </row>
    <row r="4178" spans="1:10" s="2" customFormat="1">
      <c r="A4178" s="1"/>
      <c r="E4178"/>
      <c r="F4178"/>
      <c r="G4178"/>
      <c r="H4178"/>
      <c r="I4178"/>
      <c r="J4178"/>
    </row>
    <row r="4179" spans="1:10" s="2" customFormat="1">
      <c r="A4179" s="1"/>
      <c r="E4179"/>
      <c r="F4179"/>
      <c r="G4179"/>
      <c r="H4179"/>
      <c r="I4179"/>
      <c r="J4179"/>
    </row>
    <row r="4180" spans="1:10" s="2" customFormat="1">
      <c r="A4180" s="1"/>
      <c r="E4180"/>
      <c r="F4180"/>
      <c r="G4180"/>
      <c r="H4180"/>
      <c r="I4180"/>
      <c r="J4180"/>
    </row>
    <row r="4181" spans="1:10" s="2" customFormat="1">
      <c r="A4181" s="1"/>
      <c r="E4181"/>
      <c r="F4181"/>
      <c r="G4181"/>
      <c r="H4181"/>
      <c r="I4181"/>
      <c r="J4181"/>
    </row>
    <row r="4182" spans="1:10" s="2" customFormat="1">
      <c r="A4182" s="1"/>
      <c r="E4182"/>
      <c r="F4182"/>
      <c r="G4182"/>
      <c r="H4182"/>
      <c r="I4182"/>
      <c r="J4182"/>
    </row>
    <row r="4183" spans="1:10" s="2" customFormat="1">
      <c r="A4183" s="1"/>
      <c r="E4183"/>
      <c r="F4183"/>
      <c r="G4183"/>
      <c r="H4183"/>
      <c r="I4183"/>
      <c r="J4183"/>
    </row>
    <row r="4184" spans="1:10" s="2" customFormat="1">
      <c r="A4184" s="1"/>
      <c r="E4184"/>
      <c r="F4184"/>
      <c r="G4184"/>
      <c r="H4184"/>
      <c r="I4184"/>
      <c r="J4184"/>
    </row>
    <row r="4185" spans="1:10" s="2" customFormat="1">
      <c r="A4185" s="1"/>
      <c r="E4185"/>
      <c r="F4185"/>
      <c r="G4185"/>
      <c r="H4185"/>
      <c r="I4185"/>
      <c r="J4185"/>
    </row>
    <row r="4186" spans="1:10" s="2" customFormat="1">
      <c r="A4186" s="1"/>
      <c r="E4186"/>
      <c r="F4186"/>
      <c r="G4186"/>
      <c r="H4186"/>
      <c r="I4186"/>
      <c r="J4186"/>
    </row>
    <row r="4187" spans="1:10" s="2" customFormat="1">
      <c r="A4187" s="1"/>
      <c r="E4187"/>
      <c r="F4187"/>
      <c r="G4187"/>
      <c r="H4187"/>
      <c r="I4187"/>
      <c r="J4187"/>
    </row>
    <row r="4188" spans="1:10" s="2" customFormat="1">
      <c r="A4188" s="1"/>
      <c r="E4188"/>
      <c r="F4188"/>
      <c r="G4188"/>
      <c r="H4188"/>
      <c r="I4188"/>
      <c r="J4188"/>
    </row>
    <row r="4189" spans="1:10" s="2" customFormat="1">
      <c r="A4189" s="1"/>
      <c r="E4189"/>
      <c r="F4189"/>
      <c r="G4189"/>
      <c r="H4189"/>
      <c r="I4189"/>
      <c r="J4189"/>
    </row>
    <row r="4190" spans="1:10" s="2" customFormat="1">
      <c r="A4190" s="1"/>
      <c r="E4190"/>
      <c r="F4190"/>
      <c r="G4190"/>
      <c r="H4190"/>
      <c r="I4190"/>
      <c r="J4190"/>
    </row>
    <row r="4191" spans="1:10" s="2" customFormat="1">
      <c r="A4191" s="1"/>
      <c r="E4191"/>
      <c r="F4191"/>
      <c r="G4191"/>
      <c r="H4191"/>
      <c r="I4191"/>
      <c r="J4191"/>
    </row>
    <row r="4192" spans="1:10" s="2" customFormat="1">
      <c r="A4192" s="1"/>
      <c r="E4192"/>
      <c r="F4192"/>
      <c r="G4192"/>
      <c r="H4192"/>
      <c r="I4192"/>
      <c r="J4192"/>
    </row>
    <row r="4193" spans="1:10" s="2" customFormat="1">
      <c r="A4193" s="1"/>
      <c r="E4193"/>
      <c r="F4193"/>
      <c r="G4193"/>
      <c r="H4193"/>
      <c r="I4193"/>
      <c r="J4193"/>
    </row>
    <row r="4194" spans="1:10" s="2" customFormat="1">
      <c r="A4194" s="1"/>
      <c r="E4194"/>
      <c r="F4194"/>
      <c r="G4194"/>
      <c r="H4194"/>
      <c r="I4194"/>
      <c r="J4194"/>
    </row>
    <row r="4195" spans="1:10" s="2" customFormat="1">
      <c r="A4195" s="1"/>
      <c r="E4195"/>
      <c r="F4195"/>
      <c r="G4195"/>
      <c r="H4195"/>
      <c r="I4195"/>
      <c r="J4195"/>
    </row>
    <row r="4196" spans="1:10" s="2" customFormat="1">
      <c r="A4196" s="1"/>
      <c r="E4196"/>
      <c r="F4196"/>
      <c r="G4196"/>
      <c r="H4196"/>
      <c r="I4196"/>
      <c r="J4196"/>
    </row>
    <row r="4197" spans="1:10" s="2" customFormat="1">
      <c r="A4197" s="1"/>
      <c r="E4197"/>
      <c r="F4197"/>
      <c r="G4197"/>
      <c r="H4197"/>
      <c r="I4197"/>
      <c r="J4197"/>
    </row>
    <row r="4198" spans="1:10" s="2" customFormat="1">
      <c r="A4198" s="1"/>
      <c r="E4198"/>
      <c r="F4198"/>
      <c r="G4198"/>
      <c r="H4198"/>
      <c r="I4198"/>
      <c r="J4198"/>
    </row>
    <row r="4199" spans="1:10" s="2" customFormat="1">
      <c r="A4199" s="1"/>
      <c r="E4199"/>
      <c r="F4199"/>
      <c r="G4199"/>
      <c r="H4199"/>
      <c r="I4199"/>
      <c r="J4199"/>
    </row>
    <row r="4200" spans="1:10" s="2" customFormat="1">
      <c r="A4200" s="1"/>
      <c r="E4200"/>
      <c r="F4200"/>
      <c r="G4200"/>
      <c r="H4200"/>
      <c r="I4200"/>
      <c r="J4200"/>
    </row>
    <row r="4201" spans="1:10" s="2" customFormat="1">
      <c r="A4201" s="1"/>
      <c r="E4201"/>
      <c r="F4201"/>
      <c r="G4201"/>
      <c r="H4201"/>
      <c r="I4201"/>
      <c r="J4201"/>
    </row>
    <row r="4202" spans="1:10" s="2" customFormat="1">
      <c r="A4202" s="1"/>
      <c r="E4202"/>
      <c r="F4202"/>
      <c r="G4202"/>
      <c r="H4202"/>
      <c r="I4202"/>
      <c r="J4202"/>
    </row>
    <row r="4203" spans="1:10" s="2" customFormat="1">
      <c r="A4203" s="1"/>
      <c r="E4203"/>
      <c r="F4203"/>
      <c r="G4203"/>
      <c r="H4203"/>
      <c r="I4203"/>
      <c r="J4203"/>
    </row>
    <row r="4204" spans="1:10" s="2" customFormat="1">
      <c r="A4204" s="1"/>
      <c r="E4204"/>
      <c r="F4204"/>
      <c r="G4204"/>
      <c r="H4204"/>
      <c r="I4204"/>
      <c r="J4204"/>
    </row>
    <row r="4205" spans="1:10" s="2" customFormat="1">
      <c r="A4205" s="1"/>
      <c r="E4205"/>
      <c r="F4205"/>
      <c r="G4205"/>
      <c r="H4205"/>
      <c r="I4205"/>
      <c r="J4205"/>
    </row>
    <row r="4206" spans="1:10" s="2" customFormat="1">
      <c r="A4206" s="1"/>
      <c r="E4206"/>
      <c r="F4206"/>
      <c r="G4206"/>
      <c r="H4206"/>
      <c r="I4206"/>
      <c r="J4206"/>
    </row>
    <row r="4207" spans="1:10" s="2" customFormat="1">
      <c r="A4207" s="1"/>
      <c r="E4207"/>
      <c r="F4207"/>
      <c r="G4207"/>
      <c r="H4207"/>
      <c r="I4207"/>
      <c r="J4207"/>
    </row>
    <row r="4208" spans="1:10" s="2" customFormat="1">
      <c r="A4208" s="1"/>
      <c r="E4208"/>
      <c r="F4208"/>
      <c r="G4208"/>
      <c r="H4208"/>
      <c r="I4208"/>
      <c r="J4208"/>
    </row>
    <row r="4209" spans="1:10" s="2" customFormat="1">
      <c r="A4209" s="1"/>
      <c r="E4209"/>
      <c r="F4209"/>
      <c r="G4209"/>
      <c r="H4209"/>
      <c r="I4209"/>
      <c r="J4209"/>
    </row>
    <row r="4210" spans="1:10" s="2" customFormat="1">
      <c r="A4210" s="1"/>
      <c r="E4210"/>
      <c r="F4210"/>
      <c r="G4210"/>
      <c r="H4210"/>
      <c r="I4210"/>
      <c r="J4210"/>
    </row>
    <row r="4211" spans="1:10" s="2" customFormat="1">
      <c r="A4211" s="1"/>
      <c r="E4211"/>
      <c r="F4211"/>
      <c r="G4211"/>
      <c r="H4211"/>
      <c r="I4211"/>
      <c r="J4211"/>
    </row>
    <row r="4212" spans="1:10" s="2" customFormat="1">
      <c r="A4212" s="1"/>
      <c r="E4212"/>
      <c r="F4212"/>
      <c r="G4212"/>
      <c r="H4212"/>
      <c r="I4212"/>
      <c r="J4212"/>
    </row>
    <row r="4213" spans="1:10" s="2" customFormat="1">
      <c r="A4213" s="1"/>
      <c r="E4213"/>
      <c r="F4213"/>
      <c r="G4213"/>
      <c r="H4213"/>
      <c r="I4213"/>
      <c r="J4213"/>
    </row>
    <row r="4214" spans="1:10" s="2" customFormat="1">
      <c r="A4214" s="1"/>
      <c r="E4214"/>
      <c r="F4214"/>
      <c r="G4214"/>
      <c r="H4214"/>
      <c r="I4214"/>
      <c r="J4214"/>
    </row>
    <row r="4215" spans="1:10" s="2" customFormat="1">
      <c r="A4215" s="1"/>
      <c r="E4215"/>
      <c r="F4215"/>
      <c r="G4215"/>
      <c r="H4215"/>
      <c r="I4215"/>
      <c r="J4215"/>
    </row>
    <row r="4216" spans="1:10" s="2" customFormat="1">
      <c r="A4216" s="1"/>
      <c r="E4216"/>
      <c r="F4216"/>
      <c r="G4216"/>
      <c r="H4216"/>
      <c r="I4216"/>
      <c r="J4216"/>
    </row>
    <row r="4217" spans="1:10" s="2" customFormat="1">
      <c r="A4217" s="1"/>
      <c r="E4217"/>
      <c r="F4217"/>
      <c r="G4217"/>
      <c r="H4217"/>
      <c r="I4217"/>
      <c r="J4217"/>
    </row>
    <row r="4218" spans="1:10" s="2" customFormat="1">
      <c r="A4218" s="1"/>
      <c r="E4218"/>
      <c r="F4218"/>
      <c r="G4218"/>
      <c r="H4218"/>
      <c r="I4218"/>
      <c r="J4218"/>
    </row>
    <row r="4219" spans="1:10" s="2" customFormat="1">
      <c r="A4219" s="1"/>
      <c r="E4219"/>
      <c r="F4219"/>
      <c r="G4219"/>
      <c r="H4219"/>
      <c r="I4219"/>
      <c r="J4219"/>
    </row>
    <row r="4220" spans="1:10" s="2" customFormat="1">
      <c r="A4220" s="1"/>
      <c r="E4220"/>
      <c r="F4220"/>
      <c r="G4220"/>
      <c r="H4220"/>
      <c r="I4220"/>
      <c r="J4220"/>
    </row>
    <row r="4221" spans="1:10" s="2" customFormat="1">
      <c r="A4221" s="1"/>
      <c r="E4221"/>
      <c r="F4221"/>
      <c r="G4221"/>
      <c r="H4221"/>
      <c r="I4221"/>
      <c r="J4221"/>
    </row>
    <row r="4222" spans="1:10" s="2" customFormat="1">
      <c r="A4222" s="1"/>
      <c r="E4222"/>
      <c r="F4222"/>
      <c r="G4222"/>
      <c r="H4222"/>
      <c r="I4222"/>
      <c r="J4222"/>
    </row>
    <row r="4223" spans="1:10" s="2" customFormat="1">
      <c r="A4223" s="1"/>
      <c r="E4223"/>
      <c r="F4223"/>
      <c r="G4223"/>
      <c r="H4223"/>
      <c r="I4223"/>
      <c r="J4223"/>
    </row>
    <row r="4224" spans="1:10" s="2" customFormat="1">
      <c r="A4224" s="1"/>
      <c r="E4224"/>
      <c r="F4224"/>
      <c r="G4224"/>
      <c r="H4224"/>
      <c r="I4224"/>
      <c r="J4224"/>
    </row>
    <row r="4225" spans="1:10" s="2" customFormat="1">
      <c r="A4225" s="1"/>
      <c r="E4225"/>
      <c r="F4225"/>
      <c r="G4225"/>
      <c r="H4225"/>
      <c r="I4225"/>
      <c r="J4225"/>
    </row>
    <row r="4226" spans="1:10" s="2" customFormat="1">
      <c r="A4226" s="1"/>
      <c r="E4226"/>
      <c r="F4226"/>
      <c r="G4226"/>
      <c r="H4226"/>
      <c r="I4226"/>
      <c r="J4226"/>
    </row>
    <row r="4227" spans="1:10" s="2" customFormat="1">
      <c r="A4227" s="1"/>
      <c r="E4227"/>
      <c r="F4227"/>
      <c r="G4227"/>
      <c r="H4227"/>
      <c r="I4227"/>
      <c r="J4227"/>
    </row>
    <row r="4228" spans="1:10" s="2" customFormat="1">
      <c r="A4228" s="1"/>
      <c r="E4228"/>
      <c r="F4228"/>
      <c r="G4228"/>
      <c r="H4228"/>
      <c r="I4228"/>
      <c r="J4228"/>
    </row>
    <row r="4229" spans="1:10" s="2" customFormat="1">
      <c r="A4229" s="1"/>
      <c r="E4229"/>
      <c r="F4229"/>
      <c r="G4229"/>
      <c r="H4229"/>
      <c r="I4229"/>
      <c r="J4229"/>
    </row>
    <row r="4230" spans="1:10" s="2" customFormat="1">
      <c r="A4230" s="1"/>
      <c r="E4230"/>
      <c r="F4230"/>
      <c r="G4230"/>
      <c r="H4230"/>
      <c r="I4230"/>
      <c r="J4230"/>
    </row>
    <row r="4231" spans="1:10" s="2" customFormat="1">
      <c r="A4231" s="1"/>
      <c r="E4231"/>
      <c r="F4231"/>
      <c r="G4231"/>
      <c r="H4231"/>
      <c r="I4231"/>
      <c r="J4231"/>
    </row>
    <row r="4232" spans="1:10" s="2" customFormat="1">
      <c r="A4232" s="1"/>
      <c r="E4232"/>
      <c r="F4232"/>
      <c r="G4232"/>
      <c r="H4232"/>
      <c r="I4232"/>
      <c r="J4232"/>
    </row>
    <row r="4233" spans="1:10" s="2" customFormat="1">
      <c r="A4233" s="1"/>
      <c r="E4233"/>
      <c r="F4233"/>
      <c r="G4233"/>
      <c r="H4233"/>
      <c r="I4233"/>
      <c r="J4233"/>
    </row>
    <row r="4234" spans="1:10" s="2" customFormat="1">
      <c r="A4234" s="1"/>
      <c r="E4234"/>
      <c r="F4234"/>
      <c r="G4234"/>
      <c r="H4234"/>
      <c r="I4234"/>
      <c r="J4234"/>
    </row>
    <row r="4235" spans="1:10" s="2" customFormat="1">
      <c r="A4235" s="1"/>
      <c r="E4235"/>
      <c r="F4235"/>
      <c r="G4235"/>
      <c r="H4235"/>
      <c r="I4235"/>
      <c r="J4235"/>
    </row>
    <row r="4236" spans="1:10" s="2" customFormat="1">
      <c r="A4236" s="1"/>
      <c r="E4236"/>
      <c r="F4236"/>
      <c r="G4236"/>
      <c r="H4236"/>
      <c r="I4236"/>
      <c r="J4236"/>
    </row>
    <row r="4237" spans="1:10" s="2" customFormat="1">
      <c r="A4237" s="1"/>
      <c r="E4237"/>
      <c r="F4237"/>
      <c r="G4237"/>
      <c r="H4237"/>
      <c r="I4237"/>
      <c r="J4237"/>
    </row>
    <row r="4238" spans="1:10" s="2" customFormat="1">
      <c r="A4238" s="1"/>
      <c r="E4238"/>
      <c r="F4238"/>
      <c r="G4238"/>
      <c r="H4238"/>
      <c r="I4238"/>
      <c r="J4238"/>
    </row>
    <row r="4239" spans="1:10" s="2" customFormat="1">
      <c r="A4239" s="1"/>
      <c r="E4239"/>
      <c r="F4239"/>
      <c r="G4239"/>
      <c r="H4239"/>
      <c r="I4239"/>
      <c r="J4239"/>
    </row>
    <row r="4240" spans="1:10" s="2" customFormat="1">
      <c r="A4240" s="1"/>
      <c r="E4240"/>
      <c r="F4240"/>
      <c r="G4240"/>
      <c r="H4240"/>
      <c r="I4240"/>
      <c r="J4240"/>
    </row>
    <row r="4241" spans="1:10" s="2" customFormat="1">
      <c r="A4241" s="1"/>
      <c r="E4241"/>
      <c r="F4241"/>
      <c r="G4241"/>
      <c r="H4241"/>
      <c r="I4241"/>
      <c r="J4241"/>
    </row>
    <row r="4242" spans="1:10" s="2" customFormat="1">
      <c r="A4242" s="1"/>
      <c r="E4242"/>
      <c r="F4242"/>
      <c r="G4242"/>
      <c r="H4242"/>
      <c r="I4242"/>
      <c r="J4242"/>
    </row>
    <row r="4243" spans="1:10" s="2" customFormat="1">
      <c r="A4243" s="1"/>
      <c r="E4243"/>
      <c r="F4243"/>
      <c r="G4243"/>
      <c r="H4243"/>
      <c r="I4243"/>
      <c r="J4243"/>
    </row>
    <row r="4244" spans="1:10" s="2" customFormat="1">
      <c r="A4244" s="1"/>
      <c r="E4244"/>
      <c r="F4244"/>
      <c r="G4244"/>
      <c r="H4244"/>
      <c r="I4244"/>
      <c r="J4244"/>
    </row>
    <row r="4245" spans="1:10" s="2" customFormat="1">
      <c r="A4245" s="1"/>
      <c r="E4245"/>
      <c r="F4245"/>
      <c r="G4245"/>
      <c r="H4245"/>
      <c r="I4245"/>
      <c r="J4245"/>
    </row>
    <row r="4246" spans="1:10" s="2" customFormat="1">
      <c r="A4246" s="1"/>
      <c r="E4246"/>
      <c r="F4246"/>
      <c r="G4246"/>
      <c r="H4246"/>
      <c r="I4246"/>
      <c r="J4246"/>
    </row>
    <row r="4247" spans="1:10" s="2" customFormat="1">
      <c r="A4247" s="1"/>
      <c r="E4247"/>
      <c r="F4247"/>
      <c r="G4247"/>
      <c r="H4247"/>
      <c r="I4247"/>
      <c r="J4247"/>
    </row>
    <row r="4248" spans="1:10" s="2" customFormat="1">
      <c r="A4248" s="1"/>
      <c r="E4248"/>
      <c r="F4248"/>
      <c r="G4248"/>
      <c r="H4248"/>
      <c r="I4248"/>
      <c r="J4248"/>
    </row>
    <row r="4249" spans="1:10" s="2" customFormat="1">
      <c r="A4249" s="1"/>
      <c r="E4249"/>
      <c r="F4249"/>
      <c r="G4249"/>
      <c r="H4249"/>
      <c r="I4249"/>
      <c r="J4249"/>
    </row>
    <row r="4250" spans="1:10" s="2" customFormat="1">
      <c r="A4250" s="1"/>
      <c r="E4250"/>
      <c r="F4250"/>
      <c r="G4250"/>
      <c r="H4250"/>
      <c r="I4250"/>
      <c r="J4250"/>
    </row>
    <row r="4251" spans="1:10" s="2" customFormat="1">
      <c r="A4251" s="1"/>
      <c r="E4251"/>
      <c r="F4251"/>
      <c r="G4251"/>
      <c r="H4251"/>
      <c r="I4251"/>
      <c r="J4251"/>
    </row>
    <row r="4252" spans="1:10" s="2" customFormat="1">
      <c r="A4252" s="1"/>
      <c r="E4252"/>
      <c r="F4252"/>
      <c r="G4252"/>
      <c r="H4252"/>
      <c r="I4252"/>
      <c r="J4252"/>
    </row>
    <row r="4253" spans="1:10" s="2" customFormat="1">
      <c r="A4253" s="1"/>
      <c r="E4253"/>
      <c r="F4253"/>
      <c r="G4253"/>
      <c r="H4253"/>
      <c r="I4253"/>
      <c r="J4253"/>
    </row>
    <row r="4254" spans="1:10" s="2" customFormat="1">
      <c r="A4254" s="1"/>
      <c r="E4254"/>
      <c r="F4254"/>
      <c r="G4254"/>
      <c r="H4254"/>
      <c r="I4254"/>
      <c r="J4254"/>
    </row>
    <row r="4255" spans="1:10" s="2" customFormat="1">
      <c r="A4255" s="1"/>
      <c r="E4255"/>
      <c r="F4255"/>
      <c r="G4255"/>
      <c r="H4255"/>
      <c r="I4255"/>
      <c r="J4255"/>
    </row>
    <row r="4256" spans="1:10" s="2" customFormat="1">
      <c r="A4256" s="1"/>
      <c r="E4256"/>
      <c r="F4256"/>
      <c r="G4256"/>
      <c r="H4256"/>
      <c r="I4256"/>
      <c r="J4256"/>
    </row>
    <row r="4257" spans="1:10" s="2" customFormat="1">
      <c r="A4257" s="1"/>
      <c r="E4257"/>
      <c r="F4257"/>
      <c r="G4257"/>
      <c r="H4257"/>
      <c r="I4257"/>
      <c r="J4257"/>
    </row>
    <row r="4258" spans="1:10" s="2" customFormat="1">
      <c r="A4258" s="1"/>
      <c r="E4258"/>
      <c r="F4258"/>
      <c r="G4258"/>
      <c r="H4258"/>
      <c r="I4258"/>
      <c r="J4258"/>
    </row>
    <row r="4259" spans="1:10" s="2" customFormat="1">
      <c r="A4259" s="1"/>
      <c r="E4259"/>
      <c r="F4259"/>
      <c r="G4259"/>
      <c r="H4259"/>
      <c r="I4259"/>
      <c r="J4259"/>
    </row>
    <row r="4260" spans="1:10" s="2" customFormat="1">
      <c r="A4260" s="1"/>
      <c r="E4260"/>
      <c r="F4260"/>
      <c r="G4260"/>
      <c r="H4260"/>
      <c r="I4260"/>
      <c r="J4260"/>
    </row>
    <row r="4261" spans="1:10" s="2" customFormat="1">
      <c r="A4261" s="1"/>
      <c r="E4261"/>
      <c r="F4261"/>
      <c r="G4261"/>
      <c r="H4261"/>
      <c r="I4261"/>
      <c r="J4261"/>
    </row>
    <row r="4262" spans="1:10" s="2" customFormat="1">
      <c r="A4262" s="1"/>
      <c r="E4262"/>
      <c r="F4262"/>
      <c r="G4262"/>
      <c r="H4262"/>
      <c r="I4262"/>
      <c r="J4262"/>
    </row>
    <row r="4263" spans="1:10" s="2" customFormat="1">
      <c r="A4263" s="1"/>
      <c r="E4263"/>
      <c r="F4263"/>
      <c r="G4263"/>
      <c r="H4263"/>
      <c r="I4263"/>
      <c r="J4263"/>
    </row>
    <row r="4264" spans="1:10" s="2" customFormat="1">
      <c r="A4264" s="1"/>
      <c r="E4264"/>
      <c r="F4264"/>
      <c r="G4264"/>
      <c r="H4264"/>
      <c r="I4264"/>
      <c r="J4264"/>
    </row>
    <row r="4265" spans="1:10" s="2" customFormat="1">
      <c r="A4265" s="1"/>
      <c r="E4265"/>
      <c r="F4265"/>
      <c r="G4265"/>
      <c r="H4265"/>
      <c r="I4265"/>
      <c r="J4265"/>
    </row>
    <row r="4266" spans="1:10" s="2" customFormat="1">
      <c r="A4266" s="1"/>
      <c r="E4266"/>
      <c r="F4266"/>
      <c r="G4266"/>
      <c r="H4266"/>
      <c r="I4266"/>
      <c r="J4266"/>
    </row>
    <row r="4267" spans="1:10" s="2" customFormat="1">
      <c r="A4267" s="1"/>
      <c r="E4267"/>
      <c r="F4267"/>
      <c r="G4267"/>
      <c r="H4267"/>
      <c r="I4267"/>
      <c r="J4267"/>
    </row>
    <row r="4268" spans="1:10" s="2" customFormat="1">
      <c r="A4268" s="1"/>
      <c r="E4268"/>
      <c r="F4268"/>
      <c r="G4268"/>
      <c r="H4268"/>
      <c r="I4268"/>
      <c r="J4268"/>
    </row>
    <row r="4269" spans="1:10" s="2" customFormat="1">
      <c r="A4269" s="1"/>
      <c r="E4269"/>
      <c r="F4269"/>
      <c r="G4269"/>
      <c r="H4269"/>
      <c r="I4269"/>
      <c r="J4269"/>
    </row>
    <row r="4270" spans="1:10" s="2" customFormat="1">
      <c r="A4270" s="1"/>
      <c r="E4270"/>
      <c r="F4270"/>
      <c r="G4270"/>
      <c r="H4270"/>
      <c r="I4270"/>
      <c r="J4270"/>
    </row>
    <row r="4271" spans="1:10" s="2" customFormat="1">
      <c r="A4271" s="1"/>
      <c r="E4271"/>
      <c r="F4271"/>
      <c r="G4271"/>
      <c r="H4271"/>
      <c r="I4271"/>
      <c r="J4271"/>
    </row>
    <row r="4272" spans="1:10" s="2" customFormat="1">
      <c r="A4272" s="1"/>
      <c r="E4272"/>
      <c r="F4272"/>
      <c r="G4272"/>
      <c r="H4272"/>
      <c r="I4272"/>
      <c r="J4272"/>
    </row>
    <row r="4273" spans="1:10" s="2" customFormat="1">
      <c r="A4273" s="1"/>
      <c r="E4273"/>
      <c r="F4273"/>
      <c r="G4273"/>
      <c r="H4273"/>
      <c r="I4273"/>
      <c r="J4273"/>
    </row>
    <row r="4274" spans="1:10" s="2" customFormat="1">
      <c r="A4274" s="1"/>
      <c r="E4274"/>
      <c r="F4274"/>
      <c r="G4274"/>
      <c r="H4274"/>
      <c r="I4274"/>
      <c r="J4274"/>
    </row>
    <row r="4275" spans="1:10" s="2" customFormat="1">
      <c r="A4275" s="1"/>
      <c r="E4275"/>
      <c r="F4275"/>
      <c r="G4275"/>
      <c r="H4275"/>
      <c r="I4275"/>
      <c r="J4275"/>
    </row>
    <row r="4276" spans="1:10" s="2" customFormat="1">
      <c r="A4276" s="1"/>
      <c r="E4276"/>
      <c r="F4276"/>
      <c r="G4276"/>
      <c r="H4276"/>
      <c r="I4276"/>
      <c r="J4276"/>
    </row>
    <row r="4277" spans="1:10" s="2" customFormat="1">
      <c r="A4277" s="1"/>
      <c r="E4277"/>
      <c r="F4277"/>
      <c r="G4277"/>
      <c r="H4277"/>
      <c r="I4277"/>
      <c r="J4277"/>
    </row>
    <row r="4278" spans="1:10" s="2" customFormat="1">
      <c r="A4278" s="1"/>
      <c r="E4278"/>
      <c r="F4278"/>
      <c r="G4278"/>
      <c r="H4278"/>
      <c r="I4278"/>
      <c r="J4278"/>
    </row>
    <row r="4279" spans="1:10" s="2" customFormat="1">
      <c r="A4279" s="1"/>
      <c r="E4279"/>
      <c r="F4279"/>
      <c r="G4279"/>
      <c r="H4279"/>
      <c r="I4279"/>
      <c r="J4279"/>
    </row>
    <row r="4280" spans="1:10" s="2" customFormat="1">
      <c r="A4280" s="1"/>
      <c r="E4280"/>
      <c r="F4280"/>
      <c r="G4280"/>
      <c r="H4280"/>
      <c r="I4280"/>
      <c r="J4280"/>
    </row>
    <row r="4281" spans="1:10" s="2" customFormat="1">
      <c r="A4281" s="1"/>
      <c r="E4281"/>
      <c r="F4281"/>
      <c r="G4281"/>
      <c r="H4281"/>
      <c r="I4281"/>
      <c r="J4281"/>
    </row>
    <row r="4282" spans="1:10" s="2" customFormat="1">
      <c r="A4282" s="1"/>
      <c r="E4282"/>
      <c r="F4282"/>
      <c r="G4282"/>
      <c r="H4282"/>
      <c r="I4282"/>
      <c r="J4282"/>
    </row>
    <row r="4283" spans="1:10" s="2" customFormat="1">
      <c r="A4283" s="1"/>
      <c r="E4283"/>
      <c r="F4283"/>
      <c r="G4283"/>
      <c r="H4283"/>
      <c r="I4283"/>
      <c r="J4283"/>
    </row>
    <row r="4284" spans="1:10" s="2" customFormat="1">
      <c r="A4284" s="1"/>
      <c r="E4284"/>
      <c r="F4284"/>
      <c r="G4284"/>
      <c r="H4284"/>
      <c r="I4284"/>
      <c r="J4284"/>
    </row>
    <row r="4285" spans="1:10" s="2" customFormat="1">
      <c r="A4285" s="1"/>
      <c r="E4285"/>
      <c r="F4285"/>
      <c r="G4285"/>
      <c r="H4285"/>
      <c r="I4285"/>
      <c r="J4285"/>
    </row>
    <row r="4286" spans="1:10" s="2" customFormat="1">
      <c r="A4286" s="1"/>
      <c r="E4286"/>
      <c r="F4286"/>
      <c r="G4286"/>
      <c r="H4286"/>
      <c r="I4286"/>
      <c r="J4286"/>
    </row>
    <row r="4287" spans="1:10" s="2" customFormat="1">
      <c r="A4287" s="1"/>
      <c r="E4287"/>
      <c r="F4287"/>
      <c r="G4287"/>
      <c r="H4287"/>
      <c r="I4287"/>
      <c r="J4287"/>
    </row>
    <row r="4288" spans="1:10" s="2" customFormat="1">
      <c r="A4288" s="1"/>
      <c r="E4288"/>
      <c r="F4288"/>
      <c r="G4288"/>
      <c r="H4288"/>
      <c r="I4288"/>
      <c r="J4288"/>
    </row>
    <row r="4289" spans="1:10" s="2" customFormat="1">
      <c r="A4289" s="1"/>
      <c r="E4289"/>
      <c r="F4289"/>
      <c r="G4289"/>
      <c r="H4289"/>
      <c r="I4289"/>
      <c r="J4289"/>
    </row>
    <row r="4290" spans="1:10" s="2" customFormat="1">
      <c r="A4290" s="1"/>
      <c r="E4290"/>
      <c r="F4290"/>
      <c r="G4290"/>
      <c r="H4290"/>
      <c r="I4290"/>
      <c r="J4290"/>
    </row>
    <row r="4291" spans="1:10" s="2" customFormat="1">
      <c r="A4291" s="1"/>
      <c r="E4291"/>
      <c r="F4291"/>
      <c r="G4291"/>
      <c r="H4291"/>
      <c r="I4291"/>
      <c r="J4291"/>
    </row>
    <row r="4292" spans="1:10" s="2" customFormat="1">
      <c r="A4292" s="1"/>
      <c r="E4292"/>
      <c r="F4292"/>
      <c r="G4292"/>
      <c r="H4292"/>
      <c r="I4292"/>
      <c r="J4292"/>
    </row>
    <row r="4293" spans="1:10" s="2" customFormat="1">
      <c r="A4293" s="1"/>
      <c r="E4293"/>
      <c r="F4293"/>
      <c r="G4293"/>
      <c r="H4293"/>
      <c r="I4293"/>
      <c r="J4293"/>
    </row>
    <row r="4294" spans="1:10" s="2" customFormat="1">
      <c r="A4294" s="1"/>
      <c r="E4294"/>
      <c r="F4294"/>
      <c r="G4294"/>
      <c r="H4294"/>
      <c r="I4294"/>
      <c r="J4294"/>
    </row>
    <row r="4295" spans="1:10" s="2" customFormat="1">
      <c r="A4295" s="1"/>
      <c r="E4295"/>
      <c r="F4295"/>
      <c r="G4295"/>
      <c r="H4295"/>
      <c r="I4295"/>
      <c r="J4295"/>
    </row>
    <row r="4296" spans="1:10" s="2" customFormat="1">
      <c r="A4296" s="1"/>
      <c r="E4296"/>
      <c r="F4296"/>
      <c r="G4296"/>
      <c r="H4296"/>
      <c r="I4296"/>
      <c r="J4296"/>
    </row>
    <row r="4297" spans="1:10" s="2" customFormat="1">
      <c r="A4297" s="1"/>
      <c r="E4297"/>
      <c r="F4297"/>
      <c r="G4297"/>
      <c r="H4297"/>
      <c r="I4297"/>
      <c r="J4297"/>
    </row>
    <row r="4298" spans="1:10" s="2" customFormat="1">
      <c r="A4298" s="1"/>
      <c r="E4298"/>
      <c r="F4298"/>
      <c r="G4298"/>
      <c r="H4298"/>
      <c r="I4298"/>
      <c r="J4298"/>
    </row>
    <row r="4299" spans="1:10" s="2" customFormat="1">
      <c r="A4299" s="1"/>
      <c r="E4299"/>
      <c r="F4299"/>
      <c r="G4299"/>
      <c r="H4299"/>
      <c r="I4299"/>
      <c r="J4299"/>
    </row>
    <row r="4300" spans="1:10" s="2" customFormat="1">
      <c r="A4300" s="1"/>
      <c r="E4300"/>
      <c r="F4300"/>
      <c r="G4300"/>
      <c r="H4300"/>
      <c r="I4300"/>
      <c r="J4300"/>
    </row>
    <row r="4301" spans="1:10" s="2" customFormat="1">
      <c r="A4301" s="1"/>
      <c r="E4301"/>
      <c r="F4301"/>
      <c r="G4301"/>
      <c r="H4301"/>
      <c r="I4301"/>
      <c r="J4301"/>
    </row>
    <row r="4302" spans="1:10" s="2" customFormat="1">
      <c r="A4302" s="1"/>
      <c r="E4302"/>
      <c r="F4302"/>
      <c r="G4302"/>
      <c r="H4302"/>
      <c r="I4302"/>
      <c r="J4302"/>
    </row>
    <row r="4303" spans="1:10" s="2" customFormat="1">
      <c r="A4303" s="1"/>
      <c r="E4303"/>
      <c r="F4303"/>
      <c r="G4303"/>
      <c r="H4303"/>
      <c r="I4303"/>
      <c r="J4303"/>
    </row>
    <row r="4304" spans="1:10" s="2" customFormat="1">
      <c r="A4304" s="1"/>
      <c r="E4304"/>
      <c r="F4304"/>
      <c r="G4304"/>
      <c r="H4304"/>
      <c r="I4304"/>
      <c r="J4304"/>
    </row>
    <row r="4305" spans="1:10" s="2" customFormat="1">
      <c r="A4305" s="1"/>
      <c r="E4305"/>
      <c r="F4305"/>
      <c r="G4305"/>
      <c r="H4305"/>
      <c r="I4305"/>
      <c r="J4305"/>
    </row>
    <row r="4306" spans="1:10" s="2" customFormat="1">
      <c r="A4306" s="1"/>
      <c r="E4306"/>
      <c r="F4306"/>
      <c r="G4306"/>
      <c r="H4306"/>
      <c r="I4306"/>
      <c r="J4306"/>
    </row>
    <row r="4307" spans="1:10" s="2" customFormat="1">
      <c r="A4307" s="1"/>
      <c r="E4307"/>
      <c r="F4307"/>
      <c r="G4307"/>
      <c r="H4307"/>
      <c r="I4307"/>
      <c r="J4307"/>
    </row>
    <row r="4308" spans="1:10" s="2" customFormat="1">
      <c r="A4308" s="1"/>
      <c r="E4308"/>
      <c r="F4308"/>
      <c r="G4308"/>
      <c r="H4308"/>
      <c r="I4308"/>
      <c r="J4308"/>
    </row>
    <row r="4309" spans="1:10" s="2" customFormat="1">
      <c r="A4309" s="1"/>
      <c r="E4309"/>
      <c r="F4309"/>
      <c r="G4309"/>
      <c r="H4309"/>
      <c r="I4309"/>
      <c r="J4309"/>
    </row>
    <row r="4310" spans="1:10" s="2" customFormat="1">
      <c r="A4310" s="1"/>
      <c r="E4310"/>
      <c r="F4310"/>
      <c r="G4310"/>
      <c r="H4310"/>
      <c r="I4310"/>
      <c r="J4310"/>
    </row>
    <row r="4311" spans="1:10" s="2" customFormat="1">
      <c r="A4311" s="1"/>
      <c r="E4311"/>
      <c r="F4311"/>
      <c r="G4311"/>
      <c r="H4311"/>
      <c r="I4311"/>
      <c r="J4311"/>
    </row>
    <row r="4312" spans="1:10" s="2" customFormat="1">
      <c r="A4312" s="1"/>
      <c r="E4312"/>
      <c r="F4312"/>
      <c r="G4312"/>
      <c r="H4312"/>
      <c r="I4312"/>
      <c r="J4312"/>
    </row>
    <row r="4313" spans="1:10" s="2" customFormat="1">
      <c r="A4313" s="1"/>
      <c r="E4313"/>
      <c r="F4313"/>
      <c r="G4313"/>
      <c r="H4313"/>
      <c r="I4313"/>
      <c r="J4313"/>
    </row>
    <row r="4314" spans="1:10" s="2" customFormat="1">
      <c r="A4314" s="1"/>
      <c r="E4314"/>
      <c r="F4314"/>
      <c r="G4314"/>
      <c r="H4314"/>
      <c r="I4314"/>
      <c r="J4314"/>
    </row>
    <row r="4315" spans="1:10" s="2" customFormat="1">
      <c r="A4315" s="1"/>
      <c r="E4315"/>
      <c r="F4315"/>
      <c r="G4315"/>
      <c r="H4315"/>
      <c r="I4315"/>
      <c r="J4315"/>
    </row>
    <row r="4316" spans="1:10" s="2" customFormat="1">
      <c r="A4316" s="1"/>
      <c r="E4316"/>
      <c r="F4316"/>
      <c r="G4316"/>
      <c r="H4316"/>
      <c r="I4316"/>
      <c r="J4316"/>
    </row>
    <row r="4317" spans="1:10" s="2" customFormat="1">
      <c r="A4317" s="1"/>
      <c r="E4317"/>
      <c r="F4317"/>
      <c r="G4317"/>
      <c r="H4317"/>
      <c r="I4317"/>
      <c r="J4317"/>
    </row>
    <row r="4318" spans="1:10" s="2" customFormat="1">
      <c r="A4318" s="1"/>
      <c r="E4318"/>
      <c r="F4318"/>
      <c r="G4318"/>
      <c r="H4318"/>
      <c r="I4318"/>
      <c r="J4318"/>
    </row>
    <row r="4319" spans="1:10" s="2" customFormat="1">
      <c r="A4319" s="1"/>
      <c r="E4319"/>
      <c r="F4319"/>
      <c r="G4319"/>
      <c r="H4319"/>
      <c r="I4319"/>
      <c r="J4319"/>
    </row>
    <row r="4320" spans="1:10" s="2" customFormat="1">
      <c r="A4320" s="1"/>
      <c r="E4320"/>
      <c r="F4320"/>
      <c r="G4320"/>
      <c r="H4320"/>
      <c r="I4320"/>
      <c r="J4320"/>
    </row>
    <row r="4321" spans="1:10" s="2" customFormat="1">
      <c r="A4321" s="1"/>
      <c r="E4321"/>
      <c r="F4321"/>
      <c r="G4321"/>
      <c r="H4321"/>
      <c r="I4321"/>
      <c r="J4321"/>
    </row>
    <row r="4322" spans="1:10" s="2" customFormat="1">
      <c r="A4322" s="1"/>
      <c r="E4322"/>
      <c r="F4322"/>
      <c r="G4322"/>
      <c r="H4322"/>
      <c r="I4322"/>
      <c r="J4322"/>
    </row>
    <row r="4323" spans="1:10" s="2" customFormat="1">
      <c r="A4323" s="1"/>
      <c r="E4323"/>
      <c r="F4323"/>
      <c r="G4323"/>
      <c r="H4323"/>
      <c r="I4323"/>
      <c r="J4323"/>
    </row>
    <row r="4324" spans="1:10" s="2" customFormat="1">
      <c r="A4324" s="1"/>
      <c r="E4324"/>
      <c r="F4324"/>
      <c r="G4324"/>
      <c r="H4324"/>
      <c r="I4324"/>
      <c r="J4324"/>
    </row>
    <row r="4325" spans="1:10" s="2" customFormat="1">
      <c r="A4325" s="1"/>
      <c r="E4325"/>
      <c r="F4325"/>
      <c r="G4325"/>
      <c r="H4325"/>
      <c r="I4325"/>
      <c r="J4325"/>
    </row>
    <row r="4326" spans="1:10" s="2" customFormat="1">
      <c r="A4326" s="1"/>
      <c r="E4326"/>
      <c r="F4326"/>
      <c r="G4326"/>
      <c r="H4326"/>
      <c r="I4326"/>
      <c r="J4326"/>
    </row>
    <row r="4327" spans="1:10" s="2" customFormat="1">
      <c r="A4327" s="1"/>
      <c r="E4327"/>
      <c r="F4327"/>
      <c r="G4327"/>
      <c r="H4327"/>
      <c r="I4327"/>
      <c r="J4327"/>
    </row>
    <row r="4328" spans="1:10" s="2" customFormat="1">
      <c r="A4328" s="1"/>
      <c r="E4328"/>
      <c r="F4328"/>
      <c r="G4328"/>
      <c r="H4328"/>
      <c r="I4328"/>
      <c r="J4328"/>
    </row>
    <row r="4329" spans="1:10" s="2" customFormat="1">
      <c r="A4329" s="1"/>
      <c r="E4329"/>
      <c r="F4329"/>
      <c r="G4329"/>
      <c r="H4329"/>
      <c r="I4329"/>
      <c r="J4329"/>
    </row>
    <row r="4330" spans="1:10" s="2" customFormat="1">
      <c r="A4330" s="1"/>
      <c r="E4330"/>
      <c r="F4330"/>
      <c r="G4330"/>
      <c r="H4330"/>
      <c r="I4330"/>
      <c r="J4330"/>
    </row>
    <row r="4331" spans="1:10" s="2" customFormat="1">
      <c r="A4331" s="1"/>
      <c r="E4331"/>
      <c r="F4331"/>
      <c r="G4331"/>
      <c r="H4331"/>
      <c r="I4331"/>
      <c r="J4331"/>
    </row>
    <row r="4332" spans="1:10" s="2" customFormat="1">
      <c r="A4332" s="1"/>
      <c r="E4332"/>
      <c r="F4332"/>
      <c r="G4332"/>
      <c r="H4332"/>
      <c r="I4332"/>
      <c r="J4332"/>
    </row>
    <row r="4333" spans="1:10" s="2" customFormat="1">
      <c r="A4333" s="1"/>
      <c r="E4333"/>
      <c r="F4333"/>
      <c r="G4333"/>
      <c r="H4333"/>
      <c r="I4333"/>
      <c r="J4333"/>
    </row>
    <row r="4334" spans="1:10" s="2" customFormat="1">
      <c r="A4334" s="1"/>
      <c r="E4334"/>
      <c r="F4334"/>
      <c r="G4334"/>
      <c r="H4334"/>
      <c r="I4334"/>
      <c r="J4334"/>
    </row>
    <row r="4335" spans="1:10" s="2" customFormat="1">
      <c r="A4335" s="1"/>
      <c r="E4335"/>
      <c r="F4335"/>
      <c r="G4335"/>
      <c r="H4335"/>
      <c r="I4335"/>
      <c r="J4335"/>
    </row>
    <row r="4336" spans="1:10" s="2" customFormat="1">
      <c r="A4336" s="1"/>
      <c r="E4336"/>
      <c r="F4336"/>
      <c r="G4336"/>
      <c r="H4336"/>
      <c r="I4336"/>
      <c r="J4336"/>
    </row>
    <row r="4337" spans="1:10" s="2" customFormat="1">
      <c r="A4337" s="1"/>
      <c r="E4337"/>
      <c r="F4337"/>
      <c r="G4337"/>
      <c r="H4337"/>
      <c r="I4337"/>
      <c r="J4337"/>
    </row>
    <row r="4338" spans="1:10" s="2" customFormat="1">
      <c r="A4338" s="1"/>
      <c r="E4338"/>
      <c r="F4338"/>
      <c r="G4338"/>
      <c r="H4338"/>
      <c r="I4338"/>
      <c r="J4338"/>
    </row>
    <row r="4339" spans="1:10" s="2" customFormat="1">
      <c r="A4339" s="1"/>
      <c r="E4339"/>
      <c r="F4339"/>
      <c r="G4339"/>
      <c r="H4339"/>
      <c r="I4339"/>
      <c r="J4339"/>
    </row>
    <row r="4340" spans="1:10" s="2" customFormat="1">
      <c r="A4340" s="1"/>
      <c r="E4340"/>
      <c r="F4340"/>
      <c r="G4340"/>
      <c r="H4340"/>
      <c r="I4340"/>
      <c r="J4340"/>
    </row>
    <row r="4341" spans="1:10" s="2" customFormat="1">
      <c r="A4341" s="1"/>
      <c r="E4341"/>
      <c r="F4341"/>
      <c r="G4341"/>
      <c r="H4341"/>
      <c r="I4341"/>
      <c r="J4341"/>
    </row>
    <row r="4342" spans="1:10" s="2" customFormat="1">
      <c r="A4342" s="1"/>
      <c r="E4342"/>
      <c r="F4342"/>
      <c r="G4342"/>
      <c r="H4342"/>
      <c r="I4342"/>
      <c r="J4342"/>
    </row>
    <row r="4343" spans="1:10" s="2" customFormat="1">
      <c r="A4343" s="1"/>
      <c r="E4343"/>
      <c r="F4343"/>
      <c r="G4343"/>
      <c r="H4343"/>
      <c r="I4343"/>
      <c r="J4343"/>
    </row>
    <row r="4344" spans="1:10" s="2" customFormat="1">
      <c r="A4344" s="1"/>
      <c r="E4344"/>
      <c r="F4344"/>
      <c r="G4344"/>
      <c r="H4344"/>
      <c r="I4344"/>
      <c r="J4344"/>
    </row>
    <row r="4345" spans="1:10" s="2" customFormat="1">
      <c r="A4345" s="1"/>
      <c r="E4345"/>
      <c r="F4345"/>
      <c r="G4345"/>
      <c r="H4345"/>
      <c r="I4345"/>
      <c r="J4345"/>
    </row>
    <row r="4346" spans="1:10" s="2" customFormat="1">
      <c r="A4346" s="1"/>
      <c r="E4346"/>
      <c r="F4346"/>
      <c r="G4346"/>
      <c r="H4346"/>
      <c r="I4346"/>
      <c r="J4346"/>
    </row>
    <row r="4347" spans="1:10" s="2" customFormat="1">
      <c r="A4347" s="1"/>
      <c r="E4347"/>
      <c r="F4347"/>
      <c r="G4347"/>
      <c r="H4347"/>
      <c r="I4347"/>
      <c r="J4347"/>
    </row>
    <row r="4348" spans="1:10" s="2" customFormat="1">
      <c r="A4348" s="1"/>
      <c r="E4348"/>
      <c r="F4348"/>
      <c r="G4348"/>
      <c r="H4348"/>
      <c r="I4348"/>
      <c r="J4348"/>
    </row>
    <row r="4349" spans="1:10" s="2" customFormat="1">
      <c r="A4349" s="1"/>
      <c r="E4349"/>
      <c r="F4349"/>
      <c r="G4349"/>
      <c r="H4349"/>
      <c r="I4349"/>
      <c r="J4349"/>
    </row>
    <row r="4350" spans="1:10" s="2" customFormat="1">
      <c r="A4350" s="1"/>
      <c r="E4350"/>
      <c r="F4350"/>
      <c r="G4350"/>
      <c r="H4350"/>
      <c r="I4350"/>
      <c r="J4350"/>
    </row>
    <row r="4351" spans="1:10" s="2" customFormat="1">
      <c r="A4351" s="1"/>
      <c r="E4351"/>
      <c r="F4351"/>
      <c r="G4351"/>
      <c r="H4351"/>
      <c r="I4351"/>
      <c r="J4351"/>
    </row>
    <row r="4352" spans="1:10" s="2" customFormat="1">
      <c r="A4352" s="1"/>
      <c r="E4352"/>
      <c r="F4352"/>
      <c r="G4352"/>
      <c r="H4352"/>
      <c r="I4352"/>
      <c r="J4352"/>
    </row>
    <row r="4353" spans="1:10" s="2" customFormat="1">
      <c r="A4353" s="1"/>
      <c r="E4353"/>
      <c r="F4353"/>
      <c r="G4353"/>
      <c r="H4353"/>
      <c r="I4353"/>
      <c r="J4353"/>
    </row>
    <row r="4354" spans="1:10" s="2" customFormat="1">
      <c r="A4354" s="1"/>
      <c r="E4354"/>
      <c r="F4354"/>
      <c r="G4354"/>
      <c r="H4354"/>
      <c r="I4354"/>
      <c r="J4354"/>
    </row>
    <row r="4355" spans="1:10" s="2" customFormat="1">
      <c r="A4355" s="1"/>
      <c r="E4355"/>
      <c r="F4355"/>
      <c r="G4355"/>
      <c r="H4355"/>
      <c r="I4355"/>
      <c r="J4355"/>
    </row>
    <row r="4356" spans="1:10" s="2" customFormat="1">
      <c r="A4356" s="1"/>
      <c r="E4356"/>
      <c r="F4356"/>
      <c r="G4356"/>
      <c r="H4356"/>
      <c r="I4356"/>
      <c r="J4356"/>
    </row>
    <row r="4357" spans="1:10" s="2" customFormat="1">
      <c r="A4357" s="1"/>
      <c r="E4357"/>
      <c r="F4357"/>
      <c r="G4357"/>
      <c r="H4357"/>
      <c r="I4357"/>
      <c r="J4357"/>
    </row>
    <row r="4358" spans="1:10" s="2" customFormat="1">
      <c r="A4358" s="1"/>
      <c r="E4358"/>
      <c r="F4358"/>
      <c r="G4358"/>
      <c r="H4358"/>
      <c r="I4358"/>
      <c r="J4358"/>
    </row>
    <row r="4359" spans="1:10" s="2" customFormat="1">
      <c r="A4359" s="1"/>
      <c r="E4359"/>
      <c r="F4359"/>
      <c r="G4359"/>
      <c r="H4359"/>
      <c r="I4359"/>
      <c r="J4359"/>
    </row>
    <row r="4360" spans="1:10" s="2" customFormat="1">
      <c r="A4360" s="1"/>
      <c r="E4360"/>
      <c r="F4360"/>
      <c r="G4360"/>
      <c r="H4360"/>
      <c r="I4360"/>
      <c r="J4360"/>
    </row>
    <row r="4361" spans="1:10" s="2" customFormat="1">
      <c r="A4361" s="1"/>
      <c r="E4361"/>
      <c r="F4361"/>
      <c r="G4361"/>
      <c r="H4361"/>
      <c r="I4361"/>
      <c r="J4361"/>
    </row>
    <row r="4362" spans="1:10" s="2" customFormat="1">
      <c r="A4362" s="1"/>
      <c r="E4362"/>
      <c r="F4362"/>
      <c r="G4362"/>
      <c r="H4362"/>
      <c r="I4362"/>
      <c r="J4362"/>
    </row>
    <row r="4363" spans="1:10" s="2" customFormat="1">
      <c r="A4363" s="1"/>
      <c r="E4363"/>
      <c r="F4363"/>
      <c r="G4363"/>
      <c r="H4363"/>
      <c r="I4363"/>
      <c r="J4363"/>
    </row>
    <row r="4364" spans="1:10" s="2" customFormat="1">
      <c r="A4364" s="1"/>
      <c r="E4364"/>
      <c r="F4364"/>
      <c r="G4364"/>
      <c r="H4364"/>
      <c r="I4364"/>
      <c r="J4364"/>
    </row>
    <row r="4365" spans="1:10" s="2" customFormat="1">
      <c r="A4365" s="1"/>
      <c r="E4365"/>
      <c r="F4365"/>
      <c r="G4365"/>
      <c r="H4365"/>
      <c r="I4365"/>
      <c r="J4365"/>
    </row>
    <row r="4366" spans="1:10" s="2" customFormat="1">
      <c r="A4366" s="1"/>
      <c r="E4366"/>
      <c r="F4366"/>
      <c r="G4366"/>
      <c r="H4366"/>
      <c r="I4366"/>
      <c r="J4366"/>
    </row>
    <row r="4367" spans="1:10" s="2" customFormat="1">
      <c r="A4367" s="1"/>
      <c r="E4367"/>
      <c r="F4367"/>
      <c r="G4367"/>
      <c r="H4367"/>
      <c r="I4367"/>
      <c r="J4367"/>
    </row>
    <row r="4368" spans="1:10" s="2" customFormat="1">
      <c r="A4368" s="1"/>
      <c r="E4368"/>
      <c r="F4368"/>
      <c r="G4368"/>
      <c r="H4368"/>
      <c r="I4368"/>
      <c r="J4368"/>
    </row>
    <row r="4369" spans="1:10" s="2" customFormat="1">
      <c r="A4369" s="1"/>
      <c r="E4369"/>
      <c r="F4369"/>
      <c r="G4369"/>
      <c r="H4369"/>
      <c r="I4369"/>
      <c r="J4369"/>
    </row>
    <row r="4370" spans="1:10" s="2" customFormat="1">
      <c r="A4370" s="1"/>
      <c r="E4370"/>
      <c r="F4370"/>
      <c r="G4370"/>
      <c r="H4370"/>
      <c r="I4370"/>
      <c r="J4370"/>
    </row>
    <row r="4371" spans="1:10" s="2" customFormat="1">
      <c r="A4371" s="1"/>
      <c r="E4371"/>
      <c r="F4371"/>
      <c r="G4371"/>
      <c r="H4371"/>
      <c r="I4371"/>
      <c r="J4371"/>
    </row>
    <row r="4372" spans="1:10" s="2" customFormat="1">
      <c r="A4372" s="1"/>
      <c r="E4372"/>
      <c r="F4372"/>
      <c r="G4372"/>
      <c r="H4372"/>
      <c r="I4372"/>
      <c r="J4372"/>
    </row>
    <row r="4373" spans="1:10" s="2" customFormat="1">
      <c r="A4373" s="1"/>
      <c r="E4373"/>
      <c r="F4373"/>
      <c r="G4373"/>
      <c r="H4373"/>
      <c r="I4373"/>
      <c r="J4373"/>
    </row>
    <row r="4374" spans="1:10" s="2" customFormat="1">
      <c r="A4374" s="1"/>
      <c r="E4374"/>
      <c r="F4374"/>
      <c r="G4374"/>
      <c r="H4374"/>
      <c r="I4374"/>
      <c r="J4374"/>
    </row>
    <row r="4375" spans="1:10" s="2" customFormat="1">
      <c r="A4375" s="1"/>
      <c r="E4375"/>
      <c r="F4375"/>
      <c r="G4375"/>
      <c r="H4375"/>
      <c r="I4375"/>
      <c r="J4375"/>
    </row>
    <row r="4376" spans="1:10" s="2" customFormat="1">
      <c r="A4376" s="1"/>
      <c r="E4376"/>
      <c r="F4376"/>
      <c r="G4376"/>
      <c r="H4376"/>
      <c r="I4376"/>
      <c r="J4376"/>
    </row>
    <row r="4377" spans="1:10" s="2" customFormat="1">
      <c r="A4377" s="1"/>
      <c r="E4377"/>
      <c r="F4377"/>
      <c r="G4377"/>
      <c r="H4377"/>
      <c r="I4377"/>
      <c r="J4377"/>
    </row>
    <row r="4378" spans="1:10" s="2" customFormat="1">
      <c r="A4378" s="1"/>
      <c r="E4378"/>
      <c r="F4378"/>
      <c r="G4378"/>
      <c r="H4378"/>
      <c r="I4378"/>
      <c r="J4378"/>
    </row>
    <row r="4379" spans="1:10" s="2" customFormat="1">
      <c r="A4379" s="1"/>
      <c r="E4379"/>
      <c r="F4379"/>
      <c r="G4379"/>
      <c r="H4379"/>
      <c r="I4379"/>
      <c r="J4379"/>
    </row>
    <row r="4380" spans="1:10" s="2" customFormat="1">
      <c r="A4380" s="1"/>
      <c r="E4380"/>
      <c r="F4380"/>
      <c r="G4380"/>
      <c r="H4380"/>
      <c r="I4380"/>
      <c r="J4380"/>
    </row>
    <row r="4381" spans="1:10" s="2" customFormat="1">
      <c r="A4381" s="1"/>
      <c r="E4381"/>
      <c r="F4381"/>
      <c r="G4381"/>
      <c r="H4381"/>
      <c r="I4381"/>
      <c r="J4381"/>
    </row>
    <row r="4382" spans="1:10" s="2" customFormat="1">
      <c r="A4382" s="1"/>
      <c r="E4382"/>
      <c r="F4382"/>
      <c r="G4382"/>
      <c r="H4382"/>
      <c r="I4382"/>
      <c r="J4382"/>
    </row>
    <row r="4383" spans="1:10" s="2" customFormat="1">
      <c r="A4383" s="1"/>
      <c r="E4383"/>
      <c r="F4383"/>
      <c r="G4383"/>
      <c r="H4383"/>
      <c r="I4383"/>
      <c r="J4383"/>
    </row>
    <row r="4384" spans="1:10" s="2" customFormat="1">
      <c r="A4384" s="1"/>
      <c r="E4384"/>
      <c r="F4384"/>
      <c r="G4384"/>
      <c r="H4384"/>
      <c r="I4384"/>
      <c r="J4384"/>
    </row>
    <row r="4385" spans="1:10" s="2" customFormat="1">
      <c r="A4385" s="1"/>
      <c r="E4385"/>
      <c r="F4385"/>
      <c r="G4385"/>
      <c r="H4385"/>
      <c r="I4385"/>
      <c r="J4385"/>
    </row>
    <row r="4386" spans="1:10" s="2" customFormat="1">
      <c r="A4386" s="1"/>
      <c r="E4386"/>
      <c r="F4386"/>
      <c r="G4386"/>
      <c r="H4386"/>
      <c r="I4386"/>
      <c r="J4386"/>
    </row>
    <row r="4387" spans="1:10" s="2" customFormat="1">
      <c r="A4387" s="1"/>
      <c r="E4387"/>
      <c r="F4387"/>
      <c r="G4387"/>
      <c r="H4387"/>
      <c r="I4387"/>
      <c r="J4387"/>
    </row>
    <row r="4388" spans="1:10" s="2" customFormat="1">
      <c r="A4388" s="1"/>
      <c r="E4388"/>
      <c r="F4388"/>
      <c r="G4388"/>
      <c r="H4388"/>
      <c r="I4388"/>
      <c r="J4388"/>
    </row>
    <row r="4389" spans="1:10" s="2" customFormat="1">
      <c r="A4389" s="1"/>
      <c r="E4389"/>
      <c r="F4389"/>
      <c r="G4389"/>
      <c r="H4389"/>
      <c r="I4389"/>
      <c r="J4389"/>
    </row>
    <row r="4390" spans="1:10" s="2" customFormat="1">
      <c r="A4390" s="1"/>
      <c r="E4390"/>
      <c r="F4390"/>
      <c r="G4390"/>
      <c r="H4390"/>
      <c r="I4390"/>
      <c r="J4390"/>
    </row>
    <row r="4391" spans="1:10" s="2" customFormat="1">
      <c r="A4391" s="1"/>
      <c r="E4391"/>
      <c r="F4391"/>
      <c r="G4391"/>
      <c r="H4391"/>
      <c r="I4391"/>
      <c r="J4391"/>
    </row>
    <row r="4392" spans="1:10" s="2" customFormat="1">
      <c r="A4392" s="1"/>
      <c r="E4392"/>
      <c r="F4392"/>
      <c r="G4392"/>
      <c r="H4392"/>
      <c r="I4392"/>
      <c r="J4392"/>
    </row>
    <row r="4393" spans="1:10" s="2" customFormat="1">
      <c r="A4393" s="1"/>
      <c r="E4393"/>
      <c r="F4393"/>
      <c r="G4393"/>
      <c r="H4393"/>
      <c r="I4393"/>
      <c r="J4393"/>
    </row>
    <row r="4394" spans="1:10" s="2" customFormat="1">
      <c r="A4394" s="1"/>
      <c r="E4394"/>
      <c r="F4394"/>
      <c r="G4394"/>
      <c r="H4394"/>
      <c r="I4394"/>
      <c r="J4394"/>
    </row>
    <row r="4395" spans="1:10" s="2" customFormat="1">
      <c r="A4395" s="1"/>
      <c r="E4395"/>
      <c r="F4395"/>
      <c r="G4395"/>
      <c r="H4395"/>
      <c r="I4395"/>
      <c r="J4395"/>
    </row>
    <row r="4396" spans="1:10" s="2" customFormat="1">
      <c r="A4396" s="1"/>
      <c r="E4396"/>
      <c r="F4396"/>
      <c r="G4396"/>
      <c r="H4396"/>
      <c r="I4396"/>
      <c r="J4396"/>
    </row>
    <row r="4397" spans="1:10" s="2" customFormat="1">
      <c r="A4397" s="1"/>
      <c r="E4397"/>
      <c r="F4397"/>
      <c r="G4397"/>
      <c r="H4397"/>
      <c r="I4397"/>
      <c r="J4397"/>
    </row>
    <row r="4398" spans="1:10" s="2" customFormat="1">
      <c r="A4398" s="1"/>
      <c r="E4398"/>
      <c r="F4398"/>
      <c r="G4398"/>
      <c r="H4398"/>
      <c r="I4398"/>
      <c r="J4398"/>
    </row>
    <row r="4399" spans="1:10" s="2" customFormat="1">
      <c r="A4399" s="1"/>
      <c r="E4399"/>
      <c r="F4399"/>
      <c r="G4399"/>
      <c r="H4399"/>
      <c r="I4399"/>
      <c r="J4399"/>
    </row>
    <row r="4400" spans="1:10" s="2" customFormat="1">
      <c r="A4400" s="1"/>
      <c r="E4400"/>
      <c r="F4400"/>
      <c r="G4400"/>
      <c r="H4400"/>
      <c r="I4400"/>
      <c r="J4400"/>
    </row>
    <row r="4401" spans="1:10" s="2" customFormat="1">
      <c r="A4401" s="1"/>
      <c r="E4401"/>
      <c r="F4401"/>
      <c r="G4401"/>
      <c r="H4401"/>
      <c r="I4401"/>
      <c r="J4401"/>
    </row>
    <row r="4402" spans="1:10" s="2" customFormat="1">
      <c r="A4402" s="1"/>
      <c r="E4402"/>
      <c r="F4402"/>
      <c r="G4402"/>
      <c r="H4402"/>
      <c r="I4402"/>
      <c r="J4402"/>
    </row>
    <row r="4403" spans="1:10" s="2" customFormat="1">
      <c r="A4403" s="1"/>
      <c r="E4403"/>
      <c r="F4403"/>
      <c r="G4403"/>
      <c r="H4403"/>
      <c r="I4403"/>
      <c r="J4403"/>
    </row>
    <row r="4404" spans="1:10" s="2" customFormat="1">
      <c r="A4404" s="1"/>
      <c r="E4404"/>
      <c r="F4404"/>
      <c r="G4404"/>
      <c r="H4404"/>
      <c r="I4404"/>
      <c r="J4404"/>
    </row>
    <row r="4405" spans="1:10" s="2" customFormat="1">
      <c r="A4405" s="1"/>
      <c r="E4405"/>
      <c r="F4405"/>
      <c r="G4405"/>
      <c r="H4405"/>
      <c r="I4405"/>
      <c r="J4405"/>
    </row>
    <row r="4406" spans="1:10" s="2" customFormat="1">
      <c r="A4406" s="1"/>
      <c r="E4406"/>
      <c r="F4406"/>
      <c r="G4406"/>
      <c r="H4406"/>
      <c r="I4406"/>
      <c r="J4406"/>
    </row>
    <row r="4407" spans="1:10" s="2" customFormat="1">
      <c r="A4407" s="1"/>
      <c r="E4407"/>
      <c r="F4407"/>
      <c r="G4407"/>
      <c r="H4407"/>
      <c r="I4407"/>
      <c r="J4407"/>
    </row>
    <row r="4408" spans="1:10" s="2" customFormat="1">
      <c r="A4408" s="1"/>
      <c r="E4408"/>
      <c r="F4408"/>
      <c r="G4408"/>
      <c r="H4408"/>
      <c r="I4408"/>
      <c r="J4408"/>
    </row>
    <row r="4409" spans="1:10" s="2" customFormat="1">
      <c r="A4409" s="1"/>
      <c r="E4409"/>
      <c r="F4409"/>
      <c r="G4409"/>
      <c r="H4409"/>
      <c r="I4409"/>
      <c r="J4409"/>
    </row>
    <row r="4410" spans="1:10" s="2" customFormat="1">
      <c r="A4410" s="1"/>
      <c r="E4410"/>
      <c r="F4410"/>
      <c r="G4410"/>
      <c r="H4410"/>
      <c r="I4410"/>
      <c r="J4410"/>
    </row>
    <row r="4411" spans="1:10" s="2" customFormat="1">
      <c r="A4411" s="1"/>
      <c r="E4411"/>
      <c r="F4411"/>
      <c r="G4411"/>
      <c r="H4411"/>
      <c r="I4411"/>
      <c r="J4411"/>
    </row>
    <row r="4412" spans="1:10" s="2" customFormat="1">
      <c r="A4412" s="1"/>
      <c r="E4412"/>
      <c r="F4412"/>
      <c r="G4412"/>
      <c r="H4412"/>
      <c r="I4412"/>
      <c r="J4412"/>
    </row>
    <row r="4413" spans="1:10" s="2" customFormat="1">
      <c r="A4413" s="1"/>
      <c r="E4413"/>
      <c r="F4413"/>
      <c r="G4413"/>
      <c r="H4413"/>
      <c r="I4413"/>
      <c r="J4413"/>
    </row>
    <row r="4414" spans="1:10" s="2" customFormat="1">
      <c r="A4414" s="1"/>
      <c r="E4414"/>
      <c r="F4414"/>
      <c r="G4414"/>
      <c r="H4414"/>
      <c r="I4414"/>
      <c r="J4414"/>
    </row>
    <row r="4415" spans="1:10" s="2" customFormat="1">
      <c r="A4415" s="1"/>
      <c r="E4415"/>
      <c r="F4415"/>
      <c r="G4415"/>
      <c r="H4415"/>
      <c r="I4415"/>
      <c r="J4415"/>
    </row>
    <row r="4416" spans="1:10" s="2" customFormat="1">
      <c r="A4416" s="1"/>
      <c r="E4416"/>
      <c r="F4416"/>
      <c r="G4416"/>
      <c r="H4416"/>
      <c r="I4416"/>
      <c r="J4416"/>
    </row>
    <row r="4417" spans="1:10" s="2" customFormat="1">
      <c r="A4417" s="1"/>
      <c r="E4417"/>
      <c r="F4417"/>
      <c r="G4417"/>
      <c r="H4417"/>
      <c r="I4417"/>
      <c r="J4417"/>
    </row>
    <row r="4418" spans="1:10" s="2" customFormat="1">
      <c r="A4418" s="1"/>
      <c r="E4418"/>
      <c r="F4418"/>
      <c r="G4418"/>
      <c r="H4418"/>
      <c r="I4418"/>
      <c r="J4418"/>
    </row>
    <row r="4419" spans="1:10" s="2" customFormat="1">
      <c r="A4419" s="1"/>
      <c r="E4419"/>
      <c r="F4419"/>
      <c r="G4419"/>
      <c r="H4419"/>
      <c r="I4419"/>
      <c r="J4419"/>
    </row>
    <row r="4420" spans="1:10" s="2" customFormat="1">
      <c r="A4420" s="1"/>
      <c r="E4420"/>
      <c r="F4420"/>
      <c r="G4420"/>
      <c r="H4420"/>
      <c r="I4420"/>
      <c r="J4420"/>
    </row>
    <row r="4421" spans="1:10" s="2" customFormat="1">
      <c r="A4421" s="1"/>
      <c r="E4421"/>
      <c r="F4421"/>
      <c r="G4421"/>
      <c r="H4421"/>
      <c r="I4421"/>
      <c r="J4421"/>
    </row>
    <row r="4422" spans="1:10" s="2" customFormat="1">
      <c r="A4422" s="1"/>
      <c r="E4422"/>
      <c r="F4422"/>
      <c r="G4422"/>
      <c r="H4422"/>
      <c r="I4422"/>
      <c r="J4422"/>
    </row>
    <row r="4423" spans="1:10" s="2" customFormat="1">
      <c r="A4423" s="1"/>
      <c r="E4423"/>
      <c r="F4423"/>
      <c r="G4423"/>
      <c r="H4423"/>
      <c r="I4423"/>
      <c r="J4423"/>
    </row>
    <row r="4424" spans="1:10" s="2" customFormat="1">
      <c r="A4424" s="1"/>
      <c r="E4424"/>
      <c r="F4424"/>
      <c r="G4424"/>
      <c r="H4424"/>
      <c r="I4424"/>
      <c r="J4424"/>
    </row>
    <row r="4425" spans="1:10" s="2" customFormat="1">
      <c r="A4425" s="1"/>
      <c r="E4425"/>
      <c r="F4425"/>
      <c r="G4425"/>
      <c r="H4425"/>
      <c r="I4425"/>
      <c r="J4425"/>
    </row>
    <row r="4426" spans="1:10" s="2" customFormat="1">
      <c r="A4426" s="1"/>
      <c r="E4426"/>
      <c r="F4426"/>
      <c r="G4426"/>
      <c r="H4426"/>
      <c r="I4426"/>
      <c r="J4426"/>
    </row>
    <row r="4427" spans="1:10" s="2" customFormat="1">
      <c r="A4427" s="1"/>
      <c r="E4427"/>
      <c r="F4427"/>
      <c r="G4427"/>
      <c r="H4427"/>
      <c r="I4427"/>
      <c r="J4427"/>
    </row>
    <row r="4428" spans="1:10" s="2" customFormat="1">
      <c r="A4428" s="1"/>
      <c r="E4428"/>
      <c r="F4428"/>
      <c r="G4428"/>
      <c r="H4428"/>
      <c r="I4428"/>
      <c r="J4428"/>
    </row>
    <row r="4429" spans="1:10" s="2" customFormat="1">
      <c r="A4429" s="1"/>
      <c r="E4429"/>
      <c r="F4429"/>
      <c r="G4429"/>
      <c r="H4429"/>
      <c r="I4429"/>
      <c r="J4429"/>
    </row>
    <row r="4430" spans="1:10" s="2" customFormat="1">
      <c r="A4430" s="1"/>
      <c r="E4430"/>
      <c r="F4430"/>
      <c r="G4430"/>
      <c r="H4430"/>
      <c r="I4430"/>
      <c r="J4430"/>
    </row>
    <row r="4431" spans="1:10" s="2" customFormat="1">
      <c r="A4431" s="1"/>
      <c r="E4431"/>
      <c r="F4431"/>
      <c r="G4431"/>
      <c r="H4431"/>
      <c r="I4431"/>
      <c r="J4431"/>
    </row>
    <row r="4432" spans="1:10" s="2" customFormat="1">
      <c r="A4432" s="1"/>
      <c r="E4432"/>
      <c r="F4432"/>
      <c r="G4432"/>
      <c r="H4432"/>
      <c r="I4432"/>
      <c r="J4432"/>
    </row>
    <row r="4433" spans="1:10" s="2" customFormat="1">
      <c r="A4433" s="1"/>
      <c r="E4433"/>
      <c r="F4433"/>
      <c r="G4433"/>
      <c r="H4433"/>
      <c r="I4433"/>
      <c r="J4433"/>
    </row>
    <row r="4434" spans="1:10" s="2" customFormat="1">
      <c r="A4434" s="1"/>
      <c r="E4434"/>
      <c r="F4434"/>
      <c r="G4434"/>
      <c r="H4434"/>
      <c r="I4434"/>
      <c r="J4434"/>
    </row>
    <row r="4435" spans="1:10" s="2" customFormat="1">
      <c r="A4435" s="1"/>
      <c r="E4435"/>
      <c r="F4435"/>
      <c r="G4435"/>
      <c r="H4435"/>
      <c r="I4435"/>
      <c r="J4435"/>
    </row>
    <row r="4436" spans="1:10" s="2" customFormat="1">
      <c r="A4436" s="1"/>
      <c r="E4436"/>
      <c r="F4436"/>
      <c r="G4436"/>
      <c r="H4436"/>
      <c r="I4436"/>
      <c r="J4436"/>
    </row>
    <row r="4437" spans="1:10" s="2" customFormat="1">
      <c r="A4437" s="1"/>
      <c r="E4437"/>
      <c r="F4437"/>
      <c r="G4437"/>
      <c r="H4437"/>
      <c r="I4437"/>
      <c r="J4437"/>
    </row>
    <row r="4438" spans="1:10" s="2" customFormat="1">
      <c r="A4438" s="1"/>
      <c r="E4438"/>
      <c r="F4438"/>
      <c r="G4438"/>
      <c r="H4438"/>
      <c r="I4438"/>
      <c r="J4438"/>
    </row>
    <row r="4439" spans="1:10" s="2" customFormat="1">
      <c r="A4439" s="1"/>
      <c r="E4439"/>
      <c r="F4439"/>
      <c r="G4439"/>
      <c r="H4439"/>
      <c r="I4439"/>
      <c r="J4439"/>
    </row>
    <row r="4440" spans="1:10" s="2" customFormat="1">
      <c r="A4440" s="1"/>
      <c r="E4440"/>
      <c r="F4440"/>
      <c r="G4440"/>
      <c r="H4440"/>
      <c r="I4440"/>
      <c r="J4440"/>
    </row>
    <row r="4441" spans="1:10" s="2" customFormat="1">
      <c r="A4441" s="1"/>
      <c r="E4441"/>
      <c r="F4441"/>
      <c r="G4441"/>
      <c r="H4441"/>
      <c r="I4441"/>
      <c r="J4441"/>
    </row>
    <row r="4442" spans="1:10" s="2" customFormat="1">
      <c r="A4442" s="1"/>
      <c r="E4442"/>
      <c r="F4442"/>
      <c r="G4442"/>
      <c r="H4442"/>
      <c r="I4442"/>
      <c r="J4442"/>
    </row>
    <row r="4443" spans="1:10" s="2" customFormat="1">
      <c r="A4443" s="1"/>
      <c r="E4443"/>
      <c r="F4443"/>
      <c r="G4443"/>
      <c r="H4443"/>
      <c r="I4443"/>
      <c r="J4443"/>
    </row>
    <row r="4444" spans="1:10" s="2" customFormat="1">
      <c r="A4444" s="1"/>
      <c r="E4444"/>
      <c r="F4444"/>
      <c r="G4444"/>
      <c r="H4444"/>
      <c r="I4444"/>
      <c r="J4444"/>
    </row>
    <row r="4445" spans="1:10" s="2" customFormat="1">
      <c r="A4445" s="1"/>
      <c r="E4445"/>
      <c r="F4445"/>
      <c r="G4445"/>
      <c r="H4445"/>
      <c r="I4445"/>
      <c r="J4445"/>
    </row>
    <row r="4446" spans="1:10" s="2" customFormat="1">
      <c r="A4446" s="1"/>
      <c r="E4446"/>
      <c r="F4446"/>
      <c r="G4446"/>
      <c r="H4446"/>
      <c r="I4446"/>
      <c r="J4446"/>
    </row>
    <row r="4447" spans="1:10" s="2" customFormat="1">
      <c r="A4447" s="1"/>
      <c r="E4447"/>
      <c r="F4447"/>
      <c r="G4447"/>
      <c r="H4447"/>
      <c r="I4447"/>
      <c r="J4447"/>
    </row>
    <row r="4448" spans="1:10" s="2" customFormat="1">
      <c r="A4448" s="1"/>
      <c r="E4448"/>
      <c r="F4448"/>
      <c r="G4448"/>
      <c r="H4448"/>
      <c r="I4448"/>
      <c r="J4448"/>
    </row>
    <row r="4449" spans="1:10" s="2" customFormat="1">
      <c r="A4449" s="1"/>
      <c r="E4449"/>
      <c r="F4449"/>
      <c r="G4449"/>
      <c r="H4449"/>
      <c r="I4449"/>
      <c r="J4449"/>
    </row>
    <row r="4450" spans="1:10" s="2" customFormat="1">
      <c r="A4450" s="1"/>
      <c r="E4450"/>
      <c r="F4450"/>
      <c r="G4450"/>
      <c r="H4450"/>
      <c r="I4450"/>
      <c r="J4450"/>
    </row>
    <row r="4451" spans="1:10" s="2" customFormat="1">
      <c r="A4451" s="1"/>
      <c r="E4451"/>
      <c r="F4451"/>
      <c r="G4451"/>
      <c r="H4451"/>
      <c r="I4451"/>
      <c r="J4451"/>
    </row>
    <row r="4452" spans="1:10" s="2" customFormat="1">
      <c r="A4452" s="1"/>
      <c r="E4452"/>
      <c r="F4452"/>
      <c r="G4452"/>
      <c r="H4452"/>
      <c r="I4452"/>
      <c r="J4452"/>
    </row>
    <row r="4453" spans="1:10" s="2" customFormat="1">
      <c r="A4453" s="1"/>
      <c r="E4453"/>
      <c r="F4453"/>
      <c r="G4453"/>
      <c r="H4453"/>
      <c r="I4453"/>
      <c r="J4453"/>
    </row>
    <row r="4454" spans="1:10" s="2" customFormat="1">
      <c r="A4454" s="1"/>
      <c r="E4454"/>
      <c r="F4454"/>
      <c r="G4454"/>
      <c r="H4454"/>
      <c r="I4454"/>
      <c r="J4454"/>
    </row>
    <row r="4455" spans="1:10" s="2" customFormat="1">
      <c r="A4455" s="1"/>
      <c r="E4455"/>
      <c r="F4455"/>
      <c r="G4455"/>
      <c r="H4455"/>
      <c r="I4455"/>
      <c r="J4455"/>
    </row>
    <row r="4456" spans="1:10" s="2" customFormat="1">
      <c r="A4456" s="1"/>
      <c r="E4456"/>
      <c r="F4456"/>
      <c r="G4456"/>
      <c r="H4456"/>
      <c r="I4456"/>
      <c r="J4456"/>
    </row>
    <row r="4457" spans="1:10" s="2" customFormat="1">
      <c r="A4457" s="1"/>
      <c r="E4457"/>
      <c r="F4457"/>
      <c r="G4457"/>
      <c r="H4457"/>
      <c r="I4457"/>
      <c r="J4457"/>
    </row>
    <row r="4458" spans="1:10" s="2" customFormat="1">
      <c r="A4458" s="1"/>
      <c r="E4458"/>
      <c r="F4458"/>
      <c r="G4458"/>
      <c r="H4458"/>
      <c r="I4458"/>
      <c r="J4458"/>
    </row>
    <row r="4459" spans="1:10" s="2" customFormat="1">
      <c r="A4459" s="1"/>
      <c r="E4459"/>
      <c r="F4459"/>
      <c r="G4459"/>
      <c r="H4459"/>
      <c r="I4459"/>
      <c r="J4459"/>
    </row>
    <row r="4460" spans="1:10" s="2" customFormat="1">
      <c r="A4460" s="1"/>
      <c r="E4460"/>
      <c r="F4460"/>
      <c r="G4460"/>
      <c r="H4460"/>
      <c r="I4460"/>
      <c r="J4460"/>
    </row>
    <row r="4461" spans="1:10" s="2" customFormat="1">
      <c r="A4461" s="1"/>
      <c r="E4461"/>
      <c r="F4461"/>
      <c r="G4461"/>
      <c r="H4461"/>
      <c r="I4461"/>
      <c r="J4461"/>
    </row>
    <row r="4462" spans="1:10" s="2" customFormat="1">
      <c r="A4462" s="1"/>
      <c r="E4462"/>
      <c r="F4462"/>
      <c r="G4462"/>
      <c r="H4462"/>
      <c r="I4462"/>
      <c r="J4462"/>
    </row>
    <row r="4463" spans="1:10" s="2" customFormat="1">
      <c r="A4463" s="1"/>
      <c r="E4463"/>
      <c r="F4463"/>
      <c r="G4463"/>
      <c r="H4463"/>
      <c r="I4463"/>
      <c r="J4463"/>
    </row>
    <row r="4464" spans="1:10" s="2" customFormat="1">
      <c r="A4464" s="1"/>
      <c r="E4464"/>
      <c r="F4464"/>
      <c r="G4464"/>
      <c r="H4464"/>
      <c r="I4464"/>
      <c r="J4464"/>
    </row>
    <row r="4465" spans="1:10" s="2" customFormat="1">
      <c r="A4465" s="1"/>
      <c r="E4465"/>
      <c r="F4465"/>
      <c r="G4465"/>
      <c r="H4465"/>
      <c r="I4465"/>
      <c r="J4465"/>
    </row>
    <row r="4466" spans="1:10" s="2" customFormat="1">
      <c r="A4466" s="1"/>
      <c r="E4466"/>
      <c r="F4466"/>
      <c r="G4466"/>
      <c r="H4466"/>
      <c r="I4466"/>
      <c r="J4466"/>
    </row>
    <row r="4467" spans="1:10" s="2" customFormat="1">
      <c r="A4467" s="1"/>
      <c r="E4467"/>
      <c r="F4467"/>
      <c r="G4467"/>
      <c r="H4467"/>
      <c r="I4467"/>
      <c r="J4467"/>
    </row>
    <row r="4468" spans="1:10" s="2" customFormat="1">
      <c r="A4468" s="1"/>
      <c r="E4468"/>
      <c r="F4468"/>
      <c r="G4468"/>
      <c r="H4468"/>
      <c r="I4468"/>
      <c r="J4468"/>
    </row>
    <row r="4469" spans="1:10" s="2" customFormat="1">
      <c r="A4469" s="1"/>
      <c r="E4469"/>
      <c r="F4469"/>
      <c r="G4469"/>
      <c r="H4469"/>
      <c r="I4469"/>
      <c r="J4469"/>
    </row>
    <row r="4470" spans="1:10" s="2" customFormat="1">
      <c r="A4470" s="1"/>
      <c r="E4470"/>
      <c r="F4470"/>
      <c r="G4470"/>
      <c r="H4470"/>
      <c r="I4470"/>
      <c r="J4470"/>
    </row>
    <row r="4471" spans="1:10" s="2" customFormat="1">
      <c r="A4471" s="1"/>
      <c r="E4471"/>
      <c r="F4471"/>
      <c r="G4471"/>
      <c r="H4471"/>
      <c r="I4471"/>
      <c r="J4471"/>
    </row>
    <row r="4472" spans="1:10" s="2" customFormat="1">
      <c r="A4472" s="1"/>
      <c r="E4472"/>
      <c r="F4472"/>
      <c r="G4472"/>
      <c r="H4472"/>
      <c r="I4472"/>
      <c r="J4472"/>
    </row>
    <row r="4473" spans="1:10" s="2" customFormat="1">
      <c r="A4473" s="1"/>
      <c r="E4473"/>
      <c r="F4473"/>
      <c r="G4473"/>
      <c r="H4473"/>
      <c r="I4473"/>
      <c r="J4473"/>
    </row>
    <row r="4474" spans="1:10" s="2" customFormat="1">
      <c r="A4474" s="1"/>
      <c r="E4474"/>
      <c r="F4474"/>
      <c r="G4474"/>
      <c r="H4474"/>
      <c r="I4474"/>
      <c r="J4474"/>
    </row>
    <row r="4475" spans="1:10" s="2" customFormat="1">
      <c r="A4475" s="1"/>
      <c r="E4475"/>
      <c r="F4475"/>
      <c r="G4475"/>
      <c r="H4475"/>
      <c r="I4475"/>
      <c r="J4475"/>
    </row>
    <row r="4476" spans="1:10" s="2" customFormat="1">
      <c r="A4476" s="1"/>
      <c r="E4476"/>
      <c r="F4476"/>
      <c r="G4476"/>
      <c r="H4476"/>
      <c r="I4476"/>
      <c r="J4476"/>
    </row>
    <row r="4477" spans="1:10" s="2" customFormat="1">
      <c r="A4477" s="1"/>
      <c r="E4477"/>
      <c r="F4477"/>
      <c r="G4477"/>
      <c r="H4477"/>
      <c r="I4477"/>
      <c r="J4477"/>
    </row>
    <row r="4478" spans="1:10" s="2" customFormat="1">
      <c r="A4478" s="1"/>
      <c r="E4478"/>
      <c r="F4478"/>
      <c r="G4478"/>
      <c r="H4478"/>
      <c r="I4478"/>
      <c r="J4478"/>
    </row>
    <row r="4479" spans="1:10" s="2" customFormat="1">
      <c r="A4479" s="1"/>
      <c r="E4479"/>
      <c r="F4479"/>
      <c r="G4479"/>
      <c r="H4479"/>
      <c r="I4479"/>
      <c r="J4479"/>
    </row>
    <row r="4480" spans="1:10" s="2" customFormat="1">
      <c r="A4480" s="1"/>
      <c r="E4480"/>
      <c r="F4480"/>
      <c r="G4480"/>
      <c r="H4480"/>
      <c r="I4480"/>
      <c r="J4480"/>
    </row>
    <row r="4481" spans="1:10" s="2" customFormat="1">
      <c r="A4481" s="1"/>
      <c r="E4481"/>
      <c r="F4481"/>
      <c r="G4481"/>
      <c r="H4481"/>
      <c r="I4481"/>
      <c r="J4481"/>
    </row>
    <row r="4482" spans="1:10" s="2" customFormat="1">
      <c r="A4482" s="1"/>
      <c r="E4482"/>
      <c r="F4482"/>
      <c r="G4482"/>
      <c r="H4482"/>
      <c r="I4482"/>
      <c r="J4482"/>
    </row>
    <row r="4483" spans="1:10" s="2" customFormat="1">
      <c r="A4483" s="1"/>
      <c r="E4483"/>
      <c r="F4483"/>
      <c r="G4483"/>
      <c r="H4483"/>
      <c r="I4483"/>
      <c r="J4483"/>
    </row>
    <row r="4484" spans="1:10" s="2" customFormat="1">
      <c r="A4484" s="1"/>
      <c r="E4484"/>
      <c r="F4484"/>
      <c r="G4484"/>
      <c r="H4484"/>
      <c r="I4484"/>
      <c r="J4484"/>
    </row>
    <row r="4485" spans="1:10" s="2" customFormat="1">
      <c r="A4485" s="1"/>
      <c r="E4485"/>
      <c r="F4485"/>
      <c r="G4485"/>
      <c r="H4485"/>
      <c r="I4485"/>
      <c r="J4485"/>
    </row>
    <row r="4486" spans="1:10" s="2" customFormat="1">
      <c r="A4486" s="1"/>
      <c r="E4486"/>
      <c r="F4486"/>
      <c r="G4486"/>
      <c r="H4486"/>
      <c r="I4486"/>
      <c r="J4486"/>
    </row>
    <row r="4487" spans="1:10" s="2" customFormat="1">
      <c r="A4487" s="1"/>
      <c r="E4487"/>
      <c r="F4487"/>
      <c r="G4487"/>
      <c r="H4487"/>
      <c r="I4487"/>
      <c r="J4487"/>
    </row>
    <row r="4488" spans="1:10" s="2" customFormat="1">
      <c r="A4488" s="1"/>
      <c r="E4488"/>
      <c r="F4488"/>
      <c r="G4488"/>
      <c r="H4488"/>
      <c r="I4488"/>
      <c r="J4488"/>
    </row>
    <row r="4489" spans="1:10" s="2" customFormat="1">
      <c r="A4489" s="1"/>
      <c r="E4489"/>
      <c r="F4489"/>
      <c r="G4489"/>
      <c r="H4489"/>
      <c r="I4489"/>
      <c r="J4489"/>
    </row>
    <row r="4490" spans="1:10" s="2" customFormat="1">
      <c r="A4490" s="1"/>
      <c r="E4490"/>
      <c r="F4490"/>
      <c r="G4490"/>
      <c r="H4490"/>
      <c r="I4490"/>
      <c r="J4490"/>
    </row>
    <row r="4491" spans="1:10" s="2" customFormat="1">
      <c r="A4491" s="1"/>
      <c r="E4491"/>
      <c r="F4491"/>
      <c r="G4491"/>
      <c r="H4491"/>
      <c r="I4491"/>
      <c r="J4491"/>
    </row>
    <row r="4492" spans="1:10" s="2" customFormat="1">
      <c r="A4492" s="1"/>
      <c r="E4492"/>
      <c r="F4492"/>
      <c r="G4492"/>
      <c r="H4492"/>
      <c r="I4492"/>
      <c r="J4492"/>
    </row>
    <row r="4493" spans="1:10" s="2" customFormat="1">
      <c r="A4493" s="1"/>
      <c r="E4493"/>
      <c r="F4493"/>
      <c r="G4493"/>
      <c r="H4493"/>
      <c r="I4493"/>
      <c r="J4493"/>
    </row>
    <row r="4494" spans="1:10" s="2" customFormat="1">
      <c r="A4494" s="1"/>
      <c r="E4494"/>
      <c r="F4494"/>
      <c r="G4494"/>
      <c r="H4494"/>
      <c r="I4494"/>
      <c r="J4494"/>
    </row>
    <row r="4495" spans="1:10" s="2" customFormat="1">
      <c r="A4495" s="1"/>
      <c r="E4495"/>
      <c r="F4495"/>
      <c r="G4495"/>
      <c r="H4495"/>
      <c r="I4495"/>
      <c r="J4495"/>
    </row>
    <row r="4496" spans="1:10" s="2" customFormat="1">
      <c r="A4496" s="1"/>
      <c r="E4496"/>
      <c r="F4496"/>
      <c r="G4496"/>
      <c r="H4496"/>
      <c r="I4496"/>
      <c r="J4496"/>
    </row>
    <row r="4497" spans="1:10" s="2" customFormat="1">
      <c r="A4497" s="1"/>
      <c r="E4497"/>
      <c r="F4497"/>
      <c r="G4497"/>
      <c r="H4497"/>
      <c r="I4497"/>
      <c r="J4497"/>
    </row>
    <row r="4498" spans="1:10" s="2" customFormat="1">
      <c r="A4498" s="1"/>
      <c r="E4498"/>
      <c r="F4498"/>
      <c r="G4498"/>
      <c r="H4498"/>
      <c r="I4498"/>
      <c r="J4498"/>
    </row>
    <row r="4499" spans="1:10" s="2" customFormat="1">
      <c r="A4499" s="1"/>
      <c r="E4499"/>
      <c r="F4499"/>
      <c r="G4499"/>
      <c r="H4499"/>
      <c r="I4499"/>
      <c r="J4499"/>
    </row>
    <row r="4500" spans="1:10" s="2" customFormat="1">
      <c r="A4500" s="1"/>
      <c r="E4500"/>
      <c r="F4500"/>
      <c r="G4500"/>
      <c r="H4500"/>
      <c r="I4500"/>
      <c r="J4500"/>
    </row>
    <row r="4501" spans="1:10" s="2" customFormat="1">
      <c r="A4501" s="1"/>
      <c r="E4501"/>
      <c r="F4501"/>
      <c r="G4501"/>
      <c r="H4501"/>
      <c r="I4501"/>
      <c r="J4501"/>
    </row>
    <row r="4502" spans="1:10" s="2" customFormat="1">
      <c r="A4502" s="1"/>
      <c r="E4502"/>
      <c r="F4502"/>
      <c r="G4502"/>
      <c r="H4502"/>
      <c r="I4502"/>
      <c r="J4502"/>
    </row>
    <row r="4503" spans="1:10" s="2" customFormat="1">
      <c r="A4503" s="1"/>
      <c r="E4503"/>
      <c r="F4503"/>
      <c r="G4503"/>
      <c r="H4503"/>
      <c r="I4503"/>
      <c r="J4503"/>
    </row>
    <row r="4504" spans="1:10" s="2" customFormat="1">
      <c r="A4504" s="1"/>
      <c r="E4504"/>
      <c r="F4504"/>
      <c r="G4504"/>
      <c r="H4504"/>
      <c r="I4504"/>
      <c r="J4504"/>
    </row>
    <row r="4505" spans="1:10" s="2" customFormat="1">
      <c r="A4505" s="1"/>
      <c r="E4505"/>
      <c r="F4505"/>
      <c r="G4505"/>
      <c r="H4505"/>
      <c r="I4505"/>
      <c r="J4505"/>
    </row>
    <row r="4506" spans="1:10" s="2" customFormat="1">
      <c r="A4506" s="1"/>
      <c r="E4506"/>
      <c r="F4506"/>
      <c r="G4506"/>
      <c r="H4506"/>
      <c r="I4506"/>
      <c r="J4506"/>
    </row>
    <row r="4507" spans="1:10" s="2" customFormat="1">
      <c r="A4507" s="1"/>
      <c r="E4507"/>
      <c r="F4507"/>
      <c r="G4507"/>
      <c r="H4507"/>
      <c r="I4507"/>
      <c r="J4507"/>
    </row>
    <row r="4508" spans="1:10" s="2" customFormat="1">
      <c r="A4508" s="1"/>
      <c r="E4508"/>
      <c r="F4508"/>
      <c r="G4508"/>
      <c r="H4508"/>
      <c r="I4508"/>
      <c r="J4508"/>
    </row>
    <row r="4509" spans="1:10" s="2" customFormat="1">
      <c r="A4509" s="1"/>
      <c r="E4509"/>
      <c r="F4509"/>
      <c r="G4509"/>
      <c r="H4509"/>
      <c r="I4509"/>
      <c r="J4509"/>
    </row>
    <row r="4510" spans="1:10" s="2" customFormat="1">
      <c r="A4510" s="1"/>
      <c r="E4510"/>
      <c r="F4510"/>
      <c r="G4510"/>
      <c r="H4510"/>
      <c r="I4510"/>
      <c r="J4510"/>
    </row>
    <row r="4511" spans="1:10" s="2" customFormat="1">
      <c r="A4511" s="1"/>
      <c r="E4511"/>
      <c r="F4511"/>
      <c r="G4511"/>
      <c r="H4511"/>
      <c r="I4511"/>
      <c r="J4511"/>
    </row>
    <row r="4512" spans="1:10" s="2" customFormat="1">
      <c r="A4512" s="1"/>
      <c r="E4512"/>
      <c r="F4512"/>
      <c r="G4512"/>
      <c r="H4512"/>
      <c r="I4512"/>
      <c r="J4512"/>
    </row>
    <row r="4513" spans="1:10" s="2" customFormat="1">
      <c r="A4513" s="1"/>
      <c r="E4513"/>
      <c r="F4513"/>
      <c r="G4513"/>
      <c r="H4513"/>
      <c r="I4513"/>
      <c r="J4513"/>
    </row>
    <row r="4514" spans="1:10" s="2" customFormat="1">
      <c r="A4514" s="1"/>
      <c r="E4514"/>
      <c r="F4514"/>
      <c r="G4514"/>
      <c r="H4514"/>
      <c r="I4514"/>
      <c r="J4514"/>
    </row>
    <row r="4515" spans="1:10" s="2" customFormat="1">
      <c r="A4515" s="1"/>
      <c r="E4515"/>
      <c r="F4515"/>
      <c r="G4515"/>
      <c r="H4515"/>
      <c r="I4515"/>
      <c r="J4515"/>
    </row>
    <row r="4516" spans="1:10" s="2" customFormat="1">
      <c r="A4516" s="1"/>
      <c r="E4516"/>
      <c r="F4516"/>
      <c r="G4516"/>
      <c r="H4516"/>
      <c r="I4516"/>
      <c r="J4516"/>
    </row>
    <row r="4517" spans="1:10" s="2" customFormat="1">
      <c r="A4517" s="1"/>
      <c r="E4517"/>
      <c r="F4517"/>
      <c r="G4517"/>
      <c r="H4517"/>
      <c r="I4517"/>
      <c r="J4517"/>
    </row>
    <row r="4518" spans="1:10" s="2" customFormat="1">
      <c r="A4518" s="1"/>
      <c r="E4518"/>
      <c r="F4518"/>
      <c r="G4518"/>
      <c r="H4518"/>
      <c r="I4518"/>
      <c r="J4518"/>
    </row>
    <row r="4519" spans="1:10" s="2" customFormat="1">
      <c r="A4519" s="1"/>
      <c r="E4519"/>
      <c r="F4519"/>
      <c r="G4519"/>
      <c r="H4519"/>
      <c r="I4519"/>
      <c r="J4519"/>
    </row>
    <row r="4520" spans="1:10" s="2" customFormat="1">
      <c r="A4520" s="1"/>
      <c r="E4520"/>
      <c r="F4520"/>
      <c r="G4520"/>
      <c r="H4520"/>
      <c r="I4520"/>
      <c r="J4520"/>
    </row>
    <row r="4521" spans="1:10" s="2" customFormat="1">
      <c r="A4521" s="1"/>
      <c r="E4521"/>
      <c r="F4521"/>
      <c r="G4521"/>
      <c r="H4521"/>
      <c r="I4521"/>
      <c r="J4521"/>
    </row>
    <row r="4522" spans="1:10" s="2" customFormat="1">
      <c r="A4522" s="1"/>
      <c r="E4522"/>
      <c r="F4522"/>
      <c r="G4522"/>
      <c r="H4522"/>
      <c r="I4522"/>
      <c r="J4522"/>
    </row>
    <row r="4523" spans="1:10" s="2" customFormat="1">
      <c r="A4523" s="1"/>
      <c r="E4523"/>
      <c r="F4523"/>
      <c r="G4523"/>
      <c r="H4523"/>
      <c r="I4523"/>
      <c r="J4523"/>
    </row>
    <row r="4524" spans="1:10" s="2" customFormat="1">
      <c r="A4524" s="1"/>
      <c r="E4524"/>
      <c r="F4524"/>
      <c r="G4524"/>
      <c r="H4524"/>
      <c r="I4524"/>
      <c r="J4524"/>
    </row>
    <row r="4525" spans="1:10" s="2" customFormat="1">
      <c r="A4525" s="1"/>
      <c r="E4525"/>
      <c r="F4525"/>
      <c r="G4525"/>
      <c r="H4525"/>
      <c r="I4525"/>
      <c r="J4525"/>
    </row>
    <row r="4526" spans="1:10" s="2" customFormat="1">
      <c r="A4526" s="1"/>
      <c r="E4526"/>
      <c r="F4526"/>
      <c r="G4526"/>
      <c r="H4526"/>
      <c r="I4526"/>
      <c r="J4526"/>
    </row>
    <row r="4527" spans="1:10" s="2" customFormat="1">
      <c r="A4527" s="1"/>
      <c r="E4527"/>
      <c r="F4527"/>
      <c r="G4527"/>
      <c r="H4527"/>
      <c r="I4527"/>
      <c r="J4527"/>
    </row>
    <row r="4528" spans="1:10" s="2" customFormat="1">
      <c r="A4528" s="1"/>
      <c r="E4528"/>
      <c r="F4528"/>
      <c r="G4528"/>
      <c r="H4528"/>
      <c r="I4528"/>
      <c r="J4528"/>
    </row>
    <row r="4529" spans="1:10" s="2" customFormat="1">
      <c r="A4529" s="1"/>
      <c r="E4529"/>
      <c r="F4529"/>
      <c r="G4529"/>
      <c r="H4529"/>
      <c r="I4529"/>
      <c r="J4529"/>
    </row>
    <row r="4530" spans="1:10" s="2" customFormat="1">
      <c r="A4530" s="1"/>
      <c r="E4530"/>
      <c r="F4530"/>
      <c r="G4530"/>
      <c r="H4530"/>
      <c r="I4530"/>
      <c r="J4530"/>
    </row>
    <row r="4531" spans="1:10" s="2" customFormat="1">
      <c r="A4531" s="1"/>
      <c r="E4531"/>
      <c r="F4531"/>
      <c r="G4531"/>
      <c r="H4531"/>
      <c r="I4531"/>
      <c r="J4531"/>
    </row>
    <row r="4532" spans="1:10" s="2" customFormat="1">
      <c r="A4532" s="1"/>
      <c r="E4532"/>
      <c r="F4532"/>
      <c r="G4532"/>
      <c r="H4532"/>
      <c r="I4532"/>
      <c r="J4532"/>
    </row>
    <row r="4533" spans="1:10" s="2" customFormat="1">
      <c r="A4533" s="1"/>
      <c r="E4533"/>
      <c r="F4533"/>
      <c r="G4533"/>
      <c r="H4533"/>
      <c r="I4533"/>
      <c r="J4533"/>
    </row>
    <row r="4534" spans="1:10" s="2" customFormat="1">
      <c r="A4534" s="1"/>
      <c r="E4534"/>
      <c r="F4534"/>
      <c r="G4534"/>
      <c r="H4534"/>
      <c r="I4534"/>
      <c r="J4534"/>
    </row>
    <row r="4535" spans="1:10" s="2" customFormat="1">
      <c r="A4535" s="1"/>
      <c r="E4535"/>
      <c r="F4535"/>
      <c r="G4535"/>
      <c r="H4535"/>
      <c r="I4535"/>
      <c r="J4535"/>
    </row>
    <row r="4536" spans="1:10" s="2" customFormat="1">
      <c r="A4536" s="1"/>
      <c r="E4536"/>
      <c r="F4536"/>
      <c r="G4536"/>
      <c r="H4536"/>
      <c r="I4536"/>
      <c r="J4536"/>
    </row>
    <row r="4537" spans="1:10" s="2" customFormat="1">
      <c r="A4537" s="1"/>
      <c r="E4537"/>
      <c r="F4537"/>
      <c r="G4537"/>
      <c r="H4537"/>
      <c r="I4537"/>
      <c r="J4537"/>
    </row>
    <row r="4538" spans="1:10" s="2" customFormat="1">
      <c r="A4538" s="1"/>
      <c r="E4538"/>
      <c r="F4538"/>
      <c r="G4538"/>
      <c r="H4538"/>
      <c r="I4538"/>
      <c r="J4538"/>
    </row>
    <row r="4539" spans="1:10" s="2" customFormat="1">
      <c r="A4539" s="1"/>
      <c r="E4539"/>
      <c r="F4539"/>
      <c r="G4539"/>
      <c r="H4539"/>
      <c r="I4539"/>
      <c r="J4539"/>
    </row>
    <row r="4540" spans="1:10" s="2" customFormat="1">
      <c r="A4540" s="1"/>
      <c r="E4540"/>
      <c r="F4540"/>
      <c r="G4540"/>
      <c r="H4540"/>
      <c r="I4540"/>
      <c r="J4540"/>
    </row>
    <row r="4541" spans="1:10" s="2" customFormat="1">
      <c r="A4541" s="1"/>
      <c r="E4541"/>
      <c r="F4541"/>
      <c r="G4541"/>
      <c r="H4541"/>
      <c r="I4541"/>
      <c r="J4541"/>
    </row>
    <row r="4542" spans="1:10" s="2" customFormat="1">
      <c r="A4542" s="1"/>
      <c r="E4542"/>
      <c r="F4542"/>
      <c r="G4542"/>
      <c r="H4542"/>
      <c r="I4542"/>
      <c r="J4542"/>
    </row>
    <row r="4543" spans="1:10" s="2" customFormat="1">
      <c r="A4543" s="1"/>
      <c r="E4543"/>
      <c r="F4543"/>
      <c r="G4543"/>
      <c r="H4543"/>
      <c r="I4543"/>
      <c r="J4543"/>
    </row>
    <row r="4544" spans="1:10" s="2" customFormat="1">
      <c r="A4544" s="1"/>
      <c r="E4544"/>
      <c r="F4544"/>
      <c r="G4544"/>
      <c r="H4544"/>
      <c r="I4544"/>
      <c r="J4544"/>
    </row>
    <row r="4545" spans="1:10" s="2" customFormat="1">
      <c r="A4545" s="1"/>
      <c r="E4545"/>
      <c r="F4545"/>
      <c r="G4545"/>
      <c r="H4545"/>
      <c r="I4545"/>
      <c r="J4545"/>
    </row>
    <row r="4546" spans="1:10" s="2" customFormat="1">
      <c r="A4546" s="1"/>
      <c r="E4546"/>
      <c r="F4546"/>
      <c r="G4546"/>
      <c r="H4546"/>
      <c r="I4546"/>
      <c r="J4546"/>
    </row>
    <row r="4547" spans="1:10" s="2" customFormat="1">
      <c r="A4547" s="1"/>
      <c r="E4547"/>
      <c r="F4547"/>
      <c r="G4547"/>
      <c r="H4547"/>
      <c r="I4547"/>
      <c r="J4547"/>
    </row>
    <row r="4548" spans="1:10" s="2" customFormat="1">
      <c r="A4548" s="1"/>
      <c r="E4548"/>
      <c r="F4548"/>
      <c r="G4548"/>
      <c r="H4548"/>
      <c r="I4548"/>
      <c r="J4548"/>
    </row>
    <row r="4549" spans="1:10" s="2" customFormat="1">
      <c r="A4549" s="1"/>
      <c r="E4549"/>
      <c r="F4549"/>
      <c r="G4549"/>
      <c r="H4549"/>
      <c r="I4549"/>
      <c r="J4549"/>
    </row>
    <row r="4550" spans="1:10" s="2" customFormat="1">
      <c r="A4550" s="1"/>
      <c r="E4550"/>
      <c r="F4550"/>
      <c r="G4550"/>
      <c r="H4550"/>
      <c r="I4550"/>
      <c r="J4550"/>
    </row>
    <row r="4551" spans="1:10" s="2" customFormat="1">
      <c r="A4551" s="1"/>
      <c r="E4551"/>
      <c r="F4551"/>
      <c r="G4551"/>
      <c r="H4551"/>
      <c r="I4551"/>
      <c r="J4551"/>
    </row>
    <row r="4552" spans="1:10" s="2" customFormat="1">
      <c r="A4552" s="1"/>
      <c r="E4552"/>
      <c r="F4552"/>
      <c r="G4552"/>
      <c r="H4552"/>
      <c r="I4552"/>
      <c r="J4552"/>
    </row>
    <row r="4553" spans="1:10" s="2" customFormat="1">
      <c r="A4553" s="1"/>
      <c r="E4553"/>
      <c r="F4553"/>
      <c r="G4553"/>
      <c r="H4553"/>
      <c r="I4553"/>
      <c r="J4553"/>
    </row>
    <row r="4554" spans="1:10" s="2" customFormat="1">
      <c r="A4554" s="1"/>
      <c r="E4554"/>
      <c r="F4554"/>
      <c r="G4554"/>
      <c r="H4554"/>
      <c r="I4554"/>
      <c r="J4554"/>
    </row>
    <row r="4555" spans="1:10" s="2" customFormat="1">
      <c r="A4555" s="1"/>
      <c r="E4555"/>
      <c r="F4555"/>
      <c r="G4555"/>
      <c r="H4555"/>
      <c r="I4555"/>
      <c r="J4555"/>
    </row>
    <row r="4556" spans="1:10" s="2" customFormat="1">
      <c r="A4556" s="1"/>
      <c r="E4556"/>
      <c r="F4556"/>
      <c r="G4556"/>
      <c r="H4556"/>
      <c r="I4556"/>
      <c r="J4556"/>
    </row>
    <row r="4557" spans="1:10" s="2" customFormat="1">
      <c r="A4557" s="1"/>
      <c r="E4557"/>
      <c r="F4557"/>
      <c r="G4557"/>
      <c r="H4557"/>
      <c r="I4557"/>
      <c r="J4557"/>
    </row>
    <row r="4558" spans="1:10" s="2" customFormat="1">
      <c r="A4558" s="1"/>
      <c r="E4558"/>
      <c r="F4558"/>
      <c r="G4558"/>
      <c r="H4558"/>
      <c r="I4558"/>
      <c r="J4558"/>
    </row>
    <row r="4559" spans="1:10" s="2" customFormat="1">
      <c r="A4559" s="1"/>
      <c r="E4559"/>
      <c r="F4559"/>
      <c r="G4559"/>
      <c r="H4559"/>
      <c r="I4559"/>
      <c r="J4559"/>
    </row>
    <row r="4560" spans="1:10" s="2" customFormat="1">
      <c r="A4560" s="1"/>
      <c r="E4560"/>
      <c r="F4560"/>
      <c r="G4560"/>
      <c r="H4560"/>
      <c r="I4560"/>
      <c r="J4560"/>
    </row>
    <row r="4561" spans="1:10" s="2" customFormat="1">
      <c r="A4561" s="1"/>
      <c r="E4561"/>
      <c r="F4561"/>
      <c r="G4561"/>
      <c r="H4561"/>
      <c r="I4561"/>
      <c r="J4561"/>
    </row>
    <row r="4562" spans="1:10" s="2" customFormat="1">
      <c r="A4562" s="1"/>
      <c r="E4562"/>
      <c r="F4562"/>
      <c r="G4562"/>
      <c r="H4562"/>
      <c r="I4562"/>
      <c r="J4562"/>
    </row>
    <row r="4563" spans="1:10" s="2" customFormat="1">
      <c r="A4563" s="1"/>
      <c r="E4563"/>
      <c r="F4563"/>
      <c r="G4563"/>
      <c r="H4563"/>
      <c r="I4563"/>
      <c r="J4563"/>
    </row>
    <row r="4564" spans="1:10" s="2" customFormat="1">
      <c r="A4564" s="1"/>
      <c r="E4564"/>
      <c r="F4564"/>
      <c r="G4564"/>
      <c r="H4564"/>
      <c r="I4564"/>
      <c r="J4564"/>
    </row>
    <row r="4565" spans="1:10" s="2" customFormat="1">
      <c r="A4565" s="1"/>
      <c r="E4565"/>
      <c r="F4565"/>
      <c r="G4565"/>
      <c r="H4565"/>
      <c r="I4565"/>
      <c r="J4565"/>
    </row>
    <row r="4566" spans="1:10" s="2" customFormat="1">
      <c r="A4566" s="1"/>
      <c r="E4566"/>
      <c r="F4566"/>
      <c r="G4566"/>
      <c r="H4566"/>
      <c r="I4566"/>
      <c r="J4566"/>
    </row>
    <row r="4567" spans="1:10" s="2" customFormat="1">
      <c r="A4567" s="1"/>
      <c r="E4567"/>
      <c r="F4567"/>
      <c r="G4567"/>
      <c r="H4567"/>
      <c r="I4567"/>
      <c r="J4567"/>
    </row>
    <row r="4568" spans="1:10" s="2" customFormat="1">
      <c r="A4568" s="1"/>
      <c r="E4568"/>
      <c r="F4568"/>
      <c r="G4568"/>
      <c r="H4568"/>
      <c r="I4568"/>
      <c r="J4568"/>
    </row>
    <row r="4569" spans="1:10" s="2" customFormat="1">
      <c r="A4569" s="1"/>
      <c r="E4569"/>
      <c r="F4569"/>
      <c r="G4569"/>
      <c r="H4569"/>
      <c r="I4569"/>
      <c r="J4569"/>
    </row>
    <row r="4570" spans="1:10" s="2" customFormat="1">
      <c r="A4570" s="1"/>
      <c r="E4570"/>
      <c r="F4570"/>
      <c r="G4570"/>
      <c r="H4570"/>
      <c r="I4570"/>
      <c r="J4570"/>
    </row>
    <row r="4571" spans="1:10" s="2" customFormat="1">
      <c r="A4571" s="1"/>
      <c r="E4571"/>
      <c r="F4571"/>
      <c r="G4571"/>
      <c r="H4571"/>
      <c r="I4571"/>
      <c r="J4571"/>
    </row>
    <row r="4572" spans="1:10" s="2" customFormat="1">
      <c r="A4572" s="1"/>
      <c r="E4572"/>
      <c r="F4572"/>
      <c r="G4572"/>
      <c r="H4572"/>
      <c r="I4572"/>
      <c r="J4572"/>
    </row>
    <row r="4573" spans="1:10" s="2" customFormat="1">
      <c r="A4573" s="1"/>
      <c r="E4573"/>
      <c r="F4573"/>
      <c r="G4573"/>
      <c r="H4573"/>
      <c r="I4573"/>
      <c r="J4573"/>
    </row>
    <row r="4574" spans="1:10" s="2" customFormat="1">
      <c r="A4574" s="1"/>
      <c r="E4574"/>
      <c r="F4574"/>
      <c r="G4574"/>
      <c r="H4574"/>
      <c r="I4574"/>
      <c r="J4574"/>
    </row>
    <row r="4575" spans="1:10" s="2" customFormat="1">
      <c r="A4575" s="1"/>
      <c r="E4575"/>
      <c r="F4575"/>
      <c r="G4575"/>
      <c r="H4575"/>
      <c r="I4575"/>
      <c r="J4575"/>
    </row>
    <row r="4576" spans="1:10" s="2" customFormat="1">
      <c r="A4576" s="1"/>
      <c r="E4576"/>
      <c r="F4576"/>
      <c r="G4576"/>
      <c r="H4576"/>
      <c r="I4576"/>
      <c r="J4576"/>
    </row>
    <row r="4577" spans="1:10" s="2" customFormat="1">
      <c r="A4577" s="1"/>
      <c r="E4577"/>
      <c r="F4577"/>
      <c r="G4577"/>
      <c r="H4577"/>
      <c r="I4577"/>
      <c r="J4577"/>
    </row>
    <row r="4578" spans="1:10" s="2" customFormat="1">
      <c r="A4578" s="1"/>
      <c r="E4578"/>
      <c r="F4578"/>
      <c r="G4578"/>
      <c r="H4578"/>
      <c r="I4578"/>
      <c r="J4578"/>
    </row>
    <row r="4579" spans="1:10" s="2" customFormat="1">
      <c r="A4579" s="1"/>
      <c r="E4579"/>
      <c r="F4579"/>
      <c r="G4579"/>
      <c r="H4579"/>
      <c r="I4579"/>
      <c r="J4579"/>
    </row>
    <row r="4580" spans="1:10" s="2" customFormat="1">
      <c r="A4580" s="1"/>
      <c r="E4580"/>
      <c r="F4580"/>
      <c r="G4580"/>
      <c r="H4580"/>
      <c r="I4580"/>
      <c r="J4580"/>
    </row>
    <row r="4581" spans="1:10" s="2" customFormat="1">
      <c r="A4581" s="1"/>
      <c r="E4581"/>
      <c r="F4581"/>
      <c r="G4581"/>
      <c r="H4581"/>
      <c r="I4581"/>
      <c r="J4581"/>
    </row>
    <row r="4582" spans="1:10" s="2" customFormat="1">
      <c r="A4582" s="1"/>
      <c r="E4582"/>
      <c r="F4582"/>
      <c r="G4582"/>
      <c r="H4582"/>
      <c r="I4582"/>
      <c r="J4582"/>
    </row>
    <row r="4583" spans="1:10" s="2" customFormat="1">
      <c r="A4583" s="1"/>
      <c r="E4583"/>
      <c r="F4583"/>
      <c r="G4583"/>
      <c r="H4583"/>
      <c r="I4583"/>
      <c r="J4583"/>
    </row>
    <row r="4584" spans="1:10" s="2" customFormat="1">
      <c r="A4584" s="1"/>
      <c r="E4584"/>
      <c r="F4584"/>
      <c r="G4584"/>
      <c r="H4584"/>
      <c r="I4584"/>
      <c r="J4584"/>
    </row>
    <row r="4585" spans="1:10" s="2" customFormat="1">
      <c r="A4585" s="1"/>
      <c r="E4585"/>
      <c r="F4585"/>
      <c r="G4585"/>
      <c r="H4585"/>
      <c r="I4585"/>
      <c r="J4585"/>
    </row>
    <row r="4586" spans="1:10" s="2" customFormat="1">
      <c r="A4586" s="1"/>
      <c r="E4586"/>
      <c r="F4586"/>
      <c r="G4586"/>
      <c r="H4586"/>
      <c r="I4586"/>
      <c r="J4586"/>
    </row>
    <row r="4587" spans="1:10" s="2" customFormat="1">
      <c r="A4587" s="1"/>
      <c r="E4587"/>
      <c r="F4587"/>
      <c r="G4587"/>
      <c r="H4587"/>
      <c r="I4587"/>
      <c r="J4587"/>
    </row>
    <row r="4588" spans="1:10" s="2" customFormat="1">
      <c r="A4588" s="1"/>
      <c r="E4588"/>
      <c r="F4588"/>
      <c r="G4588"/>
      <c r="H4588"/>
      <c r="I4588"/>
      <c r="J4588"/>
    </row>
    <row r="4589" spans="1:10" s="2" customFormat="1">
      <c r="A4589" s="1"/>
      <c r="E4589"/>
      <c r="F4589"/>
      <c r="G4589"/>
      <c r="H4589"/>
      <c r="I4589"/>
      <c r="J4589"/>
    </row>
    <row r="4590" spans="1:10" s="2" customFormat="1">
      <c r="A4590" s="1"/>
      <c r="E4590"/>
      <c r="F4590"/>
      <c r="G4590"/>
      <c r="H4590"/>
      <c r="I4590"/>
      <c r="J4590"/>
    </row>
    <row r="4591" spans="1:10" s="2" customFormat="1">
      <c r="A4591" s="1"/>
      <c r="E4591"/>
      <c r="F4591"/>
      <c r="G4591"/>
      <c r="H4591"/>
      <c r="I4591"/>
      <c r="J4591"/>
    </row>
    <row r="4592" spans="1:10" s="2" customFormat="1">
      <c r="A4592" s="1"/>
      <c r="E4592"/>
      <c r="F4592"/>
      <c r="G4592"/>
      <c r="H4592"/>
      <c r="I4592"/>
      <c r="J4592"/>
    </row>
    <row r="4593" spans="1:10" s="2" customFormat="1">
      <c r="A4593" s="1"/>
      <c r="E4593"/>
      <c r="F4593"/>
      <c r="G4593"/>
      <c r="H4593"/>
      <c r="I4593"/>
      <c r="J4593"/>
    </row>
    <row r="4594" spans="1:10" s="2" customFormat="1">
      <c r="A4594" s="1"/>
      <c r="E4594"/>
      <c r="F4594"/>
      <c r="G4594"/>
      <c r="H4594"/>
      <c r="I4594"/>
      <c r="J4594"/>
    </row>
    <row r="4595" spans="1:10" s="2" customFormat="1">
      <c r="A4595" s="1"/>
      <c r="E4595"/>
      <c r="F4595"/>
      <c r="G4595"/>
      <c r="H4595"/>
      <c r="I4595"/>
      <c r="J4595"/>
    </row>
    <row r="4596" spans="1:10" s="2" customFormat="1">
      <c r="A4596" s="1"/>
      <c r="E4596"/>
      <c r="F4596"/>
      <c r="G4596"/>
      <c r="H4596"/>
      <c r="I4596"/>
      <c r="J4596"/>
    </row>
    <row r="4597" spans="1:10" s="2" customFormat="1">
      <c r="A4597" s="1"/>
      <c r="E4597"/>
      <c r="F4597"/>
      <c r="G4597"/>
      <c r="H4597"/>
      <c r="I4597"/>
      <c r="J4597"/>
    </row>
    <row r="4598" spans="1:10" s="2" customFormat="1">
      <c r="A4598" s="1"/>
      <c r="E4598"/>
      <c r="F4598"/>
      <c r="G4598"/>
      <c r="H4598"/>
      <c r="I4598"/>
      <c r="J4598"/>
    </row>
    <row r="4599" spans="1:10" s="2" customFormat="1">
      <c r="A4599" s="1"/>
      <c r="E4599"/>
      <c r="F4599"/>
      <c r="G4599"/>
      <c r="H4599"/>
      <c r="I4599"/>
      <c r="J4599"/>
    </row>
    <row r="4600" spans="1:10" s="2" customFormat="1">
      <c r="A4600" s="1"/>
      <c r="E4600"/>
      <c r="F4600"/>
      <c r="G4600"/>
      <c r="H4600"/>
      <c r="I4600"/>
      <c r="J4600"/>
    </row>
    <row r="4601" spans="1:10" s="2" customFormat="1">
      <c r="A4601" s="1"/>
      <c r="E4601"/>
      <c r="F4601"/>
      <c r="G4601"/>
      <c r="H4601"/>
      <c r="I4601"/>
      <c r="J4601"/>
    </row>
    <row r="4602" spans="1:10" s="2" customFormat="1">
      <c r="A4602" s="1"/>
      <c r="E4602"/>
      <c r="F4602"/>
      <c r="G4602"/>
      <c r="H4602"/>
      <c r="I4602"/>
      <c r="J4602"/>
    </row>
    <row r="4603" spans="1:10" s="2" customFormat="1">
      <c r="A4603" s="1"/>
      <c r="E4603"/>
      <c r="F4603"/>
      <c r="G4603"/>
      <c r="H4603"/>
      <c r="I4603"/>
      <c r="J4603"/>
    </row>
    <row r="4604" spans="1:10" s="2" customFormat="1">
      <c r="A4604" s="1"/>
      <c r="E4604"/>
      <c r="F4604"/>
      <c r="G4604"/>
      <c r="H4604"/>
      <c r="I4604"/>
      <c r="J4604"/>
    </row>
    <row r="4605" spans="1:10" s="2" customFormat="1">
      <c r="A4605" s="1"/>
      <c r="E4605"/>
      <c r="F4605"/>
      <c r="G4605"/>
      <c r="H4605"/>
      <c r="I4605"/>
      <c r="J4605"/>
    </row>
    <row r="4606" spans="1:10" s="2" customFormat="1">
      <c r="A4606" s="1"/>
      <c r="E4606"/>
      <c r="F4606"/>
      <c r="G4606"/>
      <c r="H4606"/>
      <c r="I4606"/>
      <c r="J4606"/>
    </row>
    <row r="4607" spans="1:10" s="2" customFormat="1">
      <c r="A4607" s="1"/>
      <c r="E4607"/>
      <c r="F4607"/>
      <c r="G4607"/>
      <c r="H4607"/>
      <c r="I4607"/>
      <c r="J4607"/>
    </row>
    <row r="4608" spans="1:10" s="2" customFormat="1">
      <c r="A4608" s="1"/>
      <c r="E4608"/>
      <c r="F4608"/>
      <c r="G4608"/>
      <c r="H4608"/>
      <c r="I4608"/>
      <c r="J4608"/>
    </row>
    <row r="4609" spans="1:10" s="2" customFormat="1">
      <c r="A4609" s="1"/>
      <c r="E4609"/>
      <c r="F4609"/>
      <c r="G4609"/>
      <c r="H4609"/>
      <c r="I4609"/>
      <c r="J4609"/>
    </row>
    <row r="4610" spans="1:10" s="2" customFormat="1">
      <c r="A4610" s="1"/>
      <c r="E4610"/>
      <c r="F4610"/>
      <c r="G4610"/>
      <c r="H4610"/>
      <c r="I4610"/>
      <c r="J4610"/>
    </row>
    <row r="4611" spans="1:10" s="2" customFormat="1">
      <c r="A4611" s="1"/>
      <c r="E4611"/>
      <c r="F4611"/>
      <c r="G4611"/>
      <c r="H4611"/>
      <c r="I4611"/>
      <c r="J4611"/>
    </row>
    <row r="4612" spans="1:10" s="2" customFormat="1">
      <c r="A4612" s="1"/>
      <c r="E4612"/>
      <c r="F4612"/>
      <c r="G4612"/>
      <c r="H4612"/>
      <c r="I4612"/>
      <c r="J4612"/>
    </row>
    <row r="4613" spans="1:10" s="2" customFormat="1">
      <c r="A4613" s="1"/>
      <c r="E4613"/>
      <c r="F4613"/>
      <c r="G4613"/>
      <c r="H4613"/>
      <c r="I4613"/>
      <c r="J4613"/>
    </row>
    <row r="4614" spans="1:10" s="2" customFormat="1">
      <c r="A4614" s="1"/>
      <c r="E4614"/>
      <c r="F4614"/>
      <c r="G4614"/>
      <c r="H4614"/>
      <c r="I4614"/>
      <c r="J4614"/>
    </row>
    <row r="4615" spans="1:10" s="2" customFormat="1">
      <c r="A4615" s="1"/>
      <c r="E4615"/>
      <c r="F4615"/>
      <c r="G4615"/>
      <c r="H4615"/>
      <c r="I4615"/>
      <c r="J4615"/>
    </row>
    <row r="4616" spans="1:10" s="2" customFormat="1">
      <c r="A4616" s="1"/>
      <c r="E4616"/>
      <c r="F4616"/>
      <c r="G4616"/>
      <c r="H4616"/>
      <c r="I4616"/>
      <c r="J4616"/>
    </row>
    <row r="4617" spans="1:10" s="2" customFormat="1">
      <c r="A4617" s="1"/>
      <c r="E4617"/>
      <c r="F4617"/>
      <c r="G4617"/>
      <c r="H4617"/>
      <c r="I4617"/>
      <c r="J4617"/>
    </row>
    <row r="4618" spans="1:10" s="2" customFormat="1">
      <c r="A4618" s="1"/>
      <c r="E4618"/>
      <c r="F4618"/>
      <c r="G4618"/>
      <c r="H4618"/>
      <c r="I4618"/>
      <c r="J4618"/>
    </row>
    <row r="4619" spans="1:10" s="2" customFormat="1">
      <c r="A4619" s="1"/>
      <c r="E4619"/>
      <c r="F4619"/>
      <c r="G4619"/>
      <c r="H4619"/>
      <c r="I4619"/>
      <c r="J4619"/>
    </row>
    <row r="4620" spans="1:10" s="2" customFormat="1">
      <c r="A4620" s="1"/>
      <c r="E4620"/>
      <c r="F4620"/>
      <c r="G4620"/>
      <c r="H4620"/>
      <c r="I4620"/>
      <c r="J4620"/>
    </row>
    <row r="4621" spans="1:10" s="2" customFormat="1">
      <c r="A4621" s="1"/>
      <c r="E4621"/>
      <c r="F4621"/>
      <c r="G4621"/>
      <c r="H4621"/>
      <c r="I4621"/>
      <c r="J4621"/>
    </row>
    <row r="4622" spans="1:10" s="2" customFormat="1">
      <c r="A4622" s="1"/>
      <c r="E4622"/>
      <c r="F4622"/>
      <c r="G4622"/>
      <c r="H4622"/>
      <c r="I4622"/>
      <c r="J4622"/>
    </row>
    <row r="4623" spans="1:10" s="2" customFormat="1">
      <c r="A4623" s="1"/>
      <c r="E4623"/>
      <c r="F4623"/>
      <c r="G4623"/>
      <c r="H4623"/>
      <c r="I4623"/>
      <c r="J4623"/>
    </row>
    <row r="4624" spans="1:10" s="2" customFormat="1">
      <c r="A4624" s="1"/>
      <c r="E4624"/>
      <c r="F4624"/>
      <c r="G4624"/>
      <c r="H4624"/>
      <c r="I4624"/>
      <c r="J4624"/>
    </row>
    <row r="4625" spans="1:10" s="2" customFormat="1">
      <c r="A4625" s="1"/>
      <c r="E4625"/>
      <c r="F4625"/>
      <c r="G4625"/>
      <c r="H4625"/>
      <c r="I4625"/>
      <c r="J4625"/>
    </row>
    <row r="4626" spans="1:10" s="2" customFormat="1">
      <c r="A4626" s="1"/>
      <c r="E4626"/>
      <c r="F4626"/>
      <c r="G4626"/>
      <c r="H4626"/>
      <c r="I4626"/>
      <c r="J4626"/>
    </row>
    <row r="4627" spans="1:10" s="2" customFormat="1">
      <c r="A4627" s="1"/>
      <c r="E4627"/>
      <c r="F4627"/>
      <c r="G4627"/>
      <c r="H4627"/>
      <c r="I4627"/>
      <c r="J4627"/>
    </row>
    <row r="4628" spans="1:10" s="2" customFormat="1">
      <c r="A4628" s="1"/>
      <c r="E4628"/>
      <c r="F4628"/>
      <c r="G4628"/>
      <c r="H4628"/>
      <c r="I4628"/>
      <c r="J4628"/>
    </row>
    <row r="4629" spans="1:10" s="2" customFormat="1">
      <c r="A4629" s="1"/>
      <c r="E4629"/>
      <c r="F4629"/>
      <c r="G4629"/>
      <c r="H4629"/>
      <c r="I4629"/>
      <c r="J4629"/>
    </row>
    <row r="4630" spans="1:10" s="2" customFormat="1">
      <c r="A4630" s="1"/>
      <c r="E4630"/>
      <c r="F4630"/>
      <c r="G4630"/>
      <c r="H4630"/>
      <c r="I4630"/>
      <c r="J4630"/>
    </row>
    <row r="4631" spans="1:10" s="2" customFormat="1">
      <c r="A4631" s="1"/>
      <c r="E4631"/>
      <c r="F4631"/>
      <c r="G4631"/>
      <c r="H4631"/>
      <c r="I4631"/>
      <c r="J4631"/>
    </row>
    <row r="4632" spans="1:10" s="2" customFormat="1">
      <c r="A4632" s="1"/>
      <c r="E4632"/>
      <c r="F4632"/>
      <c r="G4632"/>
      <c r="H4632"/>
      <c r="I4632"/>
      <c r="J4632"/>
    </row>
    <row r="4633" spans="1:10" s="2" customFormat="1">
      <c r="A4633" s="1"/>
      <c r="E4633"/>
      <c r="F4633"/>
      <c r="G4633"/>
      <c r="H4633"/>
      <c r="I4633"/>
      <c r="J4633"/>
    </row>
    <row r="4634" spans="1:10" s="2" customFormat="1">
      <c r="A4634" s="1"/>
      <c r="E4634"/>
      <c r="F4634"/>
      <c r="G4634"/>
      <c r="H4634"/>
      <c r="I4634"/>
      <c r="J4634"/>
    </row>
    <row r="4635" spans="1:10" s="2" customFormat="1">
      <c r="A4635" s="1"/>
      <c r="E4635"/>
      <c r="F4635"/>
      <c r="G4635"/>
      <c r="H4635"/>
      <c r="I4635"/>
      <c r="J4635"/>
    </row>
    <row r="4636" spans="1:10" s="2" customFormat="1">
      <c r="A4636" s="1"/>
      <c r="E4636"/>
      <c r="F4636"/>
      <c r="G4636"/>
      <c r="H4636"/>
      <c r="I4636"/>
      <c r="J4636"/>
    </row>
    <row r="4637" spans="1:10" s="2" customFormat="1">
      <c r="A4637" s="1"/>
      <c r="E4637"/>
      <c r="F4637"/>
      <c r="G4637"/>
      <c r="H4637"/>
      <c r="I4637"/>
      <c r="J4637"/>
    </row>
    <row r="4638" spans="1:10" s="2" customFormat="1">
      <c r="A4638" s="1"/>
      <c r="E4638"/>
      <c r="F4638"/>
      <c r="G4638"/>
      <c r="H4638"/>
      <c r="I4638"/>
      <c r="J4638"/>
    </row>
    <row r="4639" spans="1:10" s="2" customFormat="1">
      <c r="A4639" s="1"/>
      <c r="E4639"/>
      <c r="F4639"/>
      <c r="G4639"/>
      <c r="H4639"/>
      <c r="I4639"/>
      <c r="J4639"/>
    </row>
    <row r="4640" spans="1:10" s="2" customFormat="1">
      <c r="A4640" s="1"/>
      <c r="E4640"/>
      <c r="F4640"/>
      <c r="G4640"/>
      <c r="H4640"/>
      <c r="I4640"/>
      <c r="J4640"/>
    </row>
    <row r="4641" spans="1:10" s="2" customFormat="1">
      <c r="A4641" s="1"/>
      <c r="E4641"/>
      <c r="F4641"/>
      <c r="G4641"/>
      <c r="H4641"/>
      <c r="I4641"/>
      <c r="J4641"/>
    </row>
    <row r="4642" spans="1:10" s="2" customFormat="1">
      <c r="A4642" s="1"/>
      <c r="E4642"/>
      <c r="F4642"/>
      <c r="G4642"/>
      <c r="H4642"/>
      <c r="I4642"/>
      <c r="J4642"/>
    </row>
    <row r="4643" spans="1:10" s="2" customFormat="1">
      <c r="A4643" s="1"/>
      <c r="E4643"/>
      <c r="F4643"/>
      <c r="G4643"/>
      <c r="H4643"/>
      <c r="I4643"/>
      <c r="J4643"/>
    </row>
    <row r="4644" spans="1:10" s="2" customFormat="1">
      <c r="A4644" s="1"/>
      <c r="E4644"/>
      <c r="F4644"/>
      <c r="G4644"/>
      <c r="H4644"/>
      <c r="I4644"/>
      <c r="J4644"/>
    </row>
    <row r="4645" spans="1:10" s="2" customFormat="1">
      <c r="A4645" s="1"/>
      <c r="E4645"/>
      <c r="F4645"/>
      <c r="G4645"/>
      <c r="H4645"/>
      <c r="I4645"/>
      <c r="J4645"/>
    </row>
    <row r="4646" spans="1:10" s="2" customFormat="1">
      <c r="A4646" s="1"/>
      <c r="E4646"/>
      <c r="F4646"/>
      <c r="G4646"/>
      <c r="H4646"/>
      <c r="I4646"/>
      <c r="J4646"/>
    </row>
    <row r="4647" spans="1:10" s="2" customFormat="1">
      <c r="A4647" s="1"/>
      <c r="E4647"/>
      <c r="F4647"/>
      <c r="G4647"/>
      <c r="H4647"/>
      <c r="I4647"/>
      <c r="J4647"/>
    </row>
    <row r="4648" spans="1:10" s="2" customFormat="1">
      <c r="A4648" s="1"/>
      <c r="E4648"/>
      <c r="F4648"/>
      <c r="G4648"/>
      <c r="H4648"/>
      <c r="I4648"/>
      <c r="J4648"/>
    </row>
    <row r="4649" spans="1:10" s="2" customFormat="1">
      <c r="A4649" s="1"/>
      <c r="E4649"/>
      <c r="F4649"/>
      <c r="G4649"/>
      <c r="H4649"/>
      <c r="I4649"/>
      <c r="J4649"/>
    </row>
    <row r="4650" spans="1:10" s="2" customFormat="1">
      <c r="A4650" s="1"/>
      <c r="E4650"/>
      <c r="F4650"/>
      <c r="G4650"/>
      <c r="H4650"/>
      <c r="I4650"/>
      <c r="J4650"/>
    </row>
    <row r="4651" spans="1:10" s="2" customFormat="1">
      <c r="A4651" s="1"/>
      <c r="E4651"/>
      <c r="F4651"/>
      <c r="G4651"/>
      <c r="H4651"/>
      <c r="I4651"/>
      <c r="J4651"/>
    </row>
    <row r="4652" spans="1:10" s="2" customFormat="1">
      <c r="A4652" s="1"/>
      <c r="E4652"/>
      <c r="F4652"/>
      <c r="G4652"/>
      <c r="H4652"/>
      <c r="I4652"/>
      <c r="J4652"/>
    </row>
    <row r="4653" spans="1:10" s="2" customFormat="1">
      <c r="A4653" s="1"/>
      <c r="E4653"/>
      <c r="F4653"/>
      <c r="G4653"/>
      <c r="H4653"/>
      <c r="I4653"/>
      <c r="J4653"/>
    </row>
    <row r="4654" spans="1:10" s="2" customFormat="1">
      <c r="A4654" s="1"/>
      <c r="E4654"/>
      <c r="F4654"/>
      <c r="G4654"/>
      <c r="H4654"/>
      <c r="I4654"/>
      <c r="J4654"/>
    </row>
    <row r="4655" spans="1:10" s="2" customFormat="1">
      <c r="A4655" s="1"/>
      <c r="E4655"/>
      <c r="F4655"/>
      <c r="G4655"/>
      <c r="H4655"/>
      <c r="I4655"/>
      <c r="J4655"/>
    </row>
    <row r="4656" spans="1:10" s="2" customFormat="1">
      <c r="A4656" s="1"/>
      <c r="E4656"/>
      <c r="F4656"/>
      <c r="G4656"/>
      <c r="H4656"/>
      <c r="I4656"/>
      <c r="J4656"/>
    </row>
    <row r="4657" spans="1:10" s="2" customFormat="1">
      <c r="A4657" s="1"/>
      <c r="E4657"/>
      <c r="F4657"/>
      <c r="G4657"/>
      <c r="H4657"/>
      <c r="I4657"/>
      <c r="J4657"/>
    </row>
    <row r="4658" spans="1:10" s="2" customFormat="1">
      <c r="A4658" s="1"/>
      <c r="E4658"/>
      <c r="F4658"/>
      <c r="G4658"/>
      <c r="H4658"/>
      <c r="I4658"/>
      <c r="J4658"/>
    </row>
    <row r="4659" spans="1:10" s="2" customFormat="1">
      <c r="A4659" s="1"/>
      <c r="E4659"/>
      <c r="F4659"/>
      <c r="G4659"/>
      <c r="H4659"/>
      <c r="I4659"/>
      <c r="J4659"/>
    </row>
    <row r="4660" spans="1:10" s="2" customFormat="1">
      <c r="A4660" s="1"/>
      <c r="E4660"/>
      <c r="F4660"/>
      <c r="G4660"/>
      <c r="H4660"/>
      <c r="I4660"/>
      <c r="J4660"/>
    </row>
    <row r="4661" spans="1:10" s="2" customFormat="1">
      <c r="A4661" s="1"/>
      <c r="E4661"/>
      <c r="F4661"/>
      <c r="G4661"/>
      <c r="H4661"/>
      <c r="I4661"/>
      <c r="J4661"/>
    </row>
    <row r="4662" spans="1:10" s="2" customFormat="1">
      <c r="A4662" s="1"/>
      <c r="E4662"/>
      <c r="F4662"/>
      <c r="G4662"/>
      <c r="H4662"/>
      <c r="I4662"/>
      <c r="J4662"/>
    </row>
    <row r="4663" spans="1:10" s="2" customFormat="1">
      <c r="A4663" s="1"/>
      <c r="E4663"/>
      <c r="F4663"/>
      <c r="G4663"/>
      <c r="H4663"/>
      <c r="I4663"/>
      <c r="J4663"/>
    </row>
    <row r="4664" spans="1:10" s="2" customFormat="1">
      <c r="A4664" s="1"/>
      <c r="E4664"/>
      <c r="F4664"/>
      <c r="G4664"/>
      <c r="H4664"/>
      <c r="I4664"/>
      <c r="J4664"/>
    </row>
    <row r="4665" spans="1:10" s="2" customFormat="1">
      <c r="A4665" s="1"/>
      <c r="E4665"/>
      <c r="F4665"/>
      <c r="G4665"/>
      <c r="H4665"/>
      <c r="I4665"/>
      <c r="J4665"/>
    </row>
    <row r="4666" spans="1:10" s="2" customFormat="1">
      <c r="A4666" s="1"/>
      <c r="E4666"/>
      <c r="F4666"/>
      <c r="G4666"/>
      <c r="H4666"/>
      <c r="I4666"/>
      <c r="J4666"/>
    </row>
    <row r="4667" spans="1:10" s="2" customFormat="1">
      <c r="A4667" s="1"/>
      <c r="E4667"/>
      <c r="F4667"/>
      <c r="G4667"/>
      <c r="H4667"/>
      <c r="I4667"/>
      <c r="J4667"/>
    </row>
    <row r="4668" spans="1:10" s="2" customFormat="1">
      <c r="A4668" s="1"/>
      <c r="E4668"/>
      <c r="F4668"/>
      <c r="G4668"/>
      <c r="H4668"/>
      <c r="I4668"/>
      <c r="J4668"/>
    </row>
    <row r="4669" spans="1:10" s="2" customFormat="1">
      <c r="A4669" s="1"/>
      <c r="E4669"/>
      <c r="F4669"/>
      <c r="G4669"/>
      <c r="H4669"/>
      <c r="I4669"/>
      <c r="J4669"/>
    </row>
    <row r="4670" spans="1:10" s="2" customFormat="1">
      <c r="A4670" s="1"/>
      <c r="E4670"/>
      <c r="F4670"/>
      <c r="G4670"/>
      <c r="H4670"/>
      <c r="I4670"/>
      <c r="J4670"/>
    </row>
    <row r="4671" spans="1:10" s="2" customFormat="1">
      <c r="A4671" s="1"/>
      <c r="E4671"/>
      <c r="F4671"/>
      <c r="G4671"/>
      <c r="H4671"/>
      <c r="I4671"/>
      <c r="J4671"/>
    </row>
    <row r="4672" spans="1:10" s="2" customFormat="1">
      <c r="A4672" s="1"/>
      <c r="E4672"/>
      <c r="F4672"/>
      <c r="G4672"/>
      <c r="H4672"/>
      <c r="I4672"/>
      <c r="J4672"/>
    </row>
    <row r="4673" spans="1:10" s="2" customFormat="1">
      <c r="A4673" s="1"/>
      <c r="E4673"/>
      <c r="F4673"/>
      <c r="G4673"/>
      <c r="H4673"/>
      <c r="I4673"/>
      <c r="J4673"/>
    </row>
    <row r="4674" spans="1:10" s="2" customFormat="1">
      <c r="A4674" s="1"/>
      <c r="E4674"/>
      <c r="F4674"/>
      <c r="G4674"/>
      <c r="H4674"/>
      <c r="I4674"/>
      <c r="J4674"/>
    </row>
    <row r="4675" spans="1:10" s="2" customFormat="1">
      <c r="A4675" s="1"/>
      <c r="E4675"/>
      <c r="F4675"/>
      <c r="G4675"/>
      <c r="H4675"/>
      <c r="I4675"/>
      <c r="J4675"/>
    </row>
    <row r="4676" spans="1:10" s="2" customFormat="1">
      <c r="A4676" s="1"/>
      <c r="E4676"/>
      <c r="F4676"/>
      <c r="G4676"/>
      <c r="H4676"/>
      <c r="I4676"/>
      <c r="J4676"/>
    </row>
    <row r="4677" spans="1:10" s="2" customFormat="1">
      <c r="A4677" s="1"/>
      <c r="E4677"/>
      <c r="F4677"/>
      <c r="G4677"/>
      <c r="H4677"/>
      <c r="I4677"/>
      <c r="J4677"/>
    </row>
    <row r="4678" spans="1:10" s="2" customFormat="1">
      <c r="A4678" s="1"/>
      <c r="E4678"/>
      <c r="F4678"/>
      <c r="G4678"/>
      <c r="H4678"/>
      <c r="I4678"/>
      <c r="J4678"/>
    </row>
    <row r="4679" spans="1:10" s="2" customFormat="1">
      <c r="A4679" s="1"/>
      <c r="E4679"/>
      <c r="F4679"/>
      <c r="G4679"/>
      <c r="H4679"/>
      <c r="I4679"/>
      <c r="J4679"/>
    </row>
    <row r="4680" spans="1:10" s="2" customFormat="1">
      <c r="A4680" s="1"/>
      <c r="E4680"/>
      <c r="F4680"/>
      <c r="G4680"/>
      <c r="H4680"/>
      <c r="I4680"/>
      <c r="J4680"/>
    </row>
    <row r="4681" spans="1:10" s="2" customFormat="1">
      <c r="A4681" s="1"/>
      <c r="E4681"/>
      <c r="F4681"/>
      <c r="G4681"/>
      <c r="H4681"/>
      <c r="I4681"/>
      <c r="J4681"/>
    </row>
    <row r="4682" spans="1:10" s="2" customFormat="1">
      <c r="A4682" s="1"/>
      <c r="E4682"/>
      <c r="F4682"/>
      <c r="G4682"/>
      <c r="H4682"/>
      <c r="I4682"/>
      <c r="J4682"/>
    </row>
    <row r="4683" spans="1:10" s="2" customFormat="1">
      <c r="A4683" s="1"/>
      <c r="E4683"/>
      <c r="F4683"/>
      <c r="G4683"/>
      <c r="H4683"/>
      <c r="I4683"/>
      <c r="J4683"/>
    </row>
    <row r="4684" spans="1:10" s="2" customFormat="1">
      <c r="A4684" s="1"/>
      <c r="E4684"/>
      <c r="F4684"/>
      <c r="G4684"/>
      <c r="H4684"/>
      <c r="I4684"/>
      <c r="J4684"/>
    </row>
    <row r="4685" spans="1:10" s="2" customFormat="1">
      <c r="A4685" s="1"/>
      <c r="E4685"/>
      <c r="F4685"/>
      <c r="G4685"/>
      <c r="H4685"/>
      <c r="I4685"/>
      <c r="J4685"/>
    </row>
    <row r="4686" spans="1:10" s="2" customFormat="1">
      <c r="A4686" s="1"/>
      <c r="E4686"/>
      <c r="F4686"/>
      <c r="G4686"/>
      <c r="H4686"/>
      <c r="I4686"/>
      <c r="J4686"/>
    </row>
    <row r="4687" spans="1:10" s="2" customFormat="1">
      <c r="A4687" s="1"/>
      <c r="E4687"/>
      <c r="F4687"/>
      <c r="G4687"/>
      <c r="H4687"/>
      <c r="I4687"/>
      <c r="J4687"/>
    </row>
    <row r="4688" spans="1:10" s="2" customFormat="1">
      <c r="A4688" s="1"/>
      <c r="E4688"/>
      <c r="F4688"/>
      <c r="G4688"/>
      <c r="H4688"/>
      <c r="I4688"/>
      <c r="J4688"/>
    </row>
    <row r="4689" spans="1:10" s="2" customFormat="1">
      <c r="A4689" s="1"/>
      <c r="E4689"/>
      <c r="F4689"/>
      <c r="G4689"/>
      <c r="H4689"/>
      <c r="I4689"/>
      <c r="J4689"/>
    </row>
    <row r="4690" spans="1:10" s="2" customFormat="1">
      <c r="A4690" s="1"/>
      <c r="E4690"/>
      <c r="F4690"/>
      <c r="G4690"/>
      <c r="H4690"/>
      <c r="I4690"/>
      <c r="J4690"/>
    </row>
    <row r="4691" spans="1:10" s="2" customFormat="1">
      <c r="A4691" s="1"/>
      <c r="E4691"/>
      <c r="F4691"/>
      <c r="G4691"/>
      <c r="H4691"/>
      <c r="I4691"/>
      <c r="J4691"/>
    </row>
    <row r="4692" spans="1:10" s="2" customFormat="1">
      <c r="A4692" s="1"/>
      <c r="E4692"/>
      <c r="F4692"/>
      <c r="G4692"/>
      <c r="H4692"/>
      <c r="I4692"/>
      <c r="J4692"/>
    </row>
    <row r="4693" spans="1:10" s="2" customFormat="1">
      <c r="A4693" s="1"/>
      <c r="E4693"/>
      <c r="F4693"/>
      <c r="G4693"/>
      <c r="H4693"/>
      <c r="I4693"/>
      <c r="J4693"/>
    </row>
    <row r="4694" spans="1:10" s="2" customFormat="1">
      <c r="A4694" s="1"/>
      <c r="E4694"/>
      <c r="F4694"/>
      <c r="G4694"/>
      <c r="H4694"/>
      <c r="I4694"/>
      <c r="J4694"/>
    </row>
    <row r="4695" spans="1:10" s="2" customFormat="1">
      <c r="A4695" s="1"/>
      <c r="E4695"/>
      <c r="F4695"/>
      <c r="G4695"/>
      <c r="H4695"/>
      <c r="I4695"/>
      <c r="J4695"/>
    </row>
    <row r="4696" spans="1:10" s="2" customFormat="1">
      <c r="A4696" s="1"/>
      <c r="E4696"/>
      <c r="F4696"/>
      <c r="G4696"/>
      <c r="H4696"/>
      <c r="I4696"/>
      <c r="J4696"/>
    </row>
    <row r="4697" spans="1:10" s="2" customFormat="1">
      <c r="A4697" s="1"/>
      <c r="E4697"/>
      <c r="F4697"/>
      <c r="G4697"/>
      <c r="H4697"/>
      <c r="I4697"/>
      <c r="J4697"/>
    </row>
    <row r="4698" spans="1:10" s="2" customFormat="1">
      <c r="A4698" s="1"/>
      <c r="E4698"/>
      <c r="F4698"/>
      <c r="G4698"/>
      <c r="H4698"/>
      <c r="I4698"/>
      <c r="J4698"/>
    </row>
    <row r="4699" spans="1:10" s="2" customFormat="1">
      <c r="A4699" s="1"/>
      <c r="E4699"/>
      <c r="F4699"/>
      <c r="G4699"/>
      <c r="H4699"/>
      <c r="I4699"/>
      <c r="J4699"/>
    </row>
    <row r="4700" spans="1:10" s="2" customFormat="1">
      <c r="A4700" s="1"/>
      <c r="E4700"/>
      <c r="F4700"/>
      <c r="G4700"/>
      <c r="H4700"/>
      <c r="I4700"/>
      <c r="J4700"/>
    </row>
    <row r="4701" spans="1:10" s="2" customFormat="1">
      <c r="A4701" s="1"/>
      <c r="E4701"/>
      <c r="F4701"/>
      <c r="G4701"/>
      <c r="H4701"/>
      <c r="I4701"/>
      <c r="J4701"/>
    </row>
    <row r="4702" spans="1:10" s="2" customFormat="1">
      <c r="A4702" s="1"/>
      <c r="E4702"/>
      <c r="F4702"/>
      <c r="G4702"/>
      <c r="H4702"/>
      <c r="I4702"/>
      <c r="J4702"/>
    </row>
    <row r="4703" spans="1:10" s="2" customFormat="1">
      <c r="A4703" s="1"/>
      <c r="E4703"/>
      <c r="F4703"/>
      <c r="G4703"/>
      <c r="H4703"/>
      <c r="I4703"/>
      <c r="J4703"/>
    </row>
    <row r="4704" spans="1:10" s="2" customFormat="1">
      <c r="A4704" s="1"/>
      <c r="E4704"/>
      <c r="F4704"/>
      <c r="G4704"/>
      <c r="H4704"/>
      <c r="I4704"/>
      <c r="J4704"/>
    </row>
    <row r="4705" spans="1:10" s="2" customFormat="1">
      <c r="A4705" s="1"/>
      <c r="E4705"/>
      <c r="F4705"/>
      <c r="G4705"/>
      <c r="H4705"/>
      <c r="I4705"/>
      <c r="J4705"/>
    </row>
    <row r="4706" spans="1:10" s="2" customFormat="1">
      <c r="A4706" s="1"/>
      <c r="E4706"/>
      <c r="F4706"/>
      <c r="G4706"/>
      <c r="H4706"/>
      <c r="I4706"/>
      <c r="J4706"/>
    </row>
    <row r="4707" spans="1:10" s="2" customFormat="1">
      <c r="A4707" s="1"/>
      <c r="E4707"/>
      <c r="F4707"/>
      <c r="G4707"/>
      <c r="H4707"/>
      <c r="I4707"/>
      <c r="J4707"/>
    </row>
    <row r="4708" spans="1:10" s="2" customFormat="1">
      <c r="A4708" s="1"/>
      <c r="E4708"/>
      <c r="F4708"/>
      <c r="G4708"/>
      <c r="H4708"/>
      <c r="I4708"/>
      <c r="J4708"/>
    </row>
    <row r="4709" spans="1:10" s="2" customFormat="1">
      <c r="A4709" s="1"/>
      <c r="E4709"/>
      <c r="F4709"/>
      <c r="G4709"/>
      <c r="H4709"/>
      <c r="I4709"/>
      <c r="J4709"/>
    </row>
    <row r="4710" spans="1:10" s="2" customFormat="1">
      <c r="A4710" s="1"/>
      <c r="E4710"/>
      <c r="F4710"/>
      <c r="G4710"/>
      <c r="H4710"/>
      <c r="I4710"/>
      <c r="J4710"/>
    </row>
    <row r="4711" spans="1:10" s="2" customFormat="1">
      <c r="A4711" s="1"/>
      <c r="E4711"/>
      <c r="F4711"/>
      <c r="G4711"/>
      <c r="H4711"/>
      <c r="I4711"/>
      <c r="J4711"/>
    </row>
    <row r="4712" spans="1:10" s="2" customFormat="1">
      <c r="A4712" s="1"/>
      <c r="E4712"/>
      <c r="F4712"/>
      <c r="G4712"/>
      <c r="H4712"/>
      <c r="I4712"/>
      <c r="J4712"/>
    </row>
    <row r="4713" spans="1:10" s="2" customFormat="1">
      <c r="A4713" s="1"/>
      <c r="E4713"/>
      <c r="F4713"/>
      <c r="G4713"/>
      <c r="H4713"/>
      <c r="I4713"/>
      <c r="J4713"/>
    </row>
    <row r="4714" spans="1:10" s="2" customFormat="1">
      <c r="A4714" s="1"/>
      <c r="E4714"/>
      <c r="F4714"/>
      <c r="G4714"/>
      <c r="H4714"/>
      <c r="I4714"/>
      <c r="J4714"/>
    </row>
    <row r="4715" spans="1:10" s="2" customFormat="1">
      <c r="A4715" s="1"/>
      <c r="E4715"/>
      <c r="F4715"/>
      <c r="G4715"/>
      <c r="H4715"/>
      <c r="I4715"/>
      <c r="J4715"/>
    </row>
    <row r="4716" spans="1:10" s="2" customFormat="1">
      <c r="A4716" s="1"/>
      <c r="E4716"/>
      <c r="F4716"/>
      <c r="G4716"/>
      <c r="H4716"/>
      <c r="I4716"/>
      <c r="J4716"/>
    </row>
    <row r="4717" spans="1:10" s="2" customFormat="1">
      <c r="A4717" s="1"/>
      <c r="E4717"/>
      <c r="F4717"/>
      <c r="G4717"/>
      <c r="H4717"/>
      <c r="I4717"/>
      <c r="J4717"/>
    </row>
    <row r="4718" spans="1:10" s="2" customFormat="1">
      <c r="A4718" s="1"/>
      <c r="E4718"/>
      <c r="F4718"/>
      <c r="G4718"/>
      <c r="H4718"/>
      <c r="I4718"/>
      <c r="J4718"/>
    </row>
    <row r="4719" spans="1:10" s="2" customFormat="1">
      <c r="A4719" s="1"/>
      <c r="E4719"/>
      <c r="F4719"/>
      <c r="G4719"/>
      <c r="H4719"/>
      <c r="I4719"/>
      <c r="J4719"/>
    </row>
    <row r="4720" spans="1:10" s="2" customFormat="1">
      <c r="A4720" s="1"/>
      <c r="E4720"/>
      <c r="F4720"/>
      <c r="G4720"/>
      <c r="H4720"/>
      <c r="I4720"/>
      <c r="J4720"/>
    </row>
    <row r="4721" spans="1:10" s="2" customFormat="1">
      <c r="A4721" s="1"/>
      <c r="E4721"/>
      <c r="F4721"/>
      <c r="G4721"/>
      <c r="H4721"/>
      <c r="I4721"/>
      <c r="J4721"/>
    </row>
    <row r="4722" spans="1:10" s="2" customFormat="1">
      <c r="A4722" s="1"/>
      <c r="E4722"/>
      <c r="F4722"/>
      <c r="G4722"/>
      <c r="H4722"/>
      <c r="I4722"/>
      <c r="J4722"/>
    </row>
    <row r="4723" spans="1:10" s="2" customFormat="1">
      <c r="A4723" s="1"/>
      <c r="E4723"/>
      <c r="F4723"/>
      <c r="G4723"/>
      <c r="H4723"/>
      <c r="I4723"/>
      <c r="J4723"/>
    </row>
    <row r="4724" spans="1:10" s="2" customFormat="1">
      <c r="A4724" s="1"/>
      <c r="E4724"/>
      <c r="F4724"/>
      <c r="G4724"/>
      <c r="H4724"/>
      <c r="I4724"/>
      <c r="J4724"/>
    </row>
    <row r="4725" spans="1:10" s="2" customFormat="1">
      <c r="A4725" s="1"/>
      <c r="E4725"/>
      <c r="F4725"/>
      <c r="G4725"/>
      <c r="H4725"/>
      <c r="I4725"/>
      <c r="J4725"/>
    </row>
    <row r="4726" spans="1:10" s="2" customFormat="1">
      <c r="A4726" s="1"/>
      <c r="E4726"/>
      <c r="F4726"/>
      <c r="G4726"/>
      <c r="H4726"/>
      <c r="I4726"/>
      <c r="J4726"/>
    </row>
    <row r="4727" spans="1:10" s="2" customFormat="1">
      <c r="A4727" s="1"/>
      <c r="E4727"/>
      <c r="F4727"/>
      <c r="G4727"/>
      <c r="H4727"/>
      <c r="I4727"/>
      <c r="J4727"/>
    </row>
    <row r="4728" spans="1:10" s="2" customFormat="1">
      <c r="A4728" s="1"/>
      <c r="E4728"/>
      <c r="F4728"/>
      <c r="G4728"/>
      <c r="H4728"/>
      <c r="I4728"/>
      <c r="J4728"/>
    </row>
    <row r="4729" spans="1:10" s="2" customFormat="1">
      <c r="A4729" s="1"/>
      <c r="E4729"/>
      <c r="F4729"/>
      <c r="G4729"/>
      <c r="H4729"/>
      <c r="I4729"/>
      <c r="J4729"/>
    </row>
    <row r="4730" spans="1:10" s="2" customFormat="1">
      <c r="A4730" s="1"/>
      <c r="E4730"/>
      <c r="F4730"/>
      <c r="G4730"/>
      <c r="H4730"/>
      <c r="I4730"/>
      <c r="J4730"/>
    </row>
    <row r="4731" spans="1:10" s="2" customFormat="1">
      <c r="A4731" s="1"/>
      <c r="E4731"/>
      <c r="F4731"/>
      <c r="G4731"/>
      <c r="H4731"/>
      <c r="I4731"/>
      <c r="J4731"/>
    </row>
    <row r="4732" spans="1:10" s="2" customFormat="1">
      <c r="A4732" s="1"/>
      <c r="E4732"/>
      <c r="F4732"/>
      <c r="G4732"/>
      <c r="H4732"/>
      <c r="I4732"/>
      <c r="J4732"/>
    </row>
    <row r="4733" spans="1:10" s="2" customFormat="1">
      <c r="A4733" s="1"/>
      <c r="E4733"/>
      <c r="F4733"/>
      <c r="G4733"/>
      <c r="H4733"/>
      <c r="I4733"/>
      <c r="J4733"/>
    </row>
    <row r="4734" spans="1:10" s="2" customFormat="1">
      <c r="A4734" s="1"/>
      <c r="E4734"/>
      <c r="F4734"/>
      <c r="G4734"/>
      <c r="H4734"/>
      <c r="I4734"/>
      <c r="J4734"/>
    </row>
    <row r="4735" spans="1:10" s="2" customFormat="1">
      <c r="A4735" s="1"/>
      <c r="E4735"/>
      <c r="F4735"/>
      <c r="G4735"/>
      <c r="H4735"/>
      <c r="I4735"/>
      <c r="J4735"/>
    </row>
    <row r="4736" spans="1:10" s="2" customFormat="1">
      <c r="A4736" s="1"/>
      <c r="E4736"/>
      <c r="F4736"/>
      <c r="G4736"/>
      <c r="H4736"/>
      <c r="I4736"/>
      <c r="J4736"/>
    </row>
    <row r="4737" spans="1:10" s="2" customFormat="1">
      <c r="A4737" s="1"/>
      <c r="E4737"/>
      <c r="F4737"/>
      <c r="G4737"/>
      <c r="H4737"/>
      <c r="I4737"/>
      <c r="J4737"/>
    </row>
    <row r="4738" spans="1:10" s="2" customFormat="1">
      <c r="A4738" s="1"/>
      <c r="E4738"/>
      <c r="F4738"/>
      <c r="G4738"/>
      <c r="H4738"/>
      <c r="I4738"/>
      <c r="J4738"/>
    </row>
    <row r="4739" spans="1:10" s="2" customFormat="1">
      <c r="A4739" s="1"/>
      <c r="E4739"/>
      <c r="F4739"/>
      <c r="G4739"/>
      <c r="H4739"/>
      <c r="I4739"/>
      <c r="J4739"/>
    </row>
    <row r="4740" spans="1:10" s="2" customFormat="1">
      <c r="A4740" s="1"/>
      <c r="E4740"/>
      <c r="F4740"/>
      <c r="G4740"/>
      <c r="H4740"/>
      <c r="I4740"/>
      <c r="J4740"/>
    </row>
    <row r="4741" spans="1:10" s="2" customFormat="1">
      <c r="A4741" s="1"/>
      <c r="E4741"/>
      <c r="F4741"/>
      <c r="G4741"/>
      <c r="H4741"/>
      <c r="I4741"/>
      <c r="J4741"/>
    </row>
    <row r="4742" spans="1:10" s="2" customFormat="1">
      <c r="A4742" s="1"/>
      <c r="E4742"/>
      <c r="F4742"/>
      <c r="G4742"/>
      <c r="H4742"/>
      <c r="I4742"/>
      <c r="J4742"/>
    </row>
    <row r="4743" spans="1:10" s="2" customFormat="1">
      <c r="A4743" s="1"/>
      <c r="E4743"/>
      <c r="F4743"/>
      <c r="G4743"/>
      <c r="H4743"/>
      <c r="I4743"/>
      <c r="J4743"/>
    </row>
    <row r="4744" spans="1:10" s="2" customFormat="1">
      <c r="A4744" s="1"/>
      <c r="E4744"/>
      <c r="F4744"/>
      <c r="G4744"/>
      <c r="H4744"/>
      <c r="I4744"/>
      <c r="J4744"/>
    </row>
    <row r="4745" spans="1:10" s="2" customFormat="1">
      <c r="A4745" s="1"/>
      <c r="E4745"/>
      <c r="F4745"/>
      <c r="G4745"/>
      <c r="H4745"/>
      <c r="I4745"/>
      <c r="J4745"/>
    </row>
    <row r="4746" spans="1:10" s="2" customFormat="1">
      <c r="A4746" s="1"/>
      <c r="E4746"/>
      <c r="F4746"/>
      <c r="G4746"/>
      <c r="H4746"/>
      <c r="I4746"/>
      <c r="J4746"/>
    </row>
    <row r="4747" spans="1:10" s="2" customFormat="1">
      <c r="A4747" s="1"/>
      <c r="E4747"/>
      <c r="F4747"/>
      <c r="G4747"/>
      <c r="H4747"/>
      <c r="I4747"/>
      <c r="J4747"/>
    </row>
    <row r="4748" spans="1:10" s="2" customFormat="1">
      <c r="A4748" s="1"/>
      <c r="E4748"/>
      <c r="F4748"/>
      <c r="G4748"/>
      <c r="H4748"/>
      <c r="I4748"/>
      <c r="J4748"/>
    </row>
    <row r="4749" spans="1:10" s="2" customFormat="1">
      <c r="A4749" s="1"/>
      <c r="E4749"/>
      <c r="F4749"/>
      <c r="G4749"/>
      <c r="H4749"/>
      <c r="I4749"/>
      <c r="J4749"/>
    </row>
    <row r="4750" spans="1:10" s="2" customFormat="1">
      <c r="A4750" s="1"/>
      <c r="E4750"/>
      <c r="F4750"/>
      <c r="G4750"/>
      <c r="H4750"/>
      <c r="I4750"/>
      <c r="J4750"/>
    </row>
    <row r="4751" spans="1:10" s="2" customFormat="1">
      <c r="A4751" s="1"/>
      <c r="E4751"/>
      <c r="F4751"/>
      <c r="G4751"/>
      <c r="H4751"/>
      <c r="I4751"/>
      <c r="J4751"/>
    </row>
    <row r="4752" spans="1:10" s="2" customFormat="1">
      <c r="A4752" s="1"/>
      <c r="E4752"/>
      <c r="F4752"/>
      <c r="G4752"/>
      <c r="H4752"/>
      <c r="I4752"/>
      <c r="J4752"/>
    </row>
    <row r="4753" spans="1:10" s="2" customFormat="1">
      <c r="A4753" s="1"/>
      <c r="E4753"/>
      <c r="F4753"/>
      <c r="G4753"/>
      <c r="H4753"/>
      <c r="I4753"/>
      <c r="J4753"/>
    </row>
    <row r="4754" spans="1:10" s="2" customFormat="1">
      <c r="A4754" s="1"/>
      <c r="E4754"/>
      <c r="F4754"/>
      <c r="G4754"/>
      <c r="H4754"/>
      <c r="I4754"/>
      <c r="J4754"/>
    </row>
    <row r="4755" spans="1:10" s="2" customFormat="1">
      <c r="A4755" s="1"/>
      <c r="E4755"/>
      <c r="F4755"/>
      <c r="G4755"/>
      <c r="H4755"/>
      <c r="I4755"/>
      <c r="J4755"/>
    </row>
    <row r="4756" spans="1:10" s="2" customFormat="1">
      <c r="A4756" s="1"/>
      <c r="E4756"/>
      <c r="F4756"/>
      <c r="G4756"/>
      <c r="H4756"/>
      <c r="I4756"/>
      <c r="J4756"/>
    </row>
    <row r="4757" spans="1:10" s="2" customFormat="1">
      <c r="A4757" s="1"/>
      <c r="E4757"/>
      <c r="F4757"/>
      <c r="G4757"/>
      <c r="H4757"/>
      <c r="I4757"/>
      <c r="J4757"/>
    </row>
    <row r="4758" spans="1:10" s="2" customFormat="1">
      <c r="A4758" s="1"/>
      <c r="E4758"/>
      <c r="F4758"/>
      <c r="G4758"/>
      <c r="H4758"/>
      <c r="I4758"/>
      <c r="J4758"/>
    </row>
    <row r="4759" spans="1:10" s="2" customFormat="1">
      <c r="A4759" s="1"/>
      <c r="E4759"/>
      <c r="F4759"/>
      <c r="G4759"/>
      <c r="H4759"/>
      <c r="I4759"/>
      <c r="J4759"/>
    </row>
    <row r="4760" spans="1:10" s="2" customFormat="1">
      <c r="A4760" s="1"/>
      <c r="E4760"/>
      <c r="F4760"/>
      <c r="G4760"/>
      <c r="H4760"/>
      <c r="I4760"/>
      <c r="J4760"/>
    </row>
    <row r="4761" spans="1:10" s="2" customFormat="1">
      <c r="A4761" s="1"/>
      <c r="E4761"/>
      <c r="F4761"/>
      <c r="G4761"/>
      <c r="H4761"/>
      <c r="I4761"/>
      <c r="J4761"/>
    </row>
    <row r="4762" spans="1:10" s="2" customFormat="1">
      <c r="A4762" s="1"/>
      <c r="E4762"/>
      <c r="F4762"/>
      <c r="G4762"/>
      <c r="H4762"/>
      <c r="I4762"/>
      <c r="J4762"/>
    </row>
    <row r="4763" spans="1:10" s="2" customFormat="1">
      <c r="A4763" s="1"/>
      <c r="E4763"/>
      <c r="F4763"/>
      <c r="G4763"/>
      <c r="H4763"/>
      <c r="I4763"/>
      <c r="J4763"/>
    </row>
    <row r="4764" spans="1:10" s="2" customFormat="1">
      <c r="A4764" s="1"/>
      <c r="E4764"/>
      <c r="F4764"/>
      <c r="G4764"/>
      <c r="H4764"/>
      <c r="I4764"/>
      <c r="J4764"/>
    </row>
    <row r="4765" spans="1:10" s="2" customFormat="1">
      <c r="A4765" s="1"/>
      <c r="E4765"/>
      <c r="F4765"/>
      <c r="G4765"/>
      <c r="H4765"/>
      <c r="I4765"/>
      <c r="J4765"/>
    </row>
    <row r="4766" spans="1:10" s="2" customFormat="1">
      <c r="A4766" s="1"/>
      <c r="E4766"/>
      <c r="F4766"/>
      <c r="G4766"/>
      <c r="H4766"/>
      <c r="I4766"/>
      <c r="J4766"/>
    </row>
    <row r="4767" spans="1:10" s="2" customFormat="1">
      <c r="A4767" s="1"/>
      <c r="E4767"/>
      <c r="F4767"/>
      <c r="G4767"/>
      <c r="H4767"/>
      <c r="I4767"/>
      <c r="J4767"/>
    </row>
    <row r="4768" spans="1:10" s="2" customFormat="1">
      <c r="A4768" s="1"/>
      <c r="E4768"/>
      <c r="F4768"/>
      <c r="G4768"/>
      <c r="H4768"/>
      <c r="I4768"/>
      <c r="J4768"/>
    </row>
    <row r="4769" spans="1:10" s="2" customFormat="1">
      <c r="A4769" s="1"/>
      <c r="E4769"/>
      <c r="F4769"/>
      <c r="G4769"/>
      <c r="H4769"/>
      <c r="I4769"/>
      <c r="J4769"/>
    </row>
    <row r="4770" spans="1:10" s="2" customFormat="1">
      <c r="A4770" s="1"/>
      <c r="E4770"/>
      <c r="F4770"/>
      <c r="G4770"/>
      <c r="H4770"/>
      <c r="I4770"/>
      <c r="J4770"/>
    </row>
    <row r="4771" spans="1:10" s="2" customFormat="1">
      <c r="A4771" s="1"/>
      <c r="E4771"/>
      <c r="F4771"/>
      <c r="G4771"/>
      <c r="H4771"/>
      <c r="I4771"/>
      <c r="J4771"/>
    </row>
    <row r="4772" spans="1:10" s="2" customFormat="1">
      <c r="A4772" s="1"/>
      <c r="E4772"/>
      <c r="F4772"/>
      <c r="G4772"/>
      <c r="H4772"/>
      <c r="I4772"/>
      <c r="J4772"/>
    </row>
    <row r="4773" spans="1:10" s="2" customFormat="1">
      <c r="A4773" s="1"/>
      <c r="E4773"/>
      <c r="F4773"/>
      <c r="G4773"/>
      <c r="H4773"/>
      <c r="I4773"/>
      <c r="J4773"/>
    </row>
    <row r="4774" spans="1:10" s="2" customFormat="1">
      <c r="A4774" s="1"/>
      <c r="E4774"/>
      <c r="F4774"/>
      <c r="G4774"/>
      <c r="H4774"/>
      <c r="I4774"/>
      <c r="J4774"/>
    </row>
    <row r="4775" spans="1:10" s="2" customFormat="1">
      <c r="A4775" s="1"/>
      <c r="E4775"/>
      <c r="F4775"/>
      <c r="G4775"/>
      <c r="H4775"/>
      <c r="I4775"/>
      <c r="J4775"/>
    </row>
    <row r="4776" spans="1:10" s="2" customFormat="1">
      <c r="A4776" s="1"/>
      <c r="E4776"/>
      <c r="F4776"/>
      <c r="G4776"/>
      <c r="H4776"/>
      <c r="I4776"/>
      <c r="J4776"/>
    </row>
    <row r="4777" spans="1:10" s="2" customFormat="1">
      <c r="A4777" s="1"/>
      <c r="E4777"/>
      <c r="F4777"/>
      <c r="G4777"/>
      <c r="H4777"/>
      <c r="I4777"/>
      <c r="J4777"/>
    </row>
    <row r="4778" spans="1:10" s="2" customFormat="1">
      <c r="A4778" s="1"/>
      <c r="E4778"/>
      <c r="F4778"/>
      <c r="G4778"/>
      <c r="H4778"/>
      <c r="I4778"/>
      <c r="J4778"/>
    </row>
    <row r="4779" spans="1:10" s="2" customFormat="1">
      <c r="A4779" s="1"/>
      <c r="E4779"/>
      <c r="F4779"/>
      <c r="G4779"/>
      <c r="H4779"/>
      <c r="I4779"/>
      <c r="J4779"/>
    </row>
    <row r="4780" spans="1:10" s="2" customFormat="1">
      <c r="A4780" s="1"/>
      <c r="E4780"/>
      <c r="F4780"/>
      <c r="G4780"/>
      <c r="H4780"/>
      <c r="I4780"/>
      <c r="J4780"/>
    </row>
    <row r="4781" spans="1:10" s="2" customFormat="1">
      <c r="A4781" s="1"/>
      <c r="E4781"/>
      <c r="F4781"/>
      <c r="G4781"/>
      <c r="H4781"/>
      <c r="I4781"/>
      <c r="J4781"/>
    </row>
    <row r="4782" spans="1:10" s="2" customFormat="1">
      <c r="A4782" s="1"/>
      <c r="E4782"/>
      <c r="F4782"/>
      <c r="G4782"/>
      <c r="H4782"/>
      <c r="I4782"/>
      <c r="J4782"/>
    </row>
    <row r="4783" spans="1:10" s="2" customFormat="1">
      <c r="A4783" s="1"/>
      <c r="E4783"/>
      <c r="F4783"/>
      <c r="G4783"/>
      <c r="H4783"/>
      <c r="I4783"/>
      <c r="J4783"/>
    </row>
    <row r="4784" spans="1:10" s="2" customFormat="1">
      <c r="A4784" s="1"/>
      <c r="E4784"/>
      <c r="F4784"/>
      <c r="G4784"/>
      <c r="H4784"/>
      <c r="I4784"/>
      <c r="J4784"/>
    </row>
    <row r="4785" spans="1:10" s="2" customFormat="1">
      <c r="A4785" s="1"/>
      <c r="E4785"/>
      <c r="F4785"/>
      <c r="G4785"/>
      <c r="H4785"/>
      <c r="I4785"/>
      <c r="J4785"/>
    </row>
    <row r="4786" spans="1:10" s="2" customFormat="1">
      <c r="A4786" s="1"/>
      <c r="E4786"/>
      <c r="F4786"/>
      <c r="G4786"/>
      <c r="H4786"/>
      <c r="I4786"/>
      <c r="J4786"/>
    </row>
    <row r="4787" spans="1:10" s="2" customFormat="1">
      <c r="A4787" s="1"/>
      <c r="E4787"/>
      <c r="F4787"/>
      <c r="G4787"/>
      <c r="H4787"/>
      <c r="I4787"/>
      <c r="J4787"/>
    </row>
    <row r="4788" spans="1:10" s="2" customFormat="1">
      <c r="A4788" s="1"/>
      <c r="E4788"/>
      <c r="F4788"/>
      <c r="G4788"/>
      <c r="H4788"/>
      <c r="I4788"/>
      <c r="J4788"/>
    </row>
    <row r="4789" spans="1:10" s="2" customFormat="1">
      <c r="A4789" s="1"/>
      <c r="E4789"/>
      <c r="F4789"/>
      <c r="G4789"/>
      <c r="H4789"/>
      <c r="I4789"/>
      <c r="J4789"/>
    </row>
    <row r="4790" spans="1:10" s="2" customFormat="1">
      <c r="A4790" s="1"/>
      <c r="E4790"/>
      <c r="F4790"/>
      <c r="G4790"/>
      <c r="H4790"/>
      <c r="I4790"/>
      <c r="J4790"/>
    </row>
    <row r="4791" spans="1:10" s="2" customFormat="1">
      <c r="A4791" s="1"/>
      <c r="E4791"/>
      <c r="F4791"/>
      <c r="G4791"/>
      <c r="H4791"/>
      <c r="I4791"/>
      <c r="J4791"/>
    </row>
    <row r="4792" spans="1:10" s="2" customFormat="1">
      <c r="A4792" s="1"/>
      <c r="E4792"/>
      <c r="F4792"/>
      <c r="G4792"/>
      <c r="H4792"/>
      <c r="I4792"/>
      <c r="J4792"/>
    </row>
    <row r="4793" spans="1:10" s="2" customFormat="1">
      <c r="A4793" s="1"/>
      <c r="E4793"/>
      <c r="F4793"/>
      <c r="G4793"/>
      <c r="H4793"/>
      <c r="I4793"/>
      <c r="J4793"/>
    </row>
    <row r="4794" spans="1:10" s="2" customFormat="1">
      <c r="A4794" s="1"/>
      <c r="E4794"/>
      <c r="F4794"/>
      <c r="G4794"/>
      <c r="H4794"/>
      <c r="I4794"/>
      <c r="J4794"/>
    </row>
    <row r="4795" spans="1:10" s="2" customFormat="1">
      <c r="A4795" s="1"/>
      <c r="E4795"/>
      <c r="F4795"/>
      <c r="G4795"/>
      <c r="H4795"/>
      <c r="I4795"/>
      <c r="J4795"/>
    </row>
    <row r="4796" spans="1:10" s="2" customFormat="1">
      <c r="A4796" s="1"/>
      <c r="E4796"/>
      <c r="F4796"/>
      <c r="G4796"/>
      <c r="H4796"/>
      <c r="I4796"/>
      <c r="J4796"/>
    </row>
    <row r="4797" spans="1:10" s="2" customFormat="1">
      <c r="A4797" s="1"/>
      <c r="E4797"/>
      <c r="F4797"/>
      <c r="G4797"/>
      <c r="H4797"/>
      <c r="I4797"/>
      <c r="J4797"/>
    </row>
    <row r="4798" spans="1:10" s="2" customFormat="1">
      <c r="A4798" s="1"/>
      <c r="E4798"/>
      <c r="F4798"/>
      <c r="G4798"/>
      <c r="H4798"/>
      <c r="I4798"/>
      <c r="J4798"/>
    </row>
    <row r="4799" spans="1:10" s="2" customFormat="1">
      <c r="A4799" s="1"/>
      <c r="E4799"/>
      <c r="F4799"/>
      <c r="G4799"/>
      <c r="H4799"/>
      <c r="I4799"/>
      <c r="J4799"/>
    </row>
    <row r="4800" spans="1:10" s="2" customFormat="1">
      <c r="A4800" s="1"/>
      <c r="E4800"/>
      <c r="F4800"/>
      <c r="G4800"/>
      <c r="H4800"/>
      <c r="I4800"/>
      <c r="J4800"/>
    </row>
    <row r="4801" spans="1:10" s="2" customFormat="1">
      <c r="A4801" s="1"/>
      <c r="E4801"/>
      <c r="F4801"/>
      <c r="G4801"/>
      <c r="H4801"/>
      <c r="I4801"/>
      <c r="J4801"/>
    </row>
    <row r="4802" spans="1:10" s="2" customFormat="1">
      <c r="A4802" s="1"/>
      <c r="E4802"/>
      <c r="F4802"/>
      <c r="G4802"/>
      <c r="H4802"/>
      <c r="I4802"/>
      <c r="J4802"/>
    </row>
    <row r="4803" spans="1:10" s="2" customFormat="1">
      <c r="A4803" s="1"/>
      <c r="E4803"/>
      <c r="F4803"/>
      <c r="G4803"/>
      <c r="H4803"/>
      <c r="I4803"/>
      <c r="J4803"/>
    </row>
    <row r="4804" spans="1:10" s="2" customFormat="1">
      <c r="A4804" s="1"/>
      <c r="E4804"/>
      <c r="F4804"/>
      <c r="G4804"/>
      <c r="H4804"/>
      <c r="I4804"/>
      <c r="J4804"/>
    </row>
    <row r="4805" spans="1:10" s="2" customFormat="1">
      <c r="A4805" s="1"/>
      <c r="E4805"/>
      <c r="F4805"/>
      <c r="G4805"/>
      <c r="H4805"/>
      <c r="I4805"/>
      <c r="J4805"/>
    </row>
    <row r="4806" spans="1:10" s="2" customFormat="1">
      <c r="A4806" s="1"/>
      <c r="E4806"/>
      <c r="F4806"/>
      <c r="G4806"/>
      <c r="H4806"/>
      <c r="I4806"/>
      <c r="J4806"/>
    </row>
    <row r="4807" spans="1:10" s="2" customFormat="1">
      <c r="A4807" s="1"/>
      <c r="E4807"/>
      <c r="F4807"/>
      <c r="G4807"/>
      <c r="H4807"/>
      <c r="I4807"/>
      <c r="J4807"/>
    </row>
    <row r="4808" spans="1:10" s="2" customFormat="1">
      <c r="A4808" s="1"/>
      <c r="E4808"/>
      <c r="F4808"/>
      <c r="G4808"/>
      <c r="H4808"/>
      <c r="I4808"/>
      <c r="J4808"/>
    </row>
    <row r="4809" spans="1:10" s="2" customFormat="1">
      <c r="A4809" s="1"/>
      <c r="E4809"/>
      <c r="F4809"/>
      <c r="G4809"/>
      <c r="H4809"/>
      <c r="I4809"/>
      <c r="J4809"/>
    </row>
    <row r="4810" spans="1:10" s="2" customFormat="1">
      <c r="A4810" s="1"/>
      <c r="E4810"/>
      <c r="F4810"/>
      <c r="G4810"/>
      <c r="H4810"/>
      <c r="I4810"/>
      <c r="J4810"/>
    </row>
    <row r="4811" spans="1:10" s="2" customFormat="1">
      <c r="A4811" s="1"/>
      <c r="E4811"/>
      <c r="F4811"/>
      <c r="G4811"/>
      <c r="H4811"/>
      <c r="I4811"/>
      <c r="J4811"/>
    </row>
    <row r="4812" spans="1:10" s="2" customFormat="1">
      <c r="A4812" s="1"/>
      <c r="E4812"/>
      <c r="F4812"/>
      <c r="G4812"/>
      <c r="H4812"/>
      <c r="I4812"/>
      <c r="J4812"/>
    </row>
    <row r="4813" spans="1:10" s="2" customFormat="1">
      <c r="A4813" s="1"/>
      <c r="E4813"/>
      <c r="F4813"/>
      <c r="G4813"/>
      <c r="H4813"/>
      <c r="I4813"/>
      <c r="J4813"/>
    </row>
    <row r="4814" spans="1:10" s="2" customFormat="1">
      <c r="A4814" s="1"/>
      <c r="E4814"/>
      <c r="F4814"/>
      <c r="G4814"/>
      <c r="H4814"/>
      <c r="I4814"/>
      <c r="J4814"/>
    </row>
    <row r="4815" spans="1:10" s="2" customFormat="1">
      <c r="A4815" s="1"/>
      <c r="E4815"/>
      <c r="F4815"/>
      <c r="G4815"/>
      <c r="H4815"/>
      <c r="I4815"/>
      <c r="J4815"/>
    </row>
    <row r="4816" spans="1:10" s="2" customFormat="1">
      <c r="A4816" s="1"/>
      <c r="E4816"/>
      <c r="F4816"/>
      <c r="G4816"/>
      <c r="H4816"/>
      <c r="I4816"/>
      <c r="J4816"/>
    </row>
    <row r="4817" spans="1:10" s="2" customFormat="1">
      <c r="A4817" s="1"/>
      <c r="E4817"/>
      <c r="F4817"/>
      <c r="G4817"/>
      <c r="H4817"/>
      <c r="I4817"/>
      <c r="J4817"/>
    </row>
    <row r="4818" spans="1:10" s="2" customFormat="1">
      <c r="A4818" s="1"/>
      <c r="E4818"/>
      <c r="F4818"/>
      <c r="G4818"/>
      <c r="H4818"/>
      <c r="I4818"/>
      <c r="J4818"/>
    </row>
    <row r="4819" spans="1:10" s="2" customFormat="1">
      <c r="A4819" s="1"/>
      <c r="E4819"/>
      <c r="F4819"/>
      <c r="G4819"/>
      <c r="H4819"/>
      <c r="I4819"/>
      <c r="J4819"/>
    </row>
    <row r="4820" spans="1:10" s="2" customFormat="1">
      <c r="A4820" s="1"/>
      <c r="E4820"/>
      <c r="F4820"/>
      <c r="G4820"/>
      <c r="H4820"/>
      <c r="I4820"/>
      <c r="J4820"/>
    </row>
    <row r="4821" spans="1:10" s="2" customFormat="1">
      <c r="A4821" s="1"/>
      <c r="E4821"/>
      <c r="F4821"/>
      <c r="G4821"/>
      <c r="H4821"/>
      <c r="I4821"/>
      <c r="J4821"/>
    </row>
    <row r="4822" spans="1:10" s="2" customFormat="1">
      <c r="A4822" s="1"/>
      <c r="E4822"/>
      <c r="F4822"/>
      <c r="G4822"/>
      <c r="H4822"/>
      <c r="I4822"/>
      <c r="J4822"/>
    </row>
    <row r="4823" spans="1:10" s="2" customFormat="1">
      <c r="A4823" s="1"/>
      <c r="E4823"/>
      <c r="F4823"/>
      <c r="G4823"/>
      <c r="H4823"/>
      <c r="I4823"/>
      <c r="J4823"/>
    </row>
    <row r="4824" spans="1:10" s="2" customFormat="1">
      <c r="A4824" s="1"/>
      <c r="E4824"/>
      <c r="F4824"/>
      <c r="G4824"/>
      <c r="H4824"/>
      <c r="I4824"/>
      <c r="J4824"/>
    </row>
    <row r="4825" spans="1:10" s="2" customFormat="1">
      <c r="A4825" s="1"/>
      <c r="E4825"/>
      <c r="F4825"/>
      <c r="G4825"/>
      <c r="H4825"/>
      <c r="I4825"/>
      <c r="J4825"/>
    </row>
    <row r="4826" spans="1:10" s="2" customFormat="1">
      <c r="A4826" s="1"/>
      <c r="E4826"/>
      <c r="F4826"/>
      <c r="G4826"/>
      <c r="H4826"/>
      <c r="I4826"/>
      <c r="J4826"/>
    </row>
    <row r="4827" spans="1:10" s="2" customFormat="1">
      <c r="A4827" s="1"/>
      <c r="E4827"/>
      <c r="F4827"/>
      <c r="G4827"/>
      <c r="H4827"/>
      <c r="I4827"/>
      <c r="J4827"/>
    </row>
    <row r="4828" spans="1:10" s="2" customFormat="1">
      <c r="A4828" s="1"/>
      <c r="E4828"/>
      <c r="F4828"/>
      <c r="G4828"/>
      <c r="H4828"/>
      <c r="I4828"/>
      <c r="J4828"/>
    </row>
    <row r="4829" spans="1:10" s="2" customFormat="1">
      <c r="A4829" s="1"/>
      <c r="E4829"/>
      <c r="F4829"/>
      <c r="G4829"/>
      <c r="H4829"/>
      <c r="I4829"/>
      <c r="J4829"/>
    </row>
    <row r="4830" spans="1:10" s="2" customFormat="1">
      <c r="A4830" s="1"/>
      <c r="E4830"/>
      <c r="F4830"/>
      <c r="G4830"/>
      <c r="H4830"/>
      <c r="I4830"/>
      <c r="J4830"/>
    </row>
    <row r="4831" spans="1:10" s="2" customFormat="1">
      <c r="A4831" s="1"/>
      <c r="E4831"/>
      <c r="F4831"/>
      <c r="G4831"/>
      <c r="H4831"/>
      <c r="I4831"/>
      <c r="J4831"/>
    </row>
    <row r="4832" spans="1:10" s="2" customFormat="1">
      <c r="A4832" s="1"/>
      <c r="E4832"/>
      <c r="F4832"/>
      <c r="G4832"/>
      <c r="H4832"/>
      <c r="I4832"/>
      <c r="J4832"/>
    </row>
    <row r="4833" spans="1:10" s="2" customFormat="1">
      <c r="A4833" s="1"/>
      <c r="E4833"/>
      <c r="F4833"/>
      <c r="G4833"/>
      <c r="H4833"/>
      <c r="I4833"/>
      <c r="J4833"/>
    </row>
    <row r="4834" spans="1:10" s="2" customFormat="1">
      <c r="A4834" s="1"/>
      <c r="E4834"/>
      <c r="F4834"/>
      <c r="G4834"/>
      <c r="H4834"/>
      <c r="I4834"/>
      <c r="J4834"/>
    </row>
    <row r="4835" spans="1:10" s="2" customFormat="1">
      <c r="A4835" s="1"/>
      <c r="E4835"/>
      <c r="F4835"/>
      <c r="G4835"/>
      <c r="H4835"/>
      <c r="I4835"/>
      <c r="J4835"/>
    </row>
    <row r="4836" spans="1:10" s="2" customFormat="1">
      <c r="A4836" s="1"/>
      <c r="E4836"/>
      <c r="F4836"/>
      <c r="G4836"/>
      <c r="H4836"/>
      <c r="I4836"/>
      <c r="J4836"/>
    </row>
    <row r="4837" spans="1:10" s="2" customFormat="1">
      <c r="A4837" s="1"/>
      <c r="E4837"/>
      <c r="F4837"/>
      <c r="G4837"/>
      <c r="H4837"/>
      <c r="I4837"/>
      <c r="J4837"/>
    </row>
    <row r="4838" spans="1:10" s="2" customFormat="1">
      <c r="A4838" s="1"/>
      <c r="E4838"/>
      <c r="F4838"/>
      <c r="G4838"/>
      <c r="H4838"/>
      <c r="I4838"/>
      <c r="J4838"/>
    </row>
    <row r="4839" spans="1:10" s="2" customFormat="1">
      <c r="A4839" s="1"/>
      <c r="E4839"/>
      <c r="F4839"/>
      <c r="G4839"/>
      <c r="H4839"/>
      <c r="I4839"/>
      <c r="J4839"/>
    </row>
    <row r="4840" spans="1:10" s="2" customFormat="1">
      <c r="A4840" s="1"/>
      <c r="E4840"/>
      <c r="F4840"/>
      <c r="G4840"/>
      <c r="H4840"/>
      <c r="I4840"/>
      <c r="J4840"/>
    </row>
    <row r="4841" spans="1:10" s="2" customFormat="1">
      <c r="A4841" s="1"/>
      <c r="E4841"/>
      <c r="F4841"/>
      <c r="G4841"/>
      <c r="H4841"/>
      <c r="I4841"/>
      <c r="J4841"/>
    </row>
    <row r="4842" spans="1:10" s="2" customFormat="1">
      <c r="A4842" s="1"/>
      <c r="E4842"/>
      <c r="F4842"/>
      <c r="G4842"/>
      <c r="H4842"/>
      <c r="I4842"/>
      <c r="J4842"/>
    </row>
    <row r="4843" spans="1:10" s="2" customFormat="1">
      <c r="A4843" s="1"/>
      <c r="E4843"/>
      <c r="F4843"/>
      <c r="G4843"/>
      <c r="H4843"/>
      <c r="I4843"/>
      <c r="J4843"/>
    </row>
    <row r="4844" spans="1:10" s="2" customFormat="1">
      <c r="A4844" s="1"/>
      <c r="E4844"/>
      <c r="F4844"/>
      <c r="G4844"/>
      <c r="H4844"/>
      <c r="I4844"/>
      <c r="J4844"/>
    </row>
    <row r="4845" spans="1:10" s="2" customFormat="1">
      <c r="A4845" s="1"/>
      <c r="E4845"/>
      <c r="F4845"/>
      <c r="G4845"/>
      <c r="H4845"/>
      <c r="I4845"/>
      <c r="J4845"/>
    </row>
    <row r="4846" spans="1:10" s="2" customFormat="1">
      <c r="A4846" s="1"/>
      <c r="E4846"/>
      <c r="F4846"/>
      <c r="G4846"/>
      <c r="H4846"/>
      <c r="I4846"/>
      <c r="J4846"/>
    </row>
    <row r="4847" spans="1:10" s="2" customFormat="1">
      <c r="A4847" s="1"/>
      <c r="E4847"/>
      <c r="F4847"/>
      <c r="G4847"/>
      <c r="H4847"/>
      <c r="I4847"/>
      <c r="J4847"/>
    </row>
    <row r="4848" spans="1:10" s="2" customFormat="1">
      <c r="A4848" s="1"/>
      <c r="E4848"/>
      <c r="F4848"/>
      <c r="G4848"/>
      <c r="H4848"/>
      <c r="I4848"/>
      <c r="J4848"/>
    </row>
    <row r="4849" spans="1:10" s="2" customFormat="1">
      <c r="A4849" s="1"/>
      <c r="E4849"/>
      <c r="F4849"/>
      <c r="G4849"/>
      <c r="H4849"/>
      <c r="I4849"/>
      <c r="J4849"/>
    </row>
    <row r="4850" spans="1:10" s="2" customFormat="1">
      <c r="A4850" s="1"/>
      <c r="E4850"/>
      <c r="F4850"/>
      <c r="G4850"/>
      <c r="H4850"/>
      <c r="I4850"/>
      <c r="J4850"/>
    </row>
    <row r="4851" spans="1:10" s="2" customFormat="1">
      <c r="A4851" s="1"/>
      <c r="E4851"/>
      <c r="F4851"/>
      <c r="G4851"/>
      <c r="H4851"/>
      <c r="I4851"/>
      <c r="J4851"/>
    </row>
    <row r="4852" spans="1:10" s="2" customFormat="1">
      <c r="A4852" s="1"/>
      <c r="E4852"/>
      <c r="F4852"/>
      <c r="G4852"/>
      <c r="H4852"/>
      <c r="I4852"/>
      <c r="J4852"/>
    </row>
    <row r="4853" spans="1:10" s="2" customFormat="1">
      <c r="A4853" s="1"/>
      <c r="E4853"/>
      <c r="F4853"/>
      <c r="G4853"/>
      <c r="H4853"/>
      <c r="I4853"/>
      <c r="J4853"/>
    </row>
    <row r="4854" spans="1:10" s="2" customFormat="1">
      <c r="A4854" s="1"/>
      <c r="E4854"/>
      <c r="F4854"/>
      <c r="G4854"/>
      <c r="H4854"/>
      <c r="I4854"/>
      <c r="J4854"/>
    </row>
    <row r="4855" spans="1:10" s="2" customFormat="1">
      <c r="A4855" s="1"/>
      <c r="E4855"/>
      <c r="F4855"/>
      <c r="G4855"/>
      <c r="H4855"/>
      <c r="I4855"/>
      <c r="J4855"/>
    </row>
    <row r="4856" spans="1:10" s="2" customFormat="1">
      <c r="A4856" s="1"/>
      <c r="E4856"/>
      <c r="F4856"/>
      <c r="G4856"/>
      <c r="H4856"/>
      <c r="I4856"/>
      <c r="J4856"/>
    </row>
    <row r="4857" spans="1:10" s="2" customFormat="1">
      <c r="A4857" s="1"/>
      <c r="E4857"/>
      <c r="F4857"/>
      <c r="G4857"/>
      <c r="H4857"/>
      <c r="I4857"/>
      <c r="J4857"/>
    </row>
    <row r="4858" spans="1:10" s="2" customFormat="1">
      <c r="A4858" s="1"/>
      <c r="E4858"/>
      <c r="F4858"/>
      <c r="G4858"/>
      <c r="H4858"/>
      <c r="I4858"/>
      <c r="J4858"/>
    </row>
    <row r="4859" spans="1:10" s="2" customFormat="1">
      <c r="A4859" s="1"/>
      <c r="E4859"/>
      <c r="F4859"/>
      <c r="G4859"/>
      <c r="H4859"/>
      <c r="I4859"/>
      <c r="J4859"/>
    </row>
    <row r="4860" spans="1:10" s="2" customFormat="1">
      <c r="A4860" s="1"/>
      <c r="E4860"/>
      <c r="F4860"/>
      <c r="G4860"/>
      <c r="H4860"/>
      <c r="I4860"/>
      <c r="J4860"/>
    </row>
    <row r="4861" spans="1:10" s="2" customFormat="1">
      <c r="A4861" s="1"/>
      <c r="E4861"/>
      <c r="F4861"/>
      <c r="G4861"/>
      <c r="H4861"/>
      <c r="I4861"/>
      <c r="J4861"/>
    </row>
    <row r="4862" spans="1:10" s="2" customFormat="1">
      <c r="A4862" s="1"/>
      <c r="E4862"/>
      <c r="F4862"/>
      <c r="G4862"/>
      <c r="H4862"/>
      <c r="I4862"/>
      <c r="J4862"/>
    </row>
    <row r="4863" spans="1:10" s="2" customFormat="1">
      <c r="A4863" s="1"/>
      <c r="E4863"/>
      <c r="F4863"/>
      <c r="G4863"/>
      <c r="H4863"/>
      <c r="I4863"/>
      <c r="J4863"/>
    </row>
    <row r="4864" spans="1:10" s="2" customFormat="1">
      <c r="A4864" s="1"/>
      <c r="E4864"/>
      <c r="F4864"/>
      <c r="G4864"/>
      <c r="H4864"/>
      <c r="I4864"/>
      <c r="J4864"/>
    </row>
    <row r="4865" spans="1:10" s="2" customFormat="1">
      <c r="A4865" s="1"/>
      <c r="E4865"/>
      <c r="F4865"/>
      <c r="G4865"/>
      <c r="H4865"/>
      <c r="I4865"/>
      <c r="J4865"/>
    </row>
    <row r="4866" spans="1:10" s="2" customFormat="1">
      <c r="A4866" s="1"/>
      <c r="E4866"/>
      <c r="F4866"/>
      <c r="G4866"/>
      <c r="H4866"/>
      <c r="I4866"/>
      <c r="J4866"/>
    </row>
    <row r="4867" spans="1:10" s="2" customFormat="1">
      <c r="A4867" s="1"/>
      <c r="E4867"/>
      <c r="F4867"/>
      <c r="G4867"/>
      <c r="H4867"/>
      <c r="I4867"/>
      <c r="J4867"/>
    </row>
    <row r="4868" spans="1:10" s="2" customFormat="1">
      <c r="A4868" s="1"/>
      <c r="E4868"/>
      <c r="F4868"/>
      <c r="G4868"/>
      <c r="H4868"/>
      <c r="I4868"/>
      <c r="J4868"/>
    </row>
    <row r="4869" spans="1:10" s="2" customFormat="1">
      <c r="A4869" s="1"/>
      <c r="E4869"/>
      <c r="F4869"/>
      <c r="G4869"/>
      <c r="H4869"/>
      <c r="I4869"/>
      <c r="J4869"/>
    </row>
    <row r="4870" spans="1:10" s="2" customFormat="1">
      <c r="A4870" s="1"/>
      <c r="E4870"/>
      <c r="F4870"/>
      <c r="G4870"/>
      <c r="H4870"/>
      <c r="I4870"/>
      <c r="J4870"/>
    </row>
    <row r="4871" spans="1:10" s="2" customFormat="1">
      <c r="A4871" s="1"/>
      <c r="E4871"/>
      <c r="F4871"/>
      <c r="G4871"/>
      <c r="H4871"/>
      <c r="I4871"/>
      <c r="J4871"/>
    </row>
    <row r="4872" spans="1:10" s="2" customFormat="1">
      <c r="A4872" s="1"/>
      <c r="E4872"/>
      <c r="F4872"/>
      <c r="G4872"/>
      <c r="H4872"/>
      <c r="I4872"/>
      <c r="J4872"/>
    </row>
    <row r="4873" spans="1:10" s="2" customFormat="1">
      <c r="A4873" s="1"/>
      <c r="E4873"/>
      <c r="F4873"/>
      <c r="G4873"/>
      <c r="H4873"/>
      <c r="I4873"/>
      <c r="J4873"/>
    </row>
    <row r="4874" spans="1:10" s="2" customFormat="1">
      <c r="A4874" s="1"/>
      <c r="E4874"/>
      <c r="F4874"/>
      <c r="G4874"/>
      <c r="H4874"/>
      <c r="I4874"/>
      <c r="J4874"/>
    </row>
    <row r="4875" spans="1:10" s="2" customFormat="1">
      <c r="A4875" s="1"/>
      <c r="E4875"/>
      <c r="F4875"/>
      <c r="G4875"/>
      <c r="H4875"/>
      <c r="I4875"/>
      <c r="J4875"/>
    </row>
    <row r="4876" spans="1:10" s="2" customFormat="1">
      <c r="A4876" s="1"/>
      <c r="E4876"/>
      <c r="F4876"/>
      <c r="G4876"/>
      <c r="H4876"/>
      <c r="I4876"/>
      <c r="J4876"/>
    </row>
    <row r="4877" spans="1:10" s="2" customFormat="1">
      <c r="A4877" s="1"/>
      <c r="E4877"/>
      <c r="F4877"/>
      <c r="G4877"/>
      <c r="H4877"/>
      <c r="I4877"/>
      <c r="J4877"/>
    </row>
    <row r="4878" spans="1:10" s="2" customFormat="1">
      <c r="A4878" s="1"/>
      <c r="E4878"/>
      <c r="F4878"/>
      <c r="G4878"/>
      <c r="H4878"/>
      <c r="I4878"/>
      <c r="J4878"/>
    </row>
    <row r="4879" spans="1:10" s="2" customFormat="1">
      <c r="A4879" s="1"/>
      <c r="E4879"/>
      <c r="F4879"/>
      <c r="G4879"/>
      <c r="H4879"/>
      <c r="I4879"/>
      <c r="J4879"/>
    </row>
    <row r="4880" spans="1:10" s="2" customFormat="1">
      <c r="A4880" s="1"/>
      <c r="E4880"/>
      <c r="F4880"/>
      <c r="G4880"/>
      <c r="H4880"/>
      <c r="I4880"/>
      <c r="J4880"/>
    </row>
    <row r="4881" spans="1:10" s="2" customFormat="1">
      <c r="A4881" s="1"/>
      <c r="E4881"/>
      <c r="F4881"/>
      <c r="G4881"/>
      <c r="H4881"/>
      <c r="I4881"/>
      <c r="J4881"/>
    </row>
    <row r="4882" spans="1:10" s="2" customFormat="1">
      <c r="A4882" s="1"/>
      <c r="E4882"/>
      <c r="F4882"/>
      <c r="G4882"/>
      <c r="H4882"/>
      <c r="I4882"/>
      <c r="J4882"/>
    </row>
    <row r="4883" spans="1:10" s="2" customFormat="1">
      <c r="A4883" s="1"/>
      <c r="E4883"/>
      <c r="F4883"/>
      <c r="G4883"/>
      <c r="H4883"/>
      <c r="I4883"/>
      <c r="J4883"/>
    </row>
    <row r="4884" spans="1:10" s="2" customFormat="1">
      <c r="A4884" s="1"/>
      <c r="E4884"/>
      <c r="F4884"/>
      <c r="G4884"/>
      <c r="H4884"/>
      <c r="I4884"/>
      <c r="J4884"/>
    </row>
    <row r="4885" spans="1:10" s="2" customFormat="1">
      <c r="A4885" s="1"/>
      <c r="E4885"/>
      <c r="F4885"/>
      <c r="G4885"/>
      <c r="H4885"/>
      <c r="I4885"/>
      <c r="J4885"/>
    </row>
    <row r="4886" spans="1:10" s="2" customFormat="1">
      <c r="A4886" s="1"/>
      <c r="E4886"/>
      <c r="F4886"/>
      <c r="G4886"/>
      <c r="H4886"/>
      <c r="I4886"/>
      <c r="J4886"/>
    </row>
    <row r="4887" spans="1:10" s="2" customFormat="1">
      <c r="A4887" s="1"/>
      <c r="E4887"/>
      <c r="F4887"/>
      <c r="G4887"/>
      <c r="H4887"/>
      <c r="I4887"/>
      <c r="J4887"/>
    </row>
    <row r="4888" spans="1:10" s="2" customFormat="1">
      <c r="A4888" s="1"/>
      <c r="E4888"/>
      <c r="F4888"/>
      <c r="G4888"/>
      <c r="H4888"/>
      <c r="I4888"/>
      <c r="J4888"/>
    </row>
    <row r="4889" spans="1:10" s="2" customFormat="1">
      <c r="A4889" s="1"/>
      <c r="E4889"/>
      <c r="F4889"/>
      <c r="G4889"/>
      <c r="H4889"/>
      <c r="I4889"/>
      <c r="J4889"/>
    </row>
    <row r="4890" spans="1:10" s="2" customFormat="1">
      <c r="A4890" s="1"/>
      <c r="E4890"/>
      <c r="F4890"/>
      <c r="G4890"/>
      <c r="H4890"/>
      <c r="I4890"/>
      <c r="J4890"/>
    </row>
    <row r="4891" spans="1:10" s="2" customFormat="1">
      <c r="A4891" s="1"/>
      <c r="E4891"/>
      <c r="F4891"/>
      <c r="G4891"/>
      <c r="H4891"/>
      <c r="I4891"/>
      <c r="J4891"/>
    </row>
    <row r="4892" spans="1:10" s="2" customFormat="1">
      <c r="A4892" s="1"/>
      <c r="E4892"/>
      <c r="F4892"/>
      <c r="G4892"/>
      <c r="H4892"/>
      <c r="I4892"/>
      <c r="J4892"/>
    </row>
    <row r="4893" spans="1:10" s="2" customFormat="1">
      <c r="A4893" s="1"/>
      <c r="E4893"/>
      <c r="F4893"/>
      <c r="G4893"/>
      <c r="H4893"/>
      <c r="I4893"/>
      <c r="J4893"/>
    </row>
    <row r="4894" spans="1:10" s="2" customFormat="1">
      <c r="A4894" s="1"/>
      <c r="E4894"/>
      <c r="F4894"/>
      <c r="G4894"/>
      <c r="H4894"/>
      <c r="I4894"/>
      <c r="J4894"/>
    </row>
    <row r="4895" spans="1:10" s="2" customFormat="1">
      <c r="A4895" s="1"/>
      <c r="E4895"/>
      <c r="F4895"/>
      <c r="G4895"/>
      <c r="H4895"/>
      <c r="I4895"/>
      <c r="J4895"/>
    </row>
    <row r="4896" spans="1:10" s="2" customFormat="1">
      <c r="A4896" s="1"/>
      <c r="E4896"/>
      <c r="F4896"/>
      <c r="G4896"/>
      <c r="H4896"/>
      <c r="I4896"/>
      <c r="J4896"/>
    </row>
    <row r="4897" spans="1:10" s="2" customFormat="1">
      <c r="A4897" s="1"/>
      <c r="E4897"/>
      <c r="F4897"/>
      <c r="G4897"/>
      <c r="H4897"/>
      <c r="I4897"/>
      <c r="J4897"/>
    </row>
    <row r="4898" spans="1:10" s="2" customFormat="1">
      <c r="A4898" s="1"/>
      <c r="E4898"/>
      <c r="F4898"/>
      <c r="G4898"/>
      <c r="H4898"/>
      <c r="I4898"/>
      <c r="J4898"/>
    </row>
    <row r="4899" spans="1:10" s="2" customFormat="1">
      <c r="A4899" s="1"/>
      <c r="E4899"/>
      <c r="F4899"/>
      <c r="G4899"/>
      <c r="H4899"/>
      <c r="I4899"/>
      <c r="J4899"/>
    </row>
    <row r="4900" spans="1:10" s="2" customFormat="1">
      <c r="A4900" s="1"/>
      <c r="E4900"/>
      <c r="F4900"/>
      <c r="G4900"/>
      <c r="H4900"/>
      <c r="I4900"/>
      <c r="J4900"/>
    </row>
    <row r="4901" spans="1:10" s="2" customFormat="1">
      <c r="A4901" s="1"/>
      <c r="E4901"/>
      <c r="F4901"/>
      <c r="G4901"/>
      <c r="H4901"/>
      <c r="I4901"/>
      <c r="J4901"/>
    </row>
    <row r="4902" spans="1:10" s="2" customFormat="1">
      <c r="A4902" s="1"/>
      <c r="E4902"/>
      <c r="F4902"/>
      <c r="G4902"/>
      <c r="H4902"/>
      <c r="I4902"/>
      <c r="J4902"/>
    </row>
    <row r="4903" spans="1:10" s="2" customFormat="1">
      <c r="A4903" s="1"/>
      <c r="E4903"/>
      <c r="F4903"/>
      <c r="G4903"/>
      <c r="H4903"/>
      <c r="I4903"/>
      <c r="J4903"/>
    </row>
    <row r="4904" spans="1:10" s="2" customFormat="1">
      <c r="A4904" s="1"/>
      <c r="E4904"/>
      <c r="F4904"/>
      <c r="G4904"/>
      <c r="H4904"/>
      <c r="I4904"/>
      <c r="J4904"/>
    </row>
    <row r="4905" spans="1:10" s="2" customFormat="1">
      <c r="A4905" s="1"/>
      <c r="E4905"/>
      <c r="F4905"/>
      <c r="G4905"/>
      <c r="H4905"/>
      <c r="I4905"/>
      <c r="J4905"/>
    </row>
    <row r="4906" spans="1:10" s="2" customFormat="1">
      <c r="A4906" s="1"/>
      <c r="E4906"/>
      <c r="F4906"/>
      <c r="G4906"/>
      <c r="H4906"/>
      <c r="I4906"/>
      <c r="J4906"/>
    </row>
    <row r="4907" spans="1:10" s="2" customFormat="1">
      <c r="A4907" s="1"/>
      <c r="E4907"/>
      <c r="F4907"/>
      <c r="G4907"/>
      <c r="H4907"/>
      <c r="I4907"/>
      <c r="J4907"/>
    </row>
    <row r="4908" spans="1:10" s="2" customFormat="1">
      <c r="A4908" s="1"/>
      <c r="E4908"/>
      <c r="F4908"/>
      <c r="G4908"/>
      <c r="H4908"/>
      <c r="I4908"/>
      <c r="J4908"/>
    </row>
    <row r="4909" spans="1:10" s="2" customFormat="1">
      <c r="A4909" s="1"/>
      <c r="E4909"/>
      <c r="F4909"/>
      <c r="G4909"/>
      <c r="H4909"/>
      <c r="I4909"/>
      <c r="J4909"/>
    </row>
    <row r="4910" spans="1:10" s="2" customFormat="1">
      <c r="A4910" s="1"/>
      <c r="E4910"/>
      <c r="F4910"/>
      <c r="G4910"/>
      <c r="H4910"/>
      <c r="I4910"/>
      <c r="J4910"/>
    </row>
    <row r="4911" spans="1:10" s="2" customFormat="1">
      <c r="A4911" s="1"/>
      <c r="E4911"/>
      <c r="F4911"/>
      <c r="G4911"/>
      <c r="H4911"/>
      <c r="I4911"/>
      <c r="J4911"/>
    </row>
    <row r="4912" spans="1:10" s="2" customFormat="1">
      <c r="A4912" s="1"/>
      <c r="E4912"/>
      <c r="F4912"/>
      <c r="G4912"/>
      <c r="H4912"/>
      <c r="I4912"/>
      <c r="J4912"/>
    </row>
    <row r="4913" spans="1:10" s="2" customFormat="1">
      <c r="A4913" s="1"/>
      <c r="E4913"/>
      <c r="F4913"/>
      <c r="G4913"/>
      <c r="H4913"/>
      <c r="I4913"/>
      <c r="J4913"/>
    </row>
    <row r="4914" spans="1:10" s="2" customFormat="1">
      <c r="A4914" s="1"/>
      <c r="E4914"/>
      <c r="F4914"/>
      <c r="G4914"/>
      <c r="H4914"/>
      <c r="I4914"/>
      <c r="J4914"/>
    </row>
    <row r="4915" spans="1:10" s="2" customFormat="1">
      <c r="A4915" s="1"/>
      <c r="E4915"/>
      <c r="F4915"/>
      <c r="G4915"/>
      <c r="H4915"/>
      <c r="I4915"/>
      <c r="J4915"/>
    </row>
    <row r="4916" spans="1:10" s="2" customFormat="1">
      <c r="A4916" s="1"/>
      <c r="E4916"/>
      <c r="F4916"/>
      <c r="G4916"/>
      <c r="H4916"/>
      <c r="I4916"/>
      <c r="J4916"/>
    </row>
    <row r="4917" spans="1:10" s="2" customFormat="1">
      <c r="A4917" s="1"/>
      <c r="E4917"/>
      <c r="F4917"/>
      <c r="G4917"/>
      <c r="H4917"/>
      <c r="I4917"/>
      <c r="J4917"/>
    </row>
    <row r="4918" spans="1:10" s="2" customFormat="1">
      <c r="A4918" s="1"/>
      <c r="E4918"/>
      <c r="F4918"/>
      <c r="G4918"/>
      <c r="H4918"/>
      <c r="I4918"/>
      <c r="J4918"/>
    </row>
    <row r="4919" spans="1:10" s="2" customFormat="1">
      <c r="A4919" s="1"/>
      <c r="E4919"/>
      <c r="F4919"/>
      <c r="G4919"/>
      <c r="H4919"/>
      <c r="I4919"/>
      <c r="J4919"/>
    </row>
    <row r="4920" spans="1:10" s="2" customFormat="1">
      <c r="A4920" s="1"/>
      <c r="E4920"/>
      <c r="F4920"/>
      <c r="G4920"/>
      <c r="H4920"/>
      <c r="I4920"/>
      <c r="J4920"/>
    </row>
    <row r="4921" spans="1:10" s="2" customFormat="1">
      <c r="A4921" s="1"/>
      <c r="E4921"/>
      <c r="F4921"/>
      <c r="G4921"/>
      <c r="H4921"/>
      <c r="I4921"/>
      <c r="J4921"/>
    </row>
    <row r="4922" spans="1:10" s="2" customFormat="1">
      <c r="A4922" s="1"/>
      <c r="E4922"/>
      <c r="F4922"/>
      <c r="G4922"/>
      <c r="H4922"/>
      <c r="I4922"/>
      <c r="J4922"/>
    </row>
    <row r="4923" spans="1:10" s="2" customFormat="1">
      <c r="A4923" s="1"/>
      <c r="E4923"/>
      <c r="F4923"/>
      <c r="G4923"/>
      <c r="H4923"/>
      <c r="I4923"/>
      <c r="J4923"/>
    </row>
    <row r="4924" spans="1:10" s="2" customFormat="1">
      <c r="A4924" s="1"/>
      <c r="E4924"/>
      <c r="F4924"/>
      <c r="G4924"/>
      <c r="H4924"/>
      <c r="I4924"/>
      <c r="J4924"/>
    </row>
    <row r="4925" spans="1:10" s="2" customFormat="1">
      <c r="A4925" s="1"/>
      <c r="E4925"/>
      <c r="F4925"/>
      <c r="G4925"/>
      <c r="H4925"/>
      <c r="I4925"/>
      <c r="J4925"/>
    </row>
    <row r="4926" spans="1:10" s="2" customFormat="1">
      <c r="A4926" s="1"/>
      <c r="E4926"/>
      <c r="F4926"/>
      <c r="G4926"/>
      <c r="H4926"/>
      <c r="I4926"/>
      <c r="J4926"/>
    </row>
    <row r="4927" spans="1:10" s="2" customFormat="1">
      <c r="A4927" s="1"/>
      <c r="E4927"/>
      <c r="F4927"/>
      <c r="G4927"/>
      <c r="H4927"/>
      <c r="I4927"/>
      <c r="J4927"/>
    </row>
    <row r="4928" spans="1:10" s="2" customFormat="1">
      <c r="A4928" s="1"/>
      <c r="E4928"/>
      <c r="F4928"/>
      <c r="G4928"/>
      <c r="H4928"/>
      <c r="I4928"/>
      <c r="J4928"/>
    </row>
    <row r="4929" spans="1:10" s="2" customFormat="1">
      <c r="A4929" s="1"/>
      <c r="E4929"/>
      <c r="F4929"/>
      <c r="G4929"/>
      <c r="H4929"/>
      <c r="I4929"/>
      <c r="J4929"/>
    </row>
    <row r="4930" spans="1:10" s="2" customFormat="1">
      <c r="A4930" s="1"/>
      <c r="E4930"/>
      <c r="F4930"/>
      <c r="G4930"/>
      <c r="H4930"/>
      <c r="I4930"/>
      <c r="J4930"/>
    </row>
    <row r="4931" spans="1:10" s="2" customFormat="1">
      <c r="A4931" s="1"/>
      <c r="E4931"/>
      <c r="F4931"/>
      <c r="G4931"/>
      <c r="H4931"/>
      <c r="I4931"/>
      <c r="J4931"/>
    </row>
    <row r="4932" spans="1:10" s="2" customFormat="1">
      <c r="A4932" s="1"/>
      <c r="E4932"/>
      <c r="F4932"/>
      <c r="G4932"/>
      <c r="H4932"/>
      <c r="I4932"/>
      <c r="J4932"/>
    </row>
    <row r="4933" spans="1:10" s="2" customFormat="1">
      <c r="A4933" s="1"/>
      <c r="E4933"/>
      <c r="F4933"/>
      <c r="G4933"/>
      <c r="H4933"/>
      <c r="I4933"/>
      <c r="J4933"/>
    </row>
    <row r="4934" spans="1:10" s="2" customFormat="1">
      <c r="A4934" s="1"/>
      <c r="E4934"/>
      <c r="F4934"/>
      <c r="G4934"/>
      <c r="H4934"/>
      <c r="I4934"/>
      <c r="J4934"/>
    </row>
    <row r="4935" spans="1:10" s="2" customFormat="1">
      <c r="A4935" s="1"/>
      <c r="E4935"/>
      <c r="F4935"/>
      <c r="G4935"/>
      <c r="H4935"/>
      <c r="I4935"/>
      <c r="J4935"/>
    </row>
    <row r="4936" spans="1:10" s="2" customFormat="1">
      <c r="A4936" s="1"/>
      <c r="E4936"/>
      <c r="F4936"/>
      <c r="G4936"/>
      <c r="H4936"/>
      <c r="I4936"/>
      <c r="J4936"/>
    </row>
    <row r="4937" spans="1:10" s="2" customFormat="1">
      <c r="A4937" s="1"/>
      <c r="E4937"/>
      <c r="F4937"/>
      <c r="G4937"/>
      <c r="H4937"/>
      <c r="I4937"/>
      <c r="J4937"/>
    </row>
    <row r="4938" spans="1:10" s="2" customFormat="1">
      <c r="A4938" s="1"/>
      <c r="E4938"/>
      <c r="F4938"/>
      <c r="G4938"/>
      <c r="H4938"/>
      <c r="I4938"/>
      <c r="J4938"/>
    </row>
    <row r="4939" spans="1:10" s="2" customFormat="1">
      <c r="A4939" s="1"/>
      <c r="E4939"/>
      <c r="F4939"/>
      <c r="G4939"/>
      <c r="H4939"/>
      <c r="I4939"/>
      <c r="J4939"/>
    </row>
    <row r="4940" spans="1:10" s="2" customFormat="1">
      <c r="A4940" s="1"/>
      <c r="E4940"/>
      <c r="F4940"/>
      <c r="G4940"/>
      <c r="H4940"/>
      <c r="I4940"/>
      <c r="J4940"/>
    </row>
    <row r="4941" spans="1:10" s="2" customFormat="1">
      <c r="A4941" s="1"/>
      <c r="E4941"/>
      <c r="F4941"/>
      <c r="G4941"/>
      <c r="H4941"/>
      <c r="I4941"/>
      <c r="J4941"/>
    </row>
    <row r="4942" spans="1:10" s="2" customFormat="1">
      <c r="A4942" s="1"/>
      <c r="E4942"/>
      <c r="F4942"/>
      <c r="G4942"/>
      <c r="H4942"/>
      <c r="I4942"/>
      <c r="J4942"/>
    </row>
    <row r="4943" spans="1:10" s="2" customFormat="1">
      <c r="A4943" s="1"/>
      <c r="E4943"/>
      <c r="F4943"/>
      <c r="G4943"/>
      <c r="H4943"/>
      <c r="I4943"/>
      <c r="J4943"/>
    </row>
    <row r="4944" spans="1:10" s="2" customFormat="1">
      <c r="A4944" s="1"/>
      <c r="E4944"/>
      <c r="F4944"/>
      <c r="G4944"/>
      <c r="H4944"/>
      <c r="I4944"/>
      <c r="J4944"/>
    </row>
    <row r="4945" spans="1:10" s="2" customFormat="1">
      <c r="A4945" s="1"/>
      <c r="E4945"/>
      <c r="F4945"/>
      <c r="G4945"/>
      <c r="H4945"/>
      <c r="I4945"/>
      <c r="J4945"/>
    </row>
    <row r="4946" spans="1:10" s="2" customFormat="1">
      <c r="A4946" s="1"/>
      <c r="E4946"/>
      <c r="F4946"/>
      <c r="G4946"/>
      <c r="H4946"/>
      <c r="I4946"/>
      <c r="J4946"/>
    </row>
    <row r="4947" spans="1:10" s="2" customFormat="1">
      <c r="A4947" s="1"/>
      <c r="E4947"/>
      <c r="F4947"/>
      <c r="G4947"/>
      <c r="H4947"/>
      <c r="I4947"/>
      <c r="J4947"/>
    </row>
    <row r="4948" spans="1:10" s="2" customFormat="1">
      <c r="A4948" s="1"/>
      <c r="E4948"/>
      <c r="F4948"/>
      <c r="G4948"/>
      <c r="H4948"/>
      <c r="I4948"/>
      <c r="J4948"/>
    </row>
    <row r="4949" spans="1:10" s="2" customFormat="1">
      <c r="A4949" s="1"/>
      <c r="E4949"/>
      <c r="F4949"/>
      <c r="G4949"/>
      <c r="H4949"/>
      <c r="I4949"/>
      <c r="J4949"/>
    </row>
    <row r="4950" spans="1:10" s="2" customFormat="1">
      <c r="A4950" s="1"/>
      <c r="E4950"/>
      <c r="F4950"/>
      <c r="G4950"/>
      <c r="H4950"/>
      <c r="I4950"/>
      <c r="J4950"/>
    </row>
    <row r="4951" spans="1:10" s="2" customFormat="1">
      <c r="A4951" s="1"/>
      <c r="E4951"/>
      <c r="F4951"/>
      <c r="G4951"/>
      <c r="H4951"/>
      <c r="I4951"/>
      <c r="J4951"/>
    </row>
    <row r="4952" spans="1:10" s="2" customFormat="1">
      <c r="A4952" s="1"/>
      <c r="E4952"/>
      <c r="F4952"/>
      <c r="G4952"/>
      <c r="H4952"/>
      <c r="I4952"/>
      <c r="J4952"/>
    </row>
    <row r="4953" spans="1:10" s="2" customFormat="1">
      <c r="A4953" s="1"/>
      <c r="E4953"/>
      <c r="F4953"/>
      <c r="G4953"/>
      <c r="H4953"/>
      <c r="I4953"/>
      <c r="J4953"/>
    </row>
    <row r="4954" spans="1:10" s="2" customFormat="1">
      <c r="A4954" s="1"/>
      <c r="E4954"/>
      <c r="F4954"/>
      <c r="G4954"/>
      <c r="H4954"/>
      <c r="I4954"/>
      <c r="J4954"/>
    </row>
    <row r="4955" spans="1:10" s="2" customFormat="1">
      <c r="A4955" s="1"/>
      <c r="E4955"/>
      <c r="F4955"/>
      <c r="G4955"/>
      <c r="H4955"/>
      <c r="I4955"/>
      <c r="J4955"/>
    </row>
    <row r="4956" spans="1:10" s="2" customFormat="1">
      <c r="A4956" s="1"/>
      <c r="E4956"/>
      <c r="F4956"/>
      <c r="G4956"/>
      <c r="H4956"/>
      <c r="I4956"/>
      <c r="J4956"/>
    </row>
    <row r="4957" spans="1:10" s="2" customFormat="1">
      <c r="A4957" s="1"/>
      <c r="E4957"/>
      <c r="F4957"/>
      <c r="G4957"/>
      <c r="H4957"/>
      <c r="I4957"/>
      <c r="J4957"/>
    </row>
    <row r="4958" spans="1:10" s="2" customFormat="1">
      <c r="A4958" s="1"/>
      <c r="E4958"/>
      <c r="F4958"/>
      <c r="G4958"/>
      <c r="H4958"/>
      <c r="I4958"/>
      <c r="J4958"/>
    </row>
    <row r="4959" spans="1:10" s="2" customFormat="1">
      <c r="A4959" s="1"/>
      <c r="E4959"/>
      <c r="F4959"/>
      <c r="G4959"/>
      <c r="H4959"/>
      <c r="I4959"/>
      <c r="J4959"/>
    </row>
    <row r="4960" spans="1:10" s="2" customFormat="1">
      <c r="A4960" s="1"/>
      <c r="E4960"/>
      <c r="F4960"/>
      <c r="G4960"/>
      <c r="H4960"/>
      <c r="I4960"/>
      <c r="J4960"/>
    </row>
    <row r="4961" spans="1:10" s="2" customFormat="1">
      <c r="A4961" s="1"/>
      <c r="E4961"/>
      <c r="F4961"/>
      <c r="G4961"/>
      <c r="H4961"/>
      <c r="I4961"/>
      <c r="J4961"/>
    </row>
    <row r="4962" spans="1:10" s="2" customFormat="1">
      <c r="A4962" s="1"/>
      <c r="E4962"/>
      <c r="F4962"/>
      <c r="G4962"/>
      <c r="H4962"/>
      <c r="I4962"/>
      <c r="J4962"/>
    </row>
    <row r="4963" spans="1:10" s="2" customFormat="1">
      <c r="A4963" s="1"/>
      <c r="E4963"/>
      <c r="F4963"/>
      <c r="G4963"/>
      <c r="H4963"/>
      <c r="I4963"/>
      <c r="J4963"/>
    </row>
    <row r="4964" spans="1:10" s="2" customFormat="1">
      <c r="A4964" s="1"/>
      <c r="E4964"/>
      <c r="F4964"/>
      <c r="G4964"/>
      <c r="H4964"/>
      <c r="I4964"/>
      <c r="J4964"/>
    </row>
    <row r="4965" spans="1:10" s="2" customFormat="1">
      <c r="A4965" s="1"/>
      <c r="E4965"/>
      <c r="F4965"/>
      <c r="G4965"/>
      <c r="H4965"/>
      <c r="I4965"/>
      <c r="J4965"/>
    </row>
    <row r="4966" spans="1:10" s="2" customFormat="1">
      <c r="A4966" s="1"/>
      <c r="E4966"/>
      <c r="F4966"/>
      <c r="G4966"/>
      <c r="H4966"/>
      <c r="I4966"/>
      <c r="J4966"/>
    </row>
    <row r="4967" spans="1:10" s="2" customFormat="1">
      <c r="A4967" s="1"/>
      <c r="E4967"/>
      <c r="F4967"/>
      <c r="G4967"/>
      <c r="H4967"/>
      <c r="I4967"/>
      <c r="J4967"/>
    </row>
    <row r="4968" spans="1:10" s="2" customFormat="1">
      <c r="A4968" s="1"/>
      <c r="E4968"/>
      <c r="F4968"/>
      <c r="G4968"/>
      <c r="H4968"/>
      <c r="I4968"/>
      <c r="J4968"/>
    </row>
    <row r="4969" spans="1:10" s="2" customFormat="1">
      <c r="A4969" s="1"/>
      <c r="E4969"/>
      <c r="F4969"/>
      <c r="G4969"/>
      <c r="H4969"/>
      <c r="I4969"/>
      <c r="J4969"/>
    </row>
    <row r="4970" spans="1:10" s="2" customFormat="1">
      <c r="A4970" s="1"/>
      <c r="E4970"/>
      <c r="F4970"/>
      <c r="G4970"/>
      <c r="H4970"/>
      <c r="I4970"/>
      <c r="J4970"/>
    </row>
    <row r="4971" spans="1:10" s="2" customFormat="1">
      <c r="A4971" s="1"/>
      <c r="E4971"/>
      <c r="F4971"/>
      <c r="G4971"/>
      <c r="H4971"/>
      <c r="I4971"/>
      <c r="J4971"/>
    </row>
    <row r="4972" spans="1:10" s="2" customFormat="1">
      <c r="A4972" s="1"/>
      <c r="E4972"/>
      <c r="F4972"/>
      <c r="G4972"/>
      <c r="H4972"/>
      <c r="I4972"/>
      <c r="J4972"/>
    </row>
    <row r="4973" spans="1:10" s="2" customFormat="1">
      <c r="A4973" s="1"/>
      <c r="E4973"/>
      <c r="F4973"/>
      <c r="G4973"/>
      <c r="H4973"/>
      <c r="I4973"/>
      <c r="J4973"/>
    </row>
    <row r="4974" spans="1:10" s="2" customFormat="1">
      <c r="A4974" s="1"/>
      <c r="E4974"/>
      <c r="F4974"/>
      <c r="G4974"/>
      <c r="H4974"/>
      <c r="I4974"/>
      <c r="J4974"/>
    </row>
    <row r="4975" spans="1:10" s="2" customFormat="1">
      <c r="A4975" s="1"/>
      <c r="E4975"/>
      <c r="F4975"/>
      <c r="G4975"/>
      <c r="H4975"/>
      <c r="I4975"/>
      <c r="J4975"/>
    </row>
    <row r="4976" spans="1:10" s="2" customFormat="1">
      <c r="A4976" s="1"/>
      <c r="E4976"/>
      <c r="F4976"/>
      <c r="G4976"/>
      <c r="H4976"/>
      <c r="I4976"/>
      <c r="J4976"/>
    </row>
    <row r="4977" spans="1:10" s="2" customFormat="1">
      <c r="A4977" s="1"/>
      <c r="E4977"/>
      <c r="F4977"/>
      <c r="G4977"/>
      <c r="H4977"/>
      <c r="I4977"/>
      <c r="J4977"/>
    </row>
    <row r="4978" spans="1:10" s="2" customFormat="1">
      <c r="A4978" s="1"/>
      <c r="E4978"/>
      <c r="F4978"/>
      <c r="G4978"/>
      <c r="H4978"/>
      <c r="I4978"/>
      <c r="J4978"/>
    </row>
    <row r="4979" spans="1:10" s="2" customFormat="1">
      <c r="A4979" s="1"/>
      <c r="E4979"/>
      <c r="F4979"/>
      <c r="G4979"/>
      <c r="H4979"/>
      <c r="I4979"/>
      <c r="J4979"/>
    </row>
    <row r="4980" spans="1:10" s="2" customFormat="1">
      <c r="A4980" s="1"/>
      <c r="E4980"/>
      <c r="F4980"/>
      <c r="G4980"/>
      <c r="H4980"/>
      <c r="I4980"/>
      <c r="J4980"/>
    </row>
    <row r="4981" spans="1:10" s="2" customFormat="1">
      <c r="A4981" s="1"/>
      <c r="E4981"/>
      <c r="F4981"/>
      <c r="G4981"/>
      <c r="H4981"/>
      <c r="I4981"/>
      <c r="J4981"/>
    </row>
    <row r="4982" spans="1:10" s="2" customFormat="1">
      <c r="A4982" s="1"/>
      <c r="E4982"/>
      <c r="F4982"/>
      <c r="G4982"/>
      <c r="H4982"/>
      <c r="I4982"/>
      <c r="J4982"/>
    </row>
    <row r="4983" spans="1:10" s="2" customFormat="1">
      <c r="A4983" s="1"/>
      <c r="E4983"/>
      <c r="F4983"/>
      <c r="G4983"/>
      <c r="H4983"/>
      <c r="I4983"/>
      <c r="J4983"/>
    </row>
    <row r="4984" spans="1:10" s="2" customFormat="1">
      <c r="A4984" s="1"/>
      <c r="E4984"/>
      <c r="F4984"/>
      <c r="G4984"/>
      <c r="H4984"/>
      <c r="I4984"/>
      <c r="J4984"/>
    </row>
    <row r="4985" spans="1:10" s="2" customFormat="1">
      <c r="A4985" s="1"/>
      <c r="E4985"/>
      <c r="F4985"/>
      <c r="G4985"/>
      <c r="H4985"/>
      <c r="I4985"/>
      <c r="J4985"/>
    </row>
    <row r="4986" spans="1:10" s="2" customFormat="1">
      <c r="A4986" s="1"/>
      <c r="E4986"/>
      <c r="F4986"/>
      <c r="G4986"/>
      <c r="H4986"/>
      <c r="I4986"/>
      <c r="J4986"/>
    </row>
    <row r="4987" spans="1:10" s="2" customFormat="1">
      <c r="A4987" s="1"/>
      <c r="E4987"/>
      <c r="F4987"/>
      <c r="G4987"/>
      <c r="H4987"/>
      <c r="I4987"/>
      <c r="J4987"/>
    </row>
    <row r="4988" spans="1:10" s="2" customFormat="1">
      <c r="A4988" s="1"/>
      <c r="E4988"/>
      <c r="F4988"/>
      <c r="G4988"/>
      <c r="H4988"/>
      <c r="I4988"/>
      <c r="J4988"/>
    </row>
    <row r="4989" spans="1:10" s="2" customFormat="1">
      <c r="A4989" s="1"/>
      <c r="E4989"/>
      <c r="F4989"/>
      <c r="G4989"/>
      <c r="H4989"/>
      <c r="I4989"/>
      <c r="J4989"/>
    </row>
    <row r="4990" spans="1:10" s="2" customFormat="1">
      <c r="A4990" s="1"/>
      <c r="E4990"/>
      <c r="F4990"/>
      <c r="G4990"/>
      <c r="H4990"/>
      <c r="I4990"/>
      <c r="J4990"/>
    </row>
    <row r="4991" spans="1:10" s="2" customFormat="1">
      <c r="A4991" s="1"/>
      <c r="E4991"/>
      <c r="F4991"/>
      <c r="G4991"/>
      <c r="H4991"/>
      <c r="I4991"/>
      <c r="J4991"/>
    </row>
    <row r="4992" spans="1:10" s="2" customFormat="1">
      <c r="A4992" s="1"/>
      <c r="E4992"/>
      <c r="F4992"/>
      <c r="G4992"/>
      <c r="H4992"/>
      <c r="I4992"/>
      <c r="J4992"/>
    </row>
    <row r="4993" spans="1:10" s="2" customFormat="1">
      <c r="A4993" s="1"/>
      <c r="E4993"/>
      <c r="F4993"/>
      <c r="G4993"/>
      <c r="H4993"/>
      <c r="I4993"/>
      <c r="J4993"/>
    </row>
    <row r="4994" spans="1:10" s="2" customFormat="1">
      <c r="A4994" s="1"/>
      <c r="E4994"/>
      <c r="F4994"/>
      <c r="G4994"/>
      <c r="H4994"/>
      <c r="I4994"/>
      <c r="J4994"/>
    </row>
    <row r="4995" spans="1:10" s="2" customFormat="1">
      <c r="A4995" s="1"/>
      <c r="E4995"/>
      <c r="F4995"/>
      <c r="G4995"/>
      <c r="H4995"/>
      <c r="I4995"/>
      <c r="J4995"/>
    </row>
    <row r="4996" spans="1:10" s="2" customFormat="1">
      <c r="A4996" s="1"/>
      <c r="E4996"/>
      <c r="F4996"/>
      <c r="G4996"/>
      <c r="H4996"/>
      <c r="I4996"/>
      <c r="J4996"/>
    </row>
    <row r="4997" spans="1:10" s="2" customFormat="1">
      <c r="A4997" s="1"/>
      <c r="E4997"/>
      <c r="F4997"/>
      <c r="G4997"/>
      <c r="H4997"/>
      <c r="I4997"/>
      <c r="J4997"/>
    </row>
    <row r="4998" spans="1:10" s="2" customFormat="1">
      <c r="A4998" s="1"/>
      <c r="E4998"/>
      <c r="F4998"/>
      <c r="G4998"/>
      <c r="H4998"/>
      <c r="I4998"/>
      <c r="J4998"/>
    </row>
    <row r="4999" spans="1:10" s="2" customFormat="1">
      <c r="A4999" s="1"/>
      <c r="E4999"/>
      <c r="F4999"/>
      <c r="G4999"/>
      <c r="H4999"/>
      <c r="I4999"/>
      <c r="J4999"/>
    </row>
    <row r="5000" spans="1:10" s="2" customFormat="1">
      <c r="A5000" s="1"/>
      <c r="E5000"/>
      <c r="F5000"/>
      <c r="G5000"/>
      <c r="H5000"/>
      <c r="I5000"/>
      <c r="J5000"/>
    </row>
    <row r="5001" spans="1:10" s="2" customFormat="1">
      <c r="A5001" s="1"/>
      <c r="E5001"/>
      <c r="F5001"/>
      <c r="G5001"/>
      <c r="H5001"/>
      <c r="I5001"/>
      <c r="J5001"/>
    </row>
    <row r="5002" spans="1:10" s="2" customFormat="1">
      <c r="A5002" s="1"/>
      <c r="E5002"/>
      <c r="F5002"/>
      <c r="G5002"/>
      <c r="H5002"/>
      <c r="I5002"/>
      <c r="J5002"/>
    </row>
    <row r="5003" spans="1:10" s="2" customFormat="1">
      <c r="A5003" s="1"/>
      <c r="E5003"/>
      <c r="F5003"/>
      <c r="G5003"/>
      <c r="H5003"/>
      <c r="I5003"/>
      <c r="J5003"/>
    </row>
    <row r="5004" spans="1:10" s="2" customFormat="1">
      <c r="A5004" s="1"/>
      <c r="E5004"/>
      <c r="F5004"/>
      <c r="G5004"/>
      <c r="H5004"/>
      <c r="I5004"/>
      <c r="J5004"/>
    </row>
    <row r="5005" spans="1:10" s="2" customFormat="1">
      <c r="A5005" s="1"/>
      <c r="E5005"/>
      <c r="F5005"/>
      <c r="G5005"/>
      <c r="H5005"/>
      <c r="I5005"/>
      <c r="J5005"/>
    </row>
    <row r="5006" spans="1:10" s="2" customFormat="1">
      <c r="A5006" s="1"/>
      <c r="E5006"/>
      <c r="F5006"/>
      <c r="G5006"/>
      <c r="H5006"/>
      <c r="I5006"/>
      <c r="J5006"/>
    </row>
    <row r="5007" spans="1:10" s="2" customFormat="1">
      <c r="A5007" s="1"/>
      <c r="E5007"/>
      <c r="F5007"/>
      <c r="G5007"/>
      <c r="H5007"/>
      <c r="I5007"/>
      <c r="J5007"/>
    </row>
    <row r="5008" spans="1:10" s="2" customFormat="1">
      <c r="A5008" s="1"/>
      <c r="E5008"/>
      <c r="F5008"/>
      <c r="G5008"/>
      <c r="H5008"/>
      <c r="I5008"/>
      <c r="J5008"/>
    </row>
    <row r="5009" spans="1:10" s="2" customFormat="1">
      <c r="A5009" s="1"/>
      <c r="E5009"/>
      <c r="F5009"/>
      <c r="G5009"/>
      <c r="H5009"/>
      <c r="I5009"/>
      <c r="J5009"/>
    </row>
    <row r="5010" spans="1:10" s="2" customFormat="1">
      <c r="A5010" s="1"/>
      <c r="E5010"/>
      <c r="F5010"/>
      <c r="G5010"/>
      <c r="H5010"/>
      <c r="I5010"/>
      <c r="J5010"/>
    </row>
    <row r="5011" spans="1:10" s="2" customFormat="1">
      <c r="A5011" s="1"/>
      <c r="E5011"/>
      <c r="F5011"/>
      <c r="G5011"/>
      <c r="H5011"/>
      <c r="I5011"/>
      <c r="J5011"/>
    </row>
    <row r="5012" spans="1:10" s="2" customFormat="1">
      <c r="A5012" s="1"/>
      <c r="E5012"/>
      <c r="F5012"/>
      <c r="G5012"/>
      <c r="H5012"/>
      <c r="I5012"/>
      <c r="J5012"/>
    </row>
    <row r="5013" spans="1:10" s="2" customFormat="1">
      <c r="A5013" s="1"/>
      <c r="E5013"/>
      <c r="F5013"/>
      <c r="G5013"/>
      <c r="H5013"/>
      <c r="I5013"/>
      <c r="J5013"/>
    </row>
    <row r="5014" spans="1:10" s="2" customFormat="1">
      <c r="A5014" s="1"/>
      <c r="E5014"/>
      <c r="F5014"/>
      <c r="G5014"/>
      <c r="H5014"/>
      <c r="I5014"/>
      <c r="J5014"/>
    </row>
    <row r="5015" spans="1:10" s="2" customFormat="1">
      <c r="A5015" s="1"/>
      <c r="E5015"/>
      <c r="F5015"/>
      <c r="G5015"/>
      <c r="H5015"/>
      <c r="I5015"/>
      <c r="J5015"/>
    </row>
    <row r="5016" spans="1:10" s="2" customFormat="1">
      <c r="A5016" s="1"/>
      <c r="E5016"/>
      <c r="F5016"/>
      <c r="G5016"/>
      <c r="H5016"/>
      <c r="I5016"/>
      <c r="J5016"/>
    </row>
    <row r="5017" spans="1:10" s="2" customFormat="1">
      <c r="A5017" s="1"/>
      <c r="E5017"/>
      <c r="F5017"/>
      <c r="G5017"/>
      <c r="H5017"/>
      <c r="I5017"/>
      <c r="J5017"/>
    </row>
    <row r="5018" spans="1:10" s="2" customFormat="1">
      <c r="A5018" s="1"/>
      <c r="E5018"/>
      <c r="F5018"/>
      <c r="G5018"/>
      <c r="H5018"/>
      <c r="I5018"/>
      <c r="J5018"/>
    </row>
    <row r="5019" spans="1:10" s="2" customFormat="1">
      <c r="A5019" s="1"/>
      <c r="E5019"/>
      <c r="F5019"/>
      <c r="G5019"/>
      <c r="H5019"/>
      <c r="I5019"/>
      <c r="J5019"/>
    </row>
    <row r="5020" spans="1:10" s="2" customFormat="1">
      <c r="A5020" s="1"/>
      <c r="E5020"/>
      <c r="F5020"/>
      <c r="G5020"/>
      <c r="H5020"/>
      <c r="I5020"/>
      <c r="J5020"/>
    </row>
    <row r="5021" spans="1:10" s="2" customFormat="1">
      <c r="A5021" s="1"/>
      <c r="E5021"/>
      <c r="F5021"/>
      <c r="G5021"/>
      <c r="H5021"/>
      <c r="I5021"/>
      <c r="J5021"/>
    </row>
    <row r="5022" spans="1:10" s="2" customFormat="1">
      <c r="A5022" s="1"/>
      <c r="E5022"/>
      <c r="F5022"/>
      <c r="G5022"/>
      <c r="H5022"/>
      <c r="I5022"/>
      <c r="J5022"/>
    </row>
    <row r="5023" spans="1:10" s="2" customFormat="1">
      <c r="A5023" s="1"/>
      <c r="E5023"/>
      <c r="F5023"/>
      <c r="G5023"/>
      <c r="H5023"/>
      <c r="I5023"/>
      <c r="J5023"/>
    </row>
    <row r="5024" spans="1:10" s="2" customFormat="1">
      <c r="A5024" s="1"/>
      <c r="E5024"/>
      <c r="F5024"/>
      <c r="G5024"/>
      <c r="H5024"/>
      <c r="I5024"/>
      <c r="J5024"/>
    </row>
    <row r="5025" spans="1:10" s="2" customFormat="1">
      <c r="A5025" s="1"/>
      <c r="E5025"/>
      <c r="F5025"/>
      <c r="G5025"/>
      <c r="H5025"/>
      <c r="I5025"/>
      <c r="J5025"/>
    </row>
    <row r="5026" spans="1:10" s="2" customFormat="1">
      <c r="A5026" s="1"/>
      <c r="E5026"/>
      <c r="F5026"/>
      <c r="G5026"/>
      <c r="H5026"/>
      <c r="I5026"/>
      <c r="J5026"/>
    </row>
    <row r="5027" spans="1:10" s="2" customFormat="1">
      <c r="A5027" s="1"/>
      <c r="E5027"/>
      <c r="F5027"/>
      <c r="G5027"/>
      <c r="H5027"/>
      <c r="I5027"/>
      <c r="J5027"/>
    </row>
    <row r="5028" spans="1:10" s="2" customFormat="1">
      <c r="A5028" s="1"/>
      <c r="E5028"/>
      <c r="F5028"/>
      <c r="G5028"/>
      <c r="H5028"/>
      <c r="I5028"/>
      <c r="J5028"/>
    </row>
    <row r="5029" spans="1:10" s="2" customFormat="1">
      <c r="A5029" s="1"/>
      <c r="E5029"/>
      <c r="F5029"/>
      <c r="G5029"/>
      <c r="H5029"/>
      <c r="I5029"/>
      <c r="J5029"/>
    </row>
    <row r="5030" spans="1:10" s="2" customFormat="1">
      <c r="A5030" s="1"/>
      <c r="E5030"/>
      <c r="F5030"/>
      <c r="G5030"/>
      <c r="H5030"/>
      <c r="I5030"/>
      <c r="J5030"/>
    </row>
    <row r="5031" spans="1:10" s="2" customFormat="1">
      <c r="A5031" s="1"/>
      <c r="E5031"/>
      <c r="F5031"/>
      <c r="G5031"/>
      <c r="H5031"/>
      <c r="I5031"/>
      <c r="J5031"/>
    </row>
    <row r="5032" spans="1:10" s="2" customFormat="1">
      <c r="A5032" s="1"/>
      <c r="E5032"/>
      <c r="F5032"/>
      <c r="G5032"/>
      <c r="H5032"/>
      <c r="I5032"/>
      <c r="J5032"/>
    </row>
    <row r="5033" spans="1:10" s="2" customFormat="1">
      <c r="A5033" s="1"/>
      <c r="E5033"/>
      <c r="F5033"/>
      <c r="G5033"/>
      <c r="H5033"/>
      <c r="I5033"/>
      <c r="J5033"/>
    </row>
    <row r="5034" spans="1:10" s="2" customFormat="1">
      <c r="A5034" s="1"/>
      <c r="E5034"/>
      <c r="F5034"/>
      <c r="G5034"/>
      <c r="H5034"/>
      <c r="I5034"/>
      <c r="J5034"/>
    </row>
    <row r="5035" spans="1:10" s="2" customFormat="1">
      <c r="A5035" s="1"/>
      <c r="E5035"/>
      <c r="F5035"/>
      <c r="G5035"/>
      <c r="H5035"/>
      <c r="I5035"/>
      <c r="J5035"/>
    </row>
    <row r="5036" spans="1:10" s="2" customFormat="1">
      <c r="A5036" s="1"/>
      <c r="E5036"/>
      <c r="F5036"/>
      <c r="G5036"/>
      <c r="H5036"/>
      <c r="I5036"/>
      <c r="J5036"/>
    </row>
    <row r="5037" spans="1:10" s="2" customFormat="1">
      <c r="A5037" s="1"/>
      <c r="E5037"/>
      <c r="F5037"/>
      <c r="G5037"/>
      <c r="H5037"/>
      <c r="I5037"/>
      <c r="J5037"/>
    </row>
    <row r="5038" spans="1:10" s="2" customFormat="1">
      <c r="A5038" s="1"/>
      <c r="E5038"/>
      <c r="F5038"/>
      <c r="G5038"/>
      <c r="H5038"/>
      <c r="I5038"/>
      <c r="J5038"/>
    </row>
    <row r="5039" spans="1:10" s="2" customFormat="1">
      <c r="A5039" s="1"/>
      <c r="E5039"/>
      <c r="F5039"/>
      <c r="G5039"/>
      <c r="H5039"/>
      <c r="I5039"/>
      <c r="J5039"/>
    </row>
    <row r="5040" spans="1:10" s="2" customFormat="1">
      <c r="A5040" s="1"/>
      <c r="E5040"/>
      <c r="F5040"/>
      <c r="G5040"/>
      <c r="H5040"/>
      <c r="I5040"/>
      <c r="J5040"/>
    </row>
    <row r="5041" spans="1:10" s="2" customFormat="1">
      <c r="A5041" s="1"/>
      <c r="E5041"/>
      <c r="F5041"/>
      <c r="G5041"/>
      <c r="H5041"/>
      <c r="I5041"/>
      <c r="J5041"/>
    </row>
    <row r="5042" spans="1:10" s="2" customFormat="1">
      <c r="A5042" s="1"/>
      <c r="E5042"/>
      <c r="F5042"/>
      <c r="G5042"/>
      <c r="H5042"/>
      <c r="I5042"/>
      <c r="J5042"/>
    </row>
    <row r="5043" spans="1:10" s="2" customFormat="1">
      <c r="A5043" s="1"/>
      <c r="E5043"/>
      <c r="F5043"/>
      <c r="G5043"/>
      <c r="H5043"/>
      <c r="I5043"/>
      <c r="J5043"/>
    </row>
    <row r="5044" spans="1:10" s="2" customFormat="1">
      <c r="A5044" s="1"/>
      <c r="E5044"/>
      <c r="F5044"/>
      <c r="G5044"/>
      <c r="H5044"/>
      <c r="I5044"/>
      <c r="J5044"/>
    </row>
    <row r="5045" spans="1:10" s="2" customFormat="1">
      <c r="A5045" s="1"/>
      <c r="E5045"/>
      <c r="F5045"/>
      <c r="G5045"/>
      <c r="H5045"/>
      <c r="I5045"/>
      <c r="J5045"/>
    </row>
    <row r="5046" spans="1:10" s="2" customFormat="1">
      <c r="A5046" s="1"/>
      <c r="E5046"/>
      <c r="F5046"/>
      <c r="G5046"/>
      <c r="H5046"/>
      <c r="I5046"/>
      <c r="J5046"/>
    </row>
    <row r="5047" spans="1:10" s="2" customFormat="1">
      <c r="A5047" s="1"/>
      <c r="E5047"/>
      <c r="F5047"/>
      <c r="G5047"/>
      <c r="H5047"/>
      <c r="I5047"/>
      <c r="J5047"/>
    </row>
    <row r="5048" spans="1:10" s="2" customFormat="1">
      <c r="A5048" s="1"/>
      <c r="E5048"/>
      <c r="F5048"/>
      <c r="G5048"/>
      <c r="H5048"/>
      <c r="I5048"/>
      <c r="J5048"/>
    </row>
    <row r="5049" spans="1:10" s="2" customFormat="1">
      <c r="A5049" s="1"/>
      <c r="E5049"/>
      <c r="F5049"/>
      <c r="G5049"/>
      <c r="H5049"/>
      <c r="I5049"/>
      <c r="J5049"/>
    </row>
    <row r="5050" spans="1:10" s="2" customFormat="1">
      <c r="A5050" s="1"/>
      <c r="E5050"/>
      <c r="F5050"/>
      <c r="G5050"/>
      <c r="H5050"/>
      <c r="I5050"/>
      <c r="J5050"/>
    </row>
    <row r="5051" spans="1:10" s="2" customFormat="1">
      <c r="A5051" s="1"/>
      <c r="E5051"/>
      <c r="F5051"/>
      <c r="G5051"/>
      <c r="H5051"/>
      <c r="I5051"/>
      <c r="J5051"/>
    </row>
    <row r="5052" spans="1:10" s="2" customFormat="1">
      <c r="A5052" s="1"/>
      <c r="E5052"/>
      <c r="F5052"/>
      <c r="G5052"/>
      <c r="H5052"/>
      <c r="I5052"/>
      <c r="J5052"/>
    </row>
    <row r="5053" spans="1:10" s="2" customFormat="1">
      <c r="A5053" s="1"/>
      <c r="E5053"/>
      <c r="F5053"/>
      <c r="G5053"/>
      <c r="H5053"/>
      <c r="I5053"/>
      <c r="J5053"/>
    </row>
    <row r="5054" spans="1:10" s="2" customFormat="1">
      <c r="A5054" s="1"/>
      <c r="E5054"/>
      <c r="F5054"/>
      <c r="G5054"/>
      <c r="H5054"/>
      <c r="I5054"/>
      <c r="J5054"/>
    </row>
    <row r="5055" spans="1:10" s="2" customFormat="1">
      <c r="A5055" s="1"/>
      <c r="E5055"/>
      <c r="F5055"/>
      <c r="G5055"/>
      <c r="H5055"/>
      <c r="I5055"/>
      <c r="J5055"/>
    </row>
    <row r="5056" spans="1:10" s="2" customFormat="1">
      <c r="A5056" s="1"/>
      <c r="E5056"/>
      <c r="F5056"/>
      <c r="G5056"/>
      <c r="H5056"/>
      <c r="I5056"/>
      <c r="J5056"/>
    </row>
    <row r="5057" spans="1:10" s="2" customFormat="1">
      <c r="A5057" s="1"/>
      <c r="E5057"/>
      <c r="F5057"/>
      <c r="G5057"/>
      <c r="H5057"/>
      <c r="I5057"/>
      <c r="J5057"/>
    </row>
    <row r="5058" spans="1:10" s="2" customFormat="1">
      <c r="A5058" s="1"/>
      <c r="E5058"/>
      <c r="F5058"/>
      <c r="G5058"/>
      <c r="H5058"/>
      <c r="I5058"/>
      <c r="J5058"/>
    </row>
    <row r="5059" spans="1:10" s="2" customFormat="1">
      <c r="A5059" s="1"/>
      <c r="E5059"/>
      <c r="F5059"/>
      <c r="G5059"/>
      <c r="H5059"/>
      <c r="I5059"/>
      <c r="J5059"/>
    </row>
    <row r="5060" spans="1:10" s="2" customFormat="1">
      <c r="A5060" s="1"/>
      <c r="E5060"/>
      <c r="F5060"/>
      <c r="G5060"/>
      <c r="H5060"/>
      <c r="I5060"/>
      <c r="J5060"/>
    </row>
    <row r="5061" spans="1:10" s="2" customFormat="1">
      <c r="A5061" s="1"/>
      <c r="E5061"/>
      <c r="F5061"/>
      <c r="G5061"/>
      <c r="H5061"/>
      <c r="I5061"/>
      <c r="J5061"/>
    </row>
    <row r="5062" spans="1:10" s="2" customFormat="1">
      <c r="A5062" s="1"/>
      <c r="E5062"/>
      <c r="F5062"/>
      <c r="G5062"/>
      <c r="H5062"/>
      <c r="I5062"/>
      <c r="J5062"/>
    </row>
    <row r="5063" spans="1:10" s="2" customFormat="1">
      <c r="A5063" s="1"/>
      <c r="E5063"/>
      <c r="F5063"/>
      <c r="G5063"/>
      <c r="H5063"/>
      <c r="I5063"/>
      <c r="J5063"/>
    </row>
    <row r="5064" spans="1:10" s="2" customFormat="1">
      <c r="A5064" s="1"/>
      <c r="E5064"/>
      <c r="F5064"/>
      <c r="G5064"/>
      <c r="H5064"/>
      <c r="I5064"/>
      <c r="J5064"/>
    </row>
    <row r="5065" spans="1:10" s="2" customFormat="1">
      <c r="A5065" s="1"/>
      <c r="E5065"/>
      <c r="F5065"/>
      <c r="G5065"/>
      <c r="H5065"/>
      <c r="I5065"/>
      <c r="J5065"/>
    </row>
    <row r="5066" spans="1:10" s="2" customFormat="1">
      <c r="A5066" s="1"/>
      <c r="E5066"/>
      <c r="F5066"/>
      <c r="G5066"/>
      <c r="H5066"/>
      <c r="I5066"/>
      <c r="J5066"/>
    </row>
    <row r="5067" spans="1:10" s="2" customFormat="1">
      <c r="A5067" s="1"/>
      <c r="E5067"/>
      <c r="F5067"/>
      <c r="G5067"/>
      <c r="H5067"/>
      <c r="I5067"/>
      <c r="J5067"/>
    </row>
    <row r="5068" spans="1:10" s="2" customFormat="1">
      <c r="A5068" s="1"/>
      <c r="E5068"/>
      <c r="F5068"/>
      <c r="G5068"/>
      <c r="H5068"/>
      <c r="I5068"/>
      <c r="J5068"/>
    </row>
    <row r="5069" spans="1:10" s="2" customFormat="1">
      <c r="A5069" s="1"/>
      <c r="E5069"/>
      <c r="F5069"/>
      <c r="G5069"/>
      <c r="H5069"/>
      <c r="I5069"/>
      <c r="J5069"/>
    </row>
    <row r="5070" spans="1:10" s="2" customFormat="1">
      <c r="A5070" s="1"/>
      <c r="E5070"/>
      <c r="F5070"/>
      <c r="G5070"/>
      <c r="H5070"/>
      <c r="I5070"/>
      <c r="J5070"/>
    </row>
    <row r="5071" spans="1:10" s="2" customFormat="1">
      <c r="A5071" s="1"/>
      <c r="E5071"/>
      <c r="F5071"/>
      <c r="G5071"/>
      <c r="H5071"/>
      <c r="I5071"/>
      <c r="J5071"/>
    </row>
    <row r="5072" spans="1:10" s="2" customFormat="1">
      <c r="A5072" s="1"/>
      <c r="E5072"/>
      <c r="F5072"/>
      <c r="G5072"/>
      <c r="H5072"/>
      <c r="I5072"/>
      <c r="J5072"/>
    </row>
    <row r="5073" spans="1:10" s="2" customFormat="1">
      <c r="A5073" s="1"/>
      <c r="E5073"/>
      <c r="F5073"/>
      <c r="G5073"/>
      <c r="H5073"/>
      <c r="I5073"/>
      <c r="J5073"/>
    </row>
    <row r="5074" spans="1:10" s="2" customFormat="1">
      <c r="A5074" s="1"/>
      <c r="E5074"/>
      <c r="F5074"/>
      <c r="G5074"/>
      <c r="H5074"/>
      <c r="I5074"/>
      <c r="J5074"/>
    </row>
    <row r="5075" spans="1:10" s="2" customFormat="1">
      <c r="A5075" s="1"/>
      <c r="E5075"/>
      <c r="F5075"/>
      <c r="G5075"/>
      <c r="H5075"/>
      <c r="I5075"/>
      <c r="J5075"/>
    </row>
    <row r="5076" spans="1:10" s="2" customFormat="1">
      <c r="A5076" s="1"/>
      <c r="E5076"/>
      <c r="F5076"/>
      <c r="G5076"/>
      <c r="H5076"/>
      <c r="I5076"/>
      <c r="J5076"/>
    </row>
    <row r="5077" spans="1:10" s="2" customFormat="1">
      <c r="A5077" s="1"/>
      <c r="E5077"/>
      <c r="F5077"/>
      <c r="G5077"/>
      <c r="H5077"/>
      <c r="I5077"/>
      <c r="J5077"/>
    </row>
    <row r="5078" spans="1:10" s="2" customFormat="1">
      <c r="A5078" s="1"/>
      <c r="E5078"/>
      <c r="F5078"/>
      <c r="G5078"/>
      <c r="H5078"/>
      <c r="I5078"/>
      <c r="J5078"/>
    </row>
    <row r="5079" spans="1:10" s="2" customFormat="1">
      <c r="A5079" s="1"/>
      <c r="E5079"/>
      <c r="F5079"/>
      <c r="G5079"/>
      <c r="H5079"/>
      <c r="I5079"/>
      <c r="J5079"/>
    </row>
    <row r="5080" spans="1:10" s="2" customFormat="1">
      <c r="A5080" s="1"/>
      <c r="E5080"/>
      <c r="F5080"/>
      <c r="G5080"/>
      <c r="H5080"/>
      <c r="I5080"/>
      <c r="J5080"/>
    </row>
    <row r="5081" spans="1:10" s="2" customFormat="1">
      <c r="A5081" s="1"/>
      <c r="E5081"/>
      <c r="F5081"/>
      <c r="G5081"/>
      <c r="H5081"/>
      <c r="I5081"/>
      <c r="J5081"/>
    </row>
    <row r="5082" spans="1:10" s="2" customFormat="1">
      <c r="A5082" s="1"/>
      <c r="E5082"/>
      <c r="F5082"/>
      <c r="G5082"/>
      <c r="H5082"/>
      <c r="I5082"/>
      <c r="J5082"/>
    </row>
    <row r="5083" spans="1:10" s="2" customFormat="1">
      <c r="A5083" s="1"/>
      <c r="E5083"/>
      <c r="F5083"/>
      <c r="G5083"/>
      <c r="H5083"/>
      <c r="I5083"/>
      <c r="J5083"/>
    </row>
    <row r="5084" spans="1:10" s="2" customFormat="1">
      <c r="A5084" s="1"/>
      <c r="E5084"/>
      <c r="F5084"/>
      <c r="G5084"/>
      <c r="H5084"/>
      <c r="I5084"/>
      <c r="J5084"/>
    </row>
    <row r="5085" spans="1:10" s="2" customFormat="1">
      <c r="A5085" s="1"/>
      <c r="E5085"/>
      <c r="F5085"/>
      <c r="G5085"/>
      <c r="H5085"/>
      <c r="I5085"/>
      <c r="J5085"/>
    </row>
    <row r="5086" spans="1:10" s="2" customFormat="1">
      <c r="A5086" s="1"/>
      <c r="E5086"/>
      <c r="F5086"/>
      <c r="G5086"/>
      <c r="H5086"/>
      <c r="I5086"/>
      <c r="J5086"/>
    </row>
    <row r="5087" spans="1:10" s="2" customFormat="1">
      <c r="A5087" s="1"/>
      <c r="E5087"/>
      <c r="F5087"/>
      <c r="G5087"/>
      <c r="H5087"/>
      <c r="I5087"/>
      <c r="J5087"/>
    </row>
    <row r="5088" spans="1:10" s="2" customFormat="1">
      <c r="A5088" s="1"/>
      <c r="E5088"/>
      <c r="F5088"/>
      <c r="G5088"/>
      <c r="H5088"/>
      <c r="I5088"/>
      <c r="J5088"/>
    </row>
    <row r="5089" spans="1:10" s="2" customFormat="1">
      <c r="A5089" s="1"/>
      <c r="E5089"/>
      <c r="F5089"/>
      <c r="G5089"/>
      <c r="H5089"/>
      <c r="I5089"/>
      <c r="J5089"/>
    </row>
    <row r="5090" spans="1:10" s="2" customFormat="1">
      <c r="A5090" s="1"/>
      <c r="E5090"/>
      <c r="F5090"/>
      <c r="G5090"/>
      <c r="H5090"/>
      <c r="I5090"/>
      <c r="J5090"/>
    </row>
    <row r="5091" spans="1:10" s="2" customFormat="1">
      <c r="A5091" s="1"/>
      <c r="E5091"/>
      <c r="F5091"/>
      <c r="G5091"/>
      <c r="H5091"/>
      <c r="I5091"/>
      <c r="J5091"/>
    </row>
    <row r="5092" spans="1:10" s="2" customFormat="1">
      <c r="A5092" s="1"/>
      <c r="E5092"/>
      <c r="F5092"/>
      <c r="G5092"/>
      <c r="H5092"/>
      <c r="I5092"/>
      <c r="J5092"/>
    </row>
    <row r="5093" spans="1:10" s="2" customFormat="1">
      <c r="A5093" s="1"/>
      <c r="E5093"/>
      <c r="F5093"/>
      <c r="G5093"/>
      <c r="H5093"/>
      <c r="I5093"/>
      <c r="J5093"/>
    </row>
    <row r="5094" spans="1:10" s="2" customFormat="1">
      <c r="A5094" s="1"/>
      <c r="E5094"/>
      <c r="F5094"/>
      <c r="G5094"/>
      <c r="H5094"/>
      <c r="I5094"/>
      <c r="J5094"/>
    </row>
    <row r="5095" spans="1:10" s="2" customFormat="1">
      <c r="A5095" s="1"/>
      <c r="E5095"/>
      <c r="F5095"/>
      <c r="G5095"/>
      <c r="H5095"/>
      <c r="I5095"/>
      <c r="J5095"/>
    </row>
    <row r="5096" spans="1:10" s="2" customFormat="1">
      <c r="A5096" s="1"/>
      <c r="E5096"/>
      <c r="F5096"/>
      <c r="G5096"/>
      <c r="H5096"/>
      <c r="I5096"/>
      <c r="J5096"/>
    </row>
    <row r="5097" spans="1:10" s="2" customFormat="1">
      <c r="A5097" s="1"/>
      <c r="E5097"/>
      <c r="F5097"/>
      <c r="G5097"/>
      <c r="H5097"/>
      <c r="I5097"/>
      <c r="J5097"/>
    </row>
    <row r="5098" spans="1:10" s="2" customFormat="1">
      <c r="A5098" s="1"/>
      <c r="E5098"/>
      <c r="F5098"/>
      <c r="G5098"/>
      <c r="H5098"/>
      <c r="I5098"/>
      <c r="J5098"/>
    </row>
    <row r="5099" spans="1:10" s="2" customFormat="1">
      <c r="A5099" s="1"/>
      <c r="E5099"/>
      <c r="F5099"/>
      <c r="G5099"/>
      <c r="H5099"/>
      <c r="I5099"/>
      <c r="J5099"/>
    </row>
    <row r="5100" spans="1:10" s="2" customFormat="1">
      <c r="A5100" s="1"/>
      <c r="E5100"/>
      <c r="F5100"/>
      <c r="G5100"/>
      <c r="H5100"/>
      <c r="I5100"/>
      <c r="J5100"/>
    </row>
    <row r="5101" spans="1:10" s="2" customFormat="1">
      <c r="A5101" s="1"/>
      <c r="E5101"/>
      <c r="F5101"/>
      <c r="G5101"/>
      <c r="H5101"/>
      <c r="I5101"/>
      <c r="J5101"/>
    </row>
    <row r="5102" spans="1:10" s="2" customFormat="1">
      <c r="A5102" s="1"/>
      <c r="E5102"/>
      <c r="F5102"/>
      <c r="G5102"/>
      <c r="H5102"/>
      <c r="I5102"/>
      <c r="J5102"/>
    </row>
    <row r="5103" spans="1:10" s="2" customFormat="1">
      <c r="A5103" s="1"/>
      <c r="E5103"/>
      <c r="F5103"/>
      <c r="G5103"/>
      <c r="H5103"/>
      <c r="I5103"/>
      <c r="J5103"/>
    </row>
    <row r="5104" spans="1:10" s="2" customFormat="1">
      <c r="A5104" s="1"/>
      <c r="E5104"/>
      <c r="F5104"/>
      <c r="G5104"/>
      <c r="H5104"/>
      <c r="I5104"/>
      <c r="J5104"/>
    </row>
    <row r="5105" spans="1:10" s="2" customFormat="1">
      <c r="A5105" s="1"/>
      <c r="E5105"/>
      <c r="F5105"/>
      <c r="G5105"/>
      <c r="H5105"/>
      <c r="I5105"/>
      <c r="J5105"/>
    </row>
    <row r="5106" spans="1:10" s="2" customFormat="1">
      <c r="A5106" s="1"/>
      <c r="E5106"/>
      <c r="F5106"/>
      <c r="G5106"/>
      <c r="H5106"/>
      <c r="I5106"/>
      <c r="J5106"/>
    </row>
    <row r="5107" spans="1:10" s="2" customFormat="1">
      <c r="A5107" s="1"/>
      <c r="E5107"/>
      <c r="F5107"/>
      <c r="G5107"/>
      <c r="H5107"/>
      <c r="I5107"/>
      <c r="J5107"/>
    </row>
    <row r="5108" spans="1:10" s="2" customFormat="1">
      <c r="A5108" s="1"/>
      <c r="E5108"/>
      <c r="F5108"/>
      <c r="G5108"/>
      <c r="H5108"/>
      <c r="I5108"/>
      <c r="J5108"/>
    </row>
    <row r="5109" spans="1:10" s="2" customFormat="1">
      <c r="A5109" s="1"/>
      <c r="E5109"/>
      <c r="F5109"/>
      <c r="G5109"/>
      <c r="H5109"/>
      <c r="I5109"/>
      <c r="J5109"/>
    </row>
    <row r="5110" spans="1:10" s="2" customFormat="1">
      <c r="A5110" s="1"/>
      <c r="E5110"/>
      <c r="F5110"/>
      <c r="G5110"/>
      <c r="H5110"/>
      <c r="I5110"/>
      <c r="J5110"/>
    </row>
    <row r="5111" spans="1:10" s="2" customFormat="1">
      <c r="A5111" s="1"/>
      <c r="E5111"/>
      <c r="F5111"/>
      <c r="G5111"/>
      <c r="H5111"/>
      <c r="I5111"/>
      <c r="J5111"/>
    </row>
    <row r="5112" spans="1:10" s="2" customFormat="1">
      <c r="A5112" s="1"/>
      <c r="E5112"/>
      <c r="F5112"/>
      <c r="G5112"/>
      <c r="H5112"/>
      <c r="I5112"/>
      <c r="J5112"/>
    </row>
    <row r="5113" spans="1:10" s="2" customFormat="1">
      <c r="A5113" s="1"/>
      <c r="E5113"/>
      <c r="F5113"/>
      <c r="G5113"/>
      <c r="H5113"/>
      <c r="I5113"/>
      <c r="J5113"/>
    </row>
    <row r="5114" spans="1:10" s="2" customFormat="1">
      <c r="A5114" s="1"/>
      <c r="E5114"/>
      <c r="F5114"/>
      <c r="G5114"/>
      <c r="H5114"/>
      <c r="I5114"/>
      <c r="J5114"/>
    </row>
    <row r="5115" spans="1:10" s="2" customFormat="1">
      <c r="A5115" s="1"/>
      <c r="E5115"/>
      <c r="F5115"/>
      <c r="G5115"/>
      <c r="H5115"/>
      <c r="I5115"/>
      <c r="J5115"/>
    </row>
    <row r="5116" spans="1:10" s="2" customFormat="1">
      <c r="A5116" s="1"/>
      <c r="E5116"/>
      <c r="F5116"/>
      <c r="G5116"/>
      <c r="H5116"/>
      <c r="I5116"/>
      <c r="J5116"/>
    </row>
    <row r="5117" spans="1:10" s="2" customFormat="1">
      <c r="A5117" s="1"/>
      <c r="E5117"/>
      <c r="F5117"/>
      <c r="G5117"/>
      <c r="H5117"/>
      <c r="I5117"/>
      <c r="J5117"/>
    </row>
    <row r="5118" spans="1:10" s="2" customFormat="1">
      <c r="A5118" s="1"/>
      <c r="E5118"/>
      <c r="F5118"/>
      <c r="G5118"/>
      <c r="H5118"/>
      <c r="I5118"/>
      <c r="J5118"/>
    </row>
    <row r="5119" spans="1:10" s="2" customFormat="1">
      <c r="A5119" s="1"/>
      <c r="E5119"/>
      <c r="F5119"/>
      <c r="G5119"/>
      <c r="H5119"/>
      <c r="I5119"/>
      <c r="J5119"/>
    </row>
    <row r="5120" spans="1:10" s="2" customFormat="1">
      <c r="A5120" s="1"/>
      <c r="E5120"/>
      <c r="F5120"/>
      <c r="G5120"/>
      <c r="H5120"/>
      <c r="I5120"/>
      <c r="J5120"/>
    </row>
    <row r="5121" spans="1:10" s="2" customFormat="1">
      <c r="A5121" s="1"/>
      <c r="E5121"/>
      <c r="F5121"/>
      <c r="G5121"/>
      <c r="H5121"/>
      <c r="I5121"/>
      <c r="J5121"/>
    </row>
    <row r="5122" spans="1:10" s="2" customFormat="1">
      <c r="A5122" s="1"/>
      <c r="E5122"/>
      <c r="F5122"/>
      <c r="G5122"/>
      <c r="H5122"/>
      <c r="I5122"/>
      <c r="J5122"/>
    </row>
    <row r="5123" spans="1:10" s="2" customFormat="1">
      <c r="A5123" s="1"/>
      <c r="E5123"/>
      <c r="F5123"/>
      <c r="G5123"/>
      <c r="H5123"/>
      <c r="I5123"/>
      <c r="J5123"/>
    </row>
    <row r="5124" spans="1:10" s="2" customFormat="1">
      <c r="A5124" s="1"/>
      <c r="E5124"/>
      <c r="F5124"/>
      <c r="G5124"/>
      <c r="H5124"/>
      <c r="I5124"/>
      <c r="J5124"/>
    </row>
    <row r="5125" spans="1:10" s="2" customFormat="1">
      <c r="A5125" s="1"/>
      <c r="E5125"/>
      <c r="F5125"/>
      <c r="G5125"/>
      <c r="H5125"/>
      <c r="I5125"/>
      <c r="J5125"/>
    </row>
    <row r="5126" spans="1:10" s="2" customFormat="1">
      <c r="A5126" s="1"/>
      <c r="E5126"/>
      <c r="F5126"/>
      <c r="G5126"/>
      <c r="H5126"/>
      <c r="I5126"/>
      <c r="J5126"/>
    </row>
    <row r="5127" spans="1:10" s="2" customFormat="1">
      <c r="A5127" s="1"/>
      <c r="E5127"/>
      <c r="F5127"/>
      <c r="G5127"/>
      <c r="H5127"/>
      <c r="I5127"/>
      <c r="J5127"/>
    </row>
    <row r="5128" spans="1:10" s="2" customFormat="1">
      <c r="A5128" s="1"/>
      <c r="E5128"/>
      <c r="F5128"/>
      <c r="G5128"/>
      <c r="H5128"/>
      <c r="I5128"/>
      <c r="J5128"/>
    </row>
    <row r="5129" spans="1:10" s="2" customFormat="1">
      <c r="A5129" s="1"/>
      <c r="E5129"/>
      <c r="F5129"/>
      <c r="G5129"/>
      <c r="H5129"/>
      <c r="I5129"/>
      <c r="J5129"/>
    </row>
    <row r="5130" spans="1:10" s="2" customFormat="1">
      <c r="A5130" s="1"/>
      <c r="E5130"/>
      <c r="F5130"/>
      <c r="G5130"/>
      <c r="H5130"/>
      <c r="I5130"/>
      <c r="J5130"/>
    </row>
    <row r="5131" spans="1:10" s="2" customFormat="1">
      <c r="A5131" s="1"/>
      <c r="E5131"/>
      <c r="F5131"/>
      <c r="G5131"/>
      <c r="H5131"/>
      <c r="I5131"/>
      <c r="J5131"/>
    </row>
    <row r="5132" spans="1:10" s="2" customFormat="1">
      <c r="A5132" s="1"/>
      <c r="E5132"/>
      <c r="F5132"/>
      <c r="G5132"/>
      <c r="H5132"/>
      <c r="I5132"/>
      <c r="J5132"/>
    </row>
    <row r="5133" spans="1:10" s="2" customFormat="1">
      <c r="A5133" s="1"/>
      <c r="E5133"/>
      <c r="F5133"/>
      <c r="G5133"/>
      <c r="H5133"/>
      <c r="I5133"/>
      <c r="J5133"/>
    </row>
    <row r="5134" spans="1:10" s="2" customFormat="1">
      <c r="A5134" s="1"/>
      <c r="E5134"/>
      <c r="F5134"/>
      <c r="G5134"/>
      <c r="H5134"/>
      <c r="I5134"/>
      <c r="J5134"/>
    </row>
    <row r="5135" spans="1:10" s="2" customFormat="1">
      <c r="A5135" s="1"/>
      <c r="E5135"/>
      <c r="F5135"/>
      <c r="G5135"/>
      <c r="H5135"/>
      <c r="I5135"/>
      <c r="J5135"/>
    </row>
    <row r="5136" spans="1:10" s="2" customFormat="1">
      <c r="A5136" s="1"/>
      <c r="E5136"/>
      <c r="F5136"/>
      <c r="G5136"/>
      <c r="H5136"/>
      <c r="I5136"/>
      <c r="J5136"/>
    </row>
    <row r="5137" spans="1:10" s="2" customFormat="1">
      <c r="A5137" s="1"/>
      <c r="E5137"/>
      <c r="F5137"/>
      <c r="G5137"/>
      <c r="H5137"/>
      <c r="I5137"/>
      <c r="J5137"/>
    </row>
    <row r="5138" spans="1:10" s="2" customFormat="1">
      <c r="A5138" s="1"/>
      <c r="E5138"/>
      <c r="F5138"/>
      <c r="G5138"/>
      <c r="H5138"/>
      <c r="I5138"/>
      <c r="J5138"/>
    </row>
  </sheetData>
  <mergeCells count="2">
    <mergeCell ref="A1:D1"/>
    <mergeCell ref="F1:H1"/>
  </mergeCells>
  <pageMargins left="0.7" right="0.7" top="0.75" bottom="0.75" header="0.3" footer="0.3"/>
  <pageSetup scale="56"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D3AC-317A-4A1B-928C-A50BBF9E8671}">
  <sheetPr>
    <tabColor rgb="FF92D050"/>
  </sheetPr>
  <dimension ref="A1:T165"/>
  <sheetViews>
    <sheetView workbookViewId="0">
      <pane ySplit="1" topLeftCell="A2" activePane="bottomLeft" state="frozen"/>
      <selection pane="bottomLeft" activeCell="E34" sqref="E34"/>
    </sheetView>
  </sheetViews>
  <sheetFormatPr defaultRowHeight="15"/>
  <cols>
    <col min="1" max="1" width="6.85546875" bestFit="1" customWidth="1"/>
    <col min="2" max="2" width="4.85546875" bestFit="1" customWidth="1"/>
    <col min="3" max="3" width="36.5703125" bestFit="1" customWidth="1"/>
    <col min="4" max="4" width="8.28515625" bestFit="1" customWidth="1"/>
    <col min="5" max="5" width="20.140625" customWidth="1"/>
    <col min="6" max="6" width="13" bestFit="1" customWidth="1"/>
    <col min="8" max="8" width="9.140625" style="2"/>
  </cols>
  <sheetData>
    <row r="1" spans="1:20" ht="33.75" customHeight="1">
      <c r="A1" s="74" t="s">
        <v>465</v>
      </c>
      <c r="B1" s="75" t="s">
        <v>374</v>
      </c>
      <c r="C1" s="74" t="s">
        <v>375</v>
      </c>
      <c r="D1" s="75" t="s">
        <v>376</v>
      </c>
      <c r="E1" s="75" t="s">
        <v>377</v>
      </c>
      <c r="F1" s="74" t="s">
        <v>378</v>
      </c>
      <c r="H1" s="98" t="s">
        <v>1112</v>
      </c>
    </row>
    <row r="2" spans="1:20">
      <c r="A2" s="72">
        <v>1</v>
      </c>
      <c r="B2" s="70">
        <v>1</v>
      </c>
      <c r="C2" s="72" t="s">
        <v>686</v>
      </c>
      <c r="D2" s="70" t="s">
        <v>2</v>
      </c>
      <c r="E2" s="70" t="s">
        <v>15</v>
      </c>
      <c r="F2" s="72" t="s">
        <v>661</v>
      </c>
      <c r="H2" s="2">
        <v>1</v>
      </c>
      <c r="S2" s="72" t="s">
        <v>651</v>
      </c>
      <c r="T2">
        <f t="shared" ref="T2:T11" si="0">COUNTIF($F$2:$F$161,S2)</f>
        <v>16</v>
      </c>
    </row>
    <row r="3" spans="1:20">
      <c r="A3" s="72">
        <v>1</v>
      </c>
      <c r="B3" s="70">
        <v>2</v>
      </c>
      <c r="C3" s="72" t="s">
        <v>853</v>
      </c>
      <c r="D3" s="70" t="s">
        <v>10</v>
      </c>
      <c r="E3" s="70" t="s">
        <v>28</v>
      </c>
      <c r="F3" s="72" t="s">
        <v>655</v>
      </c>
      <c r="H3" s="2">
        <v>2</v>
      </c>
      <c r="S3" s="72" t="s">
        <v>659</v>
      </c>
      <c r="T3">
        <f t="shared" si="0"/>
        <v>16</v>
      </c>
    </row>
    <row r="4" spans="1:20">
      <c r="A4" s="72">
        <v>1</v>
      </c>
      <c r="B4" s="70">
        <v>3</v>
      </c>
      <c r="C4" s="72" t="s">
        <v>851</v>
      </c>
      <c r="D4" s="70" t="s">
        <v>10</v>
      </c>
      <c r="E4" s="70" t="s">
        <v>60</v>
      </c>
      <c r="F4" s="72" t="s">
        <v>657</v>
      </c>
      <c r="H4" s="2">
        <v>3</v>
      </c>
      <c r="S4" s="72" t="s">
        <v>661</v>
      </c>
      <c r="T4">
        <f t="shared" si="0"/>
        <v>16</v>
      </c>
    </row>
    <row r="5" spans="1:20">
      <c r="A5" s="72">
        <v>1</v>
      </c>
      <c r="B5" s="70">
        <v>4</v>
      </c>
      <c r="C5" s="72" t="s">
        <v>468</v>
      </c>
      <c r="D5" s="70" t="s">
        <v>10</v>
      </c>
      <c r="E5" s="70" t="s">
        <v>23</v>
      </c>
      <c r="F5" s="72" t="s">
        <v>652</v>
      </c>
      <c r="H5" s="2">
        <v>4</v>
      </c>
      <c r="S5" s="72" t="s">
        <v>758</v>
      </c>
      <c r="T5">
        <f t="shared" si="0"/>
        <v>16</v>
      </c>
    </row>
    <row r="6" spans="1:20">
      <c r="A6" s="72">
        <v>1</v>
      </c>
      <c r="B6" s="70">
        <v>5</v>
      </c>
      <c r="C6" s="72" t="s">
        <v>61</v>
      </c>
      <c r="D6" s="70" t="s">
        <v>10</v>
      </c>
      <c r="E6" s="70" t="s">
        <v>135</v>
      </c>
      <c r="F6" s="72" t="s">
        <v>654</v>
      </c>
      <c r="H6" s="2">
        <v>5</v>
      </c>
      <c r="S6" s="72" t="s">
        <v>654</v>
      </c>
      <c r="T6">
        <f t="shared" si="0"/>
        <v>16</v>
      </c>
    </row>
    <row r="7" spans="1:20">
      <c r="A7" s="72">
        <v>1</v>
      </c>
      <c r="B7" s="70">
        <v>6</v>
      </c>
      <c r="C7" s="72" t="s">
        <v>1113</v>
      </c>
      <c r="D7" s="70" t="s">
        <v>10</v>
      </c>
      <c r="E7" s="70" t="s">
        <v>627</v>
      </c>
      <c r="F7" s="72" t="s">
        <v>758</v>
      </c>
      <c r="H7" s="2">
        <v>6</v>
      </c>
      <c r="S7" s="72" t="s">
        <v>657</v>
      </c>
      <c r="T7">
        <f t="shared" si="0"/>
        <v>16</v>
      </c>
    </row>
    <row r="8" spans="1:20">
      <c r="A8" s="72">
        <v>1</v>
      </c>
      <c r="B8" s="70">
        <v>7</v>
      </c>
      <c r="C8" s="72" t="s">
        <v>799</v>
      </c>
      <c r="D8" s="70" t="s">
        <v>2</v>
      </c>
      <c r="E8" s="70" t="s">
        <v>28</v>
      </c>
      <c r="F8" s="72" t="s">
        <v>659</v>
      </c>
      <c r="H8" s="2">
        <v>7</v>
      </c>
      <c r="S8" s="72" t="s">
        <v>652</v>
      </c>
      <c r="T8">
        <f t="shared" si="0"/>
        <v>16</v>
      </c>
    </row>
    <row r="9" spans="1:20">
      <c r="A9" s="72">
        <v>1</v>
      </c>
      <c r="B9" s="70">
        <v>8</v>
      </c>
      <c r="C9" s="72" t="s">
        <v>66</v>
      </c>
      <c r="D9" s="70" t="s">
        <v>10</v>
      </c>
      <c r="E9" s="70" t="s">
        <v>21</v>
      </c>
      <c r="F9" s="72" t="s">
        <v>653</v>
      </c>
      <c r="H9" s="2">
        <v>8</v>
      </c>
      <c r="S9" s="72" t="s">
        <v>653</v>
      </c>
      <c r="T9">
        <f t="shared" si="0"/>
        <v>16</v>
      </c>
    </row>
    <row r="10" spans="1:20">
      <c r="A10" s="72">
        <v>1</v>
      </c>
      <c r="B10" s="70">
        <v>9</v>
      </c>
      <c r="C10" s="72" t="s">
        <v>946</v>
      </c>
      <c r="D10" s="70" t="s">
        <v>2</v>
      </c>
      <c r="E10" s="70" t="s">
        <v>35</v>
      </c>
      <c r="F10" s="72" t="s">
        <v>660</v>
      </c>
      <c r="H10" s="2">
        <v>9</v>
      </c>
      <c r="S10" s="72" t="s">
        <v>660</v>
      </c>
      <c r="T10">
        <f t="shared" si="0"/>
        <v>16</v>
      </c>
    </row>
    <row r="11" spans="1:20">
      <c r="A11" s="72">
        <v>1</v>
      </c>
      <c r="B11" s="70">
        <v>10</v>
      </c>
      <c r="C11" s="72" t="s">
        <v>694</v>
      </c>
      <c r="D11" s="70" t="s">
        <v>10</v>
      </c>
      <c r="E11" s="70" t="s">
        <v>25</v>
      </c>
      <c r="F11" s="72" t="s">
        <v>660</v>
      </c>
      <c r="H11" s="2">
        <v>10</v>
      </c>
      <c r="S11" s="72" t="s">
        <v>655</v>
      </c>
      <c r="T11">
        <f t="shared" si="0"/>
        <v>16</v>
      </c>
    </row>
    <row r="12" spans="1:20">
      <c r="A12" s="72">
        <v>2</v>
      </c>
      <c r="B12" s="70">
        <v>11</v>
      </c>
      <c r="C12" s="72" t="s">
        <v>611</v>
      </c>
      <c r="D12" s="70" t="s">
        <v>2</v>
      </c>
      <c r="E12" s="70" t="s">
        <v>23</v>
      </c>
      <c r="F12" s="72" t="s">
        <v>651</v>
      </c>
      <c r="H12" s="2">
        <v>11</v>
      </c>
    </row>
    <row r="13" spans="1:20">
      <c r="A13" s="72">
        <v>2</v>
      </c>
      <c r="B13" s="70">
        <v>12</v>
      </c>
      <c r="C13" s="72" t="s">
        <v>540</v>
      </c>
      <c r="D13" s="70" t="s">
        <v>5</v>
      </c>
      <c r="E13" s="70" t="s">
        <v>21</v>
      </c>
      <c r="F13" s="72" t="s">
        <v>660</v>
      </c>
      <c r="H13" s="2">
        <v>12</v>
      </c>
    </row>
    <row r="14" spans="1:20">
      <c r="A14" s="73">
        <v>2</v>
      </c>
      <c r="B14" s="71">
        <v>13</v>
      </c>
      <c r="C14" s="73" t="s">
        <v>168</v>
      </c>
      <c r="D14" s="71" t="s">
        <v>2</v>
      </c>
      <c r="E14" s="71" t="s">
        <v>46</v>
      </c>
      <c r="F14" s="72" t="s">
        <v>652</v>
      </c>
      <c r="H14" s="2">
        <v>13</v>
      </c>
    </row>
    <row r="15" spans="1:20">
      <c r="A15" s="72">
        <v>2</v>
      </c>
      <c r="B15" s="70">
        <v>14</v>
      </c>
      <c r="C15" s="72" t="s">
        <v>812</v>
      </c>
      <c r="D15" s="70" t="s">
        <v>2</v>
      </c>
      <c r="E15" s="70" t="s">
        <v>84</v>
      </c>
      <c r="F15" s="72" t="s">
        <v>659</v>
      </c>
      <c r="H15" s="2">
        <v>14</v>
      </c>
    </row>
    <row r="16" spans="1:20">
      <c r="A16" s="72">
        <v>2</v>
      </c>
      <c r="B16" s="70">
        <v>15</v>
      </c>
      <c r="C16" s="72" t="s">
        <v>581</v>
      </c>
      <c r="D16" s="70" t="s">
        <v>10</v>
      </c>
      <c r="E16" s="70" t="s">
        <v>6</v>
      </c>
      <c r="F16" s="72" t="s">
        <v>657</v>
      </c>
      <c r="H16" s="2">
        <v>15</v>
      </c>
    </row>
    <row r="17" spans="1:8">
      <c r="A17" s="72">
        <v>2</v>
      </c>
      <c r="B17" s="70">
        <v>16</v>
      </c>
      <c r="C17" s="72" t="s">
        <v>715</v>
      </c>
      <c r="D17" s="70" t="s">
        <v>2</v>
      </c>
      <c r="E17" s="70" t="s">
        <v>84</v>
      </c>
      <c r="F17" s="72" t="s">
        <v>654</v>
      </c>
      <c r="H17" s="2">
        <v>16</v>
      </c>
    </row>
    <row r="18" spans="1:8">
      <c r="A18" s="72">
        <v>2</v>
      </c>
      <c r="B18" s="70">
        <v>17</v>
      </c>
      <c r="C18" s="72" t="s">
        <v>836</v>
      </c>
      <c r="D18" s="70" t="s">
        <v>10</v>
      </c>
      <c r="E18" s="70" t="s">
        <v>56</v>
      </c>
      <c r="F18" s="72" t="s">
        <v>652</v>
      </c>
      <c r="H18" s="2">
        <v>17</v>
      </c>
    </row>
    <row r="19" spans="1:8">
      <c r="A19" s="72">
        <v>2</v>
      </c>
      <c r="B19" s="70">
        <v>18</v>
      </c>
      <c r="C19" s="72" t="s">
        <v>1114</v>
      </c>
      <c r="D19" s="70" t="s">
        <v>10</v>
      </c>
      <c r="E19" s="70" t="s">
        <v>19</v>
      </c>
      <c r="F19" s="72" t="s">
        <v>657</v>
      </c>
      <c r="H19" s="2">
        <v>18</v>
      </c>
    </row>
    <row r="20" spans="1:8">
      <c r="A20" s="72">
        <v>2</v>
      </c>
      <c r="B20" s="70">
        <v>19</v>
      </c>
      <c r="C20" s="72" t="s">
        <v>634</v>
      </c>
      <c r="D20" s="70" t="s">
        <v>5</v>
      </c>
      <c r="E20" s="70" t="s">
        <v>56</v>
      </c>
      <c r="F20" s="72" t="s">
        <v>655</v>
      </c>
      <c r="H20" s="2">
        <v>19</v>
      </c>
    </row>
    <row r="21" spans="1:8">
      <c r="A21" s="72">
        <v>2</v>
      </c>
      <c r="B21" s="70">
        <v>20</v>
      </c>
      <c r="C21" s="72" t="s">
        <v>125</v>
      </c>
      <c r="D21" s="70" t="s">
        <v>2</v>
      </c>
      <c r="E21" s="70" t="s">
        <v>120</v>
      </c>
      <c r="F21" s="72" t="s">
        <v>661</v>
      </c>
      <c r="H21" s="2">
        <v>20</v>
      </c>
    </row>
    <row r="22" spans="1:8">
      <c r="A22" s="72">
        <v>3</v>
      </c>
      <c r="B22" s="70">
        <v>21</v>
      </c>
      <c r="C22" s="72" t="s">
        <v>454</v>
      </c>
      <c r="D22" s="70" t="s">
        <v>10</v>
      </c>
      <c r="E22" s="70" t="s">
        <v>82</v>
      </c>
      <c r="F22" s="72" t="s">
        <v>661</v>
      </c>
      <c r="H22" s="2">
        <v>21</v>
      </c>
    </row>
    <row r="23" spans="1:8">
      <c r="A23" s="72">
        <v>3</v>
      </c>
      <c r="B23" s="70">
        <v>22</v>
      </c>
      <c r="C23" s="72" t="s">
        <v>115</v>
      </c>
      <c r="D23" s="70" t="s">
        <v>2</v>
      </c>
      <c r="E23" s="70" t="s">
        <v>43</v>
      </c>
      <c r="F23" s="72" t="s">
        <v>655</v>
      </c>
      <c r="H23" s="2">
        <v>22</v>
      </c>
    </row>
    <row r="24" spans="1:8">
      <c r="A24" s="72">
        <v>3</v>
      </c>
      <c r="B24" s="70">
        <v>23</v>
      </c>
      <c r="C24" s="72" t="s">
        <v>1115</v>
      </c>
      <c r="D24" s="70" t="s">
        <v>10</v>
      </c>
      <c r="E24" s="70" t="s">
        <v>30</v>
      </c>
      <c r="F24" s="72" t="s">
        <v>657</v>
      </c>
      <c r="H24" s="2">
        <v>23</v>
      </c>
    </row>
    <row r="25" spans="1:8">
      <c r="A25" s="72">
        <v>3</v>
      </c>
      <c r="B25" s="70">
        <v>24</v>
      </c>
      <c r="C25" s="72" t="s">
        <v>1116</v>
      </c>
      <c r="D25" s="70" t="s">
        <v>2</v>
      </c>
      <c r="E25" s="70" t="s">
        <v>137</v>
      </c>
      <c r="F25" s="72" t="s">
        <v>652</v>
      </c>
      <c r="H25" s="2">
        <v>24</v>
      </c>
    </row>
    <row r="26" spans="1:8">
      <c r="A26" s="72">
        <v>3</v>
      </c>
      <c r="B26" s="70">
        <v>25</v>
      </c>
      <c r="C26" s="72" t="s">
        <v>519</v>
      </c>
      <c r="D26" s="70" t="s">
        <v>2</v>
      </c>
      <c r="E26" s="70" t="s">
        <v>34</v>
      </c>
      <c r="F26" s="72" t="s">
        <v>655</v>
      </c>
      <c r="H26" s="2">
        <v>25</v>
      </c>
    </row>
    <row r="27" spans="1:8">
      <c r="A27" s="72">
        <v>3</v>
      </c>
      <c r="B27" s="70">
        <v>26</v>
      </c>
      <c r="C27" s="72" t="s">
        <v>840</v>
      </c>
      <c r="D27" s="70" t="s">
        <v>2</v>
      </c>
      <c r="E27" s="70" t="s">
        <v>60</v>
      </c>
      <c r="F27" s="72" t="s">
        <v>652</v>
      </c>
      <c r="H27" s="2">
        <v>26</v>
      </c>
    </row>
    <row r="28" spans="1:8">
      <c r="A28" s="73">
        <v>3</v>
      </c>
      <c r="B28" s="71">
        <v>27</v>
      </c>
      <c r="C28" s="73" t="s">
        <v>855</v>
      </c>
      <c r="D28" s="71" t="s">
        <v>10</v>
      </c>
      <c r="E28" s="71" t="s">
        <v>73</v>
      </c>
      <c r="F28" s="72" t="s">
        <v>659</v>
      </c>
      <c r="H28" s="2">
        <v>27</v>
      </c>
    </row>
    <row r="29" spans="1:8">
      <c r="A29" s="72">
        <v>3</v>
      </c>
      <c r="B29" s="70">
        <v>28</v>
      </c>
      <c r="C29" s="72" t="s">
        <v>1165</v>
      </c>
      <c r="D29" s="70" t="s">
        <v>2</v>
      </c>
      <c r="E29" s="70" t="s">
        <v>91</v>
      </c>
      <c r="F29" s="72" t="s">
        <v>653</v>
      </c>
      <c r="H29" s="2">
        <v>28</v>
      </c>
    </row>
    <row r="30" spans="1:8">
      <c r="A30" s="73">
        <v>3</v>
      </c>
      <c r="B30" s="71">
        <v>29</v>
      </c>
      <c r="C30" s="73" t="s">
        <v>735</v>
      </c>
      <c r="D30" s="71" t="s">
        <v>5</v>
      </c>
      <c r="E30" s="71" t="s">
        <v>23</v>
      </c>
      <c r="F30" s="72" t="s">
        <v>651</v>
      </c>
      <c r="H30" s="2">
        <v>29</v>
      </c>
    </row>
    <row r="31" spans="1:8">
      <c r="A31" s="72">
        <v>3</v>
      </c>
      <c r="B31" s="70">
        <v>30</v>
      </c>
      <c r="C31" s="72" t="s">
        <v>510</v>
      </c>
      <c r="D31" s="70" t="s">
        <v>10</v>
      </c>
      <c r="E31" s="70" t="s">
        <v>137</v>
      </c>
      <c r="F31" s="72" t="s">
        <v>651</v>
      </c>
      <c r="H31" s="2">
        <v>30</v>
      </c>
    </row>
    <row r="32" spans="1:8">
      <c r="A32" s="72">
        <v>4</v>
      </c>
      <c r="B32" s="70">
        <v>31</v>
      </c>
      <c r="C32" s="72" t="s">
        <v>504</v>
      </c>
      <c r="D32" s="70" t="s">
        <v>2</v>
      </c>
      <c r="E32" s="70" t="s">
        <v>49</v>
      </c>
      <c r="F32" s="72" t="s">
        <v>651</v>
      </c>
      <c r="H32" s="2">
        <v>31</v>
      </c>
    </row>
    <row r="33" spans="1:8">
      <c r="A33" s="72">
        <v>4</v>
      </c>
      <c r="B33" s="70">
        <v>32</v>
      </c>
      <c r="C33" s="72" t="s">
        <v>985</v>
      </c>
      <c r="D33" s="70" t="s">
        <v>2</v>
      </c>
      <c r="E33" s="70" t="s">
        <v>13</v>
      </c>
      <c r="F33" s="72" t="s">
        <v>657</v>
      </c>
      <c r="H33" s="2">
        <v>32</v>
      </c>
    </row>
    <row r="34" spans="1:8">
      <c r="A34" s="72">
        <v>4</v>
      </c>
      <c r="B34" s="70">
        <v>33</v>
      </c>
      <c r="C34" s="72" t="s">
        <v>1117</v>
      </c>
      <c r="D34" s="70" t="s">
        <v>2</v>
      </c>
      <c r="E34" s="70" t="s">
        <v>32</v>
      </c>
      <c r="F34" s="72" t="s">
        <v>653</v>
      </c>
      <c r="H34" s="2">
        <v>33</v>
      </c>
    </row>
    <row r="35" spans="1:8">
      <c r="A35" s="72">
        <v>4</v>
      </c>
      <c r="B35" s="70">
        <v>34</v>
      </c>
      <c r="C35" s="72" t="s">
        <v>499</v>
      </c>
      <c r="D35" s="70" t="s">
        <v>2</v>
      </c>
      <c r="E35" s="70" t="s">
        <v>107</v>
      </c>
      <c r="F35" s="72" t="s">
        <v>659</v>
      </c>
      <c r="H35" s="2">
        <v>34</v>
      </c>
    </row>
    <row r="36" spans="1:8">
      <c r="A36" s="72">
        <v>4</v>
      </c>
      <c r="B36" s="70">
        <v>35</v>
      </c>
      <c r="C36" s="72" t="s">
        <v>844</v>
      </c>
      <c r="D36" s="70" t="s">
        <v>2</v>
      </c>
      <c r="E36" s="70" t="s">
        <v>15</v>
      </c>
      <c r="F36" s="72" t="s">
        <v>758</v>
      </c>
      <c r="H36" s="2">
        <v>35</v>
      </c>
    </row>
    <row r="37" spans="1:8">
      <c r="A37" s="72">
        <v>4</v>
      </c>
      <c r="B37" s="70">
        <v>36</v>
      </c>
      <c r="C37" s="73" t="s">
        <v>852</v>
      </c>
      <c r="D37" s="71" t="s">
        <v>10</v>
      </c>
      <c r="E37" s="71" t="s">
        <v>11</v>
      </c>
      <c r="F37" s="72" t="s">
        <v>654</v>
      </c>
      <c r="H37" s="2">
        <v>36</v>
      </c>
    </row>
    <row r="38" spans="1:8">
      <c r="A38" s="72">
        <v>4</v>
      </c>
      <c r="B38" s="70">
        <v>37</v>
      </c>
      <c r="C38" s="72" t="s">
        <v>695</v>
      </c>
      <c r="D38" s="70" t="s">
        <v>10</v>
      </c>
      <c r="E38" s="70" t="s">
        <v>107</v>
      </c>
      <c r="F38" s="72" t="s">
        <v>652</v>
      </c>
      <c r="H38" s="2">
        <v>37</v>
      </c>
    </row>
    <row r="39" spans="1:8">
      <c r="A39" s="72">
        <v>4</v>
      </c>
      <c r="B39" s="70">
        <v>38</v>
      </c>
      <c r="C39" s="72" t="s">
        <v>1118</v>
      </c>
      <c r="D39" s="70" t="s">
        <v>10</v>
      </c>
      <c r="E39" s="70" t="s">
        <v>34</v>
      </c>
      <c r="F39" s="72" t="s">
        <v>758</v>
      </c>
      <c r="H39" s="2">
        <v>38</v>
      </c>
    </row>
    <row r="40" spans="1:8">
      <c r="A40" s="72">
        <v>4</v>
      </c>
      <c r="B40" s="70">
        <v>39</v>
      </c>
      <c r="C40" s="72" t="s">
        <v>650</v>
      </c>
      <c r="D40" s="70" t="s">
        <v>2</v>
      </c>
      <c r="E40" s="70" t="s">
        <v>3</v>
      </c>
      <c r="F40" s="72" t="s">
        <v>661</v>
      </c>
      <c r="H40" s="2">
        <v>39</v>
      </c>
    </row>
    <row r="41" spans="1:8">
      <c r="A41" s="72">
        <v>4</v>
      </c>
      <c r="B41" s="70">
        <v>40</v>
      </c>
      <c r="C41" s="72" t="s">
        <v>716</v>
      </c>
      <c r="D41" s="70" t="s">
        <v>5</v>
      </c>
      <c r="E41" s="70" t="s">
        <v>84</v>
      </c>
      <c r="F41" s="72" t="s">
        <v>659</v>
      </c>
      <c r="H41" s="2">
        <v>40</v>
      </c>
    </row>
    <row r="42" spans="1:8">
      <c r="A42" s="72">
        <v>5</v>
      </c>
      <c r="B42" s="70">
        <v>41</v>
      </c>
      <c r="C42" s="72" t="s">
        <v>606</v>
      </c>
      <c r="D42" s="70" t="s">
        <v>10</v>
      </c>
      <c r="E42" s="72" t="s">
        <v>49</v>
      </c>
      <c r="F42" s="72" t="s">
        <v>661</v>
      </c>
      <c r="H42" s="2">
        <v>41</v>
      </c>
    </row>
    <row r="43" spans="1:8">
      <c r="A43" s="72">
        <v>5</v>
      </c>
      <c r="B43" s="70">
        <v>42</v>
      </c>
      <c r="C43" s="72" t="s">
        <v>906</v>
      </c>
      <c r="D43" s="70" t="s">
        <v>2</v>
      </c>
      <c r="E43" s="70" t="s">
        <v>13</v>
      </c>
      <c r="F43" s="72" t="s">
        <v>655</v>
      </c>
      <c r="H43" s="2">
        <v>42</v>
      </c>
    </row>
    <row r="44" spans="1:8">
      <c r="A44" s="72">
        <v>5</v>
      </c>
      <c r="B44" s="70">
        <v>43</v>
      </c>
      <c r="C44" s="72" t="s">
        <v>913</v>
      </c>
      <c r="D44" s="70" t="s">
        <v>10</v>
      </c>
      <c r="E44" s="70" t="s">
        <v>13</v>
      </c>
      <c r="F44" s="72" t="s">
        <v>651</v>
      </c>
      <c r="H44" s="2">
        <v>43</v>
      </c>
    </row>
    <row r="45" spans="1:8">
      <c r="A45" s="72">
        <v>5</v>
      </c>
      <c r="B45" s="70">
        <v>44</v>
      </c>
      <c r="C45" s="72" t="s">
        <v>767</v>
      </c>
      <c r="D45" s="70" t="s">
        <v>2</v>
      </c>
      <c r="E45" s="70" t="s">
        <v>23</v>
      </c>
      <c r="F45" s="72" t="s">
        <v>659</v>
      </c>
      <c r="H45" s="2">
        <v>44</v>
      </c>
    </row>
    <row r="46" spans="1:8">
      <c r="A46" s="72">
        <v>5</v>
      </c>
      <c r="B46" s="70">
        <v>45</v>
      </c>
      <c r="C46" s="72" t="s">
        <v>859</v>
      </c>
      <c r="D46" s="70" t="s">
        <v>2</v>
      </c>
      <c r="E46" s="70" t="s">
        <v>21</v>
      </c>
      <c r="F46" s="72" t="s">
        <v>654</v>
      </c>
      <c r="H46" s="2">
        <v>45</v>
      </c>
    </row>
    <row r="47" spans="1:8">
      <c r="A47" s="72">
        <v>5</v>
      </c>
      <c r="B47" s="70">
        <v>46</v>
      </c>
      <c r="C47" s="72" t="s">
        <v>1119</v>
      </c>
      <c r="D47" s="70" t="s">
        <v>2</v>
      </c>
      <c r="E47" s="70" t="s">
        <v>43</v>
      </c>
      <c r="F47" s="72" t="s">
        <v>758</v>
      </c>
      <c r="H47" s="2">
        <v>46</v>
      </c>
    </row>
    <row r="48" spans="1:8">
      <c r="A48" s="72">
        <v>5</v>
      </c>
      <c r="B48" s="70">
        <v>47</v>
      </c>
      <c r="C48" s="72" t="s">
        <v>447</v>
      </c>
      <c r="D48" s="70" t="s">
        <v>10</v>
      </c>
      <c r="E48" s="70" t="s">
        <v>41</v>
      </c>
      <c r="F48" s="72" t="s">
        <v>659</v>
      </c>
      <c r="H48" s="2">
        <v>47</v>
      </c>
    </row>
    <row r="49" spans="1:8">
      <c r="A49" s="72">
        <v>5</v>
      </c>
      <c r="B49" s="70">
        <v>48</v>
      </c>
      <c r="C49" s="72" t="s">
        <v>858</v>
      </c>
      <c r="D49" s="70" t="s">
        <v>2</v>
      </c>
      <c r="E49" s="70" t="s">
        <v>73</v>
      </c>
      <c r="F49" s="72" t="s">
        <v>758</v>
      </c>
      <c r="H49" s="2">
        <v>48</v>
      </c>
    </row>
    <row r="50" spans="1:8">
      <c r="A50" s="72">
        <v>5</v>
      </c>
      <c r="B50" s="70">
        <v>49</v>
      </c>
      <c r="C50" s="72" t="s">
        <v>839</v>
      </c>
      <c r="D50" s="70" t="s">
        <v>2</v>
      </c>
      <c r="E50" s="70" t="s">
        <v>11</v>
      </c>
      <c r="F50" s="72" t="s">
        <v>660</v>
      </c>
      <c r="H50" s="2">
        <v>49</v>
      </c>
    </row>
    <row r="51" spans="1:8">
      <c r="A51" s="72">
        <v>5</v>
      </c>
      <c r="B51" s="70">
        <v>50</v>
      </c>
      <c r="C51" s="72" t="s">
        <v>766</v>
      </c>
      <c r="D51" s="70" t="s">
        <v>2</v>
      </c>
      <c r="E51" s="70" t="s">
        <v>46</v>
      </c>
      <c r="F51" s="72" t="s">
        <v>660</v>
      </c>
      <c r="H51" s="2">
        <v>50</v>
      </c>
    </row>
    <row r="52" spans="1:8">
      <c r="A52" s="72">
        <v>6</v>
      </c>
      <c r="B52" s="70">
        <v>51</v>
      </c>
      <c r="C52" s="72" t="s">
        <v>1120</v>
      </c>
      <c r="D52" s="70" t="s">
        <v>10</v>
      </c>
      <c r="E52" s="70" t="s">
        <v>35</v>
      </c>
      <c r="F52" s="72" t="s">
        <v>661</v>
      </c>
      <c r="H52" s="2">
        <v>51</v>
      </c>
    </row>
    <row r="53" spans="1:8">
      <c r="A53" s="72">
        <v>6</v>
      </c>
      <c r="B53" s="70">
        <v>52</v>
      </c>
      <c r="C53" s="72" t="s">
        <v>520</v>
      </c>
      <c r="D53" s="70" t="s">
        <v>27</v>
      </c>
      <c r="E53" s="70" t="s">
        <v>135</v>
      </c>
      <c r="F53" s="72" t="s">
        <v>660</v>
      </c>
      <c r="H53" s="2">
        <v>52</v>
      </c>
    </row>
    <row r="54" spans="1:8">
      <c r="A54" s="72">
        <v>6</v>
      </c>
      <c r="B54" s="70">
        <v>53</v>
      </c>
      <c r="C54" s="72" t="s">
        <v>830</v>
      </c>
      <c r="D54" s="70" t="s">
        <v>27</v>
      </c>
      <c r="E54" s="70" t="s">
        <v>41</v>
      </c>
      <c r="F54" s="72" t="s">
        <v>653</v>
      </c>
      <c r="H54" s="2">
        <v>53</v>
      </c>
    </row>
    <row r="55" spans="1:8">
      <c r="A55" s="72">
        <v>6</v>
      </c>
      <c r="B55" s="70">
        <v>54</v>
      </c>
      <c r="C55" s="72" t="s">
        <v>1087</v>
      </c>
      <c r="D55" s="70" t="s">
        <v>2</v>
      </c>
      <c r="E55" s="70" t="s">
        <v>135</v>
      </c>
      <c r="F55" s="72" t="s">
        <v>651</v>
      </c>
      <c r="H55" s="2">
        <v>54</v>
      </c>
    </row>
    <row r="56" spans="1:8">
      <c r="A56" s="72">
        <v>6</v>
      </c>
      <c r="B56" s="70">
        <v>55</v>
      </c>
      <c r="C56" s="72" t="s">
        <v>733</v>
      </c>
      <c r="D56" s="70" t="s">
        <v>2</v>
      </c>
      <c r="E56" s="70" t="s">
        <v>673</v>
      </c>
      <c r="F56" s="72" t="s">
        <v>652</v>
      </c>
      <c r="H56" s="2">
        <v>55</v>
      </c>
    </row>
    <row r="57" spans="1:8">
      <c r="A57" s="72">
        <v>6</v>
      </c>
      <c r="B57" s="70">
        <v>56</v>
      </c>
      <c r="C57" s="72" t="s">
        <v>1121</v>
      </c>
      <c r="D57" s="70" t="s">
        <v>2</v>
      </c>
      <c r="E57" s="70" t="s">
        <v>63</v>
      </c>
      <c r="F57" s="72" t="s">
        <v>655</v>
      </c>
      <c r="H57" s="2">
        <v>56</v>
      </c>
    </row>
    <row r="58" spans="1:8">
      <c r="A58" s="72">
        <v>6</v>
      </c>
      <c r="B58" s="70">
        <v>57</v>
      </c>
      <c r="C58" s="72" t="s">
        <v>1089</v>
      </c>
      <c r="D58" s="70" t="s">
        <v>2</v>
      </c>
      <c r="E58" s="70" t="s">
        <v>56</v>
      </c>
      <c r="F58" s="72" t="s">
        <v>653</v>
      </c>
      <c r="H58" s="2">
        <v>57</v>
      </c>
    </row>
    <row r="59" spans="1:8">
      <c r="A59" s="72">
        <v>6</v>
      </c>
      <c r="B59" s="70">
        <v>58</v>
      </c>
      <c r="C59" s="72" t="s">
        <v>856</v>
      </c>
      <c r="D59" s="70" t="s">
        <v>2</v>
      </c>
      <c r="E59" s="70" t="s">
        <v>41</v>
      </c>
      <c r="F59" s="72" t="s">
        <v>657</v>
      </c>
      <c r="H59" s="2">
        <v>58</v>
      </c>
    </row>
    <row r="60" spans="1:8">
      <c r="A60" s="72">
        <v>6</v>
      </c>
      <c r="B60" s="70">
        <v>59</v>
      </c>
      <c r="C60" s="72" t="s">
        <v>1122</v>
      </c>
      <c r="D60" s="70" t="s">
        <v>2</v>
      </c>
      <c r="E60" s="70" t="s">
        <v>6</v>
      </c>
      <c r="F60" s="72" t="s">
        <v>655</v>
      </c>
      <c r="H60" s="2">
        <v>59</v>
      </c>
    </row>
    <row r="61" spans="1:8">
      <c r="A61" s="72">
        <v>6</v>
      </c>
      <c r="B61" s="70">
        <v>60</v>
      </c>
      <c r="C61" s="72" t="s">
        <v>551</v>
      </c>
      <c r="D61" s="70" t="s">
        <v>5</v>
      </c>
      <c r="E61" s="70" t="s">
        <v>43</v>
      </c>
      <c r="F61" s="72" t="s">
        <v>661</v>
      </c>
      <c r="H61" s="2">
        <v>60</v>
      </c>
    </row>
    <row r="62" spans="1:8">
      <c r="A62" s="72">
        <v>7</v>
      </c>
      <c r="B62" s="70">
        <v>61</v>
      </c>
      <c r="C62" s="72" t="s">
        <v>845</v>
      </c>
      <c r="D62" s="70" t="s">
        <v>2</v>
      </c>
      <c r="E62" s="70" t="s">
        <v>82</v>
      </c>
      <c r="F62" s="72" t="s">
        <v>661</v>
      </c>
      <c r="H62" s="2">
        <v>61</v>
      </c>
    </row>
    <row r="63" spans="1:8">
      <c r="A63" s="72">
        <v>7</v>
      </c>
      <c r="B63" s="70">
        <v>62</v>
      </c>
      <c r="C63" s="72" t="s">
        <v>580</v>
      </c>
      <c r="D63" s="70" t="s">
        <v>10</v>
      </c>
      <c r="E63" s="70" t="s">
        <v>28</v>
      </c>
      <c r="F63" s="72" t="s">
        <v>661</v>
      </c>
      <c r="H63" s="2">
        <v>62</v>
      </c>
    </row>
    <row r="64" spans="1:8">
      <c r="A64" s="72">
        <v>7</v>
      </c>
      <c r="B64" s="70">
        <v>63</v>
      </c>
      <c r="C64" s="72" t="s">
        <v>848</v>
      </c>
      <c r="D64" s="70" t="s">
        <v>10</v>
      </c>
      <c r="E64" s="70" t="s">
        <v>3</v>
      </c>
      <c r="F64" s="72" t="s">
        <v>659</v>
      </c>
      <c r="H64" s="2">
        <v>63</v>
      </c>
    </row>
    <row r="65" spans="1:8">
      <c r="A65" s="72">
        <v>7</v>
      </c>
      <c r="B65" s="70">
        <v>64</v>
      </c>
      <c r="C65" s="72" t="s">
        <v>44</v>
      </c>
      <c r="D65" s="70" t="s">
        <v>27</v>
      </c>
      <c r="E65" s="70" t="s">
        <v>13</v>
      </c>
      <c r="F65" s="72" t="s">
        <v>652</v>
      </c>
      <c r="H65" s="2">
        <v>64</v>
      </c>
    </row>
    <row r="66" spans="1:8">
      <c r="A66" s="72">
        <v>7</v>
      </c>
      <c r="B66" s="70">
        <v>65</v>
      </c>
      <c r="C66" s="72" t="s">
        <v>1123</v>
      </c>
      <c r="D66" s="70" t="s">
        <v>2</v>
      </c>
      <c r="E66" s="70" t="s">
        <v>17</v>
      </c>
      <c r="F66" s="72" t="s">
        <v>654</v>
      </c>
      <c r="G66" s="93" t="s">
        <v>983</v>
      </c>
      <c r="H66" s="2">
        <v>65</v>
      </c>
    </row>
    <row r="67" spans="1:8">
      <c r="A67" s="72">
        <v>7</v>
      </c>
      <c r="B67" s="70">
        <v>66</v>
      </c>
      <c r="C67" s="72" t="s">
        <v>910</v>
      </c>
      <c r="D67" s="70" t="s">
        <v>10</v>
      </c>
      <c r="E67" s="70" t="s">
        <v>84</v>
      </c>
      <c r="F67" s="72" t="s">
        <v>758</v>
      </c>
      <c r="H67" s="2">
        <v>66</v>
      </c>
    </row>
    <row r="68" spans="1:8">
      <c r="A68" s="72">
        <v>7</v>
      </c>
      <c r="B68" s="70">
        <v>67</v>
      </c>
      <c r="C68" s="72" t="s">
        <v>997</v>
      </c>
      <c r="D68" s="70" t="s">
        <v>27</v>
      </c>
      <c r="E68" s="70" t="s">
        <v>673</v>
      </c>
      <c r="F68" s="72" t="s">
        <v>659</v>
      </c>
      <c r="H68" s="2">
        <v>67</v>
      </c>
    </row>
    <row r="69" spans="1:8">
      <c r="A69" s="72">
        <v>7</v>
      </c>
      <c r="B69" s="70">
        <v>68</v>
      </c>
      <c r="C69" s="72" t="s">
        <v>703</v>
      </c>
      <c r="D69" s="70" t="s">
        <v>2</v>
      </c>
      <c r="E69" s="70" t="s">
        <v>71</v>
      </c>
      <c r="F69" s="72" t="s">
        <v>653</v>
      </c>
      <c r="H69" s="2">
        <v>68</v>
      </c>
    </row>
    <row r="70" spans="1:8">
      <c r="A70" s="72">
        <v>7</v>
      </c>
      <c r="B70" s="70">
        <v>69</v>
      </c>
      <c r="C70" s="72" t="s">
        <v>992</v>
      </c>
      <c r="D70" s="70" t="s">
        <v>2</v>
      </c>
      <c r="E70" s="70" t="s">
        <v>107</v>
      </c>
      <c r="F70" s="72" t="s">
        <v>660</v>
      </c>
      <c r="H70" s="2">
        <v>69</v>
      </c>
    </row>
    <row r="71" spans="1:8">
      <c r="A71" s="72">
        <v>7</v>
      </c>
      <c r="B71" s="70">
        <v>70</v>
      </c>
      <c r="C71" s="72" t="s">
        <v>998</v>
      </c>
      <c r="D71" s="70" t="s">
        <v>2</v>
      </c>
      <c r="E71" s="70" t="s">
        <v>19</v>
      </c>
      <c r="F71" s="72" t="s">
        <v>657</v>
      </c>
      <c r="H71" s="2">
        <v>70</v>
      </c>
    </row>
    <row r="72" spans="1:8">
      <c r="A72" s="72">
        <v>8</v>
      </c>
      <c r="B72" s="70">
        <v>71</v>
      </c>
      <c r="C72" s="72" t="s">
        <v>711</v>
      </c>
      <c r="D72" s="70" t="s">
        <v>2</v>
      </c>
      <c r="E72" s="70" t="s">
        <v>41</v>
      </c>
      <c r="F72" s="72" t="s">
        <v>651</v>
      </c>
      <c r="H72" s="2">
        <v>71</v>
      </c>
    </row>
    <row r="73" spans="1:8">
      <c r="A73" s="72">
        <v>8</v>
      </c>
      <c r="B73" s="70">
        <v>72</v>
      </c>
      <c r="C73" s="72" t="s">
        <v>1124</v>
      </c>
      <c r="D73" s="70" t="s">
        <v>27</v>
      </c>
      <c r="E73" s="70" t="s">
        <v>25</v>
      </c>
      <c r="F73" s="72" t="s">
        <v>651</v>
      </c>
      <c r="H73" s="2">
        <v>72</v>
      </c>
    </row>
    <row r="74" spans="1:8">
      <c r="A74" s="72">
        <v>8</v>
      </c>
      <c r="B74" s="70">
        <v>73</v>
      </c>
      <c r="C74" s="72" t="s">
        <v>1125</v>
      </c>
      <c r="D74" s="70" t="s">
        <v>10</v>
      </c>
      <c r="E74" s="70" t="s">
        <v>63</v>
      </c>
      <c r="F74" s="72" t="s">
        <v>653</v>
      </c>
      <c r="H74" s="2">
        <v>73</v>
      </c>
    </row>
    <row r="75" spans="1:8">
      <c r="A75" s="72">
        <v>8</v>
      </c>
      <c r="B75" s="70">
        <v>74</v>
      </c>
      <c r="C75" s="72" t="s">
        <v>624</v>
      </c>
      <c r="D75" s="72" t="s">
        <v>2</v>
      </c>
      <c r="E75" s="72" t="s">
        <v>91</v>
      </c>
      <c r="F75" s="72" t="s">
        <v>659</v>
      </c>
      <c r="H75" s="2">
        <v>74</v>
      </c>
    </row>
    <row r="76" spans="1:8">
      <c r="A76" s="72">
        <v>8</v>
      </c>
      <c r="B76" s="70">
        <v>75</v>
      </c>
      <c r="C76" s="94" t="s">
        <v>118</v>
      </c>
      <c r="D76" s="94" t="s">
        <v>2</v>
      </c>
      <c r="E76" s="94" t="s">
        <v>30</v>
      </c>
      <c r="F76" s="72" t="s">
        <v>758</v>
      </c>
      <c r="H76" s="2">
        <v>75</v>
      </c>
    </row>
    <row r="77" spans="1:8">
      <c r="A77" s="72">
        <v>8</v>
      </c>
      <c r="B77" s="70">
        <v>76</v>
      </c>
      <c r="C77" s="72" t="s">
        <v>761</v>
      </c>
      <c r="D77" s="70" t="s">
        <v>10</v>
      </c>
      <c r="E77" s="70" t="s">
        <v>15</v>
      </c>
      <c r="F77" s="72" t="s">
        <v>654</v>
      </c>
      <c r="H77" s="2">
        <v>76</v>
      </c>
    </row>
    <row r="78" spans="1:8">
      <c r="A78" s="72">
        <v>8</v>
      </c>
      <c r="B78" s="70">
        <v>77</v>
      </c>
      <c r="C78" s="94" t="s">
        <v>847</v>
      </c>
      <c r="D78" s="94" t="s">
        <v>10</v>
      </c>
      <c r="E78" s="94" t="s">
        <v>120</v>
      </c>
      <c r="F78" s="72" t="s">
        <v>653</v>
      </c>
      <c r="H78" s="2">
        <v>77</v>
      </c>
    </row>
    <row r="79" spans="1:8">
      <c r="A79" s="72">
        <v>8</v>
      </c>
      <c r="B79" s="70">
        <v>78</v>
      </c>
      <c r="C79" s="72" t="s">
        <v>1080</v>
      </c>
      <c r="D79" s="70" t="s">
        <v>2</v>
      </c>
      <c r="E79" s="70" t="s">
        <v>63</v>
      </c>
      <c r="F79" s="72" t="s">
        <v>657</v>
      </c>
      <c r="H79" s="2">
        <v>78</v>
      </c>
    </row>
    <row r="80" spans="1:8">
      <c r="A80" s="72">
        <v>8</v>
      </c>
      <c r="B80" s="70">
        <v>79</v>
      </c>
      <c r="C80" s="72" t="s">
        <v>861</v>
      </c>
      <c r="D80" s="70" t="s">
        <v>10</v>
      </c>
      <c r="E80" s="70" t="s">
        <v>73</v>
      </c>
      <c r="F80" s="72" t="s">
        <v>655</v>
      </c>
      <c r="H80" s="2">
        <v>79</v>
      </c>
    </row>
    <row r="81" spans="1:8">
      <c r="A81" s="72">
        <v>8</v>
      </c>
      <c r="B81" s="70">
        <v>80</v>
      </c>
      <c r="C81" s="72" t="s">
        <v>1126</v>
      </c>
      <c r="D81" s="70" t="s">
        <v>2</v>
      </c>
      <c r="E81" s="70" t="s">
        <v>107</v>
      </c>
      <c r="F81" s="72" t="s">
        <v>651</v>
      </c>
      <c r="H81" s="2">
        <v>80</v>
      </c>
    </row>
    <row r="82" spans="1:8">
      <c r="A82" s="87">
        <v>9</v>
      </c>
      <c r="B82" s="88">
        <v>81</v>
      </c>
      <c r="C82" s="87" t="s">
        <v>924</v>
      </c>
      <c r="D82" s="88" t="s">
        <v>27</v>
      </c>
      <c r="E82" s="88" t="s">
        <v>137</v>
      </c>
      <c r="F82" s="72" t="s">
        <v>661</v>
      </c>
      <c r="H82" s="2">
        <v>81</v>
      </c>
    </row>
    <row r="83" spans="1:8">
      <c r="A83" s="72">
        <v>9</v>
      </c>
      <c r="B83" s="70">
        <v>82</v>
      </c>
      <c r="C83" s="72" t="s">
        <v>837</v>
      </c>
      <c r="D83" s="70" t="s">
        <v>2</v>
      </c>
      <c r="E83" s="70" t="s">
        <v>28</v>
      </c>
      <c r="F83" s="72" t="s">
        <v>655</v>
      </c>
      <c r="H83" s="2">
        <v>82</v>
      </c>
    </row>
    <row r="84" spans="1:8">
      <c r="A84" s="72">
        <v>9</v>
      </c>
      <c r="B84" s="70">
        <v>83</v>
      </c>
      <c r="C84" s="72" t="s">
        <v>635</v>
      </c>
      <c r="D84" s="70" t="s">
        <v>27</v>
      </c>
      <c r="E84" s="70" t="s">
        <v>21</v>
      </c>
      <c r="F84" s="72" t="s">
        <v>657</v>
      </c>
      <c r="H84" s="2">
        <v>83</v>
      </c>
    </row>
    <row r="85" spans="1:8">
      <c r="A85" s="72">
        <v>9</v>
      </c>
      <c r="B85" s="70">
        <v>84</v>
      </c>
      <c r="C85" s="72" t="s">
        <v>1127</v>
      </c>
      <c r="D85" s="70" t="s">
        <v>10</v>
      </c>
      <c r="E85" s="70" t="s">
        <v>91</v>
      </c>
      <c r="F85" s="72" t="s">
        <v>652</v>
      </c>
      <c r="H85" s="2">
        <v>84</v>
      </c>
    </row>
    <row r="86" spans="1:8">
      <c r="A86" s="72">
        <v>9</v>
      </c>
      <c r="B86" s="70">
        <v>85</v>
      </c>
      <c r="C86" s="72" t="s">
        <v>918</v>
      </c>
      <c r="D86" s="70" t="s">
        <v>27</v>
      </c>
      <c r="E86" s="70" t="s">
        <v>28</v>
      </c>
      <c r="F86" s="72" t="s">
        <v>654</v>
      </c>
      <c r="H86" s="2">
        <v>85</v>
      </c>
    </row>
    <row r="87" spans="1:8">
      <c r="A87" s="72">
        <v>9</v>
      </c>
      <c r="B87" s="70">
        <v>86</v>
      </c>
      <c r="C87" s="72" t="s">
        <v>1128</v>
      </c>
      <c r="D87" s="70" t="s">
        <v>10</v>
      </c>
      <c r="E87" s="70" t="s">
        <v>3</v>
      </c>
      <c r="F87" s="72" t="s">
        <v>758</v>
      </c>
      <c r="H87" s="2">
        <v>86</v>
      </c>
    </row>
    <row r="88" spans="1:8">
      <c r="A88" s="72">
        <v>9</v>
      </c>
      <c r="B88" s="70">
        <v>87</v>
      </c>
      <c r="C88" s="72" t="s">
        <v>1004</v>
      </c>
      <c r="D88" s="70" t="s">
        <v>2</v>
      </c>
      <c r="E88" s="70" t="s">
        <v>56</v>
      </c>
      <c r="F88" s="72" t="s">
        <v>659</v>
      </c>
      <c r="H88" s="2">
        <v>87</v>
      </c>
    </row>
    <row r="89" spans="1:8">
      <c r="A89" s="72">
        <v>9</v>
      </c>
      <c r="B89" s="70">
        <v>88</v>
      </c>
      <c r="C89" s="72" t="s">
        <v>1129</v>
      </c>
      <c r="D89" s="70" t="s">
        <v>2</v>
      </c>
      <c r="E89" s="70" t="s">
        <v>34</v>
      </c>
      <c r="F89" s="72" t="s">
        <v>653</v>
      </c>
      <c r="H89" s="2">
        <v>88</v>
      </c>
    </row>
    <row r="90" spans="1:8">
      <c r="A90" s="72">
        <v>9</v>
      </c>
      <c r="B90" s="70">
        <v>89</v>
      </c>
      <c r="C90" s="72" t="s">
        <v>846</v>
      </c>
      <c r="D90" s="70" t="s">
        <v>10</v>
      </c>
      <c r="E90" s="70" t="s">
        <v>34</v>
      </c>
      <c r="F90" s="72" t="s">
        <v>660</v>
      </c>
      <c r="H90" s="2">
        <v>89</v>
      </c>
    </row>
    <row r="91" spans="1:8">
      <c r="A91" s="72">
        <v>9</v>
      </c>
      <c r="B91" s="70">
        <v>90</v>
      </c>
      <c r="C91" s="72" t="s">
        <v>865</v>
      </c>
      <c r="D91" s="70" t="s">
        <v>10</v>
      </c>
      <c r="E91" s="70" t="s">
        <v>46</v>
      </c>
      <c r="F91" s="72" t="s">
        <v>651</v>
      </c>
      <c r="H91" s="2">
        <v>90</v>
      </c>
    </row>
    <row r="92" spans="1:8">
      <c r="A92" s="72">
        <v>10</v>
      </c>
      <c r="B92" s="70">
        <v>91</v>
      </c>
      <c r="C92" s="72" t="s">
        <v>774</v>
      </c>
      <c r="D92" s="70" t="s">
        <v>2</v>
      </c>
      <c r="E92" s="70" t="s">
        <v>60</v>
      </c>
      <c r="F92" s="72" t="s">
        <v>651</v>
      </c>
      <c r="H92" s="2">
        <v>91</v>
      </c>
    </row>
    <row r="93" spans="1:8">
      <c r="A93" s="72">
        <v>10</v>
      </c>
      <c r="B93" s="70">
        <v>92</v>
      </c>
      <c r="C93" s="72" t="s">
        <v>1092</v>
      </c>
      <c r="D93" s="70" t="s">
        <v>2</v>
      </c>
      <c r="E93" s="70" t="s">
        <v>135</v>
      </c>
      <c r="F93" s="72" t="s">
        <v>661</v>
      </c>
      <c r="H93" s="2">
        <v>92</v>
      </c>
    </row>
    <row r="94" spans="1:8">
      <c r="A94" s="72">
        <v>10</v>
      </c>
      <c r="B94" s="70">
        <v>93</v>
      </c>
      <c r="C94" s="72" t="s">
        <v>919</v>
      </c>
      <c r="D94" s="70" t="s">
        <v>2</v>
      </c>
      <c r="E94" s="70" t="s">
        <v>6</v>
      </c>
      <c r="F94" s="72" t="s">
        <v>653</v>
      </c>
      <c r="H94" s="2">
        <v>93</v>
      </c>
    </row>
    <row r="95" spans="1:8">
      <c r="A95" s="72">
        <v>10</v>
      </c>
      <c r="B95" s="70">
        <v>94</v>
      </c>
      <c r="C95" s="72" t="s">
        <v>1130</v>
      </c>
      <c r="D95" s="70" t="s">
        <v>36</v>
      </c>
      <c r="E95" s="70" t="s">
        <v>34</v>
      </c>
      <c r="F95" s="72" t="s">
        <v>659</v>
      </c>
      <c r="H95" s="2">
        <v>94</v>
      </c>
    </row>
    <row r="96" spans="1:8">
      <c r="A96" s="72">
        <v>10</v>
      </c>
      <c r="B96" s="70">
        <v>95</v>
      </c>
      <c r="C96" s="72" t="s">
        <v>1131</v>
      </c>
      <c r="D96" s="70" t="s">
        <v>10</v>
      </c>
      <c r="E96" s="70" t="s">
        <v>35</v>
      </c>
      <c r="F96" s="72" t="s">
        <v>758</v>
      </c>
      <c r="H96" s="2">
        <v>95</v>
      </c>
    </row>
    <row r="97" spans="1:8">
      <c r="A97" s="72">
        <v>10</v>
      </c>
      <c r="B97" s="70">
        <v>96</v>
      </c>
      <c r="C97" s="72" t="s">
        <v>1040</v>
      </c>
      <c r="D97" s="70" t="s">
        <v>10</v>
      </c>
      <c r="E97" s="70" t="s">
        <v>41</v>
      </c>
      <c r="F97" s="72" t="s">
        <v>654</v>
      </c>
      <c r="H97" s="2">
        <v>96</v>
      </c>
    </row>
    <row r="98" spans="1:8">
      <c r="A98" s="72">
        <v>10</v>
      </c>
      <c r="B98" s="70">
        <v>97</v>
      </c>
      <c r="C98" s="72" t="s">
        <v>1018</v>
      </c>
      <c r="D98" s="70" t="s">
        <v>5</v>
      </c>
      <c r="E98" s="70" t="s">
        <v>91</v>
      </c>
      <c r="F98" s="72" t="s">
        <v>652</v>
      </c>
      <c r="H98" s="2">
        <v>97</v>
      </c>
    </row>
    <row r="99" spans="1:8">
      <c r="A99" s="72">
        <v>10</v>
      </c>
      <c r="B99" s="70">
        <v>98</v>
      </c>
      <c r="C99" s="72" t="s">
        <v>427</v>
      </c>
      <c r="D99" s="70" t="s">
        <v>10</v>
      </c>
      <c r="E99" s="70" t="s">
        <v>91</v>
      </c>
      <c r="F99" s="72" t="s">
        <v>657</v>
      </c>
      <c r="H99" s="2">
        <v>98</v>
      </c>
    </row>
    <row r="100" spans="1:8">
      <c r="A100" s="72">
        <v>10</v>
      </c>
      <c r="B100" s="70">
        <v>99</v>
      </c>
      <c r="C100" s="72" t="s">
        <v>843</v>
      </c>
      <c r="D100" s="70" t="s">
        <v>2</v>
      </c>
      <c r="E100" s="70" t="s">
        <v>17</v>
      </c>
      <c r="F100" s="72" t="s">
        <v>655</v>
      </c>
      <c r="H100" s="2">
        <v>99</v>
      </c>
    </row>
    <row r="101" spans="1:8">
      <c r="A101" s="72">
        <v>10</v>
      </c>
      <c r="B101" s="70">
        <v>100</v>
      </c>
      <c r="C101" s="72" t="s">
        <v>1086</v>
      </c>
      <c r="D101" s="70" t="s">
        <v>10</v>
      </c>
      <c r="E101" s="70" t="s">
        <v>63</v>
      </c>
      <c r="F101" s="72" t="s">
        <v>661</v>
      </c>
      <c r="H101" s="2">
        <v>100</v>
      </c>
    </row>
    <row r="102" spans="1:8">
      <c r="A102" s="72">
        <v>11</v>
      </c>
      <c r="B102" s="70">
        <v>101</v>
      </c>
      <c r="C102" s="72" t="s">
        <v>1032</v>
      </c>
      <c r="D102" s="70" t="s">
        <v>10</v>
      </c>
      <c r="E102" s="70" t="s">
        <v>43</v>
      </c>
      <c r="F102" s="72" t="s">
        <v>661</v>
      </c>
      <c r="H102" s="2">
        <v>101</v>
      </c>
    </row>
    <row r="103" spans="1:8">
      <c r="A103" s="72">
        <v>11</v>
      </c>
      <c r="B103" s="70">
        <v>102</v>
      </c>
      <c r="C103" s="72" t="s">
        <v>1132</v>
      </c>
      <c r="D103" s="70" t="s">
        <v>10</v>
      </c>
      <c r="E103" s="70" t="s">
        <v>15</v>
      </c>
      <c r="F103" s="72" t="s">
        <v>655</v>
      </c>
      <c r="H103" s="2">
        <v>102</v>
      </c>
    </row>
    <row r="104" spans="1:8">
      <c r="A104" s="72">
        <v>11</v>
      </c>
      <c r="B104" s="70">
        <v>103</v>
      </c>
      <c r="C104" s="72" t="s">
        <v>425</v>
      </c>
      <c r="D104" s="70" t="s">
        <v>2</v>
      </c>
      <c r="E104" s="70" t="s">
        <v>73</v>
      </c>
      <c r="F104" s="72" t="s">
        <v>657</v>
      </c>
      <c r="H104" s="2">
        <v>103</v>
      </c>
    </row>
    <row r="105" spans="1:8">
      <c r="A105" s="72">
        <v>11</v>
      </c>
      <c r="B105" s="70">
        <v>104</v>
      </c>
      <c r="C105" s="72" t="s">
        <v>1082</v>
      </c>
      <c r="D105" s="70" t="s">
        <v>2</v>
      </c>
      <c r="E105" s="70" t="s">
        <v>25</v>
      </c>
      <c r="F105" s="72" t="s">
        <v>652</v>
      </c>
      <c r="H105" s="2">
        <v>104</v>
      </c>
    </row>
    <row r="106" spans="1:8">
      <c r="A106" s="72">
        <v>11</v>
      </c>
      <c r="B106" s="70">
        <v>105</v>
      </c>
      <c r="C106" s="72" t="s">
        <v>773</v>
      </c>
      <c r="D106" s="70" t="s">
        <v>2</v>
      </c>
      <c r="E106" s="70" t="s">
        <v>25</v>
      </c>
      <c r="F106" s="72" t="s">
        <v>654</v>
      </c>
      <c r="H106" s="2">
        <v>105</v>
      </c>
    </row>
    <row r="107" spans="1:8">
      <c r="A107" s="72">
        <v>11</v>
      </c>
      <c r="B107" s="70">
        <v>106</v>
      </c>
      <c r="C107" s="72" t="s">
        <v>1133</v>
      </c>
      <c r="D107" s="70" t="s">
        <v>27</v>
      </c>
      <c r="E107" s="70" t="s">
        <v>107</v>
      </c>
      <c r="F107" s="72" t="s">
        <v>758</v>
      </c>
      <c r="H107" s="2">
        <v>106</v>
      </c>
    </row>
    <row r="108" spans="1:8">
      <c r="A108" s="72">
        <v>11</v>
      </c>
      <c r="B108" s="70">
        <v>107</v>
      </c>
      <c r="C108" s="72" t="s">
        <v>878</v>
      </c>
      <c r="D108" s="70" t="s">
        <v>10</v>
      </c>
      <c r="E108" s="70" t="s">
        <v>49</v>
      </c>
      <c r="F108" s="72" t="s">
        <v>659</v>
      </c>
      <c r="H108" s="2">
        <v>107</v>
      </c>
    </row>
    <row r="109" spans="1:8">
      <c r="A109" s="72">
        <v>11</v>
      </c>
      <c r="B109" s="70">
        <v>108</v>
      </c>
      <c r="C109" s="72" t="s">
        <v>1134</v>
      </c>
      <c r="D109" s="70" t="s">
        <v>5</v>
      </c>
      <c r="E109" s="70" t="s">
        <v>13</v>
      </c>
      <c r="F109" s="72" t="s">
        <v>653</v>
      </c>
      <c r="H109" s="2">
        <v>108</v>
      </c>
    </row>
    <row r="110" spans="1:8">
      <c r="A110" s="72">
        <v>11</v>
      </c>
      <c r="B110" s="70">
        <v>109</v>
      </c>
      <c r="C110" s="72" t="s">
        <v>569</v>
      </c>
      <c r="D110" s="70" t="s">
        <v>2</v>
      </c>
      <c r="E110" s="70" t="s">
        <v>17</v>
      </c>
      <c r="F110" s="72" t="s">
        <v>657</v>
      </c>
      <c r="H110" s="2">
        <v>109</v>
      </c>
    </row>
    <row r="111" spans="1:8">
      <c r="A111" s="72">
        <v>11</v>
      </c>
      <c r="B111" s="70">
        <v>110</v>
      </c>
      <c r="C111" s="72" t="s">
        <v>1135</v>
      </c>
      <c r="D111" s="70" t="s">
        <v>10</v>
      </c>
      <c r="E111" s="70" t="s">
        <v>71</v>
      </c>
      <c r="F111" s="72" t="s">
        <v>661</v>
      </c>
      <c r="H111" s="2">
        <v>110</v>
      </c>
    </row>
    <row r="112" spans="1:8">
      <c r="A112" s="72">
        <v>12</v>
      </c>
      <c r="B112" s="70">
        <v>111</v>
      </c>
      <c r="C112" s="72" t="s">
        <v>1097</v>
      </c>
      <c r="D112" s="70" t="s">
        <v>27</v>
      </c>
      <c r="E112" s="70" t="s">
        <v>6</v>
      </c>
      <c r="F112" s="72" t="s">
        <v>657</v>
      </c>
      <c r="H112" s="2">
        <v>111</v>
      </c>
    </row>
    <row r="113" spans="1:8">
      <c r="A113" s="72">
        <v>12</v>
      </c>
      <c r="B113" s="70">
        <v>112</v>
      </c>
      <c r="C113" s="72" t="s">
        <v>83</v>
      </c>
      <c r="D113" s="70" t="s">
        <v>10</v>
      </c>
      <c r="E113" s="70" t="s">
        <v>17</v>
      </c>
      <c r="F113" s="72" t="s">
        <v>660</v>
      </c>
      <c r="H113" s="2">
        <v>112</v>
      </c>
    </row>
    <row r="114" spans="1:8">
      <c r="A114" s="72">
        <v>12</v>
      </c>
      <c r="B114" s="70">
        <v>113</v>
      </c>
      <c r="C114" s="72" t="s">
        <v>881</v>
      </c>
      <c r="D114" s="70" t="s">
        <v>2</v>
      </c>
      <c r="E114" s="70" t="s">
        <v>120</v>
      </c>
      <c r="F114" s="72" t="s">
        <v>653</v>
      </c>
      <c r="H114" s="2">
        <v>113</v>
      </c>
    </row>
    <row r="115" spans="1:8">
      <c r="A115" s="72">
        <v>12</v>
      </c>
      <c r="B115" s="70">
        <v>114</v>
      </c>
      <c r="C115" s="72" t="s">
        <v>416</v>
      </c>
      <c r="D115" s="70" t="s">
        <v>27</v>
      </c>
      <c r="E115" s="70" t="s">
        <v>34</v>
      </c>
      <c r="F115" s="72" t="s">
        <v>659</v>
      </c>
      <c r="H115" s="2">
        <v>114</v>
      </c>
    </row>
    <row r="116" spans="1:8">
      <c r="A116" s="72">
        <v>12</v>
      </c>
      <c r="B116" s="70">
        <v>115</v>
      </c>
      <c r="C116" s="72" t="s">
        <v>1136</v>
      </c>
      <c r="D116" s="70" t="s">
        <v>2</v>
      </c>
      <c r="E116" s="70" t="s">
        <v>30</v>
      </c>
      <c r="F116" s="72" t="s">
        <v>758</v>
      </c>
      <c r="H116" s="2">
        <v>115</v>
      </c>
    </row>
    <row r="117" spans="1:8">
      <c r="A117" s="72">
        <v>12</v>
      </c>
      <c r="B117" s="70">
        <v>116</v>
      </c>
      <c r="C117" s="72" t="s">
        <v>842</v>
      </c>
      <c r="D117" s="70" t="s">
        <v>10</v>
      </c>
      <c r="E117" s="70" t="s">
        <v>32</v>
      </c>
      <c r="F117" s="72" t="s">
        <v>654</v>
      </c>
      <c r="H117" s="2">
        <v>116</v>
      </c>
    </row>
    <row r="118" spans="1:8">
      <c r="A118" s="72">
        <v>12</v>
      </c>
      <c r="B118" s="70">
        <v>117</v>
      </c>
      <c r="C118" s="72" t="s">
        <v>1137</v>
      </c>
      <c r="D118" s="70" t="s">
        <v>10</v>
      </c>
      <c r="E118" s="70" t="s">
        <v>63</v>
      </c>
      <c r="F118" s="72" t="s">
        <v>758</v>
      </c>
      <c r="H118" s="2">
        <v>117</v>
      </c>
    </row>
    <row r="119" spans="1:8">
      <c r="A119" s="72">
        <v>12</v>
      </c>
      <c r="B119" s="70">
        <v>118</v>
      </c>
      <c r="C119" s="72" t="s">
        <v>786</v>
      </c>
      <c r="D119" s="70" t="s">
        <v>5</v>
      </c>
      <c r="E119" s="70" t="s">
        <v>11</v>
      </c>
      <c r="F119" s="72" t="s">
        <v>657</v>
      </c>
      <c r="H119" s="2">
        <v>118</v>
      </c>
    </row>
    <row r="120" spans="1:8">
      <c r="A120" s="72">
        <v>12</v>
      </c>
      <c r="B120" s="70">
        <v>119</v>
      </c>
      <c r="C120" s="72" t="s">
        <v>162</v>
      </c>
      <c r="D120" s="70" t="s">
        <v>5</v>
      </c>
      <c r="E120" s="70" t="s">
        <v>15</v>
      </c>
      <c r="F120" s="72" t="s">
        <v>655</v>
      </c>
      <c r="H120" s="2">
        <v>119</v>
      </c>
    </row>
    <row r="121" spans="1:8">
      <c r="A121" s="72">
        <v>12</v>
      </c>
      <c r="B121" s="70">
        <v>120</v>
      </c>
      <c r="C121" s="72" t="s">
        <v>1013</v>
      </c>
      <c r="D121" s="70"/>
      <c r="E121" s="70"/>
      <c r="F121" s="72" t="s">
        <v>651</v>
      </c>
      <c r="H121" s="2">
        <v>120</v>
      </c>
    </row>
    <row r="122" spans="1:8">
      <c r="A122" s="87">
        <v>13</v>
      </c>
      <c r="B122" s="88">
        <v>121</v>
      </c>
      <c r="C122" s="87" t="s">
        <v>596</v>
      </c>
      <c r="D122" s="88" t="s">
        <v>5</v>
      </c>
      <c r="E122" s="88" t="s">
        <v>137</v>
      </c>
      <c r="F122" s="87" t="s">
        <v>661</v>
      </c>
      <c r="H122" s="2">
        <v>121</v>
      </c>
    </row>
    <row r="123" spans="1:8">
      <c r="A123" s="72">
        <v>13</v>
      </c>
      <c r="B123" s="70">
        <v>122</v>
      </c>
      <c r="C123" s="72" t="s">
        <v>1138</v>
      </c>
      <c r="D123" s="70" t="s">
        <v>10</v>
      </c>
      <c r="E123" s="70" t="s">
        <v>17</v>
      </c>
      <c r="F123" s="72" t="s">
        <v>655</v>
      </c>
      <c r="H123" s="2">
        <v>122</v>
      </c>
    </row>
    <row r="124" spans="1:8">
      <c r="A124" s="72">
        <v>13</v>
      </c>
      <c r="B124" s="70">
        <v>123</v>
      </c>
      <c r="C124" s="72" t="s">
        <v>503</v>
      </c>
      <c r="D124" s="70" t="s">
        <v>2</v>
      </c>
      <c r="E124" s="70" t="s">
        <v>43</v>
      </c>
      <c r="F124" s="72" t="s">
        <v>657</v>
      </c>
      <c r="H124" s="2">
        <v>123</v>
      </c>
    </row>
    <row r="125" spans="1:8">
      <c r="A125" s="72">
        <v>13</v>
      </c>
      <c r="B125" s="70">
        <v>124</v>
      </c>
      <c r="C125" s="72" t="s">
        <v>556</v>
      </c>
      <c r="D125" s="70" t="s">
        <v>27</v>
      </c>
      <c r="E125" s="70" t="s">
        <v>71</v>
      </c>
      <c r="F125" s="72" t="s">
        <v>652</v>
      </c>
      <c r="H125" s="2">
        <v>124</v>
      </c>
    </row>
    <row r="126" spans="1:8">
      <c r="A126" s="72">
        <v>13</v>
      </c>
      <c r="B126" s="70">
        <v>125</v>
      </c>
      <c r="C126" s="72" t="s">
        <v>1091</v>
      </c>
      <c r="D126" s="70" t="s">
        <v>5</v>
      </c>
      <c r="E126" s="70" t="s">
        <v>34</v>
      </c>
      <c r="F126" s="72" t="s">
        <v>654</v>
      </c>
      <c r="H126" s="2">
        <v>125</v>
      </c>
    </row>
    <row r="127" spans="1:8">
      <c r="A127" s="72">
        <v>13</v>
      </c>
      <c r="B127" s="70">
        <v>126</v>
      </c>
      <c r="C127" s="72" t="s">
        <v>1139</v>
      </c>
      <c r="D127" s="70" t="s">
        <v>5</v>
      </c>
      <c r="E127" s="70" t="s">
        <v>30</v>
      </c>
      <c r="F127" s="72" t="s">
        <v>758</v>
      </c>
      <c r="H127" s="2">
        <v>126</v>
      </c>
    </row>
    <row r="128" spans="1:8">
      <c r="A128" s="72">
        <v>13</v>
      </c>
      <c r="B128" s="70">
        <v>127</v>
      </c>
      <c r="C128" s="72" t="s">
        <v>1140</v>
      </c>
      <c r="D128" s="70" t="s">
        <v>10</v>
      </c>
      <c r="E128" s="70" t="s">
        <v>135</v>
      </c>
      <c r="F128" s="72" t="s">
        <v>659</v>
      </c>
      <c r="H128" s="2">
        <v>127</v>
      </c>
    </row>
    <row r="129" spans="1:8">
      <c r="A129" s="72">
        <v>13</v>
      </c>
      <c r="B129" s="70">
        <v>128</v>
      </c>
      <c r="C129" s="72" t="s">
        <v>1065</v>
      </c>
      <c r="D129" s="70" t="s">
        <v>10</v>
      </c>
      <c r="E129" s="70" t="s">
        <v>11</v>
      </c>
      <c r="F129" s="72" t="s">
        <v>653</v>
      </c>
      <c r="H129" s="2">
        <v>128</v>
      </c>
    </row>
    <row r="130" spans="1:8">
      <c r="A130" s="72">
        <v>13</v>
      </c>
      <c r="B130" s="70">
        <v>129</v>
      </c>
      <c r="C130" s="72" t="s">
        <v>901</v>
      </c>
      <c r="D130" s="70" t="s">
        <v>10</v>
      </c>
      <c r="E130" s="70" t="s">
        <v>71</v>
      </c>
      <c r="F130" s="72" t="s">
        <v>660</v>
      </c>
      <c r="H130" s="2">
        <v>129</v>
      </c>
    </row>
    <row r="131" spans="1:8">
      <c r="A131" s="72">
        <v>13</v>
      </c>
      <c r="B131" s="70">
        <v>130</v>
      </c>
      <c r="C131" s="72" t="s">
        <v>1141</v>
      </c>
      <c r="D131" s="70" t="s">
        <v>36</v>
      </c>
      <c r="E131" s="70" t="s">
        <v>3</v>
      </c>
      <c r="F131" s="72" t="s">
        <v>651</v>
      </c>
      <c r="H131" s="2">
        <v>130</v>
      </c>
    </row>
    <row r="132" spans="1:8">
      <c r="A132" s="72">
        <v>14</v>
      </c>
      <c r="B132" s="70">
        <v>131</v>
      </c>
      <c r="C132" s="72" t="s">
        <v>1142</v>
      </c>
      <c r="D132" s="70" t="s">
        <v>10</v>
      </c>
      <c r="E132" s="70" t="s">
        <v>46</v>
      </c>
      <c r="F132" s="72" t="s">
        <v>651</v>
      </c>
      <c r="H132" s="2">
        <v>131</v>
      </c>
    </row>
    <row r="133" spans="1:8">
      <c r="A133" s="72">
        <v>14</v>
      </c>
      <c r="B133" s="70">
        <v>132</v>
      </c>
      <c r="C133" s="72" t="s">
        <v>834</v>
      </c>
      <c r="D133" s="70" t="s">
        <v>10</v>
      </c>
      <c r="E133" s="70"/>
      <c r="F133" s="72" t="s">
        <v>660</v>
      </c>
      <c r="H133" s="2">
        <v>132</v>
      </c>
    </row>
    <row r="134" spans="1:8">
      <c r="A134" s="72">
        <v>14</v>
      </c>
      <c r="B134" s="70">
        <v>133</v>
      </c>
      <c r="C134" s="72" t="s">
        <v>1143</v>
      </c>
      <c r="D134" s="70" t="s">
        <v>2</v>
      </c>
      <c r="E134" s="70" t="s">
        <v>19</v>
      </c>
      <c r="F134" s="72" t="s">
        <v>653</v>
      </c>
      <c r="H134" s="2">
        <v>133</v>
      </c>
    </row>
    <row r="135" spans="1:8">
      <c r="A135" s="72">
        <v>14</v>
      </c>
      <c r="B135" s="70">
        <v>134</v>
      </c>
      <c r="C135" s="103" t="s">
        <v>1144</v>
      </c>
      <c r="D135" s="70" t="s">
        <v>2</v>
      </c>
      <c r="E135" s="70" t="s">
        <v>34</v>
      </c>
      <c r="F135" s="72" t="s">
        <v>659</v>
      </c>
      <c r="H135" s="2">
        <v>134</v>
      </c>
    </row>
    <row r="136" spans="1:8">
      <c r="A136" s="72">
        <v>14</v>
      </c>
      <c r="B136" s="70">
        <v>135</v>
      </c>
      <c r="C136" s="72" t="s">
        <v>1145</v>
      </c>
      <c r="D136" s="70" t="s">
        <v>5</v>
      </c>
      <c r="E136" s="70" t="s">
        <v>41</v>
      </c>
      <c r="F136" s="72" t="s">
        <v>758</v>
      </c>
      <c r="H136" s="2">
        <v>135</v>
      </c>
    </row>
    <row r="137" spans="1:8">
      <c r="A137" s="72">
        <v>14</v>
      </c>
      <c r="B137" s="70">
        <v>136</v>
      </c>
      <c r="C137" s="72" t="s">
        <v>762</v>
      </c>
      <c r="D137" s="70" t="s">
        <v>27</v>
      </c>
      <c r="E137" s="70"/>
      <c r="F137" s="72" t="s">
        <v>655</v>
      </c>
      <c r="H137" s="2">
        <v>136</v>
      </c>
    </row>
    <row r="138" spans="1:8">
      <c r="A138" s="72">
        <v>14</v>
      </c>
      <c r="B138" s="70">
        <v>137</v>
      </c>
      <c r="C138" s="72" t="s">
        <v>1146</v>
      </c>
      <c r="D138" s="70" t="s">
        <v>36</v>
      </c>
      <c r="E138" s="70" t="s">
        <v>21</v>
      </c>
      <c r="F138" s="72" t="s">
        <v>652</v>
      </c>
      <c r="H138" s="2">
        <v>137</v>
      </c>
    </row>
    <row r="139" spans="1:8">
      <c r="A139" s="72">
        <v>14</v>
      </c>
      <c r="B139" s="70">
        <v>138</v>
      </c>
      <c r="C139" s="72" t="s">
        <v>908</v>
      </c>
      <c r="D139" s="70" t="s">
        <v>2</v>
      </c>
      <c r="E139" s="70" t="s">
        <v>82</v>
      </c>
      <c r="F139" s="72" t="s">
        <v>660</v>
      </c>
      <c r="H139" s="2">
        <v>138</v>
      </c>
    </row>
    <row r="140" spans="1:8">
      <c r="A140" s="72">
        <v>14</v>
      </c>
      <c r="B140" s="70">
        <v>139</v>
      </c>
      <c r="C140" s="72" t="s">
        <v>1147</v>
      </c>
      <c r="D140" s="70" t="s">
        <v>2</v>
      </c>
      <c r="E140" s="70" t="s">
        <v>673</v>
      </c>
      <c r="F140" s="72" t="s">
        <v>654</v>
      </c>
      <c r="H140" s="2">
        <v>139</v>
      </c>
    </row>
    <row r="141" spans="1:8">
      <c r="A141" s="72">
        <v>14</v>
      </c>
      <c r="B141" s="70">
        <v>140</v>
      </c>
      <c r="C141" s="72" t="s">
        <v>1148</v>
      </c>
      <c r="D141" s="70" t="s">
        <v>10</v>
      </c>
      <c r="E141" s="70" t="s">
        <v>23</v>
      </c>
      <c r="F141" s="72" t="s">
        <v>660</v>
      </c>
      <c r="H141" s="2">
        <v>140</v>
      </c>
    </row>
    <row r="142" spans="1:8">
      <c r="A142" s="72">
        <v>15</v>
      </c>
      <c r="B142" s="70">
        <v>141</v>
      </c>
      <c r="C142" s="72" t="s">
        <v>80</v>
      </c>
      <c r="D142" s="70" t="s">
        <v>2</v>
      </c>
      <c r="E142" s="70" t="s">
        <v>19</v>
      </c>
      <c r="F142" s="72" t="s">
        <v>655</v>
      </c>
      <c r="H142" s="2">
        <v>141</v>
      </c>
    </row>
    <row r="143" spans="1:8">
      <c r="A143" s="72">
        <v>15</v>
      </c>
      <c r="B143" s="70">
        <v>142</v>
      </c>
      <c r="C143" s="72" t="s">
        <v>570</v>
      </c>
      <c r="D143" s="70" t="s">
        <v>10</v>
      </c>
      <c r="E143" s="70" t="s">
        <v>17</v>
      </c>
      <c r="F143" s="72" t="s">
        <v>654</v>
      </c>
      <c r="H143" s="2">
        <v>142</v>
      </c>
    </row>
    <row r="144" spans="1:8">
      <c r="A144" s="72">
        <v>15</v>
      </c>
      <c r="B144" s="70">
        <v>143</v>
      </c>
      <c r="C144" s="72" t="s">
        <v>1149</v>
      </c>
      <c r="D144" s="70" t="s">
        <v>36</v>
      </c>
      <c r="E144" s="70" t="s">
        <v>56</v>
      </c>
      <c r="F144" s="72" t="s">
        <v>657</v>
      </c>
      <c r="H144" s="2">
        <v>143</v>
      </c>
    </row>
    <row r="145" spans="1:8">
      <c r="A145" s="72">
        <v>15</v>
      </c>
      <c r="B145" s="70">
        <v>144</v>
      </c>
      <c r="C145" s="77" t="s">
        <v>775</v>
      </c>
      <c r="D145" s="70" t="s">
        <v>10</v>
      </c>
      <c r="E145" s="70" t="s">
        <v>30</v>
      </c>
      <c r="F145" s="72" t="s">
        <v>652</v>
      </c>
      <c r="H145" s="2">
        <v>144</v>
      </c>
    </row>
    <row r="146" spans="1:8">
      <c r="A146" s="72">
        <v>15</v>
      </c>
      <c r="B146" s="70">
        <v>145</v>
      </c>
      <c r="C146" s="72" t="s">
        <v>894</v>
      </c>
      <c r="D146" s="70" t="s">
        <v>5</v>
      </c>
      <c r="E146" s="70" t="s">
        <v>17</v>
      </c>
      <c r="F146" s="72" t="s">
        <v>654</v>
      </c>
      <c r="H146" s="2">
        <v>145</v>
      </c>
    </row>
    <row r="147" spans="1:8">
      <c r="A147" s="72">
        <v>15</v>
      </c>
      <c r="B147" s="70">
        <v>146</v>
      </c>
      <c r="C147" s="72" t="s">
        <v>531</v>
      </c>
      <c r="D147" s="70" t="s">
        <v>36</v>
      </c>
      <c r="E147" s="70" t="s">
        <v>17</v>
      </c>
      <c r="F147" s="72" t="s">
        <v>758</v>
      </c>
      <c r="H147" s="2">
        <v>146</v>
      </c>
    </row>
    <row r="148" spans="1:8">
      <c r="A148" s="72">
        <v>15</v>
      </c>
      <c r="B148" s="70">
        <v>147</v>
      </c>
      <c r="C148" s="72" t="s">
        <v>835</v>
      </c>
      <c r="D148" s="70" t="s">
        <v>10</v>
      </c>
      <c r="E148" s="70" t="s">
        <v>43</v>
      </c>
      <c r="F148" s="72" t="s">
        <v>661</v>
      </c>
      <c r="H148" s="2">
        <v>147</v>
      </c>
    </row>
    <row r="149" spans="1:8">
      <c r="A149" s="72">
        <v>15</v>
      </c>
      <c r="B149" s="70">
        <v>148</v>
      </c>
      <c r="C149" s="72" t="s">
        <v>1150</v>
      </c>
      <c r="D149" s="70" t="s">
        <v>2</v>
      </c>
      <c r="E149" s="70" t="s">
        <v>73</v>
      </c>
      <c r="F149" s="72" t="s">
        <v>653</v>
      </c>
      <c r="H149" s="2">
        <v>148</v>
      </c>
    </row>
    <row r="150" spans="1:8">
      <c r="A150" s="72">
        <v>15</v>
      </c>
      <c r="B150" s="70">
        <v>149</v>
      </c>
      <c r="C150" s="72" t="s">
        <v>707</v>
      </c>
      <c r="D150" s="70" t="s">
        <v>2</v>
      </c>
      <c r="E150" s="70" t="s">
        <v>135</v>
      </c>
      <c r="F150" s="72" t="s">
        <v>660</v>
      </c>
      <c r="H150" s="2">
        <v>149</v>
      </c>
    </row>
    <row r="151" spans="1:8">
      <c r="A151" s="72">
        <v>15</v>
      </c>
      <c r="B151" s="70">
        <v>150</v>
      </c>
      <c r="C151" s="72" t="s">
        <v>791</v>
      </c>
      <c r="D151" s="70" t="s">
        <v>5</v>
      </c>
      <c r="E151" s="70" t="s">
        <v>63</v>
      </c>
      <c r="F151" s="72" t="s">
        <v>651</v>
      </c>
      <c r="H151" s="2">
        <v>150</v>
      </c>
    </row>
    <row r="152" spans="1:8">
      <c r="A152" s="72">
        <v>16</v>
      </c>
      <c r="B152" s="70">
        <v>151</v>
      </c>
      <c r="C152" s="72" t="s">
        <v>921</v>
      </c>
      <c r="D152" s="70" t="s">
        <v>10</v>
      </c>
      <c r="E152" s="70" t="s">
        <v>17</v>
      </c>
      <c r="F152" s="72" t="s">
        <v>651</v>
      </c>
      <c r="H152" s="2">
        <v>151</v>
      </c>
    </row>
    <row r="153" spans="1:8">
      <c r="A153" s="72">
        <v>16</v>
      </c>
      <c r="B153" s="70">
        <v>152</v>
      </c>
      <c r="C153" s="72" t="s">
        <v>1044</v>
      </c>
      <c r="D153" s="70" t="s">
        <v>10</v>
      </c>
      <c r="E153" s="70" t="s">
        <v>56</v>
      </c>
      <c r="F153" s="72" t="s">
        <v>660</v>
      </c>
      <c r="H153" s="2">
        <v>152</v>
      </c>
    </row>
    <row r="154" spans="1:8">
      <c r="A154" s="72">
        <v>16</v>
      </c>
      <c r="B154" s="70">
        <v>153</v>
      </c>
      <c r="C154" s="72" t="s">
        <v>1151</v>
      </c>
      <c r="D154" s="70" t="s">
        <v>36</v>
      </c>
      <c r="E154" s="70" t="s">
        <v>953</v>
      </c>
      <c r="F154" s="72" t="s">
        <v>653</v>
      </c>
      <c r="H154" s="2">
        <v>153</v>
      </c>
    </row>
    <row r="155" spans="1:8">
      <c r="A155" s="72">
        <v>16</v>
      </c>
      <c r="B155" s="70">
        <v>154</v>
      </c>
      <c r="C155" s="72" t="s">
        <v>1152</v>
      </c>
      <c r="D155" s="70" t="s">
        <v>5</v>
      </c>
      <c r="E155" s="70" t="s">
        <v>60</v>
      </c>
      <c r="F155" s="72" t="s">
        <v>652</v>
      </c>
      <c r="H155" s="2">
        <v>154</v>
      </c>
    </row>
    <row r="156" spans="1:8">
      <c r="A156" s="72">
        <v>16</v>
      </c>
      <c r="B156" s="70">
        <v>155</v>
      </c>
      <c r="C156" s="72" t="s">
        <v>879</v>
      </c>
      <c r="D156" s="70" t="s">
        <v>10</v>
      </c>
      <c r="E156" s="70" t="s">
        <v>107</v>
      </c>
      <c r="F156" s="72" t="s">
        <v>758</v>
      </c>
      <c r="H156" s="2">
        <v>155</v>
      </c>
    </row>
    <row r="157" spans="1:8">
      <c r="A157" s="72">
        <v>16</v>
      </c>
      <c r="B157" s="70">
        <v>156</v>
      </c>
      <c r="C157" s="72" t="s">
        <v>568</v>
      </c>
      <c r="D157" s="70" t="s">
        <v>36</v>
      </c>
      <c r="E157" s="70" t="s">
        <v>41</v>
      </c>
      <c r="F157" s="72" t="s">
        <v>654</v>
      </c>
      <c r="H157" s="2">
        <v>156</v>
      </c>
    </row>
    <row r="158" spans="1:8">
      <c r="A158" s="72">
        <v>16</v>
      </c>
      <c r="B158" s="70">
        <v>157</v>
      </c>
      <c r="C158" s="72" t="s">
        <v>922</v>
      </c>
      <c r="D158" s="70" t="s">
        <v>2</v>
      </c>
      <c r="E158" s="70" t="s">
        <v>56</v>
      </c>
      <c r="F158" s="72" t="s">
        <v>652</v>
      </c>
      <c r="H158" s="2">
        <v>157</v>
      </c>
    </row>
    <row r="159" spans="1:8">
      <c r="A159" s="72">
        <v>16</v>
      </c>
      <c r="B159" s="70">
        <v>158</v>
      </c>
      <c r="C159" s="72" t="s">
        <v>1153</v>
      </c>
      <c r="D159" s="70" t="s">
        <v>10</v>
      </c>
      <c r="E159" s="70" t="s">
        <v>84</v>
      </c>
      <c r="F159" s="72" t="s">
        <v>660</v>
      </c>
      <c r="H159" s="2">
        <v>158</v>
      </c>
    </row>
    <row r="160" spans="1:8">
      <c r="A160" s="72">
        <v>16</v>
      </c>
      <c r="B160" s="70">
        <v>159</v>
      </c>
      <c r="C160" s="72" t="s">
        <v>1078</v>
      </c>
      <c r="D160" s="70" t="s">
        <v>2</v>
      </c>
      <c r="E160" s="70" t="s">
        <v>71</v>
      </c>
      <c r="F160" s="72" t="s">
        <v>654</v>
      </c>
      <c r="H160" s="2">
        <v>159</v>
      </c>
    </row>
    <row r="161" spans="1:8">
      <c r="A161" s="72">
        <v>16</v>
      </c>
      <c r="B161" s="70">
        <v>160</v>
      </c>
      <c r="C161" s="72" t="s">
        <v>1154</v>
      </c>
      <c r="D161" s="70" t="s">
        <v>36</v>
      </c>
      <c r="E161" s="70" t="s">
        <v>137</v>
      </c>
      <c r="F161" s="72" t="s">
        <v>655</v>
      </c>
      <c r="H161" s="2">
        <v>160</v>
      </c>
    </row>
    <row r="162" spans="1:8">
      <c r="A162" s="76"/>
      <c r="B162" s="76"/>
      <c r="C162" s="76"/>
      <c r="D162" s="76"/>
      <c r="E162" s="76"/>
      <c r="F162" s="76"/>
    </row>
    <row r="163" spans="1:8">
      <c r="A163" s="76"/>
      <c r="B163" s="76"/>
      <c r="C163" s="76"/>
      <c r="D163" s="76"/>
      <c r="E163" s="76"/>
      <c r="F163" s="76"/>
    </row>
    <row r="164" spans="1:8">
      <c r="A164" s="76"/>
      <c r="B164" s="76"/>
      <c r="C164" s="76"/>
      <c r="D164" s="76"/>
      <c r="E164" s="76"/>
      <c r="F164" s="76"/>
    </row>
    <row r="165" spans="1:8">
      <c r="A165" s="76"/>
      <c r="B165" s="76"/>
      <c r="C165" s="76"/>
      <c r="D165" s="76"/>
      <c r="E165" s="76"/>
      <c r="F165" s="76"/>
    </row>
  </sheetData>
  <autoFilter ref="A1:F161" xr:uid="{00000000-0009-0000-0000-000002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4BD5-F0F1-4637-9F96-2104CCD8C9BB}">
  <sheetPr>
    <tabColor rgb="FF92D050"/>
    <pageSetUpPr fitToPage="1"/>
  </sheetPr>
  <dimension ref="A1:S5138"/>
  <sheetViews>
    <sheetView zoomScale="80" zoomScaleNormal="80" workbookViewId="0">
      <pane ySplit="2" topLeftCell="A58" activePane="bottomLeft" state="frozen"/>
      <selection pane="bottomLeft" activeCell="G77" sqref="G77"/>
    </sheetView>
  </sheetViews>
  <sheetFormatPr defaultRowHeight="15"/>
  <cols>
    <col min="1" max="1" width="9.140625" style="1"/>
    <col min="2" max="2" width="24.140625" style="2" customWidth="1"/>
    <col min="3" max="3" width="12.42578125" style="2" bestFit="1" customWidth="1"/>
    <col min="4" max="4" width="15.140625" style="2" bestFit="1" customWidth="1"/>
    <col min="5" max="5" width="6" customWidth="1"/>
    <col min="6" max="7" width="11.5703125" bestFit="1" customWidth="1"/>
    <col min="8" max="8" width="11.5703125" customWidth="1"/>
    <col min="9" max="9" width="6.85546875" customWidth="1"/>
    <col min="10" max="10" width="18.5703125" bestFit="1" customWidth="1"/>
    <col min="11" max="11" width="10.85546875" bestFit="1" customWidth="1"/>
    <col min="12" max="12" width="14.85546875" style="2" bestFit="1" customWidth="1"/>
    <col min="14" max="14" width="13.5703125" bestFit="1" customWidth="1"/>
    <col min="18" max="18" width="5.85546875" bestFit="1" customWidth="1"/>
    <col min="19" max="19" width="8.85546875" bestFit="1" customWidth="1"/>
  </cols>
  <sheetData>
    <row r="1" spans="1:19">
      <c r="A1" s="104" t="s">
        <v>404</v>
      </c>
      <c r="B1" s="104"/>
      <c r="C1" s="104"/>
      <c r="D1" s="104"/>
      <c r="F1" s="105"/>
      <c r="G1" s="105"/>
      <c r="H1" s="105"/>
      <c r="I1" s="6"/>
      <c r="J1" s="6"/>
    </row>
    <row r="2" spans="1:19" ht="15.75" thickBot="1">
      <c r="A2" s="9" t="s">
        <v>465</v>
      </c>
      <c r="B2" s="10" t="s">
        <v>375</v>
      </c>
      <c r="C2" s="10" t="s">
        <v>376</v>
      </c>
      <c r="D2" s="10" t="s">
        <v>378</v>
      </c>
      <c r="F2" s="10" t="s">
        <v>850</v>
      </c>
      <c r="G2" s="10" t="s">
        <v>893</v>
      </c>
      <c r="H2" s="10" t="s">
        <v>1076</v>
      </c>
      <c r="I2" s="6"/>
      <c r="J2" s="10" t="s">
        <v>1077</v>
      </c>
      <c r="L2" s="2" t="s">
        <v>1107</v>
      </c>
    </row>
    <row r="3" spans="1:19" ht="15.75" thickBot="1">
      <c r="A3" s="7">
        <f>_xlfn.XLOOKUP(B3,'2024 Draft'!C:C,'2024 Draft'!A:A)</f>
        <v>9</v>
      </c>
      <c r="B3" s="4" t="s">
        <v>894</v>
      </c>
      <c r="C3" s="8" t="s">
        <v>5</v>
      </c>
      <c r="D3" s="16" t="s">
        <v>469</v>
      </c>
      <c r="F3" s="15" t="s">
        <v>401</v>
      </c>
      <c r="G3" s="15" t="s">
        <v>402</v>
      </c>
      <c r="H3" s="15" t="s">
        <v>387</v>
      </c>
      <c r="I3" s="25"/>
      <c r="J3" s="1">
        <f>IF(A3="FA",9,A3-1)</f>
        <v>8</v>
      </c>
      <c r="L3" s="2" t="s">
        <v>1108</v>
      </c>
      <c r="S3" s="69"/>
    </row>
    <row r="4" spans="1:19" ht="15.75" thickBot="1">
      <c r="A4" s="7">
        <f>_xlfn.XLOOKUP(B4,'2024 Draft'!C:C,'2024 Draft'!A:A)</f>
        <v>3</v>
      </c>
      <c r="B4" s="4" t="s">
        <v>835</v>
      </c>
      <c r="C4" s="4" t="s">
        <v>10</v>
      </c>
      <c r="D4" s="16" t="s">
        <v>469</v>
      </c>
      <c r="F4" s="15" t="s">
        <v>400</v>
      </c>
      <c r="G4" s="15" t="s">
        <v>401</v>
      </c>
      <c r="H4" s="15" t="s">
        <v>402</v>
      </c>
      <c r="I4" s="25"/>
      <c r="J4" s="1">
        <f t="shared" ref="J4:J18" si="0">IF(A4="FA",9,A4-1)</f>
        <v>2</v>
      </c>
      <c r="S4" s="69"/>
    </row>
    <row r="5" spans="1:19" ht="15.75" thickBot="1">
      <c r="A5" s="7">
        <f>_xlfn.XLOOKUP(B5,'2024 Draft'!C:C,'2024 Draft'!A:A)</f>
        <v>6</v>
      </c>
      <c r="B5" s="4" t="s">
        <v>775</v>
      </c>
      <c r="C5" s="4" t="s">
        <v>10</v>
      </c>
      <c r="D5" s="16" t="s">
        <v>469</v>
      </c>
      <c r="F5" s="15" t="s">
        <v>400</v>
      </c>
      <c r="G5" s="15" t="s">
        <v>401</v>
      </c>
      <c r="H5" s="15" t="s">
        <v>402</v>
      </c>
      <c r="I5" s="25"/>
      <c r="J5" s="1">
        <f t="shared" si="0"/>
        <v>5</v>
      </c>
      <c r="S5" s="69"/>
    </row>
    <row r="6" spans="1:19" ht="15.75" thickBot="1">
      <c r="A6" s="7" t="s">
        <v>390</v>
      </c>
      <c r="B6" s="4" t="s">
        <v>80</v>
      </c>
      <c r="C6" s="4" t="s">
        <v>2</v>
      </c>
      <c r="D6" s="16" t="s">
        <v>469</v>
      </c>
      <c r="F6" s="15" t="s">
        <v>400</v>
      </c>
      <c r="G6" s="15" t="s">
        <v>401</v>
      </c>
      <c r="H6" s="15" t="s">
        <v>402</v>
      </c>
      <c r="I6" s="25"/>
      <c r="J6" s="1">
        <f t="shared" si="0"/>
        <v>9</v>
      </c>
      <c r="S6" s="69"/>
    </row>
    <row r="7" spans="1:19" ht="15.75" thickBot="1">
      <c r="A7" s="7" t="s">
        <v>390</v>
      </c>
      <c r="B7" s="4" t="s">
        <v>860</v>
      </c>
      <c r="C7" s="4" t="s">
        <v>2</v>
      </c>
      <c r="D7" s="16" t="s">
        <v>469</v>
      </c>
      <c r="F7" s="15" t="s">
        <v>400</v>
      </c>
      <c r="G7" s="15" t="s">
        <v>401</v>
      </c>
      <c r="H7" s="15" t="s">
        <v>402</v>
      </c>
      <c r="I7" s="25"/>
      <c r="J7" s="1">
        <f t="shared" si="0"/>
        <v>9</v>
      </c>
      <c r="S7" s="69"/>
    </row>
    <row r="8" spans="1:19" ht="15.75" thickBot="1">
      <c r="A8" s="7" t="s">
        <v>390</v>
      </c>
      <c r="B8" s="4" t="s">
        <v>178</v>
      </c>
      <c r="C8" s="4" t="s">
        <v>27</v>
      </c>
      <c r="D8" s="16" t="s">
        <v>469</v>
      </c>
      <c r="F8" s="15" t="s">
        <v>400</v>
      </c>
      <c r="G8" s="15" t="s">
        <v>401</v>
      </c>
      <c r="H8" s="15" t="s">
        <v>402</v>
      </c>
      <c r="I8" s="25"/>
      <c r="J8" s="1">
        <f t="shared" si="0"/>
        <v>9</v>
      </c>
      <c r="S8" s="69"/>
    </row>
    <row r="9" spans="1:19" ht="15.75" thickBot="1">
      <c r="A9" s="7">
        <f>_xlfn.XLOOKUP(B9,'2024 Draft'!C:C,'2024 Draft'!A:A)</f>
        <v>10</v>
      </c>
      <c r="B9" s="4" t="s">
        <v>924</v>
      </c>
      <c r="C9" s="8" t="s">
        <v>27</v>
      </c>
      <c r="D9" s="16" t="s">
        <v>469</v>
      </c>
      <c r="F9" s="15" t="s">
        <v>400</v>
      </c>
      <c r="G9" s="15" t="s">
        <v>401</v>
      </c>
      <c r="H9" s="15" t="s">
        <v>402</v>
      </c>
      <c r="I9" s="25"/>
      <c r="J9" s="1">
        <f t="shared" si="0"/>
        <v>9</v>
      </c>
      <c r="L9" s="2" t="s">
        <v>1110</v>
      </c>
      <c r="S9" s="69"/>
    </row>
    <row r="10" spans="1:19" ht="15.75" thickBot="1">
      <c r="A10" s="7" t="s">
        <v>390</v>
      </c>
      <c r="B10" s="4" t="s">
        <v>826</v>
      </c>
      <c r="C10" s="4" t="s">
        <v>2</v>
      </c>
      <c r="D10" s="16" t="s">
        <v>469</v>
      </c>
      <c r="F10" s="15" t="s">
        <v>400</v>
      </c>
      <c r="G10" s="15" t="s">
        <v>401</v>
      </c>
      <c r="H10" s="15" t="s">
        <v>402</v>
      </c>
      <c r="I10" s="25"/>
      <c r="J10" s="1">
        <f t="shared" si="0"/>
        <v>9</v>
      </c>
      <c r="S10" s="69"/>
    </row>
    <row r="11" spans="1:19" ht="15.75" thickBot="1">
      <c r="A11" s="7" t="s">
        <v>390</v>
      </c>
      <c r="B11" s="4" t="s">
        <v>688</v>
      </c>
      <c r="C11" s="4" t="s">
        <v>534</v>
      </c>
      <c r="D11" s="16" t="s">
        <v>469</v>
      </c>
      <c r="F11" s="15" t="s">
        <v>400</v>
      </c>
      <c r="G11" s="15" t="s">
        <v>401</v>
      </c>
      <c r="H11" s="15" t="s">
        <v>402</v>
      </c>
      <c r="I11" s="25"/>
      <c r="J11" s="1">
        <f t="shared" si="0"/>
        <v>9</v>
      </c>
      <c r="S11" s="69"/>
    </row>
    <row r="12" spans="1:19" ht="15.75" thickBot="1">
      <c r="A12" s="7">
        <f>_xlfn.XLOOKUP(B12,'2024 Draft'!C:C,'2024 Draft'!A:A)</f>
        <v>8</v>
      </c>
      <c r="B12" s="4" t="s">
        <v>994</v>
      </c>
      <c r="C12" s="4" t="s">
        <v>10</v>
      </c>
      <c r="D12" s="16" t="s">
        <v>469</v>
      </c>
      <c r="F12" s="15" t="s">
        <v>400</v>
      </c>
      <c r="G12" s="15" t="s">
        <v>401</v>
      </c>
      <c r="H12" s="15" t="s">
        <v>402</v>
      </c>
      <c r="I12" s="25"/>
      <c r="J12" s="1">
        <f t="shared" si="0"/>
        <v>7</v>
      </c>
      <c r="S12" s="69"/>
    </row>
    <row r="13" spans="1:19" ht="15.75" thickBot="1">
      <c r="A13" s="7" t="s">
        <v>390</v>
      </c>
      <c r="B13" s="4" t="s">
        <v>741</v>
      </c>
      <c r="C13" s="4" t="s">
        <v>534</v>
      </c>
      <c r="D13" s="16" t="s">
        <v>469</v>
      </c>
      <c r="F13" s="15" t="s">
        <v>400</v>
      </c>
      <c r="G13" s="15" t="s">
        <v>401</v>
      </c>
      <c r="H13" s="15" t="s">
        <v>402</v>
      </c>
      <c r="I13" s="25"/>
      <c r="J13" s="1">
        <f t="shared" si="0"/>
        <v>9</v>
      </c>
      <c r="S13" s="69"/>
    </row>
    <row r="14" spans="1:19" ht="15.75" thickBot="1">
      <c r="A14" s="7" t="s">
        <v>390</v>
      </c>
      <c r="B14" s="4" t="s">
        <v>833</v>
      </c>
      <c r="C14" s="4" t="s">
        <v>2</v>
      </c>
      <c r="D14" s="16" t="s">
        <v>469</v>
      </c>
      <c r="F14" s="15" t="s">
        <v>400</v>
      </c>
      <c r="G14" s="15" t="s">
        <v>401</v>
      </c>
      <c r="H14" s="15" t="s">
        <v>402</v>
      </c>
      <c r="I14" s="25"/>
      <c r="J14" s="1">
        <f t="shared" si="0"/>
        <v>9</v>
      </c>
      <c r="S14" s="69"/>
    </row>
    <row r="15" spans="1:19" ht="15.75" thickBot="1">
      <c r="A15" s="7" t="s">
        <v>390</v>
      </c>
      <c r="B15" s="4" t="s">
        <v>1078</v>
      </c>
      <c r="C15" s="4" t="s">
        <v>2</v>
      </c>
      <c r="D15" s="16" t="s">
        <v>469</v>
      </c>
      <c r="F15" s="15" t="s">
        <v>400</v>
      </c>
      <c r="G15" s="15" t="s">
        <v>401</v>
      </c>
      <c r="H15" s="15" t="s">
        <v>402</v>
      </c>
      <c r="I15" s="25"/>
      <c r="J15" s="1">
        <f t="shared" si="0"/>
        <v>9</v>
      </c>
      <c r="S15" s="69"/>
    </row>
    <row r="16" spans="1:19" ht="15.75" thickBot="1">
      <c r="A16" s="7" t="s">
        <v>390</v>
      </c>
      <c r="B16" s="4" t="s">
        <v>68</v>
      </c>
      <c r="C16" s="4" t="s">
        <v>5</v>
      </c>
      <c r="D16" s="16" t="s">
        <v>469</v>
      </c>
      <c r="F16" s="15" t="s">
        <v>400</v>
      </c>
      <c r="G16" s="15" t="s">
        <v>401</v>
      </c>
      <c r="H16" s="15" t="s">
        <v>402</v>
      </c>
      <c r="I16" s="25"/>
      <c r="J16" s="1">
        <f t="shared" si="0"/>
        <v>9</v>
      </c>
      <c r="S16" s="69"/>
    </row>
    <row r="17" spans="1:19" ht="15.75" thickBot="1">
      <c r="A17" s="7" t="s">
        <v>390</v>
      </c>
      <c r="B17" s="4" t="s">
        <v>593</v>
      </c>
      <c r="C17" s="4" t="s">
        <v>10</v>
      </c>
      <c r="D17" s="16" t="s">
        <v>469</v>
      </c>
      <c r="F17" s="15" t="s">
        <v>400</v>
      </c>
      <c r="G17" s="15" t="s">
        <v>401</v>
      </c>
      <c r="H17" s="15" t="s">
        <v>402</v>
      </c>
      <c r="I17" s="25"/>
      <c r="J17" s="1">
        <f t="shared" si="0"/>
        <v>9</v>
      </c>
      <c r="S17" s="69"/>
    </row>
    <row r="18" spans="1:19" ht="15.75" thickBot="1">
      <c r="A18" s="7" t="s">
        <v>390</v>
      </c>
      <c r="B18" s="4" t="s">
        <v>193</v>
      </c>
      <c r="C18" s="4" t="s">
        <v>2</v>
      </c>
      <c r="D18" s="16" t="s">
        <v>469</v>
      </c>
      <c r="F18" s="15" t="s">
        <v>400</v>
      </c>
      <c r="G18" s="15" t="s">
        <v>401</v>
      </c>
      <c r="H18" s="15" t="s">
        <v>402</v>
      </c>
      <c r="I18" s="25"/>
      <c r="J18" s="1">
        <f t="shared" si="0"/>
        <v>9</v>
      </c>
      <c r="S18" s="69"/>
    </row>
    <row r="19" spans="1:19" ht="15.75" thickBot="1">
      <c r="A19" s="14"/>
      <c r="B19" s="14"/>
      <c r="C19" s="14"/>
      <c r="D19" s="18"/>
      <c r="E19" s="18"/>
      <c r="F19" s="18"/>
      <c r="G19" s="18"/>
      <c r="H19" s="18"/>
      <c r="I19" s="18"/>
      <c r="J19" s="18"/>
      <c r="S19" s="69"/>
    </row>
    <row r="20" spans="1:19" ht="15.75" thickBot="1">
      <c r="A20" s="7" t="s">
        <v>390</v>
      </c>
      <c r="B20" s="4" t="s">
        <v>172</v>
      </c>
      <c r="C20" s="8" t="s">
        <v>5</v>
      </c>
      <c r="D20" s="17" t="s">
        <v>470</v>
      </c>
      <c r="F20" s="15" t="s">
        <v>400</v>
      </c>
      <c r="G20" s="15" t="s">
        <v>401</v>
      </c>
      <c r="H20" s="15" t="s">
        <v>402</v>
      </c>
      <c r="I20" s="25"/>
      <c r="J20" s="1">
        <f>IF(A20="FA",9,A20-1)</f>
        <v>9</v>
      </c>
      <c r="S20" s="69"/>
    </row>
    <row r="21" spans="1:19" ht="15.75" thickBot="1">
      <c r="A21" s="7">
        <f>_xlfn.XLOOKUP(B21,'2024 Draft'!C:C,'2024 Draft'!A:A)</f>
        <v>4</v>
      </c>
      <c r="B21" s="4" t="s">
        <v>836</v>
      </c>
      <c r="C21" s="4" t="s">
        <v>10</v>
      </c>
      <c r="D21" s="17" t="s">
        <v>470</v>
      </c>
      <c r="F21" s="15" t="s">
        <v>400</v>
      </c>
      <c r="G21" s="15" t="s">
        <v>401</v>
      </c>
      <c r="H21" s="15" t="s">
        <v>402</v>
      </c>
      <c r="I21" s="25"/>
      <c r="J21" s="1">
        <f t="shared" ref="J21:J36" si="1">IF(A21="FA",9,A21-1)</f>
        <v>3</v>
      </c>
      <c r="S21" s="69"/>
    </row>
    <row r="22" spans="1:19" ht="15.75" thickBot="1">
      <c r="A22" s="7" t="s">
        <v>390</v>
      </c>
      <c r="B22" s="4" t="s">
        <v>759</v>
      </c>
      <c r="C22" s="4" t="s">
        <v>10</v>
      </c>
      <c r="D22" s="17" t="s">
        <v>470</v>
      </c>
      <c r="F22" s="15" t="s">
        <v>400</v>
      </c>
      <c r="G22" s="15" t="s">
        <v>401</v>
      </c>
      <c r="H22" s="15" t="s">
        <v>402</v>
      </c>
      <c r="I22" s="25"/>
      <c r="J22" s="1">
        <f t="shared" si="1"/>
        <v>9</v>
      </c>
      <c r="S22" s="69"/>
    </row>
    <row r="23" spans="1:19" ht="15.75" thickBot="1">
      <c r="A23" s="7">
        <f>_xlfn.XLOOKUP(B23,'2024 Draft'!C:C,'2024 Draft'!A:A)</f>
        <v>5</v>
      </c>
      <c r="B23" s="4" t="s">
        <v>115</v>
      </c>
      <c r="C23" s="8" t="s">
        <v>2</v>
      </c>
      <c r="D23" s="16" t="s">
        <v>470</v>
      </c>
      <c r="F23" s="15" t="s">
        <v>401</v>
      </c>
      <c r="G23" s="15" t="s">
        <v>402</v>
      </c>
      <c r="H23" s="15" t="s">
        <v>387</v>
      </c>
      <c r="I23" s="25"/>
      <c r="J23" s="1">
        <f t="shared" si="1"/>
        <v>4</v>
      </c>
      <c r="L23" s="2" t="s">
        <v>1108</v>
      </c>
      <c r="S23" s="69"/>
    </row>
    <row r="24" spans="1:19" ht="15.75" thickBot="1">
      <c r="A24" s="7">
        <f>_xlfn.XLOOKUP(B24,'2024 Draft'!C:C,'2024 Draft'!A:A)</f>
        <v>4</v>
      </c>
      <c r="B24" s="4" t="s">
        <v>504</v>
      </c>
      <c r="C24" s="4" t="s">
        <v>2</v>
      </c>
      <c r="D24" s="17" t="s">
        <v>470</v>
      </c>
      <c r="F24" s="15" t="s">
        <v>400</v>
      </c>
      <c r="G24" s="15" t="s">
        <v>401</v>
      </c>
      <c r="H24" s="15" t="s">
        <v>402</v>
      </c>
      <c r="I24" s="25"/>
      <c r="J24" s="1">
        <f t="shared" si="1"/>
        <v>3</v>
      </c>
      <c r="K24" s="23" t="s">
        <v>1100</v>
      </c>
      <c r="S24" s="69"/>
    </row>
    <row r="25" spans="1:19" ht="15.75" thickBot="1">
      <c r="A25" s="7">
        <f>_xlfn.XLOOKUP(B25,'2024 Draft'!C:C,'2024 Draft'!A:A)</f>
        <v>11</v>
      </c>
      <c r="B25" s="4" t="s">
        <v>866</v>
      </c>
      <c r="C25" s="8" t="s">
        <v>27</v>
      </c>
      <c r="D25" s="16" t="s">
        <v>470</v>
      </c>
      <c r="F25" s="15" t="s">
        <v>401</v>
      </c>
      <c r="G25" s="15" t="s">
        <v>402</v>
      </c>
      <c r="H25" s="15" t="s">
        <v>387</v>
      </c>
      <c r="I25" s="25"/>
      <c r="J25" s="1">
        <f t="shared" si="1"/>
        <v>10</v>
      </c>
      <c r="L25" s="2" t="s">
        <v>1108</v>
      </c>
      <c r="S25" s="69"/>
    </row>
    <row r="26" spans="1:19" ht="15.75" thickBot="1">
      <c r="A26" s="7">
        <f>_xlfn.XLOOKUP(B26,'2024 Draft'!C:C,'2024 Draft'!A:A)</f>
        <v>7</v>
      </c>
      <c r="B26" s="4" t="s">
        <v>919</v>
      </c>
      <c r="C26" s="4" t="s">
        <v>2</v>
      </c>
      <c r="D26" s="17" t="s">
        <v>470</v>
      </c>
      <c r="F26" s="15" t="s">
        <v>400</v>
      </c>
      <c r="G26" s="15" t="s">
        <v>401</v>
      </c>
      <c r="H26" s="15" t="s">
        <v>402</v>
      </c>
      <c r="I26" s="25"/>
      <c r="J26" s="1">
        <f t="shared" si="1"/>
        <v>6</v>
      </c>
      <c r="S26" s="69"/>
    </row>
    <row r="27" spans="1:19" ht="15.75" thickBot="1">
      <c r="A27" s="7" t="s">
        <v>390</v>
      </c>
      <c r="B27" s="4" t="s">
        <v>122</v>
      </c>
      <c r="C27" s="4" t="s">
        <v>10</v>
      </c>
      <c r="D27" s="17" t="s">
        <v>470</v>
      </c>
      <c r="F27" s="15" t="s">
        <v>400</v>
      </c>
      <c r="G27" s="15" t="s">
        <v>401</v>
      </c>
      <c r="H27" s="15" t="s">
        <v>402</v>
      </c>
      <c r="I27" s="25"/>
      <c r="J27" s="1">
        <f t="shared" si="1"/>
        <v>9</v>
      </c>
      <c r="K27" s="23"/>
      <c r="S27" s="69"/>
    </row>
    <row r="28" spans="1:19" ht="15.75" thickBot="1">
      <c r="A28" s="7" t="s">
        <v>390</v>
      </c>
      <c r="B28" s="4" t="s">
        <v>752</v>
      </c>
      <c r="C28" s="4" t="s">
        <v>534</v>
      </c>
      <c r="D28" s="17" t="s">
        <v>470</v>
      </c>
      <c r="F28" s="15" t="s">
        <v>400</v>
      </c>
      <c r="G28" s="15" t="s">
        <v>401</v>
      </c>
      <c r="H28" s="15" t="s">
        <v>402</v>
      </c>
      <c r="I28" s="25"/>
      <c r="J28" s="1">
        <f t="shared" si="1"/>
        <v>9</v>
      </c>
      <c r="S28" s="69"/>
    </row>
    <row r="29" spans="1:19" ht="15.75" thickBot="1">
      <c r="A29" s="7" t="s">
        <v>390</v>
      </c>
      <c r="B29" s="4" t="s">
        <v>702</v>
      </c>
      <c r="C29" s="4" t="s">
        <v>2</v>
      </c>
      <c r="D29" s="17" t="s">
        <v>470</v>
      </c>
      <c r="F29" s="15" t="s">
        <v>400</v>
      </c>
      <c r="G29" s="15" t="s">
        <v>401</v>
      </c>
      <c r="H29" s="15" t="s">
        <v>402</v>
      </c>
      <c r="I29" s="25"/>
      <c r="J29" s="1">
        <f t="shared" si="1"/>
        <v>9</v>
      </c>
      <c r="S29" s="69"/>
    </row>
    <row r="30" spans="1:19" ht="15.75" thickBot="1">
      <c r="A30" s="7" t="s">
        <v>390</v>
      </c>
      <c r="B30" s="4" t="s">
        <v>1086</v>
      </c>
      <c r="C30" s="4" t="s">
        <v>10</v>
      </c>
      <c r="D30" s="17" t="s">
        <v>470</v>
      </c>
      <c r="F30" s="15" t="s">
        <v>400</v>
      </c>
      <c r="G30" s="15" t="s">
        <v>401</v>
      </c>
      <c r="H30" s="15" t="s">
        <v>402</v>
      </c>
      <c r="I30" s="25"/>
      <c r="J30" s="1">
        <f t="shared" si="1"/>
        <v>9</v>
      </c>
      <c r="S30" s="69"/>
    </row>
    <row r="31" spans="1:19" ht="15.75" thickBot="1">
      <c r="A31" s="7" t="s">
        <v>390</v>
      </c>
      <c r="B31" s="4" t="s">
        <v>1087</v>
      </c>
      <c r="C31" s="4" t="s">
        <v>2</v>
      </c>
      <c r="D31" s="17" t="s">
        <v>470</v>
      </c>
      <c r="F31" s="15" t="s">
        <v>400</v>
      </c>
      <c r="G31" s="15" t="s">
        <v>401</v>
      </c>
      <c r="H31" s="15" t="s">
        <v>402</v>
      </c>
      <c r="I31" s="25"/>
      <c r="J31" s="1">
        <f t="shared" si="1"/>
        <v>9</v>
      </c>
      <c r="S31" s="69"/>
    </row>
    <row r="32" spans="1:19" ht="15.75" thickBot="1">
      <c r="A32" s="7" t="s">
        <v>390</v>
      </c>
      <c r="B32" s="4" t="s">
        <v>743</v>
      </c>
      <c r="C32" s="4" t="s">
        <v>5</v>
      </c>
      <c r="D32" s="17" t="s">
        <v>470</v>
      </c>
      <c r="F32" s="15" t="s">
        <v>400</v>
      </c>
      <c r="G32" s="15" t="s">
        <v>401</v>
      </c>
      <c r="H32" s="15" t="s">
        <v>402</v>
      </c>
      <c r="I32" s="25"/>
      <c r="J32" s="1">
        <f t="shared" si="1"/>
        <v>9</v>
      </c>
      <c r="S32" s="69"/>
    </row>
    <row r="33" spans="1:19" ht="15.75" thickBot="1">
      <c r="A33" s="7" t="s">
        <v>390</v>
      </c>
      <c r="B33" s="4" t="s">
        <v>813</v>
      </c>
      <c r="C33" s="4" t="s">
        <v>27</v>
      </c>
      <c r="D33" s="17" t="s">
        <v>470</v>
      </c>
      <c r="F33" s="15" t="s">
        <v>400</v>
      </c>
      <c r="G33" s="15" t="s">
        <v>401</v>
      </c>
      <c r="H33" s="15" t="s">
        <v>402</v>
      </c>
      <c r="I33" s="25"/>
      <c r="J33" s="1">
        <f t="shared" si="1"/>
        <v>9</v>
      </c>
      <c r="S33" s="69"/>
    </row>
    <row r="34" spans="1:19" ht="15.75" thickBot="1">
      <c r="A34" s="7" t="s">
        <v>390</v>
      </c>
      <c r="B34" s="4" t="s">
        <v>1088</v>
      </c>
      <c r="C34" s="4" t="s">
        <v>27</v>
      </c>
      <c r="D34" s="17" t="s">
        <v>470</v>
      </c>
      <c r="F34" s="15" t="s">
        <v>400</v>
      </c>
      <c r="G34" s="15" t="s">
        <v>401</v>
      </c>
      <c r="H34" s="15" t="s">
        <v>402</v>
      </c>
      <c r="I34" s="25"/>
      <c r="J34" s="1">
        <f t="shared" si="1"/>
        <v>9</v>
      </c>
      <c r="S34" s="69"/>
    </row>
    <row r="35" spans="1:19" ht="15.75" thickBot="1">
      <c r="A35" s="7" t="s">
        <v>390</v>
      </c>
      <c r="B35" s="4" t="s">
        <v>532</v>
      </c>
      <c r="C35" s="4" t="s">
        <v>10</v>
      </c>
      <c r="D35" s="17" t="s">
        <v>470</v>
      </c>
      <c r="F35" s="15" t="s">
        <v>400</v>
      </c>
      <c r="G35" s="15" t="s">
        <v>401</v>
      </c>
      <c r="H35" s="15" t="s">
        <v>402</v>
      </c>
      <c r="I35" s="25"/>
      <c r="J35" s="1">
        <f t="shared" si="1"/>
        <v>9</v>
      </c>
      <c r="S35" s="69"/>
    </row>
    <row r="36" spans="1:19" ht="15.75" thickBot="1">
      <c r="A36" s="7">
        <f>_xlfn.XLOOKUP(B36,'2024 Draft'!C:C,'2024 Draft'!A:A)</f>
        <v>6</v>
      </c>
      <c r="B36" s="4" t="s">
        <v>580</v>
      </c>
      <c r="C36" s="4" t="s">
        <v>10</v>
      </c>
      <c r="D36" s="17" t="s">
        <v>470</v>
      </c>
      <c r="F36" s="15" t="s">
        <v>400</v>
      </c>
      <c r="G36" s="15" t="s">
        <v>401</v>
      </c>
      <c r="H36" s="15" t="s">
        <v>402</v>
      </c>
      <c r="I36" s="25"/>
      <c r="J36" s="1">
        <f t="shared" si="1"/>
        <v>5</v>
      </c>
      <c r="S36" s="69"/>
    </row>
    <row r="37" spans="1:19" ht="15.75" thickBot="1">
      <c r="A37" s="14"/>
      <c r="B37" s="14"/>
      <c r="C37" s="14"/>
      <c r="D37" s="18"/>
      <c r="E37" s="18"/>
      <c r="F37" s="18"/>
      <c r="G37" s="18"/>
      <c r="H37" s="18"/>
      <c r="I37" s="18"/>
      <c r="J37" s="18"/>
      <c r="S37" s="69"/>
    </row>
    <row r="38" spans="1:19" ht="15.75" thickBot="1">
      <c r="A38" s="7">
        <f>_xlfn.XLOOKUP(B38,'2024 Draft'!C:C,'2024 Draft'!A:A)</f>
        <v>4</v>
      </c>
      <c r="B38" s="4" t="s">
        <v>634</v>
      </c>
      <c r="C38" s="8" t="s">
        <v>5</v>
      </c>
      <c r="D38" s="19" t="s">
        <v>385</v>
      </c>
      <c r="F38" s="15" t="s">
        <v>400</v>
      </c>
      <c r="G38" s="15" t="s">
        <v>401</v>
      </c>
      <c r="H38" s="15" t="s">
        <v>402</v>
      </c>
      <c r="I38" s="25"/>
      <c r="J38" s="1">
        <f>IF(A38="FA",9,A38-1)</f>
        <v>3</v>
      </c>
      <c r="S38" s="69"/>
    </row>
    <row r="39" spans="1:19" ht="15.75" thickBot="1">
      <c r="A39" s="7">
        <f>_xlfn.XLOOKUP(B39,'2024 Draft'!C:C,'2024 Draft'!A:A)</f>
        <v>1</v>
      </c>
      <c r="B39" s="4" t="s">
        <v>853</v>
      </c>
      <c r="C39" s="4" t="s">
        <v>10</v>
      </c>
      <c r="D39" s="19" t="s">
        <v>385</v>
      </c>
      <c r="F39" s="15" t="s">
        <v>400</v>
      </c>
      <c r="G39" s="15" t="s">
        <v>401</v>
      </c>
      <c r="H39" s="15" t="s">
        <v>402</v>
      </c>
      <c r="I39" s="25"/>
      <c r="J39" s="1">
        <f t="shared" ref="J39:J54" si="2">IF(A39="FA",9,A39-1)</f>
        <v>0</v>
      </c>
      <c r="S39" s="69"/>
    </row>
    <row r="40" spans="1:19" ht="15.75" thickBot="1">
      <c r="A40" s="7">
        <f>_xlfn.XLOOKUP(B40,'2024 Draft'!C:C,'2024 Draft'!A:A)</f>
        <v>11</v>
      </c>
      <c r="B40" s="4" t="s">
        <v>900</v>
      </c>
      <c r="C40" s="4" t="s">
        <v>10</v>
      </c>
      <c r="D40" s="19" t="s">
        <v>385</v>
      </c>
      <c r="F40" s="15" t="s">
        <v>400</v>
      </c>
      <c r="G40" s="15" t="s">
        <v>401</v>
      </c>
      <c r="H40" s="15" t="s">
        <v>402</v>
      </c>
      <c r="I40" s="25"/>
      <c r="J40" s="1">
        <f t="shared" si="2"/>
        <v>10</v>
      </c>
      <c r="S40" s="69"/>
    </row>
    <row r="41" spans="1:19" ht="15.75" thickBot="1">
      <c r="A41" s="7">
        <f>_xlfn.XLOOKUP(B41,'2024 Draft'!C:C,'2024 Draft'!A:A)</f>
        <v>2</v>
      </c>
      <c r="B41" s="4" t="s">
        <v>125</v>
      </c>
      <c r="C41" s="4" t="s">
        <v>2</v>
      </c>
      <c r="D41" s="17" t="s">
        <v>385</v>
      </c>
      <c r="F41" s="15" t="s">
        <v>400</v>
      </c>
      <c r="G41" s="15" t="s">
        <v>401</v>
      </c>
      <c r="H41" s="15" t="s">
        <v>402</v>
      </c>
      <c r="I41" s="25"/>
      <c r="J41" s="1">
        <f t="shared" si="2"/>
        <v>1</v>
      </c>
      <c r="S41" s="69"/>
    </row>
    <row r="42" spans="1:19" ht="15.75" thickBot="1">
      <c r="A42" s="7">
        <f>_xlfn.XLOOKUP(B42,'2024 Draft'!C:C,'2024 Draft'!A:A)</f>
        <v>13</v>
      </c>
      <c r="B42" s="4" t="s">
        <v>881</v>
      </c>
      <c r="C42" s="8" t="s">
        <v>2</v>
      </c>
      <c r="D42" s="16" t="s">
        <v>385</v>
      </c>
      <c r="F42" s="15" t="s">
        <v>401</v>
      </c>
      <c r="G42" s="15" t="s">
        <v>402</v>
      </c>
      <c r="H42" s="15" t="s">
        <v>387</v>
      </c>
      <c r="I42" s="25"/>
      <c r="J42" s="1">
        <f t="shared" si="2"/>
        <v>12</v>
      </c>
      <c r="L42" s="2" t="s">
        <v>1108</v>
      </c>
      <c r="S42" s="69"/>
    </row>
    <row r="43" spans="1:19" ht="15.75" thickBot="1">
      <c r="A43" s="7">
        <f>_xlfn.XLOOKUP(B43,'2024 Draft'!C:C,'2024 Draft'!A:A)</f>
        <v>3</v>
      </c>
      <c r="B43" s="4" t="s">
        <v>44</v>
      </c>
      <c r="C43" s="4" t="s">
        <v>27</v>
      </c>
      <c r="D43" s="19" t="s">
        <v>385</v>
      </c>
      <c r="F43" s="15" t="s">
        <v>400</v>
      </c>
      <c r="G43" s="15" t="s">
        <v>401</v>
      </c>
      <c r="H43" s="15" t="s">
        <v>402</v>
      </c>
      <c r="I43" s="25"/>
      <c r="J43" s="1">
        <f t="shared" si="2"/>
        <v>2</v>
      </c>
      <c r="K43" t="s">
        <v>1100</v>
      </c>
      <c r="S43" s="69"/>
    </row>
    <row r="44" spans="1:19" ht="15.75" thickBot="1">
      <c r="A44" s="7">
        <f>_xlfn.XLOOKUP(B44,'2024 Draft'!C:C,'2024 Draft'!A:A)</f>
        <v>5</v>
      </c>
      <c r="B44" s="4" t="s">
        <v>616</v>
      </c>
      <c r="C44" s="4" t="s">
        <v>2</v>
      </c>
      <c r="D44" s="19" t="s">
        <v>385</v>
      </c>
      <c r="F44" s="15" t="s">
        <v>400</v>
      </c>
      <c r="G44" s="15" t="s">
        <v>401</v>
      </c>
      <c r="H44" s="15" t="s">
        <v>402</v>
      </c>
      <c r="I44" s="25"/>
      <c r="J44" s="1">
        <f t="shared" si="2"/>
        <v>4</v>
      </c>
      <c r="S44" s="69"/>
    </row>
    <row r="45" spans="1:19" ht="15.75" thickBot="1">
      <c r="A45" s="7" t="s">
        <v>390</v>
      </c>
      <c r="B45" s="4" t="s">
        <v>856</v>
      </c>
      <c r="C45" s="4" t="s">
        <v>2</v>
      </c>
      <c r="D45" s="19" t="s">
        <v>385</v>
      </c>
      <c r="F45" s="15" t="s">
        <v>400</v>
      </c>
      <c r="G45" s="15" t="s">
        <v>401</v>
      </c>
      <c r="H45" s="15" t="s">
        <v>402</v>
      </c>
      <c r="I45" s="25"/>
      <c r="J45" s="1">
        <f t="shared" si="2"/>
        <v>9</v>
      </c>
      <c r="S45" s="69"/>
    </row>
    <row r="46" spans="1:19" ht="15.75" thickBot="1">
      <c r="A46" s="7" t="s">
        <v>390</v>
      </c>
      <c r="B46" s="4" t="s">
        <v>749</v>
      </c>
      <c r="C46" s="4" t="s">
        <v>534</v>
      </c>
      <c r="D46" s="19" t="s">
        <v>385</v>
      </c>
      <c r="F46" s="15" t="s">
        <v>400</v>
      </c>
      <c r="G46" s="15" t="s">
        <v>401</v>
      </c>
      <c r="H46" s="15" t="s">
        <v>402</v>
      </c>
      <c r="I46" s="25"/>
      <c r="J46" s="1">
        <f t="shared" si="2"/>
        <v>9</v>
      </c>
      <c r="S46" s="69"/>
    </row>
    <row r="47" spans="1:19" ht="15.75" thickBot="1">
      <c r="A47" s="7">
        <f>_xlfn.XLOOKUP(B47,'2024 Draft'!C:C,'2024 Draft'!A:A)</f>
        <v>3</v>
      </c>
      <c r="B47" s="4" t="s">
        <v>454</v>
      </c>
      <c r="C47" s="4" t="s">
        <v>10</v>
      </c>
      <c r="D47" s="19" t="s">
        <v>385</v>
      </c>
      <c r="F47" s="15" t="s">
        <v>400</v>
      </c>
      <c r="G47" s="15" t="s">
        <v>401</v>
      </c>
      <c r="H47" s="15" t="s">
        <v>402</v>
      </c>
      <c r="I47" s="25"/>
      <c r="J47" s="1">
        <f t="shared" si="2"/>
        <v>2</v>
      </c>
      <c r="S47" s="69"/>
    </row>
    <row r="48" spans="1:19" ht="15.75" thickBot="1">
      <c r="A48" s="7">
        <f>_xlfn.XLOOKUP(B48,'2024 Draft'!C:C,'2024 Draft'!A:A)</f>
        <v>9</v>
      </c>
      <c r="B48" s="4" t="s">
        <v>886</v>
      </c>
      <c r="C48" s="8" t="s">
        <v>2</v>
      </c>
      <c r="D48" s="16" t="s">
        <v>385</v>
      </c>
      <c r="F48" s="15" t="s">
        <v>401</v>
      </c>
      <c r="G48" s="15" t="s">
        <v>402</v>
      </c>
      <c r="H48" s="15" t="s">
        <v>387</v>
      </c>
      <c r="I48" s="25"/>
      <c r="J48" s="1">
        <f t="shared" si="2"/>
        <v>8</v>
      </c>
      <c r="L48" s="2" t="s">
        <v>1108</v>
      </c>
      <c r="S48" s="69"/>
    </row>
    <row r="49" spans="1:19" ht="15.75" thickBot="1">
      <c r="A49" s="7">
        <f>_xlfn.XLOOKUP(B49,'2024 Draft'!C:C,'2024 Draft'!A:A)</f>
        <v>10</v>
      </c>
      <c r="B49" s="4" t="s">
        <v>1004</v>
      </c>
      <c r="C49" s="4" t="s">
        <v>2</v>
      </c>
      <c r="D49" s="19" t="s">
        <v>385</v>
      </c>
      <c r="F49" s="15" t="s">
        <v>400</v>
      </c>
      <c r="G49" s="15" t="s">
        <v>401</v>
      </c>
      <c r="H49" s="15" t="s">
        <v>402</v>
      </c>
      <c r="I49" s="25"/>
      <c r="J49" s="1">
        <f t="shared" si="2"/>
        <v>9</v>
      </c>
      <c r="K49" s="23"/>
      <c r="S49" s="69"/>
    </row>
    <row r="50" spans="1:19" ht="15.75" thickBot="1">
      <c r="A50" s="7">
        <f>_xlfn.XLOOKUP(B50,'2024 Draft'!C:C,'2024 Draft'!A:A)</f>
        <v>14</v>
      </c>
      <c r="B50" s="4" t="s">
        <v>1044</v>
      </c>
      <c r="C50" s="4" t="s">
        <v>10</v>
      </c>
      <c r="D50" s="19" t="s">
        <v>385</v>
      </c>
      <c r="F50" s="15" t="s">
        <v>400</v>
      </c>
      <c r="G50" s="15" t="s">
        <v>401</v>
      </c>
      <c r="H50" s="15" t="s">
        <v>402</v>
      </c>
      <c r="I50" s="25"/>
      <c r="J50" s="1">
        <f t="shared" si="2"/>
        <v>13</v>
      </c>
      <c r="S50" s="69"/>
    </row>
    <row r="51" spans="1:19" ht="15.75" thickBot="1">
      <c r="A51" s="7" t="s">
        <v>390</v>
      </c>
      <c r="B51" s="4" t="s">
        <v>1096</v>
      </c>
      <c r="C51" s="4" t="s">
        <v>2</v>
      </c>
      <c r="D51" s="19" t="s">
        <v>385</v>
      </c>
      <c r="F51" s="15" t="s">
        <v>400</v>
      </c>
      <c r="G51" s="15" t="s">
        <v>401</v>
      </c>
      <c r="H51" s="15" t="s">
        <v>402</v>
      </c>
      <c r="I51" s="25"/>
      <c r="J51" s="1">
        <f t="shared" si="2"/>
        <v>9</v>
      </c>
      <c r="S51" s="69"/>
    </row>
    <row r="52" spans="1:19" ht="15.75" thickBot="1">
      <c r="A52" s="7" t="s">
        <v>390</v>
      </c>
      <c r="B52" s="4" t="s">
        <v>1097</v>
      </c>
      <c r="C52" s="4" t="s">
        <v>27</v>
      </c>
      <c r="D52" s="19" t="s">
        <v>385</v>
      </c>
      <c r="F52" s="15" t="s">
        <v>400</v>
      </c>
      <c r="G52" s="15" t="s">
        <v>401</v>
      </c>
      <c r="H52" s="15" t="s">
        <v>402</v>
      </c>
      <c r="I52" s="25"/>
      <c r="J52" s="1">
        <f t="shared" si="2"/>
        <v>9</v>
      </c>
      <c r="S52" s="69"/>
    </row>
    <row r="53" spans="1:19" ht="15.75" thickBot="1">
      <c r="A53" s="7" t="s">
        <v>390</v>
      </c>
      <c r="B53" s="4" t="s">
        <v>785</v>
      </c>
      <c r="C53" s="4" t="s">
        <v>5</v>
      </c>
      <c r="D53" s="19" t="s">
        <v>385</v>
      </c>
      <c r="F53" s="15" t="s">
        <v>400</v>
      </c>
      <c r="G53" s="15" t="s">
        <v>401</v>
      </c>
      <c r="H53" s="15" t="s">
        <v>402</v>
      </c>
      <c r="I53" s="25"/>
      <c r="J53" s="1">
        <f t="shared" si="2"/>
        <v>9</v>
      </c>
      <c r="S53" s="69"/>
    </row>
    <row r="54" spans="1:19" ht="15.75" thickBot="1">
      <c r="A54" s="7">
        <f>_xlfn.XLOOKUP(B54,'2024 Draft'!C:C,'2024 Draft'!A:A)</f>
        <v>6</v>
      </c>
      <c r="B54" s="4" t="s">
        <v>569</v>
      </c>
      <c r="C54" s="4" t="s">
        <v>2</v>
      </c>
      <c r="D54" s="19" t="s">
        <v>385</v>
      </c>
      <c r="F54" s="15" t="s">
        <v>400</v>
      </c>
      <c r="G54" s="15" t="s">
        <v>401</v>
      </c>
      <c r="H54" s="15" t="s">
        <v>402</v>
      </c>
      <c r="I54" s="25"/>
      <c r="J54" s="1">
        <f t="shared" si="2"/>
        <v>5</v>
      </c>
      <c r="S54" s="69"/>
    </row>
    <row r="55" spans="1:19" ht="15.75" thickBot="1">
      <c r="A55" s="14"/>
      <c r="B55" s="14"/>
      <c r="C55" s="14"/>
      <c r="D55" s="18"/>
      <c r="E55" s="18"/>
      <c r="F55" s="18"/>
      <c r="G55" s="18"/>
      <c r="H55" s="18"/>
      <c r="I55" s="18"/>
      <c r="J55" s="18"/>
      <c r="S55" s="69"/>
    </row>
    <row r="56" spans="1:19" ht="15.75" thickBot="1">
      <c r="A56" s="7" t="s">
        <v>390</v>
      </c>
      <c r="B56" s="4" t="s">
        <v>551</v>
      </c>
      <c r="C56" s="8" t="s">
        <v>5</v>
      </c>
      <c r="D56" s="17" t="s">
        <v>0</v>
      </c>
      <c r="F56" s="15" t="s">
        <v>400</v>
      </c>
      <c r="G56" s="15" t="s">
        <v>401</v>
      </c>
      <c r="H56" s="15" t="s">
        <v>402</v>
      </c>
      <c r="I56" s="25"/>
      <c r="J56" s="1">
        <f>IF(A56="FA",9,A56-1)</f>
        <v>9</v>
      </c>
      <c r="S56" s="69"/>
    </row>
    <row r="57" spans="1:19" ht="15.75" thickBot="1">
      <c r="A57" s="7">
        <f>_xlfn.XLOOKUP(B57,'2024 Draft'!C:C,'2024 Draft'!A:A)</f>
        <v>2</v>
      </c>
      <c r="B57" s="4" t="s">
        <v>66</v>
      </c>
      <c r="C57" s="4" t="s">
        <v>10</v>
      </c>
      <c r="D57" s="17" t="s">
        <v>0</v>
      </c>
      <c r="F57" s="15" t="s">
        <v>400</v>
      </c>
      <c r="G57" s="15" t="s">
        <v>401</v>
      </c>
      <c r="H57" s="15" t="s">
        <v>402</v>
      </c>
      <c r="I57" s="25"/>
      <c r="J57" s="1">
        <f t="shared" ref="J57:J72" si="3">IF(A57="FA",9,A57-1)</f>
        <v>1</v>
      </c>
      <c r="S57" s="69"/>
    </row>
    <row r="58" spans="1:19" ht="15.75" thickBot="1">
      <c r="A58" s="7" t="s">
        <v>390</v>
      </c>
      <c r="B58" s="4" t="s">
        <v>861</v>
      </c>
      <c r="C58" s="4" t="s">
        <v>10</v>
      </c>
      <c r="D58" s="17" t="s">
        <v>0</v>
      </c>
      <c r="F58" s="15" t="s">
        <v>400</v>
      </c>
      <c r="G58" s="15" t="s">
        <v>401</v>
      </c>
      <c r="H58" s="15" t="s">
        <v>402</v>
      </c>
      <c r="I58" s="25"/>
      <c r="J58" s="1">
        <f t="shared" si="3"/>
        <v>9</v>
      </c>
      <c r="S58" s="69"/>
    </row>
    <row r="59" spans="1:19" ht="15.75" thickBot="1">
      <c r="A59" s="7">
        <f>_xlfn.XLOOKUP(B59,'2024 Draft'!C:C,'2024 Draft'!A:A)</f>
        <v>5</v>
      </c>
      <c r="B59" s="4" t="s">
        <v>715</v>
      </c>
      <c r="C59" s="4" t="s">
        <v>2</v>
      </c>
      <c r="D59" s="17" t="s">
        <v>0</v>
      </c>
      <c r="F59" s="15" t="s">
        <v>400</v>
      </c>
      <c r="G59" s="15" t="s">
        <v>401</v>
      </c>
      <c r="H59" s="15" t="s">
        <v>402</v>
      </c>
      <c r="I59" s="25"/>
      <c r="J59" s="1">
        <f t="shared" si="3"/>
        <v>4</v>
      </c>
      <c r="S59" s="69"/>
    </row>
    <row r="60" spans="1:19" ht="15.75" thickBot="1">
      <c r="A60" s="7">
        <f>_xlfn.XLOOKUP(B60,'2024 Draft'!C:C,'2024 Draft'!A:A)</f>
        <v>1</v>
      </c>
      <c r="B60" s="4" t="s">
        <v>611</v>
      </c>
      <c r="C60" s="4" t="s">
        <v>2</v>
      </c>
      <c r="D60" s="17" t="s">
        <v>0</v>
      </c>
      <c r="F60" s="15" t="s">
        <v>400</v>
      </c>
      <c r="G60" s="15" t="s">
        <v>401</v>
      </c>
      <c r="H60" s="15" t="s">
        <v>402</v>
      </c>
      <c r="I60" s="25"/>
      <c r="J60" s="1">
        <f t="shared" si="3"/>
        <v>0</v>
      </c>
      <c r="K60" t="s">
        <v>1100</v>
      </c>
      <c r="S60" s="69"/>
    </row>
    <row r="61" spans="1:19" ht="15.75" thickBot="1">
      <c r="A61" s="7">
        <f>_xlfn.XLOOKUP(B61,'2024 Draft'!C:C,'2024 Draft'!A:A)</f>
        <v>7</v>
      </c>
      <c r="B61" s="4" t="s">
        <v>520</v>
      </c>
      <c r="C61" s="4" t="s">
        <v>27</v>
      </c>
      <c r="D61" s="17" t="s">
        <v>0</v>
      </c>
      <c r="F61" s="15" t="s">
        <v>400</v>
      </c>
      <c r="G61" s="15" t="s">
        <v>401</v>
      </c>
      <c r="H61" s="15" t="s">
        <v>402</v>
      </c>
      <c r="I61" s="25"/>
      <c r="J61" s="1">
        <f t="shared" si="3"/>
        <v>6</v>
      </c>
      <c r="S61" s="69"/>
    </row>
    <row r="62" spans="1:19" ht="15.75" thickBot="1">
      <c r="A62" s="7">
        <f>_xlfn.XLOOKUP(B62,'2024 Draft'!C:C,'2024 Draft'!A:A)</f>
        <v>4</v>
      </c>
      <c r="B62" s="4" t="s">
        <v>694</v>
      </c>
      <c r="C62" s="8" t="s">
        <v>10</v>
      </c>
      <c r="D62" s="16" t="s">
        <v>0</v>
      </c>
      <c r="F62" s="15" t="s">
        <v>401</v>
      </c>
      <c r="G62" s="15" t="s">
        <v>402</v>
      </c>
      <c r="H62" s="15" t="s">
        <v>387</v>
      </c>
      <c r="I62" s="25"/>
      <c r="J62" s="1">
        <f t="shared" si="3"/>
        <v>3</v>
      </c>
      <c r="L62" s="2" t="s">
        <v>1108</v>
      </c>
      <c r="S62" s="69"/>
    </row>
    <row r="63" spans="1:19" ht="15.75" thickBot="1">
      <c r="A63" s="7">
        <f>_xlfn.XLOOKUP(B63,'2024 Draft'!C:C,'2024 Draft'!A:A)</f>
        <v>6</v>
      </c>
      <c r="B63" s="4" t="s">
        <v>839</v>
      </c>
      <c r="C63" s="4" t="s">
        <v>2</v>
      </c>
      <c r="D63" s="17" t="s">
        <v>0</v>
      </c>
      <c r="F63" s="15" t="s">
        <v>400</v>
      </c>
      <c r="G63" s="15" t="s">
        <v>401</v>
      </c>
      <c r="H63" s="15" t="s">
        <v>402</v>
      </c>
      <c r="I63" s="25"/>
      <c r="J63" s="1">
        <f t="shared" si="3"/>
        <v>5</v>
      </c>
      <c r="K63" t="s">
        <v>1100</v>
      </c>
      <c r="L63" s="2" t="s">
        <v>1108</v>
      </c>
      <c r="S63" s="69"/>
    </row>
    <row r="64" spans="1:19" ht="15.75" thickBot="1">
      <c r="A64" s="7" t="s">
        <v>390</v>
      </c>
      <c r="B64" s="4" t="s">
        <v>430</v>
      </c>
      <c r="C64" s="4" t="s">
        <v>534</v>
      </c>
      <c r="D64" s="17" t="s">
        <v>0</v>
      </c>
      <c r="F64" s="15" t="s">
        <v>400</v>
      </c>
      <c r="G64" s="15" t="s">
        <v>401</v>
      </c>
      <c r="H64" s="15" t="s">
        <v>402</v>
      </c>
      <c r="I64" s="25"/>
      <c r="J64" s="1">
        <f t="shared" si="3"/>
        <v>9</v>
      </c>
      <c r="S64" s="69"/>
    </row>
    <row r="65" spans="1:19" ht="15.75" thickBot="1">
      <c r="A65" s="7">
        <f>_xlfn.XLOOKUP(B65,'2024 Draft'!C:C,'2024 Draft'!A:A)</f>
        <v>1</v>
      </c>
      <c r="B65" s="4" t="s">
        <v>827</v>
      </c>
      <c r="C65" s="4" t="s">
        <v>10</v>
      </c>
      <c r="D65" s="17" t="s">
        <v>0</v>
      </c>
      <c r="F65" s="15" t="s">
        <v>400</v>
      </c>
      <c r="G65" s="15" t="s">
        <v>401</v>
      </c>
      <c r="H65" s="15" t="s">
        <v>402</v>
      </c>
      <c r="I65" s="25"/>
      <c r="J65" s="1">
        <f t="shared" si="3"/>
        <v>0</v>
      </c>
      <c r="S65" s="69"/>
    </row>
    <row r="66" spans="1:19" ht="15.75" thickBot="1">
      <c r="A66" s="7">
        <f>_xlfn.XLOOKUP(B66,'2024 Draft'!C:C,'2024 Draft'!A:A)</f>
        <v>3</v>
      </c>
      <c r="B66" s="4" t="s">
        <v>766</v>
      </c>
      <c r="C66" s="4" t="s">
        <v>2</v>
      </c>
      <c r="D66" s="17" t="s">
        <v>0</v>
      </c>
      <c r="F66" s="15" t="s">
        <v>400</v>
      </c>
      <c r="G66" s="15" t="s">
        <v>401</v>
      </c>
      <c r="H66" s="15" t="s">
        <v>402</v>
      </c>
      <c r="I66" s="25"/>
      <c r="J66" s="1">
        <f t="shared" si="3"/>
        <v>2</v>
      </c>
      <c r="S66" s="69"/>
    </row>
    <row r="67" spans="1:19" ht="15.75" thickBot="1">
      <c r="A67" s="7">
        <f>_xlfn.XLOOKUP(B67,'2024 Draft'!C:C,'2024 Draft'!A:A)</f>
        <v>7</v>
      </c>
      <c r="B67" s="4" t="s">
        <v>606</v>
      </c>
      <c r="C67" s="4" t="s">
        <v>10</v>
      </c>
      <c r="D67" s="17" t="s">
        <v>0</v>
      </c>
      <c r="F67" s="15" t="s">
        <v>400</v>
      </c>
      <c r="G67" s="15" t="s">
        <v>401</v>
      </c>
      <c r="H67" s="15" t="s">
        <v>402</v>
      </c>
      <c r="I67" s="25"/>
      <c r="J67" s="1">
        <f t="shared" si="3"/>
        <v>6</v>
      </c>
      <c r="S67" s="69"/>
    </row>
    <row r="68" spans="1:19" ht="15.75" thickBot="1">
      <c r="A68" s="7" t="s">
        <v>390</v>
      </c>
      <c r="B68" s="4" t="s">
        <v>1006</v>
      </c>
      <c r="C68" s="4" t="s">
        <v>10</v>
      </c>
      <c r="D68" s="17" t="s">
        <v>0</v>
      </c>
      <c r="F68" s="15" t="s">
        <v>400</v>
      </c>
      <c r="G68" s="15" t="s">
        <v>401</v>
      </c>
      <c r="H68" s="15" t="s">
        <v>402</v>
      </c>
      <c r="I68" s="25"/>
      <c r="J68" s="1">
        <f t="shared" si="3"/>
        <v>9</v>
      </c>
      <c r="S68" s="69"/>
    </row>
    <row r="69" spans="1:19" ht="15.75" thickBot="1">
      <c r="A69" s="7">
        <f>_xlfn.XLOOKUP(B69,'2024 Draft'!C:C,'2024 Draft'!A:A)</f>
        <v>5</v>
      </c>
      <c r="B69" s="4" t="s">
        <v>1101</v>
      </c>
      <c r="C69" s="4" t="s">
        <v>10</v>
      </c>
      <c r="D69" s="17" t="s">
        <v>0</v>
      </c>
      <c r="F69" s="15" t="s">
        <v>400</v>
      </c>
      <c r="G69" s="15" t="s">
        <v>401</v>
      </c>
      <c r="H69" s="15" t="s">
        <v>402</v>
      </c>
      <c r="I69" s="25"/>
      <c r="J69" s="1">
        <f t="shared" si="3"/>
        <v>4</v>
      </c>
      <c r="K69" t="s">
        <v>1100</v>
      </c>
      <c r="L69" s="2" t="s">
        <v>1111</v>
      </c>
      <c r="S69" s="69"/>
    </row>
    <row r="70" spans="1:19" ht="15.75" thickBot="1">
      <c r="A70" s="7" t="s">
        <v>390</v>
      </c>
      <c r="B70" s="4" t="s">
        <v>1098</v>
      </c>
      <c r="C70" s="4" t="s">
        <v>10</v>
      </c>
      <c r="D70" s="17" t="s">
        <v>0</v>
      </c>
      <c r="F70" s="15" t="s">
        <v>400</v>
      </c>
      <c r="G70" s="15" t="s">
        <v>401</v>
      </c>
      <c r="H70" s="15" t="s">
        <v>402</v>
      </c>
      <c r="I70" s="25"/>
      <c r="J70" s="1">
        <f t="shared" si="3"/>
        <v>9</v>
      </c>
      <c r="S70" s="69"/>
    </row>
    <row r="71" spans="1:19" ht="15.75" thickBot="1">
      <c r="A71" s="7" t="s">
        <v>390</v>
      </c>
      <c r="B71" s="4" t="s">
        <v>1099</v>
      </c>
      <c r="C71" s="4" t="s">
        <v>2</v>
      </c>
      <c r="D71" s="17" t="s">
        <v>0</v>
      </c>
      <c r="F71" s="15" t="s">
        <v>400</v>
      </c>
      <c r="G71" s="15" t="s">
        <v>401</v>
      </c>
      <c r="H71" s="15" t="s">
        <v>402</v>
      </c>
      <c r="I71" s="25"/>
      <c r="J71" s="1">
        <f t="shared" si="3"/>
        <v>9</v>
      </c>
      <c r="S71" s="69"/>
    </row>
    <row r="72" spans="1:19" ht="15.75" thickBot="1">
      <c r="A72" s="7">
        <f>_xlfn.XLOOKUP(B72,'2024 Draft'!C:C,'2024 Draft'!A:A)</f>
        <v>10</v>
      </c>
      <c r="B72" s="4" t="s">
        <v>846</v>
      </c>
      <c r="C72" s="4" t="s">
        <v>10</v>
      </c>
      <c r="D72" s="17" t="s">
        <v>0</v>
      </c>
      <c r="F72" s="15" t="s">
        <v>400</v>
      </c>
      <c r="G72" s="15" t="s">
        <v>401</v>
      </c>
      <c r="H72" s="15" t="s">
        <v>402</v>
      </c>
      <c r="I72" s="25"/>
      <c r="J72" s="1">
        <f t="shared" si="3"/>
        <v>9</v>
      </c>
      <c r="S72" s="69"/>
    </row>
    <row r="73" spans="1:19" ht="15.75" thickBot="1">
      <c r="A73" s="14"/>
      <c r="B73" s="14"/>
      <c r="C73" s="14"/>
      <c r="D73" s="18"/>
      <c r="E73" s="18"/>
      <c r="F73" s="18"/>
      <c r="G73" s="18"/>
      <c r="H73" s="18"/>
      <c r="I73" s="18"/>
      <c r="J73" s="18"/>
      <c r="S73" s="69"/>
    </row>
    <row r="74" spans="1:19" ht="15.75" thickBot="1">
      <c r="A74" s="7">
        <f>_xlfn.XLOOKUP(B74,'2024 Draft'!C:C,'2024 Draft'!A:A)</f>
        <v>11</v>
      </c>
      <c r="B74" s="4" t="s">
        <v>1018</v>
      </c>
      <c r="C74" s="8" t="s">
        <v>5</v>
      </c>
      <c r="D74" s="17" t="s">
        <v>114</v>
      </c>
      <c r="F74" s="15" t="s">
        <v>400</v>
      </c>
      <c r="G74" s="15" t="s">
        <v>401</v>
      </c>
      <c r="H74" s="15" t="s">
        <v>402</v>
      </c>
      <c r="I74" s="25"/>
      <c r="J74" s="1">
        <f>IF(A74="FA",9,A74-1)</f>
        <v>10</v>
      </c>
      <c r="S74" s="69"/>
    </row>
    <row r="75" spans="1:19" ht="15.75" thickBot="1">
      <c r="A75" s="7">
        <f>_xlfn.XLOOKUP(B75,'2024 Draft'!C:C,'2024 Draft'!A:A)</f>
        <v>9</v>
      </c>
      <c r="B75" s="4" t="s">
        <v>916</v>
      </c>
      <c r="C75" s="4" t="s">
        <v>10</v>
      </c>
      <c r="D75" s="17" t="s">
        <v>114</v>
      </c>
      <c r="F75" s="15" t="s">
        <v>400</v>
      </c>
      <c r="G75" s="15" t="s">
        <v>401</v>
      </c>
      <c r="H75" s="15" t="s">
        <v>402</v>
      </c>
      <c r="I75" s="25"/>
      <c r="J75" s="1">
        <f t="shared" ref="J75:J90" si="4">IF(A75="FA",9,A75-1)</f>
        <v>8</v>
      </c>
      <c r="S75" s="69"/>
    </row>
    <row r="76" spans="1:19" ht="15.75" thickBot="1">
      <c r="A76" s="7">
        <f>_xlfn.XLOOKUP(B76,'2024 Draft'!C:C,'2024 Draft'!A:A)</f>
        <v>12</v>
      </c>
      <c r="B76" s="4" t="s">
        <v>1032</v>
      </c>
      <c r="C76" s="4" t="s">
        <v>10</v>
      </c>
      <c r="D76" s="17" t="s">
        <v>114</v>
      </c>
      <c r="F76" s="15" t="s">
        <v>400</v>
      </c>
      <c r="G76" s="15" t="s">
        <v>401</v>
      </c>
      <c r="H76" s="15" t="s">
        <v>402</v>
      </c>
      <c r="I76" s="25"/>
      <c r="J76" s="1">
        <f t="shared" si="4"/>
        <v>11</v>
      </c>
      <c r="S76" s="69"/>
    </row>
    <row r="77" spans="1:19" ht="15.75" thickBot="1">
      <c r="A77" s="7">
        <f>_xlfn.XLOOKUP(B77,'2024 Draft'!C:C,'2024 Draft'!A:A)</f>
        <v>3</v>
      </c>
      <c r="B77" s="4" t="s">
        <v>812</v>
      </c>
      <c r="C77" s="8" t="s">
        <v>2</v>
      </c>
      <c r="D77" s="16" t="s">
        <v>114</v>
      </c>
      <c r="F77" s="15" t="s">
        <v>401</v>
      </c>
      <c r="G77" s="15" t="s">
        <v>402</v>
      </c>
      <c r="H77" s="15" t="s">
        <v>387</v>
      </c>
      <c r="I77" s="25"/>
      <c r="J77" s="1">
        <f t="shared" si="4"/>
        <v>2</v>
      </c>
      <c r="L77" s="2" t="s">
        <v>1108</v>
      </c>
      <c r="S77" s="69"/>
    </row>
    <row r="78" spans="1:19" ht="15.75" thickBot="1">
      <c r="A78" s="7">
        <f>_xlfn.XLOOKUP(B78,'2024 Draft'!C:C,'2024 Draft'!A:A)</f>
        <v>4</v>
      </c>
      <c r="B78" s="4" t="s">
        <v>840</v>
      </c>
      <c r="C78" s="8" t="s">
        <v>2</v>
      </c>
      <c r="D78" s="16" t="s">
        <v>114</v>
      </c>
      <c r="F78" s="15" t="s">
        <v>401</v>
      </c>
      <c r="G78" s="15" t="s">
        <v>402</v>
      </c>
      <c r="H78" s="15" t="s">
        <v>387</v>
      </c>
      <c r="I78" s="25"/>
      <c r="J78" s="1">
        <f t="shared" si="4"/>
        <v>3</v>
      </c>
      <c r="L78" s="2" t="s">
        <v>1108</v>
      </c>
      <c r="S78" s="69"/>
    </row>
    <row r="79" spans="1:19" ht="15.75" thickBot="1">
      <c r="A79" s="7">
        <f>_xlfn.XLOOKUP(B79,'2024 Draft'!C:C,'2024 Draft'!A:A)</f>
        <v>8</v>
      </c>
      <c r="B79" s="4" t="s">
        <v>997</v>
      </c>
      <c r="C79" s="4" t="s">
        <v>27</v>
      </c>
      <c r="D79" s="17" t="s">
        <v>114</v>
      </c>
      <c r="F79" s="15" t="s">
        <v>400</v>
      </c>
      <c r="G79" s="15" t="s">
        <v>401</v>
      </c>
      <c r="H79" s="15" t="s">
        <v>402</v>
      </c>
      <c r="I79" s="25"/>
      <c r="J79" s="1">
        <f t="shared" si="4"/>
        <v>7</v>
      </c>
      <c r="S79" s="69"/>
    </row>
    <row r="80" spans="1:19" ht="15.75" thickBot="1">
      <c r="A80" s="7">
        <f>_xlfn.XLOOKUP(B80,'2024 Draft'!C:C,'2024 Draft'!A:A)</f>
        <v>6</v>
      </c>
      <c r="B80" s="4" t="s">
        <v>844</v>
      </c>
      <c r="C80" s="4" t="s">
        <v>2</v>
      </c>
      <c r="D80" s="17" t="s">
        <v>114</v>
      </c>
      <c r="F80" s="15" t="s">
        <v>400</v>
      </c>
      <c r="G80" s="15" t="s">
        <v>401</v>
      </c>
      <c r="H80" s="15" t="s">
        <v>402</v>
      </c>
      <c r="I80" s="25"/>
      <c r="J80" s="1">
        <f t="shared" si="4"/>
        <v>5</v>
      </c>
      <c r="S80" s="69"/>
    </row>
    <row r="81" spans="1:19" ht="15.75" thickBot="1">
      <c r="A81" s="7">
        <f>_xlfn.XLOOKUP(B81,'2024 Draft'!C:C,'2024 Draft'!A:A)</f>
        <v>10</v>
      </c>
      <c r="B81" s="4" t="s">
        <v>519</v>
      </c>
      <c r="C81" s="4" t="s">
        <v>2</v>
      </c>
      <c r="D81" s="17" t="s">
        <v>114</v>
      </c>
      <c r="F81" s="15" t="s">
        <v>400</v>
      </c>
      <c r="G81" s="15" t="s">
        <v>401</v>
      </c>
      <c r="H81" s="15" t="s">
        <v>402</v>
      </c>
      <c r="I81" s="25"/>
      <c r="J81" s="1">
        <f t="shared" si="4"/>
        <v>9</v>
      </c>
      <c r="S81" s="69"/>
    </row>
    <row r="82" spans="1:19" ht="15.75" thickBot="1">
      <c r="A82" s="7" t="s">
        <v>390</v>
      </c>
      <c r="B82" s="4" t="s">
        <v>407</v>
      </c>
      <c r="C82" s="4" t="s">
        <v>534</v>
      </c>
      <c r="D82" s="17" t="s">
        <v>114</v>
      </c>
      <c r="F82" s="15" t="s">
        <v>400</v>
      </c>
      <c r="G82" s="15" t="s">
        <v>401</v>
      </c>
      <c r="H82" s="15" t="s">
        <v>402</v>
      </c>
      <c r="I82" s="25"/>
      <c r="J82" s="1">
        <f t="shared" si="4"/>
        <v>9</v>
      </c>
      <c r="S82" s="69"/>
    </row>
    <row r="83" spans="1:19" ht="15.75" thickBot="1">
      <c r="A83" s="7">
        <f>_xlfn.XLOOKUP(B83,'2024 Draft'!C:C,'2024 Draft'!A:A)</f>
        <v>2</v>
      </c>
      <c r="B83" s="4" t="s">
        <v>425</v>
      </c>
      <c r="C83" s="4" t="s">
        <v>2</v>
      </c>
      <c r="D83" s="17" t="s">
        <v>114</v>
      </c>
      <c r="F83" s="15" t="s">
        <v>400</v>
      </c>
      <c r="G83" s="15" t="s">
        <v>401</v>
      </c>
      <c r="H83" s="15" t="s">
        <v>402</v>
      </c>
      <c r="I83" s="25"/>
      <c r="J83" s="1">
        <f t="shared" si="4"/>
        <v>1</v>
      </c>
      <c r="S83" s="69"/>
    </row>
    <row r="84" spans="1:19" ht="15.75" thickBot="1">
      <c r="A84" s="7">
        <f>_xlfn.XLOOKUP(B84,'2024 Draft'!C:C,'2024 Draft'!A:A)</f>
        <v>6</v>
      </c>
      <c r="B84" s="4" t="s">
        <v>695</v>
      </c>
      <c r="C84" s="4" t="s">
        <v>10</v>
      </c>
      <c r="D84" s="17" t="s">
        <v>114</v>
      </c>
      <c r="F84" s="15" t="s">
        <v>400</v>
      </c>
      <c r="G84" s="15" t="s">
        <v>401</v>
      </c>
      <c r="H84" s="15" t="s">
        <v>402</v>
      </c>
      <c r="I84" s="25"/>
      <c r="J84" s="1">
        <f t="shared" si="4"/>
        <v>5</v>
      </c>
      <c r="S84" s="69"/>
    </row>
    <row r="85" spans="1:19" ht="15.75" thickBot="1">
      <c r="A85" s="7">
        <f>_xlfn.XLOOKUP(B85,'2024 Draft'!C:C,'2024 Draft'!A:A)</f>
        <v>7</v>
      </c>
      <c r="B85" s="4" t="s">
        <v>716</v>
      </c>
      <c r="C85" s="4" t="s">
        <v>5</v>
      </c>
      <c r="D85" s="17" t="s">
        <v>114</v>
      </c>
      <c r="F85" s="15" t="s">
        <v>400</v>
      </c>
      <c r="G85" s="15" t="s">
        <v>401</v>
      </c>
      <c r="H85" s="15" t="s">
        <v>402</v>
      </c>
      <c r="I85" s="25"/>
      <c r="J85" s="1">
        <f t="shared" si="4"/>
        <v>6</v>
      </c>
      <c r="S85" s="69"/>
    </row>
    <row r="86" spans="1:19" ht="15.75" thickBot="1">
      <c r="A86" s="7">
        <f>_xlfn.XLOOKUP(B86,'2024 Draft'!C:C,'2024 Draft'!A:A)</f>
        <v>12</v>
      </c>
      <c r="B86" s="4" t="s">
        <v>830</v>
      </c>
      <c r="C86" s="4" t="s">
        <v>27</v>
      </c>
      <c r="D86" s="17" t="s">
        <v>114</v>
      </c>
      <c r="F86" s="15" t="s">
        <v>400</v>
      </c>
      <c r="G86" s="15" t="s">
        <v>401</v>
      </c>
      <c r="H86" s="15" t="s">
        <v>402</v>
      </c>
      <c r="I86" s="25"/>
      <c r="J86" s="1">
        <f t="shared" si="4"/>
        <v>11</v>
      </c>
      <c r="S86" s="69"/>
    </row>
    <row r="87" spans="1:19" ht="15.75" thickBot="1">
      <c r="A87" s="7" t="s">
        <v>390</v>
      </c>
      <c r="B87" s="4" t="s">
        <v>1094</v>
      </c>
      <c r="C87" s="4" t="s">
        <v>534</v>
      </c>
      <c r="D87" s="17" t="s">
        <v>114</v>
      </c>
      <c r="F87" s="15" t="s">
        <v>400</v>
      </c>
      <c r="G87" s="15" t="s">
        <v>401</v>
      </c>
      <c r="H87" s="15" t="s">
        <v>402</v>
      </c>
      <c r="I87" s="25"/>
      <c r="J87" s="1">
        <f t="shared" si="4"/>
        <v>9</v>
      </c>
      <c r="S87" s="69"/>
    </row>
    <row r="88" spans="1:19" ht="15.75" thickBot="1">
      <c r="A88" s="7">
        <f>_xlfn.XLOOKUP(B88,'2024 Draft'!C:C,'2024 Draft'!A:A)</f>
        <v>12</v>
      </c>
      <c r="B88" s="4" t="s">
        <v>774</v>
      </c>
      <c r="C88" s="4" t="s">
        <v>2</v>
      </c>
      <c r="D88" s="17" t="s">
        <v>114</v>
      </c>
      <c r="F88" s="15" t="s">
        <v>400</v>
      </c>
      <c r="G88" s="15" t="s">
        <v>401</v>
      </c>
      <c r="H88" s="15" t="s">
        <v>402</v>
      </c>
      <c r="I88" s="25"/>
      <c r="J88" s="1">
        <f t="shared" si="4"/>
        <v>11</v>
      </c>
      <c r="K88" t="s">
        <v>1100</v>
      </c>
      <c r="S88" s="69"/>
    </row>
    <row r="89" spans="1:19" ht="15.75" thickBot="1">
      <c r="A89" s="7" t="s">
        <v>390</v>
      </c>
      <c r="B89" s="4" t="s">
        <v>1095</v>
      </c>
      <c r="C89" s="4" t="s">
        <v>10</v>
      </c>
      <c r="D89" s="17" t="s">
        <v>114</v>
      </c>
      <c r="F89" s="15" t="s">
        <v>400</v>
      </c>
      <c r="G89" s="15" t="s">
        <v>401</v>
      </c>
      <c r="H89" s="15" t="s">
        <v>402</v>
      </c>
      <c r="I89" s="25"/>
      <c r="J89" s="1">
        <f t="shared" si="4"/>
        <v>9</v>
      </c>
      <c r="S89" s="69"/>
    </row>
    <row r="90" spans="1:19" ht="15.75" thickBot="1">
      <c r="A90" s="7">
        <f>_xlfn.XLOOKUP(B90,'2024 Draft'!C:C,'2024 Draft'!A:A)</f>
        <v>1</v>
      </c>
      <c r="B90" s="4" t="s">
        <v>61</v>
      </c>
      <c r="C90" s="4" t="s">
        <v>10</v>
      </c>
      <c r="D90" s="17" t="s">
        <v>114</v>
      </c>
      <c r="F90" s="15" t="s">
        <v>400</v>
      </c>
      <c r="G90" s="15" t="s">
        <v>401</v>
      </c>
      <c r="H90" s="15" t="s">
        <v>402</v>
      </c>
      <c r="I90" s="25"/>
      <c r="J90" s="1">
        <f t="shared" si="4"/>
        <v>0</v>
      </c>
      <c r="S90" s="69"/>
    </row>
    <row r="91" spans="1:19" ht="15.75" thickBot="1">
      <c r="A91" s="14"/>
      <c r="B91" s="14"/>
      <c r="C91" s="14"/>
      <c r="D91" s="18"/>
      <c r="E91" s="18"/>
      <c r="F91" s="18"/>
      <c r="G91" s="18"/>
      <c r="H91" s="18"/>
      <c r="I91" s="18"/>
      <c r="J91" s="18"/>
      <c r="S91" s="69"/>
    </row>
    <row r="92" spans="1:19" ht="15.75" thickBot="1">
      <c r="A92" s="7">
        <f>_xlfn.XLOOKUP(B92,'2024 Draft'!C:C,'2024 Draft'!A:A)</f>
        <v>2</v>
      </c>
      <c r="B92" s="4" t="s">
        <v>540</v>
      </c>
      <c r="C92" s="8" t="s">
        <v>5</v>
      </c>
      <c r="D92" s="17" t="s">
        <v>471</v>
      </c>
      <c r="F92" s="15" t="s">
        <v>400</v>
      </c>
      <c r="G92" s="15" t="s">
        <v>401</v>
      </c>
      <c r="H92" s="15" t="s">
        <v>402</v>
      </c>
      <c r="I92" s="25"/>
      <c r="J92" s="1">
        <f>IF(A92="FA",9,A92-1)</f>
        <v>1</v>
      </c>
      <c r="S92" s="69"/>
    </row>
    <row r="93" spans="1:19" ht="15.75" thickBot="1">
      <c r="A93" s="7">
        <f>_xlfn.XLOOKUP(B93,'2024 Draft'!C:C,'2024 Draft'!A:A)</f>
        <v>4</v>
      </c>
      <c r="B93" s="4" t="s">
        <v>83</v>
      </c>
      <c r="C93" s="4" t="s">
        <v>10</v>
      </c>
      <c r="D93" s="17" t="s">
        <v>471</v>
      </c>
      <c r="F93" s="15" t="s">
        <v>400</v>
      </c>
      <c r="G93" s="15" t="s">
        <v>401</v>
      </c>
      <c r="H93" s="15" t="s">
        <v>402</v>
      </c>
      <c r="I93" s="25"/>
      <c r="J93" s="1">
        <f t="shared" ref="J93:J107" si="5">IF(A93="FA",9,A93-1)</f>
        <v>3</v>
      </c>
      <c r="S93" s="69"/>
    </row>
    <row r="94" spans="1:19" ht="15.75" thickBot="1">
      <c r="A94" s="7">
        <f>_xlfn.XLOOKUP(B94,'2024 Draft'!C:C,'2024 Draft'!A:A)</f>
        <v>10</v>
      </c>
      <c r="B94" s="4" t="s">
        <v>865</v>
      </c>
      <c r="C94" s="8" t="s">
        <v>10</v>
      </c>
      <c r="D94" s="16" t="s">
        <v>471</v>
      </c>
      <c r="F94" s="15" t="s">
        <v>401</v>
      </c>
      <c r="G94" s="15" t="s">
        <v>402</v>
      </c>
      <c r="H94" s="15" t="s">
        <v>387</v>
      </c>
      <c r="I94" s="25"/>
      <c r="J94" s="1">
        <f t="shared" si="5"/>
        <v>9</v>
      </c>
      <c r="L94" s="2" t="s">
        <v>1108</v>
      </c>
      <c r="S94" s="69"/>
    </row>
    <row r="95" spans="1:19" ht="15.75" thickBot="1">
      <c r="A95" s="7">
        <f>_xlfn.XLOOKUP(B95,'2024 Draft'!C:C,'2024 Draft'!A:A)</f>
        <v>9</v>
      </c>
      <c r="B95" s="4" t="s">
        <v>711</v>
      </c>
      <c r="C95" s="4" t="s">
        <v>2</v>
      </c>
      <c r="D95" s="17" t="s">
        <v>471</v>
      </c>
      <c r="F95" s="15" t="s">
        <v>400</v>
      </c>
      <c r="G95" s="15" t="s">
        <v>401</v>
      </c>
      <c r="H95" s="15" t="s">
        <v>402</v>
      </c>
      <c r="I95" s="25"/>
      <c r="J95" s="1">
        <f t="shared" si="5"/>
        <v>8</v>
      </c>
      <c r="K95" t="s">
        <v>1100</v>
      </c>
      <c r="L95" s="2" t="s">
        <v>1109</v>
      </c>
      <c r="S95" s="69"/>
    </row>
    <row r="96" spans="1:19" ht="15.75" thickBot="1">
      <c r="A96" s="7" t="s">
        <v>390</v>
      </c>
      <c r="B96" s="4" t="s">
        <v>1092</v>
      </c>
      <c r="C96" s="4" t="s">
        <v>2</v>
      </c>
      <c r="D96" s="17" t="s">
        <v>471</v>
      </c>
      <c r="F96" s="15" t="s">
        <v>400</v>
      </c>
      <c r="G96" s="15" t="s">
        <v>401</v>
      </c>
      <c r="H96" s="15" t="s">
        <v>402</v>
      </c>
      <c r="I96" s="25"/>
      <c r="J96" s="1">
        <f t="shared" si="5"/>
        <v>9</v>
      </c>
      <c r="K96" t="s">
        <v>1100</v>
      </c>
      <c r="S96" s="69"/>
    </row>
    <row r="97" spans="1:19" ht="15.75" thickBot="1">
      <c r="A97" s="7" t="s">
        <v>390</v>
      </c>
      <c r="B97" s="4" t="s">
        <v>635</v>
      </c>
      <c r="C97" s="4" t="s">
        <v>27</v>
      </c>
      <c r="D97" s="17" t="s">
        <v>471</v>
      </c>
      <c r="F97" s="15" t="s">
        <v>400</v>
      </c>
      <c r="G97" s="15" t="s">
        <v>401</v>
      </c>
      <c r="H97" s="15" t="s">
        <v>402</v>
      </c>
      <c r="I97" s="25"/>
      <c r="J97" s="1">
        <f t="shared" si="5"/>
        <v>9</v>
      </c>
      <c r="S97" s="69"/>
    </row>
    <row r="98" spans="1:19" ht="15.75" thickBot="1">
      <c r="A98" s="7">
        <f>_xlfn.XLOOKUP(B98,'2024 Draft'!C:C,'2024 Draft'!A:A)</f>
        <v>8</v>
      </c>
      <c r="B98" s="4" t="s">
        <v>998</v>
      </c>
      <c r="C98" s="4" t="s">
        <v>2</v>
      </c>
      <c r="D98" s="17" t="s">
        <v>471</v>
      </c>
      <c r="F98" s="15" t="s">
        <v>400</v>
      </c>
      <c r="G98" s="15" t="s">
        <v>401</v>
      </c>
      <c r="H98" s="15" t="s">
        <v>402</v>
      </c>
      <c r="I98" s="25"/>
      <c r="J98" s="1">
        <f t="shared" si="5"/>
        <v>7</v>
      </c>
      <c r="S98" s="69"/>
    </row>
    <row r="99" spans="1:19" ht="15.75" thickBot="1">
      <c r="A99" s="7">
        <f>_xlfn.XLOOKUP(B99,'2024 Draft'!C:C,'2024 Draft'!A:A)</f>
        <v>2</v>
      </c>
      <c r="B99" s="4" t="s">
        <v>581</v>
      </c>
      <c r="C99" s="4" t="s">
        <v>10</v>
      </c>
      <c r="D99" s="17" t="s">
        <v>471</v>
      </c>
      <c r="F99" s="15" t="s">
        <v>400</v>
      </c>
      <c r="G99" s="15" t="s">
        <v>401</v>
      </c>
      <c r="H99" s="15" t="s">
        <v>402</v>
      </c>
      <c r="I99" s="25"/>
      <c r="J99" s="1">
        <f t="shared" si="5"/>
        <v>1</v>
      </c>
      <c r="K99" t="s">
        <v>1100</v>
      </c>
      <c r="S99" s="69"/>
    </row>
    <row r="100" spans="1:19" ht="15.75" thickBot="1">
      <c r="A100" s="7" t="s">
        <v>390</v>
      </c>
      <c r="B100" s="4" t="s">
        <v>815</v>
      </c>
      <c r="C100" s="4" t="s">
        <v>534</v>
      </c>
      <c r="D100" s="17" t="s">
        <v>471</v>
      </c>
      <c r="F100" s="15" t="s">
        <v>400</v>
      </c>
      <c r="G100" s="15" t="s">
        <v>401</v>
      </c>
      <c r="H100" s="15" t="s">
        <v>402</v>
      </c>
      <c r="I100" s="25"/>
      <c r="J100" s="1">
        <f t="shared" si="5"/>
        <v>9</v>
      </c>
      <c r="S100" s="69"/>
    </row>
    <row r="101" spans="1:19" ht="15.75" thickBot="1">
      <c r="A101" s="7">
        <f>_xlfn.XLOOKUP(B101,'2024 Draft'!C:C,'2024 Draft'!A:A)</f>
        <v>1</v>
      </c>
      <c r="B101" s="4" t="s">
        <v>686</v>
      </c>
      <c r="C101" s="4" t="s">
        <v>2</v>
      </c>
      <c r="D101" s="17" t="s">
        <v>471</v>
      </c>
      <c r="F101" s="15" t="s">
        <v>400</v>
      </c>
      <c r="G101" s="15" t="s">
        <v>401</v>
      </c>
      <c r="H101" s="15" t="s">
        <v>402</v>
      </c>
      <c r="I101" s="25"/>
      <c r="J101" s="1">
        <f t="shared" si="5"/>
        <v>0</v>
      </c>
      <c r="S101" s="69"/>
    </row>
    <row r="102" spans="1:19" ht="15.75" thickBot="1">
      <c r="A102" s="7">
        <f>_xlfn.XLOOKUP(B102,'2024 Draft'!C:C,'2024 Draft'!A:A)</f>
        <v>5</v>
      </c>
      <c r="B102" s="4" t="s">
        <v>859</v>
      </c>
      <c r="C102" s="4" t="s">
        <v>2</v>
      </c>
      <c r="D102" s="17" t="s">
        <v>471</v>
      </c>
      <c r="F102" s="15" t="s">
        <v>400</v>
      </c>
      <c r="G102" s="15" t="s">
        <v>401</v>
      </c>
      <c r="H102" s="15" t="s">
        <v>402</v>
      </c>
      <c r="I102" s="25"/>
      <c r="J102" s="1">
        <f t="shared" si="5"/>
        <v>4</v>
      </c>
      <c r="S102" s="69"/>
    </row>
    <row r="103" spans="1:19" ht="15.75" thickBot="1">
      <c r="A103" s="7">
        <f>_xlfn.XLOOKUP(B103,'2024 Draft'!C:C,'2024 Draft'!A:A)</f>
        <v>5</v>
      </c>
      <c r="B103" s="4" t="s">
        <v>447</v>
      </c>
      <c r="C103" s="4" t="s">
        <v>10</v>
      </c>
      <c r="D103" s="17" t="s">
        <v>471</v>
      </c>
      <c r="F103" s="15" t="s">
        <v>400</v>
      </c>
      <c r="G103" s="15" t="s">
        <v>401</v>
      </c>
      <c r="H103" s="15" t="s">
        <v>402</v>
      </c>
      <c r="I103" s="25"/>
      <c r="J103" s="1">
        <f t="shared" si="5"/>
        <v>4</v>
      </c>
      <c r="S103" s="69"/>
    </row>
    <row r="104" spans="1:19" ht="15.75" thickBot="1">
      <c r="A104" s="7">
        <f>_xlfn.XLOOKUP(B104,'2024 Draft'!C:C,'2024 Draft'!A:A)</f>
        <v>9</v>
      </c>
      <c r="B104" s="4" t="s">
        <v>570</v>
      </c>
      <c r="C104" s="4" t="s">
        <v>10</v>
      </c>
      <c r="D104" s="17" t="s">
        <v>471</v>
      </c>
      <c r="F104" s="15" t="s">
        <v>400</v>
      </c>
      <c r="G104" s="15" t="s">
        <v>401</v>
      </c>
      <c r="H104" s="15" t="s">
        <v>402</v>
      </c>
      <c r="I104" s="25"/>
      <c r="J104" s="1">
        <f t="shared" si="5"/>
        <v>8</v>
      </c>
      <c r="S104" s="69"/>
    </row>
    <row r="105" spans="1:19" ht="15.75" thickBot="1">
      <c r="A105" s="7" t="s">
        <v>390</v>
      </c>
      <c r="B105" s="4" t="s">
        <v>1093</v>
      </c>
      <c r="C105" s="4" t="s">
        <v>5</v>
      </c>
      <c r="D105" s="17" t="s">
        <v>471</v>
      </c>
      <c r="F105" s="15" t="s">
        <v>400</v>
      </c>
      <c r="G105" s="15" t="s">
        <v>401</v>
      </c>
      <c r="H105" s="15" t="s">
        <v>402</v>
      </c>
      <c r="I105" s="25"/>
      <c r="J105" s="1">
        <f t="shared" si="5"/>
        <v>9</v>
      </c>
      <c r="S105" s="69"/>
    </row>
    <row r="106" spans="1:19" ht="15.75" thickBot="1">
      <c r="A106" s="7" t="s">
        <v>390</v>
      </c>
      <c r="B106" s="4" t="s">
        <v>926</v>
      </c>
      <c r="C106" s="4" t="s">
        <v>27</v>
      </c>
      <c r="D106" s="17" t="s">
        <v>471</v>
      </c>
      <c r="F106" s="15" t="s">
        <v>400</v>
      </c>
      <c r="G106" s="15" t="s">
        <v>401</v>
      </c>
      <c r="H106" s="15" t="s">
        <v>402</v>
      </c>
      <c r="I106" s="25"/>
      <c r="J106" s="1">
        <f t="shared" si="5"/>
        <v>9</v>
      </c>
      <c r="S106" s="69"/>
    </row>
    <row r="107" spans="1:19" ht="15.75" thickBot="1">
      <c r="A107" s="7" t="s">
        <v>390</v>
      </c>
      <c r="B107" s="4" t="s">
        <v>16</v>
      </c>
      <c r="C107" s="4" t="s">
        <v>2</v>
      </c>
      <c r="D107" s="17" t="s">
        <v>471</v>
      </c>
      <c r="F107" s="15" t="s">
        <v>400</v>
      </c>
      <c r="G107" s="15" t="s">
        <v>401</v>
      </c>
      <c r="H107" s="15" t="s">
        <v>402</v>
      </c>
      <c r="I107" s="25"/>
      <c r="J107" s="1">
        <f t="shared" si="5"/>
        <v>9</v>
      </c>
      <c r="S107" s="69"/>
    </row>
    <row r="108" spans="1:19" ht="15.75" thickBot="1">
      <c r="A108" s="7">
        <f>_xlfn.XLOOKUP(B108,'2024 Draft'!C:C,'2024 Draft'!A:A)</f>
        <v>2</v>
      </c>
      <c r="B108" s="4" t="s">
        <v>707</v>
      </c>
      <c r="C108" s="4" t="s">
        <v>2</v>
      </c>
      <c r="D108" s="17" t="s">
        <v>471</v>
      </c>
      <c r="F108" s="15" t="s">
        <v>400</v>
      </c>
      <c r="G108" s="15" t="s">
        <v>401</v>
      </c>
      <c r="H108" s="15" t="s">
        <v>402</v>
      </c>
      <c r="I108" s="25"/>
      <c r="J108" s="1">
        <f t="shared" ref="J108" si="6">IF(A108="FA",9,A108-1)</f>
        <v>1</v>
      </c>
      <c r="S108" s="69"/>
    </row>
    <row r="109" spans="1:19" ht="15.75" thickBot="1">
      <c r="A109" s="14"/>
      <c r="B109" s="14"/>
      <c r="C109" s="14"/>
      <c r="D109" s="18"/>
      <c r="E109" s="18"/>
      <c r="F109" s="18"/>
      <c r="G109" s="18"/>
      <c r="H109" s="18"/>
      <c r="I109" s="18"/>
      <c r="J109" s="18"/>
      <c r="S109" s="69"/>
    </row>
    <row r="110" spans="1:19" ht="15.75" thickBot="1">
      <c r="A110" s="7" t="s">
        <v>390</v>
      </c>
      <c r="B110" s="4" t="s">
        <v>1091</v>
      </c>
      <c r="C110" s="8" t="s">
        <v>5</v>
      </c>
      <c r="D110" s="17" t="s">
        <v>58</v>
      </c>
      <c r="F110" s="15" t="s">
        <v>400</v>
      </c>
      <c r="G110" s="15" t="s">
        <v>401</v>
      </c>
      <c r="H110" s="15" t="s">
        <v>402</v>
      </c>
      <c r="I110" s="25"/>
      <c r="J110" s="1">
        <f>IF(A110="FA",9,A110-1)</f>
        <v>9</v>
      </c>
      <c r="S110" s="69"/>
    </row>
    <row r="111" spans="1:19" ht="15.75" thickBot="1">
      <c r="A111" s="7">
        <f>_xlfn.XLOOKUP(B111,'2024 Draft'!C:C,'2024 Draft'!A:A)</f>
        <v>1</v>
      </c>
      <c r="B111" s="4" t="s">
        <v>851</v>
      </c>
      <c r="C111" s="4" t="s">
        <v>10</v>
      </c>
      <c r="D111" s="17" t="s">
        <v>58</v>
      </c>
      <c r="F111" s="15" t="s">
        <v>400</v>
      </c>
      <c r="G111" s="15" t="s">
        <v>401</v>
      </c>
      <c r="H111" s="15" t="s">
        <v>402</v>
      </c>
      <c r="I111" s="25"/>
      <c r="J111" s="1">
        <f t="shared" ref="J111:J125" si="7">IF(A111="FA",9,A111-1)</f>
        <v>0</v>
      </c>
      <c r="S111" s="69"/>
    </row>
    <row r="112" spans="1:19" ht="15.75" thickBot="1">
      <c r="A112" s="7">
        <f>_xlfn.XLOOKUP(B112,'2024 Draft'!C:C,'2024 Draft'!A:A)</f>
        <v>1</v>
      </c>
      <c r="B112" s="4" t="s">
        <v>468</v>
      </c>
      <c r="C112" s="4" t="s">
        <v>10</v>
      </c>
      <c r="D112" s="17" t="s">
        <v>58</v>
      </c>
      <c r="F112" s="15" t="s">
        <v>400</v>
      </c>
      <c r="G112" s="15" t="s">
        <v>401</v>
      </c>
      <c r="H112" s="15" t="s">
        <v>402</v>
      </c>
      <c r="I112" s="25"/>
      <c r="J112" s="1">
        <f t="shared" si="7"/>
        <v>0</v>
      </c>
      <c r="K112" t="s">
        <v>1100</v>
      </c>
      <c r="S112" s="69"/>
    </row>
    <row r="113" spans="1:19" ht="15.75" thickBot="1">
      <c r="A113" s="7">
        <f>_xlfn.XLOOKUP(B113,'2024 Draft'!C:C,'2024 Draft'!A:A)</f>
        <v>7</v>
      </c>
      <c r="B113" s="4" t="s">
        <v>858</v>
      </c>
      <c r="C113" s="4" t="s">
        <v>2</v>
      </c>
      <c r="D113" s="17" t="s">
        <v>58</v>
      </c>
      <c r="F113" s="15" t="s">
        <v>400</v>
      </c>
      <c r="G113" s="15" t="s">
        <v>401</v>
      </c>
      <c r="H113" s="15" t="s">
        <v>402</v>
      </c>
      <c r="I113" s="25"/>
      <c r="J113" s="1">
        <f t="shared" si="7"/>
        <v>6</v>
      </c>
      <c r="S113" s="69"/>
    </row>
    <row r="114" spans="1:19" ht="15.75" thickBot="1">
      <c r="A114" s="7">
        <f>_xlfn.XLOOKUP(B114,'2024 Draft'!C:C,'2024 Draft'!A:A)</f>
        <v>2</v>
      </c>
      <c r="B114" s="4" t="s">
        <v>799</v>
      </c>
      <c r="C114" s="4" t="s">
        <v>2</v>
      </c>
      <c r="D114" s="17" t="s">
        <v>58</v>
      </c>
      <c r="F114" s="15" t="s">
        <v>400</v>
      </c>
      <c r="G114" s="15" t="s">
        <v>401</v>
      </c>
      <c r="H114" s="15" t="s">
        <v>402</v>
      </c>
      <c r="I114" s="25"/>
      <c r="J114" s="1">
        <f t="shared" si="7"/>
        <v>1</v>
      </c>
      <c r="K114" t="s">
        <v>1100</v>
      </c>
      <c r="L114" s="2" t="s">
        <v>1111</v>
      </c>
      <c r="S114" s="69"/>
    </row>
    <row r="115" spans="1:19" ht="15.75" thickBot="1">
      <c r="A115" s="7" t="s">
        <v>390</v>
      </c>
      <c r="B115" s="4" t="s">
        <v>732</v>
      </c>
      <c r="C115" s="4" t="s">
        <v>27</v>
      </c>
      <c r="D115" s="17" t="s">
        <v>58</v>
      </c>
      <c r="F115" s="15" t="s">
        <v>400</v>
      </c>
      <c r="G115" s="15" t="s">
        <v>401</v>
      </c>
      <c r="H115" s="15" t="s">
        <v>402</v>
      </c>
      <c r="I115" s="25"/>
      <c r="J115" s="1">
        <f t="shared" si="7"/>
        <v>9</v>
      </c>
      <c r="S115" s="69"/>
    </row>
    <row r="116" spans="1:19" ht="15.75" thickBot="1">
      <c r="A116" s="7">
        <f>_xlfn.XLOOKUP(B116,'2024 Draft'!C:C,'2024 Draft'!A:A)</f>
        <v>8</v>
      </c>
      <c r="B116" s="4" t="s">
        <v>910</v>
      </c>
      <c r="C116" s="4" t="s">
        <v>10</v>
      </c>
      <c r="D116" s="17" t="s">
        <v>58</v>
      </c>
      <c r="F116" s="15" t="s">
        <v>400</v>
      </c>
      <c r="G116" s="15" t="s">
        <v>401</v>
      </c>
      <c r="H116" s="15" t="s">
        <v>402</v>
      </c>
      <c r="I116" s="25"/>
      <c r="J116" s="1">
        <f t="shared" si="7"/>
        <v>7</v>
      </c>
      <c r="S116" s="69"/>
    </row>
    <row r="117" spans="1:19" ht="15.75" thickBot="1">
      <c r="A117" s="7">
        <f>_xlfn.XLOOKUP(B117,'2024 Draft'!C:C,'2024 Draft'!A:A)</f>
        <v>9</v>
      </c>
      <c r="B117" s="4" t="s">
        <v>847</v>
      </c>
      <c r="C117" s="8" t="s">
        <v>10</v>
      </c>
      <c r="D117" s="16" t="s">
        <v>58</v>
      </c>
      <c r="F117" s="15" t="s">
        <v>401</v>
      </c>
      <c r="G117" s="15" t="s">
        <v>402</v>
      </c>
      <c r="H117" s="15" t="s">
        <v>387</v>
      </c>
      <c r="I117" s="25"/>
      <c r="J117" s="1">
        <f t="shared" si="7"/>
        <v>8</v>
      </c>
      <c r="L117" s="2" t="s">
        <v>1108</v>
      </c>
      <c r="S117" s="69"/>
    </row>
    <row r="118" spans="1:19" ht="15.75" thickBot="1">
      <c r="A118" s="7" t="s">
        <v>390</v>
      </c>
      <c r="B118" s="4" t="s">
        <v>920</v>
      </c>
      <c r="C118" s="4" t="s">
        <v>534</v>
      </c>
      <c r="D118" s="17" t="s">
        <v>58</v>
      </c>
      <c r="F118" s="15" t="s">
        <v>400</v>
      </c>
      <c r="G118" s="15" t="s">
        <v>401</v>
      </c>
      <c r="H118" s="15" t="s">
        <v>402</v>
      </c>
      <c r="I118" s="25"/>
      <c r="J118" s="1">
        <f t="shared" si="7"/>
        <v>9</v>
      </c>
      <c r="S118" s="69"/>
    </row>
    <row r="119" spans="1:19" ht="15.75" thickBot="1">
      <c r="A119" s="7">
        <f>_xlfn.XLOOKUP(B119,'2024 Draft'!C:C,'2024 Draft'!A:A)</f>
        <v>2</v>
      </c>
      <c r="B119" s="4" t="s">
        <v>946</v>
      </c>
      <c r="C119" s="4" t="s">
        <v>2</v>
      </c>
      <c r="D119" s="17" t="s">
        <v>58</v>
      </c>
      <c r="F119" s="15" t="s">
        <v>400</v>
      </c>
      <c r="G119" s="15" t="s">
        <v>401</v>
      </c>
      <c r="H119" s="15" t="s">
        <v>402</v>
      </c>
      <c r="I119" s="25"/>
      <c r="J119" s="1">
        <f t="shared" si="7"/>
        <v>1</v>
      </c>
      <c r="S119" s="69"/>
    </row>
    <row r="120" spans="1:19" ht="15.75" thickBot="1">
      <c r="A120" s="7">
        <f>_xlfn.XLOOKUP(B120,'2024 Draft'!C:C,'2024 Draft'!A:A)</f>
        <v>3</v>
      </c>
      <c r="B120" s="4" t="s">
        <v>1104</v>
      </c>
      <c r="C120" s="4" t="s">
        <v>2</v>
      </c>
      <c r="D120" s="17" t="s">
        <v>58</v>
      </c>
      <c r="F120" s="15" t="s">
        <v>400</v>
      </c>
      <c r="G120" s="15" t="s">
        <v>401</v>
      </c>
      <c r="H120" s="15" t="s">
        <v>402</v>
      </c>
      <c r="I120" s="25"/>
      <c r="J120" s="1">
        <f t="shared" si="7"/>
        <v>2</v>
      </c>
      <c r="S120" s="69"/>
    </row>
    <row r="121" spans="1:19" ht="15.75" thickBot="1">
      <c r="A121" s="7">
        <f>_xlfn.XLOOKUP(B121,'2024 Draft'!C:C,'2024 Draft'!A:A)</f>
        <v>6</v>
      </c>
      <c r="B121" s="4" t="s">
        <v>767</v>
      </c>
      <c r="C121" s="8" t="s">
        <v>2</v>
      </c>
      <c r="D121" s="16" t="s">
        <v>58</v>
      </c>
      <c r="F121" s="15" t="s">
        <v>402</v>
      </c>
      <c r="G121" s="15" t="s">
        <v>387</v>
      </c>
      <c r="H121" s="15" t="s">
        <v>387</v>
      </c>
      <c r="I121" s="25"/>
      <c r="J121" s="1">
        <f t="shared" si="7"/>
        <v>5</v>
      </c>
      <c r="L121" s="2" t="s">
        <v>1108</v>
      </c>
      <c r="S121" s="69"/>
    </row>
    <row r="122" spans="1:19" ht="15.75" thickBot="1">
      <c r="A122" s="7" t="s">
        <v>390</v>
      </c>
      <c r="B122" s="4" t="s">
        <v>927</v>
      </c>
      <c r="C122" s="4" t="s">
        <v>5</v>
      </c>
      <c r="D122" s="17" t="s">
        <v>58</v>
      </c>
      <c r="F122" s="15" t="s">
        <v>400</v>
      </c>
      <c r="G122" s="15" t="s">
        <v>401</v>
      </c>
      <c r="H122" s="15" t="s">
        <v>402</v>
      </c>
      <c r="I122" s="25"/>
      <c r="J122" s="1">
        <f t="shared" si="7"/>
        <v>9</v>
      </c>
      <c r="S122" s="69"/>
    </row>
    <row r="123" spans="1:19" ht="15.75" thickBot="1">
      <c r="A123" s="7" t="s">
        <v>390</v>
      </c>
      <c r="B123" s="4" t="s">
        <v>449</v>
      </c>
      <c r="C123" s="4" t="s">
        <v>534</v>
      </c>
      <c r="D123" s="17" t="s">
        <v>58</v>
      </c>
      <c r="F123" s="15" t="s">
        <v>400</v>
      </c>
      <c r="G123" s="15" t="s">
        <v>401</v>
      </c>
      <c r="H123" s="15" t="s">
        <v>402</v>
      </c>
      <c r="I123" s="25"/>
      <c r="J123" s="1">
        <f t="shared" si="7"/>
        <v>9</v>
      </c>
      <c r="S123" s="69"/>
    </row>
    <row r="124" spans="1:19" ht="15.75" thickBot="1">
      <c r="A124" s="7" t="s">
        <v>390</v>
      </c>
      <c r="B124" s="4" t="s">
        <v>902</v>
      </c>
      <c r="C124" s="4" t="s">
        <v>27</v>
      </c>
      <c r="D124" s="17" t="s">
        <v>58</v>
      </c>
      <c r="F124" s="15" t="s">
        <v>400</v>
      </c>
      <c r="G124" s="15" t="s">
        <v>401</v>
      </c>
      <c r="H124" s="15" t="s">
        <v>402</v>
      </c>
      <c r="I124" s="25"/>
      <c r="J124" s="1">
        <f t="shared" si="7"/>
        <v>9</v>
      </c>
      <c r="S124" s="69"/>
    </row>
    <row r="125" spans="1:19" ht="15.75" thickBot="1">
      <c r="A125" s="7" t="s">
        <v>390</v>
      </c>
      <c r="B125" s="4" t="s">
        <v>867</v>
      </c>
      <c r="C125" s="4" t="s">
        <v>5</v>
      </c>
      <c r="D125" s="17" t="s">
        <v>58</v>
      </c>
      <c r="F125" s="15" t="s">
        <v>400</v>
      </c>
      <c r="G125" s="15" t="s">
        <v>401</v>
      </c>
      <c r="H125" s="15" t="s">
        <v>402</v>
      </c>
      <c r="I125" s="25"/>
      <c r="J125" s="1">
        <f t="shared" si="7"/>
        <v>9</v>
      </c>
      <c r="S125" s="69"/>
    </row>
    <row r="126" spans="1:19" ht="15.75" thickBot="1">
      <c r="A126" s="14"/>
      <c r="B126" s="14"/>
      <c r="C126" s="14"/>
      <c r="D126" s="18"/>
      <c r="E126" s="18"/>
      <c r="F126" s="18"/>
      <c r="G126" s="18"/>
      <c r="H126" s="18"/>
      <c r="I126" s="18"/>
      <c r="J126" s="18"/>
      <c r="S126" s="69"/>
    </row>
    <row r="127" spans="1:19" ht="15.75" thickBot="1">
      <c r="A127" s="7">
        <f>_xlfn.XLOOKUP(B127,'2024 Draft'!C:C,'2024 Draft'!A:A)</f>
        <v>4</v>
      </c>
      <c r="B127" s="4" t="s">
        <v>559</v>
      </c>
      <c r="C127" s="8" t="s">
        <v>5</v>
      </c>
      <c r="D127" s="17" t="s">
        <v>97</v>
      </c>
      <c r="F127" s="15" t="s">
        <v>400</v>
      </c>
      <c r="G127" s="15" t="s">
        <v>401</v>
      </c>
      <c r="H127" s="15" t="s">
        <v>402</v>
      </c>
      <c r="I127" s="25"/>
      <c r="J127" s="1">
        <f>IF(A127="FA",9,A127-1)</f>
        <v>3</v>
      </c>
      <c r="S127" s="69"/>
    </row>
    <row r="128" spans="1:19" ht="15.75" thickBot="1">
      <c r="A128" s="7" t="s">
        <v>390</v>
      </c>
      <c r="B128" s="4" t="s">
        <v>848</v>
      </c>
      <c r="C128" s="4" t="s">
        <v>10</v>
      </c>
      <c r="D128" s="17" t="s">
        <v>97</v>
      </c>
      <c r="F128" s="15" t="s">
        <v>400</v>
      </c>
      <c r="G128" s="15" t="s">
        <v>401</v>
      </c>
      <c r="H128" s="15" t="s">
        <v>402</v>
      </c>
      <c r="I128" s="25"/>
      <c r="J128" s="1">
        <f t="shared" ref="J128:J143" si="8">IF(A128="FA",9,A128-1)</f>
        <v>9</v>
      </c>
      <c r="S128" s="69"/>
    </row>
    <row r="129" spans="1:19" ht="15.75" thickBot="1">
      <c r="A129" s="7" t="s">
        <v>390</v>
      </c>
      <c r="B129" s="4" t="s">
        <v>1079</v>
      </c>
      <c r="C129" s="4" t="s">
        <v>10</v>
      </c>
      <c r="D129" s="17" t="s">
        <v>97</v>
      </c>
      <c r="F129" s="15" t="s">
        <v>400</v>
      </c>
      <c r="G129" s="15" t="s">
        <v>401</v>
      </c>
      <c r="H129" s="15" t="s">
        <v>402</v>
      </c>
      <c r="I129" s="25"/>
      <c r="J129" s="1">
        <f t="shared" si="8"/>
        <v>9</v>
      </c>
      <c r="K129" t="s">
        <v>1100</v>
      </c>
      <c r="L129" s="25"/>
      <c r="S129" s="69"/>
    </row>
    <row r="130" spans="1:19" ht="15.75" thickBot="1">
      <c r="A130" s="7">
        <f>_xlfn.XLOOKUP(B130,'2024 Draft'!C:C,'2024 Draft'!A:A)</f>
        <v>7</v>
      </c>
      <c r="B130" s="4" t="s">
        <v>985</v>
      </c>
      <c r="C130" s="4" t="s">
        <v>2</v>
      </c>
      <c r="D130" s="17" t="s">
        <v>97</v>
      </c>
      <c r="F130" s="15" t="s">
        <v>400</v>
      </c>
      <c r="G130" s="15" t="s">
        <v>401</v>
      </c>
      <c r="H130" s="15" t="s">
        <v>402</v>
      </c>
      <c r="I130" s="25"/>
      <c r="J130" s="1">
        <f t="shared" si="8"/>
        <v>6</v>
      </c>
      <c r="S130" s="69"/>
    </row>
    <row r="131" spans="1:19" ht="15.75" thickBot="1">
      <c r="A131" s="7">
        <f>_xlfn.XLOOKUP(B131,'2024 Draft'!C:C,'2024 Draft'!A:A)</f>
        <v>9</v>
      </c>
      <c r="B131" s="4" t="s">
        <v>1080</v>
      </c>
      <c r="C131" s="4" t="s">
        <v>2</v>
      </c>
      <c r="D131" s="17" t="s">
        <v>97</v>
      </c>
      <c r="F131" s="15" t="s">
        <v>400</v>
      </c>
      <c r="G131" s="15" t="s">
        <v>401</v>
      </c>
      <c r="H131" s="15" t="s">
        <v>402</v>
      </c>
      <c r="I131" s="25"/>
      <c r="J131" s="1">
        <f t="shared" si="8"/>
        <v>8</v>
      </c>
      <c r="S131" s="69"/>
    </row>
    <row r="132" spans="1:19" ht="15.75" thickBot="1">
      <c r="A132" s="7" t="s">
        <v>390</v>
      </c>
      <c r="B132" s="4" t="s">
        <v>904</v>
      </c>
      <c r="C132" s="4" t="s">
        <v>27</v>
      </c>
      <c r="D132" s="17" t="s">
        <v>97</v>
      </c>
      <c r="F132" s="15" t="s">
        <v>400</v>
      </c>
      <c r="G132" s="15" t="s">
        <v>401</v>
      </c>
      <c r="H132" s="15" t="s">
        <v>402</v>
      </c>
      <c r="I132" s="25"/>
      <c r="J132" s="1">
        <f t="shared" si="8"/>
        <v>9</v>
      </c>
      <c r="S132" s="69"/>
    </row>
    <row r="133" spans="1:19" ht="15.75" thickBot="1">
      <c r="A133" s="7" t="s">
        <v>390</v>
      </c>
      <c r="B133" s="4" t="s">
        <v>693</v>
      </c>
      <c r="C133" s="4" t="s">
        <v>10</v>
      </c>
      <c r="D133" s="17" t="s">
        <v>97</v>
      </c>
      <c r="F133" s="15" t="s">
        <v>400</v>
      </c>
      <c r="G133" s="15" t="s">
        <v>401</v>
      </c>
      <c r="H133" s="15" t="s">
        <v>402</v>
      </c>
      <c r="I133" s="25"/>
      <c r="J133" s="1">
        <f t="shared" si="8"/>
        <v>9</v>
      </c>
      <c r="S133" s="69"/>
    </row>
    <row r="134" spans="1:19" ht="15.75" thickBot="1">
      <c r="A134" s="7" t="s">
        <v>390</v>
      </c>
      <c r="B134" s="4" t="s">
        <v>1065</v>
      </c>
      <c r="C134" s="4" t="s">
        <v>10</v>
      </c>
      <c r="D134" s="17" t="s">
        <v>97</v>
      </c>
      <c r="F134" s="15" t="s">
        <v>400</v>
      </c>
      <c r="G134" s="15" t="s">
        <v>401</v>
      </c>
      <c r="H134" s="15" t="s">
        <v>402</v>
      </c>
      <c r="I134" s="25"/>
      <c r="J134" s="1">
        <f t="shared" si="8"/>
        <v>9</v>
      </c>
      <c r="S134" s="69"/>
    </row>
    <row r="135" spans="1:19" ht="15.75" thickBot="1">
      <c r="A135" s="7">
        <v>16</v>
      </c>
      <c r="B135" s="4" t="s">
        <v>379</v>
      </c>
      <c r="C135" s="4" t="s">
        <v>534</v>
      </c>
      <c r="D135" s="17" t="s">
        <v>97</v>
      </c>
      <c r="F135" s="15" t="s">
        <v>400</v>
      </c>
      <c r="G135" s="15" t="s">
        <v>401</v>
      </c>
      <c r="H135" s="15" t="s">
        <v>402</v>
      </c>
      <c r="I135" s="25"/>
      <c r="J135" s="1">
        <f t="shared" si="8"/>
        <v>15</v>
      </c>
      <c r="S135" s="69"/>
    </row>
    <row r="136" spans="1:19" ht="15.75" thickBot="1">
      <c r="A136" s="7">
        <f>_xlfn.XLOOKUP(B136,'2024 Draft'!C:C,'2024 Draft'!A:A)</f>
        <v>6</v>
      </c>
      <c r="B136" s="4" t="s">
        <v>416</v>
      </c>
      <c r="C136" s="4" t="s">
        <v>27</v>
      </c>
      <c r="D136" s="17" t="s">
        <v>97</v>
      </c>
      <c r="F136" s="15" t="s">
        <v>400</v>
      </c>
      <c r="G136" s="15" t="s">
        <v>401</v>
      </c>
      <c r="H136" s="15" t="s">
        <v>402</v>
      </c>
      <c r="I136" s="25"/>
      <c r="J136" s="1">
        <f t="shared" si="8"/>
        <v>5</v>
      </c>
      <c r="S136" s="69"/>
    </row>
    <row r="137" spans="1:19" ht="15.75" thickBot="1">
      <c r="A137" s="7">
        <f>_xlfn.XLOOKUP(B137,'2024 Draft'!C:C,'2024 Draft'!A:A)</f>
        <v>8</v>
      </c>
      <c r="B137" s="4" t="s">
        <v>878</v>
      </c>
      <c r="C137" s="4" t="s">
        <v>10</v>
      </c>
      <c r="D137" s="17" t="s">
        <v>97</v>
      </c>
      <c r="F137" s="15" t="s">
        <v>400</v>
      </c>
      <c r="G137" s="15" t="s">
        <v>401</v>
      </c>
      <c r="H137" s="15" t="s">
        <v>402</v>
      </c>
      <c r="I137" s="25"/>
      <c r="J137" s="1">
        <f t="shared" si="8"/>
        <v>7</v>
      </c>
      <c r="S137" s="69"/>
    </row>
    <row r="138" spans="1:19" ht="15.75" thickBot="1">
      <c r="A138" s="7">
        <f>_xlfn.XLOOKUP(B138,'2024 Draft'!C:C,'2024 Draft'!A:A)</f>
        <v>14</v>
      </c>
      <c r="B138" s="4" t="s">
        <v>834</v>
      </c>
      <c r="C138" s="4" t="s">
        <v>10</v>
      </c>
      <c r="D138" s="17" t="s">
        <v>97</v>
      </c>
      <c r="F138" s="15" t="s">
        <v>400</v>
      </c>
      <c r="G138" s="15" t="s">
        <v>401</v>
      </c>
      <c r="H138" s="15" t="s">
        <v>402</v>
      </c>
      <c r="I138" s="25"/>
      <c r="J138" s="1">
        <f t="shared" si="8"/>
        <v>13</v>
      </c>
      <c r="S138" s="69"/>
    </row>
    <row r="139" spans="1:19" ht="15.75" thickBot="1">
      <c r="A139" s="7" t="s">
        <v>390</v>
      </c>
      <c r="B139" s="4" t="s">
        <v>1081</v>
      </c>
      <c r="C139" s="4" t="s">
        <v>2</v>
      </c>
      <c r="D139" s="17" t="s">
        <v>97</v>
      </c>
      <c r="F139" s="15" t="s">
        <v>400</v>
      </c>
      <c r="G139" s="15" t="s">
        <v>401</v>
      </c>
      <c r="H139" s="15" t="s">
        <v>402</v>
      </c>
      <c r="I139" s="25"/>
      <c r="J139" s="1">
        <f t="shared" si="8"/>
        <v>9</v>
      </c>
      <c r="S139" s="69"/>
    </row>
    <row r="140" spans="1:19" ht="15.75" thickBot="1">
      <c r="A140" s="7" t="s">
        <v>390</v>
      </c>
      <c r="B140" s="4" t="s">
        <v>612</v>
      </c>
      <c r="C140" s="4" t="s">
        <v>10</v>
      </c>
      <c r="D140" s="17" t="s">
        <v>97</v>
      </c>
      <c r="F140" s="15" t="s">
        <v>400</v>
      </c>
      <c r="G140" s="15" t="s">
        <v>401</v>
      </c>
      <c r="H140" s="15" t="s">
        <v>402</v>
      </c>
      <c r="I140" s="25"/>
      <c r="J140" s="1">
        <f t="shared" si="8"/>
        <v>9</v>
      </c>
      <c r="S140" s="69"/>
    </row>
    <row r="141" spans="1:19" ht="15.75" thickBot="1">
      <c r="A141" s="7" t="s">
        <v>390</v>
      </c>
      <c r="B141" s="4" t="s">
        <v>1082</v>
      </c>
      <c r="C141" s="4" t="s">
        <v>2</v>
      </c>
      <c r="D141" s="17" t="s">
        <v>97</v>
      </c>
      <c r="F141" s="15" t="s">
        <v>400</v>
      </c>
      <c r="G141" s="15" t="s">
        <v>401</v>
      </c>
      <c r="H141" s="15" t="s">
        <v>402</v>
      </c>
      <c r="I141" s="25"/>
      <c r="J141" s="1">
        <f t="shared" si="8"/>
        <v>9</v>
      </c>
      <c r="S141" s="69"/>
    </row>
    <row r="142" spans="1:19" ht="15.75" thickBot="1">
      <c r="A142" s="7" t="s">
        <v>390</v>
      </c>
      <c r="B142" s="4" t="s">
        <v>872</v>
      </c>
      <c r="C142" s="4" t="s">
        <v>2</v>
      </c>
      <c r="D142" s="17" t="s">
        <v>97</v>
      </c>
      <c r="F142" s="15" t="s">
        <v>400</v>
      </c>
      <c r="G142" s="15" t="s">
        <v>401</v>
      </c>
      <c r="H142" s="15" t="s">
        <v>402</v>
      </c>
      <c r="I142" s="25"/>
      <c r="J142" s="1">
        <f t="shared" si="8"/>
        <v>9</v>
      </c>
      <c r="S142" s="69"/>
    </row>
    <row r="143" spans="1:19" ht="15.75" thickBot="1">
      <c r="A143" s="7">
        <f>_xlfn.XLOOKUP(B143,'2024 Draft'!C:C,'2024 Draft'!A:A)</f>
        <v>3</v>
      </c>
      <c r="B143" s="4" t="s">
        <v>118</v>
      </c>
      <c r="C143" s="4" t="s">
        <v>2</v>
      </c>
      <c r="D143" s="17" t="s">
        <v>97</v>
      </c>
      <c r="F143" s="15" t="s">
        <v>400</v>
      </c>
      <c r="G143" s="15" t="s">
        <v>401</v>
      </c>
      <c r="H143" s="15" t="s">
        <v>402</v>
      </c>
      <c r="I143" s="25"/>
      <c r="J143" s="1">
        <f t="shared" si="8"/>
        <v>2</v>
      </c>
      <c r="S143" s="69"/>
    </row>
    <row r="144" spans="1:19" ht="15.75" thickBot="1">
      <c r="A144" s="14"/>
      <c r="B144" s="14"/>
      <c r="C144" s="14"/>
      <c r="D144" s="18"/>
      <c r="E144" s="18"/>
      <c r="F144" s="18"/>
      <c r="G144" s="18"/>
      <c r="H144" s="18"/>
      <c r="I144" s="18"/>
      <c r="J144" s="18"/>
      <c r="S144" s="69"/>
    </row>
    <row r="145" spans="1:19" ht="15.75" thickBot="1">
      <c r="A145" s="7" t="s">
        <v>390</v>
      </c>
      <c r="B145" s="4" t="s">
        <v>96</v>
      </c>
      <c r="C145" s="8" t="s">
        <v>5</v>
      </c>
      <c r="D145" s="17" t="s">
        <v>181</v>
      </c>
      <c r="F145" s="15" t="s">
        <v>400</v>
      </c>
      <c r="G145" s="15" t="s">
        <v>401</v>
      </c>
      <c r="H145" s="15" t="s">
        <v>402</v>
      </c>
      <c r="I145" s="25"/>
      <c r="J145" s="1">
        <f>IF(A145="FA",9,A145-1)</f>
        <v>9</v>
      </c>
      <c r="S145" s="69"/>
    </row>
    <row r="146" spans="1:19" ht="15.75" thickBot="1">
      <c r="A146" s="7">
        <f>_xlfn.XLOOKUP(B146,'2024 Draft'!C:C,'2024 Draft'!A:A)</f>
        <v>1</v>
      </c>
      <c r="B146" s="4" t="s">
        <v>852</v>
      </c>
      <c r="C146" s="4" t="s">
        <v>10</v>
      </c>
      <c r="D146" s="17" t="s">
        <v>181</v>
      </c>
      <c r="F146" s="15" t="s">
        <v>400</v>
      </c>
      <c r="G146" s="15" t="s">
        <v>401</v>
      </c>
      <c r="H146" s="15" t="s">
        <v>402</v>
      </c>
      <c r="I146" s="25"/>
      <c r="J146" s="1">
        <f t="shared" ref="J146:J160" si="9">IF(A146="FA",9,A146-1)</f>
        <v>0</v>
      </c>
      <c r="S146" s="69"/>
    </row>
    <row r="147" spans="1:19" ht="15.75" thickBot="1">
      <c r="A147" s="7">
        <f>_xlfn.XLOOKUP(B147,'2024 Draft'!C:C,'2024 Draft'!A:A)</f>
        <v>5</v>
      </c>
      <c r="B147" s="4" t="s">
        <v>510</v>
      </c>
      <c r="C147" s="4" t="s">
        <v>10</v>
      </c>
      <c r="D147" s="17" t="s">
        <v>181</v>
      </c>
      <c r="F147" s="15" t="s">
        <v>400</v>
      </c>
      <c r="G147" s="15" t="s">
        <v>401</v>
      </c>
      <c r="H147" s="15" t="s">
        <v>402</v>
      </c>
      <c r="I147" s="25"/>
      <c r="J147" s="1">
        <f t="shared" si="9"/>
        <v>4</v>
      </c>
      <c r="S147" s="69"/>
    </row>
    <row r="148" spans="1:19" ht="15.75" thickBot="1">
      <c r="A148" s="7" t="s">
        <v>390</v>
      </c>
      <c r="B148" s="4" t="s">
        <v>1089</v>
      </c>
      <c r="C148" s="4" t="s">
        <v>2</v>
      </c>
      <c r="D148" s="17" t="s">
        <v>181</v>
      </c>
      <c r="F148" s="15" t="s">
        <v>400</v>
      </c>
      <c r="G148" s="15" t="s">
        <v>401</v>
      </c>
      <c r="H148" s="15" t="s">
        <v>402</v>
      </c>
      <c r="I148" s="25"/>
      <c r="J148" s="1">
        <f t="shared" si="9"/>
        <v>9</v>
      </c>
      <c r="S148" s="69"/>
    </row>
    <row r="149" spans="1:19" ht="15.75" thickBot="1">
      <c r="A149" s="7">
        <f>_xlfn.XLOOKUP(B149,'2024 Draft'!C:C,'2024 Draft'!A:A)</f>
        <v>1</v>
      </c>
      <c r="B149" s="4" t="s">
        <v>168</v>
      </c>
      <c r="C149" s="4" t="s">
        <v>2</v>
      </c>
      <c r="D149" s="17" t="s">
        <v>181</v>
      </c>
      <c r="F149" s="15" t="s">
        <v>400</v>
      </c>
      <c r="G149" s="15" t="s">
        <v>401</v>
      </c>
      <c r="H149" s="15" t="s">
        <v>402</v>
      </c>
      <c r="I149" s="25"/>
      <c r="J149" s="1">
        <f t="shared" si="9"/>
        <v>0</v>
      </c>
      <c r="K149" t="s">
        <v>1100</v>
      </c>
      <c r="S149" s="69"/>
    </row>
    <row r="150" spans="1:19" ht="15.75" thickBot="1">
      <c r="A150" s="7">
        <f>_xlfn.XLOOKUP(B150,'2024 Draft'!C:C,'2024 Draft'!A:A)</f>
        <v>10</v>
      </c>
      <c r="B150" s="4" t="s">
        <v>918</v>
      </c>
      <c r="C150" s="8" t="s">
        <v>27</v>
      </c>
      <c r="D150" s="16" t="s">
        <v>181</v>
      </c>
      <c r="F150" s="15" t="s">
        <v>401</v>
      </c>
      <c r="G150" s="15" t="s">
        <v>402</v>
      </c>
      <c r="H150" s="15" t="s">
        <v>387</v>
      </c>
      <c r="I150" s="25"/>
      <c r="J150" s="1">
        <f t="shared" si="9"/>
        <v>9</v>
      </c>
      <c r="L150" s="2" t="s">
        <v>1108</v>
      </c>
      <c r="S150" s="69"/>
    </row>
    <row r="151" spans="1:19" ht="15.75" thickBot="1">
      <c r="A151" s="7">
        <f>_xlfn.XLOOKUP(B151,'2024 Draft'!C:C,'2024 Draft'!A:A)</f>
        <v>14</v>
      </c>
      <c r="B151" s="4" t="s">
        <v>733</v>
      </c>
      <c r="C151" s="4" t="s">
        <v>2</v>
      </c>
      <c r="D151" s="17" t="s">
        <v>181</v>
      </c>
      <c r="F151" s="15" t="s">
        <v>400</v>
      </c>
      <c r="G151" s="15" t="s">
        <v>401</v>
      </c>
      <c r="H151" s="15" t="s">
        <v>402</v>
      </c>
      <c r="I151" s="25"/>
      <c r="J151" s="1">
        <f t="shared" si="9"/>
        <v>13</v>
      </c>
      <c r="S151" s="69"/>
    </row>
    <row r="152" spans="1:19" ht="15.75" thickBot="1">
      <c r="A152" s="7" t="s">
        <v>390</v>
      </c>
      <c r="B152" s="4" t="s">
        <v>703</v>
      </c>
      <c r="C152" s="4" t="s">
        <v>2</v>
      </c>
      <c r="D152" s="17" t="s">
        <v>181</v>
      </c>
      <c r="F152" s="15" t="s">
        <v>400</v>
      </c>
      <c r="G152" s="15" t="s">
        <v>401</v>
      </c>
      <c r="H152" s="15" t="s">
        <v>402</v>
      </c>
      <c r="I152" s="25"/>
      <c r="J152" s="1">
        <f t="shared" si="9"/>
        <v>9</v>
      </c>
      <c r="S152" s="69"/>
    </row>
    <row r="153" spans="1:19" ht="15.75" thickBot="1">
      <c r="A153" s="7" t="s">
        <v>390</v>
      </c>
      <c r="B153" s="4" t="s">
        <v>432</v>
      </c>
      <c r="C153" s="4" t="s">
        <v>534</v>
      </c>
      <c r="D153" s="17" t="s">
        <v>181</v>
      </c>
      <c r="F153" s="15" t="s">
        <v>400</v>
      </c>
      <c r="G153" s="15" t="s">
        <v>401</v>
      </c>
      <c r="H153" s="15" t="s">
        <v>402</v>
      </c>
      <c r="I153" s="25"/>
      <c r="J153" s="1">
        <f t="shared" si="9"/>
        <v>9</v>
      </c>
      <c r="S153" s="69"/>
    </row>
    <row r="154" spans="1:19" ht="15.75" thickBot="1">
      <c r="A154" s="7">
        <f>_xlfn.XLOOKUP(B154,'2024 Draft'!C:C,'2024 Draft'!A:A)</f>
        <v>2</v>
      </c>
      <c r="B154" s="4" t="s">
        <v>650</v>
      </c>
      <c r="C154" s="4" t="s">
        <v>2</v>
      </c>
      <c r="D154" s="17" t="s">
        <v>181</v>
      </c>
      <c r="F154" s="15" t="s">
        <v>400</v>
      </c>
      <c r="G154" s="15" t="s">
        <v>401</v>
      </c>
      <c r="H154" s="15" t="s">
        <v>402</v>
      </c>
      <c r="I154" s="25"/>
      <c r="J154" s="1">
        <f t="shared" si="9"/>
        <v>1</v>
      </c>
      <c r="S154" s="69"/>
    </row>
    <row r="155" spans="1:19" ht="15.75" thickBot="1">
      <c r="A155" s="7">
        <f>_xlfn.XLOOKUP(B155,'2024 Draft'!C:C,'2024 Draft'!A:A)</f>
        <v>3</v>
      </c>
      <c r="B155" s="4" t="s">
        <v>735</v>
      </c>
      <c r="C155" s="4" t="s">
        <v>5</v>
      </c>
      <c r="D155" s="17" t="s">
        <v>181</v>
      </c>
      <c r="F155" s="15" t="s">
        <v>400</v>
      </c>
      <c r="G155" s="15" t="s">
        <v>401</v>
      </c>
      <c r="H155" s="15" t="s">
        <v>402</v>
      </c>
      <c r="I155" s="25"/>
      <c r="J155" s="1">
        <f t="shared" si="9"/>
        <v>2</v>
      </c>
      <c r="S155" s="69"/>
    </row>
    <row r="156" spans="1:19" ht="15.75" thickBot="1">
      <c r="A156" s="7">
        <f>_xlfn.XLOOKUP(B156,'2024 Draft'!C:C,'2024 Draft'!A:A)</f>
        <v>8</v>
      </c>
      <c r="B156" s="4" t="s">
        <v>992</v>
      </c>
      <c r="C156" s="4" t="s">
        <v>2</v>
      </c>
      <c r="D156" s="17" t="s">
        <v>181</v>
      </c>
      <c r="F156" s="15" t="s">
        <v>400</v>
      </c>
      <c r="G156" s="15" t="s">
        <v>401</v>
      </c>
      <c r="H156" s="15" t="s">
        <v>402</v>
      </c>
      <c r="I156" s="25"/>
      <c r="J156" s="1">
        <f t="shared" si="9"/>
        <v>7</v>
      </c>
      <c r="S156" s="69"/>
    </row>
    <row r="157" spans="1:19" ht="15.75" thickBot="1">
      <c r="A157" s="7" t="s">
        <v>390</v>
      </c>
      <c r="B157" s="4" t="s">
        <v>1090</v>
      </c>
      <c r="C157" s="4" t="s">
        <v>10</v>
      </c>
      <c r="D157" s="17" t="s">
        <v>181</v>
      </c>
      <c r="F157" s="15" t="s">
        <v>400</v>
      </c>
      <c r="G157" s="15" t="s">
        <v>401</v>
      </c>
      <c r="H157" s="15" t="s">
        <v>402</v>
      </c>
      <c r="I157" s="25"/>
      <c r="J157" s="1">
        <f t="shared" si="9"/>
        <v>9</v>
      </c>
      <c r="S157" s="69"/>
    </row>
    <row r="158" spans="1:19" ht="15.75" thickBot="1">
      <c r="A158" s="7">
        <f>_xlfn.XLOOKUP(B158,'2024 Draft'!C:C,'2024 Draft'!A:A)</f>
        <v>4</v>
      </c>
      <c r="B158" s="4" t="s">
        <v>150</v>
      </c>
      <c r="C158" s="4" t="s">
        <v>2</v>
      </c>
      <c r="D158" s="17" t="s">
        <v>181</v>
      </c>
      <c r="F158" s="15" t="s">
        <v>400</v>
      </c>
      <c r="G158" s="15" t="s">
        <v>401</v>
      </c>
      <c r="H158" s="15" t="s">
        <v>402</v>
      </c>
      <c r="I158" s="25"/>
      <c r="J158" s="1">
        <f t="shared" si="9"/>
        <v>3</v>
      </c>
      <c r="K158" t="s">
        <v>1100</v>
      </c>
      <c r="S158" s="69"/>
    </row>
    <row r="159" spans="1:19" ht="15.75" thickBot="1">
      <c r="A159" s="7">
        <f>_xlfn.XLOOKUP(B159,'2024 Draft'!C:C,'2024 Draft'!A:A)</f>
        <v>4</v>
      </c>
      <c r="B159" s="4" t="s">
        <v>958</v>
      </c>
      <c r="C159" s="4" t="s">
        <v>10</v>
      </c>
      <c r="D159" s="17" t="s">
        <v>181</v>
      </c>
      <c r="F159" s="15" t="s">
        <v>400</v>
      </c>
      <c r="G159" s="15" t="s">
        <v>401</v>
      </c>
      <c r="H159" s="15" t="s">
        <v>402</v>
      </c>
      <c r="I159" s="25"/>
      <c r="J159" s="1">
        <f t="shared" si="9"/>
        <v>3</v>
      </c>
      <c r="K159" t="s">
        <v>1100</v>
      </c>
      <c r="S159" s="69"/>
    </row>
    <row r="160" spans="1:19" ht="15.75" thickBot="1">
      <c r="A160" s="7" t="s">
        <v>390</v>
      </c>
      <c r="B160" s="4" t="s">
        <v>1029</v>
      </c>
      <c r="C160" s="4" t="s">
        <v>10</v>
      </c>
      <c r="D160" s="17" t="s">
        <v>181</v>
      </c>
      <c r="F160" s="15" t="s">
        <v>400</v>
      </c>
      <c r="G160" s="15" t="s">
        <v>401</v>
      </c>
      <c r="H160" s="15" t="s">
        <v>402</v>
      </c>
      <c r="I160" s="25"/>
      <c r="J160" s="1">
        <f t="shared" si="9"/>
        <v>9</v>
      </c>
      <c r="S160" s="69"/>
    </row>
    <row r="161" spans="1:19" ht="15.75" thickBot="1">
      <c r="A161" s="14"/>
      <c r="B161" s="14"/>
      <c r="C161" s="14"/>
      <c r="D161" s="18"/>
      <c r="E161" s="18"/>
      <c r="F161" s="18"/>
      <c r="G161" s="18"/>
      <c r="H161" s="18"/>
      <c r="I161" s="18"/>
      <c r="J161" s="18"/>
      <c r="S161" s="69"/>
    </row>
    <row r="162" spans="1:19" ht="15.75" thickBot="1">
      <c r="A162" s="7">
        <f>_xlfn.XLOOKUP(B162,'2024 Draft'!C:C,'2024 Draft'!A:A)</f>
        <v>5</v>
      </c>
      <c r="B162" s="4" t="s">
        <v>596</v>
      </c>
      <c r="C162" s="8" t="s">
        <v>5</v>
      </c>
      <c r="D162" s="17" t="s">
        <v>37</v>
      </c>
      <c r="F162" s="15" t="s">
        <v>400</v>
      </c>
      <c r="G162" s="15" t="s">
        <v>401</v>
      </c>
      <c r="H162" s="15" t="s">
        <v>402</v>
      </c>
      <c r="I162" s="25"/>
      <c r="J162" s="1">
        <f>IF(A162="FA",9,A162-1)</f>
        <v>4</v>
      </c>
      <c r="S162" s="69"/>
    </row>
    <row r="163" spans="1:19" ht="15.75" thickBot="1">
      <c r="A163" s="7">
        <f>_xlfn.XLOOKUP(B163,'2024 Draft'!C:C,'2024 Draft'!A:A)</f>
        <v>5</v>
      </c>
      <c r="B163" s="4" t="s">
        <v>761</v>
      </c>
      <c r="C163" s="4" t="s">
        <v>10</v>
      </c>
      <c r="D163" s="17" t="s">
        <v>37</v>
      </c>
      <c r="F163" s="15" t="s">
        <v>400</v>
      </c>
      <c r="G163" s="15" t="s">
        <v>401</v>
      </c>
      <c r="H163" s="15" t="s">
        <v>402</v>
      </c>
      <c r="I163" s="25"/>
      <c r="J163" s="1">
        <f t="shared" ref="J163:J178" si="10">IF(A163="FA",9,A163-1)</f>
        <v>4</v>
      </c>
      <c r="S163" s="69"/>
    </row>
    <row r="164" spans="1:19" ht="15.75" thickBot="1">
      <c r="A164" s="7">
        <f>_xlfn.XLOOKUP(B164,'2024 Draft'!C:C,'2024 Draft'!A:A)</f>
        <v>13</v>
      </c>
      <c r="B164" s="4" t="s">
        <v>842</v>
      </c>
      <c r="C164" s="4" t="s">
        <v>10</v>
      </c>
      <c r="D164" s="17" t="s">
        <v>37</v>
      </c>
      <c r="F164" s="15" t="s">
        <v>400</v>
      </c>
      <c r="G164" s="15" t="s">
        <v>401</v>
      </c>
      <c r="H164" s="15" t="s">
        <v>402</v>
      </c>
      <c r="I164" s="25"/>
      <c r="J164" s="1">
        <f t="shared" si="10"/>
        <v>12</v>
      </c>
      <c r="S164" s="69"/>
    </row>
    <row r="165" spans="1:19" ht="15.75" thickBot="1">
      <c r="A165" s="7">
        <f>_xlfn.XLOOKUP(B165,'2024 Draft'!C:C,'2024 Draft'!A:A)</f>
        <v>2</v>
      </c>
      <c r="B165" s="4" t="s">
        <v>1083</v>
      </c>
      <c r="C165" s="4" t="s">
        <v>2</v>
      </c>
      <c r="D165" s="17" t="s">
        <v>37</v>
      </c>
      <c r="F165" s="15" t="s">
        <v>400</v>
      </c>
      <c r="G165" s="15" t="s">
        <v>401</v>
      </c>
      <c r="H165" s="15" t="s">
        <v>402</v>
      </c>
      <c r="I165" s="25"/>
      <c r="J165" s="1">
        <f t="shared" si="10"/>
        <v>1</v>
      </c>
      <c r="S165" s="69"/>
    </row>
    <row r="166" spans="1:19" ht="15.75" thickBot="1">
      <c r="A166" s="7">
        <f>_xlfn.XLOOKUP(B166,'2024 Draft'!C:C,'2024 Draft'!A:A)</f>
        <v>6</v>
      </c>
      <c r="B166" s="4" t="s">
        <v>499</v>
      </c>
      <c r="C166" s="8" t="s">
        <v>2</v>
      </c>
      <c r="D166" s="16" t="s">
        <v>37</v>
      </c>
      <c r="F166" s="15" t="s">
        <v>401</v>
      </c>
      <c r="G166" s="15" t="s">
        <v>402</v>
      </c>
      <c r="H166" s="15" t="s">
        <v>387</v>
      </c>
      <c r="I166" s="25"/>
      <c r="J166" s="1">
        <f t="shared" si="10"/>
        <v>5</v>
      </c>
      <c r="L166" s="25" t="s">
        <v>1108</v>
      </c>
      <c r="S166" s="69"/>
    </row>
    <row r="167" spans="1:19" ht="15.75" thickBot="1">
      <c r="A167" s="7" t="s">
        <v>390</v>
      </c>
      <c r="B167" s="4" t="s">
        <v>556</v>
      </c>
      <c r="C167" s="4" t="s">
        <v>27</v>
      </c>
      <c r="D167" s="17" t="s">
        <v>37</v>
      </c>
      <c r="F167" s="15" t="s">
        <v>400</v>
      </c>
      <c r="G167" s="15" t="s">
        <v>401</v>
      </c>
      <c r="H167" s="15" t="s">
        <v>402</v>
      </c>
      <c r="I167" s="25"/>
      <c r="J167" s="1">
        <f t="shared" si="10"/>
        <v>9</v>
      </c>
      <c r="L167" s="25"/>
      <c r="S167" s="69"/>
    </row>
    <row r="168" spans="1:19" ht="15.75" thickBot="1">
      <c r="A168" s="7">
        <f>_xlfn.XLOOKUP(B168,'2024 Draft'!C:C,'2024 Draft'!A:A)</f>
        <v>10</v>
      </c>
      <c r="B168" s="4" t="s">
        <v>837</v>
      </c>
      <c r="C168" s="4" t="s">
        <v>2</v>
      </c>
      <c r="D168" s="17" t="s">
        <v>37</v>
      </c>
      <c r="F168" s="15" t="s">
        <v>400</v>
      </c>
      <c r="G168" s="15" t="s">
        <v>401</v>
      </c>
      <c r="H168" s="15" t="s">
        <v>402</v>
      </c>
      <c r="I168" s="25"/>
      <c r="J168" s="1">
        <f t="shared" si="10"/>
        <v>9</v>
      </c>
      <c r="L168"/>
      <c r="S168" s="69"/>
    </row>
    <row r="169" spans="1:19" ht="15.75" thickBot="1">
      <c r="A169" s="7">
        <f>_xlfn.XLOOKUP(B169,'2024 Draft'!C:C,'2024 Draft'!A:A)</f>
        <v>11</v>
      </c>
      <c r="B169" s="4" t="s">
        <v>843</v>
      </c>
      <c r="C169" s="8" t="s">
        <v>2</v>
      </c>
      <c r="D169" s="16" t="s">
        <v>37</v>
      </c>
      <c r="F169" s="15" t="s">
        <v>401</v>
      </c>
      <c r="G169" s="15" t="s">
        <v>402</v>
      </c>
      <c r="H169" s="15" t="s">
        <v>387</v>
      </c>
      <c r="I169" s="25"/>
      <c r="J169" s="1">
        <f t="shared" si="10"/>
        <v>10</v>
      </c>
      <c r="L169" s="25" t="s">
        <v>1108</v>
      </c>
      <c r="S169" s="69"/>
    </row>
    <row r="170" spans="1:19" ht="15.75" thickBot="1">
      <c r="A170" s="7" t="s">
        <v>390</v>
      </c>
      <c r="B170" s="4" t="s">
        <v>756</v>
      </c>
      <c r="C170" s="4" t="s">
        <v>534</v>
      </c>
      <c r="D170" s="17" t="s">
        <v>37</v>
      </c>
      <c r="F170" s="15" t="s">
        <v>400</v>
      </c>
      <c r="G170" s="15" t="s">
        <v>401</v>
      </c>
      <c r="H170" s="15" t="s">
        <v>402</v>
      </c>
      <c r="I170" s="25"/>
      <c r="J170" s="1">
        <f t="shared" si="10"/>
        <v>9</v>
      </c>
      <c r="S170" s="69"/>
    </row>
    <row r="171" spans="1:19" ht="15.75" thickBot="1">
      <c r="A171" s="7">
        <f>_xlfn.XLOOKUP(B171,'2024 Draft'!C:C,'2024 Draft'!A:A)</f>
        <v>13</v>
      </c>
      <c r="B171" s="4" t="s">
        <v>1040</v>
      </c>
      <c r="C171" s="4" t="s">
        <v>10</v>
      </c>
      <c r="D171" s="17" t="s">
        <v>37</v>
      </c>
      <c r="F171" s="15" t="s">
        <v>400</v>
      </c>
      <c r="G171" s="15" t="s">
        <v>401</v>
      </c>
      <c r="H171" s="15" t="s">
        <v>402</v>
      </c>
      <c r="I171" s="25"/>
      <c r="J171" s="1">
        <f t="shared" si="10"/>
        <v>12</v>
      </c>
      <c r="S171" s="69"/>
    </row>
    <row r="172" spans="1:19" ht="15.75" thickBot="1">
      <c r="A172" s="7" t="s">
        <v>390</v>
      </c>
      <c r="B172" s="4" t="s">
        <v>1017</v>
      </c>
      <c r="C172" s="4" t="s">
        <v>10</v>
      </c>
      <c r="D172" s="17" t="s">
        <v>37</v>
      </c>
      <c r="F172" s="15" t="s">
        <v>400</v>
      </c>
      <c r="G172" s="15" t="s">
        <v>401</v>
      </c>
      <c r="H172" s="15" t="s">
        <v>402</v>
      </c>
      <c r="I172" s="25"/>
      <c r="J172" s="1">
        <f t="shared" si="10"/>
        <v>9</v>
      </c>
      <c r="S172" s="69"/>
    </row>
    <row r="173" spans="1:19" ht="15.75" thickBot="1">
      <c r="A173" s="7" t="s">
        <v>390</v>
      </c>
      <c r="B173" s="4" t="s">
        <v>1084</v>
      </c>
      <c r="C173" s="4" t="s">
        <v>10</v>
      </c>
      <c r="D173" s="17" t="s">
        <v>37</v>
      </c>
      <c r="F173" s="15" t="s">
        <v>400</v>
      </c>
      <c r="G173" s="15" t="s">
        <v>401</v>
      </c>
      <c r="H173" s="15" t="s">
        <v>402</v>
      </c>
      <c r="I173" s="25"/>
      <c r="J173" s="1">
        <f t="shared" si="10"/>
        <v>9</v>
      </c>
      <c r="S173" s="69"/>
    </row>
    <row r="174" spans="1:19" ht="15.75" thickBot="1">
      <c r="A174" s="7" t="s">
        <v>390</v>
      </c>
      <c r="B174" s="4" t="s">
        <v>1043</v>
      </c>
      <c r="C174" s="4" t="s">
        <v>10</v>
      </c>
      <c r="D174" s="17" t="s">
        <v>37</v>
      </c>
      <c r="F174" s="15" t="s">
        <v>400</v>
      </c>
      <c r="G174" s="15" t="s">
        <v>401</v>
      </c>
      <c r="H174" s="15" t="s">
        <v>402</v>
      </c>
      <c r="I174" s="25"/>
      <c r="J174" s="1">
        <f t="shared" si="10"/>
        <v>9</v>
      </c>
      <c r="S174" s="69"/>
    </row>
    <row r="175" spans="1:19" ht="15.75" thickBot="1">
      <c r="A175" s="7" t="s">
        <v>390</v>
      </c>
      <c r="B175" s="4" t="s">
        <v>1013</v>
      </c>
      <c r="C175" s="4" t="s">
        <v>10</v>
      </c>
      <c r="D175" s="17" t="s">
        <v>37</v>
      </c>
      <c r="F175" s="15" t="s">
        <v>400</v>
      </c>
      <c r="G175" s="15" t="s">
        <v>401</v>
      </c>
      <c r="H175" s="15" t="s">
        <v>402</v>
      </c>
      <c r="I175" s="25"/>
      <c r="J175" s="1">
        <f t="shared" si="10"/>
        <v>9</v>
      </c>
      <c r="S175" s="69"/>
    </row>
    <row r="176" spans="1:19" ht="15.75" thickBot="1">
      <c r="A176" s="7" t="s">
        <v>390</v>
      </c>
      <c r="B176" s="4" t="s">
        <v>1085</v>
      </c>
      <c r="C176" s="4" t="s">
        <v>10</v>
      </c>
      <c r="D176" s="17" t="s">
        <v>37</v>
      </c>
      <c r="F176" s="15" t="s">
        <v>400</v>
      </c>
      <c r="G176" s="15" t="s">
        <v>401</v>
      </c>
      <c r="H176" s="15" t="s">
        <v>402</v>
      </c>
      <c r="I176" s="25"/>
      <c r="J176" s="1">
        <f t="shared" si="10"/>
        <v>9</v>
      </c>
      <c r="S176" s="69"/>
    </row>
    <row r="177" spans="1:19" ht="15.75" thickBot="1">
      <c r="A177" s="7" t="s">
        <v>390</v>
      </c>
      <c r="B177" s="4" t="s">
        <v>503</v>
      </c>
      <c r="C177" s="4" t="s">
        <v>2</v>
      </c>
      <c r="D177" s="17" t="s">
        <v>37</v>
      </c>
      <c r="F177" s="15" t="s">
        <v>400</v>
      </c>
      <c r="G177" s="15" t="s">
        <v>401</v>
      </c>
      <c r="H177" s="15" t="s">
        <v>402</v>
      </c>
      <c r="I177" s="25"/>
      <c r="J177" s="1">
        <f t="shared" si="10"/>
        <v>9</v>
      </c>
      <c r="S177" s="69"/>
    </row>
    <row r="178" spans="1:19" ht="15.75" thickBot="1">
      <c r="A178" s="7">
        <f>_xlfn.XLOOKUP(B178,'2024 Draft'!C:C,'2024 Draft'!A:A)</f>
        <v>1</v>
      </c>
      <c r="B178" s="66" t="s">
        <v>845</v>
      </c>
      <c r="C178" s="66" t="s">
        <v>2</v>
      </c>
      <c r="D178" s="67" t="s">
        <v>37</v>
      </c>
      <c r="F178" s="15" t="s">
        <v>400</v>
      </c>
      <c r="G178" s="15" t="s">
        <v>401</v>
      </c>
      <c r="H178" s="15" t="s">
        <v>402</v>
      </c>
      <c r="I178" s="25"/>
      <c r="J178" s="1">
        <f t="shared" si="10"/>
        <v>0</v>
      </c>
      <c r="S178" s="69"/>
    </row>
    <row r="179" spans="1:19">
      <c r="A179" s="68"/>
      <c r="B179" s="22"/>
      <c r="C179" s="22"/>
      <c r="D179" s="22"/>
    </row>
    <row r="180" spans="1:19">
      <c r="A180" s="68"/>
      <c r="B180" s="22"/>
      <c r="C180" s="22"/>
      <c r="D180" s="22"/>
    </row>
    <row r="181" spans="1:19">
      <c r="A181" s="68"/>
      <c r="B181" s="22"/>
      <c r="C181" s="22"/>
      <c r="D181" s="22"/>
    </row>
    <row r="182" spans="1:19">
      <c r="A182" s="68"/>
      <c r="B182" s="22"/>
      <c r="C182" s="22"/>
      <c r="D182" s="22"/>
    </row>
    <row r="183" spans="1:19">
      <c r="A183" s="68"/>
      <c r="B183" s="22"/>
      <c r="C183" s="22"/>
      <c r="D183" s="22"/>
    </row>
    <row r="184" spans="1:19">
      <c r="A184" s="68"/>
      <c r="B184" s="22"/>
      <c r="C184" s="22"/>
      <c r="D184" s="22"/>
    </row>
    <row r="185" spans="1:19">
      <c r="A185" s="68"/>
      <c r="B185" s="22"/>
      <c r="C185" s="22"/>
      <c r="D185" s="22"/>
    </row>
    <row r="186" spans="1:19">
      <c r="A186" s="68"/>
      <c r="B186" s="22"/>
      <c r="C186" s="22"/>
      <c r="D186" s="22"/>
    </row>
    <row r="187" spans="1:19">
      <c r="A187" s="68"/>
      <c r="B187" s="22"/>
      <c r="C187" s="22"/>
      <c r="D187" s="22"/>
    </row>
    <row r="188" spans="1:19">
      <c r="A188" s="68"/>
      <c r="B188" s="22"/>
      <c r="C188" s="22"/>
      <c r="D188" s="22"/>
    </row>
    <row r="189" spans="1:19">
      <c r="A189" s="68"/>
      <c r="B189" s="22"/>
      <c r="C189" s="22"/>
      <c r="D189" s="22"/>
    </row>
    <row r="190" spans="1:19">
      <c r="A190" s="68"/>
      <c r="B190" s="22"/>
      <c r="C190" s="22"/>
      <c r="D190" s="22"/>
    </row>
    <row r="191" spans="1:19">
      <c r="A191" s="68"/>
      <c r="B191" s="22"/>
      <c r="C191" s="22"/>
      <c r="D191" s="22"/>
    </row>
    <row r="192" spans="1:19">
      <c r="A192" s="68"/>
      <c r="B192" s="22"/>
      <c r="C192" s="22"/>
      <c r="D192" s="22"/>
    </row>
    <row r="193" spans="1:4">
      <c r="A193" s="68"/>
      <c r="B193" s="22"/>
      <c r="C193" s="22"/>
      <c r="D193" s="22"/>
    </row>
    <row r="194" spans="1:4">
      <c r="A194" s="68"/>
      <c r="B194" s="22"/>
      <c r="C194" s="22"/>
      <c r="D194" s="22"/>
    </row>
    <row r="195" spans="1:4">
      <c r="A195" s="68"/>
      <c r="B195" s="22"/>
      <c r="C195" s="22"/>
      <c r="D195" s="22"/>
    </row>
    <row r="196" spans="1:4">
      <c r="A196" s="68"/>
      <c r="B196" s="22"/>
      <c r="C196" s="22"/>
      <c r="D196" s="22"/>
    </row>
    <row r="197" spans="1:4">
      <c r="A197" s="68"/>
      <c r="B197" s="22"/>
      <c r="C197" s="22"/>
      <c r="D197" s="22"/>
    </row>
    <row r="198" spans="1:4">
      <c r="A198" s="68"/>
      <c r="B198" s="22"/>
      <c r="C198" s="22"/>
      <c r="D198" s="22"/>
    </row>
    <row r="199" spans="1:4">
      <c r="A199" s="68"/>
      <c r="B199" s="22"/>
      <c r="C199" s="22"/>
      <c r="D199" s="22"/>
    </row>
    <row r="200" spans="1:4">
      <c r="A200" s="68"/>
      <c r="B200" s="22"/>
      <c r="C200" s="22"/>
      <c r="D200" s="22"/>
    </row>
    <row r="201" spans="1:4">
      <c r="A201" s="68"/>
      <c r="B201" s="22"/>
      <c r="C201" s="22"/>
      <c r="D201" s="22"/>
    </row>
    <row r="202" spans="1:4">
      <c r="A202" s="68"/>
      <c r="B202" s="22"/>
      <c r="C202" s="22"/>
      <c r="D202" s="22"/>
    </row>
    <row r="203" spans="1:4">
      <c r="A203" s="68"/>
      <c r="B203" s="22"/>
      <c r="C203" s="22"/>
      <c r="D203" s="22"/>
    </row>
    <row r="204" spans="1:4">
      <c r="A204" s="68"/>
      <c r="B204" s="22"/>
      <c r="C204" s="22"/>
      <c r="D204" s="22"/>
    </row>
    <row r="205" spans="1:4">
      <c r="A205" s="68"/>
      <c r="B205" s="22"/>
      <c r="C205" s="22"/>
      <c r="D205" s="22"/>
    </row>
    <row r="206" spans="1:4">
      <c r="A206" s="68"/>
      <c r="B206" s="22"/>
      <c r="C206" s="22"/>
      <c r="D206" s="22"/>
    </row>
    <row r="207" spans="1:4">
      <c r="A207" s="68"/>
      <c r="B207" s="22"/>
      <c r="C207" s="22"/>
      <c r="D207" s="22"/>
    </row>
    <row r="208" spans="1:4">
      <c r="A208" s="68"/>
      <c r="B208" s="22"/>
      <c r="C208" s="22"/>
      <c r="D208" s="22"/>
    </row>
    <row r="209" spans="1:4">
      <c r="A209" s="68"/>
      <c r="B209" s="22"/>
      <c r="C209" s="22"/>
      <c r="D209" s="22"/>
    </row>
    <row r="210" spans="1:4">
      <c r="A210" s="68"/>
      <c r="B210" s="22"/>
      <c r="C210" s="22"/>
      <c r="D210" s="22"/>
    </row>
    <row r="211" spans="1:4">
      <c r="A211" s="68"/>
      <c r="B211" s="22"/>
      <c r="C211" s="22"/>
      <c r="D211" s="22"/>
    </row>
    <row r="212" spans="1:4">
      <c r="A212" s="68"/>
      <c r="B212" s="22"/>
      <c r="C212" s="22"/>
      <c r="D212" s="22"/>
    </row>
    <row r="213" spans="1:4">
      <c r="A213" s="68"/>
      <c r="B213" s="22"/>
      <c r="C213" s="22"/>
      <c r="D213" s="22"/>
    </row>
    <row r="214" spans="1:4">
      <c r="A214" s="68"/>
      <c r="B214" s="22"/>
      <c r="C214" s="22"/>
      <c r="D214" s="22"/>
    </row>
    <row r="215" spans="1:4">
      <c r="A215" s="68"/>
      <c r="B215" s="22"/>
      <c r="C215" s="22"/>
      <c r="D215" s="22"/>
    </row>
    <row r="216" spans="1:4">
      <c r="A216" s="68"/>
      <c r="B216" s="22"/>
      <c r="C216" s="22"/>
      <c r="D216" s="22"/>
    </row>
    <row r="217" spans="1:4">
      <c r="A217" s="68"/>
      <c r="B217" s="22"/>
      <c r="C217" s="22"/>
      <c r="D217" s="22"/>
    </row>
    <row r="218" spans="1:4">
      <c r="A218" s="68"/>
      <c r="B218" s="22"/>
      <c r="C218" s="22"/>
      <c r="D218" s="22"/>
    </row>
    <row r="219" spans="1:4">
      <c r="A219" s="68"/>
      <c r="B219" s="22"/>
      <c r="C219" s="22"/>
      <c r="D219" s="22"/>
    </row>
    <row r="220" spans="1:4">
      <c r="A220" s="68"/>
      <c r="B220" s="22"/>
      <c r="C220" s="22"/>
      <c r="D220" s="22"/>
    </row>
    <row r="221" spans="1:4">
      <c r="A221" s="68"/>
      <c r="B221" s="22"/>
      <c r="C221" s="22"/>
      <c r="D221" s="22"/>
    </row>
    <row r="222" spans="1:4">
      <c r="A222" s="68"/>
      <c r="B222" s="22"/>
      <c r="C222" s="22"/>
      <c r="D222" s="22"/>
    </row>
    <row r="223" spans="1:4">
      <c r="A223" s="68"/>
      <c r="B223" s="22"/>
      <c r="C223" s="22"/>
      <c r="D223" s="22"/>
    </row>
    <row r="224" spans="1:4">
      <c r="A224" s="68"/>
      <c r="B224" s="22"/>
      <c r="C224" s="22"/>
      <c r="D224" s="22"/>
    </row>
    <row r="225" spans="1:4">
      <c r="A225" s="68"/>
      <c r="B225" s="22"/>
      <c r="C225" s="22"/>
      <c r="D225" s="22"/>
    </row>
    <row r="226" spans="1:4">
      <c r="A226" s="68"/>
      <c r="B226" s="22"/>
      <c r="C226" s="22"/>
      <c r="D226" s="22"/>
    </row>
    <row r="227" spans="1:4">
      <c r="A227" s="68"/>
      <c r="B227" s="22"/>
      <c r="C227" s="22"/>
      <c r="D227" s="22"/>
    </row>
    <row r="228" spans="1:4">
      <c r="A228" s="68"/>
      <c r="B228" s="22"/>
      <c r="C228" s="22"/>
      <c r="D228" s="22"/>
    </row>
    <row r="229" spans="1:4">
      <c r="A229" s="68"/>
      <c r="B229" s="22"/>
      <c r="C229" s="22"/>
      <c r="D229" s="22"/>
    </row>
    <row r="230" spans="1:4">
      <c r="A230" s="68"/>
      <c r="B230" s="22"/>
      <c r="C230" s="22"/>
      <c r="D230" s="22"/>
    </row>
    <row r="231" spans="1:4">
      <c r="A231" s="68"/>
      <c r="B231" s="22"/>
      <c r="C231" s="22"/>
      <c r="D231" s="22"/>
    </row>
    <row r="232" spans="1:4">
      <c r="A232" s="68"/>
      <c r="B232" s="22"/>
      <c r="C232" s="22"/>
      <c r="D232" s="22"/>
    </row>
    <row r="233" spans="1:4">
      <c r="A233" s="68"/>
      <c r="B233" s="22"/>
      <c r="C233" s="22"/>
      <c r="D233" s="22"/>
    </row>
    <row r="234" spans="1:4">
      <c r="A234" s="68"/>
      <c r="B234" s="22"/>
      <c r="C234" s="22"/>
      <c r="D234" s="22"/>
    </row>
    <row r="235" spans="1:4">
      <c r="A235" s="68"/>
      <c r="B235" s="22"/>
      <c r="C235" s="22"/>
      <c r="D235" s="22"/>
    </row>
    <row r="236" spans="1:4">
      <c r="A236" s="68"/>
      <c r="B236" s="22"/>
      <c r="C236" s="22"/>
      <c r="D236" s="22"/>
    </row>
    <row r="237" spans="1:4">
      <c r="A237" s="68"/>
      <c r="B237" s="22"/>
      <c r="C237" s="22"/>
      <c r="D237" s="22"/>
    </row>
    <row r="238" spans="1:4">
      <c r="A238" s="68"/>
      <c r="B238" s="22"/>
      <c r="C238" s="22"/>
      <c r="D238" s="22"/>
    </row>
    <row r="239" spans="1:4">
      <c r="A239" s="68"/>
      <c r="B239" s="22"/>
      <c r="C239" s="22"/>
      <c r="D239" s="22"/>
    </row>
    <row r="240" spans="1:4">
      <c r="A240" s="68"/>
      <c r="B240" s="22"/>
      <c r="C240" s="22"/>
      <c r="D240" s="22"/>
    </row>
    <row r="241" spans="1:4">
      <c r="A241" s="68"/>
      <c r="B241" s="22"/>
      <c r="C241" s="22"/>
      <c r="D241" s="22"/>
    </row>
    <row r="242" spans="1:4">
      <c r="A242" s="68"/>
      <c r="B242" s="22"/>
      <c r="C242" s="22"/>
      <c r="D242" s="22"/>
    </row>
    <row r="243" spans="1:4">
      <c r="A243" s="68"/>
      <c r="B243" s="22"/>
      <c r="C243" s="22"/>
      <c r="D243" s="22"/>
    </row>
    <row r="244" spans="1:4">
      <c r="A244" s="68"/>
      <c r="B244" s="22"/>
      <c r="C244" s="22"/>
      <c r="D244" s="22"/>
    </row>
    <row r="245" spans="1:4">
      <c r="A245" s="68"/>
      <c r="B245" s="22"/>
      <c r="C245" s="22"/>
      <c r="D245" s="22"/>
    </row>
    <row r="246" spans="1:4">
      <c r="A246" s="68"/>
      <c r="B246" s="22"/>
      <c r="C246" s="22"/>
      <c r="D246" s="22"/>
    </row>
    <row r="247" spans="1:4">
      <c r="A247" s="68"/>
      <c r="B247" s="22"/>
      <c r="C247" s="22"/>
      <c r="D247" s="22"/>
    </row>
    <row r="248" spans="1:4">
      <c r="A248" s="68"/>
      <c r="B248" s="22"/>
      <c r="C248" s="22"/>
      <c r="D248" s="22"/>
    </row>
    <row r="249" spans="1:4">
      <c r="A249" s="68"/>
      <c r="B249" s="22"/>
      <c r="C249" s="22"/>
      <c r="D249" s="22"/>
    </row>
    <row r="250" spans="1:4">
      <c r="A250" s="68"/>
      <c r="B250" s="22"/>
      <c r="C250" s="22"/>
      <c r="D250" s="22"/>
    </row>
    <row r="251" spans="1:4">
      <c r="A251" s="68"/>
      <c r="B251" s="22"/>
      <c r="C251" s="22"/>
      <c r="D251" s="22"/>
    </row>
    <row r="252" spans="1:4">
      <c r="A252" s="68"/>
      <c r="B252" s="22"/>
      <c r="C252" s="22"/>
      <c r="D252" s="22"/>
    </row>
    <row r="253" spans="1:4">
      <c r="A253" s="68"/>
      <c r="B253" s="22"/>
      <c r="C253" s="22"/>
      <c r="D253" s="22"/>
    </row>
    <row r="254" spans="1:4">
      <c r="A254" s="68"/>
      <c r="B254" s="22"/>
      <c r="C254" s="22"/>
      <c r="D254" s="22"/>
    </row>
    <row r="255" spans="1:4">
      <c r="A255" s="68"/>
      <c r="B255" s="22"/>
      <c r="C255" s="22"/>
      <c r="D255" s="22"/>
    </row>
    <row r="256" spans="1:4">
      <c r="A256" s="68"/>
      <c r="B256" s="22"/>
      <c r="C256" s="22"/>
      <c r="D256" s="22"/>
    </row>
    <row r="257" spans="1:4">
      <c r="A257" s="68"/>
      <c r="B257" s="22"/>
      <c r="C257" s="22"/>
      <c r="D257" s="22"/>
    </row>
    <row r="258" spans="1:4">
      <c r="A258" s="68"/>
      <c r="B258" s="22"/>
      <c r="C258" s="22"/>
      <c r="D258" s="22"/>
    </row>
    <row r="259" spans="1:4">
      <c r="A259" s="68"/>
      <c r="B259" s="22"/>
      <c r="C259" s="22"/>
      <c r="D259" s="22"/>
    </row>
    <row r="260" spans="1:4">
      <c r="A260" s="68"/>
      <c r="B260" s="22"/>
      <c r="C260" s="22"/>
      <c r="D260" s="22"/>
    </row>
    <row r="261" spans="1:4">
      <c r="A261" s="68"/>
      <c r="B261" s="22"/>
      <c r="C261" s="22"/>
      <c r="D261" s="22"/>
    </row>
    <row r="262" spans="1:4">
      <c r="A262" s="68"/>
      <c r="B262" s="22"/>
      <c r="C262" s="22"/>
      <c r="D262" s="22"/>
    </row>
    <row r="263" spans="1:4">
      <c r="A263" s="68"/>
      <c r="B263" s="22"/>
      <c r="C263" s="22"/>
      <c r="D263" s="22"/>
    </row>
    <row r="264" spans="1:4">
      <c r="A264" s="68"/>
      <c r="B264" s="22"/>
      <c r="C264" s="22"/>
      <c r="D264" s="22"/>
    </row>
    <row r="265" spans="1:4">
      <c r="A265" s="68"/>
      <c r="B265" s="22"/>
      <c r="C265" s="22"/>
      <c r="D265" s="22"/>
    </row>
    <row r="266" spans="1:4">
      <c r="A266" s="68"/>
      <c r="B266" s="22"/>
      <c r="C266" s="22"/>
      <c r="D266" s="22"/>
    </row>
    <row r="267" spans="1:4">
      <c r="A267" s="68"/>
      <c r="B267" s="22"/>
      <c r="C267" s="22"/>
      <c r="D267" s="22"/>
    </row>
    <row r="268" spans="1:4">
      <c r="A268" s="68"/>
      <c r="B268" s="22"/>
      <c r="C268" s="22"/>
      <c r="D268" s="22"/>
    </row>
    <row r="269" spans="1:4">
      <c r="A269" s="68"/>
      <c r="B269" s="22"/>
      <c r="C269" s="22"/>
      <c r="D269" s="22"/>
    </row>
    <row r="270" spans="1:4">
      <c r="A270" s="68"/>
      <c r="B270" s="22"/>
      <c r="C270" s="22"/>
      <c r="D270" s="22"/>
    </row>
    <row r="271" spans="1:4">
      <c r="A271" s="68"/>
      <c r="B271" s="22"/>
      <c r="C271" s="22"/>
      <c r="D271" s="22"/>
    </row>
    <row r="272" spans="1:4">
      <c r="A272" s="68"/>
      <c r="B272" s="22"/>
      <c r="C272" s="22"/>
      <c r="D272" s="22"/>
    </row>
    <row r="273" spans="1:4">
      <c r="A273" s="68"/>
      <c r="B273" s="22"/>
      <c r="C273" s="22"/>
      <c r="D273" s="22"/>
    </row>
    <row r="274" spans="1:4">
      <c r="A274" s="68"/>
      <c r="B274" s="22"/>
      <c r="C274" s="22"/>
      <c r="D274" s="22"/>
    </row>
    <row r="275" spans="1:4">
      <c r="A275" s="68"/>
      <c r="B275" s="22"/>
      <c r="C275" s="22"/>
      <c r="D275" s="22"/>
    </row>
    <row r="276" spans="1:4">
      <c r="A276" s="68"/>
      <c r="B276" s="22"/>
      <c r="C276" s="22"/>
      <c r="D276" s="22"/>
    </row>
    <row r="277" spans="1:4">
      <c r="A277" s="68"/>
      <c r="B277" s="22"/>
      <c r="C277" s="22"/>
      <c r="D277" s="22"/>
    </row>
    <row r="278" spans="1:4">
      <c r="A278" s="68"/>
      <c r="B278" s="22"/>
      <c r="C278" s="22"/>
      <c r="D278" s="22"/>
    </row>
    <row r="279" spans="1:4">
      <c r="A279" s="68"/>
      <c r="B279" s="22"/>
      <c r="C279" s="22"/>
      <c r="D279" s="22"/>
    </row>
    <row r="280" spans="1:4">
      <c r="A280" s="68"/>
      <c r="B280" s="22"/>
      <c r="C280" s="22"/>
      <c r="D280" s="22"/>
    </row>
    <row r="281" spans="1:4">
      <c r="A281" s="68"/>
      <c r="B281" s="22"/>
      <c r="C281" s="22"/>
      <c r="D281" s="22"/>
    </row>
    <row r="282" spans="1:4">
      <c r="A282" s="68"/>
      <c r="B282" s="22"/>
      <c r="C282" s="22"/>
      <c r="D282" s="22"/>
    </row>
    <row r="283" spans="1:4">
      <c r="A283" s="68"/>
      <c r="B283" s="22"/>
      <c r="C283" s="22"/>
      <c r="D283" s="22"/>
    </row>
    <row r="284" spans="1:4">
      <c r="A284" s="68"/>
      <c r="B284" s="22"/>
      <c r="C284" s="22"/>
      <c r="D284" s="22"/>
    </row>
    <row r="285" spans="1:4">
      <c r="A285" s="68"/>
      <c r="B285" s="22"/>
      <c r="C285" s="22"/>
      <c r="D285" s="22"/>
    </row>
    <row r="286" spans="1:4">
      <c r="A286" s="68"/>
      <c r="B286" s="22"/>
      <c r="C286" s="22"/>
      <c r="D286" s="22"/>
    </row>
    <row r="287" spans="1:4">
      <c r="A287" s="68"/>
      <c r="B287" s="22"/>
      <c r="C287" s="22"/>
      <c r="D287" s="22"/>
    </row>
    <row r="288" spans="1:4">
      <c r="A288" s="68"/>
      <c r="B288" s="22"/>
      <c r="C288" s="22"/>
      <c r="D288" s="22"/>
    </row>
    <row r="289" spans="1:4">
      <c r="A289" s="68"/>
      <c r="B289" s="22"/>
      <c r="C289" s="22"/>
      <c r="D289" s="22"/>
    </row>
    <row r="290" spans="1:4">
      <c r="A290" s="68"/>
      <c r="B290" s="22"/>
      <c r="C290" s="22"/>
      <c r="D290" s="22"/>
    </row>
    <row r="291" spans="1:4">
      <c r="A291" s="68"/>
      <c r="B291" s="22"/>
      <c r="C291" s="22"/>
      <c r="D291" s="22"/>
    </row>
    <row r="292" spans="1:4">
      <c r="A292" s="68"/>
      <c r="B292" s="22"/>
      <c r="C292" s="22"/>
      <c r="D292" s="22"/>
    </row>
    <row r="293" spans="1:4">
      <c r="A293" s="68"/>
      <c r="B293" s="22"/>
      <c r="C293" s="22"/>
      <c r="D293" s="22"/>
    </row>
    <row r="294" spans="1:4">
      <c r="A294" s="68"/>
      <c r="B294" s="22"/>
      <c r="C294" s="22"/>
      <c r="D294" s="22"/>
    </row>
    <row r="295" spans="1:4">
      <c r="A295" s="68"/>
      <c r="B295" s="22"/>
      <c r="C295" s="22"/>
      <c r="D295" s="22"/>
    </row>
    <row r="296" spans="1:4">
      <c r="A296" s="68"/>
      <c r="B296" s="22"/>
      <c r="C296" s="22"/>
      <c r="D296" s="22"/>
    </row>
    <row r="297" spans="1:4">
      <c r="A297" s="68"/>
      <c r="B297" s="22"/>
      <c r="C297" s="22"/>
      <c r="D297" s="22"/>
    </row>
    <row r="298" spans="1:4">
      <c r="A298" s="68"/>
      <c r="B298" s="22"/>
      <c r="C298" s="22"/>
      <c r="D298" s="22"/>
    </row>
    <row r="299" spans="1:4">
      <c r="A299" s="68"/>
      <c r="B299" s="22"/>
      <c r="C299" s="22"/>
      <c r="D299" s="22"/>
    </row>
    <row r="300" spans="1:4">
      <c r="A300" s="68"/>
      <c r="B300" s="22"/>
      <c r="C300" s="22"/>
      <c r="D300" s="22"/>
    </row>
    <row r="301" spans="1:4">
      <c r="A301" s="68"/>
      <c r="B301" s="22"/>
      <c r="C301" s="22"/>
      <c r="D301" s="22"/>
    </row>
    <row r="302" spans="1:4">
      <c r="A302" s="68"/>
      <c r="B302" s="22"/>
      <c r="C302" s="22"/>
      <c r="D302" s="22"/>
    </row>
    <row r="303" spans="1:4">
      <c r="A303" s="68"/>
      <c r="B303" s="22"/>
      <c r="C303" s="22"/>
      <c r="D303" s="22"/>
    </row>
    <row r="304" spans="1:4">
      <c r="A304" s="68"/>
      <c r="B304" s="22"/>
      <c r="C304" s="22"/>
      <c r="D304" s="22"/>
    </row>
    <row r="305" spans="1:4">
      <c r="A305" s="68"/>
      <c r="B305" s="22"/>
      <c r="C305" s="22"/>
      <c r="D305" s="22"/>
    </row>
    <row r="306" spans="1:4">
      <c r="A306" s="68"/>
      <c r="B306" s="22"/>
      <c r="C306" s="22"/>
      <c r="D306" s="22"/>
    </row>
    <row r="307" spans="1:4">
      <c r="A307" s="68"/>
      <c r="B307" s="22"/>
      <c r="C307" s="22"/>
      <c r="D307" s="22"/>
    </row>
    <row r="308" spans="1:4">
      <c r="A308" s="68"/>
      <c r="B308" s="22"/>
      <c r="C308" s="22"/>
      <c r="D308" s="22"/>
    </row>
    <row r="309" spans="1:4">
      <c r="A309" s="68"/>
      <c r="B309" s="22"/>
      <c r="C309" s="22"/>
      <c r="D309" s="22"/>
    </row>
    <row r="310" spans="1:4">
      <c r="A310" s="68"/>
      <c r="B310" s="22"/>
      <c r="C310" s="22"/>
      <c r="D310" s="22"/>
    </row>
    <row r="311" spans="1:4">
      <c r="A311" s="68"/>
      <c r="B311" s="22"/>
      <c r="C311" s="22"/>
      <c r="D311" s="22"/>
    </row>
    <row r="312" spans="1:4">
      <c r="A312" s="68"/>
      <c r="B312" s="22"/>
      <c r="C312" s="22"/>
      <c r="D312" s="22"/>
    </row>
    <row r="313" spans="1:4">
      <c r="A313" s="68"/>
      <c r="B313" s="22"/>
      <c r="C313" s="22"/>
      <c r="D313" s="22"/>
    </row>
    <row r="314" spans="1:4">
      <c r="A314" s="68"/>
      <c r="B314" s="22"/>
      <c r="C314" s="22"/>
      <c r="D314" s="22"/>
    </row>
    <row r="315" spans="1:4">
      <c r="A315" s="68"/>
      <c r="B315" s="22"/>
      <c r="C315" s="22"/>
      <c r="D315" s="22"/>
    </row>
    <row r="316" spans="1:4">
      <c r="A316" s="68"/>
      <c r="B316" s="22"/>
      <c r="C316" s="22"/>
      <c r="D316" s="22"/>
    </row>
    <row r="317" spans="1:4">
      <c r="A317" s="68"/>
      <c r="B317" s="22"/>
      <c r="C317" s="22"/>
      <c r="D317" s="22"/>
    </row>
    <row r="318" spans="1:4">
      <c r="A318" s="68"/>
      <c r="B318" s="22"/>
      <c r="C318" s="22"/>
      <c r="D318" s="22"/>
    </row>
    <row r="319" spans="1:4">
      <c r="A319" s="68"/>
      <c r="B319" s="22"/>
      <c r="C319" s="22"/>
      <c r="D319" s="22"/>
    </row>
    <row r="320" spans="1:4">
      <c r="A320" s="68"/>
      <c r="B320" s="22"/>
      <c r="C320" s="22"/>
      <c r="D320" s="22"/>
    </row>
    <row r="321" spans="1:4">
      <c r="A321" s="68"/>
      <c r="B321" s="22"/>
      <c r="C321" s="22"/>
      <c r="D321" s="22"/>
    </row>
    <row r="322" spans="1:4">
      <c r="A322" s="68"/>
      <c r="B322" s="22"/>
      <c r="C322" s="22"/>
      <c r="D322" s="22"/>
    </row>
    <row r="323" spans="1:4">
      <c r="A323" s="68"/>
      <c r="B323" s="22"/>
      <c r="C323" s="22"/>
      <c r="D323" s="22"/>
    </row>
    <row r="324" spans="1:4">
      <c r="A324" s="68"/>
      <c r="B324" s="22"/>
      <c r="C324" s="22"/>
      <c r="D324" s="22"/>
    </row>
    <row r="325" spans="1:4">
      <c r="A325" s="68"/>
      <c r="B325" s="22"/>
      <c r="C325" s="22"/>
      <c r="D325" s="22"/>
    </row>
    <row r="326" spans="1:4">
      <c r="A326" s="68"/>
      <c r="B326" s="22"/>
      <c r="C326" s="22"/>
      <c r="D326" s="22"/>
    </row>
    <row r="327" spans="1:4">
      <c r="A327" s="68"/>
      <c r="B327" s="22"/>
      <c r="C327" s="22"/>
      <c r="D327" s="22"/>
    </row>
    <row r="328" spans="1:4">
      <c r="A328" s="68"/>
      <c r="B328" s="22"/>
      <c r="C328" s="22"/>
      <c r="D328" s="22"/>
    </row>
    <row r="329" spans="1:4">
      <c r="A329" s="68"/>
      <c r="B329" s="22"/>
      <c r="C329" s="22"/>
      <c r="D329" s="22"/>
    </row>
    <row r="330" spans="1:4">
      <c r="A330" s="68"/>
      <c r="B330" s="22"/>
      <c r="C330" s="22"/>
      <c r="D330" s="22"/>
    </row>
    <row r="331" spans="1:4">
      <c r="A331" s="68"/>
      <c r="B331" s="22"/>
      <c r="C331" s="22"/>
      <c r="D331" s="22"/>
    </row>
    <row r="332" spans="1:4">
      <c r="A332" s="68"/>
      <c r="B332" s="22"/>
      <c r="C332" s="22"/>
      <c r="D332" s="22"/>
    </row>
    <row r="333" spans="1:4">
      <c r="A333" s="68"/>
      <c r="B333" s="22"/>
      <c r="C333" s="22"/>
      <c r="D333" s="22"/>
    </row>
    <row r="334" spans="1:4">
      <c r="A334" s="68"/>
      <c r="B334" s="22"/>
      <c r="C334" s="22"/>
      <c r="D334" s="22"/>
    </row>
    <row r="335" spans="1:4">
      <c r="A335" s="68"/>
      <c r="B335" s="22"/>
      <c r="C335" s="22"/>
      <c r="D335" s="22"/>
    </row>
    <row r="336" spans="1:4">
      <c r="A336" s="68"/>
      <c r="B336" s="22"/>
      <c r="C336" s="22"/>
      <c r="D336" s="22"/>
    </row>
    <row r="337" spans="1:4">
      <c r="A337" s="68"/>
      <c r="B337" s="22"/>
      <c r="C337" s="22"/>
      <c r="D337" s="22"/>
    </row>
    <row r="338" spans="1:4">
      <c r="A338" s="68"/>
      <c r="B338" s="22"/>
      <c r="C338" s="22"/>
      <c r="D338" s="22"/>
    </row>
    <row r="339" spans="1:4">
      <c r="A339" s="68"/>
      <c r="B339" s="22"/>
      <c r="C339" s="22"/>
      <c r="D339" s="22"/>
    </row>
    <row r="340" spans="1:4">
      <c r="A340" s="68"/>
      <c r="B340" s="22"/>
      <c r="C340" s="22"/>
      <c r="D340" s="22"/>
    </row>
    <row r="341" spans="1:4">
      <c r="A341" s="68"/>
      <c r="B341" s="22"/>
      <c r="C341" s="22"/>
      <c r="D341" s="22"/>
    </row>
    <row r="342" spans="1:4">
      <c r="A342" s="68"/>
      <c r="B342" s="22"/>
      <c r="C342" s="22"/>
      <c r="D342" s="22"/>
    </row>
    <row r="343" spans="1:4">
      <c r="A343" s="68"/>
      <c r="B343" s="22"/>
      <c r="C343" s="22"/>
      <c r="D343" s="22"/>
    </row>
    <row r="344" spans="1:4">
      <c r="A344" s="68"/>
      <c r="B344" s="22"/>
      <c r="C344" s="22"/>
      <c r="D344" s="22"/>
    </row>
    <row r="345" spans="1:4">
      <c r="A345" s="68"/>
      <c r="B345" s="22"/>
      <c r="C345" s="22"/>
      <c r="D345" s="22"/>
    </row>
    <row r="346" spans="1:4">
      <c r="A346" s="68"/>
      <c r="B346" s="22"/>
      <c r="C346" s="22"/>
      <c r="D346" s="22"/>
    </row>
    <row r="347" spans="1:4">
      <c r="A347" s="68"/>
      <c r="B347" s="22"/>
      <c r="C347" s="22"/>
      <c r="D347" s="22"/>
    </row>
    <row r="348" spans="1:4">
      <c r="A348" s="68"/>
      <c r="B348" s="22"/>
      <c r="C348" s="22"/>
      <c r="D348" s="22"/>
    </row>
    <row r="349" spans="1:4">
      <c r="A349" s="68"/>
      <c r="B349" s="22"/>
      <c r="C349" s="22"/>
      <c r="D349" s="22"/>
    </row>
    <row r="350" spans="1:4">
      <c r="A350" s="68"/>
      <c r="B350" s="22"/>
      <c r="C350" s="22"/>
      <c r="D350" s="22"/>
    </row>
    <row r="351" spans="1:4">
      <c r="A351" s="68"/>
      <c r="B351" s="22"/>
      <c r="C351" s="22"/>
      <c r="D351" s="22"/>
    </row>
    <row r="352" spans="1:4">
      <c r="A352" s="68"/>
      <c r="B352" s="22"/>
      <c r="C352" s="22"/>
      <c r="D352" s="22"/>
    </row>
    <row r="353" spans="1:4">
      <c r="A353" s="68"/>
      <c r="B353" s="22"/>
      <c r="C353" s="22"/>
      <c r="D353" s="22"/>
    </row>
    <row r="354" spans="1:4">
      <c r="A354" s="68"/>
      <c r="B354" s="22"/>
      <c r="C354" s="22"/>
      <c r="D354" s="22"/>
    </row>
    <row r="355" spans="1:4">
      <c r="A355" s="68"/>
      <c r="B355" s="22"/>
      <c r="C355" s="22"/>
      <c r="D355" s="22"/>
    </row>
    <row r="356" spans="1:4">
      <c r="A356" s="68"/>
      <c r="B356" s="22"/>
      <c r="C356" s="22"/>
      <c r="D356" s="22"/>
    </row>
    <row r="357" spans="1:4">
      <c r="A357" s="68"/>
      <c r="B357" s="22"/>
      <c r="C357" s="22"/>
      <c r="D357" s="22"/>
    </row>
    <row r="358" spans="1:4">
      <c r="A358" s="68"/>
      <c r="B358" s="22"/>
      <c r="C358" s="22"/>
      <c r="D358" s="22"/>
    </row>
    <row r="359" spans="1:4">
      <c r="A359" s="68"/>
      <c r="B359" s="22"/>
      <c r="C359" s="22"/>
      <c r="D359" s="22"/>
    </row>
    <row r="360" spans="1:4">
      <c r="A360" s="68"/>
      <c r="B360" s="22"/>
      <c r="C360" s="22"/>
      <c r="D360" s="22"/>
    </row>
    <row r="361" spans="1:4">
      <c r="A361" s="68"/>
      <c r="B361" s="22"/>
      <c r="C361" s="22"/>
      <c r="D361" s="22"/>
    </row>
    <row r="362" spans="1:4">
      <c r="A362" s="68"/>
      <c r="B362" s="22"/>
      <c r="C362" s="22"/>
      <c r="D362" s="22"/>
    </row>
    <row r="363" spans="1:4">
      <c r="A363" s="68"/>
      <c r="B363" s="22"/>
      <c r="C363" s="22"/>
      <c r="D363" s="22"/>
    </row>
    <row r="364" spans="1:4">
      <c r="A364" s="68"/>
      <c r="B364" s="22"/>
      <c r="C364" s="22"/>
      <c r="D364" s="22"/>
    </row>
    <row r="365" spans="1:4">
      <c r="A365" s="68"/>
      <c r="B365" s="22"/>
      <c r="C365" s="22"/>
      <c r="D365" s="22"/>
    </row>
    <row r="366" spans="1:4">
      <c r="A366" s="68"/>
      <c r="B366" s="22"/>
      <c r="C366" s="22"/>
      <c r="D366" s="22"/>
    </row>
    <row r="367" spans="1:4">
      <c r="A367" s="68"/>
      <c r="B367" s="22"/>
      <c r="C367" s="22"/>
      <c r="D367" s="22"/>
    </row>
    <row r="368" spans="1:4">
      <c r="A368" s="68"/>
      <c r="B368" s="22"/>
      <c r="C368" s="22"/>
      <c r="D368" s="22"/>
    </row>
    <row r="369" spans="1:4">
      <c r="A369" s="68"/>
      <c r="B369" s="22"/>
      <c r="C369" s="22"/>
      <c r="D369" s="22"/>
    </row>
    <row r="370" spans="1:4">
      <c r="A370" s="68"/>
      <c r="B370" s="22"/>
      <c r="C370" s="22"/>
      <c r="D370" s="22"/>
    </row>
    <row r="371" spans="1:4">
      <c r="A371" s="68"/>
      <c r="B371" s="22"/>
      <c r="C371" s="22"/>
      <c r="D371" s="22"/>
    </row>
    <row r="372" spans="1:4">
      <c r="A372" s="68"/>
      <c r="B372" s="22"/>
      <c r="C372" s="22"/>
      <c r="D372" s="22"/>
    </row>
    <row r="373" spans="1:4">
      <c r="A373" s="68"/>
      <c r="B373" s="22"/>
      <c r="C373" s="22"/>
      <c r="D373" s="22"/>
    </row>
    <row r="374" spans="1:4">
      <c r="A374" s="68"/>
      <c r="B374" s="22"/>
      <c r="C374" s="22"/>
      <c r="D374" s="22"/>
    </row>
    <row r="375" spans="1:4">
      <c r="A375" s="68"/>
      <c r="B375" s="22"/>
      <c r="C375" s="22"/>
      <c r="D375" s="22"/>
    </row>
    <row r="376" spans="1:4">
      <c r="A376" s="68"/>
      <c r="B376" s="22"/>
      <c r="C376" s="22"/>
      <c r="D376" s="22"/>
    </row>
    <row r="377" spans="1:4">
      <c r="A377" s="68"/>
      <c r="B377" s="22"/>
      <c r="C377" s="22"/>
      <c r="D377" s="22"/>
    </row>
    <row r="378" spans="1:4">
      <c r="A378" s="68"/>
      <c r="B378" s="22"/>
      <c r="C378" s="22"/>
      <c r="D378" s="22"/>
    </row>
    <row r="379" spans="1:4">
      <c r="A379" s="68"/>
      <c r="B379" s="22"/>
      <c r="C379" s="22"/>
      <c r="D379" s="22"/>
    </row>
    <row r="380" spans="1:4">
      <c r="A380" s="68"/>
      <c r="B380" s="22"/>
      <c r="C380" s="22"/>
      <c r="D380" s="22"/>
    </row>
    <row r="381" spans="1:4">
      <c r="A381" s="68"/>
      <c r="B381" s="22"/>
      <c r="C381" s="22"/>
      <c r="D381" s="22"/>
    </row>
    <row r="382" spans="1:4">
      <c r="A382" s="68"/>
      <c r="B382" s="22"/>
      <c r="C382" s="22"/>
      <c r="D382" s="22"/>
    </row>
    <row r="383" spans="1:4">
      <c r="A383" s="68"/>
      <c r="B383" s="22"/>
      <c r="C383" s="22"/>
      <c r="D383" s="22"/>
    </row>
    <row r="384" spans="1:4">
      <c r="A384" s="68"/>
      <c r="B384" s="22"/>
      <c r="C384" s="22"/>
      <c r="D384" s="22"/>
    </row>
    <row r="385" spans="1:4">
      <c r="A385" s="68"/>
      <c r="B385" s="22"/>
      <c r="C385" s="22"/>
      <c r="D385" s="22"/>
    </row>
    <row r="386" spans="1:4">
      <c r="A386" s="68"/>
      <c r="B386" s="22"/>
      <c r="C386" s="22"/>
      <c r="D386" s="22"/>
    </row>
    <row r="387" spans="1:4">
      <c r="A387" s="68"/>
      <c r="B387" s="22"/>
      <c r="C387" s="22"/>
      <c r="D387" s="22"/>
    </row>
    <row r="388" spans="1:4">
      <c r="A388" s="68"/>
      <c r="B388" s="22"/>
      <c r="C388" s="22"/>
      <c r="D388" s="22"/>
    </row>
    <row r="389" spans="1:4">
      <c r="A389" s="68"/>
      <c r="B389" s="22"/>
      <c r="C389" s="22"/>
      <c r="D389" s="22"/>
    </row>
    <row r="390" spans="1:4">
      <c r="A390" s="68"/>
      <c r="B390" s="22"/>
      <c r="C390" s="22"/>
      <c r="D390" s="22"/>
    </row>
    <row r="391" spans="1:4">
      <c r="A391" s="68"/>
      <c r="B391" s="22"/>
      <c r="C391" s="22"/>
      <c r="D391" s="22"/>
    </row>
    <row r="392" spans="1:4">
      <c r="A392" s="68"/>
      <c r="B392" s="22"/>
      <c r="C392" s="22"/>
      <c r="D392" s="22"/>
    </row>
    <row r="393" spans="1:4">
      <c r="A393" s="68"/>
      <c r="B393" s="22"/>
      <c r="C393" s="22"/>
      <c r="D393" s="22"/>
    </row>
    <row r="394" spans="1:4">
      <c r="A394" s="68"/>
      <c r="B394" s="22"/>
      <c r="C394" s="22"/>
      <c r="D394" s="22"/>
    </row>
    <row r="395" spans="1:4">
      <c r="A395" s="68"/>
      <c r="B395" s="22"/>
      <c r="C395" s="22"/>
      <c r="D395" s="22"/>
    </row>
    <row r="396" spans="1:4">
      <c r="A396" s="68"/>
      <c r="B396" s="22"/>
      <c r="C396" s="22"/>
      <c r="D396" s="22"/>
    </row>
    <row r="397" spans="1:4">
      <c r="A397" s="68"/>
      <c r="B397" s="22"/>
      <c r="C397" s="22"/>
      <c r="D397" s="22"/>
    </row>
    <row r="398" spans="1:4">
      <c r="A398" s="68"/>
      <c r="B398" s="22"/>
      <c r="C398" s="22"/>
      <c r="D398" s="22"/>
    </row>
    <row r="399" spans="1:4">
      <c r="A399" s="68"/>
      <c r="B399" s="22"/>
      <c r="C399" s="22"/>
      <c r="D399" s="22"/>
    </row>
    <row r="400" spans="1:4">
      <c r="A400" s="68"/>
      <c r="B400" s="22"/>
      <c r="C400" s="22"/>
      <c r="D400" s="22"/>
    </row>
    <row r="401" spans="1:4">
      <c r="A401" s="68"/>
      <c r="B401" s="22"/>
      <c r="C401" s="22"/>
      <c r="D401" s="22"/>
    </row>
    <row r="402" spans="1:4">
      <c r="A402" s="68"/>
      <c r="B402" s="22"/>
      <c r="C402" s="22"/>
      <c r="D402" s="22"/>
    </row>
    <row r="403" spans="1:4">
      <c r="A403" s="68"/>
      <c r="B403" s="22"/>
      <c r="C403" s="22"/>
      <c r="D403" s="22"/>
    </row>
    <row r="404" spans="1:4">
      <c r="A404" s="68"/>
      <c r="B404" s="22"/>
      <c r="C404" s="22"/>
      <c r="D404" s="22"/>
    </row>
    <row r="405" spans="1:4">
      <c r="A405" s="68"/>
      <c r="B405" s="22"/>
      <c r="C405" s="22"/>
      <c r="D405" s="22"/>
    </row>
    <row r="406" spans="1:4">
      <c r="A406" s="68"/>
      <c r="B406" s="22"/>
      <c r="C406" s="22"/>
      <c r="D406" s="22"/>
    </row>
    <row r="407" spans="1:4">
      <c r="A407" s="68"/>
      <c r="B407" s="22"/>
      <c r="C407" s="22"/>
      <c r="D407" s="22"/>
    </row>
    <row r="408" spans="1:4">
      <c r="A408" s="68"/>
      <c r="B408" s="22"/>
      <c r="C408" s="22"/>
      <c r="D408" s="22"/>
    </row>
    <row r="409" spans="1:4">
      <c r="A409" s="68"/>
      <c r="B409" s="22"/>
      <c r="C409" s="22"/>
      <c r="D409" s="22"/>
    </row>
    <row r="410" spans="1:4">
      <c r="A410" s="68"/>
      <c r="B410" s="22"/>
      <c r="C410" s="22"/>
      <c r="D410" s="22"/>
    </row>
    <row r="411" spans="1:4">
      <c r="A411" s="68"/>
      <c r="B411" s="22"/>
      <c r="C411" s="22"/>
      <c r="D411" s="22"/>
    </row>
    <row r="412" spans="1:4">
      <c r="A412" s="68"/>
      <c r="B412" s="22"/>
      <c r="C412" s="22"/>
      <c r="D412" s="22"/>
    </row>
    <row r="413" spans="1:4">
      <c r="A413" s="68"/>
      <c r="B413" s="22"/>
      <c r="C413" s="22"/>
      <c r="D413" s="22"/>
    </row>
    <row r="414" spans="1:4">
      <c r="A414" s="68"/>
      <c r="B414" s="22"/>
      <c r="C414" s="22"/>
      <c r="D414" s="22"/>
    </row>
    <row r="415" spans="1:4">
      <c r="A415" s="68"/>
      <c r="B415" s="22"/>
      <c r="C415" s="22"/>
      <c r="D415" s="22"/>
    </row>
    <row r="416" spans="1:4">
      <c r="A416" s="68"/>
      <c r="B416" s="22"/>
      <c r="C416" s="22"/>
      <c r="D416" s="22"/>
    </row>
    <row r="417" spans="1:4">
      <c r="A417" s="68"/>
      <c r="B417" s="22"/>
      <c r="C417" s="22"/>
      <c r="D417" s="22"/>
    </row>
    <row r="418" spans="1:4">
      <c r="A418" s="68"/>
      <c r="B418" s="22"/>
      <c r="C418" s="22"/>
      <c r="D418" s="22"/>
    </row>
    <row r="419" spans="1:4">
      <c r="A419" s="68"/>
      <c r="B419" s="22"/>
      <c r="C419" s="22"/>
      <c r="D419" s="22"/>
    </row>
    <row r="420" spans="1:4">
      <c r="A420" s="68"/>
      <c r="B420" s="22"/>
      <c r="C420" s="22"/>
      <c r="D420" s="22"/>
    </row>
    <row r="421" spans="1:4">
      <c r="A421" s="68"/>
      <c r="B421" s="22"/>
      <c r="C421" s="22"/>
      <c r="D421" s="22"/>
    </row>
    <row r="422" spans="1:4">
      <c r="A422" s="68"/>
      <c r="B422" s="22"/>
      <c r="C422" s="22"/>
      <c r="D422" s="22"/>
    </row>
    <row r="423" spans="1:4">
      <c r="A423" s="68"/>
      <c r="B423" s="22"/>
      <c r="C423" s="22"/>
      <c r="D423" s="22"/>
    </row>
    <row r="424" spans="1:4">
      <c r="A424" s="68"/>
      <c r="B424" s="22"/>
      <c r="C424" s="22"/>
      <c r="D424" s="22"/>
    </row>
    <row r="425" spans="1:4">
      <c r="A425" s="68"/>
      <c r="B425" s="22"/>
      <c r="C425" s="22"/>
      <c r="D425" s="22"/>
    </row>
    <row r="426" spans="1:4">
      <c r="A426" s="68"/>
      <c r="B426" s="22"/>
      <c r="C426" s="22"/>
      <c r="D426" s="22"/>
    </row>
    <row r="427" spans="1:4">
      <c r="A427" s="68"/>
      <c r="B427" s="22"/>
      <c r="C427" s="22"/>
      <c r="D427" s="22"/>
    </row>
    <row r="428" spans="1:4">
      <c r="A428" s="68"/>
      <c r="B428" s="22"/>
      <c r="C428" s="22"/>
      <c r="D428" s="22"/>
    </row>
    <row r="429" spans="1:4">
      <c r="A429" s="68"/>
      <c r="B429" s="22"/>
      <c r="C429" s="22"/>
      <c r="D429" s="22"/>
    </row>
    <row r="430" spans="1:4">
      <c r="A430" s="68"/>
      <c r="B430" s="22"/>
      <c r="C430" s="22"/>
      <c r="D430" s="22"/>
    </row>
    <row r="431" spans="1:4">
      <c r="A431" s="68"/>
      <c r="B431" s="22"/>
      <c r="C431" s="22"/>
      <c r="D431" s="22"/>
    </row>
    <row r="432" spans="1:4">
      <c r="A432" s="68"/>
      <c r="B432" s="22"/>
      <c r="C432" s="22"/>
      <c r="D432" s="22"/>
    </row>
    <row r="433" spans="1:4">
      <c r="A433" s="68"/>
      <c r="B433" s="22"/>
      <c r="C433" s="22"/>
      <c r="D433" s="22"/>
    </row>
    <row r="434" spans="1:4">
      <c r="A434" s="68"/>
      <c r="B434" s="22"/>
      <c r="C434" s="22"/>
      <c r="D434" s="22"/>
    </row>
    <row r="435" spans="1:4">
      <c r="A435" s="68"/>
      <c r="B435" s="22"/>
      <c r="C435" s="22"/>
      <c r="D435" s="22"/>
    </row>
    <row r="436" spans="1:4">
      <c r="A436" s="68"/>
      <c r="B436" s="22"/>
      <c r="C436" s="22"/>
      <c r="D436" s="22"/>
    </row>
    <row r="437" spans="1:4">
      <c r="A437" s="68"/>
      <c r="B437" s="22"/>
      <c r="C437" s="22"/>
      <c r="D437" s="22"/>
    </row>
    <row r="438" spans="1:4">
      <c r="A438" s="68"/>
      <c r="B438" s="22"/>
      <c r="C438" s="22"/>
      <c r="D438" s="22"/>
    </row>
    <row r="439" spans="1:4">
      <c r="A439" s="68"/>
      <c r="B439" s="22"/>
      <c r="C439" s="22"/>
      <c r="D439" s="22"/>
    </row>
    <row r="440" spans="1:4">
      <c r="A440" s="68"/>
      <c r="B440" s="22"/>
      <c r="C440" s="22"/>
      <c r="D440" s="22"/>
    </row>
    <row r="441" spans="1:4">
      <c r="A441" s="68"/>
      <c r="B441" s="22"/>
      <c r="C441" s="22"/>
      <c r="D441" s="22"/>
    </row>
    <row r="442" spans="1:4">
      <c r="A442" s="68"/>
      <c r="B442" s="22"/>
      <c r="C442" s="22"/>
      <c r="D442" s="22"/>
    </row>
    <row r="443" spans="1:4">
      <c r="A443" s="68"/>
      <c r="B443" s="22"/>
      <c r="C443" s="22"/>
      <c r="D443" s="22"/>
    </row>
    <row r="444" spans="1:4">
      <c r="A444" s="68"/>
      <c r="B444" s="22"/>
      <c r="C444" s="22"/>
      <c r="D444" s="22"/>
    </row>
    <row r="445" spans="1:4">
      <c r="A445" s="68"/>
      <c r="B445" s="22"/>
      <c r="C445" s="22"/>
      <c r="D445" s="22"/>
    </row>
    <row r="446" spans="1:4">
      <c r="A446" s="68"/>
      <c r="B446" s="22"/>
      <c r="C446" s="22"/>
      <c r="D446" s="22"/>
    </row>
    <row r="447" spans="1:4">
      <c r="A447" s="68"/>
      <c r="B447" s="22"/>
      <c r="C447" s="22"/>
      <c r="D447" s="22"/>
    </row>
    <row r="448" spans="1:4">
      <c r="A448" s="68"/>
      <c r="B448" s="22"/>
      <c r="C448" s="22"/>
      <c r="D448" s="22"/>
    </row>
    <row r="449" spans="1:4">
      <c r="A449" s="68"/>
      <c r="B449" s="22"/>
      <c r="C449" s="22"/>
      <c r="D449" s="22"/>
    </row>
    <row r="450" spans="1:4">
      <c r="A450" s="68"/>
      <c r="B450" s="22"/>
      <c r="C450" s="22"/>
      <c r="D450" s="22"/>
    </row>
    <row r="451" spans="1:4">
      <c r="A451" s="68"/>
      <c r="B451" s="22"/>
      <c r="C451" s="22"/>
      <c r="D451" s="22"/>
    </row>
    <row r="452" spans="1:4">
      <c r="A452" s="68"/>
      <c r="B452" s="22"/>
      <c r="C452" s="22"/>
      <c r="D452" s="22"/>
    </row>
    <row r="453" spans="1:4">
      <c r="A453" s="68"/>
      <c r="B453" s="22"/>
      <c r="C453" s="22"/>
      <c r="D453" s="22"/>
    </row>
    <row r="454" spans="1:4">
      <c r="A454" s="68"/>
      <c r="B454" s="22"/>
      <c r="C454" s="22"/>
      <c r="D454" s="22"/>
    </row>
    <row r="455" spans="1:4">
      <c r="A455" s="68"/>
      <c r="B455" s="22"/>
      <c r="C455" s="22"/>
      <c r="D455" s="22"/>
    </row>
    <row r="456" spans="1:4">
      <c r="A456" s="68"/>
      <c r="B456" s="22"/>
      <c r="C456" s="22"/>
      <c r="D456" s="22"/>
    </row>
    <row r="457" spans="1:4">
      <c r="A457" s="68"/>
      <c r="B457" s="22"/>
      <c r="C457" s="22"/>
      <c r="D457" s="22"/>
    </row>
    <row r="458" spans="1:4">
      <c r="A458" s="68"/>
      <c r="B458" s="22"/>
      <c r="C458" s="22"/>
      <c r="D458" s="22"/>
    </row>
    <row r="459" spans="1:4">
      <c r="A459" s="68"/>
      <c r="B459" s="22"/>
      <c r="C459" s="22"/>
      <c r="D459" s="22"/>
    </row>
    <row r="460" spans="1:4">
      <c r="A460" s="68"/>
      <c r="B460" s="22"/>
      <c r="C460" s="22"/>
      <c r="D460" s="22"/>
    </row>
    <row r="461" spans="1:4">
      <c r="A461" s="68"/>
      <c r="B461" s="22"/>
      <c r="C461" s="22"/>
      <c r="D461" s="22"/>
    </row>
    <row r="462" spans="1:4">
      <c r="A462" s="68"/>
      <c r="B462" s="22"/>
      <c r="C462" s="22"/>
      <c r="D462" s="22"/>
    </row>
    <row r="463" spans="1:4">
      <c r="A463" s="68"/>
      <c r="B463" s="22"/>
      <c r="C463" s="22"/>
      <c r="D463" s="22"/>
    </row>
    <row r="464" spans="1:4">
      <c r="A464" s="68"/>
      <c r="B464" s="22"/>
      <c r="C464" s="22"/>
      <c r="D464" s="22"/>
    </row>
    <row r="465" spans="1:4">
      <c r="A465" s="68"/>
      <c r="B465" s="22"/>
      <c r="C465" s="22"/>
      <c r="D465" s="22"/>
    </row>
    <row r="466" spans="1:4">
      <c r="A466" s="68"/>
      <c r="B466" s="22"/>
      <c r="C466" s="22"/>
      <c r="D466" s="22"/>
    </row>
    <row r="467" spans="1:4">
      <c r="A467" s="68"/>
      <c r="B467" s="22"/>
      <c r="C467" s="22"/>
      <c r="D467" s="22"/>
    </row>
    <row r="468" spans="1:4">
      <c r="A468" s="68"/>
      <c r="B468" s="22"/>
      <c r="C468" s="22"/>
      <c r="D468" s="22"/>
    </row>
    <row r="469" spans="1:4">
      <c r="A469" s="68"/>
      <c r="B469" s="22"/>
      <c r="C469" s="22"/>
      <c r="D469" s="22"/>
    </row>
    <row r="470" spans="1:4">
      <c r="A470" s="68"/>
      <c r="B470" s="22"/>
      <c r="C470" s="22"/>
      <c r="D470" s="22"/>
    </row>
    <row r="471" spans="1:4">
      <c r="A471" s="68"/>
      <c r="B471" s="22"/>
      <c r="C471" s="22"/>
      <c r="D471" s="22"/>
    </row>
    <row r="472" spans="1:4">
      <c r="A472" s="68"/>
      <c r="B472" s="22"/>
      <c r="C472" s="22"/>
      <c r="D472" s="22"/>
    </row>
    <row r="473" spans="1:4">
      <c r="A473" s="68"/>
      <c r="B473" s="22"/>
      <c r="C473" s="22"/>
      <c r="D473" s="22"/>
    </row>
    <row r="474" spans="1:4">
      <c r="A474" s="68"/>
      <c r="B474" s="22"/>
      <c r="C474" s="22"/>
      <c r="D474" s="22"/>
    </row>
    <row r="475" spans="1:4">
      <c r="A475" s="68"/>
      <c r="B475" s="22"/>
      <c r="C475" s="22"/>
      <c r="D475" s="22"/>
    </row>
    <row r="476" spans="1:4">
      <c r="A476" s="68"/>
      <c r="B476" s="22"/>
      <c r="C476" s="22"/>
      <c r="D476" s="22"/>
    </row>
    <row r="477" spans="1:4">
      <c r="A477" s="68"/>
      <c r="B477" s="22"/>
      <c r="C477" s="22"/>
      <c r="D477" s="22"/>
    </row>
    <row r="478" spans="1:4">
      <c r="A478" s="68"/>
      <c r="B478" s="22"/>
      <c r="C478" s="22"/>
      <c r="D478" s="22"/>
    </row>
    <row r="479" spans="1:4">
      <c r="A479" s="68"/>
      <c r="B479" s="22"/>
      <c r="C479" s="22"/>
      <c r="D479" s="22"/>
    </row>
    <row r="480" spans="1:4">
      <c r="A480" s="68"/>
      <c r="B480" s="22"/>
      <c r="C480" s="22"/>
      <c r="D480" s="22"/>
    </row>
    <row r="481" spans="1:4">
      <c r="A481" s="68"/>
      <c r="B481" s="22"/>
      <c r="C481" s="22"/>
      <c r="D481" s="22"/>
    </row>
    <row r="482" spans="1:4">
      <c r="A482" s="68"/>
      <c r="B482" s="22"/>
      <c r="C482" s="22"/>
      <c r="D482" s="22"/>
    </row>
    <row r="483" spans="1:4">
      <c r="A483" s="68"/>
      <c r="B483" s="22"/>
      <c r="C483" s="22"/>
      <c r="D483" s="22"/>
    </row>
    <row r="484" spans="1:4">
      <c r="A484" s="68"/>
      <c r="B484" s="22"/>
      <c r="C484" s="22"/>
      <c r="D484" s="22"/>
    </row>
    <row r="485" spans="1:4">
      <c r="A485" s="68"/>
      <c r="B485" s="22"/>
      <c r="C485" s="22"/>
      <c r="D485" s="22"/>
    </row>
    <row r="486" spans="1:4">
      <c r="A486" s="68"/>
      <c r="B486" s="22"/>
      <c r="C486" s="22"/>
      <c r="D486" s="22"/>
    </row>
    <row r="487" spans="1:4">
      <c r="A487" s="68"/>
      <c r="B487" s="22"/>
      <c r="C487" s="22"/>
      <c r="D487" s="22"/>
    </row>
    <row r="488" spans="1:4">
      <c r="A488" s="68"/>
      <c r="B488" s="22"/>
      <c r="C488" s="22"/>
      <c r="D488" s="22"/>
    </row>
    <row r="489" spans="1:4">
      <c r="A489" s="68"/>
      <c r="B489" s="22"/>
      <c r="C489" s="22"/>
      <c r="D489" s="22"/>
    </row>
    <row r="490" spans="1:4" ht="15.75" thickBot="1">
      <c r="A490" s="7"/>
      <c r="B490" s="8"/>
      <c r="C490" s="8"/>
      <c r="D490" s="16"/>
    </row>
    <row r="491" spans="1:4" ht="15.75" thickBot="1">
      <c r="A491" s="3"/>
      <c r="B491" s="4"/>
      <c r="C491" s="4"/>
      <c r="D491" s="17"/>
    </row>
    <row r="492" spans="1:4" ht="15.75" thickBot="1">
      <c r="A492" s="3"/>
      <c r="B492" s="4"/>
      <c r="C492" s="4"/>
      <c r="D492" s="17"/>
    </row>
    <row r="493" spans="1:4" ht="15.75" thickBot="1">
      <c r="A493" s="3"/>
      <c r="B493" s="4"/>
      <c r="C493" s="4"/>
      <c r="D493" s="17"/>
    </row>
    <row r="494" spans="1:4" ht="15.75" thickBot="1">
      <c r="A494" s="3"/>
      <c r="B494" s="4"/>
      <c r="C494" s="4"/>
      <c r="D494" s="17"/>
    </row>
    <row r="495" spans="1:4" ht="15.75" thickBot="1">
      <c r="A495" s="3"/>
      <c r="B495" s="4"/>
      <c r="C495" s="4"/>
      <c r="D495" s="17"/>
    </row>
    <row r="496" spans="1:4" ht="15.75" thickBot="1">
      <c r="A496" s="3"/>
      <c r="B496" s="4"/>
      <c r="C496" s="4"/>
      <c r="D496" s="17"/>
    </row>
    <row r="497" spans="1:4" ht="15.75" thickBot="1">
      <c r="A497" s="3"/>
      <c r="B497" s="4"/>
      <c r="C497" s="4"/>
      <c r="D497" s="17"/>
    </row>
    <row r="498" spans="1:4" ht="15.75" thickBot="1">
      <c r="A498" s="3"/>
      <c r="B498" s="4"/>
      <c r="C498" s="4"/>
      <c r="D498" s="17"/>
    </row>
    <row r="499" spans="1:4" ht="15.75" thickBot="1">
      <c r="A499" s="3"/>
      <c r="B499" s="4"/>
      <c r="C499" s="4"/>
      <c r="D499" s="17"/>
    </row>
    <row r="500" spans="1:4" ht="15.75" thickBot="1">
      <c r="A500" s="3"/>
      <c r="B500" s="4"/>
      <c r="C500" s="4"/>
      <c r="D500" s="17"/>
    </row>
    <row r="501" spans="1:4" ht="15.75" thickBot="1">
      <c r="A501" s="3"/>
      <c r="B501" s="4"/>
      <c r="C501" s="4"/>
      <c r="D501" s="17"/>
    </row>
    <row r="502" spans="1:4" ht="15.75" thickBot="1">
      <c r="A502" s="3"/>
      <c r="B502" s="4"/>
      <c r="C502" s="4"/>
      <c r="D502" s="17"/>
    </row>
    <row r="503" spans="1:4" ht="15.75" thickBot="1">
      <c r="A503" s="3"/>
      <c r="B503" s="4"/>
      <c r="C503" s="4"/>
      <c r="D503" s="17"/>
    </row>
    <row r="504" spans="1:4" ht="15.75" thickBot="1">
      <c r="A504" s="3"/>
      <c r="B504" s="4"/>
      <c r="C504" s="4"/>
      <c r="D504" s="17"/>
    </row>
    <row r="505" spans="1:4" ht="15.75" thickBot="1">
      <c r="A505" s="3"/>
      <c r="B505" s="4"/>
      <c r="C505" s="4"/>
      <c r="D505" s="17"/>
    </row>
    <row r="506" spans="1:4" ht="15.75" thickBot="1">
      <c r="A506" s="3"/>
      <c r="B506" s="4"/>
      <c r="C506" s="4"/>
      <c r="D506" s="17"/>
    </row>
    <row r="507" spans="1:4" ht="15.75" thickBot="1">
      <c r="A507" s="3"/>
      <c r="B507" s="4"/>
      <c r="C507" s="4"/>
      <c r="D507" s="17"/>
    </row>
    <row r="508" spans="1:4" ht="15.75" thickBot="1">
      <c r="A508" s="3"/>
      <c r="B508" s="4"/>
      <c r="C508" s="4"/>
      <c r="D508" s="17"/>
    </row>
    <row r="509" spans="1:4" ht="15.75" thickBot="1">
      <c r="A509" s="3"/>
      <c r="B509" s="4"/>
      <c r="C509" s="4"/>
      <c r="D509" s="17"/>
    </row>
    <row r="510" spans="1:4" ht="15.75" thickBot="1">
      <c r="A510" s="3"/>
      <c r="B510" s="4"/>
      <c r="C510" s="4"/>
      <c r="D510" s="17"/>
    </row>
    <row r="511" spans="1:4" ht="15.75" thickBot="1">
      <c r="A511" s="3"/>
      <c r="B511" s="4"/>
      <c r="C511" s="4"/>
      <c r="D511" s="17"/>
    </row>
    <row r="512" spans="1:4" ht="15.75" thickBot="1">
      <c r="A512" s="3"/>
      <c r="B512" s="4"/>
      <c r="C512" s="4"/>
      <c r="D512" s="17"/>
    </row>
    <row r="513" spans="1:4" ht="15.75" thickBot="1">
      <c r="A513" s="3"/>
      <c r="B513" s="4"/>
      <c r="C513" s="4"/>
      <c r="D513" s="17"/>
    </row>
    <row r="514" spans="1:4" ht="15.75" thickBot="1">
      <c r="A514" s="3"/>
      <c r="B514" s="4"/>
      <c r="C514" s="4"/>
      <c r="D514" s="17"/>
    </row>
    <row r="515" spans="1:4" ht="15.75" thickBot="1">
      <c r="A515" s="3"/>
      <c r="B515" s="4"/>
      <c r="C515" s="4"/>
      <c r="D515" s="17"/>
    </row>
    <row r="516" spans="1:4" ht="15.75" thickBot="1">
      <c r="A516" s="3"/>
      <c r="B516" s="4"/>
      <c r="C516" s="4"/>
      <c r="D516" s="17"/>
    </row>
    <row r="517" spans="1:4" ht="15.75" thickBot="1">
      <c r="A517" s="3"/>
      <c r="B517" s="4"/>
      <c r="C517" s="4"/>
      <c r="D517" s="17"/>
    </row>
    <row r="518" spans="1:4" ht="15.75" thickBot="1">
      <c r="A518" s="3"/>
      <c r="B518" s="4"/>
      <c r="C518" s="4"/>
      <c r="D518" s="17"/>
    </row>
    <row r="519" spans="1:4" ht="15.75" thickBot="1">
      <c r="A519" s="3"/>
      <c r="B519" s="4"/>
      <c r="C519" s="4"/>
      <c r="D519" s="17"/>
    </row>
    <row r="520" spans="1:4" ht="15.75" thickBot="1">
      <c r="A520" s="3"/>
      <c r="B520" s="4"/>
      <c r="C520" s="4"/>
      <c r="D520" s="17"/>
    </row>
    <row r="521" spans="1:4" ht="15.75" thickBot="1">
      <c r="A521" s="3"/>
      <c r="B521" s="4"/>
      <c r="C521" s="4"/>
      <c r="D521" s="17"/>
    </row>
    <row r="522" spans="1:4" ht="15.75" thickBot="1">
      <c r="A522" s="3"/>
      <c r="B522" s="4"/>
      <c r="C522" s="4"/>
      <c r="D522" s="17"/>
    </row>
    <row r="523" spans="1:4" ht="15.75" thickBot="1">
      <c r="A523" s="3"/>
      <c r="B523" s="4"/>
      <c r="C523" s="4"/>
      <c r="D523" s="17"/>
    </row>
    <row r="524" spans="1:4" ht="15.75" thickBot="1">
      <c r="A524" s="3"/>
      <c r="B524" s="4"/>
      <c r="C524" s="4"/>
      <c r="D524" s="17"/>
    </row>
    <row r="525" spans="1:4" ht="15.75" thickBot="1">
      <c r="A525" s="3"/>
      <c r="B525" s="4"/>
      <c r="C525" s="4"/>
      <c r="D525" s="17"/>
    </row>
    <row r="526" spans="1:4" ht="15.75" thickBot="1">
      <c r="A526" s="3"/>
      <c r="B526" s="4"/>
      <c r="C526" s="4"/>
      <c r="D526" s="17"/>
    </row>
    <row r="527" spans="1:4" ht="15.75" thickBot="1">
      <c r="A527" s="3"/>
      <c r="B527" s="4"/>
      <c r="C527" s="4"/>
      <c r="D527" s="17"/>
    </row>
    <row r="528" spans="1:4" ht="15.75" thickBot="1">
      <c r="A528" s="3"/>
      <c r="B528" s="4"/>
      <c r="C528" s="4"/>
      <c r="D528" s="17"/>
    </row>
    <row r="529" spans="1:4" ht="15.75" thickBot="1">
      <c r="A529" s="3"/>
      <c r="B529" s="4"/>
      <c r="C529" s="4"/>
      <c r="D529" s="17"/>
    </row>
    <row r="530" spans="1:4" ht="15.75" thickBot="1">
      <c r="A530" s="3"/>
      <c r="B530" s="4"/>
      <c r="C530" s="4"/>
      <c r="D530" s="17"/>
    </row>
    <row r="531" spans="1:4" ht="15.75" thickBot="1">
      <c r="A531" s="3"/>
      <c r="B531" s="4"/>
      <c r="C531" s="4"/>
      <c r="D531" s="17"/>
    </row>
    <row r="532" spans="1:4" ht="15.75" thickBot="1">
      <c r="A532" s="3"/>
      <c r="B532" s="4"/>
      <c r="C532" s="4"/>
      <c r="D532" s="17"/>
    </row>
    <row r="533" spans="1:4" ht="15.75" thickBot="1">
      <c r="A533" s="3"/>
      <c r="B533" s="4"/>
      <c r="C533" s="4"/>
      <c r="D533" s="17"/>
    </row>
    <row r="534" spans="1:4" ht="15.75" thickBot="1">
      <c r="A534" s="3"/>
      <c r="B534" s="4"/>
      <c r="C534" s="4"/>
      <c r="D534" s="17"/>
    </row>
    <row r="535" spans="1:4" ht="15.75" thickBot="1">
      <c r="A535" s="3"/>
      <c r="B535" s="4"/>
      <c r="C535" s="4"/>
      <c r="D535" s="17"/>
    </row>
    <row r="536" spans="1:4" ht="15.75" thickBot="1">
      <c r="A536" s="3"/>
      <c r="B536" s="4"/>
      <c r="C536" s="4"/>
      <c r="D536" s="17"/>
    </row>
    <row r="537" spans="1:4" ht="15.75" thickBot="1">
      <c r="A537" s="3"/>
      <c r="B537" s="4"/>
      <c r="C537" s="4"/>
      <c r="D537" s="17"/>
    </row>
    <row r="538" spans="1:4" ht="15.75" thickBot="1">
      <c r="A538" s="3"/>
      <c r="B538" s="4"/>
      <c r="C538" s="4"/>
      <c r="D538" s="17"/>
    </row>
    <row r="539" spans="1:4" ht="15.75" thickBot="1">
      <c r="A539" s="3"/>
      <c r="B539" s="4"/>
      <c r="C539" s="4"/>
      <c r="D539" s="17"/>
    </row>
    <row r="540" spans="1:4" ht="15.75" thickBot="1">
      <c r="A540" s="3"/>
      <c r="B540" s="4"/>
      <c r="C540" s="4"/>
      <c r="D540" s="17"/>
    </row>
    <row r="541" spans="1:4" ht="15.75" thickBot="1">
      <c r="A541" s="3"/>
      <c r="B541" s="4"/>
      <c r="C541" s="4"/>
      <c r="D541" s="17"/>
    </row>
    <row r="542" spans="1:4" ht="15.75" thickBot="1">
      <c r="A542" s="3"/>
      <c r="B542" s="4"/>
      <c r="C542" s="4"/>
      <c r="D542" s="17"/>
    </row>
    <row r="543" spans="1:4" ht="15.75" thickBot="1">
      <c r="A543" s="3"/>
      <c r="B543" s="4"/>
      <c r="C543" s="4"/>
      <c r="D543" s="17"/>
    </row>
    <row r="544" spans="1:4" ht="15.75" thickBot="1">
      <c r="A544" s="3"/>
      <c r="B544" s="4"/>
      <c r="C544" s="4"/>
      <c r="D544" s="17"/>
    </row>
    <row r="545" spans="1:4" ht="15.75" thickBot="1">
      <c r="A545" s="3"/>
      <c r="B545" s="4"/>
      <c r="C545" s="4"/>
      <c r="D545" s="17"/>
    </row>
    <row r="546" spans="1:4" ht="15.75" thickBot="1">
      <c r="A546" s="3"/>
      <c r="B546" s="4"/>
      <c r="C546" s="4"/>
      <c r="D546" s="17"/>
    </row>
    <row r="547" spans="1:4" ht="15.75" thickBot="1">
      <c r="A547" s="3"/>
      <c r="B547" s="4"/>
      <c r="C547" s="4"/>
      <c r="D547" s="17"/>
    </row>
    <row r="548" spans="1:4" ht="15.75" thickBot="1">
      <c r="A548" s="3"/>
      <c r="B548" s="4"/>
      <c r="C548" s="4"/>
      <c r="D548" s="17"/>
    </row>
    <row r="549" spans="1:4" ht="15.75" thickBot="1">
      <c r="A549" s="3"/>
      <c r="B549" s="4"/>
      <c r="C549" s="4"/>
      <c r="D549" s="17"/>
    </row>
    <row r="550" spans="1:4" ht="15.75" thickBot="1">
      <c r="A550" s="3"/>
      <c r="B550" s="4"/>
      <c r="C550" s="4"/>
      <c r="D550" s="17"/>
    </row>
    <row r="551" spans="1:4" ht="15.75" thickBot="1">
      <c r="A551" s="3"/>
      <c r="B551" s="4"/>
      <c r="C551" s="4"/>
      <c r="D551" s="17"/>
    </row>
    <row r="552" spans="1:4" ht="15.75" thickBot="1">
      <c r="A552" s="3"/>
      <c r="B552" s="4"/>
      <c r="C552" s="4"/>
      <c r="D552" s="17"/>
    </row>
    <row r="553" spans="1:4" ht="15.75" thickBot="1">
      <c r="A553" s="3"/>
      <c r="B553" s="4"/>
      <c r="C553" s="4"/>
      <c r="D553" s="17"/>
    </row>
    <row r="554" spans="1:4" ht="15.75" thickBot="1">
      <c r="A554" s="3"/>
      <c r="B554" s="4"/>
      <c r="C554" s="4"/>
      <c r="D554" s="17"/>
    </row>
    <row r="555" spans="1:4" ht="15.75" thickBot="1">
      <c r="A555" s="3"/>
      <c r="B555" s="4"/>
      <c r="C555" s="4"/>
      <c r="D555" s="17"/>
    </row>
    <row r="556" spans="1:4" ht="15.75" thickBot="1">
      <c r="A556" s="3"/>
      <c r="B556" s="4"/>
      <c r="C556" s="4"/>
      <c r="D556" s="17"/>
    </row>
    <row r="557" spans="1:4" ht="15.75" thickBot="1">
      <c r="A557" s="3"/>
      <c r="B557" s="4"/>
      <c r="C557" s="4"/>
      <c r="D557" s="17"/>
    </row>
    <row r="558" spans="1:4" ht="15.75" thickBot="1">
      <c r="A558" s="3"/>
      <c r="B558" s="4"/>
      <c r="C558" s="4"/>
      <c r="D558" s="17"/>
    </row>
    <row r="559" spans="1:4" ht="15.75" thickBot="1">
      <c r="A559" s="3"/>
      <c r="B559" s="4"/>
      <c r="C559" s="4"/>
      <c r="D559" s="17"/>
    </row>
    <row r="560" spans="1:4" ht="15.75" thickBot="1">
      <c r="A560" s="3"/>
      <c r="B560" s="4"/>
      <c r="C560" s="4"/>
      <c r="D560" s="17"/>
    </row>
    <row r="561" spans="1:4" ht="15.75" thickBot="1">
      <c r="A561" s="3"/>
      <c r="B561" s="4"/>
      <c r="C561" s="4"/>
      <c r="D561" s="17"/>
    </row>
    <row r="562" spans="1:4" ht="15.75" thickBot="1">
      <c r="A562" s="3"/>
      <c r="B562" s="4"/>
      <c r="C562" s="4"/>
      <c r="D562" s="17"/>
    </row>
    <row r="563" spans="1:4" ht="15.75" thickBot="1">
      <c r="A563" s="3"/>
      <c r="B563" s="4"/>
      <c r="C563" s="4"/>
      <c r="D563" s="17"/>
    </row>
    <row r="564" spans="1:4" ht="15.75" thickBot="1">
      <c r="A564" s="3"/>
      <c r="B564" s="4"/>
      <c r="C564" s="4"/>
      <c r="D564" s="17"/>
    </row>
    <row r="565" spans="1:4" ht="15.75" thickBot="1">
      <c r="A565" s="3"/>
      <c r="B565" s="4"/>
      <c r="C565" s="4"/>
      <c r="D565" s="17"/>
    </row>
    <row r="566" spans="1:4" ht="15.75" thickBot="1">
      <c r="A566" s="3"/>
      <c r="B566" s="4"/>
      <c r="C566" s="4"/>
      <c r="D566" s="17"/>
    </row>
    <row r="567" spans="1:4" ht="15.75" thickBot="1">
      <c r="A567" s="3"/>
      <c r="B567" s="4"/>
      <c r="C567" s="4"/>
      <c r="D567" s="17"/>
    </row>
    <row r="568" spans="1:4" ht="15.75" thickBot="1">
      <c r="A568" s="3"/>
      <c r="B568" s="4"/>
      <c r="C568" s="4"/>
      <c r="D568" s="17"/>
    </row>
    <row r="569" spans="1:4" ht="15.75" thickBot="1">
      <c r="A569" s="3"/>
      <c r="B569" s="4"/>
      <c r="C569" s="4"/>
      <c r="D569" s="17"/>
    </row>
    <row r="570" spans="1:4" ht="15.75" thickBot="1">
      <c r="A570" s="3"/>
      <c r="B570" s="4"/>
      <c r="C570" s="4"/>
      <c r="D570" s="17"/>
    </row>
    <row r="571" spans="1:4" ht="15.75" thickBot="1">
      <c r="A571" s="3"/>
      <c r="B571" s="4"/>
      <c r="C571" s="4"/>
      <c r="D571" s="17"/>
    </row>
    <row r="572" spans="1:4" ht="15.75" thickBot="1">
      <c r="A572" s="3"/>
      <c r="B572" s="4"/>
      <c r="C572" s="4"/>
      <c r="D572" s="17"/>
    </row>
    <row r="573" spans="1:4" ht="15.75" thickBot="1">
      <c r="A573" s="3"/>
      <c r="B573" s="4"/>
      <c r="C573" s="4"/>
      <c r="D573" s="17"/>
    </row>
    <row r="574" spans="1:4" ht="15.75" thickBot="1">
      <c r="A574" s="3"/>
      <c r="B574" s="4"/>
      <c r="C574" s="4"/>
      <c r="D574" s="17"/>
    </row>
    <row r="575" spans="1:4" ht="15.75" thickBot="1">
      <c r="A575" s="3"/>
      <c r="B575" s="4"/>
      <c r="C575" s="4"/>
      <c r="D575" s="17"/>
    </row>
    <row r="576" spans="1:4" ht="15.75" thickBot="1">
      <c r="A576" s="3"/>
      <c r="B576" s="4"/>
      <c r="C576" s="4"/>
      <c r="D576" s="17"/>
    </row>
    <row r="577" spans="1:4" ht="15.75" thickBot="1">
      <c r="A577" s="3"/>
      <c r="B577" s="4"/>
      <c r="C577" s="4"/>
      <c r="D577" s="17"/>
    </row>
    <row r="578" spans="1:4" ht="15.75" thickBot="1">
      <c r="A578" s="3"/>
      <c r="B578" s="4"/>
      <c r="C578" s="4"/>
      <c r="D578" s="17"/>
    </row>
    <row r="579" spans="1:4" ht="15.75" thickBot="1">
      <c r="A579" s="3"/>
      <c r="B579" s="4"/>
      <c r="C579" s="4"/>
      <c r="D579" s="17"/>
    </row>
    <row r="580" spans="1:4" ht="15.75" thickBot="1">
      <c r="A580" s="3"/>
      <c r="B580" s="4"/>
      <c r="C580" s="4"/>
      <c r="D580" s="17"/>
    </row>
    <row r="581" spans="1:4" ht="15.75" thickBot="1">
      <c r="A581" s="3"/>
      <c r="B581" s="4"/>
      <c r="C581" s="4"/>
      <c r="D581" s="17"/>
    </row>
    <row r="582" spans="1:4" ht="15.75" thickBot="1">
      <c r="A582" s="3"/>
      <c r="B582" s="4"/>
      <c r="C582" s="4"/>
      <c r="D582" s="17"/>
    </row>
    <row r="583" spans="1:4" ht="15.75" thickBot="1">
      <c r="A583" s="3"/>
      <c r="B583" s="4"/>
      <c r="C583" s="4"/>
      <c r="D583" s="17"/>
    </row>
    <row r="584" spans="1:4" ht="15.75" thickBot="1">
      <c r="A584" s="3"/>
      <c r="B584" s="4"/>
      <c r="C584" s="4"/>
      <c r="D584" s="17"/>
    </row>
    <row r="585" spans="1:4" ht="15.75" thickBot="1">
      <c r="A585" s="3"/>
      <c r="B585" s="4"/>
      <c r="C585" s="4"/>
      <c r="D585" s="17"/>
    </row>
    <row r="586" spans="1:4" ht="15.75" thickBot="1">
      <c r="A586" s="3"/>
      <c r="B586" s="4"/>
      <c r="C586" s="4"/>
      <c r="D586" s="17"/>
    </row>
    <row r="587" spans="1:4" ht="15.75" thickBot="1">
      <c r="A587" s="3"/>
      <c r="B587" s="4"/>
      <c r="C587" s="4"/>
      <c r="D587" s="17"/>
    </row>
    <row r="588" spans="1:4" ht="15.75" thickBot="1">
      <c r="A588" s="3"/>
      <c r="B588" s="4"/>
      <c r="C588" s="4"/>
      <c r="D588" s="17"/>
    </row>
    <row r="589" spans="1:4" ht="15.75" thickBot="1">
      <c r="A589" s="3"/>
      <c r="B589" s="4"/>
      <c r="C589" s="4"/>
      <c r="D589" s="17"/>
    </row>
    <row r="590" spans="1:4" ht="15.75" thickBot="1">
      <c r="A590" s="3"/>
      <c r="B590" s="4"/>
      <c r="C590" s="4"/>
      <c r="D590" s="17"/>
    </row>
    <row r="591" spans="1:4" ht="15.75" thickBot="1">
      <c r="A591" s="3"/>
      <c r="B591" s="4"/>
      <c r="C591" s="4"/>
      <c r="D591" s="17"/>
    </row>
    <row r="592" spans="1:4" ht="15.75" thickBot="1">
      <c r="A592" s="3"/>
      <c r="B592" s="4"/>
      <c r="C592" s="4"/>
      <c r="D592" s="17"/>
    </row>
    <row r="593" spans="1:4" ht="15.75" thickBot="1">
      <c r="A593" s="3"/>
      <c r="B593" s="4"/>
      <c r="C593" s="4"/>
      <c r="D593" s="17"/>
    </row>
    <row r="594" spans="1:4" ht="15.75" thickBot="1">
      <c r="A594" s="3"/>
      <c r="B594" s="4"/>
      <c r="C594" s="4"/>
      <c r="D594" s="17"/>
    </row>
    <row r="595" spans="1:4" ht="15.75" thickBot="1">
      <c r="A595" s="3"/>
      <c r="B595" s="4"/>
      <c r="C595" s="4"/>
      <c r="D595" s="17"/>
    </row>
    <row r="596" spans="1:4" ht="15.75" thickBot="1">
      <c r="A596" s="3"/>
      <c r="B596" s="4"/>
      <c r="C596" s="4"/>
      <c r="D596" s="17"/>
    </row>
    <row r="597" spans="1:4" ht="15.75" thickBot="1">
      <c r="A597" s="3"/>
      <c r="B597" s="4"/>
      <c r="C597" s="4"/>
      <c r="D597" s="17"/>
    </row>
    <row r="598" spans="1:4" ht="15.75" thickBot="1">
      <c r="A598" s="3"/>
      <c r="B598" s="4"/>
      <c r="C598" s="4"/>
      <c r="D598" s="17"/>
    </row>
    <row r="599" spans="1:4" ht="15.75" thickBot="1">
      <c r="A599" s="3"/>
      <c r="B599" s="4"/>
      <c r="C599" s="4"/>
      <c r="D599" s="17"/>
    </row>
    <row r="600" spans="1:4" ht="15.75" thickBot="1">
      <c r="A600" s="3"/>
      <c r="B600" s="4"/>
      <c r="C600" s="4"/>
      <c r="D600" s="17"/>
    </row>
    <row r="601" spans="1:4" ht="15.75" thickBot="1">
      <c r="A601" s="3"/>
      <c r="B601" s="4"/>
      <c r="C601" s="4"/>
      <c r="D601" s="17"/>
    </row>
    <row r="602" spans="1:4" ht="15.75" thickBot="1">
      <c r="A602" s="3"/>
      <c r="B602" s="4"/>
      <c r="C602" s="4"/>
      <c r="D602" s="17"/>
    </row>
    <row r="603" spans="1:4" ht="15.75" thickBot="1">
      <c r="A603" s="3"/>
      <c r="B603" s="4"/>
      <c r="C603" s="4"/>
      <c r="D603" s="17"/>
    </row>
    <row r="604" spans="1:4" ht="15.75" thickBot="1">
      <c r="A604" s="3"/>
      <c r="B604" s="4"/>
      <c r="C604" s="4"/>
      <c r="D604" s="17"/>
    </row>
    <row r="605" spans="1:4" ht="15.75" thickBot="1">
      <c r="A605" s="3"/>
      <c r="B605" s="4"/>
      <c r="C605" s="4"/>
      <c r="D605" s="17"/>
    </row>
    <row r="606" spans="1:4" ht="15.75" thickBot="1">
      <c r="A606" s="3"/>
      <c r="B606" s="4"/>
      <c r="C606" s="4"/>
      <c r="D606" s="17"/>
    </row>
    <row r="607" spans="1:4" ht="15.75" thickBot="1">
      <c r="A607" s="3"/>
      <c r="B607" s="4"/>
      <c r="C607" s="4"/>
      <c r="D607" s="17"/>
    </row>
    <row r="608" spans="1:4" ht="15.75" thickBot="1">
      <c r="A608" s="3"/>
      <c r="B608" s="4"/>
      <c r="C608" s="4"/>
      <c r="D608" s="17"/>
    </row>
    <row r="609" spans="1:4" ht="15.75" thickBot="1">
      <c r="A609" s="3"/>
      <c r="B609" s="4"/>
      <c r="C609" s="4"/>
      <c r="D609" s="17"/>
    </row>
    <row r="610" spans="1:4" ht="15.75" thickBot="1">
      <c r="A610" s="3"/>
      <c r="B610" s="4"/>
      <c r="C610" s="4"/>
      <c r="D610" s="17"/>
    </row>
    <row r="611" spans="1:4" ht="15.75" thickBot="1">
      <c r="A611" s="3"/>
      <c r="B611" s="4"/>
      <c r="C611" s="4"/>
      <c r="D611" s="17"/>
    </row>
    <row r="612" spans="1:4" ht="15.75" thickBot="1">
      <c r="A612" s="3"/>
      <c r="B612" s="4"/>
      <c r="C612" s="4"/>
      <c r="D612" s="17"/>
    </row>
    <row r="613" spans="1:4" ht="15.75" thickBot="1">
      <c r="A613" s="3"/>
      <c r="B613" s="4"/>
      <c r="C613" s="4"/>
      <c r="D613" s="17"/>
    </row>
    <row r="614" spans="1:4" ht="15.75" thickBot="1">
      <c r="A614" s="3"/>
      <c r="B614" s="4"/>
      <c r="C614" s="4"/>
      <c r="D614" s="17"/>
    </row>
    <row r="615" spans="1:4" ht="15.75" thickBot="1">
      <c r="A615" s="3"/>
      <c r="B615" s="4"/>
      <c r="C615" s="4"/>
      <c r="D615" s="17"/>
    </row>
    <row r="616" spans="1:4" ht="15.75" thickBot="1">
      <c r="A616" s="3"/>
      <c r="B616" s="4"/>
      <c r="C616" s="4"/>
      <c r="D616" s="17"/>
    </row>
    <row r="617" spans="1:4" ht="15.75" thickBot="1">
      <c r="A617" s="3"/>
      <c r="B617" s="4"/>
      <c r="C617" s="4"/>
      <c r="D617" s="17"/>
    </row>
    <row r="618" spans="1:4" ht="15.75" thickBot="1">
      <c r="A618" s="3"/>
      <c r="B618" s="4"/>
      <c r="C618" s="4"/>
      <c r="D618" s="17"/>
    </row>
    <row r="619" spans="1:4" ht="15.75" thickBot="1">
      <c r="A619" s="3"/>
      <c r="B619" s="4"/>
      <c r="C619" s="4"/>
      <c r="D619" s="17"/>
    </row>
    <row r="620" spans="1:4" ht="15.75" thickBot="1">
      <c r="A620" s="3"/>
      <c r="B620" s="4"/>
      <c r="C620" s="4"/>
      <c r="D620" s="17"/>
    </row>
    <row r="621" spans="1:4" ht="15.75" thickBot="1">
      <c r="A621" s="3"/>
      <c r="B621" s="4"/>
      <c r="C621" s="4"/>
      <c r="D621" s="17"/>
    </row>
    <row r="622" spans="1:4" ht="15.75" thickBot="1">
      <c r="A622" s="3"/>
      <c r="B622" s="4"/>
      <c r="C622" s="4"/>
      <c r="D622" s="17"/>
    </row>
    <row r="623" spans="1:4" ht="15.75" thickBot="1">
      <c r="A623" s="3"/>
      <c r="B623" s="4"/>
      <c r="C623" s="4"/>
      <c r="D623" s="17"/>
    </row>
    <row r="624" spans="1:4" ht="15.75" thickBot="1">
      <c r="A624" s="3"/>
      <c r="B624" s="4"/>
      <c r="C624" s="4"/>
      <c r="D624" s="17"/>
    </row>
    <row r="625" spans="1:4" ht="15.75" thickBot="1">
      <c r="A625" s="3"/>
      <c r="B625" s="4"/>
      <c r="C625" s="4"/>
      <c r="D625" s="17"/>
    </row>
    <row r="626" spans="1:4" ht="15.75" thickBot="1">
      <c r="A626" s="3"/>
      <c r="B626" s="4"/>
      <c r="C626" s="4"/>
      <c r="D626" s="17"/>
    </row>
    <row r="627" spans="1:4" ht="15.75" thickBot="1">
      <c r="A627" s="3"/>
      <c r="B627" s="4"/>
      <c r="C627" s="4"/>
      <c r="D627" s="17"/>
    </row>
    <row r="628" spans="1:4" ht="15.75" thickBot="1">
      <c r="A628" s="3"/>
      <c r="B628" s="4"/>
      <c r="C628" s="4"/>
      <c r="D628" s="17"/>
    </row>
    <row r="629" spans="1:4" ht="15.75" thickBot="1">
      <c r="A629" s="3"/>
      <c r="B629" s="4"/>
      <c r="C629" s="4"/>
      <c r="D629" s="17"/>
    </row>
    <row r="630" spans="1:4" ht="15.75" thickBot="1">
      <c r="A630" s="3"/>
      <c r="B630" s="4"/>
      <c r="C630" s="4"/>
      <c r="D630" s="17"/>
    </row>
    <row r="631" spans="1:4" ht="15.75" thickBot="1">
      <c r="A631" s="3"/>
      <c r="B631" s="4"/>
      <c r="C631" s="4"/>
      <c r="D631" s="17"/>
    </row>
    <row r="632" spans="1:4" ht="15.75" thickBot="1">
      <c r="A632" s="3"/>
      <c r="B632" s="4"/>
      <c r="C632" s="4"/>
      <c r="D632" s="17"/>
    </row>
    <row r="633" spans="1:4" ht="15.75" thickBot="1">
      <c r="A633" s="3"/>
      <c r="B633" s="4"/>
      <c r="C633" s="4"/>
      <c r="D633" s="17"/>
    </row>
    <row r="634" spans="1:4" ht="15.75" thickBot="1">
      <c r="A634" s="3"/>
      <c r="B634" s="4"/>
      <c r="C634" s="4"/>
      <c r="D634" s="17"/>
    </row>
    <row r="635" spans="1:4" ht="15.75" thickBot="1">
      <c r="A635" s="3"/>
      <c r="B635" s="4"/>
      <c r="C635" s="4"/>
      <c r="D635" s="17"/>
    </row>
    <row r="636" spans="1:4" ht="15.75" thickBot="1">
      <c r="A636" s="3"/>
      <c r="B636" s="4"/>
      <c r="C636" s="4"/>
      <c r="D636" s="17"/>
    </row>
    <row r="637" spans="1:4" ht="15.75" thickBot="1">
      <c r="A637" s="3"/>
      <c r="B637" s="4"/>
      <c r="C637" s="4"/>
      <c r="D637" s="17"/>
    </row>
    <row r="638" spans="1:4" ht="15.75" thickBot="1">
      <c r="A638" s="3"/>
      <c r="B638" s="4"/>
      <c r="C638" s="4"/>
      <c r="D638" s="17"/>
    </row>
    <row r="639" spans="1:4" ht="15.75" thickBot="1">
      <c r="A639" s="3"/>
      <c r="B639" s="4"/>
      <c r="C639" s="4"/>
      <c r="D639" s="17"/>
    </row>
    <row r="640" spans="1:4" ht="15.75" thickBot="1">
      <c r="A640" s="3"/>
      <c r="B640" s="4"/>
      <c r="C640" s="4"/>
      <c r="D640" s="17"/>
    </row>
    <row r="641" spans="1:4" ht="15.75" thickBot="1">
      <c r="A641" s="3"/>
      <c r="B641" s="4"/>
      <c r="C641" s="4"/>
      <c r="D641" s="17"/>
    </row>
    <row r="642" spans="1:4" ht="15.75" thickBot="1">
      <c r="A642" s="3"/>
      <c r="B642" s="4"/>
      <c r="C642" s="4"/>
      <c r="D642" s="17"/>
    </row>
    <row r="643" spans="1:4" ht="15.75" thickBot="1">
      <c r="A643" s="3"/>
      <c r="B643" s="4"/>
      <c r="C643" s="4"/>
      <c r="D643" s="17"/>
    </row>
    <row r="644" spans="1:4" ht="15.75" thickBot="1">
      <c r="A644" s="3"/>
      <c r="B644" s="4"/>
      <c r="C644" s="4"/>
      <c r="D644" s="17"/>
    </row>
    <row r="645" spans="1:4" ht="15.75" thickBot="1">
      <c r="A645" s="3"/>
      <c r="B645" s="4"/>
      <c r="C645" s="4"/>
      <c r="D645" s="17"/>
    </row>
    <row r="646" spans="1:4" ht="15.75" thickBot="1">
      <c r="A646" s="3"/>
      <c r="B646" s="4"/>
      <c r="C646" s="4"/>
      <c r="D646" s="17"/>
    </row>
    <row r="647" spans="1:4" ht="15.75" thickBot="1">
      <c r="A647" s="3"/>
      <c r="B647" s="4"/>
      <c r="C647" s="4"/>
      <c r="D647" s="17"/>
    </row>
    <row r="648" spans="1:4" ht="15.75" thickBot="1">
      <c r="A648" s="3"/>
      <c r="B648" s="4"/>
      <c r="C648" s="4"/>
      <c r="D648" s="17"/>
    </row>
    <row r="649" spans="1:4" ht="15.75" thickBot="1">
      <c r="A649" s="3"/>
      <c r="B649" s="4"/>
      <c r="C649" s="4"/>
      <c r="D649" s="17"/>
    </row>
    <row r="650" spans="1:4" ht="15.75" thickBot="1">
      <c r="A650" s="3"/>
      <c r="B650" s="4"/>
      <c r="C650" s="4"/>
      <c r="D650" s="17"/>
    </row>
    <row r="651" spans="1:4" ht="15.75" thickBot="1">
      <c r="A651" s="3"/>
      <c r="B651" s="4"/>
      <c r="C651" s="4"/>
      <c r="D651" s="17"/>
    </row>
    <row r="652" spans="1:4" ht="15.75" thickBot="1">
      <c r="A652" s="3"/>
      <c r="B652" s="4"/>
      <c r="C652" s="4"/>
      <c r="D652" s="17"/>
    </row>
    <row r="653" spans="1:4" ht="15.75" thickBot="1">
      <c r="A653" s="3"/>
      <c r="B653" s="4"/>
      <c r="C653" s="4"/>
      <c r="D653" s="17"/>
    </row>
    <row r="654" spans="1:4" ht="15.75" thickBot="1">
      <c r="A654" s="3"/>
      <c r="B654" s="4"/>
      <c r="C654" s="4"/>
      <c r="D654" s="17"/>
    </row>
    <row r="655" spans="1:4" ht="15.75" thickBot="1">
      <c r="A655" s="3"/>
      <c r="B655" s="4"/>
      <c r="C655" s="4"/>
      <c r="D655" s="17"/>
    </row>
    <row r="656" spans="1:4" ht="15.75" thickBot="1">
      <c r="A656" s="3"/>
      <c r="B656" s="4"/>
      <c r="C656" s="4"/>
      <c r="D656" s="17"/>
    </row>
    <row r="657" spans="1:4" ht="15.75" thickBot="1">
      <c r="A657" s="3"/>
      <c r="B657" s="4"/>
      <c r="C657" s="4"/>
      <c r="D657" s="17"/>
    </row>
    <row r="658" spans="1:4" ht="15.75" thickBot="1">
      <c r="A658" s="3"/>
      <c r="B658" s="4"/>
      <c r="C658" s="4"/>
      <c r="D658" s="17"/>
    </row>
    <row r="659" spans="1:4" ht="15.75" thickBot="1">
      <c r="A659" s="3"/>
      <c r="B659" s="4"/>
      <c r="C659" s="4"/>
      <c r="D659" s="17"/>
    </row>
    <row r="660" spans="1:4" ht="15.75" thickBot="1">
      <c r="A660" s="3"/>
      <c r="B660" s="4"/>
      <c r="C660" s="4"/>
      <c r="D660" s="17"/>
    </row>
    <row r="661" spans="1:4" ht="15.75" thickBot="1">
      <c r="A661" s="3"/>
      <c r="B661" s="4"/>
      <c r="C661" s="4"/>
      <c r="D661" s="17"/>
    </row>
    <row r="662" spans="1:4" ht="15.75" thickBot="1">
      <c r="A662" s="3"/>
      <c r="B662" s="4"/>
      <c r="C662" s="4"/>
      <c r="D662" s="17"/>
    </row>
    <row r="663" spans="1:4" ht="15.75" thickBot="1">
      <c r="A663" s="3"/>
      <c r="B663" s="4"/>
      <c r="C663" s="4"/>
      <c r="D663" s="17"/>
    </row>
    <row r="664" spans="1:4" ht="15.75" thickBot="1">
      <c r="A664" s="3"/>
      <c r="B664" s="4"/>
      <c r="C664" s="4"/>
      <c r="D664" s="17"/>
    </row>
    <row r="665" spans="1:4" ht="15.75" thickBot="1">
      <c r="A665" s="3"/>
      <c r="B665" s="4"/>
      <c r="C665" s="4"/>
      <c r="D665" s="17"/>
    </row>
    <row r="666" spans="1:4" ht="15.75" thickBot="1">
      <c r="A666" s="3"/>
      <c r="B666" s="4"/>
      <c r="C666" s="4"/>
      <c r="D666" s="17"/>
    </row>
    <row r="667" spans="1:4" ht="15.75" thickBot="1">
      <c r="A667" s="3"/>
      <c r="B667" s="4"/>
      <c r="C667" s="4"/>
      <c r="D667" s="17"/>
    </row>
    <row r="668" spans="1:4" ht="15.75" thickBot="1">
      <c r="A668" s="3"/>
      <c r="B668" s="4"/>
      <c r="C668" s="4"/>
      <c r="D668" s="17"/>
    </row>
    <row r="669" spans="1:4" ht="15.75" thickBot="1">
      <c r="A669" s="3"/>
      <c r="B669" s="4"/>
      <c r="C669" s="4"/>
      <c r="D669" s="17"/>
    </row>
    <row r="670" spans="1:4" ht="15.75" thickBot="1">
      <c r="A670" s="3"/>
      <c r="B670" s="4"/>
      <c r="C670" s="4"/>
      <c r="D670" s="17"/>
    </row>
    <row r="671" spans="1:4" ht="15.75" thickBot="1">
      <c r="A671" s="3"/>
      <c r="B671" s="4"/>
      <c r="C671" s="4"/>
      <c r="D671" s="17"/>
    </row>
    <row r="672" spans="1:4" ht="15.75" thickBot="1">
      <c r="A672" s="3"/>
      <c r="B672" s="4"/>
      <c r="C672" s="4"/>
      <c r="D672" s="17"/>
    </row>
    <row r="673" spans="1:4" ht="15.75" thickBot="1">
      <c r="A673" s="3"/>
      <c r="B673" s="4"/>
      <c r="C673" s="4"/>
      <c r="D673" s="17"/>
    </row>
    <row r="674" spans="1:4" ht="15.75" thickBot="1">
      <c r="A674" s="3"/>
      <c r="B674" s="4"/>
      <c r="C674" s="4"/>
      <c r="D674" s="17"/>
    </row>
    <row r="675" spans="1:4" ht="15.75" thickBot="1">
      <c r="A675" s="3"/>
      <c r="B675" s="4"/>
      <c r="C675" s="4"/>
      <c r="D675" s="17"/>
    </row>
    <row r="676" spans="1:4" ht="15.75" thickBot="1">
      <c r="A676" s="3"/>
      <c r="B676" s="4"/>
      <c r="C676" s="4"/>
      <c r="D676" s="17"/>
    </row>
    <row r="677" spans="1:4" ht="15.75" thickBot="1">
      <c r="A677" s="3"/>
      <c r="B677" s="4"/>
      <c r="C677" s="4"/>
      <c r="D677" s="17"/>
    </row>
    <row r="678" spans="1:4" ht="15.75" thickBot="1">
      <c r="A678" s="3"/>
      <c r="B678" s="4"/>
      <c r="C678" s="4"/>
      <c r="D678" s="17"/>
    </row>
    <row r="679" spans="1:4" ht="15.75" thickBot="1">
      <c r="A679" s="3"/>
      <c r="B679" s="4"/>
      <c r="C679" s="4"/>
      <c r="D679" s="17"/>
    </row>
    <row r="680" spans="1:4" ht="15.75" thickBot="1">
      <c r="A680" s="3"/>
      <c r="B680" s="4"/>
      <c r="C680" s="4"/>
      <c r="D680" s="17"/>
    </row>
    <row r="681" spans="1:4" ht="15.75" thickBot="1">
      <c r="A681" s="3"/>
      <c r="B681" s="4"/>
      <c r="C681" s="4"/>
      <c r="D681" s="17"/>
    </row>
    <row r="682" spans="1:4" ht="15.75" thickBot="1">
      <c r="A682" s="3"/>
      <c r="B682" s="4"/>
      <c r="C682" s="4"/>
      <c r="D682" s="17"/>
    </row>
    <row r="683" spans="1:4" ht="15.75" thickBot="1">
      <c r="A683" s="3"/>
      <c r="B683" s="4"/>
      <c r="C683" s="4"/>
      <c r="D683" s="17"/>
    </row>
    <row r="684" spans="1:4" ht="15.75" thickBot="1">
      <c r="A684" s="3"/>
      <c r="B684" s="4"/>
      <c r="C684" s="4"/>
      <c r="D684" s="17"/>
    </row>
    <row r="685" spans="1:4" ht="15.75" thickBot="1">
      <c r="A685" s="3"/>
      <c r="B685" s="4"/>
      <c r="C685" s="4"/>
      <c r="D685" s="17"/>
    </row>
    <row r="686" spans="1:4" ht="15.75" thickBot="1">
      <c r="A686" s="3"/>
      <c r="B686" s="4"/>
      <c r="C686" s="4"/>
      <c r="D686" s="17"/>
    </row>
    <row r="687" spans="1:4" ht="15.75" thickBot="1">
      <c r="A687" s="3"/>
      <c r="B687" s="4"/>
      <c r="C687" s="4"/>
      <c r="D687" s="17"/>
    </row>
    <row r="688" spans="1:4" ht="15.75" thickBot="1">
      <c r="A688" s="3"/>
      <c r="B688" s="4"/>
      <c r="C688" s="4"/>
      <c r="D688" s="17"/>
    </row>
    <row r="689" spans="1:4" ht="15.75" thickBot="1">
      <c r="A689" s="3"/>
      <c r="B689" s="4"/>
      <c r="C689" s="4"/>
      <c r="D689" s="17"/>
    </row>
    <row r="690" spans="1:4" ht="15.75" thickBot="1">
      <c r="A690" s="3"/>
      <c r="B690" s="4"/>
      <c r="C690" s="4"/>
      <c r="D690" s="17"/>
    </row>
    <row r="691" spans="1:4" ht="15.75" thickBot="1">
      <c r="A691" s="3"/>
      <c r="B691" s="4"/>
      <c r="C691" s="4"/>
      <c r="D691" s="17"/>
    </row>
    <row r="692" spans="1:4" ht="15.75" thickBot="1">
      <c r="A692" s="3"/>
      <c r="B692" s="4"/>
      <c r="C692" s="4"/>
      <c r="D692" s="17"/>
    </row>
    <row r="693" spans="1:4" ht="15.75" thickBot="1">
      <c r="A693" s="3"/>
      <c r="B693" s="4"/>
      <c r="C693" s="4"/>
      <c r="D693" s="17"/>
    </row>
    <row r="694" spans="1:4" ht="15.75" thickBot="1">
      <c r="A694" s="3"/>
      <c r="B694" s="4"/>
      <c r="C694" s="4"/>
      <c r="D694" s="17"/>
    </row>
    <row r="695" spans="1:4" ht="15.75" thickBot="1">
      <c r="A695" s="3"/>
      <c r="B695" s="4"/>
      <c r="C695" s="4"/>
      <c r="D695" s="17"/>
    </row>
    <row r="696" spans="1:4" ht="15.75" thickBot="1">
      <c r="A696" s="3"/>
      <c r="B696" s="4"/>
      <c r="C696" s="4"/>
      <c r="D696" s="17"/>
    </row>
    <row r="697" spans="1:4" ht="15.75" thickBot="1">
      <c r="A697" s="3"/>
      <c r="B697" s="4"/>
      <c r="C697" s="4"/>
      <c r="D697" s="17"/>
    </row>
    <row r="698" spans="1:4" ht="15.75" thickBot="1">
      <c r="A698" s="3"/>
      <c r="B698" s="4"/>
      <c r="C698" s="4"/>
      <c r="D698" s="17"/>
    </row>
    <row r="699" spans="1:4" ht="15.75" thickBot="1">
      <c r="A699" s="3"/>
      <c r="B699" s="4"/>
      <c r="C699" s="4"/>
      <c r="D699" s="17"/>
    </row>
    <row r="700" spans="1:4" ht="15.75" thickBot="1">
      <c r="A700" s="3"/>
      <c r="B700" s="4"/>
      <c r="C700" s="4"/>
      <c r="D700" s="17"/>
    </row>
    <row r="701" spans="1:4" ht="15.75" thickBot="1">
      <c r="A701" s="3"/>
      <c r="B701" s="4"/>
      <c r="C701" s="4"/>
      <c r="D701" s="17"/>
    </row>
    <row r="702" spans="1:4" ht="15.75" thickBot="1">
      <c r="A702" s="3"/>
      <c r="B702" s="4"/>
      <c r="C702" s="4"/>
      <c r="D702" s="17"/>
    </row>
    <row r="703" spans="1:4" ht="15.75" thickBot="1">
      <c r="A703" s="3"/>
      <c r="B703" s="4"/>
      <c r="C703" s="4"/>
      <c r="D703" s="17"/>
    </row>
    <row r="704" spans="1:4" ht="15.75" thickBot="1">
      <c r="A704" s="3"/>
      <c r="B704" s="4"/>
      <c r="C704" s="4"/>
      <c r="D704" s="17"/>
    </row>
    <row r="705" spans="1:4" ht="15.75" thickBot="1">
      <c r="A705" s="3"/>
      <c r="B705" s="4"/>
      <c r="C705" s="4"/>
      <c r="D705" s="17"/>
    </row>
    <row r="706" spans="1:4" ht="15.75" thickBot="1">
      <c r="A706" s="3"/>
      <c r="B706" s="4"/>
      <c r="C706" s="4"/>
      <c r="D706" s="17"/>
    </row>
    <row r="707" spans="1:4" ht="15.75" thickBot="1">
      <c r="A707" s="3"/>
      <c r="B707" s="4"/>
      <c r="C707" s="4"/>
      <c r="D707" s="17"/>
    </row>
    <row r="708" spans="1:4" ht="15.75" thickBot="1">
      <c r="A708" s="3"/>
      <c r="B708" s="4"/>
      <c r="C708" s="4"/>
      <c r="D708" s="17"/>
    </row>
    <row r="709" spans="1:4" ht="15.75" thickBot="1">
      <c r="A709" s="3"/>
      <c r="B709" s="4"/>
      <c r="C709" s="4"/>
      <c r="D709" s="17"/>
    </row>
    <row r="710" spans="1:4" ht="15.75" thickBot="1">
      <c r="A710" s="3"/>
      <c r="B710" s="4"/>
      <c r="C710" s="4"/>
      <c r="D710" s="17"/>
    </row>
    <row r="711" spans="1:4" ht="15.75" thickBot="1">
      <c r="A711" s="3"/>
      <c r="B711" s="4"/>
      <c r="C711" s="4"/>
      <c r="D711" s="17"/>
    </row>
    <row r="712" spans="1:4" ht="15.75" thickBot="1">
      <c r="A712" s="3"/>
      <c r="B712" s="4"/>
      <c r="C712" s="4"/>
      <c r="D712" s="17"/>
    </row>
    <row r="713" spans="1:4" ht="15.75" thickBot="1">
      <c r="A713" s="3"/>
      <c r="B713" s="4"/>
      <c r="C713" s="4"/>
      <c r="D713" s="17"/>
    </row>
    <row r="714" spans="1:4" ht="15.75" thickBot="1">
      <c r="A714" s="3"/>
      <c r="B714" s="4"/>
      <c r="C714" s="4"/>
      <c r="D714" s="17"/>
    </row>
    <row r="715" spans="1:4" ht="15.75" thickBot="1">
      <c r="A715" s="3"/>
      <c r="B715" s="4"/>
      <c r="C715" s="4"/>
      <c r="D715" s="17"/>
    </row>
    <row r="716" spans="1:4" ht="15.75" thickBot="1">
      <c r="A716" s="3"/>
      <c r="B716" s="4"/>
      <c r="C716" s="4"/>
      <c r="D716" s="17"/>
    </row>
    <row r="717" spans="1:4" ht="15.75" thickBot="1">
      <c r="A717" s="3"/>
      <c r="B717" s="4"/>
      <c r="C717" s="4"/>
      <c r="D717" s="17"/>
    </row>
    <row r="718" spans="1:4" ht="15.75" thickBot="1">
      <c r="A718" s="3"/>
      <c r="B718" s="4"/>
      <c r="C718" s="4"/>
      <c r="D718" s="17"/>
    </row>
    <row r="719" spans="1:4" ht="15.75" thickBot="1">
      <c r="A719" s="3"/>
      <c r="B719" s="4"/>
      <c r="C719" s="4"/>
      <c r="D719" s="17"/>
    </row>
    <row r="720" spans="1:4" ht="15.75" thickBot="1">
      <c r="A720" s="3"/>
      <c r="B720" s="4"/>
      <c r="C720" s="4"/>
      <c r="D720" s="17"/>
    </row>
    <row r="721" spans="1:4" ht="15.75" thickBot="1">
      <c r="A721" s="3"/>
      <c r="B721" s="4"/>
      <c r="C721" s="4"/>
      <c r="D721" s="17"/>
    </row>
    <row r="722" spans="1:4" ht="15.75" thickBot="1">
      <c r="A722" s="3"/>
      <c r="B722" s="4"/>
      <c r="C722" s="4"/>
      <c r="D722" s="17"/>
    </row>
    <row r="723" spans="1:4" ht="15.75" thickBot="1">
      <c r="A723" s="3"/>
      <c r="B723" s="4"/>
      <c r="C723" s="4"/>
      <c r="D723" s="17"/>
    </row>
    <row r="724" spans="1:4" ht="15.75" thickBot="1">
      <c r="A724" s="3"/>
      <c r="B724" s="4"/>
      <c r="C724" s="4"/>
      <c r="D724" s="17"/>
    </row>
    <row r="725" spans="1:4" ht="15.75" thickBot="1">
      <c r="A725" s="3"/>
      <c r="B725" s="4"/>
      <c r="C725" s="4"/>
      <c r="D725" s="17"/>
    </row>
    <row r="726" spans="1:4" ht="15.75" thickBot="1">
      <c r="A726" s="3"/>
      <c r="B726" s="4"/>
      <c r="C726" s="4"/>
      <c r="D726" s="17"/>
    </row>
    <row r="727" spans="1:4" ht="15.75" thickBot="1">
      <c r="A727" s="3"/>
      <c r="B727" s="4"/>
      <c r="C727" s="4"/>
      <c r="D727" s="17"/>
    </row>
    <row r="728" spans="1:4" ht="15.75" thickBot="1">
      <c r="A728" s="3"/>
      <c r="B728" s="4"/>
      <c r="C728" s="4"/>
      <c r="D728" s="17"/>
    </row>
    <row r="729" spans="1:4" ht="15.75" thickBot="1">
      <c r="A729" s="3"/>
      <c r="B729" s="4"/>
      <c r="C729" s="4"/>
      <c r="D729" s="17"/>
    </row>
    <row r="730" spans="1:4" ht="15.75" thickBot="1">
      <c r="A730" s="3"/>
      <c r="B730" s="4"/>
      <c r="C730" s="4"/>
      <c r="D730" s="17"/>
    </row>
    <row r="731" spans="1:4" ht="15.75" thickBot="1">
      <c r="A731" s="3"/>
      <c r="B731" s="4"/>
      <c r="C731" s="4"/>
      <c r="D731" s="17"/>
    </row>
    <row r="732" spans="1:4" ht="15.75" thickBot="1">
      <c r="A732" s="3"/>
      <c r="B732" s="4"/>
      <c r="C732" s="4"/>
      <c r="D732" s="17"/>
    </row>
    <row r="733" spans="1:4" ht="15.75" thickBot="1">
      <c r="A733" s="3"/>
      <c r="B733" s="4"/>
      <c r="C733" s="4"/>
      <c r="D733" s="17"/>
    </row>
    <row r="734" spans="1:4" ht="15.75" thickBot="1">
      <c r="A734" s="3"/>
      <c r="B734" s="4"/>
      <c r="C734" s="4"/>
      <c r="D734" s="17"/>
    </row>
    <row r="735" spans="1:4" ht="15.75" thickBot="1">
      <c r="A735" s="3"/>
      <c r="B735" s="4"/>
      <c r="C735" s="4"/>
      <c r="D735" s="17"/>
    </row>
    <row r="736" spans="1:4" ht="15.75" thickBot="1">
      <c r="A736" s="3"/>
      <c r="B736" s="4"/>
      <c r="C736" s="4"/>
      <c r="D736" s="17"/>
    </row>
    <row r="737" spans="1:4" ht="15.75" thickBot="1">
      <c r="A737" s="3"/>
      <c r="B737" s="4"/>
      <c r="C737" s="4"/>
      <c r="D737" s="17"/>
    </row>
    <row r="738" spans="1:4" ht="15.75" thickBot="1">
      <c r="A738" s="3"/>
      <c r="B738" s="4"/>
      <c r="C738" s="4"/>
      <c r="D738" s="17"/>
    </row>
    <row r="739" spans="1:4" ht="15.75" thickBot="1">
      <c r="A739" s="3"/>
      <c r="B739" s="4"/>
      <c r="C739" s="4"/>
      <c r="D739" s="17"/>
    </row>
    <row r="740" spans="1:4" ht="15.75" thickBot="1">
      <c r="A740" s="3"/>
      <c r="B740" s="4"/>
      <c r="C740" s="4"/>
      <c r="D740" s="17"/>
    </row>
    <row r="741" spans="1:4" ht="15.75" thickBot="1">
      <c r="A741" s="3"/>
      <c r="B741" s="4"/>
      <c r="C741" s="4"/>
      <c r="D741" s="17"/>
    </row>
    <row r="742" spans="1:4" ht="15.75" thickBot="1">
      <c r="A742" s="3"/>
      <c r="B742" s="4"/>
      <c r="C742" s="4"/>
      <c r="D742" s="17"/>
    </row>
    <row r="743" spans="1:4" ht="15.75" thickBot="1">
      <c r="A743" s="3"/>
      <c r="B743" s="4"/>
      <c r="C743" s="4"/>
      <c r="D743" s="17"/>
    </row>
    <row r="744" spans="1:4" ht="15.75" thickBot="1">
      <c r="A744" s="3"/>
      <c r="B744" s="4"/>
      <c r="C744" s="4"/>
      <c r="D744" s="17"/>
    </row>
    <row r="745" spans="1:4" ht="15.75" thickBot="1">
      <c r="A745" s="3"/>
      <c r="B745" s="4"/>
      <c r="C745" s="4"/>
      <c r="D745" s="17"/>
    </row>
    <row r="746" spans="1:4" ht="15.75" thickBot="1">
      <c r="A746" s="3"/>
      <c r="B746" s="4"/>
      <c r="C746" s="4"/>
      <c r="D746" s="17"/>
    </row>
    <row r="747" spans="1:4" ht="15.75" thickBot="1">
      <c r="A747" s="3"/>
      <c r="B747" s="4"/>
      <c r="C747" s="4"/>
      <c r="D747" s="17"/>
    </row>
    <row r="748" spans="1:4" ht="15.75" thickBot="1">
      <c r="A748" s="3"/>
      <c r="B748" s="4"/>
      <c r="C748" s="4"/>
      <c r="D748" s="17"/>
    </row>
    <row r="749" spans="1:4" ht="15.75" thickBot="1">
      <c r="A749" s="3"/>
      <c r="B749" s="4"/>
      <c r="C749" s="4"/>
      <c r="D749" s="17"/>
    </row>
    <row r="750" spans="1:4" ht="15.75" thickBot="1">
      <c r="A750" s="3"/>
      <c r="B750" s="4"/>
      <c r="C750" s="4"/>
      <c r="D750" s="17"/>
    </row>
    <row r="751" spans="1:4" ht="15.75" thickBot="1">
      <c r="A751" s="3"/>
      <c r="B751" s="4"/>
      <c r="C751" s="4"/>
      <c r="D751" s="17"/>
    </row>
    <row r="752" spans="1:4" ht="15.75" thickBot="1">
      <c r="A752" s="3"/>
      <c r="B752" s="4"/>
      <c r="C752" s="4"/>
      <c r="D752" s="17"/>
    </row>
    <row r="753" spans="1:4" ht="15.75" thickBot="1">
      <c r="A753" s="3"/>
      <c r="B753" s="4"/>
      <c r="C753" s="4"/>
      <c r="D753" s="17"/>
    </row>
    <row r="754" spans="1:4" ht="15.75" thickBot="1">
      <c r="A754" s="3"/>
      <c r="B754" s="4"/>
      <c r="C754" s="4"/>
      <c r="D754" s="17"/>
    </row>
    <row r="755" spans="1:4" ht="15.75" thickBot="1">
      <c r="A755" s="3"/>
      <c r="B755" s="4"/>
      <c r="C755" s="4"/>
      <c r="D755" s="17"/>
    </row>
    <row r="756" spans="1:4" ht="15.75" thickBot="1">
      <c r="A756" s="3"/>
      <c r="B756" s="4"/>
      <c r="C756" s="4"/>
      <c r="D756" s="17"/>
    </row>
    <row r="757" spans="1:4" ht="15.75" thickBot="1">
      <c r="A757" s="3"/>
      <c r="B757" s="4"/>
      <c r="C757" s="4"/>
      <c r="D757" s="17"/>
    </row>
    <row r="758" spans="1:4" ht="15.75" thickBot="1">
      <c r="A758" s="3"/>
      <c r="B758" s="4"/>
      <c r="C758" s="4"/>
      <c r="D758" s="17"/>
    </row>
    <row r="759" spans="1:4" ht="15.75" thickBot="1">
      <c r="A759" s="3"/>
      <c r="B759" s="4"/>
      <c r="C759" s="4"/>
      <c r="D759" s="17"/>
    </row>
    <row r="760" spans="1:4" ht="15.75" thickBot="1">
      <c r="A760" s="3"/>
      <c r="B760" s="4"/>
      <c r="C760" s="4"/>
      <c r="D760" s="17"/>
    </row>
    <row r="761" spans="1:4" ht="15.75" thickBot="1">
      <c r="A761" s="3"/>
      <c r="B761" s="4"/>
      <c r="C761" s="4"/>
      <c r="D761" s="17"/>
    </row>
    <row r="762" spans="1:4" ht="15.75" thickBot="1">
      <c r="A762" s="3"/>
      <c r="B762" s="4"/>
      <c r="C762" s="4"/>
      <c r="D762" s="17"/>
    </row>
    <row r="763" spans="1:4" ht="15.75" thickBot="1">
      <c r="A763" s="3"/>
      <c r="B763" s="4"/>
      <c r="C763" s="4"/>
      <c r="D763" s="17"/>
    </row>
    <row r="764" spans="1:4" ht="15.75" thickBot="1">
      <c r="A764" s="3"/>
      <c r="B764" s="4"/>
      <c r="C764" s="4"/>
      <c r="D764" s="17"/>
    </row>
    <row r="765" spans="1:4" ht="15.75" thickBot="1">
      <c r="A765" s="3"/>
      <c r="B765" s="4"/>
      <c r="C765" s="4"/>
      <c r="D765" s="17"/>
    </row>
    <row r="766" spans="1:4" ht="15.75" thickBot="1">
      <c r="A766" s="3"/>
      <c r="B766" s="4"/>
      <c r="C766" s="4"/>
      <c r="D766" s="17"/>
    </row>
    <row r="767" spans="1:4" ht="15.75" thickBot="1">
      <c r="A767" s="3"/>
      <c r="B767" s="4"/>
      <c r="C767" s="4"/>
      <c r="D767" s="17"/>
    </row>
    <row r="768" spans="1:4" ht="15.75" thickBot="1">
      <c r="A768" s="3"/>
      <c r="B768" s="4"/>
      <c r="C768" s="4"/>
      <c r="D768" s="17"/>
    </row>
    <row r="769" spans="1:4" ht="15.75" thickBot="1">
      <c r="A769" s="3"/>
      <c r="B769" s="4"/>
      <c r="C769" s="4"/>
      <c r="D769" s="17"/>
    </row>
    <row r="770" spans="1:4" ht="15.75" thickBot="1">
      <c r="A770" s="3"/>
      <c r="B770" s="4"/>
      <c r="C770" s="4"/>
      <c r="D770" s="17"/>
    </row>
    <row r="771" spans="1:4" ht="15.75" thickBot="1">
      <c r="A771" s="3"/>
      <c r="B771" s="4"/>
      <c r="C771" s="4"/>
      <c r="D771" s="17"/>
    </row>
    <row r="772" spans="1:4" ht="15.75" thickBot="1">
      <c r="A772" s="3"/>
      <c r="B772" s="4"/>
      <c r="C772" s="4"/>
      <c r="D772" s="17"/>
    </row>
    <row r="773" spans="1:4" ht="15.75" thickBot="1">
      <c r="A773" s="3"/>
      <c r="B773" s="4"/>
      <c r="C773" s="4"/>
      <c r="D773" s="17"/>
    </row>
    <row r="774" spans="1:4" ht="15.75" thickBot="1">
      <c r="A774" s="3"/>
      <c r="B774" s="4"/>
      <c r="C774" s="4"/>
      <c r="D774" s="17"/>
    </row>
    <row r="775" spans="1:4" ht="15.75" thickBot="1">
      <c r="A775" s="3"/>
      <c r="B775" s="4"/>
      <c r="C775" s="4"/>
      <c r="D775" s="17"/>
    </row>
    <row r="776" spans="1:4" ht="15.75" thickBot="1">
      <c r="A776" s="3"/>
      <c r="B776" s="4"/>
      <c r="C776" s="4"/>
      <c r="D776" s="17"/>
    </row>
    <row r="777" spans="1:4" ht="15.75" thickBot="1">
      <c r="A777" s="3"/>
      <c r="B777" s="4"/>
      <c r="C777" s="4"/>
      <c r="D777" s="17"/>
    </row>
    <row r="778" spans="1:4" ht="15.75" thickBot="1">
      <c r="A778" s="3"/>
      <c r="B778" s="4"/>
      <c r="C778" s="4"/>
      <c r="D778" s="17"/>
    </row>
    <row r="779" spans="1:4" ht="15.75" thickBot="1">
      <c r="A779" s="3"/>
      <c r="B779" s="4"/>
      <c r="C779" s="4"/>
      <c r="D779" s="17"/>
    </row>
    <row r="780" spans="1:4" ht="15.75" thickBot="1">
      <c r="A780" s="3"/>
      <c r="B780" s="4"/>
      <c r="C780" s="4"/>
      <c r="D780" s="17"/>
    </row>
    <row r="781" spans="1:4" ht="15.75" thickBot="1">
      <c r="A781" s="3"/>
      <c r="B781" s="4"/>
      <c r="C781" s="4"/>
      <c r="D781" s="17"/>
    </row>
    <row r="782" spans="1:4" ht="15.75" thickBot="1">
      <c r="A782" s="3"/>
      <c r="B782" s="4"/>
      <c r="C782" s="4"/>
      <c r="D782" s="17"/>
    </row>
    <row r="783" spans="1:4" ht="15.75" thickBot="1">
      <c r="A783" s="3"/>
      <c r="B783" s="4"/>
      <c r="C783" s="4"/>
      <c r="D783" s="17"/>
    </row>
    <row r="784" spans="1:4" ht="15.75" thickBot="1">
      <c r="A784" s="3"/>
      <c r="B784" s="4"/>
      <c r="C784" s="4"/>
      <c r="D784" s="17"/>
    </row>
    <row r="785" spans="1:4" ht="15.75" thickBot="1">
      <c r="A785" s="3"/>
      <c r="B785" s="4"/>
      <c r="C785" s="4"/>
      <c r="D785" s="17"/>
    </row>
    <row r="786" spans="1:4" ht="15.75" thickBot="1">
      <c r="A786" s="3"/>
      <c r="B786" s="4"/>
      <c r="C786" s="4"/>
      <c r="D786" s="17"/>
    </row>
    <row r="787" spans="1:4" ht="15.75" thickBot="1">
      <c r="A787" s="3"/>
      <c r="B787" s="4"/>
      <c r="C787" s="4"/>
      <c r="D787" s="17"/>
    </row>
    <row r="788" spans="1:4" ht="15.75" thickBot="1">
      <c r="A788" s="3"/>
      <c r="B788" s="4"/>
      <c r="C788" s="4"/>
      <c r="D788" s="17"/>
    </row>
    <row r="789" spans="1:4" ht="15.75" thickBot="1">
      <c r="A789" s="3"/>
      <c r="B789" s="4"/>
      <c r="C789" s="4"/>
      <c r="D789" s="17"/>
    </row>
    <row r="790" spans="1:4" ht="15.75" thickBot="1">
      <c r="A790" s="3"/>
      <c r="B790" s="4"/>
      <c r="C790" s="4"/>
      <c r="D790" s="17"/>
    </row>
    <row r="791" spans="1:4" ht="15.75" thickBot="1">
      <c r="A791" s="3"/>
      <c r="B791" s="4"/>
      <c r="C791" s="4"/>
      <c r="D791" s="17"/>
    </row>
    <row r="792" spans="1:4" ht="15.75" thickBot="1">
      <c r="A792" s="3"/>
      <c r="B792" s="4"/>
      <c r="C792" s="4"/>
      <c r="D792" s="17"/>
    </row>
    <row r="793" spans="1:4" ht="15.75" thickBot="1">
      <c r="A793" s="3"/>
      <c r="B793" s="4"/>
      <c r="C793" s="4"/>
      <c r="D793" s="17"/>
    </row>
    <row r="794" spans="1:4" ht="15.75" thickBot="1">
      <c r="A794" s="3"/>
      <c r="B794" s="4"/>
      <c r="C794" s="4"/>
      <c r="D794" s="17"/>
    </row>
    <row r="795" spans="1:4" ht="15.75" thickBot="1">
      <c r="A795" s="3"/>
      <c r="B795" s="4"/>
      <c r="C795" s="4"/>
      <c r="D795" s="17"/>
    </row>
    <row r="796" spans="1:4" ht="15.75" thickBot="1">
      <c r="A796" s="3"/>
      <c r="B796" s="4"/>
      <c r="C796" s="4"/>
      <c r="D796" s="17"/>
    </row>
    <row r="797" spans="1:4" ht="15.75" thickBot="1">
      <c r="A797" s="3"/>
      <c r="B797" s="4"/>
      <c r="C797" s="4"/>
      <c r="D797" s="17"/>
    </row>
    <row r="798" spans="1:4" ht="15.75" thickBot="1">
      <c r="A798" s="3"/>
      <c r="B798" s="4"/>
      <c r="C798" s="4"/>
      <c r="D798" s="17"/>
    </row>
    <row r="799" spans="1:4" ht="15.75" thickBot="1">
      <c r="A799" s="3"/>
      <c r="B799" s="4"/>
      <c r="C799" s="4"/>
      <c r="D799" s="17"/>
    </row>
    <row r="800" spans="1:4" ht="15.75" thickBot="1">
      <c r="A800" s="3"/>
      <c r="B800" s="4"/>
      <c r="C800" s="4"/>
      <c r="D800" s="17"/>
    </row>
    <row r="801" spans="1:4" ht="15.75" thickBot="1">
      <c r="A801" s="3"/>
      <c r="B801" s="4"/>
      <c r="C801" s="4"/>
      <c r="D801" s="17"/>
    </row>
    <row r="802" spans="1:4" ht="15.75" thickBot="1">
      <c r="A802" s="3"/>
      <c r="B802" s="4"/>
      <c r="C802" s="4"/>
      <c r="D802" s="17"/>
    </row>
    <row r="803" spans="1:4" ht="15.75" thickBot="1">
      <c r="A803" s="3"/>
      <c r="B803" s="4"/>
      <c r="C803" s="4"/>
      <c r="D803" s="17"/>
    </row>
    <row r="804" spans="1:4" ht="15.75" thickBot="1">
      <c r="A804" s="3"/>
      <c r="B804" s="4"/>
      <c r="C804" s="4"/>
      <c r="D804" s="17"/>
    </row>
    <row r="805" spans="1:4" ht="15.75" thickBot="1">
      <c r="A805" s="3"/>
      <c r="B805" s="4"/>
      <c r="C805" s="4"/>
      <c r="D805" s="17"/>
    </row>
    <row r="806" spans="1:4" ht="15.75" thickBot="1">
      <c r="A806" s="3"/>
      <c r="B806" s="4"/>
      <c r="C806" s="4"/>
      <c r="D806" s="17"/>
    </row>
    <row r="807" spans="1:4" ht="15.75" thickBot="1">
      <c r="A807" s="3"/>
      <c r="B807" s="4"/>
      <c r="C807" s="4"/>
      <c r="D807" s="17"/>
    </row>
    <row r="808" spans="1:4" ht="15.75" thickBot="1">
      <c r="A808" s="3"/>
      <c r="B808" s="4"/>
      <c r="C808" s="4"/>
      <c r="D808" s="17"/>
    </row>
    <row r="809" spans="1:4" ht="15.75" thickBot="1">
      <c r="A809" s="3"/>
      <c r="B809" s="4"/>
      <c r="C809" s="4"/>
      <c r="D809" s="17"/>
    </row>
    <row r="810" spans="1:4" ht="15.75" thickBot="1">
      <c r="A810" s="3"/>
      <c r="B810" s="4"/>
      <c r="C810" s="4"/>
      <c r="D810" s="17"/>
    </row>
    <row r="811" spans="1:4" ht="15.75" thickBot="1">
      <c r="A811" s="3"/>
      <c r="B811" s="4"/>
      <c r="C811" s="4"/>
      <c r="D811" s="17"/>
    </row>
    <row r="812" spans="1:4" ht="15.75" thickBot="1">
      <c r="A812" s="3"/>
      <c r="B812" s="4"/>
      <c r="C812" s="4"/>
      <c r="D812" s="17"/>
    </row>
    <row r="813" spans="1:4" ht="15.75" thickBot="1">
      <c r="A813" s="3"/>
      <c r="B813" s="4"/>
      <c r="C813" s="4"/>
      <c r="D813" s="17"/>
    </row>
    <row r="814" spans="1:4" ht="15.75" thickBot="1">
      <c r="A814" s="3"/>
      <c r="B814" s="4"/>
      <c r="C814" s="4"/>
      <c r="D814" s="17"/>
    </row>
    <row r="815" spans="1:4" ht="15.75" thickBot="1">
      <c r="A815" s="3"/>
      <c r="B815" s="4"/>
      <c r="C815" s="4"/>
      <c r="D815" s="17"/>
    </row>
    <row r="816" spans="1:4" ht="15.75" thickBot="1">
      <c r="A816" s="3"/>
      <c r="B816" s="4"/>
      <c r="C816" s="4"/>
      <c r="D816" s="17"/>
    </row>
    <row r="817" spans="1:4" ht="15.75" thickBot="1">
      <c r="A817" s="3"/>
      <c r="B817" s="4"/>
      <c r="C817" s="4"/>
      <c r="D817" s="17"/>
    </row>
    <row r="818" spans="1:4" ht="15.75" thickBot="1">
      <c r="A818" s="3"/>
      <c r="B818" s="4"/>
      <c r="C818" s="4"/>
      <c r="D818" s="17"/>
    </row>
    <row r="819" spans="1:4" ht="15.75" thickBot="1">
      <c r="A819" s="3"/>
      <c r="B819" s="4"/>
      <c r="C819" s="4"/>
      <c r="D819" s="17"/>
    </row>
    <row r="820" spans="1:4" ht="15.75" thickBot="1">
      <c r="A820" s="3"/>
      <c r="B820" s="4"/>
      <c r="C820" s="4"/>
      <c r="D820" s="17"/>
    </row>
    <row r="821" spans="1:4" ht="15.75" thickBot="1">
      <c r="A821" s="3"/>
      <c r="B821" s="4"/>
      <c r="C821" s="4"/>
      <c r="D821" s="17"/>
    </row>
    <row r="822" spans="1:4" ht="15.75" thickBot="1">
      <c r="A822" s="3"/>
      <c r="B822" s="4"/>
      <c r="C822" s="4"/>
      <c r="D822" s="17"/>
    </row>
    <row r="823" spans="1:4" ht="15.75" thickBot="1">
      <c r="A823" s="3"/>
      <c r="B823" s="4"/>
      <c r="C823" s="4"/>
      <c r="D823" s="17"/>
    </row>
    <row r="824" spans="1:4" ht="15.75" thickBot="1">
      <c r="A824" s="3"/>
      <c r="B824" s="4"/>
      <c r="C824" s="4"/>
      <c r="D824" s="17"/>
    </row>
    <row r="825" spans="1:4" ht="15.75" thickBot="1">
      <c r="A825" s="3"/>
      <c r="B825" s="4"/>
      <c r="C825" s="4"/>
      <c r="D825" s="17"/>
    </row>
    <row r="826" spans="1:4" ht="15.75" thickBot="1">
      <c r="A826" s="3"/>
      <c r="B826" s="4"/>
      <c r="C826" s="4"/>
      <c r="D826" s="17"/>
    </row>
    <row r="827" spans="1:4" ht="15.75" thickBot="1">
      <c r="A827" s="3"/>
      <c r="B827" s="4"/>
      <c r="C827" s="4"/>
      <c r="D827" s="17"/>
    </row>
    <row r="828" spans="1:4" ht="15.75" thickBot="1">
      <c r="A828" s="3"/>
      <c r="B828" s="4"/>
      <c r="C828" s="4"/>
      <c r="D828" s="17"/>
    </row>
    <row r="829" spans="1:4" ht="15.75" thickBot="1">
      <c r="A829" s="3"/>
      <c r="B829" s="4"/>
      <c r="C829" s="4"/>
      <c r="D829" s="17"/>
    </row>
    <row r="830" spans="1:4" ht="15.75" thickBot="1">
      <c r="A830" s="3"/>
      <c r="B830" s="4"/>
      <c r="C830" s="4"/>
      <c r="D830" s="17"/>
    </row>
    <row r="831" spans="1:4" ht="15.75" thickBot="1">
      <c r="A831" s="3"/>
      <c r="B831" s="4"/>
      <c r="C831" s="4"/>
      <c r="D831" s="17"/>
    </row>
    <row r="832" spans="1:4" ht="15.75" thickBot="1">
      <c r="A832" s="3"/>
      <c r="B832" s="4"/>
      <c r="C832" s="4"/>
      <c r="D832" s="17"/>
    </row>
    <row r="833" spans="1:4" ht="15.75" thickBot="1">
      <c r="A833" s="3"/>
      <c r="B833" s="4"/>
      <c r="C833" s="4"/>
      <c r="D833" s="17"/>
    </row>
    <row r="834" spans="1:4" ht="15.75" thickBot="1">
      <c r="A834" s="3"/>
      <c r="B834" s="4"/>
      <c r="C834" s="4"/>
      <c r="D834" s="17"/>
    </row>
    <row r="835" spans="1:4" ht="15.75" thickBot="1">
      <c r="A835" s="3"/>
      <c r="B835" s="4"/>
      <c r="C835" s="4"/>
      <c r="D835" s="17"/>
    </row>
    <row r="836" spans="1:4" ht="15.75" thickBot="1">
      <c r="A836" s="3"/>
      <c r="B836" s="4"/>
      <c r="C836" s="4"/>
      <c r="D836" s="17"/>
    </row>
    <row r="837" spans="1:4" ht="15.75" thickBot="1">
      <c r="A837" s="3"/>
      <c r="B837" s="4"/>
      <c r="C837" s="4"/>
      <c r="D837" s="17"/>
    </row>
    <row r="838" spans="1:4" ht="15.75" thickBot="1">
      <c r="A838" s="3"/>
      <c r="B838" s="4"/>
      <c r="C838" s="4"/>
      <c r="D838" s="17"/>
    </row>
    <row r="839" spans="1:4" ht="15.75" thickBot="1">
      <c r="A839" s="3"/>
      <c r="B839" s="4"/>
      <c r="C839" s="4"/>
      <c r="D839" s="17"/>
    </row>
    <row r="840" spans="1:4" ht="15.75" thickBot="1">
      <c r="A840" s="3"/>
      <c r="B840" s="4"/>
      <c r="C840" s="4"/>
      <c r="D840" s="17"/>
    </row>
    <row r="841" spans="1:4" ht="15.75" thickBot="1">
      <c r="A841" s="3"/>
      <c r="B841" s="4"/>
      <c r="C841" s="4"/>
      <c r="D841" s="17"/>
    </row>
    <row r="842" spans="1:4" ht="15.75" thickBot="1">
      <c r="A842" s="3"/>
      <c r="B842" s="4"/>
      <c r="C842" s="4"/>
      <c r="D842" s="17"/>
    </row>
    <row r="843" spans="1:4" ht="15.75" thickBot="1">
      <c r="A843" s="3"/>
      <c r="B843" s="4"/>
      <c r="C843" s="4"/>
      <c r="D843" s="17"/>
    </row>
    <row r="844" spans="1:4" ht="15.75" thickBot="1">
      <c r="A844" s="3"/>
      <c r="B844" s="4"/>
      <c r="C844" s="4"/>
      <c r="D844" s="17"/>
    </row>
    <row r="845" spans="1:4" ht="15.75" thickBot="1">
      <c r="A845" s="3"/>
      <c r="B845" s="4"/>
      <c r="C845" s="4"/>
      <c r="D845" s="17"/>
    </row>
    <row r="846" spans="1:4" ht="15.75" thickBot="1">
      <c r="A846" s="3"/>
      <c r="B846" s="4"/>
      <c r="C846" s="4"/>
      <c r="D846" s="17"/>
    </row>
    <row r="847" spans="1:4" ht="15.75" thickBot="1">
      <c r="A847" s="3"/>
      <c r="B847" s="4"/>
      <c r="C847" s="4"/>
      <c r="D847" s="17"/>
    </row>
    <row r="848" spans="1:4" ht="15.75" thickBot="1">
      <c r="A848" s="3"/>
      <c r="B848" s="4"/>
      <c r="C848" s="4"/>
      <c r="D848" s="17"/>
    </row>
    <row r="849" spans="1:4" ht="15.75" thickBot="1">
      <c r="A849" s="3"/>
      <c r="B849" s="4"/>
      <c r="C849" s="4"/>
      <c r="D849" s="17"/>
    </row>
    <row r="850" spans="1:4" ht="15.75" thickBot="1">
      <c r="A850" s="3"/>
      <c r="B850" s="4"/>
      <c r="C850" s="4"/>
      <c r="D850" s="17"/>
    </row>
    <row r="865" spans="1:10" s="2" customFormat="1">
      <c r="A865" s="1"/>
      <c r="E865"/>
      <c r="F865"/>
      <c r="G865"/>
      <c r="H865"/>
      <c r="I865"/>
      <c r="J865"/>
    </row>
    <row r="866" spans="1:10" s="2" customFormat="1">
      <c r="A866" s="1"/>
      <c r="E866"/>
      <c r="F866"/>
      <c r="G866"/>
      <c r="H866"/>
      <c r="I866"/>
      <c r="J866"/>
    </row>
    <row r="867" spans="1:10" s="2" customFormat="1">
      <c r="A867" s="1"/>
      <c r="E867"/>
      <c r="F867"/>
      <c r="G867"/>
      <c r="H867"/>
      <c r="I867"/>
      <c r="J867"/>
    </row>
    <row r="868" spans="1:10" s="2" customFormat="1">
      <c r="A868" s="1"/>
      <c r="E868"/>
      <c r="F868"/>
      <c r="G868"/>
      <c r="H868"/>
      <c r="I868"/>
      <c r="J868"/>
    </row>
    <row r="869" spans="1:10" s="2" customFormat="1">
      <c r="A869" s="1"/>
      <c r="E869"/>
      <c r="F869"/>
      <c r="G869"/>
      <c r="H869"/>
      <c r="I869"/>
      <c r="J869"/>
    </row>
    <row r="870" spans="1:10" s="2" customFormat="1">
      <c r="A870" s="1"/>
      <c r="E870"/>
      <c r="F870"/>
      <c r="G870"/>
      <c r="H870"/>
      <c r="I870"/>
      <c r="J870"/>
    </row>
    <row r="871" spans="1:10" s="2" customFormat="1">
      <c r="A871" s="1"/>
      <c r="E871"/>
      <c r="F871"/>
      <c r="G871"/>
      <c r="H871"/>
      <c r="I871"/>
      <c r="J871"/>
    </row>
    <row r="872" spans="1:10" s="2" customFormat="1">
      <c r="A872" s="1"/>
      <c r="E872"/>
      <c r="F872"/>
      <c r="G872"/>
      <c r="H872"/>
      <c r="I872"/>
      <c r="J872"/>
    </row>
    <row r="873" spans="1:10" s="2" customFormat="1">
      <c r="A873" s="1"/>
      <c r="E873"/>
      <c r="F873"/>
      <c r="G873"/>
      <c r="H873"/>
      <c r="I873"/>
      <c r="J873"/>
    </row>
    <row r="874" spans="1:10" s="2" customFormat="1">
      <c r="A874" s="1"/>
      <c r="E874"/>
      <c r="F874"/>
      <c r="G874"/>
      <c r="H874"/>
      <c r="I874"/>
      <c r="J874"/>
    </row>
    <row r="875" spans="1:10" s="2" customFormat="1">
      <c r="A875" s="1"/>
      <c r="E875"/>
      <c r="F875"/>
      <c r="G875"/>
      <c r="H875"/>
      <c r="I875"/>
      <c r="J875"/>
    </row>
    <row r="876" spans="1:10" s="2" customFormat="1">
      <c r="A876" s="1"/>
      <c r="E876"/>
      <c r="F876"/>
      <c r="G876"/>
      <c r="H876"/>
      <c r="I876"/>
      <c r="J876"/>
    </row>
    <row r="877" spans="1:10" s="2" customFormat="1">
      <c r="A877" s="1"/>
      <c r="E877"/>
      <c r="F877"/>
      <c r="G877"/>
      <c r="H877"/>
      <c r="I877"/>
      <c r="J877"/>
    </row>
    <row r="878" spans="1:10" s="2" customFormat="1">
      <c r="A878" s="1"/>
      <c r="E878"/>
      <c r="F878"/>
      <c r="G878"/>
      <c r="H878"/>
      <c r="I878"/>
      <c r="J878"/>
    </row>
    <row r="879" spans="1:10" s="2" customFormat="1">
      <c r="A879" s="1"/>
      <c r="E879"/>
      <c r="F879"/>
      <c r="G879"/>
      <c r="H879"/>
      <c r="I879"/>
      <c r="J879"/>
    </row>
    <row r="880" spans="1:10" s="2" customFormat="1">
      <c r="A880" s="1"/>
      <c r="E880"/>
      <c r="F880"/>
      <c r="G880"/>
      <c r="H880"/>
      <c r="I880"/>
      <c r="J880"/>
    </row>
    <row r="881" spans="1:10" s="2" customFormat="1">
      <c r="A881" s="1"/>
      <c r="E881"/>
      <c r="F881"/>
      <c r="G881"/>
      <c r="H881"/>
      <c r="I881"/>
      <c r="J881"/>
    </row>
    <row r="882" spans="1:10" s="2" customFormat="1">
      <c r="A882" s="1"/>
      <c r="E882"/>
      <c r="F882"/>
      <c r="G882"/>
      <c r="H882"/>
      <c r="I882"/>
      <c r="J882"/>
    </row>
    <row r="883" spans="1:10" s="2" customFormat="1">
      <c r="A883" s="1"/>
      <c r="E883"/>
      <c r="F883"/>
      <c r="G883"/>
      <c r="H883"/>
      <c r="I883"/>
      <c r="J883"/>
    </row>
    <row r="884" spans="1:10" s="2" customFormat="1">
      <c r="A884" s="1"/>
      <c r="E884"/>
      <c r="F884"/>
      <c r="G884"/>
      <c r="H884"/>
      <c r="I884"/>
      <c r="J884"/>
    </row>
    <row r="885" spans="1:10" s="2" customFormat="1">
      <c r="A885" s="1"/>
      <c r="E885"/>
      <c r="F885"/>
      <c r="G885"/>
      <c r="H885"/>
      <c r="I885"/>
      <c r="J885"/>
    </row>
    <row r="886" spans="1:10" s="2" customFormat="1">
      <c r="A886" s="1"/>
      <c r="E886"/>
      <c r="F886"/>
      <c r="G886"/>
      <c r="H886"/>
      <c r="I886"/>
      <c r="J886"/>
    </row>
    <row r="887" spans="1:10" s="2" customFormat="1">
      <c r="A887" s="1"/>
      <c r="E887"/>
      <c r="F887"/>
      <c r="G887"/>
      <c r="H887"/>
      <c r="I887"/>
      <c r="J887"/>
    </row>
    <row r="888" spans="1:10" s="2" customFormat="1">
      <c r="A888" s="1"/>
      <c r="E888"/>
      <c r="F888"/>
      <c r="G888"/>
      <c r="H888"/>
      <c r="I888"/>
      <c r="J888"/>
    </row>
    <row r="889" spans="1:10" s="2" customFormat="1">
      <c r="A889" s="1"/>
      <c r="E889"/>
      <c r="F889"/>
      <c r="G889"/>
      <c r="H889"/>
      <c r="I889"/>
      <c r="J889"/>
    </row>
    <row r="890" spans="1:10" s="2" customFormat="1">
      <c r="A890" s="1"/>
      <c r="E890"/>
      <c r="F890"/>
      <c r="G890"/>
      <c r="H890"/>
      <c r="I890"/>
      <c r="J890"/>
    </row>
    <row r="891" spans="1:10" s="2" customFormat="1">
      <c r="A891" s="1"/>
      <c r="E891"/>
      <c r="F891"/>
      <c r="G891"/>
      <c r="H891"/>
      <c r="I891"/>
      <c r="J891"/>
    </row>
    <row r="892" spans="1:10" s="2" customFormat="1">
      <c r="A892" s="1"/>
      <c r="E892"/>
      <c r="F892"/>
      <c r="G892"/>
      <c r="H892"/>
      <c r="I892"/>
      <c r="J892"/>
    </row>
    <row r="893" spans="1:10" s="2" customFormat="1">
      <c r="A893" s="1"/>
      <c r="E893"/>
      <c r="F893"/>
      <c r="G893"/>
      <c r="H893"/>
      <c r="I893"/>
      <c r="J893"/>
    </row>
    <row r="894" spans="1:10" s="2" customFormat="1">
      <c r="A894" s="1"/>
      <c r="E894"/>
      <c r="F894"/>
      <c r="G894"/>
      <c r="H894"/>
      <c r="I894"/>
      <c r="J894"/>
    </row>
    <row r="895" spans="1:10" s="2" customFormat="1">
      <c r="A895" s="1"/>
      <c r="E895"/>
      <c r="F895"/>
      <c r="G895"/>
      <c r="H895"/>
      <c r="I895"/>
      <c r="J895"/>
    </row>
    <row r="896" spans="1:10" s="2" customFormat="1">
      <c r="A896" s="1"/>
      <c r="E896"/>
      <c r="F896"/>
      <c r="G896"/>
      <c r="H896"/>
      <c r="I896"/>
      <c r="J896"/>
    </row>
    <row r="897" spans="1:10" s="2" customFormat="1">
      <c r="A897" s="1"/>
      <c r="E897"/>
      <c r="F897"/>
      <c r="G897"/>
      <c r="H897"/>
      <c r="I897"/>
      <c r="J897"/>
    </row>
    <row r="898" spans="1:10" s="2" customFormat="1">
      <c r="A898" s="1"/>
      <c r="E898"/>
      <c r="F898"/>
      <c r="G898"/>
      <c r="H898"/>
      <c r="I898"/>
      <c r="J898"/>
    </row>
    <row r="899" spans="1:10" s="2" customFormat="1">
      <c r="A899" s="1"/>
      <c r="E899"/>
      <c r="F899"/>
      <c r="G899"/>
      <c r="H899"/>
      <c r="I899"/>
      <c r="J899"/>
    </row>
    <row r="900" spans="1:10" s="2" customFormat="1">
      <c r="A900" s="1"/>
      <c r="E900"/>
      <c r="F900"/>
      <c r="G900"/>
      <c r="H900"/>
      <c r="I900"/>
      <c r="J900"/>
    </row>
    <row r="901" spans="1:10" s="2" customFormat="1">
      <c r="A901" s="1"/>
      <c r="E901"/>
      <c r="F901"/>
      <c r="G901"/>
      <c r="H901"/>
      <c r="I901"/>
      <c r="J901"/>
    </row>
    <row r="902" spans="1:10" s="2" customFormat="1">
      <c r="A902" s="1"/>
      <c r="E902"/>
      <c r="F902"/>
      <c r="G902"/>
      <c r="H902"/>
      <c r="I902"/>
      <c r="J902"/>
    </row>
    <row r="903" spans="1:10" s="2" customFormat="1">
      <c r="A903" s="1"/>
      <c r="E903"/>
      <c r="F903"/>
      <c r="G903"/>
      <c r="H903"/>
      <c r="I903"/>
      <c r="J903"/>
    </row>
    <row r="904" spans="1:10" s="2" customFormat="1">
      <c r="A904" s="1"/>
      <c r="E904"/>
      <c r="F904"/>
      <c r="G904"/>
      <c r="H904"/>
      <c r="I904"/>
      <c r="J904"/>
    </row>
    <row r="905" spans="1:10" s="2" customFormat="1">
      <c r="A905" s="1"/>
      <c r="E905"/>
      <c r="F905"/>
      <c r="G905"/>
      <c r="H905"/>
      <c r="I905"/>
      <c r="J905"/>
    </row>
    <row r="906" spans="1:10" s="2" customFormat="1">
      <c r="A906" s="1"/>
      <c r="E906"/>
      <c r="F906"/>
      <c r="G906"/>
      <c r="H906"/>
      <c r="I906"/>
      <c r="J906"/>
    </row>
    <row r="907" spans="1:10" s="2" customFormat="1">
      <c r="A907" s="1"/>
      <c r="E907"/>
      <c r="F907"/>
      <c r="G907"/>
      <c r="H907"/>
      <c r="I907"/>
      <c r="J907"/>
    </row>
    <row r="908" spans="1:10" s="2" customFormat="1">
      <c r="A908" s="1"/>
      <c r="E908"/>
      <c r="F908"/>
      <c r="G908"/>
      <c r="H908"/>
      <c r="I908"/>
      <c r="J908"/>
    </row>
    <row r="909" spans="1:10" s="2" customFormat="1">
      <c r="A909" s="1"/>
      <c r="E909"/>
      <c r="F909"/>
      <c r="G909"/>
      <c r="H909"/>
      <c r="I909"/>
      <c r="J909"/>
    </row>
    <row r="910" spans="1:10" s="2" customFormat="1">
      <c r="A910" s="1"/>
      <c r="E910"/>
      <c r="F910"/>
      <c r="G910"/>
      <c r="H910"/>
      <c r="I910"/>
      <c r="J910"/>
    </row>
    <row r="911" spans="1:10" s="2" customFormat="1">
      <c r="A911" s="1"/>
      <c r="E911"/>
      <c r="F911"/>
      <c r="G911"/>
      <c r="H911"/>
      <c r="I911"/>
      <c r="J911"/>
    </row>
    <row r="912" spans="1:10" s="2" customFormat="1">
      <c r="A912" s="1"/>
      <c r="E912"/>
      <c r="F912"/>
      <c r="G912"/>
      <c r="H912"/>
      <c r="I912"/>
      <c r="J912"/>
    </row>
    <row r="913" spans="1:10" s="2" customFormat="1">
      <c r="A913" s="1"/>
      <c r="E913"/>
      <c r="F913"/>
      <c r="G913"/>
      <c r="H913"/>
      <c r="I913"/>
      <c r="J913"/>
    </row>
    <row r="914" spans="1:10" s="2" customFormat="1">
      <c r="A914" s="1"/>
      <c r="E914"/>
      <c r="F914"/>
      <c r="G914"/>
      <c r="H914"/>
      <c r="I914"/>
      <c r="J914"/>
    </row>
    <row r="915" spans="1:10" s="2" customFormat="1">
      <c r="A915" s="1"/>
      <c r="E915"/>
      <c r="F915"/>
      <c r="G915"/>
      <c r="H915"/>
      <c r="I915"/>
      <c r="J915"/>
    </row>
    <row r="916" spans="1:10" s="2" customFormat="1">
      <c r="A916" s="1"/>
      <c r="E916"/>
      <c r="F916"/>
      <c r="G916"/>
      <c r="H916"/>
      <c r="I916"/>
      <c r="J916"/>
    </row>
    <row r="917" spans="1:10" s="2" customFormat="1">
      <c r="A917" s="1"/>
      <c r="E917"/>
      <c r="F917"/>
      <c r="G917"/>
      <c r="H917"/>
      <c r="I917"/>
      <c r="J917"/>
    </row>
    <row r="918" spans="1:10" s="2" customFormat="1">
      <c r="A918" s="1"/>
      <c r="E918"/>
      <c r="F918"/>
      <c r="G918"/>
      <c r="H918"/>
      <c r="I918"/>
      <c r="J918"/>
    </row>
    <row r="919" spans="1:10" s="2" customFormat="1">
      <c r="A919" s="1"/>
      <c r="E919"/>
      <c r="F919"/>
      <c r="G919"/>
      <c r="H919"/>
      <c r="I919"/>
      <c r="J919"/>
    </row>
    <row r="920" spans="1:10" s="2" customFormat="1">
      <c r="A920" s="1"/>
      <c r="E920"/>
      <c r="F920"/>
      <c r="G920"/>
      <c r="H920"/>
      <c r="I920"/>
      <c r="J920"/>
    </row>
    <row r="921" spans="1:10" s="2" customFormat="1">
      <c r="A921" s="1"/>
      <c r="E921"/>
      <c r="F921"/>
      <c r="G921"/>
      <c r="H921"/>
      <c r="I921"/>
      <c r="J921"/>
    </row>
    <row r="922" spans="1:10" s="2" customFormat="1">
      <c r="A922" s="1"/>
      <c r="E922"/>
      <c r="F922"/>
      <c r="G922"/>
      <c r="H922"/>
      <c r="I922"/>
      <c r="J922"/>
    </row>
    <row r="923" spans="1:10" s="2" customFormat="1">
      <c r="A923" s="1"/>
      <c r="E923"/>
      <c r="F923"/>
      <c r="G923"/>
      <c r="H923"/>
      <c r="I923"/>
      <c r="J923"/>
    </row>
    <row r="924" spans="1:10" s="2" customFormat="1">
      <c r="A924" s="1"/>
      <c r="E924"/>
      <c r="F924"/>
      <c r="G924"/>
      <c r="H924"/>
      <c r="I924"/>
      <c r="J924"/>
    </row>
    <row r="925" spans="1:10" s="2" customFormat="1">
      <c r="A925" s="1"/>
      <c r="E925"/>
      <c r="F925"/>
      <c r="G925"/>
      <c r="H925"/>
      <c r="I925"/>
      <c r="J925"/>
    </row>
    <row r="926" spans="1:10" s="2" customFormat="1">
      <c r="A926" s="1"/>
      <c r="E926"/>
      <c r="F926"/>
      <c r="G926"/>
      <c r="H926"/>
      <c r="I926"/>
      <c r="J926"/>
    </row>
    <row r="927" spans="1:10" s="2" customFormat="1">
      <c r="A927" s="1"/>
      <c r="E927"/>
      <c r="F927"/>
      <c r="G927"/>
      <c r="H927"/>
      <c r="I927"/>
      <c r="J927"/>
    </row>
    <row r="928" spans="1:10" s="2" customFormat="1">
      <c r="A928" s="1"/>
      <c r="E928"/>
      <c r="F928"/>
      <c r="G928"/>
      <c r="H928"/>
      <c r="I928"/>
      <c r="J928"/>
    </row>
    <row r="929" spans="1:10" s="2" customFormat="1">
      <c r="A929" s="1"/>
      <c r="E929"/>
      <c r="F929"/>
      <c r="G929"/>
      <c r="H929"/>
      <c r="I929"/>
      <c r="J929"/>
    </row>
    <row r="930" spans="1:10" s="2" customFormat="1">
      <c r="A930" s="1"/>
      <c r="E930"/>
      <c r="F930"/>
      <c r="G930"/>
      <c r="H930"/>
      <c r="I930"/>
      <c r="J930"/>
    </row>
    <row r="931" spans="1:10" s="2" customFormat="1">
      <c r="A931" s="1"/>
      <c r="E931"/>
      <c r="F931"/>
      <c r="G931"/>
      <c r="H931"/>
      <c r="I931"/>
      <c r="J931"/>
    </row>
    <row r="932" spans="1:10" s="2" customFormat="1">
      <c r="A932" s="1"/>
      <c r="E932"/>
      <c r="F932"/>
      <c r="G932"/>
      <c r="H932"/>
      <c r="I932"/>
      <c r="J932"/>
    </row>
    <row r="933" spans="1:10" s="2" customFormat="1">
      <c r="A933" s="1"/>
      <c r="E933"/>
      <c r="F933"/>
      <c r="G933"/>
      <c r="H933"/>
      <c r="I933"/>
      <c r="J933"/>
    </row>
    <row r="934" spans="1:10" s="2" customFormat="1">
      <c r="A934" s="1"/>
      <c r="E934"/>
      <c r="F934"/>
      <c r="G934"/>
      <c r="H934"/>
      <c r="I934"/>
      <c r="J934"/>
    </row>
    <row r="935" spans="1:10" s="2" customFormat="1">
      <c r="A935" s="1"/>
      <c r="E935"/>
      <c r="F935"/>
      <c r="G935"/>
      <c r="H935"/>
      <c r="I935"/>
      <c r="J935"/>
    </row>
    <row r="936" spans="1:10" s="2" customFormat="1">
      <c r="A936" s="1"/>
      <c r="E936"/>
      <c r="F936"/>
      <c r="G936"/>
      <c r="H936"/>
      <c r="I936"/>
      <c r="J936"/>
    </row>
    <row r="937" spans="1:10" s="2" customFormat="1">
      <c r="A937" s="1"/>
      <c r="E937"/>
      <c r="F937"/>
      <c r="G937"/>
      <c r="H937"/>
      <c r="I937"/>
      <c r="J937"/>
    </row>
    <row r="938" spans="1:10" s="2" customFormat="1">
      <c r="A938" s="1"/>
      <c r="E938"/>
      <c r="F938"/>
      <c r="G938"/>
      <c r="H938"/>
      <c r="I938"/>
      <c r="J938"/>
    </row>
    <row r="939" spans="1:10" s="2" customFormat="1">
      <c r="A939" s="1"/>
      <c r="E939"/>
      <c r="F939"/>
      <c r="G939"/>
      <c r="H939"/>
      <c r="I939"/>
      <c r="J939"/>
    </row>
    <row r="940" spans="1:10" s="2" customFormat="1">
      <c r="A940" s="1"/>
      <c r="E940"/>
      <c r="F940"/>
      <c r="G940"/>
      <c r="H940"/>
      <c r="I940"/>
      <c r="J940"/>
    </row>
    <row r="941" spans="1:10" s="2" customFormat="1">
      <c r="A941" s="1"/>
      <c r="E941"/>
      <c r="F941"/>
      <c r="G941"/>
      <c r="H941"/>
      <c r="I941"/>
      <c r="J941"/>
    </row>
    <row r="942" spans="1:10" s="2" customFormat="1">
      <c r="A942" s="1"/>
      <c r="E942"/>
      <c r="F942"/>
      <c r="G942"/>
      <c r="H942"/>
      <c r="I942"/>
      <c r="J942"/>
    </row>
    <row r="943" spans="1:10" s="2" customFormat="1">
      <c r="A943" s="1"/>
      <c r="E943"/>
      <c r="F943"/>
      <c r="G943"/>
      <c r="H943"/>
      <c r="I943"/>
      <c r="J943"/>
    </row>
    <row r="944" spans="1:10" s="2" customFormat="1">
      <c r="A944" s="1"/>
      <c r="E944"/>
      <c r="F944"/>
      <c r="G944"/>
      <c r="H944"/>
      <c r="I944"/>
      <c r="J944"/>
    </row>
    <row r="945" spans="1:10" s="2" customFormat="1">
      <c r="A945" s="1"/>
      <c r="E945"/>
      <c r="F945"/>
      <c r="G945"/>
      <c r="H945"/>
      <c r="I945"/>
      <c r="J945"/>
    </row>
    <row r="946" spans="1:10" s="2" customFormat="1">
      <c r="A946" s="1"/>
      <c r="E946"/>
      <c r="F946"/>
      <c r="G946"/>
      <c r="H946"/>
      <c r="I946"/>
      <c r="J946"/>
    </row>
    <row r="947" spans="1:10" s="2" customFormat="1">
      <c r="A947" s="1"/>
      <c r="E947"/>
      <c r="F947"/>
      <c r="G947"/>
      <c r="H947"/>
      <c r="I947"/>
      <c r="J947"/>
    </row>
    <row r="948" spans="1:10" s="2" customFormat="1">
      <c r="A948" s="1"/>
      <c r="E948"/>
      <c r="F948"/>
      <c r="G948"/>
      <c r="H948"/>
      <c r="I948"/>
      <c r="J948"/>
    </row>
    <row r="949" spans="1:10" s="2" customFormat="1">
      <c r="A949" s="1"/>
      <c r="E949"/>
      <c r="F949"/>
      <c r="G949"/>
      <c r="H949"/>
      <c r="I949"/>
      <c r="J949"/>
    </row>
    <row r="950" spans="1:10" s="2" customFormat="1">
      <c r="A950" s="1"/>
      <c r="E950"/>
      <c r="F950"/>
      <c r="G950"/>
      <c r="H950"/>
      <c r="I950"/>
      <c r="J950"/>
    </row>
    <row r="951" spans="1:10" s="2" customFormat="1">
      <c r="A951" s="1"/>
      <c r="E951"/>
      <c r="F951"/>
      <c r="G951"/>
      <c r="H951"/>
      <c r="I951"/>
      <c r="J951"/>
    </row>
    <row r="952" spans="1:10" s="2" customFormat="1">
      <c r="A952" s="1"/>
      <c r="E952"/>
      <c r="F952"/>
      <c r="G952"/>
      <c r="H952"/>
      <c r="I952"/>
      <c r="J952"/>
    </row>
    <row r="953" spans="1:10" s="2" customFormat="1">
      <c r="A953" s="1"/>
      <c r="E953"/>
      <c r="F953"/>
      <c r="G953"/>
      <c r="H953"/>
      <c r="I953"/>
      <c r="J953"/>
    </row>
    <row r="954" spans="1:10" s="2" customFormat="1">
      <c r="A954" s="1"/>
      <c r="E954"/>
      <c r="F954"/>
      <c r="G954"/>
      <c r="H954"/>
      <c r="I954"/>
      <c r="J954"/>
    </row>
    <row r="955" spans="1:10" s="2" customFormat="1">
      <c r="A955" s="1"/>
      <c r="E955"/>
      <c r="F955"/>
      <c r="G955"/>
      <c r="H955"/>
      <c r="I955"/>
      <c r="J955"/>
    </row>
    <row r="956" spans="1:10" s="2" customFormat="1">
      <c r="A956" s="1"/>
      <c r="E956"/>
      <c r="F956"/>
      <c r="G956"/>
      <c r="H956"/>
      <c r="I956"/>
      <c r="J956"/>
    </row>
    <row r="957" spans="1:10" s="2" customFormat="1">
      <c r="A957" s="1"/>
      <c r="E957"/>
      <c r="F957"/>
      <c r="G957"/>
      <c r="H957"/>
      <c r="I957"/>
      <c r="J957"/>
    </row>
    <row r="958" spans="1:10" s="2" customFormat="1">
      <c r="A958" s="1"/>
      <c r="E958"/>
      <c r="F958"/>
      <c r="G958"/>
      <c r="H958"/>
      <c r="I958"/>
      <c r="J958"/>
    </row>
    <row r="959" spans="1:10" s="2" customFormat="1">
      <c r="A959" s="1"/>
      <c r="E959"/>
      <c r="F959"/>
      <c r="G959"/>
      <c r="H959"/>
      <c r="I959"/>
      <c r="J959"/>
    </row>
    <row r="960" spans="1:10" s="2" customFormat="1">
      <c r="A960" s="1"/>
      <c r="E960"/>
      <c r="F960"/>
      <c r="G960"/>
      <c r="H960"/>
      <c r="I960"/>
      <c r="J960"/>
    </row>
    <row r="961" spans="1:10" s="2" customFormat="1">
      <c r="A961" s="1"/>
      <c r="E961"/>
      <c r="F961"/>
      <c r="G961"/>
      <c r="H961"/>
      <c r="I961"/>
      <c r="J961"/>
    </row>
    <row r="962" spans="1:10" s="2" customFormat="1">
      <c r="A962" s="1"/>
      <c r="E962"/>
      <c r="F962"/>
      <c r="G962"/>
      <c r="H962"/>
      <c r="I962"/>
      <c r="J962"/>
    </row>
    <row r="963" spans="1:10" s="2" customFormat="1">
      <c r="A963" s="1"/>
      <c r="E963"/>
      <c r="F963"/>
      <c r="G963"/>
      <c r="H963"/>
      <c r="I963"/>
      <c r="J963"/>
    </row>
    <row r="964" spans="1:10" s="2" customFormat="1">
      <c r="A964" s="1"/>
      <c r="E964"/>
      <c r="F964"/>
      <c r="G964"/>
      <c r="H964"/>
      <c r="I964"/>
      <c r="J964"/>
    </row>
    <row r="965" spans="1:10" s="2" customFormat="1">
      <c r="A965" s="1"/>
      <c r="E965"/>
      <c r="F965"/>
      <c r="G965"/>
      <c r="H965"/>
      <c r="I965"/>
      <c r="J965"/>
    </row>
    <row r="966" spans="1:10" s="2" customFormat="1">
      <c r="A966" s="1"/>
      <c r="E966"/>
      <c r="F966"/>
      <c r="G966"/>
      <c r="H966"/>
      <c r="I966"/>
      <c r="J966"/>
    </row>
    <row r="967" spans="1:10" s="2" customFormat="1">
      <c r="A967" s="1"/>
      <c r="E967"/>
      <c r="F967"/>
      <c r="G967"/>
      <c r="H967"/>
      <c r="I967"/>
      <c r="J967"/>
    </row>
    <row r="968" spans="1:10" s="2" customFormat="1">
      <c r="A968" s="1"/>
      <c r="E968"/>
      <c r="F968"/>
      <c r="G968"/>
      <c r="H968"/>
      <c r="I968"/>
      <c r="J968"/>
    </row>
    <row r="969" spans="1:10" s="2" customFormat="1">
      <c r="A969" s="1"/>
      <c r="E969"/>
      <c r="F969"/>
      <c r="G969"/>
      <c r="H969"/>
      <c r="I969"/>
      <c r="J969"/>
    </row>
    <row r="970" spans="1:10" s="2" customFormat="1">
      <c r="A970" s="1"/>
      <c r="E970"/>
      <c r="F970"/>
      <c r="G970"/>
      <c r="H970"/>
      <c r="I970"/>
      <c r="J970"/>
    </row>
    <row r="971" spans="1:10" s="2" customFormat="1">
      <c r="A971" s="1"/>
      <c r="E971"/>
      <c r="F971"/>
      <c r="G971"/>
      <c r="H971"/>
      <c r="I971"/>
      <c r="J971"/>
    </row>
    <row r="972" spans="1:10" s="2" customFormat="1">
      <c r="A972" s="1"/>
      <c r="E972"/>
      <c r="F972"/>
      <c r="G972"/>
      <c r="H972"/>
      <c r="I972"/>
      <c r="J972"/>
    </row>
    <row r="973" spans="1:10" s="2" customFormat="1">
      <c r="A973" s="1"/>
      <c r="E973"/>
      <c r="F973"/>
      <c r="G973"/>
      <c r="H973"/>
      <c r="I973"/>
      <c r="J973"/>
    </row>
    <row r="974" spans="1:10" s="2" customFormat="1">
      <c r="A974" s="1"/>
      <c r="E974"/>
      <c r="F974"/>
      <c r="G974"/>
      <c r="H974"/>
      <c r="I974"/>
      <c r="J974"/>
    </row>
    <row r="975" spans="1:10" s="2" customFormat="1">
      <c r="A975" s="1"/>
      <c r="E975"/>
      <c r="F975"/>
      <c r="G975"/>
      <c r="H975"/>
      <c r="I975"/>
      <c r="J975"/>
    </row>
    <row r="976" spans="1:10" s="2" customFormat="1">
      <c r="A976" s="1"/>
      <c r="E976"/>
      <c r="F976"/>
      <c r="G976"/>
      <c r="H976"/>
      <c r="I976"/>
      <c r="J976"/>
    </row>
    <row r="977" spans="1:10" s="2" customFormat="1">
      <c r="A977" s="1"/>
      <c r="E977"/>
      <c r="F977"/>
      <c r="G977"/>
      <c r="H977"/>
      <c r="I977"/>
      <c r="J977"/>
    </row>
    <row r="978" spans="1:10" s="2" customFormat="1">
      <c r="A978" s="1"/>
      <c r="E978"/>
      <c r="F978"/>
      <c r="G978"/>
      <c r="H978"/>
      <c r="I978"/>
      <c r="J978"/>
    </row>
    <row r="979" spans="1:10" s="2" customFormat="1">
      <c r="A979" s="1"/>
      <c r="E979"/>
      <c r="F979"/>
      <c r="G979"/>
      <c r="H979"/>
      <c r="I979"/>
      <c r="J979"/>
    </row>
    <row r="980" spans="1:10" s="2" customFormat="1">
      <c r="A980" s="1"/>
      <c r="E980"/>
      <c r="F980"/>
      <c r="G980"/>
      <c r="H980"/>
      <c r="I980"/>
      <c r="J980"/>
    </row>
    <row r="981" spans="1:10" s="2" customFormat="1">
      <c r="A981" s="1"/>
      <c r="E981"/>
      <c r="F981"/>
      <c r="G981"/>
      <c r="H981"/>
      <c r="I981"/>
      <c r="J981"/>
    </row>
    <row r="982" spans="1:10" s="2" customFormat="1">
      <c r="A982" s="1"/>
      <c r="E982"/>
      <c r="F982"/>
      <c r="G982"/>
      <c r="H982"/>
      <c r="I982"/>
      <c r="J982"/>
    </row>
    <row r="983" spans="1:10" s="2" customFormat="1">
      <c r="A983" s="1"/>
      <c r="E983"/>
      <c r="F983"/>
      <c r="G983"/>
      <c r="H983"/>
      <c r="I983"/>
      <c r="J983"/>
    </row>
    <row r="984" spans="1:10" s="2" customFormat="1">
      <c r="A984" s="1"/>
      <c r="E984"/>
      <c r="F984"/>
      <c r="G984"/>
      <c r="H984"/>
      <c r="I984"/>
      <c r="J984"/>
    </row>
    <row r="985" spans="1:10" s="2" customFormat="1">
      <c r="A985" s="1"/>
      <c r="E985"/>
      <c r="F985"/>
      <c r="G985"/>
      <c r="H985"/>
      <c r="I985"/>
      <c r="J985"/>
    </row>
    <row r="986" spans="1:10" s="2" customFormat="1">
      <c r="A986" s="1"/>
      <c r="E986"/>
      <c r="F986"/>
      <c r="G986"/>
      <c r="H986"/>
      <c r="I986"/>
      <c r="J986"/>
    </row>
    <row r="987" spans="1:10" s="2" customFormat="1">
      <c r="A987" s="1"/>
      <c r="E987"/>
      <c r="F987"/>
      <c r="G987"/>
      <c r="H987"/>
      <c r="I987"/>
      <c r="J987"/>
    </row>
    <row r="988" spans="1:10" s="2" customFormat="1">
      <c r="A988" s="1"/>
      <c r="E988"/>
      <c r="F988"/>
      <c r="G988"/>
      <c r="H988"/>
      <c r="I988"/>
      <c r="J988"/>
    </row>
    <row r="989" spans="1:10" s="2" customFormat="1">
      <c r="A989" s="1"/>
      <c r="E989"/>
      <c r="F989"/>
      <c r="G989"/>
      <c r="H989"/>
      <c r="I989"/>
      <c r="J989"/>
    </row>
    <row r="990" spans="1:10" s="2" customFormat="1">
      <c r="A990" s="1"/>
      <c r="E990"/>
      <c r="F990"/>
      <c r="G990"/>
      <c r="H990"/>
      <c r="I990"/>
      <c r="J990"/>
    </row>
    <row r="991" spans="1:10" s="2" customFormat="1">
      <c r="A991" s="1"/>
      <c r="E991"/>
      <c r="F991"/>
      <c r="G991"/>
      <c r="H991"/>
      <c r="I991"/>
      <c r="J991"/>
    </row>
    <row r="992" spans="1:10" s="2" customFormat="1">
      <c r="A992" s="1"/>
      <c r="E992"/>
      <c r="F992"/>
      <c r="G992"/>
      <c r="H992"/>
      <c r="I992"/>
      <c r="J992"/>
    </row>
    <row r="993" spans="1:10" s="2" customFormat="1">
      <c r="A993" s="1"/>
      <c r="E993"/>
      <c r="F993"/>
      <c r="G993"/>
      <c r="H993"/>
      <c r="I993"/>
      <c r="J993"/>
    </row>
    <row r="994" spans="1:10" s="2" customFormat="1">
      <c r="A994" s="1"/>
      <c r="E994"/>
      <c r="F994"/>
      <c r="G994"/>
      <c r="H994"/>
      <c r="I994"/>
      <c r="J994"/>
    </row>
    <row r="995" spans="1:10" s="2" customFormat="1">
      <c r="A995" s="1"/>
      <c r="E995"/>
      <c r="F995"/>
      <c r="G995"/>
      <c r="H995"/>
      <c r="I995"/>
      <c r="J995"/>
    </row>
    <row r="996" spans="1:10" s="2" customFormat="1">
      <c r="A996" s="1"/>
      <c r="E996"/>
      <c r="F996"/>
      <c r="G996"/>
      <c r="H996"/>
      <c r="I996"/>
      <c r="J996"/>
    </row>
    <row r="997" spans="1:10" s="2" customFormat="1">
      <c r="A997" s="1"/>
      <c r="E997"/>
      <c r="F997"/>
      <c r="G997"/>
      <c r="H997"/>
      <c r="I997"/>
      <c r="J997"/>
    </row>
    <row r="998" spans="1:10" s="2" customFormat="1">
      <c r="A998" s="1"/>
      <c r="E998"/>
      <c r="F998"/>
      <c r="G998"/>
      <c r="H998"/>
      <c r="I998"/>
      <c r="J998"/>
    </row>
    <row r="999" spans="1:10" s="2" customFormat="1">
      <c r="A999" s="1"/>
      <c r="E999"/>
      <c r="F999"/>
      <c r="G999"/>
      <c r="H999"/>
      <c r="I999"/>
      <c r="J999"/>
    </row>
    <row r="1000" spans="1:10" s="2" customFormat="1">
      <c r="A1000" s="1"/>
      <c r="E1000"/>
      <c r="F1000"/>
      <c r="G1000"/>
      <c r="H1000"/>
      <c r="I1000"/>
      <c r="J1000"/>
    </row>
    <row r="1001" spans="1:10" s="2" customFormat="1">
      <c r="A1001" s="1"/>
      <c r="E1001"/>
      <c r="F1001"/>
      <c r="G1001"/>
      <c r="H1001"/>
      <c r="I1001"/>
      <c r="J1001"/>
    </row>
    <row r="1002" spans="1:10" s="2" customFormat="1">
      <c r="A1002" s="1"/>
      <c r="E1002"/>
      <c r="F1002"/>
      <c r="G1002"/>
      <c r="H1002"/>
      <c r="I1002"/>
      <c r="J1002"/>
    </row>
    <row r="1003" spans="1:10" s="2" customFormat="1">
      <c r="A1003" s="1"/>
      <c r="E1003"/>
      <c r="F1003"/>
      <c r="G1003"/>
      <c r="H1003"/>
      <c r="I1003"/>
      <c r="J1003"/>
    </row>
    <row r="1004" spans="1:10" s="2" customFormat="1">
      <c r="A1004" s="1"/>
      <c r="E1004"/>
      <c r="F1004"/>
      <c r="G1004"/>
      <c r="H1004"/>
      <c r="I1004"/>
      <c r="J1004"/>
    </row>
    <row r="1005" spans="1:10" s="2" customFormat="1">
      <c r="A1005" s="1"/>
      <c r="E1005"/>
      <c r="F1005"/>
      <c r="G1005"/>
      <c r="H1005"/>
      <c r="I1005"/>
      <c r="J1005"/>
    </row>
    <row r="1006" spans="1:10" s="2" customFormat="1">
      <c r="A1006" s="1"/>
      <c r="E1006"/>
      <c r="F1006"/>
      <c r="G1006"/>
      <c r="H1006"/>
      <c r="I1006"/>
      <c r="J1006"/>
    </row>
    <row r="1007" spans="1:10" s="2" customFormat="1">
      <c r="A1007" s="1"/>
      <c r="E1007"/>
      <c r="F1007"/>
      <c r="G1007"/>
      <c r="H1007"/>
      <c r="I1007"/>
      <c r="J1007"/>
    </row>
    <row r="1008" spans="1:10" s="2" customFormat="1">
      <c r="A1008" s="1"/>
      <c r="E1008"/>
      <c r="F1008"/>
      <c r="G1008"/>
      <c r="H1008"/>
      <c r="I1008"/>
      <c r="J1008"/>
    </row>
    <row r="1009" spans="1:10" s="2" customFormat="1">
      <c r="A1009" s="1"/>
      <c r="E1009"/>
      <c r="F1009"/>
      <c r="G1009"/>
      <c r="H1009"/>
      <c r="I1009"/>
      <c r="J1009"/>
    </row>
    <row r="1010" spans="1:10" s="2" customFormat="1">
      <c r="A1010" s="1"/>
      <c r="E1010"/>
      <c r="F1010"/>
      <c r="G1010"/>
      <c r="H1010"/>
      <c r="I1010"/>
      <c r="J1010"/>
    </row>
    <row r="1011" spans="1:10" s="2" customFormat="1">
      <c r="A1011" s="1"/>
      <c r="E1011"/>
      <c r="F1011"/>
      <c r="G1011"/>
      <c r="H1011"/>
      <c r="I1011"/>
      <c r="J1011"/>
    </row>
    <row r="1012" spans="1:10" s="2" customFormat="1">
      <c r="A1012" s="1"/>
      <c r="E1012"/>
      <c r="F1012"/>
      <c r="G1012"/>
      <c r="H1012"/>
      <c r="I1012"/>
      <c r="J1012"/>
    </row>
    <row r="1013" spans="1:10" s="2" customFormat="1">
      <c r="A1013" s="1"/>
      <c r="E1013"/>
      <c r="F1013"/>
      <c r="G1013"/>
      <c r="H1013"/>
      <c r="I1013"/>
      <c r="J1013"/>
    </row>
    <row r="1014" spans="1:10" s="2" customFormat="1">
      <c r="A1014" s="1"/>
      <c r="E1014"/>
      <c r="F1014"/>
      <c r="G1014"/>
      <c r="H1014"/>
      <c r="I1014"/>
      <c r="J1014"/>
    </row>
    <row r="1015" spans="1:10" s="2" customFormat="1">
      <c r="A1015" s="1"/>
      <c r="E1015"/>
      <c r="F1015"/>
      <c r="G1015"/>
      <c r="H1015"/>
      <c r="I1015"/>
      <c r="J1015"/>
    </row>
    <row r="1016" spans="1:10" s="2" customFormat="1">
      <c r="A1016" s="1"/>
      <c r="E1016"/>
      <c r="F1016"/>
      <c r="G1016"/>
      <c r="H1016"/>
      <c r="I1016"/>
      <c r="J1016"/>
    </row>
    <row r="1017" spans="1:10" s="2" customFormat="1">
      <c r="A1017" s="1"/>
      <c r="E1017"/>
      <c r="F1017"/>
      <c r="G1017"/>
      <c r="H1017"/>
      <c r="I1017"/>
      <c r="J1017"/>
    </row>
    <row r="1018" spans="1:10" s="2" customFormat="1">
      <c r="A1018" s="1"/>
      <c r="E1018"/>
      <c r="F1018"/>
      <c r="G1018"/>
      <c r="H1018"/>
      <c r="I1018"/>
      <c r="J1018"/>
    </row>
    <row r="1019" spans="1:10" s="2" customFormat="1">
      <c r="A1019" s="1"/>
      <c r="E1019"/>
      <c r="F1019"/>
      <c r="G1019"/>
      <c r="H1019"/>
      <c r="I1019"/>
      <c r="J1019"/>
    </row>
    <row r="1020" spans="1:10" s="2" customFormat="1">
      <c r="A1020" s="1"/>
      <c r="E1020"/>
      <c r="F1020"/>
      <c r="G1020"/>
      <c r="H1020"/>
      <c r="I1020"/>
      <c r="J1020"/>
    </row>
    <row r="1021" spans="1:10" s="2" customFormat="1">
      <c r="A1021" s="1"/>
      <c r="E1021"/>
      <c r="F1021"/>
      <c r="G1021"/>
      <c r="H1021"/>
      <c r="I1021"/>
      <c r="J1021"/>
    </row>
    <row r="1022" spans="1:10" s="2" customFormat="1">
      <c r="A1022" s="1"/>
      <c r="E1022"/>
      <c r="F1022"/>
      <c r="G1022"/>
      <c r="H1022"/>
      <c r="I1022"/>
      <c r="J1022"/>
    </row>
    <row r="1023" spans="1:10" s="2" customFormat="1">
      <c r="A1023" s="1"/>
      <c r="E1023"/>
      <c r="F1023"/>
      <c r="G1023"/>
      <c r="H1023"/>
      <c r="I1023"/>
      <c r="J1023"/>
    </row>
    <row r="1024" spans="1:10" s="2" customFormat="1">
      <c r="A1024" s="1"/>
      <c r="E1024"/>
      <c r="F1024"/>
      <c r="G1024"/>
      <c r="H1024"/>
      <c r="I1024"/>
      <c r="J1024"/>
    </row>
    <row r="1025" spans="1:10" s="2" customFormat="1">
      <c r="A1025" s="1"/>
      <c r="E1025"/>
      <c r="F1025"/>
      <c r="G1025"/>
      <c r="H1025"/>
      <c r="I1025"/>
      <c r="J1025"/>
    </row>
    <row r="1026" spans="1:10" s="2" customFormat="1">
      <c r="A1026" s="1"/>
      <c r="E1026"/>
      <c r="F1026"/>
      <c r="G1026"/>
      <c r="H1026"/>
      <c r="I1026"/>
      <c r="J1026"/>
    </row>
    <row r="1027" spans="1:10" s="2" customFormat="1">
      <c r="A1027" s="1"/>
      <c r="E1027"/>
      <c r="F1027"/>
      <c r="G1027"/>
      <c r="H1027"/>
      <c r="I1027"/>
      <c r="J1027"/>
    </row>
    <row r="1028" spans="1:10" s="2" customFormat="1">
      <c r="A1028" s="1"/>
      <c r="E1028"/>
      <c r="F1028"/>
      <c r="G1028"/>
      <c r="H1028"/>
      <c r="I1028"/>
      <c r="J1028"/>
    </row>
    <row r="1029" spans="1:10" s="2" customFormat="1">
      <c r="A1029" s="1"/>
      <c r="E1029"/>
      <c r="F1029"/>
      <c r="G1029"/>
      <c r="H1029"/>
      <c r="I1029"/>
      <c r="J1029"/>
    </row>
    <row r="1030" spans="1:10" s="2" customFormat="1">
      <c r="A1030" s="1"/>
      <c r="E1030"/>
      <c r="F1030"/>
      <c r="G1030"/>
      <c r="H1030"/>
      <c r="I1030"/>
      <c r="J1030"/>
    </row>
    <row r="1031" spans="1:10" s="2" customFormat="1">
      <c r="A1031" s="1"/>
      <c r="E1031"/>
      <c r="F1031"/>
      <c r="G1031"/>
      <c r="H1031"/>
      <c r="I1031"/>
      <c r="J1031"/>
    </row>
    <row r="1032" spans="1:10" s="2" customFormat="1">
      <c r="A1032" s="1"/>
      <c r="E1032"/>
      <c r="F1032"/>
      <c r="G1032"/>
      <c r="H1032"/>
      <c r="I1032"/>
      <c r="J1032"/>
    </row>
    <row r="1033" spans="1:10" s="2" customFormat="1">
      <c r="A1033" s="1"/>
      <c r="E1033"/>
      <c r="F1033"/>
      <c r="G1033"/>
      <c r="H1033"/>
      <c r="I1033"/>
      <c r="J1033"/>
    </row>
    <row r="1034" spans="1:10" s="2" customFormat="1">
      <c r="A1034" s="1"/>
      <c r="E1034"/>
      <c r="F1034"/>
      <c r="G1034"/>
      <c r="H1034"/>
      <c r="I1034"/>
      <c r="J1034"/>
    </row>
    <row r="1035" spans="1:10" s="2" customFormat="1">
      <c r="A1035" s="1"/>
      <c r="E1035"/>
      <c r="F1035"/>
      <c r="G1035"/>
      <c r="H1035"/>
      <c r="I1035"/>
      <c r="J1035"/>
    </row>
    <row r="1036" spans="1:10" s="2" customFormat="1">
      <c r="A1036" s="1"/>
      <c r="E1036"/>
      <c r="F1036"/>
      <c r="G1036"/>
      <c r="H1036"/>
      <c r="I1036"/>
      <c r="J1036"/>
    </row>
    <row r="1037" spans="1:10" s="2" customFormat="1">
      <c r="A1037" s="1"/>
      <c r="E1037"/>
      <c r="F1037"/>
      <c r="G1037"/>
      <c r="H1037"/>
      <c r="I1037"/>
      <c r="J1037"/>
    </row>
    <row r="1038" spans="1:10" s="2" customFormat="1">
      <c r="A1038" s="1"/>
      <c r="E1038"/>
      <c r="F1038"/>
      <c r="G1038"/>
      <c r="H1038"/>
      <c r="I1038"/>
      <c r="J1038"/>
    </row>
    <row r="1039" spans="1:10" s="2" customFormat="1">
      <c r="A1039" s="1"/>
      <c r="E1039"/>
      <c r="F1039"/>
      <c r="G1039"/>
      <c r="H1039"/>
      <c r="I1039"/>
      <c r="J1039"/>
    </row>
    <row r="1040" spans="1:10" s="2" customFormat="1">
      <c r="A1040" s="1"/>
      <c r="E1040"/>
      <c r="F1040"/>
      <c r="G1040"/>
      <c r="H1040"/>
      <c r="I1040"/>
      <c r="J1040"/>
    </row>
    <row r="1041" spans="1:10" s="2" customFormat="1">
      <c r="A1041" s="1"/>
      <c r="E1041"/>
      <c r="F1041"/>
      <c r="G1041"/>
      <c r="H1041"/>
      <c r="I1041"/>
      <c r="J1041"/>
    </row>
    <row r="1042" spans="1:10" s="2" customFormat="1">
      <c r="A1042" s="1"/>
      <c r="E1042"/>
      <c r="F1042"/>
      <c r="G1042"/>
      <c r="H1042"/>
      <c r="I1042"/>
      <c r="J1042"/>
    </row>
    <row r="1043" spans="1:10" s="2" customFormat="1">
      <c r="A1043" s="1"/>
      <c r="E1043"/>
      <c r="F1043"/>
      <c r="G1043"/>
      <c r="H1043"/>
      <c r="I1043"/>
      <c r="J1043"/>
    </row>
    <row r="1044" spans="1:10" s="2" customFormat="1">
      <c r="A1044" s="1"/>
      <c r="E1044"/>
      <c r="F1044"/>
      <c r="G1044"/>
      <c r="H1044"/>
      <c r="I1044"/>
      <c r="J1044"/>
    </row>
    <row r="1045" spans="1:10" s="2" customFormat="1">
      <c r="A1045" s="1"/>
      <c r="E1045"/>
      <c r="F1045"/>
      <c r="G1045"/>
      <c r="H1045"/>
      <c r="I1045"/>
      <c r="J1045"/>
    </row>
    <row r="1046" spans="1:10" s="2" customFormat="1">
      <c r="A1046" s="1"/>
      <c r="E1046"/>
      <c r="F1046"/>
      <c r="G1046"/>
      <c r="H1046"/>
      <c r="I1046"/>
      <c r="J1046"/>
    </row>
    <row r="1047" spans="1:10" s="2" customFormat="1">
      <c r="A1047" s="1"/>
      <c r="E1047"/>
      <c r="F1047"/>
      <c r="G1047"/>
      <c r="H1047"/>
      <c r="I1047"/>
      <c r="J1047"/>
    </row>
    <row r="1048" spans="1:10" s="2" customFormat="1">
      <c r="A1048" s="1"/>
      <c r="E1048"/>
      <c r="F1048"/>
      <c r="G1048"/>
      <c r="H1048"/>
      <c r="I1048"/>
      <c r="J1048"/>
    </row>
    <row r="1049" spans="1:10" s="2" customFormat="1">
      <c r="A1049" s="1"/>
      <c r="E1049"/>
      <c r="F1049"/>
      <c r="G1049"/>
      <c r="H1049"/>
      <c r="I1049"/>
      <c r="J1049"/>
    </row>
    <row r="1050" spans="1:10" s="2" customFormat="1">
      <c r="A1050" s="1"/>
      <c r="E1050"/>
      <c r="F1050"/>
      <c r="G1050"/>
      <c r="H1050"/>
      <c r="I1050"/>
      <c r="J1050"/>
    </row>
    <row r="1051" spans="1:10" s="2" customFormat="1">
      <c r="A1051" s="1"/>
      <c r="E1051"/>
      <c r="F1051"/>
      <c r="G1051"/>
      <c r="H1051"/>
      <c r="I1051"/>
      <c r="J1051"/>
    </row>
    <row r="1052" spans="1:10" s="2" customFormat="1">
      <c r="A1052" s="1"/>
      <c r="E1052"/>
      <c r="F1052"/>
      <c r="G1052"/>
      <c r="H1052"/>
      <c r="I1052"/>
      <c r="J1052"/>
    </row>
    <row r="1053" spans="1:10" s="2" customFormat="1">
      <c r="A1053" s="1"/>
      <c r="E1053"/>
      <c r="F1053"/>
      <c r="G1053"/>
      <c r="H1053"/>
      <c r="I1053"/>
      <c r="J1053"/>
    </row>
    <row r="1054" spans="1:10" s="2" customFormat="1">
      <c r="A1054" s="1"/>
      <c r="E1054"/>
      <c r="F1054"/>
      <c r="G1054"/>
      <c r="H1054"/>
      <c r="I1054"/>
      <c r="J1054"/>
    </row>
    <row r="1055" spans="1:10" s="2" customFormat="1">
      <c r="A1055" s="1"/>
      <c r="E1055"/>
      <c r="F1055"/>
      <c r="G1055"/>
      <c r="H1055"/>
      <c r="I1055"/>
      <c r="J1055"/>
    </row>
    <row r="1056" spans="1:10" s="2" customFormat="1">
      <c r="A1056" s="1"/>
      <c r="E1056"/>
      <c r="F1056"/>
      <c r="G1056"/>
      <c r="H1056"/>
      <c r="I1056"/>
      <c r="J1056"/>
    </row>
    <row r="1057" spans="1:10" s="2" customFormat="1">
      <c r="A1057" s="1"/>
      <c r="E1057"/>
      <c r="F1057"/>
      <c r="G1057"/>
      <c r="H1057"/>
      <c r="I1057"/>
      <c r="J1057"/>
    </row>
    <row r="1058" spans="1:10" s="2" customFormat="1">
      <c r="A1058" s="1"/>
      <c r="E1058"/>
      <c r="F1058"/>
      <c r="G1058"/>
      <c r="H1058"/>
      <c r="I1058"/>
      <c r="J1058"/>
    </row>
    <row r="1059" spans="1:10" s="2" customFormat="1">
      <c r="A1059" s="1"/>
      <c r="E1059"/>
      <c r="F1059"/>
      <c r="G1059"/>
      <c r="H1059"/>
      <c r="I1059"/>
      <c r="J1059"/>
    </row>
    <row r="1060" spans="1:10" s="2" customFormat="1">
      <c r="A1060" s="1"/>
      <c r="E1060"/>
      <c r="F1060"/>
      <c r="G1060"/>
      <c r="H1060"/>
      <c r="I1060"/>
      <c r="J1060"/>
    </row>
    <row r="1061" spans="1:10" s="2" customFormat="1">
      <c r="A1061" s="1"/>
      <c r="E1061"/>
      <c r="F1061"/>
      <c r="G1061"/>
      <c r="H1061"/>
      <c r="I1061"/>
      <c r="J1061"/>
    </row>
    <row r="1062" spans="1:10" s="2" customFormat="1">
      <c r="A1062" s="1"/>
      <c r="E1062"/>
      <c r="F1062"/>
      <c r="G1062"/>
      <c r="H1062"/>
      <c r="I1062"/>
      <c r="J1062"/>
    </row>
    <row r="1063" spans="1:10" s="2" customFormat="1">
      <c r="A1063" s="1"/>
      <c r="E1063"/>
      <c r="F1063"/>
      <c r="G1063"/>
      <c r="H1063"/>
      <c r="I1063"/>
      <c r="J1063"/>
    </row>
    <row r="1064" spans="1:10" s="2" customFormat="1">
      <c r="A1064" s="1"/>
      <c r="E1064"/>
      <c r="F1064"/>
      <c r="G1064"/>
      <c r="H1064"/>
      <c r="I1064"/>
      <c r="J1064"/>
    </row>
    <row r="1065" spans="1:10" s="2" customFormat="1">
      <c r="A1065" s="1"/>
      <c r="E1065"/>
      <c r="F1065"/>
      <c r="G1065"/>
      <c r="H1065"/>
      <c r="I1065"/>
      <c r="J1065"/>
    </row>
    <row r="1066" spans="1:10" s="2" customFormat="1">
      <c r="A1066" s="1"/>
      <c r="E1066"/>
      <c r="F1066"/>
      <c r="G1066"/>
      <c r="H1066"/>
      <c r="I1066"/>
      <c r="J1066"/>
    </row>
    <row r="1067" spans="1:10" s="2" customFormat="1">
      <c r="A1067" s="1"/>
      <c r="E1067"/>
      <c r="F1067"/>
      <c r="G1067"/>
      <c r="H1067"/>
      <c r="I1067"/>
      <c r="J1067"/>
    </row>
    <row r="1068" spans="1:10" s="2" customFormat="1">
      <c r="A1068" s="1"/>
      <c r="E1068"/>
      <c r="F1068"/>
      <c r="G1068"/>
      <c r="H1068"/>
      <c r="I1068"/>
      <c r="J1068"/>
    </row>
    <row r="1069" spans="1:10" s="2" customFormat="1">
      <c r="A1069" s="1"/>
      <c r="E1069"/>
      <c r="F1069"/>
      <c r="G1069"/>
      <c r="H1069"/>
      <c r="I1069"/>
      <c r="J1069"/>
    </row>
    <row r="1070" spans="1:10" s="2" customFormat="1">
      <c r="A1070" s="1"/>
      <c r="E1070"/>
      <c r="F1070"/>
      <c r="G1070"/>
      <c r="H1070"/>
      <c r="I1070"/>
      <c r="J1070"/>
    </row>
    <row r="1071" spans="1:10" s="2" customFormat="1">
      <c r="A1071" s="1"/>
      <c r="E1071"/>
      <c r="F1071"/>
      <c r="G1071"/>
      <c r="H1071"/>
      <c r="I1071"/>
      <c r="J1071"/>
    </row>
    <row r="1072" spans="1:10" s="2" customFormat="1">
      <c r="A1072" s="1"/>
      <c r="E1072"/>
      <c r="F1072"/>
      <c r="G1072"/>
      <c r="H1072"/>
      <c r="I1072"/>
      <c r="J1072"/>
    </row>
    <row r="1073" spans="1:10" s="2" customFormat="1">
      <c r="A1073" s="1"/>
      <c r="E1073"/>
      <c r="F1073"/>
      <c r="G1073"/>
      <c r="H1073"/>
      <c r="I1073"/>
      <c r="J1073"/>
    </row>
    <row r="1074" spans="1:10" s="2" customFormat="1">
      <c r="A1074" s="1"/>
      <c r="E1074"/>
      <c r="F1074"/>
      <c r="G1074"/>
      <c r="H1074"/>
      <c r="I1074"/>
      <c r="J1074"/>
    </row>
    <row r="1075" spans="1:10" s="2" customFormat="1">
      <c r="A1075" s="1"/>
      <c r="E1075"/>
      <c r="F1075"/>
      <c r="G1075"/>
      <c r="H1075"/>
      <c r="I1075"/>
      <c r="J1075"/>
    </row>
    <row r="1076" spans="1:10" s="2" customFormat="1">
      <c r="A1076" s="1"/>
      <c r="E1076"/>
      <c r="F1076"/>
      <c r="G1076"/>
      <c r="H1076"/>
      <c r="I1076"/>
      <c r="J1076"/>
    </row>
    <row r="1077" spans="1:10" s="2" customFormat="1">
      <c r="A1077" s="1"/>
      <c r="E1077"/>
      <c r="F1077"/>
      <c r="G1077"/>
      <c r="H1077"/>
      <c r="I1077"/>
      <c r="J1077"/>
    </row>
    <row r="1078" spans="1:10" s="2" customFormat="1">
      <c r="A1078" s="1"/>
      <c r="E1078"/>
      <c r="F1078"/>
      <c r="G1078"/>
      <c r="H1078"/>
      <c r="I1078"/>
      <c r="J1078"/>
    </row>
    <row r="1079" spans="1:10" s="2" customFormat="1">
      <c r="A1079" s="1"/>
      <c r="E1079"/>
      <c r="F1079"/>
      <c r="G1079"/>
      <c r="H1079"/>
      <c r="I1079"/>
      <c r="J1079"/>
    </row>
    <row r="1080" spans="1:10" s="2" customFormat="1">
      <c r="A1080" s="1"/>
      <c r="E1080"/>
      <c r="F1080"/>
      <c r="G1080"/>
      <c r="H1080"/>
      <c r="I1080"/>
      <c r="J1080"/>
    </row>
    <row r="1081" spans="1:10" s="2" customFormat="1">
      <c r="A1081" s="1"/>
      <c r="E1081"/>
      <c r="F1081"/>
      <c r="G1081"/>
      <c r="H1081"/>
      <c r="I1081"/>
      <c r="J1081"/>
    </row>
    <row r="1082" spans="1:10" s="2" customFormat="1">
      <c r="A1082" s="1"/>
      <c r="E1082"/>
      <c r="F1082"/>
      <c r="G1082"/>
      <c r="H1082"/>
      <c r="I1082"/>
      <c r="J1082"/>
    </row>
    <row r="1083" spans="1:10" s="2" customFormat="1">
      <c r="A1083" s="1"/>
      <c r="E1083"/>
      <c r="F1083"/>
      <c r="G1083"/>
      <c r="H1083"/>
      <c r="I1083"/>
      <c r="J1083"/>
    </row>
    <row r="1084" spans="1:10" s="2" customFormat="1">
      <c r="A1084" s="1"/>
      <c r="E1084"/>
      <c r="F1084"/>
      <c r="G1084"/>
      <c r="H1084"/>
      <c r="I1084"/>
      <c r="J1084"/>
    </row>
    <row r="1085" spans="1:10" s="2" customFormat="1">
      <c r="A1085" s="1"/>
      <c r="E1085"/>
      <c r="F1085"/>
      <c r="G1085"/>
      <c r="H1085"/>
      <c r="I1085"/>
      <c r="J1085"/>
    </row>
    <row r="1086" spans="1:10" s="2" customFormat="1">
      <c r="A1086" s="1"/>
      <c r="E1086"/>
      <c r="F1086"/>
      <c r="G1086"/>
      <c r="H1086"/>
      <c r="I1086"/>
      <c r="J1086"/>
    </row>
    <row r="1087" spans="1:10" s="2" customFormat="1">
      <c r="A1087" s="1"/>
      <c r="E1087"/>
      <c r="F1087"/>
      <c r="G1087"/>
      <c r="H1087"/>
      <c r="I1087"/>
      <c r="J1087"/>
    </row>
    <row r="1088" spans="1:10" s="2" customFormat="1">
      <c r="A1088" s="1"/>
      <c r="E1088"/>
      <c r="F1088"/>
      <c r="G1088"/>
      <c r="H1088"/>
      <c r="I1088"/>
      <c r="J1088"/>
    </row>
    <row r="1089" spans="1:10" s="2" customFormat="1">
      <c r="A1089" s="1"/>
      <c r="E1089"/>
      <c r="F1089"/>
      <c r="G1089"/>
      <c r="H1089"/>
      <c r="I1089"/>
      <c r="J1089"/>
    </row>
    <row r="1090" spans="1:10" s="2" customFormat="1">
      <c r="A1090" s="1"/>
      <c r="E1090"/>
      <c r="F1090"/>
      <c r="G1090"/>
      <c r="H1090"/>
      <c r="I1090"/>
      <c r="J1090"/>
    </row>
    <row r="1091" spans="1:10" s="2" customFormat="1">
      <c r="A1091" s="1"/>
      <c r="E1091"/>
      <c r="F1091"/>
      <c r="G1091"/>
      <c r="H1091"/>
      <c r="I1091"/>
      <c r="J1091"/>
    </row>
    <row r="1092" spans="1:10" s="2" customFormat="1">
      <c r="A1092" s="1"/>
      <c r="E1092"/>
      <c r="F1092"/>
      <c r="G1092"/>
      <c r="H1092"/>
      <c r="I1092"/>
      <c r="J1092"/>
    </row>
    <row r="1093" spans="1:10" s="2" customFormat="1">
      <c r="A1093" s="1"/>
      <c r="E1093"/>
      <c r="F1093"/>
      <c r="G1093"/>
      <c r="H1093"/>
      <c r="I1093"/>
      <c r="J1093"/>
    </row>
    <row r="1094" spans="1:10" s="2" customFormat="1">
      <c r="A1094" s="1"/>
      <c r="E1094"/>
      <c r="F1094"/>
      <c r="G1094"/>
      <c r="H1094"/>
      <c r="I1094"/>
      <c r="J1094"/>
    </row>
    <row r="1095" spans="1:10" s="2" customFormat="1">
      <c r="A1095" s="1"/>
      <c r="E1095"/>
      <c r="F1095"/>
      <c r="G1095"/>
      <c r="H1095"/>
      <c r="I1095"/>
      <c r="J1095"/>
    </row>
    <row r="1096" spans="1:10" s="2" customFormat="1">
      <c r="A1096" s="1"/>
      <c r="E1096"/>
      <c r="F1096"/>
      <c r="G1096"/>
      <c r="H1096"/>
      <c r="I1096"/>
      <c r="J1096"/>
    </row>
    <row r="1097" spans="1:10" s="2" customFormat="1">
      <c r="A1097" s="1"/>
      <c r="E1097"/>
      <c r="F1097"/>
      <c r="G1097"/>
      <c r="H1097"/>
      <c r="I1097"/>
      <c r="J1097"/>
    </row>
    <row r="1098" spans="1:10" s="2" customFormat="1">
      <c r="A1098" s="1"/>
      <c r="E1098"/>
      <c r="F1098"/>
      <c r="G1098"/>
      <c r="H1098"/>
      <c r="I1098"/>
      <c r="J1098"/>
    </row>
    <row r="1099" spans="1:10" s="2" customFormat="1">
      <c r="A1099" s="1"/>
      <c r="E1099"/>
      <c r="F1099"/>
      <c r="G1099"/>
      <c r="H1099"/>
      <c r="I1099"/>
      <c r="J1099"/>
    </row>
    <row r="1100" spans="1:10" s="2" customFormat="1">
      <c r="A1100" s="1"/>
      <c r="E1100"/>
      <c r="F1100"/>
      <c r="G1100"/>
      <c r="H1100"/>
      <c r="I1100"/>
      <c r="J1100"/>
    </row>
    <row r="1101" spans="1:10" s="2" customFormat="1">
      <c r="A1101" s="1"/>
      <c r="E1101"/>
      <c r="F1101"/>
      <c r="G1101"/>
      <c r="H1101"/>
      <c r="I1101"/>
      <c r="J1101"/>
    </row>
    <row r="1102" spans="1:10" s="2" customFormat="1">
      <c r="A1102" s="1"/>
      <c r="E1102"/>
      <c r="F1102"/>
      <c r="G1102"/>
      <c r="H1102"/>
      <c r="I1102"/>
      <c r="J1102"/>
    </row>
    <row r="1103" spans="1:10" s="2" customFormat="1">
      <c r="A1103" s="1"/>
      <c r="E1103"/>
      <c r="F1103"/>
      <c r="G1103"/>
      <c r="H1103"/>
      <c r="I1103"/>
      <c r="J1103"/>
    </row>
    <row r="1104" spans="1:10" s="2" customFormat="1">
      <c r="A1104" s="1"/>
      <c r="E1104"/>
      <c r="F1104"/>
      <c r="G1104"/>
      <c r="H1104"/>
      <c r="I1104"/>
      <c r="J1104"/>
    </row>
    <row r="1105" spans="1:10" s="2" customFormat="1">
      <c r="A1105" s="1"/>
      <c r="E1105"/>
      <c r="F1105"/>
      <c r="G1105"/>
      <c r="H1105"/>
      <c r="I1105"/>
      <c r="J1105"/>
    </row>
    <row r="1106" spans="1:10" s="2" customFormat="1">
      <c r="A1106" s="1"/>
      <c r="E1106"/>
      <c r="F1106"/>
      <c r="G1106"/>
      <c r="H1106"/>
      <c r="I1106"/>
      <c r="J1106"/>
    </row>
    <row r="1107" spans="1:10" s="2" customFormat="1">
      <c r="A1107" s="1"/>
      <c r="E1107"/>
      <c r="F1107"/>
      <c r="G1107"/>
      <c r="H1107"/>
      <c r="I1107"/>
      <c r="J1107"/>
    </row>
    <row r="1108" spans="1:10" s="2" customFormat="1">
      <c r="A1108" s="1"/>
      <c r="E1108"/>
      <c r="F1108"/>
      <c r="G1108"/>
      <c r="H1108"/>
      <c r="I1108"/>
      <c r="J1108"/>
    </row>
    <row r="1109" spans="1:10" s="2" customFormat="1">
      <c r="A1109" s="1"/>
      <c r="E1109"/>
      <c r="F1109"/>
      <c r="G1109"/>
      <c r="H1109"/>
      <c r="I1109"/>
      <c r="J1109"/>
    </row>
    <row r="1110" spans="1:10" s="2" customFormat="1">
      <c r="A1110" s="1"/>
      <c r="E1110"/>
      <c r="F1110"/>
      <c r="G1110"/>
      <c r="H1110"/>
      <c r="I1110"/>
      <c r="J1110"/>
    </row>
    <row r="1111" spans="1:10" s="2" customFormat="1">
      <c r="A1111" s="1"/>
      <c r="E1111"/>
      <c r="F1111"/>
      <c r="G1111"/>
      <c r="H1111"/>
      <c r="I1111"/>
      <c r="J1111"/>
    </row>
    <row r="1112" spans="1:10" s="2" customFormat="1">
      <c r="A1112" s="1"/>
      <c r="E1112"/>
      <c r="F1112"/>
      <c r="G1112"/>
      <c r="H1112"/>
      <c r="I1112"/>
      <c r="J1112"/>
    </row>
    <row r="1113" spans="1:10" s="2" customFormat="1">
      <c r="A1113" s="1"/>
      <c r="E1113"/>
      <c r="F1113"/>
      <c r="G1113"/>
      <c r="H1113"/>
      <c r="I1113"/>
      <c r="J1113"/>
    </row>
    <row r="1114" spans="1:10" s="2" customFormat="1">
      <c r="A1114" s="1"/>
      <c r="E1114"/>
      <c r="F1114"/>
      <c r="G1114"/>
      <c r="H1114"/>
      <c r="I1114"/>
      <c r="J1114"/>
    </row>
    <row r="1115" spans="1:10" s="2" customFormat="1">
      <c r="A1115" s="1"/>
      <c r="E1115"/>
      <c r="F1115"/>
      <c r="G1115"/>
      <c r="H1115"/>
      <c r="I1115"/>
      <c r="J1115"/>
    </row>
    <row r="1116" spans="1:10" s="2" customFormat="1">
      <c r="A1116" s="1"/>
      <c r="E1116"/>
      <c r="F1116"/>
      <c r="G1116"/>
      <c r="H1116"/>
      <c r="I1116"/>
      <c r="J1116"/>
    </row>
    <row r="1117" spans="1:10" s="2" customFormat="1">
      <c r="A1117" s="1"/>
      <c r="E1117"/>
      <c r="F1117"/>
      <c r="G1117"/>
      <c r="H1117"/>
      <c r="I1117"/>
      <c r="J1117"/>
    </row>
    <row r="1118" spans="1:10" s="2" customFormat="1">
      <c r="A1118" s="1"/>
      <c r="E1118"/>
      <c r="F1118"/>
      <c r="G1118"/>
      <c r="H1118"/>
      <c r="I1118"/>
      <c r="J1118"/>
    </row>
    <row r="1119" spans="1:10" s="2" customFormat="1">
      <c r="A1119" s="1"/>
      <c r="E1119"/>
      <c r="F1119"/>
      <c r="G1119"/>
      <c r="H1119"/>
      <c r="I1119"/>
      <c r="J1119"/>
    </row>
    <row r="1120" spans="1:10" s="2" customFormat="1">
      <c r="A1120" s="1"/>
      <c r="E1120"/>
      <c r="F1120"/>
      <c r="G1120"/>
      <c r="H1120"/>
      <c r="I1120"/>
      <c r="J1120"/>
    </row>
    <row r="1121" spans="1:10" s="2" customFormat="1">
      <c r="A1121" s="1"/>
      <c r="E1121"/>
      <c r="F1121"/>
      <c r="G1121"/>
      <c r="H1121"/>
      <c r="I1121"/>
      <c r="J1121"/>
    </row>
    <row r="1122" spans="1:10" s="2" customFormat="1">
      <c r="A1122" s="1"/>
      <c r="E1122"/>
      <c r="F1122"/>
      <c r="G1122"/>
      <c r="H1122"/>
      <c r="I1122"/>
      <c r="J1122"/>
    </row>
    <row r="1123" spans="1:10" s="2" customFormat="1">
      <c r="A1123" s="1"/>
      <c r="E1123"/>
      <c r="F1123"/>
      <c r="G1123"/>
      <c r="H1123"/>
      <c r="I1123"/>
      <c r="J1123"/>
    </row>
    <row r="1124" spans="1:10" s="2" customFormat="1">
      <c r="A1124" s="1"/>
      <c r="E1124"/>
      <c r="F1124"/>
      <c r="G1124"/>
      <c r="H1124"/>
      <c r="I1124"/>
      <c r="J1124"/>
    </row>
    <row r="1125" spans="1:10" s="2" customFormat="1">
      <c r="A1125" s="1"/>
      <c r="E1125"/>
      <c r="F1125"/>
      <c r="G1125"/>
      <c r="H1125"/>
      <c r="I1125"/>
      <c r="J1125"/>
    </row>
    <row r="1126" spans="1:10" s="2" customFormat="1">
      <c r="A1126" s="1"/>
      <c r="E1126"/>
      <c r="F1126"/>
      <c r="G1126"/>
      <c r="H1126"/>
      <c r="I1126"/>
      <c r="J1126"/>
    </row>
    <row r="1127" spans="1:10" s="2" customFormat="1">
      <c r="A1127" s="1"/>
      <c r="E1127"/>
      <c r="F1127"/>
      <c r="G1127"/>
      <c r="H1127"/>
      <c r="I1127"/>
      <c r="J1127"/>
    </row>
    <row r="1128" spans="1:10" s="2" customFormat="1">
      <c r="A1128" s="1"/>
      <c r="E1128"/>
      <c r="F1128"/>
      <c r="G1128"/>
      <c r="H1128"/>
      <c r="I1128"/>
      <c r="J1128"/>
    </row>
    <row r="1129" spans="1:10" s="2" customFormat="1">
      <c r="A1129" s="1"/>
      <c r="E1129"/>
      <c r="F1129"/>
      <c r="G1129"/>
      <c r="H1129"/>
      <c r="I1129"/>
      <c r="J1129"/>
    </row>
    <row r="1130" spans="1:10" s="2" customFormat="1">
      <c r="A1130" s="1"/>
      <c r="E1130"/>
      <c r="F1130"/>
      <c r="G1130"/>
      <c r="H1130"/>
      <c r="I1130"/>
      <c r="J1130"/>
    </row>
    <row r="1131" spans="1:10" s="2" customFormat="1">
      <c r="A1131" s="1"/>
      <c r="E1131"/>
      <c r="F1131"/>
      <c r="G1131"/>
      <c r="H1131"/>
      <c r="I1131"/>
      <c r="J1131"/>
    </row>
    <row r="1132" spans="1:10" s="2" customFormat="1">
      <c r="A1132" s="1"/>
      <c r="E1132"/>
      <c r="F1132"/>
      <c r="G1132"/>
      <c r="H1132"/>
      <c r="I1132"/>
      <c r="J1132"/>
    </row>
    <row r="1133" spans="1:10" s="2" customFormat="1">
      <c r="A1133" s="1"/>
      <c r="E1133"/>
      <c r="F1133"/>
      <c r="G1133"/>
      <c r="H1133"/>
      <c r="I1133"/>
      <c r="J1133"/>
    </row>
    <row r="1134" spans="1:10" s="2" customFormat="1">
      <c r="A1134" s="1"/>
      <c r="E1134"/>
      <c r="F1134"/>
      <c r="G1134"/>
      <c r="H1134"/>
      <c r="I1134"/>
      <c r="J1134"/>
    </row>
    <row r="1135" spans="1:10" s="2" customFormat="1">
      <c r="A1135" s="1"/>
      <c r="E1135"/>
      <c r="F1135"/>
      <c r="G1135"/>
      <c r="H1135"/>
      <c r="I1135"/>
      <c r="J1135"/>
    </row>
    <row r="1136" spans="1:10" s="2" customFormat="1">
      <c r="A1136" s="1"/>
      <c r="E1136"/>
      <c r="F1136"/>
      <c r="G1136"/>
      <c r="H1136"/>
      <c r="I1136"/>
      <c r="J1136"/>
    </row>
    <row r="1137" spans="1:10" s="2" customFormat="1">
      <c r="A1137" s="1"/>
      <c r="E1137"/>
      <c r="F1137"/>
      <c r="G1137"/>
      <c r="H1137"/>
      <c r="I1137"/>
      <c r="J1137"/>
    </row>
    <row r="1138" spans="1:10" s="2" customFormat="1">
      <c r="A1138" s="1"/>
      <c r="E1138"/>
      <c r="F1138"/>
      <c r="G1138"/>
      <c r="H1138"/>
      <c r="I1138"/>
      <c r="J1138"/>
    </row>
    <row r="1139" spans="1:10" s="2" customFormat="1">
      <c r="A1139" s="1"/>
      <c r="E1139"/>
      <c r="F1139"/>
      <c r="G1139"/>
      <c r="H1139"/>
      <c r="I1139"/>
      <c r="J1139"/>
    </row>
    <row r="1140" spans="1:10" s="2" customFormat="1">
      <c r="A1140" s="1"/>
      <c r="E1140"/>
      <c r="F1140"/>
      <c r="G1140"/>
      <c r="H1140"/>
      <c r="I1140"/>
      <c r="J1140"/>
    </row>
    <row r="1141" spans="1:10" s="2" customFormat="1">
      <c r="A1141" s="1"/>
      <c r="E1141"/>
      <c r="F1141"/>
      <c r="G1141"/>
      <c r="H1141"/>
      <c r="I1141"/>
      <c r="J1141"/>
    </row>
    <row r="1142" spans="1:10" s="2" customFormat="1">
      <c r="A1142" s="1"/>
      <c r="E1142"/>
      <c r="F1142"/>
      <c r="G1142"/>
      <c r="H1142"/>
      <c r="I1142"/>
      <c r="J1142"/>
    </row>
    <row r="1143" spans="1:10" s="2" customFormat="1">
      <c r="A1143" s="1"/>
      <c r="E1143"/>
      <c r="F1143"/>
      <c r="G1143"/>
      <c r="H1143"/>
      <c r="I1143"/>
      <c r="J1143"/>
    </row>
    <row r="1144" spans="1:10" s="2" customFormat="1">
      <c r="A1144" s="1"/>
      <c r="E1144"/>
      <c r="F1144"/>
      <c r="G1144"/>
      <c r="H1144"/>
      <c r="I1144"/>
      <c r="J1144"/>
    </row>
    <row r="1145" spans="1:10" s="2" customFormat="1">
      <c r="A1145" s="1"/>
      <c r="E1145"/>
      <c r="F1145"/>
      <c r="G1145"/>
      <c r="H1145"/>
      <c r="I1145"/>
      <c r="J1145"/>
    </row>
    <row r="1146" spans="1:10" s="2" customFormat="1">
      <c r="A1146" s="1"/>
      <c r="E1146"/>
      <c r="F1146"/>
      <c r="G1146"/>
      <c r="H1146"/>
      <c r="I1146"/>
      <c r="J1146"/>
    </row>
    <row r="1147" spans="1:10" s="2" customFormat="1">
      <c r="A1147" s="1"/>
      <c r="E1147"/>
      <c r="F1147"/>
      <c r="G1147"/>
      <c r="H1147"/>
      <c r="I1147"/>
      <c r="J1147"/>
    </row>
    <row r="1148" spans="1:10" s="2" customFormat="1">
      <c r="A1148" s="1"/>
      <c r="E1148"/>
      <c r="F1148"/>
      <c r="G1148"/>
      <c r="H1148"/>
      <c r="I1148"/>
      <c r="J1148"/>
    </row>
    <row r="1149" spans="1:10" s="2" customFormat="1">
      <c r="A1149" s="1"/>
      <c r="E1149"/>
      <c r="F1149"/>
      <c r="G1149"/>
      <c r="H1149"/>
      <c r="I1149"/>
      <c r="J1149"/>
    </row>
    <row r="1150" spans="1:10" s="2" customFormat="1">
      <c r="A1150" s="1"/>
      <c r="E1150"/>
      <c r="F1150"/>
      <c r="G1150"/>
      <c r="H1150"/>
      <c r="I1150"/>
      <c r="J1150"/>
    </row>
    <row r="1151" spans="1:10" s="2" customFormat="1">
      <c r="A1151" s="1"/>
      <c r="E1151"/>
      <c r="F1151"/>
      <c r="G1151"/>
      <c r="H1151"/>
      <c r="I1151"/>
      <c r="J1151"/>
    </row>
    <row r="1152" spans="1:10" s="2" customFormat="1">
      <c r="A1152" s="1"/>
      <c r="E1152"/>
      <c r="F1152"/>
      <c r="G1152"/>
      <c r="H1152"/>
      <c r="I1152"/>
      <c r="J1152"/>
    </row>
    <row r="1153" spans="1:10" s="2" customFormat="1">
      <c r="A1153" s="1"/>
      <c r="E1153"/>
      <c r="F1153"/>
      <c r="G1153"/>
      <c r="H1153"/>
      <c r="I1153"/>
      <c r="J1153"/>
    </row>
    <row r="1154" spans="1:10" s="2" customFormat="1">
      <c r="A1154" s="1"/>
      <c r="E1154"/>
      <c r="F1154"/>
      <c r="G1154"/>
      <c r="H1154"/>
      <c r="I1154"/>
      <c r="J1154"/>
    </row>
    <row r="1155" spans="1:10" s="2" customFormat="1">
      <c r="A1155" s="1"/>
      <c r="E1155"/>
      <c r="F1155"/>
      <c r="G1155"/>
      <c r="H1155"/>
      <c r="I1155"/>
      <c r="J1155"/>
    </row>
    <row r="1156" spans="1:10" s="2" customFormat="1">
      <c r="A1156" s="1"/>
      <c r="E1156"/>
      <c r="F1156"/>
      <c r="G1156"/>
      <c r="H1156"/>
      <c r="I1156"/>
      <c r="J1156"/>
    </row>
    <row r="1157" spans="1:10" s="2" customFormat="1">
      <c r="A1157" s="1"/>
      <c r="E1157"/>
      <c r="F1157"/>
      <c r="G1157"/>
      <c r="H1157"/>
      <c r="I1157"/>
      <c r="J1157"/>
    </row>
    <row r="1158" spans="1:10" s="2" customFormat="1">
      <c r="A1158" s="1"/>
      <c r="E1158"/>
      <c r="F1158"/>
      <c r="G1158"/>
      <c r="H1158"/>
      <c r="I1158"/>
      <c r="J1158"/>
    </row>
    <row r="1159" spans="1:10" s="2" customFormat="1">
      <c r="A1159" s="1"/>
      <c r="E1159"/>
      <c r="F1159"/>
      <c r="G1159"/>
      <c r="H1159"/>
      <c r="I1159"/>
      <c r="J1159"/>
    </row>
    <row r="1160" spans="1:10" s="2" customFormat="1">
      <c r="A1160" s="1"/>
      <c r="E1160"/>
      <c r="F1160"/>
      <c r="G1160"/>
      <c r="H1160"/>
      <c r="I1160"/>
      <c r="J1160"/>
    </row>
    <row r="1161" spans="1:10" s="2" customFormat="1">
      <c r="A1161" s="1"/>
      <c r="E1161"/>
      <c r="F1161"/>
      <c r="G1161"/>
      <c r="H1161"/>
      <c r="I1161"/>
      <c r="J1161"/>
    </row>
    <row r="1162" spans="1:10" s="2" customFormat="1">
      <c r="A1162" s="1"/>
      <c r="E1162"/>
      <c r="F1162"/>
      <c r="G1162"/>
      <c r="H1162"/>
      <c r="I1162"/>
      <c r="J1162"/>
    </row>
    <row r="1163" spans="1:10" s="2" customFormat="1">
      <c r="A1163" s="1"/>
      <c r="E1163"/>
      <c r="F1163"/>
      <c r="G1163"/>
      <c r="H1163"/>
      <c r="I1163"/>
      <c r="J1163"/>
    </row>
    <row r="1164" spans="1:10" s="2" customFormat="1">
      <c r="A1164" s="1"/>
      <c r="E1164"/>
      <c r="F1164"/>
      <c r="G1164"/>
      <c r="H1164"/>
      <c r="I1164"/>
      <c r="J1164"/>
    </row>
    <row r="1165" spans="1:10" s="2" customFormat="1">
      <c r="A1165" s="1"/>
      <c r="E1165"/>
      <c r="F1165"/>
      <c r="G1165"/>
      <c r="H1165"/>
      <c r="I1165"/>
      <c r="J1165"/>
    </row>
    <row r="1166" spans="1:10" s="2" customFormat="1">
      <c r="A1166" s="1"/>
      <c r="E1166"/>
      <c r="F1166"/>
      <c r="G1166"/>
      <c r="H1166"/>
      <c r="I1166"/>
      <c r="J1166"/>
    </row>
    <row r="1167" spans="1:10" s="2" customFormat="1">
      <c r="A1167" s="1"/>
      <c r="E1167"/>
      <c r="F1167"/>
      <c r="G1167"/>
      <c r="H1167"/>
      <c r="I1167"/>
      <c r="J1167"/>
    </row>
    <row r="1168" spans="1:10" s="2" customFormat="1">
      <c r="A1168" s="1"/>
      <c r="E1168"/>
      <c r="F1168"/>
      <c r="G1168"/>
      <c r="H1168"/>
      <c r="I1168"/>
      <c r="J1168"/>
    </row>
    <row r="1169" spans="1:10" s="2" customFormat="1">
      <c r="A1169" s="1"/>
      <c r="E1169"/>
      <c r="F1169"/>
      <c r="G1169"/>
      <c r="H1169"/>
      <c r="I1169"/>
      <c r="J1169"/>
    </row>
    <row r="1170" spans="1:10" s="2" customFormat="1">
      <c r="A1170" s="1"/>
      <c r="E1170"/>
      <c r="F1170"/>
      <c r="G1170"/>
      <c r="H1170"/>
      <c r="I1170"/>
      <c r="J1170"/>
    </row>
    <row r="1171" spans="1:10" s="2" customFormat="1">
      <c r="A1171" s="1"/>
      <c r="E1171"/>
      <c r="F1171"/>
      <c r="G1171"/>
      <c r="H1171"/>
      <c r="I1171"/>
      <c r="J1171"/>
    </row>
    <row r="1172" spans="1:10" s="2" customFormat="1">
      <c r="A1172" s="1"/>
      <c r="E1172"/>
      <c r="F1172"/>
      <c r="G1172"/>
      <c r="H1172"/>
      <c r="I1172"/>
      <c r="J1172"/>
    </row>
    <row r="1173" spans="1:10" s="2" customFormat="1">
      <c r="A1173" s="1"/>
      <c r="E1173"/>
      <c r="F1173"/>
      <c r="G1173"/>
      <c r="H1173"/>
      <c r="I1173"/>
      <c r="J1173"/>
    </row>
    <row r="1174" spans="1:10" s="2" customFormat="1">
      <c r="A1174" s="1"/>
      <c r="E1174"/>
      <c r="F1174"/>
      <c r="G1174"/>
      <c r="H1174"/>
      <c r="I1174"/>
      <c r="J1174"/>
    </row>
    <row r="1175" spans="1:10" s="2" customFormat="1">
      <c r="A1175" s="1"/>
      <c r="E1175"/>
      <c r="F1175"/>
      <c r="G1175"/>
      <c r="H1175"/>
      <c r="I1175"/>
      <c r="J1175"/>
    </row>
    <row r="1176" spans="1:10" s="2" customFormat="1">
      <c r="A1176" s="1"/>
      <c r="E1176"/>
      <c r="F1176"/>
      <c r="G1176"/>
      <c r="H1176"/>
      <c r="I1176"/>
      <c r="J1176"/>
    </row>
    <row r="1177" spans="1:10" s="2" customFormat="1">
      <c r="A1177" s="1"/>
      <c r="E1177"/>
      <c r="F1177"/>
      <c r="G1177"/>
      <c r="H1177"/>
      <c r="I1177"/>
      <c r="J1177"/>
    </row>
    <row r="1178" spans="1:10" s="2" customFormat="1">
      <c r="A1178" s="1"/>
      <c r="E1178"/>
      <c r="F1178"/>
      <c r="G1178"/>
      <c r="H1178"/>
      <c r="I1178"/>
      <c r="J1178"/>
    </row>
    <row r="1179" spans="1:10" s="2" customFormat="1">
      <c r="A1179" s="1"/>
      <c r="E1179"/>
      <c r="F1179"/>
      <c r="G1179"/>
      <c r="H1179"/>
      <c r="I1179"/>
      <c r="J1179"/>
    </row>
    <row r="1180" spans="1:10" s="2" customFormat="1">
      <c r="A1180" s="1"/>
      <c r="E1180"/>
      <c r="F1180"/>
      <c r="G1180"/>
      <c r="H1180"/>
      <c r="I1180"/>
      <c r="J1180"/>
    </row>
    <row r="1181" spans="1:10" s="2" customFormat="1">
      <c r="A1181" s="1"/>
      <c r="E1181"/>
      <c r="F1181"/>
      <c r="G1181"/>
      <c r="H1181"/>
      <c r="I1181"/>
      <c r="J1181"/>
    </row>
    <row r="1182" spans="1:10" s="2" customFormat="1">
      <c r="A1182" s="1"/>
      <c r="E1182"/>
      <c r="F1182"/>
      <c r="G1182"/>
      <c r="H1182"/>
      <c r="I1182"/>
      <c r="J1182"/>
    </row>
    <row r="1183" spans="1:10" s="2" customFormat="1">
      <c r="A1183" s="1"/>
      <c r="E1183"/>
      <c r="F1183"/>
      <c r="G1183"/>
      <c r="H1183"/>
      <c r="I1183"/>
      <c r="J1183"/>
    </row>
    <row r="1184" spans="1:10" s="2" customFormat="1">
      <c r="A1184" s="1"/>
      <c r="E1184"/>
      <c r="F1184"/>
      <c r="G1184"/>
      <c r="H1184"/>
      <c r="I1184"/>
      <c r="J1184"/>
    </row>
    <row r="1185" spans="1:10" s="2" customFormat="1">
      <c r="A1185" s="1"/>
      <c r="E1185"/>
      <c r="F1185"/>
      <c r="G1185"/>
      <c r="H1185"/>
      <c r="I1185"/>
      <c r="J1185"/>
    </row>
    <row r="1186" spans="1:10" s="2" customFormat="1">
      <c r="A1186" s="1"/>
      <c r="E1186"/>
      <c r="F1186"/>
      <c r="G1186"/>
      <c r="H1186"/>
      <c r="I1186"/>
      <c r="J1186"/>
    </row>
    <row r="1187" spans="1:10" s="2" customFormat="1">
      <c r="A1187" s="1"/>
      <c r="E1187"/>
      <c r="F1187"/>
      <c r="G1187"/>
      <c r="H1187"/>
      <c r="I1187"/>
      <c r="J1187"/>
    </row>
    <row r="1188" spans="1:10" s="2" customFormat="1">
      <c r="A1188" s="1"/>
      <c r="E1188"/>
      <c r="F1188"/>
      <c r="G1188"/>
      <c r="H1188"/>
      <c r="I1188"/>
      <c r="J1188"/>
    </row>
    <row r="1189" spans="1:10" s="2" customFormat="1">
      <c r="A1189" s="1"/>
      <c r="E1189"/>
      <c r="F1189"/>
      <c r="G1189"/>
      <c r="H1189"/>
      <c r="I1189"/>
      <c r="J1189"/>
    </row>
    <row r="1190" spans="1:10" s="2" customFormat="1">
      <c r="A1190" s="1"/>
      <c r="E1190"/>
      <c r="F1190"/>
      <c r="G1190"/>
      <c r="H1190"/>
      <c r="I1190"/>
      <c r="J1190"/>
    </row>
    <row r="1191" spans="1:10" s="2" customFormat="1">
      <c r="A1191" s="1"/>
      <c r="E1191"/>
      <c r="F1191"/>
      <c r="G1191"/>
      <c r="H1191"/>
      <c r="I1191"/>
      <c r="J1191"/>
    </row>
    <row r="1192" spans="1:10" s="2" customFormat="1">
      <c r="A1192" s="1"/>
      <c r="E1192"/>
      <c r="F1192"/>
      <c r="G1192"/>
      <c r="H1192"/>
      <c r="I1192"/>
      <c r="J1192"/>
    </row>
    <row r="1193" spans="1:10" s="2" customFormat="1">
      <c r="A1193" s="1"/>
      <c r="E1193"/>
      <c r="F1193"/>
      <c r="G1193"/>
      <c r="H1193"/>
      <c r="I1193"/>
      <c r="J1193"/>
    </row>
    <row r="1194" spans="1:10" s="2" customFormat="1">
      <c r="A1194" s="1"/>
      <c r="E1194"/>
      <c r="F1194"/>
      <c r="G1194"/>
      <c r="H1194"/>
      <c r="I1194"/>
      <c r="J1194"/>
    </row>
    <row r="1195" spans="1:10" s="2" customFormat="1">
      <c r="A1195" s="1"/>
      <c r="E1195"/>
      <c r="F1195"/>
      <c r="G1195"/>
      <c r="H1195"/>
      <c r="I1195"/>
      <c r="J1195"/>
    </row>
    <row r="1196" spans="1:10" s="2" customFormat="1">
      <c r="A1196" s="1"/>
      <c r="E1196"/>
      <c r="F1196"/>
      <c r="G1196"/>
      <c r="H1196"/>
      <c r="I1196"/>
      <c r="J1196"/>
    </row>
    <row r="1197" spans="1:10" s="2" customFormat="1">
      <c r="A1197" s="1"/>
      <c r="E1197"/>
      <c r="F1197"/>
      <c r="G1197"/>
      <c r="H1197"/>
      <c r="I1197"/>
      <c r="J1197"/>
    </row>
    <row r="1198" spans="1:10" s="2" customFormat="1">
      <c r="A1198" s="1"/>
      <c r="E1198"/>
      <c r="F1198"/>
      <c r="G1198"/>
      <c r="H1198"/>
      <c r="I1198"/>
      <c r="J1198"/>
    </row>
    <row r="1199" spans="1:10" s="2" customFormat="1">
      <c r="A1199" s="1"/>
      <c r="E1199"/>
      <c r="F1199"/>
      <c r="G1199"/>
      <c r="H1199"/>
      <c r="I1199"/>
      <c r="J1199"/>
    </row>
    <row r="1200" spans="1:10" s="2" customFormat="1">
      <c r="A1200" s="1"/>
      <c r="E1200"/>
      <c r="F1200"/>
      <c r="G1200"/>
      <c r="H1200"/>
      <c r="I1200"/>
      <c r="J1200"/>
    </row>
    <row r="1201" spans="1:10" s="2" customFormat="1">
      <c r="A1201" s="1"/>
      <c r="E1201"/>
      <c r="F1201"/>
      <c r="G1201"/>
      <c r="H1201"/>
      <c r="I1201"/>
      <c r="J1201"/>
    </row>
    <row r="1202" spans="1:10" s="2" customFormat="1">
      <c r="A1202" s="1"/>
      <c r="E1202"/>
      <c r="F1202"/>
      <c r="G1202"/>
      <c r="H1202"/>
      <c r="I1202"/>
      <c r="J1202"/>
    </row>
    <row r="1203" spans="1:10" s="2" customFormat="1">
      <c r="A1203" s="1"/>
      <c r="E1203"/>
      <c r="F1203"/>
      <c r="G1203"/>
      <c r="H1203"/>
      <c r="I1203"/>
      <c r="J1203"/>
    </row>
    <row r="1204" spans="1:10" s="2" customFormat="1">
      <c r="A1204" s="1"/>
      <c r="E1204"/>
      <c r="F1204"/>
      <c r="G1204"/>
      <c r="H1204"/>
      <c r="I1204"/>
      <c r="J1204"/>
    </row>
    <row r="1205" spans="1:10" s="2" customFormat="1">
      <c r="A1205" s="1"/>
      <c r="E1205"/>
      <c r="F1205"/>
      <c r="G1205"/>
      <c r="H1205"/>
      <c r="I1205"/>
      <c r="J1205"/>
    </row>
    <row r="1206" spans="1:10" s="2" customFormat="1">
      <c r="A1206" s="1"/>
      <c r="E1206"/>
      <c r="F1206"/>
      <c r="G1206"/>
      <c r="H1206"/>
      <c r="I1206"/>
      <c r="J1206"/>
    </row>
    <row r="1207" spans="1:10" s="2" customFormat="1">
      <c r="A1207" s="1"/>
      <c r="E1207"/>
      <c r="F1207"/>
      <c r="G1207"/>
      <c r="H1207"/>
      <c r="I1207"/>
      <c r="J1207"/>
    </row>
    <row r="1208" spans="1:10" s="2" customFormat="1">
      <c r="A1208" s="1"/>
      <c r="E1208"/>
      <c r="F1208"/>
      <c r="G1208"/>
      <c r="H1208"/>
      <c r="I1208"/>
      <c r="J1208"/>
    </row>
    <row r="1209" spans="1:10" s="2" customFormat="1">
      <c r="A1209" s="1"/>
      <c r="E1209"/>
      <c r="F1209"/>
      <c r="G1209"/>
      <c r="H1209"/>
      <c r="I1209"/>
      <c r="J1209"/>
    </row>
    <row r="1210" spans="1:10" s="2" customFormat="1">
      <c r="A1210" s="1"/>
      <c r="E1210"/>
      <c r="F1210"/>
      <c r="G1210"/>
      <c r="H1210"/>
      <c r="I1210"/>
      <c r="J1210"/>
    </row>
    <row r="1211" spans="1:10" s="2" customFormat="1">
      <c r="A1211" s="1"/>
      <c r="E1211"/>
      <c r="F1211"/>
      <c r="G1211"/>
      <c r="H1211"/>
      <c r="I1211"/>
      <c r="J1211"/>
    </row>
    <row r="1212" spans="1:10" s="2" customFormat="1">
      <c r="A1212" s="1"/>
      <c r="E1212"/>
      <c r="F1212"/>
      <c r="G1212"/>
      <c r="H1212"/>
      <c r="I1212"/>
      <c r="J1212"/>
    </row>
    <row r="1213" spans="1:10" s="2" customFormat="1">
      <c r="A1213" s="1"/>
      <c r="E1213"/>
      <c r="F1213"/>
      <c r="G1213"/>
      <c r="H1213"/>
      <c r="I1213"/>
      <c r="J1213"/>
    </row>
    <row r="1214" spans="1:10" s="2" customFormat="1">
      <c r="A1214" s="1"/>
      <c r="E1214"/>
      <c r="F1214"/>
      <c r="G1214"/>
      <c r="H1214"/>
      <c r="I1214"/>
      <c r="J1214"/>
    </row>
    <row r="1215" spans="1:10" s="2" customFormat="1">
      <c r="A1215" s="1"/>
      <c r="E1215"/>
      <c r="F1215"/>
      <c r="G1215"/>
      <c r="H1215"/>
      <c r="I1215"/>
      <c r="J1215"/>
    </row>
    <row r="1216" spans="1:10" s="2" customFormat="1">
      <c r="A1216" s="1"/>
      <c r="E1216"/>
      <c r="F1216"/>
      <c r="G1216"/>
      <c r="H1216"/>
      <c r="I1216"/>
      <c r="J1216"/>
    </row>
    <row r="1217" spans="1:10" s="2" customFormat="1">
      <c r="A1217" s="1"/>
      <c r="E1217"/>
      <c r="F1217"/>
      <c r="G1217"/>
      <c r="H1217"/>
      <c r="I1217"/>
      <c r="J1217"/>
    </row>
    <row r="1218" spans="1:10" s="2" customFormat="1">
      <c r="A1218" s="1"/>
      <c r="E1218"/>
      <c r="F1218"/>
      <c r="G1218"/>
      <c r="H1218"/>
      <c r="I1218"/>
      <c r="J1218"/>
    </row>
    <row r="1219" spans="1:10" s="2" customFormat="1">
      <c r="A1219" s="1"/>
      <c r="E1219"/>
      <c r="F1219"/>
      <c r="G1219"/>
      <c r="H1219"/>
      <c r="I1219"/>
      <c r="J1219"/>
    </row>
    <row r="1220" spans="1:10" s="2" customFormat="1">
      <c r="A1220" s="1"/>
      <c r="E1220"/>
      <c r="F1220"/>
      <c r="G1220"/>
      <c r="H1220"/>
      <c r="I1220"/>
      <c r="J1220"/>
    </row>
    <row r="1221" spans="1:10" s="2" customFormat="1">
      <c r="A1221" s="1"/>
      <c r="E1221"/>
      <c r="F1221"/>
      <c r="G1221"/>
      <c r="H1221"/>
      <c r="I1221"/>
      <c r="J1221"/>
    </row>
    <row r="1222" spans="1:10" s="2" customFormat="1">
      <c r="A1222" s="1"/>
      <c r="E1222"/>
      <c r="F1222"/>
      <c r="G1222"/>
      <c r="H1222"/>
      <c r="I1222"/>
      <c r="J1222"/>
    </row>
    <row r="1223" spans="1:10" s="2" customFormat="1">
      <c r="A1223" s="1"/>
      <c r="E1223"/>
      <c r="F1223"/>
      <c r="G1223"/>
      <c r="H1223"/>
      <c r="I1223"/>
      <c r="J1223"/>
    </row>
    <row r="1224" spans="1:10" s="2" customFormat="1">
      <c r="A1224" s="1"/>
      <c r="E1224"/>
      <c r="F1224"/>
      <c r="G1224"/>
      <c r="H1224"/>
      <c r="I1224"/>
      <c r="J1224"/>
    </row>
    <row r="1225" spans="1:10" s="2" customFormat="1">
      <c r="A1225" s="1"/>
      <c r="E1225"/>
      <c r="F1225"/>
      <c r="G1225"/>
      <c r="H1225"/>
      <c r="I1225"/>
      <c r="J1225"/>
    </row>
    <row r="1226" spans="1:10" s="2" customFormat="1">
      <c r="A1226" s="1"/>
      <c r="E1226"/>
      <c r="F1226"/>
      <c r="G1226"/>
      <c r="H1226"/>
      <c r="I1226"/>
      <c r="J1226"/>
    </row>
    <row r="1227" spans="1:10" s="2" customFormat="1">
      <c r="A1227" s="1"/>
      <c r="E1227"/>
      <c r="F1227"/>
      <c r="G1227"/>
      <c r="H1227"/>
      <c r="I1227"/>
      <c r="J1227"/>
    </row>
    <row r="1228" spans="1:10" s="2" customFormat="1">
      <c r="A1228" s="1"/>
      <c r="E1228"/>
      <c r="F1228"/>
      <c r="G1228"/>
      <c r="H1228"/>
      <c r="I1228"/>
      <c r="J1228"/>
    </row>
    <row r="1229" spans="1:10" s="2" customFormat="1">
      <c r="A1229" s="1"/>
      <c r="E1229"/>
      <c r="F1229"/>
      <c r="G1229"/>
      <c r="H1229"/>
      <c r="I1229"/>
      <c r="J1229"/>
    </row>
    <row r="1230" spans="1:10" s="2" customFormat="1">
      <c r="A1230" s="1"/>
      <c r="E1230"/>
      <c r="F1230"/>
      <c r="G1230"/>
      <c r="H1230"/>
      <c r="I1230"/>
      <c r="J1230"/>
    </row>
    <row r="1231" spans="1:10" s="2" customFormat="1">
      <c r="A1231" s="1"/>
      <c r="E1231"/>
      <c r="F1231"/>
      <c r="G1231"/>
      <c r="H1231"/>
      <c r="I1231"/>
      <c r="J1231"/>
    </row>
    <row r="1232" spans="1:10" s="2" customFormat="1">
      <c r="A1232" s="1"/>
      <c r="E1232"/>
      <c r="F1232"/>
      <c r="G1232"/>
      <c r="H1232"/>
      <c r="I1232"/>
      <c r="J1232"/>
    </row>
    <row r="1233" spans="1:10" s="2" customFormat="1">
      <c r="A1233" s="1"/>
      <c r="E1233"/>
      <c r="F1233"/>
      <c r="G1233"/>
      <c r="H1233"/>
      <c r="I1233"/>
      <c r="J1233"/>
    </row>
    <row r="1234" spans="1:10" s="2" customFormat="1">
      <c r="A1234" s="1"/>
      <c r="E1234"/>
      <c r="F1234"/>
      <c r="G1234"/>
      <c r="H1234"/>
      <c r="I1234"/>
      <c r="J1234"/>
    </row>
    <row r="1235" spans="1:10" s="2" customFormat="1">
      <c r="A1235" s="1"/>
      <c r="E1235"/>
      <c r="F1235"/>
      <c r="G1235"/>
      <c r="H1235"/>
      <c r="I1235"/>
      <c r="J1235"/>
    </row>
    <row r="1236" spans="1:10" s="2" customFormat="1">
      <c r="A1236" s="1"/>
      <c r="E1236"/>
      <c r="F1236"/>
      <c r="G1236"/>
      <c r="H1236"/>
      <c r="I1236"/>
      <c r="J1236"/>
    </row>
    <row r="1237" spans="1:10" s="2" customFormat="1">
      <c r="A1237" s="1"/>
      <c r="E1237"/>
      <c r="F1237"/>
      <c r="G1237"/>
      <c r="H1237"/>
      <c r="I1237"/>
      <c r="J1237"/>
    </row>
    <row r="1238" spans="1:10" s="2" customFormat="1">
      <c r="A1238" s="1"/>
      <c r="E1238"/>
      <c r="F1238"/>
      <c r="G1238"/>
      <c r="H1238"/>
      <c r="I1238"/>
      <c r="J1238"/>
    </row>
    <row r="1239" spans="1:10" s="2" customFormat="1">
      <c r="A1239" s="1"/>
      <c r="E1239"/>
      <c r="F1239"/>
      <c r="G1239"/>
      <c r="H1239"/>
      <c r="I1239"/>
      <c r="J1239"/>
    </row>
    <row r="1240" spans="1:10" s="2" customFormat="1">
      <c r="A1240" s="1"/>
      <c r="E1240"/>
      <c r="F1240"/>
      <c r="G1240"/>
      <c r="H1240"/>
      <c r="I1240"/>
      <c r="J1240"/>
    </row>
    <row r="1241" spans="1:10" s="2" customFormat="1">
      <c r="A1241" s="1"/>
      <c r="E1241"/>
      <c r="F1241"/>
      <c r="G1241"/>
      <c r="H1241"/>
      <c r="I1241"/>
      <c r="J1241"/>
    </row>
    <row r="1242" spans="1:10" s="2" customFormat="1">
      <c r="A1242" s="1"/>
      <c r="E1242"/>
      <c r="F1242"/>
      <c r="G1242"/>
      <c r="H1242"/>
      <c r="I1242"/>
      <c r="J1242"/>
    </row>
    <row r="1243" spans="1:10" s="2" customFormat="1">
      <c r="A1243" s="1"/>
      <c r="E1243"/>
      <c r="F1243"/>
      <c r="G1243"/>
      <c r="H1243"/>
      <c r="I1243"/>
      <c r="J1243"/>
    </row>
    <row r="1244" spans="1:10" s="2" customFormat="1">
      <c r="A1244" s="1"/>
      <c r="E1244"/>
      <c r="F1244"/>
      <c r="G1244"/>
      <c r="H1244"/>
      <c r="I1244"/>
      <c r="J1244"/>
    </row>
    <row r="1245" spans="1:10" s="2" customFormat="1">
      <c r="A1245" s="1"/>
      <c r="E1245"/>
      <c r="F1245"/>
      <c r="G1245"/>
      <c r="H1245"/>
      <c r="I1245"/>
      <c r="J1245"/>
    </row>
    <row r="1246" spans="1:10" s="2" customFormat="1">
      <c r="A1246" s="1"/>
      <c r="E1246"/>
      <c r="F1246"/>
      <c r="G1246"/>
      <c r="H1246"/>
      <c r="I1246"/>
      <c r="J1246"/>
    </row>
    <row r="1247" spans="1:10" s="2" customFormat="1">
      <c r="A1247" s="1"/>
      <c r="E1247"/>
      <c r="F1247"/>
      <c r="G1247"/>
      <c r="H1247"/>
      <c r="I1247"/>
      <c r="J1247"/>
    </row>
    <row r="1248" spans="1:10" s="2" customFormat="1">
      <c r="A1248" s="1"/>
      <c r="E1248"/>
      <c r="F1248"/>
      <c r="G1248"/>
      <c r="H1248"/>
      <c r="I1248"/>
      <c r="J1248"/>
    </row>
    <row r="1249" spans="1:10" s="2" customFormat="1">
      <c r="A1249" s="1"/>
      <c r="E1249"/>
      <c r="F1249"/>
      <c r="G1249"/>
      <c r="H1249"/>
      <c r="I1249"/>
      <c r="J1249"/>
    </row>
    <row r="1250" spans="1:10" s="2" customFormat="1">
      <c r="A1250" s="1"/>
      <c r="E1250"/>
      <c r="F1250"/>
      <c r="G1250"/>
      <c r="H1250"/>
      <c r="I1250"/>
      <c r="J1250"/>
    </row>
    <row r="1251" spans="1:10" s="2" customFormat="1">
      <c r="A1251" s="1"/>
      <c r="E1251"/>
      <c r="F1251"/>
      <c r="G1251"/>
      <c r="H1251"/>
      <c r="I1251"/>
      <c r="J1251"/>
    </row>
    <row r="1252" spans="1:10" s="2" customFormat="1">
      <c r="A1252" s="1"/>
      <c r="E1252"/>
      <c r="F1252"/>
      <c r="G1252"/>
      <c r="H1252"/>
      <c r="I1252"/>
      <c r="J1252"/>
    </row>
    <row r="1253" spans="1:10" s="2" customFormat="1">
      <c r="A1253" s="1"/>
      <c r="E1253"/>
      <c r="F1253"/>
      <c r="G1253"/>
      <c r="H1253"/>
      <c r="I1253"/>
      <c r="J1253"/>
    </row>
    <row r="1254" spans="1:10" s="2" customFormat="1">
      <c r="A1254" s="1"/>
      <c r="E1254"/>
      <c r="F1254"/>
      <c r="G1254"/>
      <c r="H1254"/>
      <c r="I1254"/>
      <c r="J1254"/>
    </row>
    <row r="1255" spans="1:10" s="2" customFormat="1">
      <c r="A1255" s="1"/>
      <c r="E1255"/>
      <c r="F1255"/>
      <c r="G1255"/>
      <c r="H1255"/>
      <c r="I1255"/>
      <c r="J1255"/>
    </row>
    <row r="1256" spans="1:10" s="2" customFormat="1">
      <c r="A1256" s="1"/>
      <c r="E1256"/>
      <c r="F1256"/>
      <c r="G1256"/>
      <c r="H1256"/>
      <c r="I1256"/>
      <c r="J1256"/>
    </row>
    <row r="1257" spans="1:10" s="2" customFormat="1">
      <c r="A1257" s="1"/>
      <c r="E1257"/>
      <c r="F1257"/>
      <c r="G1257"/>
      <c r="H1257"/>
      <c r="I1257"/>
      <c r="J1257"/>
    </row>
    <row r="1258" spans="1:10" s="2" customFormat="1">
      <c r="A1258" s="1"/>
      <c r="E1258"/>
      <c r="F1258"/>
      <c r="G1258"/>
      <c r="H1258"/>
      <c r="I1258"/>
      <c r="J1258"/>
    </row>
    <row r="1259" spans="1:10" s="2" customFormat="1">
      <c r="A1259" s="1"/>
      <c r="E1259"/>
      <c r="F1259"/>
      <c r="G1259"/>
      <c r="H1259"/>
      <c r="I1259"/>
      <c r="J1259"/>
    </row>
    <row r="1260" spans="1:10" s="2" customFormat="1">
      <c r="A1260" s="1"/>
      <c r="E1260"/>
      <c r="F1260"/>
      <c r="G1260"/>
      <c r="H1260"/>
      <c r="I1260"/>
      <c r="J1260"/>
    </row>
    <row r="1261" spans="1:10" s="2" customFormat="1">
      <c r="A1261" s="1"/>
      <c r="E1261"/>
      <c r="F1261"/>
      <c r="G1261"/>
      <c r="H1261"/>
      <c r="I1261"/>
      <c r="J1261"/>
    </row>
    <row r="1262" spans="1:10" s="2" customFormat="1">
      <c r="A1262" s="1"/>
      <c r="E1262"/>
      <c r="F1262"/>
      <c r="G1262"/>
      <c r="H1262"/>
      <c r="I1262"/>
      <c r="J1262"/>
    </row>
    <row r="1263" spans="1:10" s="2" customFormat="1">
      <c r="A1263" s="1"/>
      <c r="E1263"/>
      <c r="F1263"/>
      <c r="G1263"/>
      <c r="H1263"/>
      <c r="I1263"/>
      <c r="J1263"/>
    </row>
    <row r="1264" spans="1:10" s="2" customFormat="1">
      <c r="A1264" s="1"/>
      <c r="E1264"/>
      <c r="F1264"/>
      <c r="G1264"/>
      <c r="H1264"/>
      <c r="I1264"/>
      <c r="J1264"/>
    </row>
    <row r="1265" spans="1:10" s="2" customFormat="1">
      <c r="A1265" s="1"/>
      <c r="E1265"/>
      <c r="F1265"/>
      <c r="G1265"/>
      <c r="H1265"/>
      <c r="I1265"/>
      <c r="J1265"/>
    </row>
    <row r="1266" spans="1:10" s="2" customFormat="1">
      <c r="A1266" s="1"/>
      <c r="E1266"/>
      <c r="F1266"/>
      <c r="G1266"/>
      <c r="H1266"/>
      <c r="I1266"/>
      <c r="J1266"/>
    </row>
    <row r="1267" spans="1:10" s="2" customFormat="1">
      <c r="A1267" s="1"/>
      <c r="E1267"/>
      <c r="F1267"/>
      <c r="G1267"/>
      <c r="H1267"/>
      <c r="I1267"/>
      <c r="J1267"/>
    </row>
    <row r="1268" spans="1:10" s="2" customFormat="1">
      <c r="A1268" s="1"/>
      <c r="E1268"/>
      <c r="F1268"/>
      <c r="G1268"/>
      <c r="H1268"/>
      <c r="I1268"/>
      <c r="J1268"/>
    </row>
    <row r="1269" spans="1:10" s="2" customFormat="1">
      <c r="A1269" s="1"/>
      <c r="E1269"/>
      <c r="F1269"/>
      <c r="G1269"/>
      <c r="H1269"/>
      <c r="I1269"/>
      <c r="J1269"/>
    </row>
    <row r="1270" spans="1:10" s="2" customFormat="1">
      <c r="A1270" s="1"/>
      <c r="E1270"/>
      <c r="F1270"/>
      <c r="G1270"/>
      <c r="H1270"/>
      <c r="I1270"/>
      <c r="J1270"/>
    </row>
    <row r="1271" spans="1:10" s="2" customFormat="1">
      <c r="A1271" s="1"/>
      <c r="E1271"/>
      <c r="F1271"/>
      <c r="G1271"/>
      <c r="H1271"/>
      <c r="I1271"/>
      <c r="J1271"/>
    </row>
    <row r="1272" spans="1:10" s="2" customFormat="1">
      <c r="A1272" s="1"/>
      <c r="E1272"/>
      <c r="F1272"/>
      <c r="G1272"/>
      <c r="H1272"/>
      <c r="I1272"/>
      <c r="J1272"/>
    </row>
    <row r="1273" spans="1:10" s="2" customFormat="1">
      <c r="A1273" s="1"/>
      <c r="E1273"/>
      <c r="F1273"/>
      <c r="G1273"/>
      <c r="H1273"/>
      <c r="I1273"/>
      <c r="J1273"/>
    </row>
    <row r="1274" spans="1:10" s="2" customFormat="1">
      <c r="A1274" s="1"/>
      <c r="E1274"/>
      <c r="F1274"/>
      <c r="G1274"/>
      <c r="H1274"/>
      <c r="I1274"/>
      <c r="J1274"/>
    </row>
    <row r="1275" spans="1:10" s="2" customFormat="1">
      <c r="A1275" s="1"/>
      <c r="E1275"/>
      <c r="F1275"/>
      <c r="G1275"/>
      <c r="H1275"/>
      <c r="I1275"/>
      <c r="J1275"/>
    </row>
    <row r="1276" spans="1:10" s="2" customFormat="1">
      <c r="A1276" s="1"/>
      <c r="E1276"/>
      <c r="F1276"/>
      <c r="G1276"/>
      <c r="H1276"/>
      <c r="I1276"/>
      <c r="J1276"/>
    </row>
    <row r="1277" spans="1:10" s="2" customFormat="1">
      <c r="A1277" s="1"/>
      <c r="E1277"/>
      <c r="F1277"/>
      <c r="G1277"/>
      <c r="H1277"/>
      <c r="I1277"/>
      <c r="J1277"/>
    </row>
    <row r="1278" spans="1:10" s="2" customFormat="1">
      <c r="A1278" s="1"/>
      <c r="E1278"/>
      <c r="F1278"/>
      <c r="G1278"/>
      <c r="H1278"/>
      <c r="I1278"/>
      <c r="J1278"/>
    </row>
    <row r="1279" spans="1:10" s="2" customFormat="1">
      <c r="A1279" s="1"/>
      <c r="E1279"/>
      <c r="F1279"/>
      <c r="G1279"/>
      <c r="H1279"/>
      <c r="I1279"/>
      <c r="J1279"/>
    </row>
    <row r="1280" spans="1:10" s="2" customFormat="1">
      <c r="A1280" s="1"/>
      <c r="E1280"/>
      <c r="F1280"/>
      <c r="G1280"/>
      <c r="H1280"/>
      <c r="I1280"/>
      <c r="J1280"/>
    </row>
    <row r="1281" spans="1:10" s="2" customFormat="1">
      <c r="A1281" s="1"/>
      <c r="E1281"/>
      <c r="F1281"/>
      <c r="G1281"/>
      <c r="H1281"/>
      <c r="I1281"/>
      <c r="J1281"/>
    </row>
    <row r="1282" spans="1:10" s="2" customFormat="1">
      <c r="A1282" s="1"/>
      <c r="E1282"/>
      <c r="F1282"/>
      <c r="G1282"/>
      <c r="H1282"/>
      <c r="I1282"/>
      <c r="J1282"/>
    </row>
    <row r="1283" spans="1:10" s="2" customFormat="1">
      <c r="A1283" s="1"/>
      <c r="E1283"/>
      <c r="F1283"/>
      <c r="G1283"/>
      <c r="H1283"/>
      <c r="I1283"/>
      <c r="J1283"/>
    </row>
    <row r="1284" spans="1:10" s="2" customFormat="1">
      <c r="A1284" s="1"/>
      <c r="E1284"/>
      <c r="F1284"/>
      <c r="G1284"/>
      <c r="H1284"/>
      <c r="I1284"/>
      <c r="J1284"/>
    </row>
    <row r="1285" spans="1:10" s="2" customFormat="1">
      <c r="A1285" s="1"/>
      <c r="E1285"/>
      <c r="F1285"/>
      <c r="G1285"/>
      <c r="H1285"/>
      <c r="I1285"/>
      <c r="J1285"/>
    </row>
    <row r="1286" spans="1:10" s="2" customFormat="1">
      <c r="A1286" s="1"/>
      <c r="E1286"/>
      <c r="F1286"/>
      <c r="G1286"/>
      <c r="H1286"/>
      <c r="I1286"/>
      <c r="J1286"/>
    </row>
    <row r="1287" spans="1:10" s="2" customFormat="1">
      <c r="A1287" s="1"/>
      <c r="E1287"/>
      <c r="F1287"/>
      <c r="G1287"/>
      <c r="H1287"/>
      <c r="I1287"/>
      <c r="J1287"/>
    </row>
    <row r="1288" spans="1:10" s="2" customFormat="1">
      <c r="A1288" s="1"/>
      <c r="E1288"/>
      <c r="F1288"/>
      <c r="G1288"/>
      <c r="H1288"/>
      <c r="I1288"/>
      <c r="J1288"/>
    </row>
    <row r="1289" spans="1:10" s="2" customFormat="1">
      <c r="A1289" s="1"/>
      <c r="E1289"/>
      <c r="F1289"/>
      <c r="G1289"/>
      <c r="H1289"/>
      <c r="I1289"/>
      <c r="J1289"/>
    </row>
    <row r="1290" spans="1:10" s="2" customFormat="1">
      <c r="A1290" s="1"/>
      <c r="E1290"/>
      <c r="F1290"/>
      <c r="G1290"/>
      <c r="H1290"/>
      <c r="I1290"/>
      <c r="J1290"/>
    </row>
    <row r="1291" spans="1:10" s="2" customFormat="1">
      <c r="A1291" s="1"/>
      <c r="E1291"/>
      <c r="F1291"/>
      <c r="G1291"/>
      <c r="H1291"/>
      <c r="I1291"/>
      <c r="J1291"/>
    </row>
    <row r="1292" spans="1:10" s="2" customFormat="1">
      <c r="A1292" s="1"/>
      <c r="E1292"/>
      <c r="F1292"/>
      <c r="G1292"/>
      <c r="H1292"/>
      <c r="I1292"/>
      <c r="J1292"/>
    </row>
    <row r="1293" spans="1:10" s="2" customFormat="1">
      <c r="A1293" s="1"/>
      <c r="E1293"/>
      <c r="F1293"/>
      <c r="G1293"/>
      <c r="H1293"/>
      <c r="I1293"/>
      <c r="J1293"/>
    </row>
    <row r="1294" spans="1:10" s="2" customFormat="1">
      <c r="A1294" s="1"/>
      <c r="E1294"/>
      <c r="F1294"/>
      <c r="G1294"/>
      <c r="H1294"/>
      <c r="I1294"/>
      <c r="J1294"/>
    </row>
    <row r="1295" spans="1:10" s="2" customFormat="1">
      <c r="A1295" s="1"/>
      <c r="E1295"/>
      <c r="F1295"/>
      <c r="G1295"/>
      <c r="H1295"/>
      <c r="I1295"/>
      <c r="J1295"/>
    </row>
    <row r="1296" spans="1:10" s="2" customFormat="1">
      <c r="A1296" s="1"/>
      <c r="E1296"/>
      <c r="F1296"/>
      <c r="G1296"/>
      <c r="H1296"/>
      <c r="I1296"/>
      <c r="J1296"/>
    </row>
    <row r="1297" spans="1:10" s="2" customFormat="1">
      <c r="A1297" s="1"/>
      <c r="E1297"/>
      <c r="F1297"/>
      <c r="G1297"/>
      <c r="H1297"/>
      <c r="I1297"/>
      <c r="J1297"/>
    </row>
    <row r="1298" spans="1:10" s="2" customFormat="1">
      <c r="A1298" s="1"/>
      <c r="E1298"/>
      <c r="F1298"/>
      <c r="G1298"/>
      <c r="H1298"/>
      <c r="I1298"/>
      <c r="J1298"/>
    </row>
    <row r="1299" spans="1:10" s="2" customFormat="1">
      <c r="A1299" s="1"/>
      <c r="E1299"/>
      <c r="F1299"/>
      <c r="G1299"/>
      <c r="H1299"/>
      <c r="I1299"/>
      <c r="J1299"/>
    </row>
    <row r="1300" spans="1:10" s="2" customFormat="1">
      <c r="A1300" s="1"/>
      <c r="E1300"/>
      <c r="F1300"/>
      <c r="G1300"/>
      <c r="H1300"/>
      <c r="I1300"/>
      <c r="J1300"/>
    </row>
    <row r="1301" spans="1:10" s="2" customFormat="1">
      <c r="A1301" s="1"/>
      <c r="E1301"/>
      <c r="F1301"/>
      <c r="G1301"/>
      <c r="H1301"/>
      <c r="I1301"/>
      <c r="J1301"/>
    </row>
    <row r="1302" spans="1:10" s="2" customFormat="1">
      <c r="A1302" s="1"/>
      <c r="E1302"/>
      <c r="F1302"/>
      <c r="G1302"/>
      <c r="H1302"/>
      <c r="I1302"/>
      <c r="J1302"/>
    </row>
    <row r="1303" spans="1:10" s="2" customFormat="1">
      <c r="A1303" s="1"/>
      <c r="E1303"/>
      <c r="F1303"/>
      <c r="G1303"/>
      <c r="H1303"/>
      <c r="I1303"/>
      <c r="J1303"/>
    </row>
    <row r="1304" spans="1:10" s="2" customFormat="1">
      <c r="A1304" s="1"/>
      <c r="E1304"/>
      <c r="F1304"/>
      <c r="G1304"/>
      <c r="H1304"/>
      <c r="I1304"/>
      <c r="J1304"/>
    </row>
    <row r="1305" spans="1:10" s="2" customFormat="1">
      <c r="A1305" s="1"/>
      <c r="E1305"/>
      <c r="F1305"/>
      <c r="G1305"/>
      <c r="H1305"/>
      <c r="I1305"/>
      <c r="J1305"/>
    </row>
    <row r="1306" spans="1:10" s="2" customFormat="1">
      <c r="A1306" s="1"/>
      <c r="E1306"/>
      <c r="F1306"/>
      <c r="G1306"/>
      <c r="H1306"/>
      <c r="I1306"/>
      <c r="J1306"/>
    </row>
    <row r="1307" spans="1:10" s="2" customFormat="1">
      <c r="A1307" s="1"/>
      <c r="E1307"/>
      <c r="F1307"/>
      <c r="G1307"/>
      <c r="H1307"/>
      <c r="I1307"/>
      <c r="J1307"/>
    </row>
    <row r="1308" spans="1:10" s="2" customFormat="1">
      <c r="A1308" s="1"/>
      <c r="E1308"/>
      <c r="F1308"/>
      <c r="G1308"/>
      <c r="H1308"/>
      <c r="I1308"/>
      <c r="J1308"/>
    </row>
    <row r="1309" spans="1:10" s="2" customFormat="1">
      <c r="A1309" s="1"/>
      <c r="E1309"/>
      <c r="F1309"/>
      <c r="G1309"/>
      <c r="H1309"/>
      <c r="I1309"/>
      <c r="J1309"/>
    </row>
    <row r="1310" spans="1:10" s="2" customFormat="1">
      <c r="A1310" s="1"/>
      <c r="E1310"/>
      <c r="F1310"/>
      <c r="G1310"/>
      <c r="H1310"/>
      <c r="I1310"/>
      <c r="J1310"/>
    </row>
    <row r="1311" spans="1:10" s="2" customFormat="1">
      <c r="A1311" s="1"/>
      <c r="E1311"/>
      <c r="F1311"/>
      <c r="G1311"/>
      <c r="H1311"/>
      <c r="I1311"/>
      <c r="J1311"/>
    </row>
    <row r="1312" spans="1:10" s="2" customFormat="1">
      <c r="A1312" s="1"/>
      <c r="E1312"/>
      <c r="F1312"/>
      <c r="G1312"/>
      <c r="H1312"/>
      <c r="I1312"/>
      <c r="J1312"/>
    </row>
    <row r="1313" spans="1:10" s="2" customFormat="1">
      <c r="A1313" s="1"/>
      <c r="E1313"/>
      <c r="F1313"/>
      <c r="G1313"/>
      <c r="H1313"/>
      <c r="I1313"/>
      <c r="J1313"/>
    </row>
    <row r="1314" spans="1:10" s="2" customFormat="1">
      <c r="A1314" s="1"/>
      <c r="E1314"/>
      <c r="F1314"/>
      <c r="G1314"/>
      <c r="H1314"/>
      <c r="I1314"/>
      <c r="J1314"/>
    </row>
    <row r="1315" spans="1:10" s="2" customFormat="1">
      <c r="A1315" s="1"/>
      <c r="E1315"/>
      <c r="F1315"/>
      <c r="G1315"/>
      <c r="H1315"/>
      <c r="I1315"/>
      <c r="J1315"/>
    </row>
    <row r="1316" spans="1:10" s="2" customFormat="1">
      <c r="A1316" s="1"/>
      <c r="E1316"/>
      <c r="F1316"/>
      <c r="G1316"/>
      <c r="H1316"/>
      <c r="I1316"/>
      <c r="J1316"/>
    </row>
    <row r="1317" spans="1:10" s="2" customFormat="1">
      <c r="A1317" s="1"/>
      <c r="E1317"/>
      <c r="F1317"/>
      <c r="G1317"/>
      <c r="H1317"/>
      <c r="I1317"/>
      <c r="J1317"/>
    </row>
    <row r="1318" spans="1:10" s="2" customFormat="1">
      <c r="A1318" s="1"/>
      <c r="E1318"/>
      <c r="F1318"/>
      <c r="G1318"/>
      <c r="H1318"/>
      <c r="I1318"/>
      <c r="J1318"/>
    </row>
    <row r="1319" spans="1:10" s="2" customFormat="1">
      <c r="A1319" s="1"/>
      <c r="E1319"/>
      <c r="F1319"/>
      <c r="G1319"/>
      <c r="H1319"/>
      <c r="I1319"/>
      <c r="J1319"/>
    </row>
    <row r="1320" spans="1:10" s="2" customFormat="1">
      <c r="A1320" s="1"/>
      <c r="E1320"/>
      <c r="F1320"/>
      <c r="G1320"/>
      <c r="H1320"/>
      <c r="I1320"/>
      <c r="J1320"/>
    </row>
    <row r="1321" spans="1:10" s="2" customFormat="1">
      <c r="A1321" s="1"/>
      <c r="E1321"/>
      <c r="F1321"/>
      <c r="G1321"/>
      <c r="H1321"/>
      <c r="I1321"/>
      <c r="J1321"/>
    </row>
    <row r="1322" spans="1:10" s="2" customFormat="1">
      <c r="A1322" s="1"/>
      <c r="E1322"/>
      <c r="F1322"/>
      <c r="G1322"/>
      <c r="H1322"/>
      <c r="I1322"/>
      <c r="J1322"/>
    </row>
    <row r="1323" spans="1:10" s="2" customFormat="1">
      <c r="A1323" s="1"/>
      <c r="E1323"/>
      <c r="F1323"/>
      <c r="G1323"/>
      <c r="H1323"/>
      <c r="I1323"/>
      <c r="J1323"/>
    </row>
    <row r="1324" spans="1:10" s="2" customFormat="1">
      <c r="A1324" s="1"/>
      <c r="E1324"/>
      <c r="F1324"/>
      <c r="G1324"/>
      <c r="H1324"/>
      <c r="I1324"/>
      <c r="J1324"/>
    </row>
    <row r="1325" spans="1:10" s="2" customFormat="1">
      <c r="A1325" s="1"/>
      <c r="E1325"/>
      <c r="F1325"/>
      <c r="G1325"/>
      <c r="H1325"/>
      <c r="I1325"/>
      <c r="J1325"/>
    </row>
    <row r="1326" spans="1:10" s="2" customFormat="1">
      <c r="A1326" s="1"/>
      <c r="E1326"/>
      <c r="F1326"/>
      <c r="G1326"/>
      <c r="H1326"/>
      <c r="I1326"/>
      <c r="J1326"/>
    </row>
    <row r="1327" spans="1:10" s="2" customFormat="1">
      <c r="A1327" s="1"/>
      <c r="E1327"/>
      <c r="F1327"/>
      <c r="G1327"/>
      <c r="H1327"/>
      <c r="I1327"/>
      <c r="J1327"/>
    </row>
    <row r="1328" spans="1:10" s="2" customFormat="1">
      <c r="A1328" s="1"/>
      <c r="E1328"/>
      <c r="F1328"/>
      <c r="G1328"/>
      <c r="H1328"/>
      <c r="I1328"/>
      <c r="J1328"/>
    </row>
    <row r="1329" spans="1:10" s="2" customFormat="1">
      <c r="A1329" s="1"/>
      <c r="E1329"/>
      <c r="F1329"/>
      <c r="G1329"/>
      <c r="H1329"/>
      <c r="I1329"/>
      <c r="J1329"/>
    </row>
    <row r="1330" spans="1:10" s="2" customFormat="1">
      <c r="A1330" s="1"/>
      <c r="E1330"/>
      <c r="F1330"/>
      <c r="G1330"/>
      <c r="H1330"/>
      <c r="I1330"/>
      <c r="J1330"/>
    </row>
    <row r="1331" spans="1:10" s="2" customFormat="1">
      <c r="A1331" s="1"/>
      <c r="E1331"/>
      <c r="F1331"/>
      <c r="G1331"/>
      <c r="H1331"/>
      <c r="I1331"/>
      <c r="J1331"/>
    </row>
    <row r="1332" spans="1:10" s="2" customFormat="1">
      <c r="A1332" s="1"/>
      <c r="E1332"/>
      <c r="F1332"/>
      <c r="G1332"/>
      <c r="H1332"/>
      <c r="I1332"/>
      <c r="J1332"/>
    </row>
    <row r="1333" spans="1:10" s="2" customFormat="1">
      <c r="A1333" s="1"/>
      <c r="E1333"/>
      <c r="F1333"/>
      <c r="G1333"/>
      <c r="H1333"/>
      <c r="I1333"/>
      <c r="J1333"/>
    </row>
    <row r="1334" spans="1:10" s="2" customFormat="1">
      <c r="A1334" s="1"/>
      <c r="E1334"/>
      <c r="F1334"/>
      <c r="G1334"/>
      <c r="H1334"/>
      <c r="I1334"/>
      <c r="J1334"/>
    </row>
    <row r="1335" spans="1:10" s="2" customFormat="1">
      <c r="A1335" s="1"/>
      <c r="E1335"/>
      <c r="F1335"/>
      <c r="G1335"/>
      <c r="H1335"/>
      <c r="I1335"/>
      <c r="J1335"/>
    </row>
    <row r="1336" spans="1:10" s="2" customFormat="1">
      <c r="A1336" s="1"/>
      <c r="E1336"/>
      <c r="F1336"/>
      <c r="G1336"/>
      <c r="H1336"/>
      <c r="I1336"/>
      <c r="J1336"/>
    </row>
    <row r="1337" spans="1:10" s="2" customFormat="1">
      <c r="A1337" s="1"/>
      <c r="E1337"/>
      <c r="F1337"/>
      <c r="G1337"/>
      <c r="H1337"/>
      <c r="I1337"/>
      <c r="J1337"/>
    </row>
    <row r="1338" spans="1:10" s="2" customFormat="1">
      <c r="A1338" s="1"/>
      <c r="E1338"/>
      <c r="F1338"/>
      <c r="G1338"/>
      <c r="H1338"/>
      <c r="I1338"/>
      <c r="J1338"/>
    </row>
    <row r="1339" spans="1:10" s="2" customFormat="1">
      <c r="A1339" s="1"/>
      <c r="E1339"/>
      <c r="F1339"/>
      <c r="G1339"/>
      <c r="H1339"/>
      <c r="I1339"/>
      <c r="J1339"/>
    </row>
    <row r="1340" spans="1:10" s="2" customFormat="1">
      <c r="A1340" s="1"/>
      <c r="E1340"/>
      <c r="F1340"/>
      <c r="G1340"/>
      <c r="H1340"/>
      <c r="I1340"/>
      <c r="J1340"/>
    </row>
    <row r="1341" spans="1:10" s="2" customFormat="1">
      <c r="A1341" s="1"/>
      <c r="E1341"/>
      <c r="F1341"/>
      <c r="G1341"/>
      <c r="H1341"/>
      <c r="I1341"/>
      <c r="J1341"/>
    </row>
    <row r="1342" spans="1:10" s="2" customFormat="1">
      <c r="A1342" s="1"/>
      <c r="E1342"/>
      <c r="F1342"/>
      <c r="G1342"/>
      <c r="H1342"/>
      <c r="I1342"/>
      <c r="J1342"/>
    </row>
    <row r="1343" spans="1:10" s="2" customFormat="1">
      <c r="A1343" s="1"/>
      <c r="E1343"/>
      <c r="F1343"/>
      <c r="G1343"/>
      <c r="H1343"/>
      <c r="I1343"/>
      <c r="J1343"/>
    </row>
    <row r="1344" spans="1:10" s="2" customFormat="1">
      <c r="A1344" s="1"/>
      <c r="E1344"/>
      <c r="F1344"/>
      <c r="G1344"/>
      <c r="H1344"/>
      <c r="I1344"/>
      <c r="J1344"/>
    </row>
    <row r="1345" spans="1:10" s="2" customFormat="1">
      <c r="A1345" s="1"/>
      <c r="E1345"/>
      <c r="F1345"/>
      <c r="G1345"/>
      <c r="H1345"/>
      <c r="I1345"/>
      <c r="J1345"/>
    </row>
    <row r="1346" spans="1:10" s="2" customFormat="1">
      <c r="A1346" s="1"/>
      <c r="E1346"/>
      <c r="F1346"/>
      <c r="G1346"/>
      <c r="H1346"/>
      <c r="I1346"/>
      <c r="J1346"/>
    </row>
    <row r="1347" spans="1:10" s="2" customFormat="1">
      <c r="A1347" s="1"/>
      <c r="E1347"/>
      <c r="F1347"/>
      <c r="G1347"/>
      <c r="H1347"/>
      <c r="I1347"/>
      <c r="J1347"/>
    </row>
    <row r="1348" spans="1:10" s="2" customFormat="1">
      <c r="A1348" s="1"/>
      <c r="E1348"/>
      <c r="F1348"/>
      <c r="G1348"/>
      <c r="H1348"/>
      <c r="I1348"/>
      <c r="J1348"/>
    </row>
    <row r="1349" spans="1:10" s="2" customFormat="1">
      <c r="A1349" s="1"/>
      <c r="E1349"/>
      <c r="F1349"/>
      <c r="G1349"/>
      <c r="H1349"/>
      <c r="I1349"/>
      <c r="J1349"/>
    </row>
    <row r="1350" spans="1:10" s="2" customFormat="1">
      <c r="A1350" s="1"/>
      <c r="E1350"/>
      <c r="F1350"/>
      <c r="G1350"/>
      <c r="H1350"/>
      <c r="I1350"/>
      <c r="J1350"/>
    </row>
    <row r="1351" spans="1:10" s="2" customFormat="1">
      <c r="A1351" s="1"/>
      <c r="E1351"/>
      <c r="F1351"/>
      <c r="G1351"/>
      <c r="H1351"/>
      <c r="I1351"/>
      <c r="J1351"/>
    </row>
    <row r="1352" spans="1:10" s="2" customFormat="1">
      <c r="A1352" s="1"/>
      <c r="E1352"/>
      <c r="F1352"/>
      <c r="G1352"/>
      <c r="H1352"/>
      <c r="I1352"/>
      <c r="J1352"/>
    </row>
    <row r="1353" spans="1:10" s="2" customFormat="1">
      <c r="A1353" s="1"/>
      <c r="E1353"/>
      <c r="F1353"/>
      <c r="G1353"/>
      <c r="H1353"/>
      <c r="I1353"/>
      <c r="J1353"/>
    </row>
    <row r="1354" spans="1:10" s="2" customFormat="1">
      <c r="A1354" s="1"/>
      <c r="E1354"/>
      <c r="F1354"/>
      <c r="G1354"/>
      <c r="H1354"/>
      <c r="I1354"/>
      <c r="J1354"/>
    </row>
    <row r="1355" spans="1:10" s="2" customFormat="1">
      <c r="A1355" s="1"/>
      <c r="E1355"/>
      <c r="F1355"/>
      <c r="G1355"/>
      <c r="H1355"/>
      <c r="I1355"/>
      <c r="J1355"/>
    </row>
    <row r="1356" spans="1:10" s="2" customFormat="1">
      <c r="A1356" s="1"/>
      <c r="E1356"/>
      <c r="F1356"/>
      <c r="G1356"/>
      <c r="H1356"/>
      <c r="I1356"/>
      <c r="J1356"/>
    </row>
    <row r="1357" spans="1:10" s="2" customFormat="1">
      <c r="A1357" s="1"/>
      <c r="E1357"/>
      <c r="F1357"/>
      <c r="G1357"/>
      <c r="H1357"/>
      <c r="I1357"/>
      <c r="J1357"/>
    </row>
    <row r="1358" spans="1:10" s="2" customFormat="1">
      <c r="A1358" s="1"/>
      <c r="E1358"/>
      <c r="F1358"/>
      <c r="G1358"/>
      <c r="H1358"/>
      <c r="I1358"/>
      <c r="J1358"/>
    </row>
    <row r="1359" spans="1:10" s="2" customFormat="1">
      <c r="A1359" s="1"/>
      <c r="E1359"/>
      <c r="F1359"/>
      <c r="G1359"/>
      <c r="H1359"/>
      <c r="I1359"/>
      <c r="J1359"/>
    </row>
    <row r="1360" spans="1:10" s="2" customFormat="1">
      <c r="A1360" s="1"/>
      <c r="E1360"/>
      <c r="F1360"/>
      <c r="G1360"/>
      <c r="H1360"/>
      <c r="I1360"/>
      <c r="J1360"/>
    </row>
    <row r="1361" spans="1:10" s="2" customFormat="1">
      <c r="A1361" s="1"/>
      <c r="E1361"/>
      <c r="F1361"/>
      <c r="G1361"/>
      <c r="H1361"/>
      <c r="I1361"/>
      <c r="J1361"/>
    </row>
    <row r="1362" spans="1:10" s="2" customFormat="1">
      <c r="A1362" s="1"/>
      <c r="E1362"/>
      <c r="F1362"/>
      <c r="G1362"/>
      <c r="H1362"/>
      <c r="I1362"/>
      <c r="J1362"/>
    </row>
    <row r="1363" spans="1:10" s="2" customFormat="1">
      <c r="A1363" s="1"/>
      <c r="E1363"/>
      <c r="F1363"/>
      <c r="G1363"/>
      <c r="H1363"/>
      <c r="I1363"/>
      <c r="J1363"/>
    </row>
    <row r="1364" spans="1:10" s="2" customFormat="1">
      <c r="A1364" s="1"/>
      <c r="E1364"/>
      <c r="F1364"/>
      <c r="G1364"/>
      <c r="H1364"/>
      <c r="I1364"/>
      <c r="J1364"/>
    </row>
    <row r="1365" spans="1:10" s="2" customFormat="1">
      <c r="A1365" s="1"/>
      <c r="E1365"/>
      <c r="F1365"/>
      <c r="G1365"/>
      <c r="H1365"/>
      <c r="I1365"/>
      <c r="J1365"/>
    </row>
    <row r="1366" spans="1:10" s="2" customFormat="1">
      <c r="A1366" s="1"/>
      <c r="E1366"/>
      <c r="F1366"/>
      <c r="G1366"/>
      <c r="H1366"/>
      <c r="I1366"/>
      <c r="J1366"/>
    </row>
    <row r="1367" spans="1:10" s="2" customFormat="1">
      <c r="A1367" s="1"/>
      <c r="E1367"/>
      <c r="F1367"/>
      <c r="G1367"/>
      <c r="H1367"/>
      <c r="I1367"/>
      <c r="J1367"/>
    </row>
    <row r="1368" spans="1:10" s="2" customFormat="1">
      <c r="A1368" s="1"/>
      <c r="E1368"/>
      <c r="F1368"/>
      <c r="G1368"/>
      <c r="H1368"/>
      <c r="I1368"/>
      <c r="J1368"/>
    </row>
    <row r="1369" spans="1:10" s="2" customFormat="1">
      <c r="A1369" s="1"/>
      <c r="E1369"/>
      <c r="F1369"/>
      <c r="G1369"/>
      <c r="H1369"/>
      <c r="I1369"/>
      <c r="J1369"/>
    </row>
    <row r="1370" spans="1:10" s="2" customFormat="1">
      <c r="A1370" s="1"/>
      <c r="E1370"/>
      <c r="F1370"/>
      <c r="G1370"/>
      <c r="H1370"/>
      <c r="I1370"/>
      <c r="J1370"/>
    </row>
    <row r="1371" spans="1:10" s="2" customFormat="1">
      <c r="A1371" s="1"/>
      <c r="E1371"/>
      <c r="F1371"/>
      <c r="G1371"/>
      <c r="H1371"/>
      <c r="I1371"/>
      <c r="J1371"/>
    </row>
    <row r="1372" spans="1:10" s="2" customFormat="1">
      <c r="A1372" s="1"/>
      <c r="E1372"/>
      <c r="F1372"/>
      <c r="G1372"/>
      <c r="H1372"/>
      <c r="I1372"/>
      <c r="J1372"/>
    </row>
    <row r="1373" spans="1:10" s="2" customFormat="1">
      <c r="A1373" s="1"/>
      <c r="E1373"/>
      <c r="F1373"/>
      <c r="G1373"/>
      <c r="H1373"/>
      <c r="I1373"/>
      <c r="J1373"/>
    </row>
    <row r="1374" spans="1:10" s="2" customFormat="1">
      <c r="A1374" s="1"/>
      <c r="E1374"/>
      <c r="F1374"/>
      <c r="G1374"/>
      <c r="H1374"/>
      <c r="I1374"/>
      <c r="J1374"/>
    </row>
    <row r="1375" spans="1:10" s="2" customFormat="1">
      <c r="A1375" s="1"/>
      <c r="E1375"/>
      <c r="F1375"/>
      <c r="G1375"/>
      <c r="H1375"/>
      <c r="I1375"/>
      <c r="J1375"/>
    </row>
    <row r="1376" spans="1:10" s="2" customFormat="1">
      <c r="A1376" s="1"/>
      <c r="E1376"/>
      <c r="F1376"/>
      <c r="G1376"/>
      <c r="H1376"/>
      <c r="I1376"/>
      <c r="J1376"/>
    </row>
    <row r="1377" spans="1:10" s="2" customFormat="1">
      <c r="A1377" s="1"/>
      <c r="E1377"/>
      <c r="F1377"/>
      <c r="G1377"/>
      <c r="H1377"/>
      <c r="I1377"/>
      <c r="J1377"/>
    </row>
    <row r="1378" spans="1:10" s="2" customFormat="1">
      <c r="A1378" s="1"/>
      <c r="E1378"/>
      <c r="F1378"/>
      <c r="G1378"/>
      <c r="H1378"/>
      <c r="I1378"/>
      <c r="J1378"/>
    </row>
    <row r="1379" spans="1:10" s="2" customFormat="1">
      <c r="A1379" s="1"/>
      <c r="E1379"/>
      <c r="F1379"/>
      <c r="G1379"/>
      <c r="H1379"/>
      <c r="I1379"/>
      <c r="J1379"/>
    </row>
    <row r="1380" spans="1:10" s="2" customFormat="1">
      <c r="A1380" s="1"/>
      <c r="E1380"/>
      <c r="F1380"/>
      <c r="G1380"/>
      <c r="H1380"/>
      <c r="I1380"/>
      <c r="J1380"/>
    </row>
    <row r="1381" spans="1:10" s="2" customFormat="1">
      <c r="A1381" s="1"/>
      <c r="E1381"/>
      <c r="F1381"/>
      <c r="G1381"/>
      <c r="H1381"/>
      <c r="I1381"/>
      <c r="J1381"/>
    </row>
    <row r="1382" spans="1:10" s="2" customFormat="1">
      <c r="A1382" s="1"/>
      <c r="E1382"/>
      <c r="F1382"/>
      <c r="G1382"/>
      <c r="H1382"/>
      <c r="I1382"/>
      <c r="J1382"/>
    </row>
    <row r="1383" spans="1:10" s="2" customFormat="1">
      <c r="A1383" s="1"/>
      <c r="E1383"/>
      <c r="F1383"/>
      <c r="G1383"/>
      <c r="H1383"/>
      <c r="I1383"/>
      <c r="J1383"/>
    </row>
    <row r="1384" spans="1:10" s="2" customFormat="1">
      <c r="A1384" s="1"/>
      <c r="E1384"/>
      <c r="F1384"/>
      <c r="G1384"/>
      <c r="H1384"/>
      <c r="I1384"/>
      <c r="J1384"/>
    </row>
    <row r="1385" spans="1:10" s="2" customFormat="1">
      <c r="A1385" s="1"/>
      <c r="E1385"/>
      <c r="F1385"/>
      <c r="G1385"/>
      <c r="H1385"/>
      <c r="I1385"/>
      <c r="J1385"/>
    </row>
    <row r="1386" spans="1:10" s="2" customFormat="1">
      <c r="A1386" s="1"/>
      <c r="E1386"/>
      <c r="F1386"/>
      <c r="G1386"/>
      <c r="H1386"/>
      <c r="I1386"/>
      <c r="J1386"/>
    </row>
    <row r="1387" spans="1:10" s="2" customFormat="1">
      <c r="A1387" s="1"/>
      <c r="E1387"/>
      <c r="F1387"/>
      <c r="G1387"/>
      <c r="H1387"/>
      <c r="I1387"/>
      <c r="J1387"/>
    </row>
    <row r="1388" spans="1:10" s="2" customFormat="1">
      <c r="A1388" s="1"/>
      <c r="E1388"/>
      <c r="F1388"/>
      <c r="G1388"/>
      <c r="H1388"/>
      <c r="I1388"/>
      <c r="J1388"/>
    </row>
    <row r="1389" spans="1:10" s="2" customFormat="1">
      <c r="A1389" s="1"/>
      <c r="E1389"/>
      <c r="F1389"/>
      <c r="G1389"/>
      <c r="H1389"/>
      <c r="I1389"/>
      <c r="J1389"/>
    </row>
    <row r="1390" spans="1:10" s="2" customFormat="1">
      <c r="A1390" s="1"/>
      <c r="E1390"/>
      <c r="F1390"/>
      <c r="G1390"/>
      <c r="H1390"/>
      <c r="I1390"/>
      <c r="J1390"/>
    </row>
    <row r="1391" spans="1:10" s="2" customFormat="1">
      <c r="A1391" s="1"/>
      <c r="E1391"/>
      <c r="F1391"/>
      <c r="G1391"/>
      <c r="H1391"/>
      <c r="I1391"/>
      <c r="J1391"/>
    </row>
    <row r="1392" spans="1:10" s="2" customFormat="1">
      <c r="A1392" s="1"/>
      <c r="E1392"/>
      <c r="F1392"/>
      <c r="G1392"/>
      <c r="H1392"/>
      <c r="I1392"/>
      <c r="J1392"/>
    </row>
    <row r="1393" spans="1:10" s="2" customFormat="1">
      <c r="A1393" s="1"/>
      <c r="E1393"/>
      <c r="F1393"/>
      <c r="G1393"/>
      <c r="H1393"/>
      <c r="I1393"/>
      <c r="J1393"/>
    </row>
    <row r="1394" spans="1:10" s="2" customFormat="1">
      <c r="A1394" s="1"/>
      <c r="E1394"/>
      <c r="F1394"/>
      <c r="G1394"/>
      <c r="H1394"/>
      <c r="I1394"/>
      <c r="J1394"/>
    </row>
    <row r="1395" spans="1:10" s="2" customFormat="1">
      <c r="A1395" s="1"/>
      <c r="E1395"/>
      <c r="F1395"/>
      <c r="G1395"/>
      <c r="H1395"/>
      <c r="I1395"/>
      <c r="J1395"/>
    </row>
    <row r="1396" spans="1:10" s="2" customFormat="1">
      <c r="A1396" s="1"/>
      <c r="E1396"/>
      <c r="F1396"/>
      <c r="G1396"/>
      <c r="H1396"/>
      <c r="I1396"/>
      <c r="J1396"/>
    </row>
    <row r="1397" spans="1:10" s="2" customFormat="1">
      <c r="A1397" s="1"/>
      <c r="E1397"/>
      <c r="F1397"/>
      <c r="G1397"/>
      <c r="H1397"/>
      <c r="I1397"/>
      <c r="J1397"/>
    </row>
    <row r="1398" spans="1:10" s="2" customFormat="1">
      <c r="A1398" s="1"/>
      <c r="E1398"/>
      <c r="F1398"/>
      <c r="G1398"/>
      <c r="H1398"/>
      <c r="I1398"/>
      <c r="J1398"/>
    </row>
    <row r="1399" spans="1:10" s="2" customFormat="1">
      <c r="A1399" s="1"/>
      <c r="E1399"/>
      <c r="F1399"/>
      <c r="G1399"/>
      <c r="H1399"/>
      <c r="I1399"/>
      <c r="J1399"/>
    </row>
    <row r="1400" spans="1:10" s="2" customFormat="1">
      <c r="A1400" s="1"/>
      <c r="E1400"/>
      <c r="F1400"/>
      <c r="G1400"/>
      <c r="H1400"/>
      <c r="I1400"/>
      <c r="J1400"/>
    </row>
    <row r="1401" spans="1:10" s="2" customFormat="1">
      <c r="A1401" s="1"/>
      <c r="E1401"/>
      <c r="F1401"/>
      <c r="G1401"/>
      <c r="H1401"/>
      <c r="I1401"/>
      <c r="J1401"/>
    </row>
    <row r="1402" spans="1:10" s="2" customFormat="1">
      <c r="A1402" s="1"/>
      <c r="E1402"/>
      <c r="F1402"/>
      <c r="G1402"/>
      <c r="H1402"/>
      <c r="I1402"/>
      <c r="J1402"/>
    </row>
    <row r="1403" spans="1:10" s="2" customFormat="1">
      <c r="A1403" s="1"/>
      <c r="E1403"/>
      <c r="F1403"/>
      <c r="G1403"/>
      <c r="H1403"/>
      <c r="I1403"/>
      <c r="J1403"/>
    </row>
    <row r="1404" spans="1:10" s="2" customFormat="1">
      <c r="A1404" s="1"/>
      <c r="E1404"/>
      <c r="F1404"/>
      <c r="G1404"/>
      <c r="H1404"/>
      <c r="I1404"/>
      <c r="J1404"/>
    </row>
    <row r="1405" spans="1:10" s="2" customFormat="1">
      <c r="A1405" s="1"/>
      <c r="E1405"/>
      <c r="F1405"/>
      <c r="G1405"/>
      <c r="H1405"/>
      <c r="I1405"/>
      <c r="J1405"/>
    </row>
    <row r="1406" spans="1:10" s="2" customFormat="1">
      <c r="A1406" s="1"/>
      <c r="E1406"/>
      <c r="F1406"/>
      <c r="G1406"/>
      <c r="H1406"/>
      <c r="I1406"/>
      <c r="J1406"/>
    </row>
    <row r="1407" spans="1:10" s="2" customFormat="1">
      <c r="A1407" s="1"/>
      <c r="E1407"/>
      <c r="F1407"/>
      <c r="G1407"/>
      <c r="H1407"/>
      <c r="I1407"/>
      <c r="J1407"/>
    </row>
    <row r="1408" spans="1:10" s="2" customFormat="1">
      <c r="A1408" s="1"/>
      <c r="E1408"/>
      <c r="F1408"/>
      <c r="G1408"/>
      <c r="H1408"/>
      <c r="I1408"/>
      <c r="J1408"/>
    </row>
    <row r="1409" spans="1:10" s="2" customFormat="1">
      <c r="A1409" s="1"/>
      <c r="E1409"/>
      <c r="F1409"/>
      <c r="G1409"/>
      <c r="H1409"/>
      <c r="I1409"/>
      <c r="J1409"/>
    </row>
    <row r="1410" spans="1:10" s="2" customFormat="1">
      <c r="A1410" s="1"/>
      <c r="E1410"/>
      <c r="F1410"/>
      <c r="G1410"/>
      <c r="H1410"/>
      <c r="I1410"/>
      <c r="J1410"/>
    </row>
    <row r="1411" spans="1:10" s="2" customFormat="1">
      <c r="A1411" s="1"/>
      <c r="E1411"/>
      <c r="F1411"/>
      <c r="G1411"/>
      <c r="H1411"/>
      <c r="I1411"/>
      <c r="J1411"/>
    </row>
    <row r="1412" spans="1:10" s="2" customFormat="1">
      <c r="A1412" s="1"/>
      <c r="E1412"/>
      <c r="F1412"/>
      <c r="G1412"/>
      <c r="H1412"/>
      <c r="I1412"/>
      <c r="J1412"/>
    </row>
    <row r="1413" spans="1:10" s="2" customFormat="1">
      <c r="A1413" s="1"/>
      <c r="E1413"/>
      <c r="F1413"/>
      <c r="G1413"/>
      <c r="H1413"/>
      <c r="I1413"/>
      <c r="J1413"/>
    </row>
    <row r="1414" spans="1:10" s="2" customFormat="1">
      <c r="A1414" s="1"/>
      <c r="E1414"/>
      <c r="F1414"/>
      <c r="G1414"/>
      <c r="H1414"/>
      <c r="I1414"/>
      <c r="J1414"/>
    </row>
    <row r="1415" spans="1:10" s="2" customFormat="1">
      <c r="A1415" s="1"/>
      <c r="E1415"/>
      <c r="F1415"/>
      <c r="G1415"/>
      <c r="H1415"/>
      <c r="I1415"/>
      <c r="J1415"/>
    </row>
    <row r="1416" spans="1:10" s="2" customFormat="1">
      <c r="A1416" s="1"/>
      <c r="E1416"/>
      <c r="F1416"/>
      <c r="G1416"/>
      <c r="H1416"/>
      <c r="I1416"/>
      <c r="J1416"/>
    </row>
    <row r="1417" spans="1:10" s="2" customFormat="1">
      <c r="A1417" s="1"/>
      <c r="E1417"/>
      <c r="F1417"/>
      <c r="G1417"/>
      <c r="H1417"/>
      <c r="I1417"/>
      <c r="J1417"/>
    </row>
    <row r="1418" spans="1:10" s="2" customFormat="1">
      <c r="A1418" s="1"/>
      <c r="E1418"/>
      <c r="F1418"/>
      <c r="G1418"/>
      <c r="H1418"/>
      <c r="I1418"/>
      <c r="J1418"/>
    </row>
    <row r="1419" spans="1:10" s="2" customFormat="1">
      <c r="A1419" s="1"/>
      <c r="E1419"/>
      <c r="F1419"/>
      <c r="G1419"/>
      <c r="H1419"/>
      <c r="I1419"/>
      <c r="J1419"/>
    </row>
    <row r="1420" spans="1:10" s="2" customFormat="1">
      <c r="A1420" s="1"/>
      <c r="E1420"/>
      <c r="F1420"/>
      <c r="G1420"/>
      <c r="H1420"/>
      <c r="I1420"/>
      <c r="J1420"/>
    </row>
    <row r="1421" spans="1:10" s="2" customFormat="1">
      <c r="A1421" s="1"/>
      <c r="E1421"/>
      <c r="F1421"/>
      <c r="G1421"/>
      <c r="H1421"/>
      <c r="I1421"/>
      <c r="J1421"/>
    </row>
    <row r="1422" spans="1:10" s="2" customFormat="1">
      <c r="A1422" s="1"/>
      <c r="E1422"/>
      <c r="F1422"/>
      <c r="G1422"/>
      <c r="H1422"/>
      <c r="I1422"/>
      <c r="J1422"/>
    </row>
    <row r="1423" spans="1:10" s="2" customFormat="1">
      <c r="A1423" s="1"/>
      <c r="E1423"/>
      <c r="F1423"/>
      <c r="G1423"/>
      <c r="H1423"/>
      <c r="I1423"/>
      <c r="J1423"/>
    </row>
    <row r="1424" spans="1:10" s="2" customFormat="1">
      <c r="A1424" s="1"/>
      <c r="E1424"/>
      <c r="F1424"/>
      <c r="G1424"/>
      <c r="H1424"/>
      <c r="I1424"/>
      <c r="J1424"/>
    </row>
    <row r="1425" spans="1:10" s="2" customFormat="1">
      <c r="A1425" s="1"/>
      <c r="E1425"/>
      <c r="F1425"/>
      <c r="G1425"/>
      <c r="H1425"/>
      <c r="I1425"/>
      <c r="J1425"/>
    </row>
    <row r="1426" spans="1:10" s="2" customFormat="1">
      <c r="A1426" s="1"/>
      <c r="E1426"/>
      <c r="F1426"/>
      <c r="G1426"/>
      <c r="H1426"/>
      <c r="I1426"/>
      <c r="J1426"/>
    </row>
    <row r="1427" spans="1:10" s="2" customFormat="1">
      <c r="A1427" s="1"/>
      <c r="E1427"/>
      <c r="F1427"/>
      <c r="G1427"/>
      <c r="H1427"/>
      <c r="I1427"/>
      <c r="J1427"/>
    </row>
    <row r="1428" spans="1:10" s="2" customFormat="1">
      <c r="A1428" s="1"/>
      <c r="E1428"/>
      <c r="F1428"/>
      <c r="G1428"/>
      <c r="H1428"/>
      <c r="I1428"/>
      <c r="J1428"/>
    </row>
    <row r="1429" spans="1:10" s="2" customFormat="1">
      <c r="A1429" s="1"/>
      <c r="E1429"/>
      <c r="F1429"/>
      <c r="G1429"/>
      <c r="H1429"/>
      <c r="I1429"/>
      <c r="J1429"/>
    </row>
    <row r="1430" spans="1:10" s="2" customFormat="1">
      <c r="A1430" s="1"/>
      <c r="E1430"/>
      <c r="F1430"/>
      <c r="G1430"/>
      <c r="H1430"/>
      <c r="I1430"/>
      <c r="J1430"/>
    </row>
    <row r="1431" spans="1:10" s="2" customFormat="1">
      <c r="A1431" s="1"/>
      <c r="E1431"/>
      <c r="F1431"/>
      <c r="G1431"/>
      <c r="H1431"/>
      <c r="I1431"/>
      <c r="J1431"/>
    </row>
    <row r="1432" spans="1:10" s="2" customFormat="1">
      <c r="A1432" s="1"/>
      <c r="E1432"/>
      <c r="F1432"/>
      <c r="G1432"/>
      <c r="H1432"/>
      <c r="I1432"/>
      <c r="J1432"/>
    </row>
    <row r="1433" spans="1:10" s="2" customFormat="1">
      <c r="A1433" s="1"/>
      <c r="E1433"/>
      <c r="F1433"/>
      <c r="G1433"/>
      <c r="H1433"/>
      <c r="I1433"/>
      <c r="J1433"/>
    </row>
    <row r="1434" spans="1:10" s="2" customFormat="1">
      <c r="A1434" s="1"/>
      <c r="E1434"/>
      <c r="F1434"/>
      <c r="G1434"/>
      <c r="H1434"/>
      <c r="I1434"/>
      <c r="J1434"/>
    </row>
    <row r="1435" spans="1:10" s="2" customFormat="1">
      <c r="A1435" s="1"/>
      <c r="E1435"/>
      <c r="F1435"/>
      <c r="G1435"/>
      <c r="H1435"/>
      <c r="I1435"/>
      <c r="J1435"/>
    </row>
    <row r="1436" spans="1:10" s="2" customFormat="1">
      <c r="A1436" s="1"/>
      <c r="E1436"/>
      <c r="F1436"/>
      <c r="G1436"/>
      <c r="H1436"/>
      <c r="I1436"/>
      <c r="J1436"/>
    </row>
    <row r="1437" spans="1:10" s="2" customFormat="1">
      <c r="A1437" s="1"/>
      <c r="E1437"/>
      <c r="F1437"/>
      <c r="G1437"/>
      <c r="H1437"/>
      <c r="I1437"/>
      <c r="J1437"/>
    </row>
    <row r="1438" spans="1:10" s="2" customFormat="1">
      <c r="A1438" s="1"/>
      <c r="E1438"/>
      <c r="F1438"/>
      <c r="G1438"/>
      <c r="H1438"/>
      <c r="I1438"/>
      <c r="J1438"/>
    </row>
    <row r="1439" spans="1:10" s="2" customFormat="1">
      <c r="A1439" s="1"/>
      <c r="E1439"/>
      <c r="F1439"/>
      <c r="G1439"/>
      <c r="H1439"/>
      <c r="I1439"/>
      <c r="J1439"/>
    </row>
    <row r="1440" spans="1:10" s="2" customFormat="1">
      <c r="A1440" s="1"/>
      <c r="E1440"/>
      <c r="F1440"/>
      <c r="G1440"/>
      <c r="H1440"/>
      <c r="I1440"/>
      <c r="J1440"/>
    </row>
    <row r="1441" spans="1:10" s="2" customFormat="1">
      <c r="A1441" s="1"/>
      <c r="E1441"/>
      <c r="F1441"/>
      <c r="G1441"/>
      <c r="H1441"/>
      <c r="I1441"/>
      <c r="J1441"/>
    </row>
    <row r="1442" spans="1:10" s="2" customFormat="1">
      <c r="A1442" s="1"/>
      <c r="E1442"/>
      <c r="F1442"/>
      <c r="G1442"/>
      <c r="H1442"/>
      <c r="I1442"/>
      <c r="J1442"/>
    </row>
    <row r="1443" spans="1:10" s="2" customFormat="1">
      <c r="A1443" s="1"/>
      <c r="E1443"/>
      <c r="F1443"/>
      <c r="G1443"/>
      <c r="H1443"/>
      <c r="I1443"/>
      <c r="J1443"/>
    </row>
    <row r="1444" spans="1:10" s="2" customFormat="1">
      <c r="A1444" s="1"/>
      <c r="E1444"/>
      <c r="F1444"/>
      <c r="G1444"/>
      <c r="H1444"/>
      <c r="I1444"/>
      <c r="J1444"/>
    </row>
    <row r="1445" spans="1:10" s="2" customFormat="1">
      <c r="A1445" s="1"/>
      <c r="E1445"/>
      <c r="F1445"/>
      <c r="G1445"/>
      <c r="H1445"/>
      <c r="I1445"/>
      <c r="J1445"/>
    </row>
    <row r="1446" spans="1:10" s="2" customFormat="1">
      <c r="A1446" s="1"/>
      <c r="E1446"/>
      <c r="F1446"/>
      <c r="G1446"/>
      <c r="H1446"/>
      <c r="I1446"/>
      <c r="J1446"/>
    </row>
    <row r="1447" spans="1:10" s="2" customFormat="1">
      <c r="A1447" s="1"/>
      <c r="E1447"/>
      <c r="F1447"/>
      <c r="G1447"/>
      <c r="H1447"/>
      <c r="I1447"/>
      <c r="J1447"/>
    </row>
    <row r="1448" spans="1:10" s="2" customFormat="1">
      <c r="A1448" s="1"/>
      <c r="E1448"/>
      <c r="F1448"/>
      <c r="G1448"/>
      <c r="H1448"/>
      <c r="I1448"/>
      <c r="J1448"/>
    </row>
    <row r="1449" spans="1:10" s="2" customFormat="1">
      <c r="A1449" s="1"/>
      <c r="E1449"/>
      <c r="F1449"/>
      <c r="G1449"/>
      <c r="H1449"/>
      <c r="I1449"/>
      <c r="J1449"/>
    </row>
    <row r="1450" spans="1:10" s="2" customFormat="1">
      <c r="A1450" s="1"/>
      <c r="E1450"/>
      <c r="F1450"/>
      <c r="G1450"/>
      <c r="H1450"/>
      <c r="I1450"/>
      <c r="J1450"/>
    </row>
    <row r="1451" spans="1:10" s="2" customFormat="1">
      <c r="A1451" s="1"/>
      <c r="E1451"/>
      <c r="F1451"/>
      <c r="G1451"/>
      <c r="H1451"/>
      <c r="I1451"/>
      <c r="J1451"/>
    </row>
    <row r="1452" spans="1:10" s="2" customFormat="1">
      <c r="A1452" s="1"/>
      <c r="E1452"/>
      <c r="F1452"/>
      <c r="G1452"/>
      <c r="H1452"/>
      <c r="I1452"/>
      <c r="J1452"/>
    </row>
    <row r="1453" spans="1:10" s="2" customFormat="1">
      <c r="A1453" s="1"/>
      <c r="E1453"/>
      <c r="F1453"/>
      <c r="G1453"/>
      <c r="H1453"/>
      <c r="I1453"/>
      <c r="J1453"/>
    </row>
    <row r="1454" spans="1:10" s="2" customFormat="1">
      <c r="A1454" s="1"/>
      <c r="E1454"/>
      <c r="F1454"/>
      <c r="G1454"/>
      <c r="H1454"/>
      <c r="I1454"/>
      <c r="J1454"/>
    </row>
    <row r="1455" spans="1:10" s="2" customFormat="1">
      <c r="A1455" s="1"/>
      <c r="E1455"/>
      <c r="F1455"/>
      <c r="G1455"/>
      <c r="H1455"/>
      <c r="I1455"/>
      <c r="J1455"/>
    </row>
    <row r="1456" spans="1:10" s="2" customFormat="1">
      <c r="A1456" s="1"/>
      <c r="E1456"/>
      <c r="F1456"/>
      <c r="G1456"/>
      <c r="H1456"/>
      <c r="I1456"/>
      <c r="J1456"/>
    </row>
    <row r="1457" spans="1:10" s="2" customFormat="1">
      <c r="A1457" s="1"/>
      <c r="E1457"/>
      <c r="F1457"/>
      <c r="G1457"/>
      <c r="H1457"/>
      <c r="I1457"/>
      <c r="J1457"/>
    </row>
    <row r="1458" spans="1:10" s="2" customFormat="1">
      <c r="A1458" s="1"/>
      <c r="E1458"/>
      <c r="F1458"/>
      <c r="G1458"/>
      <c r="H1458"/>
      <c r="I1458"/>
      <c r="J1458"/>
    </row>
    <row r="1459" spans="1:10" s="2" customFormat="1">
      <c r="A1459" s="1"/>
      <c r="E1459"/>
      <c r="F1459"/>
      <c r="G1459"/>
      <c r="H1459"/>
      <c r="I1459"/>
      <c r="J1459"/>
    </row>
    <row r="1460" spans="1:10" s="2" customFormat="1">
      <c r="A1460" s="1"/>
      <c r="E1460"/>
      <c r="F1460"/>
      <c r="G1460"/>
      <c r="H1460"/>
      <c r="I1460"/>
      <c r="J1460"/>
    </row>
    <row r="1461" spans="1:10" s="2" customFormat="1">
      <c r="A1461" s="1"/>
      <c r="E1461"/>
      <c r="F1461"/>
      <c r="G1461"/>
      <c r="H1461"/>
      <c r="I1461"/>
      <c r="J1461"/>
    </row>
    <row r="1462" spans="1:10" s="2" customFormat="1">
      <c r="A1462" s="1"/>
      <c r="E1462"/>
      <c r="F1462"/>
      <c r="G1462"/>
      <c r="H1462"/>
      <c r="I1462"/>
      <c r="J1462"/>
    </row>
    <row r="1463" spans="1:10" s="2" customFormat="1">
      <c r="A1463" s="1"/>
      <c r="E1463"/>
      <c r="F1463"/>
      <c r="G1463"/>
      <c r="H1463"/>
      <c r="I1463"/>
      <c r="J1463"/>
    </row>
    <row r="1464" spans="1:10" s="2" customFormat="1">
      <c r="A1464" s="1"/>
      <c r="E1464"/>
      <c r="F1464"/>
      <c r="G1464"/>
      <c r="H1464"/>
      <c r="I1464"/>
      <c r="J1464"/>
    </row>
    <row r="1465" spans="1:10" s="2" customFormat="1">
      <c r="A1465" s="1"/>
      <c r="E1465"/>
      <c r="F1465"/>
      <c r="G1465"/>
      <c r="H1465"/>
      <c r="I1465"/>
      <c r="J1465"/>
    </row>
    <row r="1466" spans="1:10" s="2" customFormat="1">
      <c r="A1466" s="1"/>
      <c r="E1466"/>
      <c r="F1466"/>
      <c r="G1466"/>
      <c r="H1466"/>
      <c r="I1466"/>
      <c r="J1466"/>
    </row>
    <row r="1467" spans="1:10" s="2" customFormat="1">
      <c r="A1467" s="1"/>
      <c r="E1467"/>
      <c r="F1467"/>
      <c r="G1467"/>
      <c r="H1467"/>
      <c r="I1467"/>
      <c r="J1467"/>
    </row>
    <row r="1468" spans="1:10" s="2" customFormat="1">
      <c r="A1468" s="1"/>
      <c r="E1468"/>
      <c r="F1468"/>
      <c r="G1468"/>
      <c r="H1468"/>
      <c r="I1468"/>
      <c r="J1468"/>
    </row>
    <row r="1469" spans="1:10" s="2" customFormat="1">
      <c r="A1469" s="1"/>
      <c r="E1469"/>
      <c r="F1469"/>
      <c r="G1469"/>
      <c r="H1469"/>
      <c r="I1469"/>
      <c r="J1469"/>
    </row>
    <row r="1470" spans="1:10" s="2" customFormat="1">
      <c r="A1470" s="1"/>
      <c r="E1470"/>
      <c r="F1470"/>
      <c r="G1470"/>
      <c r="H1470"/>
      <c r="I1470"/>
      <c r="J1470"/>
    </row>
    <row r="1471" spans="1:10" s="2" customFormat="1">
      <c r="A1471" s="1"/>
      <c r="E1471"/>
      <c r="F1471"/>
      <c r="G1471"/>
      <c r="H1471"/>
      <c r="I1471"/>
      <c r="J1471"/>
    </row>
    <row r="1472" spans="1:10" s="2" customFormat="1">
      <c r="A1472" s="1"/>
      <c r="E1472"/>
      <c r="F1472"/>
      <c r="G1472"/>
      <c r="H1472"/>
      <c r="I1472"/>
      <c r="J1472"/>
    </row>
    <row r="1473" spans="1:10" s="2" customFormat="1">
      <c r="A1473" s="1"/>
      <c r="E1473"/>
      <c r="F1473"/>
      <c r="G1473"/>
      <c r="H1473"/>
      <c r="I1473"/>
      <c r="J1473"/>
    </row>
    <row r="1474" spans="1:10" s="2" customFormat="1">
      <c r="A1474" s="1"/>
      <c r="E1474"/>
      <c r="F1474"/>
      <c r="G1474"/>
      <c r="H1474"/>
      <c r="I1474"/>
      <c r="J1474"/>
    </row>
    <row r="1475" spans="1:10" s="2" customFormat="1">
      <c r="A1475" s="1"/>
      <c r="E1475"/>
      <c r="F1475"/>
      <c r="G1475"/>
      <c r="H1475"/>
      <c r="I1475"/>
      <c r="J1475"/>
    </row>
    <row r="1476" spans="1:10" s="2" customFormat="1">
      <c r="A1476" s="1"/>
      <c r="E1476"/>
      <c r="F1476"/>
      <c r="G1476"/>
      <c r="H1476"/>
      <c r="I1476"/>
      <c r="J1476"/>
    </row>
    <row r="1477" spans="1:10" s="2" customFormat="1">
      <c r="A1477" s="1"/>
      <c r="E1477"/>
      <c r="F1477"/>
      <c r="G1477"/>
      <c r="H1477"/>
      <c r="I1477"/>
      <c r="J1477"/>
    </row>
    <row r="1478" spans="1:10" s="2" customFormat="1">
      <c r="A1478" s="1"/>
      <c r="E1478"/>
      <c r="F1478"/>
      <c r="G1478"/>
      <c r="H1478"/>
      <c r="I1478"/>
      <c r="J1478"/>
    </row>
    <row r="1479" spans="1:10" s="2" customFormat="1">
      <c r="A1479" s="1"/>
      <c r="E1479"/>
      <c r="F1479"/>
      <c r="G1479"/>
      <c r="H1479"/>
      <c r="I1479"/>
      <c r="J1479"/>
    </row>
    <row r="1480" spans="1:10" s="2" customFormat="1">
      <c r="A1480" s="1"/>
      <c r="E1480"/>
      <c r="F1480"/>
      <c r="G1480"/>
      <c r="H1480"/>
      <c r="I1480"/>
      <c r="J1480"/>
    </row>
    <row r="1481" spans="1:10" s="2" customFormat="1">
      <c r="A1481" s="1"/>
      <c r="E1481"/>
      <c r="F1481"/>
      <c r="G1481"/>
      <c r="H1481"/>
      <c r="I1481"/>
      <c r="J1481"/>
    </row>
    <row r="1482" spans="1:10" s="2" customFormat="1">
      <c r="A1482" s="1"/>
      <c r="E1482"/>
      <c r="F1482"/>
      <c r="G1482"/>
      <c r="H1482"/>
      <c r="I1482"/>
      <c r="J1482"/>
    </row>
    <row r="1483" spans="1:10" s="2" customFormat="1">
      <c r="A1483" s="1"/>
      <c r="E1483"/>
      <c r="F1483"/>
      <c r="G1483"/>
      <c r="H1483"/>
      <c r="I1483"/>
      <c r="J1483"/>
    </row>
    <row r="1484" spans="1:10" s="2" customFormat="1">
      <c r="A1484" s="1"/>
      <c r="E1484"/>
      <c r="F1484"/>
      <c r="G1484"/>
      <c r="H1484"/>
      <c r="I1484"/>
      <c r="J1484"/>
    </row>
    <row r="1485" spans="1:10" s="2" customFormat="1">
      <c r="A1485" s="1"/>
      <c r="E1485"/>
      <c r="F1485"/>
      <c r="G1485"/>
      <c r="H1485"/>
      <c r="I1485"/>
      <c r="J1485"/>
    </row>
    <row r="1486" spans="1:10" s="2" customFormat="1">
      <c r="A1486" s="1"/>
      <c r="E1486"/>
      <c r="F1486"/>
      <c r="G1486"/>
      <c r="H1486"/>
      <c r="I1486"/>
      <c r="J1486"/>
    </row>
    <row r="1487" spans="1:10" s="2" customFormat="1">
      <c r="A1487" s="1"/>
      <c r="E1487"/>
      <c r="F1487"/>
      <c r="G1487"/>
      <c r="H1487"/>
      <c r="I1487"/>
      <c r="J1487"/>
    </row>
    <row r="1488" spans="1:10" s="2" customFormat="1">
      <c r="A1488" s="1"/>
      <c r="E1488"/>
      <c r="F1488"/>
      <c r="G1488"/>
      <c r="H1488"/>
      <c r="I1488"/>
      <c r="J1488"/>
    </row>
    <row r="1489" spans="1:10" s="2" customFormat="1">
      <c r="A1489" s="1"/>
      <c r="E1489"/>
      <c r="F1489"/>
      <c r="G1489"/>
      <c r="H1489"/>
      <c r="I1489"/>
      <c r="J1489"/>
    </row>
    <row r="1490" spans="1:10" s="2" customFormat="1">
      <c r="A1490" s="1"/>
      <c r="E1490"/>
      <c r="F1490"/>
      <c r="G1490"/>
      <c r="H1490"/>
      <c r="I1490"/>
      <c r="J1490"/>
    </row>
    <row r="1491" spans="1:10" s="2" customFormat="1">
      <c r="A1491" s="1"/>
      <c r="E1491"/>
      <c r="F1491"/>
      <c r="G1491"/>
      <c r="H1491"/>
      <c r="I1491"/>
      <c r="J1491"/>
    </row>
    <row r="1492" spans="1:10" s="2" customFormat="1">
      <c r="A1492" s="1"/>
      <c r="E1492"/>
      <c r="F1492"/>
      <c r="G1492"/>
      <c r="H1492"/>
      <c r="I1492"/>
      <c r="J1492"/>
    </row>
    <row r="1493" spans="1:10" s="2" customFormat="1">
      <c r="A1493" s="1"/>
      <c r="E1493"/>
      <c r="F1493"/>
      <c r="G1493"/>
      <c r="H1493"/>
      <c r="I1493"/>
      <c r="J1493"/>
    </row>
    <row r="1494" spans="1:10" s="2" customFormat="1">
      <c r="A1494" s="1"/>
      <c r="E1494"/>
      <c r="F1494"/>
      <c r="G1494"/>
      <c r="H1494"/>
      <c r="I1494"/>
      <c r="J1494"/>
    </row>
    <row r="1495" spans="1:10" s="2" customFormat="1">
      <c r="A1495" s="1"/>
      <c r="E1495"/>
      <c r="F1495"/>
      <c r="G1495"/>
      <c r="H1495"/>
      <c r="I1495"/>
      <c r="J1495"/>
    </row>
    <row r="1496" spans="1:10" s="2" customFormat="1">
      <c r="A1496" s="1"/>
      <c r="E1496"/>
      <c r="F1496"/>
      <c r="G1496"/>
      <c r="H1496"/>
      <c r="I1496"/>
      <c r="J1496"/>
    </row>
    <row r="1497" spans="1:10" s="2" customFormat="1">
      <c r="A1497" s="1"/>
      <c r="E1497"/>
      <c r="F1497"/>
      <c r="G1497"/>
      <c r="H1497"/>
      <c r="I1497"/>
      <c r="J1497"/>
    </row>
    <row r="1498" spans="1:10" s="2" customFormat="1">
      <c r="A1498" s="1"/>
      <c r="E1498"/>
      <c r="F1498"/>
      <c r="G1498"/>
      <c r="H1498"/>
      <c r="I1498"/>
      <c r="J1498"/>
    </row>
    <row r="1499" spans="1:10" s="2" customFormat="1">
      <c r="A1499" s="1"/>
      <c r="E1499"/>
      <c r="F1499"/>
      <c r="G1499"/>
      <c r="H1499"/>
      <c r="I1499"/>
      <c r="J1499"/>
    </row>
    <row r="1500" spans="1:10" s="2" customFormat="1">
      <c r="A1500" s="1"/>
      <c r="E1500"/>
      <c r="F1500"/>
      <c r="G1500"/>
      <c r="H1500"/>
      <c r="I1500"/>
      <c r="J1500"/>
    </row>
    <row r="1501" spans="1:10" s="2" customFormat="1">
      <c r="A1501" s="1"/>
      <c r="E1501"/>
      <c r="F1501"/>
      <c r="G1501"/>
      <c r="H1501"/>
      <c r="I1501"/>
      <c r="J1501"/>
    </row>
    <row r="1502" spans="1:10" s="2" customFormat="1">
      <c r="A1502" s="1"/>
      <c r="E1502"/>
      <c r="F1502"/>
      <c r="G1502"/>
      <c r="H1502"/>
      <c r="I1502"/>
      <c r="J1502"/>
    </row>
    <row r="1503" spans="1:10" s="2" customFormat="1">
      <c r="A1503" s="1"/>
      <c r="E1503"/>
      <c r="F1503"/>
      <c r="G1503"/>
      <c r="H1503"/>
      <c r="I1503"/>
      <c r="J1503"/>
    </row>
    <row r="1504" spans="1:10" s="2" customFormat="1">
      <c r="A1504" s="1"/>
      <c r="E1504"/>
      <c r="F1504"/>
      <c r="G1504"/>
      <c r="H1504"/>
      <c r="I1504"/>
      <c r="J1504"/>
    </row>
    <row r="1505" spans="1:10" s="2" customFormat="1">
      <c r="A1505" s="1"/>
      <c r="E1505"/>
      <c r="F1505"/>
      <c r="G1505"/>
      <c r="H1505"/>
      <c r="I1505"/>
      <c r="J1505"/>
    </row>
    <row r="1506" spans="1:10" s="2" customFormat="1">
      <c r="A1506" s="1"/>
      <c r="E1506"/>
      <c r="F1506"/>
      <c r="G1506"/>
      <c r="H1506"/>
      <c r="I1506"/>
      <c r="J1506"/>
    </row>
    <row r="1507" spans="1:10" s="2" customFormat="1">
      <c r="A1507" s="1"/>
      <c r="E1507"/>
      <c r="F1507"/>
      <c r="G1507"/>
      <c r="H1507"/>
      <c r="I1507"/>
      <c r="J1507"/>
    </row>
    <row r="1508" spans="1:10" s="2" customFormat="1">
      <c r="A1508" s="1"/>
      <c r="E1508"/>
      <c r="F1508"/>
      <c r="G1508"/>
      <c r="H1508"/>
      <c r="I1508"/>
      <c r="J1508"/>
    </row>
    <row r="1509" spans="1:10" s="2" customFormat="1">
      <c r="A1509" s="1"/>
      <c r="E1509"/>
      <c r="F1509"/>
      <c r="G1509"/>
      <c r="H1509"/>
      <c r="I1509"/>
      <c r="J1509"/>
    </row>
    <row r="1510" spans="1:10" s="2" customFormat="1">
      <c r="A1510" s="1"/>
      <c r="E1510"/>
      <c r="F1510"/>
      <c r="G1510"/>
      <c r="H1510"/>
      <c r="I1510"/>
      <c r="J1510"/>
    </row>
    <row r="1511" spans="1:10" s="2" customFormat="1">
      <c r="A1511" s="1"/>
      <c r="E1511"/>
      <c r="F1511"/>
      <c r="G1511"/>
      <c r="H1511"/>
      <c r="I1511"/>
      <c r="J1511"/>
    </row>
    <row r="1512" spans="1:10" s="2" customFormat="1">
      <c r="A1512" s="1"/>
      <c r="E1512"/>
      <c r="F1512"/>
      <c r="G1512"/>
      <c r="H1512"/>
      <c r="I1512"/>
      <c r="J1512"/>
    </row>
    <row r="1513" spans="1:10" s="2" customFormat="1">
      <c r="A1513" s="1"/>
      <c r="E1513"/>
      <c r="F1513"/>
      <c r="G1513"/>
      <c r="H1513"/>
      <c r="I1513"/>
      <c r="J1513"/>
    </row>
    <row r="1514" spans="1:10" s="2" customFormat="1">
      <c r="A1514" s="1"/>
      <c r="E1514"/>
      <c r="F1514"/>
      <c r="G1514"/>
      <c r="H1514"/>
      <c r="I1514"/>
      <c r="J1514"/>
    </row>
    <row r="1515" spans="1:10" s="2" customFormat="1">
      <c r="A1515" s="1"/>
      <c r="E1515"/>
      <c r="F1515"/>
      <c r="G1515"/>
      <c r="H1515"/>
      <c r="I1515"/>
      <c r="J1515"/>
    </row>
    <row r="1516" spans="1:10" s="2" customFormat="1">
      <c r="A1516" s="1"/>
      <c r="E1516"/>
      <c r="F1516"/>
      <c r="G1516"/>
      <c r="H1516"/>
      <c r="I1516"/>
      <c r="J1516"/>
    </row>
    <row r="1517" spans="1:10" s="2" customFormat="1">
      <c r="A1517" s="1"/>
      <c r="E1517"/>
      <c r="F1517"/>
      <c r="G1517"/>
      <c r="H1517"/>
      <c r="I1517"/>
      <c r="J1517"/>
    </row>
    <row r="1518" spans="1:10" s="2" customFormat="1">
      <c r="A1518" s="1"/>
      <c r="E1518"/>
      <c r="F1518"/>
      <c r="G1518"/>
      <c r="H1518"/>
      <c r="I1518"/>
      <c r="J1518"/>
    </row>
    <row r="1519" spans="1:10" s="2" customFormat="1">
      <c r="A1519" s="1"/>
      <c r="E1519"/>
      <c r="F1519"/>
      <c r="G1519"/>
      <c r="H1519"/>
      <c r="I1519"/>
      <c r="J1519"/>
    </row>
    <row r="1520" spans="1:10" s="2" customFormat="1">
      <c r="A1520" s="1"/>
      <c r="E1520"/>
      <c r="F1520"/>
      <c r="G1520"/>
      <c r="H1520"/>
      <c r="I1520"/>
      <c r="J1520"/>
    </row>
    <row r="1521" spans="1:10" s="2" customFormat="1">
      <c r="A1521" s="1"/>
      <c r="E1521"/>
      <c r="F1521"/>
      <c r="G1521"/>
      <c r="H1521"/>
      <c r="I1521"/>
      <c r="J1521"/>
    </row>
    <row r="1522" spans="1:10" s="2" customFormat="1">
      <c r="A1522" s="1"/>
      <c r="E1522"/>
      <c r="F1522"/>
      <c r="G1522"/>
      <c r="H1522"/>
      <c r="I1522"/>
      <c r="J1522"/>
    </row>
    <row r="1523" spans="1:10" s="2" customFormat="1">
      <c r="A1523" s="1"/>
      <c r="E1523"/>
      <c r="F1523"/>
      <c r="G1523"/>
      <c r="H1523"/>
      <c r="I1523"/>
      <c r="J1523"/>
    </row>
    <row r="1524" spans="1:10" s="2" customFormat="1">
      <c r="A1524" s="1"/>
      <c r="E1524"/>
      <c r="F1524"/>
      <c r="G1524"/>
      <c r="H1524"/>
      <c r="I1524"/>
      <c r="J1524"/>
    </row>
    <row r="1525" spans="1:10" s="2" customFormat="1">
      <c r="A1525" s="1"/>
      <c r="E1525"/>
      <c r="F1525"/>
      <c r="G1525"/>
      <c r="H1525"/>
      <c r="I1525"/>
      <c r="J1525"/>
    </row>
    <row r="1526" spans="1:10" s="2" customFormat="1">
      <c r="A1526" s="1"/>
      <c r="E1526"/>
      <c r="F1526"/>
      <c r="G1526"/>
      <c r="H1526"/>
      <c r="I1526"/>
      <c r="J1526"/>
    </row>
    <row r="1527" spans="1:10" s="2" customFormat="1">
      <c r="A1527" s="1"/>
      <c r="E1527"/>
      <c r="F1527"/>
      <c r="G1527"/>
      <c r="H1527"/>
      <c r="I1527"/>
      <c r="J1527"/>
    </row>
    <row r="1528" spans="1:10" s="2" customFormat="1">
      <c r="A1528" s="1"/>
      <c r="E1528"/>
      <c r="F1528"/>
      <c r="G1528"/>
      <c r="H1528"/>
      <c r="I1528"/>
      <c r="J1528"/>
    </row>
    <row r="1529" spans="1:10" s="2" customFormat="1">
      <c r="A1529" s="1"/>
      <c r="E1529"/>
      <c r="F1529"/>
      <c r="G1529"/>
      <c r="H1529"/>
      <c r="I1529"/>
      <c r="J1529"/>
    </row>
    <row r="1530" spans="1:10" s="2" customFormat="1">
      <c r="A1530" s="1"/>
      <c r="E1530"/>
      <c r="F1530"/>
      <c r="G1530"/>
      <c r="H1530"/>
      <c r="I1530"/>
      <c r="J1530"/>
    </row>
    <row r="1531" spans="1:10" s="2" customFormat="1">
      <c r="A1531" s="1"/>
      <c r="E1531"/>
      <c r="F1531"/>
      <c r="G1531"/>
      <c r="H1531"/>
      <c r="I1531"/>
      <c r="J1531"/>
    </row>
    <row r="1532" spans="1:10" s="2" customFormat="1">
      <c r="A1532" s="1"/>
      <c r="E1532"/>
      <c r="F1532"/>
      <c r="G1532"/>
      <c r="H1532"/>
      <c r="I1532"/>
      <c r="J1532"/>
    </row>
    <row r="1533" spans="1:10" s="2" customFormat="1">
      <c r="A1533" s="1"/>
      <c r="E1533"/>
      <c r="F1533"/>
      <c r="G1533"/>
      <c r="H1533"/>
      <c r="I1533"/>
      <c r="J1533"/>
    </row>
    <row r="1534" spans="1:10" s="2" customFormat="1">
      <c r="A1534" s="1"/>
      <c r="E1534"/>
      <c r="F1534"/>
      <c r="G1534"/>
      <c r="H1534"/>
      <c r="I1534"/>
      <c r="J1534"/>
    </row>
    <row r="1535" spans="1:10" s="2" customFormat="1">
      <c r="A1535" s="1"/>
      <c r="E1535"/>
      <c r="F1535"/>
      <c r="G1535"/>
      <c r="H1535"/>
      <c r="I1535"/>
      <c r="J1535"/>
    </row>
    <row r="1536" spans="1:10" s="2" customFormat="1">
      <c r="A1536" s="1"/>
      <c r="E1536"/>
      <c r="F1536"/>
      <c r="G1536"/>
      <c r="H1536"/>
      <c r="I1536"/>
      <c r="J1536"/>
    </row>
    <row r="1537" spans="1:10" s="2" customFormat="1">
      <c r="A1537" s="1"/>
      <c r="E1537"/>
      <c r="F1537"/>
      <c r="G1537"/>
      <c r="H1537"/>
      <c r="I1537"/>
      <c r="J1537"/>
    </row>
    <row r="1538" spans="1:10" s="2" customFormat="1">
      <c r="A1538" s="1"/>
      <c r="E1538"/>
      <c r="F1538"/>
      <c r="G1538"/>
      <c r="H1538"/>
      <c r="I1538"/>
      <c r="J1538"/>
    </row>
    <row r="1539" spans="1:10" s="2" customFormat="1">
      <c r="A1539" s="1"/>
      <c r="E1539"/>
      <c r="F1539"/>
      <c r="G1539"/>
      <c r="H1539"/>
      <c r="I1539"/>
      <c r="J1539"/>
    </row>
    <row r="1540" spans="1:10" s="2" customFormat="1">
      <c r="A1540" s="1"/>
      <c r="E1540"/>
      <c r="F1540"/>
      <c r="G1540"/>
      <c r="H1540"/>
      <c r="I1540"/>
      <c r="J1540"/>
    </row>
    <row r="1541" spans="1:10" s="2" customFormat="1">
      <c r="A1541" s="1"/>
      <c r="E1541"/>
      <c r="F1541"/>
      <c r="G1541"/>
      <c r="H1541"/>
      <c r="I1541"/>
      <c r="J1541"/>
    </row>
    <row r="1542" spans="1:10" s="2" customFormat="1">
      <c r="A1542" s="1"/>
      <c r="E1542"/>
      <c r="F1542"/>
      <c r="G1542"/>
      <c r="H1542"/>
      <c r="I1542"/>
      <c r="J1542"/>
    </row>
    <row r="1543" spans="1:10" s="2" customFormat="1">
      <c r="A1543" s="1"/>
      <c r="E1543"/>
      <c r="F1543"/>
      <c r="G1543"/>
      <c r="H1543"/>
      <c r="I1543"/>
      <c r="J1543"/>
    </row>
    <row r="1544" spans="1:10" s="2" customFormat="1">
      <c r="A1544" s="1"/>
      <c r="E1544"/>
      <c r="F1544"/>
      <c r="G1544"/>
      <c r="H1544"/>
      <c r="I1544"/>
      <c r="J1544"/>
    </row>
    <row r="1545" spans="1:10" s="2" customFormat="1">
      <c r="A1545" s="1"/>
      <c r="E1545"/>
      <c r="F1545"/>
      <c r="G1545"/>
      <c r="H1545"/>
      <c r="I1545"/>
      <c r="J1545"/>
    </row>
    <row r="1546" spans="1:10" s="2" customFormat="1">
      <c r="A1546" s="1"/>
      <c r="E1546"/>
      <c r="F1546"/>
      <c r="G1546"/>
      <c r="H1546"/>
      <c r="I1546"/>
      <c r="J1546"/>
    </row>
    <row r="1547" spans="1:10" s="2" customFormat="1">
      <c r="A1547" s="1"/>
      <c r="E1547"/>
      <c r="F1547"/>
      <c r="G1547"/>
      <c r="H1547"/>
      <c r="I1547"/>
      <c r="J1547"/>
    </row>
    <row r="1548" spans="1:10" s="2" customFormat="1">
      <c r="A1548" s="1"/>
      <c r="E1548"/>
      <c r="F1548"/>
      <c r="G1548"/>
      <c r="H1548"/>
      <c r="I1548"/>
      <c r="J1548"/>
    </row>
    <row r="1549" spans="1:10" s="2" customFormat="1">
      <c r="A1549" s="1"/>
      <c r="E1549"/>
      <c r="F1549"/>
      <c r="G1549"/>
      <c r="H1549"/>
      <c r="I1549"/>
      <c r="J1549"/>
    </row>
    <row r="1550" spans="1:10" s="2" customFormat="1">
      <c r="A1550" s="1"/>
      <c r="E1550"/>
      <c r="F1550"/>
      <c r="G1550"/>
      <c r="H1550"/>
      <c r="I1550"/>
      <c r="J1550"/>
    </row>
    <row r="1551" spans="1:10" s="2" customFormat="1">
      <c r="A1551" s="1"/>
      <c r="E1551"/>
      <c r="F1551"/>
      <c r="G1551"/>
      <c r="H1551"/>
      <c r="I1551"/>
      <c r="J1551"/>
    </row>
    <row r="1552" spans="1:10" s="2" customFormat="1">
      <c r="A1552" s="1"/>
      <c r="E1552"/>
      <c r="F1552"/>
      <c r="G1552"/>
      <c r="H1552"/>
      <c r="I1552"/>
      <c r="J1552"/>
    </row>
    <row r="1553" spans="1:10" s="2" customFormat="1">
      <c r="A1553" s="1"/>
      <c r="E1553"/>
      <c r="F1553"/>
      <c r="G1553"/>
      <c r="H1553"/>
      <c r="I1553"/>
      <c r="J1553"/>
    </row>
    <row r="1554" spans="1:10" s="2" customFormat="1">
      <c r="A1554" s="1"/>
      <c r="E1554"/>
      <c r="F1554"/>
      <c r="G1554"/>
      <c r="H1554"/>
      <c r="I1554"/>
      <c r="J1554"/>
    </row>
    <row r="1555" spans="1:10" s="2" customFormat="1">
      <c r="A1555" s="1"/>
      <c r="E1555"/>
      <c r="F1555"/>
      <c r="G1555"/>
      <c r="H1555"/>
      <c r="I1555"/>
      <c r="J1555"/>
    </row>
    <row r="1556" spans="1:10" s="2" customFormat="1">
      <c r="A1556" s="1"/>
      <c r="E1556"/>
      <c r="F1556"/>
      <c r="G1556"/>
      <c r="H1556"/>
      <c r="I1556"/>
      <c r="J1556"/>
    </row>
    <row r="1557" spans="1:10" s="2" customFormat="1">
      <c r="A1557" s="1"/>
      <c r="E1557"/>
      <c r="F1557"/>
      <c r="G1557"/>
      <c r="H1557"/>
      <c r="I1557"/>
      <c r="J1557"/>
    </row>
    <row r="1558" spans="1:10" s="2" customFormat="1">
      <c r="A1558" s="1"/>
      <c r="E1558"/>
      <c r="F1558"/>
      <c r="G1558"/>
      <c r="H1558"/>
      <c r="I1558"/>
      <c r="J1558"/>
    </row>
    <row r="1559" spans="1:10" s="2" customFormat="1">
      <c r="A1559" s="1"/>
      <c r="E1559"/>
      <c r="F1559"/>
      <c r="G1559"/>
      <c r="H1559"/>
      <c r="I1559"/>
      <c r="J1559"/>
    </row>
    <row r="1560" spans="1:10" s="2" customFormat="1">
      <c r="A1560" s="1"/>
      <c r="E1560"/>
      <c r="F1560"/>
      <c r="G1560"/>
      <c r="H1560"/>
      <c r="I1560"/>
      <c r="J1560"/>
    </row>
    <row r="1561" spans="1:10" s="2" customFormat="1">
      <c r="A1561" s="1"/>
      <c r="E1561"/>
      <c r="F1561"/>
      <c r="G1561"/>
      <c r="H1561"/>
      <c r="I1561"/>
      <c r="J1561"/>
    </row>
    <row r="1562" spans="1:10" s="2" customFormat="1">
      <c r="A1562" s="1"/>
      <c r="E1562"/>
      <c r="F1562"/>
      <c r="G1562"/>
      <c r="H1562"/>
      <c r="I1562"/>
      <c r="J1562"/>
    </row>
    <row r="1563" spans="1:10" s="2" customFormat="1">
      <c r="A1563" s="1"/>
      <c r="E1563"/>
      <c r="F1563"/>
      <c r="G1563"/>
      <c r="H1563"/>
      <c r="I1563"/>
      <c r="J1563"/>
    </row>
    <row r="1564" spans="1:10" s="2" customFormat="1">
      <c r="A1564" s="1"/>
      <c r="E1564"/>
      <c r="F1564"/>
      <c r="G1564"/>
      <c r="H1564"/>
      <c r="I1564"/>
      <c r="J1564"/>
    </row>
    <row r="1565" spans="1:10" s="2" customFormat="1">
      <c r="A1565" s="1"/>
      <c r="E1565"/>
      <c r="F1565"/>
      <c r="G1565"/>
      <c r="H1565"/>
      <c r="I1565"/>
      <c r="J1565"/>
    </row>
    <row r="1566" spans="1:10" s="2" customFormat="1">
      <c r="A1566" s="1"/>
      <c r="E1566"/>
      <c r="F1566"/>
      <c r="G1566"/>
      <c r="H1566"/>
      <c r="I1566"/>
      <c r="J1566"/>
    </row>
    <row r="1567" spans="1:10" s="2" customFormat="1">
      <c r="A1567" s="1"/>
      <c r="E1567"/>
      <c r="F1567"/>
      <c r="G1567"/>
      <c r="H1567"/>
      <c r="I1567"/>
      <c r="J1567"/>
    </row>
    <row r="1568" spans="1:10" s="2" customFormat="1">
      <c r="A1568" s="1"/>
      <c r="E1568"/>
      <c r="F1568"/>
      <c r="G1568"/>
      <c r="H1568"/>
      <c r="I1568"/>
      <c r="J1568"/>
    </row>
    <row r="1569" spans="1:10" s="2" customFormat="1">
      <c r="A1569" s="1"/>
      <c r="E1569"/>
      <c r="F1569"/>
      <c r="G1569"/>
      <c r="H1569"/>
      <c r="I1569"/>
      <c r="J1569"/>
    </row>
    <row r="1570" spans="1:10" s="2" customFormat="1">
      <c r="A1570" s="1"/>
      <c r="E1570"/>
      <c r="F1570"/>
      <c r="G1570"/>
      <c r="H1570"/>
      <c r="I1570"/>
      <c r="J1570"/>
    </row>
    <row r="1571" spans="1:10" s="2" customFormat="1">
      <c r="A1571" s="1"/>
      <c r="E1571"/>
      <c r="F1571"/>
      <c r="G1571"/>
      <c r="H1571"/>
      <c r="I1571"/>
      <c r="J1571"/>
    </row>
    <row r="1572" spans="1:10" s="2" customFormat="1">
      <c r="A1572" s="1"/>
      <c r="E1572"/>
      <c r="F1572"/>
      <c r="G1572"/>
      <c r="H1572"/>
      <c r="I1572"/>
      <c r="J1572"/>
    </row>
    <row r="1573" spans="1:10" s="2" customFormat="1">
      <c r="A1573" s="1"/>
      <c r="E1573"/>
      <c r="F1573"/>
      <c r="G1573"/>
      <c r="H1573"/>
      <c r="I1573"/>
      <c r="J1573"/>
    </row>
    <row r="1574" spans="1:10" s="2" customFormat="1">
      <c r="A1574" s="1"/>
      <c r="E1574"/>
      <c r="F1574"/>
      <c r="G1574"/>
      <c r="H1574"/>
      <c r="I1574"/>
      <c r="J1574"/>
    </row>
    <row r="1575" spans="1:10" s="2" customFormat="1">
      <c r="A1575" s="1"/>
      <c r="E1575"/>
      <c r="F1575"/>
      <c r="G1575"/>
      <c r="H1575"/>
      <c r="I1575"/>
      <c r="J1575"/>
    </row>
    <row r="1576" spans="1:10" s="2" customFormat="1">
      <c r="A1576" s="1"/>
      <c r="E1576"/>
      <c r="F1576"/>
      <c r="G1576"/>
      <c r="H1576"/>
      <c r="I1576"/>
      <c r="J1576"/>
    </row>
    <row r="1577" spans="1:10" s="2" customFormat="1">
      <c r="A1577" s="1"/>
      <c r="E1577"/>
      <c r="F1577"/>
      <c r="G1577"/>
      <c r="H1577"/>
      <c r="I1577"/>
      <c r="J1577"/>
    </row>
    <row r="1578" spans="1:10" s="2" customFormat="1">
      <c r="A1578" s="1"/>
      <c r="E1578"/>
      <c r="F1578"/>
      <c r="G1578"/>
      <c r="H1578"/>
      <c r="I1578"/>
      <c r="J1578"/>
    </row>
    <row r="1579" spans="1:10" s="2" customFormat="1">
      <c r="A1579" s="1"/>
      <c r="E1579"/>
      <c r="F1579"/>
      <c r="G1579"/>
      <c r="H1579"/>
      <c r="I1579"/>
      <c r="J1579"/>
    </row>
    <row r="1580" spans="1:10" s="2" customFormat="1">
      <c r="A1580" s="1"/>
      <c r="E1580"/>
      <c r="F1580"/>
      <c r="G1580"/>
      <c r="H1580"/>
      <c r="I1580"/>
      <c r="J1580"/>
    </row>
    <row r="1581" spans="1:10" s="2" customFormat="1">
      <c r="A1581" s="1"/>
      <c r="E1581"/>
      <c r="F1581"/>
      <c r="G1581"/>
      <c r="H1581"/>
      <c r="I1581"/>
      <c r="J1581"/>
    </row>
    <row r="1582" spans="1:10" s="2" customFormat="1">
      <c r="A1582" s="1"/>
      <c r="E1582"/>
      <c r="F1582"/>
      <c r="G1582"/>
      <c r="H1582"/>
      <c r="I1582"/>
      <c r="J1582"/>
    </row>
    <row r="1583" spans="1:10" s="2" customFormat="1">
      <c r="A1583" s="1"/>
      <c r="E1583"/>
      <c r="F1583"/>
      <c r="G1583"/>
      <c r="H1583"/>
      <c r="I1583"/>
      <c r="J1583"/>
    </row>
    <row r="1584" spans="1:10" s="2" customFormat="1">
      <c r="A1584" s="1"/>
      <c r="E1584"/>
      <c r="F1584"/>
      <c r="G1584"/>
      <c r="H1584"/>
      <c r="I1584"/>
      <c r="J1584"/>
    </row>
    <row r="1585" spans="1:10" s="2" customFormat="1">
      <c r="A1585" s="1"/>
      <c r="E1585"/>
      <c r="F1585"/>
      <c r="G1585"/>
      <c r="H1585"/>
      <c r="I1585"/>
      <c r="J1585"/>
    </row>
    <row r="1586" spans="1:10" s="2" customFormat="1">
      <c r="A1586" s="1"/>
      <c r="E1586"/>
      <c r="F1586"/>
      <c r="G1586"/>
      <c r="H1586"/>
      <c r="I1586"/>
      <c r="J1586"/>
    </row>
    <row r="1587" spans="1:10" s="2" customFormat="1">
      <c r="A1587" s="1"/>
      <c r="E1587"/>
      <c r="F1587"/>
      <c r="G1587"/>
      <c r="H1587"/>
      <c r="I1587"/>
      <c r="J1587"/>
    </row>
    <row r="1588" spans="1:10" s="2" customFormat="1">
      <c r="A1588" s="1"/>
      <c r="E1588"/>
      <c r="F1588"/>
      <c r="G1588"/>
      <c r="H1588"/>
      <c r="I1588"/>
      <c r="J1588"/>
    </row>
    <row r="1589" spans="1:10" s="2" customFormat="1">
      <c r="A1589" s="1"/>
      <c r="E1589"/>
      <c r="F1589"/>
      <c r="G1589"/>
      <c r="H1589"/>
      <c r="I1589"/>
      <c r="J1589"/>
    </row>
    <row r="1590" spans="1:10" s="2" customFormat="1">
      <c r="A1590" s="1"/>
      <c r="E1590"/>
      <c r="F1590"/>
      <c r="G1590"/>
      <c r="H1590"/>
      <c r="I1590"/>
      <c r="J1590"/>
    </row>
    <row r="1591" spans="1:10" s="2" customFormat="1">
      <c r="A1591" s="1"/>
      <c r="E1591"/>
      <c r="F1591"/>
      <c r="G1591"/>
      <c r="H1591"/>
      <c r="I1591"/>
      <c r="J1591"/>
    </row>
    <row r="1592" spans="1:10" s="2" customFormat="1">
      <c r="A1592" s="1"/>
      <c r="E1592"/>
      <c r="F1592"/>
      <c r="G1592"/>
      <c r="H1592"/>
      <c r="I1592"/>
      <c r="J1592"/>
    </row>
    <row r="1593" spans="1:10" s="2" customFormat="1">
      <c r="A1593" s="1"/>
      <c r="E1593"/>
      <c r="F1593"/>
      <c r="G1593"/>
      <c r="H1593"/>
      <c r="I1593"/>
      <c r="J1593"/>
    </row>
    <row r="1594" spans="1:10" s="2" customFormat="1">
      <c r="A1594" s="1"/>
      <c r="E1594"/>
      <c r="F1594"/>
      <c r="G1594"/>
      <c r="H1594"/>
      <c r="I1594"/>
      <c r="J1594"/>
    </row>
    <row r="1595" spans="1:10" s="2" customFormat="1">
      <c r="A1595" s="1"/>
      <c r="E1595"/>
      <c r="F1595"/>
      <c r="G1595"/>
      <c r="H1595"/>
      <c r="I1595"/>
      <c r="J1595"/>
    </row>
    <row r="1596" spans="1:10" s="2" customFormat="1">
      <c r="A1596" s="1"/>
      <c r="E1596"/>
      <c r="F1596"/>
      <c r="G1596"/>
      <c r="H1596"/>
      <c r="I1596"/>
      <c r="J1596"/>
    </row>
    <row r="1597" spans="1:10" s="2" customFormat="1">
      <c r="A1597" s="1"/>
      <c r="E1597"/>
      <c r="F1597"/>
      <c r="G1597"/>
      <c r="H1597"/>
      <c r="I1597"/>
      <c r="J1597"/>
    </row>
    <row r="1598" spans="1:10" s="2" customFormat="1">
      <c r="A1598" s="1"/>
      <c r="E1598"/>
      <c r="F1598"/>
      <c r="G1598"/>
      <c r="H1598"/>
      <c r="I1598"/>
      <c r="J1598"/>
    </row>
    <row r="1599" spans="1:10" s="2" customFormat="1">
      <c r="A1599" s="1"/>
      <c r="E1599"/>
      <c r="F1599"/>
      <c r="G1599"/>
      <c r="H1599"/>
      <c r="I1599"/>
      <c r="J1599"/>
    </row>
    <row r="1600" spans="1:10" s="2" customFormat="1">
      <c r="A1600" s="1"/>
      <c r="E1600"/>
      <c r="F1600"/>
      <c r="G1600"/>
      <c r="H1600"/>
      <c r="I1600"/>
      <c r="J1600"/>
    </row>
    <row r="1601" spans="1:10" s="2" customFormat="1">
      <c r="A1601" s="1"/>
      <c r="E1601"/>
      <c r="F1601"/>
      <c r="G1601"/>
      <c r="H1601"/>
      <c r="I1601"/>
      <c r="J1601"/>
    </row>
    <row r="1602" spans="1:10" s="2" customFormat="1">
      <c r="A1602" s="1"/>
      <c r="E1602"/>
      <c r="F1602"/>
      <c r="G1602"/>
      <c r="H1602"/>
      <c r="I1602"/>
      <c r="J1602"/>
    </row>
    <row r="1603" spans="1:10" s="2" customFormat="1">
      <c r="A1603" s="1"/>
      <c r="E1603"/>
      <c r="F1603"/>
      <c r="G1603"/>
      <c r="H1603"/>
      <c r="I1603"/>
      <c r="J1603"/>
    </row>
    <row r="1604" spans="1:10" s="2" customFormat="1">
      <c r="A1604" s="1"/>
      <c r="E1604"/>
      <c r="F1604"/>
      <c r="G1604"/>
      <c r="H1604"/>
      <c r="I1604"/>
      <c r="J1604"/>
    </row>
    <row r="1605" spans="1:10" s="2" customFormat="1">
      <c r="A1605" s="1"/>
      <c r="E1605"/>
      <c r="F1605"/>
      <c r="G1605"/>
      <c r="H1605"/>
      <c r="I1605"/>
      <c r="J1605"/>
    </row>
    <row r="1606" spans="1:10" s="2" customFormat="1">
      <c r="A1606" s="1"/>
      <c r="E1606"/>
      <c r="F1606"/>
      <c r="G1606"/>
      <c r="H1606"/>
      <c r="I1606"/>
      <c r="J1606"/>
    </row>
    <row r="1607" spans="1:10" s="2" customFormat="1">
      <c r="A1607" s="1"/>
      <c r="E1607"/>
      <c r="F1607"/>
      <c r="G1607"/>
      <c r="H1607"/>
      <c r="I1607"/>
      <c r="J1607"/>
    </row>
    <row r="1608" spans="1:10" s="2" customFormat="1">
      <c r="A1608" s="1"/>
      <c r="E1608"/>
      <c r="F1608"/>
      <c r="G1608"/>
      <c r="H1608"/>
      <c r="I1608"/>
      <c r="J1608"/>
    </row>
    <row r="1609" spans="1:10" s="2" customFormat="1">
      <c r="A1609" s="1"/>
      <c r="E1609"/>
      <c r="F1609"/>
      <c r="G1609"/>
      <c r="H1609"/>
      <c r="I1609"/>
      <c r="J1609"/>
    </row>
    <row r="1610" spans="1:10" s="2" customFormat="1">
      <c r="A1610" s="1"/>
      <c r="E1610"/>
      <c r="F1610"/>
      <c r="G1610"/>
      <c r="H1610"/>
      <c r="I1610"/>
      <c r="J1610"/>
    </row>
    <row r="1611" spans="1:10" s="2" customFormat="1">
      <c r="A1611" s="1"/>
      <c r="E1611"/>
      <c r="F1611"/>
      <c r="G1611"/>
      <c r="H1611"/>
      <c r="I1611"/>
      <c r="J1611"/>
    </row>
    <row r="1612" spans="1:10" s="2" customFormat="1">
      <c r="A1612" s="1"/>
      <c r="E1612"/>
      <c r="F1612"/>
      <c r="G1612"/>
      <c r="H1612"/>
      <c r="I1612"/>
      <c r="J1612"/>
    </row>
    <row r="1613" spans="1:10" s="2" customFormat="1">
      <c r="A1613" s="1"/>
      <c r="E1613"/>
      <c r="F1613"/>
      <c r="G1613"/>
      <c r="H1613"/>
      <c r="I1613"/>
      <c r="J1613"/>
    </row>
    <row r="1614" spans="1:10" s="2" customFormat="1">
      <c r="A1614" s="1"/>
      <c r="E1614"/>
      <c r="F1614"/>
      <c r="G1614"/>
      <c r="H1614"/>
      <c r="I1614"/>
      <c r="J1614"/>
    </row>
    <row r="1615" spans="1:10" s="2" customFormat="1">
      <c r="A1615" s="1"/>
      <c r="E1615"/>
      <c r="F1615"/>
      <c r="G1615"/>
      <c r="H1615"/>
      <c r="I1615"/>
      <c r="J1615"/>
    </row>
    <row r="1616" spans="1:10" s="2" customFormat="1">
      <c r="A1616" s="1"/>
      <c r="E1616"/>
      <c r="F1616"/>
      <c r="G1616"/>
      <c r="H1616"/>
      <c r="I1616"/>
      <c r="J1616"/>
    </row>
    <row r="1617" spans="1:10" s="2" customFormat="1">
      <c r="A1617" s="1"/>
      <c r="E1617"/>
      <c r="F1617"/>
      <c r="G1617"/>
      <c r="H1617"/>
      <c r="I1617"/>
      <c r="J1617"/>
    </row>
    <row r="1618" spans="1:10" s="2" customFormat="1">
      <c r="A1618" s="1"/>
      <c r="E1618"/>
      <c r="F1618"/>
      <c r="G1618"/>
      <c r="H1618"/>
      <c r="I1618"/>
      <c r="J1618"/>
    </row>
    <row r="1619" spans="1:10" s="2" customFormat="1">
      <c r="A1619" s="1"/>
      <c r="E1619"/>
      <c r="F1619"/>
      <c r="G1619"/>
      <c r="H1619"/>
      <c r="I1619"/>
      <c r="J1619"/>
    </row>
    <row r="1620" spans="1:10" s="2" customFormat="1">
      <c r="A1620" s="1"/>
      <c r="E1620"/>
      <c r="F1620"/>
      <c r="G1620"/>
      <c r="H1620"/>
      <c r="I1620"/>
      <c r="J1620"/>
    </row>
    <row r="1621" spans="1:10" s="2" customFormat="1">
      <c r="A1621" s="1"/>
      <c r="E1621"/>
      <c r="F1621"/>
      <c r="G1621"/>
      <c r="H1621"/>
      <c r="I1621"/>
      <c r="J1621"/>
    </row>
    <row r="1622" spans="1:10" s="2" customFormat="1">
      <c r="A1622" s="1"/>
      <c r="E1622"/>
      <c r="F1622"/>
      <c r="G1622"/>
      <c r="H1622"/>
      <c r="I1622"/>
      <c r="J1622"/>
    </row>
    <row r="1623" spans="1:10" s="2" customFormat="1">
      <c r="A1623" s="1"/>
      <c r="E1623"/>
      <c r="F1623"/>
      <c r="G1623"/>
      <c r="H1623"/>
      <c r="I1623"/>
      <c r="J1623"/>
    </row>
    <row r="1624" spans="1:10" s="2" customFormat="1">
      <c r="A1624" s="1"/>
      <c r="E1624"/>
      <c r="F1624"/>
      <c r="G1624"/>
      <c r="H1624"/>
      <c r="I1624"/>
      <c r="J1624"/>
    </row>
    <row r="1625" spans="1:10" s="2" customFormat="1">
      <c r="A1625" s="1"/>
      <c r="E1625"/>
      <c r="F1625"/>
      <c r="G1625"/>
      <c r="H1625"/>
      <c r="I1625"/>
      <c r="J1625"/>
    </row>
    <row r="1626" spans="1:10" s="2" customFormat="1">
      <c r="A1626" s="1"/>
      <c r="E1626"/>
      <c r="F1626"/>
      <c r="G1626"/>
      <c r="H1626"/>
      <c r="I1626"/>
      <c r="J1626"/>
    </row>
    <row r="1627" spans="1:10" s="2" customFormat="1">
      <c r="A1627" s="1"/>
      <c r="E1627"/>
      <c r="F1627"/>
      <c r="G1627"/>
      <c r="H1627"/>
      <c r="I1627"/>
      <c r="J1627"/>
    </row>
    <row r="1628" spans="1:10" s="2" customFormat="1">
      <c r="A1628" s="1"/>
      <c r="E1628"/>
      <c r="F1628"/>
      <c r="G1628"/>
      <c r="H1628"/>
      <c r="I1628"/>
      <c r="J1628"/>
    </row>
    <row r="1629" spans="1:10" s="2" customFormat="1">
      <c r="A1629" s="1"/>
      <c r="E1629"/>
      <c r="F1629"/>
      <c r="G1629"/>
      <c r="H1629"/>
      <c r="I1629"/>
      <c r="J1629"/>
    </row>
    <row r="1630" spans="1:10" s="2" customFormat="1">
      <c r="A1630" s="1"/>
      <c r="E1630"/>
      <c r="F1630"/>
      <c r="G1630"/>
      <c r="H1630"/>
      <c r="I1630"/>
      <c r="J1630"/>
    </row>
    <row r="1631" spans="1:10" s="2" customFormat="1">
      <c r="A1631" s="1"/>
      <c r="E1631"/>
      <c r="F1631"/>
      <c r="G1631"/>
      <c r="H1631"/>
      <c r="I1631"/>
      <c r="J1631"/>
    </row>
    <row r="1632" spans="1:10" s="2" customFormat="1">
      <c r="A1632" s="1"/>
      <c r="E1632"/>
      <c r="F1632"/>
      <c r="G1632"/>
      <c r="H1632"/>
      <c r="I1632"/>
      <c r="J1632"/>
    </row>
    <row r="1633" spans="1:10" s="2" customFormat="1">
      <c r="A1633" s="1"/>
      <c r="E1633"/>
      <c r="F1633"/>
      <c r="G1633"/>
      <c r="H1633"/>
      <c r="I1633"/>
      <c r="J1633"/>
    </row>
    <row r="1634" spans="1:10" s="2" customFormat="1">
      <c r="A1634" s="1"/>
      <c r="E1634"/>
      <c r="F1634"/>
      <c r="G1634"/>
      <c r="H1634"/>
      <c r="I1634"/>
      <c r="J1634"/>
    </row>
    <row r="1635" spans="1:10" s="2" customFormat="1">
      <c r="A1635" s="1"/>
      <c r="E1635"/>
      <c r="F1635"/>
      <c r="G1635"/>
      <c r="H1635"/>
      <c r="I1635"/>
      <c r="J1635"/>
    </row>
    <row r="1636" spans="1:10" s="2" customFormat="1">
      <c r="A1636" s="1"/>
      <c r="E1636"/>
      <c r="F1636"/>
      <c r="G1636"/>
      <c r="H1636"/>
      <c r="I1636"/>
      <c r="J1636"/>
    </row>
    <row r="1637" spans="1:10" s="2" customFormat="1">
      <c r="A1637" s="1"/>
      <c r="E1637"/>
      <c r="F1637"/>
      <c r="G1637"/>
      <c r="H1637"/>
      <c r="I1637"/>
      <c r="J1637"/>
    </row>
    <row r="1638" spans="1:10" s="2" customFormat="1">
      <c r="A1638" s="1"/>
      <c r="E1638"/>
      <c r="F1638"/>
      <c r="G1638"/>
      <c r="H1638"/>
      <c r="I1638"/>
      <c r="J1638"/>
    </row>
    <row r="1639" spans="1:10" s="2" customFormat="1">
      <c r="A1639" s="1"/>
      <c r="E1639"/>
      <c r="F1639"/>
      <c r="G1639"/>
      <c r="H1639"/>
      <c r="I1639"/>
      <c r="J1639"/>
    </row>
    <row r="1640" spans="1:10" s="2" customFormat="1">
      <c r="A1640" s="1"/>
      <c r="E1640"/>
      <c r="F1640"/>
      <c r="G1640"/>
      <c r="H1640"/>
      <c r="I1640"/>
      <c r="J1640"/>
    </row>
    <row r="1641" spans="1:10" s="2" customFormat="1">
      <c r="A1641" s="1"/>
      <c r="E1641"/>
      <c r="F1641"/>
      <c r="G1641"/>
      <c r="H1641"/>
      <c r="I1641"/>
      <c r="J1641"/>
    </row>
    <row r="1642" spans="1:10" s="2" customFormat="1">
      <c r="A1642" s="1"/>
      <c r="E1642"/>
      <c r="F1642"/>
      <c r="G1642"/>
      <c r="H1642"/>
      <c r="I1642"/>
      <c r="J1642"/>
    </row>
    <row r="1643" spans="1:10" s="2" customFormat="1">
      <c r="A1643" s="1"/>
      <c r="E1643"/>
      <c r="F1643"/>
      <c r="G1643"/>
      <c r="H1643"/>
      <c r="I1643"/>
      <c r="J1643"/>
    </row>
    <row r="1644" spans="1:10" s="2" customFormat="1">
      <c r="A1644" s="1"/>
      <c r="E1644"/>
      <c r="F1644"/>
      <c r="G1644"/>
      <c r="H1644"/>
      <c r="I1644"/>
      <c r="J1644"/>
    </row>
    <row r="1645" spans="1:10" s="2" customFormat="1">
      <c r="A1645" s="1"/>
      <c r="E1645"/>
      <c r="F1645"/>
      <c r="G1645"/>
      <c r="H1645"/>
      <c r="I1645"/>
      <c r="J1645"/>
    </row>
    <row r="1646" spans="1:10" s="2" customFormat="1">
      <c r="A1646" s="1"/>
      <c r="E1646"/>
      <c r="F1646"/>
      <c r="G1646"/>
      <c r="H1646"/>
      <c r="I1646"/>
      <c r="J1646"/>
    </row>
    <row r="1647" spans="1:10" s="2" customFormat="1">
      <c r="A1647" s="1"/>
      <c r="E1647"/>
      <c r="F1647"/>
      <c r="G1647"/>
      <c r="H1647"/>
      <c r="I1647"/>
      <c r="J1647"/>
    </row>
    <row r="1648" spans="1:10" s="2" customFormat="1">
      <c r="A1648" s="1"/>
      <c r="E1648"/>
      <c r="F1648"/>
      <c r="G1648"/>
      <c r="H1648"/>
      <c r="I1648"/>
      <c r="J1648"/>
    </row>
    <row r="1649" spans="1:10" s="2" customFormat="1">
      <c r="A1649" s="1"/>
      <c r="E1649"/>
      <c r="F1649"/>
      <c r="G1649"/>
      <c r="H1649"/>
      <c r="I1649"/>
      <c r="J1649"/>
    </row>
    <row r="1650" spans="1:10" s="2" customFormat="1">
      <c r="A1650" s="1"/>
      <c r="E1650"/>
      <c r="F1650"/>
      <c r="G1650"/>
      <c r="H1650"/>
      <c r="I1650"/>
      <c r="J1650"/>
    </row>
    <row r="1651" spans="1:10" s="2" customFormat="1">
      <c r="A1651" s="1"/>
      <c r="E1651"/>
      <c r="F1651"/>
      <c r="G1651"/>
      <c r="H1651"/>
      <c r="I1651"/>
      <c r="J1651"/>
    </row>
    <row r="1652" spans="1:10" s="2" customFormat="1">
      <c r="A1652" s="1"/>
      <c r="E1652"/>
      <c r="F1652"/>
      <c r="G1652"/>
      <c r="H1652"/>
      <c r="I1652"/>
      <c r="J1652"/>
    </row>
    <row r="1653" spans="1:10" s="2" customFormat="1">
      <c r="A1653" s="1"/>
      <c r="E1653"/>
      <c r="F1653"/>
      <c r="G1653"/>
      <c r="H1653"/>
      <c r="I1653"/>
      <c r="J1653"/>
    </row>
    <row r="1654" spans="1:10" s="2" customFormat="1">
      <c r="A1654" s="1"/>
      <c r="E1654"/>
      <c r="F1654"/>
      <c r="G1654"/>
      <c r="H1654"/>
      <c r="I1654"/>
      <c r="J1654"/>
    </row>
    <row r="1655" spans="1:10" s="2" customFormat="1">
      <c r="A1655" s="1"/>
      <c r="E1655"/>
      <c r="F1655"/>
      <c r="G1655"/>
      <c r="H1655"/>
      <c r="I1655"/>
      <c r="J1655"/>
    </row>
    <row r="1656" spans="1:10" s="2" customFormat="1">
      <c r="A1656" s="1"/>
      <c r="E1656"/>
      <c r="F1656"/>
      <c r="G1656"/>
      <c r="H1656"/>
      <c r="I1656"/>
      <c r="J1656"/>
    </row>
    <row r="1657" spans="1:10" s="2" customFormat="1">
      <c r="A1657" s="1"/>
      <c r="E1657"/>
      <c r="F1657"/>
      <c r="G1657"/>
      <c r="H1657"/>
      <c r="I1657"/>
      <c r="J1657"/>
    </row>
    <row r="1658" spans="1:10" s="2" customFormat="1">
      <c r="A1658" s="1"/>
      <c r="E1658"/>
      <c r="F1658"/>
      <c r="G1658"/>
      <c r="H1658"/>
      <c r="I1658"/>
      <c r="J1658"/>
    </row>
    <row r="1659" spans="1:10" s="2" customFormat="1">
      <c r="A1659" s="1"/>
      <c r="E1659"/>
      <c r="F1659"/>
      <c r="G1659"/>
      <c r="H1659"/>
      <c r="I1659"/>
      <c r="J1659"/>
    </row>
    <row r="1660" spans="1:10" s="2" customFormat="1">
      <c r="A1660" s="1"/>
      <c r="E1660"/>
      <c r="F1660"/>
      <c r="G1660"/>
      <c r="H1660"/>
      <c r="I1660"/>
      <c r="J1660"/>
    </row>
    <row r="1661" spans="1:10" s="2" customFormat="1">
      <c r="A1661" s="1"/>
      <c r="E1661"/>
      <c r="F1661"/>
      <c r="G1661"/>
      <c r="H1661"/>
      <c r="I1661"/>
      <c r="J1661"/>
    </row>
    <row r="1662" spans="1:10" s="2" customFormat="1">
      <c r="A1662" s="1"/>
      <c r="E1662"/>
      <c r="F1662"/>
      <c r="G1662"/>
      <c r="H1662"/>
      <c r="I1662"/>
      <c r="J1662"/>
    </row>
    <row r="1663" spans="1:10" s="2" customFormat="1">
      <c r="A1663" s="1"/>
      <c r="E1663"/>
      <c r="F1663"/>
      <c r="G1663"/>
      <c r="H1663"/>
      <c r="I1663"/>
      <c r="J1663"/>
    </row>
    <row r="1664" spans="1:10" s="2" customFormat="1">
      <c r="A1664" s="1"/>
      <c r="E1664"/>
      <c r="F1664"/>
      <c r="G1664"/>
      <c r="H1664"/>
      <c r="I1664"/>
      <c r="J1664"/>
    </row>
    <row r="1665" spans="1:10" s="2" customFormat="1">
      <c r="A1665" s="1"/>
      <c r="E1665"/>
      <c r="F1665"/>
      <c r="G1665"/>
      <c r="H1665"/>
      <c r="I1665"/>
      <c r="J1665"/>
    </row>
    <row r="1666" spans="1:10" s="2" customFormat="1">
      <c r="A1666" s="1"/>
      <c r="E1666"/>
      <c r="F1666"/>
      <c r="G1666"/>
      <c r="H1666"/>
      <c r="I1666"/>
      <c r="J1666"/>
    </row>
    <row r="1667" spans="1:10" s="2" customFormat="1">
      <c r="A1667" s="1"/>
      <c r="E1667"/>
      <c r="F1667"/>
      <c r="G1667"/>
      <c r="H1667"/>
      <c r="I1667"/>
      <c r="J1667"/>
    </row>
    <row r="1668" spans="1:10" s="2" customFormat="1">
      <c r="A1668" s="1"/>
      <c r="E1668"/>
      <c r="F1668"/>
      <c r="G1668"/>
      <c r="H1668"/>
      <c r="I1668"/>
      <c r="J1668"/>
    </row>
    <row r="1669" spans="1:10" s="2" customFormat="1">
      <c r="A1669" s="1"/>
      <c r="E1669"/>
      <c r="F1669"/>
      <c r="G1669"/>
      <c r="H1669"/>
      <c r="I1669"/>
      <c r="J1669"/>
    </row>
    <row r="1670" spans="1:10" s="2" customFormat="1">
      <c r="A1670" s="1"/>
      <c r="E1670"/>
      <c r="F1670"/>
      <c r="G1670"/>
      <c r="H1670"/>
      <c r="I1670"/>
      <c r="J1670"/>
    </row>
    <row r="1671" spans="1:10" s="2" customFormat="1">
      <c r="A1671" s="1"/>
      <c r="E1671"/>
      <c r="F1671"/>
      <c r="G1671"/>
      <c r="H1671"/>
      <c r="I1671"/>
      <c r="J1671"/>
    </row>
    <row r="1672" spans="1:10" s="2" customFormat="1">
      <c r="A1672" s="1"/>
      <c r="E1672"/>
      <c r="F1672"/>
      <c r="G1672"/>
      <c r="H1672"/>
      <c r="I1672"/>
      <c r="J1672"/>
    </row>
    <row r="1673" spans="1:10" s="2" customFormat="1">
      <c r="A1673" s="1"/>
      <c r="E1673"/>
      <c r="F1673"/>
      <c r="G1673"/>
      <c r="H1673"/>
      <c r="I1673"/>
      <c r="J1673"/>
    </row>
    <row r="1674" spans="1:10" s="2" customFormat="1">
      <c r="A1674" s="1"/>
      <c r="E1674"/>
      <c r="F1674"/>
      <c r="G1674"/>
      <c r="H1674"/>
      <c r="I1674"/>
      <c r="J1674"/>
    </row>
    <row r="1675" spans="1:10" s="2" customFormat="1">
      <c r="A1675" s="1"/>
      <c r="E1675"/>
      <c r="F1675"/>
      <c r="G1675"/>
      <c r="H1675"/>
      <c r="I1675"/>
      <c r="J1675"/>
    </row>
    <row r="1676" spans="1:10" s="2" customFormat="1">
      <c r="A1676" s="1"/>
      <c r="E1676"/>
      <c r="F1676"/>
      <c r="G1676"/>
      <c r="H1676"/>
      <c r="I1676"/>
      <c r="J1676"/>
    </row>
    <row r="1677" spans="1:10" s="2" customFormat="1">
      <c r="A1677" s="1"/>
      <c r="E1677"/>
      <c r="F1677"/>
      <c r="G1677"/>
      <c r="H1677"/>
      <c r="I1677"/>
      <c r="J1677"/>
    </row>
    <row r="1678" spans="1:10" s="2" customFormat="1">
      <c r="A1678" s="1"/>
      <c r="E1678"/>
      <c r="F1678"/>
      <c r="G1678"/>
      <c r="H1678"/>
      <c r="I1678"/>
      <c r="J1678"/>
    </row>
    <row r="1679" spans="1:10" s="2" customFormat="1">
      <c r="A1679" s="1"/>
      <c r="E1679"/>
      <c r="F1679"/>
      <c r="G1679"/>
      <c r="H1679"/>
      <c r="I1679"/>
      <c r="J1679"/>
    </row>
    <row r="1680" spans="1:10" s="2" customFormat="1">
      <c r="A1680" s="1"/>
      <c r="E1680"/>
      <c r="F1680"/>
      <c r="G1680"/>
      <c r="H1680"/>
      <c r="I1680"/>
      <c r="J1680"/>
    </row>
    <row r="1681" spans="1:10" s="2" customFormat="1">
      <c r="A1681" s="1"/>
      <c r="E1681"/>
      <c r="F1681"/>
      <c r="G1681"/>
      <c r="H1681"/>
      <c r="I1681"/>
      <c r="J1681"/>
    </row>
    <row r="1682" spans="1:10" s="2" customFormat="1">
      <c r="A1682" s="1"/>
      <c r="E1682"/>
      <c r="F1682"/>
      <c r="G1682"/>
      <c r="H1682"/>
      <c r="I1682"/>
      <c r="J1682"/>
    </row>
    <row r="1683" spans="1:10" s="2" customFormat="1">
      <c r="A1683" s="1"/>
      <c r="E1683"/>
      <c r="F1683"/>
      <c r="G1683"/>
      <c r="H1683"/>
      <c r="I1683"/>
      <c r="J1683"/>
    </row>
    <row r="1684" spans="1:10" s="2" customFormat="1">
      <c r="A1684" s="1"/>
      <c r="E1684"/>
      <c r="F1684"/>
      <c r="G1684"/>
      <c r="H1684"/>
      <c r="I1684"/>
      <c r="J1684"/>
    </row>
    <row r="1685" spans="1:10" s="2" customFormat="1">
      <c r="A1685" s="1"/>
      <c r="E1685"/>
      <c r="F1685"/>
      <c r="G1685"/>
      <c r="H1685"/>
      <c r="I1685"/>
      <c r="J1685"/>
    </row>
    <row r="1686" spans="1:10" s="2" customFormat="1">
      <c r="A1686" s="1"/>
      <c r="E1686"/>
      <c r="F1686"/>
      <c r="G1686"/>
      <c r="H1686"/>
      <c r="I1686"/>
      <c r="J1686"/>
    </row>
    <row r="1687" spans="1:10" s="2" customFormat="1">
      <c r="A1687" s="1"/>
      <c r="E1687"/>
      <c r="F1687"/>
      <c r="G1687"/>
      <c r="H1687"/>
      <c r="I1687"/>
      <c r="J1687"/>
    </row>
    <row r="1688" spans="1:10" s="2" customFormat="1">
      <c r="A1688" s="1"/>
      <c r="E1688"/>
      <c r="F1688"/>
      <c r="G1688"/>
      <c r="H1688"/>
      <c r="I1688"/>
      <c r="J1688"/>
    </row>
    <row r="1689" spans="1:10" s="2" customFormat="1">
      <c r="A1689" s="1"/>
      <c r="E1689"/>
      <c r="F1689"/>
      <c r="G1689"/>
      <c r="H1689"/>
      <c r="I1689"/>
      <c r="J1689"/>
    </row>
    <row r="1690" spans="1:10" s="2" customFormat="1">
      <c r="A1690" s="1"/>
      <c r="E1690"/>
      <c r="F1690"/>
      <c r="G1690"/>
      <c r="H1690"/>
      <c r="I1690"/>
      <c r="J1690"/>
    </row>
    <row r="1691" spans="1:10" s="2" customFormat="1">
      <c r="A1691" s="1"/>
      <c r="E1691"/>
      <c r="F1691"/>
      <c r="G1691"/>
      <c r="H1691"/>
      <c r="I1691"/>
      <c r="J1691"/>
    </row>
    <row r="1692" spans="1:10" s="2" customFormat="1">
      <c r="A1692" s="1"/>
      <c r="E1692"/>
      <c r="F1692"/>
      <c r="G1692"/>
      <c r="H1692"/>
      <c r="I1692"/>
      <c r="J1692"/>
    </row>
    <row r="1693" spans="1:10" s="2" customFormat="1">
      <c r="A1693" s="1"/>
      <c r="E1693"/>
      <c r="F1693"/>
      <c r="G1693"/>
      <c r="H1693"/>
      <c r="I1693"/>
      <c r="J1693"/>
    </row>
    <row r="1694" spans="1:10" s="2" customFormat="1">
      <c r="A1694" s="1"/>
      <c r="E1694"/>
      <c r="F1694"/>
      <c r="G1694"/>
      <c r="H1694"/>
      <c r="I1694"/>
      <c r="J1694"/>
    </row>
    <row r="1695" spans="1:10" s="2" customFormat="1">
      <c r="A1695" s="1"/>
      <c r="E1695"/>
      <c r="F1695"/>
      <c r="G1695"/>
      <c r="H1695"/>
      <c r="I1695"/>
      <c r="J1695"/>
    </row>
    <row r="1696" spans="1:10" s="2" customFormat="1">
      <c r="A1696" s="1"/>
      <c r="E1696"/>
      <c r="F1696"/>
      <c r="G1696"/>
      <c r="H1696"/>
      <c r="I1696"/>
      <c r="J1696"/>
    </row>
    <row r="1697" spans="1:10" s="2" customFormat="1">
      <c r="A1697" s="1"/>
      <c r="E1697"/>
      <c r="F1697"/>
      <c r="G1697"/>
      <c r="H1697"/>
      <c r="I1697"/>
      <c r="J1697"/>
    </row>
    <row r="1698" spans="1:10" s="2" customFormat="1">
      <c r="A1698" s="1"/>
      <c r="E1698"/>
      <c r="F1698"/>
      <c r="G1698"/>
      <c r="H1698"/>
      <c r="I1698"/>
      <c r="J1698"/>
    </row>
    <row r="1699" spans="1:10" s="2" customFormat="1">
      <c r="A1699" s="1"/>
      <c r="E1699"/>
      <c r="F1699"/>
      <c r="G1699"/>
      <c r="H1699"/>
      <c r="I1699"/>
      <c r="J1699"/>
    </row>
    <row r="1700" spans="1:10" s="2" customFormat="1">
      <c r="A1700" s="1"/>
      <c r="E1700"/>
      <c r="F1700"/>
      <c r="G1700"/>
      <c r="H1700"/>
      <c r="I1700"/>
      <c r="J1700"/>
    </row>
    <row r="1701" spans="1:10" s="2" customFormat="1">
      <c r="A1701" s="1"/>
      <c r="E1701"/>
      <c r="F1701"/>
      <c r="G1701"/>
      <c r="H1701"/>
      <c r="I1701"/>
      <c r="J1701"/>
    </row>
    <row r="1702" spans="1:10" s="2" customFormat="1">
      <c r="A1702" s="1"/>
      <c r="E1702"/>
      <c r="F1702"/>
      <c r="G1702"/>
      <c r="H1702"/>
      <c r="I1702"/>
      <c r="J1702"/>
    </row>
    <row r="1703" spans="1:10" s="2" customFormat="1">
      <c r="A1703" s="1"/>
      <c r="E1703"/>
      <c r="F1703"/>
      <c r="G1703"/>
      <c r="H1703"/>
      <c r="I1703"/>
      <c r="J1703"/>
    </row>
    <row r="1704" spans="1:10" s="2" customFormat="1">
      <c r="A1704" s="1"/>
      <c r="E1704"/>
      <c r="F1704"/>
      <c r="G1704"/>
      <c r="H1704"/>
      <c r="I1704"/>
      <c r="J1704"/>
    </row>
    <row r="1705" spans="1:10" s="2" customFormat="1">
      <c r="A1705" s="1"/>
      <c r="E1705"/>
      <c r="F1705"/>
      <c r="G1705"/>
      <c r="H1705"/>
      <c r="I1705"/>
      <c r="J1705"/>
    </row>
    <row r="1706" spans="1:10" s="2" customFormat="1">
      <c r="A1706" s="1"/>
      <c r="E1706"/>
      <c r="F1706"/>
      <c r="G1706"/>
      <c r="H1706"/>
      <c r="I1706"/>
      <c r="J1706"/>
    </row>
    <row r="1707" spans="1:10" s="2" customFormat="1">
      <c r="A1707" s="1"/>
      <c r="E1707"/>
      <c r="F1707"/>
      <c r="G1707"/>
      <c r="H1707"/>
      <c r="I1707"/>
      <c r="J1707"/>
    </row>
    <row r="1708" spans="1:10" s="2" customFormat="1">
      <c r="A1708" s="1"/>
      <c r="E1708"/>
      <c r="F1708"/>
      <c r="G1708"/>
      <c r="H1708"/>
      <c r="I1708"/>
      <c r="J1708"/>
    </row>
    <row r="1709" spans="1:10" s="2" customFormat="1">
      <c r="A1709" s="1"/>
      <c r="E1709"/>
      <c r="F1709"/>
      <c r="G1709"/>
      <c r="H1709"/>
      <c r="I1709"/>
      <c r="J1709"/>
    </row>
    <row r="1710" spans="1:10" s="2" customFormat="1">
      <c r="A1710" s="1"/>
      <c r="E1710"/>
      <c r="F1710"/>
      <c r="G1710"/>
      <c r="H1710"/>
      <c r="I1710"/>
      <c r="J1710"/>
    </row>
    <row r="1711" spans="1:10" s="2" customFormat="1">
      <c r="A1711" s="1"/>
      <c r="E1711"/>
      <c r="F1711"/>
      <c r="G1711"/>
      <c r="H1711"/>
      <c r="I1711"/>
      <c r="J1711"/>
    </row>
    <row r="1712" spans="1:10" s="2" customFormat="1">
      <c r="A1712" s="1"/>
      <c r="E1712"/>
      <c r="F1712"/>
      <c r="G1712"/>
      <c r="H1712"/>
      <c r="I1712"/>
      <c r="J1712"/>
    </row>
    <row r="1713" spans="1:10" s="2" customFormat="1">
      <c r="A1713" s="1"/>
      <c r="E1713"/>
      <c r="F1713"/>
      <c r="G1713"/>
      <c r="H1713"/>
      <c r="I1713"/>
      <c r="J1713"/>
    </row>
    <row r="1714" spans="1:10" s="2" customFormat="1">
      <c r="A1714" s="1"/>
      <c r="E1714"/>
      <c r="F1714"/>
      <c r="G1714"/>
      <c r="H1714"/>
      <c r="I1714"/>
      <c r="J1714"/>
    </row>
    <row r="1715" spans="1:10" s="2" customFormat="1">
      <c r="A1715" s="1"/>
      <c r="E1715"/>
      <c r="F1715"/>
      <c r="G1715"/>
      <c r="H1715"/>
      <c r="I1715"/>
      <c r="J1715"/>
    </row>
    <row r="1716" spans="1:10" s="2" customFormat="1">
      <c r="A1716" s="1"/>
      <c r="E1716"/>
      <c r="F1716"/>
      <c r="G1716"/>
      <c r="H1716"/>
      <c r="I1716"/>
      <c r="J1716"/>
    </row>
    <row r="1717" spans="1:10" s="2" customFormat="1">
      <c r="A1717" s="1"/>
      <c r="E1717"/>
      <c r="F1717"/>
      <c r="G1717"/>
      <c r="H1717"/>
      <c r="I1717"/>
      <c r="J1717"/>
    </row>
    <row r="1718" spans="1:10" s="2" customFormat="1">
      <c r="A1718" s="1"/>
      <c r="E1718"/>
      <c r="F1718"/>
      <c r="G1718"/>
      <c r="H1718"/>
      <c r="I1718"/>
      <c r="J1718"/>
    </row>
    <row r="1719" spans="1:10" s="2" customFormat="1">
      <c r="A1719" s="1"/>
      <c r="E1719"/>
      <c r="F1719"/>
      <c r="G1719"/>
      <c r="H1719"/>
      <c r="I1719"/>
      <c r="J1719"/>
    </row>
    <row r="1720" spans="1:10" s="2" customFormat="1">
      <c r="A1720" s="1"/>
      <c r="E1720"/>
      <c r="F1720"/>
      <c r="G1720"/>
      <c r="H1720"/>
      <c r="I1720"/>
      <c r="J1720"/>
    </row>
    <row r="1721" spans="1:10" s="2" customFormat="1">
      <c r="A1721" s="1"/>
      <c r="E1721"/>
      <c r="F1721"/>
      <c r="G1721"/>
      <c r="H1721"/>
      <c r="I1721"/>
      <c r="J1721"/>
    </row>
    <row r="1722" spans="1:10" s="2" customFormat="1">
      <c r="A1722" s="1"/>
      <c r="E1722"/>
      <c r="F1722"/>
      <c r="G1722"/>
      <c r="H1722"/>
      <c r="I1722"/>
      <c r="J1722"/>
    </row>
    <row r="1723" spans="1:10" s="2" customFormat="1">
      <c r="A1723" s="1"/>
      <c r="E1723"/>
      <c r="F1723"/>
      <c r="G1723"/>
      <c r="H1723"/>
      <c r="I1723"/>
      <c r="J1723"/>
    </row>
    <row r="1724" spans="1:10" s="2" customFormat="1">
      <c r="A1724" s="1"/>
      <c r="E1724"/>
      <c r="F1724"/>
      <c r="G1724"/>
      <c r="H1724"/>
      <c r="I1724"/>
      <c r="J1724"/>
    </row>
    <row r="1725" spans="1:10" s="2" customFormat="1">
      <c r="A1725" s="1"/>
      <c r="E1725"/>
      <c r="F1725"/>
      <c r="G1725"/>
      <c r="H1725"/>
      <c r="I1725"/>
      <c r="J1725"/>
    </row>
    <row r="1726" spans="1:10" s="2" customFormat="1">
      <c r="A1726" s="1"/>
      <c r="E1726"/>
      <c r="F1726"/>
      <c r="G1726"/>
      <c r="H1726"/>
      <c r="I1726"/>
      <c r="J1726"/>
    </row>
    <row r="1727" spans="1:10" s="2" customFormat="1">
      <c r="A1727" s="1"/>
      <c r="E1727"/>
      <c r="F1727"/>
      <c r="G1727"/>
      <c r="H1727"/>
      <c r="I1727"/>
      <c r="J1727"/>
    </row>
    <row r="1728" spans="1:10" s="2" customFormat="1">
      <c r="A1728" s="1"/>
      <c r="E1728"/>
      <c r="F1728"/>
      <c r="G1728"/>
      <c r="H1728"/>
      <c r="I1728"/>
      <c r="J1728"/>
    </row>
    <row r="1729" spans="1:10" s="2" customFormat="1">
      <c r="A1729" s="1"/>
      <c r="E1729"/>
      <c r="F1729"/>
      <c r="G1729"/>
      <c r="H1729"/>
      <c r="I1729"/>
      <c r="J1729"/>
    </row>
    <row r="1730" spans="1:10" s="2" customFormat="1">
      <c r="A1730" s="1"/>
      <c r="E1730"/>
      <c r="F1730"/>
      <c r="G1730"/>
      <c r="H1730"/>
      <c r="I1730"/>
      <c r="J1730"/>
    </row>
    <row r="1731" spans="1:10" s="2" customFormat="1">
      <c r="A1731" s="1"/>
      <c r="E1731"/>
      <c r="F1731"/>
      <c r="G1731"/>
      <c r="H1731"/>
      <c r="I1731"/>
      <c r="J1731"/>
    </row>
    <row r="1732" spans="1:10" s="2" customFormat="1">
      <c r="A1732" s="1"/>
      <c r="E1732"/>
      <c r="F1732"/>
      <c r="G1732"/>
      <c r="H1732"/>
      <c r="I1732"/>
      <c r="J1732"/>
    </row>
    <row r="1733" spans="1:10" s="2" customFormat="1">
      <c r="A1733" s="1"/>
      <c r="E1733"/>
      <c r="F1733"/>
      <c r="G1733"/>
      <c r="H1733"/>
      <c r="I1733"/>
      <c r="J1733"/>
    </row>
    <row r="1734" spans="1:10" s="2" customFormat="1">
      <c r="A1734" s="1"/>
      <c r="E1734"/>
      <c r="F1734"/>
      <c r="G1734"/>
      <c r="H1734"/>
      <c r="I1734"/>
      <c r="J1734"/>
    </row>
    <row r="1735" spans="1:10" s="2" customFormat="1">
      <c r="A1735" s="1"/>
      <c r="E1735"/>
      <c r="F1735"/>
      <c r="G1735"/>
      <c r="H1735"/>
      <c r="I1735"/>
      <c r="J1735"/>
    </row>
    <row r="1736" spans="1:10" s="2" customFormat="1">
      <c r="A1736" s="1"/>
      <c r="E1736"/>
      <c r="F1736"/>
      <c r="G1736"/>
      <c r="H1736"/>
      <c r="I1736"/>
      <c r="J1736"/>
    </row>
    <row r="1737" spans="1:10" s="2" customFormat="1">
      <c r="A1737" s="1"/>
      <c r="E1737"/>
      <c r="F1737"/>
      <c r="G1737"/>
      <c r="H1737"/>
      <c r="I1737"/>
      <c r="J1737"/>
    </row>
    <row r="1738" spans="1:10" s="2" customFormat="1">
      <c r="A1738" s="1"/>
      <c r="E1738"/>
      <c r="F1738"/>
      <c r="G1738"/>
      <c r="H1738"/>
      <c r="I1738"/>
      <c r="J1738"/>
    </row>
    <row r="1739" spans="1:10" s="2" customFormat="1">
      <c r="A1739" s="1"/>
      <c r="E1739"/>
      <c r="F1739"/>
      <c r="G1739"/>
      <c r="H1739"/>
      <c r="I1739"/>
      <c r="J1739"/>
    </row>
    <row r="1740" spans="1:10" s="2" customFormat="1">
      <c r="A1740" s="1"/>
      <c r="E1740"/>
      <c r="F1740"/>
      <c r="G1740"/>
      <c r="H1740"/>
      <c r="I1740"/>
      <c r="J1740"/>
    </row>
    <row r="1741" spans="1:10" s="2" customFormat="1">
      <c r="A1741" s="1"/>
      <c r="E1741"/>
      <c r="F1741"/>
      <c r="G1741"/>
      <c r="H1741"/>
      <c r="I1741"/>
      <c r="J1741"/>
    </row>
    <row r="1742" spans="1:10" s="2" customFormat="1">
      <c r="A1742" s="1"/>
      <c r="E1742"/>
      <c r="F1742"/>
      <c r="G1742"/>
      <c r="H1742"/>
      <c r="I1742"/>
      <c r="J1742"/>
    </row>
    <row r="1743" spans="1:10" s="2" customFormat="1">
      <c r="A1743" s="1"/>
      <c r="E1743"/>
      <c r="F1743"/>
      <c r="G1743"/>
      <c r="H1743"/>
      <c r="I1743"/>
      <c r="J1743"/>
    </row>
    <row r="1744" spans="1:10" s="2" customFormat="1">
      <c r="A1744" s="1"/>
      <c r="E1744"/>
      <c r="F1744"/>
      <c r="G1744"/>
      <c r="H1744"/>
      <c r="I1744"/>
      <c r="J1744"/>
    </row>
    <row r="1745" spans="1:10" s="2" customFormat="1">
      <c r="A1745" s="1"/>
      <c r="E1745"/>
      <c r="F1745"/>
      <c r="G1745"/>
      <c r="H1745"/>
      <c r="I1745"/>
      <c r="J1745"/>
    </row>
    <row r="1746" spans="1:10" s="2" customFormat="1">
      <c r="A1746" s="1"/>
      <c r="E1746"/>
      <c r="F1746"/>
      <c r="G1746"/>
      <c r="H1746"/>
      <c r="I1746"/>
      <c r="J1746"/>
    </row>
    <row r="1747" spans="1:10" s="2" customFormat="1">
      <c r="A1747" s="1"/>
      <c r="E1747"/>
      <c r="F1747"/>
      <c r="G1747"/>
      <c r="H1747"/>
      <c r="I1747"/>
      <c r="J1747"/>
    </row>
    <row r="1748" spans="1:10" s="2" customFormat="1">
      <c r="A1748" s="1"/>
      <c r="E1748"/>
      <c r="F1748"/>
      <c r="G1748"/>
      <c r="H1748"/>
      <c r="I1748"/>
      <c r="J1748"/>
    </row>
    <row r="1749" spans="1:10" s="2" customFormat="1">
      <c r="A1749" s="1"/>
      <c r="E1749"/>
      <c r="F1749"/>
      <c r="G1749"/>
      <c r="H1749"/>
      <c r="I1749"/>
      <c r="J1749"/>
    </row>
    <row r="1750" spans="1:10" s="2" customFormat="1">
      <c r="A1750" s="1"/>
      <c r="E1750"/>
      <c r="F1750"/>
      <c r="G1750"/>
      <c r="H1750"/>
      <c r="I1750"/>
      <c r="J1750"/>
    </row>
    <row r="1751" spans="1:10" s="2" customFormat="1">
      <c r="A1751" s="1"/>
      <c r="E1751"/>
      <c r="F1751"/>
      <c r="G1751"/>
      <c r="H1751"/>
      <c r="I1751"/>
      <c r="J1751"/>
    </row>
    <row r="1752" spans="1:10" s="2" customFormat="1">
      <c r="A1752" s="1"/>
      <c r="E1752"/>
      <c r="F1752"/>
      <c r="G1752"/>
      <c r="H1752"/>
      <c r="I1752"/>
      <c r="J1752"/>
    </row>
    <row r="1753" spans="1:10" s="2" customFormat="1">
      <c r="A1753" s="1"/>
      <c r="E1753"/>
      <c r="F1753"/>
      <c r="G1753"/>
      <c r="H1753"/>
      <c r="I1753"/>
      <c r="J1753"/>
    </row>
    <row r="1754" spans="1:10" s="2" customFormat="1">
      <c r="A1754" s="1"/>
      <c r="E1754"/>
      <c r="F1754"/>
      <c r="G1754"/>
      <c r="H1754"/>
      <c r="I1754"/>
      <c r="J1754"/>
    </row>
    <row r="1755" spans="1:10" s="2" customFormat="1">
      <c r="A1755" s="1"/>
      <c r="E1755"/>
      <c r="F1755"/>
      <c r="G1755"/>
      <c r="H1755"/>
      <c r="I1755"/>
      <c r="J1755"/>
    </row>
    <row r="1756" spans="1:10" s="2" customFormat="1">
      <c r="A1756" s="1"/>
      <c r="E1756"/>
      <c r="F1756"/>
      <c r="G1756"/>
      <c r="H1756"/>
      <c r="I1756"/>
      <c r="J1756"/>
    </row>
    <row r="1757" spans="1:10" s="2" customFormat="1">
      <c r="A1757" s="1"/>
      <c r="E1757"/>
      <c r="F1757"/>
      <c r="G1757"/>
      <c r="H1757"/>
      <c r="I1757"/>
      <c r="J1757"/>
    </row>
    <row r="1758" spans="1:10" s="2" customFormat="1">
      <c r="A1758" s="1"/>
      <c r="E1758"/>
      <c r="F1758"/>
      <c r="G1758"/>
      <c r="H1758"/>
      <c r="I1758"/>
      <c r="J1758"/>
    </row>
    <row r="1759" spans="1:10" s="2" customFormat="1">
      <c r="A1759" s="1"/>
      <c r="E1759"/>
      <c r="F1759"/>
      <c r="G1759"/>
      <c r="H1759"/>
      <c r="I1759"/>
      <c r="J1759"/>
    </row>
    <row r="1760" spans="1:10" s="2" customFormat="1">
      <c r="A1760" s="1"/>
      <c r="E1760"/>
      <c r="F1760"/>
      <c r="G1760"/>
      <c r="H1760"/>
      <c r="I1760"/>
      <c r="J1760"/>
    </row>
    <row r="1761" spans="1:10" s="2" customFormat="1">
      <c r="A1761" s="1"/>
      <c r="E1761"/>
      <c r="F1761"/>
      <c r="G1761"/>
      <c r="H1761"/>
      <c r="I1761"/>
      <c r="J1761"/>
    </row>
    <row r="1762" spans="1:10" s="2" customFormat="1">
      <c r="A1762" s="1"/>
      <c r="E1762"/>
      <c r="F1762"/>
      <c r="G1762"/>
      <c r="H1762"/>
      <c r="I1762"/>
      <c r="J1762"/>
    </row>
    <row r="1763" spans="1:10" s="2" customFormat="1">
      <c r="A1763" s="1"/>
      <c r="E1763"/>
      <c r="F1763"/>
      <c r="G1763"/>
      <c r="H1763"/>
      <c r="I1763"/>
      <c r="J1763"/>
    </row>
    <row r="1764" spans="1:10" s="2" customFormat="1">
      <c r="A1764" s="1"/>
      <c r="E1764"/>
      <c r="F1764"/>
      <c r="G1764"/>
      <c r="H1764"/>
      <c r="I1764"/>
      <c r="J1764"/>
    </row>
    <row r="1765" spans="1:10" s="2" customFormat="1">
      <c r="A1765" s="1"/>
      <c r="E1765"/>
      <c r="F1765"/>
      <c r="G1765"/>
      <c r="H1765"/>
      <c r="I1765"/>
      <c r="J1765"/>
    </row>
    <row r="1766" spans="1:10" s="2" customFormat="1">
      <c r="A1766" s="1"/>
      <c r="E1766"/>
      <c r="F1766"/>
      <c r="G1766"/>
      <c r="H1766"/>
      <c r="I1766"/>
      <c r="J1766"/>
    </row>
    <row r="1767" spans="1:10" s="2" customFormat="1">
      <c r="A1767" s="1"/>
      <c r="E1767"/>
      <c r="F1767"/>
      <c r="G1767"/>
      <c r="H1767"/>
      <c r="I1767"/>
      <c r="J1767"/>
    </row>
    <row r="1768" spans="1:10" s="2" customFormat="1">
      <c r="A1768" s="1"/>
      <c r="E1768"/>
      <c r="F1768"/>
      <c r="G1768"/>
      <c r="H1768"/>
      <c r="I1768"/>
      <c r="J1768"/>
    </row>
    <row r="1769" spans="1:10" s="2" customFormat="1">
      <c r="A1769" s="1"/>
      <c r="E1769"/>
      <c r="F1769"/>
      <c r="G1769"/>
      <c r="H1769"/>
      <c r="I1769"/>
      <c r="J1769"/>
    </row>
    <row r="1770" spans="1:10" s="2" customFormat="1">
      <c r="A1770" s="1"/>
      <c r="E1770"/>
      <c r="F1770"/>
      <c r="G1770"/>
      <c r="H1770"/>
      <c r="I1770"/>
      <c r="J1770"/>
    </row>
    <row r="1771" spans="1:10" s="2" customFormat="1">
      <c r="A1771" s="1"/>
      <c r="E1771"/>
      <c r="F1771"/>
      <c r="G1771"/>
      <c r="H1771"/>
      <c r="I1771"/>
      <c r="J1771"/>
    </row>
    <row r="1772" spans="1:10" s="2" customFormat="1">
      <c r="A1772" s="1"/>
      <c r="E1772"/>
      <c r="F1772"/>
      <c r="G1772"/>
      <c r="H1772"/>
      <c r="I1772"/>
      <c r="J1772"/>
    </row>
    <row r="1773" spans="1:10" s="2" customFormat="1">
      <c r="A1773" s="1"/>
      <c r="E1773"/>
      <c r="F1773"/>
      <c r="G1773"/>
      <c r="H1773"/>
      <c r="I1773"/>
      <c r="J1773"/>
    </row>
    <row r="1774" spans="1:10" s="2" customFormat="1">
      <c r="A1774" s="1"/>
      <c r="E1774"/>
      <c r="F1774"/>
      <c r="G1774"/>
      <c r="H1774"/>
      <c r="I1774"/>
      <c r="J1774"/>
    </row>
    <row r="1775" spans="1:10" s="2" customFormat="1">
      <c r="A1775" s="1"/>
      <c r="E1775"/>
      <c r="F1775"/>
      <c r="G1775"/>
      <c r="H1775"/>
      <c r="I1775"/>
      <c r="J1775"/>
    </row>
    <row r="1776" spans="1:10" s="2" customFormat="1">
      <c r="A1776" s="1"/>
      <c r="E1776"/>
      <c r="F1776"/>
      <c r="G1776"/>
      <c r="H1776"/>
      <c r="I1776"/>
      <c r="J1776"/>
    </row>
    <row r="1777" spans="1:10" s="2" customFormat="1">
      <c r="A1777" s="1"/>
      <c r="E1777"/>
      <c r="F1777"/>
      <c r="G1777"/>
      <c r="H1777"/>
      <c r="I1777"/>
      <c r="J1777"/>
    </row>
    <row r="1778" spans="1:10" s="2" customFormat="1">
      <c r="A1778" s="1"/>
      <c r="E1778"/>
      <c r="F1778"/>
      <c r="G1778"/>
      <c r="H1778"/>
      <c r="I1778"/>
      <c r="J1778"/>
    </row>
    <row r="1779" spans="1:10" s="2" customFormat="1">
      <c r="A1779" s="1"/>
      <c r="E1779"/>
      <c r="F1779"/>
      <c r="G1779"/>
      <c r="H1779"/>
      <c r="I1779"/>
      <c r="J1779"/>
    </row>
    <row r="1780" spans="1:10" s="2" customFormat="1">
      <c r="A1780" s="1"/>
      <c r="E1780"/>
      <c r="F1780"/>
      <c r="G1780"/>
      <c r="H1780"/>
      <c r="I1780"/>
      <c r="J1780"/>
    </row>
    <row r="1781" spans="1:10" s="2" customFormat="1">
      <c r="A1781" s="1"/>
      <c r="E1781"/>
      <c r="F1781"/>
      <c r="G1781"/>
      <c r="H1781"/>
      <c r="I1781"/>
      <c r="J1781"/>
    </row>
    <row r="1782" spans="1:10" s="2" customFormat="1">
      <c r="A1782" s="1"/>
      <c r="E1782"/>
      <c r="F1782"/>
      <c r="G1782"/>
      <c r="H1782"/>
      <c r="I1782"/>
      <c r="J1782"/>
    </row>
    <row r="1783" spans="1:10" s="2" customFormat="1">
      <c r="A1783" s="1"/>
      <c r="E1783"/>
      <c r="F1783"/>
      <c r="G1783"/>
      <c r="H1783"/>
      <c r="I1783"/>
      <c r="J1783"/>
    </row>
    <row r="1784" spans="1:10" s="2" customFormat="1">
      <c r="A1784" s="1"/>
      <c r="E1784"/>
      <c r="F1784"/>
      <c r="G1784"/>
      <c r="H1784"/>
      <c r="I1784"/>
      <c r="J1784"/>
    </row>
    <row r="1785" spans="1:10" s="2" customFormat="1">
      <c r="A1785" s="1"/>
      <c r="E1785"/>
      <c r="F1785"/>
      <c r="G1785"/>
      <c r="H1785"/>
      <c r="I1785"/>
      <c r="J1785"/>
    </row>
    <row r="1786" spans="1:10" s="2" customFormat="1">
      <c r="A1786" s="1"/>
      <c r="E1786"/>
      <c r="F1786"/>
      <c r="G1786"/>
      <c r="H1786"/>
      <c r="I1786"/>
      <c r="J1786"/>
    </row>
    <row r="1787" spans="1:10" s="2" customFormat="1">
      <c r="A1787" s="1"/>
      <c r="E1787"/>
      <c r="F1787"/>
      <c r="G1787"/>
      <c r="H1787"/>
      <c r="I1787"/>
      <c r="J1787"/>
    </row>
    <row r="1788" spans="1:10" s="2" customFormat="1">
      <c r="A1788" s="1"/>
      <c r="E1788"/>
      <c r="F1788"/>
      <c r="G1788"/>
      <c r="H1788"/>
      <c r="I1788"/>
      <c r="J1788"/>
    </row>
    <row r="1789" spans="1:10" s="2" customFormat="1">
      <c r="A1789" s="1"/>
      <c r="E1789"/>
      <c r="F1789"/>
      <c r="G1789"/>
      <c r="H1789"/>
      <c r="I1789"/>
      <c r="J1789"/>
    </row>
    <row r="1790" spans="1:10" s="2" customFormat="1">
      <c r="A1790" s="1"/>
      <c r="E1790"/>
      <c r="F1790"/>
      <c r="G1790"/>
      <c r="H1790"/>
      <c r="I1790"/>
      <c r="J1790"/>
    </row>
    <row r="1791" spans="1:10" s="2" customFormat="1">
      <c r="A1791" s="1"/>
      <c r="E1791"/>
      <c r="F1791"/>
      <c r="G1791"/>
      <c r="H1791"/>
      <c r="I1791"/>
      <c r="J1791"/>
    </row>
    <row r="1792" spans="1:10" s="2" customFormat="1">
      <c r="A1792" s="1"/>
      <c r="E1792"/>
      <c r="F1792"/>
      <c r="G1792"/>
      <c r="H1792"/>
      <c r="I1792"/>
      <c r="J1792"/>
    </row>
    <row r="1793" spans="1:10" s="2" customFormat="1">
      <c r="A1793" s="1"/>
      <c r="E1793"/>
      <c r="F1793"/>
      <c r="G1793"/>
      <c r="H1793"/>
      <c r="I1793"/>
      <c r="J1793"/>
    </row>
    <row r="1794" spans="1:10" s="2" customFormat="1">
      <c r="A1794" s="1"/>
      <c r="E1794"/>
      <c r="F1794"/>
      <c r="G1794"/>
      <c r="H1794"/>
      <c r="I1794"/>
      <c r="J1794"/>
    </row>
    <row r="1795" spans="1:10" s="2" customFormat="1">
      <c r="A1795" s="1"/>
      <c r="E1795"/>
      <c r="F1795"/>
      <c r="G1795"/>
      <c r="H1795"/>
      <c r="I1795"/>
      <c r="J1795"/>
    </row>
    <row r="1796" spans="1:10" s="2" customFormat="1">
      <c r="A1796" s="1"/>
      <c r="E1796"/>
      <c r="F1796"/>
      <c r="G1796"/>
      <c r="H1796"/>
      <c r="I1796"/>
      <c r="J1796"/>
    </row>
    <row r="1797" spans="1:10" s="2" customFormat="1">
      <c r="A1797" s="1"/>
      <c r="E1797"/>
      <c r="F1797"/>
      <c r="G1797"/>
      <c r="H1797"/>
      <c r="I1797"/>
      <c r="J1797"/>
    </row>
    <row r="1798" spans="1:10" s="2" customFormat="1">
      <c r="A1798" s="1"/>
      <c r="E1798"/>
      <c r="F1798"/>
      <c r="G1798"/>
      <c r="H1798"/>
      <c r="I1798"/>
      <c r="J1798"/>
    </row>
    <row r="1799" spans="1:10" s="2" customFormat="1">
      <c r="A1799" s="1"/>
      <c r="E1799"/>
      <c r="F1799"/>
      <c r="G1799"/>
      <c r="H1799"/>
      <c r="I1799"/>
      <c r="J1799"/>
    </row>
    <row r="1800" spans="1:10" s="2" customFormat="1">
      <c r="A1800" s="1"/>
      <c r="E1800"/>
      <c r="F1800"/>
      <c r="G1800"/>
      <c r="H1800"/>
      <c r="I1800"/>
      <c r="J1800"/>
    </row>
    <row r="1801" spans="1:10" s="2" customFormat="1">
      <c r="A1801" s="1"/>
      <c r="E1801"/>
      <c r="F1801"/>
      <c r="G1801"/>
      <c r="H1801"/>
      <c r="I1801"/>
      <c r="J1801"/>
    </row>
    <row r="1802" spans="1:10" s="2" customFormat="1">
      <c r="A1802" s="1"/>
      <c r="E1802"/>
      <c r="F1802"/>
      <c r="G1802"/>
      <c r="H1802"/>
      <c r="I1802"/>
      <c r="J1802"/>
    </row>
    <row r="1803" spans="1:10" s="2" customFormat="1">
      <c r="A1803" s="1"/>
      <c r="E1803"/>
      <c r="F1803"/>
      <c r="G1803"/>
      <c r="H1803"/>
      <c r="I1803"/>
      <c r="J1803"/>
    </row>
    <row r="1804" spans="1:10" s="2" customFormat="1">
      <c r="A1804" s="1"/>
      <c r="E1804"/>
      <c r="F1804"/>
      <c r="G1804"/>
      <c r="H1804"/>
      <c r="I1804"/>
      <c r="J1804"/>
    </row>
    <row r="1805" spans="1:10" s="2" customFormat="1">
      <c r="A1805" s="1"/>
      <c r="E1805"/>
      <c r="F1805"/>
      <c r="G1805"/>
      <c r="H1805"/>
      <c r="I1805"/>
      <c r="J1805"/>
    </row>
    <row r="1806" spans="1:10" s="2" customFormat="1">
      <c r="A1806" s="1"/>
      <c r="E1806"/>
      <c r="F1806"/>
      <c r="G1806"/>
      <c r="H1806"/>
      <c r="I1806"/>
      <c r="J1806"/>
    </row>
    <row r="1807" spans="1:10" s="2" customFormat="1">
      <c r="A1807" s="1"/>
      <c r="E1807"/>
      <c r="F1807"/>
      <c r="G1807"/>
      <c r="H1807"/>
      <c r="I1807"/>
      <c r="J1807"/>
    </row>
    <row r="1808" spans="1:10" s="2" customFormat="1">
      <c r="A1808" s="1"/>
      <c r="E1808"/>
      <c r="F1808"/>
      <c r="G1808"/>
      <c r="H1808"/>
      <c r="I1808"/>
      <c r="J1808"/>
    </row>
    <row r="1809" spans="1:10" s="2" customFormat="1">
      <c r="A1809" s="1"/>
      <c r="E1809"/>
      <c r="F1809"/>
      <c r="G1809"/>
      <c r="H1809"/>
      <c r="I1809"/>
      <c r="J1809"/>
    </row>
    <row r="1810" spans="1:10" s="2" customFormat="1">
      <c r="A1810" s="1"/>
      <c r="E1810"/>
      <c r="F1810"/>
      <c r="G1810"/>
      <c r="H1810"/>
      <c r="I1810"/>
      <c r="J1810"/>
    </row>
    <row r="1811" spans="1:10" s="2" customFormat="1">
      <c r="A1811" s="1"/>
      <c r="E1811"/>
      <c r="F1811"/>
      <c r="G1811"/>
      <c r="H1811"/>
      <c r="I1811"/>
      <c r="J1811"/>
    </row>
    <row r="1812" spans="1:10" s="2" customFormat="1">
      <c r="A1812" s="1"/>
      <c r="E1812"/>
      <c r="F1812"/>
      <c r="G1812"/>
      <c r="H1812"/>
      <c r="I1812"/>
      <c r="J1812"/>
    </row>
    <row r="1813" spans="1:10" s="2" customFormat="1">
      <c r="A1813" s="1"/>
      <c r="E1813"/>
      <c r="F1813"/>
      <c r="G1813"/>
      <c r="H1813"/>
      <c r="I1813"/>
      <c r="J1813"/>
    </row>
    <row r="1814" spans="1:10" s="2" customFormat="1">
      <c r="A1814" s="1"/>
      <c r="E1814"/>
      <c r="F1814"/>
      <c r="G1814"/>
      <c r="H1814"/>
      <c r="I1814"/>
      <c r="J1814"/>
    </row>
    <row r="1815" spans="1:10" s="2" customFormat="1">
      <c r="A1815" s="1"/>
      <c r="E1815"/>
      <c r="F1815"/>
      <c r="G1815"/>
      <c r="H1815"/>
      <c r="I1815"/>
      <c r="J1815"/>
    </row>
    <row r="1816" spans="1:10" s="2" customFormat="1">
      <c r="A1816" s="1"/>
      <c r="E1816"/>
      <c r="F1816"/>
      <c r="G1816"/>
      <c r="H1816"/>
      <c r="I1816"/>
      <c r="J1816"/>
    </row>
    <row r="1817" spans="1:10" s="2" customFormat="1">
      <c r="A1817" s="1"/>
      <c r="E1817"/>
      <c r="F1817"/>
      <c r="G1817"/>
      <c r="H1817"/>
      <c r="I1817"/>
      <c r="J1817"/>
    </row>
    <row r="1818" spans="1:10" s="2" customFormat="1">
      <c r="A1818" s="1"/>
      <c r="E1818"/>
      <c r="F1818"/>
      <c r="G1818"/>
      <c r="H1818"/>
      <c r="I1818"/>
      <c r="J1818"/>
    </row>
    <row r="1819" spans="1:10" s="2" customFormat="1">
      <c r="A1819" s="1"/>
      <c r="E1819"/>
      <c r="F1819"/>
      <c r="G1819"/>
      <c r="H1819"/>
      <c r="I1819"/>
      <c r="J1819"/>
    </row>
    <row r="1820" spans="1:10" s="2" customFormat="1">
      <c r="A1820" s="1"/>
      <c r="E1820"/>
      <c r="F1820"/>
      <c r="G1820"/>
      <c r="H1820"/>
      <c r="I1820"/>
      <c r="J1820"/>
    </row>
    <row r="1821" spans="1:10" s="2" customFormat="1">
      <c r="A1821" s="1"/>
      <c r="E1821"/>
      <c r="F1821"/>
      <c r="G1821"/>
      <c r="H1821"/>
      <c r="I1821"/>
      <c r="J1821"/>
    </row>
    <row r="1822" spans="1:10" s="2" customFormat="1">
      <c r="A1822" s="1"/>
      <c r="E1822"/>
      <c r="F1822"/>
      <c r="G1822"/>
      <c r="H1822"/>
      <c r="I1822"/>
      <c r="J1822"/>
    </row>
    <row r="1823" spans="1:10" s="2" customFormat="1">
      <c r="A1823" s="1"/>
      <c r="E1823"/>
      <c r="F1823"/>
      <c r="G1823"/>
      <c r="H1823"/>
      <c r="I1823"/>
      <c r="J1823"/>
    </row>
    <row r="1824" spans="1:10" s="2" customFormat="1">
      <c r="A1824" s="1"/>
      <c r="E1824"/>
      <c r="F1824"/>
      <c r="G1824"/>
      <c r="H1824"/>
      <c r="I1824"/>
      <c r="J1824"/>
    </row>
    <row r="1825" spans="1:10" s="2" customFormat="1">
      <c r="A1825" s="1"/>
      <c r="E1825"/>
      <c r="F1825"/>
      <c r="G1825"/>
      <c r="H1825"/>
      <c r="I1825"/>
      <c r="J1825"/>
    </row>
    <row r="1826" spans="1:10" s="2" customFormat="1">
      <c r="A1826" s="1"/>
      <c r="E1826"/>
      <c r="F1826"/>
      <c r="G1826"/>
      <c r="H1826"/>
      <c r="I1826"/>
      <c r="J1826"/>
    </row>
    <row r="1827" spans="1:10" s="2" customFormat="1">
      <c r="A1827" s="1"/>
      <c r="E1827"/>
      <c r="F1827"/>
      <c r="G1827"/>
      <c r="H1827"/>
      <c r="I1827"/>
      <c r="J1827"/>
    </row>
    <row r="1828" spans="1:10" s="2" customFormat="1">
      <c r="A1828" s="1"/>
      <c r="E1828"/>
      <c r="F1828"/>
      <c r="G1828"/>
      <c r="H1828"/>
      <c r="I1828"/>
      <c r="J1828"/>
    </row>
    <row r="1829" spans="1:10" s="2" customFormat="1">
      <c r="A1829" s="1"/>
      <c r="E1829"/>
      <c r="F1829"/>
      <c r="G1829"/>
      <c r="H1829"/>
      <c r="I1829"/>
      <c r="J1829"/>
    </row>
    <row r="1830" spans="1:10" s="2" customFormat="1">
      <c r="A1830" s="1"/>
      <c r="E1830"/>
      <c r="F1830"/>
      <c r="G1830"/>
      <c r="H1830"/>
      <c r="I1830"/>
      <c r="J1830"/>
    </row>
    <row r="1831" spans="1:10" s="2" customFormat="1">
      <c r="A1831" s="1"/>
      <c r="E1831"/>
      <c r="F1831"/>
      <c r="G1831"/>
      <c r="H1831"/>
      <c r="I1831"/>
      <c r="J1831"/>
    </row>
    <row r="1832" spans="1:10" s="2" customFormat="1">
      <c r="A1832" s="1"/>
      <c r="E1832"/>
      <c r="F1832"/>
      <c r="G1832"/>
      <c r="H1832"/>
      <c r="I1832"/>
      <c r="J1832"/>
    </row>
    <row r="1833" spans="1:10" s="2" customFormat="1">
      <c r="A1833" s="1"/>
      <c r="E1833"/>
      <c r="F1833"/>
      <c r="G1833"/>
      <c r="H1833"/>
      <c r="I1833"/>
      <c r="J1833"/>
    </row>
    <row r="1834" spans="1:10" s="2" customFormat="1">
      <c r="A1834" s="1"/>
      <c r="E1834"/>
      <c r="F1834"/>
      <c r="G1834"/>
      <c r="H1834"/>
      <c r="I1834"/>
      <c r="J1834"/>
    </row>
    <row r="1835" spans="1:10" s="2" customFormat="1">
      <c r="A1835" s="1"/>
      <c r="E1835"/>
      <c r="F1835"/>
      <c r="G1835"/>
      <c r="H1835"/>
      <c r="I1835"/>
      <c r="J1835"/>
    </row>
    <row r="1836" spans="1:10" s="2" customFormat="1">
      <c r="A1836" s="1"/>
      <c r="E1836"/>
      <c r="F1836"/>
      <c r="G1836"/>
      <c r="H1836"/>
      <c r="I1836"/>
      <c r="J1836"/>
    </row>
    <row r="1837" spans="1:10" s="2" customFormat="1">
      <c r="A1837" s="1"/>
      <c r="E1837"/>
      <c r="F1837"/>
      <c r="G1837"/>
      <c r="H1837"/>
      <c r="I1837"/>
      <c r="J1837"/>
    </row>
    <row r="1838" spans="1:10" s="2" customFormat="1">
      <c r="A1838" s="1"/>
      <c r="E1838"/>
      <c r="F1838"/>
      <c r="G1838"/>
      <c r="H1838"/>
      <c r="I1838"/>
      <c r="J1838"/>
    </row>
    <row r="1839" spans="1:10" s="2" customFormat="1">
      <c r="A1839" s="1"/>
      <c r="E1839"/>
      <c r="F1839"/>
      <c r="G1839"/>
      <c r="H1839"/>
      <c r="I1839"/>
      <c r="J1839"/>
    </row>
    <row r="1840" spans="1:10" s="2" customFormat="1">
      <c r="A1840" s="1"/>
      <c r="E1840"/>
      <c r="F1840"/>
      <c r="G1840"/>
      <c r="H1840"/>
      <c r="I1840"/>
      <c r="J1840"/>
    </row>
    <row r="1841" spans="1:10" s="2" customFormat="1">
      <c r="A1841" s="1"/>
      <c r="E1841"/>
      <c r="F1841"/>
      <c r="G1841"/>
      <c r="H1841"/>
      <c r="I1841"/>
      <c r="J1841"/>
    </row>
    <row r="1842" spans="1:10" s="2" customFormat="1">
      <c r="A1842" s="1"/>
      <c r="E1842"/>
      <c r="F1842"/>
      <c r="G1842"/>
      <c r="H1842"/>
      <c r="I1842"/>
      <c r="J1842"/>
    </row>
    <row r="1843" spans="1:10" s="2" customFormat="1">
      <c r="A1843" s="1"/>
      <c r="E1843"/>
      <c r="F1843"/>
      <c r="G1843"/>
      <c r="H1843"/>
      <c r="I1843"/>
      <c r="J1843"/>
    </row>
    <row r="1844" spans="1:10" s="2" customFormat="1">
      <c r="A1844" s="1"/>
      <c r="E1844"/>
      <c r="F1844"/>
      <c r="G1844"/>
      <c r="H1844"/>
      <c r="I1844"/>
      <c r="J1844"/>
    </row>
    <row r="1845" spans="1:10" s="2" customFormat="1">
      <c r="A1845" s="1"/>
      <c r="E1845"/>
      <c r="F1845"/>
      <c r="G1845"/>
      <c r="H1845"/>
      <c r="I1845"/>
      <c r="J1845"/>
    </row>
    <row r="1846" spans="1:10" s="2" customFormat="1">
      <c r="A1846" s="1"/>
      <c r="E1846"/>
      <c r="F1846"/>
      <c r="G1846"/>
      <c r="H1846"/>
      <c r="I1846"/>
      <c r="J1846"/>
    </row>
    <row r="1847" spans="1:10" s="2" customFormat="1">
      <c r="A1847" s="1"/>
      <c r="E1847"/>
      <c r="F1847"/>
      <c r="G1847"/>
      <c r="H1847"/>
      <c r="I1847"/>
      <c r="J1847"/>
    </row>
    <row r="1848" spans="1:10" s="2" customFormat="1">
      <c r="A1848" s="1"/>
      <c r="E1848"/>
      <c r="F1848"/>
      <c r="G1848"/>
      <c r="H1848"/>
      <c r="I1848"/>
      <c r="J1848"/>
    </row>
    <row r="1849" spans="1:10" s="2" customFormat="1">
      <c r="A1849" s="1"/>
      <c r="E1849"/>
      <c r="F1849"/>
      <c r="G1849"/>
      <c r="H1849"/>
      <c r="I1849"/>
      <c r="J1849"/>
    </row>
    <row r="1850" spans="1:10" s="2" customFormat="1">
      <c r="A1850" s="1"/>
      <c r="E1850"/>
      <c r="F1850"/>
      <c r="G1850"/>
      <c r="H1850"/>
      <c r="I1850"/>
      <c r="J1850"/>
    </row>
    <row r="1851" spans="1:10" s="2" customFormat="1">
      <c r="A1851" s="1"/>
      <c r="E1851"/>
      <c r="F1851"/>
      <c r="G1851"/>
      <c r="H1851"/>
      <c r="I1851"/>
      <c r="J1851"/>
    </row>
    <row r="1852" spans="1:10" s="2" customFormat="1">
      <c r="A1852" s="1"/>
      <c r="E1852"/>
      <c r="F1852"/>
      <c r="G1852"/>
      <c r="H1852"/>
      <c r="I1852"/>
      <c r="J1852"/>
    </row>
    <row r="1853" spans="1:10" s="2" customFormat="1">
      <c r="A1853" s="1"/>
      <c r="E1853"/>
      <c r="F1853"/>
      <c r="G1853"/>
      <c r="H1853"/>
      <c r="I1853"/>
      <c r="J1853"/>
    </row>
    <row r="1854" spans="1:10" s="2" customFormat="1">
      <c r="A1854" s="1"/>
      <c r="E1854"/>
      <c r="F1854"/>
      <c r="G1854"/>
      <c r="H1854"/>
      <c r="I1854"/>
      <c r="J1854"/>
    </row>
    <row r="1855" spans="1:10" s="2" customFormat="1">
      <c r="A1855" s="1"/>
      <c r="E1855"/>
      <c r="F1855"/>
      <c r="G1855"/>
      <c r="H1855"/>
      <c r="I1855"/>
      <c r="J1855"/>
    </row>
    <row r="1856" spans="1:10" s="2" customFormat="1">
      <c r="A1856" s="1"/>
      <c r="E1856"/>
      <c r="F1856"/>
      <c r="G1856"/>
      <c r="H1856"/>
      <c r="I1856"/>
      <c r="J1856"/>
    </row>
    <row r="1857" spans="1:10" s="2" customFormat="1">
      <c r="A1857" s="1"/>
      <c r="E1857"/>
      <c r="F1857"/>
      <c r="G1857"/>
      <c r="H1857"/>
      <c r="I1857"/>
      <c r="J1857"/>
    </row>
    <row r="1858" spans="1:10" s="2" customFormat="1">
      <c r="A1858" s="1"/>
      <c r="E1858"/>
      <c r="F1858"/>
      <c r="G1858"/>
      <c r="H1858"/>
      <c r="I1858"/>
      <c r="J1858"/>
    </row>
    <row r="1859" spans="1:10" s="2" customFormat="1">
      <c r="A1859" s="1"/>
      <c r="E1859"/>
      <c r="F1859"/>
      <c r="G1859"/>
      <c r="H1859"/>
      <c r="I1859"/>
      <c r="J1859"/>
    </row>
    <row r="1860" spans="1:10" s="2" customFormat="1">
      <c r="A1860" s="1"/>
      <c r="E1860"/>
      <c r="F1860"/>
      <c r="G1860"/>
      <c r="H1860"/>
      <c r="I1860"/>
      <c r="J1860"/>
    </row>
    <row r="1861" spans="1:10" s="2" customFormat="1">
      <c r="A1861" s="1"/>
      <c r="E1861"/>
      <c r="F1861"/>
      <c r="G1861"/>
      <c r="H1861"/>
      <c r="I1861"/>
      <c r="J1861"/>
    </row>
    <row r="1862" spans="1:10" s="2" customFormat="1">
      <c r="A1862" s="1"/>
      <c r="E1862"/>
      <c r="F1862"/>
      <c r="G1862"/>
      <c r="H1862"/>
      <c r="I1862"/>
      <c r="J1862"/>
    </row>
    <row r="1863" spans="1:10" s="2" customFormat="1">
      <c r="A1863" s="1"/>
      <c r="E1863"/>
      <c r="F1863"/>
      <c r="G1863"/>
      <c r="H1863"/>
      <c r="I1863"/>
      <c r="J1863"/>
    </row>
    <row r="1864" spans="1:10" s="2" customFormat="1">
      <c r="A1864" s="1"/>
      <c r="E1864"/>
      <c r="F1864"/>
      <c r="G1864"/>
      <c r="H1864"/>
      <c r="I1864"/>
      <c r="J1864"/>
    </row>
    <row r="1865" spans="1:10" s="2" customFormat="1">
      <c r="A1865" s="1"/>
      <c r="E1865"/>
      <c r="F1865"/>
      <c r="G1865"/>
      <c r="H1865"/>
      <c r="I1865"/>
      <c r="J1865"/>
    </row>
    <row r="1866" spans="1:10" s="2" customFormat="1">
      <c r="A1866" s="1"/>
      <c r="E1866"/>
      <c r="F1866"/>
      <c r="G1866"/>
      <c r="H1866"/>
      <c r="I1866"/>
      <c r="J1866"/>
    </row>
    <row r="1867" spans="1:10" s="2" customFormat="1">
      <c r="A1867" s="1"/>
      <c r="E1867"/>
      <c r="F1867"/>
      <c r="G1867"/>
      <c r="H1867"/>
      <c r="I1867"/>
      <c r="J1867"/>
    </row>
    <row r="1868" spans="1:10" s="2" customFormat="1">
      <c r="A1868" s="1"/>
      <c r="E1868"/>
      <c r="F1868"/>
      <c r="G1868"/>
      <c r="H1868"/>
      <c r="I1868"/>
      <c r="J1868"/>
    </row>
    <row r="1869" spans="1:10" s="2" customFormat="1">
      <c r="A1869" s="1"/>
      <c r="E1869"/>
      <c r="F1869"/>
      <c r="G1869"/>
      <c r="H1869"/>
      <c r="I1869"/>
      <c r="J1869"/>
    </row>
    <row r="1870" spans="1:10" s="2" customFormat="1">
      <c r="A1870" s="1"/>
      <c r="E1870"/>
      <c r="F1870"/>
      <c r="G1870"/>
      <c r="H1870"/>
      <c r="I1870"/>
      <c r="J1870"/>
    </row>
    <row r="1871" spans="1:10" s="2" customFormat="1">
      <c r="A1871" s="1"/>
      <c r="E1871"/>
      <c r="F1871"/>
      <c r="G1871"/>
      <c r="H1871"/>
      <c r="I1871"/>
      <c r="J1871"/>
    </row>
    <row r="1872" spans="1:10" s="2" customFormat="1">
      <c r="A1872" s="1"/>
      <c r="E1872"/>
      <c r="F1872"/>
      <c r="G1872"/>
      <c r="H1872"/>
      <c r="I1872"/>
      <c r="J1872"/>
    </row>
    <row r="1873" spans="1:10" s="2" customFormat="1">
      <c r="A1873" s="1"/>
      <c r="E1873"/>
      <c r="F1873"/>
      <c r="G1873"/>
      <c r="H1873"/>
      <c r="I1873"/>
      <c r="J1873"/>
    </row>
    <row r="1874" spans="1:10" s="2" customFormat="1">
      <c r="A1874" s="1"/>
      <c r="E1874"/>
      <c r="F1874"/>
      <c r="G1874"/>
      <c r="H1874"/>
      <c r="I1874"/>
      <c r="J1874"/>
    </row>
    <row r="1875" spans="1:10" s="2" customFormat="1">
      <c r="A1875" s="1"/>
      <c r="E1875"/>
      <c r="F1875"/>
      <c r="G1875"/>
      <c r="H1875"/>
      <c r="I1875"/>
      <c r="J1875"/>
    </row>
    <row r="1876" spans="1:10" s="2" customFormat="1">
      <c r="A1876" s="1"/>
      <c r="E1876"/>
      <c r="F1876"/>
      <c r="G1876"/>
      <c r="H1876"/>
      <c r="I1876"/>
      <c r="J1876"/>
    </row>
    <row r="1877" spans="1:10" s="2" customFormat="1">
      <c r="A1877" s="1"/>
      <c r="E1877"/>
      <c r="F1877"/>
      <c r="G1877"/>
      <c r="H1877"/>
      <c r="I1877"/>
      <c r="J1877"/>
    </row>
    <row r="1878" spans="1:10" s="2" customFormat="1">
      <c r="A1878" s="1"/>
      <c r="E1878"/>
      <c r="F1878"/>
      <c r="G1878"/>
      <c r="H1878"/>
      <c r="I1878"/>
      <c r="J1878"/>
    </row>
    <row r="1879" spans="1:10" s="2" customFormat="1">
      <c r="A1879" s="1"/>
      <c r="E1879"/>
      <c r="F1879"/>
      <c r="G1879"/>
      <c r="H1879"/>
      <c r="I1879"/>
      <c r="J1879"/>
    </row>
    <row r="1880" spans="1:10" s="2" customFormat="1">
      <c r="A1880" s="1"/>
      <c r="E1880"/>
      <c r="F1880"/>
      <c r="G1880"/>
      <c r="H1880"/>
      <c r="I1880"/>
      <c r="J1880"/>
    </row>
    <row r="1881" spans="1:10" s="2" customFormat="1">
      <c r="A1881" s="1"/>
      <c r="E1881"/>
      <c r="F1881"/>
      <c r="G1881"/>
      <c r="H1881"/>
      <c r="I1881"/>
      <c r="J1881"/>
    </row>
    <row r="1882" spans="1:10" s="2" customFormat="1">
      <c r="A1882" s="1"/>
      <c r="E1882"/>
      <c r="F1882"/>
      <c r="G1882"/>
      <c r="H1882"/>
      <c r="I1882"/>
      <c r="J1882"/>
    </row>
    <row r="1883" spans="1:10" s="2" customFormat="1">
      <c r="A1883" s="1"/>
      <c r="E1883"/>
      <c r="F1883"/>
      <c r="G1883"/>
      <c r="H1883"/>
      <c r="I1883"/>
      <c r="J1883"/>
    </row>
    <row r="1884" spans="1:10" s="2" customFormat="1">
      <c r="A1884" s="1"/>
      <c r="E1884"/>
      <c r="F1884"/>
      <c r="G1884"/>
      <c r="H1884"/>
      <c r="I1884"/>
      <c r="J1884"/>
    </row>
    <row r="1885" spans="1:10" s="2" customFormat="1">
      <c r="A1885" s="1"/>
      <c r="E1885"/>
      <c r="F1885"/>
      <c r="G1885"/>
      <c r="H1885"/>
      <c r="I1885"/>
      <c r="J1885"/>
    </row>
    <row r="1886" spans="1:10" s="2" customFormat="1">
      <c r="A1886" s="1"/>
      <c r="E1886"/>
      <c r="F1886"/>
      <c r="G1886"/>
      <c r="H1886"/>
      <c r="I1886"/>
      <c r="J1886"/>
    </row>
    <row r="1887" spans="1:10" s="2" customFormat="1">
      <c r="A1887" s="1"/>
      <c r="E1887"/>
      <c r="F1887"/>
      <c r="G1887"/>
      <c r="H1887"/>
      <c r="I1887"/>
      <c r="J1887"/>
    </row>
    <row r="1888" spans="1:10" s="2" customFormat="1">
      <c r="A1888" s="1"/>
      <c r="E1888"/>
      <c r="F1888"/>
      <c r="G1888"/>
      <c r="H1888"/>
      <c r="I1888"/>
      <c r="J1888"/>
    </row>
    <row r="1889" spans="1:10" s="2" customFormat="1">
      <c r="A1889" s="1"/>
      <c r="E1889"/>
      <c r="F1889"/>
      <c r="G1889"/>
      <c r="H1889"/>
      <c r="I1889"/>
      <c r="J1889"/>
    </row>
    <row r="1890" spans="1:10" s="2" customFormat="1">
      <c r="A1890" s="1"/>
      <c r="E1890"/>
      <c r="F1890"/>
      <c r="G1890"/>
      <c r="H1890"/>
      <c r="I1890"/>
      <c r="J1890"/>
    </row>
    <row r="1891" spans="1:10" s="2" customFormat="1">
      <c r="A1891" s="1"/>
      <c r="E1891"/>
      <c r="F1891"/>
      <c r="G1891"/>
      <c r="H1891"/>
      <c r="I1891"/>
      <c r="J1891"/>
    </row>
    <row r="1892" spans="1:10" s="2" customFormat="1">
      <c r="A1892" s="1"/>
      <c r="E1892"/>
      <c r="F1892"/>
      <c r="G1892"/>
      <c r="H1892"/>
      <c r="I1892"/>
      <c r="J1892"/>
    </row>
    <row r="1893" spans="1:10" s="2" customFormat="1">
      <c r="A1893" s="1"/>
      <c r="E1893"/>
      <c r="F1893"/>
      <c r="G1893"/>
      <c r="H1893"/>
      <c r="I1893"/>
      <c r="J1893"/>
    </row>
    <row r="1894" spans="1:10" s="2" customFormat="1">
      <c r="A1894" s="1"/>
      <c r="E1894"/>
      <c r="F1894"/>
      <c r="G1894"/>
      <c r="H1894"/>
      <c r="I1894"/>
      <c r="J1894"/>
    </row>
    <row r="1895" spans="1:10" s="2" customFormat="1">
      <c r="A1895" s="1"/>
      <c r="E1895"/>
      <c r="F1895"/>
      <c r="G1895"/>
      <c r="H1895"/>
      <c r="I1895"/>
      <c r="J1895"/>
    </row>
    <row r="1896" spans="1:10" s="2" customFormat="1">
      <c r="A1896" s="1"/>
      <c r="E1896"/>
      <c r="F1896"/>
      <c r="G1896"/>
      <c r="H1896"/>
      <c r="I1896"/>
      <c r="J1896"/>
    </row>
    <row r="1897" spans="1:10" s="2" customFormat="1">
      <c r="A1897" s="1"/>
      <c r="E1897"/>
      <c r="F1897"/>
      <c r="G1897"/>
      <c r="H1897"/>
      <c r="I1897"/>
      <c r="J1897"/>
    </row>
    <row r="1898" spans="1:10" s="2" customFormat="1">
      <c r="A1898" s="1"/>
      <c r="E1898"/>
      <c r="F1898"/>
      <c r="G1898"/>
      <c r="H1898"/>
      <c r="I1898"/>
      <c r="J1898"/>
    </row>
    <row r="1899" spans="1:10" s="2" customFormat="1">
      <c r="A1899" s="1"/>
      <c r="E1899"/>
      <c r="F1899"/>
      <c r="G1899"/>
      <c r="H1899"/>
      <c r="I1899"/>
      <c r="J1899"/>
    </row>
    <row r="1900" spans="1:10" s="2" customFormat="1">
      <c r="A1900" s="1"/>
      <c r="E1900"/>
      <c r="F1900"/>
      <c r="G1900"/>
      <c r="H1900"/>
      <c r="I1900"/>
      <c r="J1900"/>
    </row>
    <row r="1901" spans="1:10" s="2" customFormat="1">
      <c r="A1901" s="1"/>
      <c r="E1901"/>
      <c r="F1901"/>
      <c r="G1901"/>
      <c r="H1901"/>
      <c r="I1901"/>
      <c r="J1901"/>
    </row>
    <row r="1902" spans="1:10" s="2" customFormat="1">
      <c r="A1902" s="1"/>
      <c r="E1902"/>
      <c r="F1902"/>
      <c r="G1902"/>
      <c r="H1902"/>
      <c r="I1902"/>
      <c r="J1902"/>
    </row>
    <row r="1903" spans="1:10" s="2" customFormat="1">
      <c r="A1903" s="1"/>
      <c r="E1903"/>
      <c r="F1903"/>
      <c r="G1903"/>
      <c r="H1903"/>
      <c r="I1903"/>
      <c r="J1903"/>
    </row>
    <row r="1904" spans="1:10" s="2" customFormat="1">
      <c r="A1904" s="1"/>
      <c r="E1904"/>
      <c r="F1904"/>
      <c r="G1904"/>
      <c r="H1904"/>
      <c r="I1904"/>
      <c r="J1904"/>
    </row>
    <row r="1905" spans="1:10" s="2" customFormat="1">
      <c r="A1905" s="1"/>
      <c r="E1905"/>
      <c r="F1905"/>
      <c r="G1905"/>
      <c r="H1905"/>
      <c r="I1905"/>
      <c r="J1905"/>
    </row>
    <row r="1906" spans="1:10" s="2" customFormat="1">
      <c r="A1906" s="1"/>
      <c r="E1906"/>
      <c r="F1906"/>
      <c r="G1906"/>
      <c r="H1906"/>
      <c r="I1906"/>
      <c r="J1906"/>
    </row>
    <row r="1907" spans="1:10" s="2" customFormat="1">
      <c r="A1907" s="1"/>
      <c r="E1907"/>
      <c r="F1907"/>
      <c r="G1907"/>
      <c r="H1907"/>
      <c r="I1907"/>
      <c r="J1907"/>
    </row>
    <row r="1908" spans="1:10" s="2" customFormat="1">
      <c r="A1908" s="1"/>
      <c r="E1908"/>
      <c r="F1908"/>
      <c r="G1908"/>
      <c r="H1908"/>
      <c r="I1908"/>
      <c r="J1908"/>
    </row>
    <row r="1909" spans="1:10" s="2" customFormat="1">
      <c r="A1909" s="1"/>
      <c r="E1909"/>
      <c r="F1909"/>
      <c r="G1909"/>
      <c r="H1909"/>
      <c r="I1909"/>
      <c r="J1909"/>
    </row>
    <row r="1910" spans="1:10" s="2" customFormat="1">
      <c r="A1910" s="1"/>
      <c r="E1910"/>
      <c r="F1910"/>
      <c r="G1910"/>
      <c r="H1910"/>
      <c r="I1910"/>
      <c r="J1910"/>
    </row>
    <row r="1911" spans="1:10" s="2" customFormat="1">
      <c r="A1911" s="1"/>
      <c r="E1911"/>
      <c r="F1911"/>
      <c r="G1911"/>
      <c r="H1911"/>
      <c r="I1911"/>
      <c r="J1911"/>
    </row>
    <row r="1912" spans="1:10" s="2" customFormat="1">
      <c r="A1912" s="1"/>
      <c r="E1912"/>
      <c r="F1912"/>
      <c r="G1912"/>
      <c r="H1912"/>
      <c r="I1912"/>
      <c r="J1912"/>
    </row>
    <row r="1913" spans="1:10" s="2" customFormat="1">
      <c r="A1913" s="1"/>
      <c r="E1913"/>
      <c r="F1913"/>
      <c r="G1913"/>
      <c r="H1913"/>
      <c r="I1913"/>
      <c r="J1913"/>
    </row>
    <row r="1914" spans="1:10" s="2" customFormat="1">
      <c r="A1914" s="1"/>
      <c r="E1914"/>
      <c r="F1914"/>
      <c r="G1914"/>
      <c r="H1914"/>
      <c r="I1914"/>
      <c r="J1914"/>
    </row>
    <row r="1915" spans="1:10" s="2" customFormat="1">
      <c r="A1915" s="1"/>
      <c r="E1915"/>
      <c r="F1915"/>
      <c r="G1915"/>
      <c r="H1915"/>
      <c r="I1915"/>
      <c r="J1915"/>
    </row>
    <row r="1916" spans="1:10" s="2" customFormat="1">
      <c r="A1916" s="1"/>
      <c r="E1916"/>
      <c r="F1916"/>
      <c r="G1916"/>
      <c r="H1916"/>
      <c r="I1916"/>
      <c r="J1916"/>
    </row>
    <row r="1917" spans="1:10" s="2" customFormat="1">
      <c r="A1917" s="1"/>
      <c r="E1917"/>
      <c r="F1917"/>
      <c r="G1917"/>
      <c r="H1917"/>
      <c r="I1917"/>
      <c r="J1917"/>
    </row>
    <row r="1918" spans="1:10" s="2" customFormat="1">
      <c r="A1918" s="1"/>
      <c r="E1918"/>
      <c r="F1918"/>
      <c r="G1918"/>
      <c r="H1918"/>
      <c r="I1918"/>
      <c r="J1918"/>
    </row>
    <row r="1919" spans="1:10" s="2" customFormat="1">
      <c r="A1919" s="1"/>
      <c r="E1919"/>
      <c r="F1919"/>
      <c r="G1919"/>
      <c r="H1919"/>
      <c r="I1919"/>
      <c r="J1919"/>
    </row>
    <row r="1920" spans="1:10" s="2" customFormat="1">
      <c r="A1920" s="1"/>
      <c r="E1920"/>
      <c r="F1920"/>
      <c r="G1920"/>
      <c r="H1920"/>
      <c r="I1920"/>
      <c r="J1920"/>
    </row>
    <row r="1921" spans="1:10" s="2" customFormat="1">
      <c r="A1921" s="1"/>
      <c r="E1921"/>
      <c r="F1921"/>
      <c r="G1921"/>
      <c r="H1921"/>
      <c r="I1921"/>
      <c r="J1921"/>
    </row>
    <row r="1922" spans="1:10" s="2" customFormat="1">
      <c r="A1922" s="1"/>
      <c r="E1922"/>
      <c r="F1922"/>
      <c r="G1922"/>
      <c r="H1922"/>
      <c r="I1922"/>
      <c r="J1922"/>
    </row>
    <row r="1923" spans="1:10" s="2" customFormat="1">
      <c r="A1923" s="1"/>
      <c r="E1923"/>
      <c r="F1923"/>
      <c r="G1923"/>
      <c r="H1923"/>
      <c r="I1923"/>
      <c r="J1923"/>
    </row>
    <row r="1924" spans="1:10" s="2" customFormat="1">
      <c r="A1924" s="1"/>
      <c r="E1924"/>
      <c r="F1924"/>
      <c r="G1924"/>
      <c r="H1924"/>
      <c r="I1924"/>
      <c r="J1924"/>
    </row>
    <row r="1925" spans="1:10" s="2" customFormat="1">
      <c r="A1925" s="1"/>
      <c r="E1925"/>
      <c r="F1925"/>
      <c r="G1925"/>
      <c r="H1925"/>
      <c r="I1925"/>
      <c r="J1925"/>
    </row>
    <row r="1926" spans="1:10" s="2" customFormat="1">
      <c r="A1926" s="1"/>
      <c r="E1926"/>
      <c r="F1926"/>
      <c r="G1926"/>
      <c r="H1926"/>
      <c r="I1926"/>
      <c r="J1926"/>
    </row>
    <row r="1927" spans="1:10" s="2" customFormat="1">
      <c r="A1927" s="1"/>
      <c r="E1927"/>
      <c r="F1927"/>
      <c r="G1927"/>
      <c r="H1927"/>
      <c r="I1927"/>
      <c r="J1927"/>
    </row>
    <row r="1928" spans="1:10" s="2" customFormat="1">
      <c r="A1928" s="1"/>
      <c r="E1928"/>
      <c r="F1928"/>
      <c r="G1928"/>
      <c r="H1928"/>
      <c r="I1928"/>
      <c r="J1928"/>
    </row>
    <row r="1929" spans="1:10" s="2" customFormat="1">
      <c r="A1929" s="1"/>
      <c r="E1929"/>
      <c r="F1929"/>
      <c r="G1929"/>
      <c r="H1929"/>
      <c r="I1929"/>
      <c r="J1929"/>
    </row>
    <row r="1930" spans="1:10" s="2" customFormat="1">
      <c r="A1930" s="1"/>
      <c r="E1930"/>
      <c r="F1930"/>
      <c r="G1930"/>
      <c r="H1930"/>
      <c r="I1930"/>
      <c r="J1930"/>
    </row>
    <row r="1931" spans="1:10" s="2" customFormat="1">
      <c r="A1931" s="1"/>
      <c r="E1931"/>
      <c r="F1931"/>
      <c r="G1931"/>
      <c r="H1931"/>
      <c r="I1931"/>
      <c r="J1931"/>
    </row>
    <row r="1932" spans="1:10" s="2" customFormat="1">
      <c r="A1932" s="1"/>
      <c r="E1932"/>
      <c r="F1932"/>
      <c r="G1932"/>
      <c r="H1932"/>
      <c r="I1932"/>
      <c r="J1932"/>
    </row>
    <row r="1933" spans="1:10" s="2" customFormat="1">
      <c r="A1933" s="1"/>
      <c r="E1933"/>
      <c r="F1933"/>
      <c r="G1933"/>
      <c r="H1933"/>
      <c r="I1933"/>
      <c r="J1933"/>
    </row>
    <row r="1934" spans="1:10" s="2" customFormat="1">
      <c r="A1934" s="1"/>
      <c r="E1934"/>
      <c r="F1934"/>
      <c r="G1934"/>
      <c r="H1934"/>
      <c r="I1934"/>
      <c r="J1934"/>
    </row>
    <row r="1935" spans="1:10" s="2" customFormat="1">
      <c r="A1935" s="1"/>
      <c r="E1935"/>
      <c r="F1935"/>
      <c r="G1935"/>
      <c r="H1935"/>
      <c r="I1935"/>
      <c r="J1935"/>
    </row>
    <row r="1936" spans="1:10" s="2" customFormat="1">
      <c r="A1936" s="1"/>
      <c r="E1936"/>
      <c r="F1936"/>
      <c r="G1936"/>
      <c r="H1936"/>
      <c r="I1936"/>
      <c r="J1936"/>
    </row>
    <row r="1937" spans="1:10" s="2" customFormat="1">
      <c r="A1937" s="1"/>
      <c r="E1937"/>
      <c r="F1937"/>
      <c r="G1937"/>
      <c r="H1937"/>
      <c r="I1937"/>
      <c r="J1937"/>
    </row>
    <row r="1938" spans="1:10" s="2" customFormat="1">
      <c r="A1938" s="1"/>
      <c r="E1938"/>
      <c r="F1938"/>
      <c r="G1938"/>
      <c r="H1938"/>
      <c r="I1938"/>
      <c r="J1938"/>
    </row>
    <row r="1939" spans="1:10" s="2" customFormat="1">
      <c r="A1939" s="1"/>
      <c r="E1939"/>
      <c r="F1939"/>
      <c r="G1939"/>
      <c r="H1939"/>
      <c r="I1939"/>
      <c r="J1939"/>
    </row>
    <row r="1940" spans="1:10" s="2" customFormat="1">
      <c r="A1940" s="1"/>
      <c r="E1940"/>
      <c r="F1940"/>
      <c r="G1940"/>
      <c r="H1940"/>
      <c r="I1940"/>
      <c r="J1940"/>
    </row>
    <row r="1941" spans="1:10" s="2" customFormat="1">
      <c r="A1941" s="1"/>
      <c r="E1941"/>
      <c r="F1941"/>
      <c r="G1941"/>
      <c r="H1941"/>
      <c r="I1941"/>
      <c r="J1941"/>
    </row>
    <row r="1942" spans="1:10" s="2" customFormat="1">
      <c r="A1942" s="1"/>
      <c r="E1942"/>
      <c r="F1942"/>
      <c r="G1942"/>
      <c r="H1942"/>
      <c r="I1942"/>
      <c r="J1942"/>
    </row>
    <row r="1943" spans="1:10" s="2" customFormat="1">
      <c r="A1943" s="1"/>
      <c r="E1943"/>
      <c r="F1943"/>
      <c r="G1943"/>
      <c r="H1943"/>
      <c r="I1943"/>
      <c r="J1943"/>
    </row>
    <row r="1944" spans="1:10" s="2" customFormat="1">
      <c r="A1944" s="1"/>
      <c r="E1944"/>
      <c r="F1944"/>
      <c r="G1944"/>
      <c r="H1944"/>
      <c r="I1944"/>
      <c r="J1944"/>
    </row>
    <row r="1945" spans="1:10" s="2" customFormat="1">
      <c r="A1945" s="1"/>
      <c r="E1945"/>
      <c r="F1945"/>
      <c r="G1945"/>
      <c r="H1945"/>
      <c r="I1945"/>
      <c r="J1945"/>
    </row>
    <row r="1946" spans="1:10" s="2" customFormat="1">
      <c r="A1946" s="1"/>
      <c r="E1946"/>
      <c r="F1946"/>
      <c r="G1946"/>
      <c r="H1946"/>
      <c r="I1946"/>
      <c r="J1946"/>
    </row>
    <row r="1947" spans="1:10" s="2" customFormat="1">
      <c r="A1947" s="1"/>
      <c r="E1947"/>
      <c r="F1947"/>
      <c r="G1947"/>
      <c r="H1947"/>
      <c r="I1947"/>
      <c r="J1947"/>
    </row>
    <row r="1948" spans="1:10" s="2" customFormat="1">
      <c r="A1948" s="1"/>
      <c r="E1948"/>
      <c r="F1948"/>
      <c r="G1948"/>
      <c r="H1948"/>
      <c r="I1948"/>
      <c r="J1948"/>
    </row>
    <row r="1949" spans="1:10" s="2" customFormat="1">
      <c r="A1949" s="1"/>
      <c r="E1949"/>
      <c r="F1949"/>
      <c r="G1949"/>
      <c r="H1949"/>
      <c r="I1949"/>
      <c r="J1949"/>
    </row>
    <row r="1950" spans="1:10" s="2" customFormat="1">
      <c r="A1950" s="1"/>
      <c r="E1950"/>
      <c r="F1950"/>
      <c r="G1950"/>
      <c r="H1950"/>
      <c r="I1950"/>
      <c r="J1950"/>
    </row>
    <row r="1951" spans="1:10" s="2" customFormat="1">
      <c r="A1951" s="1"/>
      <c r="E1951"/>
      <c r="F1951"/>
      <c r="G1951"/>
      <c r="H1951"/>
      <c r="I1951"/>
      <c r="J1951"/>
    </row>
    <row r="1952" spans="1:10" s="2" customFormat="1">
      <c r="A1952" s="1"/>
      <c r="E1952"/>
      <c r="F1952"/>
      <c r="G1952"/>
      <c r="H1952"/>
      <c r="I1952"/>
      <c r="J1952"/>
    </row>
    <row r="1953" spans="1:10" s="2" customFormat="1">
      <c r="A1953" s="1"/>
      <c r="E1953"/>
      <c r="F1953"/>
      <c r="G1953"/>
      <c r="H1953"/>
      <c r="I1953"/>
      <c r="J1953"/>
    </row>
    <row r="1954" spans="1:10" s="2" customFormat="1">
      <c r="A1954" s="1"/>
      <c r="E1954"/>
      <c r="F1954"/>
      <c r="G1954"/>
      <c r="H1954"/>
      <c r="I1954"/>
      <c r="J1954"/>
    </row>
    <row r="1955" spans="1:10" s="2" customFormat="1">
      <c r="A1955" s="1"/>
      <c r="E1955"/>
      <c r="F1955"/>
      <c r="G1955"/>
      <c r="H1955"/>
      <c r="I1955"/>
      <c r="J1955"/>
    </row>
    <row r="1956" spans="1:10" s="2" customFormat="1">
      <c r="A1956" s="1"/>
      <c r="E1956"/>
      <c r="F1956"/>
      <c r="G1956"/>
      <c r="H1956"/>
      <c r="I1956"/>
      <c r="J1956"/>
    </row>
    <row r="1957" spans="1:10" s="2" customFormat="1">
      <c r="A1957" s="1"/>
      <c r="E1957"/>
      <c r="F1957"/>
      <c r="G1957"/>
      <c r="H1957"/>
      <c r="I1957"/>
      <c r="J1957"/>
    </row>
    <row r="1958" spans="1:10" s="2" customFormat="1">
      <c r="A1958" s="1"/>
      <c r="E1958"/>
      <c r="F1958"/>
      <c r="G1958"/>
      <c r="H1958"/>
      <c r="I1958"/>
      <c r="J1958"/>
    </row>
    <row r="1959" spans="1:10" s="2" customFormat="1">
      <c r="A1959" s="1"/>
      <c r="E1959"/>
      <c r="F1959"/>
      <c r="G1959"/>
      <c r="H1959"/>
      <c r="I1959"/>
      <c r="J1959"/>
    </row>
    <row r="1960" spans="1:10" s="2" customFormat="1">
      <c r="A1960" s="1"/>
      <c r="E1960"/>
      <c r="F1960"/>
      <c r="G1960"/>
      <c r="H1960"/>
      <c r="I1960"/>
      <c r="J1960"/>
    </row>
    <row r="1961" spans="1:10" s="2" customFormat="1">
      <c r="A1961" s="1"/>
      <c r="E1961"/>
      <c r="F1961"/>
      <c r="G1961"/>
      <c r="H1961"/>
      <c r="I1961"/>
      <c r="J1961"/>
    </row>
    <row r="1962" spans="1:10" s="2" customFormat="1">
      <c r="A1962" s="1"/>
      <c r="E1962"/>
      <c r="F1962"/>
      <c r="G1962"/>
      <c r="H1962"/>
      <c r="I1962"/>
      <c r="J1962"/>
    </row>
    <row r="1963" spans="1:10" s="2" customFormat="1">
      <c r="A1963" s="1"/>
      <c r="E1963"/>
      <c r="F1963"/>
      <c r="G1963"/>
      <c r="H1963"/>
      <c r="I1963"/>
      <c r="J1963"/>
    </row>
    <row r="1964" spans="1:10" s="2" customFormat="1">
      <c r="A1964" s="1"/>
      <c r="E1964"/>
      <c r="F1964"/>
      <c r="G1964"/>
      <c r="H1964"/>
      <c r="I1964"/>
      <c r="J1964"/>
    </row>
    <row r="1965" spans="1:10" s="2" customFormat="1">
      <c r="A1965" s="1"/>
      <c r="E1965"/>
      <c r="F1965"/>
      <c r="G1965"/>
      <c r="H1965"/>
      <c r="I1965"/>
      <c r="J1965"/>
    </row>
    <row r="1966" spans="1:10" s="2" customFormat="1">
      <c r="A1966" s="1"/>
      <c r="E1966"/>
      <c r="F1966"/>
      <c r="G1966"/>
      <c r="H1966"/>
      <c r="I1966"/>
      <c r="J1966"/>
    </row>
    <row r="1967" spans="1:10" s="2" customFormat="1">
      <c r="A1967" s="1"/>
      <c r="E1967"/>
      <c r="F1967"/>
      <c r="G1967"/>
      <c r="H1967"/>
      <c r="I1967"/>
      <c r="J1967"/>
    </row>
    <row r="1968" spans="1:10" s="2" customFormat="1">
      <c r="A1968" s="1"/>
      <c r="E1968"/>
      <c r="F1968"/>
      <c r="G1968"/>
      <c r="H1968"/>
      <c r="I1968"/>
      <c r="J1968"/>
    </row>
    <row r="1969" spans="1:10" s="2" customFormat="1">
      <c r="A1969" s="1"/>
      <c r="E1969"/>
      <c r="F1969"/>
      <c r="G1969"/>
      <c r="H1969"/>
      <c r="I1969"/>
      <c r="J1969"/>
    </row>
    <row r="1970" spans="1:10" s="2" customFormat="1">
      <c r="A1970" s="1"/>
      <c r="E1970"/>
      <c r="F1970"/>
      <c r="G1970"/>
      <c r="H1970"/>
      <c r="I1970"/>
      <c r="J1970"/>
    </row>
    <row r="1971" spans="1:10" s="2" customFormat="1">
      <c r="A1971" s="1"/>
      <c r="E1971"/>
      <c r="F1971"/>
      <c r="G1971"/>
      <c r="H1971"/>
      <c r="I1971"/>
      <c r="J1971"/>
    </row>
    <row r="1972" spans="1:10" s="2" customFormat="1">
      <c r="A1972" s="1"/>
      <c r="E1972"/>
      <c r="F1972"/>
      <c r="G1972"/>
      <c r="H1972"/>
      <c r="I1972"/>
      <c r="J1972"/>
    </row>
    <row r="1973" spans="1:10" s="2" customFormat="1">
      <c r="A1973" s="1"/>
      <c r="E1973"/>
      <c r="F1973"/>
      <c r="G1973"/>
      <c r="H1973"/>
      <c r="I1973"/>
      <c r="J1973"/>
    </row>
    <row r="1974" spans="1:10" s="2" customFormat="1">
      <c r="A1974" s="1"/>
      <c r="E1974"/>
      <c r="F1974"/>
      <c r="G1974"/>
      <c r="H1974"/>
      <c r="I1974"/>
      <c r="J1974"/>
    </row>
    <row r="1975" spans="1:10" s="2" customFormat="1">
      <c r="A1975" s="1"/>
      <c r="E1975"/>
      <c r="F1975"/>
      <c r="G1975"/>
      <c r="H1975"/>
      <c r="I1975"/>
      <c r="J1975"/>
    </row>
    <row r="1976" spans="1:10" s="2" customFormat="1">
      <c r="A1976" s="1"/>
      <c r="E1976"/>
      <c r="F1976"/>
      <c r="G1976"/>
      <c r="H1976"/>
      <c r="I1976"/>
      <c r="J1976"/>
    </row>
    <row r="1977" spans="1:10" s="2" customFormat="1">
      <c r="A1977" s="1"/>
      <c r="E1977"/>
      <c r="F1977"/>
      <c r="G1977"/>
      <c r="H1977"/>
      <c r="I1977"/>
      <c r="J1977"/>
    </row>
    <row r="1978" spans="1:10" s="2" customFormat="1">
      <c r="A1978" s="1"/>
      <c r="E1978"/>
      <c r="F1978"/>
      <c r="G1978"/>
      <c r="H1978"/>
      <c r="I1978"/>
      <c r="J1978"/>
    </row>
    <row r="1979" spans="1:10" s="2" customFormat="1">
      <c r="A1979" s="1"/>
      <c r="E1979"/>
      <c r="F1979"/>
      <c r="G1979"/>
      <c r="H1979"/>
      <c r="I1979"/>
      <c r="J1979"/>
    </row>
    <row r="1980" spans="1:10" s="2" customFormat="1">
      <c r="A1980" s="1"/>
      <c r="E1980"/>
      <c r="F1980"/>
      <c r="G1980"/>
      <c r="H1980"/>
      <c r="I1980"/>
      <c r="J1980"/>
    </row>
    <row r="1981" spans="1:10" s="2" customFormat="1">
      <c r="A1981" s="1"/>
      <c r="E1981"/>
      <c r="F1981"/>
      <c r="G1981"/>
      <c r="H1981"/>
      <c r="I1981"/>
      <c r="J1981"/>
    </row>
    <row r="1982" spans="1:10" s="2" customFormat="1">
      <c r="A1982" s="1"/>
      <c r="E1982"/>
      <c r="F1982"/>
      <c r="G1982"/>
      <c r="H1982"/>
      <c r="I1982"/>
      <c r="J1982"/>
    </row>
    <row r="1983" spans="1:10" s="2" customFormat="1">
      <c r="A1983" s="1"/>
      <c r="E1983"/>
      <c r="F1983"/>
      <c r="G1983"/>
      <c r="H1983"/>
      <c r="I1983"/>
      <c r="J1983"/>
    </row>
    <row r="1984" spans="1:10" s="2" customFormat="1">
      <c r="A1984" s="1"/>
      <c r="E1984"/>
      <c r="F1984"/>
      <c r="G1984"/>
      <c r="H1984"/>
      <c r="I1984"/>
      <c r="J1984"/>
    </row>
    <row r="1985" spans="1:10" s="2" customFormat="1">
      <c r="A1985" s="1"/>
      <c r="E1985"/>
      <c r="F1985"/>
      <c r="G1985"/>
      <c r="H1985"/>
      <c r="I1985"/>
      <c r="J1985"/>
    </row>
    <row r="1986" spans="1:10" s="2" customFormat="1">
      <c r="A1986" s="1"/>
      <c r="E1986"/>
      <c r="F1986"/>
      <c r="G1986"/>
      <c r="H1986"/>
      <c r="I1986"/>
      <c r="J1986"/>
    </row>
    <row r="1987" spans="1:10" s="2" customFormat="1">
      <c r="A1987" s="1"/>
      <c r="E1987"/>
      <c r="F1987"/>
      <c r="G1987"/>
      <c r="H1987"/>
      <c r="I1987"/>
      <c r="J1987"/>
    </row>
    <row r="1988" spans="1:10" s="2" customFormat="1">
      <c r="A1988" s="1"/>
      <c r="E1988"/>
      <c r="F1988"/>
      <c r="G1988"/>
      <c r="H1988"/>
      <c r="I1988"/>
      <c r="J1988"/>
    </row>
    <row r="1989" spans="1:10" s="2" customFormat="1">
      <c r="A1989" s="1"/>
      <c r="E1989"/>
      <c r="F1989"/>
      <c r="G1989"/>
      <c r="H1989"/>
      <c r="I1989"/>
      <c r="J1989"/>
    </row>
    <row r="1990" spans="1:10" s="2" customFormat="1">
      <c r="A1990" s="1"/>
      <c r="E1990"/>
      <c r="F1990"/>
      <c r="G1990"/>
      <c r="H1990"/>
      <c r="I1990"/>
      <c r="J1990"/>
    </row>
    <row r="1991" spans="1:10" s="2" customFormat="1">
      <c r="A1991" s="1"/>
      <c r="E1991"/>
      <c r="F1991"/>
      <c r="G1991"/>
      <c r="H1991"/>
      <c r="I1991"/>
      <c r="J1991"/>
    </row>
    <row r="1992" spans="1:10" s="2" customFormat="1">
      <c r="A1992" s="1"/>
      <c r="E1992"/>
      <c r="F1992"/>
      <c r="G1992"/>
      <c r="H1992"/>
      <c r="I1992"/>
      <c r="J1992"/>
    </row>
    <row r="1993" spans="1:10" s="2" customFormat="1">
      <c r="A1993" s="1"/>
      <c r="E1993"/>
      <c r="F1993"/>
      <c r="G1993"/>
      <c r="H1993"/>
      <c r="I1993"/>
      <c r="J1993"/>
    </row>
    <row r="1994" spans="1:10" s="2" customFormat="1">
      <c r="A1994" s="1"/>
      <c r="E1994"/>
      <c r="F1994"/>
      <c r="G1994"/>
      <c r="H1994"/>
      <c r="I1994"/>
      <c r="J1994"/>
    </row>
    <row r="1995" spans="1:10" s="2" customFormat="1">
      <c r="A1995" s="1"/>
      <c r="E1995"/>
      <c r="F1995"/>
      <c r="G1995"/>
      <c r="H1995"/>
      <c r="I1995"/>
      <c r="J1995"/>
    </row>
    <row r="1996" spans="1:10" s="2" customFormat="1">
      <c r="A1996" s="1"/>
      <c r="E1996"/>
      <c r="F1996"/>
      <c r="G1996"/>
      <c r="H1996"/>
      <c r="I1996"/>
      <c r="J1996"/>
    </row>
    <row r="1997" spans="1:10" s="2" customFormat="1">
      <c r="A1997" s="1"/>
      <c r="E1997"/>
      <c r="F1997"/>
      <c r="G1997"/>
      <c r="H1997"/>
      <c r="I1997"/>
      <c r="J1997"/>
    </row>
    <row r="1998" spans="1:10" s="2" customFormat="1">
      <c r="A1998" s="1"/>
      <c r="E1998"/>
      <c r="F1998"/>
      <c r="G1998"/>
      <c r="H1998"/>
      <c r="I1998"/>
      <c r="J1998"/>
    </row>
    <row r="1999" spans="1:10" s="2" customFormat="1">
      <c r="A1999" s="1"/>
      <c r="E1999"/>
      <c r="F1999"/>
      <c r="G1999"/>
      <c r="H1999"/>
      <c r="I1999"/>
      <c r="J1999"/>
    </row>
    <row r="2000" spans="1:10" s="2" customFormat="1">
      <c r="A2000" s="1"/>
      <c r="E2000"/>
      <c r="F2000"/>
      <c r="G2000"/>
      <c r="H2000"/>
      <c r="I2000"/>
      <c r="J2000"/>
    </row>
    <row r="2001" spans="1:10" s="2" customFormat="1">
      <c r="A2001" s="1"/>
      <c r="E2001"/>
      <c r="F2001"/>
      <c r="G2001"/>
      <c r="H2001"/>
      <c r="I2001"/>
      <c r="J2001"/>
    </row>
    <row r="2002" spans="1:10" s="2" customFormat="1">
      <c r="A2002" s="1"/>
      <c r="E2002"/>
      <c r="F2002"/>
      <c r="G2002"/>
      <c r="H2002"/>
      <c r="I2002"/>
      <c r="J2002"/>
    </row>
    <row r="2003" spans="1:10" s="2" customFormat="1">
      <c r="A2003" s="1"/>
      <c r="E2003"/>
      <c r="F2003"/>
      <c r="G2003"/>
      <c r="H2003"/>
      <c r="I2003"/>
      <c r="J2003"/>
    </row>
    <row r="2004" spans="1:10" s="2" customFormat="1">
      <c r="A2004" s="1"/>
      <c r="E2004"/>
      <c r="F2004"/>
      <c r="G2004"/>
      <c r="H2004"/>
      <c r="I2004"/>
      <c r="J2004"/>
    </row>
    <row r="2005" spans="1:10" s="2" customFormat="1">
      <c r="A2005" s="1"/>
      <c r="E2005"/>
      <c r="F2005"/>
      <c r="G2005"/>
      <c r="H2005"/>
      <c r="I2005"/>
      <c r="J2005"/>
    </row>
    <row r="2006" spans="1:10" s="2" customFormat="1">
      <c r="A2006" s="1"/>
      <c r="E2006"/>
      <c r="F2006"/>
      <c r="G2006"/>
      <c r="H2006"/>
      <c r="I2006"/>
      <c r="J2006"/>
    </row>
    <row r="2007" spans="1:10" s="2" customFormat="1">
      <c r="A2007" s="1"/>
      <c r="E2007"/>
      <c r="F2007"/>
      <c r="G2007"/>
      <c r="H2007"/>
      <c r="I2007"/>
      <c r="J2007"/>
    </row>
    <row r="2008" spans="1:10" s="2" customFormat="1">
      <c r="A2008" s="1"/>
      <c r="E2008"/>
      <c r="F2008"/>
      <c r="G2008"/>
      <c r="H2008"/>
      <c r="I2008"/>
      <c r="J2008"/>
    </row>
    <row r="2009" spans="1:10" s="2" customFormat="1">
      <c r="A2009" s="1"/>
      <c r="E2009"/>
      <c r="F2009"/>
      <c r="G2009"/>
      <c r="H2009"/>
      <c r="I2009"/>
      <c r="J2009"/>
    </row>
    <row r="2010" spans="1:10" s="2" customFormat="1">
      <c r="A2010" s="1"/>
      <c r="E2010"/>
      <c r="F2010"/>
      <c r="G2010"/>
      <c r="H2010"/>
      <c r="I2010"/>
      <c r="J2010"/>
    </row>
    <row r="2011" spans="1:10" s="2" customFormat="1">
      <c r="A2011" s="1"/>
      <c r="E2011"/>
      <c r="F2011"/>
      <c r="G2011"/>
      <c r="H2011"/>
      <c r="I2011"/>
      <c r="J2011"/>
    </row>
    <row r="2012" spans="1:10" s="2" customFormat="1">
      <c r="A2012" s="1"/>
      <c r="E2012"/>
      <c r="F2012"/>
      <c r="G2012"/>
      <c r="H2012"/>
      <c r="I2012"/>
      <c r="J2012"/>
    </row>
    <row r="2013" spans="1:10" s="2" customFormat="1">
      <c r="A2013" s="1"/>
      <c r="E2013"/>
      <c r="F2013"/>
      <c r="G2013"/>
      <c r="H2013"/>
      <c r="I2013"/>
      <c r="J2013"/>
    </row>
    <row r="2014" spans="1:10" s="2" customFormat="1">
      <c r="A2014" s="1"/>
      <c r="E2014"/>
      <c r="F2014"/>
      <c r="G2014"/>
      <c r="H2014"/>
      <c r="I2014"/>
      <c r="J2014"/>
    </row>
    <row r="2015" spans="1:10" s="2" customFormat="1">
      <c r="A2015" s="1"/>
      <c r="E2015"/>
      <c r="F2015"/>
      <c r="G2015"/>
      <c r="H2015"/>
      <c r="I2015"/>
      <c r="J2015"/>
    </row>
    <row r="2016" spans="1:10" s="2" customFormat="1">
      <c r="A2016" s="1"/>
      <c r="E2016"/>
      <c r="F2016"/>
      <c r="G2016"/>
      <c r="H2016"/>
      <c r="I2016"/>
      <c r="J2016"/>
    </row>
    <row r="2017" spans="1:10" s="2" customFormat="1">
      <c r="A2017" s="1"/>
      <c r="E2017"/>
      <c r="F2017"/>
      <c r="G2017"/>
      <c r="H2017"/>
      <c r="I2017"/>
      <c r="J2017"/>
    </row>
    <row r="2018" spans="1:10" s="2" customFormat="1">
      <c r="A2018" s="1"/>
      <c r="E2018"/>
      <c r="F2018"/>
      <c r="G2018"/>
      <c r="H2018"/>
      <c r="I2018"/>
      <c r="J2018"/>
    </row>
    <row r="2019" spans="1:10" s="2" customFormat="1">
      <c r="A2019" s="1"/>
      <c r="E2019"/>
      <c r="F2019"/>
      <c r="G2019"/>
      <c r="H2019"/>
      <c r="I2019"/>
      <c r="J2019"/>
    </row>
    <row r="2020" spans="1:10" s="2" customFormat="1">
      <c r="A2020" s="1"/>
      <c r="E2020"/>
      <c r="F2020"/>
      <c r="G2020"/>
      <c r="H2020"/>
      <c r="I2020"/>
      <c r="J2020"/>
    </row>
    <row r="2021" spans="1:10" s="2" customFormat="1">
      <c r="A2021" s="1"/>
      <c r="E2021"/>
      <c r="F2021"/>
      <c r="G2021"/>
      <c r="H2021"/>
      <c r="I2021"/>
      <c r="J2021"/>
    </row>
    <row r="2022" spans="1:10" s="2" customFormat="1">
      <c r="A2022" s="1"/>
      <c r="E2022"/>
      <c r="F2022"/>
      <c r="G2022"/>
      <c r="H2022"/>
      <c r="I2022"/>
      <c r="J2022"/>
    </row>
    <row r="2023" spans="1:10" s="2" customFormat="1">
      <c r="A2023" s="1"/>
      <c r="E2023"/>
      <c r="F2023"/>
      <c r="G2023"/>
      <c r="H2023"/>
      <c r="I2023"/>
      <c r="J2023"/>
    </row>
    <row r="2024" spans="1:10" s="2" customFormat="1">
      <c r="A2024" s="1"/>
      <c r="E2024"/>
      <c r="F2024"/>
      <c r="G2024"/>
      <c r="H2024"/>
      <c r="I2024"/>
      <c r="J2024"/>
    </row>
    <row r="2025" spans="1:10" s="2" customFormat="1">
      <c r="A2025" s="1"/>
      <c r="E2025"/>
      <c r="F2025"/>
      <c r="G2025"/>
      <c r="H2025"/>
      <c r="I2025"/>
      <c r="J2025"/>
    </row>
    <row r="2026" spans="1:10" s="2" customFormat="1">
      <c r="A2026" s="1"/>
      <c r="E2026"/>
      <c r="F2026"/>
      <c r="G2026"/>
      <c r="H2026"/>
      <c r="I2026"/>
      <c r="J2026"/>
    </row>
    <row r="2027" spans="1:10" s="2" customFormat="1">
      <c r="A2027" s="1"/>
      <c r="E2027"/>
      <c r="F2027"/>
      <c r="G2027"/>
      <c r="H2027"/>
      <c r="I2027"/>
      <c r="J2027"/>
    </row>
    <row r="2028" spans="1:10" s="2" customFormat="1">
      <c r="A2028" s="1"/>
      <c r="E2028"/>
      <c r="F2028"/>
      <c r="G2028"/>
      <c r="H2028"/>
      <c r="I2028"/>
      <c r="J2028"/>
    </row>
    <row r="2029" spans="1:10" s="2" customFormat="1">
      <c r="A2029" s="1"/>
      <c r="E2029"/>
      <c r="F2029"/>
      <c r="G2029"/>
      <c r="H2029"/>
      <c r="I2029"/>
      <c r="J2029"/>
    </row>
    <row r="2030" spans="1:10" s="2" customFormat="1">
      <c r="A2030" s="1"/>
      <c r="E2030"/>
      <c r="F2030"/>
      <c r="G2030"/>
      <c r="H2030"/>
      <c r="I2030"/>
      <c r="J2030"/>
    </row>
    <row r="2031" spans="1:10" s="2" customFormat="1">
      <c r="A2031" s="1"/>
      <c r="E2031"/>
      <c r="F2031"/>
      <c r="G2031"/>
      <c r="H2031"/>
      <c r="I2031"/>
      <c r="J2031"/>
    </row>
    <row r="2032" spans="1:10" s="2" customFormat="1">
      <c r="A2032" s="1"/>
      <c r="E2032"/>
      <c r="F2032"/>
      <c r="G2032"/>
      <c r="H2032"/>
      <c r="I2032"/>
      <c r="J2032"/>
    </row>
    <row r="2033" spans="1:10" s="2" customFormat="1">
      <c r="A2033" s="1"/>
      <c r="E2033"/>
      <c r="F2033"/>
      <c r="G2033"/>
      <c r="H2033"/>
      <c r="I2033"/>
      <c r="J2033"/>
    </row>
    <row r="2034" spans="1:10" s="2" customFormat="1">
      <c r="A2034" s="1"/>
      <c r="E2034"/>
      <c r="F2034"/>
      <c r="G2034"/>
      <c r="H2034"/>
      <c r="I2034"/>
      <c r="J2034"/>
    </row>
    <row r="2035" spans="1:10" s="2" customFormat="1">
      <c r="A2035" s="1"/>
      <c r="E2035"/>
      <c r="F2035"/>
      <c r="G2035"/>
      <c r="H2035"/>
      <c r="I2035"/>
      <c r="J2035"/>
    </row>
    <row r="2036" spans="1:10" s="2" customFormat="1">
      <c r="A2036" s="1"/>
      <c r="E2036"/>
      <c r="F2036"/>
      <c r="G2036"/>
      <c r="H2036"/>
      <c r="I2036"/>
      <c r="J2036"/>
    </row>
    <row r="2037" spans="1:10" s="2" customFormat="1">
      <c r="A2037" s="1"/>
      <c r="E2037"/>
      <c r="F2037"/>
      <c r="G2037"/>
      <c r="H2037"/>
      <c r="I2037"/>
      <c r="J2037"/>
    </row>
    <row r="2038" spans="1:10" s="2" customFormat="1">
      <c r="A2038" s="1"/>
      <c r="E2038"/>
      <c r="F2038"/>
      <c r="G2038"/>
      <c r="H2038"/>
      <c r="I2038"/>
      <c r="J2038"/>
    </row>
    <row r="2039" spans="1:10" s="2" customFormat="1">
      <c r="A2039" s="1"/>
      <c r="E2039"/>
      <c r="F2039"/>
      <c r="G2039"/>
      <c r="H2039"/>
      <c r="I2039"/>
      <c r="J2039"/>
    </row>
    <row r="2040" spans="1:10" s="2" customFormat="1">
      <c r="A2040" s="1"/>
      <c r="E2040"/>
      <c r="F2040"/>
      <c r="G2040"/>
      <c r="H2040"/>
      <c r="I2040"/>
      <c r="J2040"/>
    </row>
    <row r="2041" spans="1:10" s="2" customFormat="1">
      <c r="A2041" s="1"/>
      <c r="E2041"/>
      <c r="F2041"/>
      <c r="G2041"/>
      <c r="H2041"/>
      <c r="I2041"/>
      <c r="J2041"/>
    </row>
    <row r="2042" spans="1:10" s="2" customFormat="1">
      <c r="A2042" s="1"/>
      <c r="E2042"/>
      <c r="F2042"/>
      <c r="G2042"/>
      <c r="H2042"/>
      <c r="I2042"/>
      <c r="J2042"/>
    </row>
    <row r="2043" spans="1:10" s="2" customFormat="1">
      <c r="A2043" s="1"/>
      <c r="E2043"/>
      <c r="F2043"/>
      <c r="G2043"/>
      <c r="H2043"/>
      <c r="I2043"/>
      <c r="J2043"/>
    </row>
    <row r="2044" spans="1:10" s="2" customFormat="1">
      <c r="A2044" s="1"/>
      <c r="E2044"/>
      <c r="F2044"/>
      <c r="G2044"/>
      <c r="H2044"/>
      <c r="I2044"/>
      <c r="J2044"/>
    </row>
    <row r="2045" spans="1:10" s="2" customFormat="1">
      <c r="A2045" s="1"/>
      <c r="E2045"/>
      <c r="F2045"/>
      <c r="G2045"/>
      <c r="H2045"/>
      <c r="I2045"/>
      <c r="J2045"/>
    </row>
    <row r="2046" spans="1:10" s="2" customFormat="1">
      <c r="A2046" s="1"/>
      <c r="E2046"/>
      <c r="F2046"/>
      <c r="G2046"/>
      <c r="H2046"/>
      <c r="I2046"/>
      <c r="J2046"/>
    </row>
    <row r="2047" spans="1:10" s="2" customFormat="1">
      <c r="A2047" s="1"/>
      <c r="E2047"/>
      <c r="F2047"/>
      <c r="G2047"/>
      <c r="H2047"/>
      <c r="I2047"/>
      <c r="J2047"/>
    </row>
    <row r="2048" spans="1:10" s="2" customFormat="1">
      <c r="A2048" s="1"/>
      <c r="E2048"/>
      <c r="F2048"/>
      <c r="G2048"/>
      <c r="H2048"/>
      <c r="I2048"/>
      <c r="J2048"/>
    </row>
    <row r="2049" spans="1:10" s="2" customFormat="1">
      <c r="A2049" s="1"/>
      <c r="E2049"/>
      <c r="F2049"/>
      <c r="G2049"/>
      <c r="H2049"/>
      <c r="I2049"/>
      <c r="J2049"/>
    </row>
    <row r="2050" spans="1:10" s="2" customFormat="1">
      <c r="A2050" s="1"/>
      <c r="E2050"/>
      <c r="F2050"/>
      <c r="G2050"/>
      <c r="H2050"/>
      <c r="I2050"/>
      <c r="J2050"/>
    </row>
    <row r="2051" spans="1:10" s="2" customFormat="1">
      <c r="A2051" s="1"/>
      <c r="E2051"/>
      <c r="F2051"/>
      <c r="G2051"/>
      <c r="H2051"/>
      <c r="I2051"/>
      <c r="J2051"/>
    </row>
    <row r="2052" spans="1:10" s="2" customFormat="1">
      <c r="A2052" s="1"/>
      <c r="E2052"/>
      <c r="F2052"/>
      <c r="G2052"/>
      <c r="H2052"/>
      <c r="I2052"/>
      <c r="J2052"/>
    </row>
    <row r="2053" spans="1:10" s="2" customFormat="1">
      <c r="A2053" s="1"/>
      <c r="E2053"/>
      <c r="F2053"/>
      <c r="G2053"/>
      <c r="H2053"/>
      <c r="I2053"/>
      <c r="J2053"/>
    </row>
    <row r="2054" spans="1:10" s="2" customFormat="1">
      <c r="A2054" s="1"/>
      <c r="E2054"/>
      <c r="F2054"/>
      <c r="G2054"/>
      <c r="H2054"/>
      <c r="I2054"/>
      <c r="J2054"/>
    </row>
    <row r="2055" spans="1:10" s="2" customFormat="1">
      <c r="A2055" s="1"/>
      <c r="E2055"/>
      <c r="F2055"/>
      <c r="G2055"/>
      <c r="H2055"/>
      <c r="I2055"/>
      <c r="J2055"/>
    </row>
    <row r="2056" spans="1:10" s="2" customFormat="1">
      <c r="A2056" s="1"/>
      <c r="E2056"/>
      <c r="F2056"/>
      <c r="G2056"/>
      <c r="H2056"/>
      <c r="I2056"/>
      <c r="J2056"/>
    </row>
    <row r="2057" spans="1:10" s="2" customFormat="1">
      <c r="A2057" s="1"/>
      <c r="E2057"/>
      <c r="F2057"/>
      <c r="G2057"/>
      <c r="H2057"/>
      <c r="I2057"/>
      <c r="J2057"/>
    </row>
    <row r="2058" spans="1:10" s="2" customFormat="1">
      <c r="A2058" s="1"/>
      <c r="E2058"/>
      <c r="F2058"/>
      <c r="G2058"/>
      <c r="H2058"/>
      <c r="I2058"/>
      <c r="J2058"/>
    </row>
    <row r="2059" spans="1:10" s="2" customFormat="1">
      <c r="A2059" s="1"/>
      <c r="E2059"/>
      <c r="F2059"/>
      <c r="G2059"/>
      <c r="H2059"/>
      <c r="I2059"/>
      <c r="J2059"/>
    </row>
    <row r="2060" spans="1:10" s="2" customFormat="1">
      <c r="A2060" s="1"/>
      <c r="E2060"/>
      <c r="F2060"/>
      <c r="G2060"/>
      <c r="H2060"/>
      <c r="I2060"/>
      <c r="J2060"/>
    </row>
    <row r="2061" spans="1:10" s="2" customFormat="1">
      <c r="A2061" s="1"/>
      <c r="E2061"/>
      <c r="F2061"/>
      <c r="G2061"/>
      <c r="H2061"/>
      <c r="I2061"/>
      <c r="J2061"/>
    </row>
    <row r="2062" spans="1:10" s="2" customFormat="1">
      <c r="A2062" s="1"/>
      <c r="E2062"/>
      <c r="F2062"/>
      <c r="G2062"/>
      <c r="H2062"/>
      <c r="I2062"/>
      <c r="J2062"/>
    </row>
    <row r="2063" spans="1:10" s="2" customFormat="1">
      <c r="A2063" s="1"/>
      <c r="E2063"/>
      <c r="F2063"/>
      <c r="G2063"/>
      <c r="H2063"/>
      <c r="I2063"/>
      <c r="J2063"/>
    </row>
    <row r="2064" spans="1:10" s="2" customFormat="1">
      <c r="A2064" s="1"/>
      <c r="E2064"/>
      <c r="F2064"/>
      <c r="G2064"/>
      <c r="H2064"/>
      <c r="I2064"/>
      <c r="J2064"/>
    </row>
    <row r="2065" spans="1:10" s="2" customFormat="1">
      <c r="A2065" s="1"/>
      <c r="E2065"/>
      <c r="F2065"/>
      <c r="G2065"/>
      <c r="H2065"/>
      <c r="I2065"/>
      <c r="J2065"/>
    </row>
    <row r="2066" spans="1:10" s="2" customFormat="1">
      <c r="A2066" s="1"/>
      <c r="E2066"/>
      <c r="F2066"/>
      <c r="G2066"/>
      <c r="H2066"/>
      <c r="I2066"/>
      <c r="J2066"/>
    </row>
    <row r="2067" spans="1:10" s="2" customFormat="1">
      <c r="A2067" s="1"/>
      <c r="E2067"/>
      <c r="F2067"/>
      <c r="G2067"/>
      <c r="H2067"/>
      <c r="I2067"/>
      <c r="J2067"/>
    </row>
    <row r="2068" spans="1:10" s="2" customFormat="1">
      <c r="A2068" s="1"/>
      <c r="E2068"/>
      <c r="F2068"/>
      <c r="G2068"/>
      <c r="H2068"/>
      <c r="I2068"/>
      <c r="J2068"/>
    </row>
    <row r="2069" spans="1:10" s="2" customFormat="1">
      <c r="A2069" s="1"/>
      <c r="E2069"/>
      <c r="F2069"/>
      <c r="G2069"/>
      <c r="H2069"/>
      <c r="I2069"/>
      <c r="J2069"/>
    </row>
    <row r="2070" spans="1:10" s="2" customFormat="1">
      <c r="A2070" s="1"/>
      <c r="E2070"/>
      <c r="F2070"/>
      <c r="G2070"/>
      <c r="H2070"/>
      <c r="I2070"/>
      <c r="J2070"/>
    </row>
    <row r="2071" spans="1:10" s="2" customFormat="1">
      <c r="A2071" s="1"/>
      <c r="E2071"/>
      <c r="F2071"/>
      <c r="G2071"/>
      <c r="H2071"/>
      <c r="I2071"/>
      <c r="J2071"/>
    </row>
    <row r="2072" spans="1:10" s="2" customFormat="1">
      <c r="A2072" s="1"/>
      <c r="E2072"/>
      <c r="F2072"/>
      <c r="G2072"/>
      <c r="H2072"/>
      <c r="I2072"/>
      <c r="J2072"/>
    </row>
    <row r="2073" spans="1:10" s="2" customFormat="1">
      <c r="A2073" s="1"/>
      <c r="E2073"/>
      <c r="F2073"/>
      <c r="G2073"/>
      <c r="H2073"/>
      <c r="I2073"/>
      <c r="J2073"/>
    </row>
    <row r="2074" spans="1:10" s="2" customFormat="1">
      <c r="A2074" s="1"/>
      <c r="E2074"/>
      <c r="F2074"/>
      <c r="G2074"/>
      <c r="H2074"/>
      <c r="I2074"/>
      <c r="J2074"/>
    </row>
    <row r="2075" spans="1:10" s="2" customFormat="1">
      <c r="A2075" s="1"/>
      <c r="E2075"/>
      <c r="F2075"/>
      <c r="G2075"/>
      <c r="H2075"/>
      <c r="I2075"/>
      <c r="J2075"/>
    </row>
    <row r="2076" spans="1:10" s="2" customFormat="1">
      <c r="A2076" s="1"/>
      <c r="E2076"/>
      <c r="F2076"/>
      <c r="G2076"/>
      <c r="H2076"/>
      <c r="I2076"/>
      <c r="J2076"/>
    </row>
    <row r="2077" spans="1:10" s="2" customFormat="1">
      <c r="A2077" s="1"/>
      <c r="E2077"/>
      <c r="F2077"/>
      <c r="G2077"/>
      <c r="H2077"/>
      <c r="I2077"/>
      <c r="J2077"/>
    </row>
    <row r="2078" spans="1:10" s="2" customFormat="1">
      <c r="A2078" s="1"/>
      <c r="E2078"/>
      <c r="F2078"/>
      <c r="G2078"/>
      <c r="H2078"/>
      <c r="I2078"/>
      <c r="J2078"/>
    </row>
    <row r="2079" spans="1:10" s="2" customFormat="1">
      <c r="A2079" s="1"/>
      <c r="E2079"/>
      <c r="F2079"/>
      <c r="G2079"/>
      <c r="H2079"/>
      <c r="I2079"/>
      <c r="J2079"/>
    </row>
    <row r="2080" spans="1:10" s="2" customFormat="1">
      <c r="A2080" s="1"/>
      <c r="E2080"/>
      <c r="F2080"/>
      <c r="G2080"/>
      <c r="H2080"/>
      <c r="I2080"/>
      <c r="J2080"/>
    </row>
    <row r="2081" spans="1:10" s="2" customFormat="1">
      <c r="A2081" s="1"/>
      <c r="E2081"/>
      <c r="F2081"/>
      <c r="G2081"/>
      <c r="H2081"/>
      <c r="I2081"/>
      <c r="J2081"/>
    </row>
    <row r="2082" spans="1:10" s="2" customFormat="1">
      <c r="A2082" s="1"/>
      <c r="E2082"/>
      <c r="F2082"/>
      <c r="G2082"/>
      <c r="H2082"/>
      <c r="I2082"/>
      <c r="J2082"/>
    </row>
    <row r="2083" spans="1:10" s="2" customFormat="1">
      <c r="A2083" s="1"/>
      <c r="E2083"/>
      <c r="F2083"/>
      <c r="G2083"/>
      <c r="H2083"/>
      <c r="I2083"/>
      <c r="J2083"/>
    </row>
    <row r="2084" spans="1:10" s="2" customFormat="1">
      <c r="A2084" s="1"/>
      <c r="E2084"/>
      <c r="F2084"/>
      <c r="G2084"/>
      <c r="H2084"/>
      <c r="I2084"/>
      <c r="J2084"/>
    </row>
    <row r="2085" spans="1:10" s="2" customFormat="1">
      <c r="A2085" s="1"/>
      <c r="E2085"/>
      <c r="F2085"/>
      <c r="G2085"/>
      <c r="H2085"/>
      <c r="I2085"/>
      <c r="J2085"/>
    </row>
    <row r="2086" spans="1:10" s="2" customFormat="1">
      <c r="A2086" s="1"/>
      <c r="E2086"/>
      <c r="F2086"/>
      <c r="G2086"/>
      <c r="H2086"/>
      <c r="I2086"/>
      <c r="J2086"/>
    </row>
    <row r="2087" spans="1:10" s="2" customFormat="1">
      <c r="A2087" s="1"/>
      <c r="E2087"/>
      <c r="F2087"/>
      <c r="G2087"/>
      <c r="H2087"/>
      <c r="I2087"/>
      <c r="J2087"/>
    </row>
    <row r="2088" spans="1:10" s="2" customFormat="1">
      <c r="A2088" s="1"/>
      <c r="E2088"/>
      <c r="F2088"/>
      <c r="G2088"/>
      <c r="H2088"/>
      <c r="I2088"/>
      <c r="J2088"/>
    </row>
    <row r="2089" spans="1:10" s="2" customFormat="1">
      <c r="A2089" s="1"/>
      <c r="E2089"/>
      <c r="F2089"/>
      <c r="G2089"/>
      <c r="H2089"/>
      <c r="I2089"/>
      <c r="J2089"/>
    </row>
    <row r="2090" spans="1:10" s="2" customFormat="1">
      <c r="A2090" s="1"/>
      <c r="E2090"/>
      <c r="F2090"/>
      <c r="G2090"/>
      <c r="H2090"/>
      <c r="I2090"/>
      <c r="J2090"/>
    </row>
    <row r="2091" spans="1:10" s="2" customFormat="1">
      <c r="A2091" s="1"/>
      <c r="E2091"/>
      <c r="F2091"/>
      <c r="G2091"/>
      <c r="H2091"/>
      <c r="I2091"/>
      <c r="J2091"/>
    </row>
    <row r="2092" spans="1:10" s="2" customFormat="1">
      <c r="A2092" s="1"/>
      <c r="E2092"/>
      <c r="F2092"/>
      <c r="G2092"/>
      <c r="H2092"/>
      <c r="I2092"/>
      <c r="J2092"/>
    </row>
    <row r="2093" spans="1:10" s="2" customFormat="1">
      <c r="A2093" s="1"/>
      <c r="E2093"/>
      <c r="F2093"/>
      <c r="G2093"/>
      <c r="H2093"/>
      <c r="I2093"/>
      <c r="J2093"/>
    </row>
    <row r="2094" spans="1:10" s="2" customFormat="1">
      <c r="A2094" s="1"/>
      <c r="E2094"/>
      <c r="F2094"/>
      <c r="G2094"/>
      <c r="H2094"/>
      <c r="I2094"/>
      <c r="J2094"/>
    </row>
    <row r="2095" spans="1:10" s="2" customFormat="1">
      <c r="A2095" s="1"/>
      <c r="E2095"/>
      <c r="F2095"/>
      <c r="G2095"/>
      <c r="H2095"/>
      <c r="I2095"/>
      <c r="J2095"/>
    </row>
    <row r="2096" spans="1:10" s="2" customFormat="1">
      <c r="A2096" s="1"/>
      <c r="E2096"/>
      <c r="F2096"/>
      <c r="G2096"/>
      <c r="H2096"/>
      <c r="I2096"/>
      <c r="J2096"/>
    </row>
    <row r="2097" spans="1:10" s="2" customFormat="1">
      <c r="A2097" s="1"/>
      <c r="E2097"/>
      <c r="F2097"/>
      <c r="G2097"/>
      <c r="H2097"/>
      <c r="I2097"/>
      <c r="J2097"/>
    </row>
    <row r="2098" spans="1:10" s="2" customFormat="1">
      <c r="A2098" s="1"/>
      <c r="E2098"/>
      <c r="F2098"/>
      <c r="G2098"/>
      <c r="H2098"/>
      <c r="I2098"/>
      <c r="J2098"/>
    </row>
    <row r="2099" spans="1:10" s="2" customFormat="1">
      <c r="A2099" s="1"/>
      <c r="E2099"/>
      <c r="F2099"/>
      <c r="G2099"/>
      <c r="H2099"/>
      <c r="I2099"/>
      <c r="J2099"/>
    </row>
    <row r="2100" spans="1:10" s="2" customFormat="1">
      <c r="A2100" s="1"/>
      <c r="E2100"/>
      <c r="F2100"/>
      <c r="G2100"/>
      <c r="H2100"/>
      <c r="I2100"/>
      <c r="J2100"/>
    </row>
    <row r="2101" spans="1:10" s="2" customFormat="1">
      <c r="A2101" s="1"/>
      <c r="E2101"/>
      <c r="F2101"/>
      <c r="G2101"/>
      <c r="H2101"/>
      <c r="I2101"/>
      <c r="J2101"/>
    </row>
    <row r="2102" spans="1:10" s="2" customFormat="1">
      <c r="A2102" s="1"/>
      <c r="E2102"/>
      <c r="F2102"/>
      <c r="G2102"/>
      <c r="H2102"/>
      <c r="I2102"/>
      <c r="J2102"/>
    </row>
    <row r="2103" spans="1:10" s="2" customFormat="1">
      <c r="A2103" s="1"/>
      <c r="E2103"/>
      <c r="F2103"/>
      <c r="G2103"/>
      <c r="H2103"/>
      <c r="I2103"/>
      <c r="J2103"/>
    </row>
    <row r="2104" spans="1:10" s="2" customFormat="1">
      <c r="A2104" s="1"/>
      <c r="E2104"/>
      <c r="F2104"/>
      <c r="G2104"/>
      <c r="H2104"/>
      <c r="I2104"/>
      <c r="J2104"/>
    </row>
    <row r="2105" spans="1:10" s="2" customFormat="1">
      <c r="A2105" s="1"/>
      <c r="E2105"/>
      <c r="F2105"/>
      <c r="G2105"/>
      <c r="H2105"/>
      <c r="I2105"/>
      <c r="J2105"/>
    </row>
    <row r="2106" spans="1:10" s="2" customFormat="1">
      <c r="A2106" s="1"/>
      <c r="E2106"/>
      <c r="F2106"/>
      <c r="G2106"/>
      <c r="H2106"/>
      <c r="I2106"/>
      <c r="J2106"/>
    </row>
    <row r="2107" spans="1:10" s="2" customFormat="1">
      <c r="A2107" s="1"/>
      <c r="E2107"/>
      <c r="F2107"/>
      <c r="G2107"/>
      <c r="H2107"/>
      <c r="I2107"/>
      <c r="J2107"/>
    </row>
    <row r="2108" spans="1:10" s="2" customFormat="1">
      <c r="A2108" s="1"/>
      <c r="E2108"/>
      <c r="F2108"/>
      <c r="G2108"/>
      <c r="H2108"/>
      <c r="I2108"/>
      <c r="J2108"/>
    </row>
    <row r="2109" spans="1:10" s="2" customFormat="1">
      <c r="A2109" s="1"/>
      <c r="E2109"/>
      <c r="F2109"/>
      <c r="G2109"/>
      <c r="H2109"/>
      <c r="I2109"/>
      <c r="J2109"/>
    </row>
    <row r="2110" spans="1:10" s="2" customFormat="1">
      <c r="A2110" s="1"/>
      <c r="E2110"/>
      <c r="F2110"/>
      <c r="G2110"/>
      <c r="H2110"/>
      <c r="I2110"/>
      <c r="J2110"/>
    </row>
    <row r="2111" spans="1:10" s="2" customFormat="1">
      <c r="A2111" s="1"/>
      <c r="E2111"/>
      <c r="F2111"/>
      <c r="G2111"/>
      <c r="H2111"/>
      <c r="I2111"/>
      <c r="J2111"/>
    </row>
    <row r="2112" spans="1:10" s="2" customFormat="1">
      <c r="A2112" s="1"/>
      <c r="E2112"/>
      <c r="F2112"/>
      <c r="G2112"/>
      <c r="H2112"/>
      <c r="I2112"/>
      <c r="J2112"/>
    </row>
    <row r="2113" spans="1:10" s="2" customFormat="1">
      <c r="A2113" s="1"/>
      <c r="E2113"/>
      <c r="F2113"/>
      <c r="G2113"/>
      <c r="H2113"/>
      <c r="I2113"/>
      <c r="J2113"/>
    </row>
    <row r="2114" spans="1:10" s="2" customFormat="1">
      <c r="A2114" s="1"/>
      <c r="E2114"/>
      <c r="F2114"/>
      <c r="G2114"/>
      <c r="H2114"/>
      <c r="I2114"/>
      <c r="J2114"/>
    </row>
    <row r="2115" spans="1:10" s="2" customFormat="1">
      <c r="A2115" s="1"/>
      <c r="E2115"/>
      <c r="F2115"/>
      <c r="G2115"/>
      <c r="H2115"/>
      <c r="I2115"/>
      <c r="J2115"/>
    </row>
    <row r="2116" spans="1:10" s="2" customFormat="1">
      <c r="A2116" s="1"/>
      <c r="E2116"/>
      <c r="F2116"/>
      <c r="G2116"/>
      <c r="H2116"/>
      <c r="I2116"/>
      <c r="J2116"/>
    </row>
    <row r="2117" spans="1:10" s="2" customFormat="1">
      <c r="A2117" s="1"/>
      <c r="E2117"/>
      <c r="F2117"/>
      <c r="G2117"/>
      <c r="H2117"/>
      <c r="I2117"/>
      <c r="J2117"/>
    </row>
    <row r="2118" spans="1:10" s="2" customFormat="1">
      <c r="A2118" s="1"/>
      <c r="E2118"/>
      <c r="F2118"/>
      <c r="G2118"/>
      <c r="H2118"/>
      <c r="I2118"/>
      <c r="J2118"/>
    </row>
    <row r="2119" spans="1:10" s="2" customFormat="1">
      <c r="A2119" s="1"/>
      <c r="E2119"/>
      <c r="F2119"/>
      <c r="G2119"/>
      <c r="H2119"/>
      <c r="I2119"/>
      <c r="J2119"/>
    </row>
    <row r="2120" spans="1:10" s="2" customFormat="1">
      <c r="A2120" s="1"/>
      <c r="E2120"/>
      <c r="F2120"/>
      <c r="G2120"/>
      <c r="H2120"/>
      <c r="I2120"/>
      <c r="J2120"/>
    </row>
    <row r="2121" spans="1:10" s="2" customFormat="1">
      <c r="A2121" s="1"/>
      <c r="E2121"/>
      <c r="F2121"/>
      <c r="G2121"/>
      <c r="H2121"/>
      <c r="I2121"/>
      <c r="J2121"/>
    </row>
    <row r="2122" spans="1:10" s="2" customFormat="1">
      <c r="A2122" s="1"/>
      <c r="E2122"/>
      <c r="F2122"/>
      <c r="G2122"/>
      <c r="H2122"/>
      <c r="I2122"/>
      <c r="J2122"/>
    </row>
    <row r="2123" spans="1:10" s="2" customFormat="1">
      <c r="A2123" s="1"/>
      <c r="E2123"/>
      <c r="F2123"/>
      <c r="G2123"/>
      <c r="H2123"/>
      <c r="I2123"/>
      <c r="J2123"/>
    </row>
    <row r="2124" spans="1:10" s="2" customFormat="1">
      <c r="A2124" s="1"/>
      <c r="E2124"/>
      <c r="F2124"/>
      <c r="G2124"/>
      <c r="H2124"/>
      <c r="I2124"/>
      <c r="J2124"/>
    </row>
    <row r="2125" spans="1:10" s="2" customFormat="1">
      <c r="A2125" s="1"/>
      <c r="E2125"/>
      <c r="F2125"/>
      <c r="G2125"/>
      <c r="H2125"/>
      <c r="I2125"/>
      <c r="J2125"/>
    </row>
    <row r="2126" spans="1:10" s="2" customFormat="1">
      <c r="A2126" s="1"/>
      <c r="E2126"/>
      <c r="F2126"/>
      <c r="G2126"/>
      <c r="H2126"/>
      <c r="I2126"/>
      <c r="J2126"/>
    </row>
    <row r="2127" spans="1:10" s="2" customFormat="1">
      <c r="A2127" s="1"/>
      <c r="E2127"/>
      <c r="F2127"/>
      <c r="G2127"/>
      <c r="H2127"/>
      <c r="I2127"/>
      <c r="J2127"/>
    </row>
    <row r="2128" spans="1:10" s="2" customFormat="1">
      <c r="A2128" s="1"/>
      <c r="E2128"/>
      <c r="F2128"/>
      <c r="G2128"/>
      <c r="H2128"/>
      <c r="I2128"/>
      <c r="J2128"/>
    </row>
    <row r="2129" spans="1:10" s="2" customFormat="1">
      <c r="A2129" s="1"/>
      <c r="E2129"/>
      <c r="F2129"/>
      <c r="G2129"/>
      <c r="H2129"/>
      <c r="I2129"/>
      <c r="J2129"/>
    </row>
    <row r="2130" spans="1:10" s="2" customFormat="1">
      <c r="A2130" s="1"/>
      <c r="E2130"/>
      <c r="F2130"/>
      <c r="G2130"/>
      <c r="H2130"/>
      <c r="I2130"/>
      <c r="J2130"/>
    </row>
    <row r="2131" spans="1:10" s="2" customFormat="1">
      <c r="A2131" s="1"/>
      <c r="E2131"/>
      <c r="F2131"/>
      <c r="G2131"/>
      <c r="H2131"/>
      <c r="I2131"/>
      <c r="J2131"/>
    </row>
    <row r="2132" spans="1:10" s="2" customFormat="1">
      <c r="A2132" s="1"/>
      <c r="E2132"/>
      <c r="F2132"/>
      <c r="G2132"/>
      <c r="H2132"/>
      <c r="I2132"/>
      <c r="J2132"/>
    </row>
    <row r="2133" spans="1:10" s="2" customFormat="1">
      <c r="A2133" s="1"/>
      <c r="E2133"/>
      <c r="F2133"/>
      <c r="G2133"/>
      <c r="H2133"/>
      <c r="I2133"/>
      <c r="J2133"/>
    </row>
    <row r="2134" spans="1:10" s="2" customFormat="1">
      <c r="A2134" s="1"/>
      <c r="E2134"/>
      <c r="F2134"/>
      <c r="G2134"/>
      <c r="H2134"/>
      <c r="I2134"/>
      <c r="J2134"/>
    </row>
    <row r="2135" spans="1:10" s="2" customFormat="1">
      <c r="A2135" s="1"/>
      <c r="E2135"/>
      <c r="F2135"/>
      <c r="G2135"/>
      <c r="H2135"/>
      <c r="I2135"/>
      <c r="J2135"/>
    </row>
    <row r="2136" spans="1:10" s="2" customFormat="1">
      <c r="A2136" s="1"/>
      <c r="E2136"/>
      <c r="F2136"/>
      <c r="G2136"/>
      <c r="H2136"/>
      <c r="I2136"/>
      <c r="J2136"/>
    </row>
    <row r="2137" spans="1:10" s="2" customFormat="1">
      <c r="A2137" s="1"/>
      <c r="E2137"/>
      <c r="F2137"/>
      <c r="G2137"/>
      <c r="H2137"/>
      <c r="I2137"/>
      <c r="J2137"/>
    </row>
    <row r="2138" spans="1:10" s="2" customFormat="1">
      <c r="A2138" s="1"/>
      <c r="E2138"/>
      <c r="F2138"/>
      <c r="G2138"/>
      <c r="H2138"/>
      <c r="I2138"/>
      <c r="J2138"/>
    </row>
    <row r="2139" spans="1:10" s="2" customFormat="1">
      <c r="A2139" s="1"/>
      <c r="E2139"/>
      <c r="F2139"/>
      <c r="G2139"/>
      <c r="H2139"/>
      <c r="I2139"/>
      <c r="J2139"/>
    </row>
    <row r="2140" spans="1:10" s="2" customFormat="1">
      <c r="A2140" s="1"/>
      <c r="E2140"/>
      <c r="F2140"/>
      <c r="G2140"/>
      <c r="H2140"/>
      <c r="I2140"/>
      <c r="J2140"/>
    </row>
    <row r="2141" spans="1:10" s="2" customFormat="1">
      <c r="A2141" s="1"/>
      <c r="E2141"/>
      <c r="F2141"/>
      <c r="G2141"/>
      <c r="H2141"/>
      <c r="I2141"/>
      <c r="J2141"/>
    </row>
    <row r="2142" spans="1:10" s="2" customFormat="1">
      <c r="A2142" s="1"/>
      <c r="E2142"/>
      <c r="F2142"/>
      <c r="G2142"/>
      <c r="H2142"/>
      <c r="I2142"/>
      <c r="J2142"/>
    </row>
    <row r="2143" spans="1:10" s="2" customFormat="1">
      <c r="A2143" s="1"/>
      <c r="E2143"/>
      <c r="F2143"/>
      <c r="G2143"/>
      <c r="H2143"/>
      <c r="I2143"/>
      <c r="J2143"/>
    </row>
    <row r="2144" spans="1:10" s="2" customFormat="1">
      <c r="A2144" s="1"/>
      <c r="E2144"/>
      <c r="F2144"/>
      <c r="G2144"/>
      <c r="H2144"/>
      <c r="I2144"/>
      <c r="J2144"/>
    </row>
    <row r="2145" spans="1:10" s="2" customFormat="1">
      <c r="A2145" s="1"/>
      <c r="E2145"/>
      <c r="F2145"/>
      <c r="G2145"/>
      <c r="H2145"/>
      <c r="I2145"/>
      <c r="J2145"/>
    </row>
    <row r="2146" spans="1:10" s="2" customFormat="1">
      <c r="A2146" s="1"/>
      <c r="E2146"/>
      <c r="F2146"/>
      <c r="G2146"/>
      <c r="H2146"/>
      <c r="I2146"/>
      <c r="J2146"/>
    </row>
    <row r="2147" spans="1:10" s="2" customFormat="1">
      <c r="A2147" s="1"/>
      <c r="E2147"/>
      <c r="F2147"/>
      <c r="G2147"/>
      <c r="H2147"/>
      <c r="I2147"/>
      <c r="J2147"/>
    </row>
    <row r="2148" spans="1:10" s="2" customFormat="1">
      <c r="A2148" s="1"/>
      <c r="E2148"/>
      <c r="F2148"/>
      <c r="G2148"/>
      <c r="H2148"/>
      <c r="I2148"/>
      <c r="J2148"/>
    </row>
    <row r="2149" spans="1:10" s="2" customFormat="1">
      <c r="A2149" s="1"/>
      <c r="E2149"/>
      <c r="F2149"/>
      <c r="G2149"/>
      <c r="H2149"/>
      <c r="I2149"/>
      <c r="J2149"/>
    </row>
    <row r="2150" spans="1:10" s="2" customFormat="1">
      <c r="A2150" s="1"/>
      <c r="E2150"/>
      <c r="F2150"/>
      <c r="G2150"/>
      <c r="H2150"/>
      <c r="I2150"/>
      <c r="J2150"/>
    </row>
    <row r="2151" spans="1:10" s="2" customFormat="1">
      <c r="A2151" s="1"/>
      <c r="E2151"/>
      <c r="F2151"/>
      <c r="G2151"/>
      <c r="H2151"/>
      <c r="I2151"/>
      <c r="J2151"/>
    </row>
    <row r="2152" spans="1:10" s="2" customFormat="1">
      <c r="A2152" s="1"/>
      <c r="E2152"/>
      <c r="F2152"/>
      <c r="G2152"/>
      <c r="H2152"/>
      <c r="I2152"/>
      <c r="J2152"/>
    </row>
    <row r="2153" spans="1:10" s="2" customFormat="1">
      <c r="A2153" s="1"/>
      <c r="E2153"/>
      <c r="F2153"/>
      <c r="G2153"/>
      <c r="H2153"/>
      <c r="I2153"/>
      <c r="J2153"/>
    </row>
    <row r="2154" spans="1:10" s="2" customFormat="1">
      <c r="A2154" s="1"/>
      <c r="E2154"/>
      <c r="F2154"/>
      <c r="G2154"/>
      <c r="H2154"/>
      <c r="I2154"/>
      <c r="J2154"/>
    </row>
    <row r="2155" spans="1:10" s="2" customFormat="1">
      <c r="A2155" s="1"/>
      <c r="E2155"/>
      <c r="F2155"/>
      <c r="G2155"/>
      <c r="H2155"/>
      <c r="I2155"/>
      <c r="J2155"/>
    </row>
    <row r="2156" spans="1:10" s="2" customFormat="1">
      <c r="A2156" s="1"/>
      <c r="E2156"/>
      <c r="F2156"/>
      <c r="G2156"/>
      <c r="H2156"/>
      <c r="I2156"/>
      <c r="J2156"/>
    </row>
    <row r="2157" spans="1:10" s="2" customFormat="1">
      <c r="A2157" s="1"/>
      <c r="E2157"/>
      <c r="F2157"/>
      <c r="G2157"/>
      <c r="H2157"/>
      <c r="I2157"/>
      <c r="J2157"/>
    </row>
    <row r="2158" spans="1:10" s="2" customFormat="1">
      <c r="A2158" s="1"/>
      <c r="E2158"/>
      <c r="F2158"/>
      <c r="G2158"/>
      <c r="H2158"/>
      <c r="I2158"/>
      <c r="J2158"/>
    </row>
    <row r="2159" spans="1:10" s="2" customFormat="1">
      <c r="A2159" s="1"/>
      <c r="E2159"/>
      <c r="F2159"/>
      <c r="G2159"/>
      <c r="H2159"/>
      <c r="I2159"/>
      <c r="J2159"/>
    </row>
    <row r="2160" spans="1:10" s="2" customFormat="1">
      <c r="A2160" s="1"/>
      <c r="E2160"/>
      <c r="F2160"/>
      <c r="G2160"/>
      <c r="H2160"/>
      <c r="I2160"/>
      <c r="J2160"/>
    </row>
    <row r="2161" spans="1:10" s="2" customFormat="1">
      <c r="A2161" s="1"/>
      <c r="E2161"/>
      <c r="F2161"/>
      <c r="G2161"/>
      <c r="H2161"/>
      <c r="I2161"/>
      <c r="J2161"/>
    </row>
    <row r="2162" spans="1:10" s="2" customFormat="1">
      <c r="A2162" s="1"/>
      <c r="E2162"/>
      <c r="F2162"/>
      <c r="G2162"/>
      <c r="H2162"/>
      <c r="I2162"/>
      <c r="J2162"/>
    </row>
    <row r="2163" spans="1:10" s="2" customFormat="1">
      <c r="A2163" s="1"/>
      <c r="E2163"/>
      <c r="F2163"/>
      <c r="G2163"/>
      <c r="H2163"/>
      <c r="I2163"/>
      <c r="J2163"/>
    </row>
    <row r="2164" spans="1:10" s="2" customFormat="1">
      <c r="A2164" s="1"/>
      <c r="E2164"/>
      <c r="F2164"/>
      <c r="G2164"/>
      <c r="H2164"/>
      <c r="I2164"/>
      <c r="J2164"/>
    </row>
    <row r="2165" spans="1:10" s="2" customFormat="1">
      <c r="A2165" s="1"/>
      <c r="E2165"/>
      <c r="F2165"/>
      <c r="G2165"/>
      <c r="H2165"/>
      <c r="I2165"/>
      <c r="J2165"/>
    </row>
    <row r="2166" spans="1:10" s="2" customFormat="1">
      <c r="A2166" s="1"/>
      <c r="E2166"/>
      <c r="F2166"/>
      <c r="G2166"/>
      <c r="H2166"/>
      <c r="I2166"/>
      <c r="J2166"/>
    </row>
    <row r="2167" spans="1:10" s="2" customFormat="1">
      <c r="A2167" s="1"/>
      <c r="E2167"/>
      <c r="F2167"/>
      <c r="G2167"/>
      <c r="H2167"/>
      <c r="I2167"/>
      <c r="J2167"/>
    </row>
    <row r="2168" spans="1:10" s="2" customFormat="1">
      <c r="A2168" s="1"/>
      <c r="E2168"/>
      <c r="F2168"/>
      <c r="G2168"/>
      <c r="H2168"/>
      <c r="I2168"/>
      <c r="J2168"/>
    </row>
    <row r="2169" spans="1:10" s="2" customFormat="1">
      <c r="A2169" s="1"/>
      <c r="E2169"/>
      <c r="F2169"/>
      <c r="G2169"/>
      <c r="H2169"/>
      <c r="I2169"/>
      <c r="J2169"/>
    </row>
    <row r="2170" spans="1:10" s="2" customFormat="1">
      <c r="A2170" s="1"/>
      <c r="E2170"/>
      <c r="F2170"/>
      <c r="G2170"/>
      <c r="H2170"/>
      <c r="I2170"/>
      <c r="J2170"/>
    </row>
    <row r="2171" spans="1:10" s="2" customFormat="1">
      <c r="A2171" s="1"/>
      <c r="E2171"/>
      <c r="F2171"/>
      <c r="G2171"/>
      <c r="H2171"/>
      <c r="I2171"/>
      <c r="J2171"/>
    </row>
    <row r="2172" spans="1:10" s="2" customFormat="1">
      <c r="A2172" s="1"/>
      <c r="E2172"/>
      <c r="F2172"/>
      <c r="G2172"/>
      <c r="H2172"/>
      <c r="I2172"/>
      <c r="J2172"/>
    </row>
    <row r="2173" spans="1:10" s="2" customFormat="1">
      <c r="A2173" s="1"/>
      <c r="E2173"/>
      <c r="F2173"/>
      <c r="G2173"/>
      <c r="H2173"/>
      <c r="I2173"/>
      <c r="J2173"/>
    </row>
    <row r="2174" spans="1:10" s="2" customFormat="1">
      <c r="A2174" s="1"/>
      <c r="E2174"/>
      <c r="F2174"/>
      <c r="G2174"/>
      <c r="H2174"/>
      <c r="I2174"/>
      <c r="J2174"/>
    </row>
    <row r="2175" spans="1:10" s="2" customFormat="1">
      <c r="A2175" s="1"/>
      <c r="E2175"/>
      <c r="F2175"/>
      <c r="G2175"/>
      <c r="H2175"/>
      <c r="I2175"/>
      <c r="J2175"/>
    </row>
    <row r="2176" spans="1:10" s="2" customFormat="1">
      <c r="A2176" s="1"/>
      <c r="E2176"/>
      <c r="F2176"/>
      <c r="G2176"/>
      <c r="H2176"/>
      <c r="I2176"/>
      <c r="J2176"/>
    </row>
    <row r="2177" spans="1:10" s="2" customFormat="1">
      <c r="A2177" s="1"/>
      <c r="E2177"/>
      <c r="F2177"/>
      <c r="G2177"/>
      <c r="H2177"/>
      <c r="I2177"/>
      <c r="J2177"/>
    </row>
    <row r="2178" spans="1:10" s="2" customFormat="1">
      <c r="A2178" s="1"/>
      <c r="E2178"/>
      <c r="F2178"/>
      <c r="G2178"/>
      <c r="H2178"/>
      <c r="I2178"/>
      <c r="J2178"/>
    </row>
    <row r="2179" spans="1:10" s="2" customFormat="1">
      <c r="A2179" s="1"/>
      <c r="E2179"/>
      <c r="F2179"/>
      <c r="G2179"/>
      <c r="H2179"/>
      <c r="I2179"/>
      <c r="J2179"/>
    </row>
    <row r="2180" spans="1:10" s="2" customFormat="1">
      <c r="A2180" s="1"/>
      <c r="E2180"/>
      <c r="F2180"/>
      <c r="G2180"/>
      <c r="H2180"/>
      <c r="I2180"/>
      <c r="J2180"/>
    </row>
    <row r="2181" spans="1:10" s="2" customFormat="1">
      <c r="A2181" s="1"/>
      <c r="E2181"/>
      <c r="F2181"/>
      <c r="G2181"/>
      <c r="H2181"/>
      <c r="I2181"/>
      <c r="J2181"/>
    </row>
    <row r="2182" spans="1:10" s="2" customFormat="1">
      <c r="A2182" s="1"/>
      <c r="E2182"/>
      <c r="F2182"/>
      <c r="G2182"/>
      <c r="H2182"/>
      <c r="I2182"/>
      <c r="J2182"/>
    </row>
    <row r="2183" spans="1:10" s="2" customFormat="1">
      <c r="A2183" s="1"/>
      <c r="E2183"/>
      <c r="F2183"/>
      <c r="G2183"/>
      <c r="H2183"/>
      <c r="I2183"/>
      <c r="J2183"/>
    </row>
    <row r="2184" spans="1:10" s="2" customFormat="1">
      <c r="A2184" s="1"/>
      <c r="E2184"/>
      <c r="F2184"/>
      <c r="G2184"/>
      <c r="H2184"/>
      <c r="I2184"/>
      <c r="J2184"/>
    </row>
    <row r="2185" spans="1:10" s="2" customFormat="1">
      <c r="A2185" s="1"/>
      <c r="E2185"/>
      <c r="F2185"/>
      <c r="G2185"/>
      <c r="H2185"/>
      <c r="I2185"/>
      <c r="J2185"/>
    </row>
    <row r="2186" spans="1:10" s="2" customFormat="1">
      <c r="A2186" s="1"/>
      <c r="E2186"/>
      <c r="F2186"/>
      <c r="G2186"/>
      <c r="H2186"/>
      <c r="I2186"/>
      <c r="J2186"/>
    </row>
    <row r="2187" spans="1:10" s="2" customFormat="1">
      <c r="A2187" s="1"/>
      <c r="E2187"/>
      <c r="F2187"/>
      <c r="G2187"/>
      <c r="H2187"/>
      <c r="I2187"/>
      <c r="J2187"/>
    </row>
    <row r="2188" spans="1:10" s="2" customFormat="1">
      <c r="A2188" s="1"/>
      <c r="E2188"/>
      <c r="F2188"/>
      <c r="G2188"/>
      <c r="H2188"/>
      <c r="I2188"/>
      <c r="J2188"/>
    </row>
    <row r="2189" spans="1:10" s="2" customFormat="1">
      <c r="A2189" s="1"/>
      <c r="E2189"/>
      <c r="F2189"/>
      <c r="G2189"/>
      <c r="H2189"/>
      <c r="I2189"/>
      <c r="J2189"/>
    </row>
    <row r="2190" spans="1:10" s="2" customFormat="1">
      <c r="A2190" s="1"/>
      <c r="E2190"/>
      <c r="F2190"/>
      <c r="G2190"/>
      <c r="H2190"/>
      <c r="I2190"/>
      <c r="J2190"/>
    </row>
    <row r="2191" spans="1:10" s="2" customFormat="1">
      <c r="A2191" s="1"/>
      <c r="E2191"/>
      <c r="F2191"/>
      <c r="G2191"/>
      <c r="H2191"/>
      <c r="I2191"/>
      <c r="J2191"/>
    </row>
    <row r="2192" spans="1:10" s="2" customFormat="1">
      <c r="A2192" s="1"/>
      <c r="E2192"/>
      <c r="F2192"/>
      <c r="G2192"/>
      <c r="H2192"/>
      <c r="I2192"/>
      <c r="J2192"/>
    </row>
    <row r="2193" spans="1:10" s="2" customFormat="1">
      <c r="A2193" s="1"/>
      <c r="E2193"/>
      <c r="F2193"/>
      <c r="G2193"/>
      <c r="H2193"/>
      <c r="I2193"/>
      <c r="J2193"/>
    </row>
    <row r="2194" spans="1:10" s="2" customFormat="1">
      <c r="A2194" s="1"/>
      <c r="E2194"/>
      <c r="F2194"/>
      <c r="G2194"/>
      <c r="H2194"/>
      <c r="I2194"/>
      <c r="J2194"/>
    </row>
    <row r="2195" spans="1:10" s="2" customFormat="1">
      <c r="A2195" s="1"/>
      <c r="E2195"/>
      <c r="F2195"/>
      <c r="G2195"/>
      <c r="H2195"/>
      <c r="I2195"/>
      <c r="J2195"/>
    </row>
    <row r="2196" spans="1:10" s="2" customFormat="1">
      <c r="A2196" s="1"/>
      <c r="E2196"/>
      <c r="F2196"/>
      <c r="G2196"/>
      <c r="H2196"/>
      <c r="I2196"/>
      <c r="J2196"/>
    </row>
    <row r="2197" spans="1:10" s="2" customFormat="1">
      <c r="A2197" s="1"/>
      <c r="E2197"/>
      <c r="F2197"/>
      <c r="G2197"/>
      <c r="H2197"/>
      <c r="I2197"/>
      <c r="J2197"/>
    </row>
    <row r="2198" spans="1:10" s="2" customFormat="1">
      <c r="A2198" s="1"/>
      <c r="E2198"/>
      <c r="F2198"/>
      <c r="G2198"/>
      <c r="H2198"/>
      <c r="I2198"/>
      <c r="J2198"/>
    </row>
    <row r="2199" spans="1:10" s="2" customFormat="1">
      <c r="A2199" s="1"/>
      <c r="E2199"/>
      <c r="F2199"/>
      <c r="G2199"/>
      <c r="H2199"/>
      <c r="I2199"/>
      <c r="J2199"/>
    </row>
    <row r="2200" spans="1:10" s="2" customFormat="1">
      <c r="A2200" s="1"/>
      <c r="E2200"/>
      <c r="F2200"/>
      <c r="G2200"/>
      <c r="H2200"/>
      <c r="I2200"/>
      <c r="J2200"/>
    </row>
    <row r="2201" spans="1:10" s="2" customFormat="1">
      <c r="A2201" s="1"/>
      <c r="E2201"/>
      <c r="F2201"/>
      <c r="G2201"/>
      <c r="H2201"/>
      <c r="I2201"/>
      <c r="J2201"/>
    </row>
    <row r="2202" spans="1:10" s="2" customFormat="1">
      <c r="A2202" s="1"/>
      <c r="E2202"/>
      <c r="F2202"/>
      <c r="G2202"/>
      <c r="H2202"/>
      <c r="I2202"/>
      <c r="J2202"/>
    </row>
    <row r="2203" spans="1:10" s="2" customFormat="1">
      <c r="A2203" s="1"/>
      <c r="E2203"/>
      <c r="F2203"/>
      <c r="G2203"/>
      <c r="H2203"/>
      <c r="I2203"/>
      <c r="J2203"/>
    </row>
    <row r="2204" spans="1:10" s="2" customFormat="1">
      <c r="A2204" s="1"/>
      <c r="E2204"/>
      <c r="F2204"/>
      <c r="G2204"/>
      <c r="H2204"/>
      <c r="I2204"/>
      <c r="J2204"/>
    </row>
    <row r="2205" spans="1:10" s="2" customFormat="1">
      <c r="A2205" s="1"/>
      <c r="E2205"/>
      <c r="F2205"/>
      <c r="G2205"/>
      <c r="H2205"/>
      <c r="I2205"/>
      <c r="J2205"/>
    </row>
    <row r="2206" spans="1:10" s="2" customFormat="1">
      <c r="A2206" s="1"/>
      <c r="E2206"/>
      <c r="F2206"/>
      <c r="G2206"/>
      <c r="H2206"/>
      <c r="I2206"/>
      <c r="J2206"/>
    </row>
    <row r="2207" spans="1:10" s="2" customFormat="1">
      <c r="A2207" s="1"/>
      <c r="E2207"/>
      <c r="F2207"/>
      <c r="G2207"/>
      <c r="H2207"/>
      <c r="I2207"/>
      <c r="J2207"/>
    </row>
    <row r="2208" spans="1:10" s="2" customFormat="1">
      <c r="A2208" s="1"/>
      <c r="E2208"/>
      <c r="F2208"/>
      <c r="G2208"/>
      <c r="H2208"/>
      <c r="I2208"/>
      <c r="J2208"/>
    </row>
    <row r="2209" spans="1:10" s="2" customFormat="1">
      <c r="A2209" s="1"/>
      <c r="E2209"/>
      <c r="F2209"/>
      <c r="G2209"/>
      <c r="H2209"/>
      <c r="I2209"/>
      <c r="J2209"/>
    </row>
    <row r="2210" spans="1:10" s="2" customFormat="1">
      <c r="A2210" s="1"/>
      <c r="E2210"/>
      <c r="F2210"/>
      <c r="G2210"/>
      <c r="H2210"/>
      <c r="I2210"/>
      <c r="J2210"/>
    </row>
    <row r="2211" spans="1:10" s="2" customFormat="1">
      <c r="A2211" s="1"/>
      <c r="E2211"/>
      <c r="F2211"/>
      <c r="G2211"/>
      <c r="H2211"/>
      <c r="I2211"/>
      <c r="J2211"/>
    </row>
    <row r="2212" spans="1:10" s="2" customFormat="1">
      <c r="A2212" s="1"/>
      <c r="E2212"/>
      <c r="F2212"/>
      <c r="G2212"/>
      <c r="H2212"/>
      <c r="I2212"/>
      <c r="J2212"/>
    </row>
    <row r="2213" spans="1:10" s="2" customFormat="1">
      <c r="A2213" s="1"/>
      <c r="E2213"/>
      <c r="F2213"/>
      <c r="G2213"/>
      <c r="H2213"/>
      <c r="I2213"/>
      <c r="J2213"/>
    </row>
    <row r="2214" spans="1:10" s="2" customFormat="1">
      <c r="A2214" s="1"/>
      <c r="E2214"/>
      <c r="F2214"/>
      <c r="G2214"/>
      <c r="H2214"/>
      <c r="I2214"/>
      <c r="J2214"/>
    </row>
    <row r="2215" spans="1:10" s="2" customFormat="1">
      <c r="A2215" s="1"/>
      <c r="E2215"/>
      <c r="F2215"/>
      <c r="G2215"/>
      <c r="H2215"/>
      <c r="I2215"/>
      <c r="J2215"/>
    </row>
    <row r="2216" spans="1:10" s="2" customFormat="1">
      <c r="A2216" s="1"/>
      <c r="E2216"/>
      <c r="F2216"/>
      <c r="G2216"/>
      <c r="H2216"/>
      <c r="I2216"/>
      <c r="J2216"/>
    </row>
    <row r="2217" spans="1:10" s="2" customFormat="1">
      <c r="A2217" s="1"/>
      <c r="E2217"/>
      <c r="F2217"/>
      <c r="G2217"/>
      <c r="H2217"/>
      <c r="I2217"/>
      <c r="J2217"/>
    </row>
    <row r="2218" spans="1:10" s="2" customFormat="1">
      <c r="A2218" s="1"/>
      <c r="E2218"/>
      <c r="F2218"/>
      <c r="G2218"/>
      <c r="H2218"/>
      <c r="I2218"/>
      <c r="J2218"/>
    </row>
    <row r="2219" spans="1:10" s="2" customFormat="1">
      <c r="A2219" s="1"/>
      <c r="E2219"/>
      <c r="F2219"/>
      <c r="G2219"/>
      <c r="H2219"/>
      <c r="I2219"/>
      <c r="J2219"/>
    </row>
    <row r="2220" spans="1:10" s="2" customFormat="1">
      <c r="A2220" s="1"/>
      <c r="E2220"/>
      <c r="F2220"/>
      <c r="G2220"/>
      <c r="H2220"/>
      <c r="I2220"/>
      <c r="J2220"/>
    </row>
    <row r="2221" spans="1:10" s="2" customFormat="1">
      <c r="A2221" s="1"/>
      <c r="E2221"/>
      <c r="F2221"/>
      <c r="G2221"/>
      <c r="H2221"/>
      <c r="I2221"/>
      <c r="J2221"/>
    </row>
    <row r="2222" spans="1:10" s="2" customFormat="1">
      <c r="A2222" s="1"/>
      <c r="E2222"/>
      <c r="F2222"/>
      <c r="G2222"/>
      <c r="H2222"/>
      <c r="I2222"/>
      <c r="J2222"/>
    </row>
    <row r="2223" spans="1:10" s="2" customFormat="1">
      <c r="A2223" s="1"/>
      <c r="E2223"/>
      <c r="F2223"/>
      <c r="G2223"/>
      <c r="H2223"/>
      <c r="I2223"/>
      <c r="J2223"/>
    </row>
    <row r="2224" spans="1:10" s="2" customFormat="1">
      <c r="A2224" s="1"/>
      <c r="E2224"/>
      <c r="F2224"/>
      <c r="G2224"/>
      <c r="H2224"/>
      <c r="I2224"/>
      <c r="J2224"/>
    </row>
    <row r="2225" spans="1:10" s="2" customFormat="1">
      <c r="A2225" s="1"/>
      <c r="E2225"/>
      <c r="F2225"/>
      <c r="G2225"/>
      <c r="H2225"/>
      <c r="I2225"/>
      <c r="J2225"/>
    </row>
    <row r="2226" spans="1:10" s="2" customFormat="1">
      <c r="A2226" s="1"/>
      <c r="E2226"/>
      <c r="F2226"/>
      <c r="G2226"/>
      <c r="H2226"/>
      <c r="I2226"/>
      <c r="J2226"/>
    </row>
    <row r="2227" spans="1:10" s="2" customFormat="1">
      <c r="A2227" s="1"/>
      <c r="E2227"/>
      <c r="F2227"/>
      <c r="G2227"/>
      <c r="H2227"/>
      <c r="I2227"/>
      <c r="J2227"/>
    </row>
    <row r="2228" spans="1:10" s="2" customFormat="1">
      <c r="A2228" s="1"/>
      <c r="E2228"/>
      <c r="F2228"/>
      <c r="G2228"/>
      <c r="H2228"/>
      <c r="I2228"/>
      <c r="J2228"/>
    </row>
    <row r="2229" spans="1:10" s="2" customFormat="1">
      <c r="A2229" s="1"/>
      <c r="E2229"/>
      <c r="F2229"/>
      <c r="G2229"/>
      <c r="H2229"/>
      <c r="I2229"/>
      <c r="J2229"/>
    </row>
    <row r="2230" spans="1:10" s="2" customFormat="1">
      <c r="A2230" s="1"/>
      <c r="E2230"/>
      <c r="F2230"/>
      <c r="G2230"/>
      <c r="H2230"/>
      <c r="I2230"/>
      <c r="J2230"/>
    </row>
    <row r="2231" spans="1:10" s="2" customFormat="1">
      <c r="A2231" s="1"/>
      <c r="E2231"/>
      <c r="F2231"/>
      <c r="G2231"/>
      <c r="H2231"/>
      <c r="I2231"/>
      <c r="J2231"/>
    </row>
    <row r="2232" spans="1:10" s="2" customFormat="1">
      <c r="A2232" s="1"/>
      <c r="E2232"/>
      <c r="F2232"/>
      <c r="G2232"/>
      <c r="H2232"/>
      <c r="I2232"/>
      <c r="J2232"/>
    </row>
    <row r="2233" spans="1:10" s="2" customFormat="1">
      <c r="A2233" s="1"/>
      <c r="E2233"/>
      <c r="F2233"/>
      <c r="G2233"/>
      <c r="H2233"/>
      <c r="I2233"/>
      <c r="J2233"/>
    </row>
    <row r="2234" spans="1:10" s="2" customFormat="1">
      <c r="A2234" s="1"/>
      <c r="E2234"/>
      <c r="F2234"/>
      <c r="G2234"/>
      <c r="H2234"/>
      <c r="I2234"/>
      <c r="J2234"/>
    </row>
    <row r="2235" spans="1:10" s="2" customFormat="1">
      <c r="A2235" s="1"/>
      <c r="E2235"/>
      <c r="F2235"/>
      <c r="G2235"/>
      <c r="H2235"/>
      <c r="I2235"/>
      <c r="J2235"/>
    </row>
    <row r="2236" spans="1:10" s="2" customFormat="1">
      <c r="A2236" s="1"/>
      <c r="E2236"/>
      <c r="F2236"/>
      <c r="G2236"/>
      <c r="H2236"/>
      <c r="I2236"/>
      <c r="J2236"/>
    </row>
    <row r="2237" spans="1:10" s="2" customFormat="1">
      <c r="A2237" s="1"/>
      <c r="E2237"/>
      <c r="F2237"/>
      <c r="G2237"/>
      <c r="H2237"/>
      <c r="I2237"/>
      <c r="J2237"/>
    </row>
    <row r="2238" spans="1:10" s="2" customFormat="1">
      <c r="A2238" s="1"/>
      <c r="E2238"/>
      <c r="F2238"/>
      <c r="G2238"/>
      <c r="H2238"/>
      <c r="I2238"/>
      <c r="J2238"/>
    </row>
    <row r="2239" spans="1:10" s="2" customFormat="1">
      <c r="A2239" s="1"/>
      <c r="E2239"/>
      <c r="F2239"/>
      <c r="G2239"/>
      <c r="H2239"/>
      <c r="I2239"/>
      <c r="J2239"/>
    </row>
    <row r="2240" spans="1:10" s="2" customFormat="1">
      <c r="A2240" s="1"/>
      <c r="E2240"/>
      <c r="F2240"/>
      <c r="G2240"/>
      <c r="H2240"/>
      <c r="I2240"/>
      <c r="J2240"/>
    </row>
    <row r="2241" spans="1:10" s="2" customFormat="1">
      <c r="A2241" s="1"/>
      <c r="E2241"/>
      <c r="F2241"/>
      <c r="G2241"/>
      <c r="H2241"/>
      <c r="I2241"/>
      <c r="J2241"/>
    </row>
    <row r="2242" spans="1:10" s="2" customFormat="1">
      <c r="A2242" s="1"/>
      <c r="E2242"/>
      <c r="F2242"/>
      <c r="G2242"/>
      <c r="H2242"/>
      <c r="I2242"/>
      <c r="J2242"/>
    </row>
    <row r="2243" spans="1:10" s="2" customFormat="1">
      <c r="A2243" s="1"/>
      <c r="E2243"/>
      <c r="F2243"/>
      <c r="G2243"/>
      <c r="H2243"/>
      <c r="I2243"/>
      <c r="J2243"/>
    </row>
    <row r="2244" spans="1:10" s="2" customFormat="1">
      <c r="A2244" s="1"/>
      <c r="E2244"/>
      <c r="F2244"/>
      <c r="G2244"/>
      <c r="H2244"/>
      <c r="I2244"/>
      <c r="J2244"/>
    </row>
    <row r="2245" spans="1:10" s="2" customFormat="1">
      <c r="A2245" s="1"/>
      <c r="E2245"/>
      <c r="F2245"/>
      <c r="G2245"/>
      <c r="H2245"/>
      <c r="I2245"/>
      <c r="J2245"/>
    </row>
    <row r="2246" spans="1:10" s="2" customFormat="1">
      <c r="A2246" s="1"/>
      <c r="E2246"/>
      <c r="F2246"/>
      <c r="G2246"/>
      <c r="H2246"/>
      <c r="I2246"/>
      <c r="J2246"/>
    </row>
    <row r="2247" spans="1:10" s="2" customFormat="1">
      <c r="A2247" s="1"/>
      <c r="E2247"/>
      <c r="F2247"/>
      <c r="G2247"/>
      <c r="H2247"/>
      <c r="I2247"/>
      <c r="J2247"/>
    </row>
    <row r="2248" spans="1:10" s="2" customFormat="1">
      <c r="A2248" s="1"/>
      <c r="E2248"/>
      <c r="F2248"/>
      <c r="G2248"/>
      <c r="H2248"/>
      <c r="I2248"/>
      <c r="J2248"/>
    </row>
    <row r="2249" spans="1:10" s="2" customFormat="1">
      <c r="A2249" s="1"/>
      <c r="E2249"/>
      <c r="F2249"/>
      <c r="G2249"/>
      <c r="H2249"/>
      <c r="I2249"/>
      <c r="J2249"/>
    </row>
    <row r="2250" spans="1:10" s="2" customFormat="1">
      <c r="A2250" s="1"/>
      <c r="E2250"/>
      <c r="F2250"/>
      <c r="G2250"/>
      <c r="H2250"/>
      <c r="I2250"/>
      <c r="J2250"/>
    </row>
    <row r="2251" spans="1:10" s="2" customFormat="1">
      <c r="A2251" s="1"/>
      <c r="E2251"/>
      <c r="F2251"/>
      <c r="G2251"/>
      <c r="H2251"/>
      <c r="I2251"/>
      <c r="J2251"/>
    </row>
    <row r="2252" spans="1:10" s="2" customFormat="1">
      <c r="A2252" s="1"/>
      <c r="E2252"/>
      <c r="F2252"/>
      <c r="G2252"/>
      <c r="H2252"/>
      <c r="I2252"/>
      <c r="J2252"/>
    </row>
    <row r="2253" spans="1:10" s="2" customFormat="1">
      <c r="A2253" s="1"/>
      <c r="E2253"/>
      <c r="F2253"/>
      <c r="G2253"/>
      <c r="H2253"/>
      <c r="I2253"/>
      <c r="J2253"/>
    </row>
    <row r="2254" spans="1:10" s="2" customFormat="1">
      <c r="A2254" s="1"/>
      <c r="E2254"/>
      <c r="F2254"/>
      <c r="G2254"/>
      <c r="H2254"/>
      <c r="I2254"/>
      <c r="J2254"/>
    </row>
    <row r="2255" spans="1:10" s="2" customFormat="1">
      <c r="A2255" s="1"/>
      <c r="E2255"/>
      <c r="F2255"/>
      <c r="G2255"/>
      <c r="H2255"/>
      <c r="I2255"/>
      <c r="J2255"/>
    </row>
    <row r="2256" spans="1:10" s="2" customFormat="1">
      <c r="A2256" s="1"/>
      <c r="E2256"/>
      <c r="F2256"/>
      <c r="G2256"/>
      <c r="H2256"/>
      <c r="I2256"/>
      <c r="J2256"/>
    </row>
    <row r="2257" spans="1:10" s="2" customFormat="1">
      <c r="A2257" s="1"/>
      <c r="E2257"/>
      <c r="F2257"/>
      <c r="G2257"/>
      <c r="H2257"/>
      <c r="I2257"/>
      <c r="J2257"/>
    </row>
    <row r="2258" spans="1:10" s="2" customFormat="1">
      <c r="A2258" s="1"/>
      <c r="E2258"/>
      <c r="F2258"/>
      <c r="G2258"/>
      <c r="H2258"/>
      <c r="I2258"/>
      <c r="J2258"/>
    </row>
    <row r="2259" spans="1:10" s="2" customFormat="1">
      <c r="A2259" s="1"/>
      <c r="E2259"/>
      <c r="F2259"/>
      <c r="G2259"/>
      <c r="H2259"/>
      <c r="I2259"/>
      <c r="J2259"/>
    </row>
    <row r="2260" spans="1:10" s="2" customFormat="1">
      <c r="A2260" s="1"/>
      <c r="E2260"/>
      <c r="F2260"/>
      <c r="G2260"/>
      <c r="H2260"/>
      <c r="I2260"/>
      <c r="J2260"/>
    </row>
    <row r="2261" spans="1:10" s="2" customFormat="1">
      <c r="A2261" s="1"/>
      <c r="E2261"/>
      <c r="F2261"/>
      <c r="G2261"/>
      <c r="H2261"/>
      <c r="I2261"/>
      <c r="J2261"/>
    </row>
    <row r="2262" spans="1:10" s="2" customFormat="1">
      <c r="A2262" s="1"/>
      <c r="E2262"/>
      <c r="F2262"/>
      <c r="G2262"/>
      <c r="H2262"/>
      <c r="I2262"/>
      <c r="J2262"/>
    </row>
    <row r="2263" spans="1:10" s="2" customFormat="1">
      <c r="A2263" s="1"/>
      <c r="E2263"/>
      <c r="F2263"/>
      <c r="G2263"/>
      <c r="H2263"/>
      <c r="I2263"/>
      <c r="J2263"/>
    </row>
    <row r="2264" spans="1:10" s="2" customFormat="1">
      <c r="A2264" s="1"/>
      <c r="E2264"/>
      <c r="F2264"/>
      <c r="G2264"/>
      <c r="H2264"/>
      <c r="I2264"/>
      <c r="J2264"/>
    </row>
    <row r="2265" spans="1:10" s="2" customFormat="1">
      <c r="A2265" s="1"/>
      <c r="E2265"/>
      <c r="F2265"/>
      <c r="G2265"/>
      <c r="H2265"/>
      <c r="I2265"/>
      <c r="J2265"/>
    </row>
    <row r="2266" spans="1:10" s="2" customFormat="1">
      <c r="A2266" s="1"/>
      <c r="E2266"/>
      <c r="F2266"/>
      <c r="G2266"/>
      <c r="H2266"/>
      <c r="I2266"/>
      <c r="J2266"/>
    </row>
    <row r="2267" spans="1:10" s="2" customFormat="1">
      <c r="A2267" s="1"/>
      <c r="E2267"/>
      <c r="F2267"/>
      <c r="G2267"/>
      <c r="H2267"/>
      <c r="I2267"/>
      <c r="J2267"/>
    </row>
    <row r="2268" spans="1:10" s="2" customFormat="1">
      <c r="A2268" s="1"/>
      <c r="E2268"/>
      <c r="F2268"/>
      <c r="G2268"/>
      <c r="H2268"/>
      <c r="I2268"/>
      <c r="J2268"/>
    </row>
    <row r="2269" spans="1:10" s="2" customFormat="1">
      <c r="A2269" s="1"/>
      <c r="E2269"/>
      <c r="F2269"/>
      <c r="G2269"/>
      <c r="H2269"/>
      <c r="I2269"/>
      <c r="J2269"/>
    </row>
    <row r="2270" spans="1:10" s="2" customFormat="1">
      <c r="A2270" s="1"/>
      <c r="E2270"/>
      <c r="F2270"/>
      <c r="G2270"/>
      <c r="H2270"/>
      <c r="I2270"/>
      <c r="J2270"/>
    </row>
    <row r="2271" spans="1:10" s="2" customFormat="1">
      <c r="A2271" s="1"/>
      <c r="E2271"/>
      <c r="F2271"/>
      <c r="G2271"/>
      <c r="H2271"/>
      <c r="I2271"/>
      <c r="J2271"/>
    </row>
    <row r="2272" spans="1:10" s="2" customFormat="1">
      <c r="A2272" s="1"/>
      <c r="E2272"/>
      <c r="F2272"/>
      <c r="G2272"/>
      <c r="H2272"/>
      <c r="I2272"/>
      <c r="J2272"/>
    </row>
    <row r="2273" spans="1:10" s="2" customFormat="1">
      <c r="A2273" s="1"/>
      <c r="E2273"/>
      <c r="F2273"/>
      <c r="G2273"/>
      <c r="H2273"/>
      <c r="I2273"/>
      <c r="J2273"/>
    </row>
    <row r="2274" spans="1:10" s="2" customFormat="1">
      <c r="A2274" s="1"/>
      <c r="E2274"/>
      <c r="F2274"/>
      <c r="G2274"/>
      <c r="H2274"/>
      <c r="I2274"/>
      <c r="J2274"/>
    </row>
    <row r="2275" spans="1:10" s="2" customFormat="1">
      <c r="A2275" s="1"/>
      <c r="E2275"/>
      <c r="F2275"/>
      <c r="G2275"/>
      <c r="H2275"/>
      <c r="I2275"/>
      <c r="J2275"/>
    </row>
    <row r="2276" spans="1:10" s="2" customFormat="1">
      <c r="A2276" s="1"/>
      <c r="E2276"/>
      <c r="F2276"/>
      <c r="G2276"/>
      <c r="H2276"/>
      <c r="I2276"/>
      <c r="J2276"/>
    </row>
    <row r="2277" spans="1:10" s="2" customFormat="1">
      <c r="A2277" s="1"/>
      <c r="E2277"/>
      <c r="F2277"/>
      <c r="G2277"/>
      <c r="H2277"/>
      <c r="I2277"/>
      <c r="J2277"/>
    </row>
    <row r="2278" spans="1:10" s="2" customFormat="1">
      <c r="A2278" s="1"/>
      <c r="E2278"/>
      <c r="F2278"/>
      <c r="G2278"/>
      <c r="H2278"/>
      <c r="I2278"/>
      <c r="J2278"/>
    </row>
    <row r="2279" spans="1:10" s="2" customFormat="1">
      <c r="A2279" s="1"/>
      <c r="E2279"/>
      <c r="F2279"/>
      <c r="G2279"/>
      <c r="H2279"/>
      <c r="I2279"/>
      <c r="J2279"/>
    </row>
    <row r="2280" spans="1:10" s="2" customFormat="1">
      <c r="A2280" s="1"/>
      <c r="E2280"/>
      <c r="F2280"/>
      <c r="G2280"/>
      <c r="H2280"/>
      <c r="I2280"/>
      <c r="J2280"/>
    </row>
    <row r="2281" spans="1:10" s="2" customFormat="1">
      <c r="A2281" s="1"/>
      <c r="E2281"/>
      <c r="F2281"/>
      <c r="G2281"/>
      <c r="H2281"/>
      <c r="I2281"/>
      <c r="J2281"/>
    </row>
    <row r="2282" spans="1:10" s="2" customFormat="1">
      <c r="A2282" s="1"/>
      <c r="E2282"/>
      <c r="F2282"/>
      <c r="G2282"/>
      <c r="H2282"/>
      <c r="I2282"/>
      <c r="J2282"/>
    </row>
    <row r="2283" spans="1:10" s="2" customFormat="1">
      <c r="A2283" s="1"/>
      <c r="E2283"/>
      <c r="F2283"/>
      <c r="G2283"/>
      <c r="H2283"/>
      <c r="I2283"/>
      <c r="J2283"/>
    </row>
    <row r="2284" spans="1:10" s="2" customFormat="1">
      <c r="A2284" s="1"/>
      <c r="E2284"/>
      <c r="F2284"/>
      <c r="G2284"/>
      <c r="H2284"/>
      <c r="I2284"/>
      <c r="J2284"/>
    </row>
    <row r="2285" spans="1:10" s="2" customFormat="1">
      <c r="A2285" s="1"/>
      <c r="E2285"/>
      <c r="F2285"/>
      <c r="G2285"/>
      <c r="H2285"/>
      <c r="I2285"/>
      <c r="J2285"/>
    </row>
    <row r="2286" spans="1:10" s="2" customFormat="1">
      <c r="A2286" s="1"/>
      <c r="E2286"/>
      <c r="F2286"/>
      <c r="G2286"/>
      <c r="H2286"/>
      <c r="I2286"/>
      <c r="J2286"/>
    </row>
    <row r="2287" spans="1:10" s="2" customFormat="1">
      <c r="A2287" s="1"/>
      <c r="E2287"/>
      <c r="F2287"/>
      <c r="G2287"/>
      <c r="H2287"/>
      <c r="I2287"/>
      <c r="J2287"/>
    </row>
    <row r="2288" spans="1:10" s="2" customFormat="1">
      <c r="A2288" s="1"/>
      <c r="E2288"/>
      <c r="F2288"/>
      <c r="G2288"/>
      <c r="H2288"/>
      <c r="I2288"/>
      <c r="J2288"/>
    </row>
    <row r="2289" spans="1:10" s="2" customFormat="1">
      <c r="A2289" s="1"/>
      <c r="E2289"/>
      <c r="F2289"/>
      <c r="G2289"/>
      <c r="H2289"/>
      <c r="I2289"/>
      <c r="J2289"/>
    </row>
    <row r="2290" spans="1:10" s="2" customFormat="1">
      <c r="A2290" s="1"/>
      <c r="E2290"/>
      <c r="F2290"/>
      <c r="G2290"/>
      <c r="H2290"/>
      <c r="I2290"/>
      <c r="J2290"/>
    </row>
    <row r="2291" spans="1:10" s="2" customFormat="1">
      <c r="A2291" s="1"/>
      <c r="E2291"/>
      <c r="F2291"/>
      <c r="G2291"/>
      <c r="H2291"/>
      <c r="I2291"/>
      <c r="J2291"/>
    </row>
    <row r="2292" spans="1:10" s="2" customFormat="1">
      <c r="A2292" s="1"/>
      <c r="E2292"/>
      <c r="F2292"/>
      <c r="G2292"/>
      <c r="H2292"/>
      <c r="I2292"/>
      <c r="J2292"/>
    </row>
    <row r="2293" spans="1:10" s="2" customFormat="1">
      <c r="A2293" s="1"/>
      <c r="E2293"/>
      <c r="F2293"/>
      <c r="G2293"/>
      <c r="H2293"/>
      <c r="I2293"/>
      <c r="J2293"/>
    </row>
    <row r="2294" spans="1:10" s="2" customFormat="1">
      <c r="A2294" s="1"/>
      <c r="E2294"/>
      <c r="F2294"/>
      <c r="G2294"/>
      <c r="H2294"/>
      <c r="I2294"/>
      <c r="J2294"/>
    </row>
    <row r="2295" spans="1:10" s="2" customFormat="1">
      <c r="A2295" s="1"/>
      <c r="E2295"/>
      <c r="F2295"/>
      <c r="G2295"/>
      <c r="H2295"/>
      <c r="I2295"/>
      <c r="J2295"/>
    </row>
    <row r="2296" spans="1:10" s="2" customFormat="1">
      <c r="A2296" s="1"/>
      <c r="E2296"/>
      <c r="F2296"/>
      <c r="G2296"/>
      <c r="H2296"/>
      <c r="I2296"/>
      <c r="J2296"/>
    </row>
    <row r="2297" spans="1:10" s="2" customFormat="1">
      <c r="A2297" s="1"/>
      <c r="E2297"/>
      <c r="F2297"/>
      <c r="G2297"/>
      <c r="H2297"/>
      <c r="I2297"/>
      <c r="J2297"/>
    </row>
    <row r="2298" spans="1:10" s="2" customFormat="1">
      <c r="A2298" s="1"/>
      <c r="E2298"/>
      <c r="F2298"/>
      <c r="G2298"/>
      <c r="H2298"/>
      <c r="I2298"/>
      <c r="J2298"/>
    </row>
    <row r="2299" spans="1:10" s="2" customFormat="1">
      <c r="A2299" s="1"/>
      <c r="E2299"/>
      <c r="F2299"/>
      <c r="G2299"/>
      <c r="H2299"/>
      <c r="I2299"/>
      <c r="J2299"/>
    </row>
    <row r="2300" spans="1:10" s="2" customFormat="1">
      <c r="A2300" s="1"/>
      <c r="E2300"/>
      <c r="F2300"/>
      <c r="G2300"/>
      <c r="H2300"/>
      <c r="I2300"/>
      <c r="J2300"/>
    </row>
    <row r="2301" spans="1:10" s="2" customFormat="1">
      <c r="A2301" s="1"/>
      <c r="E2301"/>
      <c r="F2301"/>
      <c r="G2301"/>
      <c r="H2301"/>
      <c r="I2301"/>
      <c r="J2301"/>
    </row>
    <row r="2302" spans="1:10" s="2" customFormat="1">
      <c r="A2302" s="1"/>
      <c r="E2302"/>
      <c r="F2302"/>
      <c r="G2302"/>
      <c r="H2302"/>
      <c r="I2302"/>
      <c r="J2302"/>
    </row>
    <row r="2303" spans="1:10" s="2" customFormat="1">
      <c r="A2303" s="1"/>
      <c r="E2303"/>
      <c r="F2303"/>
      <c r="G2303"/>
      <c r="H2303"/>
      <c r="I2303"/>
      <c r="J2303"/>
    </row>
    <row r="2304" spans="1:10" s="2" customFormat="1">
      <c r="A2304" s="1"/>
      <c r="E2304"/>
      <c r="F2304"/>
      <c r="G2304"/>
      <c r="H2304"/>
      <c r="I2304"/>
      <c r="J2304"/>
    </row>
    <row r="2305" spans="1:10" s="2" customFormat="1">
      <c r="A2305" s="1"/>
      <c r="E2305"/>
      <c r="F2305"/>
      <c r="G2305"/>
      <c r="H2305"/>
      <c r="I2305"/>
      <c r="J2305"/>
    </row>
    <row r="2306" spans="1:10" s="2" customFormat="1">
      <c r="A2306" s="1"/>
      <c r="E2306"/>
      <c r="F2306"/>
      <c r="G2306"/>
      <c r="H2306"/>
      <c r="I2306"/>
      <c r="J2306"/>
    </row>
    <row r="2307" spans="1:10" s="2" customFormat="1">
      <c r="A2307" s="1"/>
      <c r="E2307"/>
      <c r="F2307"/>
      <c r="G2307"/>
      <c r="H2307"/>
      <c r="I2307"/>
      <c r="J2307"/>
    </row>
    <row r="2308" spans="1:10" s="2" customFormat="1">
      <c r="A2308" s="1"/>
      <c r="E2308"/>
      <c r="F2308"/>
      <c r="G2308"/>
      <c r="H2308"/>
      <c r="I2308"/>
      <c r="J2308"/>
    </row>
    <row r="2309" spans="1:10" s="2" customFormat="1">
      <c r="A2309" s="1"/>
      <c r="E2309"/>
      <c r="F2309"/>
      <c r="G2309"/>
      <c r="H2309"/>
      <c r="I2309"/>
      <c r="J2309"/>
    </row>
    <row r="2310" spans="1:10" s="2" customFormat="1">
      <c r="A2310" s="1"/>
      <c r="E2310"/>
      <c r="F2310"/>
      <c r="G2310"/>
      <c r="H2310"/>
      <c r="I2310"/>
      <c r="J2310"/>
    </row>
    <row r="2311" spans="1:10" s="2" customFormat="1">
      <c r="A2311" s="1"/>
      <c r="E2311"/>
      <c r="F2311"/>
      <c r="G2311"/>
      <c r="H2311"/>
      <c r="I2311"/>
      <c r="J2311"/>
    </row>
    <row r="2312" spans="1:10" s="2" customFormat="1">
      <c r="A2312" s="1"/>
      <c r="E2312"/>
      <c r="F2312"/>
      <c r="G2312"/>
      <c r="H2312"/>
      <c r="I2312"/>
      <c r="J2312"/>
    </row>
    <row r="2313" spans="1:10" s="2" customFormat="1">
      <c r="A2313" s="1"/>
      <c r="E2313"/>
      <c r="F2313"/>
      <c r="G2313"/>
      <c r="H2313"/>
      <c r="I2313"/>
      <c r="J2313"/>
    </row>
    <row r="2314" spans="1:10" s="2" customFormat="1">
      <c r="A2314" s="1"/>
      <c r="E2314"/>
      <c r="F2314"/>
      <c r="G2314"/>
      <c r="H2314"/>
      <c r="I2314"/>
      <c r="J2314"/>
    </row>
    <row r="2315" spans="1:10" s="2" customFormat="1">
      <c r="A2315" s="1"/>
      <c r="E2315"/>
      <c r="F2315"/>
      <c r="G2315"/>
      <c r="H2315"/>
      <c r="I2315"/>
      <c r="J2315"/>
    </row>
    <row r="2316" spans="1:10" s="2" customFormat="1">
      <c r="A2316" s="1"/>
      <c r="E2316"/>
      <c r="F2316"/>
      <c r="G2316"/>
      <c r="H2316"/>
      <c r="I2316"/>
      <c r="J2316"/>
    </row>
    <row r="2317" spans="1:10" s="2" customFormat="1">
      <c r="A2317" s="1"/>
      <c r="E2317"/>
      <c r="F2317"/>
      <c r="G2317"/>
      <c r="H2317"/>
      <c r="I2317"/>
      <c r="J2317"/>
    </row>
    <row r="2318" spans="1:10" s="2" customFormat="1">
      <c r="A2318" s="1"/>
      <c r="E2318"/>
      <c r="F2318"/>
      <c r="G2318"/>
      <c r="H2318"/>
      <c r="I2318"/>
      <c r="J2318"/>
    </row>
    <row r="2319" spans="1:10" s="2" customFormat="1">
      <c r="A2319" s="1"/>
      <c r="E2319"/>
      <c r="F2319"/>
      <c r="G2319"/>
      <c r="H2319"/>
      <c r="I2319"/>
      <c r="J2319"/>
    </row>
    <row r="2320" spans="1:10" s="2" customFormat="1">
      <c r="A2320" s="1"/>
      <c r="E2320"/>
      <c r="F2320"/>
      <c r="G2320"/>
      <c r="H2320"/>
      <c r="I2320"/>
      <c r="J2320"/>
    </row>
    <row r="2321" spans="1:10" s="2" customFormat="1">
      <c r="A2321" s="1"/>
      <c r="E2321"/>
      <c r="F2321"/>
      <c r="G2321"/>
      <c r="H2321"/>
      <c r="I2321"/>
      <c r="J2321"/>
    </row>
    <row r="2322" spans="1:10" s="2" customFormat="1">
      <c r="A2322" s="1"/>
      <c r="E2322"/>
      <c r="F2322"/>
      <c r="G2322"/>
      <c r="H2322"/>
      <c r="I2322"/>
      <c r="J2322"/>
    </row>
    <row r="2323" spans="1:10" s="2" customFormat="1">
      <c r="A2323" s="1"/>
      <c r="E2323"/>
      <c r="F2323"/>
      <c r="G2323"/>
      <c r="H2323"/>
      <c r="I2323"/>
      <c r="J2323"/>
    </row>
    <row r="2324" spans="1:10" s="2" customFormat="1">
      <c r="A2324" s="1"/>
      <c r="E2324"/>
      <c r="F2324"/>
      <c r="G2324"/>
      <c r="H2324"/>
      <c r="I2324"/>
      <c r="J2324"/>
    </row>
    <row r="2325" spans="1:10" s="2" customFormat="1">
      <c r="A2325" s="1"/>
      <c r="E2325"/>
      <c r="F2325"/>
      <c r="G2325"/>
      <c r="H2325"/>
      <c r="I2325"/>
      <c r="J2325"/>
    </row>
    <row r="2326" spans="1:10" s="2" customFormat="1">
      <c r="A2326" s="1"/>
      <c r="E2326"/>
      <c r="F2326"/>
      <c r="G2326"/>
      <c r="H2326"/>
      <c r="I2326"/>
      <c r="J2326"/>
    </row>
    <row r="2327" spans="1:10" s="2" customFormat="1">
      <c r="A2327" s="1"/>
      <c r="E2327"/>
      <c r="F2327"/>
      <c r="G2327"/>
      <c r="H2327"/>
      <c r="I2327"/>
      <c r="J2327"/>
    </row>
    <row r="2328" spans="1:10" s="2" customFormat="1">
      <c r="A2328" s="1"/>
      <c r="E2328"/>
      <c r="F2328"/>
      <c r="G2328"/>
      <c r="H2328"/>
      <c r="I2328"/>
      <c r="J2328"/>
    </row>
    <row r="2329" spans="1:10" s="2" customFormat="1">
      <c r="A2329" s="1"/>
      <c r="E2329"/>
      <c r="F2329"/>
      <c r="G2329"/>
      <c r="H2329"/>
      <c r="I2329"/>
      <c r="J2329"/>
    </row>
    <row r="2330" spans="1:10" s="2" customFormat="1">
      <c r="A2330" s="1"/>
      <c r="E2330"/>
      <c r="F2330"/>
      <c r="G2330"/>
      <c r="H2330"/>
      <c r="I2330"/>
      <c r="J2330"/>
    </row>
    <row r="2331" spans="1:10" s="2" customFormat="1">
      <c r="A2331" s="1"/>
      <c r="E2331"/>
      <c r="F2331"/>
      <c r="G2331"/>
      <c r="H2331"/>
      <c r="I2331"/>
      <c r="J2331"/>
    </row>
    <row r="2332" spans="1:10" s="2" customFormat="1">
      <c r="A2332" s="1"/>
      <c r="E2332"/>
      <c r="F2332"/>
      <c r="G2332"/>
      <c r="H2332"/>
      <c r="I2332"/>
      <c r="J2332"/>
    </row>
    <row r="2333" spans="1:10" s="2" customFormat="1">
      <c r="A2333" s="1"/>
      <c r="E2333"/>
      <c r="F2333"/>
      <c r="G2333"/>
      <c r="H2333"/>
      <c r="I2333"/>
      <c r="J2333"/>
    </row>
    <row r="2334" spans="1:10" s="2" customFormat="1">
      <c r="A2334" s="1"/>
      <c r="E2334"/>
      <c r="F2334"/>
      <c r="G2334"/>
      <c r="H2334"/>
      <c r="I2334"/>
      <c r="J2334"/>
    </row>
    <row r="2335" spans="1:10" s="2" customFormat="1">
      <c r="A2335" s="1"/>
      <c r="E2335"/>
      <c r="F2335"/>
      <c r="G2335"/>
      <c r="H2335"/>
      <c r="I2335"/>
      <c r="J2335"/>
    </row>
    <row r="2336" spans="1:10" s="2" customFormat="1">
      <c r="A2336" s="1"/>
      <c r="E2336"/>
      <c r="F2336"/>
      <c r="G2336"/>
      <c r="H2336"/>
      <c r="I2336"/>
      <c r="J2336"/>
    </row>
    <row r="2337" spans="1:10" s="2" customFormat="1">
      <c r="A2337" s="1"/>
      <c r="E2337"/>
      <c r="F2337"/>
      <c r="G2337"/>
      <c r="H2337"/>
      <c r="I2337"/>
      <c r="J2337"/>
    </row>
    <row r="2338" spans="1:10" s="2" customFormat="1">
      <c r="A2338" s="1"/>
      <c r="E2338"/>
      <c r="F2338"/>
      <c r="G2338"/>
      <c r="H2338"/>
      <c r="I2338"/>
      <c r="J2338"/>
    </row>
    <row r="2339" spans="1:10" s="2" customFormat="1">
      <c r="A2339" s="1"/>
      <c r="E2339"/>
      <c r="F2339"/>
      <c r="G2339"/>
      <c r="H2339"/>
      <c r="I2339"/>
      <c r="J2339"/>
    </row>
    <row r="2340" spans="1:10" s="2" customFormat="1">
      <c r="A2340" s="1"/>
      <c r="E2340"/>
      <c r="F2340"/>
      <c r="G2340"/>
      <c r="H2340"/>
      <c r="I2340"/>
      <c r="J2340"/>
    </row>
    <row r="2341" spans="1:10" s="2" customFormat="1">
      <c r="A2341" s="1"/>
      <c r="E2341"/>
      <c r="F2341"/>
      <c r="G2341"/>
      <c r="H2341"/>
      <c r="I2341"/>
      <c r="J2341"/>
    </row>
    <row r="2342" spans="1:10" s="2" customFormat="1">
      <c r="A2342" s="1"/>
      <c r="E2342"/>
      <c r="F2342"/>
      <c r="G2342"/>
      <c r="H2342"/>
      <c r="I2342"/>
      <c r="J2342"/>
    </row>
    <row r="2343" spans="1:10" s="2" customFormat="1">
      <c r="A2343" s="1"/>
      <c r="E2343"/>
      <c r="F2343"/>
      <c r="G2343"/>
      <c r="H2343"/>
      <c r="I2343"/>
      <c r="J2343"/>
    </row>
    <row r="2344" spans="1:10" s="2" customFormat="1">
      <c r="A2344" s="1"/>
      <c r="E2344"/>
      <c r="F2344"/>
      <c r="G2344"/>
      <c r="H2344"/>
      <c r="I2344"/>
      <c r="J2344"/>
    </row>
    <row r="2345" spans="1:10" s="2" customFormat="1">
      <c r="A2345" s="1"/>
      <c r="E2345"/>
      <c r="F2345"/>
      <c r="G2345"/>
      <c r="H2345"/>
      <c r="I2345"/>
      <c r="J2345"/>
    </row>
    <row r="2346" spans="1:10" s="2" customFormat="1">
      <c r="A2346" s="1"/>
      <c r="E2346"/>
      <c r="F2346"/>
      <c r="G2346"/>
      <c r="H2346"/>
      <c r="I2346"/>
      <c r="J2346"/>
    </row>
    <row r="2347" spans="1:10" s="2" customFormat="1">
      <c r="A2347" s="1"/>
      <c r="E2347"/>
      <c r="F2347"/>
      <c r="G2347"/>
      <c r="H2347"/>
      <c r="I2347"/>
      <c r="J2347"/>
    </row>
    <row r="2348" spans="1:10" s="2" customFormat="1">
      <c r="A2348" s="1"/>
      <c r="E2348"/>
      <c r="F2348"/>
      <c r="G2348"/>
      <c r="H2348"/>
      <c r="I2348"/>
      <c r="J2348"/>
    </row>
    <row r="2349" spans="1:10" s="2" customFormat="1">
      <c r="A2349" s="1"/>
      <c r="E2349"/>
      <c r="F2349"/>
      <c r="G2349"/>
      <c r="H2349"/>
      <c r="I2349"/>
      <c r="J2349"/>
    </row>
    <row r="2350" spans="1:10" s="2" customFormat="1">
      <c r="A2350" s="1"/>
      <c r="E2350"/>
      <c r="F2350"/>
      <c r="G2350"/>
      <c r="H2350"/>
      <c r="I2350"/>
      <c r="J2350"/>
    </row>
    <row r="2351" spans="1:10" s="2" customFormat="1">
      <c r="A2351" s="1"/>
      <c r="E2351"/>
      <c r="F2351"/>
      <c r="G2351"/>
      <c r="H2351"/>
      <c r="I2351"/>
      <c r="J2351"/>
    </row>
    <row r="2352" spans="1:10" s="2" customFormat="1">
      <c r="A2352" s="1"/>
      <c r="E2352"/>
      <c r="F2352"/>
      <c r="G2352"/>
      <c r="H2352"/>
      <c r="I2352"/>
      <c r="J2352"/>
    </row>
    <row r="2353" spans="1:10" s="2" customFormat="1">
      <c r="A2353" s="1"/>
      <c r="E2353"/>
      <c r="F2353"/>
      <c r="G2353"/>
      <c r="H2353"/>
      <c r="I2353"/>
      <c r="J2353"/>
    </row>
    <row r="2354" spans="1:10" s="2" customFormat="1">
      <c r="A2354" s="1"/>
      <c r="E2354"/>
      <c r="F2354"/>
      <c r="G2354"/>
      <c r="H2354"/>
      <c r="I2354"/>
      <c r="J2354"/>
    </row>
    <row r="2355" spans="1:10" s="2" customFormat="1">
      <c r="A2355" s="1"/>
      <c r="E2355"/>
      <c r="F2355"/>
      <c r="G2355"/>
      <c r="H2355"/>
      <c r="I2355"/>
      <c r="J2355"/>
    </row>
    <row r="2356" spans="1:10" s="2" customFormat="1">
      <c r="A2356" s="1"/>
      <c r="E2356"/>
      <c r="F2356"/>
      <c r="G2356"/>
      <c r="H2356"/>
      <c r="I2356"/>
      <c r="J2356"/>
    </row>
    <row r="2357" spans="1:10" s="2" customFormat="1">
      <c r="A2357" s="1"/>
      <c r="E2357"/>
      <c r="F2357"/>
      <c r="G2357"/>
      <c r="H2357"/>
      <c r="I2357"/>
      <c r="J2357"/>
    </row>
    <row r="2358" spans="1:10" s="2" customFormat="1">
      <c r="A2358" s="1"/>
      <c r="E2358"/>
      <c r="F2358"/>
      <c r="G2358"/>
      <c r="H2358"/>
      <c r="I2358"/>
      <c r="J2358"/>
    </row>
    <row r="2359" spans="1:10" s="2" customFormat="1">
      <c r="A2359" s="1"/>
      <c r="E2359"/>
      <c r="F2359"/>
      <c r="G2359"/>
      <c r="H2359"/>
      <c r="I2359"/>
      <c r="J2359"/>
    </row>
    <row r="2360" spans="1:10" s="2" customFormat="1">
      <c r="A2360" s="1"/>
      <c r="E2360"/>
      <c r="F2360"/>
      <c r="G2360"/>
      <c r="H2360"/>
      <c r="I2360"/>
      <c r="J2360"/>
    </row>
    <row r="2361" spans="1:10" s="2" customFormat="1">
      <c r="A2361" s="1"/>
      <c r="E2361"/>
      <c r="F2361"/>
      <c r="G2361"/>
      <c r="H2361"/>
      <c r="I2361"/>
      <c r="J2361"/>
    </row>
    <row r="2362" spans="1:10" s="2" customFormat="1">
      <c r="A2362" s="1"/>
      <c r="E2362"/>
      <c r="F2362"/>
      <c r="G2362"/>
      <c r="H2362"/>
      <c r="I2362"/>
      <c r="J2362"/>
    </row>
    <row r="2363" spans="1:10" s="2" customFormat="1">
      <c r="A2363" s="1"/>
      <c r="E2363"/>
      <c r="F2363"/>
      <c r="G2363"/>
      <c r="H2363"/>
      <c r="I2363"/>
      <c r="J2363"/>
    </row>
    <row r="2364" spans="1:10" s="2" customFormat="1">
      <c r="A2364" s="1"/>
      <c r="E2364"/>
      <c r="F2364"/>
      <c r="G2364"/>
      <c r="H2364"/>
      <c r="I2364"/>
      <c r="J2364"/>
    </row>
    <row r="2365" spans="1:10" s="2" customFormat="1">
      <c r="A2365" s="1"/>
      <c r="E2365"/>
      <c r="F2365"/>
      <c r="G2365"/>
      <c r="H2365"/>
      <c r="I2365"/>
      <c r="J2365"/>
    </row>
    <row r="2366" spans="1:10" s="2" customFormat="1">
      <c r="A2366" s="1"/>
      <c r="E2366"/>
      <c r="F2366"/>
      <c r="G2366"/>
      <c r="H2366"/>
      <c r="I2366"/>
      <c r="J2366"/>
    </row>
    <row r="2367" spans="1:10" s="2" customFormat="1">
      <c r="A2367" s="1"/>
      <c r="E2367"/>
      <c r="F2367"/>
      <c r="G2367"/>
      <c r="H2367"/>
      <c r="I2367"/>
      <c r="J2367"/>
    </row>
    <row r="2368" spans="1:10" s="2" customFormat="1">
      <c r="A2368" s="1"/>
      <c r="E2368"/>
      <c r="F2368"/>
      <c r="G2368"/>
      <c r="H2368"/>
      <c r="I2368"/>
      <c r="J2368"/>
    </row>
    <row r="2369" spans="1:10" s="2" customFormat="1">
      <c r="A2369" s="1"/>
      <c r="E2369"/>
      <c r="F2369"/>
      <c r="G2369"/>
      <c r="H2369"/>
      <c r="I2369"/>
      <c r="J2369"/>
    </row>
    <row r="2370" spans="1:10" s="2" customFormat="1">
      <c r="A2370" s="1"/>
      <c r="E2370"/>
      <c r="F2370"/>
      <c r="G2370"/>
      <c r="H2370"/>
      <c r="I2370"/>
      <c r="J2370"/>
    </row>
    <row r="2371" spans="1:10" s="2" customFormat="1">
      <c r="A2371" s="1"/>
      <c r="E2371"/>
      <c r="F2371"/>
      <c r="G2371"/>
      <c r="H2371"/>
      <c r="I2371"/>
      <c r="J2371"/>
    </row>
    <row r="2372" spans="1:10" s="2" customFormat="1">
      <c r="A2372" s="1"/>
      <c r="E2372"/>
      <c r="F2372"/>
      <c r="G2372"/>
      <c r="H2372"/>
      <c r="I2372"/>
      <c r="J2372"/>
    </row>
    <row r="2373" spans="1:10" s="2" customFormat="1">
      <c r="A2373" s="1"/>
      <c r="E2373"/>
      <c r="F2373"/>
      <c r="G2373"/>
      <c r="H2373"/>
      <c r="I2373"/>
      <c r="J2373"/>
    </row>
    <row r="2374" spans="1:10" s="2" customFormat="1">
      <c r="A2374" s="1"/>
      <c r="E2374"/>
      <c r="F2374"/>
      <c r="G2374"/>
      <c r="H2374"/>
      <c r="I2374"/>
      <c r="J2374"/>
    </row>
    <row r="2375" spans="1:10" s="2" customFormat="1">
      <c r="A2375" s="1"/>
      <c r="E2375"/>
      <c r="F2375"/>
      <c r="G2375"/>
      <c r="H2375"/>
      <c r="I2375"/>
      <c r="J2375"/>
    </row>
    <row r="2376" spans="1:10" s="2" customFormat="1">
      <c r="A2376" s="1"/>
      <c r="E2376"/>
      <c r="F2376"/>
      <c r="G2376"/>
      <c r="H2376"/>
      <c r="I2376"/>
      <c r="J2376"/>
    </row>
    <row r="2377" spans="1:10" s="2" customFormat="1">
      <c r="A2377" s="1"/>
      <c r="E2377"/>
      <c r="F2377"/>
      <c r="G2377"/>
      <c r="H2377"/>
      <c r="I2377"/>
      <c r="J2377"/>
    </row>
    <row r="2378" spans="1:10" s="2" customFormat="1">
      <c r="A2378" s="1"/>
      <c r="E2378"/>
      <c r="F2378"/>
      <c r="G2378"/>
      <c r="H2378"/>
      <c r="I2378"/>
      <c r="J2378"/>
    </row>
    <row r="2379" spans="1:10" s="2" customFormat="1">
      <c r="A2379" s="1"/>
      <c r="E2379"/>
      <c r="F2379"/>
      <c r="G2379"/>
      <c r="H2379"/>
      <c r="I2379"/>
      <c r="J2379"/>
    </row>
    <row r="2380" spans="1:10" s="2" customFormat="1">
      <c r="A2380" s="1"/>
      <c r="E2380"/>
      <c r="F2380"/>
      <c r="G2380"/>
      <c r="H2380"/>
      <c r="I2380"/>
      <c r="J2380"/>
    </row>
    <row r="2381" spans="1:10" s="2" customFormat="1">
      <c r="A2381" s="1"/>
      <c r="E2381"/>
      <c r="F2381"/>
      <c r="G2381"/>
      <c r="H2381"/>
      <c r="I2381"/>
      <c r="J2381"/>
    </row>
    <row r="2382" spans="1:10" s="2" customFormat="1">
      <c r="A2382" s="1"/>
      <c r="E2382"/>
      <c r="F2382"/>
      <c r="G2382"/>
      <c r="H2382"/>
      <c r="I2382"/>
      <c r="J2382"/>
    </row>
    <row r="2383" spans="1:10" s="2" customFormat="1">
      <c r="A2383" s="1"/>
      <c r="E2383"/>
      <c r="F2383"/>
      <c r="G2383"/>
      <c r="H2383"/>
      <c r="I2383"/>
      <c r="J2383"/>
    </row>
    <row r="2384" spans="1:10" s="2" customFormat="1">
      <c r="A2384" s="1"/>
      <c r="E2384"/>
      <c r="F2384"/>
      <c r="G2384"/>
      <c r="H2384"/>
      <c r="I2384"/>
      <c r="J2384"/>
    </row>
    <row r="2385" spans="1:10" s="2" customFormat="1">
      <c r="A2385" s="1"/>
      <c r="E2385"/>
      <c r="F2385"/>
      <c r="G2385"/>
      <c r="H2385"/>
      <c r="I2385"/>
      <c r="J2385"/>
    </row>
    <row r="2386" spans="1:10" s="2" customFormat="1">
      <c r="A2386" s="1"/>
      <c r="E2386"/>
      <c r="F2386"/>
      <c r="G2386"/>
      <c r="H2386"/>
      <c r="I2386"/>
      <c r="J2386"/>
    </row>
    <row r="2387" spans="1:10" s="2" customFormat="1">
      <c r="A2387" s="1"/>
      <c r="E2387"/>
      <c r="F2387"/>
      <c r="G2387"/>
      <c r="H2387"/>
      <c r="I2387"/>
      <c r="J2387"/>
    </row>
    <row r="2388" spans="1:10" s="2" customFormat="1">
      <c r="A2388" s="1"/>
      <c r="E2388"/>
      <c r="F2388"/>
      <c r="G2388"/>
      <c r="H2388"/>
      <c r="I2388"/>
      <c r="J2388"/>
    </row>
    <row r="2389" spans="1:10" s="2" customFormat="1">
      <c r="A2389" s="1"/>
      <c r="E2389"/>
      <c r="F2389"/>
      <c r="G2389"/>
      <c r="H2389"/>
      <c r="I2389"/>
      <c r="J2389"/>
    </row>
    <row r="2390" spans="1:10" s="2" customFormat="1">
      <c r="A2390" s="1"/>
      <c r="E2390"/>
      <c r="F2390"/>
      <c r="G2390"/>
      <c r="H2390"/>
      <c r="I2390"/>
      <c r="J2390"/>
    </row>
    <row r="2391" spans="1:10" s="2" customFormat="1">
      <c r="A2391" s="1"/>
      <c r="E2391"/>
      <c r="F2391"/>
      <c r="G2391"/>
      <c r="H2391"/>
      <c r="I2391"/>
      <c r="J2391"/>
    </row>
    <row r="2392" spans="1:10" s="2" customFormat="1">
      <c r="A2392" s="1"/>
      <c r="E2392"/>
      <c r="F2392"/>
      <c r="G2392"/>
      <c r="H2392"/>
      <c r="I2392"/>
      <c r="J2392"/>
    </row>
    <row r="2393" spans="1:10" s="2" customFormat="1">
      <c r="A2393" s="1"/>
      <c r="E2393"/>
      <c r="F2393"/>
      <c r="G2393"/>
      <c r="H2393"/>
      <c r="I2393"/>
      <c r="J2393"/>
    </row>
    <row r="2394" spans="1:10" s="2" customFormat="1">
      <c r="A2394" s="1"/>
      <c r="E2394"/>
      <c r="F2394"/>
      <c r="G2394"/>
      <c r="H2394"/>
      <c r="I2394"/>
      <c r="J2394"/>
    </row>
    <row r="2395" spans="1:10" s="2" customFormat="1">
      <c r="A2395" s="1"/>
      <c r="E2395"/>
      <c r="F2395"/>
      <c r="G2395"/>
      <c r="H2395"/>
      <c r="I2395"/>
      <c r="J2395"/>
    </row>
    <row r="2396" spans="1:10" s="2" customFormat="1">
      <c r="A2396" s="1"/>
      <c r="E2396"/>
      <c r="F2396"/>
      <c r="G2396"/>
      <c r="H2396"/>
      <c r="I2396"/>
      <c r="J2396"/>
    </row>
    <row r="2397" spans="1:10" s="2" customFormat="1">
      <c r="A2397" s="1"/>
      <c r="E2397"/>
      <c r="F2397"/>
      <c r="G2397"/>
      <c r="H2397"/>
      <c r="I2397"/>
      <c r="J2397"/>
    </row>
    <row r="2398" spans="1:10" s="2" customFormat="1">
      <c r="A2398" s="1"/>
      <c r="E2398"/>
      <c r="F2398"/>
      <c r="G2398"/>
      <c r="H2398"/>
      <c r="I2398"/>
      <c r="J2398"/>
    </row>
    <row r="2399" spans="1:10" s="2" customFormat="1">
      <c r="A2399" s="1"/>
      <c r="E2399"/>
      <c r="F2399"/>
      <c r="G2399"/>
      <c r="H2399"/>
      <c r="I2399"/>
      <c r="J2399"/>
    </row>
    <row r="2400" spans="1:10" s="2" customFormat="1">
      <c r="A2400" s="1"/>
      <c r="E2400"/>
      <c r="F2400"/>
      <c r="G2400"/>
      <c r="H2400"/>
      <c r="I2400"/>
      <c r="J2400"/>
    </row>
    <row r="2401" spans="1:10" s="2" customFormat="1">
      <c r="A2401" s="1"/>
      <c r="E2401"/>
      <c r="F2401"/>
      <c r="G2401"/>
      <c r="H2401"/>
      <c r="I2401"/>
      <c r="J2401"/>
    </row>
    <row r="2402" spans="1:10" s="2" customFormat="1">
      <c r="A2402" s="1"/>
      <c r="E2402"/>
      <c r="F2402"/>
      <c r="G2402"/>
      <c r="H2402"/>
      <c r="I2402"/>
      <c r="J2402"/>
    </row>
    <row r="2403" spans="1:10" s="2" customFormat="1">
      <c r="A2403" s="1"/>
      <c r="E2403"/>
      <c r="F2403"/>
      <c r="G2403"/>
      <c r="H2403"/>
      <c r="I2403"/>
      <c r="J2403"/>
    </row>
    <row r="2404" spans="1:10" s="2" customFormat="1">
      <c r="A2404" s="1"/>
      <c r="E2404"/>
      <c r="F2404"/>
      <c r="G2404"/>
      <c r="H2404"/>
      <c r="I2404"/>
      <c r="J2404"/>
    </row>
    <row r="2405" spans="1:10" s="2" customFormat="1">
      <c r="A2405" s="1"/>
      <c r="E2405"/>
      <c r="F2405"/>
      <c r="G2405"/>
      <c r="H2405"/>
      <c r="I2405"/>
      <c r="J2405"/>
    </row>
    <row r="2406" spans="1:10" s="2" customFormat="1">
      <c r="A2406" s="1"/>
      <c r="E2406"/>
      <c r="F2406"/>
      <c r="G2406"/>
      <c r="H2406"/>
      <c r="I2406"/>
      <c r="J2406"/>
    </row>
    <row r="2407" spans="1:10" s="2" customFormat="1">
      <c r="A2407" s="1"/>
      <c r="E2407"/>
      <c r="F2407"/>
      <c r="G2407"/>
      <c r="H2407"/>
      <c r="I2407"/>
      <c r="J2407"/>
    </row>
    <row r="2408" spans="1:10" s="2" customFormat="1">
      <c r="A2408" s="1"/>
      <c r="E2408"/>
      <c r="F2408"/>
      <c r="G2408"/>
      <c r="H2408"/>
      <c r="I2408"/>
      <c r="J2408"/>
    </row>
    <row r="2409" spans="1:10" s="2" customFormat="1">
      <c r="A2409" s="1"/>
      <c r="E2409"/>
      <c r="F2409"/>
      <c r="G2409"/>
      <c r="H2409"/>
      <c r="I2409"/>
      <c r="J2409"/>
    </row>
    <row r="2410" spans="1:10" s="2" customFormat="1">
      <c r="A2410" s="1"/>
      <c r="E2410"/>
      <c r="F2410"/>
      <c r="G2410"/>
      <c r="H2410"/>
      <c r="I2410"/>
      <c r="J2410"/>
    </row>
    <row r="2411" spans="1:10" s="2" customFormat="1">
      <c r="A2411" s="1"/>
      <c r="E2411"/>
      <c r="F2411"/>
      <c r="G2411"/>
      <c r="H2411"/>
      <c r="I2411"/>
      <c r="J2411"/>
    </row>
    <row r="2412" spans="1:10" s="2" customFormat="1">
      <c r="A2412" s="1"/>
      <c r="E2412"/>
      <c r="F2412"/>
      <c r="G2412"/>
      <c r="H2412"/>
      <c r="I2412"/>
      <c r="J2412"/>
    </row>
    <row r="2413" spans="1:10" s="2" customFormat="1">
      <c r="A2413" s="1"/>
      <c r="E2413"/>
      <c r="F2413"/>
      <c r="G2413"/>
      <c r="H2413"/>
      <c r="I2413"/>
      <c r="J2413"/>
    </row>
    <row r="2414" spans="1:10" s="2" customFormat="1">
      <c r="A2414" s="1"/>
      <c r="E2414"/>
      <c r="F2414"/>
      <c r="G2414"/>
      <c r="H2414"/>
      <c r="I2414"/>
      <c r="J2414"/>
    </row>
    <row r="2415" spans="1:10" s="2" customFormat="1">
      <c r="A2415" s="1"/>
      <c r="E2415"/>
      <c r="F2415"/>
      <c r="G2415"/>
      <c r="H2415"/>
      <c r="I2415"/>
      <c r="J2415"/>
    </row>
    <row r="2416" spans="1:10" s="2" customFormat="1">
      <c r="A2416" s="1"/>
      <c r="E2416"/>
      <c r="F2416"/>
      <c r="G2416"/>
      <c r="H2416"/>
      <c r="I2416"/>
      <c r="J2416"/>
    </row>
    <row r="2417" spans="1:10" s="2" customFormat="1">
      <c r="A2417" s="1"/>
      <c r="E2417"/>
      <c r="F2417"/>
      <c r="G2417"/>
      <c r="H2417"/>
      <c r="I2417"/>
      <c r="J2417"/>
    </row>
    <row r="2418" spans="1:10" s="2" customFormat="1">
      <c r="A2418" s="1"/>
      <c r="E2418"/>
      <c r="F2418"/>
      <c r="G2418"/>
      <c r="H2418"/>
      <c r="I2418"/>
      <c r="J2418"/>
    </row>
    <row r="2419" spans="1:10" s="2" customFormat="1">
      <c r="A2419" s="1"/>
      <c r="E2419"/>
      <c r="F2419"/>
      <c r="G2419"/>
      <c r="H2419"/>
      <c r="I2419"/>
      <c r="J2419"/>
    </row>
    <row r="2420" spans="1:10" s="2" customFormat="1">
      <c r="A2420" s="1"/>
      <c r="E2420"/>
      <c r="F2420"/>
      <c r="G2420"/>
      <c r="H2420"/>
      <c r="I2420"/>
      <c r="J2420"/>
    </row>
    <row r="2421" spans="1:10" s="2" customFormat="1">
      <c r="A2421" s="1"/>
      <c r="E2421"/>
      <c r="F2421"/>
      <c r="G2421"/>
      <c r="H2421"/>
      <c r="I2421"/>
      <c r="J2421"/>
    </row>
    <row r="2422" spans="1:10" s="2" customFormat="1">
      <c r="A2422" s="1"/>
      <c r="E2422"/>
      <c r="F2422"/>
      <c r="G2422"/>
      <c r="H2422"/>
      <c r="I2422"/>
      <c r="J2422"/>
    </row>
    <row r="2423" spans="1:10" s="2" customFormat="1">
      <c r="A2423" s="1"/>
      <c r="E2423"/>
      <c r="F2423"/>
      <c r="G2423"/>
      <c r="H2423"/>
      <c r="I2423"/>
      <c r="J2423"/>
    </row>
    <row r="2424" spans="1:10" s="2" customFormat="1">
      <c r="A2424" s="1"/>
      <c r="E2424"/>
      <c r="F2424"/>
      <c r="G2424"/>
      <c r="H2424"/>
      <c r="I2424"/>
      <c r="J2424"/>
    </row>
    <row r="2425" spans="1:10" s="2" customFormat="1">
      <c r="A2425" s="1"/>
      <c r="E2425"/>
      <c r="F2425"/>
      <c r="G2425"/>
      <c r="H2425"/>
      <c r="I2425"/>
      <c r="J2425"/>
    </row>
    <row r="2426" spans="1:10" s="2" customFormat="1">
      <c r="A2426" s="1"/>
      <c r="E2426"/>
      <c r="F2426"/>
      <c r="G2426"/>
      <c r="H2426"/>
      <c r="I2426"/>
      <c r="J2426"/>
    </row>
    <row r="2427" spans="1:10" s="2" customFormat="1">
      <c r="A2427" s="1"/>
      <c r="E2427"/>
      <c r="F2427"/>
      <c r="G2427"/>
      <c r="H2427"/>
      <c r="I2427"/>
      <c r="J2427"/>
    </row>
    <row r="2428" spans="1:10" s="2" customFormat="1">
      <c r="A2428" s="1"/>
      <c r="E2428"/>
      <c r="F2428"/>
      <c r="G2428"/>
      <c r="H2428"/>
      <c r="I2428"/>
      <c r="J2428"/>
    </row>
    <row r="2429" spans="1:10" s="2" customFormat="1">
      <c r="A2429" s="1"/>
      <c r="E2429"/>
      <c r="F2429"/>
      <c r="G2429"/>
      <c r="H2429"/>
      <c r="I2429"/>
      <c r="J2429"/>
    </row>
    <row r="2430" spans="1:10" s="2" customFormat="1">
      <c r="A2430" s="1"/>
      <c r="E2430"/>
      <c r="F2430"/>
      <c r="G2430"/>
      <c r="H2430"/>
      <c r="I2430"/>
      <c r="J2430"/>
    </row>
    <row r="2431" spans="1:10" s="2" customFormat="1">
      <c r="A2431" s="1"/>
      <c r="E2431"/>
      <c r="F2431"/>
      <c r="G2431"/>
      <c r="H2431"/>
      <c r="I2431"/>
      <c r="J2431"/>
    </row>
    <row r="2432" spans="1:10" s="2" customFormat="1">
      <c r="A2432" s="1"/>
      <c r="E2432"/>
      <c r="F2432"/>
      <c r="G2432"/>
      <c r="H2432"/>
      <c r="I2432"/>
      <c r="J2432"/>
    </row>
    <row r="2433" spans="1:10" s="2" customFormat="1">
      <c r="A2433" s="1"/>
      <c r="E2433"/>
      <c r="F2433"/>
      <c r="G2433"/>
      <c r="H2433"/>
      <c r="I2433"/>
      <c r="J2433"/>
    </row>
    <row r="2434" spans="1:10" s="2" customFormat="1">
      <c r="A2434" s="1"/>
      <c r="E2434"/>
      <c r="F2434"/>
      <c r="G2434"/>
      <c r="H2434"/>
      <c r="I2434"/>
      <c r="J2434"/>
    </row>
    <row r="2435" spans="1:10" s="2" customFormat="1">
      <c r="A2435" s="1"/>
      <c r="E2435"/>
      <c r="F2435"/>
      <c r="G2435"/>
      <c r="H2435"/>
      <c r="I2435"/>
      <c r="J2435"/>
    </row>
    <row r="2436" spans="1:10" s="2" customFormat="1">
      <c r="A2436" s="1"/>
      <c r="E2436"/>
      <c r="F2436"/>
      <c r="G2436"/>
      <c r="H2436"/>
      <c r="I2436"/>
      <c r="J2436"/>
    </row>
    <row r="2437" spans="1:10" s="2" customFormat="1">
      <c r="A2437" s="1"/>
      <c r="E2437"/>
      <c r="F2437"/>
      <c r="G2437"/>
      <c r="H2437"/>
      <c r="I2437"/>
      <c r="J2437"/>
    </row>
    <row r="2438" spans="1:10" s="2" customFormat="1">
      <c r="A2438" s="1"/>
      <c r="E2438"/>
      <c r="F2438"/>
      <c r="G2438"/>
      <c r="H2438"/>
      <c r="I2438"/>
      <c r="J2438"/>
    </row>
    <row r="2439" spans="1:10" s="2" customFormat="1">
      <c r="A2439" s="1"/>
      <c r="E2439"/>
      <c r="F2439"/>
      <c r="G2439"/>
      <c r="H2439"/>
      <c r="I2439"/>
      <c r="J2439"/>
    </row>
    <row r="2440" spans="1:10" s="2" customFormat="1">
      <c r="A2440" s="1"/>
      <c r="E2440"/>
      <c r="F2440"/>
      <c r="G2440"/>
      <c r="H2440"/>
      <c r="I2440"/>
      <c r="J2440"/>
    </row>
    <row r="2441" spans="1:10" s="2" customFormat="1">
      <c r="A2441" s="1"/>
      <c r="E2441"/>
      <c r="F2441"/>
      <c r="G2441"/>
      <c r="H2441"/>
      <c r="I2441"/>
      <c r="J2441"/>
    </row>
    <row r="2442" spans="1:10" s="2" customFormat="1">
      <c r="A2442" s="1"/>
      <c r="E2442"/>
      <c r="F2442"/>
      <c r="G2442"/>
      <c r="H2442"/>
      <c r="I2442"/>
      <c r="J2442"/>
    </row>
    <row r="2443" spans="1:10" s="2" customFormat="1">
      <c r="A2443" s="1"/>
      <c r="E2443"/>
      <c r="F2443"/>
      <c r="G2443"/>
      <c r="H2443"/>
      <c r="I2443"/>
      <c r="J2443"/>
    </row>
    <row r="2444" spans="1:10" s="2" customFormat="1">
      <c r="A2444" s="1"/>
      <c r="E2444"/>
      <c r="F2444"/>
      <c r="G2444"/>
      <c r="H2444"/>
      <c r="I2444"/>
      <c r="J2444"/>
    </row>
    <row r="2445" spans="1:10" s="2" customFormat="1">
      <c r="A2445" s="1"/>
      <c r="E2445"/>
      <c r="F2445"/>
      <c r="G2445"/>
      <c r="H2445"/>
      <c r="I2445"/>
      <c r="J2445"/>
    </row>
    <row r="2446" spans="1:10" s="2" customFormat="1">
      <c r="A2446" s="1"/>
      <c r="E2446"/>
      <c r="F2446"/>
      <c r="G2446"/>
      <c r="H2446"/>
      <c r="I2446"/>
      <c r="J2446"/>
    </row>
    <row r="2447" spans="1:10" s="2" customFormat="1">
      <c r="A2447" s="1"/>
      <c r="E2447"/>
      <c r="F2447"/>
      <c r="G2447"/>
      <c r="H2447"/>
      <c r="I2447"/>
      <c r="J2447"/>
    </row>
    <row r="2448" spans="1:10" s="2" customFormat="1">
      <c r="A2448" s="1"/>
      <c r="E2448"/>
      <c r="F2448"/>
      <c r="G2448"/>
      <c r="H2448"/>
      <c r="I2448"/>
      <c r="J2448"/>
    </row>
    <row r="2449" spans="1:10" s="2" customFormat="1">
      <c r="A2449" s="1"/>
      <c r="E2449"/>
      <c r="F2449"/>
      <c r="G2449"/>
      <c r="H2449"/>
      <c r="I2449"/>
      <c r="J2449"/>
    </row>
    <row r="2450" spans="1:10" s="2" customFormat="1">
      <c r="A2450" s="1"/>
      <c r="E2450"/>
      <c r="F2450"/>
      <c r="G2450"/>
      <c r="H2450"/>
      <c r="I2450"/>
      <c r="J2450"/>
    </row>
    <row r="2451" spans="1:10" s="2" customFormat="1">
      <c r="A2451" s="1"/>
      <c r="E2451"/>
      <c r="F2451"/>
      <c r="G2451"/>
      <c r="H2451"/>
      <c r="I2451"/>
      <c r="J2451"/>
    </row>
    <row r="2452" spans="1:10" s="2" customFormat="1">
      <c r="A2452" s="1"/>
      <c r="E2452"/>
      <c r="F2452"/>
      <c r="G2452"/>
      <c r="H2452"/>
      <c r="I2452"/>
      <c r="J2452"/>
    </row>
    <row r="2453" spans="1:10" s="2" customFormat="1">
      <c r="A2453" s="1"/>
      <c r="E2453"/>
      <c r="F2453"/>
      <c r="G2453"/>
      <c r="H2453"/>
      <c r="I2453"/>
      <c r="J2453"/>
    </row>
    <row r="2454" spans="1:10" s="2" customFormat="1">
      <c r="A2454" s="1"/>
      <c r="E2454"/>
      <c r="F2454"/>
      <c r="G2454"/>
      <c r="H2454"/>
      <c r="I2454"/>
      <c r="J2454"/>
    </row>
    <row r="2455" spans="1:10" s="2" customFormat="1">
      <c r="A2455" s="1"/>
      <c r="E2455"/>
      <c r="F2455"/>
      <c r="G2455"/>
      <c r="H2455"/>
      <c r="I2455"/>
      <c r="J2455"/>
    </row>
    <row r="2456" spans="1:10" s="2" customFormat="1">
      <c r="A2456" s="1"/>
      <c r="E2456"/>
      <c r="F2456"/>
      <c r="G2456"/>
      <c r="H2456"/>
      <c r="I2456"/>
      <c r="J2456"/>
    </row>
    <row r="2457" spans="1:10" s="2" customFormat="1">
      <c r="A2457" s="1"/>
      <c r="E2457"/>
      <c r="F2457"/>
      <c r="G2457"/>
      <c r="H2457"/>
      <c r="I2457"/>
      <c r="J2457"/>
    </row>
    <row r="2458" spans="1:10" s="2" customFormat="1">
      <c r="A2458" s="1"/>
      <c r="E2458"/>
      <c r="F2458"/>
      <c r="G2458"/>
      <c r="H2458"/>
      <c r="I2458"/>
      <c r="J2458"/>
    </row>
    <row r="2459" spans="1:10" s="2" customFormat="1">
      <c r="A2459" s="1"/>
      <c r="E2459"/>
      <c r="F2459"/>
      <c r="G2459"/>
      <c r="H2459"/>
      <c r="I2459"/>
      <c r="J2459"/>
    </row>
    <row r="2460" spans="1:10" s="2" customFormat="1">
      <c r="A2460" s="1"/>
      <c r="E2460"/>
      <c r="F2460"/>
      <c r="G2460"/>
      <c r="H2460"/>
      <c r="I2460"/>
      <c r="J2460"/>
    </row>
    <row r="2461" spans="1:10" s="2" customFormat="1">
      <c r="A2461" s="1"/>
      <c r="E2461"/>
      <c r="F2461"/>
      <c r="G2461"/>
      <c r="H2461"/>
      <c r="I2461"/>
      <c r="J2461"/>
    </row>
    <row r="2462" spans="1:10" s="2" customFormat="1">
      <c r="A2462" s="1"/>
      <c r="E2462"/>
      <c r="F2462"/>
      <c r="G2462"/>
      <c r="H2462"/>
      <c r="I2462"/>
      <c r="J2462"/>
    </row>
    <row r="2463" spans="1:10" s="2" customFormat="1">
      <c r="A2463" s="1"/>
      <c r="E2463"/>
      <c r="F2463"/>
      <c r="G2463"/>
      <c r="H2463"/>
      <c r="I2463"/>
      <c r="J2463"/>
    </row>
    <row r="2464" spans="1:10" s="2" customFormat="1">
      <c r="A2464" s="1"/>
      <c r="E2464"/>
      <c r="F2464"/>
      <c r="G2464"/>
      <c r="H2464"/>
      <c r="I2464"/>
      <c r="J2464"/>
    </row>
    <row r="2465" spans="1:10" s="2" customFormat="1">
      <c r="A2465" s="1"/>
      <c r="E2465"/>
      <c r="F2465"/>
      <c r="G2465"/>
      <c r="H2465"/>
      <c r="I2465"/>
      <c r="J2465"/>
    </row>
    <row r="2466" spans="1:10" s="2" customFormat="1">
      <c r="A2466" s="1"/>
      <c r="E2466"/>
      <c r="F2466"/>
      <c r="G2466"/>
      <c r="H2466"/>
      <c r="I2466"/>
      <c r="J2466"/>
    </row>
    <row r="2467" spans="1:10" s="2" customFormat="1">
      <c r="A2467" s="1"/>
      <c r="E2467"/>
      <c r="F2467"/>
      <c r="G2467"/>
      <c r="H2467"/>
      <c r="I2467"/>
      <c r="J2467"/>
    </row>
    <row r="2468" spans="1:10" s="2" customFormat="1">
      <c r="A2468" s="1"/>
      <c r="E2468"/>
      <c r="F2468"/>
      <c r="G2468"/>
      <c r="H2468"/>
      <c r="I2468"/>
      <c r="J2468"/>
    </row>
    <row r="2469" spans="1:10" s="2" customFormat="1">
      <c r="A2469" s="1"/>
      <c r="E2469"/>
      <c r="F2469"/>
      <c r="G2469"/>
      <c r="H2469"/>
      <c r="I2469"/>
      <c r="J2469"/>
    </row>
    <row r="2470" spans="1:10" s="2" customFormat="1">
      <c r="A2470" s="1"/>
      <c r="E2470"/>
      <c r="F2470"/>
      <c r="G2470"/>
      <c r="H2470"/>
      <c r="I2470"/>
      <c r="J2470"/>
    </row>
    <row r="2471" spans="1:10" s="2" customFormat="1">
      <c r="A2471" s="1"/>
      <c r="E2471"/>
      <c r="F2471"/>
      <c r="G2471"/>
      <c r="H2471"/>
      <c r="I2471"/>
      <c r="J2471"/>
    </row>
    <row r="2472" spans="1:10" s="2" customFormat="1">
      <c r="A2472" s="1"/>
      <c r="E2472"/>
      <c r="F2472"/>
      <c r="G2472"/>
      <c r="H2472"/>
      <c r="I2472"/>
      <c r="J2472"/>
    </row>
    <row r="2473" spans="1:10" s="2" customFormat="1">
      <c r="A2473" s="1"/>
      <c r="E2473"/>
      <c r="F2473"/>
      <c r="G2473"/>
      <c r="H2473"/>
      <c r="I2473"/>
      <c r="J2473"/>
    </row>
    <row r="2474" spans="1:10" s="2" customFormat="1">
      <c r="A2474" s="1"/>
      <c r="E2474"/>
      <c r="F2474"/>
      <c r="G2474"/>
      <c r="H2474"/>
      <c r="I2474"/>
      <c r="J2474"/>
    </row>
    <row r="2475" spans="1:10" s="2" customFormat="1">
      <c r="A2475" s="1"/>
      <c r="E2475"/>
      <c r="F2475"/>
      <c r="G2475"/>
      <c r="H2475"/>
      <c r="I2475"/>
      <c r="J2475"/>
    </row>
    <row r="2476" spans="1:10" s="2" customFormat="1">
      <c r="A2476" s="1"/>
      <c r="E2476"/>
      <c r="F2476"/>
      <c r="G2476"/>
      <c r="H2476"/>
      <c r="I2476"/>
      <c r="J2476"/>
    </row>
    <row r="2477" spans="1:10" s="2" customFormat="1">
      <c r="A2477" s="1"/>
      <c r="E2477"/>
      <c r="F2477"/>
      <c r="G2477"/>
      <c r="H2477"/>
      <c r="I2477"/>
      <c r="J2477"/>
    </row>
    <row r="2478" spans="1:10" s="2" customFormat="1">
      <c r="A2478" s="1"/>
      <c r="E2478"/>
      <c r="F2478"/>
      <c r="G2478"/>
      <c r="H2478"/>
      <c r="I2478"/>
      <c r="J2478"/>
    </row>
    <row r="2479" spans="1:10" s="2" customFormat="1">
      <c r="A2479" s="1"/>
      <c r="E2479"/>
      <c r="F2479"/>
      <c r="G2479"/>
      <c r="H2479"/>
      <c r="I2479"/>
      <c r="J2479"/>
    </row>
    <row r="2480" spans="1:10" s="2" customFormat="1">
      <c r="A2480" s="1"/>
      <c r="E2480"/>
      <c r="F2480"/>
      <c r="G2480"/>
      <c r="H2480"/>
      <c r="I2480"/>
      <c r="J2480"/>
    </row>
    <row r="2481" spans="1:10" s="2" customFormat="1">
      <c r="A2481" s="1"/>
      <c r="E2481"/>
      <c r="F2481"/>
      <c r="G2481"/>
      <c r="H2481"/>
      <c r="I2481"/>
      <c r="J2481"/>
    </row>
    <row r="2482" spans="1:10" s="2" customFormat="1">
      <c r="A2482" s="1"/>
      <c r="E2482"/>
      <c r="F2482"/>
      <c r="G2482"/>
      <c r="H2482"/>
      <c r="I2482"/>
      <c r="J2482"/>
    </row>
    <row r="2483" spans="1:10" s="2" customFormat="1">
      <c r="A2483" s="1"/>
      <c r="E2483"/>
      <c r="F2483"/>
      <c r="G2483"/>
      <c r="H2483"/>
      <c r="I2483"/>
      <c r="J2483"/>
    </row>
    <row r="2484" spans="1:10" s="2" customFormat="1">
      <c r="A2484" s="1"/>
      <c r="E2484"/>
      <c r="F2484"/>
      <c r="G2484"/>
      <c r="H2484"/>
      <c r="I2484"/>
      <c r="J2484"/>
    </row>
    <row r="2485" spans="1:10" s="2" customFormat="1">
      <c r="A2485" s="1"/>
      <c r="E2485"/>
      <c r="F2485"/>
      <c r="G2485"/>
      <c r="H2485"/>
      <c r="I2485"/>
      <c r="J2485"/>
    </row>
    <row r="2486" spans="1:10" s="2" customFormat="1">
      <c r="A2486" s="1"/>
      <c r="E2486"/>
      <c r="F2486"/>
      <c r="G2486"/>
      <c r="H2486"/>
      <c r="I2486"/>
      <c r="J2486"/>
    </row>
    <row r="2487" spans="1:10" s="2" customFormat="1">
      <c r="A2487" s="1"/>
      <c r="E2487"/>
      <c r="F2487"/>
      <c r="G2487"/>
      <c r="H2487"/>
      <c r="I2487"/>
      <c r="J2487"/>
    </row>
    <row r="2488" spans="1:10" s="2" customFormat="1">
      <c r="A2488" s="1"/>
      <c r="E2488"/>
      <c r="F2488"/>
      <c r="G2488"/>
      <c r="H2488"/>
      <c r="I2488"/>
      <c r="J2488"/>
    </row>
    <row r="2489" spans="1:10" s="2" customFormat="1">
      <c r="A2489" s="1"/>
      <c r="E2489"/>
      <c r="F2489"/>
      <c r="G2489"/>
      <c r="H2489"/>
      <c r="I2489"/>
      <c r="J2489"/>
    </row>
    <row r="2490" spans="1:10" s="2" customFormat="1">
      <c r="A2490" s="1"/>
      <c r="E2490"/>
      <c r="F2490"/>
      <c r="G2490"/>
      <c r="H2490"/>
      <c r="I2490"/>
      <c r="J2490"/>
    </row>
    <row r="2491" spans="1:10" s="2" customFormat="1">
      <c r="A2491" s="1"/>
      <c r="E2491"/>
      <c r="F2491"/>
      <c r="G2491"/>
      <c r="H2491"/>
      <c r="I2491"/>
      <c r="J2491"/>
    </row>
    <row r="2492" spans="1:10" s="2" customFormat="1">
      <c r="A2492" s="1"/>
      <c r="E2492"/>
      <c r="F2492"/>
      <c r="G2492"/>
      <c r="H2492"/>
      <c r="I2492"/>
      <c r="J2492"/>
    </row>
    <row r="2493" spans="1:10" s="2" customFormat="1">
      <c r="A2493" s="1"/>
      <c r="E2493"/>
      <c r="F2493"/>
      <c r="G2493"/>
      <c r="H2493"/>
      <c r="I2493"/>
      <c r="J2493"/>
    </row>
    <row r="2494" spans="1:10" s="2" customFormat="1">
      <c r="A2494" s="1"/>
      <c r="E2494"/>
      <c r="F2494"/>
      <c r="G2494"/>
      <c r="H2494"/>
      <c r="I2494"/>
      <c r="J2494"/>
    </row>
    <row r="2495" spans="1:10" s="2" customFormat="1">
      <c r="A2495" s="1"/>
      <c r="E2495"/>
      <c r="F2495"/>
      <c r="G2495"/>
      <c r="H2495"/>
      <c r="I2495"/>
      <c r="J2495"/>
    </row>
    <row r="2496" spans="1:10" s="2" customFormat="1">
      <c r="A2496" s="1"/>
      <c r="E2496"/>
      <c r="F2496"/>
      <c r="G2496"/>
      <c r="H2496"/>
      <c r="I2496"/>
      <c r="J2496"/>
    </row>
    <row r="2497" spans="1:10" s="2" customFormat="1">
      <c r="A2497" s="1"/>
      <c r="E2497"/>
      <c r="F2497"/>
      <c r="G2497"/>
      <c r="H2497"/>
      <c r="I2497"/>
      <c r="J2497"/>
    </row>
    <row r="2498" spans="1:10" s="2" customFormat="1">
      <c r="A2498" s="1"/>
      <c r="E2498"/>
      <c r="F2498"/>
      <c r="G2498"/>
      <c r="H2498"/>
      <c r="I2498"/>
      <c r="J2498"/>
    </row>
    <row r="2499" spans="1:10" s="2" customFormat="1">
      <c r="A2499" s="1"/>
      <c r="E2499"/>
      <c r="F2499"/>
      <c r="G2499"/>
      <c r="H2499"/>
      <c r="I2499"/>
      <c r="J2499"/>
    </row>
    <row r="2500" spans="1:10" s="2" customFormat="1">
      <c r="A2500" s="1"/>
      <c r="E2500"/>
      <c r="F2500"/>
      <c r="G2500"/>
      <c r="H2500"/>
      <c r="I2500"/>
      <c r="J2500"/>
    </row>
    <row r="2501" spans="1:10" s="2" customFormat="1">
      <c r="A2501" s="1"/>
      <c r="E2501"/>
      <c r="F2501"/>
      <c r="G2501"/>
      <c r="H2501"/>
      <c r="I2501"/>
      <c r="J2501"/>
    </row>
    <row r="2502" spans="1:10" s="2" customFormat="1">
      <c r="A2502" s="1"/>
      <c r="E2502"/>
      <c r="F2502"/>
      <c r="G2502"/>
      <c r="H2502"/>
      <c r="I2502"/>
      <c r="J2502"/>
    </row>
    <row r="2503" spans="1:10" s="2" customFormat="1">
      <c r="A2503" s="1"/>
      <c r="E2503"/>
      <c r="F2503"/>
      <c r="G2503"/>
      <c r="H2503"/>
      <c r="I2503"/>
      <c r="J2503"/>
    </row>
    <row r="2504" spans="1:10" s="2" customFormat="1">
      <c r="A2504" s="1"/>
      <c r="E2504"/>
      <c r="F2504"/>
      <c r="G2504"/>
      <c r="H2504"/>
      <c r="I2504"/>
      <c r="J2504"/>
    </row>
    <row r="2505" spans="1:10" s="2" customFormat="1">
      <c r="A2505" s="1"/>
      <c r="E2505"/>
      <c r="F2505"/>
      <c r="G2505"/>
      <c r="H2505"/>
      <c r="I2505"/>
      <c r="J2505"/>
    </row>
    <row r="2506" spans="1:10" s="2" customFormat="1">
      <c r="A2506" s="1"/>
      <c r="E2506"/>
      <c r="F2506"/>
      <c r="G2506"/>
      <c r="H2506"/>
      <c r="I2506"/>
      <c r="J2506"/>
    </row>
    <row r="2507" spans="1:10" s="2" customFormat="1">
      <c r="A2507" s="1"/>
      <c r="E2507"/>
      <c r="F2507"/>
      <c r="G2507"/>
      <c r="H2507"/>
      <c r="I2507"/>
      <c r="J2507"/>
    </row>
    <row r="2508" spans="1:10" s="2" customFormat="1">
      <c r="A2508" s="1"/>
      <c r="E2508"/>
      <c r="F2508"/>
      <c r="G2508"/>
      <c r="H2508"/>
      <c r="I2508"/>
      <c r="J2508"/>
    </row>
    <row r="2509" spans="1:10" s="2" customFormat="1">
      <c r="A2509" s="1"/>
      <c r="E2509"/>
      <c r="F2509"/>
      <c r="G2509"/>
      <c r="H2509"/>
      <c r="I2509"/>
      <c r="J2509"/>
    </row>
    <row r="2510" spans="1:10" s="2" customFormat="1">
      <c r="A2510" s="1"/>
      <c r="E2510"/>
      <c r="F2510"/>
      <c r="G2510"/>
      <c r="H2510"/>
      <c r="I2510"/>
      <c r="J2510"/>
    </row>
    <row r="2511" spans="1:10" s="2" customFormat="1">
      <c r="A2511" s="1"/>
      <c r="E2511"/>
      <c r="F2511"/>
      <c r="G2511"/>
      <c r="H2511"/>
      <c r="I2511"/>
      <c r="J2511"/>
    </row>
    <row r="2512" spans="1:10" s="2" customFormat="1">
      <c r="A2512" s="1"/>
      <c r="E2512"/>
      <c r="F2512"/>
      <c r="G2512"/>
      <c r="H2512"/>
      <c r="I2512"/>
      <c r="J2512"/>
    </row>
    <row r="2513" spans="1:10" s="2" customFormat="1">
      <c r="A2513" s="1"/>
      <c r="E2513"/>
      <c r="F2513"/>
      <c r="G2513"/>
      <c r="H2513"/>
      <c r="I2513"/>
      <c r="J2513"/>
    </row>
    <row r="2514" spans="1:10" s="2" customFormat="1">
      <c r="A2514" s="1"/>
      <c r="E2514"/>
      <c r="F2514"/>
      <c r="G2514"/>
      <c r="H2514"/>
      <c r="I2514"/>
      <c r="J2514"/>
    </row>
    <row r="2515" spans="1:10" s="2" customFormat="1">
      <c r="A2515" s="1"/>
      <c r="E2515"/>
      <c r="F2515"/>
      <c r="G2515"/>
      <c r="H2515"/>
      <c r="I2515"/>
      <c r="J2515"/>
    </row>
    <row r="2516" spans="1:10" s="2" customFormat="1">
      <c r="A2516" s="1"/>
      <c r="E2516"/>
      <c r="F2516"/>
      <c r="G2516"/>
      <c r="H2516"/>
      <c r="I2516"/>
      <c r="J2516"/>
    </row>
    <row r="2517" spans="1:10" s="2" customFormat="1">
      <c r="A2517" s="1"/>
      <c r="E2517"/>
      <c r="F2517"/>
      <c r="G2517"/>
      <c r="H2517"/>
      <c r="I2517"/>
      <c r="J2517"/>
    </row>
    <row r="2518" spans="1:10" s="2" customFormat="1">
      <c r="A2518" s="1"/>
      <c r="E2518"/>
      <c r="F2518"/>
      <c r="G2518"/>
      <c r="H2518"/>
      <c r="I2518"/>
      <c r="J2518"/>
    </row>
    <row r="2519" spans="1:10" s="2" customFormat="1">
      <c r="A2519" s="1"/>
      <c r="E2519"/>
      <c r="F2519"/>
      <c r="G2519"/>
      <c r="H2519"/>
      <c r="I2519"/>
      <c r="J2519"/>
    </row>
    <row r="2520" spans="1:10" s="2" customFormat="1">
      <c r="A2520" s="1"/>
      <c r="E2520"/>
      <c r="F2520"/>
      <c r="G2520"/>
      <c r="H2520"/>
      <c r="I2520"/>
      <c r="J2520"/>
    </row>
    <row r="2521" spans="1:10" s="2" customFormat="1">
      <c r="A2521" s="1"/>
      <c r="E2521"/>
      <c r="F2521"/>
      <c r="G2521"/>
      <c r="H2521"/>
      <c r="I2521"/>
      <c r="J2521"/>
    </row>
    <row r="2522" spans="1:10" s="2" customFormat="1">
      <c r="A2522" s="1"/>
      <c r="E2522"/>
      <c r="F2522"/>
      <c r="G2522"/>
      <c r="H2522"/>
      <c r="I2522"/>
      <c r="J2522"/>
    </row>
    <row r="2523" spans="1:10" s="2" customFormat="1">
      <c r="A2523" s="1"/>
      <c r="E2523"/>
      <c r="F2523"/>
      <c r="G2523"/>
      <c r="H2523"/>
      <c r="I2523"/>
      <c r="J2523"/>
    </row>
    <row r="2524" spans="1:10" s="2" customFormat="1">
      <c r="A2524" s="1"/>
      <c r="E2524"/>
      <c r="F2524"/>
      <c r="G2524"/>
      <c r="H2524"/>
      <c r="I2524"/>
      <c r="J2524"/>
    </row>
    <row r="2525" spans="1:10" s="2" customFormat="1">
      <c r="A2525" s="1"/>
      <c r="E2525"/>
      <c r="F2525"/>
      <c r="G2525"/>
      <c r="H2525"/>
      <c r="I2525"/>
      <c r="J2525"/>
    </row>
    <row r="2526" spans="1:10" s="2" customFormat="1">
      <c r="A2526" s="1"/>
      <c r="E2526"/>
      <c r="F2526"/>
      <c r="G2526"/>
      <c r="H2526"/>
      <c r="I2526"/>
      <c r="J2526"/>
    </row>
    <row r="2527" spans="1:10" s="2" customFormat="1">
      <c r="A2527" s="1"/>
      <c r="E2527"/>
      <c r="F2527"/>
      <c r="G2527"/>
      <c r="H2527"/>
      <c r="I2527"/>
      <c r="J2527"/>
    </row>
    <row r="2528" spans="1:10" s="2" customFormat="1">
      <c r="A2528" s="1"/>
      <c r="E2528"/>
      <c r="F2528"/>
      <c r="G2528"/>
      <c r="H2528"/>
      <c r="I2528"/>
      <c r="J2528"/>
    </row>
    <row r="2529" spans="1:10" s="2" customFormat="1">
      <c r="A2529" s="1"/>
      <c r="E2529"/>
      <c r="F2529"/>
      <c r="G2529"/>
      <c r="H2529"/>
      <c r="I2529"/>
      <c r="J2529"/>
    </row>
    <row r="2530" spans="1:10" s="2" customFormat="1">
      <c r="A2530" s="1"/>
      <c r="E2530"/>
      <c r="F2530"/>
      <c r="G2530"/>
      <c r="H2530"/>
      <c r="I2530"/>
      <c r="J2530"/>
    </row>
    <row r="2531" spans="1:10" s="2" customFormat="1">
      <c r="A2531" s="1"/>
      <c r="E2531"/>
      <c r="F2531"/>
      <c r="G2531"/>
      <c r="H2531"/>
      <c r="I2531"/>
      <c r="J2531"/>
    </row>
    <row r="2532" spans="1:10" s="2" customFormat="1">
      <c r="A2532" s="1"/>
      <c r="E2532"/>
      <c r="F2532"/>
      <c r="G2532"/>
      <c r="H2532"/>
      <c r="I2532"/>
      <c r="J2532"/>
    </row>
    <row r="2533" spans="1:10" s="2" customFormat="1">
      <c r="A2533" s="1"/>
      <c r="E2533"/>
      <c r="F2533"/>
      <c r="G2533"/>
      <c r="H2533"/>
      <c r="I2533"/>
      <c r="J2533"/>
    </row>
    <row r="2534" spans="1:10" s="2" customFormat="1">
      <c r="A2534" s="1"/>
      <c r="E2534"/>
      <c r="F2534"/>
      <c r="G2534"/>
      <c r="H2534"/>
      <c r="I2534"/>
      <c r="J2534"/>
    </row>
    <row r="2535" spans="1:10" s="2" customFormat="1">
      <c r="A2535" s="1"/>
      <c r="E2535"/>
      <c r="F2535"/>
      <c r="G2535"/>
      <c r="H2535"/>
      <c r="I2535"/>
      <c r="J2535"/>
    </row>
    <row r="2536" spans="1:10" s="2" customFormat="1">
      <c r="A2536" s="1"/>
      <c r="E2536"/>
      <c r="F2536"/>
      <c r="G2536"/>
      <c r="H2536"/>
      <c r="I2536"/>
      <c r="J2536"/>
    </row>
    <row r="2537" spans="1:10" s="2" customFormat="1">
      <c r="A2537" s="1"/>
      <c r="E2537"/>
      <c r="F2537"/>
      <c r="G2537"/>
      <c r="H2537"/>
      <c r="I2537"/>
      <c r="J2537"/>
    </row>
    <row r="2538" spans="1:10" s="2" customFormat="1">
      <c r="A2538" s="1"/>
      <c r="E2538"/>
      <c r="F2538"/>
      <c r="G2538"/>
      <c r="H2538"/>
      <c r="I2538"/>
      <c r="J2538"/>
    </row>
    <row r="2539" spans="1:10" s="2" customFormat="1">
      <c r="A2539" s="1"/>
      <c r="E2539"/>
      <c r="F2539"/>
      <c r="G2539"/>
      <c r="H2539"/>
      <c r="I2539"/>
      <c r="J2539"/>
    </row>
    <row r="2540" spans="1:10" s="2" customFormat="1">
      <c r="A2540" s="1"/>
      <c r="E2540"/>
      <c r="F2540"/>
      <c r="G2540"/>
      <c r="H2540"/>
      <c r="I2540"/>
      <c r="J2540"/>
    </row>
    <row r="2541" spans="1:10" s="2" customFormat="1">
      <c r="A2541" s="1"/>
      <c r="E2541"/>
      <c r="F2541"/>
      <c r="G2541"/>
      <c r="H2541"/>
      <c r="I2541"/>
      <c r="J2541"/>
    </row>
    <row r="2542" spans="1:10" s="2" customFormat="1">
      <c r="A2542" s="1"/>
      <c r="E2542"/>
      <c r="F2542"/>
      <c r="G2542"/>
      <c r="H2542"/>
      <c r="I2542"/>
      <c r="J2542"/>
    </row>
    <row r="2543" spans="1:10" s="2" customFormat="1">
      <c r="A2543" s="1"/>
      <c r="E2543"/>
      <c r="F2543"/>
      <c r="G2543"/>
      <c r="H2543"/>
      <c r="I2543"/>
      <c r="J2543"/>
    </row>
    <row r="2544" spans="1:10" s="2" customFormat="1">
      <c r="A2544" s="1"/>
      <c r="E2544"/>
      <c r="F2544"/>
      <c r="G2544"/>
      <c r="H2544"/>
      <c r="I2544"/>
      <c r="J2544"/>
    </row>
    <row r="2545" spans="1:10" s="2" customFormat="1">
      <c r="A2545" s="1"/>
      <c r="E2545"/>
      <c r="F2545"/>
      <c r="G2545"/>
      <c r="H2545"/>
      <c r="I2545"/>
      <c r="J2545"/>
    </row>
    <row r="2546" spans="1:10" s="2" customFormat="1">
      <c r="A2546" s="1"/>
      <c r="E2546"/>
      <c r="F2546"/>
      <c r="G2546"/>
      <c r="H2546"/>
      <c r="I2546"/>
      <c r="J2546"/>
    </row>
    <row r="2547" spans="1:10" s="2" customFormat="1">
      <c r="A2547" s="1"/>
      <c r="E2547"/>
      <c r="F2547"/>
      <c r="G2547"/>
      <c r="H2547"/>
      <c r="I2547"/>
      <c r="J2547"/>
    </row>
    <row r="2548" spans="1:10" s="2" customFormat="1">
      <c r="A2548" s="1"/>
      <c r="E2548"/>
      <c r="F2548"/>
      <c r="G2548"/>
      <c r="H2548"/>
      <c r="I2548"/>
      <c r="J2548"/>
    </row>
    <row r="2549" spans="1:10" s="2" customFormat="1">
      <c r="A2549" s="1"/>
      <c r="E2549"/>
      <c r="F2549"/>
      <c r="G2549"/>
      <c r="H2549"/>
      <c r="I2549"/>
      <c r="J2549"/>
    </row>
    <row r="2550" spans="1:10" s="2" customFormat="1">
      <c r="A2550" s="1"/>
      <c r="E2550"/>
      <c r="F2550"/>
      <c r="G2550"/>
      <c r="H2550"/>
      <c r="I2550"/>
      <c r="J2550"/>
    </row>
    <row r="2551" spans="1:10" s="2" customFormat="1">
      <c r="A2551" s="1"/>
      <c r="E2551"/>
      <c r="F2551"/>
      <c r="G2551"/>
      <c r="H2551"/>
      <c r="I2551"/>
      <c r="J2551"/>
    </row>
    <row r="2552" spans="1:10" s="2" customFormat="1">
      <c r="A2552" s="1"/>
      <c r="E2552"/>
      <c r="F2552"/>
      <c r="G2552"/>
      <c r="H2552"/>
      <c r="I2552"/>
      <c r="J2552"/>
    </row>
    <row r="2553" spans="1:10" s="2" customFormat="1">
      <c r="A2553" s="1"/>
      <c r="E2553"/>
      <c r="F2553"/>
      <c r="G2553"/>
      <c r="H2553"/>
      <c r="I2553"/>
      <c r="J2553"/>
    </row>
    <row r="2554" spans="1:10" s="2" customFormat="1">
      <c r="A2554" s="1"/>
      <c r="E2554"/>
      <c r="F2554"/>
      <c r="G2554"/>
      <c r="H2554"/>
      <c r="I2554"/>
      <c r="J2554"/>
    </row>
    <row r="2555" spans="1:10" s="2" customFormat="1">
      <c r="A2555" s="1"/>
      <c r="E2555"/>
      <c r="F2555"/>
      <c r="G2555"/>
      <c r="H2555"/>
      <c r="I2555"/>
      <c r="J2555"/>
    </row>
    <row r="2556" spans="1:10" s="2" customFormat="1">
      <c r="A2556" s="1"/>
      <c r="E2556"/>
      <c r="F2556"/>
      <c r="G2556"/>
      <c r="H2556"/>
      <c r="I2556"/>
      <c r="J2556"/>
    </row>
    <row r="2557" spans="1:10" s="2" customFormat="1">
      <c r="A2557" s="1"/>
      <c r="E2557"/>
      <c r="F2557"/>
      <c r="G2557"/>
      <c r="H2557"/>
      <c r="I2557"/>
      <c r="J2557"/>
    </row>
    <row r="2558" spans="1:10" s="2" customFormat="1">
      <c r="A2558" s="1"/>
      <c r="E2558"/>
      <c r="F2558"/>
      <c r="G2558"/>
      <c r="H2558"/>
      <c r="I2558"/>
      <c r="J2558"/>
    </row>
    <row r="2559" spans="1:10" s="2" customFormat="1">
      <c r="A2559" s="1"/>
      <c r="E2559"/>
      <c r="F2559"/>
      <c r="G2559"/>
      <c r="H2559"/>
      <c r="I2559"/>
      <c r="J2559"/>
    </row>
    <row r="2560" spans="1:10" s="2" customFormat="1">
      <c r="A2560" s="1"/>
      <c r="E2560"/>
      <c r="F2560"/>
      <c r="G2560"/>
      <c r="H2560"/>
      <c r="I2560"/>
      <c r="J2560"/>
    </row>
    <row r="2561" spans="1:10" s="2" customFormat="1">
      <c r="A2561" s="1"/>
      <c r="E2561"/>
      <c r="F2561"/>
      <c r="G2561"/>
      <c r="H2561"/>
      <c r="I2561"/>
      <c r="J2561"/>
    </row>
    <row r="2562" spans="1:10" s="2" customFormat="1">
      <c r="A2562" s="1"/>
      <c r="E2562"/>
      <c r="F2562"/>
      <c r="G2562"/>
      <c r="H2562"/>
      <c r="I2562"/>
      <c r="J2562"/>
    </row>
    <row r="2563" spans="1:10" s="2" customFormat="1">
      <c r="A2563" s="1"/>
      <c r="E2563"/>
      <c r="F2563"/>
      <c r="G2563"/>
      <c r="H2563"/>
      <c r="I2563"/>
      <c r="J2563"/>
    </row>
    <row r="2564" spans="1:10" s="2" customFormat="1">
      <c r="A2564" s="1"/>
      <c r="E2564"/>
      <c r="F2564"/>
      <c r="G2564"/>
      <c r="H2564"/>
      <c r="I2564"/>
      <c r="J2564"/>
    </row>
    <row r="2565" spans="1:10" s="2" customFormat="1">
      <c r="A2565" s="1"/>
      <c r="E2565"/>
      <c r="F2565"/>
      <c r="G2565"/>
      <c r="H2565"/>
      <c r="I2565"/>
      <c r="J2565"/>
    </row>
    <row r="2566" spans="1:10" s="2" customFormat="1">
      <c r="A2566" s="1"/>
      <c r="E2566"/>
      <c r="F2566"/>
      <c r="G2566"/>
      <c r="H2566"/>
      <c r="I2566"/>
      <c r="J2566"/>
    </row>
    <row r="2567" spans="1:10" s="2" customFormat="1">
      <c r="A2567" s="1"/>
      <c r="E2567"/>
      <c r="F2567"/>
      <c r="G2567"/>
      <c r="H2567"/>
      <c r="I2567"/>
      <c r="J2567"/>
    </row>
    <row r="2568" spans="1:10" s="2" customFormat="1">
      <c r="A2568" s="1"/>
      <c r="E2568"/>
      <c r="F2568"/>
      <c r="G2568"/>
      <c r="H2568"/>
      <c r="I2568"/>
      <c r="J2568"/>
    </row>
    <row r="2569" spans="1:10" s="2" customFormat="1">
      <c r="A2569" s="1"/>
      <c r="E2569"/>
      <c r="F2569"/>
      <c r="G2569"/>
      <c r="H2569"/>
      <c r="I2569"/>
      <c r="J2569"/>
    </row>
    <row r="2570" spans="1:10" s="2" customFormat="1">
      <c r="A2570" s="1"/>
      <c r="E2570"/>
      <c r="F2570"/>
      <c r="G2570"/>
      <c r="H2570"/>
      <c r="I2570"/>
      <c r="J2570"/>
    </row>
    <row r="2571" spans="1:10" s="2" customFormat="1">
      <c r="A2571" s="1"/>
      <c r="E2571"/>
      <c r="F2571"/>
      <c r="G2571"/>
      <c r="H2571"/>
      <c r="I2571"/>
      <c r="J2571"/>
    </row>
    <row r="2572" spans="1:10" s="2" customFormat="1">
      <c r="A2572" s="1"/>
      <c r="E2572"/>
      <c r="F2572"/>
      <c r="G2572"/>
      <c r="H2572"/>
      <c r="I2572"/>
      <c r="J2572"/>
    </row>
    <row r="2573" spans="1:10" s="2" customFormat="1">
      <c r="A2573" s="1"/>
      <c r="E2573"/>
      <c r="F2573"/>
      <c r="G2573"/>
      <c r="H2573"/>
      <c r="I2573"/>
      <c r="J2573"/>
    </row>
    <row r="2574" spans="1:10" s="2" customFormat="1">
      <c r="A2574" s="1"/>
      <c r="E2574"/>
      <c r="F2574"/>
      <c r="G2574"/>
      <c r="H2574"/>
      <c r="I2574"/>
      <c r="J2574"/>
    </row>
    <row r="2575" spans="1:10" s="2" customFormat="1">
      <c r="A2575" s="1"/>
      <c r="E2575"/>
      <c r="F2575"/>
      <c r="G2575"/>
      <c r="H2575"/>
      <c r="I2575"/>
      <c r="J2575"/>
    </row>
    <row r="2576" spans="1:10" s="2" customFormat="1">
      <c r="A2576" s="1"/>
      <c r="E2576"/>
      <c r="F2576"/>
      <c r="G2576"/>
      <c r="H2576"/>
      <c r="I2576"/>
      <c r="J2576"/>
    </row>
    <row r="2577" spans="1:10" s="2" customFormat="1">
      <c r="A2577" s="1"/>
      <c r="E2577"/>
      <c r="F2577"/>
      <c r="G2577"/>
      <c r="H2577"/>
      <c r="I2577"/>
      <c r="J2577"/>
    </row>
    <row r="2578" spans="1:10" s="2" customFormat="1">
      <c r="A2578" s="1"/>
      <c r="E2578"/>
      <c r="F2578"/>
      <c r="G2578"/>
      <c r="H2578"/>
      <c r="I2578"/>
      <c r="J2578"/>
    </row>
    <row r="2579" spans="1:10" s="2" customFormat="1">
      <c r="A2579" s="1"/>
      <c r="E2579"/>
      <c r="F2579"/>
      <c r="G2579"/>
      <c r="H2579"/>
      <c r="I2579"/>
      <c r="J2579"/>
    </row>
    <row r="2580" spans="1:10" s="2" customFormat="1">
      <c r="A2580" s="1"/>
      <c r="E2580"/>
      <c r="F2580"/>
      <c r="G2580"/>
      <c r="H2580"/>
      <c r="I2580"/>
      <c r="J2580"/>
    </row>
    <row r="2581" spans="1:10" s="2" customFormat="1">
      <c r="A2581" s="1"/>
      <c r="E2581"/>
      <c r="F2581"/>
      <c r="G2581"/>
      <c r="H2581"/>
      <c r="I2581"/>
      <c r="J2581"/>
    </row>
    <row r="2582" spans="1:10" s="2" customFormat="1">
      <c r="A2582" s="1"/>
      <c r="E2582"/>
      <c r="F2582"/>
      <c r="G2582"/>
      <c r="H2582"/>
      <c r="I2582"/>
      <c r="J2582"/>
    </row>
    <row r="2583" spans="1:10" s="2" customFormat="1">
      <c r="A2583" s="1"/>
      <c r="E2583"/>
      <c r="F2583"/>
      <c r="G2583"/>
      <c r="H2583"/>
      <c r="I2583"/>
      <c r="J2583"/>
    </row>
    <row r="2584" spans="1:10" s="2" customFormat="1">
      <c r="A2584" s="1"/>
      <c r="E2584"/>
      <c r="F2584"/>
      <c r="G2584"/>
      <c r="H2584"/>
      <c r="I2584"/>
      <c r="J2584"/>
    </row>
    <row r="2585" spans="1:10" s="2" customFormat="1">
      <c r="A2585" s="1"/>
      <c r="E2585"/>
      <c r="F2585"/>
      <c r="G2585"/>
      <c r="H2585"/>
      <c r="I2585"/>
      <c r="J2585"/>
    </row>
    <row r="2586" spans="1:10" s="2" customFormat="1">
      <c r="A2586" s="1"/>
      <c r="E2586"/>
      <c r="F2586"/>
      <c r="G2586"/>
      <c r="H2586"/>
      <c r="I2586"/>
      <c r="J2586"/>
    </row>
    <row r="2587" spans="1:10" s="2" customFormat="1">
      <c r="A2587" s="1"/>
      <c r="E2587"/>
      <c r="F2587"/>
      <c r="G2587"/>
      <c r="H2587"/>
      <c r="I2587"/>
      <c r="J2587"/>
    </row>
    <row r="2588" spans="1:10" s="2" customFormat="1">
      <c r="A2588" s="1"/>
      <c r="E2588"/>
      <c r="F2588"/>
      <c r="G2588"/>
      <c r="H2588"/>
      <c r="I2588"/>
      <c r="J2588"/>
    </row>
    <row r="2589" spans="1:10" s="2" customFormat="1">
      <c r="A2589" s="1"/>
      <c r="E2589"/>
      <c r="F2589"/>
      <c r="G2589"/>
      <c r="H2589"/>
      <c r="I2589"/>
      <c r="J2589"/>
    </row>
    <row r="2590" spans="1:10" s="2" customFormat="1">
      <c r="A2590" s="1"/>
      <c r="E2590"/>
      <c r="F2590"/>
      <c r="G2590"/>
      <c r="H2590"/>
      <c r="I2590"/>
      <c r="J2590"/>
    </row>
    <row r="2591" spans="1:10" s="2" customFormat="1">
      <c r="A2591" s="1"/>
      <c r="E2591"/>
      <c r="F2591"/>
      <c r="G2591"/>
      <c r="H2591"/>
      <c r="I2591"/>
      <c r="J2591"/>
    </row>
    <row r="2592" spans="1:10" s="2" customFormat="1">
      <c r="A2592" s="1"/>
      <c r="E2592"/>
      <c r="F2592"/>
      <c r="G2592"/>
      <c r="H2592"/>
      <c r="I2592"/>
      <c r="J2592"/>
    </row>
    <row r="2593" spans="1:10" s="2" customFormat="1">
      <c r="A2593" s="1"/>
      <c r="E2593"/>
      <c r="F2593"/>
      <c r="G2593"/>
      <c r="H2593"/>
      <c r="I2593"/>
      <c r="J2593"/>
    </row>
    <row r="2594" spans="1:10" s="2" customFormat="1">
      <c r="A2594" s="1"/>
      <c r="E2594"/>
      <c r="F2594"/>
      <c r="G2594"/>
      <c r="H2594"/>
      <c r="I2594"/>
      <c r="J2594"/>
    </row>
    <row r="2595" spans="1:10" s="2" customFormat="1">
      <c r="A2595" s="1"/>
      <c r="E2595"/>
      <c r="F2595"/>
      <c r="G2595"/>
      <c r="H2595"/>
      <c r="I2595"/>
      <c r="J2595"/>
    </row>
    <row r="2596" spans="1:10" s="2" customFormat="1">
      <c r="A2596" s="1"/>
      <c r="E2596"/>
      <c r="F2596"/>
      <c r="G2596"/>
      <c r="H2596"/>
      <c r="I2596"/>
      <c r="J2596"/>
    </row>
    <row r="2597" spans="1:10" s="2" customFormat="1">
      <c r="A2597" s="1"/>
      <c r="E2597"/>
      <c r="F2597"/>
      <c r="G2597"/>
      <c r="H2597"/>
      <c r="I2597"/>
      <c r="J2597"/>
    </row>
    <row r="2598" spans="1:10" s="2" customFormat="1">
      <c r="A2598" s="1"/>
      <c r="E2598"/>
      <c r="F2598"/>
      <c r="G2598"/>
      <c r="H2598"/>
      <c r="I2598"/>
      <c r="J2598"/>
    </row>
    <row r="2599" spans="1:10" s="2" customFormat="1">
      <c r="A2599" s="1"/>
      <c r="E2599"/>
      <c r="F2599"/>
      <c r="G2599"/>
      <c r="H2599"/>
      <c r="I2599"/>
      <c r="J2599"/>
    </row>
    <row r="2600" spans="1:10" s="2" customFormat="1">
      <c r="A2600" s="1"/>
      <c r="E2600"/>
      <c r="F2600"/>
      <c r="G2600"/>
      <c r="H2600"/>
      <c r="I2600"/>
      <c r="J2600"/>
    </row>
    <row r="2601" spans="1:10" s="2" customFormat="1">
      <c r="A2601" s="1"/>
      <c r="E2601"/>
      <c r="F2601"/>
      <c r="G2601"/>
      <c r="H2601"/>
      <c r="I2601"/>
      <c r="J2601"/>
    </row>
    <row r="2602" spans="1:10" s="2" customFormat="1">
      <c r="A2602" s="1"/>
      <c r="E2602"/>
      <c r="F2602"/>
      <c r="G2602"/>
      <c r="H2602"/>
      <c r="I2602"/>
      <c r="J2602"/>
    </row>
    <row r="2603" spans="1:10" s="2" customFormat="1">
      <c r="A2603" s="1"/>
      <c r="E2603"/>
      <c r="F2603"/>
      <c r="G2603"/>
      <c r="H2603"/>
      <c r="I2603"/>
      <c r="J2603"/>
    </row>
    <row r="2604" spans="1:10" s="2" customFormat="1">
      <c r="A2604" s="1"/>
      <c r="E2604"/>
      <c r="F2604"/>
      <c r="G2604"/>
      <c r="H2604"/>
      <c r="I2604"/>
      <c r="J2604"/>
    </row>
    <row r="2605" spans="1:10" s="2" customFormat="1">
      <c r="A2605" s="1"/>
      <c r="E2605"/>
      <c r="F2605"/>
      <c r="G2605"/>
      <c r="H2605"/>
      <c r="I2605"/>
      <c r="J2605"/>
    </row>
    <row r="2606" spans="1:10" s="2" customFormat="1">
      <c r="A2606" s="1"/>
      <c r="E2606"/>
      <c r="F2606"/>
      <c r="G2606"/>
      <c r="H2606"/>
      <c r="I2606"/>
      <c r="J2606"/>
    </row>
    <row r="2607" spans="1:10" s="2" customFormat="1">
      <c r="A2607" s="1"/>
      <c r="E2607"/>
      <c r="F2607"/>
      <c r="G2607"/>
      <c r="H2607"/>
      <c r="I2607"/>
      <c r="J2607"/>
    </row>
    <row r="2608" spans="1:10" s="2" customFormat="1">
      <c r="A2608" s="1"/>
      <c r="E2608"/>
      <c r="F2608"/>
      <c r="G2608"/>
      <c r="H2608"/>
      <c r="I2608"/>
      <c r="J2608"/>
    </row>
    <row r="2609" spans="1:10" s="2" customFormat="1">
      <c r="A2609" s="1"/>
      <c r="E2609"/>
      <c r="F2609"/>
      <c r="G2609"/>
      <c r="H2609"/>
      <c r="I2609"/>
      <c r="J2609"/>
    </row>
    <row r="2610" spans="1:10" s="2" customFormat="1">
      <c r="A2610" s="1"/>
      <c r="E2610"/>
      <c r="F2610"/>
      <c r="G2610"/>
      <c r="H2610"/>
      <c r="I2610"/>
      <c r="J2610"/>
    </row>
    <row r="2611" spans="1:10" s="2" customFormat="1">
      <c r="A2611" s="1"/>
      <c r="E2611"/>
      <c r="F2611"/>
      <c r="G2611"/>
      <c r="H2611"/>
      <c r="I2611"/>
      <c r="J2611"/>
    </row>
    <row r="2612" spans="1:10" s="2" customFormat="1">
      <c r="A2612" s="1"/>
      <c r="E2612"/>
      <c r="F2612"/>
      <c r="G2612"/>
      <c r="H2612"/>
      <c r="I2612"/>
      <c r="J2612"/>
    </row>
    <row r="2613" spans="1:10" s="2" customFormat="1">
      <c r="A2613" s="1"/>
      <c r="E2613"/>
      <c r="F2613"/>
      <c r="G2613"/>
      <c r="H2613"/>
      <c r="I2613"/>
      <c r="J2613"/>
    </row>
    <row r="2614" spans="1:10" s="2" customFormat="1">
      <c r="A2614" s="1"/>
      <c r="E2614"/>
      <c r="F2614"/>
      <c r="G2614"/>
      <c r="H2614"/>
      <c r="I2614"/>
      <c r="J2614"/>
    </row>
    <row r="2615" spans="1:10" s="2" customFormat="1">
      <c r="A2615" s="1"/>
      <c r="E2615"/>
      <c r="F2615"/>
      <c r="G2615"/>
      <c r="H2615"/>
      <c r="I2615"/>
      <c r="J2615"/>
    </row>
    <row r="2616" spans="1:10" s="2" customFormat="1">
      <c r="A2616" s="1"/>
      <c r="E2616"/>
      <c r="F2616"/>
      <c r="G2616"/>
      <c r="H2616"/>
      <c r="I2616"/>
      <c r="J2616"/>
    </row>
    <row r="2617" spans="1:10" s="2" customFormat="1">
      <c r="A2617" s="1"/>
      <c r="E2617"/>
      <c r="F2617"/>
      <c r="G2617"/>
      <c r="H2617"/>
      <c r="I2617"/>
      <c r="J2617"/>
    </row>
    <row r="2618" spans="1:10" s="2" customFormat="1">
      <c r="A2618" s="1"/>
      <c r="E2618"/>
      <c r="F2618"/>
      <c r="G2618"/>
      <c r="H2618"/>
      <c r="I2618"/>
      <c r="J2618"/>
    </row>
    <row r="2619" spans="1:10" s="2" customFormat="1">
      <c r="A2619" s="1"/>
      <c r="E2619"/>
      <c r="F2619"/>
      <c r="G2619"/>
      <c r="H2619"/>
      <c r="I2619"/>
      <c r="J2619"/>
    </row>
    <row r="2620" spans="1:10" s="2" customFormat="1">
      <c r="A2620" s="1"/>
      <c r="E2620"/>
      <c r="F2620"/>
      <c r="G2620"/>
      <c r="H2620"/>
      <c r="I2620"/>
      <c r="J2620"/>
    </row>
    <row r="2621" spans="1:10" s="2" customFormat="1">
      <c r="A2621" s="1"/>
      <c r="E2621"/>
      <c r="F2621"/>
      <c r="G2621"/>
      <c r="H2621"/>
      <c r="I2621"/>
      <c r="J2621"/>
    </row>
    <row r="2622" spans="1:10" s="2" customFormat="1">
      <c r="A2622" s="1"/>
      <c r="E2622"/>
      <c r="F2622"/>
      <c r="G2622"/>
      <c r="H2622"/>
      <c r="I2622"/>
      <c r="J2622"/>
    </row>
    <row r="2623" spans="1:10" s="2" customFormat="1">
      <c r="A2623" s="1"/>
      <c r="E2623"/>
      <c r="F2623"/>
      <c r="G2623"/>
      <c r="H2623"/>
      <c r="I2623"/>
      <c r="J2623"/>
    </row>
    <row r="2624" spans="1:10" s="2" customFormat="1">
      <c r="A2624" s="1"/>
      <c r="E2624"/>
      <c r="F2624"/>
      <c r="G2624"/>
      <c r="H2624"/>
      <c r="I2624"/>
      <c r="J2624"/>
    </row>
    <row r="2625" spans="1:10" s="2" customFormat="1">
      <c r="A2625" s="1"/>
      <c r="E2625"/>
      <c r="F2625"/>
      <c r="G2625"/>
      <c r="H2625"/>
      <c r="I2625"/>
      <c r="J2625"/>
    </row>
    <row r="2626" spans="1:10" s="2" customFormat="1">
      <c r="A2626" s="1"/>
      <c r="E2626"/>
      <c r="F2626"/>
      <c r="G2626"/>
      <c r="H2626"/>
      <c r="I2626"/>
      <c r="J2626"/>
    </row>
    <row r="2627" spans="1:10" s="2" customFormat="1">
      <c r="A2627" s="1"/>
      <c r="E2627"/>
      <c r="F2627"/>
      <c r="G2627"/>
      <c r="H2627"/>
      <c r="I2627"/>
      <c r="J2627"/>
    </row>
    <row r="2628" spans="1:10" s="2" customFormat="1">
      <c r="A2628" s="1"/>
      <c r="E2628"/>
      <c r="F2628"/>
      <c r="G2628"/>
      <c r="H2628"/>
      <c r="I2628"/>
      <c r="J2628"/>
    </row>
    <row r="2629" spans="1:10" s="2" customFormat="1">
      <c r="A2629" s="1"/>
      <c r="E2629"/>
      <c r="F2629"/>
      <c r="G2629"/>
      <c r="H2629"/>
      <c r="I2629"/>
      <c r="J2629"/>
    </row>
    <row r="2630" spans="1:10" s="2" customFormat="1">
      <c r="A2630" s="1"/>
      <c r="E2630"/>
      <c r="F2630"/>
      <c r="G2630"/>
      <c r="H2630"/>
      <c r="I2630"/>
      <c r="J2630"/>
    </row>
    <row r="2631" spans="1:10" s="2" customFormat="1">
      <c r="A2631" s="1"/>
      <c r="E2631"/>
      <c r="F2631"/>
      <c r="G2631"/>
      <c r="H2631"/>
      <c r="I2631"/>
      <c r="J2631"/>
    </row>
    <row r="2632" spans="1:10" s="2" customFormat="1">
      <c r="A2632" s="1"/>
      <c r="E2632"/>
      <c r="F2632"/>
      <c r="G2632"/>
      <c r="H2632"/>
      <c r="I2632"/>
      <c r="J2632"/>
    </row>
    <row r="2633" spans="1:10" s="2" customFormat="1">
      <c r="A2633" s="1"/>
      <c r="E2633"/>
      <c r="F2633"/>
      <c r="G2633"/>
      <c r="H2633"/>
      <c r="I2633"/>
      <c r="J2633"/>
    </row>
    <row r="2634" spans="1:10" s="2" customFormat="1">
      <c r="A2634" s="1"/>
      <c r="E2634"/>
      <c r="F2634"/>
      <c r="G2634"/>
      <c r="H2634"/>
      <c r="I2634"/>
      <c r="J2634"/>
    </row>
    <row r="2635" spans="1:10" s="2" customFormat="1">
      <c r="A2635" s="1"/>
      <c r="E2635"/>
      <c r="F2635"/>
      <c r="G2635"/>
      <c r="H2635"/>
      <c r="I2635"/>
      <c r="J2635"/>
    </row>
    <row r="2636" spans="1:10" s="2" customFormat="1">
      <c r="A2636" s="1"/>
      <c r="E2636"/>
      <c r="F2636"/>
      <c r="G2636"/>
      <c r="H2636"/>
      <c r="I2636"/>
      <c r="J2636"/>
    </row>
    <row r="2637" spans="1:10" s="2" customFormat="1">
      <c r="A2637" s="1"/>
      <c r="E2637"/>
      <c r="F2637"/>
      <c r="G2637"/>
      <c r="H2637"/>
      <c r="I2637"/>
      <c r="J2637"/>
    </row>
    <row r="2638" spans="1:10" s="2" customFormat="1">
      <c r="A2638" s="1"/>
      <c r="E2638"/>
      <c r="F2638"/>
      <c r="G2638"/>
      <c r="H2638"/>
      <c r="I2638"/>
      <c r="J2638"/>
    </row>
    <row r="2639" spans="1:10" s="2" customFormat="1">
      <c r="A2639" s="1"/>
      <c r="E2639"/>
      <c r="F2639"/>
      <c r="G2639"/>
      <c r="H2639"/>
      <c r="I2639"/>
      <c r="J2639"/>
    </row>
    <row r="2640" spans="1:10" s="2" customFormat="1">
      <c r="A2640" s="1"/>
      <c r="E2640"/>
      <c r="F2640"/>
      <c r="G2640"/>
      <c r="H2640"/>
      <c r="I2640"/>
      <c r="J2640"/>
    </row>
    <row r="2641" spans="1:10" s="2" customFormat="1">
      <c r="A2641" s="1"/>
      <c r="E2641"/>
      <c r="F2641"/>
      <c r="G2641"/>
      <c r="H2641"/>
      <c r="I2641"/>
      <c r="J2641"/>
    </row>
    <row r="2642" spans="1:10" s="2" customFormat="1">
      <c r="A2642" s="1"/>
      <c r="E2642"/>
      <c r="F2642"/>
      <c r="G2642"/>
      <c r="H2642"/>
      <c r="I2642"/>
      <c r="J2642"/>
    </row>
    <row r="2643" spans="1:10" s="2" customFormat="1">
      <c r="A2643" s="1"/>
      <c r="E2643"/>
      <c r="F2643"/>
      <c r="G2643"/>
      <c r="H2643"/>
      <c r="I2643"/>
      <c r="J2643"/>
    </row>
    <row r="2644" spans="1:10" s="2" customFormat="1">
      <c r="A2644" s="1"/>
      <c r="E2644"/>
      <c r="F2644"/>
      <c r="G2644"/>
      <c r="H2644"/>
      <c r="I2644"/>
      <c r="J2644"/>
    </row>
    <row r="2645" spans="1:10" s="2" customFormat="1">
      <c r="A2645" s="1"/>
      <c r="E2645"/>
      <c r="F2645"/>
      <c r="G2645"/>
      <c r="H2645"/>
      <c r="I2645"/>
      <c r="J2645"/>
    </row>
    <row r="2646" spans="1:10" s="2" customFormat="1">
      <c r="A2646" s="1"/>
      <c r="E2646"/>
      <c r="F2646"/>
      <c r="G2646"/>
      <c r="H2646"/>
      <c r="I2646"/>
      <c r="J2646"/>
    </row>
    <row r="2647" spans="1:10" s="2" customFormat="1">
      <c r="A2647" s="1"/>
      <c r="E2647"/>
      <c r="F2647"/>
      <c r="G2647"/>
      <c r="H2647"/>
      <c r="I2647"/>
      <c r="J2647"/>
    </row>
    <row r="2648" spans="1:10" s="2" customFormat="1">
      <c r="A2648" s="1"/>
      <c r="E2648"/>
      <c r="F2648"/>
      <c r="G2648"/>
      <c r="H2648"/>
      <c r="I2648"/>
      <c r="J2648"/>
    </row>
    <row r="2649" spans="1:10" s="2" customFormat="1">
      <c r="A2649" s="1"/>
      <c r="E2649"/>
      <c r="F2649"/>
      <c r="G2649"/>
      <c r="H2649"/>
      <c r="I2649"/>
      <c r="J2649"/>
    </row>
    <row r="2650" spans="1:10" s="2" customFormat="1">
      <c r="A2650" s="1"/>
      <c r="E2650"/>
      <c r="F2650"/>
      <c r="G2650"/>
      <c r="H2650"/>
      <c r="I2650"/>
      <c r="J2650"/>
    </row>
    <row r="2651" spans="1:10" s="2" customFormat="1">
      <c r="A2651" s="1"/>
      <c r="E2651"/>
      <c r="F2651"/>
      <c r="G2651"/>
      <c r="H2651"/>
      <c r="I2651"/>
      <c r="J2651"/>
    </row>
    <row r="2652" spans="1:10" s="2" customFormat="1">
      <c r="A2652" s="1"/>
      <c r="E2652"/>
      <c r="F2652"/>
      <c r="G2652"/>
      <c r="H2652"/>
      <c r="I2652"/>
      <c r="J2652"/>
    </row>
    <row r="2653" spans="1:10" s="2" customFormat="1">
      <c r="A2653" s="1"/>
      <c r="E2653"/>
      <c r="F2653"/>
      <c r="G2653"/>
      <c r="H2653"/>
      <c r="I2653"/>
      <c r="J2653"/>
    </row>
    <row r="2654" spans="1:10" s="2" customFormat="1">
      <c r="A2654" s="1"/>
      <c r="E2654"/>
      <c r="F2654"/>
      <c r="G2654"/>
      <c r="H2654"/>
      <c r="I2654"/>
      <c r="J2654"/>
    </row>
    <row r="2655" spans="1:10" s="2" customFormat="1">
      <c r="A2655" s="1"/>
      <c r="E2655"/>
      <c r="F2655"/>
      <c r="G2655"/>
      <c r="H2655"/>
      <c r="I2655"/>
      <c r="J2655"/>
    </row>
    <row r="2656" spans="1:10" s="2" customFormat="1">
      <c r="A2656" s="1"/>
      <c r="E2656"/>
      <c r="F2656"/>
      <c r="G2656"/>
      <c r="H2656"/>
      <c r="I2656"/>
      <c r="J2656"/>
    </row>
    <row r="2657" spans="1:10" s="2" customFormat="1">
      <c r="A2657" s="1"/>
      <c r="E2657"/>
      <c r="F2657"/>
      <c r="G2657"/>
      <c r="H2657"/>
      <c r="I2657"/>
      <c r="J2657"/>
    </row>
    <row r="2658" spans="1:10" s="2" customFormat="1">
      <c r="A2658" s="1"/>
      <c r="E2658"/>
      <c r="F2658"/>
      <c r="G2658"/>
      <c r="H2658"/>
      <c r="I2658"/>
      <c r="J2658"/>
    </row>
    <row r="2659" spans="1:10" s="2" customFormat="1">
      <c r="A2659" s="1"/>
      <c r="E2659"/>
      <c r="F2659"/>
      <c r="G2659"/>
      <c r="H2659"/>
      <c r="I2659"/>
      <c r="J2659"/>
    </row>
    <row r="2660" spans="1:10" s="2" customFormat="1">
      <c r="A2660" s="1"/>
      <c r="E2660"/>
      <c r="F2660"/>
      <c r="G2660"/>
      <c r="H2660"/>
      <c r="I2660"/>
      <c r="J2660"/>
    </row>
    <row r="2661" spans="1:10" s="2" customFormat="1">
      <c r="A2661" s="1"/>
      <c r="E2661"/>
      <c r="F2661"/>
      <c r="G2661"/>
      <c r="H2661"/>
      <c r="I2661"/>
      <c r="J2661"/>
    </row>
    <row r="2662" spans="1:10" s="2" customFormat="1">
      <c r="A2662" s="1"/>
      <c r="E2662"/>
      <c r="F2662"/>
      <c r="G2662"/>
      <c r="H2662"/>
      <c r="I2662"/>
      <c r="J2662"/>
    </row>
    <row r="2663" spans="1:10" s="2" customFormat="1">
      <c r="A2663" s="1"/>
      <c r="E2663"/>
      <c r="F2663"/>
      <c r="G2663"/>
      <c r="H2663"/>
      <c r="I2663"/>
      <c r="J2663"/>
    </row>
    <row r="2664" spans="1:10" s="2" customFormat="1">
      <c r="A2664" s="1"/>
      <c r="E2664"/>
      <c r="F2664"/>
      <c r="G2664"/>
      <c r="H2664"/>
      <c r="I2664"/>
      <c r="J2664"/>
    </row>
    <row r="2665" spans="1:10" s="2" customFormat="1">
      <c r="A2665" s="1"/>
      <c r="E2665"/>
      <c r="F2665"/>
      <c r="G2665"/>
      <c r="H2665"/>
      <c r="I2665"/>
      <c r="J2665"/>
    </row>
    <row r="2666" spans="1:10" s="2" customFormat="1">
      <c r="A2666" s="1"/>
      <c r="E2666"/>
      <c r="F2666"/>
      <c r="G2666"/>
      <c r="H2666"/>
      <c r="I2666"/>
      <c r="J2666"/>
    </row>
    <row r="2667" spans="1:10" s="2" customFormat="1">
      <c r="A2667" s="1"/>
      <c r="E2667"/>
      <c r="F2667"/>
      <c r="G2667"/>
      <c r="H2667"/>
      <c r="I2667"/>
      <c r="J2667"/>
    </row>
    <row r="2668" spans="1:10" s="2" customFormat="1">
      <c r="A2668" s="1"/>
      <c r="E2668"/>
      <c r="F2668"/>
      <c r="G2668"/>
      <c r="H2668"/>
      <c r="I2668"/>
      <c r="J2668"/>
    </row>
    <row r="2669" spans="1:10" s="2" customFormat="1">
      <c r="A2669" s="1"/>
      <c r="E2669"/>
      <c r="F2669"/>
      <c r="G2669"/>
      <c r="H2669"/>
      <c r="I2669"/>
      <c r="J2669"/>
    </row>
    <row r="2670" spans="1:10" s="2" customFormat="1">
      <c r="A2670" s="1"/>
      <c r="E2670"/>
      <c r="F2670"/>
      <c r="G2670"/>
      <c r="H2670"/>
      <c r="I2670"/>
      <c r="J2670"/>
    </row>
    <row r="2671" spans="1:10" s="2" customFormat="1">
      <c r="A2671" s="1"/>
      <c r="E2671"/>
      <c r="F2671"/>
      <c r="G2671"/>
      <c r="H2671"/>
      <c r="I2671"/>
      <c r="J2671"/>
    </row>
    <row r="2672" spans="1:10" s="2" customFormat="1">
      <c r="A2672" s="1"/>
      <c r="E2672"/>
      <c r="F2672"/>
      <c r="G2672"/>
      <c r="H2672"/>
      <c r="I2672"/>
      <c r="J2672"/>
    </row>
    <row r="2673" spans="1:10" s="2" customFormat="1">
      <c r="A2673" s="1"/>
      <c r="E2673"/>
      <c r="F2673"/>
      <c r="G2673"/>
      <c r="H2673"/>
      <c r="I2673"/>
      <c r="J2673"/>
    </row>
    <row r="2674" spans="1:10" s="2" customFormat="1">
      <c r="A2674" s="1"/>
      <c r="E2674"/>
      <c r="F2674"/>
      <c r="G2674"/>
      <c r="H2674"/>
      <c r="I2674"/>
      <c r="J2674"/>
    </row>
    <row r="2675" spans="1:10" s="2" customFormat="1">
      <c r="A2675" s="1"/>
      <c r="E2675"/>
      <c r="F2675"/>
      <c r="G2675"/>
      <c r="H2675"/>
      <c r="I2675"/>
      <c r="J2675"/>
    </row>
    <row r="2676" spans="1:10" s="2" customFormat="1">
      <c r="A2676" s="1"/>
      <c r="E2676"/>
      <c r="F2676"/>
      <c r="G2676"/>
      <c r="H2676"/>
      <c r="I2676"/>
      <c r="J2676"/>
    </row>
    <row r="2677" spans="1:10" s="2" customFormat="1">
      <c r="A2677" s="1"/>
      <c r="E2677"/>
      <c r="F2677"/>
      <c r="G2677"/>
      <c r="H2677"/>
      <c r="I2677"/>
      <c r="J2677"/>
    </row>
    <row r="2678" spans="1:10" s="2" customFormat="1">
      <c r="A2678" s="1"/>
      <c r="E2678"/>
      <c r="F2678"/>
      <c r="G2678"/>
      <c r="H2678"/>
      <c r="I2678"/>
      <c r="J2678"/>
    </row>
    <row r="2679" spans="1:10" s="2" customFormat="1">
      <c r="A2679" s="1"/>
      <c r="E2679"/>
      <c r="F2679"/>
      <c r="G2679"/>
      <c r="H2679"/>
      <c r="I2679"/>
      <c r="J2679"/>
    </row>
    <row r="2680" spans="1:10" s="2" customFormat="1">
      <c r="A2680" s="1"/>
      <c r="E2680"/>
      <c r="F2680"/>
      <c r="G2680"/>
      <c r="H2680"/>
      <c r="I2680"/>
      <c r="J2680"/>
    </row>
    <row r="2681" spans="1:10" s="2" customFormat="1">
      <c r="A2681" s="1"/>
      <c r="E2681"/>
      <c r="F2681"/>
      <c r="G2681"/>
      <c r="H2681"/>
      <c r="I2681"/>
      <c r="J2681"/>
    </row>
    <row r="2682" spans="1:10" s="2" customFormat="1">
      <c r="A2682" s="1"/>
      <c r="E2682"/>
      <c r="F2682"/>
      <c r="G2682"/>
      <c r="H2682"/>
      <c r="I2682"/>
      <c r="J2682"/>
    </row>
    <row r="2683" spans="1:10" s="2" customFormat="1">
      <c r="A2683" s="1"/>
      <c r="E2683"/>
      <c r="F2683"/>
      <c r="G2683"/>
      <c r="H2683"/>
      <c r="I2683"/>
      <c r="J2683"/>
    </row>
    <row r="2684" spans="1:10" s="2" customFormat="1">
      <c r="A2684" s="1"/>
      <c r="E2684"/>
      <c r="F2684"/>
      <c r="G2684"/>
      <c r="H2684"/>
      <c r="I2684"/>
      <c r="J2684"/>
    </row>
    <row r="2685" spans="1:10" s="2" customFormat="1">
      <c r="A2685" s="1"/>
      <c r="E2685"/>
      <c r="F2685"/>
      <c r="G2685"/>
      <c r="H2685"/>
      <c r="I2685"/>
      <c r="J2685"/>
    </row>
    <row r="2686" spans="1:10" s="2" customFormat="1">
      <c r="A2686" s="1"/>
      <c r="E2686"/>
      <c r="F2686"/>
      <c r="G2686"/>
      <c r="H2686"/>
      <c r="I2686"/>
      <c r="J2686"/>
    </row>
    <row r="2687" spans="1:10" s="2" customFormat="1">
      <c r="A2687" s="1"/>
      <c r="E2687"/>
      <c r="F2687"/>
      <c r="G2687"/>
      <c r="H2687"/>
      <c r="I2687"/>
      <c r="J2687"/>
    </row>
    <row r="2688" spans="1:10" s="2" customFormat="1">
      <c r="A2688" s="1"/>
      <c r="E2688"/>
      <c r="F2688"/>
      <c r="G2688"/>
      <c r="H2688"/>
      <c r="I2688"/>
      <c r="J2688"/>
    </row>
    <row r="2689" spans="1:10" s="2" customFormat="1">
      <c r="A2689" s="1"/>
      <c r="E2689"/>
      <c r="F2689"/>
      <c r="G2689"/>
      <c r="H2689"/>
      <c r="I2689"/>
      <c r="J2689"/>
    </row>
    <row r="2690" spans="1:10" s="2" customFormat="1">
      <c r="A2690" s="1"/>
      <c r="E2690"/>
      <c r="F2690"/>
      <c r="G2690"/>
      <c r="H2690"/>
      <c r="I2690"/>
      <c r="J2690"/>
    </row>
    <row r="2691" spans="1:10" s="2" customFormat="1">
      <c r="A2691" s="1"/>
      <c r="E2691"/>
      <c r="F2691"/>
      <c r="G2691"/>
      <c r="H2691"/>
      <c r="I2691"/>
      <c r="J2691"/>
    </row>
    <row r="2692" spans="1:10" s="2" customFormat="1">
      <c r="A2692" s="1"/>
      <c r="E2692"/>
      <c r="F2692"/>
      <c r="G2692"/>
      <c r="H2692"/>
      <c r="I2692"/>
      <c r="J2692"/>
    </row>
    <row r="2693" spans="1:10" s="2" customFormat="1">
      <c r="A2693" s="1"/>
      <c r="E2693"/>
      <c r="F2693"/>
      <c r="G2693"/>
      <c r="H2693"/>
      <c r="I2693"/>
      <c r="J2693"/>
    </row>
    <row r="2694" spans="1:10" s="2" customFormat="1">
      <c r="A2694" s="1"/>
      <c r="E2694"/>
      <c r="F2694"/>
      <c r="G2694"/>
      <c r="H2694"/>
      <c r="I2694"/>
      <c r="J2694"/>
    </row>
    <row r="2695" spans="1:10" s="2" customFormat="1">
      <c r="A2695" s="1"/>
      <c r="E2695"/>
      <c r="F2695"/>
      <c r="G2695"/>
      <c r="H2695"/>
      <c r="I2695"/>
      <c r="J2695"/>
    </row>
    <row r="2696" spans="1:10" s="2" customFormat="1">
      <c r="A2696" s="1"/>
      <c r="E2696"/>
      <c r="F2696"/>
      <c r="G2696"/>
      <c r="H2696"/>
      <c r="I2696"/>
      <c r="J2696"/>
    </row>
    <row r="2697" spans="1:10" s="2" customFormat="1">
      <c r="A2697" s="1"/>
      <c r="E2697"/>
      <c r="F2697"/>
      <c r="G2697"/>
      <c r="H2697"/>
      <c r="I2697"/>
      <c r="J2697"/>
    </row>
    <row r="2698" spans="1:10" s="2" customFormat="1">
      <c r="A2698" s="1"/>
      <c r="E2698"/>
      <c r="F2698"/>
      <c r="G2698"/>
      <c r="H2698"/>
      <c r="I2698"/>
      <c r="J2698"/>
    </row>
    <row r="2699" spans="1:10" s="2" customFormat="1">
      <c r="A2699" s="1"/>
      <c r="E2699"/>
      <c r="F2699"/>
      <c r="G2699"/>
      <c r="H2699"/>
      <c r="I2699"/>
      <c r="J2699"/>
    </row>
    <row r="2700" spans="1:10" s="2" customFormat="1">
      <c r="A2700" s="1"/>
      <c r="E2700"/>
      <c r="F2700"/>
      <c r="G2700"/>
      <c r="H2700"/>
      <c r="I2700"/>
      <c r="J2700"/>
    </row>
    <row r="2701" spans="1:10" s="2" customFormat="1">
      <c r="A2701" s="1"/>
      <c r="E2701"/>
      <c r="F2701"/>
      <c r="G2701"/>
      <c r="H2701"/>
      <c r="I2701"/>
      <c r="J2701"/>
    </row>
    <row r="2702" spans="1:10" s="2" customFormat="1">
      <c r="A2702" s="1"/>
      <c r="E2702"/>
      <c r="F2702"/>
      <c r="G2702"/>
      <c r="H2702"/>
      <c r="I2702"/>
      <c r="J2702"/>
    </row>
    <row r="2703" spans="1:10" s="2" customFormat="1">
      <c r="A2703" s="1"/>
      <c r="E2703"/>
      <c r="F2703"/>
      <c r="G2703"/>
      <c r="H2703"/>
      <c r="I2703"/>
      <c r="J2703"/>
    </row>
    <row r="2704" spans="1:10" s="2" customFormat="1">
      <c r="A2704" s="1"/>
      <c r="E2704"/>
      <c r="F2704"/>
      <c r="G2704"/>
      <c r="H2704"/>
      <c r="I2704"/>
      <c r="J2704"/>
    </row>
    <row r="2705" spans="1:10" s="2" customFormat="1">
      <c r="A2705" s="1"/>
      <c r="E2705"/>
      <c r="F2705"/>
      <c r="G2705"/>
      <c r="H2705"/>
      <c r="I2705"/>
      <c r="J2705"/>
    </row>
    <row r="2706" spans="1:10" s="2" customFormat="1">
      <c r="A2706" s="1"/>
      <c r="E2706"/>
      <c r="F2706"/>
      <c r="G2706"/>
      <c r="H2706"/>
      <c r="I2706"/>
      <c r="J2706"/>
    </row>
    <row r="2707" spans="1:10" s="2" customFormat="1">
      <c r="A2707" s="1"/>
      <c r="E2707"/>
      <c r="F2707"/>
      <c r="G2707"/>
      <c r="H2707"/>
      <c r="I2707"/>
      <c r="J2707"/>
    </row>
    <row r="2708" spans="1:10" s="2" customFormat="1">
      <c r="A2708" s="1"/>
      <c r="E2708"/>
      <c r="F2708"/>
      <c r="G2708"/>
      <c r="H2708"/>
      <c r="I2708"/>
      <c r="J2708"/>
    </row>
    <row r="2709" spans="1:10" s="2" customFormat="1">
      <c r="A2709" s="1"/>
      <c r="E2709"/>
      <c r="F2709"/>
      <c r="G2709"/>
      <c r="H2709"/>
      <c r="I2709"/>
      <c r="J2709"/>
    </row>
    <row r="2710" spans="1:10" s="2" customFormat="1">
      <c r="A2710" s="1"/>
      <c r="E2710"/>
      <c r="F2710"/>
      <c r="G2710"/>
      <c r="H2710"/>
      <c r="I2710"/>
      <c r="J2710"/>
    </row>
    <row r="2711" spans="1:10" s="2" customFormat="1">
      <c r="A2711" s="1"/>
      <c r="E2711"/>
      <c r="F2711"/>
      <c r="G2711"/>
      <c r="H2711"/>
      <c r="I2711"/>
      <c r="J2711"/>
    </row>
    <row r="2712" spans="1:10" s="2" customFormat="1">
      <c r="A2712" s="1"/>
      <c r="E2712"/>
      <c r="F2712"/>
      <c r="G2712"/>
      <c r="H2712"/>
      <c r="I2712"/>
      <c r="J2712"/>
    </row>
    <row r="2713" spans="1:10" s="2" customFormat="1">
      <c r="A2713" s="1"/>
      <c r="E2713"/>
      <c r="F2713"/>
      <c r="G2713"/>
      <c r="H2713"/>
      <c r="I2713"/>
      <c r="J2713"/>
    </row>
    <row r="2714" spans="1:10" s="2" customFormat="1">
      <c r="A2714" s="1"/>
      <c r="E2714"/>
      <c r="F2714"/>
      <c r="G2714"/>
      <c r="H2714"/>
      <c r="I2714"/>
      <c r="J2714"/>
    </row>
    <row r="2715" spans="1:10" s="2" customFormat="1">
      <c r="A2715" s="1"/>
      <c r="E2715"/>
      <c r="F2715"/>
      <c r="G2715"/>
      <c r="H2715"/>
      <c r="I2715"/>
      <c r="J2715"/>
    </row>
    <row r="2716" spans="1:10" s="2" customFormat="1">
      <c r="A2716" s="1"/>
      <c r="E2716"/>
      <c r="F2716"/>
      <c r="G2716"/>
      <c r="H2716"/>
      <c r="I2716"/>
      <c r="J2716"/>
    </row>
    <row r="2717" spans="1:10" s="2" customFormat="1">
      <c r="A2717" s="1"/>
      <c r="E2717"/>
      <c r="F2717"/>
      <c r="G2717"/>
      <c r="H2717"/>
      <c r="I2717"/>
      <c r="J2717"/>
    </row>
    <row r="2718" spans="1:10" s="2" customFormat="1">
      <c r="A2718" s="1"/>
      <c r="E2718"/>
      <c r="F2718"/>
      <c r="G2718"/>
      <c r="H2718"/>
      <c r="I2718"/>
      <c r="J2718"/>
    </row>
    <row r="2719" spans="1:10" s="2" customFormat="1">
      <c r="A2719" s="1"/>
      <c r="E2719"/>
      <c r="F2719"/>
      <c r="G2719"/>
      <c r="H2719"/>
      <c r="I2719"/>
      <c r="J2719"/>
    </row>
    <row r="2720" spans="1:10" s="2" customFormat="1">
      <c r="A2720" s="1"/>
      <c r="E2720"/>
      <c r="F2720"/>
      <c r="G2720"/>
      <c r="H2720"/>
      <c r="I2720"/>
      <c r="J2720"/>
    </row>
    <row r="2721" spans="1:10" s="2" customFormat="1">
      <c r="A2721" s="1"/>
      <c r="E2721"/>
      <c r="F2721"/>
      <c r="G2721"/>
      <c r="H2721"/>
      <c r="I2721"/>
      <c r="J2721"/>
    </row>
    <row r="2722" spans="1:10" s="2" customFormat="1">
      <c r="A2722" s="1"/>
      <c r="E2722"/>
      <c r="F2722"/>
      <c r="G2722"/>
      <c r="H2722"/>
      <c r="I2722"/>
      <c r="J2722"/>
    </row>
    <row r="2723" spans="1:10" s="2" customFormat="1">
      <c r="A2723" s="1"/>
      <c r="E2723"/>
      <c r="F2723"/>
      <c r="G2723"/>
      <c r="H2723"/>
      <c r="I2723"/>
      <c r="J2723"/>
    </row>
    <row r="2724" spans="1:10" s="2" customFormat="1">
      <c r="A2724" s="1"/>
      <c r="E2724"/>
      <c r="F2724"/>
      <c r="G2724"/>
      <c r="H2724"/>
      <c r="I2724"/>
      <c r="J2724"/>
    </row>
    <row r="2725" spans="1:10" s="2" customFormat="1">
      <c r="A2725" s="1"/>
      <c r="E2725"/>
      <c r="F2725"/>
      <c r="G2725"/>
      <c r="H2725"/>
      <c r="I2725"/>
      <c r="J2725"/>
    </row>
    <row r="2726" spans="1:10" s="2" customFormat="1">
      <c r="A2726" s="1"/>
      <c r="E2726"/>
      <c r="F2726"/>
      <c r="G2726"/>
      <c r="H2726"/>
      <c r="I2726"/>
      <c r="J2726"/>
    </row>
    <row r="2727" spans="1:10" s="2" customFormat="1">
      <c r="A2727" s="1"/>
      <c r="E2727"/>
      <c r="F2727"/>
      <c r="G2727"/>
      <c r="H2727"/>
      <c r="I2727"/>
      <c r="J2727"/>
    </row>
    <row r="2728" spans="1:10" s="2" customFormat="1">
      <c r="A2728" s="1"/>
      <c r="E2728"/>
      <c r="F2728"/>
      <c r="G2728"/>
      <c r="H2728"/>
      <c r="I2728"/>
      <c r="J2728"/>
    </row>
    <row r="2729" spans="1:10" s="2" customFormat="1">
      <c r="A2729" s="1"/>
      <c r="E2729"/>
      <c r="F2729"/>
      <c r="G2729"/>
      <c r="H2729"/>
      <c r="I2729"/>
      <c r="J2729"/>
    </row>
    <row r="2730" spans="1:10" s="2" customFormat="1">
      <c r="A2730" s="1"/>
      <c r="E2730"/>
      <c r="F2730"/>
      <c r="G2730"/>
      <c r="H2730"/>
      <c r="I2730"/>
      <c r="J2730"/>
    </row>
    <row r="2731" spans="1:10" s="2" customFormat="1">
      <c r="A2731" s="1"/>
      <c r="E2731"/>
      <c r="F2731"/>
      <c r="G2731"/>
      <c r="H2731"/>
      <c r="I2731"/>
      <c r="J2731"/>
    </row>
    <row r="2732" spans="1:10" s="2" customFormat="1">
      <c r="A2732" s="1"/>
      <c r="E2732"/>
      <c r="F2732"/>
      <c r="G2732"/>
      <c r="H2732"/>
      <c r="I2732"/>
      <c r="J2732"/>
    </row>
    <row r="2733" spans="1:10" s="2" customFormat="1">
      <c r="A2733" s="1"/>
      <c r="E2733"/>
      <c r="F2733"/>
      <c r="G2733"/>
      <c r="H2733"/>
      <c r="I2733"/>
      <c r="J2733"/>
    </row>
    <row r="2734" spans="1:10" s="2" customFormat="1">
      <c r="A2734" s="1"/>
      <c r="E2734"/>
      <c r="F2734"/>
      <c r="G2734"/>
      <c r="H2734"/>
      <c r="I2734"/>
      <c r="J2734"/>
    </row>
    <row r="2735" spans="1:10" s="2" customFormat="1">
      <c r="A2735" s="1"/>
      <c r="E2735"/>
      <c r="F2735"/>
      <c r="G2735"/>
      <c r="H2735"/>
      <c r="I2735"/>
      <c r="J2735"/>
    </row>
    <row r="2736" spans="1:10" s="2" customFormat="1">
      <c r="A2736" s="1"/>
      <c r="E2736"/>
      <c r="F2736"/>
      <c r="G2736"/>
      <c r="H2736"/>
      <c r="I2736"/>
      <c r="J2736"/>
    </row>
    <row r="2737" spans="1:10" s="2" customFormat="1">
      <c r="A2737" s="1"/>
      <c r="E2737"/>
      <c r="F2737"/>
      <c r="G2737"/>
      <c r="H2737"/>
      <c r="I2737"/>
      <c r="J2737"/>
    </row>
    <row r="2738" spans="1:10" s="2" customFormat="1">
      <c r="A2738" s="1"/>
      <c r="E2738"/>
      <c r="F2738"/>
      <c r="G2738"/>
      <c r="H2738"/>
      <c r="I2738"/>
      <c r="J2738"/>
    </row>
    <row r="2739" spans="1:10" s="2" customFormat="1">
      <c r="A2739" s="1"/>
      <c r="E2739"/>
      <c r="F2739"/>
      <c r="G2739"/>
      <c r="H2739"/>
      <c r="I2739"/>
      <c r="J2739"/>
    </row>
    <row r="2740" spans="1:10" s="2" customFormat="1">
      <c r="A2740" s="1"/>
      <c r="E2740"/>
      <c r="F2740"/>
      <c r="G2740"/>
      <c r="H2740"/>
      <c r="I2740"/>
      <c r="J2740"/>
    </row>
    <row r="2741" spans="1:10" s="2" customFormat="1">
      <c r="A2741" s="1"/>
      <c r="E2741"/>
      <c r="F2741"/>
      <c r="G2741"/>
      <c r="H2741"/>
      <c r="I2741"/>
      <c r="J2741"/>
    </row>
    <row r="2742" spans="1:10" s="2" customFormat="1">
      <c r="A2742" s="1"/>
      <c r="E2742"/>
      <c r="F2742"/>
      <c r="G2742"/>
      <c r="H2742"/>
      <c r="I2742"/>
      <c r="J2742"/>
    </row>
    <row r="2743" spans="1:10" s="2" customFormat="1">
      <c r="A2743" s="1"/>
      <c r="E2743"/>
      <c r="F2743"/>
      <c r="G2743"/>
      <c r="H2743"/>
      <c r="I2743"/>
      <c r="J2743"/>
    </row>
    <row r="2744" spans="1:10" s="2" customFormat="1">
      <c r="A2744" s="1"/>
      <c r="E2744"/>
      <c r="F2744"/>
      <c r="G2744"/>
      <c r="H2744"/>
      <c r="I2744"/>
      <c r="J2744"/>
    </row>
    <row r="2745" spans="1:10" s="2" customFormat="1">
      <c r="A2745" s="1"/>
      <c r="E2745"/>
      <c r="F2745"/>
      <c r="G2745"/>
      <c r="H2745"/>
      <c r="I2745"/>
      <c r="J2745"/>
    </row>
    <row r="2746" spans="1:10" s="2" customFormat="1">
      <c r="A2746" s="1"/>
      <c r="E2746"/>
      <c r="F2746"/>
      <c r="G2746"/>
      <c r="H2746"/>
      <c r="I2746"/>
      <c r="J2746"/>
    </row>
    <row r="2747" spans="1:10" s="2" customFormat="1">
      <c r="A2747" s="1"/>
      <c r="E2747"/>
      <c r="F2747"/>
      <c r="G2747"/>
      <c r="H2747"/>
      <c r="I2747"/>
      <c r="J2747"/>
    </row>
    <row r="2748" spans="1:10" s="2" customFormat="1">
      <c r="A2748" s="1"/>
      <c r="E2748"/>
      <c r="F2748"/>
      <c r="G2748"/>
      <c r="H2748"/>
      <c r="I2748"/>
      <c r="J2748"/>
    </row>
    <row r="2749" spans="1:10" s="2" customFormat="1">
      <c r="A2749" s="1"/>
      <c r="E2749"/>
      <c r="F2749"/>
      <c r="G2749"/>
      <c r="H2749"/>
      <c r="I2749"/>
      <c r="J2749"/>
    </row>
    <row r="2750" spans="1:10" s="2" customFormat="1">
      <c r="A2750" s="1"/>
      <c r="E2750"/>
      <c r="F2750"/>
      <c r="G2750"/>
      <c r="H2750"/>
      <c r="I2750"/>
      <c r="J2750"/>
    </row>
    <row r="2751" spans="1:10" s="2" customFormat="1">
      <c r="A2751" s="1"/>
      <c r="E2751"/>
      <c r="F2751"/>
      <c r="G2751"/>
      <c r="H2751"/>
      <c r="I2751"/>
      <c r="J2751"/>
    </row>
    <row r="2752" spans="1:10" s="2" customFormat="1">
      <c r="A2752" s="1"/>
      <c r="E2752"/>
      <c r="F2752"/>
      <c r="G2752"/>
      <c r="H2752"/>
      <c r="I2752"/>
      <c r="J2752"/>
    </row>
    <row r="2753" spans="1:10" s="2" customFormat="1">
      <c r="A2753" s="1"/>
      <c r="E2753"/>
      <c r="F2753"/>
      <c r="G2753"/>
      <c r="H2753"/>
      <c r="I2753"/>
      <c r="J2753"/>
    </row>
    <row r="2754" spans="1:10" s="2" customFormat="1">
      <c r="A2754" s="1"/>
      <c r="E2754"/>
      <c r="F2754"/>
      <c r="G2754"/>
      <c r="H2754"/>
      <c r="I2754"/>
      <c r="J2754"/>
    </row>
    <row r="2755" spans="1:10" s="2" customFormat="1">
      <c r="A2755" s="1"/>
      <c r="E2755"/>
      <c r="F2755"/>
      <c r="G2755"/>
      <c r="H2755"/>
      <c r="I2755"/>
      <c r="J2755"/>
    </row>
    <row r="2756" spans="1:10" s="2" customFormat="1">
      <c r="A2756" s="1"/>
      <c r="E2756"/>
      <c r="F2756"/>
      <c r="G2756"/>
      <c r="H2756"/>
      <c r="I2756"/>
      <c r="J2756"/>
    </row>
    <row r="2757" spans="1:10" s="2" customFormat="1">
      <c r="A2757" s="1"/>
      <c r="E2757"/>
      <c r="F2757"/>
      <c r="G2757"/>
      <c r="H2757"/>
      <c r="I2757"/>
      <c r="J2757"/>
    </row>
    <row r="2758" spans="1:10" s="2" customFormat="1">
      <c r="A2758" s="1"/>
      <c r="E2758"/>
      <c r="F2758"/>
      <c r="G2758"/>
      <c r="H2758"/>
      <c r="I2758"/>
      <c r="J2758"/>
    </row>
    <row r="2759" spans="1:10" s="2" customFormat="1">
      <c r="A2759" s="1"/>
      <c r="E2759"/>
      <c r="F2759"/>
      <c r="G2759"/>
      <c r="H2759"/>
      <c r="I2759"/>
      <c r="J2759"/>
    </row>
    <row r="2760" spans="1:10" s="2" customFormat="1">
      <c r="A2760" s="1"/>
      <c r="E2760"/>
      <c r="F2760"/>
      <c r="G2760"/>
      <c r="H2760"/>
      <c r="I2760"/>
      <c r="J2760"/>
    </row>
    <row r="2761" spans="1:10" s="2" customFormat="1">
      <c r="A2761" s="1"/>
      <c r="E2761"/>
      <c r="F2761"/>
      <c r="G2761"/>
      <c r="H2761"/>
      <c r="I2761"/>
      <c r="J2761"/>
    </row>
    <row r="2762" spans="1:10" s="2" customFormat="1">
      <c r="A2762" s="1"/>
      <c r="E2762"/>
      <c r="F2762"/>
      <c r="G2762"/>
      <c r="H2762"/>
      <c r="I2762"/>
      <c r="J2762"/>
    </row>
    <row r="2763" spans="1:10" s="2" customFormat="1">
      <c r="A2763" s="1"/>
      <c r="E2763"/>
      <c r="F2763"/>
      <c r="G2763"/>
      <c r="H2763"/>
      <c r="I2763"/>
      <c r="J2763"/>
    </row>
    <row r="2764" spans="1:10" s="2" customFormat="1">
      <c r="A2764" s="1"/>
      <c r="E2764"/>
      <c r="F2764"/>
      <c r="G2764"/>
      <c r="H2764"/>
      <c r="I2764"/>
      <c r="J2764"/>
    </row>
    <row r="2765" spans="1:10" s="2" customFormat="1">
      <c r="A2765" s="1"/>
      <c r="E2765"/>
      <c r="F2765"/>
      <c r="G2765"/>
      <c r="H2765"/>
      <c r="I2765"/>
      <c r="J2765"/>
    </row>
    <row r="2766" spans="1:10" s="2" customFormat="1">
      <c r="A2766" s="1"/>
      <c r="E2766"/>
      <c r="F2766"/>
      <c r="G2766"/>
      <c r="H2766"/>
      <c r="I2766"/>
      <c r="J2766"/>
    </row>
    <row r="2767" spans="1:10" s="2" customFormat="1">
      <c r="A2767" s="1"/>
      <c r="E2767"/>
      <c r="F2767"/>
      <c r="G2767"/>
      <c r="H2767"/>
      <c r="I2767"/>
      <c r="J2767"/>
    </row>
    <row r="2768" spans="1:10" s="2" customFormat="1">
      <c r="A2768" s="1"/>
      <c r="E2768"/>
      <c r="F2768"/>
      <c r="G2768"/>
      <c r="H2768"/>
      <c r="I2768"/>
      <c r="J2768"/>
    </row>
    <row r="2769" spans="1:10" s="2" customFormat="1">
      <c r="A2769" s="1"/>
      <c r="E2769"/>
      <c r="F2769"/>
      <c r="G2769"/>
      <c r="H2769"/>
      <c r="I2769"/>
      <c r="J2769"/>
    </row>
    <row r="2770" spans="1:10" s="2" customFormat="1">
      <c r="A2770" s="1"/>
      <c r="E2770"/>
      <c r="F2770"/>
      <c r="G2770"/>
      <c r="H2770"/>
      <c r="I2770"/>
      <c r="J2770"/>
    </row>
    <row r="2771" spans="1:10" s="2" customFormat="1">
      <c r="A2771" s="1"/>
      <c r="E2771"/>
      <c r="F2771"/>
      <c r="G2771"/>
      <c r="H2771"/>
      <c r="I2771"/>
      <c r="J2771"/>
    </row>
    <row r="2772" spans="1:10" s="2" customFormat="1">
      <c r="A2772" s="1"/>
      <c r="E2772"/>
      <c r="F2772"/>
      <c r="G2772"/>
      <c r="H2772"/>
      <c r="I2772"/>
      <c r="J2772"/>
    </row>
    <row r="2773" spans="1:10" s="2" customFormat="1">
      <c r="A2773" s="1"/>
      <c r="E2773"/>
      <c r="F2773"/>
      <c r="G2773"/>
      <c r="H2773"/>
      <c r="I2773"/>
      <c r="J2773"/>
    </row>
    <row r="2774" spans="1:10" s="2" customFormat="1">
      <c r="A2774" s="1"/>
      <c r="E2774"/>
      <c r="F2774"/>
      <c r="G2774"/>
      <c r="H2774"/>
      <c r="I2774"/>
      <c r="J2774"/>
    </row>
    <row r="2775" spans="1:10" s="2" customFormat="1">
      <c r="A2775" s="1"/>
      <c r="E2775"/>
      <c r="F2775"/>
      <c r="G2775"/>
      <c r="H2775"/>
      <c r="I2775"/>
      <c r="J2775"/>
    </row>
    <row r="2776" spans="1:10" s="2" customFormat="1">
      <c r="A2776" s="1"/>
      <c r="E2776"/>
      <c r="F2776"/>
      <c r="G2776"/>
      <c r="H2776"/>
      <c r="I2776"/>
      <c r="J2776"/>
    </row>
    <row r="2777" spans="1:10" s="2" customFormat="1">
      <c r="A2777" s="1"/>
      <c r="E2777"/>
      <c r="F2777"/>
      <c r="G2777"/>
      <c r="H2777"/>
      <c r="I2777"/>
      <c r="J2777"/>
    </row>
    <row r="2778" spans="1:10" s="2" customFormat="1">
      <c r="A2778" s="1"/>
      <c r="E2778"/>
      <c r="F2778"/>
      <c r="G2778"/>
      <c r="H2778"/>
      <c r="I2778"/>
      <c r="J2778"/>
    </row>
    <row r="2779" spans="1:10" s="2" customFormat="1">
      <c r="A2779" s="1"/>
      <c r="E2779"/>
      <c r="F2779"/>
      <c r="G2779"/>
      <c r="H2779"/>
      <c r="I2779"/>
      <c r="J2779"/>
    </row>
    <row r="2780" spans="1:10" s="2" customFormat="1">
      <c r="A2780" s="1"/>
      <c r="E2780"/>
      <c r="F2780"/>
      <c r="G2780"/>
      <c r="H2780"/>
      <c r="I2780"/>
      <c r="J2780"/>
    </row>
    <row r="2781" spans="1:10" s="2" customFormat="1">
      <c r="A2781" s="1"/>
      <c r="E2781"/>
      <c r="F2781"/>
      <c r="G2781"/>
      <c r="H2781"/>
      <c r="I2781"/>
      <c r="J2781"/>
    </row>
    <row r="2782" spans="1:10" s="2" customFormat="1">
      <c r="A2782" s="1"/>
      <c r="E2782"/>
      <c r="F2782"/>
      <c r="G2782"/>
      <c r="H2782"/>
      <c r="I2782"/>
      <c r="J2782"/>
    </row>
    <row r="2783" spans="1:10" s="2" customFormat="1">
      <c r="A2783" s="1"/>
      <c r="E2783"/>
      <c r="F2783"/>
      <c r="G2783"/>
      <c r="H2783"/>
      <c r="I2783"/>
      <c r="J2783"/>
    </row>
    <row r="2784" spans="1:10" s="2" customFormat="1">
      <c r="A2784" s="1"/>
      <c r="E2784"/>
      <c r="F2784"/>
      <c r="G2784"/>
      <c r="H2784"/>
      <c r="I2784"/>
      <c r="J2784"/>
    </row>
    <row r="2785" spans="1:10" s="2" customFormat="1">
      <c r="A2785" s="1"/>
      <c r="E2785"/>
      <c r="F2785"/>
      <c r="G2785"/>
      <c r="H2785"/>
      <c r="I2785"/>
      <c r="J2785"/>
    </row>
    <row r="2786" spans="1:10" s="2" customFormat="1">
      <c r="A2786" s="1"/>
      <c r="E2786"/>
      <c r="F2786"/>
      <c r="G2786"/>
      <c r="H2786"/>
      <c r="I2786"/>
      <c r="J2786"/>
    </row>
    <row r="2787" spans="1:10" s="2" customFormat="1">
      <c r="A2787" s="1"/>
      <c r="E2787"/>
      <c r="F2787"/>
      <c r="G2787"/>
      <c r="H2787"/>
      <c r="I2787"/>
      <c r="J2787"/>
    </row>
    <row r="2788" spans="1:10" s="2" customFormat="1">
      <c r="A2788" s="1"/>
      <c r="E2788"/>
      <c r="F2788"/>
      <c r="G2788"/>
      <c r="H2788"/>
      <c r="I2788"/>
      <c r="J2788"/>
    </row>
    <row r="2789" spans="1:10" s="2" customFormat="1">
      <c r="A2789" s="1"/>
      <c r="E2789"/>
      <c r="F2789"/>
      <c r="G2789"/>
      <c r="H2789"/>
      <c r="I2789"/>
      <c r="J2789"/>
    </row>
    <row r="2790" spans="1:10" s="2" customFormat="1">
      <c r="A2790" s="1"/>
      <c r="E2790"/>
      <c r="F2790"/>
      <c r="G2790"/>
      <c r="H2790"/>
      <c r="I2790"/>
      <c r="J2790"/>
    </row>
    <row r="2791" spans="1:10" s="2" customFormat="1">
      <c r="A2791" s="1"/>
      <c r="E2791"/>
      <c r="F2791"/>
      <c r="G2791"/>
      <c r="H2791"/>
      <c r="I2791"/>
      <c r="J2791"/>
    </row>
    <row r="2792" spans="1:10" s="2" customFormat="1">
      <c r="A2792" s="1"/>
      <c r="E2792"/>
      <c r="F2792"/>
      <c r="G2792"/>
      <c r="H2792"/>
      <c r="I2792"/>
      <c r="J2792"/>
    </row>
    <row r="2793" spans="1:10" s="2" customFormat="1">
      <c r="A2793" s="1"/>
      <c r="E2793"/>
      <c r="F2793"/>
      <c r="G2793"/>
      <c r="H2793"/>
      <c r="I2793"/>
      <c r="J2793"/>
    </row>
    <row r="2794" spans="1:10" s="2" customFormat="1">
      <c r="A2794" s="1"/>
      <c r="E2794"/>
      <c r="F2794"/>
      <c r="G2794"/>
      <c r="H2794"/>
      <c r="I2794"/>
      <c r="J2794"/>
    </row>
    <row r="2795" spans="1:10" s="2" customFormat="1">
      <c r="A2795" s="1"/>
      <c r="E2795"/>
      <c r="F2795"/>
      <c r="G2795"/>
      <c r="H2795"/>
      <c r="I2795"/>
      <c r="J2795"/>
    </row>
    <row r="2796" spans="1:10" s="2" customFormat="1">
      <c r="A2796" s="1"/>
      <c r="E2796"/>
      <c r="F2796"/>
      <c r="G2796"/>
      <c r="H2796"/>
      <c r="I2796"/>
      <c r="J2796"/>
    </row>
    <row r="2797" spans="1:10" s="2" customFormat="1">
      <c r="A2797" s="1"/>
      <c r="E2797"/>
      <c r="F2797"/>
      <c r="G2797"/>
      <c r="H2797"/>
      <c r="I2797"/>
      <c r="J2797"/>
    </row>
    <row r="2798" spans="1:10" s="2" customFormat="1">
      <c r="A2798" s="1"/>
      <c r="E2798"/>
      <c r="F2798"/>
      <c r="G2798"/>
      <c r="H2798"/>
      <c r="I2798"/>
      <c r="J2798"/>
    </row>
    <row r="2799" spans="1:10" s="2" customFormat="1">
      <c r="A2799" s="1"/>
      <c r="E2799"/>
      <c r="F2799"/>
      <c r="G2799"/>
      <c r="H2799"/>
      <c r="I2799"/>
      <c r="J2799"/>
    </row>
    <row r="2800" spans="1:10" s="2" customFormat="1">
      <c r="A2800" s="1"/>
      <c r="E2800"/>
      <c r="F2800"/>
      <c r="G2800"/>
      <c r="H2800"/>
      <c r="I2800"/>
      <c r="J2800"/>
    </row>
    <row r="2801" spans="1:10" s="2" customFormat="1">
      <c r="A2801" s="1"/>
      <c r="E2801"/>
      <c r="F2801"/>
      <c r="G2801"/>
      <c r="H2801"/>
      <c r="I2801"/>
      <c r="J2801"/>
    </row>
    <row r="2802" spans="1:10" s="2" customFormat="1">
      <c r="A2802" s="1"/>
      <c r="E2802"/>
      <c r="F2802"/>
      <c r="G2802"/>
      <c r="H2802"/>
      <c r="I2802"/>
      <c r="J2802"/>
    </row>
    <row r="2803" spans="1:10" s="2" customFormat="1">
      <c r="A2803" s="1"/>
      <c r="E2803"/>
      <c r="F2803"/>
      <c r="G2803"/>
      <c r="H2803"/>
      <c r="I2803"/>
      <c r="J2803"/>
    </row>
    <row r="2804" spans="1:10" s="2" customFormat="1">
      <c r="A2804" s="1"/>
      <c r="E2804"/>
      <c r="F2804"/>
      <c r="G2804"/>
      <c r="H2804"/>
      <c r="I2804"/>
      <c r="J2804"/>
    </row>
    <row r="2805" spans="1:10" s="2" customFormat="1">
      <c r="A2805" s="1"/>
      <c r="E2805"/>
      <c r="F2805"/>
      <c r="G2805"/>
      <c r="H2805"/>
      <c r="I2805"/>
      <c r="J2805"/>
    </row>
    <row r="2806" spans="1:10" s="2" customFormat="1">
      <c r="A2806" s="1"/>
      <c r="E2806"/>
      <c r="F2806"/>
      <c r="G2806"/>
      <c r="H2806"/>
      <c r="I2806"/>
      <c r="J2806"/>
    </row>
    <row r="2807" spans="1:10" s="2" customFormat="1">
      <c r="A2807" s="1"/>
      <c r="E2807"/>
      <c r="F2807"/>
      <c r="G2807"/>
      <c r="H2807"/>
      <c r="I2807"/>
      <c r="J2807"/>
    </row>
    <row r="2808" spans="1:10" s="2" customFormat="1">
      <c r="A2808" s="1"/>
      <c r="E2808"/>
      <c r="F2808"/>
      <c r="G2808"/>
      <c r="H2808"/>
      <c r="I2808"/>
      <c r="J2808"/>
    </row>
    <row r="2809" spans="1:10" s="2" customFormat="1">
      <c r="A2809" s="1"/>
      <c r="E2809"/>
      <c r="F2809"/>
      <c r="G2809"/>
      <c r="H2809"/>
      <c r="I2809"/>
      <c r="J2809"/>
    </row>
    <row r="2810" spans="1:10" s="2" customFormat="1">
      <c r="A2810" s="1"/>
      <c r="E2810"/>
      <c r="F2810"/>
      <c r="G2810"/>
      <c r="H2810"/>
      <c r="I2810"/>
      <c r="J2810"/>
    </row>
    <row r="2811" spans="1:10" s="2" customFormat="1">
      <c r="A2811" s="1"/>
      <c r="E2811"/>
      <c r="F2811"/>
      <c r="G2811"/>
      <c r="H2811"/>
      <c r="I2811"/>
      <c r="J2811"/>
    </row>
    <row r="2812" spans="1:10" s="2" customFormat="1">
      <c r="A2812" s="1"/>
      <c r="E2812"/>
      <c r="F2812"/>
      <c r="G2812"/>
      <c r="H2812"/>
      <c r="I2812"/>
      <c r="J2812"/>
    </row>
    <row r="2813" spans="1:10" s="2" customFormat="1">
      <c r="A2813" s="1"/>
      <c r="E2813"/>
      <c r="F2813"/>
      <c r="G2813"/>
      <c r="H2813"/>
      <c r="I2813"/>
      <c r="J2813"/>
    </row>
    <row r="2814" spans="1:10" s="2" customFormat="1">
      <c r="A2814" s="1"/>
      <c r="E2814"/>
      <c r="F2814"/>
      <c r="G2814"/>
      <c r="H2814"/>
      <c r="I2814"/>
      <c r="J2814"/>
    </row>
    <row r="2815" spans="1:10" s="2" customFormat="1">
      <c r="A2815" s="1"/>
      <c r="E2815"/>
      <c r="F2815"/>
      <c r="G2815"/>
      <c r="H2815"/>
      <c r="I2815"/>
      <c r="J2815"/>
    </row>
    <row r="2816" spans="1:10" s="2" customFormat="1">
      <c r="A2816" s="1"/>
      <c r="E2816"/>
      <c r="F2816"/>
      <c r="G2816"/>
      <c r="H2816"/>
      <c r="I2816"/>
      <c r="J2816"/>
    </row>
    <row r="2817" spans="1:10" s="2" customFormat="1">
      <c r="A2817" s="1"/>
      <c r="E2817"/>
      <c r="F2817"/>
      <c r="G2817"/>
      <c r="H2817"/>
      <c r="I2817"/>
      <c r="J2817"/>
    </row>
    <row r="2818" spans="1:10" s="2" customFormat="1">
      <c r="A2818" s="1"/>
      <c r="E2818"/>
      <c r="F2818"/>
      <c r="G2818"/>
      <c r="H2818"/>
      <c r="I2818"/>
      <c r="J2818"/>
    </row>
    <row r="2819" spans="1:10" s="2" customFormat="1">
      <c r="A2819" s="1"/>
      <c r="E2819"/>
      <c r="F2819"/>
      <c r="G2819"/>
      <c r="H2819"/>
      <c r="I2819"/>
      <c r="J2819"/>
    </row>
    <row r="2820" spans="1:10" s="2" customFormat="1">
      <c r="A2820" s="1"/>
      <c r="E2820"/>
      <c r="F2820"/>
      <c r="G2820"/>
      <c r="H2820"/>
      <c r="I2820"/>
      <c r="J2820"/>
    </row>
    <row r="2821" spans="1:10" s="2" customFormat="1">
      <c r="A2821" s="1"/>
      <c r="E2821"/>
      <c r="F2821"/>
      <c r="G2821"/>
      <c r="H2821"/>
      <c r="I2821"/>
      <c r="J2821"/>
    </row>
    <row r="2822" spans="1:10" s="2" customFormat="1">
      <c r="A2822" s="1"/>
      <c r="E2822"/>
      <c r="F2822"/>
      <c r="G2822"/>
      <c r="H2822"/>
      <c r="I2822"/>
      <c r="J2822"/>
    </row>
    <row r="2823" spans="1:10" s="2" customFormat="1">
      <c r="A2823" s="1"/>
      <c r="E2823"/>
      <c r="F2823"/>
      <c r="G2823"/>
      <c r="H2823"/>
      <c r="I2823"/>
      <c r="J2823"/>
    </row>
    <row r="2824" spans="1:10" s="2" customFormat="1">
      <c r="A2824" s="1"/>
      <c r="E2824"/>
      <c r="F2824"/>
      <c r="G2824"/>
      <c r="H2824"/>
      <c r="I2824"/>
      <c r="J2824"/>
    </row>
    <row r="2825" spans="1:10" s="2" customFormat="1">
      <c r="A2825" s="1"/>
      <c r="E2825"/>
      <c r="F2825"/>
      <c r="G2825"/>
      <c r="H2825"/>
      <c r="I2825"/>
      <c r="J2825"/>
    </row>
    <row r="2826" spans="1:10" s="2" customFormat="1">
      <c r="A2826" s="1"/>
      <c r="E2826"/>
      <c r="F2826"/>
      <c r="G2826"/>
      <c r="H2826"/>
      <c r="I2826"/>
      <c r="J2826"/>
    </row>
    <row r="2827" spans="1:10" s="2" customFormat="1">
      <c r="A2827" s="1"/>
      <c r="E2827"/>
      <c r="F2827"/>
      <c r="G2827"/>
      <c r="H2827"/>
      <c r="I2827"/>
      <c r="J2827"/>
    </row>
    <row r="2828" spans="1:10" s="2" customFormat="1">
      <c r="A2828" s="1"/>
      <c r="E2828"/>
      <c r="F2828"/>
      <c r="G2828"/>
      <c r="H2828"/>
      <c r="I2828"/>
      <c r="J2828"/>
    </row>
    <row r="2829" spans="1:10" s="2" customFormat="1">
      <c r="A2829" s="1"/>
      <c r="E2829"/>
      <c r="F2829"/>
      <c r="G2829"/>
      <c r="H2829"/>
      <c r="I2829"/>
      <c r="J2829"/>
    </row>
    <row r="2830" spans="1:10" s="2" customFormat="1">
      <c r="A2830" s="1"/>
      <c r="E2830"/>
      <c r="F2830"/>
      <c r="G2830"/>
      <c r="H2830"/>
      <c r="I2830"/>
      <c r="J2830"/>
    </row>
    <row r="2831" spans="1:10" s="2" customFormat="1">
      <c r="A2831" s="1"/>
      <c r="E2831"/>
      <c r="F2831"/>
      <c r="G2831"/>
      <c r="H2831"/>
      <c r="I2831"/>
      <c r="J2831"/>
    </row>
    <row r="2832" spans="1:10" s="2" customFormat="1">
      <c r="A2832" s="1"/>
      <c r="E2832"/>
      <c r="F2832"/>
      <c r="G2832"/>
      <c r="H2832"/>
      <c r="I2832"/>
      <c r="J2832"/>
    </row>
    <row r="2833" spans="1:10" s="2" customFormat="1">
      <c r="A2833" s="1"/>
      <c r="E2833"/>
      <c r="F2833"/>
      <c r="G2833"/>
      <c r="H2833"/>
      <c r="I2833"/>
      <c r="J2833"/>
    </row>
    <row r="2834" spans="1:10" s="2" customFormat="1">
      <c r="A2834" s="1"/>
      <c r="E2834"/>
      <c r="F2834"/>
      <c r="G2834"/>
      <c r="H2834"/>
      <c r="I2834"/>
      <c r="J2834"/>
    </row>
    <row r="2835" spans="1:10" s="2" customFormat="1">
      <c r="A2835" s="1"/>
      <c r="E2835"/>
      <c r="F2835"/>
      <c r="G2835"/>
      <c r="H2835"/>
      <c r="I2835"/>
      <c r="J2835"/>
    </row>
    <row r="2836" spans="1:10" s="2" customFormat="1">
      <c r="A2836" s="1"/>
      <c r="E2836"/>
      <c r="F2836"/>
      <c r="G2836"/>
      <c r="H2836"/>
      <c r="I2836"/>
      <c r="J2836"/>
    </row>
    <row r="2837" spans="1:10" s="2" customFormat="1">
      <c r="A2837" s="1"/>
      <c r="E2837"/>
      <c r="F2837"/>
      <c r="G2837"/>
      <c r="H2837"/>
      <c r="I2837"/>
      <c r="J2837"/>
    </row>
    <row r="2838" spans="1:10" s="2" customFormat="1">
      <c r="A2838" s="1"/>
      <c r="E2838"/>
      <c r="F2838"/>
      <c r="G2838"/>
      <c r="H2838"/>
      <c r="I2838"/>
      <c r="J2838"/>
    </row>
    <row r="2839" spans="1:10" s="2" customFormat="1">
      <c r="A2839" s="1"/>
      <c r="E2839"/>
      <c r="F2839"/>
      <c r="G2839"/>
      <c r="H2839"/>
      <c r="I2839"/>
      <c r="J2839"/>
    </row>
    <row r="2840" spans="1:10" s="2" customFormat="1">
      <c r="A2840" s="1"/>
      <c r="E2840"/>
      <c r="F2840"/>
      <c r="G2840"/>
      <c r="H2840"/>
      <c r="I2840"/>
      <c r="J2840"/>
    </row>
    <row r="2841" spans="1:10" s="2" customFormat="1">
      <c r="A2841" s="1"/>
      <c r="E2841"/>
      <c r="F2841"/>
      <c r="G2841"/>
      <c r="H2841"/>
      <c r="I2841"/>
      <c r="J2841"/>
    </row>
    <row r="2842" spans="1:10" s="2" customFormat="1">
      <c r="A2842" s="1"/>
      <c r="E2842"/>
      <c r="F2842"/>
      <c r="G2842"/>
      <c r="H2842"/>
      <c r="I2842"/>
      <c r="J2842"/>
    </row>
    <row r="2843" spans="1:10" s="2" customFormat="1">
      <c r="A2843" s="1"/>
      <c r="E2843"/>
      <c r="F2843"/>
      <c r="G2843"/>
      <c r="H2843"/>
      <c r="I2843"/>
      <c r="J2843"/>
    </row>
    <row r="2844" spans="1:10" s="2" customFormat="1">
      <c r="A2844" s="1"/>
      <c r="E2844"/>
      <c r="F2844"/>
      <c r="G2844"/>
      <c r="H2844"/>
      <c r="I2844"/>
      <c r="J2844"/>
    </row>
    <row r="2845" spans="1:10" s="2" customFormat="1">
      <c r="A2845" s="1"/>
      <c r="E2845"/>
      <c r="F2845"/>
      <c r="G2845"/>
      <c r="H2845"/>
      <c r="I2845"/>
      <c r="J2845"/>
    </row>
    <row r="2846" spans="1:10" s="2" customFormat="1">
      <c r="A2846" s="1"/>
      <c r="E2846"/>
      <c r="F2846"/>
      <c r="G2846"/>
      <c r="H2846"/>
      <c r="I2846"/>
      <c r="J2846"/>
    </row>
    <row r="2847" spans="1:10" s="2" customFormat="1">
      <c r="A2847" s="1"/>
      <c r="E2847"/>
      <c r="F2847"/>
      <c r="G2847"/>
      <c r="H2847"/>
      <c r="I2847"/>
      <c r="J2847"/>
    </row>
    <row r="2848" spans="1:10" s="2" customFormat="1">
      <c r="A2848" s="1"/>
      <c r="E2848"/>
      <c r="F2848"/>
      <c r="G2848"/>
      <c r="H2848"/>
      <c r="I2848"/>
      <c r="J2848"/>
    </row>
    <row r="2849" spans="1:10" s="2" customFormat="1">
      <c r="A2849" s="1"/>
      <c r="E2849"/>
      <c r="F2849"/>
      <c r="G2849"/>
      <c r="H2849"/>
      <c r="I2849"/>
      <c r="J2849"/>
    </row>
    <row r="2850" spans="1:10" s="2" customFormat="1">
      <c r="A2850" s="1"/>
      <c r="E2850"/>
      <c r="F2850"/>
      <c r="G2850"/>
      <c r="H2850"/>
      <c r="I2850"/>
      <c r="J2850"/>
    </row>
    <row r="2851" spans="1:10" s="2" customFormat="1">
      <c r="A2851" s="1"/>
      <c r="E2851"/>
      <c r="F2851"/>
      <c r="G2851"/>
      <c r="H2851"/>
      <c r="I2851"/>
      <c r="J2851"/>
    </row>
    <row r="2852" spans="1:10" s="2" customFormat="1">
      <c r="A2852" s="1"/>
      <c r="E2852"/>
      <c r="F2852"/>
      <c r="G2852"/>
      <c r="H2852"/>
      <c r="I2852"/>
      <c r="J2852"/>
    </row>
    <row r="2853" spans="1:10" s="2" customFormat="1">
      <c r="A2853" s="1"/>
      <c r="E2853"/>
      <c r="F2853"/>
      <c r="G2853"/>
      <c r="H2853"/>
      <c r="I2853"/>
      <c r="J2853"/>
    </row>
    <row r="2854" spans="1:10" s="2" customFormat="1">
      <c r="A2854" s="1"/>
      <c r="E2854"/>
      <c r="F2854"/>
      <c r="G2854"/>
      <c r="H2854"/>
      <c r="I2854"/>
      <c r="J2854"/>
    </row>
    <row r="2855" spans="1:10" s="2" customFormat="1">
      <c r="A2855" s="1"/>
      <c r="E2855"/>
      <c r="F2855"/>
      <c r="G2855"/>
      <c r="H2855"/>
      <c r="I2855"/>
      <c r="J2855"/>
    </row>
    <row r="2856" spans="1:10" s="2" customFormat="1">
      <c r="A2856" s="1"/>
      <c r="E2856"/>
      <c r="F2856"/>
      <c r="G2856"/>
      <c r="H2856"/>
      <c r="I2856"/>
      <c r="J2856"/>
    </row>
    <row r="2857" spans="1:10" s="2" customFormat="1">
      <c r="A2857" s="1"/>
      <c r="E2857"/>
      <c r="F2857"/>
      <c r="G2857"/>
      <c r="H2857"/>
      <c r="I2857"/>
      <c r="J2857"/>
    </row>
    <row r="2858" spans="1:10" s="2" customFormat="1">
      <c r="A2858" s="1"/>
      <c r="E2858"/>
      <c r="F2858"/>
      <c r="G2858"/>
      <c r="H2858"/>
      <c r="I2858"/>
      <c r="J2858"/>
    </row>
    <row r="2859" spans="1:10" s="2" customFormat="1">
      <c r="A2859" s="1"/>
      <c r="E2859"/>
      <c r="F2859"/>
      <c r="G2859"/>
      <c r="H2859"/>
      <c r="I2859"/>
      <c r="J2859"/>
    </row>
    <row r="2860" spans="1:10" s="2" customFormat="1">
      <c r="A2860" s="1"/>
      <c r="E2860"/>
      <c r="F2860"/>
      <c r="G2860"/>
      <c r="H2860"/>
      <c r="I2860"/>
      <c r="J2860"/>
    </row>
    <row r="2861" spans="1:10" s="2" customFormat="1">
      <c r="A2861" s="1"/>
      <c r="E2861"/>
      <c r="F2861"/>
      <c r="G2861"/>
      <c r="H2861"/>
      <c r="I2861"/>
      <c r="J2861"/>
    </row>
    <row r="2862" spans="1:10" s="2" customFormat="1">
      <c r="A2862" s="1"/>
      <c r="E2862"/>
      <c r="F2862"/>
      <c r="G2862"/>
      <c r="H2862"/>
      <c r="I2862"/>
      <c r="J2862"/>
    </row>
    <row r="2863" spans="1:10" s="2" customFormat="1">
      <c r="A2863" s="1"/>
      <c r="E2863"/>
      <c r="F2863"/>
      <c r="G2863"/>
      <c r="H2863"/>
      <c r="I2863"/>
      <c r="J2863"/>
    </row>
    <row r="2864" spans="1:10" s="2" customFormat="1">
      <c r="A2864" s="1"/>
      <c r="E2864"/>
      <c r="F2864"/>
      <c r="G2864"/>
      <c r="H2864"/>
      <c r="I2864"/>
      <c r="J2864"/>
    </row>
    <row r="2865" spans="1:10" s="2" customFormat="1">
      <c r="A2865" s="1"/>
      <c r="E2865"/>
      <c r="F2865"/>
      <c r="G2865"/>
      <c r="H2865"/>
      <c r="I2865"/>
      <c r="J2865"/>
    </row>
    <row r="2866" spans="1:10" s="2" customFormat="1">
      <c r="A2866" s="1"/>
      <c r="E2866"/>
      <c r="F2866"/>
      <c r="G2866"/>
      <c r="H2866"/>
      <c r="I2866"/>
      <c r="J2866"/>
    </row>
    <row r="2867" spans="1:10" s="2" customFormat="1">
      <c r="A2867" s="1"/>
      <c r="E2867"/>
      <c r="F2867"/>
      <c r="G2867"/>
      <c r="H2867"/>
      <c r="I2867"/>
      <c r="J2867"/>
    </row>
    <row r="2868" spans="1:10" s="2" customFormat="1">
      <c r="A2868" s="1"/>
      <c r="E2868"/>
      <c r="F2868"/>
      <c r="G2868"/>
      <c r="H2868"/>
      <c r="I2868"/>
      <c r="J2868"/>
    </row>
    <row r="2869" spans="1:10" s="2" customFormat="1">
      <c r="A2869" s="1"/>
      <c r="E2869"/>
      <c r="F2869"/>
      <c r="G2869"/>
      <c r="H2869"/>
      <c r="I2869"/>
      <c r="J2869"/>
    </row>
    <row r="2870" spans="1:10" s="2" customFormat="1">
      <c r="A2870" s="1"/>
      <c r="E2870"/>
      <c r="F2870"/>
      <c r="G2870"/>
      <c r="H2870"/>
      <c r="I2870"/>
      <c r="J2870"/>
    </row>
    <row r="2871" spans="1:10" s="2" customFormat="1">
      <c r="A2871" s="1"/>
      <c r="E2871"/>
      <c r="F2871"/>
      <c r="G2871"/>
      <c r="H2871"/>
      <c r="I2871"/>
      <c r="J2871"/>
    </row>
    <row r="2872" spans="1:10" s="2" customFormat="1">
      <c r="A2872" s="1"/>
      <c r="E2872"/>
      <c r="F2872"/>
      <c r="G2872"/>
      <c r="H2872"/>
      <c r="I2872"/>
      <c r="J2872"/>
    </row>
    <row r="2873" spans="1:10" s="2" customFormat="1">
      <c r="A2873" s="1"/>
      <c r="E2873"/>
      <c r="F2873"/>
      <c r="G2873"/>
      <c r="H2873"/>
      <c r="I2873"/>
      <c r="J2873"/>
    </row>
    <row r="2874" spans="1:10" s="2" customFormat="1">
      <c r="A2874" s="1"/>
      <c r="E2874"/>
      <c r="F2874"/>
      <c r="G2874"/>
      <c r="H2874"/>
      <c r="I2874"/>
      <c r="J2874"/>
    </row>
    <row r="2875" spans="1:10" s="2" customFormat="1">
      <c r="A2875" s="1"/>
      <c r="E2875"/>
      <c r="F2875"/>
      <c r="G2875"/>
      <c r="H2875"/>
      <c r="I2875"/>
      <c r="J2875"/>
    </row>
    <row r="2876" spans="1:10" s="2" customFormat="1">
      <c r="A2876" s="1"/>
      <c r="E2876"/>
      <c r="F2876"/>
      <c r="G2876"/>
      <c r="H2876"/>
      <c r="I2876"/>
      <c r="J2876"/>
    </row>
    <row r="2877" spans="1:10" s="2" customFormat="1">
      <c r="A2877" s="1"/>
      <c r="E2877"/>
      <c r="F2877"/>
      <c r="G2877"/>
      <c r="H2877"/>
      <c r="I2877"/>
      <c r="J2877"/>
    </row>
    <row r="2878" spans="1:10" s="2" customFormat="1">
      <c r="A2878" s="1"/>
      <c r="E2878"/>
      <c r="F2878"/>
      <c r="G2878"/>
      <c r="H2878"/>
      <c r="I2878"/>
      <c r="J2878"/>
    </row>
    <row r="2879" spans="1:10" s="2" customFormat="1">
      <c r="A2879" s="1"/>
      <c r="E2879"/>
      <c r="F2879"/>
      <c r="G2879"/>
      <c r="H2879"/>
      <c r="I2879"/>
      <c r="J2879"/>
    </row>
    <row r="2880" spans="1:10" s="2" customFormat="1">
      <c r="A2880" s="1"/>
      <c r="E2880"/>
      <c r="F2880"/>
      <c r="G2880"/>
      <c r="H2880"/>
      <c r="I2880"/>
      <c r="J2880"/>
    </row>
    <row r="2881" spans="1:10" s="2" customFormat="1">
      <c r="A2881" s="1"/>
      <c r="E2881"/>
      <c r="F2881"/>
      <c r="G2881"/>
      <c r="H2881"/>
      <c r="I2881"/>
      <c r="J2881"/>
    </row>
    <row r="2882" spans="1:10" s="2" customFormat="1">
      <c r="A2882" s="1"/>
      <c r="E2882"/>
      <c r="F2882"/>
      <c r="G2882"/>
      <c r="H2882"/>
      <c r="I2882"/>
      <c r="J2882"/>
    </row>
    <row r="2883" spans="1:10" s="2" customFormat="1">
      <c r="A2883" s="1"/>
      <c r="E2883"/>
      <c r="F2883"/>
      <c r="G2883"/>
      <c r="H2883"/>
      <c r="I2883"/>
      <c r="J2883"/>
    </row>
    <row r="2884" spans="1:10" s="2" customFormat="1">
      <c r="A2884" s="1"/>
      <c r="E2884"/>
      <c r="F2884"/>
      <c r="G2884"/>
      <c r="H2884"/>
      <c r="I2884"/>
      <c r="J2884"/>
    </row>
    <row r="2885" spans="1:10" s="2" customFormat="1">
      <c r="A2885" s="1"/>
      <c r="E2885"/>
      <c r="F2885"/>
      <c r="G2885"/>
      <c r="H2885"/>
      <c r="I2885"/>
      <c r="J2885"/>
    </row>
    <row r="2886" spans="1:10" s="2" customFormat="1">
      <c r="A2886" s="1"/>
      <c r="E2886"/>
      <c r="F2886"/>
      <c r="G2886"/>
      <c r="H2886"/>
      <c r="I2886"/>
      <c r="J2886"/>
    </row>
    <row r="2887" spans="1:10" s="2" customFormat="1">
      <c r="A2887" s="1"/>
      <c r="E2887"/>
      <c r="F2887"/>
      <c r="G2887"/>
      <c r="H2887"/>
      <c r="I2887"/>
      <c r="J2887"/>
    </row>
    <row r="2888" spans="1:10" s="2" customFormat="1">
      <c r="A2888" s="1"/>
      <c r="E2888"/>
      <c r="F2888"/>
      <c r="G2888"/>
      <c r="H2888"/>
      <c r="I2888"/>
      <c r="J2888"/>
    </row>
    <row r="2889" spans="1:10" s="2" customFormat="1">
      <c r="A2889" s="1"/>
      <c r="E2889"/>
      <c r="F2889"/>
      <c r="G2889"/>
      <c r="H2889"/>
      <c r="I2889"/>
      <c r="J2889"/>
    </row>
    <row r="2890" spans="1:10" s="2" customFormat="1">
      <c r="A2890" s="1"/>
      <c r="E2890"/>
      <c r="F2890"/>
      <c r="G2890"/>
      <c r="H2890"/>
      <c r="I2890"/>
      <c r="J2890"/>
    </row>
    <row r="2891" spans="1:10" s="2" customFormat="1">
      <c r="A2891" s="1"/>
      <c r="E2891"/>
      <c r="F2891"/>
      <c r="G2891"/>
      <c r="H2891"/>
      <c r="I2891"/>
      <c r="J2891"/>
    </row>
    <row r="2892" spans="1:10" s="2" customFormat="1">
      <c r="A2892" s="1"/>
      <c r="E2892"/>
      <c r="F2892"/>
      <c r="G2892"/>
      <c r="H2892"/>
      <c r="I2892"/>
      <c r="J2892"/>
    </row>
    <row r="2893" spans="1:10" s="2" customFormat="1">
      <c r="A2893" s="1"/>
      <c r="E2893"/>
      <c r="F2893"/>
      <c r="G2893"/>
      <c r="H2893"/>
      <c r="I2893"/>
      <c r="J2893"/>
    </row>
    <row r="2894" spans="1:10" s="2" customFormat="1">
      <c r="A2894" s="1"/>
      <c r="E2894"/>
      <c r="F2894"/>
      <c r="G2894"/>
      <c r="H2894"/>
      <c r="I2894"/>
      <c r="J2894"/>
    </row>
    <row r="2895" spans="1:10" s="2" customFormat="1">
      <c r="A2895" s="1"/>
      <c r="E2895"/>
      <c r="F2895"/>
      <c r="G2895"/>
      <c r="H2895"/>
      <c r="I2895"/>
      <c r="J2895"/>
    </row>
    <row r="2896" spans="1:10" s="2" customFormat="1">
      <c r="A2896" s="1"/>
      <c r="E2896"/>
      <c r="F2896"/>
      <c r="G2896"/>
      <c r="H2896"/>
      <c r="I2896"/>
      <c r="J2896"/>
    </row>
    <row r="2897" spans="1:10" s="2" customFormat="1">
      <c r="A2897" s="1"/>
      <c r="E2897"/>
      <c r="F2897"/>
      <c r="G2897"/>
      <c r="H2897"/>
      <c r="I2897"/>
      <c r="J2897"/>
    </row>
    <row r="2898" spans="1:10" s="2" customFormat="1">
      <c r="A2898" s="1"/>
      <c r="E2898"/>
      <c r="F2898"/>
      <c r="G2898"/>
      <c r="H2898"/>
      <c r="I2898"/>
      <c r="J2898"/>
    </row>
    <row r="2899" spans="1:10" s="2" customFormat="1">
      <c r="A2899" s="1"/>
      <c r="E2899"/>
      <c r="F2899"/>
      <c r="G2899"/>
      <c r="H2899"/>
      <c r="I2899"/>
      <c r="J2899"/>
    </row>
    <row r="2900" spans="1:10" s="2" customFormat="1">
      <c r="A2900" s="1"/>
      <c r="E2900"/>
      <c r="F2900"/>
      <c r="G2900"/>
      <c r="H2900"/>
      <c r="I2900"/>
      <c r="J2900"/>
    </row>
    <row r="2901" spans="1:10" s="2" customFormat="1">
      <c r="A2901" s="1"/>
      <c r="E2901"/>
      <c r="F2901"/>
      <c r="G2901"/>
      <c r="H2901"/>
      <c r="I2901"/>
      <c r="J2901"/>
    </row>
    <row r="2902" spans="1:10" s="2" customFormat="1">
      <c r="A2902" s="1"/>
      <c r="E2902"/>
      <c r="F2902"/>
      <c r="G2902"/>
      <c r="H2902"/>
      <c r="I2902"/>
      <c r="J2902"/>
    </row>
    <row r="2903" spans="1:10" s="2" customFormat="1">
      <c r="A2903" s="1"/>
      <c r="E2903"/>
      <c r="F2903"/>
      <c r="G2903"/>
      <c r="H2903"/>
      <c r="I2903"/>
      <c r="J2903"/>
    </row>
    <row r="2904" spans="1:10" s="2" customFormat="1">
      <c r="A2904" s="1"/>
      <c r="E2904"/>
      <c r="F2904"/>
      <c r="G2904"/>
      <c r="H2904"/>
      <c r="I2904"/>
      <c r="J2904"/>
    </row>
    <row r="2905" spans="1:10" s="2" customFormat="1">
      <c r="A2905" s="1"/>
      <c r="E2905"/>
      <c r="F2905"/>
      <c r="G2905"/>
      <c r="H2905"/>
      <c r="I2905"/>
      <c r="J2905"/>
    </row>
    <row r="2906" spans="1:10" s="2" customFormat="1">
      <c r="A2906" s="1"/>
      <c r="E2906"/>
      <c r="F2906"/>
      <c r="G2906"/>
      <c r="H2906"/>
      <c r="I2906"/>
      <c r="J2906"/>
    </row>
    <row r="2907" spans="1:10" s="2" customFormat="1">
      <c r="A2907" s="1"/>
      <c r="E2907"/>
      <c r="F2907"/>
      <c r="G2907"/>
      <c r="H2907"/>
      <c r="I2907"/>
      <c r="J2907"/>
    </row>
    <row r="2908" spans="1:10" s="2" customFormat="1">
      <c r="A2908" s="1"/>
      <c r="E2908"/>
      <c r="F2908"/>
      <c r="G2908"/>
      <c r="H2908"/>
      <c r="I2908"/>
      <c r="J2908"/>
    </row>
    <row r="2909" spans="1:10" s="2" customFormat="1">
      <c r="A2909" s="1"/>
      <c r="E2909"/>
      <c r="F2909"/>
      <c r="G2909"/>
      <c r="H2909"/>
      <c r="I2909"/>
      <c r="J2909"/>
    </row>
    <row r="2910" spans="1:10" s="2" customFormat="1">
      <c r="A2910" s="1"/>
      <c r="E2910"/>
      <c r="F2910"/>
      <c r="G2910"/>
      <c r="H2910"/>
      <c r="I2910"/>
      <c r="J2910"/>
    </row>
    <row r="2911" spans="1:10" s="2" customFormat="1">
      <c r="A2911" s="1"/>
      <c r="E2911"/>
      <c r="F2911"/>
      <c r="G2911"/>
      <c r="H2911"/>
      <c r="I2911"/>
      <c r="J2911"/>
    </row>
    <row r="2912" spans="1:10" s="2" customFormat="1">
      <c r="A2912" s="1"/>
      <c r="E2912"/>
      <c r="F2912"/>
      <c r="G2912"/>
      <c r="H2912"/>
      <c r="I2912"/>
      <c r="J2912"/>
    </row>
    <row r="2913" spans="1:10" s="2" customFormat="1">
      <c r="A2913" s="1"/>
      <c r="E2913"/>
      <c r="F2913"/>
      <c r="G2913"/>
      <c r="H2913"/>
      <c r="I2913"/>
      <c r="J2913"/>
    </row>
    <row r="2914" spans="1:10" s="2" customFormat="1">
      <c r="A2914" s="1"/>
      <c r="E2914"/>
      <c r="F2914"/>
      <c r="G2914"/>
      <c r="H2914"/>
      <c r="I2914"/>
      <c r="J2914"/>
    </row>
    <row r="2915" spans="1:10" s="2" customFormat="1">
      <c r="A2915" s="1"/>
      <c r="E2915"/>
      <c r="F2915"/>
      <c r="G2915"/>
      <c r="H2915"/>
      <c r="I2915"/>
      <c r="J2915"/>
    </row>
    <row r="2916" spans="1:10" s="2" customFormat="1">
      <c r="A2916" s="1"/>
      <c r="E2916"/>
      <c r="F2916"/>
      <c r="G2916"/>
      <c r="H2916"/>
      <c r="I2916"/>
      <c r="J2916"/>
    </row>
    <row r="2917" spans="1:10" s="2" customFormat="1">
      <c r="A2917" s="1"/>
      <c r="E2917"/>
      <c r="F2917"/>
      <c r="G2917"/>
      <c r="H2917"/>
      <c r="I2917"/>
      <c r="J2917"/>
    </row>
    <row r="2918" spans="1:10" s="2" customFormat="1">
      <c r="A2918" s="1"/>
      <c r="E2918"/>
      <c r="F2918"/>
      <c r="G2918"/>
      <c r="H2918"/>
      <c r="I2918"/>
      <c r="J2918"/>
    </row>
    <row r="2919" spans="1:10" s="2" customFormat="1">
      <c r="A2919" s="1"/>
      <c r="E2919"/>
      <c r="F2919"/>
      <c r="G2919"/>
      <c r="H2919"/>
      <c r="I2919"/>
      <c r="J2919"/>
    </row>
    <row r="2920" spans="1:10" s="2" customFormat="1">
      <c r="A2920" s="1"/>
      <c r="E2920"/>
      <c r="F2920"/>
      <c r="G2920"/>
      <c r="H2920"/>
      <c r="I2920"/>
      <c r="J2920"/>
    </row>
    <row r="2921" spans="1:10" s="2" customFormat="1">
      <c r="A2921" s="1"/>
      <c r="E2921"/>
      <c r="F2921"/>
      <c r="G2921"/>
      <c r="H2921"/>
      <c r="I2921"/>
      <c r="J2921"/>
    </row>
    <row r="2922" spans="1:10" s="2" customFormat="1">
      <c r="A2922" s="1"/>
      <c r="E2922"/>
      <c r="F2922"/>
      <c r="G2922"/>
      <c r="H2922"/>
      <c r="I2922"/>
      <c r="J2922"/>
    </row>
    <row r="2923" spans="1:10" s="2" customFormat="1">
      <c r="A2923" s="1"/>
      <c r="E2923"/>
      <c r="F2923"/>
      <c r="G2923"/>
      <c r="H2923"/>
      <c r="I2923"/>
      <c r="J2923"/>
    </row>
    <row r="2924" spans="1:10" s="2" customFormat="1">
      <c r="A2924" s="1"/>
      <c r="E2924"/>
      <c r="F2924"/>
      <c r="G2924"/>
      <c r="H2924"/>
      <c r="I2924"/>
      <c r="J2924"/>
    </row>
    <row r="2925" spans="1:10" s="2" customFormat="1">
      <c r="A2925" s="1"/>
      <c r="E2925"/>
      <c r="F2925"/>
      <c r="G2925"/>
      <c r="H2925"/>
      <c r="I2925"/>
      <c r="J2925"/>
    </row>
    <row r="2926" spans="1:10" s="2" customFormat="1">
      <c r="A2926" s="1"/>
      <c r="E2926"/>
      <c r="F2926"/>
      <c r="G2926"/>
      <c r="H2926"/>
      <c r="I2926"/>
      <c r="J2926"/>
    </row>
    <row r="2927" spans="1:10" s="2" customFormat="1">
      <c r="A2927" s="1"/>
      <c r="E2927"/>
      <c r="F2927"/>
      <c r="G2927"/>
      <c r="H2927"/>
      <c r="I2927"/>
      <c r="J2927"/>
    </row>
    <row r="2928" spans="1:10" s="2" customFormat="1">
      <c r="A2928" s="1"/>
      <c r="E2928"/>
      <c r="F2928"/>
      <c r="G2928"/>
      <c r="H2928"/>
      <c r="I2928"/>
      <c r="J2928"/>
    </row>
    <row r="2929" spans="1:10" s="2" customFormat="1">
      <c r="A2929" s="1"/>
      <c r="E2929"/>
      <c r="F2929"/>
      <c r="G2929"/>
      <c r="H2929"/>
      <c r="I2929"/>
      <c r="J2929"/>
    </row>
    <row r="2930" spans="1:10" s="2" customFormat="1">
      <c r="A2930" s="1"/>
      <c r="E2930"/>
      <c r="F2930"/>
      <c r="G2930"/>
      <c r="H2930"/>
      <c r="I2930"/>
      <c r="J2930"/>
    </row>
    <row r="2931" spans="1:10" s="2" customFormat="1">
      <c r="A2931" s="1"/>
      <c r="E2931"/>
      <c r="F2931"/>
      <c r="G2931"/>
      <c r="H2931"/>
      <c r="I2931"/>
      <c r="J2931"/>
    </row>
    <row r="2932" spans="1:10" s="2" customFormat="1">
      <c r="A2932" s="1"/>
      <c r="E2932"/>
      <c r="F2932"/>
      <c r="G2932"/>
      <c r="H2932"/>
      <c r="I2932"/>
      <c r="J2932"/>
    </row>
    <row r="2933" spans="1:10" s="2" customFormat="1">
      <c r="A2933" s="1"/>
      <c r="E2933"/>
      <c r="F2933"/>
      <c r="G2933"/>
      <c r="H2933"/>
      <c r="I2933"/>
      <c r="J2933"/>
    </row>
    <row r="2934" spans="1:10" s="2" customFormat="1">
      <c r="A2934" s="1"/>
      <c r="E2934"/>
      <c r="F2934"/>
      <c r="G2934"/>
      <c r="H2934"/>
      <c r="I2934"/>
      <c r="J2934"/>
    </row>
    <row r="2935" spans="1:10" s="2" customFormat="1">
      <c r="A2935" s="1"/>
      <c r="E2935"/>
      <c r="F2935"/>
      <c r="G2935"/>
      <c r="H2935"/>
      <c r="I2935"/>
      <c r="J2935"/>
    </row>
    <row r="2936" spans="1:10" s="2" customFormat="1">
      <c r="A2936" s="1"/>
      <c r="E2936"/>
      <c r="F2936"/>
      <c r="G2936"/>
      <c r="H2936"/>
      <c r="I2936"/>
      <c r="J2936"/>
    </row>
    <row r="2937" spans="1:10" s="2" customFormat="1">
      <c r="A2937" s="1"/>
      <c r="E2937"/>
      <c r="F2937"/>
      <c r="G2937"/>
      <c r="H2937"/>
      <c r="I2937"/>
      <c r="J2937"/>
    </row>
    <row r="2938" spans="1:10" s="2" customFormat="1">
      <c r="A2938" s="1"/>
      <c r="E2938"/>
      <c r="F2938"/>
      <c r="G2938"/>
      <c r="H2938"/>
      <c r="I2938"/>
      <c r="J2938"/>
    </row>
    <row r="2939" spans="1:10" s="2" customFormat="1">
      <c r="A2939" s="1"/>
      <c r="E2939"/>
      <c r="F2939"/>
      <c r="G2939"/>
      <c r="H2939"/>
      <c r="I2939"/>
      <c r="J2939"/>
    </row>
    <row r="2940" spans="1:10" s="2" customFormat="1">
      <c r="A2940" s="1"/>
      <c r="E2940"/>
      <c r="F2940"/>
      <c r="G2940"/>
      <c r="H2940"/>
      <c r="I2940"/>
      <c r="J2940"/>
    </row>
    <row r="2941" spans="1:10" s="2" customFormat="1">
      <c r="A2941" s="1"/>
      <c r="E2941"/>
      <c r="F2941"/>
      <c r="G2941"/>
      <c r="H2941"/>
      <c r="I2941"/>
      <c r="J2941"/>
    </row>
    <row r="2942" spans="1:10" s="2" customFormat="1">
      <c r="A2942" s="1"/>
      <c r="E2942"/>
      <c r="F2942"/>
      <c r="G2942"/>
      <c r="H2942"/>
      <c r="I2942"/>
      <c r="J2942"/>
    </row>
    <row r="2943" spans="1:10" s="2" customFormat="1">
      <c r="A2943" s="1"/>
      <c r="E2943"/>
      <c r="F2943"/>
      <c r="G2943"/>
      <c r="H2943"/>
      <c r="I2943"/>
      <c r="J2943"/>
    </row>
    <row r="2944" spans="1:10" s="2" customFormat="1">
      <c r="A2944" s="1"/>
      <c r="E2944"/>
      <c r="F2944"/>
      <c r="G2944"/>
      <c r="H2944"/>
      <c r="I2944"/>
      <c r="J2944"/>
    </row>
    <row r="2945" spans="1:10" s="2" customFormat="1">
      <c r="A2945" s="1"/>
      <c r="E2945"/>
      <c r="F2945"/>
      <c r="G2945"/>
      <c r="H2945"/>
      <c r="I2945"/>
      <c r="J2945"/>
    </row>
    <row r="2946" spans="1:10" s="2" customFormat="1">
      <c r="A2946" s="1"/>
      <c r="E2946"/>
      <c r="F2946"/>
      <c r="G2946"/>
      <c r="H2946"/>
      <c r="I2946"/>
      <c r="J2946"/>
    </row>
    <row r="2947" spans="1:10" s="2" customFormat="1">
      <c r="A2947" s="1"/>
      <c r="E2947"/>
      <c r="F2947"/>
      <c r="G2947"/>
      <c r="H2947"/>
      <c r="I2947"/>
      <c r="J2947"/>
    </row>
    <row r="2948" spans="1:10" s="2" customFormat="1">
      <c r="A2948" s="1"/>
      <c r="E2948"/>
      <c r="F2948"/>
      <c r="G2948"/>
      <c r="H2948"/>
      <c r="I2948"/>
      <c r="J2948"/>
    </row>
    <row r="2949" spans="1:10" s="2" customFormat="1">
      <c r="A2949" s="1"/>
      <c r="E2949"/>
      <c r="F2949"/>
      <c r="G2949"/>
      <c r="H2949"/>
      <c r="I2949"/>
      <c r="J2949"/>
    </row>
    <row r="2950" spans="1:10" s="2" customFormat="1">
      <c r="A2950" s="1"/>
      <c r="E2950"/>
      <c r="F2950"/>
      <c r="G2950"/>
      <c r="H2950"/>
      <c r="I2950"/>
      <c r="J2950"/>
    </row>
    <row r="2951" spans="1:10" s="2" customFormat="1">
      <c r="A2951" s="1"/>
      <c r="E2951"/>
      <c r="F2951"/>
      <c r="G2951"/>
      <c r="H2951"/>
      <c r="I2951"/>
      <c r="J2951"/>
    </row>
    <row r="2952" spans="1:10" s="2" customFormat="1">
      <c r="A2952" s="1"/>
      <c r="E2952"/>
      <c r="F2952"/>
      <c r="G2952"/>
      <c r="H2952"/>
      <c r="I2952"/>
      <c r="J2952"/>
    </row>
    <row r="2953" spans="1:10" s="2" customFormat="1">
      <c r="A2953" s="1"/>
      <c r="E2953"/>
      <c r="F2953"/>
      <c r="G2953"/>
      <c r="H2953"/>
      <c r="I2953"/>
      <c r="J2953"/>
    </row>
    <row r="2954" spans="1:10" s="2" customFormat="1">
      <c r="A2954" s="1"/>
      <c r="E2954"/>
      <c r="F2954"/>
      <c r="G2954"/>
      <c r="H2954"/>
      <c r="I2954"/>
      <c r="J2954"/>
    </row>
    <row r="2955" spans="1:10" s="2" customFormat="1">
      <c r="A2955" s="1"/>
      <c r="E2955"/>
      <c r="F2955"/>
      <c r="G2955"/>
      <c r="H2955"/>
      <c r="I2955"/>
      <c r="J2955"/>
    </row>
    <row r="2956" spans="1:10" s="2" customFormat="1">
      <c r="A2956" s="1"/>
      <c r="E2956"/>
      <c r="F2956"/>
      <c r="G2956"/>
      <c r="H2956"/>
      <c r="I2956"/>
      <c r="J2956"/>
    </row>
    <row r="2957" spans="1:10" s="2" customFormat="1">
      <c r="A2957" s="1"/>
      <c r="E2957"/>
      <c r="F2957"/>
      <c r="G2957"/>
      <c r="H2957"/>
      <c r="I2957"/>
      <c r="J2957"/>
    </row>
    <row r="2958" spans="1:10" s="2" customFormat="1">
      <c r="A2958" s="1"/>
      <c r="E2958"/>
      <c r="F2958"/>
      <c r="G2958"/>
      <c r="H2958"/>
      <c r="I2958"/>
      <c r="J2958"/>
    </row>
    <row r="2959" spans="1:10" s="2" customFormat="1">
      <c r="A2959" s="1"/>
      <c r="E2959"/>
      <c r="F2959"/>
      <c r="G2959"/>
      <c r="H2959"/>
      <c r="I2959"/>
      <c r="J2959"/>
    </row>
    <row r="2960" spans="1:10" s="2" customFormat="1">
      <c r="A2960" s="1"/>
      <c r="E2960"/>
      <c r="F2960"/>
      <c r="G2960"/>
      <c r="H2960"/>
      <c r="I2960"/>
      <c r="J2960"/>
    </row>
    <row r="2961" spans="1:10" s="2" customFormat="1">
      <c r="A2961" s="1"/>
      <c r="E2961"/>
      <c r="F2961"/>
      <c r="G2961"/>
      <c r="H2961"/>
      <c r="I2961"/>
      <c r="J2961"/>
    </row>
    <row r="2962" spans="1:10" s="2" customFormat="1">
      <c r="A2962" s="1"/>
      <c r="E2962"/>
      <c r="F2962"/>
      <c r="G2962"/>
      <c r="H2962"/>
      <c r="I2962"/>
      <c r="J2962"/>
    </row>
    <row r="2963" spans="1:10" s="2" customFormat="1">
      <c r="A2963" s="1"/>
      <c r="E2963"/>
      <c r="F2963"/>
      <c r="G2963"/>
      <c r="H2963"/>
      <c r="I2963"/>
      <c r="J2963"/>
    </row>
    <row r="2964" spans="1:10" s="2" customFormat="1">
      <c r="A2964" s="1"/>
      <c r="E2964"/>
      <c r="F2964"/>
      <c r="G2964"/>
      <c r="H2964"/>
      <c r="I2964"/>
      <c r="J2964"/>
    </row>
    <row r="2965" spans="1:10" s="2" customFormat="1">
      <c r="A2965" s="1"/>
      <c r="E2965"/>
      <c r="F2965"/>
      <c r="G2965"/>
      <c r="H2965"/>
      <c r="I2965"/>
      <c r="J2965"/>
    </row>
    <row r="2966" spans="1:10" s="2" customFormat="1">
      <c r="A2966" s="1"/>
      <c r="E2966"/>
      <c r="F2966"/>
      <c r="G2966"/>
      <c r="H2966"/>
      <c r="I2966"/>
      <c r="J2966"/>
    </row>
    <row r="2967" spans="1:10" s="2" customFormat="1">
      <c r="A2967" s="1"/>
      <c r="E2967"/>
      <c r="F2967"/>
      <c r="G2967"/>
      <c r="H2967"/>
      <c r="I2967"/>
      <c r="J2967"/>
    </row>
    <row r="2968" spans="1:10" s="2" customFormat="1">
      <c r="A2968" s="1"/>
      <c r="E2968"/>
      <c r="F2968"/>
      <c r="G2968"/>
      <c r="H2968"/>
      <c r="I2968"/>
      <c r="J2968"/>
    </row>
    <row r="2969" spans="1:10" s="2" customFormat="1">
      <c r="A2969" s="1"/>
      <c r="E2969"/>
      <c r="F2969"/>
      <c r="G2969"/>
      <c r="H2969"/>
      <c r="I2969"/>
      <c r="J2969"/>
    </row>
    <row r="2970" spans="1:10" s="2" customFormat="1">
      <c r="A2970" s="1"/>
      <c r="E2970"/>
      <c r="F2970"/>
      <c r="G2970"/>
      <c r="H2970"/>
      <c r="I2970"/>
      <c r="J2970"/>
    </row>
    <row r="2971" spans="1:10" s="2" customFormat="1">
      <c r="A2971" s="1"/>
      <c r="E2971"/>
      <c r="F2971"/>
      <c r="G2971"/>
      <c r="H2971"/>
      <c r="I2971"/>
      <c r="J2971"/>
    </row>
    <row r="2972" spans="1:10" s="2" customFormat="1">
      <c r="A2972" s="1"/>
      <c r="E2972"/>
      <c r="F2972"/>
      <c r="G2972"/>
      <c r="H2972"/>
      <c r="I2972"/>
      <c r="J2972"/>
    </row>
    <row r="2973" spans="1:10" s="2" customFormat="1">
      <c r="A2973" s="1"/>
      <c r="E2973"/>
      <c r="F2973"/>
      <c r="G2973"/>
      <c r="H2973"/>
      <c r="I2973"/>
      <c r="J2973"/>
    </row>
    <row r="2974" spans="1:10" s="2" customFormat="1">
      <c r="A2974" s="1"/>
      <c r="E2974"/>
      <c r="F2974"/>
      <c r="G2974"/>
      <c r="H2974"/>
      <c r="I2974"/>
      <c r="J2974"/>
    </row>
    <row r="2975" spans="1:10" s="2" customFormat="1">
      <c r="A2975" s="1"/>
      <c r="E2975"/>
      <c r="F2975"/>
      <c r="G2975"/>
      <c r="H2975"/>
      <c r="I2975"/>
      <c r="J2975"/>
    </row>
    <row r="2976" spans="1:10" s="2" customFormat="1">
      <c r="A2976" s="1"/>
      <c r="E2976"/>
      <c r="F2976"/>
      <c r="G2976"/>
      <c r="H2976"/>
      <c r="I2976"/>
      <c r="J2976"/>
    </row>
    <row r="2977" spans="1:10" s="2" customFormat="1">
      <c r="A2977" s="1"/>
      <c r="E2977"/>
      <c r="F2977"/>
      <c r="G2977"/>
      <c r="H2977"/>
      <c r="I2977"/>
      <c r="J2977"/>
    </row>
    <row r="2978" spans="1:10" s="2" customFormat="1">
      <c r="A2978" s="1"/>
      <c r="E2978"/>
      <c r="F2978"/>
      <c r="G2978"/>
      <c r="H2978"/>
      <c r="I2978"/>
      <c r="J2978"/>
    </row>
    <row r="2979" spans="1:10" s="2" customFormat="1">
      <c r="A2979" s="1"/>
      <c r="E2979"/>
      <c r="F2979"/>
      <c r="G2979"/>
      <c r="H2979"/>
      <c r="I2979"/>
      <c r="J2979"/>
    </row>
    <row r="2980" spans="1:10" s="2" customFormat="1">
      <c r="A2980" s="1"/>
      <c r="E2980"/>
      <c r="F2980"/>
      <c r="G2980"/>
      <c r="H2980"/>
      <c r="I2980"/>
      <c r="J2980"/>
    </row>
    <row r="2981" spans="1:10" s="2" customFormat="1">
      <c r="A2981" s="1"/>
      <c r="E2981"/>
      <c r="F2981"/>
      <c r="G2981"/>
      <c r="H2981"/>
      <c r="I2981"/>
      <c r="J2981"/>
    </row>
    <row r="2982" spans="1:10" s="2" customFormat="1">
      <c r="A2982" s="1"/>
      <c r="E2982"/>
      <c r="F2982"/>
      <c r="G2982"/>
      <c r="H2982"/>
      <c r="I2982"/>
      <c r="J2982"/>
    </row>
    <row r="2983" spans="1:10" s="2" customFormat="1">
      <c r="A2983" s="1"/>
      <c r="E2983"/>
      <c r="F2983"/>
      <c r="G2983"/>
      <c r="H2983"/>
      <c r="I2983"/>
      <c r="J2983"/>
    </row>
    <row r="2984" spans="1:10" s="2" customFormat="1">
      <c r="A2984" s="1"/>
      <c r="E2984"/>
      <c r="F2984"/>
      <c r="G2984"/>
      <c r="H2984"/>
      <c r="I2984"/>
      <c r="J2984"/>
    </row>
    <row r="2985" spans="1:10" s="2" customFormat="1">
      <c r="A2985" s="1"/>
      <c r="E2985"/>
      <c r="F2985"/>
      <c r="G2985"/>
      <c r="H2985"/>
      <c r="I2985"/>
      <c r="J2985"/>
    </row>
    <row r="2986" spans="1:10" s="2" customFormat="1">
      <c r="A2986" s="1"/>
      <c r="E2986"/>
      <c r="F2986"/>
      <c r="G2986"/>
      <c r="H2986"/>
      <c r="I2986"/>
      <c r="J2986"/>
    </row>
    <row r="2987" spans="1:10" s="2" customFormat="1">
      <c r="A2987" s="1"/>
      <c r="E2987"/>
      <c r="F2987"/>
      <c r="G2987"/>
      <c r="H2987"/>
      <c r="I2987"/>
      <c r="J2987"/>
    </row>
    <row r="2988" spans="1:10" s="2" customFormat="1">
      <c r="A2988" s="1"/>
      <c r="E2988"/>
      <c r="F2988"/>
      <c r="G2988"/>
      <c r="H2988"/>
      <c r="I2988"/>
      <c r="J2988"/>
    </row>
    <row r="2989" spans="1:10" s="2" customFormat="1">
      <c r="A2989" s="1"/>
      <c r="E2989"/>
      <c r="F2989"/>
      <c r="G2989"/>
      <c r="H2989"/>
      <c r="I2989"/>
      <c r="J2989"/>
    </row>
    <row r="2990" spans="1:10" s="2" customFormat="1">
      <c r="A2990" s="1"/>
      <c r="E2990"/>
      <c r="F2990"/>
      <c r="G2990"/>
      <c r="H2990"/>
      <c r="I2990"/>
      <c r="J2990"/>
    </row>
    <row r="2991" spans="1:10" s="2" customFormat="1">
      <c r="A2991" s="1"/>
      <c r="E2991"/>
      <c r="F2991"/>
      <c r="G2991"/>
      <c r="H2991"/>
      <c r="I2991"/>
      <c r="J2991"/>
    </row>
    <row r="2992" spans="1:10" s="2" customFormat="1">
      <c r="A2992" s="1"/>
      <c r="E2992"/>
      <c r="F2992"/>
      <c r="G2992"/>
      <c r="H2992"/>
      <c r="I2992"/>
      <c r="J2992"/>
    </row>
    <row r="2993" spans="1:10" s="2" customFormat="1">
      <c r="A2993" s="1"/>
      <c r="E2993"/>
      <c r="F2993"/>
      <c r="G2993"/>
      <c r="H2993"/>
      <c r="I2993"/>
      <c r="J2993"/>
    </row>
    <row r="2994" spans="1:10" s="2" customFormat="1">
      <c r="A2994" s="1"/>
      <c r="E2994"/>
      <c r="F2994"/>
      <c r="G2994"/>
      <c r="H2994"/>
      <c r="I2994"/>
      <c r="J2994"/>
    </row>
    <row r="2995" spans="1:10" s="2" customFormat="1">
      <c r="A2995" s="1"/>
      <c r="E2995"/>
      <c r="F2995"/>
      <c r="G2995"/>
      <c r="H2995"/>
      <c r="I2995"/>
      <c r="J2995"/>
    </row>
    <row r="2996" spans="1:10" s="2" customFormat="1">
      <c r="A2996" s="1"/>
      <c r="E2996"/>
      <c r="F2996"/>
      <c r="G2996"/>
      <c r="H2996"/>
      <c r="I2996"/>
      <c r="J2996"/>
    </row>
    <row r="2997" spans="1:10" s="2" customFormat="1">
      <c r="A2997" s="1"/>
      <c r="E2997"/>
      <c r="F2997"/>
      <c r="G2997"/>
      <c r="H2997"/>
      <c r="I2997"/>
      <c r="J2997"/>
    </row>
    <row r="2998" spans="1:10" s="2" customFormat="1">
      <c r="A2998" s="1"/>
      <c r="E2998"/>
      <c r="F2998"/>
      <c r="G2998"/>
      <c r="H2998"/>
      <c r="I2998"/>
      <c r="J2998"/>
    </row>
    <row r="2999" spans="1:10" s="2" customFormat="1">
      <c r="A2999" s="1"/>
      <c r="E2999"/>
      <c r="F2999"/>
      <c r="G2999"/>
      <c r="H2999"/>
      <c r="I2999"/>
      <c r="J2999"/>
    </row>
    <row r="3000" spans="1:10" s="2" customFormat="1">
      <c r="A3000" s="1"/>
      <c r="E3000"/>
      <c r="F3000"/>
      <c r="G3000"/>
      <c r="H3000"/>
      <c r="I3000"/>
      <c r="J3000"/>
    </row>
    <row r="3001" spans="1:10" s="2" customFormat="1">
      <c r="A3001" s="1"/>
      <c r="E3001"/>
      <c r="F3001"/>
      <c r="G3001"/>
      <c r="H3001"/>
      <c r="I3001"/>
      <c r="J3001"/>
    </row>
    <row r="3002" spans="1:10" s="2" customFormat="1">
      <c r="A3002" s="1"/>
      <c r="E3002"/>
      <c r="F3002"/>
      <c r="G3002"/>
      <c r="H3002"/>
      <c r="I3002"/>
      <c r="J3002"/>
    </row>
    <row r="3003" spans="1:10" s="2" customFormat="1">
      <c r="A3003" s="1"/>
      <c r="E3003"/>
      <c r="F3003"/>
      <c r="G3003"/>
      <c r="H3003"/>
      <c r="I3003"/>
      <c r="J3003"/>
    </row>
    <row r="3004" spans="1:10" s="2" customFormat="1">
      <c r="A3004" s="1"/>
      <c r="E3004"/>
      <c r="F3004"/>
      <c r="G3004"/>
      <c r="H3004"/>
      <c r="I3004"/>
      <c r="J3004"/>
    </row>
    <row r="3005" spans="1:10" s="2" customFormat="1">
      <c r="A3005" s="1"/>
      <c r="E3005"/>
      <c r="F3005"/>
      <c r="G3005"/>
      <c r="H3005"/>
      <c r="I3005"/>
      <c r="J3005"/>
    </row>
    <row r="3006" spans="1:10" s="2" customFormat="1">
      <c r="A3006" s="1"/>
      <c r="E3006"/>
      <c r="F3006"/>
      <c r="G3006"/>
      <c r="H3006"/>
      <c r="I3006"/>
      <c r="J3006"/>
    </row>
    <row r="3007" spans="1:10" s="2" customFormat="1">
      <c r="A3007" s="1"/>
      <c r="E3007"/>
      <c r="F3007"/>
      <c r="G3007"/>
      <c r="H3007"/>
      <c r="I3007"/>
      <c r="J3007"/>
    </row>
    <row r="3008" spans="1:10" s="2" customFormat="1">
      <c r="A3008" s="1"/>
      <c r="E3008"/>
      <c r="F3008"/>
      <c r="G3008"/>
      <c r="H3008"/>
      <c r="I3008"/>
      <c r="J3008"/>
    </row>
    <row r="3009" spans="1:10" s="2" customFormat="1">
      <c r="A3009" s="1"/>
      <c r="E3009"/>
      <c r="F3009"/>
      <c r="G3009"/>
      <c r="H3009"/>
      <c r="I3009"/>
      <c r="J3009"/>
    </row>
    <row r="3010" spans="1:10" s="2" customFormat="1">
      <c r="A3010" s="1"/>
      <c r="E3010"/>
      <c r="F3010"/>
      <c r="G3010"/>
      <c r="H3010"/>
      <c r="I3010"/>
      <c r="J3010"/>
    </row>
    <row r="3011" spans="1:10" s="2" customFormat="1">
      <c r="A3011" s="1"/>
      <c r="E3011"/>
      <c r="F3011"/>
      <c r="G3011"/>
      <c r="H3011"/>
      <c r="I3011"/>
      <c r="J3011"/>
    </row>
    <row r="3012" spans="1:10" s="2" customFormat="1">
      <c r="A3012" s="1"/>
      <c r="E3012"/>
      <c r="F3012"/>
      <c r="G3012"/>
      <c r="H3012"/>
      <c r="I3012"/>
      <c r="J3012"/>
    </row>
    <row r="3013" spans="1:10" s="2" customFormat="1">
      <c r="A3013" s="1"/>
      <c r="E3013"/>
      <c r="F3013"/>
      <c r="G3013"/>
      <c r="H3013"/>
      <c r="I3013"/>
      <c r="J3013"/>
    </row>
    <row r="3014" spans="1:10" s="2" customFormat="1">
      <c r="A3014" s="1"/>
      <c r="E3014"/>
      <c r="F3014"/>
      <c r="G3014"/>
      <c r="H3014"/>
      <c r="I3014"/>
      <c r="J3014"/>
    </row>
    <row r="3015" spans="1:10" s="2" customFormat="1">
      <c r="A3015" s="1"/>
      <c r="E3015"/>
      <c r="F3015"/>
      <c r="G3015"/>
      <c r="H3015"/>
      <c r="I3015"/>
      <c r="J3015"/>
    </row>
    <row r="3016" spans="1:10" s="2" customFormat="1">
      <c r="A3016" s="1"/>
      <c r="E3016"/>
      <c r="F3016"/>
      <c r="G3016"/>
      <c r="H3016"/>
      <c r="I3016"/>
      <c r="J3016"/>
    </row>
    <row r="3017" spans="1:10" s="2" customFormat="1">
      <c r="A3017" s="1"/>
      <c r="E3017"/>
      <c r="F3017"/>
      <c r="G3017"/>
      <c r="H3017"/>
      <c r="I3017"/>
      <c r="J3017"/>
    </row>
    <row r="3018" spans="1:10" s="2" customFormat="1">
      <c r="A3018" s="1"/>
      <c r="E3018"/>
      <c r="F3018"/>
      <c r="G3018"/>
      <c r="H3018"/>
      <c r="I3018"/>
      <c r="J3018"/>
    </row>
    <row r="3019" spans="1:10" s="2" customFormat="1">
      <c r="A3019" s="1"/>
      <c r="E3019"/>
      <c r="F3019"/>
      <c r="G3019"/>
      <c r="H3019"/>
      <c r="I3019"/>
      <c r="J3019"/>
    </row>
    <row r="3020" spans="1:10" s="2" customFormat="1">
      <c r="A3020" s="1"/>
      <c r="E3020"/>
      <c r="F3020"/>
      <c r="G3020"/>
      <c r="H3020"/>
      <c r="I3020"/>
      <c r="J3020"/>
    </row>
    <row r="3021" spans="1:10" s="2" customFormat="1">
      <c r="A3021" s="1"/>
      <c r="E3021"/>
      <c r="F3021"/>
      <c r="G3021"/>
      <c r="H3021"/>
      <c r="I3021"/>
      <c r="J3021"/>
    </row>
    <row r="3022" spans="1:10" s="2" customFormat="1">
      <c r="A3022" s="1"/>
      <c r="E3022"/>
      <c r="F3022"/>
      <c r="G3022"/>
      <c r="H3022"/>
      <c r="I3022"/>
      <c r="J3022"/>
    </row>
    <row r="3023" spans="1:10" s="2" customFormat="1">
      <c r="A3023" s="1"/>
      <c r="E3023"/>
      <c r="F3023"/>
      <c r="G3023"/>
      <c r="H3023"/>
      <c r="I3023"/>
      <c r="J3023"/>
    </row>
    <row r="3024" spans="1:10" s="2" customFormat="1">
      <c r="A3024" s="1"/>
      <c r="E3024"/>
      <c r="F3024"/>
      <c r="G3024"/>
      <c r="H3024"/>
      <c r="I3024"/>
      <c r="J3024"/>
    </row>
    <row r="3025" spans="1:10" s="2" customFormat="1">
      <c r="A3025" s="1"/>
      <c r="E3025"/>
      <c r="F3025"/>
      <c r="G3025"/>
      <c r="H3025"/>
      <c r="I3025"/>
      <c r="J3025"/>
    </row>
    <row r="3026" spans="1:10" s="2" customFormat="1">
      <c r="A3026" s="1"/>
      <c r="E3026"/>
      <c r="F3026"/>
      <c r="G3026"/>
      <c r="H3026"/>
      <c r="I3026"/>
      <c r="J3026"/>
    </row>
    <row r="3027" spans="1:10" s="2" customFormat="1">
      <c r="A3027" s="1"/>
      <c r="E3027"/>
      <c r="F3027"/>
      <c r="G3027"/>
      <c r="H3027"/>
      <c r="I3027"/>
      <c r="J3027"/>
    </row>
    <row r="3028" spans="1:10" s="2" customFormat="1">
      <c r="A3028" s="1"/>
      <c r="E3028"/>
      <c r="F3028"/>
      <c r="G3028"/>
      <c r="H3028"/>
      <c r="I3028"/>
      <c r="J3028"/>
    </row>
    <row r="3029" spans="1:10" s="2" customFormat="1">
      <c r="A3029" s="1"/>
      <c r="E3029"/>
      <c r="F3029"/>
      <c r="G3029"/>
      <c r="H3029"/>
      <c r="I3029"/>
      <c r="J3029"/>
    </row>
    <row r="3030" spans="1:10" s="2" customFormat="1">
      <c r="A3030" s="1"/>
      <c r="E3030"/>
      <c r="F3030"/>
      <c r="G3030"/>
      <c r="H3030"/>
      <c r="I3030"/>
      <c r="J3030"/>
    </row>
    <row r="3031" spans="1:10" s="2" customFormat="1">
      <c r="A3031" s="1"/>
      <c r="E3031"/>
      <c r="F3031"/>
      <c r="G3031"/>
      <c r="H3031"/>
      <c r="I3031"/>
      <c r="J3031"/>
    </row>
    <row r="3032" spans="1:10" s="2" customFormat="1">
      <c r="A3032" s="1"/>
      <c r="E3032"/>
      <c r="F3032"/>
      <c r="G3032"/>
      <c r="H3032"/>
      <c r="I3032"/>
      <c r="J3032"/>
    </row>
    <row r="3033" spans="1:10" s="2" customFormat="1">
      <c r="A3033" s="1"/>
      <c r="E3033"/>
      <c r="F3033"/>
      <c r="G3033"/>
      <c r="H3033"/>
      <c r="I3033"/>
      <c r="J3033"/>
    </row>
    <row r="3034" spans="1:10" s="2" customFormat="1">
      <c r="A3034" s="1"/>
      <c r="E3034"/>
      <c r="F3034"/>
      <c r="G3034"/>
      <c r="H3034"/>
      <c r="I3034"/>
      <c r="J3034"/>
    </row>
    <row r="3035" spans="1:10" s="2" customFormat="1">
      <c r="A3035" s="1"/>
      <c r="E3035"/>
      <c r="F3035"/>
      <c r="G3035"/>
      <c r="H3035"/>
      <c r="I3035"/>
      <c r="J3035"/>
    </row>
    <row r="3036" spans="1:10" s="2" customFormat="1">
      <c r="A3036" s="1"/>
      <c r="E3036"/>
      <c r="F3036"/>
      <c r="G3036"/>
      <c r="H3036"/>
      <c r="I3036"/>
      <c r="J3036"/>
    </row>
    <row r="3037" spans="1:10" s="2" customFormat="1">
      <c r="A3037" s="1"/>
      <c r="E3037"/>
      <c r="F3037"/>
      <c r="G3037"/>
      <c r="H3037"/>
      <c r="I3037"/>
      <c r="J3037"/>
    </row>
    <row r="3038" spans="1:10" s="2" customFormat="1">
      <c r="A3038" s="1"/>
      <c r="E3038"/>
      <c r="F3038"/>
      <c r="G3038"/>
      <c r="H3038"/>
      <c r="I3038"/>
      <c r="J3038"/>
    </row>
    <row r="3039" spans="1:10" s="2" customFormat="1">
      <c r="A3039" s="1"/>
      <c r="E3039"/>
      <c r="F3039"/>
      <c r="G3039"/>
      <c r="H3039"/>
      <c r="I3039"/>
      <c r="J3039"/>
    </row>
    <row r="3040" spans="1:10" s="2" customFormat="1">
      <c r="A3040" s="1"/>
      <c r="E3040"/>
      <c r="F3040"/>
      <c r="G3040"/>
      <c r="H3040"/>
      <c r="I3040"/>
      <c r="J3040"/>
    </row>
    <row r="3041" spans="1:10" s="2" customFormat="1">
      <c r="A3041" s="1"/>
      <c r="E3041"/>
      <c r="F3041"/>
      <c r="G3041"/>
      <c r="H3041"/>
      <c r="I3041"/>
      <c r="J3041"/>
    </row>
    <row r="3042" spans="1:10" s="2" customFormat="1">
      <c r="A3042" s="1"/>
      <c r="E3042"/>
      <c r="F3042"/>
      <c r="G3042"/>
      <c r="H3042"/>
      <c r="I3042"/>
      <c r="J3042"/>
    </row>
    <row r="3043" spans="1:10" s="2" customFormat="1">
      <c r="A3043" s="1"/>
      <c r="E3043"/>
      <c r="F3043"/>
      <c r="G3043"/>
      <c r="H3043"/>
      <c r="I3043"/>
      <c r="J3043"/>
    </row>
    <row r="3044" spans="1:10" s="2" customFormat="1">
      <c r="A3044" s="1"/>
      <c r="E3044"/>
      <c r="F3044"/>
      <c r="G3044"/>
      <c r="H3044"/>
      <c r="I3044"/>
      <c r="J3044"/>
    </row>
    <row r="3045" spans="1:10" s="2" customFormat="1">
      <c r="A3045" s="1"/>
      <c r="E3045"/>
      <c r="F3045"/>
      <c r="G3045"/>
      <c r="H3045"/>
      <c r="I3045"/>
      <c r="J3045"/>
    </row>
    <row r="3046" spans="1:10" s="2" customFormat="1">
      <c r="A3046" s="1"/>
      <c r="E3046"/>
      <c r="F3046"/>
      <c r="G3046"/>
      <c r="H3046"/>
      <c r="I3046"/>
      <c r="J3046"/>
    </row>
    <row r="3047" spans="1:10" s="2" customFormat="1">
      <c r="A3047" s="1"/>
      <c r="E3047"/>
      <c r="F3047"/>
      <c r="G3047"/>
      <c r="H3047"/>
      <c r="I3047"/>
      <c r="J3047"/>
    </row>
    <row r="3048" spans="1:10" s="2" customFormat="1">
      <c r="A3048" s="1"/>
      <c r="E3048"/>
      <c r="F3048"/>
      <c r="G3048"/>
      <c r="H3048"/>
      <c r="I3048"/>
      <c r="J3048"/>
    </row>
    <row r="3049" spans="1:10" s="2" customFormat="1">
      <c r="A3049" s="1"/>
      <c r="E3049"/>
      <c r="F3049"/>
      <c r="G3049"/>
      <c r="H3049"/>
      <c r="I3049"/>
      <c r="J3049"/>
    </row>
    <row r="3050" spans="1:10" s="2" customFormat="1">
      <c r="A3050" s="1"/>
      <c r="E3050"/>
      <c r="F3050"/>
      <c r="G3050"/>
      <c r="H3050"/>
      <c r="I3050"/>
      <c r="J3050"/>
    </row>
    <row r="3051" spans="1:10" s="2" customFormat="1">
      <c r="A3051" s="1"/>
      <c r="E3051"/>
      <c r="F3051"/>
      <c r="G3051"/>
      <c r="H3051"/>
      <c r="I3051"/>
      <c r="J3051"/>
    </row>
    <row r="3052" spans="1:10" s="2" customFormat="1">
      <c r="A3052" s="1"/>
      <c r="E3052"/>
      <c r="F3052"/>
      <c r="G3052"/>
      <c r="H3052"/>
      <c r="I3052"/>
      <c r="J3052"/>
    </row>
    <row r="3053" spans="1:10" s="2" customFormat="1">
      <c r="A3053" s="1"/>
      <c r="E3053"/>
      <c r="F3053"/>
      <c r="G3053"/>
      <c r="H3053"/>
      <c r="I3053"/>
      <c r="J3053"/>
    </row>
    <row r="3054" spans="1:10" s="2" customFormat="1">
      <c r="A3054" s="1"/>
      <c r="E3054"/>
      <c r="F3054"/>
      <c r="G3054"/>
      <c r="H3054"/>
      <c r="I3054"/>
      <c r="J3054"/>
    </row>
    <row r="3055" spans="1:10" s="2" customFormat="1">
      <c r="A3055" s="1"/>
      <c r="E3055"/>
      <c r="F3055"/>
      <c r="G3055"/>
      <c r="H3055"/>
      <c r="I3055"/>
      <c r="J3055"/>
    </row>
    <row r="3056" spans="1:10" s="2" customFormat="1">
      <c r="A3056" s="1"/>
      <c r="E3056"/>
      <c r="F3056"/>
      <c r="G3056"/>
      <c r="H3056"/>
      <c r="I3056"/>
      <c r="J3056"/>
    </row>
    <row r="3057" spans="1:10" s="2" customFormat="1">
      <c r="A3057" s="1"/>
      <c r="E3057"/>
      <c r="F3057"/>
      <c r="G3057"/>
      <c r="H3057"/>
      <c r="I3057"/>
      <c r="J3057"/>
    </row>
    <row r="3058" spans="1:10" s="2" customFormat="1">
      <c r="A3058" s="1"/>
      <c r="E3058"/>
      <c r="F3058"/>
      <c r="G3058"/>
      <c r="H3058"/>
      <c r="I3058"/>
      <c r="J3058"/>
    </row>
    <row r="3059" spans="1:10" s="2" customFormat="1">
      <c r="A3059" s="1"/>
      <c r="E3059"/>
      <c r="F3059"/>
      <c r="G3059"/>
      <c r="H3059"/>
      <c r="I3059"/>
      <c r="J3059"/>
    </row>
    <row r="3060" spans="1:10" s="2" customFormat="1">
      <c r="A3060" s="1"/>
      <c r="E3060"/>
      <c r="F3060"/>
      <c r="G3060"/>
      <c r="H3060"/>
      <c r="I3060"/>
      <c r="J3060"/>
    </row>
    <row r="3061" spans="1:10" s="2" customFormat="1">
      <c r="A3061" s="1"/>
      <c r="E3061"/>
      <c r="F3061"/>
      <c r="G3061"/>
      <c r="H3061"/>
      <c r="I3061"/>
      <c r="J3061"/>
    </row>
    <row r="3062" spans="1:10" s="2" customFormat="1">
      <c r="A3062" s="1"/>
      <c r="E3062"/>
      <c r="F3062"/>
      <c r="G3062"/>
      <c r="H3062"/>
      <c r="I3062"/>
      <c r="J3062"/>
    </row>
    <row r="3063" spans="1:10" s="2" customFormat="1">
      <c r="A3063" s="1"/>
      <c r="E3063"/>
      <c r="F3063"/>
      <c r="G3063"/>
      <c r="H3063"/>
      <c r="I3063"/>
      <c r="J3063"/>
    </row>
    <row r="3064" spans="1:10" s="2" customFormat="1">
      <c r="A3064" s="1"/>
      <c r="E3064"/>
      <c r="F3064"/>
      <c r="G3064"/>
      <c r="H3064"/>
      <c r="I3064"/>
      <c r="J3064"/>
    </row>
    <row r="3065" spans="1:10" s="2" customFormat="1">
      <c r="A3065" s="1"/>
      <c r="E3065"/>
      <c r="F3065"/>
      <c r="G3065"/>
      <c r="H3065"/>
      <c r="I3065"/>
      <c r="J3065"/>
    </row>
    <row r="3066" spans="1:10" s="2" customFormat="1">
      <c r="A3066" s="1"/>
      <c r="E3066"/>
      <c r="F3066"/>
      <c r="G3066"/>
      <c r="H3066"/>
      <c r="I3066"/>
      <c r="J3066"/>
    </row>
    <row r="3067" spans="1:10" s="2" customFormat="1">
      <c r="A3067" s="1"/>
      <c r="E3067"/>
      <c r="F3067"/>
      <c r="G3067"/>
      <c r="H3067"/>
      <c r="I3067"/>
      <c r="J3067"/>
    </row>
    <row r="3068" spans="1:10" s="2" customFormat="1">
      <c r="A3068" s="1"/>
      <c r="E3068"/>
      <c r="F3068"/>
      <c r="G3068"/>
      <c r="H3068"/>
      <c r="I3068"/>
      <c r="J3068"/>
    </row>
    <row r="3069" spans="1:10" s="2" customFormat="1">
      <c r="A3069" s="1"/>
      <c r="E3069"/>
      <c r="F3069"/>
      <c r="G3069"/>
      <c r="H3069"/>
      <c r="I3069"/>
      <c r="J3069"/>
    </row>
    <row r="3070" spans="1:10" s="2" customFormat="1">
      <c r="A3070" s="1"/>
      <c r="E3070"/>
      <c r="F3070"/>
      <c r="G3070"/>
      <c r="H3070"/>
      <c r="I3070"/>
      <c r="J3070"/>
    </row>
    <row r="3071" spans="1:10" s="2" customFormat="1">
      <c r="A3071" s="1"/>
      <c r="E3071"/>
      <c r="F3071"/>
      <c r="G3071"/>
      <c r="H3071"/>
      <c r="I3071"/>
      <c r="J3071"/>
    </row>
    <row r="3072" spans="1:10" s="2" customFormat="1">
      <c r="A3072" s="1"/>
      <c r="E3072"/>
      <c r="F3072"/>
      <c r="G3072"/>
      <c r="H3072"/>
      <c r="I3072"/>
      <c r="J3072"/>
    </row>
    <row r="3073" spans="1:10" s="2" customFormat="1">
      <c r="A3073" s="1"/>
      <c r="E3073"/>
      <c r="F3073"/>
      <c r="G3073"/>
      <c r="H3073"/>
      <c r="I3073"/>
      <c r="J3073"/>
    </row>
    <row r="3074" spans="1:10" s="2" customFormat="1">
      <c r="A3074" s="1"/>
      <c r="E3074"/>
      <c r="F3074"/>
      <c r="G3074"/>
      <c r="H3074"/>
      <c r="I3074"/>
      <c r="J3074"/>
    </row>
    <row r="3075" spans="1:10" s="2" customFormat="1">
      <c r="A3075" s="1"/>
      <c r="E3075"/>
      <c r="F3075"/>
      <c r="G3075"/>
      <c r="H3075"/>
      <c r="I3075"/>
      <c r="J3075"/>
    </row>
    <row r="3076" spans="1:10" s="2" customFormat="1">
      <c r="A3076" s="1"/>
      <c r="E3076"/>
      <c r="F3076"/>
      <c r="G3076"/>
      <c r="H3076"/>
      <c r="I3076"/>
      <c r="J3076"/>
    </row>
    <row r="3077" spans="1:10" s="2" customFormat="1">
      <c r="A3077" s="1"/>
      <c r="E3077"/>
      <c r="F3077"/>
      <c r="G3077"/>
      <c r="H3077"/>
      <c r="I3077"/>
      <c r="J3077"/>
    </row>
    <row r="3078" spans="1:10" s="2" customFormat="1">
      <c r="A3078" s="1"/>
      <c r="E3078"/>
      <c r="F3078"/>
      <c r="G3078"/>
      <c r="H3078"/>
      <c r="I3078"/>
      <c r="J3078"/>
    </row>
    <row r="3079" spans="1:10" s="2" customFormat="1">
      <c r="A3079" s="1"/>
      <c r="E3079"/>
      <c r="F3079"/>
      <c r="G3079"/>
      <c r="H3079"/>
      <c r="I3079"/>
      <c r="J3079"/>
    </row>
    <row r="3080" spans="1:10" s="2" customFormat="1">
      <c r="A3080" s="1"/>
      <c r="E3080"/>
      <c r="F3080"/>
      <c r="G3080"/>
      <c r="H3080"/>
      <c r="I3080"/>
      <c r="J3080"/>
    </row>
    <row r="3081" spans="1:10" s="2" customFormat="1">
      <c r="A3081" s="1"/>
      <c r="E3081"/>
      <c r="F3081"/>
      <c r="G3081"/>
      <c r="H3081"/>
      <c r="I3081"/>
      <c r="J3081"/>
    </row>
    <row r="3082" spans="1:10" s="2" customFormat="1">
      <c r="A3082" s="1"/>
      <c r="E3082"/>
      <c r="F3082"/>
      <c r="G3082"/>
      <c r="H3082"/>
      <c r="I3082"/>
      <c r="J3082"/>
    </row>
    <row r="3083" spans="1:10" s="2" customFormat="1">
      <c r="A3083" s="1"/>
      <c r="E3083"/>
      <c r="F3083"/>
      <c r="G3083"/>
      <c r="H3083"/>
      <c r="I3083"/>
      <c r="J3083"/>
    </row>
    <row r="3084" spans="1:10" s="2" customFormat="1">
      <c r="A3084" s="1"/>
      <c r="E3084"/>
      <c r="F3084"/>
      <c r="G3084"/>
      <c r="H3084"/>
      <c r="I3084"/>
      <c r="J3084"/>
    </row>
    <row r="3085" spans="1:10" s="2" customFormat="1">
      <c r="A3085" s="1"/>
      <c r="E3085"/>
      <c r="F3085"/>
      <c r="G3085"/>
      <c r="H3085"/>
      <c r="I3085"/>
      <c r="J3085"/>
    </row>
    <row r="3086" spans="1:10" s="2" customFormat="1">
      <c r="A3086" s="1"/>
      <c r="E3086"/>
      <c r="F3086"/>
      <c r="G3086"/>
      <c r="H3086"/>
      <c r="I3086"/>
      <c r="J3086"/>
    </row>
    <row r="3087" spans="1:10" s="2" customFormat="1">
      <c r="A3087" s="1"/>
      <c r="E3087"/>
      <c r="F3087"/>
      <c r="G3087"/>
      <c r="H3087"/>
      <c r="I3087"/>
      <c r="J3087"/>
    </row>
    <row r="3088" spans="1:10" s="2" customFormat="1">
      <c r="A3088" s="1"/>
      <c r="E3088"/>
      <c r="F3088"/>
      <c r="G3088"/>
      <c r="H3088"/>
      <c r="I3088"/>
      <c r="J3088"/>
    </row>
    <row r="3089" spans="1:10" s="2" customFormat="1">
      <c r="A3089" s="1"/>
      <c r="E3089"/>
      <c r="F3089"/>
      <c r="G3089"/>
      <c r="H3089"/>
      <c r="I3089"/>
      <c r="J3089"/>
    </row>
    <row r="3090" spans="1:10" s="2" customFormat="1">
      <c r="A3090" s="1"/>
      <c r="E3090"/>
      <c r="F3090"/>
      <c r="G3090"/>
      <c r="H3090"/>
      <c r="I3090"/>
      <c r="J3090"/>
    </row>
    <row r="3091" spans="1:10" s="2" customFormat="1">
      <c r="A3091" s="1"/>
      <c r="E3091"/>
      <c r="F3091"/>
      <c r="G3091"/>
      <c r="H3091"/>
      <c r="I3091"/>
      <c r="J3091"/>
    </row>
    <row r="3092" spans="1:10" s="2" customFormat="1">
      <c r="A3092" s="1"/>
      <c r="E3092"/>
      <c r="F3092"/>
      <c r="G3092"/>
      <c r="H3092"/>
      <c r="I3092"/>
      <c r="J3092"/>
    </row>
    <row r="3093" spans="1:10" s="2" customFormat="1">
      <c r="A3093" s="1"/>
      <c r="E3093"/>
      <c r="F3093"/>
      <c r="G3093"/>
      <c r="H3093"/>
      <c r="I3093"/>
      <c r="J3093"/>
    </row>
    <row r="3094" spans="1:10" s="2" customFormat="1">
      <c r="A3094" s="1"/>
      <c r="E3094"/>
      <c r="F3094"/>
      <c r="G3094"/>
      <c r="H3094"/>
      <c r="I3094"/>
      <c r="J3094"/>
    </row>
    <row r="3095" spans="1:10" s="2" customFormat="1">
      <c r="A3095" s="1"/>
      <c r="E3095"/>
      <c r="F3095"/>
      <c r="G3095"/>
      <c r="H3095"/>
      <c r="I3095"/>
      <c r="J3095"/>
    </row>
    <row r="3096" spans="1:10" s="2" customFormat="1">
      <c r="A3096" s="1"/>
      <c r="E3096"/>
      <c r="F3096"/>
      <c r="G3096"/>
      <c r="H3096"/>
      <c r="I3096"/>
      <c r="J3096"/>
    </row>
    <row r="3097" spans="1:10" s="2" customFormat="1">
      <c r="A3097" s="1"/>
      <c r="E3097"/>
      <c r="F3097"/>
      <c r="G3097"/>
      <c r="H3097"/>
      <c r="I3097"/>
      <c r="J3097"/>
    </row>
    <row r="3098" spans="1:10" s="2" customFormat="1">
      <c r="A3098" s="1"/>
      <c r="E3098"/>
      <c r="F3098"/>
      <c r="G3098"/>
      <c r="H3098"/>
      <c r="I3098"/>
      <c r="J3098"/>
    </row>
    <row r="3099" spans="1:10" s="2" customFormat="1">
      <c r="A3099" s="1"/>
      <c r="E3099"/>
      <c r="F3099"/>
      <c r="G3099"/>
      <c r="H3099"/>
      <c r="I3099"/>
      <c r="J3099"/>
    </row>
    <row r="3100" spans="1:10" s="2" customFormat="1">
      <c r="A3100" s="1"/>
      <c r="E3100"/>
      <c r="F3100"/>
      <c r="G3100"/>
      <c r="H3100"/>
      <c r="I3100"/>
      <c r="J3100"/>
    </row>
    <row r="3101" spans="1:10" s="2" customFormat="1">
      <c r="A3101" s="1"/>
      <c r="E3101"/>
      <c r="F3101"/>
      <c r="G3101"/>
      <c r="H3101"/>
      <c r="I3101"/>
      <c r="J3101"/>
    </row>
    <row r="3102" spans="1:10" s="2" customFormat="1">
      <c r="A3102" s="1"/>
      <c r="E3102"/>
      <c r="F3102"/>
      <c r="G3102"/>
      <c r="H3102"/>
      <c r="I3102"/>
      <c r="J3102"/>
    </row>
    <row r="3103" spans="1:10" s="2" customFormat="1">
      <c r="A3103" s="1"/>
      <c r="E3103"/>
      <c r="F3103"/>
      <c r="G3103"/>
      <c r="H3103"/>
      <c r="I3103"/>
      <c r="J3103"/>
    </row>
    <row r="3104" spans="1:10" s="2" customFormat="1">
      <c r="A3104" s="1"/>
      <c r="E3104"/>
      <c r="F3104"/>
      <c r="G3104"/>
      <c r="H3104"/>
      <c r="I3104"/>
      <c r="J3104"/>
    </row>
    <row r="3105" spans="1:10" s="2" customFormat="1">
      <c r="A3105" s="1"/>
      <c r="E3105"/>
      <c r="F3105"/>
      <c r="G3105"/>
      <c r="H3105"/>
      <c r="I3105"/>
      <c r="J3105"/>
    </row>
    <row r="3106" spans="1:10" s="2" customFormat="1">
      <c r="A3106" s="1"/>
      <c r="E3106"/>
      <c r="F3106"/>
      <c r="G3106"/>
      <c r="H3106"/>
      <c r="I3106"/>
      <c r="J3106"/>
    </row>
    <row r="3107" spans="1:10" s="2" customFormat="1">
      <c r="A3107" s="1"/>
      <c r="E3107"/>
      <c r="F3107"/>
      <c r="G3107"/>
      <c r="H3107"/>
      <c r="I3107"/>
      <c r="J3107"/>
    </row>
    <row r="3108" spans="1:10" s="2" customFormat="1">
      <c r="A3108" s="1"/>
      <c r="E3108"/>
      <c r="F3108"/>
      <c r="G3108"/>
      <c r="H3108"/>
      <c r="I3108"/>
      <c r="J3108"/>
    </row>
    <row r="3109" spans="1:10" s="2" customFormat="1">
      <c r="A3109" s="1"/>
      <c r="E3109"/>
      <c r="F3109"/>
      <c r="G3109"/>
      <c r="H3109"/>
      <c r="I3109"/>
      <c r="J3109"/>
    </row>
    <row r="3110" spans="1:10" s="2" customFormat="1">
      <c r="A3110" s="1"/>
      <c r="E3110"/>
      <c r="F3110"/>
      <c r="G3110"/>
      <c r="H3110"/>
      <c r="I3110"/>
      <c r="J3110"/>
    </row>
    <row r="3111" spans="1:10" s="2" customFormat="1">
      <c r="A3111" s="1"/>
      <c r="E3111"/>
      <c r="F3111"/>
      <c r="G3111"/>
      <c r="H3111"/>
      <c r="I3111"/>
      <c r="J3111"/>
    </row>
    <row r="3112" spans="1:10" s="2" customFormat="1">
      <c r="A3112" s="1"/>
      <c r="E3112"/>
      <c r="F3112"/>
      <c r="G3112"/>
      <c r="H3112"/>
      <c r="I3112"/>
      <c r="J3112"/>
    </row>
    <row r="3113" spans="1:10" s="2" customFormat="1">
      <c r="A3113" s="1"/>
      <c r="E3113"/>
      <c r="F3113"/>
      <c r="G3113"/>
      <c r="H3113"/>
      <c r="I3113"/>
      <c r="J3113"/>
    </row>
    <row r="3114" spans="1:10" s="2" customFormat="1">
      <c r="A3114" s="1"/>
      <c r="E3114"/>
      <c r="F3114"/>
      <c r="G3114"/>
      <c r="H3114"/>
      <c r="I3114"/>
      <c r="J3114"/>
    </row>
    <row r="3115" spans="1:10" s="2" customFormat="1">
      <c r="A3115" s="1"/>
      <c r="E3115"/>
      <c r="F3115"/>
      <c r="G3115"/>
      <c r="H3115"/>
      <c r="I3115"/>
      <c r="J3115"/>
    </row>
    <row r="3116" spans="1:10" s="2" customFormat="1">
      <c r="A3116" s="1"/>
      <c r="E3116"/>
      <c r="F3116"/>
      <c r="G3116"/>
      <c r="H3116"/>
      <c r="I3116"/>
      <c r="J3116"/>
    </row>
    <row r="3117" spans="1:10" s="2" customFormat="1">
      <c r="A3117" s="1"/>
      <c r="E3117"/>
      <c r="F3117"/>
      <c r="G3117"/>
      <c r="H3117"/>
      <c r="I3117"/>
      <c r="J3117"/>
    </row>
    <row r="3118" spans="1:10" s="2" customFormat="1">
      <c r="A3118" s="1"/>
      <c r="E3118"/>
      <c r="F3118"/>
      <c r="G3118"/>
      <c r="H3118"/>
      <c r="I3118"/>
      <c r="J3118"/>
    </row>
    <row r="3119" spans="1:10" s="2" customFormat="1">
      <c r="A3119" s="1"/>
      <c r="E3119"/>
      <c r="F3119"/>
      <c r="G3119"/>
      <c r="H3119"/>
      <c r="I3119"/>
      <c r="J3119"/>
    </row>
    <row r="3120" spans="1:10" s="2" customFormat="1">
      <c r="A3120" s="1"/>
      <c r="E3120"/>
      <c r="F3120"/>
      <c r="G3120"/>
      <c r="H3120"/>
      <c r="I3120"/>
      <c r="J3120"/>
    </row>
    <row r="3121" spans="1:10" s="2" customFormat="1">
      <c r="A3121" s="1"/>
      <c r="E3121"/>
      <c r="F3121"/>
      <c r="G3121"/>
      <c r="H3121"/>
      <c r="I3121"/>
      <c r="J3121"/>
    </row>
    <row r="3122" spans="1:10" s="2" customFormat="1">
      <c r="A3122" s="1"/>
      <c r="E3122"/>
      <c r="F3122"/>
      <c r="G3122"/>
      <c r="H3122"/>
      <c r="I3122"/>
      <c r="J3122"/>
    </row>
    <row r="3123" spans="1:10" s="2" customFormat="1">
      <c r="A3123" s="1"/>
      <c r="E3123"/>
      <c r="F3123"/>
      <c r="G3123"/>
      <c r="H3123"/>
      <c r="I3123"/>
      <c r="J3123"/>
    </row>
    <row r="3124" spans="1:10" s="2" customFormat="1">
      <c r="A3124" s="1"/>
      <c r="E3124"/>
      <c r="F3124"/>
      <c r="G3124"/>
      <c r="H3124"/>
      <c r="I3124"/>
      <c r="J3124"/>
    </row>
    <row r="3125" spans="1:10" s="2" customFormat="1">
      <c r="A3125" s="1"/>
      <c r="E3125"/>
      <c r="F3125"/>
      <c r="G3125"/>
      <c r="H3125"/>
      <c r="I3125"/>
      <c r="J3125"/>
    </row>
    <row r="3126" spans="1:10" s="2" customFormat="1">
      <c r="A3126" s="1"/>
      <c r="E3126"/>
      <c r="F3126"/>
      <c r="G3126"/>
      <c r="H3126"/>
      <c r="I3126"/>
      <c r="J3126"/>
    </row>
    <row r="3127" spans="1:10" s="2" customFormat="1">
      <c r="A3127" s="1"/>
      <c r="E3127"/>
      <c r="F3127"/>
      <c r="G3127"/>
      <c r="H3127"/>
      <c r="I3127"/>
      <c r="J3127"/>
    </row>
    <row r="3128" spans="1:10" s="2" customFormat="1">
      <c r="A3128" s="1"/>
      <c r="E3128"/>
      <c r="F3128"/>
      <c r="G3128"/>
      <c r="H3128"/>
      <c r="I3128"/>
      <c r="J3128"/>
    </row>
    <row r="3129" spans="1:10" s="2" customFormat="1">
      <c r="A3129" s="1"/>
      <c r="E3129"/>
      <c r="F3129"/>
      <c r="G3129"/>
      <c r="H3129"/>
      <c r="I3129"/>
      <c r="J3129"/>
    </row>
    <row r="3130" spans="1:10" s="2" customFormat="1">
      <c r="A3130" s="1"/>
      <c r="E3130"/>
      <c r="F3130"/>
      <c r="G3130"/>
      <c r="H3130"/>
      <c r="I3130"/>
      <c r="J3130"/>
    </row>
    <row r="3131" spans="1:10" s="2" customFormat="1">
      <c r="A3131" s="1"/>
      <c r="E3131"/>
      <c r="F3131"/>
      <c r="G3131"/>
      <c r="H3131"/>
      <c r="I3131"/>
      <c r="J3131"/>
    </row>
    <row r="3132" spans="1:10" s="2" customFormat="1">
      <c r="A3132" s="1"/>
      <c r="E3132"/>
      <c r="F3132"/>
      <c r="G3132"/>
      <c r="H3132"/>
      <c r="I3132"/>
      <c r="J3132"/>
    </row>
    <row r="3133" spans="1:10" s="2" customFormat="1">
      <c r="A3133" s="1"/>
      <c r="E3133"/>
      <c r="F3133"/>
      <c r="G3133"/>
      <c r="H3133"/>
      <c r="I3133"/>
      <c r="J3133"/>
    </row>
    <row r="3134" spans="1:10" s="2" customFormat="1">
      <c r="A3134" s="1"/>
      <c r="E3134"/>
      <c r="F3134"/>
      <c r="G3134"/>
      <c r="H3134"/>
      <c r="I3134"/>
      <c r="J3134"/>
    </row>
    <row r="3135" spans="1:10" s="2" customFormat="1">
      <c r="A3135" s="1"/>
      <c r="E3135"/>
      <c r="F3135"/>
      <c r="G3135"/>
      <c r="H3135"/>
      <c r="I3135"/>
      <c r="J3135"/>
    </row>
    <row r="3136" spans="1:10" s="2" customFormat="1">
      <c r="A3136" s="1"/>
      <c r="E3136"/>
      <c r="F3136"/>
      <c r="G3136"/>
      <c r="H3136"/>
      <c r="I3136"/>
      <c r="J3136"/>
    </row>
    <row r="3137" spans="1:10" s="2" customFormat="1">
      <c r="A3137" s="1"/>
      <c r="E3137"/>
      <c r="F3137"/>
      <c r="G3137"/>
      <c r="H3137"/>
      <c r="I3137"/>
      <c r="J3137"/>
    </row>
    <row r="3138" spans="1:10" s="2" customFormat="1">
      <c r="A3138" s="1"/>
      <c r="E3138"/>
      <c r="F3138"/>
      <c r="G3138"/>
      <c r="H3138"/>
      <c r="I3138"/>
      <c r="J3138"/>
    </row>
    <row r="3139" spans="1:10" s="2" customFormat="1">
      <c r="A3139" s="1"/>
      <c r="E3139"/>
      <c r="F3139"/>
      <c r="G3139"/>
      <c r="H3139"/>
      <c r="I3139"/>
      <c r="J3139"/>
    </row>
    <row r="3140" spans="1:10" s="2" customFormat="1">
      <c r="A3140" s="1"/>
      <c r="E3140"/>
      <c r="F3140"/>
      <c r="G3140"/>
      <c r="H3140"/>
      <c r="I3140"/>
      <c r="J3140"/>
    </row>
    <row r="3141" spans="1:10" s="2" customFormat="1">
      <c r="A3141" s="1"/>
      <c r="E3141"/>
      <c r="F3141"/>
      <c r="G3141"/>
      <c r="H3141"/>
      <c r="I3141"/>
      <c r="J3141"/>
    </row>
    <row r="3142" spans="1:10" s="2" customFormat="1">
      <c r="A3142" s="1"/>
      <c r="E3142"/>
      <c r="F3142"/>
      <c r="G3142"/>
      <c r="H3142"/>
      <c r="I3142"/>
      <c r="J3142"/>
    </row>
    <row r="3143" spans="1:10" s="2" customFormat="1">
      <c r="A3143" s="1"/>
      <c r="E3143"/>
      <c r="F3143"/>
      <c r="G3143"/>
      <c r="H3143"/>
      <c r="I3143"/>
      <c r="J3143"/>
    </row>
    <row r="3144" spans="1:10" s="2" customFormat="1">
      <c r="A3144" s="1"/>
      <c r="E3144"/>
      <c r="F3144"/>
      <c r="G3144"/>
      <c r="H3144"/>
      <c r="I3144"/>
      <c r="J3144"/>
    </row>
    <row r="3145" spans="1:10" s="2" customFormat="1">
      <c r="A3145" s="1"/>
      <c r="E3145"/>
      <c r="F3145"/>
      <c r="G3145"/>
      <c r="H3145"/>
      <c r="I3145"/>
      <c r="J3145"/>
    </row>
    <row r="3146" spans="1:10" s="2" customFormat="1">
      <c r="A3146" s="1"/>
      <c r="E3146"/>
      <c r="F3146"/>
      <c r="G3146"/>
      <c r="H3146"/>
      <c r="I3146"/>
      <c r="J3146"/>
    </row>
    <row r="3147" spans="1:10" s="2" customFormat="1">
      <c r="A3147" s="1"/>
      <c r="E3147"/>
      <c r="F3147"/>
      <c r="G3147"/>
      <c r="H3147"/>
      <c r="I3147"/>
      <c r="J3147"/>
    </row>
    <row r="3148" spans="1:10" s="2" customFormat="1">
      <c r="A3148" s="1"/>
      <c r="E3148"/>
      <c r="F3148"/>
      <c r="G3148"/>
      <c r="H3148"/>
      <c r="I3148"/>
      <c r="J3148"/>
    </row>
    <row r="3149" spans="1:10" s="2" customFormat="1">
      <c r="A3149" s="1"/>
      <c r="E3149"/>
      <c r="F3149"/>
      <c r="G3149"/>
      <c r="H3149"/>
      <c r="I3149"/>
      <c r="J3149"/>
    </row>
    <row r="3150" spans="1:10" s="2" customFormat="1">
      <c r="A3150" s="1"/>
      <c r="E3150"/>
      <c r="F3150"/>
      <c r="G3150"/>
      <c r="H3150"/>
      <c r="I3150"/>
      <c r="J3150"/>
    </row>
    <row r="3151" spans="1:10" s="2" customFormat="1">
      <c r="A3151" s="1"/>
      <c r="E3151"/>
      <c r="F3151"/>
      <c r="G3151"/>
      <c r="H3151"/>
      <c r="I3151"/>
      <c r="J3151"/>
    </row>
    <row r="3152" spans="1:10" s="2" customFormat="1">
      <c r="A3152" s="1"/>
      <c r="E3152"/>
      <c r="F3152"/>
      <c r="G3152"/>
      <c r="H3152"/>
      <c r="I3152"/>
      <c r="J3152"/>
    </row>
    <row r="3153" spans="1:10" s="2" customFormat="1">
      <c r="A3153" s="1"/>
      <c r="E3153"/>
      <c r="F3153"/>
      <c r="G3153"/>
      <c r="H3153"/>
      <c r="I3153"/>
      <c r="J3153"/>
    </row>
    <row r="3154" spans="1:10" s="2" customFormat="1">
      <c r="A3154" s="1"/>
      <c r="E3154"/>
      <c r="F3154"/>
      <c r="G3154"/>
      <c r="H3154"/>
      <c r="I3154"/>
      <c r="J3154"/>
    </row>
    <row r="3155" spans="1:10" s="2" customFormat="1">
      <c r="A3155" s="1"/>
      <c r="E3155"/>
      <c r="F3155"/>
      <c r="G3155"/>
      <c r="H3155"/>
      <c r="I3155"/>
      <c r="J3155"/>
    </row>
    <row r="3156" spans="1:10" s="2" customFormat="1">
      <c r="A3156" s="1"/>
      <c r="E3156"/>
      <c r="F3156"/>
      <c r="G3156"/>
      <c r="H3156"/>
      <c r="I3156"/>
      <c r="J3156"/>
    </row>
    <row r="3157" spans="1:10" s="2" customFormat="1">
      <c r="A3157" s="1"/>
      <c r="E3157"/>
      <c r="F3157"/>
      <c r="G3157"/>
      <c r="H3157"/>
      <c r="I3157"/>
      <c r="J3157"/>
    </row>
    <row r="3158" spans="1:10" s="2" customFormat="1">
      <c r="A3158" s="1"/>
      <c r="E3158"/>
      <c r="F3158"/>
      <c r="G3158"/>
      <c r="H3158"/>
      <c r="I3158"/>
      <c r="J3158"/>
    </row>
    <row r="3159" spans="1:10" s="2" customFormat="1">
      <c r="A3159" s="1"/>
      <c r="E3159"/>
      <c r="F3159"/>
      <c r="G3159"/>
      <c r="H3159"/>
      <c r="I3159"/>
      <c r="J3159"/>
    </row>
    <row r="3160" spans="1:10" s="2" customFormat="1">
      <c r="A3160" s="1"/>
      <c r="E3160"/>
      <c r="F3160"/>
      <c r="G3160"/>
      <c r="H3160"/>
      <c r="I3160"/>
      <c r="J3160"/>
    </row>
    <row r="3161" spans="1:10" s="2" customFormat="1">
      <c r="A3161" s="1"/>
      <c r="E3161"/>
      <c r="F3161"/>
      <c r="G3161"/>
      <c r="H3161"/>
      <c r="I3161"/>
      <c r="J3161"/>
    </row>
    <row r="3162" spans="1:10" s="2" customFormat="1">
      <c r="A3162" s="1"/>
      <c r="E3162"/>
      <c r="F3162"/>
      <c r="G3162"/>
      <c r="H3162"/>
      <c r="I3162"/>
      <c r="J3162"/>
    </row>
    <row r="3163" spans="1:10" s="2" customFormat="1">
      <c r="A3163" s="1"/>
      <c r="E3163"/>
      <c r="F3163"/>
      <c r="G3163"/>
      <c r="H3163"/>
      <c r="I3163"/>
      <c r="J3163"/>
    </row>
    <row r="3164" spans="1:10" s="2" customFormat="1">
      <c r="A3164" s="1"/>
      <c r="E3164"/>
      <c r="F3164"/>
      <c r="G3164"/>
      <c r="H3164"/>
      <c r="I3164"/>
      <c r="J3164"/>
    </row>
    <row r="3165" spans="1:10" s="2" customFormat="1">
      <c r="A3165" s="1"/>
      <c r="E3165"/>
      <c r="F3165"/>
      <c r="G3165"/>
      <c r="H3165"/>
      <c r="I3165"/>
      <c r="J3165"/>
    </row>
    <row r="3166" spans="1:10" s="2" customFormat="1">
      <c r="A3166" s="1"/>
      <c r="E3166"/>
      <c r="F3166"/>
      <c r="G3166"/>
      <c r="H3166"/>
      <c r="I3166"/>
      <c r="J3166"/>
    </row>
    <row r="3167" spans="1:10" s="2" customFormat="1">
      <c r="A3167" s="1"/>
      <c r="E3167"/>
      <c r="F3167"/>
      <c r="G3167"/>
      <c r="H3167"/>
      <c r="I3167"/>
      <c r="J3167"/>
    </row>
    <row r="3168" spans="1:10" s="2" customFormat="1">
      <c r="A3168" s="1"/>
      <c r="E3168"/>
      <c r="F3168"/>
      <c r="G3168"/>
      <c r="H3168"/>
      <c r="I3168"/>
      <c r="J3168"/>
    </row>
    <row r="3169" spans="1:10" s="2" customFormat="1">
      <c r="A3169" s="1"/>
      <c r="E3169"/>
      <c r="F3169"/>
      <c r="G3169"/>
      <c r="H3169"/>
      <c r="I3169"/>
      <c r="J3169"/>
    </row>
    <row r="3170" spans="1:10" s="2" customFormat="1">
      <c r="A3170" s="1"/>
      <c r="E3170"/>
      <c r="F3170"/>
      <c r="G3170"/>
      <c r="H3170"/>
      <c r="I3170"/>
      <c r="J3170"/>
    </row>
    <row r="3171" spans="1:10" s="2" customFormat="1">
      <c r="A3171" s="1"/>
      <c r="E3171"/>
      <c r="F3171"/>
      <c r="G3171"/>
      <c r="H3171"/>
      <c r="I3171"/>
      <c r="J3171"/>
    </row>
    <row r="3172" spans="1:10" s="2" customFormat="1">
      <c r="A3172" s="1"/>
      <c r="E3172"/>
      <c r="F3172"/>
      <c r="G3172"/>
      <c r="H3172"/>
      <c r="I3172"/>
      <c r="J3172"/>
    </row>
    <row r="3173" spans="1:10" s="2" customFormat="1">
      <c r="A3173" s="1"/>
      <c r="E3173"/>
      <c r="F3173"/>
      <c r="G3173"/>
      <c r="H3173"/>
      <c r="I3173"/>
      <c r="J3173"/>
    </row>
    <row r="3174" spans="1:10" s="2" customFormat="1">
      <c r="A3174" s="1"/>
      <c r="E3174"/>
      <c r="F3174"/>
      <c r="G3174"/>
      <c r="H3174"/>
      <c r="I3174"/>
      <c r="J3174"/>
    </row>
    <row r="3175" spans="1:10" s="2" customFormat="1">
      <c r="A3175" s="1"/>
      <c r="E3175"/>
      <c r="F3175"/>
      <c r="G3175"/>
      <c r="H3175"/>
      <c r="I3175"/>
      <c r="J3175"/>
    </row>
    <row r="3176" spans="1:10" s="2" customFormat="1">
      <c r="A3176" s="1"/>
      <c r="E3176"/>
      <c r="F3176"/>
      <c r="G3176"/>
      <c r="H3176"/>
      <c r="I3176"/>
      <c r="J3176"/>
    </row>
    <row r="3177" spans="1:10" s="2" customFormat="1">
      <c r="A3177" s="1"/>
      <c r="E3177"/>
      <c r="F3177"/>
      <c r="G3177"/>
      <c r="H3177"/>
      <c r="I3177"/>
      <c r="J3177"/>
    </row>
    <row r="3178" spans="1:10" s="2" customFormat="1">
      <c r="A3178" s="1"/>
      <c r="E3178"/>
      <c r="F3178"/>
      <c r="G3178"/>
      <c r="H3178"/>
      <c r="I3178"/>
      <c r="J3178"/>
    </row>
    <row r="3179" spans="1:10" s="2" customFormat="1">
      <c r="A3179" s="1"/>
      <c r="E3179"/>
      <c r="F3179"/>
      <c r="G3179"/>
      <c r="H3179"/>
      <c r="I3179"/>
      <c r="J3179"/>
    </row>
    <row r="3180" spans="1:10" s="2" customFormat="1">
      <c r="A3180" s="1"/>
      <c r="E3180"/>
      <c r="F3180"/>
      <c r="G3180"/>
      <c r="H3180"/>
      <c r="I3180"/>
      <c r="J3180"/>
    </row>
    <row r="3181" spans="1:10" s="2" customFormat="1">
      <c r="A3181" s="1"/>
      <c r="E3181"/>
      <c r="F3181"/>
      <c r="G3181"/>
      <c r="H3181"/>
      <c r="I3181"/>
      <c r="J3181"/>
    </row>
    <row r="3182" spans="1:10" s="2" customFormat="1">
      <c r="A3182" s="1"/>
      <c r="E3182"/>
      <c r="F3182"/>
      <c r="G3182"/>
      <c r="H3182"/>
      <c r="I3182"/>
      <c r="J3182"/>
    </row>
    <row r="3183" spans="1:10" s="2" customFormat="1">
      <c r="A3183" s="1"/>
      <c r="E3183"/>
      <c r="F3183"/>
      <c r="G3183"/>
      <c r="H3183"/>
      <c r="I3183"/>
      <c r="J3183"/>
    </row>
    <row r="3184" spans="1:10" s="2" customFormat="1">
      <c r="A3184" s="1"/>
      <c r="E3184"/>
      <c r="F3184"/>
      <c r="G3184"/>
      <c r="H3184"/>
      <c r="I3184"/>
      <c r="J3184"/>
    </row>
    <row r="3185" spans="1:10" s="2" customFormat="1">
      <c r="A3185" s="1"/>
      <c r="E3185"/>
      <c r="F3185"/>
      <c r="G3185"/>
      <c r="H3185"/>
      <c r="I3185"/>
      <c r="J3185"/>
    </row>
    <row r="3186" spans="1:10" s="2" customFormat="1">
      <c r="A3186" s="1"/>
      <c r="E3186"/>
      <c r="F3186"/>
      <c r="G3186"/>
      <c r="H3186"/>
      <c r="I3186"/>
      <c r="J3186"/>
    </row>
    <row r="3187" spans="1:10" s="2" customFormat="1">
      <c r="A3187" s="1"/>
      <c r="E3187"/>
      <c r="F3187"/>
      <c r="G3187"/>
      <c r="H3187"/>
      <c r="I3187"/>
      <c r="J3187"/>
    </row>
    <row r="3188" spans="1:10" s="2" customFormat="1">
      <c r="A3188" s="1"/>
      <c r="E3188"/>
      <c r="F3188"/>
      <c r="G3188"/>
      <c r="H3188"/>
      <c r="I3188"/>
      <c r="J3188"/>
    </row>
    <row r="3189" spans="1:10" s="2" customFormat="1">
      <c r="A3189" s="1"/>
      <c r="E3189"/>
      <c r="F3189"/>
      <c r="G3189"/>
      <c r="H3189"/>
      <c r="I3189"/>
      <c r="J3189"/>
    </row>
    <row r="3190" spans="1:10" s="2" customFormat="1">
      <c r="A3190" s="1"/>
      <c r="E3190"/>
      <c r="F3190"/>
      <c r="G3190"/>
      <c r="H3190"/>
      <c r="I3190"/>
      <c r="J3190"/>
    </row>
    <row r="3191" spans="1:10" s="2" customFormat="1">
      <c r="A3191" s="1"/>
      <c r="E3191"/>
      <c r="F3191"/>
      <c r="G3191"/>
      <c r="H3191"/>
      <c r="I3191"/>
      <c r="J3191"/>
    </row>
    <row r="3192" spans="1:10" s="2" customFormat="1">
      <c r="A3192" s="1"/>
      <c r="E3192"/>
      <c r="F3192"/>
      <c r="G3192"/>
      <c r="H3192"/>
      <c r="I3192"/>
      <c r="J3192"/>
    </row>
    <row r="3193" spans="1:10" s="2" customFormat="1">
      <c r="A3193" s="1"/>
      <c r="E3193"/>
      <c r="F3193"/>
      <c r="G3193"/>
      <c r="H3193"/>
      <c r="I3193"/>
      <c r="J3193"/>
    </row>
    <row r="3194" spans="1:10" s="2" customFormat="1">
      <c r="A3194" s="1"/>
      <c r="E3194"/>
      <c r="F3194"/>
      <c r="G3194"/>
      <c r="H3194"/>
      <c r="I3194"/>
      <c r="J3194"/>
    </row>
    <row r="3195" spans="1:10" s="2" customFormat="1">
      <c r="A3195" s="1"/>
      <c r="E3195"/>
      <c r="F3195"/>
      <c r="G3195"/>
      <c r="H3195"/>
      <c r="I3195"/>
      <c r="J3195"/>
    </row>
    <row r="3196" spans="1:10" s="2" customFormat="1">
      <c r="A3196" s="1"/>
      <c r="E3196"/>
      <c r="F3196"/>
      <c r="G3196"/>
      <c r="H3196"/>
      <c r="I3196"/>
      <c r="J3196"/>
    </row>
    <row r="3197" spans="1:10" s="2" customFormat="1">
      <c r="A3197" s="1"/>
      <c r="E3197"/>
      <c r="F3197"/>
      <c r="G3197"/>
      <c r="H3197"/>
      <c r="I3197"/>
      <c r="J3197"/>
    </row>
    <row r="3198" spans="1:10" s="2" customFormat="1">
      <c r="A3198" s="1"/>
      <c r="E3198"/>
      <c r="F3198"/>
      <c r="G3198"/>
      <c r="H3198"/>
      <c r="I3198"/>
      <c r="J3198"/>
    </row>
    <row r="3199" spans="1:10" s="2" customFormat="1">
      <c r="A3199" s="1"/>
      <c r="E3199"/>
      <c r="F3199"/>
      <c r="G3199"/>
      <c r="H3199"/>
      <c r="I3199"/>
      <c r="J3199"/>
    </row>
    <row r="3200" spans="1:10" s="2" customFormat="1">
      <c r="A3200" s="1"/>
      <c r="E3200"/>
      <c r="F3200"/>
      <c r="G3200"/>
      <c r="H3200"/>
      <c r="I3200"/>
      <c r="J3200"/>
    </row>
    <row r="3201" spans="1:10" s="2" customFormat="1">
      <c r="A3201" s="1"/>
      <c r="E3201"/>
      <c r="F3201"/>
      <c r="G3201"/>
      <c r="H3201"/>
      <c r="I3201"/>
      <c r="J3201"/>
    </row>
    <row r="3202" spans="1:10" s="2" customFormat="1">
      <c r="A3202" s="1"/>
      <c r="E3202"/>
      <c r="F3202"/>
      <c r="G3202"/>
      <c r="H3202"/>
      <c r="I3202"/>
      <c r="J3202"/>
    </row>
    <row r="3203" spans="1:10" s="2" customFormat="1">
      <c r="A3203" s="1"/>
      <c r="E3203"/>
      <c r="F3203"/>
      <c r="G3203"/>
      <c r="H3203"/>
      <c r="I3203"/>
      <c r="J3203"/>
    </row>
    <row r="3204" spans="1:10" s="2" customFormat="1">
      <c r="A3204" s="1"/>
      <c r="E3204"/>
      <c r="F3204"/>
      <c r="G3204"/>
      <c r="H3204"/>
      <c r="I3204"/>
      <c r="J3204"/>
    </row>
    <row r="3205" spans="1:10" s="2" customFormat="1">
      <c r="A3205" s="1"/>
      <c r="E3205"/>
      <c r="F3205"/>
      <c r="G3205"/>
      <c r="H3205"/>
      <c r="I3205"/>
      <c r="J3205"/>
    </row>
    <row r="3206" spans="1:10" s="2" customFormat="1">
      <c r="A3206" s="1"/>
      <c r="E3206"/>
      <c r="F3206"/>
      <c r="G3206"/>
      <c r="H3206"/>
      <c r="I3206"/>
      <c r="J3206"/>
    </row>
    <row r="3207" spans="1:10" s="2" customFormat="1">
      <c r="A3207" s="1"/>
      <c r="E3207"/>
      <c r="F3207"/>
      <c r="G3207"/>
      <c r="H3207"/>
      <c r="I3207"/>
      <c r="J3207"/>
    </row>
    <row r="3208" spans="1:10" s="2" customFormat="1">
      <c r="A3208" s="1"/>
      <c r="E3208"/>
      <c r="F3208"/>
      <c r="G3208"/>
      <c r="H3208"/>
      <c r="I3208"/>
      <c r="J3208"/>
    </row>
    <row r="3209" spans="1:10" s="2" customFormat="1">
      <c r="A3209" s="1"/>
      <c r="E3209"/>
      <c r="F3209"/>
      <c r="G3209"/>
      <c r="H3209"/>
      <c r="I3209"/>
      <c r="J3209"/>
    </row>
    <row r="3210" spans="1:10" s="2" customFormat="1">
      <c r="A3210" s="1"/>
      <c r="E3210"/>
      <c r="F3210"/>
      <c r="G3210"/>
      <c r="H3210"/>
      <c r="I3210"/>
      <c r="J3210"/>
    </row>
    <row r="3211" spans="1:10" s="2" customFormat="1">
      <c r="A3211" s="1"/>
      <c r="E3211"/>
      <c r="F3211"/>
      <c r="G3211"/>
      <c r="H3211"/>
      <c r="I3211"/>
      <c r="J3211"/>
    </row>
    <row r="3212" spans="1:10" s="2" customFormat="1">
      <c r="A3212" s="1"/>
      <c r="E3212"/>
      <c r="F3212"/>
      <c r="G3212"/>
      <c r="H3212"/>
      <c r="I3212"/>
      <c r="J3212"/>
    </row>
    <row r="3213" spans="1:10" s="2" customFormat="1">
      <c r="A3213" s="1"/>
      <c r="E3213"/>
      <c r="F3213"/>
      <c r="G3213"/>
      <c r="H3213"/>
      <c r="I3213"/>
      <c r="J3213"/>
    </row>
    <row r="3214" spans="1:10" s="2" customFormat="1">
      <c r="A3214" s="1"/>
      <c r="E3214"/>
      <c r="F3214"/>
      <c r="G3214"/>
      <c r="H3214"/>
      <c r="I3214"/>
      <c r="J3214"/>
    </row>
    <row r="3215" spans="1:10" s="2" customFormat="1">
      <c r="A3215" s="1"/>
      <c r="E3215"/>
      <c r="F3215"/>
      <c r="G3215"/>
      <c r="H3215"/>
      <c r="I3215"/>
      <c r="J3215"/>
    </row>
    <row r="3216" spans="1:10" s="2" customFormat="1">
      <c r="A3216" s="1"/>
      <c r="E3216"/>
      <c r="F3216"/>
      <c r="G3216"/>
      <c r="H3216"/>
      <c r="I3216"/>
      <c r="J3216"/>
    </row>
    <row r="3217" spans="1:10" s="2" customFormat="1">
      <c r="A3217" s="1"/>
      <c r="E3217"/>
      <c r="F3217"/>
      <c r="G3217"/>
      <c r="H3217"/>
      <c r="I3217"/>
      <c r="J3217"/>
    </row>
    <row r="3218" spans="1:10" s="2" customFormat="1">
      <c r="A3218" s="1"/>
      <c r="E3218"/>
      <c r="F3218"/>
      <c r="G3218"/>
      <c r="H3218"/>
      <c r="I3218"/>
      <c r="J3218"/>
    </row>
    <row r="3219" spans="1:10" s="2" customFormat="1">
      <c r="A3219" s="1"/>
      <c r="E3219"/>
      <c r="F3219"/>
      <c r="G3219"/>
      <c r="H3219"/>
      <c r="I3219"/>
      <c r="J3219"/>
    </row>
    <row r="3220" spans="1:10" s="2" customFormat="1">
      <c r="A3220" s="1"/>
      <c r="E3220"/>
      <c r="F3220"/>
      <c r="G3220"/>
      <c r="H3220"/>
      <c r="I3220"/>
      <c r="J3220"/>
    </row>
    <row r="3221" spans="1:10" s="2" customFormat="1">
      <c r="A3221" s="1"/>
      <c r="E3221"/>
      <c r="F3221"/>
      <c r="G3221"/>
      <c r="H3221"/>
      <c r="I3221"/>
      <c r="J3221"/>
    </row>
    <row r="3222" spans="1:10" s="2" customFormat="1">
      <c r="A3222" s="1"/>
      <c r="E3222"/>
      <c r="F3222"/>
      <c r="G3222"/>
      <c r="H3222"/>
      <c r="I3222"/>
      <c r="J3222"/>
    </row>
    <row r="3223" spans="1:10" s="2" customFormat="1">
      <c r="A3223" s="1"/>
      <c r="E3223"/>
      <c r="F3223"/>
      <c r="G3223"/>
      <c r="H3223"/>
      <c r="I3223"/>
      <c r="J3223"/>
    </row>
    <row r="3224" spans="1:10" s="2" customFormat="1">
      <c r="A3224" s="1"/>
      <c r="E3224"/>
      <c r="F3224"/>
      <c r="G3224"/>
      <c r="H3224"/>
      <c r="I3224"/>
      <c r="J3224"/>
    </row>
    <row r="3225" spans="1:10" s="2" customFormat="1">
      <c r="A3225" s="1"/>
      <c r="E3225"/>
      <c r="F3225"/>
      <c r="G3225"/>
      <c r="H3225"/>
      <c r="I3225"/>
      <c r="J3225"/>
    </row>
    <row r="3226" spans="1:10" s="2" customFormat="1">
      <c r="A3226" s="1"/>
      <c r="E3226"/>
      <c r="F3226"/>
      <c r="G3226"/>
      <c r="H3226"/>
      <c r="I3226"/>
      <c r="J3226"/>
    </row>
    <row r="3227" spans="1:10" s="2" customFormat="1">
      <c r="A3227" s="1"/>
      <c r="E3227"/>
      <c r="F3227"/>
      <c r="G3227"/>
      <c r="H3227"/>
      <c r="I3227"/>
      <c r="J3227"/>
    </row>
    <row r="3228" spans="1:10" s="2" customFormat="1">
      <c r="A3228" s="1"/>
      <c r="E3228"/>
      <c r="F3228"/>
      <c r="G3228"/>
      <c r="H3228"/>
      <c r="I3228"/>
      <c r="J3228"/>
    </row>
    <row r="3229" spans="1:10" s="2" customFormat="1">
      <c r="A3229" s="1"/>
      <c r="E3229"/>
      <c r="F3229"/>
      <c r="G3229"/>
      <c r="H3229"/>
      <c r="I3229"/>
      <c r="J3229"/>
    </row>
    <row r="3230" spans="1:10" s="2" customFormat="1">
      <c r="A3230" s="1"/>
      <c r="E3230"/>
      <c r="F3230"/>
      <c r="G3230"/>
      <c r="H3230"/>
      <c r="I3230"/>
      <c r="J3230"/>
    </row>
    <row r="3231" spans="1:10" s="2" customFormat="1">
      <c r="A3231" s="1"/>
      <c r="E3231"/>
      <c r="F3231"/>
      <c r="G3231"/>
      <c r="H3231"/>
      <c r="I3231"/>
      <c r="J3231"/>
    </row>
    <row r="3232" spans="1:10" s="2" customFormat="1">
      <c r="A3232" s="1"/>
      <c r="E3232"/>
      <c r="F3232"/>
      <c r="G3232"/>
      <c r="H3232"/>
      <c r="I3232"/>
      <c r="J3232"/>
    </row>
    <row r="3233" spans="1:10" s="2" customFormat="1">
      <c r="A3233" s="1"/>
      <c r="E3233"/>
      <c r="F3233"/>
      <c r="G3233"/>
      <c r="H3233"/>
      <c r="I3233"/>
      <c r="J3233"/>
    </row>
    <row r="3234" spans="1:10" s="2" customFormat="1">
      <c r="A3234" s="1"/>
      <c r="E3234"/>
      <c r="F3234"/>
      <c r="G3234"/>
      <c r="H3234"/>
      <c r="I3234"/>
      <c r="J3234"/>
    </row>
    <row r="3235" spans="1:10" s="2" customFormat="1">
      <c r="A3235" s="1"/>
      <c r="E3235"/>
      <c r="F3235"/>
      <c r="G3235"/>
      <c r="H3235"/>
      <c r="I3235"/>
      <c r="J3235"/>
    </row>
    <row r="3236" spans="1:10" s="2" customFormat="1">
      <c r="A3236" s="1"/>
      <c r="E3236"/>
      <c r="F3236"/>
      <c r="G3236"/>
      <c r="H3236"/>
      <c r="I3236"/>
      <c r="J3236"/>
    </row>
    <row r="3237" spans="1:10" s="2" customFormat="1">
      <c r="A3237" s="1"/>
      <c r="E3237"/>
      <c r="F3237"/>
      <c r="G3237"/>
      <c r="H3237"/>
      <c r="I3237"/>
      <c r="J3237"/>
    </row>
    <row r="3238" spans="1:10" s="2" customFormat="1">
      <c r="A3238" s="1"/>
      <c r="E3238"/>
      <c r="F3238"/>
      <c r="G3238"/>
      <c r="H3238"/>
      <c r="I3238"/>
      <c r="J3238"/>
    </row>
    <row r="3239" spans="1:10" s="2" customFormat="1">
      <c r="A3239" s="1"/>
      <c r="E3239"/>
      <c r="F3239"/>
      <c r="G3239"/>
      <c r="H3239"/>
      <c r="I3239"/>
      <c r="J3239"/>
    </row>
    <row r="3240" spans="1:10" s="2" customFormat="1">
      <c r="A3240" s="1"/>
      <c r="E3240"/>
      <c r="F3240"/>
      <c r="G3240"/>
      <c r="H3240"/>
      <c r="I3240"/>
      <c r="J3240"/>
    </row>
    <row r="3241" spans="1:10" s="2" customFormat="1">
      <c r="A3241" s="1"/>
      <c r="E3241"/>
      <c r="F3241"/>
      <c r="G3241"/>
      <c r="H3241"/>
      <c r="I3241"/>
      <c r="J3241"/>
    </row>
    <row r="3242" spans="1:10" s="2" customFormat="1">
      <c r="A3242" s="1"/>
      <c r="E3242"/>
      <c r="F3242"/>
      <c r="G3242"/>
      <c r="H3242"/>
      <c r="I3242"/>
      <c r="J3242"/>
    </row>
    <row r="3243" spans="1:10" s="2" customFormat="1">
      <c r="A3243" s="1"/>
      <c r="E3243"/>
      <c r="F3243"/>
      <c r="G3243"/>
      <c r="H3243"/>
      <c r="I3243"/>
      <c r="J3243"/>
    </row>
    <row r="3244" spans="1:10" s="2" customFormat="1">
      <c r="A3244" s="1"/>
      <c r="E3244"/>
      <c r="F3244"/>
      <c r="G3244"/>
      <c r="H3244"/>
      <c r="I3244"/>
      <c r="J3244"/>
    </row>
    <row r="3245" spans="1:10" s="2" customFormat="1">
      <c r="A3245" s="1"/>
      <c r="E3245"/>
      <c r="F3245"/>
      <c r="G3245"/>
      <c r="H3245"/>
      <c r="I3245"/>
      <c r="J3245"/>
    </row>
    <row r="3246" spans="1:10" s="2" customFormat="1">
      <c r="A3246" s="1"/>
      <c r="E3246"/>
      <c r="F3246"/>
      <c r="G3246"/>
      <c r="H3246"/>
      <c r="I3246"/>
      <c r="J3246"/>
    </row>
    <row r="3247" spans="1:10" s="2" customFormat="1">
      <c r="A3247" s="1"/>
      <c r="E3247"/>
      <c r="F3247"/>
      <c r="G3247"/>
      <c r="H3247"/>
      <c r="I3247"/>
      <c r="J3247"/>
    </row>
    <row r="3248" spans="1:10" s="2" customFormat="1">
      <c r="A3248" s="1"/>
      <c r="E3248"/>
      <c r="F3248"/>
      <c r="G3248"/>
      <c r="H3248"/>
      <c r="I3248"/>
      <c r="J3248"/>
    </row>
    <row r="3249" spans="1:10" s="2" customFormat="1">
      <c r="A3249" s="1"/>
      <c r="E3249"/>
      <c r="F3249"/>
      <c r="G3249"/>
      <c r="H3249"/>
      <c r="I3249"/>
      <c r="J3249"/>
    </row>
    <row r="3250" spans="1:10" s="2" customFormat="1">
      <c r="A3250" s="1"/>
      <c r="E3250"/>
      <c r="F3250"/>
      <c r="G3250"/>
      <c r="H3250"/>
      <c r="I3250"/>
      <c r="J3250"/>
    </row>
    <row r="3251" spans="1:10" s="2" customFormat="1">
      <c r="A3251" s="1"/>
      <c r="E3251"/>
      <c r="F3251"/>
      <c r="G3251"/>
      <c r="H3251"/>
      <c r="I3251"/>
      <c r="J3251"/>
    </row>
    <row r="3252" spans="1:10" s="2" customFormat="1">
      <c r="A3252" s="1"/>
      <c r="E3252"/>
      <c r="F3252"/>
      <c r="G3252"/>
      <c r="H3252"/>
      <c r="I3252"/>
      <c r="J3252"/>
    </row>
    <row r="3253" spans="1:10" s="2" customFormat="1">
      <c r="A3253" s="1"/>
      <c r="E3253"/>
      <c r="F3253"/>
      <c r="G3253"/>
      <c r="H3253"/>
      <c r="I3253"/>
      <c r="J3253"/>
    </row>
    <row r="3254" spans="1:10" s="2" customFormat="1">
      <c r="A3254" s="1"/>
      <c r="E3254"/>
      <c r="F3254"/>
      <c r="G3254"/>
      <c r="H3254"/>
      <c r="I3254"/>
      <c r="J3254"/>
    </row>
    <row r="3255" spans="1:10" s="2" customFormat="1">
      <c r="A3255" s="1"/>
      <c r="E3255"/>
      <c r="F3255"/>
      <c r="G3255"/>
      <c r="H3255"/>
      <c r="I3255"/>
      <c r="J3255"/>
    </row>
    <row r="3256" spans="1:10" s="2" customFormat="1">
      <c r="A3256" s="1"/>
      <c r="E3256"/>
      <c r="F3256"/>
      <c r="G3256"/>
      <c r="H3256"/>
      <c r="I3256"/>
      <c r="J3256"/>
    </row>
    <row r="3257" spans="1:10" s="2" customFormat="1">
      <c r="A3257" s="1"/>
      <c r="E3257"/>
      <c r="F3257"/>
      <c r="G3257"/>
      <c r="H3257"/>
      <c r="I3257"/>
      <c r="J3257"/>
    </row>
    <row r="3258" spans="1:10" s="2" customFormat="1">
      <c r="A3258" s="1"/>
      <c r="E3258"/>
      <c r="F3258"/>
      <c r="G3258"/>
      <c r="H3258"/>
      <c r="I3258"/>
      <c r="J3258"/>
    </row>
    <row r="3259" spans="1:10" s="2" customFormat="1">
      <c r="A3259" s="1"/>
      <c r="E3259"/>
      <c r="F3259"/>
      <c r="G3259"/>
      <c r="H3259"/>
      <c r="I3259"/>
      <c r="J3259"/>
    </row>
    <row r="3260" spans="1:10" s="2" customFormat="1">
      <c r="A3260" s="1"/>
      <c r="E3260"/>
      <c r="F3260"/>
      <c r="G3260"/>
      <c r="H3260"/>
      <c r="I3260"/>
      <c r="J3260"/>
    </row>
    <row r="3261" spans="1:10" s="2" customFormat="1">
      <c r="A3261" s="1"/>
      <c r="E3261"/>
      <c r="F3261"/>
      <c r="G3261"/>
      <c r="H3261"/>
      <c r="I3261"/>
      <c r="J3261"/>
    </row>
    <row r="3262" spans="1:10" s="2" customFormat="1">
      <c r="A3262" s="1"/>
      <c r="E3262"/>
      <c r="F3262"/>
      <c r="G3262"/>
      <c r="H3262"/>
      <c r="I3262"/>
      <c r="J3262"/>
    </row>
    <row r="3263" spans="1:10" s="2" customFormat="1">
      <c r="A3263" s="1"/>
      <c r="E3263"/>
      <c r="F3263"/>
      <c r="G3263"/>
      <c r="H3263"/>
      <c r="I3263"/>
      <c r="J3263"/>
    </row>
    <row r="3264" spans="1:10" s="2" customFormat="1">
      <c r="A3264" s="1"/>
      <c r="E3264"/>
      <c r="F3264"/>
      <c r="G3264"/>
      <c r="H3264"/>
      <c r="I3264"/>
      <c r="J3264"/>
    </row>
    <row r="3265" spans="1:10" s="2" customFormat="1">
      <c r="A3265" s="1"/>
      <c r="E3265"/>
      <c r="F3265"/>
      <c r="G3265"/>
      <c r="H3265"/>
      <c r="I3265"/>
      <c r="J3265"/>
    </row>
    <row r="3266" spans="1:10" s="2" customFormat="1">
      <c r="A3266" s="1"/>
      <c r="E3266"/>
      <c r="F3266"/>
      <c r="G3266"/>
      <c r="H3266"/>
      <c r="I3266"/>
      <c r="J3266"/>
    </row>
    <row r="3267" spans="1:10" s="2" customFormat="1">
      <c r="A3267" s="1"/>
      <c r="E3267"/>
      <c r="F3267"/>
      <c r="G3267"/>
      <c r="H3267"/>
      <c r="I3267"/>
      <c r="J3267"/>
    </row>
    <row r="3268" spans="1:10" s="2" customFormat="1">
      <c r="A3268" s="1"/>
      <c r="E3268"/>
      <c r="F3268"/>
      <c r="G3268"/>
      <c r="H3268"/>
      <c r="I3268"/>
      <c r="J3268"/>
    </row>
    <row r="3269" spans="1:10" s="2" customFormat="1">
      <c r="A3269" s="1"/>
      <c r="E3269"/>
      <c r="F3269"/>
      <c r="G3269"/>
      <c r="H3269"/>
      <c r="I3269"/>
      <c r="J3269"/>
    </row>
    <row r="3270" spans="1:10" s="2" customFormat="1">
      <c r="A3270" s="1"/>
      <c r="E3270"/>
      <c r="F3270"/>
      <c r="G3270"/>
      <c r="H3270"/>
      <c r="I3270"/>
      <c r="J3270"/>
    </row>
    <row r="3271" spans="1:10" s="2" customFormat="1">
      <c r="A3271" s="1"/>
      <c r="E3271"/>
      <c r="F3271"/>
      <c r="G3271"/>
      <c r="H3271"/>
      <c r="I3271"/>
      <c r="J3271"/>
    </row>
    <row r="3272" spans="1:10" s="2" customFormat="1">
      <c r="A3272" s="1"/>
      <c r="E3272"/>
      <c r="F3272"/>
      <c r="G3272"/>
      <c r="H3272"/>
      <c r="I3272"/>
      <c r="J3272"/>
    </row>
    <row r="3273" spans="1:10" s="2" customFormat="1">
      <c r="A3273" s="1"/>
      <c r="E3273"/>
      <c r="F3273"/>
      <c r="G3273"/>
      <c r="H3273"/>
      <c r="I3273"/>
      <c r="J3273"/>
    </row>
    <row r="3274" spans="1:10" s="2" customFormat="1">
      <c r="A3274" s="1"/>
      <c r="E3274"/>
      <c r="F3274"/>
      <c r="G3274"/>
      <c r="H3274"/>
      <c r="I3274"/>
      <c r="J3274"/>
    </row>
    <row r="3275" spans="1:10" s="2" customFormat="1">
      <c r="A3275" s="1"/>
      <c r="E3275"/>
      <c r="F3275"/>
      <c r="G3275"/>
      <c r="H3275"/>
      <c r="I3275"/>
      <c r="J3275"/>
    </row>
    <row r="3276" spans="1:10" s="2" customFormat="1">
      <c r="A3276" s="1"/>
      <c r="E3276"/>
      <c r="F3276"/>
      <c r="G3276"/>
      <c r="H3276"/>
      <c r="I3276"/>
      <c r="J3276"/>
    </row>
    <row r="3277" spans="1:10" s="2" customFormat="1">
      <c r="A3277" s="1"/>
      <c r="E3277"/>
      <c r="F3277"/>
      <c r="G3277"/>
      <c r="H3277"/>
      <c r="I3277"/>
      <c r="J3277"/>
    </row>
    <row r="3278" spans="1:10" s="2" customFormat="1">
      <c r="A3278" s="1"/>
      <c r="E3278"/>
      <c r="F3278"/>
      <c r="G3278"/>
      <c r="H3278"/>
      <c r="I3278"/>
      <c r="J3278"/>
    </row>
    <row r="3279" spans="1:10" s="2" customFormat="1">
      <c r="A3279" s="1"/>
      <c r="E3279"/>
      <c r="F3279"/>
      <c r="G3279"/>
      <c r="H3279"/>
      <c r="I3279"/>
      <c r="J3279"/>
    </row>
    <row r="3280" spans="1:10" s="2" customFormat="1">
      <c r="A3280" s="1"/>
      <c r="E3280"/>
      <c r="F3280"/>
      <c r="G3280"/>
      <c r="H3280"/>
      <c r="I3280"/>
      <c r="J3280"/>
    </row>
    <row r="3281" spans="1:10" s="2" customFormat="1">
      <c r="A3281" s="1"/>
      <c r="E3281"/>
      <c r="F3281"/>
      <c r="G3281"/>
      <c r="H3281"/>
      <c r="I3281"/>
      <c r="J3281"/>
    </row>
    <row r="3282" spans="1:10" s="2" customFormat="1">
      <c r="A3282" s="1"/>
      <c r="E3282"/>
      <c r="F3282"/>
      <c r="G3282"/>
      <c r="H3282"/>
      <c r="I3282"/>
      <c r="J3282"/>
    </row>
    <row r="3283" spans="1:10" s="2" customFormat="1">
      <c r="A3283" s="1"/>
      <c r="E3283"/>
      <c r="F3283"/>
      <c r="G3283"/>
      <c r="H3283"/>
      <c r="I3283"/>
      <c r="J3283"/>
    </row>
    <row r="3284" spans="1:10" s="2" customFormat="1">
      <c r="A3284" s="1"/>
      <c r="E3284"/>
      <c r="F3284"/>
      <c r="G3284"/>
      <c r="H3284"/>
      <c r="I3284"/>
      <c r="J3284"/>
    </row>
    <row r="3285" spans="1:10" s="2" customFormat="1">
      <c r="A3285" s="1"/>
      <c r="E3285"/>
      <c r="F3285"/>
      <c r="G3285"/>
      <c r="H3285"/>
      <c r="I3285"/>
      <c r="J3285"/>
    </row>
    <row r="3286" spans="1:10" s="2" customFormat="1">
      <c r="A3286" s="1"/>
      <c r="E3286"/>
      <c r="F3286"/>
      <c r="G3286"/>
      <c r="H3286"/>
      <c r="I3286"/>
      <c r="J3286"/>
    </row>
    <row r="3287" spans="1:10" s="2" customFormat="1">
      <c r="A3287" s="1"/>
      <c r="E3287"/>
      <c r="F3287"/>
      <c r="G3287"/>
      <c r="H3287"/>
      <c r="I3287"/>
      <c r="J3287"/>
    </row>
    <row r="3288" spans="1:10" s="2" customFormat="1">
      <c r="A3288" s="1"/>
      <c r="E3288"/>
      <c r="F3288"/>
      <c r="G3288"/>
      <c r="H3288"/>
      <c r="I3288"/>
      <c r="J3288"/>
    </row>
    <row r="3289" spans="1:10" s="2" customFormat="1">
      <c r="A3289" s="1"/>
      <c r="E3289"/>
      <c r="F3289"/>
      <c r="G3289"/>
      <c r="H3289"/>
      <c r="I3289"/>
      <c r="J3289"/>
    </row>
    <row r="3290" spans="1:10" s="2" customFormat="1">
      <c r="A3290" s="1"/>
      <c r="E3290"/>
      <c r="F3290"/>
      <c r="G3290"/>
      <c r="H3290"/>
      <c r="I3290"/>
      <c r="J3290"/>
    </row>
    <row r="3291" spans="1:10" s="2" customFormat="1">
      <c r="A3291" s="1"/>
      <c r="E3291"/>
      <c r="F3291"/>
      <c r="G3291"/>
      <c r="H3291"/>
      <c r="I3291"/>
      <c r="J3291"/>
    </row>
    <row r="3292" spans="1:10" s="2" customFormat="1">
      <c r="A3292" s="1"/>
      <c r="E3292"/>
      <c r="F3292"/>
      <c r="G3292"/>
      <c r="H3292"/>
      <c r="I3292"/>
      <c r="J3292"/>
    </row>
    <row r="3293" spans="1:10" s="2" customFormat="1">
      <c r="A3293" s="1"/>
      <c r="E3293"/>
      <c r="F3293"/>
      <c r="G3293"/>
      <c r="H3293"/>
      <c r="I3293"/>
      <c r="J3293"/>
    </row>
    <row r="3294" spans="1:10" s="2" customFormat="1">
      <c r="A3294" s="1"/>
      <c r="E3294"/>
      <c r="F3294"/>
      <c r="G3294"/>
      <c r="H3294"/>
      <c r="I3294"/>
      <c r="J3294"/>
    </row>
    <row r="3295" spans="1:10" s="2" customFormat="1">
      <c r="A3295" s="1"/>
      <c r="E3295"/>
      <c r="F3295"/>
      <c r="G3295"/>
      <c r="H3295"/>
      <c r="I3295"/>
      <c r="J3295"/>
    </row>
    <row r="3296" spans="1:10" s="2" customFormat="1">
      <c r="A3296" s="1"/>
      <c r="E3296"/>
      <c r="F3296"/>
      <c r="G3296"/>
      <c r="H3296"/>
      <c r="I3296"/>
      <c r="J3296"/>
    </row>
    <row r="3297" spans="1:10" s="2" customFormat="1">
      <c r="A3297" s="1"/>
      <c r="E3297"/>
      <c r="F3297"/>
      <c r="G3297"/>
      <c r="H3297"/>
      <c r="I3297"/>
      <c r="J3297"/>
    </row>
    <row r="3298" spans="1:10" s="2" customFormat="1">
      <c r="A3298" s="1"/>
      <c r="E3298"/>
      <c r="F3298"/>
      <c r="G3298"/>
      <c r="H3298"/>
      <c r="I3298"/>
      <c r="J3298"/>
    </row>
    <row r="3299" spans="1:10" s="2" customFormat="1">
      <c r="A3299" s="1"/>
      <c r="E3299"/>
      <c r="F3299"/>
      <c r="G3299"/>
      <c r="H3299"/>
      <c r="I3299"/>
      <c r="J3299"/>
    </row>
    <row r="3300" spans="1:10" s="2" customFormat="1">
      <c r="A3300" s="1"/>
      <c r="E3300"/>
      <c r="F3300"/>
      <c r="G3300"/>
      <c r="H3300"/>
      <c r="I3300"/>
      <c r="J3300"/>
    </row>
    <row r="3301" spans="1:10" s="2" customFormat="1">
      <c r="A3301" s="1"/>
      <c r="E3301"/>
      <c r="F3301"/>
      <c r="G3301"/>
      <c r="H3301"/>
      <c r="I3301"/>
      <c r="J3301"/>
    </row>
    <row r="3302" spans="1:10" s="2" customFormat="1">
      <c r="A3302" s="1"/>
      <c r="E3302"/>
      <c r="F3302"/>
      <c r="G3302"/>
      <c r="H3302"/>
      <c r="I3302"/>
      <c r="J3302"/>
    </row>
    <row r="3303" spans="1:10" s="2" customFormat="1">
      <c r="A3303" s="1"/>
      <c r="E3303"/>
      <c r="F3303"/>
      <c r="G3303"/>
      <c r="H3303"/>
      <c r="I3303"/>
      <c r="J3303"/>
    </row>
    <row r="3304" spans="1:10" s="2" customFormat="1">
      <c r="A3304" s="1"/>
      <c r="E3304"/>
      <c r="F3304"/>
      <c r="G3304"/>
      <c r="H3304"/>
      <c r="I3304"/>
      <c r="J3304"/>
    </row>
    <row r="3305" spans="1:10" s="2" customFormat="1">
      <c r="A3305" s="1"/>
      <c r="E3305"/>
      <c r="F3305"/>
      <c r="G3305"/>
      <c r="H3305"/>
      <c r="I3305"/>
      <c r="J3305"/>
    </row>
    <row r="3306" spans="1:10" s="2" customFormat="1">
      <c r="A3306" s="1"/>
      <c r="E3306"/>
      <c r="F3306"/>
      <c r="G3306"/>
      <c r="H3306"/>
      <c r="I3306"/>
      <c r="J3306"/>
    </row>
    <row r="3307" spans="1:10" s="2" customFormat="1">
      <c r="A3307" s="1"/>
      <c r="E3307"/>
      <c r="F3307"/>
      <c r="G3307"/>
      <c r="H3307"/>
      <c r="I3307"/>
      <c r="J3307"/>
    </row>
    <row r="3308" spans="1:10" s="2" customFormat="1">
      <c r="A3308" s="1"/>
      <c r="E3308"/>
      <c r="F3308"/>
      <c r="G3308"/>
      <c r="H3308"/>
      <c r="I3308"/>
      <c r="J3308"/>
    </row>
    <row r="3309" spans="1:10" s="2" customFormat="1">
      <c r="A3309" s="1"/>
      <c r="E3309"/>
      <c r="F3309"/>
      <c r="G3309"/>
      <c r="H3309"/>
      <c r="I3309"/>
      <c r="J3309"/>
    </row>
    <row r="3310" spans="1:10" s="2" customFormat="1">
      <c r="A3310" s="1"/>
      <c r="E3310"/>
      <c r="F3310"/>
      <c r="G3310"/>
      <c r="H3310"/>
      <c r="I3310"/>
      <c r="J3310"/>
    </row>
    <row r="3311" spans="1:10" s="2" customFormat="1">
      <c r="A3311" s="1"/>
      <c r="E3311"/>
      <c r="F3311"/>
      <c r="G3311"/>
      <c r="H3311"/>
      <c r="I3311"/>
      <c r="J3311"/>
    </row>
    <row r="3312" spans="1:10" s="2" customFormat="1">
      <c r="A3312" s="1"/>
      <c r="E3312"/>
      <c r="F3312"/>
      <c r="G3312"/>
      <c r="H3312"/>
      <c r="I3312"/>
      <c r="J3312"/>
    </row>
    <row r="3313" spans="1:10" s="2" customFormat="1">
      <c r="A3313" s="1"/>
      <c r="E3313"/>
      <c r="F3313"/>
      <c r="G3313"/>
      <c r="H3313"/>
      <c r="I3313"/>
      <c r="J3313"/>
    </row>
    <row r="3314" spans="1:10" s="2" customFormat="1">
      <c r="A3314" s="1"/>
      <c r="E3314"/>
      <c r="F3314"/>
      <c r="G3314"/>
      <c r="H3314"/>
      <c r="I3314"/>
      <c r="J3314"/>
    </row>
    <row r="3315" spans="1:10" s="2" customFormat="1">
      <c r="A3315" s="1"/>
      <c r="E3315"/>
      <c r="F3315"/>
      <c r="G3315"/>
      <c r="H3315"/>
      <c r="I3315"/>
      <c r="J3315"/>
    </row>
    <row r="3316" spans="1:10" s="2" customFormat="1">
      <c r="A3316" s="1"/>
      <c r="E3316"/>
      <c r="F3316"/>
      <c r="G3316"/>
      <c r="H3316"/>
      <c r="I3316"/>
      <c r="J3316"/>
    </row>
    <row r="3317" spans="1:10" s="2" customFormat="1">
      <c r="A3317" s="1"/>
      <c r="E3317"/>
      <c r="F3317"/>
      <c r="G3317"/>
      <c r="H3317"/>
      <c r="I3317"/>
      <c r="J3317"/>
    </row>
    <row r="3318" spans="1:10" s="2" customFormat="1">
      <c r="A3318" s="1"/>
      <c r="E3318"/>
      <c r="F3318"/>
      <c r="G3318"/>
      <c r="H3318"/>
      <c r="I3318"/>
      <c r="J3318"/>
    </row>
    <row r="3319" spans="1:10" s="2" customFormat="1">
      <c r="A3319" s="1"/>
      <c r="E3319"/>
      <c r="F3319"/>
      <c r="G3319"/>
      <c r="H3319"/>
      <c r="I3319"/>
      <c r="J3319"/>
    </row>
    <row r="3320" spans="1:10" s="2" customFormat="1">
      <c r="A3320" s="1"/>
      <c r="E3320"/>
      <c r="F3320"/>
      <c r="G3320"/>
      <c r="H3320"/>
      <c r="I3320"/>
      <c r="J3320"/>
    </row>
    <row r="3321" spans="1:10" s="2" customFormat="1">
      <c r="A3321" s="1"/>
      <c r="E3321"/>
      <c r="F3321"/>
      <c r="G3321"/>
      <c r="H3321"/>
      <c r="I3321"/>
      <c r="J3321"/>
    </row>
    <row r="3322" spans="1:10" s="2" customFormat="1">
      <c r="A3322" s="1"/>
      <c r="E3322"/>
      <c r="F3322"/>
      <c r="G3322"/>
      <c r="H3322"/>
      <c r="I3322"/>
      <c r="J3322"/>
    </row>
    <row r="3323" spans="1:10" s="2" customFormat="1">
      <c r="A3323" s="1"/>
      <c r="E3323"/>
      <c r="F3323"/>
      <c r="G3323"/>
      <c r="H3323"/>
      <c r="I3323"/>
      <c r="J3323"/>
    </row>
    <row r="3324" spans="1:10" s="2" customFormat="1">
      <c r="A3324" s="1"/>
      <c r="E3324"/>
      <c r="F3324"/>
      <c r="G3324"/>
      <c r="H3324"/>
      <c r="I3324"/>
      <c r="J3324"/>
    </row>
    <row r="3325" spans="1:10" s="2" customFormat="1">
      <c r="A3325" s="1"/>
      <c r="E3325"/>
      <c r="F3325"/>
      <c r="G3325"/>
      <c r="H3325"/>
      <c r="I3325"/>
      <c r="J3325"/>
    </row>
    <row r="3326" spans="1:10" s="2" customFormat="1">
      <c r="A3326" s="1"/>
      <c r="E3326"/>
      <c r="F3326"/>
      <c r="G3326"/>
      <c r="H3326"/>
      <c r="I3326"/>
      <c r="J3326"/>
    </row>
    <row r="3327" spans="1:10" s="2" customFormat="1">
      <c r="A3327" s="1"/>
      <c r="E3327"/>
      <c r="F3327"/>
      <c r="G3327"/>
      <c r="H3327"/>
      <c r="I3327"/>
      <c r="J3327"/>
    </row>
    <row r="3328" spans="1:10" s="2" customFormat="1">
      <c r="A3328" s="1"/>
      <c r="E3328"/>
      <c r="F3328"/>
      <c r="G3328"/>
      <c r="H3328"/>
      <c r="I3328"/>
      <c r="J3328"/>
    </row>
    <row r="3329" spans="1:10" s="2" customFormat="1">
      <c r="A3329" s="1"/>
      <c r="E3329"/>
      <c r="F3329"/>
      <c r="G3329"/>
      <c r="H3329"/>
      <c r="I3329"/>
      <c r="J3329"/>
    </row>
    <row r="3330" spans="1:10" s="2" customFormat="1">
      <c r="A3330" s="1"/>
      <c r="E3330"/>
      <c r="F3330"/>
      <c r="G3330"/>
      <c r="H3330"/>
      <c r="I3330"/>
      <c r="J3330"/>
    </row>
    <row r="3331" spans="1:10" s="2" customFormat="1">
      <c r="A3331" s="1"/>
      <c r="E3331"/>
      <c r="F3331"/>
      <c r="G3331"/>
      <c r="H3331"/>
      <c r="I3331"/>
      <c r="J3331"/>
    </row>
    <row r="3332" spans="1:10" s="2" customFormat="1">
      <c r="A3332" s="1"/>
      <c r="E3332"/>
      <c r="F3332"/>
      <c r="G3332"/>
      <c r="H3332"/>
      <c r="I3332"/>
      <c r="J3332"/>
    </row>
    <row r="3333" spans="1:10" s="2" customFormat="1">
      <c r="A3333" s="1"/>
      <c r="E3333"/>
      <c r="F3333"/>
      <c r="G3333"/>
      <c r="H3333"/>
      <c r="I3333"/>
      <c r="J3333"/>
    </row>
    <row r="3334" spans="1:10" s="2" customFormat="1">
      <c r="A3334" s="1"/>
      <c r="E3334"/>
      <c r="F3334"/>
      <c r="G3334"/>
      <c r="H3334"/>
      <c r="I3334"/>
      <c r="J3334"/>
    </row>
    <row r="3335" spans="1:10" s="2" customFormat="1">
      <c r="A3335" s="1"/>
      <c r="E3335"/>
      <c r="F3335"/>
      <c r="G3335"/>
      <c r="H3335"/>
      <c r="I3335"/>
      <c r="J3335"/>
    </row>
    <row r="3336" spans="1:10" s="2" customFormat="1">
      <c r="A3336" s="1"/>
      <c r="E3336"/>
      <c r="F3336"/>
      <c r="G3336"/>
      <c r="H3336"/>
      <c r="I3336"/>
      <c r="J3336"/>
    </row>
    <row r="3337" spans="1:10" s="2" customFormat="1">
      <c r="A3337" s="1"/>
      <c r="E3337"/>
      <c r="F3337"/>
      <c r="G3337"/>
      <c r="H3337"/>
      <c r="I3337"/>
      <c r="J3337"/>
    </row>
    <row r="3338" spans="1:10" s="2" customFormat="1">
      <c r="A3338" s="1"/>
      <c r="E3338"/>
      <c r="F3338"/>
      <c r="G3338"/>
      <c r="H3338"/>
      <c r="I3338"/>
      <c r="J3338"/>
    </row>
    <row r="3339" spans="1:10" s="2" customFormat="1">
      <c r="A3339" s="1"/>
      <c r="E3339"/>
      <c r="F3339"/>
      <c r="G3339"/>
      <c r="H3339"/>
      <c r="I3339"/>
      <c r="J3339"/>
    </row>
    <row r="3340" spans="1:10" s="2" customFormat="1">
      <c r="A3340" s="1"/>
      <c r="E3340"/>
      <c r="F3340"/>
      <c r="G3340"/>
      <c r="H3340"/>
      <c r="I3340"/>
      <c r="J3340"/>
    </row>
    <row r="3341" spans="1:10" s="2" customFormat="1">
      <c r="A3341" s="1"/>
      <c r="E3341"/>
      <c r="F3341"/>
      <c r="G3341"/>
      <c r="H3341"/>
      <c r="I3341"/>
      <c r="J3341"/>
    </row>
    <row r="3342" spans="1:10" s="2" customFormat="1">
      <c r="A3342" s="1"/>
      <c r="E3342"/>
      <c r="F3342"/>
      <c r="G3342"/>
      <c r="H3342"/>
      <c r="I3342"/>
      <c r="J3342"/>
    </row>
    <row r="3343" spans="1:10" s="2" customFormat="1">
      <c r="A3343" s="1"/>
      <c r="E3343"/>
      <c r="F3343"/>
      <c r="G3343"/>
      <c r="H3343"/>
      <c r="I3343"/>
      <c r="J3343"/>
    </row>
    <row r="3344" spans="1:10" s="2" customFormat="1">
      <c r="A3344" s="1"/>
      <c r="E3344"/>
      <c r="F3344"/>
      <c r="G3344"/>
      <c r="H3344"/>
      <c r="I3344"/>
      <c r="J3344"/>
    </row>
    <row r="3345" spans="1:10" s="2" customFormat="1">
      <c r="A3345" s="1"/>
      <c r="E3345"/>
      <c r="F3345"/>
      <c r="G3345"/>
      <c r="H3345"/>
      <c r="I3345"/>
      <c r="J3345"/>
    </row>
    <row r="3346" spans="1:10" s="2" customFormat="1">
      <c r="A3346" s="1"/>
      <c r="E3346"/>
      <c r="F3346"/>
      <c r="G3346"/>
      <c r="H3346"/>
      <c r="I3346"/>
      <c r="J3346"/>
    </row>
    <row r="3347" spans="1:10" s="2" customFormat="1">
      <c r="A3347" s="1"/>
      <c r="E3347"/>
      <c r="F3347"/>
      <c r="G3347"/>
      <c r="H3347"/>
      <c r="I3347"/>
      <c r="J3347"/>
    </row>
    <row r="3348" spans="1:10" s="2" customFormat="1">
      <c r="A3348" s="1"/>
      <c r="E3348"/>
      <c r="F3348"/>
      <c r="G3348"/>
      <c r="H3348"/>
      <c r="I3348"/>
      <c r="J3348"/>
    </row>
    <row r="3349" spans="1:10" s="2" customFormat="1">
      <c r="A3349" s="1"/>
      <c r="E3349"/>
      <c r="F3349"/>
      <c r="G3349"/>
      <c r="H3349"/>
      <c r="I3349"/>
      <c r="J3349"/>
    </row>
    <row r="3350" spans="1:10" s="2" customFormat="1">
      <c r="A3350" s="1"/>
      <c r="E3350"/>
      <c r="F3350"/>
      <c r="G3350"/>
      <c r="H3350"/>
      <c r="I3350"/>
      <c r="J3350"/>
    </row>
    <row r="3351" spans="1:10" s="2" customFormat="1">
      <c r="A3351" s="1"/>
      <c r="E3351"/>
      <c r="F3351"/>
      <c r="G3351"/>
      <c r="H3351"/>
      <c r="I3351"/>
      <c r="J3351"/>
    </row>
    <row r="3352" spans="1:10" s="2" customFormat="1">
      <c r="A3352" s="1"/>
      <c r="E3352"/>
      <c r="F3352"/>
      <c r="G3352"/>
      <c r="H3352"/>
      <c r="I3352"/>
      <c r="J3352"/>
    </row>
    <row r="3353" spans="1:10" s="2" customFormat="1">
      <c r="A3353" s="1"/>
      <c r="E3353"/>
      <c r="F3353"/>
      <c r="G3353"/>
      <c r="H3353"/>
      <c r="I3353"/>
      <c r="J3353"/>
    </row>
    <row r="3354" spans="1:10" s="2" customFormat="1">
      <c r="A3354" s="1"/>
      <c r="E3354"/>
      <c r="F3354"/>
      <c r="G3354"/>
      <c r="H3354"/>
      <c r="I3354"/>
      <c r="J3354"/>
    </row>
    <row r="3355" spans="1:10" s="2" customFormat="1">
      <c r="A3355" s="1"/>
      <c r="E3355"/>
      <c r="F3355"/>
      <c r="G3355"/>
      <c r="H3355"/>
      <c r="I3355"/>
      <c r="J3355"/>
    </row>
    <row r="3356" spans="1:10" s="2" customFormat="1">
      <c r="A3356" s="1"/>
      <c r="E3356"/>
      <c r="F3356"/>
      <c r="G3356"/>
      <c r="H3356"/>
      <c r="I3356"/>
      <c r="J3356"/>
    </row>
    <row r="3357" spans="1:10" s="2" customFormat="1">
      <c r="A3357" s="1"/>
      <c r="E3357"/>
      <c r="F3357"/>
      <c r="G3357"/>
      <c r="H3357"/>
      <c r="I3357"/>
      <c r="J3357"/>
    </row>
    <row r="3358" spans="1:10" s="2" customFormat="1">
      <c r="A3358" s="1"/>
      <c r="E3358"/>
      <c r="F3358"/>
      <c r="G3358"/>
      <c r="H3358"/>
      <c r="I3358"/>
      <c r="J3358"/>
    </row>
    <row r="3359" spans="1:10" s="2" customFormat="1">
      <c r="A3359" s="1"/>
      <c r="E3359"/>
      <c r="F3359"/>
      <c r="G3359"/>
      <c r="H3359"/>
      <c r="I3359"/>
      <c r="J3359"/>
    </row>
    <row r="3360" spans="1:10" s="2" customFormat="1">
      <c r="A3360" s="1"/>
      <c r="E3360"/>
      <c r="F3360"/>
      <c r="G3360"/>
      <c r="H3360"/>
      <c r="I3360"/>
      <c r="J3360"/>
    </row>
    <row r="3361" spans="1:10" s="2" customFormat="1">
      <c r="A3361" s="1"/>
      <c r="E3361"/>
      <c r="F3361"/>
      <c r="G3361"/>
      <c r="H3361"/>
      <c r="I3361"/>
      <c r="J3361"/>
    </row>
    <row r="3362" spans="1:10" s="2" customFormat="1">
      <c r="A3362" s="1"/>
      <c r="E3362"/>
      <c r="F3362"/>
      <c r="G3362"/>
      <c r="H3362"/>
      <c r="I3362"/>
      <c r="J3362"/>
    </row>
    <row r="3363" spans="1:10" s="2" customFormat="1">
      <c r="A3363" s="1"/>
      <c r="E3363"/>
      <c r="F3363"/>
      <c r="G3363"/>
      <c r="H3363"/>
      <c r="I3363"/>
      <c r="J3363"/>
    </row>
    <row r="3364" spans="1:10" s="2" customFormat="1">
      <c r="A3364" s="1"/>
      <c r="E3364"/>
      <c r="F3364"/>
      <c r="G3364"/>
      <c r="H3364"/>
      <c r="I3364"/>
      <c r="J3364"/>
    </row>
    <row r="3365" spans="1:10" s="2" customFormat="1">
      <c r="A3365" s="1"/>
      <c r="E3365"/>
      <c r="F3365"/>
      <c r="G3365"/>
      <c r="H3365"/>
      <c r="I3365"/>
      <c r="J3365"/>
    </row>
    <row r="3366" spans="1:10" s="2" customFormat="1">
      <c r="A3366" s="1"/>
      <c r="E3366"/>
      <c r="F3366"/>
      <c r="G3366"/>
      <c r="H3366"/>
      <c r="I3366"/>
      <c r="J3366"/>
    </row>
    <row r="3367" spans="1:10" s="2" customFormat="1">
      <c r="A3367" s="1"/>
      <c r="E3367"/>
      <c r="F3367"/>
      <c r="G3367"/>
      <c r="H3367"/>
      <c r="I3367"/>
      <c r="J3367"/>
    </row>
    <row r="3368" spans="1:10" s="2" customFormat="1">
      <c r="A3368" s="1"/>
      <c r="E3368"/>
      <c r="F3368"/>
      <c r="G3368"/>
      <c r="H3368"/>
      <c r="I3368"/>
      <c r="J3368"/>
    </row>
    <row r="3369" spans="1:10" s="2" customFormat="1">
      <c r="A3369" s="1"/>
      <c r="E3369"/>
      <c r="F3369"/>
      <c r="G3369"/>
      <c r="H3369"/>
      <c r="I3369"/>
      <c r="J3369"/>
    </row>
    <row r="3370" spans="1:10" s="2" customFormat="1">
      <c r="A3370" s="1"/>
      <c r="E3370"/>
      <c r="F3370"/>
      <c r="G3370"/>
      <c r="H3370"/>
      <c r="I3370"/>
      <c r="J3370"/>
    </row>
    <row r="3371" spans="1:10" s="2" customFormat="1">
      <c r="A3371" s="1"/>
      <c r="E3371"/>
      <c r="F3371"/>
      <c r="G3371"/>
      <c r="H3371"/>
      <c r="I3371"/>
      <c r="J3371"/>
    </row>
    <row r="3372" spans="1:10" s="2" customFormat="1">
      <c r="A3372" s="1"/>
      <c r="E3372"/>
      <c r="F3372"/>
      <c r="G3372"/>
      <c r="H3372"/>
      <c r="I3372"/>
      <c r="J3372"/>
    </row>
    <row r="3373" spans="1:10" s="2" customFormat="1">
      <c r="A3373" s="1"/>
      <c r="E3373"/>
      <c r="F3373"/>
      <c r="G3373"/>
      <c r="H3373"/>
      <c r="I3373"/>
      <c r="J3373"/>
    </row>
    <row r="3374" spans="1:10" s="2" customFormat="1">
      <c r="A3374" s="1"/>
      <c r="E3374"/>
      <c r="F3374"/>
      <c r="G3374"/>
      <c r="H3374"/>
      <c r="I3374"/>
      <c r="J3374"/>
    </row>
    <row r="3375" spans="1:10" s="2" customFormat="1">
      <c r="A3375" s="1"/>
      <c r="E3375"/>
      <c r="F3375"/>
      <c r="G3375"/>
      <c r="H3375"/>
      <c r="I3375"/>
      <c r="J3375"/>
    </row>
    <row r="3376" spans="1:10" s="2" customFormat="1">
      <c r="A3376" s="1"/>
      <c r="E3376"/>
      <c r="F3376"/>
      <c r="G3376"/>
      <c r="H3376"/>
      <c r="I3376"/>
      <c r="J3376"/>
    </row>
    <row r="3377" spans="1:10" s="2" customFormat="1">
      <c r="A3377" s="1"/>
      <c r="E3377"/>
      <c r="F3377"/>
      <c r="G3377"/>
      <c r="H3377"/>
      <c r="I3377"/>
      <c r="J3377"/>
    </row>
    <row r="3378" spans="1:10" s="2" customFormat="1">
      <c r="A3378" s="1"/>
      <c r="E3378"/>
      <c r="F3378"/>
      <c r="G3378"/>
      <c r="H3378"/>
      <c r="I3378"/>
      <c r="J3378"/>
    </row>
    <row r="3379" spans="1:10" s="2" customFormat="1">
      <c r="A3379" s="1"/>
      <c r="E3379"/>
      <c r="F3379"/>
      <c r="G3379"/>
      <c r="H3379"/>
      <c r="I3379"/>
      <c r="J3379"/>
    </row>
    <row r="3380" spans="1:10" s="2" customFormat="1">
      <c r="A3380" s="1"/>
      <c r="E3380"/>
      <c r="F3380"/>
      <c r="G3380"/>
      <c r="H3380"/>
      <c r="I3380"/>
      <c r="J3380"/>
    </row>
    <row r="3381" spans="1:10" s="2" customFormat="1">
      <c r="A3381" s="1"/>
      <c r="E3381"/>
      <c r="F3381"/>
      <c r="G3381"/>
      <c r="H3381"/>
      <c r="I3381"/>
      <c r="J3381"/>
    </row>
    <row r="3382" spans="1:10" s="2" customFormat="1">
      <c r="A3382" s="1"/>
      <c r="E3382"/>
      <c r="F3382"/>
      <c r="G3382"/>
      <c r="H3382"/>
      <c r="I3382"/>
      <c r="J3382"/>
    </row>
    <row r="3383" spans="1:10" s="2" customFormat="1">
      <c r="A3383" s="1"/>
      <c r="E3383"/>
      <c r="F3383"/>
      <c r="G3383"/>
      <c r="H3383"/>
      <c r="I3383"/>
      <c r="J3383"/>
    </row>
    <row r="3384" spans="1:10" s="2" customFormat="1">
      <c r="A3384" s="1"/>
      <c r="E3384"/>
      <c r="F3384"/>
      <c r="G3384"/>
      <c r="H3384"/>
      <c r="I3384"/>
      <c r="J3384"/>
    </row>
    <row r="3385" spans="1:10" s="2" customFormat="1">
      <c r="A3385" s="1"/>
      <c r="E3385"/>
      <c r="F3385"/>
      <c r="G3385"/>
      <c r="H3385"/>
      <c r="I3385"/>
      <c r="J3385"/>
    </row>
    <row r="3386" spans="1:10" s="2" customFormat="1">
      <c r="A3386" s="1"/>
      <c r="E3386"/>
      <c r="F3386"/>
      <c r="G3386"/>
      <c r="H3386"/>
      <c r="I3386"/>
      <c r="J3386"/>
    </row>
    <row r="3387" spans="1:10" s="2" customFormat="1">
      <c r="A3387" s="1"/>
      <c r="E3387"/>
      <c r="F3387"/>
      <c r="G3387"/>
      <c r="H3387"/>
      <c r="I3387"/>
      <c r="J3387"/>
    </row>
    <row r="3388" spans="1:10" s="2" customFormat="1">
      <c r="A3388" s="1"/>
      <c r="E3388"/>
      <c r="F3388"/>
      <c r="G3388"/>
      <c r="H3388"/>
      <c r="I3388"/>
      <c r="J3388"/>
    </row>
    <row r="3389" spans="1:10" s="2" customFormat="1">
      <c r="A3389" s="1"/>
      <c r="E3389"/>
      <c r="F3389"/>
      <c r="G3389"/>
      <c r="H3389"/>
      <c r="I3389"/>
      <c r="J3389"/>
    </row>
    <row r="3390" spans="1:10" s="2" customFormat="1">
      <c r="A3390" s="1"/>
      <c r="E3390"/>
      <c r="F3390"/>
      <c r="G3390"/>
      <c r="H3390"/>
      <c r="I3390"/>
      <c r="J3390"/>
    </row>
    <row r="3391" spans="1:10" s="2" customFormat="1">
      <c r="A3391" s="1"/>
      <c r="E3391"/>
      <c r="F3391"/>
      <c r="G3391"/>
      <c r="H3391"/>
      <c r="I3391"/>
      <c r="J3391"/>
    </row>
    <row r="3392" spans="1:10" s="2" customFormat="1">
      <c r="A3392" s="1"/>
      <c r="E3392"/>
      <c r="F3392"/>
      <c r="G3392"/>
      <c r="H3392"/>
      <c r="I3392"/>
      <c r="J3392"/>
    </row>
    <row r="3393" spans="1:10" s="2" customFormat="1">
      <c r="A3393" s="1"/>
      <c r="E3393"/>
      <c r="F3393"/>
      <c r="G3393"/>
      <c r="H3393"/>
      <c r="I3393"/>
      <c r="J3393"/>
    </row>
    <row r="3394" spans="1:10" s="2" customFormat="1">
      <c r="A3394" s="1"/>
      <c r="E3394"/>
      <c r="F3394"/>
      <c r="G3394"/>
      <c r="H3394"/>
      <c r="I3394"/>
      <c r="J3394"/>
    </row>
    <row r="3395" spans="1:10" s="2" customFormat="1">
      <c r="A3395" s="1"/>
      <c r="E3395"/>
      <c r="F3395"/>
      <c r="G3395"/>
      <c r="H3395"/>
      <c r="I3395"/>
      <c r="J3395"/>
    </row>
    <row r="3396" spans="1:10" s="2" customFormat="1">
      <c r="A3396" s="1"/>
      <c r="E3396"/>
      <c r="F3396"/>
      <c r="G3396"/>
      <c r="H3396"/>
      <c r="I3396"/>
      <c r="J3396"/>
    </row>
    <row r="3397" spans="1:10" s="2" customFormat="1">
      <c r="A3397" s="1"/>
      <c r="E3397"/>
      <c r="F3397"/>
      <c r="G3397"/>
      <c r="H3397"/>
      <c r="I3397"/>
      <c r="J3397"/>
    </row>
    <row r="3398" spans="1:10" s="2" customFormat="1">
      <c r="A3398" s="1"/>
      <c r="E3398"/>
      <c r="F3398"/>
      <c r="G3398"/>
      <c r="H3398"/>
      <c r="I3398"/>
      <c r="J3398"/>
    </row>
    <row r="3399" spans="1:10" s="2" customFormat="1">
      <c r="A3399" s="1"/>
      <c r="E3399"/>
      <c r="F3399"/>
      <c r="G3399"/>
      <c r="H3399"/>
      <c r="I3399"/>
      <c r="J3399"/>
    </row>
    <row r="3400" spans="1:10" s="2" customFormat="1">
      <c r="A3400" s="1"/>
      <c r="E3400"/>
      <c r="F3400"/>
      <c r="G3400"/>
      <c r="H3400"/>
      <c r="I3400"/>
      <c r="J3400"/>
    </row>
    <row r="3401" spans="1:10" s="2" customFormat="1">
      <c r="A3401" s="1"/>
      <c r="E3401"/>
      <c r="F3401"/>
      <c r="G3401"/>
      <c r="H3401"/>
      <c r="I3401"/>
      <c r="J3401"/>
    </row>
    <row r="3402" spans="1:10" s="2" customFormat="1">
      <c r="A3402" s="1"/>
      <c r="E3402"/>
      <c r="F3402"/>
      <c r="G3402"/>
      <c r="H3402"/>
      <c r="I3402"/>
      <c r="J3402"/>
    </row>
    <row r="3403" spans="1:10" s="2" customFormat="1">
      <c r="A3403" s="1"/>
      <c r="E3403"/>
      <c r="F3403"/>
      <c r="G3403"/>
      <c r="H3403"/>
      <c r="I3403"/>
      <c r="J3403"/>
    </row>
    <row r="3404" spans="1:10" s="2" customFormat="1">
      <c r="A3404" s="1"/>
      <c r="E3404"/>
      <c r="F3404"/>
      <c r="G3404"/>
      <c r="H3404"/>
      <c r="I3404"/>
      <c r="J3404"/>
    </row>
    <row r="3405" spans="1:10" s="2" customFormat="1">
      <c r="A3405" s="1"/>
      <c r="E3405"/>
      <c r="F3405"/>
      <c r="G3405"/>
      <c r="H3405"/>
      <c r="I3405"/>
      <c r="J3405"/>
    </row>
    <row r="3406" spans="1:10" s="2" customFormat="1">
      <c r="A3406" s="1"/>
      <c r="E3406"/>
      <c r="F3406"/>
      <c r="G3406"/>
      <c r="H3406"/>
      <c r="I3406"/>
      <c r="J3406"/>
    </row>
    <row r="3407" spans="1:10" s="2" customFormat="1">
      <c r="A3407" s="1"/>
      <c r="E3407"/>
      <c r="F3407"/>
      <c r="G3407"/>
      <c r="H3407"/>
      <c r="I3407"/>
      <c r="J3407"/>
    </row>
    <row r="3408" spans="1:10" s="2" customFormat="1">
      <c r="A3408" s="1"/>
      <c r="E3408"/>
      <c r="F3408"/>
      <c r="G3408"/>
      <c r="H3408"/>
      <c r="I3408"/>
      <c r="J3408"/>
    </row>
    <row r="3409" spans="1:10" s="2" customFormat="1">
      <c r="A3409" s="1"/>
      <c r="E3409"/>
      <c r="F3409"/>
      <c r="G3409"/>
      <c r="H3409"/>
      <c r="I3409"/>
      <c r="J3409"/>
    </row>
    <row r="3410" spans="1:10" s="2" customFormat="1">
      <c r="A3410" s="1"/>
      <c r="E3410"/>
      <c r="F3410"/>
      <c r="G3410"/>
      <c r="H3410"/>
      <c r="I3410"/>
      <c r="J3410"/>
    </row>
    <row r="3411" spans="1:10" s="2" customFormat="1">
      <c r="A3411" s="1"/>
      <c r="E3411"/>
      <c r="F3411"/>
      <c r="G3411"/>
      <c r="H3411"/>
      <c r="I3411"/>
      <c r="J3411"/>
    </row>
    <row r="3412" spans="1:10" s="2" customFormat="1">
      <c r="A3412" s="1"/>
      <c r="E3412"/>
      <c r="F3412"/>
      <c r="G3412"/>
      <c r="H3412"/>
      <c r="I3412"/>
      <c r="J3412"/>
    </row>
    <row r="3413" spans="1:10" s="2" customFormat="1">
      <c r="A3413" s="1"/>
      <c r="E3413"/>
      <c r="F3413"/>
      <c r="G3413"/>
      <c r="H3413"/>
      <c r="I3413"/>
      <c r="J3413"/>
    </row>
    <row r="3414" spans="1:10" s="2" customFormat="1">
      <c r="A3414" s="1"/>
      <c r="E3414"/>
      <c r="F3414"/>
      <c r="G3414"/>
      <c r="H3414"/>
      <c r="I3414"/>
      <c r="J3414"/>
    </row>
    <row r="3415" spans="1:10" s="2" customFormat="1">
      <c r="A3415" s="1"/>
      <c r="E3415"/>
      <c r="F3415"/>
      <c r="G3415"/>
      <c r="H3415"/>
      <c r="I3415"/>
      <c r="J3415"/>
    </row>
    <row r="3416" spans="1:10" s="2" customFormat="1">
      <c r="A3416" s="1"/>
      <c r="E3416"/>
      <c r="F3416"/>
      <c r="G3416"/>
      <c r="H3416"/>
      <c r="I3416"/>
      <c r="J3416"/>
    </row>
    <row r="3417" spans="1:10" s="2" customFormat="1">
      <c r="A3417" s="1"/>
      <c r="E3417"/>
      <c r="F3417"/>
      <c r="G3417"/>
      <c r="H3417"/>
      <c r="I3417"/>
      <c r="J3417"/>
    </row>
    <row r="3418" spans="1:10" s="2" customFormat="1">
      <c r="A3418" s="1"/>
      <c r="E3418"/>
      <c r="F3418"/>
      <c r="G3418"/>
      <c r="H3418"/>
      <c r="I3418"/>
      <c r="J3418"/>
    </row>
    <row r="3419" spans="1:10" s="2" customFormat="1">
      <c r="A3419" s="1"/>
      <c r="E3419"/>
      <c r="F3419"/>
      <c r="G3419"/>
      <c r="H3419"/>
      <c r="I3419"/>
      <c r="J3419"/>
    </row>
    <row r="3420" spans="1:10" s="2" customFormat="1">
      <c r="A3420" s="1"/>
      <c r="E3420"/>
      <c r="F3420"/>
      <c r="G3420"/>
      <c r="H3420"/>
      <c r="I3420"/>
      <c r="J3420"/>
    </row>
    <row r="3421" spans="1:10" s="2" customFormat="1">
      <c r="A3421" s="1"/>
      <c r="E3421"/>
      <c r="F3421"/>
      <c r="G3421"/>
      <c r="H3421"/>
      <c r="I3421"/>
      <c r="J3421"/>
    </row>
    <row r="3422" spans="1:10" s="2" customFormat="1">
      <c r="A3422" s="1"/>
      <c r="E3422"/>
      <c r="F3422"/>
      <c r="G3422"/>
      <c r="H3422"/>
      <c r="I3422"/>
      <c r="J3422"/>
    </row>
    <row r="3423" spans="1:10" s="2" customFormat="1">
      <c r="A3423" s="1"/>
      <c r="E3423"/>
      <c r="F3423"/>
      <c r="G3423"/>
      <c r="H3423"/>
      <c r="I3423"/>
      <c r="J3423"/>
    </row>
    <row r="3424" spans="1:10" s="2" customFormat="1">
      <c r="A3424" s="1"/>
      <c r="E3424"/>
      <c r="F3424"/>
      <c r="G3424"/>
      <c r="H3424"/>
      <c r="I3424"/>
      <c r="J3424"/>
    </row>
    <row r="3425" spans="1:10" s="2" customFormat="1">
      <c r="A3425" s="1"/>
      <c r="E3425"/>
      <c r="F3425"/>
      <c r="G3425"/>
      <c r="H3425"/>
      <c r="I3425"/>
      <c r="J3425"/>
    </row>
    <row r="3426" spans="1:10" s="2" customFormat="1">
      <c r="A3426" s="1"/>
      <c r="E3426"/>
      <c r="F3426"/>
      <c r="G3426"/>
      <c r="H3426"/>
      <c r="I3426"/>
      <c r="J3426"/>
    </row>
    <row r="3427" spans="1:10" s="2" customFormat="1">
      <c r="A3427" s="1"/>
      <c r="E3427"/>
      <c r="F3427"/>
      <c r="G3427"/>
      <c r="H3427"/>
      <c r="I3427"/>
      <c r="J3427"/>
    </row>
    <row r="3428" spans="1:10" s="2" customFormat="1">
      <c r="A3428" s="1"/>
      <c r="E3428"/>
      <c r="F3428"/>
      <c r="G3428"/>
      <c r="H3428"/>
      <c r="I3428"/>
      <c r="J3428"/>
    </row>
    <row r="3429" spans="1:10" s="2" customFormat="1">
      <c r="A3429" s="1"/>
      <c r="E3429"/>
      <c r="F3429"/>
      <c r="G3429"/>
      <c r="H3429"/>
      <c r="I3429"/>
      <c r="J3429"/>
    </row>
    <row r="3430" spans="1:10" s="2" customFormat="1">
      <c r="A3430" s="1"/>
      <c r="E3430"/>
      <c r="F3430"/>
      <c r="G3430"/>
      <c r="H3430"/>
      <c r="I3430"/>
      <c r="J3430"/>
    </row>
    <row r="3431" spans="1:10" s="2" customFormat="1">
      <c r="A3431" s="1"/>
      <c r="E3431"/>
      <c r="F3431"/>
      <c r="G3431"/>
      <c r="H3431"/>
      <c r="I3431"/>
      <c r="J3431"/>
    </row>
    <row r="3432" spans="1:10" s="2" customFormat="1">
      <c r="A3432" s="1"/>
      <c r="E3432"/>
      <c r="F3432"/>
      <c r="G3432"/>
      <c r="H3432"/>
      <c r="I3432"/>
      <c r="J3432"/>
    </row>
    <row r="3433" spans="1:10" s="2" customFormat="1">
      <c r="A3433" s="1"/>
      <c r="E3433"/>
      <c r="F3433"/>
      <c r="G3433"/>
      <c r="H3433"/>
      <c r="I3433"/>
      <c r="J3433"/>
    </row>
    <row r="3434" spans="1:10" s="2" customFormat="1">
      <c r="A3434" s="1"/>
      <c r="E3434"/>
      <c r="F3434"/>
      <c r="G3434"/>
      <c r="H3434"/>
      <c r="I3434"/>
      <c r="J3434"/>
    </row>
    <row r="3435" spans="1:10" s="2" customFormat="1">
      <c r="A3435" s="1"/>
      <c r="E3435"/>
      <c r="F3435"/>
      <c r="G3435"/>
      <c r="H3435"/>
      <c r="I3435"/>
      <c r="J3435"/>
    </row>
    <row r="3436" spans="1:10" s="2" customFormat="1">
      <c r="A3436" s="1"/>
      <c r="E3436"/>
      <c r="F3436"/>
      <c r="G3436"/>
      <c r="H3436"/>
      <c r="I3436"/>
      <c r="J3436"/>
    </row>
    <row r="3437" spans="1:10" s="2" customFormat="1">
      <c r="A3437" s="1"/>
      <c r="E3437"/>
      <c r="F3437"/>
      <c r="G3437"/>
      <c r="H3437"/>
      <c r="I3437"/>
      <c r="J3437"/>
    </row>
    <row r="3438" spans="1:10" s="2" customFormat="1">
      <c r="A3438" s="1"/>
      <c r="E3438"/>
      <c r="F3438"/>
      <c r="G3438"/>
      <c r="H3438"/>
      <c r="I3438"/>
      <c r="J3438"/>
    </row>
    <row r="3439" spans="1:10" s="2" customFormat="1">
      <c r="A3439" s="1"/>
      <c r="E3439"/>
      <c r="F3439"/>
      <c r="G3439"/>
      <c r="H3439"/>
      <c r="I3439"/>
      <c r="J3439"/>
    </row>
    <row r="3440" spans="1:10" s="2" customFormat="1">
      <c r="A3440" s="1"/>
      <c r="E3440"/>
      <c r="F3440"/>
      <c r="G3440"/>
      <c r="H3440"/>
      <c r="I3440"/>
      <c r="J3440"/>
    </row>
    <row r="3441" spans="1:10" s="2" customFormat="1">
      <c r="A3441" s="1"/>
      <c r="E3441"/>
      <c r="F3441"/>
      <c r="G3441"/>
      <c r="H3441"/>
      <c r="I3441"/>
      <c r="J3441"/>
    </row>
    <row r="3442" spans="1:10" s="2" customFormat="1">
      <c r="A3442" s="1"/>
      <c r="E3442"/>
      <c r="F3442"/>
      <c r="G3442"/>
      <c r="H3442"/>
      <c r="I3442"/>
      <c r="J3442"/>
    </row>
    <row r="3443" spans="1:10" s="2" customFormat="1">
      <c r="A3443" s="1"/>
      <c r="E3443"/>
      <c r="F3443"/>
      <c r="G3443"/>
      <c r="H3443"/>
      <c r="I3443"/>
      <c r="J3443"/>
    </row>
    <row r="3444" spans="1:10" s="2" customFormat="1">
      <c r="A3444" s="1"/>
      <c r="E3444"/>
      <c r="F3444"/>
      <c r="G3444"/>
      <c r="H3444"/>
      <c r="I3444"/>
      <c r="J3444"/>
    </row>
    <row r="3445" spans="1:10" s="2" customFormat="1">
      <c r="A3445" s="1"/>
      <c r="E3445"/>
      <c r="F3445"/>
      <c r="G3445"/>
      <c r="H3445"/>
      <c r="I3445"/>
      <c r="J3445"/>
    </row>
    <row r="3446" spans="1:10" s="2" customFormat="1">
      <c r="A3446" s="1"/>
      <c r="E3446"/>
      <c r="F3446"/>
      <c r="G3446"/>
      <c r="H3446"/>
      <c r="I3446"/>
      <c r="J3446"/>
    </row>
    <row r="3447" spans="1:10" s="2" customFormat="1">
      <c r="A3447" s="1"/>
      <c r="E3447"/>
      <c r="F3447"/>
      <c r="G3447"/>
      <c r="H3447"/>
      <c r="I3447"/>
      <c r="J3447"/>
    </row>
    <row r="3448" spans="1:10" s="2" customFormat="1">
      <c r="A3448" s="1"/>
      <c r="E3448"/>
      <c r="F3448"/>
      <c r="G3448"/>
      <c r="H3448"/>
      <c r="I3448"/>
      <c r="J3448"/>
    </row>
    <row r="3449" spans="1:10" s="2" customFormat="1">
      <c r="A3449" s="1"/>
      <c r="E3449"/>
      <c r="F3449"/>
      <c r="G3449"/>
      <c r="H3449"/>
      <c r="I3449"/>
      <c r="J3449"/>
    </row>
    <row r="3450" spans="1:10" s="2" customFormat="1">
      <c r="A3450" s="1"/>
      <c r="E3450"/>
      <c r="F3450"/>
      <c r="G3450"/>
      <c r="H3450"/>
      <c r="I3450"/>
      <c r="J3450"/>
    </row>
    <row r="3451" spans="1:10" s="2" customFormat="1">
      <c r="A3451" s="1"/>
      <c r="E3451"/>
      <c r="F3451"/>
      <c r="G3451"/>
      <c r="H3451"/>
      <c r="I3451"/>
      <c r="J3451"/>
    </row>
    <row r="3452" spans="1:10" s="2" customFormat="1">
      <c r="A3452" s="1"/>
      <c r="E3452"/>
      <c r="F3452"/>
      <c r="G3452"/>
      <c r="H3452"/>
      <c r="I3452"/>
      <c r="J3452"/>
    </row>
    <row r="3453" spans="1:10" s="2" customFormat="1">
      <c r="A3453" s="1"/>
      <c r="E3453"/>
      <c r="F3453"/>
      <c r="G3453"/>
      <c r="H3453"/>
      <c r="I3453"/>
      <c r="J3453"/>
    </row>
    <row r="3454" spans="1:10" s="2" customFormat="1">
      <c r="A3454" s="1"/>
      <c r="E3454"/>
      <c r="F3454"/>
      <c r="G3454"/>
      <c r="H3454"/>
      <c r="I3454"/>
      <c r="J3454"/>
    </row>
    <row r="3455" spans="1:10" s="2" customFormat="1">
      <c r="A3455" s="1"/>
      <c r="E3455"/>
      <c r="F3455"/>
      <c r="G3455"/>
      <c r="H3455"/>
      <c r="I3455"/>
      <c r="J3455"/>
    </row>
    <row r="3456" spans="1:10" s="2" customFormat="1">
      <c r="A3456" s="1"/>
      <c r="E3456"/>
      <c r="F3456"/>
      <c r="G3456"/>
      <c r="H3456"/>
      <c r="I3456"/>
      <c r="J3456"/>
    </row>
    <row r="3457" spans="1:10" s="2" customFormat="1">
      <c r="A3457" s="1"/>
      <c r="E3457"/>
      <c r="F3457"/>
      <c r="G3457"/>
      <c r="H3457"/>
      <c r="I3457"/>
      <c r="J3457"/>
    </row>
    <row r="3458" spans="1:10" s="2" customFormat="1">
      <c r="A3458" s="1"/>
      <c r="E3458"/>
      <c r="F3458"/>
      <c r="G3458"/>
      <c r="H3458"/>
      <c r="I3458"/>
      <c r="J3458"/>
    </row>
    <row r="3459" spans="1:10" s="2" customFormat="1">
      <c r="A3459" s="1"/>
      <c r="E3459"/>
      <c r="F3459"/>
      <c r="G3459"/>
      <c r="H3459"/>
      <c r="I3459"/>
      <c r="J3459"/>
    </row>
    <row r="3460" spans="1:10" s="2" customFormat="1">
      <c r="A3460" s="1"/>
      <c r="E3460"/>
      <c r="F3460"/>
      <c r="G3460"/>
      <c r="H3460"/>
      <c r="I3460"/>
      <c r="J3460"/>
    </row>
    <row r="3461" spans="1:10" s="2" customFormat="1">
      <c r="A3461" s="1"/>
      <c r="E3461"/>
      <c r="F3461"/>
      <c r="G3461"/>
      <c r="H3461"/>
      <c r="I3461"/>
      <c r="J3461"/>
    </row>
    <row r="3462" spans="1:10" s="2" customFormat="1">
      <c r="A3462" s="1"/>
      <c r="E3462"/>
      <c r="F3462"/>
      <c r="G3462"/>
      <c r="H3462"/>
      <c r="I3462"/>
      <c r="J3462"/>
    </row>
    <row r="3463" spans="1:10" s="2" customFormat="1">
      <c r="A3463" s="1"/>
      <c r="E3463"/>
      <c r="F3463"/>
      <c r="G3463"/>
      <c r="H3463"/>
      <c r="I3463"/>
      <c r="J3463"/>
    </row>
    <row r="3464" spans="1:10" s="2" customFormat="1">
      <c r="A3464" s="1"/>
      <c r="E3464"/>
      <c r="F3464"/>
      <c r="G3464"/>
      <c r="H3464"/>
      <c r="I3464"/>
      <c r="J3464"/>
    </row>
    <row r="3465" spans="1:10" s="2" customFormat="1">
      <c r="A3465" s="1"/>
      <c r="E3465"/>
      <c r="F3465"/>
      <c r="G3465"/>
      <c r="H3465"/>
      <c r="I3465"/>
      <c r="J3465"/>
    </row>
    <row r="3466" spans="1:10" s="2" customFormat="1">
      <c r="A3466" s="1"/>
      <c r="E3466"/>
      <c r="F3466"/>
      <c r="G3466"/>
      <c r="H3466"/>
      <c r="I3466"/>
      <c r="J3466"/>
    </row>
    <row r="3467" spans="1:10" s="2" customFormat="1">
      <c r="A3467" s="1"/>
      <c r="E3467"/>
      <c r="F3467"/>
      <c r="G3467"/>
      <c r="H3467"/>
      <c r="I3467"/>
      <c r="J3467"/>
    </row>
    <row r="3468" spans="1:10" s="2" customFormat="1">
      <c r="A3468" s="1"/>
      <c r="E3468"/>
      <c r="F3468"/>
      <c r="G3468"/>
      <c r="H3468"/>
      <c r="I3468"/>
      <c r="J3468"/>
    </row>
    <row r="3469" spans="1:10" s="2" customFormat="1">
      <c r="A3469" s="1"/>
      <c r="E3469"/>
      <c r="F3469"/>
      <c r="G3469"/>
      <c r="H3469"/>
      <c r="I3469"/>
      <c r="J3469"/>
    </row>
    <row r="3470" spans="1:10" s="2" customFormat="1">
      <c r="A3470" s="1"/>
      <c r="E3470"/>
      <c r="F3470"/>
      <c r="G3470"/>
      <c r="H3470"/>
      <c r="I3470"/>
      <c r="J3470"/>
    </row>
    <row r="3471" spans="1:10" s="2" customFormat="1">
      <c r="A3471" s="1"/>
      <c r="E3471"/>
      <c r="F3471"/>
      <c r="G3471"/>
      <c r="H3471"/>
      <c r="I3471"/>
      <c r="J3471"/>
    </row>
    <row r="3472" spans="1:10" s="2" customFormat="1">
      <c r="A3472" s="1"/>
      <c r="E3472"/>
      <c r="F3472"/>
      <c r="G3472"/>
      <c r="H3472"/>
      <c r="I3472"/>
      <c r="J3472"/>
    </row>
    <row r="3473" spans="1:10" s="2" customFormat="1">
      <c r="A3473" s="1"/>
      <c r="E3473"/>
      <c r="F3473"/>
      <c r="G3473"/>
      <c r="H3473"/>
      <c r="I3473"/>
      <c r="J3473"/>
    </row>
    <row r="3474" spans="1:10" s="2" customFormat="1">
      <c r="A3474" s="1"/>
      <c r="E3474"/>
      <c r="F3474"/>
      <c r="G3474"/>
      <c r="H3474"/>
      <c r="I3474"/>
      <c r="J3474"/>
    </row>
    <row r="3475" spans="1:10" s="2" customFormat="1">
      <c r="A3475" s="1"/>
      <c r="E3475"/>
      <c r="F3475"/>
      <c r="G3475"/>
      <c r="H3475"/>
      <c r="I3475"/>
      <c r="J3475"/>
    </row>
    <row r="3476" spans="1:10" s="2" customFormat="1">
      <c r="A3476" s="1"/>
      <c r="E3476"/>
      <c r="F3476"/>
      <c r="G3476"/>
      <c r="H3476"/>
      <c r="I3476"/>
      <c r="J3476"/>
    </row>
    <row r="3477" spans="1:10" s="2" customFormat="1">
      <c r="A3477" s="1"/>
      <c r="E3477"/>
      <c r="F3477"/>
      <c r="G3477"/>
      <c r="H3477"/>
      <c r="I3477"/>
      <c r="J3477"/>
    </row>
    <row r="3478" spans="1:10" s="2" customFormat="1">
      <c r="A3478" s="1"/>
      <c r="E3478"/>
      <c r="F3478"/>
      <c r="G3478"/>
      <c r="H3478"/>
      <c r="I3478"/>
      <c r="J3478"/>
    </row>
    <row r="3479" spans="1:10" s="2" customFormat="1">
      <c r="A3479" s="1"/>
      <c r="E3479"/>
      <c r="F3479"/>
      <c r="G3479"/>
      <c r="H3479"/>
      <c r="I3479"/>
      <c r="J3479"/>
    </row>
    <row r="3480" spans="1:10" s="2" customFormat="1">
      <c r="A3480" s="1"/>
      <c r="E3480"/>
      <c r="F3480"/>
      <c r="G3480"/>
      <c r="H3480"/>
      <c r="I3480"/>
      <c r="J3480"/>
    </row>
    <row r="3481" spans="1:10" s="2" customFormat="1">
      <c r="A3481" s="1"/>
      <c r="E3481"/>
      <c r="F3481"/>
      <c r="G3481"/>
      <c r="H3481"/>
      <c r="I3481"/>
      <c r="J3481"/>
    </row>
    <row r="3482" spans="1:10" s="2" customFormat="1">
      <c r="A3482" s="1"/>
      <c r="E3482"/>
      <c r="F3482"/>
      <c r="G3482"/>
      <c r="H3482"/>
      <c r="I3482"/>
      <c r="J3482"/>
    </row>
    <row r="3483" spans="1:10" s="2" customFormat="1">
      <c r="A3483" s="1"/>
      <c r="E3483"/>
      <c r="F3483"/>
      <c r="G3483"/>
      <c r="H3483"/>
      <c r="I3483"/>
      <c r="J3483"/>
    </row>
    <row r="3484" spans="1:10" s="2" customFormat="1">
      <c r="A3484" s="1"/>
      <c r="E3484"/>
      <c r="F3484"/>
      <c r="G3484"/>
      <c r="H3484"/>
      <c r="I3484"/>
      <c r="J3484"/>
    </row>
    <row r="3485" spans="1:10" s="2" customFormat="1">
      <c r="A3485" s="1"/>
      <c r="E3485"/>
      <c r="F3485"/>
      <c r="G3485"/>
      <c r="H3485"/>
      <c r="I3485"/>
      <c r="J3485"/>
    </row>
    <row r="3486" spans="1:10" s="2" customFormat="1">
      <c r="A3486" s="1"/>
      <c r="E3486"/>
      <c r="F3486"/>
      <c r="G3486"/>
      <c r="H3486"/>
      <c r="I3486"/>
      <c r="J3486"/>
    </row>
    <row r="3487" spans="1:10" s="2" customFormat="1">
      <c r="A3487" s="1"/>
      <c r="E3487"/>
      <c r="F3487"/>
      <c r="G3487"/>
      <c r="H3487"/>
      <c r="I3487"/>
      <c r="J3487"/>
    </row>
    <row r="3488" spans="1:10" s="2" customFormat="1">
      <c r="A3488" s="1"/>
      <c r="E3488"/>
      <c r="F3488"/>
      <c r="G3488"/>
      <c r="H3488"/>
      <c r="I3488"/>
      <c r="J3488"/>
    </row>
    <row r="3489" spans="1:10" s="2" customFormat="1">
      <c r="A3489" s="1"/>
      <c r="E3489"/>
      <c r="F3489"/>
      <c r="G3489"/>
      <c r="H3489"/>
      <c r="I3489"/>
      <c r="J3489"/>
    </row>
    <row r="3490" spans="1:10" s="2" customFormat="1">
      <c r="A3490" s="1"/>
      <c r="E3490"/>
      <c r="F3490"/>
      <c r="G3490"/>
      <c r="H3490"/>
      <c r="I3490"/>
      <c r="J3490"/>
    </row>
    <row r="3491" spans="1:10" s="2" customFormat="1">
      <c r="A3491" s="1"/>
      <c r="E3491"/>
      <c r="F3491"/>
      <c r="G3491"/>
      <c r="H3491"/>
      <c r="I3491"/>
      <c r="J3491"/>
    </row>
    <row r="3492" spans="1:10" s="2" customFormat="1">
      <c r="A3492" s="1"/>
      <c r="E3492"/>
      <c r="F3492"/>
      <c r="G3492"/>
      <c r="H3492"/>
      <c r="I3492"/>
      <c r="J3492"/>
    </row>
    <row r="3493" spans="1:10" s="2" customFormat="1">
      <c r="A3493" s="1"/>
      <c r="E3493"/>
      <c r="F3493"/>
      <c r="G3493"/>
      <c r="H3493"/>
      <c r="I3493"/>
      <c r="J3493"/>
    </row>
    <row r="3494" spans="1:10" s="2" customFormat="1">
      <c r="A3494" s="1"/>
      <c r="E3494"/>
      <c r="F3494"/>
      <c r="G3494"/>
      <c r="H3494"/>
      <c r="I3494"/>
      <c r="J3494"/>
    </row>
    <row r="3495" spans="1:10" s="2" customFormat="1">
      <c r="A3495" s="1"/>
      <c r="E3495"/>
      <c r="F3495"/>
      <c r="G3495"/>
      <c r="H3495"/>
      <c r="I3495"/>
      <c r="J3495"/>
    </row>
    <row r="3496" spans="1:10" s="2" customFormat="1">
      <c r="A3496" s="1"/>
      <c r="E3496"/>
      <c r="F3496"/>
      <c r="G3496"/>
      <c r="H3496"/>
      <c r="I3496"/>
      <c r="J3496"/>
    </row>
    <row r="3497" spans="1:10" s="2" customFormat="1">
      <c r="A3497" s="1"/>
      <c r="E3497"/>
      <c r="F3497"/>
      <c r="G3497"/>
      <c r="H3497"/>
      <c r="I3497"/>
      <c r="J3497"/>
    </row>
    <row r="3498" spans="1:10" s="2" customFormat="1">
      <c r="A3498" s="1"/>
      <c r="E3498"/>
      <c r="F3498"/>
      <c r="G3498"/>
      <c r="H3498"/>
      <c r="I3498"/>
      <c r="J3498"/>
    </row>
    <row r="3499" spans="1:10" s="2" customFormat="1">
      <c r="A3499" s="1"/>
      <c r="E3499"/>
      <c r="F3499"/>
      <c r="G3499"/>
      <c r="H3499"/>
      <c r="I3499"/>
      <c r="J3499"/>
    </row>
    <row r="3500" spans="1:10" s="2" customFormat="1">
      <c r="A3500" s="1"/>
      <c r="E3500"/>
      <c r="F3500"/>
      <c r="G3500"/>
      <c r="H3500"/>
      <c r="I3500"/>
      <c r="J3500"/>
    </row>
    <row r="3501" spans="1:10" s="2" customFormat="1">
      <c r="A3501" s="1"/>
      <c r="E3501"/>
      <c r="F3501"/>
      <c r="G3501"/>
      <c r="H3501"/>
      <c r="I3501"/>
      <c r="J3501"/>
    </row>
    <row r="3502" spans="1:10" s="2" customFormat="1">
      <c r="A3502" s="1"/>
      <c r="E3502"/>
      <c r="F3502"/>
      <c r="G3502"/>
      <c r="H3502"/>
      <c r="I3502"/>
      <c r="J3502"/>
    </row>
    <row r="3503" spans="1:10" s="2" customFormat="1">
      <c r="A3503" s="1"/>
      <c r="E3503"/>
      <c r="F3503"/>
      <c r="G3503"/>
      <c r="H3503"/>
      <c r="I3503"/>
      <c r="J3503"/>
    </row>
    <row r="3504" spans="1:10" s="2" customFormat="1">
      <c r="A3504" s="1"/>
      <c r="E3504"/>
      <c r="F3504"/>
      <c r="G3504"/>
      <c r="H3504"/>
      <c r="I3504"/>
      <c r="J3504"/>
    </row>
    <row r="3505" spans="1:10" s="2" customFormat="1">
      <c r="A3505" s="1"/>
      <c r="E3505"/>
      <c r="F3505"/>
      <c r="G3505"/>
      <c r="H3505"/>
      <c r="I3505"/>
      <c r="J3505"/>
    </row>
    <row r="3506" spans="1:10" s="2" customFormat="1">
      <c r="A3506" s="1"/>
      <c r="E3506"/>
      <c r="F3506"/>
      <c r="G3506"/>
      <c r="H3506"/>
      <c r="I3506"/>
      <c r="J3506"/>
    </row>
    <row r="3507" spans="1:10" s="2" customFormat="1">
      <c r="A3507" s="1"/>
      <c r="E3507"/>
      <c r="F3507"/>
      <c r="G3507"/>
      <c r="H3507"/>
      <c r="I3507"/>
      <c r="J3507"/>
    </row>
    <row r="3508" spans="1:10" s="2" customFormat="1">
      <c r="A3508" s="1"/>
      <c r="E3508"/>
      <c r="F3508"/>
      <c r="G3508"/>
      <c r="H3508"/>
      <c r="I3508"/>
      <c r="J3508"/>
    </row>
    <row r="3509" spans="1:10" s="2" customFormat="1">
      <c r="A3509" s="1"/>
      <c r="E3509"/>
      <c r="F3509"/>
      <c r="G3509"/>
      <c r="H3509"/>
      <c r="I3509"/>
      <c r="J3509"/>
    </row>
    <row r="3510" spans="1:10" s="2" customFormat="1">
      <c r="A3510" s="1"/>
      <c r="E3510"/>
      <c r="F3510"/>
      <c r="G3510"/>
      <c r="H3510"/>
      <c r="I3510"/>
      <c r="J3510"/>
    </row>
    <row r="3511" spans="1:10" s="2" customFormat="1">
      <c r="A3511" s="1"/>
      <c r="E3511"/>
      <c r="F3511"/>
      <c r="G3511"/>
      <c r="H3511"/>
      <c r="I3511"/>
      <c r="J3511"/>
    </row>
    <row r="3512" spans="1:10" s="2" customFormat="1">
      <c r="A3512" s="1"/>
      <c r="E3512"/>
      <c r="F3512"/>
      <c r="G3512"/>
      <c r="H3512"/>
      <c r="I3512"/>
      <c r="J3512"/>
    </row>
    <row r="3513" spans="1:10" s="2" customFormat="1">
      <c r="A3513" s="1"/>
      <c r="E3513"/>
      <c r="F3513"/>
      <c r="G3513"/>
      <c r="H3513"/>
      <c r="I3513"/>
      <c r="J3513"/>
    </row>
    <row r="3514" spans="1:10" s="2" customFormat="1">
      <c r="A3514" s="1"/>
      <c r="E3514"/>
      <c r="F3514"/>
      <c r="G3514"/>
      <c r="H3514"/>
      <c r="I3514"/>
      <c r="J3514"/>
    </row>
    <row r="3515" spans="1:10" s="2" customFormat="1">
      <c r="A3515" s="1"/>
      <c r="E3515"/>
      <c r="F3515"/>
      <c r="G3515"/>
      <c r="H3515"/>
      <c r="I3515"/>
      <c r="J3515"/>
    </row>
    <row r="3516" spans="1:10" s="2" customFormat="1">
      <c r="A3516" s="1"/>
      <c r="E3516"/>
      <c r="F3516"/>
      <c r="G3516"/>
      <c r="H3516"/>
      <c r="I3516"/>
      <c r="J3516"/>
    </row>
    <row r="3517" spans="1:10" s="2" customFormat="1">
      <c r="A3517" s="1"/>
      <c r="E3517"/>
      <c r="F3517"/>
      <c r="G3517"/>
      <c r="H3517"/>
      <c r="I3517"/>
      <c r="J3517"/>
    </row>
    <row r="3518" spans="1:10" s="2" customFormat="1">
      <c r="A3518" s="1"/>
      <c r="E3518"/>
      <c r="F3518"/>
      <c r="G3518"/>
      <c r="H3518"/>
      <c r="I3518"/>
      <c r="J3518"/>
    </row>
    <row r="3519" spans="1:10" s="2" customFormat="1">
      <c r="A3519" s="1"/>
      <c r="E3519"/>
      <c r="F3519"/>
      <c r="G3519"/>
      <c r="H3519"/>
      <c r="I3519"/>
      <c r="J3519"/>
    </row>
    <row r="3520" spans="1:10" s="2" customFormat="1">
      <c r="A3520" s="1"/>
      <c r="E3520"/>
      <c r="F3520"/>
      <c r="G3520"/>
      <c r="H3520"/>
      <c r="I3520"/>
      <c r="J3520"/>
    </row>
    <row r="3521" spans="1:10" s="2" customFormat="1">
      <c r="A3521" s="1"/>
      <c r="E3521"/>
      <c r="F3521"/>
      <c r="G3521"/>
      <c r="H3521"/>
      <c r="I3521"/>
      <c r="J3521"/>
    </row>
    <row r="3522" spans="1:10" s="2" customFormat="1">
      <c r="A3522" s="1"/>
      <c r="E3522"/>
      <c r="F3522"/>
      <c r="G3522"/>
      <c r="H3522"/>
      <c r="I3522"/>
      <c r="J3522"/>
    </row>
    <row r="3523" spans="1:10" s="2" customFormat="1">
      <c r="A3523" s="1"/>
      <c r="E3523"/>
      <c r="F3523"/>
      <c r="G3523"/>
      <c r="H3523"/>
      <c r="I3523"/>
      <c r="J3523"/>
    </row>
    <row r="3524" spans="1:10" s="2" customFormat="1">
      <c r="A3524" s="1"/>
      <c r="E3524"/>
      <c r="F3524"/>
      <c r="G3524"/>
      <c r="H3524"/>
      <c r="I3524"/>
      <c r="J3524"/>
    </row>
    <row r="3525" spans="1:10" s="2" customFormat="1">
      <c r="A3525" s="1"/>
      <c r="E3525"/>
      <c r="F3525"/>
      <c r="G3525"/>
      <c r="H3525"/>
      <c r="I3525"/>
      <c r="J3525"/>
    </row>
    <row r="3526" spans="1:10" s="2" customFormat="1">
      <c r="A3526" s="1"/>
      <c r="E3526"/>
      <c r="F3526"/>
      <c r="G3526"/>
      <c r="H3526"/>
      <c r="I3526"/>
      <c r="J3526"/>
    </row>
    <row r="3527" spans="1:10" s="2" customFormat="1">
      <c r="A3527" s="1"/>
      <c r="E3527"/>
      <c r="F3527"/>
      <c r="G3527"/>
      <c r="H3527"/>
      <c r="I3527"/>
      <c r="J3527"/>
    </row>
    <row r="3528" spans="1:10" s="2" customFormat="1">
      <c r="A3528" s="1"/>
      <c r="E3528"/>
      <c r="F3528"/>
      <c r="G3528"/>
      <c r="H3528"/>
      <c r="I3528"/>
      <c r="J3528"/>
    </row>
    <row r="3529" spans="1:10" s="2" customFormat="1">
      <c r="A3529" s="1"/>
      <c r="E3529"/>
      <c r="F3529"/>
      <c r="G3529"/>
      <c r="H3529"/>
      <c r="I3529"/>
      <c r="J3529"/>
    </row>
    <row r="3530" spans="1:10" s="2" customFormat="1">
      <c r="A3530" s="1"/>
      <c r="E3530"/>
      <c r="F3530"/>
      <c r="G3530"/>
      <c r="H3530"/>
      <c r="I3530"/>
      <c r="J3530"/>
    </row>
    <row r="3531" spans="1:10" s="2" customFormat="1">
      <c r="A3531" s="1"/>
      <c r="E3531"/>
      <c r="F3531"/>
      <c r="G3531"/>
      <c r="H3531"/>
      <c r="I3531"/>
      <c r="J3531"/>
    </row>
    <row r="3532" spans="1:10" s="2" customFormat="1">
      <c r="A3532" s="1"/>
      <c r="E3532"/>
      <c r="F3532"/>
      <c r="G3532"/>
      <c r="H3532"/>
      <c r="I3532"/>
      <c r="J3532"/>
    </row>
    <row r="3533" spans="1:10" s="2" customFormat="1">
      <c r="A3533" s="1"/>
      <c r="E3533"/>
      <c r="F3533"/>
      <c r="G3533"/>
      <c r="H3533"/>
      <c r="I3533"/>
      <c r="J3533"/>
    </row>
    <row r="3534" spans="1:10" s="2" customFormat="1">
      <c r="A3534" s="1"/>
      <c r="E3534"/>
      <c r="F3534"/>
      <c r="G3534"/>
      <c r="H3534"/>
      <c r="I3534"/>
      <c r="J3534"/>
    </row>
    <row r="3535" spans="1:10" s="2" customFormat="1">
      <c r="A3535" s="1"/>
      <c r="E3535"/>
      <c r="F3535"/>
      <c r="G3535"/>
      <c r="H3535"/>
      <c r="I3535"/>
      <c r="J3535"/>
    </row>
    <row r="3536" spans="1:10" s="2" customFormat="1">
      <c r="A3536" s="1"/>
      <c r="E3536"/>
      <c r="F3536"/>
      <c r="G3536"/>
      <c r="H3536"/>
      <c r="I3536"/>
      <c r="J3536"/>
    </row>
    <row r="3537" spans="1:10" s="2" customFormat="1">
      <c r="A3537" s="1"/>
      <c r="E3537"/>
      <c r="F3537"/>
      <c r="G3537"/>
      <c r="H3537"/>
      <c r="I3537"/>
      <c r="J3537"/>
    </row>
    <row r="3538" spans="1:10" s="2" customFormat="1">
      <c r="A3538" s="1"/>
      <c r="E3538"/>
      <c r="F3538"/>
      <c r="G3538"/>
      <c r="H3538"/>
      <c r="I3538"/>
      <c r="J3538"/>
    </row>
    <row r="3539" spans="1:10" s="2" customFormat="1">
      <c r="A3539" s="1"/>
      <c r="E3539"/>
      <c r="F3539"/>
      <c r="G3539"/>
      <c r="H3539"/>
      <c r="I3539"/>
      <c r="J3539"/>
    </row>
    <row r="3540" spans="1:10" s="2" customFormat="1">
      <c r="A3540" s="1"/>
      <c r="E3540"/>
      <c r="F3540"/>
      <c r="G3540"/>
      <c r="H3540"/>
      <c r="I3540"/>
      <c r="J3540"/>
    </row>
    <row r="3541" spans="1:10" s="2" customFormat="1">
      <c r="A3541" s="1"/>
      <c r="E3541"/>
      <c r="F3541"/>
      <c r="G3541"/>
      <c r="H3541"/>
      <c r="I3541"/>
      <c r="J3541"/>
    </row>
    <row r="3542" spans="1:10" s="2" customFormat="1">
      <c r="A3542" s="1"/>
      <c r="E3542"/>
      <c r="F3542"/>
      <c r="G3542"/>
      <c r="H3542"/>
      <c r="I3542"/>
      <c r="J3542"/>
    </row>
    <row r="3543" spans="1:10" s="2" customFormat="1">
      <c r="A3543" s="1"/>
      <c r="E3543"/>
      <c r="F3543"/>
      <c r="G3543"/>
      <c r="H3543"/>
      <c r="I3543"/>
      <c r="J3543"/>
    </row>
    <row r="3544" spans="1:10" s="2" customFormat="1">
      <c r="A3544" s="1"/>
      <c r="E3544"/>
      <c r="F3544"/>
      <c r="G3544"/>
      <c r="H3544"/>
      <c r="I3544"/>
      <c r="J3544"/>
    </row>
    <row r="3545" spans="1:10" s="2" customFormat="1">
      <c r="A3545" s="1"/>
      <c r="E3545"/>
      <c r="F3545"/>
      <c r="G3545"/>
      <c r="H3545"/>
      <c r="I3545"/>
      <c r="J3545"/>
    </row>
    <row r="3546" spans="1:10" s="2" customFormat="1">
      <c r="A3546" s="1"/>
      <c r="E3546"/>
      <c r="F3546"/>
      <c r="G3546"/>
      <c r="H3546"/>
      <c r="I3546"/>
      <c r="J3546"/>
    </row>
    <row r="3547" spans="1:10" s="2" customFormat="1">
      <c r="A3547" s="1"/>
      <c r="E3547"/>
      <c r="F3547"/>
      <c r="G3547"/>
      <c r="H3547"/>
      <c r="I3547"/>
      <c r="J3547"/>
    </row>
    <row r="3548" spans="1:10" s="2" customFormat="1">
      <c r="A3548" s="1"/>
      <c r="E3548"/>
      <c r="F3548"/>
      <c r="G3548"/>
      <c r="H3548"/>
      <c r="I3548"/>
      <c r="J3548"/>
    </row>
    <row r="3549" spans="1:10" s="2" customFormat="1">
      <c r="A3549" s="1"/>
      <c r="E3549"/>
      <c r="F3549"/>
      <c r="G3549"/>
      <c r="H3549"/>
      <c r="I3549"/>
      <c r="J3549"/>
    </row>
    <row r="3550" spans="1:10" s="2" customFormat="1">
      <c r="A3550" s="1"/>
      <c r="E3550"/>
      <c r="F3550"/>
      <c r="G3550"/>
      <c r="H3550"/>
      <c r="I3550"/>
      <c r="J3550"/>
    </row>
    <row r="3551" spans="1:10" s="2" customFormat="1">
      <c r="A3551" s="1"/>
      <c r="E3551"/>
      <c r="F3551"/>
      <c r="G3551"/>
      <c r="H3551"/>
      <c r="I3551"/>
      <c r="J3551"/>
    </row>
    <row r="3552" spans="1:10" s="2" customFormat="1">
      <c r="A3552" s="1"/>
      <c r="E3552"/>
      <c r="F3552"/>
      <c r="G3552"/>
      <c r="H3552"/>
      <c r="I3552"/>
      <c r="J3552"/>
    </row>
    <row r="3553" spans="1:10" s="2" customFormat="1">
      <c r="A3553" s="1"/>
      <c r="E3553"/>
      <c r="F3553"/>
      <c r="G3553"/>
      <c r="H3553"/>
      <c r="I3553"/>
      <c r="J3553"/>
    </row>
    <row r="3554" spans="1:10" s="2" customFormat="1">
      <c r="A3554" s="1"/>
      <c r="E3554"/>
      <c r="F3554"/>
      <c r="G3554"/>
      <c r="H3554"/>
      <c r="I3554"/>
      <c r="J3554"/>
    </row>
    <row r="3555" spans="1:10" s="2" customFormat="1">
      <c r="A3555" s="1"/>
      <c r="E3555"/>
      <c r="F3555"/>
      <c r="G3555"/>
      <c r="H3555"/>
      <c r="I3555"/>
      <c r="J3555"/>
    </row>
    <row r="3556" spans="1:10" s="2" customFormat="1">
      <c r="A3556" s="1"/>
      <c r="E3556"/>
      <c r="F3556"/>
      <c r="G3556"/>
      <c r="H3556"/>
      <c r="I3556"/>
      <c r="J3556"/>
    </row>
    <row r="3557" spans="1:10" s="2" customFormat="1">
      <c r="A3557" s="1"/>
      <c r="E3557"/>
      <c r="F3557"/>
      <c r="G3557"/>
      <c r="H3557"/>
      <c r="I3557"/>
      <c r="J3557"/>
    </row>
    <row r="3558" spans="1:10" s="2" customFormat="1">
      <c r="A3558" s="1"/>
      <c r="E3558"/>
      <c r="F3558"/>
      <c r="G3558"/>
      <c r="H3558"/>
      <c r="I3558"/>
      <c r="J3558"/>
    </row>
    <row r="3559" spans="1:10" s="2" customFormat="1">
      <c r="A3559" s="1"/>
      <c r="E3559"/>
      <c r="F3559"/>
      <c r="G3559"/>
      <c r="H3559"/>
      <c r="I3559"/>
      <c r="J3559"/>
    </row>
    <row r="3560" spans="1:10" s="2" customFormat="1">
      <c r="A3560" s="1"/>
      <c r="E3560"/>
      <c r="F3560"/>
      <c r="G3560"/>
      <c r="H3560"/>
      <c r="I3560"/>
      <c r="J3560"/>
    </row>
    <row r="3561" spans="1:10" s="2" customFormat="1">
      <c r="A3561" s="1"/>
      <c r="E3561"/>
      <c r="F3561"/>
      <c r="G3561"/>
      <c r="H3561"/>
      <c r="I3561"/>
      <c r="J3561"/>
    </row>
    <row r="3562" spans="1:10" s="2" customFormat="1">
      <c r="A3562" s="1"/>
      <c r="E3562"/>
      <c r="F3562"/>
      <c r="G3562"/>
      <c r="H3562"/>
      <c r="I3562"/>
      <c r="J3562"/>
    </row>
    <row r="3563" spans="1:10" s="2" customFormat="1">
      <c r="A3563" s="1"/>
      <c r="E3563"/>
      <c r="F3563"/>
      <c r="G3563"/>
      <c r="H3563"/>
      <c r="I3563"/>
      <c r="J3563"/>
    </row>
    <row r="3564" spans="1:10" s="2" customFormat="1">
      <c r="A3564" s="1"/>
      <c r="E3564"/>
      <c r="F3564"/>
      <c r="G3564"/>
      <c r="H3564"/>
      <c r="I3564"/>
      <c r="J3564"/>
    </row>
    <row r="3565" spans="1:10" s="2" customFormat="1">
      <c r="A3565" s="1"/>
      <c r="E3565"/>
      <c r="F3565"/>
      <c r="G3565"/>
      <c r="H3565"/>
      <c r="I3565"/>
      <c r="J3565"/>
    </row>
    <row r="3566" spans="1:10" s="2" customFormat="1">
      <c r="A3566" s="1"/>
      <c r="E3566"/>
      <c r="F3566"/>
      <c r="G3566"/>
      <c r="H3566"/>
      <c r="I3566"/>
      <c r="J3566"/>
    </row>
    <row r="3567" spans="1:10" s="2" customFormat="1">
      <c r="A3567" s="1"/>
      <c r="E3567"/>
      <c r="F3567"/>
      <c r="G3567"/>
      <c r="H3567"/>
      <c r="I3567"/>
      <c r="J3567"/>
    </row>
    <row r="3568" spans="1:10" s="2" customFormat="1">
      <c r="A3568" s="1"/>
      <c r="E3568"/>
      <c r="F3568"/>
      <c r="G3568"/>
      <c r="H3568"/>
      <c r="I3568"/>
      <c r="J3568"/>
    </row>
    <row r="3569" spans="1:10" s="2" customFormat="1">
      <c r="A3569" s="1"/>
      <c r="E3569"/>
      <c r="F3569"/>
      <c r="G3569"/>
      <c r="H3569"/>
      <c r="I3569"/>
      <c r="J3569"/>
    </row>
    <row r="3570" spans="1:10" s="2" customFormat="1">
      <c r="A3570" s="1"/>
      <c r="E3570"/>
      <c r="F3570"/>
      <c r="G3570"/>
      <c r="H3570"/>
      <c r="I3570"/>
      <c r="J3570"/>
    </row>
    <row r="3571" spans="1:10" s="2" customFormat="1">
      <c r="A3571" s="1"/>
      <c r="E3571"/>
      <c r="F3571"/>
      <c r="G3571"/>
      <c r="H3571"/>
      <c r="I3571"/>
      <c r="J3571"/>
    </row>
    <row r="3572" spans="1:10" s="2" customFormat="1">
      <c r="A3572" s="1"/>
      <c r="E3572"/>
      <c r="F3572"/>
      <c r="G3572"/>
      <c r="H3572"/>
      <c r="I3572"/>
      <c r="J3572"/>
    </row>
    <row r="3573" spans="1:10" s="2" customFormat="1">
      <c r="A3573" s="1"/>
      <c r="E3573"/>
      <c r="F3573"/>
      <c r="G3573"/>
      <c r="H3573"/>
      <c r="I3573"/>
      <c r="J3573"/>
    </row>
    <row r="3574" spans="1:10" s="2" customFormat="1">
      <c r="A3574" s="1"/>
      <c r="E3574"/>
      <c r="F3574"/>
      <c r="G3574"/>
      <c r="H3574"/>
      <c r="I3574"/>
      <c r="J3574"/>
    </row>
    <row r="3575" spans="1:10" s="2" customFormat="1">
      <c r="A3575" s="1"/>
      <c r="E3575"/>
      <c r="F3575"/>
      <c r="G3575"/>
      <c r="H3575"/>
      <c r="I3575"/>
      <c r="J3575"/>
    </row>
    <row r="3576" spans="1:10" s="2" customFormat="1">
      <c r="A3576" s="1"/>
      <c r="E3576"/>
      <c r="F3576"/>
      <c r="G3576"/>
      <c r="H3576"/>
      <c r="I3576"/>
      <c r="J3576"/>
    </row>
    <row r="3577" spans="1:10" s="2" customFormat="1">
      <c r="A3577" s="1"/>
      <c r="E3577"/>
      <c r="F3577"/>
      <c r="G3577"/>
      <c r="H3577"/>
      <c r="I3577"/>
      <c r="J3577"/>
    </row>
    <row r="3578" spans="1:10" s="2" customFormat="1">
      <c r="A3578" s="1"/>
      <c r="E3578"/>
      <c r="F3578"/>
      <c r="G3578"/>
      <c r="H3578"/>
      <c r="I3578"/>
      <c r="J3578"/>
    </row>
    <row r="3579" spans="1:10" s="2" customFormat="1">
      <c r="A3579" s="1"/>
      <c r="E3579"/>
      <c r="F3579"/>
      <c r="G3579"/>
      <c r="H3579"/>
      <c r="I3579"/>
      <c r="J3579"/>
    </row>
    <row r="3580" spans="1:10" s="2" customFormat="1">
      <c r="A3580" s="1"/>
      <c r="E3580"/>
      <c r="F3580"/>
      <c r="G3580"/>
      <c r="H3580"/>
      <c r="I3580"/>
      <c r="J3580"/>
    </row>
    <row r="3581" spans="1:10" s="2" customFormat="1">
      <c r="A3581" s="1"/>
      <c r="E3581"/>
      <c r="F3581"/>
      <c r="G3581"/>
      <c r="H3581"/>
      <c r="I3581"/>
      <c r="J3581"/>
    </row>
    <row r="3582" spans="1:10" s="2" customFormat="1">
      <c r="A3582" s="1"/>
      <c r="E3582"/>
      <c r="F3582"/>
      <c r="G3582"/>
      <c r="H3582"/>
      <c r="I3582"/>
      <c r="J3582"/>
    </row>
    <row r="3583" spans="1:10" s="2" customFormat="1">
      <c r="A3583" s="1"/>
      <c r="E3583"/>
      <c r="F3583"/>
      <c r="G3583"/>
      <c r="H3583"/>
      <c r="I3583"/>
      <c r="J3583"/>
    </row>
    <row r="3584" spans="1:10" s="2" customFormat="1">
      <c r="A3584" s="1"/>
      <c r="E3584"/>
      <c r="F3584"/>
      <c r="G3584"/>
      <c r="H3584"/>
      <c r="I3584"/>
      <c r="J3584"/>
    </row>
    <row r="3585" spans="1:10" s="2" customFormat="1">
      <c r="A3585" s="1"/>
      <c r="E3585"/>
      <c r="F3585"/>
      <c r="G3585"/>
      <c r="H3585"/>
      <c r="I3585"/>
      <c r="J3585"/>
    </row>
    <row r="3586" spans="1:10" s="2" customFormat="1">
      <c r="A3586" s="1"/>
      <c r="E3586"/>
      <c r="F3586"/>
      <c r="G3586"/>
      <c r="H3586"/>
      <c r="I3586"/>
      <c r="J3586"/>
    </row>
    <row r="3587" spans="1:10" s="2" customFormat="1">
      <c r="A3587" s="1"/>
      <c r="E3587"/>
      <c r="F3587"/>
      <c r="G3587"/>
      <c r="H3587"/>
      <c r="I3587"/>
      <c r="J3587"/>
    </row>
    <row r="3588" spans="1:10" s="2" customFormat="1">
      <c r="A3588" s="1"/>
      <c r="E3588"/>
      <c r="F3588"/>
      <c r="G3588"/>
      <c r="H3588"/>
      <c r="I3588"/>
      <c r="J3588"/>
    </row>
    <row r="3589" spans="1:10" s="2" customFormat="1">
      <c r="A3589" s="1"/>
      <c r="E3589"/>
      <c r="F3589"/>
      <c r="G3589"/>
      <c r="H3589"/>
      <c r="I3589"/>
      <c r="J3589"/>
    </row>
    <row r="3590" spans="1:10" s="2" customFormat="1">
      <c r="A3590" s="1"/>
      <c r="E3590"/>
      <c r="F3590"/>
      <c r="G3590"/>
      <c r="H3590"/>
      <c r="I3590"/>
      <c r="J3590"/>
    </row>
    <row r="3591" spans="1:10" s="2" customFormat="1">
      <c r="A3591" s="1"/>
      <c r="E3591"/>
      <c r="F3591"/>
      <c r="G3591"/>
      <c r="H3591"/>
      <c r="I3591"/>
      <c r="J3591"/>
    </row>
    <row r="3592" spans="1:10" s="2" customFormat="1">
      <c r="A3592" s="1"/>
      <c r="E3592"/>
      <c r="F3592"/>
      <c r="G3592"/>
      <c r="H3592"/>
      <c r="I3592"/>
      <c r="J3592"/>
    </row>
    <row r="3593" spans="1:10" s="2" customFormat="1">
      <c r="A3593" s="1"/>
      <c r="E3593"/>
      <c r="F3593"/>
      <c r="G3593"/>
      <c r="H3593"/>
      <c r="I3593"/>
      <c r="J3593"/>
    </row>
    <row r="3594" spans="1:10" s="2" customFormat="1">
      <c r="A3594" s="1"/>
      <c r="E3594"/>
      <c r="F3594"/>
      <c r="G3594"/>
      <c r="H3594"/>
      <c r="I3594"/>
      <c r="J3594"/>
    </row>
    <row r="3595" spans="1:10" s="2" customFormat="1">
      <c r="A3595" s="1"/>
      <c r="E3595"/>
      <c r="F3595"/>
      <c r="G3595"/>
      <c r="H3595"/>
      <c r="I3595"/>
      <c r="J3595"/>
    </row>
    <row r="3596" spans="1:10" s="2" customFormat="1">
      <c r="A3596" s="1"/>
      <c r="E3596"/>
      <c r="F3596"/>
      <c r="G3596"/>
      <c r="H3596"/>
      <c r="I3596"/>
      <c r="J3596"/>
    </row>
    <row r="3597" spans="1:10" s="2" customFormat="1">
      <c r="A3597" s="1"/>
      <c r="E3597"/>
      <c r="F3597"/>
      <c r="G3597"/>
      <c r="H3597"/>
      <c r="I3597"/>
      <c r="J3597"/>
    </row>
    <row r="3598" spans="1:10" s="2" customFormat="1">
      <c r="A3598" s="1"/>
      <c r="E3598"/>
      <c r="F3598"/>
      <c r="G3598"/>
      <c r="H3598"/>
      <c r="I3598"/>
      <c r="J3598"/>
    </row>
    <row r="3599" spans="1:10" s="2" customFormat="1">
      <c r="A3599" s="1"/>
      <c r="E3599"/>
      <c r="F3599"/>
      <c r="G3599"/>
      <c r="H3599"/>
      <c r="I3599"/>
      <c r="J3599"/>
    </row>
    <row r="3600" spans="1:10" s="2" customFormat="1">
      <c r="A3600" s="1"/>
      <c r="E3600"/>
      <c r="F3600"/>
      <c r="G3600"/>
      <c r="H3600"/>
      <c r="I3600"/>
      <c r="J3600"/>
    </row>
    <row r="3601" spans="1:10" s="2" customFormat="1">
      <c r="A3601" s="1"/>
      <c r="E3601"/>
      <c r="F3601"/>
      <c r="G3601"/>
      <c r="H3601"/>
      <c r="I3601"/>
      <c r="J3601"/>
    </row>
    <row r="3602" spans="1:10" s="2" customFormat="1">
      <c r="A3602" s="1"/>
      <c r="E3602"/>
      <c r="F3602"/>
      <c r="G3602"/>
      <c r="H3602"/>
      <c r="I3602"/>
      <c r="J3602"/>
    </row>
    <row r="3603" spans="1:10" s="2" customFormat="1">
      <c r="A3603" s="1"/>
      <c r="E3603"/>
      <c r="F3603"/>
      <c r="G3603"/>
      <c r="H3603"/>
      <c r="I3603"/>
      <c r="J3603"/>
    </row>
    <row r="3604" spans="1:10" s="2" customFormat="1">
      <c r="A3604" s="1"/>
      <c r="E3604"/>
      <c r="F3604"/>
      <c r="G3604"/>
      <c r="H3604"/>
      <c r="I3604"/>
      <c r="J3604"/>
    </row>
    <row r="3605" spans="1:10" s="2" customFormat="1">
      <c r="A3605" s="1"/>
      <c r="E3605"/>
      <c r="F3605"/>
      <c r="G3605"/>
      <c r="H3605"/>
      <c r="I3605"/>
      <c r="J3605"/>
    </row>
    <row r="3606" spans="1:10" s="2" customFormat="1">
      <c r="A3606" s="1"/>
      <c r="E3606"/>
      <c r="F3606"/>
      <c r="G3606"/>
      <c r="H3606"/>
      <c r="I3606"/>
      <c r="J3606"/>
    </row>
    <row r="3607" spans="1:10" s="2" customFormat="1">
      <c r="A3607" s="1"/>
      <c r="E3607"/>
      <c r="F3607"/>
      <c r="G3607"/>
      <c r="H3607"/>
      <c r="I3607"/>
      <c r="J3607"/>
    </row>
    <row r="3608" spans="1:10" s="2" customFormat="1">
      <c r="A3608" s="1"/>
      <c r="E3608"/>
      <c r="F3608"/>
      <c r="G3608"/>
      <c r="H3608"/>
      <c r="I3608"/>
      <c r="J3608"/>
    </row>
    <row r="3609" spans="1:10" s="2" customFormat="1">
      <c r="A3609" s="1"/>
      <c r="E3609"/>
      <c r="F3609"/>
      <c r="G3609"/>
      <c r="H3609"/>
      <c r="I3609"/>
      <c r="J3609"/>
    </row>
    <row r="3610" spans="1:10" s="2" customFormat="1">
      <c r="A3610" s="1"/>
      <c r="E3610"/>
      <c r="F3610"/>
      <c r="G3610"/>
      <c r="H3610"/>
      <c r="I3610"/>
      <c r="J3610"/>
    </row>
    <row r="3611" spans="1:10" s="2" customFormat="1">
      <c r="A3611" s="1"/>
      <c r="E3611"/>
      <c r="F3611"/>
      <c r="G3611"/>
      <c r="H3611"/>
      <c r="I3611"/>
      <c r="J3611"/>
    </row>
    <row r="3612" spans="1:10" s="2" customFormat="1">
      <c r="A3612" s="1"/>
      <c r="E3612"/>
      <c r="F3612"/>
      <c r="G3612"/>
      <c r="H3612"/>
      <c r="I3612"/>
      <c r="J3612"/>
    </row>
    <row r="3613" spans="1:10" s="2" customFormat="1">
      <c r="A3613" s="1"/>
      <c r="E3613"/>
      <c r="F3613"/>
      <c r="G3613"/>
      <c r="H3613"/>
      <c r="I3613"/>
      <c r="J3613"/>
    </row>
    <row r="3614" spans="1:10" s="2" customFormat="1">
      <c r="A3614" s="1"/>
      <c r="E3614"/>
      <c r="F3614"/>
      <c r="G3614"/>
      <c r="H3614"/>
      <c r="I3614"/>
      <c r="J3614"/>
    </row>
    <row r="3615" spans="1:10" s="2" customFormat="1">
      <c r="A3615" s="1"/>
      <c r="E3615"/>
      <c r="F3615"/>
      <c r="G3615"/>
      <c r="H3615"/>
      <c r="I3615"/>
      <c r="J3615"/>
    </row>
    <row r="3616" spans="1:10" s="2" customFormat="1">
      <c r="A3616" s="1"/>
      <c r="E3616"/>
      <c r="F3616"/>
      <c r="G3616"/>
      <c r="H3616"/>
      <c r="I3616"/>
      <c r="J3616"/>
    </row>
    <row r="3617" spans="1:10" s="2" customFormat="1">
      <c r="A3617" s="1"/>
      <c r="E3617"/>
      <c r="F3617"/>
      <c r="G3617"/>
      <c r="H3617"/>
      <c r="I3617"/>
      <c r="J3617"/>
    </row>
    <row r="3618" spans="1:10" s="2" customFormat="1">
      <c r="A3618" s="1"/>
      <c r="E3618"/>
      <c r="F3618"/>
      <c r="G3618"/>
      <c r="H3618"/>
      <c r="I3618"/>
      <c r="J3618"/>
    </row>
    <row r="3619" spans="1:10" s="2" customFormat="1">
      <c r="A3619" s="1"/>
      <c r="E3619"/>
      <c r="F3619"/>
      <c r="G3619"/>
      <c r="H3619"/>
      <c r="I3619"/>
      <c r="J3619"/>
    </row>
    <row r="3620" spans="1:10" s="2" customFormat="1">
      <c r="A3620" s="1"/>
      <c r="E3620"/>
      <c r="F3620"/>
      <c r="G3620"/>
      <c r="H3620"/>
      <c r="I3620"/>
      <c r="J3620"/>
    </row>
    <row r="3621" spans="1:10" s="2" customFormat="1">
      <c r="A3621" s="1"/>
      <c r="E3621"/>
      <c r="F3621"/>
      <c r="G3621"/>
      <c r="H3621"/>
      <c r="I3621"/>
      <c r="J3621"/>
    </row>
    <row r="3622" spans="1:10" s="2" customFormat="1">
      <c r="A3622" s="1"/>
      <c r="E3622"/>
      <c r="F3622"/>
      <c r="G3622"/>
      <c r="H3622"/>
      <c r="I3622"/>
      <c r="J3622"/>
    </row>
    <row r="3623" spans="1:10" s="2" customFormat="1">
      <c r="A3623" s="1"/>
      <c r="E3623"/>
      <c r="F3623"/>
      <c r="G3623"/>
      <c r="H3623"/>
      <c r="I3623"/>
      <c r="J3623"/>
    </row>
    <row r="3624" spans="1:10" s="2" customFormat="1">
      <c r="A3624" s="1"/>
      <c r="E3624"/>
      <c r="F3624"/>
      <c r="G3624"/>
      <c r="H3624"/>
      <c r="I3624"/>
      <c r="J3624"/>
    </row>
    <row r="3625" spans="1:10" s="2" customFormat="1">
      <c r="A3625" s="1"/>
      <c r="E3625"/>
      <c r="F3625"/>
      <c r="G3625"/>
      <c r="H3625"/>
      <c r="I3625"/>
      <c r="J3625"/>
    </row>
    <row r="3626" spans="1:10" s="2" customFormat="1">
      <c r="A3626" s="1"/>
      <c r="E3626"/>
      <c r="F3626"/>
      <c r="G3626"/>
      <c r="H3626"/>
      <c r="I3626"/>
      <c r="J3626"/>
    </row>
    <row r="3627" spans="1:10" s="2" customFormat="1">
      <c r="A3627" s="1"/>
      <c r="E3627"/>
      <c r="F3627"/>
      <c r="G3627"/>
      <c r="H3627"/>
      <c r="I3627"/>
      <c r="J3627"/>
    </row>
    <row r="3628" spans="1:10" s="2" customFormat="1">
      <c r="A3628" s="1"/>
      <c r="E3628"/>
      <c r="F3628"/>
      <c r="G3628"/>
      <c r="H3628"/>
      <c r="I3628"/>
      <c r="J3628"/>
    </row>
    <row r="3629" spans="1:10" s="2" customFormat="1">
      <c r="A3629" s="1"/>
      <c r="E3629"/>
      <c r="F3629"/>
      <c r="G3629"/>
      <c r="H3629"/>
      <c r="I3629"/>
      <c r="J3629"/>
    </row>
    <row r="3630" spans="1:10" s="2" customFormat="1">
      <c r="A3630" s="1"/>
      <c r="E3630"/>
      <c r="F3630"/>
      <c r="G3630"/>
      <c r="H3630"/>
      <c r="I3630"/>
      <c r="J3630"/>
    </row>
    <row r="3631" spans="1:10" s="2" customFormat="1">
      <c r="A3631" s="1"/>
      <c r="E3631"/>
      <c r="F3631"/>
      <c r="G3631"/>
      <c r="H3631"/>
      <c r="I3631"/>
      <c r="J3631"/>
    </row>
    <row r="3632" spans="1:10" s="2" customFormat="1">
      <c r="A3632" s="1"/>
      <c r="E3632"/>
      <c r="F3632"/>
      <c r="G3632"/>
      <c r="H3632"/>
      <c r="I3632"/>
      <c r="J3632"/>
    </row>
    <row r="3633" spans="1:10" s="2" customFormat="1">
      <c r="A3633" s="1"/>
      <c r="E3633"/>
      <c r="F3633"/>
      <c r="G3633"/>
      <c r="H3633"/>
      <c r="I3633"/>
      <c r="J3633"/>
    </row>
    <row r="3634" spans="1:10" s="2" customFormat="1">
      <c r="A3634" s="1"/>
      <c r="E3634"/>
      <c r="F3634"/>
      <c r="G3634"/>
      <c r="H3634"/>
      <c r="I3634"/>
      <c r="J3634"/>
    </row>
    <row r="3635" spans="1:10" s="2" customFormat="1">
      <c r="A3635" s="1"/>
      <c r="E3635"/>
      <c r="F3635"/>
      <c r="G3635"/>
      <c r="H3635"/>
      <c r="I3635"/>
      <c r="J3635"/>
    </row>
    <row r="3636" spans="1:10" s="2" customFormat="1">
      <c r="A3636" s="1"/>
      <c r="E3636"/>
      <c r="F3636"/>
      <c r="G3636"/>
      <c r="H3636"/>
      <c r="I3636"/>
      <c r="J3636"/>
    </row>
    <row r="3637" spans="1:10" s="2" customFormat="1">
      <c r="A3637" s="1"/>
      <c r="E3637"/>
      <c r="F3637"/>
      <c r="G3637"/>
      <c r="H3637"/>
      <c r="I3637"/>
      <c r="J3637"/>
    </row>
    <row r="3638" spans="1:10" s="2" customFormat="1">
      <c r="A3638" s="1"/>
      <c r="E3638"/>
      <c r="F3638"/>
      <c r="G3638"/>
      <c r="H3638"/>
      <c r="I3638"/>
      <c r="J3638"/>
    </row>
    <row r="3639" spans="1:10" s="2" customFormat="1">
      <c r="A3639" s="1"/>
      <c r="E3639"/>
      <c r="F3639"/>
      <c r="G3639"/>
      <c r="H3639"/>
      <c r="I3639"/>
      <c r="J3639"/>
    </row>
    <row r="3640" spans="1:10" s="2" customFormat="1">
      <c r="A3640" s="1"/>
      <c r="E3640"/>
      <c r="F3640"/>
      <c r="G3640"/>
      <c r="H3640"/>
      <c r="I3640"/>
      <c r="J3640"/>
    </row>
    <row r="3641" spans="1:10" s="2" customFormat="1">
      <c r="A3641" s="1"/>
      <c r="E3641"/>
      <c r="F3641"/>
      <c r="G3641"/>
      <c r="H3641"/>
      <c r="I3641"/>
      <c r="J3641"/>
    </row>
    <row r="3642" spans="1:10" s="2" customFormat="1">
      <c r="A3642" s="1"/>
      <c r="E3642"/>
      <c r="F3642"/>
      <c r="G3642"/>
      <c r="H3642"/>
      <c r="I3642"/>
      <c r="J3642"/>
    </row>
    <row r="3643" spans="1:10" s="2" customFormat="1">
      <c r="A3643" s="1"/>
      <c r="E3643"/>
      <c r="F3643"/>
      <c r="G3643"/>
      <c r="H3643"/>
      <c r="I3643"/>
      <c r="J3643"/>
    </row>
    <row r="3644" spans="1:10" s="2" customFormat="1">
      <c r="A3644" s="1"/>
      <c r="E3644"/>
      <c r="F3644"/>
      <c r="G3644"/>
      <c r="H3644"/>
      <c r="I3644"/>
      <c r="J3644"/>
    </row>
    <row r="3645" spans="1:10" s="2" customFormat="1">
      <c r="A3645" s="1"/>
      <c r="E3645"/>
      <c r="F3645"/>
      <c r="G3645"/>
      <c r="H3645"/>
      <c r="I3645"/>
      <c r="J3645"/>
    </row>
    <row r="3646" spans="1:10" s="2" customFormat="1">
      <c r="A3646" s="1"/>
      <c r="E3646"/>
      <c r="F3646"/>
      <c r="G3646"/>
      <c r="H3646"/>
      <c r="I3646"/>
      <c r="J3646"/>
    </row>
    <row r="3647" spans="1:10" s="2" customFormat="1">
      <c r="A3647" s="1"/>
      <c r="E3647"/>
      <c r="F3647"/>
      <c r="G3647"/>
      <c r="H3647"/>
      <c r="I3647"/>
      <c r="J3647"/>
    </row>
    <row r="3648" spans="1:10" s="2" customFormat="1">
      <c r="A3648" s="1"/>
      <c r="E3648"/>
      <c r="F3648"/>
      <c r="G3648"/>
      <c r="H3648"/>
      <c r="I3648"/>
      <c r="J3648"/>
    </row>
    <row r="3649" spans="1:10" s="2" customFormat="1">
      <c r="A3649" s="1"/>
      <c r="E3649"/>
      <c r="F3649"/>
      <c r="G3649"/>
      <c r="H3649"/>
      <c r="I3649"/>
      <c r="J3649"/>
    </row>
    <row r="3650" spans="1:10" s="2" customFormat="1">
      <c r="A3650" s="1"/>
      <c r="E3650"/>
      <c r="F3650"/>
      <c r="G3650"/>
      <c r="H3650"/>
      <c r="I3650"/>
      <c r="J3650"/>
    </row>
    <row r="3651" spans="1:10" s="2" customFormat="1">
      <c r="A3651" s="1"/>
      <c r="E3651"/>
      <c r="F3651"/>
      <c r="G3651"/>
      <c r="H3651"/>
      <c r="I3651"/>
      <c r="J3651"/>
    </row>
    <row r="3652" spans="1:10" s="2" customFormat="1">
      <c r="A3652" s="1"/>
      <c r="E3652"/>
      <c r="F3652"/>
      <c r="G3652"/>
      <c r="H3652"/>
      <c r="I3652"/>
      <c r="J3652"/>
    </row>
    <row r="3653" spans="1:10" s="2" customFormat="1">
      <c r="A3653" s="1"/>
      <c r="E3653"/>
      <c r="F3653"/>
      <c r="G3653"/>
      <c r="H3653"/>
      <c r="I3653"/>
      <c r="J3653"/>
    </row>
    <row r="3654" spans="1:10" s="2" customFormat="1">
      <c r="A3654" s="1"/>
      <c r="E3654"/>
      <c r="F3654"/>
      <c r="G3654"/>
      <c r="H3654"/>
      <c r="I3654"/>
      <c r="J3654"/>
    </row>
    <row r="3655" spans="1:10" s="2" customFormat="1">
      <c r="A3655" s="1"/>
      <c r="E3655"/>
      <c r="F3655"/>
      <c r="G3655"/>
      <c r="H3655"/>
      <c r="I3655"/>
      <c r="J3655"/>
    </row>
    <row r="3656" spans="1:10" s="2" customFormat="1">
      <c r="A3656" s="1"/>
      <c r="E3656"/>
      <c r="F3656"/>
      <c r="G3656"/>
      <c r="H3656"/>
      <c r="I3656"/>
      <c r="J3656"/>
    </row>
    <row r="3657" spans="1:10" s="2" customFormat="1">
      <c r="A3657" s="1"/>
      <c r="E3657"/>
      <c r="F3657"/>
      <c r="G3657"/>
      <c r="H3657"/>
      <c r="I3657"/>
      <c r="J3657"/>
    </row>
    <row r="3658" spans="1:10" s="2" customFormat="1">
      <c r="A3658" s="1"/>
      <c r="E3658"/>
      <c r="F3658"/>
      <c r="G3658"/>
      <c r="H3658"/>
      <c r="I3658"/>
      <c r="J3658"/>
    </row>
    <row r="3659" spans="1:10" s="2" customFormat="1">
      <c r="A3659" s="1"/>
      <c r="E3659"/>
      <c r="F3659"/>
      <c r="G3659"/>
      <c r="H3659"/>
      <c r="I3659"/>
      <c r="J3659"/>
    </row>
    <row r="3660" spans="1:10" s="2" customFormat="1">
      <c r="A3660" s="1"/>
      <c r="E3660"/>
      <c r="F3660"/>
      <c r="G3660"/>
      <c r="H3660"/>
      <c r="I3660"/>
      <c r="J3660"/>
    </row>
    <row r="3661" spans="1:10" s="2" customFormat="1">
      <c r="A3661" s="1"/>
      <c r="E3661"/>
      <c r="F3661"/>
      <c r="G3661"/>
      <c r="H3661"/>
      <c r="I3661"/>
      <c r="J3661"/>
    </row>
    <row r="3662" spans="1:10" s="2" customFormat="1">
      <c r="A3662" s="1"/>
      <c r="E3662"/>
      <c r="F3662"/>
      <c r="G3662"/>
      <c r="H3662"/>
      <c r="I3662"/>
      <c r="J3662"/>
    </row>
    <row r="3663" spans="1:10" s="2" customFormat="1">
      <c r="A3663" s="1"/>
      <c r="E3663"/>
      <c r="F3663"/>
      <c r="G3663"/>
      <c r="H3663"/>
      <c r="I3663"/>
      <c r="J3663"/>
    </row>
    <row r="3664" spans="1:10" s="2" customFormat="1">
      <c r="A3664" s="1"/>
      <c r="E3664"/>
      <c r="F3664"/>
      <c r="G3664"/>
      <c r="H3664"/>
      <c r="I3664"/>
      <c r="J3664"/>
    </row>
    <row r="3665" spans="1:10" s="2" customFormat="1">
      <c r="A3665" s="1"/>
      <c r="E3665"/>
      <c r="F3665"/>
      <c r="G3665"/>
      <c r="H3665"/>
      <c r="I3665"/>
      <c r="J3665"/>
    </row>
    <row r="3666" spans="1:10" s="2" customFormat="1">
      <c r="A3666" s="1"/>
      <c r="E3666"/>
      <c r="F3666"/>
      <c r="G3666"/>
      <c r="H3666"/>
      <c r="I3666"/>
      <c r="J3666"/>
    </row>
    <row r="3667" spans="1:10" s="2" customFormat="1">
      <c r="A3667" s="1"/>
      <c r="E3667"/>
      <c r="F3667"/>
      <c r="G3667"/>
      <c r="H3667"/>
      <c r="I3667"/>
      <c r="J3667"/>
    </row>
    <row r="3668" spans="1:10" s="2" customFormat="1">
      <c r="A3668" s="1"/>
      <c r="E3668"/>
      <c r="F3668"/>
      <c r="G3668"/>
      <c r="H3668"/>
      <c r="I3668"/>
      <c r="J3668"/>
    </row>
    <row r="3669" spans="1:10" s="2" customFormat="1">
      <c r="A3669" s="1"/>
      <c r="E3669"/>
      <c r="F3669"/>
      <c r="G3669"/>
      <c r="H3669"/>
      <c r="I3669"/>
      <c r="J3669"/>
    </row>
    <row r="3670" spans="1:10" s="2" customFormat="1">
      <c r="A3670" s="1"/>
      <c r="E3670"/>
      <c r="F3670"/>
      <c r="G3670"/>
      <c r="H3670"/>
      <c r="I3670"/>
      <c r="J3670"/>
    </row>
    <row r="3671" spans="1:10" s="2" customFormat="1">
      <c r="A3671" s="1"/>
      <c r="E3671"/>
      <c r="F3671"/>
      <c r="G3671"/>
      <c r="H3671"/>
      <c r="I3671"/>
      <c r="J3671"/>
    </row>
    <row r="3672" spans="1:10" s="2" customFormat="1">
      <c r="A3672" s="1"/>
      <c r="E3672"/>
      <c r="F3672"/>
      <c r="G3672"/>
      <c r="H3672"/>
      <c r="I3672"/>
      <c r="J3672"/>
    </row>
    <row r="3673" spans="1:10" s="2" customFormat="1">
      <c r="A3673" s="1"/>
      <c r="E3673"/>
      <c r="F3673"/>
      <c r="G3673"/>
      <c r="H3673"/>
      <c r="I3673"/>
      <c r="J3673"/>
    </row>
    <row r="3674" spans="1:10" s="2" customFormat="1">
      <c r="A3674" s="1"/>
      <c r="E3674"/>
      <c r="F3674"/>
      <c r="G3674"/>
      <c r="H3674"/>
      <c r="I3674"/>
      <c r="J3674"/>
    </row>
    <row r="3675" spans="1:10" s="2" customFormat="1">
      <c r="A3675" s="1"/>
      <c r="E3675"/>
      <c r="F3675"/>
      <c r="G3675"/>
      <c r="H3675"/>
      <c r="I3675"/>
      <c r="J3675"/>
    </row>
    <row r="3676" spans="1:10" s="2" customFormat="1">
      <c r="A3676" s="1"/>
      <c r="E3676"/>
      <c r="F3676"/>
      <c r="G3676"/>
      <c r="H3676"/>
      <c r="I3676"/>
      <c r="J3676"/>
    </row>
    <row r="3677" spans="1:10" s="2" customFormat="1">
      <c r="A3677" s="1"/>
      <c r="E3677"/>
      <c r="F3677"/>
      <c r="G3677"/>
      <c r="H3677"/>
      <c r="I3677"/>
      <c r="J3677"/>
    </row>
    <row r="3678" spans="1:10" s="2" customFormat="1">
      <c r="A3678" s="1"/>
      <c r="E3678"/>
      <c r="F3678"/>
      <c r="G3678"/>
      <c r="H3678"/>
      <c r="I3678"/>
      <c r="J3678"/>
    </row>
    <row r="3679" spans="1:10" s="2" customFormat="1">
      <c r="A3679" s="1"/>
      <c r="E3679"/>
      <c r="F3679"/>
      <c r="G3679"/>
      <c r="H3679"/>
      <c r="I3679"/>
      <c r="J3679"/>
    </row>
    <row r="3680" spans="1:10" s="2" customFormat="1">
      <c r="A3680" s="1"/>
      <c r="E3680"/>
      <c r="F3680"/>
      <c r="G3680"/>
      <c r="H3680"/>
      <c r="I3680"/>
      <c r="J3680"/>
    </row>
    <row r="3681" spans="1:10" s="2" customFormat="1">
      <c r="A3681" s="1"/>
      <c r="E3681"/>
      <c r="F3681"/>
      <c r="G3681"/>
      <c r="H3681"/>
      <c r="I3681"/>
      <c r="J3681"/>
    </row>
    <row r="3682" spans="1:10" s="2" customFormat="1">
      <c r="A3682" s="1"/>
      <c r="E3682"/>
      <c r="F3682"/>
      <c r="G3682"/>
      <c r="H3682"/>
      <c r="I3682"/>
      <c r="J3682"/>
    </row>
    <row r="3683" spans="1:10" s="2" customFormat="1">
      <c r="A3683" s="1"/>
      <c r="E3683"/>
      <c r="F3683"/>
      <c r="G3683"/>
      <c r="H3683"/>
      <c r="I3683"/>
      <c r="J3683"/>
    </row>
    <row r="3684" spans="1:10" s="2" customFormat="1">
      <c r="A3684" s="1"/>
      <c r="E3684"/>
      <c r="F3684"/>
      <c r="G3684"/>
      <c r="H3684"/>
      <c r="I3684"/>
      <c r="J3684"/>
    </row>
    <row r="3685" spans="1:10" s="2" customFormat="1">
      <c r="A3685" s="1"/>
      <c r="E3685"/>
      <c r="F3685"/>
      <c r="G3685"/>
      <c r="H3685"/>
      <c r="I3685"/>
      <c r="J3685"/>
    </row>
    <row r="3686" spans="1:10" s="2" customFormat="1">
      <c r="A3686" s="1"/>
      <c r="E3686"/>
      <c r="F3686"/>
      <c r="G3686"/>
      <c r="H3686"/>
      <c r="I3686"/>
      <c r="J3686"/>
    </row>
    <row r="3687" spans="1:10" s="2" customFormat="1">
      <c r="A3687" s="1"/>
      <c r="E3687"/>
      <c r="F3687"/>
      <c r="G3687"/>
      <c r="H3687"/>
      <c r="I3687"/>
      <c r="J3687"/>
    </row>
    <row r="3688" spans="1:10" s="2" customFormat="1">
      <c r="A3688" s="1"/>
      <c r="E3688"/>
      <c r="F3688"/>
      <c r="G3688"/>
      <c r="H3688"/>
      <c r="I3688"/>
      <c r="J3688"/>
    </row>
    <row r="3689" spans="1:10" s="2" customFormat="1">
      <c r="A3689" s="1"/>
      <c r="E3689"/>
      <c r="F3689"/>
      <c r="G3689"/>
      <c r="H3689"/>
      <c r="I3689"/>
      <c r="J3689"/>
    </row>
    <row r="3690" spans="1:10" s="2" customFormat="1">
      <c r="A3690" s="1"/>
      <c r="E3690"/>
      <c r="F3690"/>
      <c r="G3690"/>
      <c r="H3690"/>
      <c r="I3690"/>
      <c r="J3690"/>
    </row>
    <row r="3691" spans="1:10" s="2" customFormat="1">
      <c r="A3691" s="1"/>
      <c r="E3691"/>
      <c r="F3691"/>
      <c r="G3691"/>
      <c r="H3691"/>
      <c r="I3691"/>
      <c r="J3691"/>
    </row>
    <row r="3692" spans="1:10" s="2" customFormat="1">
      <c r="A3692" s="1"/>
      <c r="E3692"/>
      <c r="F3692"/>
      <c r="G3692"/>
      <c r="H3692"/>
      <c r="I3692"/>
      <c r="J3692"/>
    </row>
    <row r="3693" spans="1:10" s="2" customFormat="1">
      <c r="A3693" s="1"/>
      <c r="E3693"/>
      <c r="F3693"/>
      <c r="G3693"/>
      <c r="H3693"/>
      <c r="I3693"/>
      <c r="J3693"/>
    </row>
    <row r="3694" spans="1:10" s="2" customFormat="1">
      <c r="A3694" s="1"/>
      <c r="E3694"/>
      <c r="F3694"/>
      <c r="G3694"/>
      <c r="H3694"/>
      <c r="I3694"/>
      <c r="J3694"/>
    </row>
    <row r="3695" spans="1:10" s="2" customFormat="1">
      <c r="A3695" s="1"/>
      <c r="E3695"/>
      <c r="F3695"/>
      <c r="G3695"/>
      <c r="H3695"/>
      <c r="I3695"/>
      <c r="J3695"/>
    </row>
    <row r="3696" spans="1:10" s="2" customFormat="1">
      <c r="A3696" s="1"/>
      <c r="E3696"/>
      <c r="F3696"/>
      <c r="G3696"/>
      <c r="H3696"/>
      <c r="I3696"/>
      <c r="J3696"/>
    </row>
    <row r="3697" spans="1:10" s="2" customFormat="1">
      <c r="A3697" s="1"/>
      <c r="E3697"/>
      <c r="F3697"/>
      <c r="G3697"/>
      <c r="H3697"/>
      <c r="I3697"/>
      <c r="J3697"/>
    </row>
    <row r="3698" spans="1:10" s="2" customFormat="1">
      <c r="A3698" s="1"/>
      <c r="E3698"/>
      <c r="F3698"/>
      <c r="G3698"/>
      <c r="H3698"/>
      <c r="I3698"/>
      <c r="J3698"/>
    </row>
    <row r="3699" spans="1:10" s="2" customFormat="1">
      <c r="A3699" s="1"/>
      <c r="E3699"/>
      <c r="F3699"/>
      <c r="G3699"/>
      <c r="H3699"/>
      <c r="I3699"/>
      <c r="J3699"/>
    </row>
    <row r="3700" spans="1:10" s="2" customFormat="1">
      <c r="A3700" s="1"/>
      <c r="E3700"/>
      <c r="F3700"/>
      <c r="G3700"/>
      <c r="H3700"/>
      <c r="I3700"/>
      <c r="J3700"/>
    </row>
    <row r="3701" spans="1:10" s="2" customFormat="1">
      <c r="A3701" s="1"/>
      <c r="E3701"/>
      <c r="F3701"/>
      <c r="G3701"/>
      <c r="H3701"/>
      <c r="I3701"/>
      <c r="J3701"/>
    </row>
    <row r="3702" spans="1:10" s="2" customFormat="1">
      <c r="A3702" s="1"/>
      <c r="E3702"/>
      <c r="F3702"/>
      <c r="G3702"/>
      <c r="H3702"/>
      <c r="I3702"/>
      <c r="J3702"/>
    </row>
    <row r="3703" spans="1:10" s="2" customFormat="1">
      <c r="A3703" s="1"/>
      <c r="E3703"/>
      <c r="F3703"/>
      <c r="G3703"/>
      <c r="H3703"/>
      <c r="I3703"/>
      <c r="J3703"/>
    </row>
    <row r="3704" spans="1:10" s="2" customFormat="1">
      <c r="A3704" s="1"/>
      <c r="E3704"/>
      <c r="F3704"/>
      <c r="G3704"/>
      <c r="H3704"/>
      <c r="I3704"/>
      <c r="J3704"/>
    </row>
    <row r="3705" spans="1:10" s="2" customFormat="1">
      <c r="A3705" s="1"/>
      <c r="E3705"/>
      <c r="F3705"/>
      <c r="G3705"/>
      <c r="H3705"/>
      <c r="I3705"/>
      <c r="J3705"/>
    </row>
    <row r="3706" spans="1:10" s="2" customFormat="1">
      <c r="A3706" s="1"/>
      <c r="E3706"/>
      <c r="F3706"/>
      <c r="G3706"/>
      <c r="H3706"/>
      <c r="I3706"/>
      <c r="J3706"/>
    </row>
    <row r="3707" spans="1:10" s="2" customFormat="1">
      <c r="A3707" s="1"/>
      <c r="E3707"/>
      <c r="F3707"/>
      <c r="G3707"/>
      <c r="H3707"/>
      <c r="I3707"/>
      <c r="J3707"/>
    </row>
    <row r="3708" spans="1:10" s="2" customFormat="1">
      <c r="A3708" s="1"/>
      <c r="E3708"/>
      <c r="F3708"/>
      <c r="G3708"/>
      <c r="H3708"/>
      <c r="I3708"/>
      <c r="J3708"/>
    </row>
    <row r="3709" spans="1:10" s="2" customFormat="1">
      <c r="A3709" s="1"/>
      <c r="E3709"/>
      <c r="F3709"/>
      <c r="G3709"/>
      <c r="H3709"/>
      <c r="I3709"/>
      <c r="J3709"/>
    </row>
    <row r="3710" spans="1:10" s="2" customFormat="1">
      <c r="A3710" s="1"/>
      <c r="E3710"/>
      <c r="F3710"/>
      <c r="G3710"/>
      <c r="H3710"/>
      <c r="I3710"/>
      <c r="J3710"/>
    </row>
    <row r="3711" spans="1:10" s="2" customFormat="1">
      <c r="A3711" s="1"/>
      <c r="E3711"/>
      <c r="F3711"/>
      <c r="G3711"/>
      <c r="H3711"/>
      <c r="I3711"/>
      <c r="J3711"/>
    </row>
    <row r="3712" spans="1:10" s="2" customFormat="1">
      <c r="A3712" s="1"/>
      <c r="E3712"/>
      <c r="F3712"/>
      <c r="G3712"/>
      <c r="H3712"/>
      <c r="I3712"/>
      <c r="J3712"/>
    </row>
    <row r="3713" spans="1:10" s="2" customFormat="1">
      <c r="A3713" s="1"/>
      <c r="E3713"/>
      <c r="F3713"/>
      <c r="G3713"/>
      <c r="H3713"/>
      <c r="I3713"/>
      <c r="J3713"/>
    </row>
    <row r="3714" spans="1:10" s="2" customFormat="1">
      <c r="A3714" s="1"/>
      <c r="E3714"/>
      <c r="F3714"/>
      <c r="G3714"/>
      <c r="H3714"/>
      <c r="I3714"/>
      <c r="J3714"/>
    </row>
    <row r="3715" spans="1:10" s="2" customFormat="1">
      <c r="A3715" s="1"/>
      <c r="E3715"/>
      <c r="F3715"/>
      <c r="G3715"/>
      <c r="H3715"/>
      <c r="I3715"/>
      <c r="J3715"/>
    </row>
    <row r="3716" spans="1:10" s="2" customFormat="1">
      <c r="A3716" s="1"/>
      <c r="E3716"/>
      <c r="F3716"/>
      <c r="G3716"/>
      <c r="H3716"/>
      <c r="I3716"/>
      <c r="J3716"/>
    </row>
    <row r="3717" spans="1:10" s="2" customFormat="1">
      <c r="A3717" s="1"/>
      <c r="E3717"/>
      <c r="F3717"/>
      <c r="G3717"/>
      <c r="H3717"/>
      <c r="I3717"/>
      <c r="J3717"/>
    </row>
    <row r="3718" spans="1:10" s="2" customFormat="1">
      <c r="A3718" s="1"/>
      <c r="E3718"/>
      <c r="F3718"/>
      <c r="G3718"/>
      <c r="H3718"/>
      <c r="I3718"/>
      <c r="J3718"/>
    </row>
    <row r="3719" spans="1:10" s="2" customFormat="1">
      <c r="A3719" s="1"/>
      <c r="E3719"/>
      <c r="F3719"/>
      <c r="G3719"/>
      <c r="H3719"/>
      <c r="I3719"/>
      <c r="J3719"/>
    </row>
    <row r="3720" spans="1:10" s="2" customFormat="1">
      <c r="A3720" s="1"/>
      <c r="E3720"/>
      <c r="F3720"/>
      <c r="G3720"/>
      <c r="H3720"/>
      <c r="I3720"/>
      <c r="J3720"/>
    </row>
    <row r="3721" spans="1:10" s="2" customFormat="1">
      <c r="A3721" s="1"/>
      <c r="E3721"/>
      <c r="F3721"/>
      <c r="G3721"/>
      <c r="H3721"/>
      <c r="I3721"/>
      <c r="J3721"/>
    </row>
    <row r="3722" spans="1:10" s="2" customFormat="1">
      <c r="A3722" s="1"/>
      <c r="E3722"/>
      <c r="F3722"/>
      <c r="G3722"/>
      <c r="H3722"/>
      <c r="I3722"/>
      <c r="J3722"/>
    </row>
    <row r="3723" spans="1:10" s="2" customFormat="1">
      <c r="A3723" s="1"/>
      <c r="E3723"/>
      <c r="F3723"/>
      <c r="G3723"/>
      <c r="H3723"/>
      <c r="I3723"/>
      <c r="J3723"/>
    </row>
    <row r="3724" spans="1:10" s="2" customFormat="1">
      <c r="A3724" s="1"/>
      <c r="E3724"/>
      <c r="F3724"/>
      <c r="G3724"/>
      <c r="H3724"/>
      <c r="I3724"/>
      <c r="J3724"/>
    </row>
    <row r="3725" spans="1:10" s="2" customFormat="1">
      <c r="A3725" s="1"/>
      <c r="E3725"/>
      <c r="F3725"/>
      <c r="G3725"/>
      <c r="H3725"/>
      <c r="I3725"/>
      <c r="J3725"/>
    </row>
    <row r="3726" spans="1:10" s="2" customFormat="1">
      <c r="A3726" s="1"/>
      <c r="E3726"/>
      <c r="F3726"/>
      <c r="G3726"/>
      <c r="H3726"/>
      <c r="I3726"/>
      <c r="J3726"/>
    </row>
    <row r="3727" spans="1:10" s="2" customFormat="1">
      <c r="A3727" s="1"/>
      <c r="E3727"/>
      <c r="F3727"/>
      <c r="G3727"/>
      <c r="H3727"/>
      <c r="I3727"/>
      <c r="J3727"/>
    </row>
    <row r="3728" spans="1:10" s="2" customFormat="1">
      <c r="A3728" s="1"/>
      <c r="E3728"/>
      <c r="F3728"/>
      <c r="G3728"/>
      <c r="H3728"/>
      <c r="I3728"/>
      <c r="J3728"/>
    </row>
    <row r="3729" spans="1:10" s="2" customFormat="1">
      <c r="A3729" s="1"/>
      <c r="E3729"/>
      <c r="F3729"/>
      <c r="G3729"/>
      <c r="H3729"/>
      <c r="I3729"/>
      <c r="J3729"/>
    </row>
    <row r="3730" spans="1:10" s="2" customFormat="1">
      <c r="A3730" s="1"/>
      <c r="E3730"/>
      <c r="F3730"/>
      <c r="G3730"/>
      <c r="H3730"/>
      <c r="I3730"/>
      <c r="J3730"/>
    </row>
    <row r="3731" spans="1:10" s="2" customFormat="1">
      <c r="A3731" s="1"/>
      <c r="E3731"/>
      <c r="F3731"/>
      <c r="G3731"/>
      <c r="H3731"/>
      <c r="I3731"/>
      <c r="J3731"/>
    </row>
    <row r="3732" spans="1:10" s="2" customFormat="1">
      <c r="A3732" s="1"/>
      <c r="E3732"/>
      <c r="F3732"/>
      <c r="G3732"/>
      <c r="H3732"/>
      <c r="I3732"/>
      <c r="J3732"/>
    </row>
    <row r="3733" spans="1:10" s="2" customFormat="1">
      <c r="A3733" s="1"/>
      <c r="E3733"/>
      <c r="F3733"/>
      <c r="G3733"/>
      <c r="H3733"/>
      <c r="I3733"/>
      <c r="J3733"/>
    </row>
    <row r="3734" spans="1:10" s="2" customFormat="1">
      <c r="A3734" s="1"/>
      <c r="E3734"/>
      <c r="F3734"/>
      <c r="G3734"/>
      <c r="H3734"/>
      <c r="I3734"/>
      <c r="J3734"/>
    </row>
    <row r="3735" spans="1:10" s="2" customFormat="1">
      <c r="A3735" s="1"/>
      <c r="E3735"/>
      <c r="F3735"/>
      <c r="G3735"/>
      <c r="H3735"/>
      <c r="I3735"/>
      <c r="J3735"/>
    </row>
    <row r="3736" spans="1:10" s="2" customFormat="1">
      <c r="A3736" s="1"/>
      <c r="E3736"/>
      <c r="F3736"/>
      <c r="G3736"/>
      <c r="H3736"/>
      <c r="I3736"/>
      <c r="J3736"/>
    </row>
    <row r="3737" spans="1:10" s="2" customFormat="1">
      <c r="A3737" s="1"/>
      <c r="E3737"/>
      <c r="F3737"/>
      <c r="G3737"/>
      <c r="H3737"/>
      <c r="I3737"/>
      <c r="J3737"/>
    </row>
    <row r="3738" spans="1:10" s="2" customFormat="1">
      <c r="A3738" s="1"/>
      <c r="E3738"/>
      <c r="F3738"/>
      <c r="G3738"/>
      <c r="H3738"/>
      <c r="I3738"/>
      <c r="J3738"/>
    </row>
    <row r="3739" spans="1:10" s="2" customFormat="1">
      <c r="A3739" s="1"/>
      <c r="E3739"/>
      <c r="F3739"/>
      <c r="G3739"/>
      <c r="H3739"/>
      <c r="I3739"/>
      <c r="J3739"/>
    </row>
    <row r="3740" spans="1:10" s="2" customFormat="1">
      <c r="A3740" s="1"/>
      <c r="E3740"/>
      <c r="F3740"/>
      <c r="G3740"/>
      <c r="H3740"/>
      <c r="I3740"/>
      <c r="J3740"/>
    </row>
    <row r="3741" spans="1:10" s="2" customFormat="1">
      <c r="A3741" s="1"/>
      <c r="E3741"/>
      <c r="F3741"/>
      <c r="G3741"/>
      <c r="H3741"/>
      <c r="I3741"/>
      <c r="J3741"/>
    </row>
    <row r="3742" spans="1:10" s="2" customFormat="1">
      <c r="A3742" s="1"/>
      <c r="E3742"/>
      <c r="F3742"/>
      <c r="G3742"/>
      <c r="H3742"/>
      <c r="I3742"/>
      <c r="J3742"/>
    </row>
    <row r="3743" spans="1:10" s="2" customFormat="1">
      <c r="A3743" s="1"/>
      <c r="E3743"/>
      <c r="F3743"/>
      <c r="G3743"/>
      <c r="H3743"/>
      <c r="I3743"/>
      <c r="J3743"/>
    </row>
    <row r="3744" spans="1:10" s="2" customFormat="1">
      <c r="A3744" s="1"/>
      <c r="E3744"/>
      <c r="F3744"/>
      <c r="G3744"/>
      <c r="H3744"/>
      <c r="I3744"/>
      <c r="J3744"/>
    </row>
    <row r="3745" spans="1:10" s="2" customFormat="1">
      <c r="A3745" s="1"/>
      <c r="E3745"/>
      <c r="F3745"/>
      <c r="G3745"/>
      <c r="H3745"/>
      <c r="I3745"/>
      <c r="J3745"/>
    </row>
    <row r="3746" spans="1:10" s="2" customFormat="1">
      <c r="A3746" s="1"/>
      <c r="E3746"/>
      <c r="F3746"/>
      <c r="G3746"/>
      <c r="H3746"/>
      <c r="I3746"/>
      <c r="J3746"/>
    </row>
    <row r="3747" spans="1:10" s="2" customFormat="1">
      <c r="A3747" s="1"/>
      <c r="E3747"/>
      <c r="F3747"/>
      <c r="G3747"/>
      <c r="H3747"/>
      <c r="I3747"/>
      <c r="J3747"/>
    </row>
    <row r="3748" spans="1:10" s="2" customFormat="1">
      <c r="A3748" s="1"/>
      <c r="E3748"/>
      <c r="F3748"/>
      <c r="G3748"/>
      <c r="H3748"/>
      <c r="I3748"/>
      <c r="J3748"/>
    </row>
    <row r="3749" spans="1:10" s="2" customFormat="1">
      <c r="A3749" s="1"/>
      <c r="E3749"/>
      <c r="F3749"/>
      <c r="G3749"/>
      <c r="H3749"/>
      <c r="I3749"/>
      <c r="J3749"/>
    </row>
    <row r="3750" spans="1:10" s="2" customFormat="1">
      <c r="A3750" s="1"/>
      <c r="E3750"/>
      <c r="F3750"/>
      <c r="G3750"/>
      <c r="H3750"/>
      <c r="I3750"/>
      <c r="J3750"/>
    </row>
    <row r="3751" spans="1:10" s="2" customFormat="1">
      <c r="A3751" s="1"/>
      <c r="E3751"/>
      <c r="F3751"/>
      <c r="G3751"/>
      <c r="H3751"/>
      <c r="I3751"/>
      <c r="J3751"/>
    </row>
    <row r="3752" spans="1:10" s="2" customFormat="1">
      <c r="A3752" s="1"/>
      <c r="E3752"/>
      <c r="F3752"/>
      <c r="G3752"/>
      <c r="H3752"/>
      <c r="I3752"/>
      <c r="J3752"/>
    </row>
    <row r="3753" spans="1:10" s="2" customFormat="1">
      <c r="A3753" s="1"/>
      <c r="E3753"/>
      <c r="F3753"/>
      <c r="G3753"/>
      <c r="H3753"/>
      <c r="I3753"/>
      <c r="J3753"/>
    </row>
    <row r="3754" spans="1:10" s="2" customFormat="1">
      <c r="A3754" s="1"/>
      <c r="E3754"/>
      <c r="F3754"/>
      <c r="G3754"/>
      <c r="H3754"/>
      <c r="I3754"/>
      <c r="J3754"/>
    </row>
    <row r="3755" spans="1:10" s="2" customFormat="1">
      <c r="A3755" s="1"/>
      <c r="E3755"/>
      <c r="F3755"/>
      <c r="G3755"/>
      <c r="H3755"/>
      <c r="I3755"/>
      <c r="J3755"/>
    </row>
    <row r="3756" spans="1:10" s="2" customFormat="1">
      <c r="A3756" s="1"/>
      <c r="E3756"/>
      <c r="F3756"/>
      <c r="G3756"/>
      <c r="H3756"/>
      <c r="I3756"/>
      <c r="J3756"/>
    </row>
    <row r="3757" spans="1:10" s="2" customFormat="1">
      <c r="A3757" s="1"/>
      <c r="E3757"/>
      <c r="F3757"/>
      <c r="G3757"/>
      <c r="H3757"/>
      <c r="I3757"/>
      <c r="J3757"/>
    </row>
    <row r="3758" spans="1:10" s="2" customFormat="1">
      <c r="A3758" s="1"/>
      <c r="E3758"/>
      <c r="F3758"/>
      <c r="G3758"/>
      <c r="H3758"/>
      <c r="I3758"/>
      <c r="J3758"/>
    </row>
    <row r="3759" spans="1:10" s="2" customFormat="1">
      <c r="A3759" s="1"/>
      <c r="E3759"/>
      <c r="F3759"/>
      <c r="G3759"/>
      <c r="H3759"/>
      <c r="I3759"/>
      <c r="J3759"/>
    </row>
    <row r="3760" spans="1:10" s="2" customFormat="1">
      <c r="A3760" s="1"/>
      <c r="E3760"/>
      <c r="F3760"/>
      <c r="G3760"/>
      <c r="H3760"/>
      <c r="I3760"/>
      <c r="J3760"/>
    </row>
    <row r="3761" spans="1:10" s="2" customFormat="1">
      <c r="A3761" s="1"/>
      <c r="E3761"/>
      <c r="F3761"/>
      <c r="G3761"/>
      <c r="H3761"/>
      <c r="I3761"/>
      <c r="J3761"/>
    </row>
    <row r="3762" spans="1:10" s="2" customFormat="1">
      <c r="A3762" s="1"/>
      <c r="E3762"/>
      <c r="F3762"/>
      <c r="G3762"/>
      <c r="H3762"/>
      <c r="I3762"/>
      <c r="J3762"/>
    </row>
    <row r="3763" spans="1:10" s="2" customFormat="1">
      <c r="A3763" s="1"/>
      <c r="E3763"/>
      <c r="F3763"/>
      <c r="G3763"/>
      <c r="H3763"/>
      <c r="I3763"/>
      <c r="J3763"/>
    </row>
    <row r="3764" spans="1:10" s="2" customFormat="1">
      <c r="A3764" s="1"/>
      <c r="E3764"/>
      <c r="F3764"/>
      <c r="G3764"/>
      <c r="H3764"/>
      <c r="I3764"/>
      <c r="J3764"/>
    </row>
    <row r="3765" spans="1:10" s="2" customFormat="1">
      <c r="A3765" s="1"/>
      <c r="E3765"/>
      <c r="F3765"/>
      <c r="G3765"/>
      <c r="H3765"/>
      <c r="I3765"/>
      <c r="J3765"/>
    </row>
    <row r="3766" spans="1:10" s="2" customFormat="1">
      <c r="A3766" s="1"/>
      <c r="E3766"/>
      <c r="F3766"/>
      <c r="G3766"/>
      <c r="H3766"/>
      <c r="I3766"/>
      <c r="J3766"/>
    </row>
    <row r="3767" spans="1:10" s="2" customFormat="1">
      <c r="A3767" s="1"/>
      <c r="E3767"/>
      <c r="F3767"/>
      <c r="G3767"/>
      <c r="H3767"/>
      <c r="I3767"/>
      <c r="J3767"/>
    </row>
    <row r="3768" spans="1:10" s="2" customFormat="1">
      <c r="A3768" s="1"/>
      <c r="E3768"/>
      <c r="F3768"/>
      <c r="G3768"/>
      <c r="H3768"/>
      <c r="I3768"/>
      <c r="J3768"/>
    </row>
    <row r="3769" spans="1:10" s="2" customFormat="1">
      <c r="A3769" s="1"/>
      <c r="E3769"/>
      <c r="F3769"/>
      <c r="G3769"/>
      <c r="H3769"/>
      <c r="I3769"/>
      <c r="J3769"/>
    </row>
    <row r="3770" spans="1:10" s="2" customFormat="1">
      <c r="A3770" s="1"/>
      <c r="E3770"/>
      <c r="F3770"/>
      <c r="G3770"/>
      <c r="H3770"/>
      <c r="I3770"/>
      <c r="J3770"/>
    </row>
    <row r="3771" spans="1:10" s="2" customFormat="1">
      <c r="A3771" s="1"/>
      <c r="E3771"/>
      <c r="F3771"/>
      <c r="G3771"/>
      <c r="H3771"/>
      <c r="I3771"/>
      <c r="J3771"/>
    </row>
    <row r="3772" spans="1:10" s="2" customFormat="1">
      <c r="A3772" s="1"/>
      <c r="E3772"/>
      <c r="F3772"/>
      <c r="G3772"/>
      <c r="H3772"/>
      <c r="I3772"/>
      <c r="J3772"/>
    </row>
    <row r="3773" spans="1:10" s="2" customFormat="1">
      <c r="A3773" s="1"/>
      <c r="E3773"/>
      <c r="F3773"/>
      <c r="G3773"/>
      <c r="H3773"/>
      <c r="I3773"/>
      <c r="J3773"/>
    </row>
    <row r="3774" spans="1:10" s="2" customFormat="1">
      <c r="A3774" s="1"/>
      <c r="E3774"/>
      <c r="F3774"/>
      <c r="G3774"/>
      <c r="H3774"/>
      <c r="I3774"/>
      <c r="J3774"/>
    </row>
    <row r="3775" spans="1:10" s="2" customFormat="1">
      <c r="A3775" s="1"/>
      <c r="E3775"/>
      <c r="F3775"/>
      <c r="G3775"/>
      <c r="H3775"/>
      <c r="I3775"/>
      <c r="J3775"/>
    </row>
    <row r="3776" spans="1:10" s="2" customFormat="1">
      <c r="A3776" s="1"/>
      <c r="E3776"/>
      <c r="F3776"/>
      <c r="G3776"/>
      <c r="H3776"/>
      <c r="I3776"/>
      <c r="J3776"/>
    </row>
    <row r="3777" spans="1:10" s="2" customFormat="1">
      <c r="A3777" s="1"/>
      <c r="E3777"/>
      <c r="F3777"/>
      <c r="G3777"/>
      <c r="H3777"/>
      <c r="I3777"/>
      <c r="J3777"/>
    </row>
    <row r="3778" spans="1:10" s="2" customFormat="1">
      <c r="A3778" s="1"/>
      <c r="E3778"/>
      <c r="F3778"/>
      <c r="G3778"/>
      <c r="H3778"/>
      <c r="I3778"/>
      <c r="J3778"/>
    </row>
    <row r="3779" spans="1:10" s="2" customFormat="1">
      <c r="A3779" s="1"/>
      <c r="E3779"/>
      <c r="F3779"/>
      <c r="G3779"/>
      <c r="H3779"/>
      <c r="I3779"/>
      <c r="J3779"/>
    </row>
    <row r="3780" spans="1:10" s="2" customFormat="1">
      <c r="A3780" s="1"/>
      <c r="E3780"/>
      <c r="F3780"/>
      <c r="G3780"/>
      <c r="H3780"/>
      <c r="I3780"/>
      <c r="J3780"/>
    </row>
    <row r="3781" spans="1:10" s="2" customFormat="1">
      <c r="A3781" s="1"/>
      <c r="E3781"/>
      <c r="F3781"/>
      <c r="G3781"/>
      <c r="H3781"/>
      <c r="I3781"/>
      <c r="J3781"/>
    </row>
    <row r="3782" spans="1:10" s="2" customFormat="1">
      <c r="A3782" s="1"/>
      <c r="E3782"/>
      <c r="F3782"/>
      <c r="G3782"/>
      <c r="H3782"/>
      <c r="I3782"/>
      <c r="J3782"/>
    </row>
    <row r="3783" spans="1:10" s="2" customFormat="1">
      <c r="A3783" s="1"/>
      <c r="E3783"/>
      <c r="F3783"/>
      <c r="G3783"/>
      <c r="H3783"/>
      <c r="I3783"/>
      <c r="J3783"/>
    </row>
    <row r="3784" spans="1:10" s="2" customFormat="1">
      <c r="A3784" s="1"/>
      <c r="E3784"/>
      <c r="F3784"/>
      <c r="G3784"/>
      <c r="H3784"/>
      <c r="I3784"/>
      <c r="J3784"/>
    </row>
    <row r="3785" spans="1:10" s="2" customFormat="1">
      <c r="A3785" s="1"/>
      <c r="E3785"/>
      <c r="F3785"/>
      <c r="G3785"/>
      <c r="H3785"/>
      <c r="I3785"/>
      <c r="J3785"/>
    </row>
    <row r="3786" spans="1:10" s="2" customFormat="1">
      <c r="A3786" s="1"/>
      <c r="E3786"/>
      <c r="F3786"/>
      <c r="G3786"/>
      <c r="H3786"/>
      <c r="I3786"/>
      <c r="J3786"/>
    </row>
    <row r="3787" spans="1:10" s="2" customFormat="1">
      <c r="A3787" s="1"/>
      <c r="E3787"/>
      <c r="F3787"/>
      <c r="G3787"/>
      <c r="H3787"/>
      <c r="I3787"/>
      <c r="J3787"/>
    </row>
    <row r="3788" spans="1:10" s="2" customFormat="1">
      <c r="A3788" s="1"/>
      <c r="E3788"/>
      <c r="F3788"/>
      <c r="G3788"/>
      <c r="H3788"/>
      <c r="I3788"/>
      <c r="J3788"/>
    </row>
    <row r="3789" spans="1:10" s="2" customFormat="1">
      <c r="A3789" s="1"/>
      <c r="E3789"/>
      <c r="F3789"/>
      <c r="G3789"/>
      <c r="H3789"/>
      <c r="I3789"/>
      <c r="J3789"/>
    </row>
    <row r="3790" spans="1:10" s="2" customFormat="1">
      <c r="A3790" s="1"/>
      <c r="E3790"/>
      <c r="F3790"/>
      <c r="G3790"/>
      <c r="H3790"/>
      <c r="I3790"/>
      <c r="J3790"/>
    </row>
    <row r="3791" spans="1:10" s="2" customFormat="1">
      <c r="A3791" s="1"/>
      <c r="E3791"/>
      <c r="F3791"/>
      <c r="G3791"/>
      <c r="H3791"/>
      <c r="I3791"/>
      <c r="J3791"/>
    </row>
    <row r="3792" spans="1:10" s="2" customFormat="1">
      <c r="A3792" s="1"/>
      <c r="E3792"/>
      <c r="F3792"/>
      <c r="G3792"/>
      <c r="H3792"/>
      <c r="I3792"/>
      <c r="J3792"/>
    </row>
    <row r="3793" spans="1:10" s="2" customFormat="1">
      <c r="A3793" s="1"/>
      <c r="E3793"/>
      <c r="F3793"/>
      <c r="G3793"/>
      <c r="H3793"/>
      <c r="I3793"/>
      <c r="J3793"/>
    </row>
    <row r="3794" spans="1:10" s="2" customFormat="1">
      <c r="A3794" s="1"/>
      <c r="E3794"/>
      <c r="F3794"/>
      <c r="G3794"/>
      <c r="H3794"/>
      <c r="I3794"/>
      <c r="J3794"/>
    </row>
    <row r="3795" spans="1:10" s="2" customFormat="1">
      <c r="A3795" s="1"/>
      <c r="E3795"/>
      <c r="F3795"/>
      <c r="G3795"/>
      <c r="H3795"/>
      <c r="I3795"/>
      <c r="J3795"/>
    </row>
    <row r="3796" spans="1:10" s="2" customFormat="1">
      <c r="A3796" s="1"/>
      <c r="E3796"/>
      <c r="F3796"/>
      <c r="G3796"/>
      <c r="H3796"/>
      <c r="I3796"/>
      <c r="J3796"/>
    </row>
    <row r="3797" spans="1:10" s="2" customFormat="1">
      <c r="A3797" s="1"/>
      <c r="E3797"/>
      <c r="F3797"/>
      <c r="G3797"/>
      <c r="H3797"/>
      <c r="I3797"/>
      <c r="J3797"/>
    </row>
    <row r="3798" spans="1:10" s="2" customFormat="1">
      <c r="A3798" s="1"/>
      <c r="E3798"/>
      <c r="F3798"/>
      <c r="G3798"/>
      <c r="H3798"/>
      <c r="I3798"/>
      <c r="J3798"/>
    </row>
    <row r="3799" spans="1:10" s="2" customFormat="1">
      <c r="A3799" s="1"/>
      <c r="E3799"/>
      <c r="F3799"/>
      <c r="G3799"/>
      <c r="H3799"/>
      <c r="I3799"/>
      <c r="J3799"/>
    </row>
    <row r="3800" spans="1:10" s="2" customFormat="1">
      <c r="A3800" s="1"/>
      <c r="E3800"/>
      <c r="F3800"/>
      <c r="G3800"/>
      <c r="H3800"/>
      <c r="I3800"/>
      <c r="J3800"/>
    </row>
    <row r="3801" spans="1:10" s="2" customFormat="1">
      <c r="A3801" s="1"/>
      <c r="E3801"/>
      <c r="F3801"/>
      <c r="G3801"/>
      <c r="H3801"/>
      <c r="I3801"/>
      <c r="J3801"/>
    </row>
    <row r="3802" spans="1:10" s="2" customFormat="1">
      <c r="A3802" s="1"/>
      <c r="E3802"/>
      <c r="F3802"/>
      <c r="G3802"/>
      <c r="H3802"/>
      <c r="I3802"/>
      <c r="J3802"/>
    </row>
    <row r="3803" spans="1:10" s="2" customFormat="1">
      <c r="A3803" s="1"/>
      <c r="E3803"/>
      <c r="F3803"/>
      <c r="G3803"/>
      <c r="H3803"/>
      <c r="I3803"/>
      <c r="J3803"/>
    </row>
    <row r="3804" spans="1:10" s="2" customFormat="1">
      <c r="A3804" s="1"/>
      <c r="E3804"/>
      <c r="F3804"/>
      <c r="G3804"/>
      <c r="H3804"/>
      <c r="I3804"/>
      <c r="J3804"/>
    </row>
    <row r="3805" spans="1:10" s="2" customFormat="1">
      <c r="A3805" s="1"/>
      <c r="E3805"/>
      <c r="F3805"/>
      <c r="G3805"/>
      <c r="H3805"/>
      <c r="I3805"/>
      <c r="J3805"/>
    </row>
    <row r="3806" spans="1:10" s="2" customFormat="1">
      <c r="A3806" s="1"/>
      <c r="E3806"/>
      <c r="F3806"/>
      <c r="G3806"/>
      <c r="H3806"/>
      <c r="I3806"/>
      <c r="J3806"/>
    </row>
    <row r="3807" spans="1:10" s="2" customFormat="1">
      <c r="A3807" s="1"/>
      <c r="E3807"/>
      <c r="F3807"/>
      <c r="G3807"/>
      <c r="H3807"/>
      <c r="I3807"/>
      <c r="J3807"/>
    </row>
    <row r="3808" spans="1:10" s="2" customFormat="1">
      <c r="A3808" s="1"/>
      <c r="E3808"/>
      <c r="F3808"/>
      <c r="G3808"/>
      <c r="H3808"/>
      <c r="I3808"/>
      <c r="J3808"/>
    </row>
    <row r="3809" spans="1:10" s="2" customFormat="1">
      <c r="A3809" s="1"/>
      <c r="E3809"/>
      <c r="F3809"/>
      <c r="G3809"/>
      <c r="H3809"/>
      <c r="I3809"/>
      <c r="J3809"/>
    </row>
    <row r="3810" spans="1:10" s="2" customFormat="1">
      <c r="A3810" s="1"/>
      <c r="E3810"/>
      <c r="F3810"/>
      <c r="G3810"/>
      <c r="H3810"/>
      <c r="I3810"/>
      <c r="J3810"/>
    </row>
    <row r="3811" spans="1:10" s="2" customFormat="1">
      <c r="A3811" s="1"/>
      <c r="E3811"/>
      <c r="F3811"/>
      <c r="G3811"/>
      <c r="H3811"/>
      <c r="I3811"/>
      <c r="J3811"/>
    </row>
    <row r="3812" spans="1:10" s="2" customFormat="1">
      <c r="A3812" s="1"/>
      <c r="E3812"/>
      <c r="F3812"/>
      <c r="G3812"/>
      <c r="H3812"/>
      <c r="I3812"/>
      <c r="J3812"/>
    </row>
    <row r="3813" spans="1:10" s="2" customFormat="1">
      <c r="A3813" s="1"/>
      <c r="E3813"/>
      <c r="F3813"/>
      <c r="G3813"/>
      <c r="H3813"/>
      <c r="I3813"/>
      <c r="J3813"/>
    </row>
    <row r="3814" spans="1:10" s="2" customFormat="1">
      <c r="A3814" s="1"/>
      <c r="E3814"/>
      <c r="F3814"/>
      <c r="G3814"/>
      <c r="H3814"/>
      <c r="I3814"/>
      <c r="J3814"/>
    </row>
    <row r="3815" spans="1:10" s="2" customFormat="1">
      <c r="A3815" s="1"/>
      <c r="E3815"/>
      <c r="F3815"/>
      <c r="G3815"/>
      <c r="H3815"/>
      <c r="I3815"/>
      <c r="J3815"/>
    </row>
    <row r="3816" spans="1:10" s="2" customFormat="1">
      <c r="A3816" s="1"/>
      <c r="E3816"/>
      <c r="F3816"/>
      <c r="G3816"/>
      <c r="H3816"/>
      <c r="I3816"/>
      <c r="J3816"/>
    </row>
    <row r="3817" spans="1:10" s="2" customFormat="1">
      <c r="A3817" s="1"/>
      <c r="E3817"/>
      <c r="F3817"/>
      <c r="G3817"/>
      <c r="H3817"/>
      <c r="I3817"/>
      <c r="J3817"/>
    </row>
    <row r="3818" spans="1:10" s="2" customFormat="1">
      <c r="A3818" s="1"/>
      <c r="E3818"/>
      <c r="F3818"/>
      <c r="G3818"/>
      <c r="H3818"/>
      <c r="I3818"/>
      <c r="J3818"/>
    </row>
    <row r="3819" spans="1:10" s="2" customFormat="1">
      <c r="A3819" s="1"/>
      <c r="E3819"/>
      <c r="F3819"/>
      <c r="G3819"/>
      <c r="H3819"/>
      <c r="I3819"/>
      <c r="J3819"/>
    </row>
    <row r="3820" spans="1:10" s="2" customFormat="1">
      <c r="A3820" s="1"/>
      <c r="E3820"/>
      <c r="F3820"/>
      <c r="G3820"/>
      <c r="H3820"/>
      <c r="I3820"/>
      <c r="J3820"/>
    </row>
    <row r="3821" spans="1:10" s="2" customFormat="1">
      <c r="A3821" s="1"/>
      <c r="E3821"/>
      <c r="F3821"/>
      <c r="G3821"/>
      <c r="H3821"/>
      <c r="I3821"/>
      <c r="J3821"/>
    </row>
    <row r="3822" spans="1:10" s="2" customFormat="1">
      <c r="A3822" s="1"/>
      <c r="E3822"/>
      <c r="F3822"/>
      <c r="G3822"/>
      <c r="H3822"/>
      <c r="I3822"/>
      <c r="J3822"/>
    </row>
    <row r="3823" spans="1:10" s="2" customFormat="1">
      <c r="A3823" s="1"/>
      <c r="E3823"/>
      <c r="F3823"/>
      <c r="G3823"/>
      <c r="H3823"/>
      <c r="I3823"/>
      <c r="J3823"/>
    </row>
    <row r="3824" spans="1:10" s="2" customFormat="1">
      <c r="A3824" s="1"/>
      <c r="E3824"/>
      <c r="F3824"/>
      <c r="G3824"/>
      <c r="H3824"/>
      <c r="I3824"/>
      <c r="J3824"/>
    </row>
    <row r="3825" spans="1:10" s="2" customFormat="1">
      <c r="A3825" s="1"/>
      <c r="E3825"/>
      <c r="F3825"/>
      <c r="G3825"/>
      <c r="H3825"/>
      <c r="I3825"/>
      <c r="J3825"/>
    </row>
    <row r="3826" spans="1:10" s="2" customFormat="1">
      <c r="A3826" s="1"/>
      <c r="E3826"/>
      <c r="F3826"/>
      <c r="G3826"/>
      <c r="H3826"/>
      <c r="I3826"/>
      <c r="J3826"/>
    </row>
    <row r="3827" spans="1:10" s="2" customFormat="1">
      <c r="A3827" s="1"/>
      <c r="E3827"/>
      <c r="F3827"/>
      <c r="G3827"/>
      <c r="H3827"/>
      <c r="I3827"/>
      <c r="J3827"/>
    </row>
    <row r="3828" spans="1:10" s="2" customFormat="1">
      <c r="A3828" s="1"/>
      <c r="E3828"/>
      <c r="F3828"/>
      <c r="G3828"/>
      <c r="H3828"/>
      <c r="I3828"/>
      <c r="J3828"/>
    </row>
    <row r="3829" spans="1:10" s="2" customFormat="1">
      <c r="A3829" s="1"/>
      <c r="E3829"/>
      <c r="F3829"/>
      <c r="G3829"/>
      <c r="H3829"/>
      <c r="I3829"/>
      <c r="J3829"/>
    </row>
    <row r="3830" spans="1:10" s="2" customFormat="1">
      <c r="A3830" s="1"/>
      <c r="E3830"/>
      <c r="F3830"/>
      <c r="G3830"/>
      <c r="H3830"/>
      <c r="I3830"/>
      <c r="J3830"/>
    </row>
    <row r="3831" spans="1:10" s="2" customFormat="1">
      <c r="A3831" s="1"/>
      <c r="E3831"/>
      <c r="F3831"/>
      <c r="G3831"/>
      <c r="H3831"/>
      <c r="I3831"/>
      <c r="J3831"/>
    </row>
    <row r="3832" spans="1:10" s="2" customFormat="1">
      <c r="A3832" s="1"/>
      <c r="E3832"/>
      <c r="F3832"/>
      <c r="G3832"/>
      <c r="H3832"/>
      <c r="I3832"/>
      <c r="J3832"/>
    </row>
    <row r="3833" spans="1:10" s="2" customFormat="1">
      <c r="A3833" s="1"/>
      <c r="E3833"/>
      <c r="F3833"/>
      <c r="G3833"/>
      <c r="H3833"/>
      <c r="I3833"/>
      <c r="J3833"/>
    </row>
    <row r="3834" spans="1:10" s="2" customFormat="1">
      <c r="A3834" s="1"/>
      <c r="E3834"/>
      <c r="F3834"/>
      <c r="G3834"/>
      <c r="H3834"/>
      <c r="I3834"/>
      <c r="J3834"/>
    </row>
    <row r="3835" spans="1:10" s="2" customFormat="1">
      <c r="A3835" s="1"/>
      <c r="E3835"/>
      <c r="F3835"/>
      <c r="G3835"/>
      <c r="H3835"/>
      <c r="I3835"/>
      <c r="J3835"/>
    </row>
    <row r="3836" spans="1:10" s="2" customFormat="1">
      <c r="A3836" s="1"/>
      <c r="E3836"/>
      <c r="F3836"/>
      <c r="G3836"/>
      <c r="H3836"/>
      <c r="I3836"/>
      <c r="J3836"/>
    </row>
    <row r="3837" spans="1:10" s="2" customFormat="1">
      <c r="A3837" s="1"/>
      <c r="E3837"/>
      <c r="F3837"/>
      <c r="G3837"/>
      <c r="H3837"/>
      <c r="I3837"/>
      <c r="J3837"/>
    </row>
    <row r="3838" spans="1:10" s="2" customFormat="1">
      <c r="A3838" s="1"/>
      <c r="E3838"/>
      <c r="F3838"/>
      <c r="G3838"/>
      <c r="H3838"/>
      <c r="I3838"/>
      <c r="J3838"/>
    </row>
    <row r="3839" spans="1:10" s="2" customFormat="1">
      <c r="A3839" s="1"/>
      <c r="E3839"/>
      <c r="F3839"/>
      <c r="G3839"/>
      <c r="H3839"/>
      <c r="I3839"/>
      <c r="J3839"/>
    </row>
    <row r="3840" spans="1:10" s="2" customFormat="1">
      <c r="A3840" s="1"/>
      <c r="E3840"/>
      <c r="F3840"/>
      <c r="G3840"/>
      <c r="H3840"/>
      <c r="I3840"/>
      <c r="J3840"/>
    </row>
    <row r="3841" spans="1:10" s="2" customFormat="1">
      <c r="A3841" s="1"/>
      <c r="E3841"/>
      <c r="F3841"/>
      <c r="G3841"/>
      <c r="H3841"/>
      <c r="I3841"/>
      <c r="J3841"/>
    </row>
    <row r="3842" spans="1:10" s="2" customFormat="1">
      <c r="A3842" s="1"/>
      <c r="E3842"/>
      <c r="F3842"/>
      <c r="G3842"/>
      <c r="H3842"/>
      <c r="I3842"/>
      <c r="J3842"/>
    </row>
    <row r="3843" spans="1:10" s="2" customFormat="1">
      <c r="A3843" s="1"/>
      <c r="E3843"/>
      <c r="F3843"/>
      <c r="G3843"/>
      <c r="H3843"/>
      <c r="I3843"/>
      <c r="J3843"/>
    </row>
    <row r="3844" spans="1:10" s="2" customFormat="1">
      <c r="A3844" s="1"/>
      <c r="E3844"/>
      <c r="F3844"/>
      <c r="G3844"/>
      <c r="H3844"/>
      <c r="I3844"/>
      <c r="J3844"/>
    </row>
    <row r="3845" spans="1:10" s="2" customFormat="1">
      <c r="A3845" s="1"/>
      <c r="E3845"/>
      <c r="F3845"/>
      <c r="G3845"/>
      <c r="H3845"/>
      <c r="I3845"/>
      <c r="J3845"/>
    </row>
    <row r="3846" spans="1:10" s="2" customFormat="1">
      <c r="A3846" s="1"/>
      <c r="E3846"/>
      <c r="F3846"/>
      <c r="G3846"/>
      <c r="H3846"/>
      <c r="I3846"/>
      <c r="J3846"/>
    </row>
    <row r="3847" spans="1:10" s="2" customFormat="1">
      <c r="A3847" s="1"/>
      <c r="E3847"/>
      <c r="F3847"/>
      <c r="G3847"/>
      <c r="H3847"/>
      <c r="I3847"/>
      <c r="J3847"/>
    </row>
    <row r="3848" spans="1:10" s="2" customFormat="1">
      <c r="A3848" s="1"/>
      <c r="E3848"/>
      <c r="F3848"/>
      <c r="G3848"/>
      <c r="H3848"/>
      <c r="I3848"/>
      <c r="J3848"/>
    </row>
    <row r="3849" spans="1:10" s="2" customFormat="1">
      <c r="A3849" s="1"/>
      <c r="E3849"/>
      <c r="F3849"/>
      <c r="G3849"/>
      <c r="H3849"/>
      <c r="I3849"/>
      <c r="J3849"/>
    </row>
    <row r="3850" spans="1:10" s="2" customFormat="1">
      <c r="A3850" s="1"/>
      <c r="E3850"/>
      <c r="F3850"/>
      <c r="G3850"/>
      <c r="H3850"/>
      <c r="I3850"/>
      <c r="J3850"/>
    </row>
    <row r="3851" spans="1:10" s="2" customFormat="1">
      <c r="A3851" s="1"/>
      <c r="E3851"/>
      <c r="F3851"/>
      <c r="G3851"/>
      <c r="H3851"/>
      <c r="I3851"/>
      <c r="J3851"/>
    </row>
    <row r="3852" spans="1:10" s="2" customFormat="1">
      <c r="A3852" s="1"/>
      <c r="E3852"/>
      <c r="F3852"/>
      <c r="G3852"/>
      <c r="H3852"/>
      <c r="I3852"/>
      <c r="J3852"/>
    </row>
    <row r="3853" spans="1:10" s="2" customFormat="1">
      <c r="A3853" s="1"/>
      <c r="E3853"/>
      <c r="F3853"/>
      <c r="G3853"/>
      <c r="H3853"/>
      <c r="I3853"/>
      <c r="J3853"/>
    </row>
    <row r="3854" spans="1:10" s="2" customFormat="1">
      <c r="A3854" s="1"/>
      <c r="E3854"/>
      <c r="F3854"/>
      <c r="G3854"/>
      <c r="H3854"/>
      <c r="I3854"/>
      <c r="J3854"/>
    </row>
    <row r="3855" spans="1:10" s="2" customFormat="1">
      <c r="A3855" s="1"/>
      <c r="E3855"/>
      <c r="F3855"/>
      <c r="G3855"/>
      <c r="H3855"/>
      <c r="I3855"/>
      <c r="J3855"/>
    </row>
    <row r="3856" spans="1:10" s="2" customFormat="1">
      <c r="A3856" s="1"/>
      <c r="E3856"/>
      <c r="F3856"/>
      <c r="G3856"/>
      <c r="H3856"/>
      <c r="I3856"/>
      <c r="J3856"/>
    </row>
    <row r="3857" spans="1:10" s="2" customFormat="1">
      <c r="A3857" s="1"/>
      <c r="E3857"/>
      <c r="F3857"/>
      <c r="G3857"/>
      <c r="H3857"/>
      <c r="I3857"/>
      <c r="J3857"/>
    </row>
    <row r="3858" spans="1:10" s="2" customFormat="1">
      <c r="A3858" s="1"/>
      <c r="E3858"/>
      <c r="F3858"/>
      <c r="G3858"/>
      <c r="H3858"/>
      <c r="I3858"/>
      <c r="J3858"/>
    </row>
    <row r="3859" spans="1:10" s="2" customFormat="1">
      <c r="A3859" s="1"/>
      <c r="E3859"/>
      <c r="F3859"/>
      <c r="G3859"/>
      <c r="H3859"/>
      <c r="I3859"/>
      <c r="J3859"/>
    </row>
    <row r="3860" spans="1:10" s="2" customFormat="1">
      <c r="A3860" s="1"/>
      <c r="E3860"/>
      <c r="F3860"/>
      <c r="G3860"/>
      <c r="H3860"/>
      <c r="I3860"/>
      <c r="J3860"/>
    </row>
    <row r="3861" spans="1:10" s="2" customFormat="1">
      <c r="A3861" s="1"/>
      <c r="E3861"/>
      <c r="F3861"/>
      <c r="G3861"/>
      <c r="H3861"/>
      <c r="I3861"/>
      <c r="J3861"/>
    </row>
    <row r="3862" spans="1:10" s="2" customFormat="1">
      <c r="A3862" s="1"/>
      <c r="E3862"/>
      <c r="F3862"/>
      <c r="G3862"/>
      <c r="H3862"/>
      <c r="I3862"/>
      <c r="J3862"/>
    </row>
    <row r="3863" spans="1:10" s="2" customFormat="1">
      <c r="A3863" s="1"/>
      <c r="E3863"/>
      <c r="F3863"/>
      <c r="G3863"/>
      <c r="H3863"/>
      <c r="I3863"/>
      <c r="J3863"/>
    </row>
    <row r="3864" spans="1:10" s="2" customFormat="1">
      <c r="A3864" s="1"/>
      <c r="E3864"/>
      <c r="F3864"/>
      <c r="G3864"/>
      <c r="H3864"/>
      <c r="I3864"/>
      <c r="J3864"/>
    </row>
    <row r="3865" spans="1:10" s="2" customFormat="1">
      <c r="A3865" s="1"/>
      <c r="E3865"/>
      <c r="F3865"/>
      <c r="G3865"/>
      <c r="H3865"/>
      <c r="I3865"/>
      <c r="J3865"/>
    </row>
    <row r="3866" spans="1:10" s="2" customFormat="1">
      <c r="A3866" s="1"/>
      <c r="E3866"/>
      <c r="F3866"/>
      <c r="G3866"/>
      <c r="H3866"/>
      <c r="I3866"/>
      <c r="J3866"/>
    </row>
    <row r="3867" spans="1:10" s="2" customFormat="1">
      <c r="A3867" s="1"/>
      <c r="E3867"/>
      <c r="F3867"/>
      <c r="G3867"/>
      <c r="H3867"/>
      <c r="I3867"/>
      <c r="J3867"/>
    </row>
    <row r="3868" spans="1:10" s="2" customFormat="1">
      <c r="A3868" s="1"/>
      <c r="E3868"/>
      <c r="F3868"/>
      <c r="G3868"/>
      <c r="H3868"/>
      <c r="I3868"/>
      <c r="J3868"/>
    </row>
    <row r="3869" spans="1:10" s="2" customFormat="1">
      <c r="A3869" s="1"/>
      <c r="E3869"/>
      <c r="F3869"/>
      <c r="G3869"/>
      <c r="H3869"/>
      <c r="I3869"/>
      <c r="J3869"/>
    </row>
    <row r="3870" spans="1:10" s="2" customFormat="1">
      <c r="A3870" s="1"/>
      <c r="E3870"/>
      <c r="F3870"/>
      <c r="G3870"/>
      <c r="H3870"/>
      <c r="I3870"/>
      <c r="J3870"/>
    </row>
    <row r="3871" spans="1:10" s="2" customFormat="1">
      <c r="A3871" s="1"/>
      <c r="E3871"/>
      <c r="F3871"/>
      <c r="G3871"/>
      <c r="H3871"/>
      <c r="I3871"/>
      <c r="J3871"/>
    </row>
    <row r="3872" spans="1:10" s="2" customFormat="1">
      <c r="A3872" s="1"/>
      <c r="E3872"/>
      <c r="F3872"/>
      <c r="G3872"/>
      <c r="H3872"/>
      <c r="I3872"/>
      <c r="J3872"/>
    </row>
    <row r="3873" spans="1:10" s="2" customFormat="1">
      <c r="A3873" s="1"/>
      <c r="E3873"/>
      <c r="F3873"/>
      <c r="G3873"/>
      <c r="H3873"/>
      <c r="I3873"/>
      <c r="J3873"/>
    </row>
    <row r="3874" spans="1:10" s="2" customFormat="1">
      <c r="A3874" s="1"/>
      <c r="E3874"/>
      <c r="F3874"/>
      <c r="G3874"/>
      <c r="H3874"/>
      <c r="I3874"/>
      <c r="J3874"/>
    </row>
    <row r="3875" spans="1:10" s="2" customFormat="1">
      <c r="A3875" s="1"/>
      <c r="E3875"/>
      <c r="F3875"/>
      <c r="G3875"/>
      <c r="H3875"/>
      <c r="I3875"/>
      <c r="J3875"/>
    </row>
    <row r="3876" spans="1:10" s="2" customFormat="1">
      <c r="A3876" s="1"/>
      <c r="E3876"/>
      <c r="F3876"/>
      <c r="G3876"/>
      <c r="H3876"/>
      <c r="I3876"/>
      <c r="J3876"/>
    </row>
    <row r="3877" spans="1:10" s="2" customFormat="1">
      <c r="A3877" s="1"/>
      <c r="E3877"/>
      <c r="F3877"/>
      <c r="G3877"/>
      <c r="H3877"/>
      <c r="I3877"/>
      <c r="J3877"/>
    </row>
    <row r="3878" spans="1:10" s="2" customFormat="1">
      <c r="A3878" s="1"/>
      <c r="E3878"/>
      <c r="F3878"/>
      <c r="G3878"/>
      <c r="H3878"/>
      <c r="I3878"/>
      <c r="J3878"/>
    </row>
    <row r="3879" spans="1:10" s="2" customFormat="1">
      <c r="A3879" s="1"/>
      <c r="E3879"/>
      <c r="F3879"/>
      <c r="G3879"/>
      <c r="H3879"/>
      <c r="I3879"/>
      <c r="J3879"/>
    </row>
    <row r="3880" spans="1:10" s="2" customFormat="1">
      <c r="A3880" s="1"/>
      <c r="E3880"/>
      <c r="F3880"/>
      <c r="G3880"/>
      <c r="H3880"/>
      <c r="I3880"/>
      <c r="J3880"/>
    </row>
    <row r="3881" spans="1:10" s="2" customFormat="1">
      <c r="A3881" s="1"/>
      <c r="E3881"/>
      <c r="F3881"/>
      <c r="G3881"/>
      <c r="H3881"/>
      <c r="I3881"/>
      <c r="J3881"/>
    </row>
    <row r="3882" spans="1:10" s="2" customFormat="1">
      <c r="A3882" s="1"/>
      <c r="E3882"/>
      <c r="F3882"/>
      <c r="G3882"/>
      <c r="H3882"/>
      <c r="I3882"/>
      <c r="J3882"/>
    </row>
    <row r="3883" spans="1:10" s="2" customFormat="1">
      <c r="A3883" s="1"/>
      <c r="E3883"/>
      <c r="F3883"/>
      <c r="G3883"/>
      <c r="H3883"/>
      <c r="I3883"/>
      <c r="J3883"/>
    </row>
    <row r="3884" spans="1:10" s="2" customFormat="1">
      <c r="A3884" s="1"/>
      <c r="E3884"/>
      <c r="F3884"/>
      <c r="G3884"/>
      <c r="H3884"/>
      <c r="I3884"/>
      <c r="J3884"/>
    </row>
    <row r="3885" spans="1:10" s="2" customFormat="1">
      <c r="A3885" s="1"/>
      <c r="E3885"/>
      <c r="F3885"/>
      <c r="G3885"/>
      <c r="H3885"/>
      <c r="I3885"/>
      <c r="J3885"/>
    </row>
    <row r="3886" spans="1:10" s="2" customFormat="1">
      <c r="A3886" s="1"/>
      <c r="E3886"/>
      <c r="F3886"/>
      <c r="G3886"/>
      <c r="H3886"/>
      <c r="I3886"/>
      <c r="J3886"/>
    </row>
    <row r="3887" spans="1:10" s="2" customFormat="1">
      <c r="A3887" s="1"/>
      <c r="E3887"/>
      <c r="F3887"/>
      <c r="G3887"/>
      <c r="H3887"/>
      <c r="I3887"/>
      <c r="J3887"/>
    </row>
    <row r="3888" spans="1:10" s="2" customFormat="1">
      <c r="A3888" s="1"/>
      <c r="E3888"/>
      <c r="F3888"/>
      <c r="G3888"/>
      <c r="H3888"/>
      <c r="I3888"/>
      <c r="J3888"/>
    </row>
    <row r="3889" spans="1:10" s="2" customFormat="1">
      <c r="A3889" s="1"/>
      <c r="E3889"/>
      <c r="F3889"/>
      <c r="G3889"/>
      <c r="H3889"/>
      <c r="I3889"/>
      <c r="J3889"/>
    </row>
    <row r="3890" spans="1:10" s="2" customFormat="1">
      <c r="A3890" s="1"/>
      <c r="E3890"/>
      <c r="F3890"/>
      <c r="G3890"/>
      <c r="H3890"/>
      <c r="I3890"/>
      <c r="J3890"/>
    </row>
    <row r="3891" spans="1:10" s="2" customFormat="1">
      <c r="A3891" s="1"/>
      <c r="E3891"/>
      <c r="F3891"/>
      <c r="G3891"/>
      <c r="H3891"/>
      <c r="I3891"/>
      <c r="J3891"/>
    </row>
    <row r="3892" spans="1:10" s="2" customFormat="1">
      <c r="A3892" s="1"/>
      <c r="E3892"/>
      <c r="F3892"/>
      <c r="G3892"/>
      <c r="H3892"/>
      <c r="I3892"/>
      <c r="J3892"/>
    </row>
    <row r="3893" spans="1:10" s="2" customFormat="1">
      <c r="A3893" s="1"/>
      <c r="E3893"/>
      <c r="F3893"/>
      <c r="G3893"/>
      <c r="H3893"/>
      <c r="I3893"/>
      <c r="J3893"/>
    </row>
    <row r="3894" spans="1:10" s="2" customFormat="1">
      <c r="A3894" s="1"/>
      <c r="E3894"/>
      <c r="F3894"/>
      <c r="G3894"/>
      <c r="H3894"/>
      <c r="I3894"/>
      <c r="J3894"/>
    </row>
    <row r="3895" spans="1:10" s="2" customFormat="1">
      <c r="A3895" s="1"/>
      <c r="E3895"/>
      <c r="F3895"/>
      <c r="G3895"/>
      <c r="H3895"/>
      <c r="I3895"/>
      <c r="J3895"/>
    </row>
    <row r="3896" spans="1:10" s="2" customFormat="1">
      <c r="A3896" s="1"/>
      <c r="E3896"/>
      <c r="F3896"/>
      <c r="G3896"/>
      <c r="H3896"/>
      <c r="I3896"/>
      <c r="J3896"/>
    </row>
    <row r="3897" spans="1:10" s="2" customFormat="1">
      <c r="A3897" s="1"/>
      <c r="E3897"/>
      <c r="F3897"/>
      <c r="G3897"/>
      <c r="H3897"/>
      <c r="I3897"/>
      <c r="J3897"/>
    </row>
    <row r="3898" spans="1:10" s="2" customFormat="1">
      <c r="A3898" s="1"/>
      <c r="E3898"/>
      <c r="F3898"/>
      <c r="G3898"/>
      <c r="H3898"/>
      <c r="I3898"/>
      <c r="J3898"/>
    </row>
    <row r="3899" spans="1:10" s="2" customFormat="1">
      <c r="A3899" s="1"/>
      <c r="E3899"/>
      <c r="F3899"/>
      <c r="G3899"/>
      <c r="H3899"/>
      <c r="I3899"/>
      <c r="J3899"/>
    </row>
    <row r="3900" spans="1:10" s="2" customFormat="1">
      <c r="A3900" s="1"/>
      <c r="E3900"/>
      <c r="F3900"/>
      <c r="G3900"/>
      <c r="H3900"/>
      <c r="I3900"/>
      <c r="J3900"/>
    </row>
    <row r="3901" spans="1:10" s="2" customFormat="1">
      <c r="A3901" s="1"/>
      <c r="E3901"/>
      <c r="F3901"/>
      <c r="G3901"/>
      <c r="H3901"/>
      <c r="I3901"/>
      <c r="J3901"/>
    </row>
    <row r="3902" spans="1:10" s="2" customFormat="1">
      <c r="A3902" s="1"/>
      <c r="E3902"/>
      <c r="F3902"/>
      <c r="G3902"/>
      <c r="H3902"/>
      <c r="I3902"/>
      <c r="J3902"/>
    </row>
    <row r="3903" spans="1:10" s="2" customFormat="1">
      <c r="A3903" s="1"/>
      <c r="E3903"/>
      <c r="F3903"/>
      <c r="G3903"/>
      <c r="H3903"/>
      <c r="I3903"/>
      <c r="J3903"/>
    </row>
    <row r="3904" spans="1:10" s="2" customFormat="1">
      <c r="A3904" s="1"/>
      <c r="E3904"/>
      <c r="F3904"/>
      <c r="G3904"/>
      <c r="H3904"/>
      <c r="I3904"/>
      <c r="J3904"/>
    </row>
    <row r="3905" spans="1:10" s="2" customFormat="1">
      <c r="A3905" s="1"/>
      <c r="E3905"/>
      <c r="F3905"/>
      <c r="G3905"/>
      <c r="H3905"/>
      <c r="I3905"/>
      <c r="J3905"/>
    </row>
    <row r="3906" spans="1:10" s="2" customFormat="1">
      <c r="A3906" s="1"/>
      <c r="E3906"/>
      <c r="F3906"/>
      <c r="G3906"/>
      <c r="H3906"/>
      <c r="I3906"/>
      <c r="J3906"/>
    </row>
    <row r="3907" spans="1:10" s="2" customFormat="1">
      <c r="A3907" s="1"/>
      <c r="E3907"/>
      <c r="F3907"/>
      <c r="G3907"/>
      <c r="H3907"/>
      <c r="I3907"/>
      <c r="J3907"/>
    </row>
    <row r="3908" spans="1:10" s="2" customFormat="1">
      <c r="A3908" s="1"/>
      <c r="E3908"/>
      <c r="F3908"/>
      <c r="G3908"/>
      <c r="H3908"/>
      <c r="I3908"/>
      <c r="J3908"/>
    </row>
    <row r="3909" spans="1:10" s="2" customFormat="1">
      <c r="A3909" s="1"/>
      <c r="E3909"/>
      <c r="F3909"/>
      <c r="G3909"/>
      <c r="H3909"/>
      <c r="I3909"/>
      <c r="J3909"/>
    </row>
    <row r="3910" spans="1:10" s="2" customFormat="1">
      <c r="A3910" s="1"/>
      <c r="E3910"/>
      <c r="F3910"/>
      <c r="G3910"/>
      <c r="H3910"/>
      <c r="I3910"/>
      <c r="J3910"/>
    </row>
    <row r="3911" spans="1:10" s="2" customFormat="1">
      <c r="A3911" s="1"/>
      <c r="E3911"/>
      <c r="F3911"/>
      <c r="G3911"/>
      <c r="H3911"/>
      <c r="I3911"/>
      <c r="J3911"/>
    </row>
    <row r="3912" spans="1:10" s="2" customFormat="1">
      <c r="A3912" s="1"/>
      <c r="E3912"/>
      <c r="F3912"/>
      <c r="G3912"/>
      <c r="H3912"/>
      <c r="I3912"/>
      <c r="J3912"/>
    </row>
    <row r="3913" spans="1:10" s="2" customFormat="1">
      <c r="A3913" s="1"/>
      <c r="E3913"/>
      <c r="F3913"/>
      <c r="G3913"/>
      <c r="H3913"/>
      <c r="I3913"/>
      <c r="J3913"/>
    </row>
    <row r="3914" spans="1:10" s="2" customFormat="1">
      <c r="A3914" s="1"/>
      <c r="E3914"/>
      <c r="F3914"/>
      <c r="G3914"/>
      <c r="H3914"/>
      <c r="I3914"/>
      <c r="J3914"/>
    </row>
    <row r="3915" spans="1:10" s="2" customFormat="1">
      <c r="A3915" s="1"/>
      <c r="E3915"/>
      <c r="F3915"/>
      <c r="G3915"/>
      <c r="H3915"/>
      <c r="I3915"/>
      <c r="J3915"/>
    </row>
    <row r="3916" spans="1:10" s="2" customFormat="1">
      <c r="A3916" s="1"/>
      <c r="E3916"/>
      <c r="F3916"/>
      <c r="G3916"/>
      <c r="H3916"/>
      <c r="I3916"/>
      <c r="J3916"/>
    </row>
    <row r="3917" spans="1:10" s="2" customFormat="1">
      <c r="A3917" s="1"/>
      <c r="E3917"/>
      <c r="F3917"/>
      <c r="G3917"/>
      <c r="H3917"/>
      <c r="I3917"/>
      <c r="J3917"/>
    </row>
    <row r="3918" spans="1:10" s="2" customFormat="1">
      <c r="A3918" s="1"/>
      <c r="E3918"/>
      <c r="F3918"/>
      <c r="G3918"/>
      <c r="H3918"/>
      <c r="I3918"/>
      <c r="J3918"/>
    </row>
    <row r="3919" spans="1:10" s="2" customFormat="1">
      <c r="A3919" s="1"/>
      <c r="E3919"/>
      <c r="F3919"/>
      <c r="G3919"/>
      <c r="H3919"/>
      <c r="I3919"/>
      <c r="J3919"/>
    </row>
    <row r="3920" spans="1:10" s="2" customFormat="1">
      <c r="A3920" s="1"/>
      <c r="E3920"/>
      <c r="F3920"/>
      <c r="G3920"/>
      <c r="H3920"/>
      <c r="I3920"/>
      <c r="J3920"/>
    </row>
    <row r="3921" spans="1:10" s="2" customFormat="1">
      <c r="A3921" s="1"/>
      <c r="E3921"/>
      <c r="F3921"/>
      <c r="G3921"/>
      <c r="H3921"/>
      <c r="I3921"/>
      <c r="J3921"/>
    </row>
    <row r="3922" spans="1:10" s="2" customFormat="1">
      <c r="A3922" s="1"/>
      <c r="E3922"/>
      <c r="F3922"/>
      <c r="G3922"/>
      <c r="H3922"/>
      <c r="I3922"/>
      <c r="J3922"/>
    </row>
    <row r="3923" spans="1:10" s="2" customFormat="1">
      <c r="A3923" s="1"/>
      <c r="E3923"/>
      <c r="F3923"/>
      <c r="G3923"/>
      <c r="H3923"/>
      <c r="I3923"/>
      <c r="J3923"/>
    </row>
    <row r="3924" spans="1:10" s="2" customFormat="1">
      <c r="A3924" s="1"/>
      <c r="E3924"/>
      <c r="F3924"/>
      <c r="G3924"/>
      <c r="H3924"/>
      <c r="I3924"/>
      <c r="J3924"/>
    </row>
    <row r="3925" spans="1:10" s="2" customFormat="1">
      <c r="A3925" s="1"/>
      <c r="E3925"/>
      <c r="F3925"/>
      <c r="G3925"/>
      <c r="H3925"/>
      <c r="I3925"/>
      <c r="J3925"/>
    </row>
    <row r="3926" spans="1:10" s="2" customFormat="1">
      <c r="A3926" s="1"/>
      <c r="E3926"/>
      <c r="F3926"/>
      <c r="G3926"/>
      <c r="H3926"/>
      <c r="I3926"/>
      <c r="J3926"/>
    </row>
    <row r="3927" spans="1:10" s="2" customFormat="1">
      <c r="A3927" s="1"/>
      <c r="E3927"/>
      <c r="F3927"/>
      <c r="G3927"/>
      <c r="H3927"/>
      <c r="I3927"/>
      <c r="J3927"/>
    </row>
    <row r="3928" spans="1:10" s="2" customFormat="1">
      <c r="A3928" s="1"/>
      <c r="E3928"/>
      <c r="F3928"/>
      <c r="G3928"/>
      <c r="H3928"/>
      <c r="I3928"/>
      <c r="J3928"/>
    </row>
    <row r="3929" spans="1:10" s="2" customFormat="1">
      <c r="A3929" s="1"/>
      <c r="E3929"/>
      <c r="F3929"/>
      <c r="G3929"/>
      <c r="H3929"/>
      <c r="I3929"/>
      <c r="J3929"/>
    </row>
    <row r="3930" spans="1:10" s="2" customFormat="1">
      <c r="A3930" s="1"/>
      <c r="E3930"/>
      <c r="F3930"/>
      <c r="G3930"/>
      <c r="H3930"/>
      <c r="I3930"/>
      <c r="J3930"/>
    </row>
    <row r="3931" spans="1:10" s="2" customFormat="1">
      <c r="A3931" s="1"/>
      <c r="E3931"/>
      <c r="F3931"/>
      <c r="G3931"/>
      <c r="H3931"/>
      <c r="I3931"/>
      <c r="J3931"/>
    </row>
    <row r="3932" spans="1:10" s="2" customFormat="1">
      <c r="A3932" s="1"/>
      <c r="E3932"/>
      <c r="F3932"/>
      <c r="G3932"/>
      <c r="H3932"/>
      <c r="I3932"/>
      <c r="J3932"/>
    </row>
    <row r="3933" spans="1:10" s="2" customFormat="1">
      <c r="A3933" s="1"/>
      <c r="E3933"/>
      <c r="F3933"/>
      <c r="G3933"/>
      <c r="H3933"/>
      <c r="I3933"/>
      <c r="J3933"/>
    </row>
    <row r="3934" spans="1:10" s="2" customFormat="1">
      <c r="A3934" s="1"/>
      <c r="E3934"/>
      <c r="F3934"/>
      <c r="G3934"/>
      <c r="H3934"/>
      <c r="I3934"/>
      <c r="J3934"/>
    </row>
    <row r="3935" spans="1:10" s="2" customFormat="1">
      <c r="A3935" s="1"/>
      <c r="E3935"/>
      <c r="F3935"/>
      <c r="G3935"/>
      <c r="H3935"/>
      <c r="I3935"/>
      <c r="J3935"/>
    </row>
    <row r="3936" spans="1:10" s="2" customFormat="1">
      <c r="A3936" s="1"/>
      <c r="E3936"/>
      <c r="F3936"/>
      <c r="G3936"/>
      <c r="H3936"/>
      <c r="I3936"/>
      <c r="J3936"/>
    </row>
    <row r="3937" spans="1:10" s="2" customFormat="1">
      <c r="A3937" s="1"/>
      <c r="E3937"/>
      <c r="F3937"/>
      <c r="G3937"/>
      <c r="H3937"/>
      <c r="I3937"/>
      <c r="J3937"/>
    </row>
    <row r="3938" spans="1:10" s="2" customFormat="1">
      <c r="A3938" s="1"/>
      <c r="E3938"/>
      <c r="F3938"/>
      <c r="G3938"/>
      <c r="H3938"/>
      <c r="I3938"/>
      <c r="J3938"/>
    </row>
    <row r="3939" spans="1:10" s="2" customFormat="1">
      <c r="A3939" s="1"/>
      <c r="E3939"/>
      <c r="F3939"/>
      <c r="G3939"/>
      <c r="H3939"/>
      <c r="I3939"/>
      <c r="J3939"/>
    </row>
    <row r="3940" spans="1:10" s="2" customFormat="1">
      <c r="A3940" s="1"/>
      <c r="E3940"/>
      <c r="F3940"/>
      <c r="G3940"/>
      <c r="H3940"/>
      <c r="I3940"/>
      <c r="J3940"/>
    </row>
    <row r="3941" spans="1:10" s="2" customFormat="1">
      <c r="A3941" s="1"/>
      <c r="E3941"/>
      <c r="F3941"/>
      <c r="G3941"/>
      <c r="H3941"/>
      <c r="I3941"/>
      <c r="J3941"/>
    </row>
    <row r="3942" spans="1:10" s="2" customFormat="1">
      <c r="A3942" s="1"/>
      <c r="E3942"/>
      <c r="F3942"/>
      <c r="G3942"/>
      <c r="H3942"/>
      <c r="I3942"/>
      <c r="J3942"/>
    </row>
    <row r="3943" spans="1:10" s="2" customFormat="1">
      <c r="A3943" s="1"/>
      <c r="E3943"/>
      <c r="F3943"/>
      <c r="G3943"/>
      <c r="H3943"/>
      <c r="I3943"/>
      <c r="J3943"/>
    </row>
    <row r="3944" spans="1:10" s="2" customFormat="1">
      <c r="A3944" s="1"/>
      <c r="E3944"/>
      <c r="F3944"/>
      <c r="G3944"/>
      <c r="H3944"/>
      <c r="I3944"/>
      <c r="J3944"/>
    </row>
    <row r="3945" spans="1:10" s="2" customFormat="1">
      <c r="A3945" s="1"/>
      <c r="E3945"/>
      <c r="F3945"/>
      <c r="G3945"/>
      <c r="H3945"/>
      <c r="I3945"/>
      <c r="J3945"/>
    </row>
    <row r="3946" spans="1:10" s="2" customFormat="1">
      <c r="A3946" s="1"/>
      <c r="E3946"/>
      <c r="F3946"/>
      <c r="G3946"/>
      <c r="H3946"/>
      <c r="I3946"/>
      <c r="J3946"/>
    </row>
    <row r="3947" spans="1:10" s="2" customFormat="1">
      <c r="A3947" s="1"/>
      <c r="E3947"/>
      <c r="F3947"/>
      <c r="G3947"/>
      <c r="H3947"/>
      <c r="I3947"/>
      <c r="J3947"/>
    </row>
    <row r="3948" spans="1:10" s="2" customFormat="1">
      <c r="A3948" s="1"/>
      <c r="E3948"/>
      <c r="F3948"/>
      <c r="G3948"/>
      <c r="H3948"/>
      <c r="I3948"/>
      <c r="J3948"/>
    </row>
    <row r="3949" spans="1:10" s="2" customFormat="1">
      <c r="A3949" s="1"/>
      <c r="E3949"/>
      <c r="F3949"/>
      <c r="G3949"/>
      <c r="H3949"/>
      <c r="I3949"/>
      <c r="J3949"/>
    </row>
    <row r="3950" spans="1:10" s="2" customFormat="1">
      <c r="A3950" s="1"/>
      <c r="E3950"/>
      <c r="F3950"/>
      <c r="G3950"/>
      <c r="H3950"/>
      <c r="I3950"/>
      <c r="J3950"/>
    </row>
    <row r="3951" spans="1:10" s="2" customFormat="1">
      <c r="A3951" s="1"/>
      <c r="E3951"/>
      <c r="F3951"/>
      <c r="G3951"/>
      <c r="H3951"/>
      <c r="I3951"/>
      <c r="J3951"/>
    </row>
    <row r="3952" spans="1:10" s="2" customFormat="1">
      <c r="A3952" s="1"/>
      <c r="E3952"/>
      <c r="F3952"/>
      <c r="G3952"/>
      <c r="H3952"/>
      <c r="I3952"/>
      <c r="J3952"/>
    </row>
    <row r="3953" spans="1:10" s="2" customFormat="1">
      <c r="A3953" s="1"/>
      <c r="E3953"/>
      <c r="F3953"/>
      <c r="G3953"/>
      <c r="H3953"/>
      <c r="I3953"/>
      <c r="J3953"/>
    </row>
    <row r="3954" spans="1:10" s="2" customFormat="1">
      <c r="A3954" s="1"/>
      <c r="E3954"/>
      <c r="F3954"/>
      <c r="G3954"/>
      <c r="H3954"/>
      <c r="I3954"/>
      <c r="J3954"/>
    </row>
    <row r="3955" spans="1:10" s="2" customFormat="1">
      <c r="A3955" s="1"/>
      <c r="E3955"/>
      <c r="F3955"/>
      <c r="G3955"/>
      <c r="H3955"/>
      <c r="I3955"/>
      <c r="J3955"/>
    </row>
    <row r="3956" spans="1:10" s="2" customFormat="1">
      <c r="A3956" s="1"/>
      <c r="E3956"/>
      <c r="F3956"/>
      <c r="G3956"/>
      <c r="H3956"/>
      <c r="I3956"/>
      <c r="J3956"/>
    </row>
    <row r="3957" spans="1:10" s="2" customFormat="1">
      <c r="A3957" s="1"/>
      <c r="E3957"/>
      <c r="F3957"/>
      <c r="G3957"/>
      <c r="H3957"/>
      <c r="I3957"/>
      <c r="J3957"/>
    </row>
    <row r="3958" spans="1:10" s="2" customFormat="1">
      <c r="A3958" s="1"/>
      <c r="E3958"/>
      <c r="F3958"/>
      <c r="G3958"/>
      <c r="H3958"/>
      <c r="I3958"/>
      <c r="J3958"/>
    </row>
    <row r="3959" spans="1:10" s="2" customFormat="1">
      <c r="A3959" s="1"/>
      <c r="E3959"/>
      <c r="F3959"/>
      <c r="G3959"/>
      <c r="H3959"/>
      <c r="I3959"/>
      <c r="J3959"/>
    </row>
    <row r="3960" spans="1:10" s="2" customFormat="1">
      <c r="A3960" s="1"/>
      <c r="E3960"/>
      <c r="F3960"/>
      <c r="G3960"/>
      <c r="H3960"/>
      <c r="I3960"/>
      <c r="J3960"/>
    </row>
    <row r="3961" spans="1:10" s="2" customFormat="1">
      <c r="A3961" s="1"/>
      <c r="E3961"/>
      <c r="F3961"/>
      <c r="G3961"/>
      <c r="H3961"/>
      <c r="I3961"/>
      <c r="J3961"/>
    </row>
    <row r="3962" spans="1:10" s="2" customFormat="1">
      <c r="A3962" s="1"/>
      <c r="E3962"/>
      <c r="F3962"/>
      <c r="G3962"/>
      <c r="H3962"/>
      <c r="I3962"/>
      <c r="J3962"/>
    </row>
    <row r="3963" spans="1:10" s="2" customFormat="1">
      <c r="A3963" s="1"/>
      <c r="E3963"/>
      <c r="F3963"/>
      <c r="G3963"/>
      <c r="H3963"/>
      <c r="I3963"/>
      <c r="J3963"/>
    </row>
    <row r="3964" spans="1:10" s="2" customFormat="1">
      <c r="A3964" s="1"/>
      <c r="E3964"/>
      <c r="F3964"/>
      <c r="G3964"/>
      <c r="H3964"/>
      <c r="I3964"/>
      <c r="J3964"/>
    </row>
    <row r="3965" spans="1:10" s="2" customFormat="1">
      <c r="A3965" s="1"/>
      <c r="E3965"/>
      <c r="F3965"/>
      <c r="G3965"/>
      <c r="H3965"/>
      <c r="I3965"/>
      <c r="J3965"/>
    </row>
    <row r="3966" spans="1:10" s="2" customFormat="1">
      <c r="A3966" s="1"/>
      <c r="E3966"/>
      <c r="F3966"/>
      <c r="G3966"/>
      <c r="H3966"/>
      <c r="I3966"/>
      <c r="J3966"/>
    </row>
    <row r="3967" spans="1:10" s="2" customFormat="1">
      <c r="A3967" s="1"/>
      <c r="E3967"/>
      <c r="F3967"/>
      <c r="G3967"/>
      <c r="H3967"/>
      <c r="I3967"/>
      <c r="J3967"/>
    </row>
    <row r="3968" spans="1:10" s="2" customFormat="1">
      <c r="A3968" s="1"/>
      <c r="E3968"/>
      <c r="F3968"/>
      <c r="G3968"/>
      <c r="H3968"/>
      <c r="I3968"/>
      <c r="J3968"/>
    </row>
    <row r="3969" spans="1:10" s="2" customFormat="1">
      <c r="A3969" s="1"/>
      <c r="E3969"/>
      <c r="F3969"/>
      <c r="G3969"/>
      <c r="H3969"/>
      <c r="I3969"/>
      <c r="J3969"/>
    </row>
    <row r="3970" spans="1:10" s="2" customFormat="1">
      <c r="A3970" s="1"/>
      <c r="E3970"/>
      <c r="F3970"/>
      <c r="G3970"/>
      <c r="H3970"/>
      <c r="I3970"/>
      <c r="J3970"/>
    </row>
    <row r="3971" spans="1:10" s="2" customFormat="1">
      <c r="A3971" s="1"/>
      <c r="E3971"/>
      <c r="F3971"/>
      <c r="G3971"/>
      <c r="H3971"/>
      <c r="I3971"/>
      <c r="J3971"/>
    </row>
    <row r="3972" spans="1:10" s="2" customFormat="1">
      <c r="A3972" s="1"/>
      <c r="E3972"/>
      <c r="F3972"/>
      <c r="G3972"/>
      <c r="H3972"/>
      <c r="I3972"/>
      <c r="J3972"/>
    </row>
    <row r="3973" spans="1:10" s="2" customFormat="1">
      <c r="A3973" s="1"/>
      <c r="E3973"/>
      <c r="F3973"/>
      <c r="G3973"/>
      <c r="H3973"/>
      <c r="I3973"/>
      <c r="J3973"/>
    </row>
    <row r="3974" spans="1:10" s="2" customFormat="1">
      <c r="A3974" s="1"/>
      <c r="E3974"/>
      <c r="F3974"/>
      <c r="G3974"/>
      <c r="H3974"/>
      <c r="I3974"/>
      <c r="J3974"/>
    </row>
    <row r="3975" spans="1:10" s="2" customFormat="1">
      <c r="A3975" s="1"/>
      <c r="E3975"/>
      <c r="F3975"/>
      <c r="G3975"/>
      <c r="H3975"/>
      <c r="I3975"/>
      <c r="J3975"/>
    </row>
    <row r="3976" spans="1:10" s="2" customFormat="1">
      <c r="A3976" s="1"/>
      <c r="E3976"/>
      <c r="F3976"/>
      <c r="G3976"/>
      <c r="H3976"/>
      <c r="I3976"/>
      <c r="J3976"/>
    </row>
    <row r="3977" spans="1:10" s="2" customFormat="1">
      <c r="A3977" s="1"/>
      <c r="E3977"/>
      <c r="F3977"/>
      <c r="G3977"/>
      <c r="H3977"/>
      <c r="I3977"/>
      <c r="J3977"/>
    </row>
    <row r="3978" spans="1:10" s="2" customFormat="1">
      <c r="A3978" s="1"/>
      <c r="E3978"/>
      <c r="F3978"/>
      <c r="G3978"/>
      <c r="H3978"/>
      <c r="I3978"/>
      <c r="J3978"/>
    </row>
    <row r="3979" spans="1:10" s="2" customFormat="1">
      <c r="A3979" s="1"/>
      <c r="E3979"/>
      <c r="F3979"/>
      <c r="G3979"/>
      <c r="H3979"/>
      <c r="I3979"/>
      <c r="J3979"/>
    </row>
    <row r="3980" spans="1:10" s="2" customFormat="1">
      <c r="A3980" s="1"/>
      <c r="E3980"/>
      <c r="F3980"/>
      <c r="G3980"/>
      <c r="H3980"/>
      <c r="I3980"/>
      <c r="J3980"/>
    </row>
    <row r="3981" spans="1:10" s="2" customFormat="1">
      <c r="A3981" s="1"/>
      <c r="E3981"/>
      <c r="F3981"/>
      <c r="G3981"/>
      <c r="H3981"/>
      <c r="I3981"/>
      <c r="J3981"/>
    </row>
    <row r="3982" spans="1:10" s="2" customFormat="1">
      <c r="A3982" s="1"/>
      <c r="E3982"/>
      <c r="F3982"/>
      <c r="G3982"/>
      <c r="H3982"/>
      <c r="I3982"/>
      <c r="J3982"/>
    </row>
    <row r="3983" spans="1:10" s="2" customFormat="1">
      <c r="A3983" s="1"/>
      <c r="E3983"/>
      <c r="F3983"/>
      <c r="G3983"/>
      <c r="H3983"/>
      <c r="I3983"/>
      <c r="J3983"/>
    </row>
    <row r="3984" spans="1:10" s="2" customFormat="1">
      <c r="A3984" s="1"/>
      <c r="E3984"/>
      <c r="F3984"/>
      <c r="G3984"/>
      <c r="H3984"/>
      <c r="I3984"/>
      <c r="J3984"/>
    </row>
    <row r="3985" spans="1:10" s="2" customFormat="1">
      <c r="A3985" s="1"/>
      <c r="E3985"/>
      <c r="F3985"/>
      <c r="G3985"/>
      <c r="H3985"/>
      <c r="I3985"/>
      <c r="J3985"/>
    </row>
    <row r="3986" spans="1:10" s="2" customFormat="1">
      <c r="A3986" s="1"/>
      <c r="E3986"/>
      <c r="F3986"/>
      <c r="G3986"/>
      <c r="H3986"/>
      <c r="I3986"/>
      <c r="J3986"/>
    </row>
    <row r="3987" spans="1:10" s="2" customFormat="1">
      <c r="A3987" s="1"/>
      <c r="E3987"/>
      <c r="F3987"/>
      <c r="G3987"/>
      <c r="H3987"/>
      <c r="I3987"/>
      <c r="J3987"/>
    </row>
    <row r="3988" spans="1:10" s="2" customFormat="1">
      <c r="A3988" s="1"/>
      <c r="E3988"/>
      <c r="F3988"/>
      <c r="G3988"/>
      <c r="H3988"/>
      <c r="I3988"/>
      <c r="J3988"/>
    </row>
    <row r="3989" spans="1:10" s="2" customFormat="1">
      <c r="A3989" s="1"/>
      <c r="E3989"/>
      <c r="F3989"/>
      <c r="G3989"/>
      <c r="H3989"/>
      <c r="I3989"/>
      <c r="J3989"/>
    </row>
    <row r="3990" spans="1:10" s="2" customFormat="1">
      <c r="A3990" s="1"/>
      <c r="E3990"/>
      <c r="F3990"/>
      <c r="G3990"/>
      <c r="H3990"/>
      <c r="I3990"/>
      <c r="J3990"/>
    </row>
    <row r="3991" spans="1:10" s="2" customFormat="1">
      <c r="A3991" s="1"/>
      <c r="E3991"/>
      <c r="F3991"/>
      <c r="G3991"/>
      <c r="H3991"/>
      <c r="I3991"/>
      <c r="J3991"/>
    </row>
    <row r="3992" spans="1:10" s="2" customFormat="1">
      <c r="A3992" s="1"/>
      <c r="E3992"/>
      <c r="F3992"/>
      <c r="G3992"/>
      <c r="H3992"/>
      <c r="I3992"/>
      <c r="J3992"/>
    </row>
    <row r="3993" spans="1:10" s="2" customFormat="1">
      <c r="A3993" s="1"/>
      <c r="E3993"/>
      <c r="F3993"/>
      <c r="G3993"/>
      <c r="H3993"/>
      <c r="I3993"/>
      <c r="J3993"/>
    </row>
    <row r="3994" spans="1:10" s="2" customFormat="1">
      <c r="A3994" s="1"/>
      <c r="E3994"/>
      <c r="F3994"/>
      <c r="G3994"/>
      <c r="H3994"/>
      <c r="I3994"/>
      <c r="J3994"/>
    </row>
    <row r="3995" spans="1:10" s="2" customFormat="1">
      <c r="A3995" s="1"/>
      <c r="E3995"/>
      <c r="F3995"/>
      <c r="G3995"/>
      <c r="H3995"/>
      <c r="I3995"/>
      <c r="J3995"/>
    </row>
    <row r="3996" spans="1:10" s="2" customFormat="1">
      <c r="A3996" s="1"/>
      <c r="E3996"/>
      <c r="F3996"/>
      <c r="G3996"/>
      <c r="H3996"/>
      <c r="I3996"/>
      <c r="J3996"/>
    </row>
    <row r="3997" spans="1:10" s="2" customFormat="1">
      <c r="A3997" s="1"/>
      <c r="E3997"/>
      <c r="F3997"/>
      <c r="G3997"/>
      <c r="H3997"/>
      <c r="I3997"/>
      <c r="J3997"/>
    </row>
    <row r="3998" spans="1:10" s="2" customFormat="1">
      <c r="A3998" s="1"/>
      <c r="E3998"/>
      <c r="F3998"/>
      <c r="G3998"/>
      <c r="H3998"/>
      <c r="I3998"/>
      <c r="J3998"/>
    </row>
    <row r="3999" spans="1:10" s="2" customFormat="1">
      <c r="A3999" s="1"/>
      <c r="E3999"/>
      <c r="F3999"/>
      <c r="G3999"/>
      <c r="H3999"/>
      <c r="I3999"/>
      <c r="J3999"/>
    </row>
    <row r="4000" spans="1:10" s="2" customFormat="1">
      <c r="A4000" s="1"/>
      <c r="E4000"/>
      <c r="F4000"/>
      <c r="G4000"/>
      <c r="H4000"/>
      <c r="I4000"/>
      <c r="J4000"/>
    </row>
    <row r="4001" spans="1:10" s="2" customFormat="1">
      <c r="A4001" s="1"/>
      <c r="E4001"/>
      <c r="F4001"/>
      <c r="G4001"/>
      <c r="H4001"/>
      <c r="I4001"/>
      <c r="J4001"/>
    </row>
    <row r="4002" spans="1:10" s="2" customFormat="1">
      <c r="A4002" s="1"/>
      <c r="E4002"/>
      <c r="F4002"/>
      <c r="G4002"/>
      <c r="H4002"/>
      <c r="I4002"/>
      <c r="J4002"/>
    </row>
    <row r="4003" spans="1:10" s="2" customFormat="1">
      <c r="A4003" s="1"/>
      <c r="E4003"/>
      <c r="F4003"/>
      <c r="G4003"/>
      <c r="H4003"/>
      <c r="I4003"/>
      <c r="J4003"/>
    </row>
    <row r="4004" spans="1:10" s="2" customFormat="1">
      <c r="A4004" s="1"/>
      <c r="E4004"/>
      <c r="F4004"/>
      <c r="G4004"/>
      <c r="H4004"/>
      <c r="I4004"/>
      <c r="J4004"/>
    </row>
    <row r="4005" spans="1:10" s="2" customFormat="1">
      <c r="A4005" s="1"/>
      <c r="E4005"/>
      <c r="F4005"/>
      <c r="G4005"/>
      <c r="H4005"/>
      <c r="I4005"/>
      <c r="J4005"/>
    </row>
    <row r="4006" spans="1:10" s="2" customFormat="1">
      <c r="A4006" s="1"/>
      <c r="E4006"/>
      <c r="F4006"/>
      <c r="G4006"/>
      <c r="H4006"/>
      <c r="I4006"/>
      <c r="J4006"/>
    </row>
    <row r="4007" spans="1:10" s="2" customFormat="1">
      <c r="A4007" s="1"/>
      <c r="E4007"/>
      <c r="F4007"/>
      <c r="G4007"/>
      <c r="H4007"/>
      <c r="I4007"/>
      <c r="J4007"/>
    </row>
    <row r="4008" spans="1:10" s="2" customFormat="1">
      <c r="A4008" s="1"/>
      <c r="E4008"/>
      <c r="F4008"/>
      <c r="G4008"/>
      <c r="H4008"/>
      <c r="I4008"/>
      <c r="J4008"/>
    </row>
    <row r="4009" spans="1:10" s="2" customFormat="1">
      <c r="A4009" s="1"/>
      <c r="E4009"/>
      <c r="F4009"/>
      <c r="G4009"/>
      <c r="H4009"/>
      <c r="I4009"/>
      <c r="J4009"/>
    </row>
    <row r="4010" spans="1:10" s="2" customFormat="1">
      <c r="A4010" s="1"/>
      <c r="E4010"/>
      <c r="F4010"/>
      <c r="G4010"/>
      <c r="H4010"/>
      <c r="I4010"/>
      <c r="J4010"/>
    </row>
    <row r="4011" spans="1:10" s="2" customFormat="1">
      <c r="A4011" s="1"/>
      <c r="E4011"/>
      <c r="F4011"/>
      <c r="G4011"/>
      <c r="H4011"/>
      <c r="I4011"/>
      <c r="J4011"/>
    </row>
    <row r="4012" spans="1:10" s="2" customFormat="1">
      <c r="A4012" s="1"/>
      <c r="E4012"/>
      <c r="F4012"/>
      <c r="G4012"/>
      <c r="H4012"/>
      <c r="I4012"/>
      <c r="J4012"/>
    </row>
    <row r="4013" spans="1:10" s="2" customFormat="1">
      <c r="A4013" s="1"/>
      <c r="E4013"/>
      <c r="F4013"/>
      <c r="G4013"/>
      <c r="H4013"/>
      <c r="I4013"/>
      <c r="J4013"/>
    </row>
    <row r="4014" spans="1:10" s="2" customFormat="1">
      <c r="A4014" s="1"/>
      <c r="E4014"/>
      <c r="F4014"/>
      <c r="G4014"/>
      <c r="H4014"/>
      <c r="I4014"/>
      <c r="J4014"/>
    </row>
    <row r="4015" spans="1:10" s="2" customFormat="1">
      <c r="A4015" s="1"/>
      <c r="E4015"/>
      <c r="F4015"/>
      <c r="G4015"/>
      <c r="H4015"/>
      <c r="I4015"/>
      <c r="J4015"/>
    </row>
    <row r="4016" spans="1:10" s="2" customFormat="1">
      <c r="A4016" s="1"/>
      <c r="E4016"/>
      <c r="F4016"/>
      <c r="G4016"/>
      <c r="H4016"/>
      <c r="I4016"/>
      <c r="J4016"/>
    </row>
    <row r="4017" spans="1:10" s="2" customFormat="1">
      <c r="A4017" s="1"/>
      <c r="E4017"/>
      <c r="F4017"/>
      <c r="G4017"/>
      <c r="H4017"/>
      <c r="I4017"/>
      <c r="J4017"/>
    </row>
    <row r="4018" spans="1:10" s="2" customFormat="1">
      <c r="A4018" s="1"/>
      <c r="E4018"/>
      <c r="F4018"/>
      <c r="G4018"/>
      <c r="H4018"/>
      <c r="I4018"/>
      <c r="J4018"/>
    </row>
    <row r="4019" spans="1:10" s="2" customFormat="1">
      <c r="A4019" s="1"/>
      <c r="E4019"/>
      <c r="F4019"/>
      <c r="G4019"/>
      <c r="H4019"/>
      <c r="I4019"/>
      <c r="J4019"/>
    </row>
    <row r="4020" spans="1:10" s="2" customFormat="1">
      <c r="A4020" s="1"/>
      <c r="E4020"/>
      <c r="F4020"/>
      <c r="G4020"/>
      <c r="H4020"/>
      <c r="I4020"/>
      <c r="J4020"/>
    </row>
    <row r="4021" spans="1:10" s="2" customFormat="1">
      <c r="A4021" s="1"/>
      <c r="E4021"/>
      <c r="F4021"/>
      <c r="G4021"/>
      <c r="H4021"/>
      <c r="I4021"/>
      <c r="J4021"/>
    </row>
    <row r="4022" spans="1:10" s="2" customFormat="1">
      <c r="A4022" s="1"/>
      <c r="E4022"/>
      <c r="F4022"/>
      <c r="G4022"/>
      <c r="H4022"/>
      <c r="I4022"/>
      <c r="J4022"/>
    </row>
    <row r="4023" spans="1:10" s="2" customFormat="1">
      <c r="A4023" s="1"/>
      <c r="E4023"/>
      <c r="F4023"/>
      <c r="G4023"/>
      <c r="H4023"/>
      <c r="I4023"/>
      <c r="J4023"/>
    </row>
    <row r="4024" spans="1:10" s="2" customFormat="1">
      <c r="A4024" s="1"/>
      <c r="E4024"/>
      <c r="F4024"/>
      <c r="G4024"/>
      <c r="H4024"/>
      <c r="I4024"/>
      <c r="J4024"/>
    </row>
    <row r="4025" spans="1:10" s="2" customFormat="1">
      <c r="A4025" s="1"/>
      <c r="E4025"/>
      <c r="F4025"/>
      <c r="G4025"/>
      <c r="H4025"/>
      <c r="I4025"/>
      <c r="J4025"/>
    </row>
    <row r="4026" spans="1:10" s="2" customFormat="1">
      <c r="A4026" s="1"/>
      <c r="E4026"/>
      <c r="F4026"/>
      <c r="G4026"/>
      <c r="H4026"/>
      <c r="I4026"/>
      <c r="J4026"/>
    </row>
    <row r="4027" spans="1:10" s="2" customFormat="1">
      <c r="A4027" s="1"/>
      <c r="E4027"/>
      <c r="F4027"/>
      <c r="G4027"/>
      <c r="H4027"/>
      <c r="I4027"/>
      <c r="J4027"/>
    </row>
    <row r="4028" spans="1:10" s="2" customFormat="1">
      <c r="A4028" s="1"/>
      <c r="E4028"/>
      <c r="F4028"/>
      <c r="G4028"/>
      <c r="H4028"/>
      <c r="I4028"/>
      <c r="J4028"/>
    </row>
    <row r="4029" spans="1:10" s="2" customFormat="1">
      <c r="A4029" s="1"/>
      <c r="E4029"/>
      <c r="F4029"/>
      <c r="G4029"/>
      <c r="H4029"/>
      <c r="I4029"/>
      <c r="J4029"/>
    </row>
    <row r="4030" spans="1:10" s="2" customFormat="1">
      <c r="A4030" s="1"/>
      <c r="E4030"/>
      <c r="F4030"/>
      <c r="G4030"/>
      <c r="H4030"/>
      <c r="I4030"/>
      <c r="J4030"/>
    </row>
    <row r="4031" spans="1:10" s="2" customFormat="1">
      <c r="A4031" s="1"/>
      <c r="E4031"/>
      <c r="F4031"/>
      <c r="G4031"/>
      <c r="H4031"/>
      <c r="I4031"/>
      <c r="J4031"/>
    </row>
    <row r="4032" spans="1:10" s="2" customFormat="1">
      <c r="A4032" s="1"/>
      <c r="E4032"/>
      <c r="F4032"/>
      <c r="G4032"/>
      <c r="H4032"/>
      <c r="I4032"/>
      <c r="J4032"/>
    </row>
    <row r="4033" spans="1:10" s="2" customFormat="1">
      <c r="A4033" s="1"/>
      <c r="E4033"/>
      <c r="F4033"/>
      <c r="G4033"/>
      <c r="H4033"/>
      <c r="I4033"/>
      <c r="J4033"/>
    </row>
    <row r="4034" spans="1:10" s="2" customFormat="1">
      <c r="A4034" s="1"/>
      <c r="E4034"/>
      <c r="F4034"/>
      <c r="G4034"/>
      <c r="H4034"/>
      <c r="I4034"/>
      <c r="J4034"/>
    </row>
    <row r="4035" spans="1:10" s="2" customFormat="1">
      <c r="A4035" s="1"/>
      <c r="E4035"/>
      <c r="F4035"/>
      <c r="G4035"/>
      <c r="H4035"/>
      <c r="I4035"/>
      <c r="J4035"/>
    </row>
    <row r="4036" spans="1:10" s="2" customFormat="1">
      <c r="A4036" s="1"/>
      <c r="E4036"/>
      <c r="F4036"/>
      <c r="G4036"/>
      <c r="H4036"/>
      <c r="I4036"/>
      <c r="J4036"/>
    </row>
    <row r="4037" spans="1:10" s="2" customFormat="1">
      <c r="A4037" s="1"/>
      <c r="E4037"/>
      <c r="F4037"/>
      <c r="G4037"/>
      <c r="H4037"/>
      <c r="I4037"/>
      <c r="J4037"/>
    </row>
    <row r="4038" spans="1:10" s="2" customFormat="1">
      <c r="A4038" s="1"/>
      <c r="E4038"/>
      <c r="F4038"/>
      <c r="G4038"/>
      <c r="H4038"/>
      <c r="I4038"/>
      <c r="J4038"/>
    </row>
    <row r="4039" spans="1:10" s="2" customFormat="1">
      <c r="A4039" s="1"/>
      <c r="E4039"/>
      <c r="F4039"/>
      <c r="G4039"/>
      <c r="H4039"/>
      <c r="I4039"/>
      <c r="J4039"/>
    </row>
    <row r="4040" spans="1:10" s="2" customFormat="1">
      <c r="A4040" s="1"/>
      <c r="E4040"/>
      <c r="F4040"/>
      <c r="G4040"/>
      <c r="H4040"/>
      <c r="I4040"/>
      <c r="J4040"/>
    </row>
    <row r="4041" spans="1:10" s="2" customFormat="1">
      <c r="A4041" s="1"/>
      <c r="E4041"/>
      <c r="F4041"/>
      <c r="G4041"/>
      <c r="H4041"/>
      <c r="I4041"/>
      <c r="J4041"/>
    </row>
    <row r="4042" spans="1:10" s="2" customFormat="1">
      <c r="A4042" s="1"/>
      <c r="E4042"/>
      <c r="F4042"/>
      <c r="G4042"/>
      <c r="H4042"/>
      <c r="I4042"/>
      <c r="J4042"/>
    </row>
    <row r="4043" spans="1:10" s="2" customFormat="1">
      <c r="A4043" s="1"/>
      <c r="E4043"/>
      <c r="F4043"/>
      <c r="G4043"/>
      <c r="H4043"/>
      <c r="I4043"/>
      <c r="J4043"/>
    </row>
    <row r="4044" spans="1:10" s="2" customFormat="1">
      <c r="A4044" s="1"/>
      <c r="E4044"/>
      <c r="F4044"/>
      <c r="G4044"/>
      <c r="H4044"/>
      <c r="I4044"/>
      <c r="J4044"/>
    </row>
    <row r="4045" spans="1:10" s="2" customFormat="1">
      <c r="A4045" s="1"/>
      <c r="E4045"/>
      <c r="F4045"/>
      <c r="G4045"/>
      <c r="H4045"/>
      <c r="I4045"/>
      <c r="J4045"/>
    </row>
    <row r="4046" spans="1:10" s="2" customFormat="1">
      <c r="A4046" s="1"/>
      <c r="E4046"/>
      <c r="F4046"/>
      <c r="G4046"/>
      <c r="H4046"/>
      <c r="I4046"/>
      <c r="J4046"/>
    </row>
    <row r="4047" spans="1:10" s="2" customFormat="1">
      <c r="A4047" s="1"/>
      <c r="E4047"/>
      <c r="F4047"/>
      <c r="G4047"/>
      <c r="H4047"/>
      <c r="I4047"/>
      <c r="J4047"/>
    </row>
    <row r="4048" spans="1:10" s="2" customFormat="1">
      <c r="A4048" s="1"/>
      <c r="E4048"/>
      <c r="F4048"/>
      <c r="G4048"/>
      <c r="H4048"/>
      <c r="I4048"/>
      <c r="J4048"/>
    </row>
    <row r="4049" spans="1:10" s="2" customFormat="1">
      <c r="A4049" s="1"/>
      <c r="E4049"/>
      <c r="F4049"/>
      <c r="G4049"/>
      <c r="H4049"/>
      <c r="I4049"/>
      <c r="J4049"/>
    </row>
    <row r="4050" spans="1:10" s="2" customFormat="1">
      <c r="A4050" s="1"/>
      <c r="E4050"/>
      <c r="F4050"/>
      <c r="G4050"/>
      <c r="H4050"/>
      <c r="I4050"/>
      <c r="J4050"/>
    </row>
    <row r="4051" spans="1:10" s="2" customFormat="1">
      <c r="A4051" s="1"/>
      <c r="E4051"/>
      <c r="F4051"/>
      <c r="G4051"/>
      <c r="H4051"/>
      <c r="I4051"/>
      <c r="J4051"/>
    </row>
    <row r="4052" spans="1:10" s="2" customFormat="1">
      <c r="A4052" s="1"/>
      <c r="E4052"/>
      <c r="F4052"/>
      <c r="G4052"/>
      <c r="H4052"/>
      <c r="I4052"/>
      <c r="J4052"/>
    </row>
    <row r="4053" spans="1:10" s="2" customFormat="1">
      <c r="A4053" s="1"/>
      <c r="E4053"/>
      <c r="F4053"/>
      <c r="G4053"/>
      <c r="H4053"/>
      <c r="I4053"/>
      <c r="J4053"/>
    </row>
    <row r="4054" spans="1:10" s="2" customFormat="1">
      <c r="A4054" s="1"/>
      <c r="E4054"/>
      <c r="F4054"/>
      <c r="G4054"/>
      <c r="H4054"/>
      <c r="I4054"/>
      <c r="J4054"/>
    </row>
    <row r="4055" spans="1:10" s="2" customFormat="1">
      <c r="A4055" s="1"/>
      <c r="E4055"/>
      <c r="F4055"/>
      <c r="G4055"/>
      <c r="H4055"/>
      <c r="I4055"/>
      <c r="J4055"/>
    </row>
    <row r="4056" spans="1:10" s="2" customFormat="1">
      <c r="A4056" s="1"/>
      <c r="E4056"/>
      <c r="F4056"/>
      <c r="G4056"/>
      <c r="H4056"/>
      <c r="I4056"/>
      <c r="J4056"/>
    </row>
    <row r="4057" spans="1:10" s="2" customFormat="1">
      <c r="A4057" s="1"/>
      <c r="E4057"/>
      <c r="F4057"/>
      <c r="G4057"/>
      <c r="H4057"/>
      <c r="I4057"/>
      <c r="J4057"/>
    </row>
    <row r="4058" spans="1:10" s="2" customFormat="1">
      <c r="A4058" s="1"/>
      <c r="E4058"/>
      <c r="F4058"/>
      <c r="G4058"/>
      <c r="H4058"/>
      <c r="I4058"/>
      <c r="J4058"/>
    </row>
    <row r="4059" spans="1:10" s="2" customFormat="1">
      <c r="A4059" s="1"/>
      <c r="E4059"/>
      <c r="F4059"/>
      <c r="G4059"/>
      <c r="H4059"/>
      <c r="I4059"/>
      <c r="J4059"/>
    </row>
    <row r="4060" spans="1:10" s="2" customFormat="1">
      <c r="A4060" s="1"/>
      <c r="E4060"/>
      <c r="F4060"/>
      <c r="G4060"/>
      <c r="H4060"/>
      <c r="I4060"/>
      <c r="J4060"/>
    </row>
    <row r="4061" spans="1:10" s="2" customFormat="1">
      <c r="A4061" s="1"/>
      <c r="E4061"/>
      <c r="F4061"/>
      <c r="G4061"/>
      <c r="H4061"/>
      <c r="I4061"/>
      <c r="J4061"/>
    </row>
    <row r="4062" spans="1:10" s="2" customFormat="1">
      <c r="A4062" s="1"/>
      <c r="E4062"/>
      <c r="F4062"/>
      <c r="G4062"/>
      <c r="H4062"/>
      <c r="I4062"/>
      <c r="J4062"/>
    </row>
    <row r="4063" spans="1:10" s="2" customFormat="1">
      <c r="A4063" s="1"/>
      <c r="E4063"/>
      <c r="F4063"/>
      <c r="G4063"/>
      <c r="H4063"/>
      <c r="I4063"/>
      <c r="J4063"/>
    </row>
    <row r="4064" spans="1:10" s="2" customFormat="1">
      <c r="A4064" s="1"/>
      <c r="E4064"/>
      <c r="F4064"/>
      <c r="G4064"/>
      <c r="H4064"/>
      <c r="I4064"/>
      <c r="J4064"/>
    </row>
    <row r="4065" spans="1:10" s="2" customFormat="1">
      <c r="A4065" s="1"/>
      <c r="E4065"/>
      <c r="F4065"/>
      <c r="G4065"/>
      <c r="H4065"/>
      <c r="I4065"/>
      <c r="J4065"/>
    </row>
    <row r="4066" spans="1:10" s="2" customFormat="1">
      <c r="A4066" s="1"/>
      <c r="E4066"/>
      <c r="F4066"/>
      <c r="G4066"/>
      <c r="H4066"/>
      <c r="I4066"/>
      <c r="J4066"/>
    </row>
    <row r="4067" spans="1:10" s="2" customFormat="1">
      <c r="A4067" s="1"/>
      <c r="E4067"/>
      <c r="F4067"/>
      <c r="G4067"/>
      <c r="H4067"/>
      <c r="I4067"/>
      <c r="J4067"/>
    </row>
    <row r="4068" spans="1:10" s="2" customFormat="1">
      <c r="A4068" s="1"/>
      <c r="E4068"/>
      <c r="F4068"/>
      <c r="G4068"/>
      <c r="H4068"/>
      <c r="I4068"/>
      <c r="J4068"/>
    </row>
    <row r="4069" spans="1:10" s="2" customFormat="1">
      <c r="A4069" s="1"/>
      <c r="E4069"/>
      <c r="F4069"/>
      <c r="G4069"/>
      <c r="H4069"/>
      <c r="I4069"/>
      <c r="J4069"/>
    </row>
    <row r="4070" spans="1:10" s="2" customFormat="1">
      <c r="A4070" s="1"/>
      <c r="E4070"/>
      <c r="F4070"/>
      <c r="G4070"/>
      <c r="H4070"/>
      <c r="I4070"/>
      <c r="J4070"/>
    </row>
    <row r="4071" spans="1:10" s="2" customFormat="1">
      <c r="A4071" s="1"/>
      <c r="E4071"/>
      <c r="F4071"/>
      <c r="G4071"/>
      <c r="H4071"/>
      <c r="I4071"/>
      <c r="J4071"/>
    </row>
    <row r="4072" spans="1:10" s="2" customFormat="1">
      <c r="A4072" s="1"/>
      <c r="E4072"/>
      <c r="F4072"/>
      <c r="G4072"/>
      <c r="H4072"/>
      <c r="I4072"/>
      <c r="J4072"/>
    </row>
    <row r="4073" spans="1:10" s="2" customFormat="1">
      <c r="A4073" s="1"/>
      <c r="E4073"/>
      <c r="F4073"/>
      <c r="G4073"/>
      <c r="H4073"/>
      <c r="I4073"/>
      <c r="J4073"/>
    </row>
    <row r="4074" spans="1:10" s="2" customFormat="1">
      <c r="A4074" s="1"/>
      <c r="E4074"/>
      <c r="F4074"/>
      <c r="G4074"/>
      <c r="H4074"/>
      <c r="I4074"/>
      <c r="J4074"/>
    </row>
    <row r="4075" spans="1:10" s="2" customFormat="1">
      <c r="A4075" s="1"/>
      <c r="E4075"/>
      <c r="F4075"/>
      <c r="G4075"/>
      <c r="H4075"/>
      <c r="I4075"/>
      <c r="J4075"/>
    </row>
    <row r="4076" spans="1:10" s="2" customFormat="1">
      <c r="A4076" s="1"/>
      <c r="E4076"/>
      <c r="F4076"/>
      <c r="G4076"/>
      <c r="H4076"/>
      <c r="I4076"/>
      <c r="J4076"/>
    </row>
    <row r="4077" spans="1:10" s="2" customFormat="1">
      <c r="A4077" s="1"/>
      <c r="E4077"/>
      <c r="F4077"/>
      <c r="G4077"/>
      <c r="H4077"/>
      <c r="I4077"/>
      <c r="J4077"/>
    </row>
    <row r="4078" spans="1:10" s="2" customFormat="1">
      <c r="A4078" s="1"/>
      <c r="E4078"/>
      <c r="F4078"/>
      <c r="G4078"/>
      <c r="H4078"/>
      <c r="I4078"/>
      <c r="J4078"/>
    </row>
    <row r="4079" spans="1:10" s="2" customFormat="1">
      <c r="A4079" s="1"/>
      <c r="E4079"/>
      <c r="F4079"/>
      <c r="G4079"/>
      <c r="H4079"/>
      <c r="I4079"/>
      <c r="J4079"/>
    </row>
    <row r="4080" spans="1:10" s="2" customFormat="1">
      <c r="A4080" s="1"/>
      <c r="E4080"/>
      <c r="F4080"/>
      <c r="G4080"/>
      <c r="H4080"/>
      <c r="I4080"/>
      <c r="J4080"/>
    </row>
    <row r="4081" spans="1:10" s="2" customFormat="1">
      <c r="A4081" s="1"/>
      <c r="E4081"/>
      <c r="F4081"/>
      <c r="G4081"/>
      <c r="H4081"/>
      <c r="I4081"/>
      <c r="J4081"/>
    </row>
    <row r="4082" spans="1:10" s="2" customFormat="1">
      <c r="A4082" s="1"/>
      <c r="E4082"/>
      <c r="F4082"/>
      <c r="G4082"/>
      <c r="H4082"/>
      <c r="I4082"/>
      <c r="J4082"/>
    </row>
    <row r="4083" spans="1:10" s="2" customFormat="1">
      <c r="A4083" s="1"/>
      <c r="E4083"/>
      <c r="F4083"/>
      <c r="G4083"/>
      <c r="H4083"/>
      <c r="I4083"/>
      <c r="J4083"/>
    </row>
    <row r="4084" spans="1:10" s="2" customFormat="1">
      <c r="A4084" s="1"/>
      <c r="E4084"/>
      <c r="F4084"/>
      <c r="G4084"/>
      <c r="H4084"/>
      <c r="I4084"/>
      <c r="J4084"/>
    </row>
    <row r="4085" spans="1:10" s="2" customFormat="1">
      <c r="A4085" s="1"/>
      <c r="E4085"/>
      <c r="F4085"/>
      <c r="G4085"/>
      <c r="H4085"/>
      <c r="I4085"/>
      <c r="J4085"/>
    </row>
    <row r="4086" spans="1:10" s="2" customFormat="1">
      <c r="A4086" s="1"/>
      <c r="E4086"/>
      <c r="F4086"/>
      <c r="G4086"/>
      <c r="H4086"/>
      <c r="I4086"/>
      <c r="J4086"/>
    </row>
    <row r="4087" spans="1:10" s="2" customFormat="1">
      <c r="A4087" s="1"/>
      <c r="E4087"/>
      <c r="F4087"/>
      <c r="G4087"/>
      <c r="H4087"/>
      <c r="I4087"/>
      <c r="J4087"/>
    </row>
    <row r="4088" spans="1:10" s="2" customFormat="1">
      <c r="A4088" s="1"/>
      <c r="E4088"/>
      <c r="F4088"/>
      <c r="G4088"/>
      <c r="H4088"/>
      <c r="I4088"/>
      <c r="J4088"/>
    </row>
    <row r="4089" spans="1:10" s="2" customFormat="1">
      <c r="A4089" s="1"/>
      <c r="E4089"/>
      <c r="F4089"/>
      <c r="G4089"/>
      <c r="H4089"/>
      <c r="I4089"/>
      <c r="J4089"/>
    </row>
    <row r="4090" spans="1:10" s="2" customFormat="1">
      <c r="A4090" s="1"/>
      <c r="E4090"/>
      <c r="F4090"/>
      <c r="G4090"/>
      <c r="H4090"/>
      <c r="I4090"/>
      <c r="J4090"/>
    </row>
    <row r="4091" spans="1:10" s="2" customFormat="1">
      <c r="A4091" s="1"/>
      <c r="E4091"/>
      <c r="F4091"/>
      <c r="G4091"/>
      <c r="H4091"/>
      <c r="I4091"/>
      <c r="J4091"/>
    </row>
    <row r="4092" spans="1:10" s="2" customFormat="1">
      <c r="A4092" s="1"/>
      <c r="E4092"/>
      <c r="F4092"/>
      <c r="G4092"/>
      <c r="H4092"/>
      <c r="I4092"/>
      <c r="J4092"/>
    </row>
    <row r="4093" spans="1:10" s="2" customFormat="1">
      <c r="A4093" s="1"/>
      <c r="E4093"/>
      <c r="F4093"/>
      <c r="G4093"/>
      <c r="H4093"/>
      <c r="I4093"/>
      <c r="J4093"/>
    </row>
    <row r="4094" spans="1:10" s="2" customFormat="1">
      <c r="A4094" s="1"/>
      <c r="E4094"/>
      <c r="F4094"/>
      <c r="G4094"/>
      <c r="H4094"/>
      <c r="I4094"/>
      <c r="J4094"/>
    </row>
    <row r="4095" spans="1:10" s="2" customFormat="1">
      <c r="A4095" s="1"/>
      <c r="E4095"/>
      <c r="F4095"/>
      <c r="G4095"/>
      <c r="H4095"/>
      <c r="I4095"/>
      <c r="J4095"/>
    </row>
    <row r="4096" spans="1:10" s="2" customFormat="1">
      <c r="A4096" s="1"/>
      <c r="E4096"/>
      <c r="F4096"/>
      <c r="G4096"/>
      <c r="H4096"/>
      <c r="I4096"/>
      <c r="J4096"/>
    </row>
    <row r="4097" spans="1:10" s="2" customFormat="1">
      <c r="A4097" s="1"/>
      <c r="E4097"/>
      <c r="F4097"/>
      <c r="G4097"/>
      <c r="H4097"/>
      <c r="I4097"/>
      <c r="J4097"/>
    </row>
    <row r="4098" spans="1:10" s="2" customFormat="1">
      <c r="A4098" s="1"/>
      <c r="E4098"/>
      <c r="F4098"/>
      <c r="G4098"/>
      <c r="H4098"/>
      <c r="I4098"/>
      <c r="J4098"/>
    </row>
    <row r="4099" spans="1:10" s="2" customFormat="1">
      <c r="A4099" s="1"/>
      <c r="E4099"/>
      <c r="F4099"/>
      <c r="G4099"/>
      <c r="H4099"/>
      <c r="I4099"/>
      <c r="J4099"/>
    </row>
    <row r="4100" spans="1:10" s="2" customFormat="1">
      <c r="A4100" s="1"/>
      <c r="E4100"/>
      <c r="F4100"/>
      <c r="G4100"/>
      <c r="H4100"/>
      <c r="I4100"/>
      <c r="J4100"/>
    </row>
    <row r="4101" spans="1:10" s="2" customFormat="1">
      <c r="A4101" s="1"/>
      <c r="E4101"/>
      <c r="F4101"/>
      <c r="G4101"/>
      <c r="H4101"/>
      <c r="I4101"/>
      <c r="J4101"/>
    </row>
    <row r="4102" spans="1:10" s="2" customFormat="1">
      <c r="A4102" s="1"/>
      <c r="E4102"/>
      <c r="F4102"/>
      <c r="G4102"/>
      <c r="H4102"/>
      <c r="I4102"/>
      <c r="J4102"/>
    </row>
    <row r="4103" spans="1:10" s="2" customFormat="1">
      <c r="A4103" s="1"/>
      <c r="E4103"/>
      <c r="F4103"/>
      <c r="G4103"/>
      <c r="H4103"/>
      <c r="I4103"/>
      <c r="J4103"/>
    </row>
    <row r="4104" spans="1:10" s="2" customFormat="1">
      <c r="A4104" s="1"/>
      <c r="E4104"/>
      <c r="F4104"/>
      <c r="G4104"/>
      <c r="H4104"/>
      <c r="I4104"/>
      <c r="J4104"/>
    </row>
    <row r="4105" spans="1:10" s="2" customFormat="1">
      <c r="A4105" s="1"/>
      <c r="E4105"/>
      <c r="F4105"/>
      <c r="G4105"/>
      <c r="H4105"/>
      <c r="I4105"/>
      <c r="J4105"/>
    </row>
    <row r="4106" spans="1:10" s="2" customFormat="1">
      <c r="A4106" s="1"/>
      <c r="E4106"/>
      <c r="F4106"/>
      <c r="G4106"/>
      <c r="H4106"/>
      <c r="I4106"/>
      <c r="J4106"/>
    </row>
    <row r="4107" spans="1:10" s="2" customFormat="1">
      <c r="A4107" s="1"/>
      <c r="E4107"/>
      <c r="F4107"/>
      <c r="G4107"/>
      <c r="H4107"/>
      <c r="I4107"/>
      <c r="J4107"/>
    </row>
    <row r="4108" spans="1:10" s="2" customFormat="1">
      <c r="A4108" s="1"/>
      <c r="E4108"/>
      <c r="F4108"/>
      <c r="G4108"/>
      <c r="H4108"/>
      <c r="I4108"/>
      <c r="J4108"/>
    </row>
    <row r="4109" spans="1:10" s="2" customFormat="1">
      <c r="A4109" s="1"/>
      <c r="E4109"/>
      <c r="F4109"/>
      <c r="G4109"/>
      <c r="H4109"/>
      <c r="I4109"/>
      <c r="J4109"/>
    </row>
    <row r="4110" spans="1:10" s="2" customFormat="1">
      <c r="A4110" s="1"/>
      <c r="E4110"/>
      <c r="F4110"/>
      <c r="G4110"/>
      <c r="H4110"/>
      <c r="I4110"/>
      <c r="J4110"/>
    </row>
    <row r="4111" spans="1:10" s="2" customFormat="1">
      <c r="A4111" s="1"/>
      <c r="E4111"/>
      <c r="F4111"/>
      <c r="G4111"/>
      <c r="H4111"/>
      <c r="I4111"/>
      <c r="J4111"/>
    </row>
    <row r="4112" spans="1:10" s="2" customFormat="1">
      <c r="A4112" s="1"/>
      <c r="E4112"/>
      <c r="F4112"/>
      <c r="G4112"/>
      <c r="H4112"/>
      <c r="I4112"/>
      <c r="J4112"/>
    </row>
    <row r="4113" spans="1:10" s="2" customFormat="1">
      <c r="A4113" s="1"/>
      <c r="E4113"/>
      <c r="F4113"/>
      <c r="G4113"/>
      <c r="H4113"/>
      <c r="I4113"/>
      <c r="J4113"/>
    </row>
    <row r="4114" spans="1:10" s="2" customFormat="1">
      <c r="A4114" s="1"/>
      <c r="E4114"/>
      <c r="F4114"/>
      <c r="G4114"/>
      <c r="H4114"/>
      <c r="I4114"/>
      <c r="J4114"/>
    </row>
    <row r="4115" spans="1:10" s="2" customFormat="1">
      <c r="A4115" s="1"/>
      <c r="E4115"/>
      <c r="F4115"/>
      <c r="G4115"/>
      <c r="H4115"/>
      <c r="I4115"/>
      <c r="J4115"/>
    </row>
    <row r="4116" spans="1:10" s="2" customFormat="1">
      <c r="A4116" s="1"/>
      <c r="E4116"/>
      <c r="F4116"/>
      <c r="G4116"/>
      <c r="H4116"/>
      <c r="I4116"/>
      <c r="J4116"/>
    </row>
    <row r="4117" spans="1:10" s="2" customFormat="1">
      <c r="A4117" s="1"/>
      <c r="E4117"/>
      <c r="F4117"/>
      <c r="G4117"/>
      <c r="H4117"/>
      <c r="I4117"/>
      <c r="J4117"/>
    </row>
    <row r="4118" spans="1:10" s="2" customFormat="1">
      <c r="A4118" s="1"/>
      <c r="E4118"/>
      <c r="F4118"/>
      <c r="G4118"/>
      <c r="H4118"/>
      <c r="I4118"/>
      <c r="J4118"/>
    </row>
    <row r="4119" spans="1:10" s="2" customFormat="1">
      <c r="A4119" s="1"/>
      <c r="E4119"/>
      <c r="F4119"/>
      <c r="G4119"/>
      <c r="H4119"/>
      <c r="I4119"/>
      <c r="J4119"/>
    </row>
    <row r="4120" spans="1:10" s="2" customFormat="1">
      <c r="A4120" s="1"/>
      <c r="E4120"/>
      <c r="F4120"/>
      <c r="G4120"/>
      <c r="H4120"/>
      <c r="I4120"/>
      <c r="J4120"/>
    </row>
    <row r="4121" spans="1:10" s="2" customFormat="1">
      <c r="A4121" s="1"/>
      <c r="E4121"/>
      <c r="F4121"/>
      <c r="G4121"/>
      <c r="H4121"/>
      <c r="I4121"/>
      <c r="J4121"/>
    </row>
    <row r="4122" spans="1:10" s="2" customFormat="1">
      <c r="A4122" s="1"/>
      <c r="E4122"/>
      <c r="F4122"/>
      <c r="G4122"/>
      <c r="H4122"/>
      <c r="I4122"/>
      <c r="J4122"/>
    </row>
    <row r="4123" spans="1:10" s="2" customFormat="1">
      <c r="A4123" s="1"/>
      <c r="E4123"/>
      <c r="F4123"/>
      <c r="G4123"/>
      <c r="H4123"/>
      <c r="I4123"/>
      <c r="J4123"/>
    </row>
    <row r="4124" spans="1:10" s="2" customFormat="1">
      <c r="A4124" s="1"/>
      <c r="E4124"/>
      <c r="F4124"/>
      <c r="G4124"/>
      <c r="H4124"/>
      <c r="I4124"/>
      <c r="J4124"/>
    </row>
    <row r="4125" spans="1:10" s="2" customFormat="1">
      <c r="A4125" s="1"/>
      <c r="E4125"/>
      <c r="F4125"/>
      <c r="G4125"/>
      <c r="H4125"/>
      <c r="I4125"/>
      <c r="J4125"/>
    </row>
    <row r="4126" spans="1:10" s="2" customFormat="1">
      <c r="A4126" s="1"/>
      <c r="E4126"/>
      <c r="F4126"/>
      <c r="G4126"/>
      <c r="H4126"/>
      <c r="I4126"/>
      <c r="J4126"/>
    </row>
    <row r="4127" spans="1:10" s="2" customFormat="1">
      <c r="A4127" s="1"/>
      <c r="E4127"/>
      <c r="F4127"/>
      <c r="G4127"/>
      <c r="H4127"/>
      <c r="I4127"/>
      <c r="J4127"/>
    </row>
    <row r="4128" spans="1:10" s="2" customFormat="1">
      <c r="A4128" s="1"/>
      <c r="E4128"/>
      <c r="F4128"/>
      <c r="G4128"/>
      <c r="H4128"/>
      <c r="I4128"/>
      <c r="J4128"/>
    </row>
    <row r="4129" spans="1:10" s="2" customFormat="1">
      <c r="A4129" s="1"/>
      <c r="E4129"/>
      <c r="F4129"/>
      <c r="G4129"/>
      <c r="H4129"/>
      <c r="I4129"/>
      <c r="J4129"/>
    </row>
    <row r="4130" spans="1:10" s="2" customFormat="1">
      <c r="A4130" s="1"/>
      <c r="E4130"/>
      <c r="F4130"/>
      <c r="G4130"/>
      <c r="H4130"/>
      <c r="I4130"/>
      <c r="J4130"/>
    </row>
    <row r="4131" spans="1:10" s="2" customFormat="1">
      <c r="A4131" s="1"/>
      <c r="E4131"/>
      <c r="F4131"/>
      <c r="G4131"/>
      <c r="H4131"/>
      <c r="I4131"/>
      <c r="J4131"/>
    </row>
    <row r="4132" spans="1:10" s="2" customFormat="1">
      <c r="A4132" s="1"/>
      <c r="E4132"/>
      <c r="F4132"/>
      <c r="G4132"/>
      <c r="H4132"/>
      <c r="I4132"/>
      <c r="J4132"/>
    </row>
    <row r="4133" spans="1:10" s="2" customFormat="1">
      <c r="A4133" s="1"/>
      <c r="E4133"/>
      <c r="F4133"/>
      <c r="G4133"/>
      <c r="H4133"/>
      <c r="I4133"/>
      <c r="J4133"/>
    </row>
    <row r="4134" spans="1:10" s="2" customFormat="1">
      <c r="A4134" s="1"/>
      <c r="E4134"/>
      <c r="F4134"/>
      <c r="G4134"/>
      <c r="H4134"/>
      <c r="I4134"/>
      <c r="J4134"/>
    </row>
    <row r="4135" spans="1:10" s="2" customFormat="1">
      <c r="A4135" s="1"/>
      <c r="E4135"/>
      <c r="F4135"/>
      <c r="G4135"/>
      <c r="H4135"/>
      <c r="I4135"/>
      <c r="J4135"/>
    </row>
    <row r="4136" spans="1:10" s="2" customFormat="1">
      <c r="A4136" s="1"/>
      <c r="E4136"/>
      <c r="F4136"/>
      <c r="G4136"/>
      <c r="H4136"/>
      <c r="I4136"/>
      <c r="J4136"/>
    </row>
    <row r="4137" spans="1:10" s="2" customFormat="1">
      <c r="A4137" s="1"/>
      <c r="E4137"/>
      <c r="F4137"/>
      <c r="G4137"/>
      <c r="H4137"/>
      <c r="I4137"/>
      <c r="J4137"/>
    </row>
    <row r="4138" spans="1:10" s="2" customFormat="1">
      <c r="A4138" s="1"/>
      <c r="E4138"/>
      <c r="F4138"/>
      <c r="G4138"/>
      <c r="H4138"/>
      <c r="I4138"/>
      <c r="J4138"/>
    </row>
    <row r="4139" spans="1:10" s="2" customFormat="1">
      <c r="A4139" s="1"/>
      <c r="E4139"/>
      <c r="F4139"/>
      <c r="G4139"/>
      <c r="H4139"/>
      <c r="I4139"/>
      <c r="J4139"/>
    </row>
    <row r="4140" spans="1:10" s="2" customFormat="1">
      <c r="A4140" s="1"/>
      <c r="E4140"/>
      <c r="F4140"/>
      <c r="G4140"/>
      <c r="H4140"/>
      <c r="I4140"/>
      <c r="J4140"/>
    </row>
    <row r="4141" spans="1:10" s="2" customFormat="1">
      <c r="A4141" s="1"/>
      <c r="E4141"/>
      <c r="F4141"/>
      <c r="G4141"/>
      <c r="H4141"/>
      <c r="I4141"/>
      <c r="J4141"/>
    </row>
    <row r="4142" spans="1:10" s="2" customFormat="1">
      <c r="A4142" s="1"/>
      <c r="E4142"/>
      <c r="F4142"/>
      <c r="G4142"/>
      <c r="H4142"/>
      <c r="I4142"/>
      <c r="J4142"/>
    </row>
    <row r="4143" spans="1:10" s="2" customFormat="1">
      <c r="A4143" s="1"/>
      <c r="E4143"/>
      <c r="F4143"/>
      <c r="G4143"/>
      <c r="H4143"/>
      <c r="I4143"/>
      <c r="J4143"/>
    </row>
    <row r="4144" spans="1:10" s="2" customFormat="1">
      <c r="A4144" s="1"/>
      <c r="E4144"/>
      <c r="F4144"/>
      <c r="G4144"/>
      <c r="H4144"/>
      <c r="I4144"/>
      <c r="J4144"/>
    </row>
    <row r="4145" spans="1:10" s="2" customFormat="1">
      <c r="A4145" s="1"/>
      <c r="E4145"/>
      <c r="F4145"/>
      <c r="G4145"/>
      <c r="H4145"/>
      <c r="I4145"/>
      <c r="J4145"/>
    </row>
    <row r="4146" spans="1:10" s="2" customFormat="1">
      <c r="A4146" s="1"/>
      <c r="E4146"/>
      <c r="F4146"/>
      <c r="G4146"/>
      <c r="H4146"/>
      <c r="I4146"/>
      <c r="J4146"/>
    </row>
    <row r="4147" spans="1:10" s="2" customFormat="1">
      <c r="A4147" s="1"/>
      <c r="E4147"/>
      <c r="F4147"/>
      <c r="G4147"/>
      <c r="H4147"/>
      <c r="I4147"/>
      <c r="J4147"/>
    </row>
    <row r="4148" spans="1:10" s="2" customFormat="1">
      <c r="A4148" s="1"/>
      <c r="E4148"/>
      <c r="F4148"/>
      <c r="G4148"/>
      <c r="H4148"/>
      <c r="I4148"/>
      <c r="J4148"/>
    </row>
    <row r="4149" spans="1:10" s="2" customFormat="1">
      <c r="A4149" s="1"/>
      <c r="E4149"/>
      <c r="F4149"/>
      <c r="G4149"/>
      <c r="H4149"/>
      <c r="I4149"/>
      <c r="J4149"/>
    </row>
    <row r="4150" spans="1:10" s="2" customFormat="1">
      <c r="A4150" s="1"/>
      <c r="E4150"/>
      <c r="F4150"/>
      <c r="G4150"/>
      <c r="H4150"/>
      <c r="I4150"/>
      <c r="J4150"/>
    </row>
    <row r="4151" spans="1:10" s="2" customFormat="1">
      <c r="A4151" s="1"/>
      <c r="E4151"/>
      <c r="F4151"/>
      <c r="G4151"/>
      <c r="H4151"/>
      <c r="I4151"/>
      <c r="J4151"/>
    </row>
    <row r="4152" spans="1:10" s="2" customFormat="1">
      <c r="A4152" s="1"/>
      <c r="E4152"/>
      <c r="F4152"/>
      <c r="G4152"/>
      <c r="H4152"/>
      <c r="I4152"/>
      <c r="J4152"/>
    </row>
    <row r="4153" spans="1:10" s="2" customFormat="1">
      <c r="A4153" s="1"/>
      <c r="E4153"/>
      <c r="F4153"/>
      <c r="G4153"/>
      <c r="H4153"/>
      <c r="I4153"/>
      <c r="J4153"/>
    </row>
    <row r="4154" spans="1:10" s="2" customFormat="1">
      <c r="A4154" s="1"/>
      <c r="E4154"/>
      <c r="F4154"/>
      <c r="G4154"/>
      <c r="H4154"/>
      <c r="I4154"/>
      <c r="J4154"/>
    </row>
    <row r="4155" spans="1:10" s="2" customFormat="1">
      <c r="A4155" s="1"/>
      <c r="E4155"/>
      <c r="F4155"/>
      <c r="G4155"/>
      <c r="H4155"/>
      <c r="I4155"/>
      <c r="J4155"/>
    </row>
    <row r="4156" spans="1:10" s="2" customFormat="1">
      <c r="A4156" s="1"/>
      <c r="E4156"/>
      <c r="F4156"/>
      <c r="G4156"/>
      <c r="H4156"/>
      <c r="I4156"/>
      <c r="J4156"/>
    </row>
    <row r="4157" spans="1:10" s="2" customFormat="1">
      <c r="A4157" s="1"/>
      <c r="E4157"/>
      <c r="F4157"/>
      <c r="G4157"/>
      <c r="H4157"/>
      <c r="I4157"/>
      <c r="J4157"/>
    </row>
    <row r="4158" spans="1:10" s="2" customFormat="1">
      <c r="A4158" s="1"/>
      <c r="E4158"/>
      <c r="F4158"/>
      <c r="G4158"/>
      <c r="H4158"/>
      <c r="I4158"/>
      <c r="J4158"/>
    </row>
    <row r="4159" spans="1:10" s="2" customFormat="1">
      <c r="A4159" s="1"/>
      <c r="E4159"/>
      <c r="F4159"/>
      <c r="G4159"/>
      <c r="H4159"/>
      <c r="I4159"/>
      <c r="J4159"/>
    </row>
    <row r="4160" spans="1:10" s="2" customFormat="1">
      <c r="A4160" s="1"/>
      <c r="E4160"/>
      <c r="F4160"/>
      <c r="G4160"/>
      <c r="H4160"/>
      <c r="I4160"/>
      <c r="J4160"/>
    </row>
    <row r="4161" spans="1:10" s="2" customFormat="1">
      <c r="A4161" s="1"/>
      <c r="E4161"/>
      <c r="F4161"/>
      <c r="G4161"/>
      <c r="H4161"/>
      <c r="I4161"/>
      <c r="J4161"/>
    </row>
    <row r="4162" spans="1:10" s="2" customFormat="1">
      <c r="A4162" s="1"/>
      <c r="E4162"/>
      <c r="F4162"/>
      <c r="G4162"/>
      <c r="H4162"/>
      <c r="I4162"/>
      <c r="J4162"/>
    </row>
    <row r="4163" spans="1:10" s="2" customFormat="1">
      <c r="A4163" s="1"/>
      <c r="E4163"/>
      <c r="F4163"/>
      <c r="G4163"/>
      <c r="H4163"/>
      <c r="I4163"/>
      <c r="J4163"/>
    </row>
    <row r="4164" spans="1:10" s="2" customFormat="1">
      <c r="A4164" s="1"/>
      <c r="E4164"/>
      <c r="F4164"/>
      <c r="G4164"/>
      <c r="H4164"/>
      <c r="I4164"/>
      <c r="J4164"/>
    </row>
    <row r="4165" spans="1:10" s="2" customFormat="1">
      <c r="A4165" s="1"/>
      <c r="E4165"/>
      <c r="F4165"/>
      <c r="G4165"/>
      <c r="H4165"/>
      <c r="I4165"/>
      <c r="J4165"/>
    </row>
    <row r="4166" spans="1:10" s="2" customFormat="1">
      <c r="A4166" s="1"/>
      <c r="E4166"/>
      <c r="F4166"/>
      <c r="G4166"/>
      <c r="H4166"/>
      <c r="I4166"/>
      <c r="J4166"/>
    </row>
    <row r="4167" spans="1:10" s="2" customFormat="1">
      <c r="A4167" s="1"/>
      <c r="E4167"/>
      <c r="F4167"/>
      <c r="G4167"/>
      <c r="H4167"/>
      <c r="I4167"/>
      <c r="J4167"/>
    </row>
    <row r="4168" spans="1:10" s="2" customFormat="1">
      <c r="A4168" s="1"/>
      <c r="E4168"/>
      <c r="F4168"/>
      <c r="G4168"/>
      <c r="H4168"/>
      <c r="I4168"/>
      <c r="J4168"/>
    </row>
    <row r="4169" spans="1:10" s="2" customFormat="1">
      <c r="A4169" s="1"/>
      <c r="E4169"/>
      <c r="F4169"/>
      <c r="G4169"/>
      <c r="H4169"/>
      <c r="I4169"/>
      <c r="J4169"/>
    </row>
    <row r="4170" spans="1:10" s="2" customFormat="1">
      <c r="A4170" s="1"/>
      <c r="E4170"/>
      <c r="F4170"/>
      <c r="G4170"/>
      <c r="H4170"/>
      <c r="I4170"/>
      <c r="J4170"/>
    </row>
    <row r="4171" spans="1:10" s="2" customFormat="1">
      <c r="A4171" s="1"/>
      <c r="E4171"/>
      <c r="F4171"/>
      <c r="G4171"/>
      <c r="H4171"/>
      <c r="I4171"/>
      <c r="J4171"/>
    </row>
    <row r="4172" spans="1:10" s="2" customFormat="1">
      <c r="A4172" s="1"/>
      <c r="E4172"/>
      <c r="F4172"/>
      <c r="G4172"/>
      <c r="H4172"/>
      <c r="I4172"/>
      <c r="J4172"/>
    </row>
    <row r="4173" spans="1:10" s="2" customFormat="1">
      <c r="A4173" s="1"/>
      <c r="E4173"/>
      <c r="F4173"/>
      <c r="G4173"/>
      <c r="H4173"/>
      <c r="I4173"/>
      <c r="J4173"/>
    </row>
    <row r="4174" spans="1:10" s="2" customFormat="1">
      <c r="A4174" s="1"/>
      <c r="E4174"/>
      <c r="F4174"/>
      <c r="G4174"/>
      <c r="H4174"/>
      <c r="I4174"/>
      <c r="J4174"/>
    </row>
    <row r="4175" spans="1:10" s="2" customFormat="1">
      <c r="A4175" s="1"/>
      <c r="E4175"/>
      <c r="F4175"/>
      <c r="G4175"/>
      <c r="H4175"/>
      <c r="I4175"/>
      <c r="J4175"/>
    </row>
    <row r="4176" spans="1:10" s="2" customFormat="1">
      <c r="A4176" s="1"/>
      <c r="E4176"/>
      <c r="F4176"/>
      <c r="G4176"/>
      <c r="H4176"/>
      <c r="I4176"/>
      <c r="J4176"/>
    </row>
    <row r="4177" spans="1:10" s="2" customFormat="1">
      <c r="A4177" s="1"/>
      <c r="E4177"/>
      <c r="F4177"/>
      <c r="G4177"/>
      <c r="H4177"/>
      <c r="I4177"/>
      <c r="J4177"/>
    </row>
    <row r="4178" spans="1:10" s="2" customFormat="1">
      <c r="A4178" s="1"/>
      <c r="E4178"/>
      <c r="F4178"/>
      <c r="G4178"/>
      <c r="H4178"/>
      <c r="I4178"/>
      <c r="J4178"/>
    </row>
    <row r="4179" spans="1:10" s="2" customFormat="1">
      <c r="A4179" s="1"/>
      <c r="E4179"/>
      <c r="F4179"/>
      <c r="G4179"/>
      <c r="H4179"/>
      <c r="I4179"/>
      <c r="J4179"/>
    </row>
    <row r="4180" spans="1:10" s="2" customFormat="1">
      <c r="A4180" s="1"/>
      <c r="E4180"/>
      <c r="F4180"/>
      <c r="G4180"/>
      <c r="H4180"/>
      <c r="I4180"/>
      <c r="J4180"/>
    </row>
    <row r="4181" spans="1:10" s="2" customFormat="1">
      <c r="A4181" s="1"/>
      <c r="E4181"/>
      <c r="F4181"/>
      <c r="G4181"/>
      <c r="H4181"/>
      <c r="I4181"/>
      <c r="J4181"/>
    </row>
    <row r="4182" spans="1:10" s="2" customFormat="1">
      <c r="A4182" s="1"/>
      <c r="E4182"/>
      <c r="F4182"/>
      <c r="G4182"/>
      <c r="H4182"/>
      <c r="I4182"/>
      <c r="J4182"/>
    </row>
    <row r="4183" spans="1:10" s="2" customFormat="1">
      <c r="A4183" s="1"/>
      <c r="E4183"/>
      <c r="F4183"/>
      <c r="G4183"/>
      <c r="H4183"/>
      <c r="I4183"/>
      <c r="J4183"/>
    </row>
    <row r="4184" spans="1:10" s="2" customFormat="1">
      <c r="A4184" s="1"/>
      <c r="E4184"/>
      <c r="F4184"/>
      <c r="G4184"/>
      <c r="H4184"/>
      <c r="I4184"/>
      <c r="J4184"/>
    </row>
    <row r="4185" spans="1:10" s="2" customFormat="1">
      <c r="A4185" s="1"/>
      <c r="E4185"/>
      <c r="F4185"/>
      <c r="G4185"/>
      <c r="H4185"/>
      <c r="I4185"/>
      <c r="J4185"/>
    </row>
    <row r="4186" spans="1:10" s="2" customFormat="1">
      <c r="A4186" s="1"/>
      <c r="E4186"/>
      <c r="F4186"/>
      <c r="G4186"/>
      <c r="H4186"/>
      <c r="I4186"/>
      <c r="J4186"/>
    </row>
    <row r="4187" spans="1:10" s="2" customFormat="1">
      <c r="A4187" s="1"/>
      <c r="E4187"/>
      <c r="F4187"/>
      <c r="G4187"/>
      <c r="H4187"/>
      <c r="I4187"/>
      <c r="J4187"/>
    </row>
    <row r="4188" spans="1:10" s="2" customFormat="1">
      <c r="A4188" s="1"/>
      <c r="E4188"/>
      <c r="F4188"/>
      <c r="G4188"/>
      <c r="H4188"/>
      <c r="I4188"/>
      <c r="J4188"/>
    </row>
    <row r="4189" spans="1:10" s="2" customFormat="1">
      <c r="A4189" s="1"/>
      <c r="E4189"/>
      <c r="F4189"/>
      <c r="G4189"/>
      <c r="H4189"/>
      <c r="I4189"/>
      <c r="J4189"/>
    </row>
    <row r="4190" spans="1:10" s="2" customFormat="1">
      <c r="A4190" s="1"/>
      <c r="E4190"/>
      <c r="F4190"/>
      <c r="G4190"/>
      <c r="H4190"/>
      <c r="I4190"/>
      <c r="J4190"/>
    </row>
    <row r="4191" spans="1:10" s="2" customFormat="1">
      <c r="A4191" s="1"/>
      <c r="E4191"/>
      <c r="F4191"/>
      <c r="G4191"/>
      <c r="H4191"/>
      <c r="I4191"/>
      <c r="J4191"/>
    </row>
    <row r="4192" spans="1:10" s="2" customFormat="1">
      <c r="A4192" s="1"/>
      <c r="E4192"/>
      <c r="F4192"/>
      <c r="G4192"/>
      <c r="H4192"/>
      <c r="I4192"/>
      <c r="J4192"/>
    </row>
    <row r="4193" spans="1:10" s="2" customFormat="1">
      <c r="A4193" s="1"/>
      <c r="E4193"/>
      <c r="F4193"/>
      <c r="G4193"/>
      <c r="H4193"/>
      <c r="I4193"/>
      <c r="J4193"/>
    </row>
    <row r="4194" spans="1:10" s="2" customFormat="1">
      <c r="A4194" s="1"/>
      <c r="E4194"/>
      <c r="F4194"/>
      <c r="G4194"/>
      <c r="H4194"/>
      <c r="I4194"/>
      <c r="J4194"/>
    </row>
    <row r="4195" spans="1:10" s="2" customFormat="1">
      <c r="A4195" s="1"/>
      <c r="E4195"/>
      <c r="F4195"/>
      <c r="G4195"/>
      <c r="H4195"/>
      <c r="I4195"/>
      <c r="J4195"/>
    </row>
    <row r="4196" spans="1:10" s="2" customFormat="1">
      <c r="A4196" s="1"/>
      <c r="E4196"/>
      <c r="F4196"/>
      <c r="G4196"/>
      <c r="H4196"/>
      <c r="I4196"/>
      <c r="J4196"/>
    </row>
    <row r="4197" spans="1:10" s="2" customFormat="1">
      <c r="A4197" s="1"/>
      <c r="E4197"/>
      <c r="F4197"/>
      <c r="G4197"/>
      <c r="H4197"/>
      <c r="I4197"/>
      <c r="J4197"/>
    </row>
    <row r="4198" spans="1:10" s="2" customFormat="1">
      <c r="A4198" s="1"/>
      <c r="E4198"/>
      <c r="F4198"/>
      <c r="G4198"/>
      <c r="H4198"/>
      <c r="I4198"/>
      <c r="J4198"/>
    </row>
    <row r="4199" spans="1:10" s="2" customFormat="1">
      <c r="A4199" s="1"/>
      <c r="E4199"/>
      <c r="F4199"/>
      <c r="G4199"/>
      <c r="H4199"/>
      <c r="I4199"/>
      <c r="J4199"/>
    </row>
    <row r="4200" spans="1:10" s="2" customFormat="1">
      <c r="A4200" s="1"/>
      <c r="E4200"/>
      <c r="F4200"/>
      <c r="G4200"/>
      <c r="H4200"/>
      <c r="I4200"/>
      <c r="J4200"/>
    </row>
    <row r="4201" spans="1:10" s="2" customFormat="1">
      <c r="A4201" s="1"/>
      <c r="E4201"/>
      <c r="F4201"/>
      <c r="G4201"/>
      <c r="H4201"/>
      <c r="I4201"/>
      <c r="J4201"/>
    </row>
    <row r="4202" spans="1:10" s="2" customFormat="1">
      <c r="A4202" s="1"/>
      <c r="E4202"/>
      <c r="F4202"/>
      <c r="G4202"/>
      <c r="H4202"/>
      <c r="I4202"/>
      <c r="J4202"/>
    </row>
    <row r="4203" spans="1:10" s="2" customFormat="1">
      <c r="A4203" s="1"/>
      <c r="E4203"/>
      <c r="F4203"/>
      <c r="G4203"/>
      <c r="H4203"/>
      <c r="I4203"/>
      <c r="J4203"/>
    </row>
    <row r="4204" spans="1:10" s="2" customFormat="1">
      <c r="A4204" s="1"/>
      <c r="E4204"/>
      <c r="F4204"/>
      <c r="G4204"/>
      <c r="H4204"/>
      <c r="I4204"/>
      <c r="J4204"/>
    </row>
    <row r="4205" spans="1:10" s="2" customFormat="1">
      <c r="A4205" s="1"/>
      <c r="E4205"/>
      <c r="F4205"/>
      <c r="G4205"/>
      <c r="H4205"/>
      <c r="I4205"/>
      <c r="J4205"/>
    </row>
    <row r="4206" spans="1:10" s="2" customFormat="1">
      <c r="A4206" s="1"/>
      <c r="E4206"/>
      <c r="F4206"/>
      <c r="G4206"/>
      <c r="H4206"/>
      <c r="I4206"/>
      <c r="J4206"/>
    </row>
    <row r="4207" spans="1:10" s="2" customFormat="1">
      <c r="A4207" s="1"/>
      <c r="E4207"/>
      <c r="F4207"/>
      <c r="G4207"/>
      <c r="H4207"/>
      <c r="I4207"/>
      <c r="J4207"/>
    </row>
    <row r="4208" spans="1:10" s="2" customFormat="1">
      <c r="A4208" s="1"/>
      <c r="E4208"/>
      <c r="F4208"/>
      <c r="G4208"/>
      <c r="H4208"/>
      <c r="I4208"/>
      <c r="J4208"/>
    </row>
    <row r="4209" spans="1:10" s="2" customFormat="1">
      <c r="A4209" s="1"/>
      <c r="E4209"/>
      <c r="F4209"/>
      <c r="G4209"/>
      <c r="H4209"/>
      <c r="I4209"/>
      <c r="J4209"/>
    </row>
    <row r="4210" spans="1:10" s="2" customFormat="1">
      <c r="A4210" s="1"/>
      <c r="E4210"/>
      <c r="F4210"/>
      <c r="G4210"/>
      <c r="H4210"/>
      <c r="I4210"/>
      <c r="J4210"/>
    </row>
    <row r="4211" spans="1:10" s="2" customFormat="1">
      <c r="A4211" s="1"/>
      <c r="E4211"/>
      <c r="F4211"/>
      <c r="G4211"/>
      <c r="H4211"/>
      <c r="I4211"/>
      <c r="J4211"/>
    </row>
    <row r="4212" spans="1:10" s="2" customFormat="1">
      <c r="A4212" s="1"/>
      <c r="E4212"/>
      <c r="F4212"/>
      <c r="G4212"/>
      <c r="H4212"/>
      <c r="I4212"/>
      <c r="J4212"/>
    </row>
    <row r="4213" spans="1:10" s="2" customFormat="1">
      <c r="A4213" s="1"/>
      <c r="E4213"/>
      <c r="F4213"/>
      <c r="G4213"/>
      <c r="H4213"/>
      <c r="I4213"/>
      <c r="J4213"/>
    </row>
    <row r="4214" spans="1:10" s="2" customFormat="1">
      <c r="A4214" s="1"/>
      <c r="E4214"/>
      <c r="F4214"/>
      <c r="G4214"/>
      <c r="H4214"/>
      <c r="I4214"/>
      <c r="J4214"/>
    </row>
    <row r="4215" spans="1:10" s="2" customFormat="1">
      <c r="A4215" s="1"/>
      <c r="E4215"/>
      <c r="F4215"/>
      <c r="G4215"/>
      <c r="H4215"/>
      <c r="I4215"/>
      <c r="J4215"/>
    </row>
    <row r="4216" spans="1:10" s="2" customFormat="1">
      <c r="A4216" s="1"/>
      <c r="E4216"/>
      <c r="F4216"/>
      <c r="G4216"/>
      <c r="H4216"/>
      <c r="I4216"/>
      <c r="J4216"/>
    </row>
    <row r="4217" spans="1:10" s="2" customFormat="1">
      <c r="A4217" s="1"/>
      <c r="E4217"/>
      <c r="F4217"/>
      <c r="G4217"/>
      <c r="H4217"/>
      <c r="I4217"/>
      <c r="J4217"/>
    </row>
    <row r="4218" spans="1:10" s="2" customFormat="1">
      <c r="A4218" s="1"/>
      <c r="E4218"/>
      <c r="F4218"/>
      <c r="G4218"/>
      <c r="H4218"/>
      <c r="I4218"/>
      <c r="J4218"/>
    </row>
    <row r="4219" spans="1:10" s="2" customFormat="1">
      <c r="A4219" s="1"/>
      <c r="E4219"/>
      <c r="F4219"/>
      <c r="G4219"/>
      <c r="H4219"/>
      <c r="I4219"/>
      <c r="J4219"/>
    </row>
    <row r="4220" spans="1:10" s="2" customFormat="1">
      <c r="A4220" s="1"/>
      <c r="E4220"/>
      <c r="F4220"/>
      <c r="G4220"/>
      <c r="H4220"/>
      <c r="I4220"/>
      <c r="J4220"/>
    </row>
    <row r="4221" spans="1:10" s="2" customFormat="1">
      <c r="A4221" s="1"/>
      <c r="E4221"/>
      <c r="F4221"/>
      <c r="G4221"/>
      <c r="H4221"/>
      <c r="I4221"/>
      <c r="J4221"/>
    </row>
    <row r="4222" spans="1:10" s="2" customFormat="1">
      <c r="A4222" s="1"/>
      <c r="E4222"/>
      <c r="F4222"/>
      <c r="G4222"/>
      <c r="H4222"/>
      <c r="I4222"/>
      <c r="J4222"/>
    </row>
    <row r="4223" spans="1:10" s="2" customFormat="1">
      <c r="A4223" s="1"/>
      <c r="E4223"/>
      <c r="F4223"/>
      <c r="G4223"/>
      <c r="H4223"/>
      <c r="I4223"/>
      <c r="J4223"/>
    </row>
    <row r="4224" spans="1:10" s="2" customFormat="1">
      <c r="A4224" s="1"/>
      <c r="E4224"/>
      <c r="F4224"/>
      <c r="G4224"/>
      <c r="H4224"/>
      <c r="I4224"/>
      <c r="J4224"/>
    </row>
    <row r="4225" spans="1:10" s="2" customFormat="1">
      <c r="A4225" s="1"/>
      <c r="E4225"/>
      <c r="F4225"/>
      <c r="G4225"/>
      <c r="H4225"/>
      <c r="I4225"/>
      <c r="J4225"/>
    </row>
    <row r="4226" spans="1:10" s="2" customFormat="1">
      <c r="A4226" s="1"/>
      <c r="E4226"/>
      <c r="F4226"/>
      <c r="G4226"/>
      <c r="H4226"/>
      <c r="I4226"/>
      <c r="J4226"/>
    </row>
    <row r="4227" spans="1:10" s="2" customFormat="1">
      <c r="A4227" s="1"/>
      <c r="E4227"/>
      <c r="F4227"/>
      <c r="G4227"/>
      <c r="H4227"/>
      <c r="I4227"/>
      <c r="J4227"/>
    </row>
    <row r="4228" spans="1:10" s="2" customFormat="1">
      <c r="A4228" s="1"/>
      <c r="E4228"/>
      <c r="F4228"/>
      <c r="G4228"/>
      <c r="H4228"/>
      <c r="I4228"/>
      <c r="J4228"/>
    </row>
    <row r="4229" spans="1:10" s="2" customFormat="1">
      <c r="A4229" s="1"/>
      <c r="E4229"/>
      <c r="F4229"/>
      <c r="G4229"/>
      <c r="H4229"/>
      <c r="I4229"/>
      <c r="J4229"/>
    </row>
    <row r="4230" spans="1:10" s="2" customFormat="1">
      <c r="A4230" s="1"/>
      <c r="E4230"/>
      <c r="F4230"/>
      <c r="G4230"/>
      <c r="H4230"/>
      <c r="I4230"/>
      <c r="J4230"/>
    </row>
    <row r="4231" spans="1:10" s="2" customFormat="1">
      <c r="A4231" s="1"/>
      <c r="E4231"/>
      <c r="F4231"/>
      <c r="G4231"/>
      <c r="H4231"/>
      <c r="I4231"/>
      <c r="J4231"/>
    </row>
    <row r="4232" spans="1:10" s="2" customFormat="1">
      <c r="A4232" s="1"/>
      <c r="E4232"/>
      <c r="F4232"/>
      <c r="G4232"/>
      <c r="H4232"/>
      <c r="I4232"/>
      <c r="J4232"/>
    </row>
    <row r="4233" spans="1:10" s="2" customFormat="1">
      <c r="A4233" s="1"/>
      <c r="E4233"/>
      <c r="F4233"/>
      <c r="G4233"/>
      <c r="H4233"/>
      <c r="I4233"/>
      <c r="J4233"/>
    </row>
    <row r="4234" spans="1:10" s="2" customFormat="1">
      <c r="A4234" s="1"/>
      <c r="E4234"/>
      <c r="F4234"/>
      <c r="G4234"/>
      <c r="H4234"/>
      <c r="I4234"/>
      <c r="J4234"/>
    </row>
    <row r="4235" spans="1:10" s="2" customFormat="1">
      <c r="A4235" s="1"/>
      <c r="E4235"/>
      <c r="F4235"/>
      <c r="G4235"/>
      <c r="H4235"/>
      <c r="I4235"/>
      <c r="J4235"/>
    </row>
    <row r="4236" spans="1:10" s="2" customFormat="1">
      <c r="A4236" s="1"/>
      <c r="E4236"/>
      <c r="F4236"/>
      <c r="G4236"/>
      <c r="H4236"/>
      <c r="I4236"/>
      <c r="J4236"/>
    </row>
    <row r="4237" spans="1:10" s="2" customFormat="1">
      <c r="A4237" s="1"/>
      <c r="E4237"/>
      <c r="F4237"/>
      <c r="G4237"/>
      <c r="H4237"/>
      <c r="I4237"/>
      <c r="J4237"/>
    </row>
    <row r="4238" spans="1:10" s="2" customFormat="1">
      <c r="A4238" s="1"/>
      <c r="E4238"/>
      <c r="F4238"/>
      <c r="G4238"/>
      <c r="H4238"/>
      <c r="I4238"/>
      <c r="J4238"/>
    </row>
    <row r="4239" spans="1:10" s="2" customFormat="1">
      <c r="A4239" s="1"/>
      <c r="E4239"/>
      <c r="F4239"/>
      <c r="G4239"/>
      <c r="H4239"/>
      <c r="I4239"/>
      <c r="J4239"/>
    </row>
    <row r="4240" spans="1:10" s="2" customFormat="1">
      <c r="A4240" s="1"/>
      <c r="E4240"/>
      <c r="F4240"/>
      <c r="G4240"/>
      <c r="H4240"/>
      <c r="I4240"/>
      <c r="J4240"/>
    </row>
    <row r="4241" spans="1:10" s="2" customFormat="1">
      <c r="A4241" s="1"/>
      <c r="E4241"/>
      <c r="F4241"/>
      <c r="G4241"/>
      <c r="H4241"/>
      <c r="I4241"/>
      <c r="J4241"/>
    </row>
    <row r="4242" spans="1:10" s="2" customFormat="1">
      <c r="A4242" s="1"/>
      <c r="E4242"/>
      <c r="F4242"/>
      <c r="G4242"/>
      <c r="H4242"/>
      <c r="I4242"/>
      <c r="J4242"/>
    </row>
    <row r="4243" spans="1:10" s="2" customFormat="1">
      <c r="A4243" s="1"/>
      <c r="E4243"/>
      <c r="F4243"/>
      <c r="G4243"/>
      <c r="H4243"/>
      <c r="I4243"/>
      <c r="J4243"/>
    </row>
    <row r="4244" spans="1:10" s="2" customFormat="1">
      <c r="A4244" s="1"/>
      <c r="E4244"/>
      <c r="F4244"/>
      <c r="G4244"/>
      <c r="H4244"/>
      <c r="I4244"/>
      <c r="J4244"/>
    </row>
    <row r="4245" spans="1:10" s="2" customFormat="1">
      <c r="A4245" s="1"/>
      <c r="E4245"/>
      <c r="F4245"/>
      <c r="G4245"/>
      <c r="H4245"/>
      <c r="I4245"/>
      <c r="J4245"/>
    </row>
    <row r="4246" spans="1:10" s="2" customFormat="1">
      <c r="A4246" s="1"/>
      <c r="E4246"/>
      <c r="F4246"/>
      <c r="G4246"/>
      <c r="H4246"/>
      <c r="I4246"/>
      <c r="J4246"/>
    </row>
    <row r="4247" spans="1:10" s="2" customFormat="1">
      <c r="A4247" s="1"/>
      <c r="E4247"/>
      <c r="F4247"/>
      <c r="G4247"/>
      <c r="H4247"/>
      <c r="I4247"/>
      <c r="J4247"/>
    </row>
    <row r="4248" spans="1:10" s="2" customFormat="1">
      <c r="A4248" s="1"/>
      <c r="E4248"/>
      <c r="F4248"/>
      <c r="G4248"/>
      <c r="H4248"/>
      <c r="I4248"/>
      <c r="J4248"/>
    </row>
    <row r="4249" spans="1:10" s="2" customFormat="1">
      <c r="A4249" s="1"/>
      <c r="E4249"/>
      <c r="F4249"/>
      <c r="G4249"/>
      <c r="H4249"/>
      <c r="I4249"/>
      <c r="J4249"/>
    </row>
    <row r="4250" spans="1:10" s="2" customFormat="1">
      <c r="A4250" s="1"/>
      <c r="E4250"/>
      <c r="F4250"/>
      <c r="G4250"/>
      <c r="H4250"/>
      <c r="I4250"/>
      <c r="J4250"/>
    </row>
    <row r="4251" spans="1:10" s="2" customFormat="1">
      <c r="A4251" s="1"/>
      <c r="E4251"/>
      <c r="F4251"/>
      <c r="G4251"/>
      <c r="H4251"/>
      <c r="I4251"/>
      <c r="J4251"/>
    </row>
    <row r="4252" spans="1:10" s="2" customFormat="1">
      <c r="A4252" s="1"/>
      <c r="E4252"/>
      <c r="F4252"/>
      <c r="G4252"/>
      <c r="H4252"/>
      <c r="I4252"/>
      <c r="J4252"/>
    </row>
    <row r="4253" spans="1:10" s="2" customFormat="1">
      <c r="A4253" s="1"/>
      <c r="E4253"/>
      <c r="F4253"/>
      <c r="G4253"/>
      <c r="H4253"/>
      <c r="I4253"/>
      <c r="J4253"/>
    </row>
    <row r="4254" spans="1:10" s="2" customFormat="1">
      <c r="A4254" s="1"/>
      <c r="E4254"/>
      <c r="F4254"/>
      <c r="G4254"/>
      <c r="H4254"/>
      <c r="I4254"/>
      <c r="J4254"/>
    </row>
    <row r="4255" spans="1:10" s="2" customFormat="1">
      <c r="A4255" s="1"/>
      <c r="E4255"/>
      <c r="F4255"/>
      <c r="G4255"/>
      <c r="H4255"/>
      <c r="I4255"/>
      <c r="J4255"/>
    </row>
    <row r="4256" spans="1:10" s="2" customFormat="1">
      <c r="A4256" s="1"/>
      <c r="E4256"/>
      <c r="F4256"/>
      <c r="G4256"/>
      <c r="H4256"/>
      <c r="I4256"/>
      <c r="J4256"/>
    </row>
    <row r="4257" spans="1:10" s="2" customFormat="1">
      <c r="A4257" s="1"/>
      <c r="E4257"/>
      <c r="F4257"/>
      <c r="G4257"/>
      <c r="H4257"/>
      <c r="I4257"/>
      <c r="J4257"/>
    </row>
    <row r="4258" spans="1:10" s="2" customFormat="1">
      <c r="A4258" s="1"/>
      <c r="E4258"/>
      <c r="F4258"/>
      <c r="G4258"/>
      <c r="H4258"/>
      <c r="I4258"/>
      <c r="J4258"/>
    </row>
    <row r="4259" spans="1:10" s="2" customFormat="1">
      <c r="A4259" s="1"/>
      <c r="E4259"/>
      <c r="F4259"/>
      <c r="G4259"/>
      <c r="H4259"/>
      <c r="I4259"/>
      <c r="J4259"/>
    </row>
    <row r="4260" spans="1:10" s="2" customFormat="1">
      <c r="A4260" s="1"/>
      <c r="E4260"/>
      <c r="F4260"/>
      <c r="G4260"/>
      <c r="H4260"/>
      <c r="I4260"/>
      <c r="J4260"/>
    </row>
    <row r="4261" spans="1:10" s="2" customFormat="1">
      <c r="A4261" s="1"/>
      <c r="E4261"/>
      <c r="F4261"/>
      <c r="G4261"/>
      <c r="H4261"/>
      <c r="I4261"/>
      <c r="J4261"/>
    </row>
    <row r="4262" spans="1:10" s="2" customFormat="1">
      <c r="A4262" s="1"/>
      <c r="E4262"/>
      <c r="F4262"/>
      <c r="G4262"/>
      <c r="H4262"/>
      <c r="I4262"/>
      <c r="J4262"/>
    </row>
    <row r="4263" spans="1:10" s="2" customFormat="1">
      <c r="A4263" s="1"/>
      <c r="E4263"/>
      <c r="F4263"/>
      <c r="G4263"/>
      <c r="H4263"/>
      <c r="I4263"/>
      <c r="J4263"/>
    </row>
    <row r="4264" spans="1:10" s="2" customFormat="1">
      <c r="A4264" s="1"/>
      <c r="E4264"/>
      <c r="F4264"/>
      <c r="G4264"/>
      <c r="H4264"/>
      <c r="I4264"/>
      <c r="J4264"/>
    </row>
    <row r="4265" spans="1:10" s="2" customFormat="1">
      <c r="A4265" s="1"/>
      <c r="E4265"/>
      <c r="F4265"/>
      <c r="G4265"/>
      <c r="H4265"/>
      <c r="I4265"/>
      <c r="J4265"/>
    </row>
    <row r="4266" spans="1:10" s="2" customFormat="1">
      <c r="A4266" s="1"/>
      <c r="E4266"/>
      <c r="F4266"/>
      <c r="G4266"/>
      <c r="H4266"/>
      <c r="I4266"/>
      <c r="J4266"/>
    </row>
    <row r="4267" spans="1:10" s="2" customFormat="1">
      <c r="A4267" s="1"/>
      <c r="E4267"/>
      <c r="F4267"/>
      <c r="G4267"/>
      <c r="H4267"/>
      <c r="I4267"/>
      <c r="J4267"/>
    </row>
    <row r="4268" spans="1:10" s="2" customFormat="1">
      <c r="A4268" s="1"/>
      <c r="E4268"/>
      <c r="F4268"/>
      <c r="G4268"/>
      <c r="H4268"/>
      <c r="I4268"/>
      <c r="J4268"/>
    </row>
    <row r="4269" spans="1:10" s="2" customFormat="1">
      <c r="A4269" s="1"/>
      <c r="E4269"/>
      <c r="F4269"/>
      <c r="G4269"/>
      <c r="H4269"/>
      <c r="I4269"/>
      <c r="J4269"/>
    </row>
    <row r="4270" spans="1:10" s="2" customFormat="1">
      <c r="A4270" s="1"/>
      <c r="E4270"/>
      <c r="F4270"/>
      <c r="G4270"/>
      <c r="H4270"/>
      <c r="I4270"/>
      <c r="J4270"/>
    </row>
    <row r="4271" spans="1:10" s="2" customFormat="1">
      <c r="A4271" s="1"/>
      <c r="E4271"/>
      <c r="F4271"/>
      <c r="G4271"/>
      <c r="H4271"/>
      <c r="I4271"/>
      <c r="J4271"/>
    </row>
    <row r="4272" spans="1:10" s="2" customFormat="1">
      <c r="A4272" s="1"/>
      <c r="E4272"/>
      <c r="F4272"/>
      <c r="G4272"/>
      <c r="H4272"/>
      <c r="I4272"/>
      <c r="J4272"/>
    </row>
    <row r="4273" spans="1:10" s="2" customFormat="1">
      <c r="A4273" s="1"/>
      <c r="E4273"/>
      <c r="F4273"/>
      <c r="G4273"/>
      <c r="H4273"/>
      <c r="I4273"/>
      <c r="J4273"/>
    </row>
    <row r="4274" spans="1:10" s="2" customFormat="1">
      <c r="A4274" s="1"/>
      <c r="E4274"/>
      <c r="F4274"/>
      <c r="G4274"/>
      <c r="H4274"/>
      <c r="I4274"/>
      <c r="J4274"/>
    </row>
    <row r="4275" spans="1:10" s="2" customFormat="1">
      <c r="A4275" s="1"/>
      <c r="E4275"/>
      <c r="F4275"/>
      <c r="G4275"/>
      <c r="H4275"/>
      <c r="I4275"/>
      <c r="J4275"/>
    </row>
    <row r="4276" spans="1:10" s="2" customFormat="1">
      <c r="A4276" s="1"/>
      <c r="E4276"/>
      <c r="F4276"/>
      <c r="G4276"/>
      <c r="H4276"/>
      <c r="I4276"/>
      <c r="J4276"/>
    </row>
    <row r="4277" spans="1:10" s="2" customFormat="1">
      <c r="A4277" s="1"/>
      <c r="E4277"/>
      <c r="F4277"/>
      <c r="G4277"/>
      <c r="H4277"/>
      <c r="I4277"/>
      <c r="J4277"/>
    </row>
    <row r="4278" spans="1:10" s="2" customFormat="1">
      <c r="A4278" s="1"/>
      <c r="E4278"/>
      <c r="F4278"/>
      <c r="G4278"/>
      <c r="H4278"/>
      <c r="I4278"/>
      <c r="J4278"/>
    </row>
    <row r="4279" spans="1:10" s="2" customFormat="1">
      <c r="A4279" s="1"/>
      <c r="E4279"/>
      <c r="F4279"/>
      <c r="G4279"/>
      <c r="H4279"/>
      <c r="I4279"/>
      <c r="J4279"/>
    </row>
    <row r="4280" spans="1:10" s="2" customFormat="1">
      <c r="A4280" s="1"/>
      <c r="E4280"/>
      <c r="F4280"/>
      <c r="G4280"/>
      <c r="H4280"/>
      <c r="I4280"/>
      <c r="J4280"/>
    </row>
    <row r="4281" spans="1:10" s="2" customFormat="1">
      <c r="A4281" s="1"/>
      <c r="E4281"/>
      <c r="F4281"/>
      <c r="G4281"/>
      <c r="H4281"/>
      <c r="I4281"/>
      <c r="J4281"/>
    </row>
    <row r="4282" spans="1:10" s="2" customFormat="1">
      <c r="A4282" s="1"/>
      <c r="E4282"/>
      <c r="F4282"/>
      <c r="G4282"/>
      <c r="H4282"/>
      <c r="I4282"/>
      <c r="J4282"/>
    </row>
    <row r="4283" spans="1:10" s="2" customFormat="1">
      <c r="A4283" s="1"/>
      <c r="E4283"/>
      <c r="F4283"/>
      <c r="G4283"/>
      <c r="H4283"/>
      <c r="I4283"/>
      <c r="J4283"/>
    </row>
    <row r="4284" spans="1:10" s="2" customFormat="1">
      <c r="A4284" s="1"/>
      <c r="E4284"/>
      <c r="F4284"/>
      <c r="G4284"/>
      <c r="H4284"/>
      <c r="I4284"/>
      <c r="J4284"/>
    </row>
    <row r="4285" spans="1:10" s="2" customFormat="1">
      <c r="A4285" s="1"/>
      <c r="E4285"/>
      <c r="F4285"/>
      <c r="G4285"/>
      <c r="H4285"/>
      <c r="I4285"/>
      <c r="J4285"/>
    </row>
    <row r="4286" spans="1:10" s="2" customFormat="1">
      <c r="A4286" s="1"/>
      <c r="E4286"/>
      <c r="F4286"/>
      <c r="G4286"/>
      <c r="H4286"/>
      <c r="I4286"/>
      <c r="J4286"/>
    </row>
    <row r="4287" spans="1:10" s="2" customFormat="1">
      <c r="A4287" s="1"/>
      <c r="E4287"/>
      <c r="F4287"/>
      <c r="G4287"/>
      <c r="H4287"/>
      <c r="I4287"/>
      <c r="J4287"/>
    </row>
    <row r="4288" spans="1:10" s="2" customFormat="1">
      <c r="A4288" s="1"/>
      <c r="E4288"/>
      <c r="F4288"/>
      <c r="G4288"/>
      <c r="H4288"/>
      <c r="I4288"/>
      <c r="J4288"/>
    </row>
    <row r="4289" spans="1:10" s="2" customFormat="1">
      <c r="A4289" s="1"/>
      <c r="E4289"/>
      <c r="F4289"/>
      <c r="G4289"/>
      <c r="H4289"/>
      <c r="I4289"/>
      <c r="J4289"/>
    </row>
    <row r="4290" spans="1:10" s="2" customFormat="1">
      <c r="A4290" s="1"/>
      <c r="E4290"/>
      <c r="F4290"/>
      <c r="G4290"/>
      <c r="H4290"/>
      <c r="I4290"/>
      <c r="J4290"/>
    </row>
    <row r="4291" spans="1:10" s="2" customFormat="1">
      <c r="A4291" s="1"/>
      <c r="E4291"/>
      <c r="F4291"/>
      <c r="G4291"/>
      <c r="H4291"/>
      <c r="I4291"/>
      <c r="J4291"/>
    </row>
    <row r="4292" spans="1:10" s="2" customFormat="1">
      <c r="A4292" s="1"/>
      <c r="E4292"/>
      <c r="F4292"/>
      <c r="G4292"/>
      <c r="H4292"/>
      <c r="I4292"/>
      <c r="J4292"/>
    </row>
    <row r="4293" spans="1:10" s="2" customFormat="1">
      <c r="A4293" s="1"/>
      <c r="E4293"/>
      <c r="F4293"/>
      <c r="G4293"/>
      <c r="H4293"/>
      <c r="I4293"/>
      <c r="J4293"/>
    </row>
    <row r="4294" spans="1:10" s="2" customFormat="1">
      <c r="A4294" s="1"/>
      <c r="E4294"/>
      <c r="F4294"/>
      <c r="G4294"/>
      <c r="H4294"/>
      <c r="I4294"/>
      <c r="J4294"/>
    </row>
    <row r="4295" spans="1:10" s="2" customFormat="1">
      <c r="A4295" s="1"/>
      <c r="E4295"/>
      <c r="F4295"/>
      <c r="G4295"/>
      <c r="H4295"/>
      <c r="I4295"/>
      <c r="J4295"/>
    </row>
    <row r="4296" spans="1:10" s="2" customFormat="1">
      <c r="A4296" s="1"/>
      <c r="E4296"/>
      <c r="F4296"/>
      <c r="G4296"/>
      <c r="H4296"/>
      <c r="I4296"/>
      <c r="J4296"/>
    </row>
    <row r="4297" spans="1:10" s="2" customFormat="1">
      <c r="A4297" s="1"/>
      <c r="E4297"/>
      <c r="F4297"/>
      <c r="G4297"/>
      <c r="H4297"/>
      <c r="I4297"/>
      <c r="J4297"/>
    </row>
    <row r="4298" spans="1:10" s="2" customFormat="1">
      <c r="A4298" s="1"/>
      <c r="E4298"/>
      <c r="F4298"/>
      <c r="G4298"/>
      <c r="H4298"/>
      <c r="I4298"/>
      <c r="J4298"/>
    </row>
    <row r="4299" spans="1:10" s="2" customFormat="1">
      <c r="A4299" s="1"/>
      <c r="E4299"/>
      <c r="F4299"/>
      <c r="G4299"/>
      <c r="H4299"/>
      <c r="I4299"/>
      <c r="J4299"/>
    </row>
    <row r="4300" spans="1:10" s="2" customFormat="1">
      <c r="A4300" s="1"/>
      <c r="E4300"/>
      <c r="F4300"/>
      <c r="G4300"/>
      <c r="H4300"/>
      <c r="I4300"/>
      <c r="J4300"/>
    </row>
    <row r="4301" spans="1:10" s="2" customFormat="1">
      <c r="A4301" s="1"/>
      <c r="E4301"/>
      <c r="F4301"/>
      <c r="G4301"/>
      <c r="H4301"/>
      <c r="I4301"/>
      <c r="J4301"/>
    </row>
    <row r="4302" spans="1:10" s="2" customFormat="1">
      <c r="A4302" s="1"/>
      <c r="E4302"/>
      <c r="F4302"/>
      <c r="G4302"/>
      <c r="H4302"/>
      <c r="I4302"/>
      <c r="J4302"/>
    </row>
    <row r="4303" spans="1:10" s="2" customFormat="1">
      <c r="A4303" s="1"/>
      <c r="E4303"/>
      <c r="F4303"/>
      <c r="G4303"/>
      <c r="H4303"/>
      <c r="I4303"/>
      <c r="J4303"/>
    </row>
    <row r="4304" spans="1:10" s="2" customFormat="1">
      <c r="A4304" s="1"/>
      <c r="E4304"/>
      <c r="F4304"/>
      <c r="G4304"/>
      <c r="H4304"/>
      <c r="I4304"/>
      <c r="J4304"/>
    </row>
    <row r="4305" spans="1:10" s="2" customFormat="1">
      <c r="A4305" s="1"/>
      <c r="E4305"/>
      <c r="F4305"/>
      <c r="G4305"/>
      <c r="H4305"/>
      <c r="I4305"/>
      <c r="J4305"/>
    </row>
    <row r="4306" spans="1:10" s="2" customFormat="1">
      <c r="A4306" s="1"/>
      <c r="E4306"/>
      <c r="F4306"/>
      <c r="G4306"/>
      <c r="H4306"/>
      <c r="I4306"/>
      <c r="J4306"/>
    </row>
    <row r="4307" spans="1:10" s="2" customFormat="1">
      <c r="A4307" s="1"/>
      <c r="E4307"/>
      <c r="F4307"/>
      <c r="G4307"/>
      <c r="H4307"/>
      <c r="I4307"/>
      <c r="J4307"/>
    </row>
    <row r="4308" spans="1:10" s="2" customFormat="1">
      <c r="A4308" s="1"/>
      <c r="E4308"/>
      <c r="F4308"/>
      <c r="G4308"/>
      <c r="H4308"/>
      <c r="I4308"/>
      <c r="J4308"/>
    </row>
    <row r="4309" spans="1:10" s="2" customFormat="1">
      <c r="A4309" s="1"/>
      <c r="E4309"/>
      <c r="F4309"/>
      <c r="G4309"/>
      <c r="H4309"/>
      <c r="I4309"/>
      <c r="J4309"/>
    </row>
    <row r="4310" spans="1:10" s="2" customFormat="1">
      <c r="A4310" s="1"/>
      <c r="E4310"/>
      <c r="F4310"/>
      <c r="G4310"/>
      <c r="H4310"/>
      <c r="I4310"/>
      <c r="J4310"/>
    </row>
    <row r="4311" spans="1:10" s="2" customFormat="1">
      <c r="A4311" s="1"/>
      <c r="E4311"/>
      <c r="F4311"/>
      <c r="G4311"/>
      <c r="H4311"/>
      <c r="I4311"/>
      <c r="J4311"/>
    </row>
    <row r="4312" spans="1:10" s="2" customFormat="1">
      <c r="A4312" s="1"/>
      <c r="E4312"/>
      <c r="F4312"/>
      <c r="G4312"/>
      <c r="H4312"/>
      <c r="I4312"/>
      <c r="J4312"/>
    </row>
    <row r="4313" spans="1:10" s="2" customFormat="1">
      <c r="A4313" s="1"/>
      <c r="E4313"/>
      <c r="F4313"/>
      <c r="G4313"/>
      <c r="H4313"/>
      <c r="I4313"/>
      <c r="J4313"/>
    </row>
    <row r="4314" spans="1:10" s="2" customFormat="1">
      <c r="A4314" s="1"/>
      <c r="E4314"/>
      <c r="F4314"/>
      <c r="G4314"/>
      <c r="H4314"/>
      <c r="I4314"/>
      <c r="J4314"/>
    </row>
    <row r="4315" spans="1:10" s="2" customFormat="1">
      <c r="A4315" s="1"/>
      <c r="E4315"/>
      <c r="F4315"/>
      <c r="G4315"/>
      <c r="H4315"/>
      <c r="I4315"/>
      <c r="J4315"/>
    </row>
    <row r="4316" spans="1:10" s="2" customFormat="1">
      <c r="A4316" s="1"/>
      <c r="E4316"/>
      <c r="F4316"/>
      <c r="G4316"/>
      <c r="H4316"/>
      <c r="I4316"/>
      <c r="J4316"/>
    </row>
    <row r="4317" spans="1:10" s="2" customFormat="1">
      <c r="A4317" s="1"/>
      <c r="E4317"/>
      <c r="F4317"/>
      <c r="G4317"/>
      <c r="H4317"/>
      <c r="I4317"/>
      <c r="J4317"/>
    </row>
    <row r="4318" spans="1:10" s="2" customFormat="1">
      <c r="A4318" s="1"/>
      <c r="E4318"/>
      <c r="F4318"/>
      <c r="G4318"/>
      <c r="H4318"/>
      <c r="I4318"/>
      <c r="J4318"/>
    </row>
    <row r="4319" spans="1:10" s="2" customFormat="1">
      <c r="A4319" s="1"/>
      <c r="E4319"/>
      <c r="F4319"/>
      <c r="G4319"/>
      <c r="H4319"/>
      <c r="I4319"/>
      <c r="J4319"/>
    </row>
    <row r="4320" spans="1:10" s="2" customFormat="1">
      <c r="A4320" s="1"/>
      <c r="E4320"/>
      <c r="F4320"/>
      <c r="G4320"/>
      <c r="H4320"/>
      <c r="I4320"/>
      <c r="J4320"/>
    </row>
    <row r="4321" spans="1:10" s="2" customFormat="1">
      <c r="A4321" s="1"/>
      <c r="E4321"/>
      <c r="F4321"/>
      <c r="G4321"/>
      <c r="H4321"/>
      <c r="I4321"/>
      <c r="J4321"/>
    </row>
    <row r="4322" spans="1:10" s="2" customFormat="1">
      <c r="A4322" s="1"/>
      <c r="E4322"/>
      <c r="F4322"/>
      <c r="G4322"/>
      <c r="H4322"/>
      <c r="I4322"/>
      <c r="J4322"/>
    </row>
    <row r="4323" spans="1:10" s="2" customFormat="1">
      <c r="A4323" s="1"/>
      <c r="E4323"/>
      <c r="F4323"/>
      <c r="G4323"/>
      <c r="H4323"/>
      <c r="I4323"/>
      <c r="J4323"/>
    </row>
    <row r="4324" spans="1:10" s="2" customFormat="1">
      <c r="A4324" s="1"/>
      <c r="E4324"/>
      <c r="F4324"/>
      <c r="G4324"/>
      <c r="H4324"/>
      <c r="I4324"/>
      <c r="J4324"/>
    </row>
    <row r="4325" spans="1:10" s="2" customFormat="1">
      <c r="A4325" s="1"/>
      <c r="E4325"/>
      <c r="F4325"/>
      <c r="G4325"/>
      <c r="H4325"/>
      <c r="I4325"/>
      <c r="J4325"/>
    </row>
    <row r="4326" spans="1:10" s="2" customFormat="1">
      <c r="A4326" s="1"/>
      <c r="E4326"/>
      <c r="F4326"/>
      <c r="G4326"/>
      <c r="H4326"/>
      <c r="I4326"/>
      <c r="J4326"/>
    </row>
    <row r="4327" spans="1:10" s="2" customFormat="1">
      <c r="A4327" s="1"/>
      <c r="E4327"/>
      <c r="F4327"/>
      <c r="G4327"/>
      <c r="H4327"/>
      <c r="I4327"/>
      <c r="J4327"/>
    </row>
    <row r="4328" spans="1:10" s="2" customFormat="1">
      <c r="A4328" s="1"/>
      <c r="E4328"/>
      <c r="F4328"/>
      <c r="G4328"/>
      <c r="H4328"/>
      <c r="I4328"/>
      <c r="J4328"/>
    </row>
    <row r="4329" spans="1:10" s="2" customFormat="1">
      <c r="A4329" s="1"/>
      <c r="E4329"/>
      <c r="F4329"/>
      <c r="G4329"/>
      <c r="H4329"/>
      <c r="I4329"/>
      <c r="J4329"/>
    </row>
    <row r="4330" spans="1:10" s="2" customFormat="1">
      <c r="A4330" s="1"/>
      <c r="E4330"/>
      <c r="F4330"/>
      <c r="G4330"/>
      <c r="H4330"/>
      <c r="I4330"/>
      <c r="J4330"/>
    </row>
    <row r="4331" spans="1:10" s="2" customFormat="1">
      <c r="A4331" s="1"/>
      <c r="E4331"/>
      <c r="F4331"/>
      <c r="G4331"/>
      <c r="H4331"/>
      <c r="I4331"/>
      <c r="J4331"/>
    </row>
    <row r="4332" spans="1:10" s="2" customFormat="1">
      <c r="A4332" s="1"/>
      <c r="E4332"/>
      <c r="F4332"/>
      <c r="G4332"/>
      <c r="H4332"/>
      <c r="I4332"/>
      <c r="J4332"/>
    </row>
    <row r="4333" spans="1:10" s="2" customFormat="1">
      <c r="A4333" s="1"/>
      <c r="E4333"/>
      <c r="F4333"/>
      <c r="G4333"/>
      <c r="H4333"/>
      <c r="I4333"/>
      <c r="J4333"/>
    </row>
    <row r="4334" spans="1:10" s="2" customFormat="1">
      <c r="A4334" s="1"/>
      <c r="E4334"/>
      <c r="F4334"/>
      <c r="G4334"/>
      <c r="H4334"/>
      <c r="I4334"/>
      <c r="J4334"/>
    </row>
    <row r="4335" spans="1:10" s="2" customFormat="1">
      <c r="A4335" s="1"/>
      <c r="E4335"/>
      <c r="F4335"/>
      <c r="G4335"/>
      <c r="H4335"/>
      <c r="I4335"/>
      <c r="J4335"/>
    </row>
    <row r="4336" spans="1:10" s="2" customFormat="1">
      <c r="A4336" s="1"/>
      <c r="E4336"/>
      <c r="F4336"/>
      <c r="G4336"/>
      <c r="H4336"/>
      <c r="I4336"/>
      <c r="J4336"/>
    </row>
    <row r="4337" spans="1:10" s="2" customFormat="1">
      <c r="A4337" s="1"/>
      <c r="E4337"/>
      <c r="F4337"/>
      <c r="G4337"/>
      <c r="H4337"/>
      <c r="I4337"/>
      <c r="J4337"/>
    </row>
    <row r="4338" spans="1:10" s="2" customFormat="1">
      <c r="A4338" s="1"/>
      <c r="E4338"/>
      <c r="F4338"/>
      <c r="G4338"/>
      <c r="H4338"/>
      <c r="I4338"/>
      <c r="J4338"/>
    </row>
    <row r="4339" spans="1:10" s="2" customFormat="1">
      <c r="A4339" s="1"/>
      <c r="E4339"/>
      <c r="F4339"/>
      <c r="G4339"/>
      <c r="H4339"/>
      <c r="I4339"/>
      <c r="J4339"/>
    </row>
    <row r="4340" spans="1:10" s="2" customFormat="1">
      <c r="A4340" s="1"/>
      <c r="E4340"/>
      <c r="F4340"/>
      <c r="G4340"/>
      <c r="H4340"/>
      <c r="I4340"/>
      <c r="J4340"/>
    </row>
    <row r="4341" spans="1:10" s="2" customFormat="1">
      <c r="A4341" s="1"/>
      <c r="E4341"/>
      <c r="F4341"/>
      <c r="G4341"/>
      <c r="H4341"/>
      <c r="I4341"/>
      <c r="J4341"/>
    </row>
    <row r="4342" spans="1:10" s="2" customFormat="1">
      <c r="A4342" s="1"/>
      <c r="E4342"/>
      <c r="F4342"/>
      <c r="G4342"/>
      <c r="H4342"/>
      <c r="I4342"/>
      <c r="J4342"/>
    </row>
    <row r="4343" spans="1:10" s="2" customFormat="1">
      <c r="A4343" s="1"/>
      <c r="E4343"/>
      <c r="F4343"/>
      <c r="G4343"/>
      <c r="H4343"/>
      <c r="I4343"/>
      <c r="J4343"/>
    </row>
    <row r="4344" spans="1:10" s="2" customFormat="1">
      <c r="A4344" s="1"/>
      <c r="E4344"/>
      <c r="F4344"/>
      <c r="G4344"/>
      <c r="H4344"/>
      <c r="I4344"/>
      <c r="J4344"/>
    </row>
    <row r="4345" spans="1:10" s="2" customFormat="1">
      <c r="A4345" s="1"/>
      <c r="E4345"/>
      <c r="F4345"/>
      <c r="G4345"/>
      <c r="H4345"/>
      <c r="I4345"/>
      <c r="J4345"/>
    </row>
    <row r="4346" spans="1:10" s="2" customFormat="1">
      <c r="A4346" s="1"/>
      <c r="E4346"/>
      <c r="F4346"/>
      <c r="G4346"/>
      <c r="H4346"/>
      <c r="I4346"/>
      <c r="J4346"/>
    </row>
    <row r="4347" spans="1:10" s="2" customFormat="1">
      <c r="A4347" s="1"/>
      <c r="E4347"/>
      <c r="F4347"/>
      <c r="G4347"/>
      <c r="H4347"/>
      <c r="I4347"/>
      <c r="J4347"/>
    </row>
    <row r="4348" spans="1:10" s="2" customFormat="1">
      <c r="A4348" s="1"/>
      <c r="E4348"/>
      <c r="F4348"/>
      <c r="G4348"/>
      <c r="H4348"/>
      <c r="I4348"/>
      <c r="J4348"/>
    </row>
    <row r="4349" spans="1:10" s="2" customFormat="1">
      <c r="A4349" s="1"/>
      <c r="E4349"/>
      <c r="F4349"/>
      <c r="G4349"/>
      <c r="H4349"/>
      <c r="I4349"/>
      <c r="J4349"/>
    </row>
    <row r="4350" spans="1:10" s="2" customFormat="1">
      <c r="A4350" s="1"/>
      <c r="E4350"/>
      <c r="F4350"/>
      <c r="G4350"/>
      <c r="H4350"/>
      <c r="I4350"/>
      <c r="J4350"/>
    </row>
    <row r="4351" spans="1:10" s="2" customFormat="1">
      <c r="A4351" s="1"/>
      <c r="E4351"/>
      <c r="F4351"/>
      <c r="G4351"/>
      <c r="H4351"/>
      <c r="I4351"/>
      <c r="J4351"/>
    </row>
    <row r="4352" spans="1:10" s="2" customFormat="1">
      <c r="A4352" s="1"/>
      <c r="E4352"/>
      <c r="F4352"/>
      <c r="G4352"/>
      <c r="H4352"/>
      <c r="I4352"/>
      <c r="J4352"/>
    </row>
    <row r="4353" spans="1:10" s="2" customFormat="1">
      <c r="A4353" s="1"/>
      <c r="E4353"/>
      <c r="F4353"/>
      <c r="G4353"/>
      <c r="H4353"/>
      <c r="I4353"/>
      <c r="J4353"/>
    </row>
    <row r="4354" spans="1:10" s="2" customFormat="1">
      <c r="A4354" s="1"/>
      <c r="E4354"/>
      <c r="F4354"/>
      <c r="G4354"/>
      <c r="H4354"/>
      <c r="I4354"/>
      <c r="J4354"/>
    </row>
    <row r="4355" spans="1:10" s="2" customFormat="1">
      <c r="A4355" s="1"/>
      <c r="E4355"/>
      <c r="F4355"/>
      <c r="G4355"/>
      <c r="H4355"/>
      <c r="I4355"/>
      <c r="J4355"/>
    </row>
    <row r="4356" spans="1:10" s="2" customFormat="1">
      <c r="A4356" s="1"/>
      <c r="E4356"/>
      <c r="F4356"/>
      <c r="G4356"/>
      <c r="H4356"/>
      <c r="I4356"/>
      <c r="J4356"/>
    </row>
    <row r="4357" spans="1:10" s="2" customFormat="1">
      <c r="A4357" s="1"/>
      <c r="E4357"/>
      <c r="F4357"/>
      <c r="G4357"/>
      <c r="H4357"/>
      <c r="I4357"/>
      <c r="J4357"/>
    </row>
    <row r="4358" spans="1:10" s="2" customFormat="1">
      <c r="A4358" s="1"/>
      <c r="E4358"/>
      <c r="F4358"/>
      <c r="G4358"/>
      <c r="H4358"/>
      <c r="I4358"/>
      <c r="J4358"/>
    </row>
    <row r="4359" spans="1:10" s="2" customFormat="1">
      <c r="A4359" s="1"/>
      <c r="E4359"/>
      <c r="F4359"/>
      <c r="G4359"/>
      <c r="H4359"/>
      <c r="I4359"/>
      <c r="J4359"/>
    </row>
    <row r="4360" spans="1:10" s="2" customFormat="1">
      <c r="A4360" s="1"/>
      <c r="E4360"/>
      <c r="F4360"/>
      <c r="G4360"/>
      <c r="H4360"/>
      <c r="I4360"/>
      <c r="J4360"/>
    </row>
    <row r="4361" spans="1:10" s="2" customFormat="1">
      <c r="A4361" s="1"/>
      <c r="E4361"/>
      <c r="F4361"/>
      <c r="G4361"/>
      <c r="H4361"/>
      <c r="I4361"/>
      <c r="J4361"/>
    </row>
    <row r="4362" spans="1:10" s="2" customFormat="1">
      <c r="A4362" s="1"/>
      <c r="E4362"/>
      <c r="F4362"/>
      <c r="G4362"/>
      <c r="H4362"/>
      <c r="I4362"/>
      <c r="J4362"/>
    </row>
    <row r="4363" spans="1:10" s="2" customFormat="1">
      <c r="A4363" s="1"/>
      <c r="E4363"/>
      <c r="F4363"/>
      <c r="G4363"/>
      <c r="H4363"/>
      <c r="I4363"/>
      <c r="J4363"/>
    </row>
    <row r="4364" spans="1:10" s="2" customFormat="1">
      <c r="A4364" s="1"/>
      <c r="E4364"/>
      <c r="F4364"/>
      <c r="G4364"/>
      <c r="H4364"/>
      <c r="I4364"/>
      <c r="J4364"/>
    </row>
    <row r="4365" spans="1:10" s="2" customFormat="1">
      <c r="A4365" s="1"/>
      <c r="E4365"/>
      <c r="F4365"/>
      <c r="G4365"/>
      <c r="H4365"/>
      <c r="I4365"/>
      <c r="J4365"/>
    </row>
    <row r="4366" spans="1:10" s="2" customFormat="1">
      <c r="A4366" s="1"/>
      <c r="E4366"/>
      <c r="F4366"/>
      <c r="G4366"/>
      <c r="H4366"/>
      <c r="I4366"/>
      <c r="J4366"/>
    </row>
    <row r="4367" spans="1:10" s="2" customFormat="1">
      <c r="A4367" s="1"/>
      <c r="E4367"/>
      <c r="F4367"/>
      <c r="G4367"/>
      <c r="H4367"/>
      <c r="I4367"/>
      <c r="J4367"/>
    </row>
    <row r="4368" spans="1:10" s="2" customFormat="1">
      <c r="A4368" s="1"/>
      <c r="E4368"/>
      <c r="F4368"/>
      <c r="G4368"/>
      <c r="H4368"/>
      <c r="I4368"/>
      <c r="J4368"/>
    </row>
    <row r="4369" spans="1:10" s="2" customFormat="1">
      <c r="A4369" s="1"/>
      <c r="E4369"/>
      <c r="F4369"/>
      <c r="G4369"/>
      <c r="H4369"/>
      <c r="I4369"/>
      <c r="J4369"/>
    </row>
    <row r="4370" spans="1:10" s="2" customFormat="1">
      <c r="A4370" s="1"/>
      <c r="E4370"/>
      <c r="F4370"/>
      <c r="G4370"/>
      <c r="H4370"/>
      <c r="I4370"/>
      <c r="J4370"/>
    </row>
    <row r="4371" spans="1:10" s="2" customFormat="1">
      <c r="A4371" s="1"/>
      <c r="E4371"/>
      <c r="F4371"/>
      <c r="G4371"/>
      <c r="H4371"/>
      <c r="I4371"/>
      <c r="J4371"/>
    </row>
    <row r="4372" spans="1:10" s="2" customFormat="1">
      <c r="A4372" s="1"/>
      <c r="E4372"/>
      <c r="F4372"/>
      <c r="G4372"/>
      <c r="H4372"/>
      <c r="I4372"/>
      <c r="J4372"/>
    </row>
    <row r="4373" spans="1:10" s="2" customFormat="1">
      <c r="A4373" s="1"/>
      <c r="E4373"/>
      <c r="F4373"/>
      <c r="G4373"/>
      <c r="H4373"/>
      <c r="I4373"/>
      <c r="J4373"/>
    </row>
    <row r="4374" spans="1:10" s="2" customFormat="1">
      <c r="A4374" s="1"/>
      <c r="E4374"/>
      <c r="F4374"/>
      <c r="G4374"/>
      <c r="H4374"/>
      <c r="I4374"/>
      <c r="J4374"/>
    </row>
    <row r="4375" spans="1:10" s="2" customFormat="1">
      <c r="A4375" s="1"/>
      <c r="E4375"/>
      <c r="F4375"/>
      <c r="G4375"/>
      <c r="H4375"/>
      <c r="I4375"/>
      <c r="J4375"/>
    </row>
    <row r="4376" spans="1:10" s="2" customFormat="1">
      <c r="A4376" s="1"/>
      <c r="E4376"/>
      <c r="F4376"/>
      <c r="G4376"/>
      <c r="H4376"/>
      <c r="I4376"/>
      <c r="J4376"/>
    </row>
    <row r="4377" spans="1:10" s="2" customFormat="1">
      <c r="A4377" s="1"/>
      <c r="E4377"/>
      <c r="F4377"/>
      <c r="G4377"/>
      <c r="H4377"/>
      <c r="I4377"/>
      <c r="J4377"/>
    </row>
    <row r="4378" spans="1:10" s="2" customFormat="1">
      <c r="A4378" s="1"/>
      <c r="E4378"/>
      <c r="F4378"/>
      <c r="G4378"/>
      <c r="H4378"/>
      <c r="I4378"/>
      <c r="J4378"/>
    </row>
    <row r="4379" spans="1:10" s="2" customFormat="1">
      <c r="A4379" s="1"/>
      <c r="E4379"/>
      <c r="F4379"/>
      <c r="G4379"/>
      <c r="H4379"/>
      <c r="I4379"/>
      <c r="J4379"/>
    </row>
    <row r="4380" spans="1:10" s="2" customFormat="1">
      <c r="A4380" s="1"/>
      <c r="E4380"/>
      <c r="F4380"/>
      <c r="G4380"/>
      <c r="H4380"/>
      <c r="I4380"/>
      <c r="J4380"/>
    </row>
    <row r="4381" spans="1:10" s="2" customFormat="1">
      <c r="A4381" s="1"/>
      <c r="E4381"/>
      <c r="F4381"/>
      <c r="G4381"/>
      <c r="H4381"/>
      <c r="I4381"/>
      <c r="J4381"/>
    </row>
    <row r="4382" spans="1:10" s="2" customFormat="1">
      <c r="A4382" s="1"/>
      <c r="E4382"/>
      <c r="F4382"/>
      <c r="G4382"/>
      <c r="H4382"/>
      <c r="I4382"/>
      <c r="J4382"/>
    </row>
    <row r="4383" spans="1:10" s="2" customFormat="1">
      <c r="A4383" s="1"/>
      <c r="E4383"/>
      <c r="F4383"/>
      <c r="G4383"/>
      <c r="H4383"/>
      <c r="I4383"/>
      <c r="J4383"/>
    </row>
    <row r="4384" spans="1:10" s="2" customFormat="1">
      <c r="A4384" s="1"/>
      <c r="E4384"/>
      <c r="F4384"/>
      <c r="G4384"/>
      <c r="H4384"/>
      <c r="I4384"/>
      <c r="J4384"/>
    </row>
    <row r="4385" spans="1:10" s="2" customFormat="1">
      <c r="A4385" s="1"/>
      <c r="E4385"/>
      <c r="F4385"/>
      <c r="G4385"/>
      <c r="H4385"/>
      <c r="I4385"/>
      <c r="J4385"/>
    </row>
    <row r="4386" spans="1:10" s="2" customFormat="1">
      <c r="A4386" s="1"/>
      <c r="E4386"/>
      <c r="F4386"/>
      <c r="G4386"/>
      <c r="H4386"/>
      <c r="I4386"/>
      <c r="J4386"/>
    </row>
    <row r="4387" spans="1:10" s="2" customFormat="1">
      <c r="A4387" s="1"/>
      <c r="E4387"/>
      <c r="F4387"/>
      <c r="G4387"/>
      <c r="H4387"/>
      <c r="I4387"/>
      <c r="J4387"/>
    </row>
    <row r="4388" spans="1:10" s="2" customFormat="1">
      <c r="A4388" s="1"/>
      <c r="E4388"/>
      <c r="F4388"/>
      <c r="G4388"/>
      <c r="H4388"/>
      <c r="I4388"/>
      <c r="J4388"/>
    </row>
    <row r="4389" spans="1:10" s="2" customFormat="1">
      <c r="A4389" s="1"/>
      <c r="E4389"/>
      <c r="F4389"/>
      <c r="G4389"/>
      <c r="H4389"/>
      <c r="I4389"/>
      <c r="J4389"/>
    </row>
    <row r="4390" spans="1:10" s="2" customFormat="1">
      <c r="A4390" s="1"/>
      <c r="E4390"/>
      <c r="F4390"/>
      <c r="G4390"/>
      <c r="H4390"/>
      <c r="I4390"/>
      <c r="J4390"/>
    </row>
    <row r="4391" spans="1:10" s="2" customFormat="1">
      <c r="A4391" s="1"/>
      <c r="E4391"/>
      <c r="F4391"/>
      <c r="G4391"/>
      <c r="H4391"/>
      <c r="I4391"/>
      <c r="J4391"/>
    </row>
    <row r="4392" spans="1:10" s="2" customFormat="1">
      <c r="A4392" s="1"/>
      <c r="E4392"/>
      <c r="F4392"/>
      <c r="G4392"/>
      <c r="H4392"/>
      <c r="I4392"/>
      <c r="J4392"/>
    </row>
    <row r="4393" spans="1:10" s="2" customFormat="1">
      <c r="A4393" s="1"/>
      <c r="E4393"/>
      <c r="F4393"/>
      <c r="G4393"/>
      <c r="H4393"/>
      <c r="I4393"/>
      <c r="J4393"/>
    </row>
    <row r="4394" spans="1:10" s="2" customFormat="1">
      <c r="A4394" s="1"/>
      <c r="E4394"/>
      <c r="F4394"/>
      <c r="G4394"/>
      <c r="H4394"/>
      <c r="I4394"/>
      <c r="J4394"/>
    </row>
    <row r="4395" spans="1:10" s="2" customFormat="1">
      <c r="A4395" s="1"/>
      <c r="E4395"/>
      <c r="F4395"/>
      <c r="G4395"/>
      <c r="H4395"/>
      <c r="I4395"/>
      <c r="J4395"/>
    </row>
    <row r="4396" spans="1:10" s="2" customFormat="1">
      <c r="A4396" s="1"/>
      <c r="E4396"/>
      <c r="F4396"/>
      <c r="G4396"/>
      <c r="H4396"/>
      <c r="I4396"/>
      <c r="J4396"/>
    </row>
    <row r="4397" spans="1:10" s="2" customFormat="1">
      <c r="A4397" s="1"/>
      <c r="E4397"/>
      <c r="F4397"/>
      <c r="G4397"/>
      <c r="H4397"/>
      <c r="I4397"/>
      <c r="J4397"/>
    </row>
    <row r="4398" spans="1:10" s="2" customFormat="1">
      <c r="A4398" s="1"/>
      <c r="E4398"/>
      <c r="F4398"/>
      <c r="G4398"/>
      <c r="H4398"/>
      <c r="I4398"/>
      <c r="J4398"/>
    </row>
    <row r="4399" spans="1:10" s="2" customFormat="1">
      <c r="A4399" s="1"/>
      <c r="E4399"/>
      <c r="F4399"/>
      <c r="G4399"/>
      <c r="H4399"/>
      <c r="I4399"/>
      <c r="J4399"/>
    </row>
    <row r="4400" spans="1:10" s="2" customFormat="1">
      <c r="A4400" s="1"/>
      <c r="E4400"/>
      <c r="F4400"/>
      <c r="G4400"/>
      <c r="H4400"/>
      <c r="I4400"/>
      <c r="J4400"/>
    </row>
    <row r="4401" spans="1:10" s="2" customFormat="1">
      <c r="A4401" s="1"/>
      <c r="E4401"/>
      <c r="F4401"/>
      <c r="G4401"/>
      <c r="H4401"/>
      <c r="I4401"/>
      <c r="J4401"/>
    </row>
    <row r="4402" spans="1:10" s="2" customFormat="1">
      <c r="A4402" s="1"/>
      <c r="E4402"/>
      <c r="F4402"/>
      <c r="G4402"/>
      <c r="H4402"/>
      <c r="I4402"/>
      <c r="J4402"/>
    </row>
    <row r="4403" spans="1:10" s="2" customFormat="1">
      <c r="A4403" s="1"/>
      <c r="E4403"/>
      <c r="F4403"/>
      <c r="G4403"/>
      <c r="H4403"/>
      <c r="I4403"/>
      <c r="J4403"/>
    </row>
    <row r="4404" spans="1:10" s="2" customFormat="1">
      <c r="A4404" s="1"/>
      <c r="E4404"/>
      <c r="F4404"/>
      <c r="G4404"/>
      <c r="H4404"/>
      <c r="I4404"/>
      <c r="J4404"/>
    </row>
    <row r="4405" spans="1:10" s="2" customFormat="1">
      <c r="A4405" s="1"/>
      <c r="E4405"/>
      <c r="F4405"/>
      <c r="G4405"/>
      <c r="H4405"/>
      <c r="I4405"/>
      <c r="J4405"/>
    </row>
    <row r="4406" spans="1:10" s="2" customFormat="1">
      <c r="A4406" s="1"/>
      <c r="E4406"/>
      <c r="F4406"/>
      <c r="G4406"/>
      <c r="H4406"/>
      <c r="I4406"/>
      <c r="J4406"/>
    </row>
    <row r="4407" spans="1:10" s="2" customFormat="1">
      <c r="A4407" s="1"/>
      <c r="E4407"/>
      <c r="F4407"/>
      <c r="G4407"/>
      <c r="H4407"/>
      <c r="I4407"/>
      <c r="J4407"/>
    </row>
    <row r="4408" spans="1:10" s="2" customFormat="1">
      <c r="A4408" s="1"/>
      <c r="E4408"/>
      <c r="F4408"/>
      <c r="G4408"/>
      <c r="H4408"/>
      <c r="I4408"/>
      <c r="J4408"/>
    </row>
    <row r="4409" spans="1:10" s="2" customFormat="1">
      <c r="A4409" s="1"/>
      <c r="E4409"/>
      <c r="F4409"/>
      <c r="G4409"/>
      <c r="H4409"/>
      <c r="I4409"/>
      <c r="J4409"/>
    </row>
    <row r="4410" spans="1:10" s="2" customFormat="1">
      <c r="A4410" s="1"/>
      <c r="E4410"/>
      <c r="F4410"/>
      <c r="G4410"/>
      <c r="H4410"/>
      <c r="I4410"/>
      <c r="J4410"/>
    </row>
    <row r="4411" spans="1:10" s="2" customFormat="1">
      <c r="A4411" s="1"/>
      <c r="E4411"/>
      <c r="F4411"/>
      <c r="G4411"/>
      <c r="H4411"/>
      <c r="I4411"/>
      <c r="J4411"/>
    </row>
    <row r="4412" spans="1:10" s="2" customFormat="1">
      <c r="A4412" s="1"/>
      <c r="E4412"/>
      <c r="F4412"/>
      <c r="G4412"/>
      <c r="H4412"/>
      <c r="I4412"/>
      <c r="J4412"/>
    </row>
    <row r="4413" spans="1:10" s="2" customFormat="1">
      <c r="A4413" s="1"/>
      <c r="E4413"/>
      <c r="F4413"/>
      <c r="G4413"/>
      <c r="H4413"/>
      <c r="I4413"/>
      <c r="J4413"/>
    </row>
    <row r="4414" spans="1:10" s="2" customFormat="1">
      <c r="A4414" s="1"/>
      <c r="E4414"/>
      <c r="F4414"/>
      <c r="G4414"/>
      <c r="H4414"/>
      <c r="I4414"/>
      <c r="J4414"/>
    </row>
    <row r="4415" spans="1:10" s="2" customFormat="1">
      <c r="A4415" s="1"/>
      <c r="E4415"/>
      <c r="F4415"/>
      <c r="G4415"/>
      <c r="H4415"/>
      <c r="I4415"/>
      <c r="J4415"/>
    </row>
    <row r="4416" spans="1:10" s="2" customFormat="1">
      <c r="A4416" s="1"/>
      <c r="E4416"/>
      <c r="F4416"/>
      <c r="G4416"/>
      <c r="H4416"/>
      <c r="I4416"/>
      <c r="J4416"/>
    </row>
    <row r="4417" spans="1:10" s="2" customFormat="1">
      <c r="A4417" s="1"/>
      <c r="E4417"/>
      <c r="F4417"/>
      <c r="G4417"/>
      <c r="H4417"/>
      <c r="I4417"/>
      <c r="J4417"/>
    </row>
    <row r="4418" spans="1:10" s="2" customFormat="1">
      <c r="A4418" s="1"/>
      <c r="E4418"/>
      <c r="F4418"/>
      <c r="G4418"/>
      <c r="H4418"/>
      <c r="I4418"/>
      <c r="J4418"/>
    </row>
    <row r="4419" spans="1:10" s="2" customFormat="1">
      <c r="A4419" s="1"/>
      <c r="E4419"/>
      <c r="F4419"/>
      <c r="G4419"/>
      <c r="H4419"/>
      <c r="I4419"/>
      <c r="J4419"/>
    </row>
    <row r="4420" spans="1:10" s="2" customFormat="1">
      <c r="A4420" s="1"/>
      <c r="E4420"/>
      <c r="F4420"/>
      <c r="G4420"/>
      <c r="H4420"/>
      <c r="I4420"/>
      <c r="J4420"/>
    </row>
    <row r="4421" spans="1:10" s="2" customFormat="1">
      <c r="A4421" s="1"/>
      <c r="E4421"/>
      <c r="F4421"/>
      <c r="G4421"/>
      <c r="H4421"/>
      <c r="I4421"/>
      <c r="J4421"/>
    </row>
    <row r="4422" spans="1:10" s="2" customFormat="1">
      <c r="A4422" s="1"/>
      <c r="E4422"/>
      <c r="F4422"/>
      <c r="G4422"/>
      <c r="H4422"/>
      <c r="I4422"/>
      <c r="J4422"/>
    </row>
    <row r="4423" spans="1:10" s="2" customFormat="1">
      <c r="A4423" s="1"/>
      <c r="E4423"/>
      <c r="F4423"/>
      <c r="G4423"/>
      <c r="H4423"/>
      <c r="I4423"/>
      <c r="J4423"/>
    </row>
    <row r="4424" spans="1:10" s="2" customFormat="1">
      <c r="A4424" s="1"/>
      <c r="E4424"/>
      <c r="F4424"/>
      <c r="G4424"/>
      <c r="H4424"/>
      <c r="I4424"/>
      <c r="J4424"/>
    </row>
    <row r="4425" spans="1:10" s="2" customFormat="1">
      <c r="A4425" s="1"/>
      <c r="E4425"/>
      <c r="F4425"/>
      <c r="G4425"/>
      <c r="H4425"/>
      <c r="I4425"/>
      <c r="J4425"/>
    </row>
    <row r="4426" spans="1:10" s="2" customFormat="1">
      <c r="A4426" s="1"/>
      <c r="E4426"/>
      <c r="F4426"/>
      <c r="G4426"/>
      <c r="H4426"/>
      <c r="I4426"/>
      <c r="J4426"/>
    </row>
    <row r="4427" spans="1:10" s="2" customFormat="1">
      <c r="A4427" s="1"/>
      <c r="E4427"/>
      <c r="F4427"/>
      <c r="G4427"/>
      <c r="H4427"/>
      <c r="I4427"/>
      <c r="J4427"/>
    </row>
    <row r="4428" spans="1:10" s="2" customFormat="1">
      <c r="A4428" s="1"/>
      <c r="E4428"/>
      <c r="F4428"/>
      <c r="G4428"/>
      <c r="H4428"/>
      <c r="I4428"/>
      <c r="J4428"/>
    </row>
    <row r="4429" spans="1:10" s="2" customFormat="1">
      <c r="A4429" s="1"/>
      <c r="E4429"/>
      <c r="F4429"/>
      <c r="G4429"/>
      <c r="H4429"/>
      <c r="I4429"/>
      <c r="J4429"/>
    </row>
    <row r="4430" spans="1:10" s="2" customFormat="1">
      <c r="A4430" s="1"/>
      <c r="E4430"/>
      <c r="F4430"/>
      <c r="G4430"/>
      <c r="H4430"/>
      <c r="I4430"/>
      <c r="J4430"/>
    </row>
    <row r="4431" spans="1:10" s="2" customFormat="1">
      <c r="A4431" s="1"/>
      <c r="E4431"/>
      <c r="F4431"/>
      <c r="G4431"/>
      <c r="H4431"/>
      <c r="I4431"/>
      <c r="J4431"/>
    </row>
    <row r="4432" spans="1:10" s="2" customFormat="1">
      <c r="A4432" s="1"/>
      <c r="E4432"/>
      <c r="F4432"/>
      <c r="G4432"/>
      <c r="H4432"/>
      <c r="I4432"/>
      <c r="J4432"/>
    </row>
    <row r="4433" spans="1:10" s="2" customFormat="1">
      <c r="A4433" s="1"/>
      <c r="E4433"/>
      <c r="F4433"/>
      <c r="G4433"/>
      <c r="H4433"/>
      <c r="I4433"/>
      <c r="J4433"/>
    </row>
    <row r="4434" spans="1:10" s="2" customFormat="1">
      <c r="A4434" s="1"/>
      <c r="E4434"/>
      <c r="F4434"/>
      <c r="G4434"/>
      <c r="H4434"/>
      <c r="I4434"/>
      <c r="J4434"/>
    </row>
    <row r="4435" spans="1:10" s="2" customFormat="1">
      <c r="A4435" s="1"/>
      <c r="E4435"/>
      <c r="F4435"/>
      <c r="G4435"/>
      <c r="H4435"/>
      <c r="I4435"/>
      <c r="J4435"/>
    </row>
    <row r="4436" spans="1:10" s="2" customFormat="1">
      <c r="A4436" s="1"/>
      <c r="E4436"/>
      <c r="F4436"/>
      <c r="G4436"/>
      <c r="H4436"/>
      <c r="I4436"/>
      <c r="J4436"/>
    </row>
    <row r="4437" spans="1:10" s="2" customFormat="1">
      <c r="A4437" s="1"/>
      <c r="E4437"/>
      <c r="F4437"/>
      <c r="G4437"/>
      <c r="H4437"/>
      <c r="I4437"/>
      <c r="J4437"/>
    </row>
    <row r="4438" spans="1:10" s="2" customFormat="1">
      <c r="A4438" s="1"/>
      <c r="E4438"/>
      <c r="F4438"/>
      <c r="G4438"/>
      <c r="H4438"/>
      <c r="I4438"/>
      <c r="J4438"/>
    </row>
    <row r="4439" spans="1:10" s="2" customFormat="1">
      <c r="A4439" s="1"/>
      <c r="E4439"/>
      <c r="F4439"/>
      <c r="G4439"/>
      <c r="H4439"/>
      <c r="I4439"/>
      <c r="J4439"/>
    </row>
    <row r="4440" spans="1:10" s="2" customFormat="1">
      <c r="A4440" s="1"/>
      <c r="E4440"/>
      <c r="F4440"/>
      <c r="G4440"/>
      <c r="H4440"/>
      <c r="I4440"/>
      <c r="J4440"/>
    </row>
    <row r="4441" spans="1:10" s="2" customFormat="1">
      <c r="A4441" s="1"/>
      <c r="E4441"/>
      <c r="F4441"/>
      <c r="G4441"/>
      <c r="H4441"/>
      <c r="I4441"/>
      <c r="J4441"/>
    </row>
    <row r="4442" spans="1:10" s="2" customFormat="1">
      <c r="A4442" s="1"/>
      <c r="E4442"/>
      <c r="F4442"/>
      <c r="G4442"/>
      <c r="H4442"/>
      <c r="I4442"/>
      <c r="J4442"/>
    </row>
    <row r="4443" spans="1:10" s="2" customFormat="1">
      <c r="A4443" s="1"/>
      <c r="E4443"/>
      <c r="F4443"/>
      <c r="G4443"/>
      <c r="H4443"/>
      <c r="I4443"/>
      <c r="J4443"/>
    </row>
    <row r="4444" spans="1:10" s="2" customFormat="1">
      <c r="A4444" s="1"/>
      <c r="E4444"/>
      <c r="F4444"/>
      <c r="G4444"/>
      <c r="H4444"/>
      <c r="I4444"/>
      <c r="J4444"/>
    </row>
    <row r="4445" spans="1:10" s="2" customFormat="1">
      <c r="A4445" s="1"/>
      <c r="E4445"/>
      <c r="F4445"/>
      <c r="G4445"/>
      <c r="H4445"/>
      <c r="I4445"/>
      <c r="J4445"/>
    </row>
    <row r="4446" spans="1:10" s="2" customFormat="1">
      <c r="A4446" s="1"/>
      <c r="E4446"/>
      <c r="F4446"/>
      <c r="G4446"/>
      <c r="H4446"/>
      <c r="I4446"/>
      <c r="J4446"/>
    </row>
    <row r="4447" spans="1:10" s="2" customFormat="1">
      <c r="A4447" s="1"/>
      <c r="E4447"/>
      <c r="F4447"/>
      <c r="G4447"/>
      <c r="H4447"/>
      <c r="I4447"/>
      <c r="J4447"/>
    </row>
    <row r="4448" spans="1:10" s="2" customFormat="1">
      <c r="A4448" s="1"/>
      <c r="E4448"/>
      <c r="F4448"/>
      <c r="G4448"/>
      <c r="H4448"/>
      <c r="I4448"/>
      <c r="J4448"/>
    </row>
    <row r="4449" spans="1:10" s="2" customFormat="1">
      <c r="A4449" s="1"/>
      <c r="E4449"/>
      <c r="F4449"/>
      <c r="G4449"/>
      <c r="H4449"/>
      <c r="I4449"/>
      <c r="J4449"/>
    </row>
    <row r="4450" spans="1:10" s="2" customFormat="1">
      <c r="A4450" s="1"/>
      <c r="E4450"/>
      <c r="F4450"/>
      <c r="G4450"/>
      <c r="H4450"/>
      <c r="I4450"/>
      <c r="J4450"/>
    </row>
    <row r="4451" spans="1:10" s="2" customFormat="1">
      <c r="A4451" s="1"/>
      <c r="E4451"/>
      <c r="F4451"/>
      <c r="G4451"/>
      <c r="H4451"/>
      <c r="I4451"/>
      <c r="J4451"/>
    </row>
    <row r="4452" spans="1:10" s="2" customFormat="1">
      <c r="A4452" s="1"/>
      <c r="E4452"/>
      <c r="F4452"/>
      <c r="G4452"/>
      <c r="H4452"/>
      <c r="I4452"/>
      <c r="J4452"/>
    </row>
    <row r="4453" spans="1:10" s="2" customFormat="1">
      <c r="A4453" s="1"/>
      <c r="E4453"/>
      <c r="F4453"/>
      <c r="G4453"/>
      <c r="H4453"/>
      <c r="I4453"/>
      <c r="J4453"/>
    </row>
    <row r="4454" spans="1:10" s="2" customFormat="1">
      <c r="A4454" s="1"/>
      <c r="E4454"/>
      <c r="F4454"/>
      <c r="G4454"/>
      <c r="H4454"/>
      <c r="I4454"/>
      <c r="J4454"/>
    </row>
    <row r="4455" spans="1:10" s="2" customFormat="1">
      <c r="A4455" s="1"/>
      <c r="E4455"/>
      <c r="F4455"/>
      <c r="G4455"/>
      <c r="H4455"/>
      <c r="I4455"/>
      <c r="J4455"/>
    </row>
    <row r="4456" spans="1:10" s="2" customFormat="1">
      <c r="A4456" s="1"/>
      <c r="E4456"/>
      <c r="F4456"/>
      <c r="G4456"/>
      <c r="H4456"/>
      <c r="I4456"/>
      <c r="J4456"/>
    </row>
    <row r="4457" spans="1:10" s="2" customFormat="1">
      <c r="A4457" s="1"/>
      <c r="E4457"/>
      <c r="F4457"/>
      <c r="G4457"/>
      <c r="H4457"/>
      <c r="I4457"/>
      <c r="J4457"/>
    </row>
    <row r="4458" spans="1:10" s="2" customFormat="1">
      <c r="A4458" s="1"/>
      <c r="E4458"/>
      <c r="F4458"/>
      <c r="G4458"/>
      <c r="H4458"/>
      <c r="I4458"/>
      <c r="J4458"/>
    </row>
    <row r="4459" spans="1:10" s="2" customFormat="1">
      <c r="A4459" s="1"/>
      <c r="E4459"/>
      <c r="F4459"/>
      <c r="G4459"/>
      <c r="H4459"/>
      <c r="I4459"/>
      <c r="J4459"/>
    </row>
    <row r="4460" spans="1:10" s="2" customFormat="1">
      <c r="A4460" s="1"/>
      <c r="E4460"/>
      <c r="F4460"/>
      <c r="G4460"/>
      <c r="H4460"/>
      <c r="I4460"/>
      <c r="J4460"/>
    </row>
    <row r="4461" spans="1:10" s="2" customFormat="1">
      <c r="A4461" s="1"/>
      <c r="E4461"/>
      <c r="F4461"/>
      <c r="G4461"/>
      <c r="H4461"/>
      <c r="I4461"/>
      <c r="J4461"/>
    </row>
    <row r="4462" spans="1:10" s="2" customFormat="1">
      <c r="A4462" s="1"/>
      <c r="E4462"/>
      <c r="F4462"/>
      <c r="G4462"/>
      <c r="H4462"/>
      <c r="I4462"/>
      <c r="J4462"/>
    </row>
    <row r="4463" spans="1:10" s="2" customFormat="1">
      <c r="A4463" s="1"/>
      <c r="E4463"/>
      <c r="F4463"/>
      <c r="G4463"/>
      <c r="H4463"/>
      <c r="I4463"/>
      <c r="J4463"/>
    </row>
    <row r="4464" spans="1:10" s="2" customFormat="1">
      <c r="A4464" s="1"/>
      <c r="E4464"/>
      <c r="F4464"/>
      <c r="G4464"/>
      <c r="H4464"/>
      <c r="I4464"/>
      <c r="J4464"/>
    </row>
    <row r="4465" spans="1:10" s="2" customFormat="1">
      <c r="A4465" s="1"/>
      <c r="E4465"/>
      <c r="F4465"/>
      <c r="G4465"/>
      <c r="H4465"/>
      <c r="I4465"/>
      <c r="J4465"/>
    </row>
    <row r="4466" spans="1:10" s="2" customFormat="1">
      <c r="A4466" s="1"/>
      <c r="E4466"/>
      <c r="F4466"/>
      <c r="G4466"/>
      <c r="H4466"/>
      <c r="I4466"/>
      <c r="J4466"/>
    </row>
    <row r="4467" spans="1:10" s="2" customFormat="1">
      <c r="A4467" s="1"/>
      <c r="E4467"/>
      <c r="F4467"/>
      <c r="G4467"/>
      <c r="H4467"/>
      <c r="I4467"/>
      <c r="J4467"/>
    </row>
    <row r="4468" spans="1:10" s="2" customFormat="1">
      <c r="A4468" s="1"/>
      <c r="E4468"/>
      <c r="F4468"/>
      <c r="G4468"/>
      <c r="H4468"/>
      <c r="I4468"/>
      <c r="J4468"/>
    </row>
    <row r="4469" spans="1:10" s="2" customFormat="1">
      <c r="A4469" s="1"/>
      <c r="E4469"/>
      <c r="F4469"/>
      <c r="G4469"/>
      <c r="H4469"/>
      <c r="I4469"/>
      <c r="J4469"/>
    </row>
    <row r="4470" spans="1:10" s="2" customFormat="1">
      <c r="A4470" s="1"/>
      <c r="E4470"/>
      <c r="F4470"/>
      <c r="G4470"/>
      <c r="H4470"/>
      <c r="I4470"/>
      <c r="J4470"/>
    </row>
    <row r="4471" spans="1:10" s="2" customFormat="1">
      <c r="A4471" s="1"/>
      <c r="E4471"/>
      <c r="F4471"/>
      <c r="G4471"/>
      <c r="H4471"/>
      <c r="I4471"/>
      <c r="J4471"/>
    </row>
    <row r="4472" spans="1:10" s="2" customFormat="1">
      <c r="A4472" s="1"/>
      <c r="E4472"/>
      <c r="F4472"/>
      <c r="G4472"/>
      <c r="H4472"/>
      <c r="I4472"/>
      <c r="J4472"/>
    </row>
    <row r="4473" spans="1:10" s="2" customFormat="1">
      <c r="A4473" s="1"/>
      <c r="E4473"/>
      <c r="F4473"/>
      <c r="G4473"/>
      <c r="H4473"/>
      <c r="I4473"/>
      <c r="J4473"/>
    </row>
    <row r="4474" spans="1:10" s="2" customFormat="1">
      <c r="A4474" s="1"/>
      <c r="E4474"/>
      <c r="F4474"/>
      <c r="G4474"/>
      <c r="H4474"/>
      <c r="I4474"/>
      <c r="J4474"/>
    </row>
    <row r="4475" spans="1:10" s="2" customFormat="1">
      <c r="A4475" s="1"/>
      <c r="E4475"/>
      <c r="F4475"/>
      <c r="G4475"/>
      <c r="H4475"/>
      <c r="I4475"/>
      <c r="J4475"/>
    </row>
    <row r="4476" spans="1:10" s="2" customFormat="1">
      <c r="A4476" s="1"/>
      <c r="E4476"/>
      <c r="F4476"/>
      <c r="G4476"/>
      <c r="H4476"/>
      <c r="I4476"/>
      <c r="J4476"/>
    </row>
    <row r="4477" spans="1:10" s="2" customFormat="1">
      <c r="A4477" s="1"/>
      <c r="E4477"/>
      <c r="F4477"/>
      <c r="G4477"/>
      <c r="H4477"/>
      <c r="I4477"/>
      <c r="J4477"/>
    </row>
    <row r="4478" spans="1:10" s="2" customFormat="1">
      <c r="A4478" s="1"/>
      <c r="E4478"/>
      <c r="F4478"/>
      <c r="G4478"/>
      <c r="H4478"/>
      <c r="I4478"/>
      <c r="J4478"/>
    </row>
    <row r="4479" spans="1:10" s="2" customFormat="1">
      <c r="A4479" s="1"/>
      <c r="E4479"/>
      <c r="F4479"/>
      <c r="G4479"/>
      <c r="H4479"/>
      <c r="I4479"/>
      <c r="J4479"/>
    </row>
    <row r="4480" spans="1:10" s="2" customFormat="1">
      <c r="A4480" s="1"/>
      <c r="E4480"/>
      <c r="F4480"/>
      <c r="G4480"/>
      <c r="H4480"/>
      <c r="I4480"/>
      <c r="J4480"/>
    </row>
    <row r="4481" spans="1:10" s="2" customFormat="1">
      <c r="A4481" s="1"/>
      <c r="E4481"/>
      <c r="F4481"/>
      <c r="G4481"/>
      <c r="H4481"/>
      <c r="I4481"/>
      <c r="J4481"/>
    </row>
    <row r="4482" spans="1:10" s="2" customFormat="1">
      <c r="A4482" s="1"/>
      <c r="E4482"/>
      <c r="F4482"/>
      <c r="G4482"/>
      <c r="H4482"/>
      <c r="I4482"/>
      <c r="J4482"/>
    </row>
    <row r="4483" spans="1:10" s="2" customFormat="1">
      <c r="A4483" s="1"/>
      <c r="E4483"/>
      <c r="F4483"/>
      <c r="G4483"/>
      <c r="H4483"/>
      <c r="I4483"/>
      <c r="J4483"/>
    </row>
    <row r="4484" spans="1:10" s="2" customFormat="1">
      <c r="A4484" s="1"/>
      <c r="E4484"/>
      <c r="F4484"/>
      <c r="G4484"/>
      <c r="H4484"/>
      <c r="I4484"/>
      <c r="J4484"/>
    </row>
    <row r="4485" spans="1:10" s="2" customFormat="1">
      <c r="A4485" s="1"/>
      <c r="E4485"/>
      <c r="F4485"/>
      <c r="G4485"/>
      <c r="H4485"/>
      <c r="I4485"/>
      <c r="J4485"/>
    </row>
    <row r="4486" spans="1:10" s="2" customFormat="1">
      <c r="A4486" s="1"/>
      <c r="E4486"/>
      <c r="F4486"/>
      <c r="G4486"/>
      <c r="H4486"/>
      <c r="I4486"/>
      <c r="J4486"/>
    </row>
    <row r="4487" spans="1:10" s="2" customFormat="1">
      <c r="A4487" s="1"/>
      <c r="E4487"/>
      <c r="F4487"/>
      <c r="G4487"/>
      <c r="H4487"/>
      <c r="I4487"/>
      <c r="J4487"/>
    </row>
    <row r="4488" spans="1:10" s="2" customFormat="1">
      <c r="A4488" s="1"/>
      <c r="E4488"/>
      <c r="F4488"/>
      <c r="G4488"/>
      <c r="H4488"/>
      <c r="I4488"/>
      <c r="J4488"/>
    </row>
    <row r="4489" spans="1:10" s="2" customFormat="1">
      <c r="A4489" s="1"/>
      <c r="E4489"/>
      <c r="F4489"/>
      <c r="G4489"/>
      <c r="H4489"/>
      <c r="I4489"/>
      <c r="J4489"/>
    </row>
    <row r="4490" spans="1:10" s="2" customFormat="1">
      <c r="A4490" s="1"/>
      <c r="E4490"/>
      <c r="F4490"/>
      <c r="G4490"/>
      <c r="H4490"/>
      <c r="I4490"/>
      <c r="J4490"/>
    </row>
    <row r="4491" spans="1:10" s="2" customFormat="1">
      <c r="A4491" s="1"/>
      <c r="E4491"/>
      <c r="F4491"/>
      <c r="G4491"/>
      <c r="H4491"/>
      <c r="I4491"/>
      <c r="J4491"/>
    </row>
    <row r="4492" spans="1:10" s="2" customFormat="1">
      <c r="A4492" s="1"/>
      <c r="E4492"/>
      <c r="F4492"/>
      <c r="G4492"/>
      <c r="H4492"/>
      <c r="I4492"/>
      <c r="J4492"/>
    </row>
    <row r="4493" spans="1:10" s="2" customFormat="1">
      <c r="A4493" s="1"/>
      <c r="E4493"/>
      <c r="F4493"/>
      <c r="G4493"/>
      <c r="H4493"/>
      <c r="I4493"/>
      <c r="J4493"/>
    </row>
    <row r="4494" spans="1:10" s="2" customFormat="1">
      <c r="A4494" s="1"/>
      <c r="E4494"/>
      <c r="F4494"/>
      <c r="G4494"/>
      <c r="H4494"/>
      <c r="I4494"/>
      <c r="J4494"/>
    </row>
    <row r="4495" spans="1:10" s="2" customFormat="1">
      <c r="A4495" s="1"/>
      <c r="E4495"/>
      <c r="F4495"/>
      <c r="G4495"/>
      <c r="H4495"/>
      <c r="I4495"/>
      <c r="J4495"/>
    </row>
    <row r="4496" spans="1:10" s="2" customFormat="1">
      <c r="A4496" s="1"/>
      <c r="E4496"/>
      <c r="F4496"/>
      <c r="G4496"/>
      <c r="H4496"/>
      <c r="I4496"/>
      <c r="J4496"/>
    </row>
    <row r="4497" spans="1:10" s="2" customFormat="1">
      <c r="A4497" s="1"/>
      <c r="E4497"/>
      <c r="F4497"/>
      <c r="G4497"/>
      <c r="H4497"/>
      <c r="I4497"/>
      <c r="J4497"/>
    </row>
    <row r="4498" spans="1:10" s="2" customFormat="1">
      <c r="A4498" s="1"/>
      <c r="E4498"/>
      <c r="F4498"/>
      <c r="G4498"/>
      <c r="H4498"/>
      <c r="I4498"/>
      <c r="J4498"/>
    </row>
    <row r="4499" spans="1:10" s="2" customFormat="1">
      <c r="A4499" s="1"/>
      <c r="E4499"/>
      <c r="F4499"/>
      <c r="G4499"/>
      <c r="H4499"/>
      <c r="I4499"/>
      <c r="J4499"/>
    </row>
    <row r="4500" spans="1:10" s="2" customFormat="1">
      <c r="A4500" s="1"/>
      <c r="E4500"/>
      <c r="F4500"/>
      <c r="G4500"/>
      <c r="H4500"/>
      <c r="I4500"/>
      <c r="J4500"/>
    </row>
    <row r="4501" spans="1:10" s="2" customFormat="1">
      <c r="A4501" s="1"/>
      <c r="E4501"/>
      <c r="F4501"/>
      <c r="G4501"/>
      <c r="H4501"/>
      <c r="I4501"/>
      <c r="J4501"/>
    </row>
    <row r="4502" spans="1:10" s="2" customFormat="1">
      <c r="A4502" s="1"/>
      <c r="E4502"/>
      <c r="F4502"/>
      <c r="G4502"/>
      <c r="H4502"/>
      <c r="I4502"/>
      <c r="J4502"/>
    </row>
    <row r="4503" spans="1:10" s="2" customFormat="1">
      <c r="A4503" s="1"/>
      <c r="E4503"/>
      <c r="F4503"/>
      <c r="G4503"/>
      <c r="H4503"/>
      <c r="I4503"/>
      <c r="J4503"/>
    </row>
    <row r="4504" spans="1:10" s="2" customFormat="1">
      <c r="A4504" s="1"/>
      <c r="E4504"/>
      <c r="F4504"/>
      <c r="G4504"/>
      <c r="H4504"/>
      <c r="I4504"/>
      <c r="J4504"/>
    </row>
    <row r="4505" spans="1:10" s="2" customFormat="1">
      <c r="A4505" s="1"/>
      <c r="E4505"/>
      <c r="F4505"/>
      <c r="G4505"/>
      <c r="H4505"/>
      <c r="I4505"/>
      <c r="J4505"/>
    </row>
    <row r="4506" spans="1:10" s="2" customFormat="1">
      <c r="A4506" s="1"/>
      <c r="E4506"/>
      <c r="F4506"/>
      <c r="G4506"/>
      <c r="H4506"/>
      <c r="I4506"/>
      <c r="J4506"/>
    </row>
    <row r="4507" spans="1:10" s="2" customFormat="1">
      <c r="A4507" s="1"/>
      <c r="E4507"/>
      <c r="F4507"/>
      <c r="G4507"/>
      <c r="H4507"/>
      <c r="I4507"/>
      <c r="J4507"/>
    </row>
    <row r="4508" spans="1:10" s="2" customFormat="1">
      <c r="A4508" s="1"/>
      <c r="E4508"/>
      <c r="F4508"/>
      <c r="G4508"/>
      <c r="H4508"/>
      <c r="I4508"/>
      <c r="J4508"/>
    </row>
    <row r="4509" spans="1:10" s="2" customFormat="1">
      <c r="A4509" s="1"/>
      <c r="E4509"/>
      <c r="F4509"/>
      <c r="G4509"/>
      <c r="H4509"/>
      <c r="I4509"/>
      <c r="J4509"/>
    </row>
    <row r="4510" spans="1:10" s="2" customFormat="1">
      <c r="A4510" s="1"/>
      <c r="E4510"/>
      <c r="F4510"/>
      <c r="G4510"/>
      <c r="H4510"/>
      <c r="I4510"/>
      <c r="J4510"/>
    </row>
    <row r="4511" spans="1:10" s="2" customFormat="1">
      <c r="A4511" s="1"/>
      <c r="E4511"/>
      <c r="F4511"/>
      <c r="G4511"/>
      <c r="H4511"/>
      <c r="I4511"/>
      <c r="J4511"/>
    </row>
    <row r="4512" spans="1:10" s="2" customFormat="1">
      <c r="A4512" s="1"/>
      <c r="E4512"/>
      <c r="F4512"/>
      <c r="G4512"/>
      <c r="H4512"/>
      <c r="I4512"/>
      <c r="J4512"/>
    </row>
    <row r="4513" spans="1:10" s="2" customFormat="1">
      <c r="A4513" s="1"/>
      <c r="E4513"/>
      <c r="F4513"/>
      <c r="G4513"/>
      <c r="H4513"/>
      <c r="I4513"/>
      <c r="J4513"/>
    </row>
    <row r="4514" spans="1:10" s="2" customFormat="1">
      <c r="A4514" s="1"/>
      <c r="E4514"/>
      <c r="F4514"/>
      <c r="G4514"/>
      <c r="H4514"/>
      <c r="I4514"/>
      <c r="J4514"/>
    </row>
    <row r="4515" spans="1:10" s="2" customFormat="1">
      <c r="A4515" s="1"/>
      <c r="E4515"/>
      <c r="F4515"/>
      <c r="G4515"/>
      <c r="H4515"/>
      <c r="I4515"/>
      <c r="J4515"/>
    </row>
    <row r="4516" spans="1:10" s="2" customFormat="1">
      <c r="A4516" s="1"/>
      <c r="E4516"/>
      <c r="F4516"/>
      <c r="G4516"/>
      <c r="H4516"/>
      <c r="I4516"/>
      <c r="J4516"/>
    </row>
    <row r="4517" spans="1:10" s="2" customFormat="1">
      <c r="A4517" s="1"/>
      <c r="E4517"/>
      <c r="F4517"/>
      <c r="G4517"/>
      <c r="H4517"/>
      <c r="I4517"/>
      <c r="J4517"/>
    </row>
    <row r="4518" spans="1:10" s="2" customFormat="1">
      <c r="A4518" s="1"/>
      <c r="E4518"/>
      <c r="F4518"/>
      <c r="G4518"/>
      <c r="H4518"/>
      <c r="I4518"/>
      <c r="J4518"/>
    </row>
    <row r="4519" spans="1:10" s="2" customFormat="1">
      <c r="A4519" s="1"/>
      <c r="E4519"/>
      <c r="F4519"/>
      <c r="G4519"/>
      <c r="H4519"/>
      <c r="I4519"/>
      <c r="J4519"/>
    </row>
    <row r="4520" spans="1:10" s="2" customFormat="1">
      <c r="A4520" s="1"/>
      <c r="E4520"/>
      <c r="F4520"/>
      <c r="G4520"/>
      <c r="H4520"/>
      <c r="I4520"/>
      <c r="J4520"/>
    </row>
    <row r="4521" spans="1:10" s="2" customFormat="1">
      <c r="A4521" s="1"/>
      <c r="E4521"/>
      <c r="F4521"/>
      <c r="G4521"/>
      <c r="H4521"/>
      <c r="I4521"/>
      <c r="J4521"/>
    </row>
    <row r="4522" spans="1:10" s="2" customFormat="1">
      <c r="A4522" s="1"/>
      <c r="E4522"/>
      <c r="F4522"/>
      <c r="G4522"/>
      <c r="H4522"/>
      <c r="I4522"/>
      <c r="J4522"/>
    </row>
    <row r="4523" spans="1:10" s="2" customFormat="1">
      <c r="A4523" s="1"/>
      <c r="E4523"/>
      <c r="F4523"/>
      <c r="G4523"/>
      <c r="H4523"/>
      <c r="I4523"/>
      <c r="J4523"/>
    </row>
    <row r="4524" spans="1:10" s="2" customFormat="1">
      <c r="A4524" s="1"/>
      <c r="E4524"/>
      <c r="F4524"/>
      <c r="G4524"/>
      <c r="H4524"/>
      <c r="I4524"/>
      <c r="J4524"/>
    </row>
    <row r="4525" spans="1:10" s="2" customFormat="1">
      <c r="A4525" s="1"/>
      <c r="E4525"/>
      <c r="F4525"/>
      <c r="G4525"/>
      <c r="H4525"/>
      <c r="I4525"/>
      <c r="J4525"/>
    </row>
    <row r="4526" spans="1:10" s="2" customFormat="1">
      <c r="A4526" s="1"/>
      <c r="E4526"/>
      <c r="F4526"/>
      <c r="G4526"/>
      <c r="H4526"/>
      <c r="I4526"/>
      <c r="J4526"/>
    </row>
    <row r="4527" spans="1:10" s="2" customFormat="1">
      <c r="A4527" s="1"/>
      <c r="E4527"/>
      <c r="F4527"/>
      <c r="G4527"/>
      <c r="H4527"/>
      <c r="I4527"/>
      <c r="J4527"/>
    </row>
    <row r="4528" spans="1:10" s="2" customFormat="1">
      <c r="A4528" s="1"/>
      <c r="E4528"/>
      <c r="F4528"/>
      <c r="G4528"/>
      <c r="H4528"/>
      <c r="I4528"/>
      <c r="J4528"/>
    </row>
    <row r="4529" spans="1:10" s="2" customFormat="1">
      <c r="A4529" s="1"/>
      <c r="E4529"/>
      <c r="F4529"/>
      <c r="G4529"/>
      <c r="H4529"/>
      <c r="I4529"/>
      <c r="J4529"/>
    </row>
    <row r="4530" spans="1:10" s="2" customFormat="1">
      <c r="A4530" s="1"/>
      <c r="E4530"/>
      <c r="F4530"/>
      <c r="G4530"/>
      <c r="H4530"/>
      <c r="I4530"/>
      <c r="J4530"/>
    </row>
    <row r="4531" spans="1:10" s="2" customFormat="1">
      <c r="A4531" s="1"/>
      <c r="E4531"/>
      <c r="F4531"/>
      <c r="G4531"/>
      <c r="H4531"/>
      <c r="I4531"/>
      <c r="J4531"/>
    </row>
    <row r="4532" spans="1:10" s="2" customFormat="1">
      <c r="A4532" s="1"/>
      <c r="E4532"/>
      <c r="F4532"/>
      <c r="G4532"/>
      <c r="H4532"/>
      <c r="I4532"/>
      <c r="J4532"/>
    </row>
    <row r="4533" spans="1:10" s="2" customFormat="1">
      <c r="A4533" s="1"/>
      <c r="E4533"/>
      <c r="F4533"/>
      <c r="G4533"/>
      <c r="H4533"/>
      <c r="I4533"/>
      <c r="J4533"/>
    </row>
    <row r="4534" spans="1:10" s="2" customFormat="1">
      <c r="A4534" s="1"/>
      <c r="E4534"/>
      <c r="F4534"/>
      <c r="G4534"/>
      <c r="H4534"/>
      <c r="I4534"/>
      <c r="J4534"/>
    </row>
    <row r="4535" spans="1:10" s="2" customFormat="1">
      <c r="A4535" s="1"/>
      <c r="E4535"/>
      <c r="F4535"/>
      <c r="G4535"/>
      <c r="H4535"/>
      <c r="I4535"/>
      <c r="J4535"/>
    </row>
    <row r="4536" spans="1:10" s="2" customFormat="1">
      <c r="A4536" s="1"/>
      <c r="E4536"/>
      <c r="F4536"/>
      <c r="G4536"/>
      <c r="H4536"/>
      <c r="I4536"/>
      <c r="J4536"/>
    </row>
    <row r="4537" spans="1:10" s="2" customFormat="1">
      <c r="A4537" s="1"/>
      <c r="E4537"/>
      <c r="F4537"/>
      <c r="G4537"/>
      <c r="H4537"/>
      <c r="I4537"/>
      <c r="J4537"/>
    </row>
    <row r="4538" spans="1:10" s="2" customFormat="1">
      <c r="A4538" s="1"/>
      <c r="E4538"/>
      <c r="F4538"/>
      <c r="G4538"/>
      <c r="H4538"/>
      <c r="I4538"/>
      <c r="J4538"/>
    </row>
    <row r="4539" spans="1:10" s="2" customFormat="1">
      <c r="A4539" s="1"/>
      <c r="E4539"/>
      <c r="F4539"/>
      <c r="G4539"/>
      <c r="H4539"/>
      <c r="I4539"/>
      <c r="J4539"/>
    </row>
    <row r="4540" spans="1:10" s="2" customFormat="1">
      <c r="A4540" s="1"/>
      <c r="E4540"/>
      <c r="F4540"/>
      <c r="G4540"/>
      <c r="H4540"/>
      <c r="I4540"/>
      <c r="J4540"/>
    </row>
    <row r="4541" spans="1:10" s="2" customFormat="1">
      <c r="A4541" s="1"/>
      <c r="E4541"/>
      <c r="F4541"/>
      <c r="G4541"/>
      <c r="H4541"/>
      <c r="I4541"/>
      <c r="J4541"/>
    </row>
    <row r="4542" spans="1:10" s="2" customFormat="1">
      <c r="A4542" s="1"/>
      <c r="E4542"/>
      <c r="F4542"/>
      <c r="G4542"/>
      <c r="H4542"/>
      <c r="I4542"/>
      <c r="J4542"/>
    </row>
    <row r="4543" spans="1:10" s="2" customFormat="1">
      <c r="A4543" s="1"/>
      <c r="E4543"/>
      <c r="F4543"/>
      <c r="G4543"/>
      <c r="H4543"/>
      <c r="I4543"/>
      <c r="J4543"/>
    </row>
    <row r="4544" spans="1:10" s="2" customFormat="1">
      <c r="A4544" s="1"/>
      <c r="E4544"/>
      <c r="F4544"/>
      <c r="G4544"/>
      <c r="H4544"/>
      <c r="I4544"/>
      <c r="J4544"/>
    </row>
    <row r="4545" spans="1:10" s="2" customFormat="1">
      <c r="A4545" s="1"/>
      <c r="E4545"/>
      <c r="F4545"/>
      <c r="G4545"/>
      <c r="H4545"/>
      <c r="I4545"/>
      <c r="J4545"/>
    </row>
    <row r="4546" spans="1:10" s="2" customFormat="1">
      <c r="A4546" s="1"/>
      <c r="E4546"/>
      <c r="F4546"/>
      <c r="G4546"/>
      <c r="H4546"/>
      <c r="I4546"/>
      <c r="J4546"/>
    </row>
    <row r="4547" spans="1:10" s="2" customFormat="1">
      <c r="A4547" s="1"/>
      <c r="E4547"/>
      <c r="F4547"/>
      <c r="G4547"/>
      <c r="H4547"/>
      <c r="I4547"/>
      <c r="J4547"/>
    </row>
    <row r="4548" spans="1:10" s="2" customFormat="1">
      <c r="A4548" s="1"/>
      <c r="E4548"/>
      <c r="F4548"/>
      <c r="G4548"/>
      <c r="H4548"/>
      <c r="I4548"/>
      <c r="J4548"/>
    </row>
    <row r="4549" spans="1:10" s="2" customFormat="1">
      <c r="A4549" s="1"/>
      <c r="E4549"/>
      <c r="F4549"/>
      <c r="G4549"/>
      <c r="H4549"/>
      <c r="I4549"/>
      <c r="J4549"/>
    </row>
    <row r="4550" spans="1:10" s="2" customFormat="1">
      <c r="A4550" s="1"/>
      <c r="E4550"/>
      <c r="F4550"/>
      <c r="G4550"/>
      <c r="H4550"/>
      <c r="I4550"/>
      <c r="J4550"/>
    </row>
    <row r="4551" spans="1:10" s="2" customFormat="1">
      <c r="A4551" s="1"/>
      <c r="E4551"/>
      <c r="F4551"/>
      <c r="G4551"/>
      <c r="H4551"/>
      <c r="I4551"/>
      <c r="J4551"/>
    </row>
    <row r="4552" spans="1:10" s="2" customFormat="1">
      <c r="A4552" s="1"/>
      <c r="E4552"/>
      <c r="F4552"/>
      <c r="G4552"/>
      <c r="H4552"/>
      <c r="I4552"/>
      <c r="J4552"/>
    </row>
    <row r="4553" spans="1:10" s="2" customFormat="1">
      <c r="A4553" s="1"/>
      <c r="E4553"/>
      <c r="F4553"/>
      <c r="G4553"/>
      <c r="H4553"/>
      <c r="I4553"/>
      <c r="J4553"/>
    </row>
    <row r="4554" spans="1:10" s="2" customFormat="1">
      <c r="A4554" s="1"/>
      <c r="E4554"/>
      <c r="F4554"/>
      <c r="G4554"/>
      <c r="H4554"/>
      <c r="I4554"/>
      <c r="J4554"/>
    </row>
    <row r="4555" spans="1:10" s="2" customFormat="1">
      <c r="A4555" s="1"/>
      <c r="E4555"/>
      <c r="F4555"/>
      <c r="G4555"/>
      <c r="H4555"/>
      <c r="I4555"/>
      <c r="J4555"/>
    </row>
    <row r="4556" spans="1:10" s="2" customFormat="1">
      <c r="A4556" s="1"/>
      <c r="E4556"/>
      <c r="F4556"/>
      <c r="G4556"/>
      <c r="H4556"/>
      <c r="I4556"/>
      <c r="J4556"/>
    </row>
    <row r="4557" spans="1:10" s="2" customFormat="1">
      <c r="A4557" s="1"/>
      <c r="E4557"/>
      <c r="F4557"/>
      <c r="G4557"/>
      <c r="H4557"/>
      <c r="I4557"/>
      <c r="J4557"/>
    </row>
    <row r="4558" spans="1:10" s="2" customFormat="1">
      <c r="A4558" s="1"/>
      <c r="E4558"/>
      <c r="F4558"/>
      <c r="G4558"/>
      <c r="H4558"/>
      <c r="I4558"/>
      <c r="J4558"/>
    </row>
    <row r="4559" spans="1:10" s="2" customFormat="1">
      <c r="A4559" s="1"/>
      <c r="E4559"/>
      <c r="F4559"/>
      <c r="G4559"/>
      <c r="H4559"/>
      <c r="I4559"/>
      <c r="J4559"/>
    </row>
    <row r="4560" spans="1:10" s="2" customFormat="1">
      <c r="A4560" s="1"/>
      <c r="E4560"/>
      <c r="F4560"/>
      <c r="G4560"/>
      <c r="H4560"/>
      <c r="I4560"/>
      <c r="J4560"/>
    </row>
    <row r="4561" spans="1:10" s="2" customFormat="1">
      <c r="A4561" s="1"/>
      <c r="E4561"/>
      <c r="F4561"/>
      <c r="G4561"/>
      <c r="H4561"/>
      <c r="I4561"/>
      <c r="J4561"/>
    </row>
    <row r="4562" spans="1:10" s="2" customFormat="1">
      <c r="A4562" s="1"/>
      <c r="E4562"/>
      <c r="F4562"/>
      <c r="G4562"/>
      <c r="H4562"/>
      <c r="I4562"/>
      <c r="J4562"/>
    </row>
    <row r="4563" spans="1:10" s="2" customFormat="1">
      <c r="A4563" s="1"/>
      <c r="E4563"/>
      <c r="F4563"/>
      <c r="G4563"/>
      <c r="H4563"/>
      <c r="I4563"/>
      <c r="J4563"/>
    </row>
    <row r="4564" spans="1:10" s="2" customFormat="1">
      <c r="A4564" s="1"/>
      <c r="E4564"/>
      <c r="F4564"/>
      <c r="G4564"/>
      <c r="H4564"/>
      <c r="I4564"/>
      <c r="J4564"/>
    </row>
    <row r="4565" spans="1:10" s="2" customFormat="1">
      <c r="A4565" s="1"/>
      <c r="E4565"/>
      <c r="F4565"/>
      <c r="G4565"/>
      <c r="H4565"/>
      <c r="I4565"/>
      <c r="J4565"/>
    </row>
    <row r="4566" spans="1:10" s="2" customFormat="1">
      <c r="A4566" s="1"/>
      <c r="E4566"/>
      <c r="F4566"/>
      <c r="G4566"/>
      <c r="H4566"/>
      <c r="I4566"/>
      <c r="J4566"/>
    </row>
    <row r="4567" spans="1:10" s="2" customFormat="1">
      <c r="A4567" s="1"/>
      <c r="E4567"/>
      <c r="F4567"/>
      <c r="G4567"/>
      <c r="H4567"/>
      <c r="I4567"/>
      <c r="J4567"/>
    </row>
    <row r="4568" spans="1:10" s="2" customFormat="1">
      <c r="A4568" s="1"/>
      <c r="E4568"/>
      <c r="F4568"/>
      <c r="G4568"/>
      <c r="H4568"/>
      <c r="I4568"/>
      <c r="J4568"/>
    </row>
    <row r="4569" spans="1:10" s="2" customFormat="1">
      <c r="A4569" s="1"/>
      <c r="E4569"/>
      <c r="F4569"/>
      <c r="G4569"/>
      <c r="H4569"/>
      <c r="I4569"/>
      <c r="J4569"/>
    </row>
    <row r="4570" spans="1:10" s="2" customFormat="1">
      <c r="A4570" s="1"/>
      <c r="E4570"/>
      <c r="F4570"/>
      <c r="G4570"/>
      <c r="H4570"/>
      <c r="I4570"/>
      <c r="J4570"/>
    </row>
    <row r="4571" spans="1:10" s="2" customFormat="1">
      <c r="A4571" s="1"/>
      <c r="E4571"/>
      <c r="F4571"/>
      <c r="G4571"/>
      <c r="H4571"/>
      <c r="I4571"/>
      <c r="J4571"/>
    </row>
    <row r="4572" spans="1:10" s="2" customFormat="1">
      <c r="A4572" s="1"/>
      <c r="E4572"/>
      <c r="F4572"/>
      <c r="G4572"/>
      <c r="H4572"/>
      <c r="I4572"/>
      <c r="J4572"/>
    </row>
    <row r="4573" spans="1:10" s="2" customFormat="1">
      <c r="A4573" s="1"/>
      <c r="E4573"/>
      <c r="F4573"/>
      <c r="G4573"/>
      <c r="H4573"/>
      <c r="I4573"/>
      <c r="J4573"/>
    </row>
    <row r="4574" spans="1:10" s="2" customFormat="1">
      <c r="A4574" s="1"/>
      <c r="E4574"/>
      <c r="F4574"/>
      <c r="G4574"/>
      <c r="H4574"/>
      <c r="I4574"/>
      <c r="J4574"/>
    </row>
    <row r="4575" spans="1:10" s="2" customFormat="1">
      <c r="A4575" s="1"/>
      <c r="E4575"/>
      <c r="F4575"/>
      <c r="G4575"/>
      <c r="H4575"/>
      <c r="I4575"/>
      <c r="J4575"/>
    </row>
    <row r="4576" spans="1:10" s="2" customFormat="1">
      <c r="A4576" s="1"/>
      <c r="E4576"/>
      <c r="F4576"/>
      <c r="G4576"/>
      <c r="H4576"/>
      <c r="I4576"/>
      <c r="J4576"/>
    </row>
    <row r="4577" spans="1:10" s="2" customFormat="1">
      <c r="A4577" s="1"/>
      <c r="E4577"/>
      <c r="F4577"/>
      <c r="G4577"/>
      <c r="H4577"/>
      <c r="I4577"/>
      <c r="J4577"/>
    </row>
    <row r="4578" spans="1:10" s="2" customFormat="1">
      <c r="A4578" s="1"/>
      <c r="E4578"/>
      <c r="F4578"/>
      <c r="G4578"/>
      <c r="H4578"/>
      <c r="I4578"/>
      <c r="J4578"/>
    </row>
    <row r="4579" spans="1:10" s="2" customFormat="1">
      <c r="A4579" s="1"/>
      <c r="E4579"/>
      <c r="F4579"/>
      <c r="G4579"/>
      <c r="H4579"/>
      <c r="I4579"/>
      <c r="J4579"/>
    </row>
    <row r="4580" spans="1:10" s="2" customFormat="1">
      <c r="A4580" s="1"/>
      <c r="E4580"/>
      <c r="F4580"/>
      <c r="G4580"/>
      <c r="H4580"/>
      <c r="I4580"/>
      <c r="J4580"/>
    </row>
    <row r="4581" spans="1:10" s="2" customFormat="1">
      <c r="A4581" s="1"/>
      <c r="E4581"/>
      <c r="F4581"/>
      <c r="G4581"/>
      <c r="H4581"/>
      <c r="I4581"/>
      <c r="J4581"/>
    </row>
    <row r="4582" spans="1:10" s="2" customFormat="1">
      <c r="A4582" s="1"/>
      <c r="E4582"/>
      <c r="F4582"/>
      <c r="G4582"/>
      <c r="H4582"/>
      <c r="I4582"/>
      <c r="J4582"/>
    </row>
    <row r="4583" spans="1:10" s="2" customFormat="1">
      <c r="A4583" s="1"/>
      <c r="E4583"/>
      <c r="F4583"/>
      <c r="G4583"/>
      <c r="H4583"/>
      <c r="I4583"/>
      <c r="J4583"/>
    </row>
    <row r="4584" spans="1:10" s="2" customFormat="1">
      <c r="A4584" s="1"/>
      <c r="E4584"/>
      <c r="F4584"/>
      <c r="G4584"/>
      <c r="H4584"/>
      <c r="I4584"/>
      <c r="J4584"/>
    </row>
    <row r="4585" spans="1:10" s="2" customFormat="1">
      <c r="A4585" s="1"/>
      <c r="E4585"/>
      <c r="F4585"/>
      <c r="G4585"/>
      <c r="H4585"/>
      <c r="I4585"/>
      <c r="J4585"/>
    </row>
    <row r="4586" spans="1:10" s="2" customFormat="1">
      <c r="A4586" s="1"/>
      <c r="E4586"/>
      <c r="F4586"/>
      <c r="G4586"/>
      <c r="H4586"/>
      <c r="I4586"/>
      <c r="J4586"/>
    </row>
    <row r="4587" spans="1:10" s="2" customFormat="1">
      <c r="A4587" s="1"/>
      <c r="E4587"/>
      <c r="F4587"/>
      <c r="G4587"/>
      <c r="H4587"/>
      <c r="I4587"/>
      <c r="J4587"/>
    </row>
    <row r="4588" spans="1:10" s="2" customFormat="1">
      <c r="A4588" s="1"/>
      <c r="E4588"/>
      <c r="F4588"/>
      <c r="G4588"/>
      <c r="H4588"/>
      <c r="I4588"/>
      <c r="J4588"/>
    </row>
    <row r="4589" spans="1:10" s="2" customFormat="1">
      <c r="A4589" s="1"/>
      <c r="E4589"/>
      <c r="F4589"/>
      <c r="G4589"/>
      <c r="H4589"/>
      <c r="I4589"/>
      <c r="J4589"/>
    </row>
    <row r="4590" spans="1:10" s="2" customFormat="1">
      <c r="A4590" s="1"/>
      <c r="E4590"/>
      <c r="F4590"/>
      <c r="G4590"/>
      <c r="H4590"/>
      <c r="I4590"/>
      <c r="J4590"/>
    </row>
    <row r="4591" spans="1:10" s="2" customFormat="1">
      <c r="A4591" s="1"/>
      <c r="E4591"/>
      <c r="F4591"/>
      <c r="G4591"/>
      <c r="H4591"/>
      <c r="I4591"/>
      <c r="J4591"/>
    </row>
    <row r="4592" spans="1:10" s="2" customFormat="1">
      <c r="A4592" s="1"/>
      <c r="E4592"/>
      <c r="F4592"/>
      <c r="G4592"/>
      <c r="H4592"/>
      <c r="I4592"/>
      <c r="J4592"/>
    </row>
    <row r="4593" spans="1:10" s="2" customFormat="1">
      <c r="A4593" s="1"/>
      <c r="E4593"/>
      <c r="F4593"/>
      <c r="G4593"/>
      <c r="H4593"/>
      <c r="I4593"/>
      <c r="J4593"/>
    </row>
    <row r="4594" spans="1:10" s="2" customFormat="1">
      <c r="A4594" s="1"/>
      <c r="E4594"/>
      <c r="F4594"/>
      <c r="G4594"/>
      <c r="H4594"/>
      <c r="I4594"/>
      <c r="J4594"/>
    </row>
    <row r="4595" spans="1:10" s="2" customFormat="1">
      <c r="A4595" s="1"/>
      <c r="E4595"/>
      <c r="F4595"/>
      <c r="G4595"/>
      <c r="H4595"/>
      <c r="I4595"/>
      <c r="J4595"/>
    </row>
    <row r="4596" spans="1:10" s="2" customFormat="1">
      <c r="A4596" s="1"/>
      <c r="E4596"/>
      <c r="F4596"/>
      <c r="G4596"/>
      <c r="H4596"/>
      <c r="I4596"/>
      <c r="J4596"/>
    </row>
    <row r="4597" spans="1:10" s="2" customFormat="1">
      <c r="A4597" s="1"/>
      <c r="E4597"/>
      <c r="F4597"/>
      <c r="G4597"/>
      <c r="H4597"/>
      <c r="I4597"/>
      <c r="J4597"/>
    </row>
    <row r="4598" spans="1:10" s="2" customFormat="1">
      <c r="A4598" s="1"/>
      <c r="E4598"/>
      <c r="F4598"/>
      <c r="G4598"/>
      <c r="H4598"/>
      <c r="I4598"/>
      <c r="J4598"/>
    </row>
    <row r="4599" spans="1:10" s="2" customFormat="1">
      <c r="A4599" s="1"/>
      <c r="E4599"/>
      <c r="F4599"/>
      <c r="G4599"/>
      <c r="H4599"/>
      <c r="I4599"/>
      <c r="J4599"/>
    </row>
    <row r="4600" spans="1:10" s="2" customFormat="1">
      <c r="A4600" s="1"/>
      <c r="E4600"/>
      <c r="F4600"/>
      <c r="G4600"/>
      <c r="H4600"/>
      <c r="I4600"/>
      <c r="J4600"/>
    </row>
    <row r="4601" spans="1:10" s="2" customFormat="1">
      <c r="A4601" s="1"/>
      <c r="E4601"/>
      <c r="F4601"/>
      <c r="G4601"/>
      <c r="H4601"/>
      <c r="I4601"/>
      <c r="J4601"/>
    </row>
    <row r="4602" spans="1:10" s="2" customFormat="1">
      <c r="A4602" s="1"/>
      <c r="E4602"/>
      <c r="F4602"/>
      <c r="G4602"/>
      <c r="H4602"/>
      <c r="I4602"/>
      <c r="J4602"/>
    </row>
    <row r="4603" spans="1:10" s="2" customFormat="1">
      <c r="A4603" s="1"/>
      <c r="E4603"/>
      <c r="F4603"/>
      <c r="G4603"/>
      <c r="H4603"/>
      <c r="I4603"/>
      <c r="J4603"/>
    </row>
    <row r="4604" spans="1:10" s="2" customFormat="1">
      <c r="A4604" s="1"/>
      <c r="E4604"/>
      <c r="F4604"/>
      <c r="G4604"/>
      <c r="H4604"/>
      <c r="I4604"/>
      <c r="J4604"/>
    </row>
    <row r="4605" spans="1:10" s="2" customFormat="1">
      <c r="A4605" s="1"/>
      <c r="E4605"/>
      <c r="F4605"/>
      <c r="G4605"/>
      <c r="H4605"/>
      <c r="I4605"/>
      <c r="J4605"/>
    </row>
    <row r="4606" spans="1:10" s="2" customFormat="1">
      <c r="A4606" s="1"/>
      <c r="E4606"/>
      <c r="F4606"/>
      <c r="G4606"/>
      <c r="H4606"/>
      <c r="I4606"/>
      <c r="J4606"/>
    </row>
    <row r="4607" spans="1:10" s="2" customFormat="1">
      <c r="A4607" s="1"/>
      <c r="E4607"/>
      <c r="F4607"/>
      <c r="G4607"/>
      <c r="H4607"/>
      <c r="I4607"/>
      <c r="J4607"/>
    </row>
    <row r="4608" spans="1:10" s="2" customFormat="1">
      <c r="A4608" s="1"/>
      <c r="E4608"/>
      <c r="F4608"/>
      <c r="G4608"/>
      <c r="H4608"/>
      <c r="I4608"/>
      <c r="J4608"/>
    </row>
    <row r="4609" spans="1:10" s="2" customFormat="1">
      <c r="A4609" s="1"/>
      <c r="E4609"/>
      <c r="F4609"/>
      <c r="G4609"/>
      <c r="H4609"/>
      <c r="I4609"/>
      <c r="J4609"/>
    </row>
    <row r="4610" spans="1:10" s="2" customFormat="1">
      <c r="A4610" s="1"/>
      <c r="E4610"/>
      <c r="F4610"/>
      <c r="G4610"/>
      <c r="H4610"/>
      <c r="I4610"/>
      <c r="J4610"/>
    </row>
    <row r="4611" spans="1:10" s="2" customFormat="1">
      <c r="A4611" s="1"/>
      <c r="E4611"/>
      <c r="F4611"/>
      <c r="G4611"/>
      <c r="H4611"/>
      <c r="I4611"/>
      <c r="J4611"/>
    </row>
    <row r="4612" spans="1:10" s="2" customFormat="1">
      <c r="A4612" s="1"/>
      <c r="E4612"/>
      <c r="F4612"/>
      <c r="G4612"/>
      <c r="H4612"/>
      <c r="I4612"/>
      <c r="J4612"/>
    </row>
    <row r="4613" spans="1:10" s="2" customFormat="1">
      <c r="A4613" s="1"/>
      <c r="E4613"/>
      <c r="F4613"/>
      <c r="G4613"/>
      <c r="H4613"/>
      <c r="I4613"/>
      <c r="J4613"/>
    </row>
    <row r="4614" spans="1:10" s="2" customFormat="1">
      <c r="A4614" s="1"/>
      <c r="E4614"/>
      <c r="F4614"/>
      <c r="G4614"/>
      <c r="H4614"/>
      <c r="I4614"/>
      <c r="J4614"/>
    </row>
    <row r="4615" spans="1:10" s="2" customFormat="1">
      <c r="A4615" s="1"/>
      <c r="E4615"/>
      <c r="F4615"/>
      <c r="G4615"/>
      <c r="H4615"/>
      <c r="I4615"/>
      <c r="J4615"/>
    </row>
    <row r="4616" spans="1:10" s="2" customFormat="1">
      <c r="A4616" s="1"/>
      <c r="E4616"/>
      <c r="F4616"/>
      <c r="G4616"/>
      <c r="H4616"/>
      <c r="I4616"/>
      <c r="J4616"/>
    </row>
    <row r="4617" spans="1:10" s="2" customFormat="1">
      <c r="A4617" s="1"/>
      <c r="E4617"/>
      <c r="F4617"/>
      <c r="G4617"/>
      <c r="H4617"/>
      <c r="I4617"/>
      <c r="J4617"/>
    </row>
    <row r="4618" spans="1:10" s="2" customFormat="1">
      <c r="A4618" s="1"/>
      <c r="E4618"/>
      <c r="F4618"/>
      <c r="G4618"/>
      <c r="H4618"/>
      <c r="I4618"/>
      <c r="J4618"/>
    </row>
    <row r="4619" spans="1:10" s="2" customFormat="1">
      <c r="A4619" s="1"/>
      <c r="E4619"/>
      <c r="F4619"/>
      <c r="G4619"/>
      <c r="H4619"/>
      <c r="I4619"/>
      <c r="J4619"/>
    </row>
    <row r="4620" spans="1:10" s="2" customFormat="1">
      <c r="A4620" s="1"/>
      <c r="E4620"/>
      <c r="F4620"/>
      <c r="G4620"/>
      <c r="H4620"/>
      <c r="I4620"/>
      <c r="J4620"/>
    </row>
    <row r="4621" spans="1:10" s="2" customFormat="1">
      <c r="A4621" s="1"/>
      <c r="E4621"/>
      <c r="F4621"/>
      <c r="G4621"/>
      <c r="H4621"/>
      <c r="I4621"/>
      <c r="J4621"/>
    </row>
    <row r="4622" spans="1:10" s="2" customFormat="1">
      <c r="A4622" s="1"/>
      <c r="E4622"/>
      <c r="F4622"/>
      <c r="G4622"/>
      <c r="H4622"/>
      <c r="I4622"/>
      <c r="J4622"/>
    </row>
    <row r="4623" spans="1:10" s="2" customFormat="1">
      <c r="A4623" s="1"/>
      <c r="E4623"/>
      <c r="F4623"/>
      <c r="G4623"/>
      <c r="H4623"/>
      <c r="I4623"/>
      <c r="J4623"/>
    </row>
    <row r="4624" spans="1:10" s="2" customFormat="1">
      <c r="A4624" s="1"/>
      <c r="E4624"/>
      <c r="F4624"/>
      <c r="G4624"/>
      <c r="H4624"/>
      <c r="I4624"/>
      <c r="J4624"/>
    </row>
    <row r="4625" spans="1:10" s="2" customFormat="1">
      <c r="A4625" s="1"/>
      <c r="E4625"/>
      <c r="F4625"/>
      <c r="G4625"/>
      <c r="H4625"/>
      <c r="I4625"/>
      <c r="J4625"/>
    </row>
    <row r="4626" spans="1:10" s="2" customFormat="1">
      <c r="A4626" s="1"/>
      <c r="E4626"/>
      <c r="F4626"/>
      <c r="G4626"/>
      <c r="H4626"/>
      <c r="I4626"/>
      <c r="J4626"/>
    </row>
    <row r="4627" spans="1:10" s="2" customFormat="1">
      <c r="A4627" s="1"/>
      <c r="E4627"/>
      <c r="F4627"/>
      <c r="G4627"/>
      <c r="H4627"/>
      <c r="I4627"/>
      <c r="J4627"/>
    </row>
    <row r="4628" spans="1:10" s="2" customFormat="1">
      <c r="A4628" s="1"/>
      <c r="E4628"/>
      <c r="F4628"/>
      <c r="G4628"/>
      <c r="H4628"/>
      <c r="I4628"/>
      <c r="J4628"/>
    </row>
    <row r="4629" spans="1:10" s="2" customFormat="1">
      <c r="A4629" s="1"/>
      <c r="E4629"/>
      <c r="F4629"/>
      <c r="G4629"/>
      <c r="H4629"/>
      <c r="I4629"/>
      <c r="J4629"/>
    </row>
    <row r="4630" spans="1:10" s="2" customFormat="1">
      <c r="A4630" s="1"/>
      <c r="E4630"/>
      <c r="F4630"/>
      <c r="G4630"/>
      <c r="H4630"/>
      <c r="I4630"/>
      <c r="J4630"/>
    </row>
    <row r="4631" spans="1:10" s="2" customFormat="1">
      <c r="A4631" s="1"/>
      <c r="E4631"/>
      <c r="F4631"/>
      <c r="G4631"/>
      <c r="H4631"/>
      <c r="I4631"/>
      <c r="J4631"/>
    </row>
    <row r="4632" spans="1:10" s="2" customFormat="1">
      <c r="A4632" s="1"/>
      <c r="E4632"/>
      <c r="F4632"/>
      <c r="G4632"/>
      <c r="H4632"/>
      <c r="I4632"/>
      <c r="J4632"/>
    </row>
    <row r="4633" spans="1:10" s="2" customFormat="1">
      <c r="A4633" s="1"/>
      <c r="E4633"/>
      <c r="F4633"/>
      <c r="G4633"/>
      <c r="H4633"/>
      <c r="I4633"/>
      <c r="J4633"/>
    </row>
    <row r="4634" spans="1:10" s="2" customFormat="1">
      <c r="A4634" s="1"/>
      <c r="E4634"/>
      <c r="F4634"/>
      <c r="G4634"/>
      <c r="H4634"/>
      <c r="I4634"/>
      <c r="J4634"/>
    </row>
    <row r="4635" spans="1:10" s="2" customFormat="1">
      <c r="A4635" s="1"/>
      <c r="E4635"/>
      <c r="F4635"/>
      <c r="G4635"/>
      <c r="H4635"/>
      <c r="I4635"/>
      <c r="J4635"/>
    </row>
    <row r="4636" spans="1:10" s="2" customFormat="1">
      <c r="A4636" s="1"/>
      <c r="E4636"/>
      <c r="F4636"/>
      <c r="G4636"/>
      <c r="H4636"/>
      <c r="I4636"/>
      <c r="J4636"/>
    </row>
    <row r="4637" spans="1:10" s="2" customFormat="1">
      <c r="A4637" s="1"/>
      <c r="E4637"/>
      <c r="F4637"/>
      <c r="G4637"/>
      <c r="H4637"/>
      <c r="I4637"/>
      <c r="J4637"/>
    </row>
    <row r="4638" spans="1:10" s="2" customFormat="1">
      <c r="A4638" s="1"/>
      <c r="E4638"/>
      <c r="F4638"/>
      <c r="G4638"/>
      <c r="H4638"/>
      <c r="I4638"/>
      <c r="J4638"/>
    </row>
    <row r="4639" spans="1:10" s="2" customFormat="1">
      <c r="A4639" s="1"/>
      <c r="E4639"/>
      <c r="F4639"/>
      <c r="G4639"/>
      <c r="H4639"/>
      <c r="I4639"/>
      <c r="J4639"/>
    </row>
    <row r="4640" spans="1:10" s="2" customFormat="1">
      <c r="A4640" s="1"/>
      <c r="E4640"/>
      <c r="F4640"/>
      <c r="G4640"/>
      <c r="H4640"/>
      <c r="I4640"/>
      <c r="J4640"/>
    </row>
    <row r="4641" spans="1:10" s="2" customFormat="1">
      <c r="A4641" s="1"/>
      <c r="E4641"/>
      <c r="F4641"/>
      <c r="G4641"/>
      <c r="H4641"/>
      <c r="I4641"/>
      <c r="J4641"/>
    </row>
    <row r="4642" spans="1:10" s="2" customFormat="1">
      <c r="A4642" s="1"/>
      <c r="E4642"/>
      <c r="F4642"/>
      <c r="G4642"/>
      <c r="H4642"/>
      <c r="I4642"/>
      <c r="J4642"/>
    </row>
    <row r="4643" spans="1:10" s="2" customFormat="1">
      <c r="A4643" s="1"/>
      <c r="E4643"/>
      <c r="F4643"/>
      <c r="G4643"/>
      <c r="H4643"/>
      <c r="I4643"/>
      <c r="J4643"/>
    </row>
    <row r="4644" spans="1:10" s="2" customFormat="1">
      <c r="A4644" s="1"/>
      <c r="E4644"/>
      <c r="F4644"/>
      <c r="G4644"/>
      <c r="H4644"/>
      <c r="I4644"/>
      <c r="J4644"/>
    </row>
    <row r="4645" spans="1:10" s="2" customFormat="1">
      <c r="A4645" s="1"/>
      <c r="E4645"/>
      <c r="F4645"/>
      <c r="G4645"/>
      <c r="H4645"/>
      <c r="I4645"/>
      <c r="J4645"/>
    </row>
    <row r="4646" spans="1:10" s="2" customFormat="1">
      <c r="A4646" s="1"/>
      <c r="E4646"/>
      <c r="F4646"/>
      <c r="G4646"/>
      <c r="H4646"/>
      <c r="I4646"/>
      <c r="J4646"/>
    </row>
    <row r="4647" spans="1:10" s="2" customFormat="1">
      <c r="A4647" s="1"/>
      <c r="E4647"/>
      <c r="F4647"/>
      <c r="G4647"/>
      <c r="H4647"/>
      <c r="I4647"/>
      <c r="J4647"/>
    </row>
    <row r="4648" spans="1:10" s="2" customFormat="1">
      <c r="A4648" s="1"/>
      <c r="E4648"/>
      <c r="F4648"/>
      <c r="G4648"/>
      <c r="H4648"/>
      <c r="I4648"/>
      <c r="J4648"/>
    </row>
    <row r="4649" spans="1:10" s="2" customFormat="1">
      <c r="A4649" s="1"/>
      <c r="E4649"/>
      <c r="F4649"/>
      <c r="G4649"/>
      <c r="H4649"/>
      <c r="I4649"/>
      <c r="J4649"/>
    </row>
    <row r="4650" spans="1:10" s="2" customFormat="1">
      <c r="A4650" s="1"/>
      <c r="E4650"/>
      <c r="F4650"/>
      <c r="G4650"/>
      <c r="H4650"/>
      <c r="I4650"/>
      <c r="J4650"/>
    </row>
    <row r="4651" spans="1:10" s="2" customFormat="1">
      <c r="A4651" s="1"/>
      <c r="E4651"/>
      <c r="F4651"/>
      <c r="G4651"/>
      <c r="H4651"/>
      <c r="I4651"/>
      <c r="J4651"/>
    </row>
    <row r="4652" spans="1:10" s="2" customFormat="1">
      <c r="A4652" s="1"/>
      <c r="E4652"/>
      <c r="F4652"/>
      <c r="G4652"/>
      <c r="H4652"/>
      <c r="I4652"/>
      <c r="J4652"/>
    </row>
    <row r="4653" spans="1:10" s="2" customFormat="1">
      <c r="A4653" s="1"/>
      <c r="E4653"/>
      <c r="F4653"/>
      <c r="G4653"/>
      <c r="H4653"/>
      <c r="I4653"/>
      <c r="J4653"/>
    </row>
    <row r="4654" spans="1:10" s="2" customFormat="1">
      <c r="A4654" s="1"/>
      <c r="E4654"/>
      <c r="F4654"/>
      <c r="G4654"/>
      <c r="H4654"/>
      <c r="I4654"/>
      <c r="J4654"/>
    </row>
    <row r="4655" spans="1:10" s="2" customFormat="1">
      <c r="A4655" s="1"/>
      <c r="E4655"/>
      <c r="F4655"/>
      <c r="G4655"/>
      <c r="H4655"/>
      <c r="I4655"/>
      <c r="J4655"/>
    </row>
    <row r="4656" spans="1:10" s="2" customFormat="1">
      <c r="A4656" s="1"/>
      <c r="E4656"/>
      <c r="F4656"/>
      <c r="G4656"/>
      <c r="H4656"/>
      <c r="I4656"/>
      <c r="J4656"/>
    </row>
    <row r="4657" spans="1:10" s="2" customFormat="1">
      <c r="A4657" s="1"/>
      <c r="E4657"/>
      <c r="F4657"/>
      <c r="G4657"/>
      <c r="H4657"/>
      <c r="I4657"/>
      <c r="J4657"/>
    </row>
    <row r="4658" spans="1:10" s="2" customFormat="1">
      <c r="A4658" s="1"/>
      <c r="E4658"/>
      <c r="F4658"/>
      <c r="G4658"/>
      <c r="H4658"/>
      <c r="I4658"/>
      <c r="J4658"/>
    </row>
    <row r="4659" spans="1:10" s="2" customFormat="1">
      <c r="A4659" s="1"/>
      <c r="E4659"/>
      <c r="F4659"/>
      <c r="G4659"/>
      <c r="H4659"/>
      <c r="I4659"/>
      <c r="J4659"/>
    </row>
    <row r="4660" spans="1:10" s="2" customFormat="1">
      <c r="A4660" s="1"/>
      <c r="E4660"/>
      <c r="F4660"/>
      <c r="G4660"/>
      <c r="H4660"/>
      <c r="I4660"/>
      <c r="J4660"/>
    </row>
    <row r="4661" spans="1:10" s="2" customFormat="1">
      <c r="A4661" s="1"/>
      <c r="E4661"/>
      <c r="F4661"/>
      <c r="G4661"/>
      <c r="H4661"/>
      <c r="I4661"/>
      <c r="J4661"/>
    </row>
    <row r="4662" spans="1:10" s="2" customFormat="1">
      <c r="A4662" s="1"/>
      <c r="E4662"/>
      <c r="F4662"/>
      <c r="G4662"/>
      <c r="H4662"/>
      <c r="I4662"/>
      <c r="J4662"/>
    </row>
    <row r="4663" spans="1:10" s="2" customFormat="1">
      <c r="A4663" s="1"/>
      <c r="E4663"/>
      <c r="F4663"/>
      <c r="G4663"/>
      <c r="H4663"/>
      <c r="I4663"/>
      <c r="J4663"/>
    </row>
    <row r="4664" spans="1:10" s="2" customFormat="1">
      <c r="A4664" s="1"/>
      <c r="E4664"/>
      <c r="F4664"/>
      <c r="G4664"/>
      <c r="H4664"/>
      <c r="I4664"/>
      <c r="J4664"/>
    </row>
    <row r="4665" spans="1:10" s="2" customFormat="1">
      <c r="A4665" s="1"/>
      <c r="E4665"/>
      <c r="F4665"/>
      <c r="G4665"/>
      <c r="H4665"/>
      <c r="I4665"/>
      <c r="J4665"/>
    </row>
    <row r="4666" spans="1:10" s="2" customFormat="1">
      <c r="A4666" s="1"/>
      <c r="E4666"/>
      <c r="F4666"/>
      <c r="G4666"/>
      <c r="H4666"/>
      <c r="I4666"/>
      <c r="J4666"/>
    </row>
    <row r="4667" spans="1:10" s="2" customFormat="1">
      <c r="A4667" s="1"/>
      <c r="E4667"/>
      <c r="F4667"/>
      <c r="G4667"/>
      <c r="H4667"/>
      <c r="I4667"/>
      <c r="J4667"/>
    </row>
    <row r="4668" spans="1:10" s="2" customFormat="1">
      <c r="A4668" s="1"/>
      <c r="E4668"/>
      <c r="F4668"/>
      <c r="G4668"/>
      <c r="H4668"/>
      <c r="I4668"/>
      <c r="J4668"/>
    </row>
    <row r="4669" spans="1:10" s="2" customFormat="1">
      <c r="A4669" s="1"/>
      <c r="E4669"/>
      <c r="F4669"/>
      <c r="G4669"/>
      <c r="H4669"/>
      <c r="I4669"/>
      <c r="J4669"/>
    </row>
    <row r="4670" spans="1:10" s="2" customFormat="1">
      <c r="A4670" s="1"/>
      <c r="E4670"/>
      <c r="F4670"/>
      <c r="G4670"/>
      <c r="H4670"/>
      <c r="I4670"/>
      <c r="J4670"/>
    </row>
    <row r="4671" spans="1:10" s="2" customFormat="1">
      <c r="A4671" s="1"/>
      <c r="E4671"/>
      <c r="F4671"/>
      <c r="G4671"/>
      <c r="H4671"/>
      <c r="I4671"/>
      <c r="J4671"/>
    </row>
    <row r="4672" spans="1:10" s="2" customFormat="1">
      <c r="A4672" s="1"/>
      <c r="E4672"/>
      <c r="F4672"/>
      <c r="G4672"/>
      <c r="H4672"/>
      <c r="I4672"/>
      <c r="J4672"/>
    </row>
    <row r="4673" spans="1:10" s="2" customFormat="1">
      <c r="A4673" s="1"/>
      <c r="E4673"/>
      <c r="F4673"/>
      <c r="G4673"/>
      <c r="H4673"/>
      <c r="I4673"/>
      <c r="J4673"/>
    </row>
    <row r="4674" spans="1:10" s="2" customFormat="1">
      <c r="A4674" s="1"/>
      <c r="E4674"/>
      <c r="F4674"/>
      <c r="G4674"/>
      <c r="H4674"/>
      <c r="I4674"/>
      <c r="J4674"/>
    </row>
    <row r="4675" spans="1:10" s="2" customFormat="1">
      <c r="A4675" s="1"/>
      <c r="E4675"/>
      <c r="F4675"/>
      <c r="G4675"/>
      <c r="H4675"/>
      <c r="I4675"/>
      <c r="J4675"/>
    </row>
    <row r="4676" spans="1:10" s="2" customFormat="1">
      <c r="A4676" s="1"/>
      <c r="E4676"/>
      <c r="F4676"/>
      <c r="G4676"/>
      <c r="H4676"/>
      <c r="I4676"/>
      <c r="J4676"/>
    </row>
    <row r="4677" spans="1:10" s="2" customFormat="1">
      <c r="A4677" s="1"/>
      <c r="E4677"/>
      <c r="F4677"/>
      <c r="G4677"/>
      <c r="H4677"/>
      <c r="I4677"/>
      <c r="J4677"/>
    </row>
    <row r="4678" spans="1:10" s="2" customFormat="1">
      <c r="A4678" s="1"/>
      <c r="E4678"/>
      <c r="F4678"/>
      <c r="G4678"/>
      <c r="H4678"/>
      <c r="I4678"/>
      <c r="J4678"/>
    </row>
    <row r="4679" spans="1:10" s="2" customFormat="1">
      <c r="A4679" s="1"/>
      <c r="E4679"/>
      <c r="F4679"/>
      <c r="G4679"/>
      <c r="H4679"/>
      <c r="I4679"/>
      <c r="J4679"/>
    </row>
    <row r="4680" spans="1:10" s="2" customFormat="1">
      <c r="A4680" s="1"/>
      <c r="E4680"/>
      <c r="F4680"/>
      <c r="G4680"/>
      <c r="H4680"/>
      <c r="I4680"/>
      <c r="J4680"/>
    </row>
    <row r="4681" spans="1:10" s="2" customFormat="1">
      <c r="A4681" s="1"/>
      <c r="E4681"/>
      <c r="F4681"/>
      <c r="G4681"/>
      <c r="H4681"/>
      <c r="I4681"/>
      <c r="J4681"/>
    </row>
    <row r="4682" spans="1:10" s="2" customFormat="1">
      <c r="A4682" s="1"/>
      <c r="E4682"/>
      <c r="F4682"/>
      <c r="G4682"/>
      <c r="H4682"/>
      <c r="I4682"/>
      <c r="J4682"/>
    </row>
    <row r="4683" spans="1:10" s="2" customFormat="1">
      <c r="A4683" s="1"/>
      <c r="E4683"/>
      <c r="F4683"/>
      <c r="G4683"/>
      <c r="H4683"/>
      <c r="I4683"/>
      <c r="J4683"/>
    </row>
    <row r="4684" spans="1:10" s="2" customFormat="1">
      <c r="A4684" s="1"/>
      <c r="E4684"/>
      <c r="F4684"/>
      <c r="G4684"/>
      <c r="H4684"/>
      <c r="I4684"/>
      <c r="J4684"/>
    </row>
    <row r="4685" spans="1:10" s="2" customFormat="1">
      <c r="A4685" s="1"/>
      <c r="E4685"/>
      <c r="F4685"/>
      <c r="G4685"/>
      <c r="H4685"/>
      <c r="I4685"/>
      <c r="J4685"/>
    </row>
    <row r="4686" spans="1:10" s="2" customFormat="1">
      <c r="A4686" s="1"/>
      <c r="E4686"/>
      <c r="F4686"/>
      <c r="G4686"/>
      <c r="H4686"/>
      <c r="I4686"/>
      <c r="J4686"/>
    </row>
    <row r="4687" spans="1:10" s="2" customFormat="1">
      <c r="A4687" s="1"/>
      <c r="E4687"/>
      <c r="F4687"/>
      <c r="G4687"/>
      <c r="H4687"/>
      <c r="I4687"/>
      <c r="J4687"/>
    </row>
    <row r="4688" spans="1:10" s="2" customFormat="1">
      <c r="A4688" s="1"/>
      <c r="E4688"/>
      <c r="F4688"/>
      <c r="G4688"/>
      <c r="H4688"/>
      <c r="I4688"/>
      <c r="J4688"/>
    </row>
    <row r="4689" spans="1:10" s="2" customFormat="1">
      <c r="A4689" s="1"/>
      <c r="E4689"/>
      <c r="F4689"/>
      <c r="G4689"/>
      <c r="H4689"/>
      <c r="I4689"/>
      <c r="J4689"/>
    </row>
    <row r="4690" spans="1:10" s="2" customFormat="1">
      <c r="A4690" s="1"/>
      <c r="E4690"/>
      <c r="F4690"/>
      <c r="G4690"/>
      <c r="H4690"/>
      <c r="I4690"/>
      <c r="J4690"/>
    </row>
    <row r="4691" spans="1:10" s="2" customFormat="1">
      <c r="A4691" s="1"/>
      <c r="E4691"/>
      <c r="F4691"/>
      <c r="G4691"/>
      <c r="H4691"/>
      <c r="I4691"/>
      <c r="J4691"/>
    </row>
    <row r="4692" spans="1:10" s="2" customFormat="1">
      <c r="A4692" s="1"/>
      <c r="E4692"/>
      <c r="F4692"/>
      <c r="G4692"/>
      <c r="H4692"/>
      <c r="I4692"/>
      <c r="J4692"/>
    </row>
    <row r="4693" spans="1:10" s="2" customFormat="1">
      <c r="A4693" s="1"/>
      <c r="E4693"/>
      <c r="F4693"/>
      <c r="G4693"/>
      <c r="H4693"/>
      <c r="I4693"/>
      <c r="J4693"/>
    </row>
    <row r="4694" spans="1:10" s="2" customFormat="1">
      <c r="A4694" s="1"/>
      <c r="E4694"/>
      <c r="F4694"/>
      <c r="G4694"/>
      <c r="H4694"/>
      <c r="I4694"/>
      <c r="J4694"/>
    </row>
    <row r="4695" spans="1:10" s="2" customFormat="1">
      <c r="A4695" s="1"/>
      <c r="E4695"/>
      <c r="F4695"/>
      <c r="G4695"/>
      <c r="H4695"/>
      <c r="I4695"/>
      <c r="J4695"/>
    </row>
    <row r="4696" spans="1:10" s="2" customFormat="1">
      <c r="A4696" s="1"/>
      <c r="E4696"/>
      <c r="F4696"/>
      <c r="G4696"/>
      <c r="H4696"/>
      <c r="I4696"/>
      <c r="J4696"/>
    </row>
    <row r="4697" spans="1:10" s="2" customFormat="1">
      <c r="A4697" s="1"/>
      <c r="E4697"/>
      <c r="F4697"/>
      <c r="G4697"/>
      <c r="H4697"/>
      <c r="I4697"/>
      <c r="J4697"/>
    </row>
    <row r="4698" spans="1:10" s="2" customFormat="1">
      <c r="A4698" s="1"/>
      <c r="E4698"/>
      <c r="F4698"/>
      <c r="G4698"/>
      <c r="H4698"/>
      <c r="I4698"/>
      <c r="J4698"/>
    </row>
    <row r="4699" spans="1:10" s="2" customFormat="1">
      <c r="A4699" s="1"/>
      <c r="E4699"/>
      <c r="F4699"/>
      <c r="G4699"/>
      <c r="H4699"/>
      <c r="I4699"/>
      <c r="J4699"/>
    </row>
    <row r="4700" spans="1:10" s="2" customFormat="1">
      <c r="A4700" s="1"/>
      <c r="E4700"/>
      <c r="F4700"/>
      <c r="G4700"/>
      <c r="H4700"/>
      <c r="I4700"/>
      <c r="J4700"/>
    </row>
    <row r="4701" spans="1:10" s="2" customFormat="1">
      <c r="A4701" s="1"/>
      <c r="E4701"/>
      <c r="F4701"/>
      <c r="G4701"/>
      <c r="H4701"/>
      <c r="I4701"/>
      <c r="J4701"/>
    </row>
    <row r="4702" spans="1:10" s="2" customFormat="1">
      <c r="A4702" s="1"/>
      <c r="E4702"/>
      <c r="F4702"/>
      <c r="G4702"/>
      <c r="H4702"/>
      <c r="I4702"/>
      <c r="J4702"/>
    </row>
    <row r="4703" spans="1:10" s="2" customFormat="1">
      <c r="A4703" s="1"/>
      <c r="E4703"/>
      <c r="F4703"/>
      <c r="G4703"/>
      <c r="H4703"/>
      <c r="I4703"/>
      <c r="J4703"/>
    </row>
    <row r="4704" spans="1:10" s="2" customFormat="1">
      <c r="A4704" s="1"/>
      <c r="E4704"/>
      <c r="F4704"/>
      <c r="G4704"/>
      <c r="H4704"/>
      <c r="I4704"/>
      <c r="J4704"/>
    </row>
    <row r="4705" spans="1:10" s="2" customFormat="1">
      <c r="A4705" s="1"/>
      <c r="E4705"/>
      <c r="F4705"/>
      <c r="G4705"/>
      <c r="H4705"/>
      <c r="I4705"/>
      <c r="J4705"/>
    </row>
    <row r="4706" spans="1:10" s="2" customFormat="1">
      <c r="A4706" s="1"/>
      <c r="E4706"/>
      <c r="F4706"/>
      <c r="G4706"/>
      <c r="H4706"/>
      <c r="I4706"/>
      <c r="J4706"/>
    </row>
    <row r="4707" spans="1:10" s="2" customFormat="1">
      <c r="A4707" s="1"/>
      <c r="E4707"/>
      <c r="F4707"/>
      <c r="G4707"/>
      <c r="H4707"/>
      <c r="I4707"/>
      <c r="J4707"/>
    </row>
    <row r="4708" spans="1:10" s="2" customFormat="1">
      <c r="A4708" s="1"/>
      <c r="E4708"/>
      <c r="F4708"/>
      <c r="G4708"/>
      <c r="H4708"/>
      <c r="I4708"/>
      <c r="J4708"/>
    </row>
    <row r="4709" spans="1:10" s="2" customFormat="1">
      <c r="A4709" s="1"/>
      <c r="E4709"/>
      <c r="F4709"/>
      <c r="G4709"/>
      <c r="H4709"/>
      <c r="I4709"/>
      <c r="J4709"/>
    </row>
    <row r="4710" spans="1:10" s="2" customFormat="1">
      <c r="A4710" s="1"/>
      <c r="E4710"/>
      <c r="F4710"/>
      <c r="G4710"/>
      <c r="H4710"/>
      <c r="I4710"/>
      <c r="J4710"/>
    </row>
    <row r="4711" spans="1:10" s="2" customFormat="1">
      <c r="A4711" s="1"/>
      <c r="E4711"/>
      <c r="F4711"/>
      <c r="G4711"/>
      <c r="H4711"/>
      <c r="I4711"/>
      <c r="J4711"/>
    </row>
    <row r="4712" spans="1:10" s="2" customFormat="1">
      <c r="A4712" s="1"/>
      <c r="E4712"/>
      <c r="F4712"/>
      <c r="G4712"/>
      <c r="H4712"/>
      <c r="I4712"/>
      <c r="J4712"/>
    </row>
    <row r="4713" spans="1:10" s="2" customFormat="1">
      <c r="A4713" s="1"/>
      <c r="E4713"/>
      <c r="F4713"/>
      <c r="G4713"/>
      <c r="H4713"/>
      <c r="I4713"/>
      <c r="J4713"/>
    </row>
    <row r="4714" spans="1:10" s="2" customFormat="1">
      <c r="A4714" s="1"/>
      <c r="E4714"/>
      <c r="F4714"/>
      <c r="G4714"/>
      <c r="H4714"/>
      <c r="I4714"/>
      <c r="J4714"/>
    </row>
    <row r="4715" spans="1:10" s="2" customFormat="1">
      <c r="A4715" s="1"/>
      <c r="E4715"/>
      <c r="F4715"/>
      <c r="G4715"/>
      <c r="H4715"/>
      <c r="I4715"/>
      <c r="J4715"/>
    </row>
    <row r="4716" spans="1:10" s="2" customFormat="1">
      <c r="A4716" s="1"/>
      <c r="E4716"/>
      <c r="F4716"/>
      <c r="G4716"/>
      <c r="H4716"/>
      <c r="I4716"/>
      <c r="J4716"/>
    </row>
    <row r="4717" spans="1:10" s="2" customFormat="1">
      <c r="A4717" s="1"/>
      <c r="E4717"/>
      <c r="F4717"/>
      <c r="G4717"/>
      <c r="H4717"/>
      <c r="I4717"/>
      <c r="J4717"/>
    </row>
    <row r="4718" spans="1:10" s="2" customFormat="1">
      <c r="A4718" s="1"/>
      <c r="E4718"/>
      <c r="F4718"/>
      <c r="G4718"/>
      <c r="H4718"/>
      <c r="I4718"/>
      <c r="J4718"/>
    </row>
    <row r="4719" spans="1:10" s="2" customFormat="1">
      <c r="A4719" s="1"/>
      <c r="E4719"/>
      <c r="F4719"/>
      <c r="G4719"/>
      <c r="H4719"/>
      <c r="I4719"/>
      <c r="J4719"/>
    </row>
    <row r="4720" spans="1:10" s="2" customFormat="1">
      <c r="A4720" s="1"/>
      <c r="E4720"/>
      <c r="F4720"/>
      <c r="G4720"/>
      <c r="H4720"/>
      <c r="I4720"/>
      <c r="J4720"/>
    </row>
    <row r="4721" spans="1:10" s="2" customFormat="1">
      <c r="A4721" s="1"/>
      <c r="E4721"/>
      <c r="F4721"/>
      <c r="G4721"/>
      <c r="H4721"/>
      <c r="I4721"/>
      <c r="J4721"/>
    </row>
    <row r="4722" spans="1:10" s="2" customFormat="1">
      <c r="A4722" s="1"/>
      <c r="E4722"/>
      <c r="F4722"/>
      <c r="G4722"/>
      <c r="H4722"/>
      <c r="I4722"/>
      <c r="J4722"/>
    </row>
    <row r="4723" spans="1:10" s="2" customFormat="1">
      <c r="A4723" s="1"/>
      <c r="E4723"/>
      <c r="F4723"/>
      <c r="G4723"/>
      <c r="H4723"/>
      <c r="I4723"/>
      <c r="J4723"/>
    </row>
    <row r="4724" spans="1:10" s="2" customFormat="1">
      <c r="A4724" s="1"/>
      <c r="E4724"/>
      <c r="F4724"/>
      <c r="G4724"/>
      <c r="H4724"/>
      <c r="I4724"/>
      <c r="J4724"/>
    </row>
    <row r="4725" spans="1:10" s="2" customFormat="1">
      <c r="A4725" s="1"/>
      <c r="E4725"/>
      <c r="F4725"/>
      <c r="G4725"/>
      <c r="H4725"/>
      <c r="I4725"/>
      <c r="J4725"/>
    </row>
    <row r="4726" spans="1:10" s="2" customFormat="1">
      <c r="A4726" s="1"/>
      <c r="E4726"/>
      <c r="F4726"/>
      <c r="G4726"/>
      <c r="H4726"/>
      <c r="I4726"/>
      <c r="J4726"/>
    </row>
    <row r="4727" spans="1:10" s="2" customFormat="1">
      <c r="A4727" s="1"/>
      <c r="E4727"/>
      <c r="F4727"/>
      <c r="G4727"/>
      <c r="H4727"/>
      <c r="I4727"/>
      <c r="J4727"/>
    </row>
    <row r="4728" spans="1:10" s="2" customFormat="1">
      <c r="A4728" s="1"/>
      <c r="E4728"/>
      <c r="F4728"/>
      <c r="G4728"/>
      <c r="H4728"/>
      <c r="I4728"/>
      <c r="J4728"/>
    </row>
    <row r="4729" spans="1:10" s="2" customFormat="1">
      <c r="A4729" s="1"/>
      <c r="E4729"/>
      <c r="F4729"/>
      <c r="G4729"/>
      <c r="H4729"/>
      <c r="I4729"/>
      <c r="J4729"/>
    </row>
    <row r="4730" spans="1:10" s="2" customFormat="1">
      <c r="A4730" s="1"/>
      <c r="E4730"/>
      <c r="F4730"/>
      <c r="G4730"/>
      <c r="H4730"/>
      <c r="I4730"/>
      <c r="J4730"/>
    </row>
    <row r="4731" spans="1:10" s="2" customFormat="1">
      <c r="A4731" s="1"/>
      <c r="E4731"/>
      <c r="F4731"/>
      <c r="G4731"/>
      <c r="H4731"/>
      <c r="I4731"/>
      <c r="J4731"/>
    </row>
    <row r="4732" spans="1:10" s="2" customFormat="1">
      <c r="A4732" s="1"/>
      <c r="E4732"/>
      <c r="F4732"/>
      <c r="G4732"/>
      <c r="H4732"/>
      <c r="I4732"/>
      <c r="J4732"/>
    </row>
    <row r="4733" spans="1:10" s="2" customFormat="1">
      <c r="A4733" s="1"/>
      <c r="E4733"/>
      <c r="F4733"/>
      <c r="G4733"/>
      <c r="H4733"/>
      <c r="I4733"/>
      <c r="J4733"/>
    </row>
    <row r="4734" spans="1:10" s="2" customFormat="1">
      <c r="A4734" s="1"/>
      <c r="E4734"/>
      <c r="F4734"/>
      <c r="G4734"/>
      <c r="H4734"/>
      <c r="I4734"/>
      <c r="J4734"/>
    </row>
    <row r="4735" spans="1:10" s="2" customFormat="1">
      <c r="A4735" s="1"/>
      <c r="E4735"/>
      <c r="F4735"/>
      <c r="G4735"/>
      <c r="H4735"/>
      <c r="I4735"/>
      <c r="J4735"/>
    </row>
    <row r="4736" spans="1:10" s="2" customFormat="1">
      <c r="A4736" s="1"/>
      <c r="E4736"/>
      <c r="F4736"/>
      <c r="G4736"/>
      <c r="H4736"/>
      <c r="I4736"/>
      <c r="J4736"/>
    </row>
    <row r="4737" spans="1:10" s="2" customFormat="1">
      <c r="A4737" s="1"/>
      <c r="E4737"/>
      <c r="F4737"/>
      <c r="G4737"/>
      <c r="H4737"/>
      <c r="I4737"/>
      <c r="J4737"/>
    </row>
    <row r="4738" spans="1:10" s="2" customFormat="1">
      <c r="A4738" s="1"/>
      <c r="E4738"/>
      <c r="F4738"/>
      <c r="G4738"/>
      <c r="H4738"/>
      <c r="I4738"/>
      <c r="J4738"/>
    </row>
    <row r="4739" spans="1:10" s="2" customFormat="1">
      <c r="A4739" s="1"/>
      <c r="E4739"/>
      <c r="F4739"/>
      <c r="G4739"/>
      <c r="H4739"/>
      <c r="I4739"/>
      <c r="J4739"/>
    </row>
    <row r="4740" spans="1:10" s="2" customFormat="1">
      <c r="A4740" s="1"/>
      <c r="E4740"/>
      <c r="F4740"/>
      <c r="G4740"/>
      <c r="H4740"/>
      <c r="I4740"/>
      <c r="J4740"/>
    </row>
    <row r="4741" spans="1:10" s="2" customFormat="1">
      <c r="A4741" s="1"/>
      <c r="E4741"/>
      <c r="F4741"/>
      <c r="G4741"/>
      <c r="H4741"/>
      <c r="I4741"/>
      <c r="J4741"/>
    </row>
    <row r="4742" spans="1:10" s="2" customFormat="1">
      <c r="A4742" s="1"/>
      <c r="E4742"/>
      <c r="F4742"/>
      <c r="G4742"/>
      <c r="H4742"/>
      <c r="I4742"/>
      <c r="J4742"/>
    </row>
    <row r="4743" spans="1:10" s="2" customFormat="1">
      <c r="A4743" s="1"/>
      <c r="E4743"/>
      <c r="F4743"/>
      <c r="G4743"/>
      <c r="H4743"/>
      <c r="I4743"/>
      <c r="J4743"/>
    </row>
    <row r="4744" spans="1:10" s="2" customFormat="1">
      <c r="A4744" s="1"/>
      <c r="E4744"/>
      <c r="F4744"/>
      <c r="G4744"/>
      <c r="H4744"/>
      <c r="I4744"/>
      <c r="J4744"/>
    </row>
    <row r="4745" spans="1:10" s="2" customFormat="1">
      <c r="A4745" s="1"/>
      <c r="E4745"/>
      <c r="F4745"/>
      <c r="G4745"/>
      <c r="H4745"/>
      <c r="I4745"/>
      <c r="J4745"/>
    </row>
    <row r="4746" spans="1:10" s="2" customFormat="1">
      <c r="A4746" s="1"/>
      <c r="E4746"/>
      <c r="F4746"/>
      <c r="G4746"/>
      <c r="H4746"/>
      <c r="I4746"/>
      <c r="J4746"/>
    </row>
    <row r="4747" spans="1:10" s="2" customFormat="1">
      <c r="A4747" s="1"/>
      <c r="E4747"/>
      <c r="F4747"/>
      <c r="G4747"/>
      <c r="H4747"/>
      <c r="I4747"/>
      <c r="J4747"/>
    </row>
    <row r="4748" spans="1:10" s="2" customFormat="1">
      <c r="A4748" s="1"/>
      <c r="E4748"/>
      <c r="F4748"/>
      <c r="G4748"/>
      <c r="H4748"/>
      <c r="I4748"/>
      <c r="J4748"/>
    </row>
    <row r="4749" spans="1:10" s="2" customFormat="1">
      <c r="A4749" s="1"/>
      <c r="E4749"/>
      <c r="F4749"/>
      <c r="G4749"/>
      <c r="H4749"/>
      <c r="I4749"/>
      <c r="J4749"/>
    </row>
    <row r="4750" spans="1:10" s="2" customFormat="1">
      <c r="A4750" s="1"/>
      <c r="E4750"/>
      <c r="F4750"/>
      <c r="G4750"/>
      <c r="H4750"/>
      <c r="I4750"/>
      <c r="J4750"/>
    </row>
    <row r="4751" spans="1:10" s="2" customFormat="1">
      <c r="A4751" s="1"/>
      <c r="E4751"/>
      <c r="F4751"/>
      <c r="G4751"/>
      <c r="H4751"/>
      <c r="I4751"/>
      <c r="J4751"/>
    </row>
    <row r="4752" spans="1:10" s="2" customFormat="1">
      <c r="A4752" s="1"/>
      <c r="E4752"/>
      <c r="F4752"/>
      <c r="G4752"/>
      <c r="H4752"/>
      <c r="I4752"/>
      <c r="J4752"/>
    </row>
    <row r="4753" spans="1:10" s="2" customFormat="1">
      <c r="A4753" s="1"/>
      <c r="E4753"/>
      <c r="F4753"/>
      <c r="G4753"/>
      <c r="H4753"/>
      <c r="I4753"/>
      <c r="J4753"/>
    </row>
    <row r="4754" spans="1:10" s="2" customFormat="1">
      <c r="A4754" s="1"/>
      <c r="E4754"/>
      <c r="F4754"/>
      <c r="G4754"/>
      <c r="H4754"/>
      <c r="I4754"/>
      <c r="J4754"/>
    </row>
    <row r="4755" spans="1:10" s="2" customFormat="1">
      <c r="A4755" s="1"/>
      <c r="E4755"/>
      <c r="F4755"/>
      <c r="G4755"/>
      <c r="H4755"/>
      <c r="I4755"/>
      <c r="J4755"/>
    </row>
    <row r="4756" spans="1:10" s="2" customFormat="1">
      <c r="A4756" s="1"/>
      <c r="E4756"/>
      <c r="F4756"/>
      <c r="G4756"/>
      <c r="H4756"/>
      <c r="I4756"/>
      <c r="J4756"/>
    </row>
    <row r="4757" spans="1:10" s="2" customFormat="1">
      <c r="A4757" s="1"/>
      <c r="E4757"/>
      <c r="F4757"/>
      <c r="G4757"/>
      <c r="H4757"/>
      <c r="I4757"/>
      <c r="J4757"/>
    </row>
    <row r="4758" spans="1:10" s="2" customFormat="1">
      <c r="A4758" s="1"/>
      <c r="E4758"/>
      <c r="F4758"/>
      <c r="G4758"/>
      <c r="H4758"/>
      <c r="I4758"/>
      <c r="J4758"/>
    </row>
    <row r="4759" spans="1:10" s="2" customFormat="1">
      <c r="A4759" s="1"/>
      <c r="E4759"/>
      <c r="F4759"/>
      <c r="G4759"/>
      <c r="H4759"/>
      <c r="I4759"/>
      <c r="J4759"/>
    </row>
    <row r="4760" spans="1:10" s="2" customFormat="1">
      <c r="A4760" s="1"/>
      <c r="E4760"/>
      <c r="F4760"/>
      <c r="G4760"/>
      <c r="H4760"/>
      <c r="I4760"/>
      <c r="J4760"/>
    </row>
    <row r="4761" spans="1:10" s="2" customFormat="1">
      <c r="A4761" s="1"/>
      <c r="E4761"/>
      <c r="F4761"/>
      <c r="G4761"/>
      <c r="H4761"/>
      <c r="I4761"/>
      <c r="J4761"/>
    </row>
    <row r="4762" spans="1:10" s="2" customFormat="1">
      <c r="A4762" s="1"/>
      <c r="E4762"/>
      <c r="F4762"/>
      <c r="G4762"/>
      <c r="H4762"/>
      <c r="I4762"/>
      <c r="J4762"/>
    </row>
    <row r="4763" spans="1:10" s="2" customFormat="1">
      <c r="A4763" s="1"/>
      <c r="E4763"/>
      <c r="F4763"/>
      <c r="G4763"/>
      <c r="H4763"/>
      <c r="I4763"/>
      <c r="J4763"/>
    </row>
    <row r="4764" spans="1:10" s="2" customFormat="1">
      <c r="A4764" s="1"/>
      <c r="E4764"/>
      <c r="F4764"/>
      <c r="G4764"/>
      <c r="H4764"/>
      <c r="I4764"/>
      <c r="J4764"/>
    </row>
    <row r="4765" spans="1:10" s="2" customFormat="1">
      <c r="A4765" s="1"/>
      <c r="E4765"/>
      <c r="F4765"/>
      <c r="G4765"/>
      <c r="H4765"/>
      <c r="I4765"/>
      <c r="J4765"/>
    </row>
    <row r="4766" spans="1:10" s="2" customFormat="1">
      <c r="A4766" s="1"/>
      <c r="E4766"/>
      <c r="F4766"/>
      <c r="G4766"/>
      <c r="H4766"/>
      <c r="I4766"/>
      <c r="J4766"/>
    </row>
    <row r="4767" spans="1:10" s="2" customFormat="1">
      <c r="A4767" s="1"/>
      <c r="E4767"/>
      <c r="F4767"/>
      <c r="G4767"/>
      <c r="H4767"/>
      <c r="I4767"/>
      <c r="J4767"/>
    </row>
    <row r="4768" spans="1:10" s="2" customFormat="1">
      <c r="A4768" s="1"/>
      <c r="E4768"/>
      <c r="F4768"/>
      <c r="G4768"/>
      <c r="H4768"/>
      <c r="I4768"/>
      <c r="J4768"/>
    </row>
    <row r="4769" spans="1:10" s="2" customFormat="1">
      <c r="A4769" s="1"/>
      <c r="E4769"/>
      <c r="F4769"/>
      <c r="G4769"/>
      <c r="H4769"/>
      <c r="I4769"/>
      <c r="J4769"/>
    </row>
    <row r="4770" spans="1:10" s="2" customFormat="1">
      <c r="A4770" s="1"/>
      <c r="E4770"/>
      <c r="F4770"/>
      <c r="G4770"/>
      <c r="H4770"/>
      <c r="I4770"/>
      <c r="J4770"/>
    </row>
    <row r="4771" spans="1:10" s="2" customFormat="1">
      <c r="A4771" s="1"/>
      <c r="E4771"/>
      <c r="F4771"/>
      <c r="G4771"/>
      <c r="H4771"/>
      <c r="I4771"/>
      <c r="J4771"/>
    </row>
    <row r="4772" spans="1:10" s="2" customFormat="1">
      <c r="A4772" s="1"/>
      <c r="E4772"/>
      <c r="F4772"/>
      <c r="G4772"/>
      <c r="H4772"/>
      <c r="I4772"/>
      <c r="J4772"/>
    </row>
    <row r="4773" spans="1:10" s="2" customFormat="1">
      <c r="A4773" s="1"/>
      <c r="E4773"/>
      <c r="F4773"/>
      <c r="G4773"/>
      <c r="H4773"/>
      <c r="I4773"/>
      <c r="J4773"/>
    </row>
    <row r="4774" spans="1:10" s="2" customFormat="1">
      <c r="A4774" s="1"/>
      <c r="E4774"/>
      <c r="F4774"/>
      <c r="G4774"/>
      <c r="H4774"/>
      <c r="I4774"/>
      <c r="J4774"/>
    </row>
    <row r="4775" spans="1:10" s="2" customFormat="1">
      <c r="A4775" s="1"/>
      <c r="E4775"/>
      <c r="F4775"/>
      <c r="G4775"/>
      <c r="H4775"/>
      <c r="I4775"/>
      <c r="J4775"/>
    </row>
    <row r="4776" spans="1:10" s="2" customFormat="1">
      <c r="A4776" s="1"/>
      <c r="E4776"/>
      <c r="F4776"/>
      <c r="G4776"/>
      <c r="H4776"/>
      <c r="I4776"/>
      <c r="J4776"/>
    </row>
    <row r="4777" spans="1:10" s="2" customFormat="1">
      <c r="A4777" s="1"/>
      <c r="E4777"/>
      <c r="F4777"/>
      <c r="G4777"/>
      <c r="H4777"/>
      <c r="I4777"/>
      <c r="J4777"/>
    </row>
    <row r="4778" spans="1:10" s="2" customFormat="1">
      <c r="A4778" s="1"/>
      <c r="E4778"/>
      <c r="F4778"/>
      <c r="G4778"/>
      <c r="H4778"/>
      <c r="I4778"/>
      <c r="J4778"/>
    </row>
    <row r="4779" spans="1:10" s="2" customFormat="1">
      <c r="A4779" s="1"/>
      <c r="E4779"/>
      <c r="F4779"/>
      <c r="G4779"/>
      <c r="H4779"/>
      <c r="I4779"/>
      <c r="J4779"/>
    </row>
    <row r="4780" spans="1:10" s="2" customFormat="1">
      <c r="A4780" s="1"/>
      <c r="E4780"/>
      <c r="F4780"/>
      <c r="G4780"/>
      <c r="H4780"/>
      <c r="I4780"/>
      <c r="J4780"/>
    </row>
    <row r="4781" spans="1:10" s="2" customFormat="1">
      <c r="A4781" s="1"/>
      <c r="E4781"/>
      <c r="F4781"/>
      <c r="G4781"/>
      <c r="H4781"/>
      <c r="I4781"/>
      <c r="J4781"/>
    </row>
    <row r="4782" spans="1:10" s="2" customFormat="1">
      <c r="A4782" s="1"/>
      <c r="E4782"/>
      <c r="F4782"/>
      <c r="G4782"/>
      <c r="H4782"/>
      <c r="I4782"/>
      <c r="J4782"/>
    </row>
    <row r="4783" spans="1:10" s="2" customFormat="1">
      <c r="A4783" s="1"/>
      <c r="E4783"/>
      <c r="F4783"/>
      <c r="G4783"/>
      <c r="H4783"/>
      <c r="I4783"/>
      <c r="J4783"/>
    </row>
    <row r="4784" spans="1:10" s="2" customFormat="1">
      <c r="A4784" s="1"/>
      <c r="E4784"/>
      <c r="F4784"/>
      <c r="G4784"/>
      <c r="H4784"/>
      <c r="I4784"/>
      <c r="J4784"/>
    </row>
    <row r="4785" spans="1:10" s="2" customFormat="1">
      <c r="A4785" s="1"/>
      <c r="E4785"/>
      <c r="F4785"/>
      <c r="G4785"/>
      <c r="H4785"/>
      <c r="I4785"/>
      <c r="J4785"/>
    </row>
    <row r="4786" spans="1:10" s="2" customFormat="1">
      <c r="A4786" s="1"/>
      <c r="E4786"/>
      <c r="F4786"/>
      <c r="G4786"/>
      <c r="H4786"/>
      <c r="I4786"/>
      <c r="J4786"/>
    </row>
    <row r="4787" spans="1:10" s="2" customFormat="1">
      <c r="A4787" s="1"/>
      <c r="E4787"/>
      <c r="F4787"/>
      <c r="G4787"/>
      <c r="H4787"/>
      <c r="I4787"/>
      <c r="J4787"/>
    </row>
    <row r="4788" spans="1:10" s="2" customFormat="1">
      <c r="A4788" s="1"/>
      <c r="E4788"/>
      <c r="F4788"/>
      <c r="G4788"/>
      <c r="H4788"/>
      <c r="I4788"/>
      <c r="J4788"/>
    </row>
    <row r="4789" spans="1:10" s="2" customFormat="1">
      <c r="A4789" s="1"/>
      <c r="E4789"/>
      <c r="F4789"/>
      <c r="G4789"/>
      <c r="H4789"/>
      <c r="I4789"/>
      <c r="J4789"/>
    </row>
    <row r="4790" spans="1:10" s="2" customFormat="1">
      <c r="A4790" s="1"/>
      <c r="E4790"/>
      <c r="F4790"/>
      <c r="G4790"/>
      <c r="H4790"/>
      <c r="I4790"/>
      <c r="J4790"/>
    </row>
    <row r="4791" spans="1:10" s="2" customFormat="1">
      <c r="A4791" s="1"/>
      <c r="E4791"/>
      <c r="F4791"/>
      <c r="G4791"/>
      <c r="H4791"/>
      <c r="I4791"/>
      <c r="J4791"/>
    </row>
    <row r="4792" spans="1:10" s="2" customFormat="1">
      <c r="A4792" s="1"/>
      <c r="E4792"/>
      <c r="F4792"/>
      <c r="G4792"/>
      <c r="H4792"/>
      <c r="I4792"/>
      <c r="J4792"/>
    </row>
    <row r="4793" spans="1:10" s="2" customFormat="1">
      <c r="A4793" s="1"/>
      <c r="E4793"/>
      <c r="F4793"/>
      <c r="G4793"/>
      <c r="H4793"/>
      <c r="I4793"/>
      <c r="J4793"/>
    </row>
    <row r="4794" spans="1:10" s="2" customFormat="1">
      <c r="A4794" s="1"/>
      <c r="E4794"/>
      <c r="F4794"/>
      <c r="G4794"/>
      <c r="H4794"/>
      <c r="I4794"/>
      <c r="J4794"/>
    </row>
    <row r="4795" spans="1:10" s="2" customFormat="1">
      <c r="A4795" s="1"/>
      <c r="E4795"/>
      <c r="F4795"/>
      <c r="G4795"/>
      <c r="H4795"/>
      <c r="I4795"/>
      <c r="J4795"/>
    </row>
    <row r="4796" spans="1:10" s="2" customFormat="1">
      <c r="A4796" s="1"/>
      <c r="E4796"/>
      <c r="F4796"/>
      <c r="G4796"/>
      <c r="H4796"/>
      <c r="I4796"/>
      <c r="J4796"/>
    </row>
    <row r="4797" spans="1:10" s="2" customFormat="1">
      <c r="A4797" s="1"/>
      <c r="E4797"/>
      <c r="F4797"/>
      <c r="G4797"/>
      <c r="H4797"/>
      <c r="I4797"/>
      <c r="J4797"/>
    </row>
    <row r="4798" spans="1:10" s="2" customFormat="1">
      <c r="A4798" s="1"/>
      <c r="E4798"/>
      <c r="F4798"/>
      <c r="G4798"/>
      <c r="H4798"/>
      <c r="I4798"/>
      <c r="J4798"/>
    </row>
    <row r="4799" spans="1:10" s="2" customFormat="1">
      <c r="A4799" s="1"/>
      <c r="E4799"/>
      <c r="F4799"/>
      <c r="G4799"/>
      <c r="H4799"/>
      <c r="I4799"/>
      <c r="J4799"/>
    </row>
    <row r="4800" spans="1:10" s="2" customFormat="1">
      <c r="A4800" s="1"/>
      <c r="E4800"/>
      <c r="F4800"/>
      <c r="G4800"/>
      <c r="H4800"/>
      <c r="I4800"/>
      <c r="J4800"/>
    </row>
    <row r="4801" spans="1:10" s="2" customFormat="1">
      <c r="A4801" s="1"/>
      <c r="E4801"/>
      <c r="F4801"/>
      <c r="G4801"/>
      <c r="H4801"/>
      <c r="I4801"/>
      <c r="J4801"/>
    </row>
    <row r="4802" spans="1:10" s="2" customFormat="1">
      <c r="A4802" s="1"/>
      <c r="E4802"/>
      <c r="F4802"/>
      <c r="G4802"/>
      <c r="H4802"/>
      <c r="I4802"/>
      <c r="J4802"/>
    </row>
    <row r="4803" spans="1:10" s="2" customFormat="1">
      <c r="A4803" s="1"/>
      <c r="E4803"/>
      <c r="F4803"/>
      <c r="G4803"/>
      <c r="H4803"/>
      <c r="I4803"/>
      <c r="J4803"/>
    </row>
    <row r="4804" spans="1:10" s="2" customFormat="1">
      <c r="A4804" s="1"/>
      <c r="E4804"/>
      <c r="F4804"/>
      <c r="G4804"/>
      <c r="H4804"/>
      <c r="I4804"/>
      <c r="J4804"/>
    </row>
    <row r="4805" spans="1:10" s="2" customFormat="1">
      <c r="A4805" s="1"/>
      <c r="E4805"/>
      <c r="F4805"/>
      <c r="G4805"/>
      <c r="H4805"/>
      <c r="I4805"/>
      <c r="J4805"/>
    </row>
    <row r="4806" spans="1:10" s="2" customFormat="1">
      <c r="A4806" s="1"/>
      <c r="E4806"/>
      <c r="F4806"/>
      <c r="G4806"/>
      <c r="H4806"/>
      <c r="I4806"/>
      <c r="J4806"/>
    </row>
    <row r="4807" spans="1:10" s="2" customFormat="1">
      <c r="A4807" s="1"/>
      <c r="E4807"/>
      <c r="F4807"/>
      <c r="G4807"/>
      <c r="H4807"/>
      <c r="I4807"/>
      <c r="J4807"/>
    </row>
    <row r="4808" spans="1:10" s="2" customFormat="1">
      <c r="A4808" s="1"/>
      <c r="E4808"/>
      <c r="F4808"/>
      <c r="G4808"/>
      <c r="H4808"/>
      <c r="I4808"/>
      <c r="J4808"/>
    </row>
    <row r="4809" spans="1:10" s="2" customFormat="1">
      <c r="A4809" s="1"/>
      <c r="E4809"/>
      <c r="F4809"/>
      <c r="G4809"/>
      <c r="H4809"/>
      <c r="I4809"/>
      <c r="J4809"/>
    </row>
    <row r="4810" spans="1:10" s="2" customFormat="1">
      <c r="A4810" s="1"/>
      <c r="E4810"/>
      <c r="F4810"/>
      <c r="G4810"/>
      <c r="H4810"/>
      <c r="I4810"/>
      <c r="J4810"/>
    </row>
    <row r="4811" spans="1:10" s="2" customFormat="1">
      <c r="A4811" s="1"/>
      <c r="E4811"/>
      <c r="F4811"/>
      <c r="G4811"/>
      <c r="H4811"/>
      <c r="I4811"/>
      <c r="J4811"/>
    </row>
    <row r="4812" spans="1:10" s="2" customFormat="1">
      <c r="A4812" s="1"/>
      <c r="E4812"/>
      <c r="F4812"/>
      <c r="G4812"/>
      <c r="H4812"/>
      <c r="I4812"/>
      <c r="J4812"/>
    </row>
    <row r="4813" spans="1:10" s="2" customFormat="1">
      <c r="A4813" s="1"/>
      <c r="E4813"/>
      <c r="F4813"/>
      <c r="G4813"/>
      <c r="H4813"/>
      <c r="I4813"/>
      <c r="J4813"/>
    </row>
    <row r="4814" spans="1:10" s="2" customFormat="1">
      <c r="A4814" s="1"/>
      <c r="E4814"/>
      <c r="F4814"/>
      <c r="G4814"/>
      <c r="H4814"/>
      <c r="I4814"/>
      <c r="J4814"/>
    </row>
    <row r="4815" spans="1:10" s="2" customFormat="1">
      <c r="A4815" s="1"/>
      <c r="E4815"/>
      <c r="F4815"/>
      <c r="G4815"/>
      <c r="H4815"/>
      <c r="I4815"/>
      <c r="J4815"/>
    </row>
    <row r="4816" spans="1:10" s="2" customFormat="1">
      <c r="A4816" s="1"/>
      <c r="E4816"/>
      <c r="F4816"/>
      <c r="G4816"/>
      <c r="H4816"/>
      <c r="I4816"/>
      <c r="J4816"/>
    </row>
    <row r="4817" spans="1:10" s="2" customFormat="1">
      <c r="A4817" s="1"/>
      <c r="E4817"/>
      <c r="F4817"/>
      <c r="G4817"/>
      <c r="H4817"/>
      <c r="I4817"/>
      <c r="J4817"/>
    </row>
    <row r="4818" spans="1:10" s="2" customFormat="1">
      <c r="A4818" s="1"/>
      <c r="E4818"/>
      <c r="F4818"/>
      <c r="G4818"/>
      <c r="H4818"/>
      <c r="I4818"/>
      <c r="J4818"/>
    </row>
    <row r="4819" spans="1:10" s="2" customFormat="1">
      <c r="A4819" s="1"/>
      <c r="E4819"/>
      <c r="F4819"/>
      <c r="G4819"/>
      <c r="H4819"/>
      <c r="I4819"/>
      <c r="J4819"/>
    </row>
    <row r="4820" spans="1:10" s="2" customFormat="1">
      <c r="A4820" s="1"/>
      <c r="E4820"/>
      <c r="F4820"/>
      <c r="G4820"/>
      <c r="H4820"/>
      <c r="I4820"/>
      <c r="J4820"/>
    </row>
    <row r="4821" spans="1:10" s="2" customFormat="1">
      <c r="A4821" s="1"/>
      <c r="E4821"/>
      <c r="F4821"/>
      <c r="G4821"/>
      <c r="H4821"/>
      <c r="I4821"/>
      <c r="J4821"/>
    </row>
    <row r="4822" spans="1:10" s="2" customFormat="1">
      <c r="A4822" s="1"/>
      <c r="E4822"/>
      <c r="F4822"/>
      <c r="G4822"/>
      <c r="H4822"/>
      <c r="I4822"/>
      <c r="J4822"/>
    </row>
    <row r="4823" spans="1:10" s="2" customFormat="1">
      <c r="A4823" s="1"/>
      <c r="E4823"/>
      <c r="F4823"/>
      <c r="G4823"/>
      <c r="H4823"/>
      <c r="I4823"/>
      <c r="J4823"/>
    </row>
    <row r="4824" spans="1:10" s="2" customFormat="1">
      <c r="A4824" s="1"/>
      <c r="E4824"/>
      <c r="F4824"/>
      <c r="G4824"/>
      <c r="H4824"/>
      <c r="I4824"/>
      <c r="J4824"/>
    </row>
    <row r="4825" spans="1:10" s="2" customFormat="1">
      <c r="A4825" s="1"/>
      <c r="E4825"/>
      <c r="F4825"/>
      <c r="G4825"/>
      <c r="H4825"/>
      <c r="I4825"/>
      <c r="J4825"/>
    </row>
    <row r="4826" spans="1:10" s="2" customFormat="1">
      <c r="A4826" s="1"/>
      <c r="E4826"/>
      <c r="F4826"/>
      <c r="G4826"/>
      <c r="H4826"/>
      <c r="I4826"/>
      <c r="J4826"/>
    </row>
    <row r="4827" spans="1:10" s="2" customFormat="1">
      <c r="A4827" s="1"/>
      <c r="E4827"/>
      <c r="F4827"/>
      <c r="G4827"/>
      <c r="H4827"/>
      <c r="I4827"/>
      <c r="J4827"/>
    </row>
    <row r="4828" spans="1:10" s="2" customFormat="1">
      <c r="A4828" s="1"/>
      <c r="E4828"/>
      <c r="F4828"/>
      <c r="G4828"/>
      <c r="H4828"/>
      <c r="I4828"/>
      <c r="J4828"/>
    </row>
    <row r="4829" spans="1:10" s="2" customFormat="1">
      <c r="A4829" s="1"/>
      <c r="E4829"/>
      <c r="F4829"/>
      <c r="G4829"/>
      <c r="H4829"/>
      <c r="I4829"/>
      <c r="J4829"/>
    </row>
    <row r="4830" spans="1:10" s="2" customFormat="1">
      <c r="A4830" s="1"/>
      <c r="E4830"/>
      <c r="F4830"/>
      <c r="G4830"/>
      <c r="H4830"/>
      <c r="I4830"/>
      <c r="J4830"/>
    </row>
    <row r="4831" spans="1:10" s="2" customFormat="1">
      <c r="A4831" s="1"/>
      <c r="E4831"/>
      <c r="F4831"/>
      <c r="G4831"/>
      <c r="H4831"/>
      <c r="I4831"/>
      <c r="J4831"/>
    </row>
    <row r="4832" spans="1:10" s="2" customFormat="1">
      <c r="A4832" s="1"/>
      <c r="E4832"/>
      <c r="F4832"/>
      <c r="G4832"/>
      <c r="H4832"/>
      <c r="I4832"/>
      <c r="J4832"/>
    </row>
    <row r="4833" spans="1:10" s="2" customFormat="1">
      <c r="A4833" s="1"/>
      <c r="E4833"/>
      <c r="F4833"/>
      <c r="G4833"/>
      <c r="H4833"/>
      <c r="I4833"/>
      <c r="J4833"/>
    </row>
    <row r="4834" spans="1:10" s="2" customFormat="1">
      <c r="A4834" s="1"/>
      <c r="E4834"/>
      <c r="F4834"/>
      <c r="G4834"/>
      <c r="H4834"/>
      <c r="I4834"/>
      <c r="J4834"/>
    </row>
    <row r="4835" spans="1:10" s="2" customFormat="1">
      <c r="A4835" s="1"/>
      <c r="E4835"/>
      <c r="F4835"/>
      <c r="G4835"/>
      <c r="H4835"/>
      <c r="I4835"/>
      <c r="J4835"/>
    </row>
    <row r="4836" spans="1:10" s="2" customFormat="1">
      <c r="A4836" s="1"/>
      <c r="E4836"/>
      <c r="F4836"/>
      <c r="G4836"/>
      <c r="H4836"/>
      <c r="I4836"/>
      <c r="J4836"/>
    </row>
    <row r="4837" spans="1:10" s="2" customFormat="1">
      <c r="A4837" s="1"/>
      <c r="E4837"/>
      <c r="F4837"/>
      <c r="G4837"/>
      <c r="H4837"/>
      <c r="I4837"/>
      <c r="J4837"/>
    </row>
    <row r="4838" spans="1:10" s="2" customFormat="1">
      <c r="A4838" s="1"/>
      <c r="E4838"/>
      <c r="F4838"/>
      <c r="G4838"/>
      <c r="H4838"/>
      <c r="I4838"/>
      <c r="J4838"/>
    </row>
    <row r="4839" spans="1:10" s="2" customFormat="1">
      <c r="A4839" s="1"/>
      <c r="E4839"/>
      <c r="F4839"/>
      <c r="G4839"/>
      <c r="H4839"/>
      <c r="I4839"/>
      <c r="J4839"/>
    </row>
    <row r="4840" spans="1:10" s="2" customFormat="1">
      <c r="A4840" s="1"/>
      <c r="E4840"/>
      <c r="F4840"/>
      <c r="G4840"/>
      <c r="H4840"/>
      <c r="I4840"/>
      <c r="J4840"/>
    </row>
    <row r="4841" spans="1:10" s="2" customFormat="1">
      <c r="A4841" s="1"/>
      <c r="E4841"/>
      <c r="F4841"/>
      <c r="G4841"/>
      <c r="H4841"/>
      <c r="I4841"/>
      <c r="J4841"/>
    </row>
    <row r="4842" spans="1:10" s="2" customFormat="1">
      <c r="A4842" s="1"/>
      <c r="E4842"/>
      <c r="F4842"/>
      <c r="G4842"/>
      <c r="H4842"/>
      <c r="I4842"/>
      <c r="J4842"/>
    </row>
    <row r="4843" spans="1:10" s="2" customFormat="1">
      <c r="A4843" s="1"/>
      <c r="E4843"/>
      <c r="F4843"/>
      <c r="G4843"/>
      <c r="H4843"/>
      <c r="I4843"/>
      <c r="J4843"/>
    </row>
    <row r="4844" spans="1:10" s="2" customFormat="1">
      <c r="A4844" s="1"/>
      <c r="E4844"/>
      <c r="F4844"/>
      <c r="G4844"/>
      <c r="H4844"/>
      <c r="I4844"/>
      <c r="J4844"/>
    </row>
    <row r="4845" spans="1:10" s="2" customFormat="1">
      <c r="A4845" s="1"/>
      <c r="E4845"/>
      <c r="F4845"/>
      <c r="G4845"/>
      <c r="H4845"/>
      <c r="I4845"/>
      <c r="J4845"/>
    </row>
    <row r="4846" spans="1:10" s="2" customFormat="1">
      <c r="A4846" s="1"/>
      <c r="E4846"/>
      <c r="F4846"/>
      <c r="G4846"/>
      <c r="H4846"/>
      <c r="I4846"/>
      <c r="J4846"/>
    </row>
    <row r="4847" spans="1:10" s="2" customFormat="1">
      <c r="A4847" s="1"/>
      <c r="E4847"/>
      <c r="F4847"/>
      <c r="G4847"/>
      <c r="H4847"/>
      <c r="I4847"/>
      <c r="J4847"/>
    </row>
    <row r="4848" spans="1:10" s="2" customFormat="1">
      <c r="A4848" s="1"/>
      <c r="E4848"/>
      <c r="F4848"/>
      <c r="G4848"/>
      <c r="H4848"/>
      <c r="I4848"/>
      <c r="J4848"/>
    </row>
    <row r="4849" spans="1:10" s="2" customFormat="1">
      <c r="A4849" s="1"/>
      <c r="E4849"/>
      <c r="F4849"/>
      <c r="G4849"/>
      <c r="H4849"/>
      <c r="I4849"/>
      <c r="J4849"/>
    </row>
    <row r="4850" spans="1:10" s="2" customFormat="1">
      <c r="A4850" s="1"/>
      <c r="E4850"/>
      <c r="F4850"/>
      <c r="G4850"/>
      <c r="H4850"/>
      <c r="I4850"/>
      <c r="J4850"/>
    </row>
    <row r="4851" spans="1:10" s="2" customFormat="1">
      <c r="A4851" s="1"/>
      <c r="E4851"/>
      <c r="F4851"/>
      <c r="G4851"/>
      <c r="H4851"/>
      <c r="I4851"/>
      <c r="J4851"/>
    </row>
    <row r="4852" spans="1:10" s="2" customFormat="1">
      <c r="A4852" s="1"/>
      <c r="E4852"/>
      <c r="F4852"/>
      <c r="G4852"/>
      <c r="H4852"/>
      <c r="I4852"/>
      <c r="J4852"/>
    </row>
    <row r="4853" spans="1:10" s="2" customFormat="1">
      <c r="A4853" s="1"/>
      <c r="E4853"/>
      <c r="F4853"/>
      <c r="G4853"/>
      <c r="H4853"/>
      <c r="I4853"/>
      <c r="J4853"/>
    </row>
    <row r="4854" spans="1:10" s="2" customFormat="1">
      <c r="A4854" s="1"/>
      <c r="E4854"/>
      <c r="F4854"/>
      <c r="G4854"/>
      <c r="H4854"/>
      <c r="I4854"/>
      <c r="J4854"/>
    </row>
    <row r="4855" spans="1:10" s="2" customFormat="1">
      <c r="A4855" s="1"/>
      <c r="E4855"/>
      <c r="F4855"/>
      <c r="G4855"/>
      <c r="H4855"/>
      <c r="I4855"/>
      <c r="J4855"/>
    </row>
    <row r="4856" spans="1:10" s="2" customFormat="1">
      <c r="A4856" s="1"/>
      <c r="E4856"/>
      <c r="F4856"/>
      <c r="G4856"/>
      <c r="H4856"/>
      <c r="I4856"/>
      <c r="J4856"/>
    </row>
    <row r="4857" spans="1:10" s="2" customFormat="1">
      <c r="A4857" s="1"/>
      <c r="E4857"/>
      <c r="F4857"/>
      <c r="G4857"/>
      <c r="H4857"/>
      <c r="I4857"/>
      <c r="J4857"/>
    </row>
    <row r="4858" spans="1:10" s="2" customFormat="1">
      <c r="A4858" s="1"/>
      <c r="E4858"/>
      <c r="F4858"/>
      <c r="G4858"/>
      <c r="H4858"/>
      <c r="I4858"/>
      <c r="J4858"/>
    </row>
    <row r="4859" spans="1:10" s="2" customFormat="1">
      <c r="A4859" s="1"/>
      <c r="E4859"/>
      <c r="F4859"/>
      <c r="G4859"/>
      <c r="H4859"/>
      <c r="I4859"/>
      <c r="J4859"/>
    </row>
    <row r="4860" spans="1:10" s="2" customFormat="1">
      <c r="A4860" s="1"/>
      <c r="E4860"/>
      <c r="F4860"/>
      <c r="G4860"/>
      <c r="H4860"/>
      <c r="I4860"/>
      <c r="J4860"/>
    </row>
    <row r="4861" spans="1:10" s="2" customFormat="1">
      <c r="A4861" s="1"/>
      <c r="E4861"/>
      <c r="F4861"/>
      <c r="G4861"/>
      <c r="H4861"/>
      <c r="I4861"/>
      <c r="J4861"/>
    </row>
    <row r="4862" spans="1:10" s="2" customFormat="1">
      <c r="A4862" s="1"/>
      <c r="E4862"/>
      <c r="F4862"/>
      <c r="G4862"/>
      <c r="H4862"/>
      <c r="I4862"/>
      <c r="J4862"/>
    </row>
    <row r="4863" spans="1:10" s="2" customFormat="1">
      <c r="A4863" s="1"/>
      <c r="E4863"/>
      <c r="F4863"/>
      <c r="G4863"/>
      <c r="H4863"/>
      <c r="I4863"/>
      <c r="J4863"/>
    </row>
    <row r="4864" spans="1:10" s="2" customFormat="1">
      <c r="A4864" s="1"/>
      <c r="E4864"/>
      <c r="F4864"/>
      <c r="G4864"/>
      <c r="H4864"/>
      <c r="I4864"/>
      <c r="J4864"/>
    </row>
    <row r="4865" spans="1:10" s="2" customFormat="1">
      <c r="A4865" s="1"/>
      <c r="E4865"/>
      <c r="F4865"/>
      <c r="G4865"/>
      <c r="H4865"/>
      <c r="I4865"/>
      <c r="J4865"/>
    </row>
    <row r="4866" spans="1:10" s="2" customFormat="1">
      <c r="A4866" s="1"/>
      <c r="E4866"/>
      <c r="F4866"/>
      <c r="G4866"/>
      <c r="H4866"/>
      <c r="I4866"/>
      <c r="J4866"/>
    </row>
    <row r="4867" spans="1:10" s="2" customFormat="1">
      <c r="A4867" s="1"/>
      <c r="E4867"/>
      <c r="F4867"/>
      <c r="G4867"/>
      <c r="H4867"/>
      <c r="I4867"/>
      <c r="J4867"/>
    </row>
    <row r="4868" spans="1:10" s="2" customFormat="1">
      <c r="A4868" s="1"/>
      <c r="E4868"/>
      <c r="F4868"/>
      <c r="G4868"/>
      <c r="H4868"/>
      <c r="I4868"/>
      <c r="J4868"/>
    </row>
    <row r="4869" spans="1:10" s="2" customFormat="1">
      <c r="A4869" s="1"/>
      <c r="E4869"/>
      <c r="F4869"/>
      <c r="G4869"/>
      <c r="H4869"/>
      <c r="I4869"/>
      <c r="J4869"/>
    </row>
    <row r="4870" spans="1:10" s="2" customFormat="1">
      <c r="A4870" s="1"/>
      <c r="E4870"/>
      <c r="F4870"/>
      <c r="G4870"/>
      <c r="H4870"/>
      <c r="I4870"/>
      <c r="J4870"/>
    </row>
    <row r="4871" spans="1:10" s="2" customFormat="1">
      <c r="A4871" s="1"/>
      <c r="E4871"/>
      <c r="F4871"/>
      <c r="G4871"/>
      <c r="H4871"/>
      <c r="I4871"/>
      <c r="J4871"/>
    </row>
    <row r="4872" spans="1:10" s="2" customFormat="1">
      <c r="A4872" s="1"/>
      <c r="E4872"/>
      <c r="F4872"/>
      <c r="G4872"/>
      <c r="H4872"/>
      <c r="I4872"/>
      <c r="J4872"/>
    </row>
    <row r="4873" spans="1:10" s="2" customFormat="1">
      <c r="A4873" s="1"/>
      <c r="E4873"/>
      <c r="F4873"/>
      <c r="G4873"/>
      <c r="H4873"/>
      <c r="I4873"/>
      <c r="J4873"/>
    </row>
    <row r="4874" spans="1:10" s="2" customFormat="1">
      <c r="A4874" s="1"/>
      <c r="E4874"/>
      <c r="F4874"/>
      <c r="G4874"/>
      <c r="H4874"/>
      <c r="I4874"/>
      <c r="J4874"/>
    </row>
    <row r="4875" spans="1:10" s="2" customFormat="1">
      <c r="A4875" s="1"/>
      <c r="E4875"/>
      <c r="F4875"/>
      <c r="G4875"/>
      <c r="H4875"/>
      <c r="I4875"/>
      <c r="J4875"/>
    </row>
    <row r="4876" spans="1:10" s="2" customFormat="1">
      <c r="A4876" s="1"/>
      <c r="E4876"/>
      <c r="F4876"/>
      <c r="G4876"/>
      <c r="H4876"/>
      <c r="I4876"/>
      <c r="J4876"/>
    </row>
    <row r="4877" spans="1:10" s="2" customFormat="1">
      <c r="A4877" s="1"/>
      <c r="E4877"/>
      <c r="F4877"/>
      <c r="G4877"/>
      <c r="H4877"/>
      <c r="I4877"/>
      <c r="J4877"/>
    </row>
    <row r="4878" spans="1:10" s="2" customFormat="1">
      <c r="A4878" s="1"/>
      <c r="E4878"/>
      <c r="F4878"/>
      <c r="G4878"/>
      <c r="H4878"/>
      <c r="I4878"/>
      <c r="J4878"/>
    </row>
    <row r="4879" spans="1:10" s="2" customFormat="1">
      <c r="A4879" s="1"/>
      <c r="E4879"/>
      <c r="F4879"/>
      <c r="G4879"/>
      <c r="H4879"/>
      <c r="I4879"/>
      <c r="J4879"/>
    </row>
    <row r="4880" spans="1:10" s="2" customFormat="1">
      <c r="A4880" s="1"/>
      <c r="E4880"/>
      <c r="F4880"/>
      <c r="G4880"/>
      <c r="H4880"/>
      <c r="I4880"/>
      <c r="J4880"/>
    </row>
    <row r="4881" spans="1:10" s="2" customFormat="1">
      <c r="A4881" s="1"/>
      <c r="E4881"/>
      <c r="F4881"/>
      <c r="G4881"/>
      <c r="H4881"/>
      <c r="I4881"/>
      <c r="J4881"/>
    </row>
    <row r="4882" spans="1:10" s="2" customFormat="1">
      <c r="A4882" s="1"/>
      <c r="E4882"/>
      <c r="F4882"/>
      <c r="G4882"/>
      <c r="H4882"/>
      <c r="I4882"/>
      <c r="J4882"/>
    </row>
    <row r="4883" spans="1:10" s="2" customFormat="1">
      <c r="A4883" s="1"/>
      <c r="E4883"/>
      <c r="F4883"/>
      <c r="G4883"/>
      <c r="H4883"/>
      <c r="I4883"/>
      <c r="J4883"/>
    </row>
    <row r="4884" spans="1:10" s="2" customFormat="1">
      <c r="A4884" s="1"/>
      <c r="E4884"/>
      <c r="F4884"/>
      <c r="G4884"/>
      <c r="H4884"/>
      <c r="I4884"/>
      <c r="J4884"/>
    </row>
    <row r="4885" spans="1:10" s="2" customFormat="1">
      <c r="A4885" s="1"/>
      <c r="E4885"/>
      <c r="F4885"/>
      <c r="G4885"/>
      <c r="H4885"/>
      <c r="I4885"/>
      <c r="J4885"/>
    </row>
    <row r="4886" spans="1:10" s="2" customFormat="1">
      <c r="A4886" s="1"/>
      <c r="E4886"/>
      <c r="F4886"/>
      <c r="G4886"/>
      <c r="H4886"/>
      <c r="I4886"/>
      <c r="J4886"/>
    </row>
    <row r="4887" spans="1:10" s="2" customFormat="1">
      <c r="A4887" s="1"/>
      <c r="E4887"/>
      <c r="F4887"/>
      <c r="G4887"/>
      <c r="H4887"/>
      <c r="I4887"/>
      <c r="J4887"/>
    </row>
    <row r="4888" spans="1:10" s="2" customFormat="1">
      <c r="A4888" s="1"/>
      <c r="E4888"/>
      <c r="F4888"/>
      <c r="G4888"/>
      <c r="H4888"/>
      <c r="I4888"/>
      <c r="J4888"/>
    </row>
    <row r="4889" spans="1:10" s="2" customFormat="1">
      <c r="A4889" s="1"/>
      <c r="E4889"/>
      <c r="F4889"/>
      <c r="G4889"/>
      <c r="H4889"/>
      <c r="I4889"/>
      <c r="J4889"/>
    </row>
    <row r="4890" spans="1:10" s="2" customFormat="1">
      <c r="A4890" s="1"/>
      <c r="E4890"/>
      <c r="F4890"/>
      <c r="G4890"/>
      <c r="H4890"/>
      <c r="I4890"/>
      <c r="J4890"/>
    </row>
    <row r="4891" spans="1:10" s="2" customFormat="1">
      <c r="A4891" s="1"/>
      <c r="E4891"/>
      <c r="F4891"/>
      <c r="G4891"/>
      <c r="H4891"/>
      <c r="I4891"/>
      <c r="J4891"/>
    </row>
    <row r="4892" spans="1:10" s="2" customFormat="1">
      <c r="A4892" s="1"/>
      <c r="E4892"/>
      <c r="F4892"/>
      <c r="G4892"/>
      <c r="H4892"/>
      <c r="I4892"/>
      <c r="J4892"/>
    </row>
    <row r="4893" spans="1:10" s="2" customFormat="1">
      <c r="A4893" s="1"/>
      <c r="E4893"/>
      <c r="F4893"/>
      <c r="G4893"/>
      <c r="H4893"/>
      <c r="I4893"/>
      <c r="J4893"/>
    </row>
    <row r="4894" spans="1:10" s="2" customFormat="1">
      <c r="A4894" s="1"/>
      <c r="E4894"/>
      <c r="F4894"/>
      <c r="G4894"/>
      <c r="H4894"/>
      <c r="I4894"/>
      <c r="J4894"/>
    </row>
    <row r="4895" spans="1:10" s="2" customFormat="1">
      <c r="A4895" s="1"/>
      <c r="E4895"/>
      <c r="F4895"/>
      <c r="G4895"/>
      <c r="H4895"/>
      <c r="I4895"/>
      <c r="J4895"/>
    </row>
    <row r="4896" spans="1:10" s="2" customFormat="1">
      <c r="A4896" s="1"/>
      <c r="E4896"/>
      <c r="F4896"/>
      <c r="G4896"/>
      <c r="H4896"/>
      <c r="I4896"/>
      <c r="J4896"/>
    </row>
    <row r="4897" spans="1:10" s="2" customFormat="1">
      <c r="A4897" s="1"/>
      <c r="E4897"/>
      <c r="F4897"/>
      <c r="G4897"/>
      <c r="H4897"/>
      <c r="I4897"/>
      <c r="J4897"/>
    </row>
    <row r="4898" spans="1:10" s="2" customFormat="1">
      <c r="A4898" s="1"/>
      <c r="E4898"/>
      <c r="F4898"/>
      <c r="G4898"/>
      <c r="H4898"/>
      <c r="I4898"/>
      <c r="J4898"/>
    </row>
    <row r="4899" spans="1:10" s="2" customFormat="1">
      <c r="A4899" s="1"/>
      <c r="E4899"/>
      <c r="F4899"/>
      <c r="G4899"/>
      <c r="H4899"/>
      <c r="I4899"/>
      <c r="J4899"/>
    </row>
    <row r="4900" spans="1:10" s="2" customFormat="1">
      <c r="A4900" s="1"/>
      <c r="E4900"/>
      <c r="F4900"/>
      <c r="G4900"/>
      <c r="H4900"/>
      <c r="I4900"/>
      <c r="J4900"/>
    </row>
    <row r="4901" spans="1:10" s="2" customFormat="1">
      <c r="A4901" s="1"/>
      <c r="E4901"/>
      <c r="F4901"/>
      <c r="G4901"/>
      <c r="H4901"/>
      <c r="I4901"/>
      <c r="J4901"/>
    </row>
    <row r="4902" spans="1:10" s="2" customFormat="1">
      <c r="A4902" s="1"/>
      <c r="E4902"/>
      <c r="F4902"/>
      <c r="G4902"/>
      <c r="H4902"/>
      <c r="I4902"/>
      <c r="J4902"/>
    </row>
    <row r="4903" spans="1:10" s="2" customFormat="1">
      <c r="A4903" s="1"/>
      <c r="E4903"/>
      <c r="F4903"/>
      <c r="G4903"/>
      <c r="H4903"/>
      <c r="I4903"/>
      <c r="J4903"/>
    </row>
    <row r="4904" spans="1:10" s="2" customFormat="1">
      <c r="A4904" s="1"/>
      <c r="E4904"/>
      <c r="F4904"/>
      <c r="G4904"/>
      <c r="H4904"/>
      <c r="I4904"/>
      <c r="J4904"/>
    </row>
    <row r="4905" spans="1:10" s="2" customFormat="1">
      <c r="A4905" s="1"/>
      <c r="E4905"/>
      <c r="F4905"/>
      <c r="G4905"/>
      <c r="H4905"/>
      <c r="I4905"/>
      <c r="J4905"/>
    </row>
    <row r="4906" spans="1:10" s="2" customFormat="1">
      <c r="A4906" s="1"/>
      <c r="E4906"/>
      <c r="F4906"/>
      <c r="G4906"/>
      <c r="H4906"/>
      <c r="I4906"/>
      <c r="J4906"/>
    </row>
    <row r="4907" spans="1:10" s="2" customFormat="1">
      <c r="A4907" s="1"/>
      <c r="E4907"/>
      <c r="F4907"/>
      <c r="G4907"/>
      <c r="H4907"/>
      <c r="I4907"/>
      <c r="J4907"/>
    </row>
    <row r="4908" spans="1:10" s="2" customFormat="1">
      <c r="A4908" s="1"/>
      <c r="E4908"/>
      <c r="F4908"/>
      <c r="G4908"/>
      <c r="H4908"/>
      <c r="I4908"/>
      <c r="J4908"/>
    </row>
    <row r="4909" spans="1:10" s="2" customFormat="1">
      <c r="A4909" s="1"/>
      <c r="E4909"/>
      <c r="F4909"/>
      <c r="G4909"/>
      <c r="H4909"/>
      <c r="I4909"/>
      <c r="J4909"/>
    </row>
    <row r="4910" spans="1:10" s="2" customFormat="1">
      <c r="A4910" s="1"/>
      <c r="E4910"/>
      <c r="F4910"/>
      <c r="G4910"/>
      <c r="H4910"/>
      <c r="I4910"/>
      <c r="J4910"/>
    </row>
    <row r="4911" spans="1:10" s="2" customFormat="1">
      <c r="A4911" s="1"/>
      <c r="E4911"/>
      <c r="F4911"/>
      <c r="G4911"/>
      <c r="H4911"/>
      <c r="I4911"/>
      <c r="J4911"/>
    </row>
    <row r="4912" spans="1:10" s="2" customFormat="1">
      <c r="A4912" s="1"/>
      <c r="E4912"/>
      <c r="F4912"/>
      <c r="G4912"/>
      <c r="H4912"/>
      <c r="I4912"/>
      <c r="J4912"/>
    </row>
    <row r="4913" spans="1:10" s="2" customFormat="1">
      <c r="A4913" s="1"/>
      <c r="E4913"/>
      <c r="F4913"/>
      <c r="G4913"/>
      <c r="H4913"/>
      <c r="I4913"/>
      <c r="J4913"/>
    </row>
    <row r="4914" spans="1:10" s="2" customFormat="1">
      <c r="A4914" s="1"/>
      <c r="E4914"/>
      <c r="F4914"/>
      <c r="G4914"/>
      <c r="H4914"/>
      <c r="I4914"/>
      <c r="J4914"/>
    </row>
    <row r="4915" spans="1:10" s="2" customFormat="1">
      <c r="A4915" s="1"/>
      <c r="E4915"/>
      <c r="F4915"/>
      <c r="G4915"/>
      <c r="H4915"/>
      <c r="I4915"/>
      <c r="J4915"/>
    </row>
    <row r="4916" spans="1:10" s="2" customFormat="1">
      <c r="A4916" s="1"/>
      <c r="E4916"/>
      <c r="F4916"/>
      <c r="G4916"/>
      <c r="H4916"/>
      <c r="I4916"/>
      <c r="J4916"/>
    </row>
    <row r="4917" spans="1:10" s="2" customFormat="1">
      <c r="A4917" s="1"/>
      <c r="E4917"/>
      <c r="F4917"/>
      <c r="G4917"/>
      <c r="H4917"/>
      <c r="I4917"/>
      <c r="J4917"/>
    </row>
    <row r="4918" spans="1:10" s="2" customFormat="1">
      <c r="A4918" s="1"/>
      <c r="E4918"/>
      <c r="F4918"/>
      <c r="G4918"/>
      <c r="H4918"/>
      <c r="I4918"/>
      <c r="J4918"/>
    </row>
    <row r="4919" spans="1:10" s="2" customFormat="1">
      <c r="A4919" s="1"/>
      <c r="E4919"/>
      <c r="F4919"/>
      <c r="G4919"/>
      <c r="H4919"/>
      <c r="I4919"/>
      <c r="J4919"/>
    </row>
    <row r="4920" spans="1:10" s="2" customFormat="1">
      <c r="A4920" s="1"/>
      <c r="E4920"/>
      <c r="F4920"/>
      <c r="G4920"/>
      <c r="H4920"/>
      <c r="I4920"/>
      <c r="J4920"/>
    </row>
    <row r="4921" spans="1:10" s="2" customFormat="1">
      <c r="A4921" s="1"/>
      <c r="E4921"/>
      <c r="F4921"/>
      <c r="G4921"/>
      <c r="H4921"/>
      <c r="I4921"/>
      <c r="J4921"/>
    </row>
    <row r="4922" spans="1:10" s="2" customFormat="1">
      <c r="A4922" s="1"/>
      <c r="E4922"/>
      <c r="F4922"/>
      <c r="G4922"/>
      <c r="H4922"/>
      <c r="I4922"/>
      <c r="J4922"/>
    </row>
    <row r="4923" spans="1:10" s="2" customFormat="1">
      <c r="A4923" s="1"/>
      <c r="E4923"/>
      <c r="F4923"/>
      <c r="G4923"/>
      <c r="H4923"/>
      <c r="I4923"/>
      <c r="J4923"/>
    </row>
    <row r="4924" spans="1:10" s="2" customFormat="1">
      <c r="A4924" s="1"/>
      <c r="E4924"/>
      <c r="F4924"/>
      <c r="G4924"/>
      <c r="H4924"/>
      <c r="I4924"/>
      <c r="J4924"/>
    </row>
    <row r="4925" spans="1:10" s="2" customFormat="1">
      <c r="A4925" s="1"/>
      <c r="E4925"/>
      <c r="F4925"/>
      <c r="G4925"/>
      <c r="H4925"/>
      <c r="I4925"/>
      <c r="J4925"/>
    </row>
    <row r="4926" spans="1:10" s="2" customFormat="1">
      <c r="A4926" s="1"/>
      <c r="E4926"/>
      <c r="F4926"/>
      <c r="G4926"/>
      <c r="H4926"/>
      <c r="I4926"/>
      <c r="J4926"/>
    </row>
    <row r="4927" spans="1:10" s="2" customFormat="1">
      <c r="A4927" s="1"/>
      <c r="E4927"/>
      <c r="F4927"/>
      <c r="G4927"/>
      <c r="H4927"/>
      <c r="I4927"/>
      <c r="J4927"/>
    </row>
    <row r="4928" spans="1:10" s="2" customFormat="1">
      <c r="A4928" s="1"/>
      <c r="E4928"/>
      <c r="F4928"/>
      <c r="G4928"/>
      <c r="H4928"/>
      <c r="I4928"/>
      <c r="J4928"/>
    </row>
    <row r="4929" spans="1:10" s="2" customFormat="1">
      <c r="A4929" s="1"/>
      <c r="E4929"/>
      <c r="F4929"/>
      <c r="G4929"/>
      <c r="H4929"/>
      <c r="I4929"/>
      <c r="J4929"/>
    </row>
    <row r="4930" spans="1:10" s="2" customFormat="1">
      <c r="A4930" s="1"/>
      <c r="E4930"/>
      <c r="F4930"/>
      <c r="G4930"/>
      <c r="H4930"/>
      <c r="I4930"/>
      <c r="J4930"/>
    </row>
    <row r="4931" spans="1:10" s="2" customFormat="1">
      <c r="A4931" s="1"/>
      <c r="E4931"/>
      <c r="F4931"/>
      <c r="G4931"/>
      <c r="H4931"/>
      <c r="I4931"/>
      <c r="J4931"/>
    </row>
    <row r="4932" spans="1:10" s="2" customFormat="1">
      <c r="A4932" s="1"/>
      <c r="E4932"/>
      <c r="F4932"/>
      <c r="G4932"/>
      <c r="H4932"/>
      <c r="I4932"/>
      <c r="J4932"/>
    </row>
    <row r="4933" spans="1:10" s="2" customFormat="1">
      <c r="A4933" s="1"/>
      <c r="E4933"/>
      <c r="F4933"/>
      <c r="G4933"/>
      <c r="H4933"/>
      <c r="I4933"/>
      <c r="J4933"/>
    </row>
    <row r="4934" spans="1:10" s="2" customFormat="1">
      <c r="A4934" s="1"/>
      <c r="E4934"/>
      <c r="F4934"/>
      <c r="G4934"/>
      <c r="H4934"/>
      <c r="I4934"/>
      <c r="J4934"/>
    </row>
    <row r="4935" spans="1:10" s="2" customFormat="1">
      <c r="A4935" s="1"/>
      <c r="E4935"/>
      <c r="F4935"/>
      <c r="G4935"/>
      <c r="H4935"/>
      <c r="I4935"/>
      <c r="J4935"/>
    </row>
    <row r="4936" spans="1:10" s="2" customFormat="1">
      <c r="A4936" s="1"/>
      <c r="E4936"/>
      <c r="F4936"/>
      <c r="G4936"/>
      <c r="H4936"/>
      <c r="I4936"/>
      <c r="J4936"/>
    </row>
    <row r="4937" spans="1:10" s="2" customFormat="1">
      <c r="A4937" s="1"/>
      <c r="E4937"/>
      <c r="F4937"/>
      <c r="G4937"/>
      <c r="H4937"/>
      <c r="I4937"/>
      <c r="J4937"/>
    </row>
    <row r="4938" spans="1:10" s="2" customFormat="1">
      <c r="A4938" s="1"/>
      <c r="E4938"/>
      <c r="F4938"/>
      <c r="G4938"/>
      <c r="H4938"/>
      <c r="I4938"/>
      <c r="J4938"/>
    </row>
    <row r="4939" spans="1:10" s="2" customFormat="1">
      <c r="A4939" s="1"/>
      <c r="E4939"/>
      <c r="F4939"/>
      <c r="G4939"/>
      <c r="H4939"/>
      <c r="I4939"/>
      <c r="J4939"/>
    </row>
    <row r="4940" spans="1:10" s="2" customFormat="1">
      <c r="A4940" s="1"/>
      <c r="E4940"/>
      <c r="F4940"/>
      <c r="G4940"/>
      <c r="H4940"/>
      <c r="I4940"/>
      <c r="J4940"/>
    </row>
    <row r="4941" spans="1:10" s="2" customFormat="1">
      <c r="A4941" s="1"/>
      <c r="E4941"/>
      <c r="F4941"/>
      <c r="G4941"/>
      <c r="H4941"/>
      <c r="I4941"/>
      <c r="J4941"/>
    </row>
    <row r="4942" spans="1:10" s="2" customFormat="1">
      <c r="A4942" s="1"/>
      <c r="E4942"/>
      <c r="F4942"/>
      <c r="G4942"/>
      <c r="H4942"/>
      <c r="I4942"/>
      <c r="J4942"/>
    </row>
    <row r="4943" spans="1:10" s="2" customFormat="1">
      <c r="A4943" s="1"/>
      <c r="E4943"/>
      <c r="F4943"/>
      <c r="G4943"/>
      <c r="H4943"/>
      <c r="I4943"/>
      <c r="J4943"/>
    </row>
    <row r="4944" spans="1:10" s="2" customFormat="1">
      <c r="A4944" s="1"/>
      <c r="E4944"/>
      <c r="F4944"/>
      <c r="G4944"/>
      <c r="H4944"/>
      <c r="I4944"/>
      <c r="J4944"/>
    </row>
    <row r="4945" spans="1:10" s="2" customFormat="1">
      <c r="A4945" s="1"/>
      <c r="E4945"/>
      <c r="F4945"/>
      <c r="G4945"/>
      <c r="H4945"/>
      <c r="I4945"/>
      <c r="J4945"/>
    </row>
    <row r="4946" spans="1:10" s="2" customFormat="1">
      <c r="A4946" s="1"/>
      <c r="E4946"/>
      <c r="F4946"/>
      <c r="G4946"/>
      <c r="H4946"/>
      <c r="I4946"/>
      <c r="J4946"/>
    </row>
    <row r="4947" spans="1:10" s="2" customFormat="1">
      <c r="A4947" s="1"/>
      <c r="E4947"/>
      <c r="F4947"/>
      <c r="G4947"/>
      <c r="H4947"/>
      <c r="I4947"/>
      <c r="J4947"/>
    </row>
    <row r="4948" spans="1:10" s="2" customFormat="1">
      <c r="A4948" s="1"/>
      <c r="E4948"/>
      <c r="F4948"/>
      <c r="G4948"/>
      <c r="H4948"/>
      <c r="I4948"/>
      <c r="J4948"/>
    </row>
    <row r="4949" spans="1:10" s="2" customFormat="1">
      <c r="A4949" s="1"/>
      <c r="E4949"/>
      <c r="F4949"/>
      <c r="G4949"/>
      <c r="H4949"/>
      <c r="I4949"/>
      <c r="J4949"/>
    </row>
    <row r="4950" spans="1:10" s="2" customFormat="1">
      <c r="A4950" s="1"/>
      <c r="E4950"/>
      <c r="F4950"/>
      <c r="G4950"/>
      <c r="H4950"/>
      <c r="I4950"/>
      <c r="J4950"/>
    </row>
    <row r="4951" spans="1:10" s="2" customFormat="1">
      <c r="A4951" s="1"/>
      <c r="E4951"/>
      <c r="F4951"/>
      <c r="G4951"/>
      <c r="H4951"/>
      <c r="I4951"/>
      <c r="J4951"/>
    </row>
    <row r="4952" spans="1:10" s="2" customFormat="1">
      <c r="A4952" s="1"/>
      <c r="E4952"/>
      <c r="F4952"/>
      <c r="G4952"/>
      <c r="H4952"/>
      <c r="I4952"/>
      <c r="J4952"/>
    </row>
    <row r="4953" spans="1:10" s="2" customFormat="1">
      <c r="A4953" s="1"/>
      <c r="E4953"/>
      <c r="F4953"/>
      <c r="G4953"/>
      <c r="H4953"/>
      <c r="I4953"/>
      <c r="J4953"/>
    </row>
    <row r="4954" spans="1:10" s="2" customFormat="1">
      <c r="A4954" s="1"/>
      <c r="E4954"/>
      <c r="F4954"/>
      <c r="G4954"/>
      <c r="H4954"/>
      <c r="I4954"/>
      <c r="J4954"/>
    </row>
    <row r="4955" spans="1:10" s="2" customFormat="1">
      <c r="A4955" s="1"/>
      <c r="E4955"/>
      <c r="F4955"/>
      <c r="G4955"/>
      <c r="H4955"/>
      <c r="I4955"/>
      <c r="J4955"/>
    </row>
    <row r="4956" spans="1:10" s="2" customFormat="1">
      <c r="A4956" s="1"/>
      <c r="E4956"/>
      <c r="F4956"/>
      <c r="G4956"/>
      <c r="H4956"/>
      <c r="I4956"/>
      <c r="J4956"/>
    </row>
    <row r="4957" spans="1:10" s="2" customFormat="1">
      <c r="A4957" s="1"/>
      <c r="E4957"/>
      <c r="F4957"/>
      <c r="G4957"/>
      <c r="H4957"/>
      <c r="I4957"/>
      <c r="J4957"/>
    </row>
    <row r="4958" spans="1:10" s="2" customFormat="1">
      <c r="A4958" s="1"/>
      <c r="E4958"/>
      <c r="F4958"/>
      <c r="G4958"/>
      <c r="H4958"/>
      <c r="I4958"/>
      <c r="J4958"/>
    </row>
    <row r="4959" spans="1:10" s="2" customFormat="1">
      <c r="A4959" s="1"/>
      <c r="E4959"/>
      <c r="F4959"/>
      <c r="G4959"/>
      <c r="H4959"/>
      <c r="I4959"/>
      <c r="J4959"/>
    </row>
    <row r="4960" spans="1:10" s="2" customFormat="1">
      <c r="A4960" s="1"/>
      <c r="E4960"/>
      <c r="F4960"/>
      <c r="G4960"/>
      <c r="H4960"/>
      <c r="I4960"/>
      <c r="J4960"/>
    </row>
    <row r="4961" spans="1:10" s="2" customFormat="1">
      <c r="A4961" s="1"/>
      <c r="E4961"/>
      <c r="F4961"/>
      <c r="G4961"/>
      <c r="H4961"/>
      <c r="I4961"/>
      <c r="J4961"/>
    </row>
    <row r="4962" spans="1:10" s="2" customFormat="1">
      <c r="A4962" s="1"/>
      <c r="E4962"/>
      <c r="F4962"/>
      <c r="G4962"/>
      <c r="H4962"/>
      <c r="I4962"/>
      <c r="J4962"/>
    </row>
    <row r="4963" spans="1:10" s="2" customFormat="1">
      <c r="A4963" s="1"/>
      <c r="E4963"/>
      <c r="F4963"/>
      <c r="G4963"/>
      <c r="H4963"/>
      <c r="I4963"/>
      <c r="J4963"/>
    </row>
    <row r="4964" spans="1:10" s="2" customFormat="1">
      <c r="A4964" s="1"/>
      <c r="E4964"/>
      <c r="F4964"/>
      <c r="G4964"/>
      <c r="H4964"/>
      <c r="I4964"/>
      <c r="J4964"/>
    </row>
    <row r="4965" spans="1:10" s="2" customFormat="1">
      <c r="A4965" s="1"/>
      <c r="E4965"/>
      <c r="F4965"/>
      <c r="G4965"/>
      <c r="H4965"/>
      <c r="I4965"/>
      <c r="J4965"/>
    </row>
    <row r="4966" spans="1:10" s="2" customFormat="1">
      <c r="A4966" s="1"/>
      <c r="E4966"/>
      <c r="F4966"/>
      <c r="G4966"/>
      <c r="H4966"/>
      <c r="I4966"/>
      <c r="J4966"/>
    </row>
    <row r="4967" spans="1:10" s="2" customFormat="1">
      <c r="A4967" s="1"/>
      <c r="E4967"/>
      <c r="F4967"/>
      <c r="G4967"/>
      <c r="H4967"/>
      <c r="I4967"/>
      <c r="J4967"/>
    </row>
    <row r="4968" spans="1:10" s="2" customFormat="1">
      <c r="A4968" s="1"/>
      <c r="E4968"/>
      <c r="F4968"/>
      <c r="G4968"/>
      <c r="H4968"/>
      <c r="I4968"/>
      <c r="J4968"/>
    </row>
    <row r="4969" spans="1:10" s="2" customFormat="1">
      <c r="A4969" s="1"/>
      <c r="E4969"/>
      <c r="F4969"/>
      <c r="G4969"/>
      <c r="H4969"/>
      <c r="I4969"/>
      <c r="J4969"/>
    </row>
    <row r="4970" spans="1:10" s="2" customFormat="1">
      <c r="A4970" s="1"/>
      <c r="E4970"/>
      <c r="F4970"/>
      <c r="G4970"/>
      <c r="H4970"/>
      <c r="I4970"/>
      <c r="J4970"/>
    </row>
    <row r="4971" spans="1:10" s="2" customFormat="1">
      <c r="A4971" s="1"/>
      <c r="E4971"/>
      <c r="F4971"/>
      <c r="G4971"/>
      <c r="H4971"/>
      <c r="I4971"/>
      <c r="J4971"/>
    </row>
    <row r="4972" spans="1:10" s="2" customFormat="1">
      <c r="A4972" s="1"/>
      <c r="E4972"/>
      <c r="F4972"/>
      <c r="G4972"/>
      <c r="H4972"/>
      <c r="I4972"/>
      <c r="J4972"/>
    </row>
    <row r="4973" spans="1:10" s="2" customFormat="1">
      <c r="A4973" s="1"/>
      <c r="E4973"/>
      <c r="F4973"/>
      <c r="G4973"/>
      <c r="H4973"/>
      <c r="I4973"/>
      <c r="J4973"/>
    </row>
    <row r="4974" spans="1:10" s="2" customFormat="1">
      <c r="A4974" s="1"/>
      <c r="E4974"/>
      <c r="F4974"/>
      <c r="G4974"/>
      <c r="H4974"/>
      <c r="I4974"/>
      <c r="J4974"/>
    </row>
    <row r="4975" spans="1:10" s="2" customFormat="1">
      <c r="A4975" s="1"/>
      <c r="E4975"/>
      <c r="F4975"/>
      <c r="G4975"/>
      <c r="H4975"/>
      <c r="I4975"/>
      <c r="J4975"/>
    </row>
    <row r="4976" spans="1:10" s="2" customFormat="1">
      <c r="A4976" s="1"/>
      <c r="E4976"/>
      <c r="F4976"/>
      <c r="G4976"/>
      <c r="H4976"/>
      <c r="I4976"/>
      <c r="J4976"/>
    </row>
    <row r="4977" spans="1:10" s="2" customFormat="1">
      <c r="A4977" s="1"/>
      <c r="E4977"/>
      <c r="F4977"/>
      <c r="G4977"/>
      <c r="H4977"/>
      <c r="I4977"/>
      <c r="J4977"/>
    </row>
    <row r="4978" spans="1:10" s="2" customFormat="1">
      <c r="A4978" s="1"/>
      <c r="E4978"/>
      <c r="F4978"/>
      <c r="G4978"/>
      <c r="H4978"/>
      <c r="I4978"/>
      <c r="J4978"/>
    </row>
    <row r="4979" spans="1:10" s="2" customFormat="1">
      <c r="A4979" s="1"/>
      <c r="E4979"/>
      <c r="F4979"/>
      <c r="G4979"/>
      <c r="H4979"/>
      <c r="I4979"/>
      <c r="J4979"/>
    </row>
    <row r="4980" spans="1:10" s="2" customFormat="1">
      <c r="A4980" s="1"/>
      <c r="E4980"/>
      <c r="F4980"/>
      <c r="G4980"/>
      <c r="H4980"/>
      <c r="I4980"/>
      <c r="J4980"/>
    </row>
    <row r="4981" spans="1:10" s="2" customFormat="1">
      <c r="A4981" s="1"/>
      <c r="E4981"/>
      <c r="F4981"/>
      <c r="G4981"/>
      <c r="H4981"/>
      <c r="I4981"/>
      <c r="J4981"/>
    </row>
    <row r="4982" spans="1:10" s="2" customFormat="1">
      <c r="A4982" s="1"/>
      <c r="E4982"/>
      <c r="F4982"/>
      <c r="G4982"/>
      <c r="H4982"/>
      <c r="I4982"/>
      <c r="J4982"/>
    </row>
    <row r="4983" spans="1:10" s="2" customFormat="1">
      <c r="A4983" s="1"/>
      <c r="E4983"/>
      <c r="F4983"/>
      <c r="G4983"/>
      <c r="H4983"/>
      <c r="I4983"/>
      <c r="J4983"/>
    </row>
    <row r="4984" spans="1:10" s="2" customFormat="1">
      <c r="A4984" s="1"/>
      <c r="E4984"/>
      <c r="F4984"/>
      <c r="G4984"/>
      <c r="H4984"/>
      <c r="I4984"/>
      <c r="J4984"/>
    </row>
    <row r="4985" spans="1:10" s="2" customFormat="1">
      <c r="A4985" s="1"/>
      <c r="E4985"/>
      <c r="F4985"/>
      <c r="G4985"/>
      <c r="H4985"/>
      <c r="I4985"/>
      <c r="J4985"/>
    </row>
    <row r="4986" spans="1:10" s="2" customFormat="1">
      <c r="A4986" s="1"/>
      <c r="E4986"/>
      <c r="F4986"/>
      <c r="G4986"/>
      <c r="H4986"/>
      <c r="I4986"/>
      <c r="J4986"/>
    </row>
    <row r="4987" spans="1:10" s="2" customFormat="1">
      <c r="A4987" s="1"/>
      <c r="E4987"/>
      <c r="F4987"/>
      <c r="G4987"/>
      <c r="H4987"/>
      <c r="I4987"/>
      <c r="J4987"/>
    </row>
    <row r="4988" spans="1:10" s="2" customFormat="1">
      <c r="A4988" s="1"/>
      <c r="E4988"/>
      <c r="F4988"/>
      <c r="G4988"/>
      <c r="H4988"/>
      <c r="I4988"/>
      <c r="J4988"/>
    </row>
    <row r="4989" spans="1:10" s="2" customFormat="1">
      <c r="A4989" s="1"/>
      <c r="E4989"/>
      <c r="F4989"/>
      <c r="G4989"/>
      <c r="H4989"/>
      <c r="I4989"/>
      <c r="J4989"/>
    </row>
    <row r="4990" spans="1:10" s="2" customFormat="1">
      <c r="A4990" s="1"/>
      <c r="E4990"/>
      <c r="F4990"/>
      <c r="G4990"/>
      <c r="H4990"/>
      <c r="I4990"/>
      <c r="J4990"/>
    </row>
    <row r="4991" spans="1:10" s="2" customFormat="1">
      <c r="A4991" s="1"/>
      <c r="E4991"/>
      <c r="F4991"/>
      <c r="G4991"/>
      <c r="H4991"/>
      <c r="I4991"/>
      <c r="J4991"/>
    </row>
    <row r="4992" spans="1:10" s="2" customFormat="1">
      <c r="A4992" s="1"/>
      <c r="E4992"/>
      <c r="F4992"/>
      <c r="G4992"/>
      <c r="H4992"/>
      <c r="I4992"/>
      <c r="J4992"/>
    </row>
    <row r="4993" spans="1:10" s="2" customFormat="1">
      <c r="A4993" s="1"/>
      <c r="E4993"/>
      <c r="F4993"/>
      <c r="G4993"/>
      <c r="H4993"/>
      <c r="I4993"/>
      <c r="J4993"/>
    </row>
    <row r="4994" spans="1:10" s="2" customFormat="1">
      <c r="A4994" s="1"/>
      <c r="E4994"/>
      <c r="F4994"/>
      <c r="G4994"/>
      <c r="H4994"/>
      <c r="I4994"/>
      <c r="J4994"/>
    </row>
    <row r="4995" spans="1:10" s="2" customFormat="1">
      <c r="A4995" s="1"/>
      <c r="E4995"/>
      <c r="F4995"/>
      <c r="G4995"/>
      <c r="H4995"/>
      <c r="I4995"/>
      <c r="J4995"/>
    </row>
    <row r="4996" spans="1:10" s="2" customFormat="1">
      <c r="A4996" s="1"/>
      <c r="E4996"/>
      <c r="F4996"/>
      <c r="G4996"/>
      <c r="H4996"/>
      <c r="I4996"/>
      <c r="J4996"/>
    </row>
    <row r="4997" spans="1:10" s="2" customFormat="1">
      <c r="A4997" s="1"/>
      <c r="E4997"/>
      <c r="F4997"/>
      <c r="G4997"/>
      <c r="H4997"/>
      <c r="I4997"/>
      <c r="J4997"/>
    </row>
    <row r="4998" spans="1:10" s="2" customFormat="1">
      <c r="A4998" s="1"/>
      <c r="E4998"/>
      <c r="F4998"/>
      <c r="G4998"/>
      <c r="H4998"/>
      <c r="I4998"/>
      <c r="J4998"/>
    </row>
    <row r="4999" spans="1:10" s="2" customFormat="1">
      <c r="A4999" s="1"/>
      <c r="E4999"/>
      <c r="F4999"/>
      <c r="G4999"/>
      <c r="H4999"/>
      <c r="I4999"/>
      <c r="J4999"/>
    </row>
    <row r="5000" spans="1:10" s="2" customFormat="1">
      <c r="A5000" s="1"/>
      <c r="E5000"/>
      <c r="F5000"/>
      <c r="G5000"/>
      <c r="H5000"/>
      <c r="I5000"/>
      <c r="J5000"/>
    </row>
    <row r="5001" spans="1:10" s="2" customFormat="1">
      <c r="A5001" s="1"/>
      <c r="E5001"/>
      <c r="F5001"/>
      <c r="G5001"/>
      <c r="H5001"/>
      <c r="I5001"/>
      <c r="J5001"/>
    </row>
    <row r="5002" spans="1:10" s="2" customFormat="1">
      <c r="A5002" s="1"/>
      <c r="E5002"/>
      <c r="F5002"/>
      <c r="G5002"/>
      <c r="H5002"/>
      <c r="I5002"/>
      <c r="J5002"/>
    </row>
    <row r="5003" spans="1:10" s="2" customFormat="1">
      <c r="A5003" s="1"/>
      <c r="E5003"/>
      <c r="F5003"/>
      <c r="G5003"/>
      <c r="H5003"/>
      <c r="I5003"/>
      <c r="J5003"/>
    </row>
    <row r="5004" spans="1:10" s="2" customFormat="1">
      <c r="A5004" s="1"/>
      <c r="E5004"/>
      <c r="F5004"/>
      <c r="G5004"/>
      <c r="H5004"/>
      <c r="I5004"/>
      <c r="J5004"/>
    </row>
    <row r="5005" spans="1:10" s="2" customFormat="1">
      <c r="A5005" s="1"/>
      <c r="E5005"/>
      <c r="F5005"/>
      <c r="G5005"/>
      <c r="H5005"/>
      <c r="I5005"/>
      <c r="J5005"/>
    </row>
    <row r="5006" spans="1:10" s="2" customFormat="1">
      <c r="A5006" s="1"/>
      <c r="E5006"/>
      <c r="F5006"/>
      <c r="G5006"/>
      <c r="H5006"/>
      <c r="I5006"/>
      <c r="J5006"/>
    </row>
    <row r="5007" spans="1:10" s="2" customFormat="1">
      <c r="A5007" s="1"/>
      <c r="E5007"/>
      <c r="F5007"/>
      <c r="G5007"/>
      <c r="H5007"/>
      <c r="I5007"/>
      <c r="J5007"/>
    </row>
    <row r="5008" spans="1:10" s="2" customFormat="1">
      <c r="A5008" s="1"/>
      <c r="E5008"/>
      <c r="F5008"/>
      <c r="G5008"/>
      <c r="H5008"/>
      <c r="I5008"/>
      <c r="J5008"/>
    </row>
    <row r="5009" spans="1:10" s="2" customFormat="1">
      <c r="A5009" s="1"/>
      <c r="E5009"/>
      <c r="F5009"/>
      <c r="G5009"/>
      <c r="H5009"/>
      <c r="I5009"/>
      <c r="J5009"/>
    </row>
    <row r="5010" spans="1:10" s="2" customFormat="1">
      <c r="A5010" s="1"/>
      <c r="E5010"/>
      <c r="F5010"/>
      <c r="G5010"/>
      <c r="H5010"/>
      <c r="I5010"/>
      <c r="J5010"/>
    </row>
    <row r="5011" spans="1:10" s="2" customFormat="1">
      <c r="A5011" s="1"/>
      <c r="E5011"/>
      <c r="F5011"/>
      <c r="G5011"/>
      <c r="H5011"/>
      <c r="I5011"/>
      <c r="J5011"/>
    </row>
    <row r="5012" spans="1:10" s="2" customFormat="1">
      <c r="A5012" s="1"/>
      <c r="E5012"/>
      <c r="F5012"/>
      <c r="G5012"/>
      <c r="H5012"/>
      <c r="I5012"/>
      <c r="J5012"/>
    </row>
    <row r="5013" spans="1:10" s="2" customFormat="1">
      <c r="A5013" s="1"/>
      <c r="E5013"/>
      <c r="F5013"/>
      <c r="G5013"/>
      <c r="H5013"/>
      <c r="I5013"/>
      <c r="J5013"/>
    </row>
    <row r="5014" spans="1:10" s="2" customFormat="1">
      <c r="A5014" s="1"/>
      <c r="E5014"/>
      <c r="F5014"/>
      <c r="G5014"/>
      <c r="H5014"/>
      <c r="I5014"/>
      <c r="J5014"/>
    </row>
    <row r="5015" spans="1:10" s="2" customFormat="1">
      <c r="A5015" s="1"/>
      <c r="E5015"/>
      <c r="F5015"/>
      <c r="G5015"/>
      <c r="H5015"/>
      <c r="I5015"/>
      <c r="J5015"/>
    </row>
    <row r="5016" spans="1:10" s="2" customFormat="1">
      <c r="A5016" s="1"/>
      <c r="E5016"/>
      <c r="F5016"/>
      <c r="G5016"/>
      <c r="H5016"/>
      <c r="I5016"/>
      <c r="J5016"/>
    </row>
    <row r="5017" spans="1:10" s="2" customFormat="1">
      <c r="A5017" s="1"/>
      <c r="E5017"/>
      <c r="F5017"/>
      <c r="G5017"/>
      <c r="H5017"/>
      <c r="I5017"/>
      <c r="J5017"/>
    </row>
    <row r="5018" spans="1:10" s="2" customFormat="1">
      <c r="A5018" s="1"/>
      <c r="E5018"/>
      <c r="F5018"/>
      <c r="G5018"/>
      <c r="H5018"/>
      <c r="I5018"/>
      <c r="J5018"/>
    </row>
    <row r="5019" spans="1:10" s="2" customFormat="1">
      <c r="A5019" s="1"/>
      <c r="E5019"/>
      <c r="F5019"/>
      <c r="G5019"/>
      <c r="H5019"/>
      <c r="I5019"/>
      <c r="J5019"/>
    </row>
    <row r="5020" spans="1:10" s="2" customFormat="1">
      <c r="A5020" s="1"/>
      <c r="E5020"/>
      <c r="F5020"/>
      <c r="G5020"/>
      <c r="H5020"/>
      <c r="I5020"/>
      <c r="J5020"/>
    </row>
    <row r="5021" spans="1:10" s="2" customFormat="1">
      <c r="A5021" s="1"/>
      <c r="E5021"/>
      <c r="F5021"/>
      <c r="G5021"/>
      <c r="H5021"/>
      <c r="I5021"/>
      <c r="J5021"/>
    </row>
    <row r="5022" spans="1:10" s="2" customFormat="1">
      <c r="A5022" s="1"/>
      <c r="E5022"/>
      <c r="F5022"/>
      <c r="G5022"/>
      <c r="H5022"/>
      <c r="I5022"/>
      <c r="J5022"/>
    </row>
    <row r="5023" spans="1:10" s="2" customFormat="1">
      <c r="A5023" s="1"/>
      <c r="E5023"/>
      <c r="F5023"/>
      <c r="G5023"/>
      <c r="H5023"/>
      <c r="I5023"/>
      <c r="J5023"/>
    </row>
    <row r="5024" spans="1:10" s="2" customFormat="1">
      <c r="A5024" s="1"/>
      <c r="E5024"/>
      <c r="F5024"/>
      <c r="G5024"/>
      <c r="H5024"/>
      <c r="I5024"/>
      <c r="J5024"/>
    </row>
    <row r="5025" spans="1:10" s="2" customFormat="1">
      <c r="A5025" s="1"/>
      <c r="E5025"/>
      <c r="F5025"/>
      <c r="G5025"/>
      <c r="H5025"/>
      <c r="I5025"/>
      <c r="J5025"/>
    </row>
    <row r="5026" spans="1:10" s="2" customFormat="1">
      <c r="A5026" s="1"/>
      <c r="E5026"/>
      <c r="F5026"/>
      <c r="G5026"/>
      <c r="H5026"/>
      <c r="I5026"/>
      <c r="J5026"/>
    </row>
    <row r="5027" spans="1:10" s="2" customFormat="1">
      <c r="A5027" s="1"/>
      <c r="E5027"/>
      <c r="F5027"/>
      <c r="G5027"/>
      <c r="H5027"/>
      <c r="I5027"/>
      <c r="J5027"/>
    </row>
    <row r="5028" spans="1:10" s="2" customFormat="1">
      <c r="A5028" s="1"/>
      <c r="E5028"/>
      <c r="F5028"/>
      <c r="G5028"/>
      <c r="H5028"/>
      <c r="I5028"/>
      <c r="J5028"/>
    </row>
    <row r="5029" spans="1:10" s="2" customFormat="1">
      <c r="A5029" s="1"/>
      <c r="E5029"/>
      <c r="F5029"/>
      <c r="G5029"/>
      <c r="H5029"/>
      <c r="I5029"/>
      <c r="J5029"/>
    </row>
    <row r="5030" spans="1:10" s="2" customFormat="1">
      <c r="A5030" s="1"/>
      <c r="E5030"/>
      <c r="F5030"/>
      <c r="G5030"/>
      <c r="H5030"/>
      <c r="I5030"/>
      <c r="J5030"/>
    </row>
    <row r="5031" spans="1:10" s="2" customFormat="1">
      <c r="A5031" s="1"/>
      <c r="E5031"/>
      <c r="F5031"/>
      <c r="G5031"/>
      <c r="H5031"/>
      <c r="I5031"/>
      <c r="J5031"/>
    </row>
    <row r="5032" spans="1:10" s="2" customFormat="1">
      <c r="A5032" s="1"/>
      <c r="E5032"/>
      <c r="F5032"/>
      <c r="G5032"/>
      <c r="H5032"/>
      <c r="I5032"/>
      <c r="J5032"/>
    </row>
    <row r="5033" spans="1:10" s="2" customFormat="1">
      <c r="A5033" s="1"/>
      <c r="E5033"/>
      <c r="F5033"/>
      <c r="G5033"/>
      <c r="H5033"/>
      <c r="I5033"/>
      <c r="J5033"/>
    </row>
    <row r="5034" spans="1:10" s="2" customFormat="1">
      <c r="A5034" s="1"/>
      <c r="E5034"/>
      <c r="F5034"/>
      <c r="G5034"/>
      <c r="H5034"/>
      <c r="I5034"/>
      <c r="J5034"/>
    </row>
    <row r="5035" spans="1:10" s="2" customFormat="1">
      <c r="A5035" s="1"/>
      <c r="E5035"/>
      <c r="F5035"/>
      <c r="G5035"/>
      <c r="H5035"/>
      <c r="I5035"/>
      <c r="J5035"/>
    </row>
    <row r="5036" spans="1:10" s="2" customFormat="1">
      <c r="A5036" s="1"/>
      <c r="E5036"/>
      <c r="F5036"/>
      <c r="G5036"/>
      <c r="H5036"/>
      <c r="I5036"/>
      <c r="J5036"/>
    </row>
    <row r="5037" spans="1:10" s="2" customFormat="1">
      <c r="A5037" s="1"/>
      <c r="E5037"/>
      <c r="F5037"/>
      <c r="G5037"/>
      <c r="H5037"/>
      <c r="I5037"/>
      <c r="J5037"/>
    </row>
    <row r="5038" spans="1:10" s="2" customFormat="1">
      <c r="A5038" s="1"/>
      <c r="E5038"/>
      <c r="F5038"/>
      <c r="G5038"/>
      <c r="H5038"/>
      <c r="I5038"/>
      <c r="J5038"/>
    </row>
    <row r="5039" spans="1:10" s="2" customFormat="1">
      <c r="A5039" s="1"/>
      <c r="E5039"/>
      <c r="F5039"/>
      <c r="G5039"/>
      <c r="H5039"/>
      <c r="I5039"/>
      <c r="J5039"/>
    </row>
    <row r="5040" spans="1:10" s="2" customFormat="1">
      <c r="A5040" s="1"/>
      <c r="E5040"/>
      <c r="F5040"/>
      <c r="G5040"/>
      <c r="H5040"/>
      <c r="I5040"/>
      <c r="J5040"/>
    </row>
    <row r="5041" spans="1:10" s="2" customFormat="1">
      <c r="A5041" s="1"/>
      <c r="E5041"/>
      <c r="F5041"/>
      <c r="G5041"/>
      <c r="H5041"/>
      <c r="I5041"/>
      <c r="J5041"/>
    </row>
    <row r="5042" spans="1:10" s="2" customFormat="1">
      <c r="A5042" s="1"/>
      <c r="E5042"/>
      <c r="F5042"/>
      <c r="G5042"/>
      <c r="H5042"/>
      <c r="I5042"/>
      <c r="J5042"/>
    </row>
    <row r="5043" spans="1:10" s="2" customFormat="1">
      <c r="A5043" s="1"/>
      <c r="E5043"/>
      <c r="F5043"/>
      <c r="G5043"/>
      <c r="H5043"/>
      <c r="I5043"/>
      <c r="J5043"/>
    </row>
    <row r="5044" spans="1:10" s="2" customFormat="1">
      <c r="A5044" s="1"/>
      <c r="E5044"/>
      <c r="F5044"/>
      <c r="G5044"/>
      <c r="H5044"/>
      <c r="I5044"/>
      <c r="J5044"/>
    </row>
    <row r="5045" spans="1:10" s="2" customFormat="1">
      <c r="A5045" s="1"/>
      <c r="E5045"/>
      <c r="F5045"/>
      <c r="G5045"/>
      <c r="H5045"/>
      <c r="I5045"/>
      <c r="J5045"/>
    </row>
    <row r="5046" spans="1:10" s="2" customFormat="1">
      <c r="A5046" s="1"/>
      <c r="E5046"/>
      <c r="F5046"/>
      <c r="G5046"/>
      <c r="H5046"/>
      <c r="I5046"/>
      <c r="J5046"/>
    </row>
    <row r="5047" spans="1:10" s="2" customFormat="1">
      <c r="A5047" s="1"/>
      <c r="E5047"/>
      <c r="F5047"/>
      <c r="G5047"/>
      <c r="H5047"/>
      <c r="I5047"/>
      <c r="J5047"/>
    </row>
    <row r="5048" spans="1:10" s="2" customFormat="1">
      <c r="A5048" s="1"/>
      <c r="E5048"/>
      <c r="F5048"/>
      <c r="G5048"/>
      <c r="H5048"/>
      <c r="I5048"/>
      <c r="J5048"/>
    </row>
    <row r="5049" spans="1:10" s="2" customFormat="1">
      <c r="A5049" s="1"/>
      <c r="E5049"/>
      <c r="F5049"/>
      <c r="G5049"/>
      <c r="H5049"/>
      <c r="I5049"/>
      <c r="J5049"/>
    </row>
    <row r="5050" spans="1:10" s="2" customFormat="1">
      <c r="A5050" s="1"/>
      <c r="E5050"/>
      <c r="F5050"/>
      <c r="G5050"/>
      <c r="H5050"/>
      <c r="I5050"/>
      <c r="J5050"/>
    </row>
    <row r="5051" spans="1:10" s="2" customFormat="1">
      <c r="A5051" s="1"/>
      <c r="E5051"/>
      <c r="F5051"/>
      <c r="G5051"/>
      <c r="H5051"/>
      <c r="I5051"/>
      <c r="J5051"/>
    </row>
    <row r="5052" spans="1:10" s="2" customFormat="1">
      <c r="A5052" s="1"/>
      <c r="E5052"/>
      <c r="F5052"/>
      <c r="G5052"/>
      <c r="H5052"/>
      <c r="I5052"/>
      <c r="J5052"/>
    </row>
    <row r="5053" spans="1:10" s="2" customFormat="1">
      <c r="A5053" s="1"/>
      <c r="E5053"/>
      <c r="F5053"/>
      <c r="G5053"/>
      <c r="H5053"/>
      <c r="I5053"/>
      <c r="J5053"/>
    </row>
    <row r="5054" spans="1:10" s="2" customFormat="1">
      <c r="A5054" s="1"/>
      <c r="E5054"/>
      <c r="F5054"/>
      <c r="G5054"/>
      <c r="H5054"/>
      <c r="I5054"/>
      <c r="J5054"/>
    </row>
    <row r="5055" spans="1:10" s="2" customFormat="1">
      <c r="A5055" s="1"/>
      <c r="E5055"/>
      <c r="F5055"/>
      <c r="G5055"/>
      <c r="H5055"/>
      <c r="I5055"/>
      <c r="J5055"/>
    </row>
    <row r="5056" spans="1:10" s="2" customFormat="1">
      <c r="A5056" s="1"/>
      <c r="E5056"/>
      <c r="F5056"/>
      <c r="G5056"/>
      <c r="H5056"/>
      <c r="I5056"/>
      <c r="J5056"/>
    </row>
    <row r="5057" spans="1:10" s="2" customFormat="1">
      <c r="A5057" s="1"/>
      <c r="E5057"/>
      <c r="F5057"/>
      <c r="G5057"/>
      <c r="H5057"/>
      <c r="I5057"/>
      <c r="J5057"/>
    </row>
    <row r="5058" spans="1:10" s="2" customFormat="1">
      <c r="A5058" s="1"/>
      <c r="E5058"/>
      <c r="F5058"/>
      <c r="G5058"/>
      <c r="H5058"/>
      <c r="I5058"/>
      <c r="J5058"/>
    </row>
    <row r="5059" spans="1:10" s="2" customFormat="1">
      <c r="A5059" s="1"/>
      <c r="E5059"/>
      <c r="F5059"/>
      <c r="G5059"/>
      <c r="H5059"/>
      <c r="I5059"/>
      <c r="J5059"/>
    </row>
    <row r="5060" spans="1:10" s="2" customFormat="1">
      <c r="A5060" s="1"/>
      <c r="E5060"/>
      <c r="F5060"/>
      <c r="G5060"/>
      <c r="H5060"/>
      <c r="I5060"/>
      <c r="J5060"/>
    </row>
    <row r="5061" spans="1:10" s="2" customFormat="1">
      <c r="A5061" s="1"/>
      <c r="E5061"/>
      <c r="F5061"/>
      <c r="G5061"/>
      <c r="H5061"/>
      <c r="I5061"/>
      <c r="J5061"/>
    </row>
    <row r="5062" spans="1:10" s="2" customFormat="1">
      <c r="A5062" s="1"/>
      <c r="E5062"/>
      <c r="F5062"/>
      <c r="G5062"/>
      <c r="H5062"/>
      <c r="I5062"/>
      <c r="J5062"/>
    </row>
    <row r="5063" spans="1:10" s="2" customFormat="1">
      <c r="A5063" s="1"/>
      <c r="E5063"/>
      <c r="F5063"/>
      <c r="G5063"/>
      <c r="H5063"/>
      <c r="I5063"/>
      <c r="J5063"/>
    </row>
    <row r="5064" spans="1:10" s="2" customFormat="1">
      <c r="A5064" s="1"/>
      <c r="E5064"/>
      <c r="F5064"/>
      <c r="G5064"/>
      <c r="H5064"/>
      <c r="I5064"/>
      <c r="J5064"/>
    </row>
    <row r="5065" spans="1:10" s="2" customFormat="1">
      <c r="A5065" s="1"/>
      <c r="E5065"/>
      <c r="F5065"/>
      <c r="G5065"/>
      <c r="H5065"/>
      <c r="I5065"/>
      <c r="J5065"/>
    </row>
    <row r="5066" spans="1:10" s="2" customFormat="1">
      <c r="A5066" s="1"/>
      <c r="E5066"/>
      <c r="F5066"/>
      <c r="G5066"/>
      <c r="H5066"/>
      <c r="I5066"/>
      <c r="J5066"/>
    </row>
    <row r="5067" spans="1:10" s="2" customFormat="1">
      <c r="A5067" s="1"/>
      <c r="E5067"/>
      <c r="F5067"/>
      <c r="G5067"/>
      <c r="H5067"/>
      <c r="I5067"/>
      <c r="J5067"/>
    </row>
    <row r="5068" spans="1:10" s="2" customFormat="1">
      <c r="A5068" s="1"/>
      <c r="E5068"/>
      <c r="F5068"/>
      <c r="G5068"/>
      <c r="H5068"/>
      <c r="I5068"/>
      <c r="J5068"/>
    </row>
    <row r="5069" spans="1:10" s="2" customFormat="1">
      <c r="A5069" s="1"/>
      <c r="E5069"/>
      <c r="F5069"/>
      <c r="G5069"/>
      <c r="H5069"/>
      <c r="I5069"/>
      <c r="J5069"/>
    </row>
    <row r="5070" spans="1:10" s="2" customFormat="1">
      <c r="A5070" s="1"/>
      <c r="E5070"/>
      <c r="F5070"/>
      <c r="G5070"/>
      <c r="H5070"/>
      <c r="I5070"/>
      <c r="J5070"/>
    </row>
    <row r="5071" spans="1:10" s="2" customFormat="1">
      <c r="A5071" s="1"/>
      <c r="E5071"/>
      <c r="F5071"/>
      <c r="G5071"/>
      <c r="H5071"/>
      <c r="I5071"/>
      <c r="J5071"/>
    </row>
    <row r="5072" spans="1:10" s="2" customFormat="1">
      <c r="A5072" s="1"/>
      <c r="E5072"/>
      <c r="F5072"/>
      <c r="G5072"/>
      <c r="H5072"/>
      <c r="I5072"/>
      <c r="J5072"/>
    </row>
    <row r="5073" spans="1:10" s="2" customFormat="1">
      <c r="A5073" s="1"/>
      <c r="E5073"/>
      <c r="F5073"/>
      <c r="G5073"/>
      <c r="H5073"/>
      <c r="I5073"/>
      <c r="J5073"/>
    </row>
    <row r="5074" spans="1:10" s="2" customFormat="1">
      <c r="A5074" s="1"/>
      <c r="E5074"/>
      <c r="F5074"/>
      <c r="G5074"/>
      <c r="H5074"/>
      <c r="I5074"/>
      <c r="J5074"/>
    </row>
    <row r="5075" spans="1:10" s="2" customFormat="1">
      <c r="A5075" s="1"/>
      <c r="E5075"/>
      <c r="F5075"/>
      <c r="G5075"/>
      <c r="H5075"/>
      <c r="I5075"/>
      <c r="J5075"/>
    </row>
    <row r="5076" spans="1:10" s="2" customFormat="1">
      <c r="A5076" s="1"/>
      <c r="E5076"/>
      <c r="F5076"/>
      <c r="G5076"/>
      <c r="H5076"/>
      <c r="I5076"/>
      <c r="J5076"/>
    </row>
    <row r="5077" spans="1:10" s="2" customFormat="1">
      <c r="A5077" s="1"/>
      <c r="E5077"/>
      <c r="F5077"/>
      <c r="G5077"/>
      <c r="H5077"/>
      <c r="I5077"/>
      <c r="J5077"/>
    </row>
    <row r="5078" spans="1:10" s="2" customFormat="1">
      <c r="A5078" s="1"/>
      <c r="E5078"/>
      <c r="F5078"/>
      <c r="G5078"/>
      <c r="H5078"/>
      <c r="I5078"/>
      <c r="J5078"/>
    </row>
    <row r="5079" spans="1:10" s="2" customFormat="1">
      <c r="A5079" s="1"/>
      <c r="E5079"/>
      <c r="F5079"/>
      <c r="G5079"/>
      <c r="H5079"/>
      <c r="I5079"/>
      <c r="J5079"/>
    </row>
    <row r="5080" spans="1:10" s="2" customFormat="1">
      <c r="A5080" s="1"/>
      <c r="E5080"/>
      <c r="F5080"/>
      <c r="G5080"/>
      <c r="H5080"/>
      <c r="I5080"/>
      <c r="J5080"/>
    </row>
    <row r="5081" spans="1:10" s="2" customFormat="1">
      <c r="A5081" s="1"/>
      <c r="E5081"/>
      <c r="F5081"/>
      <c r="G5081"/>
      <c r="H5081"/>
      <c r="I5081"/>
      <c r="J5081"/>
    </row>
    <row r="5082" spans="1:10" s="2" customFormat="1">
      <c r="A5082" s="1"/>
      <c r="E5082"/>
      <c r="F5082"/>
      <c r="G5082"/>
      <c r="H5082"/>
      <c r="I5082"/>
      <c r="J5082"/>
    </row>
    <row r="5083" spans="1:10" s="2" customFormat="1">
      <c r="A5083" s="1"/>
      <c r="E5083"/>
      <c r="F5083"/>
      <c r="G5083"/>
      <c r="H5083"/>
      <c r="I5083"/>
      <c r="J5083"/>
    </row>
    <row r="5084" spans="1:10" s="2" customFormat="1">
      <c r="A5084" s="1"/>
      <c r="E5084"/>
      <c r="F5084"/>
      <c r="G5084"/>
      <c r="H5084"/>
      <c r="I5084"/>
      <c r="J5084"/>
    </row>
    <row r="5085" spans="1:10" s="2" customFormat="1">
      <c r="A5085" s="1"/>
      <c r="E5085"/>
      <c r="F5085"/>
      <c r="G5085"/>
      <c r="H5085"/>
      <c r="I5085"/>
      <c r="J5085"/>
    </row>
    <row r="5086" spans="1:10" s="2" customFormat="1">
      <c r="A5086" s="1"/>
      <c r="E5086"/>
      <c r="F5086"/>
      <c r="G5086"/>
      <c r="H5086"/>
      <c r="I5086"/>
      <c r="J5086"/>
    </row>
    <row r="5087" spans="1:10" s="2" customFormat="1">
      <c r="A5087" s="1"/>
      <c r="E5087"/>
      <c r="F5087"/>
      <c r="G5087"/>
      <c r="H5087"/>
      <c r="I5087"/>
      <c r="J5087"/>
    </row>
    <row r="5088" spans="1:10" s="2" customFormat="1">
      <c r="A5088" s="1"/>
      <c r="E5088"/>
      <c r="F5088"/>
      <c r="G5088"/>
      <c r="H5088"/>
      <c r="I5088"/>
      <c r="J5088"/>
    </row>
    <row r="5089" spans="1:10" s="2" customFormat="1">
      <c r="A5089" s="1"/>
      <c r="E5089"/>
      <c r="F5089"/>
      <c r="G5089"/>
      <c r="H5089"/>
      <c r="I5089"/>
      <c r="J5089"/>
    </row>
    <row r="5090" spans="1:10" s="2" customFormat="1">
      <c r="A5090" s="1"/>
      <c r="E5090"/>
      <c r="F5090"/>
      <c r="G5090"/>
      <c r="H5090"/>
      <c r="I5090"/>
      <c r="J5090"/>
    </row>
    <row r="5091" spans="1:10" s="2" customFormat="1">
      <c r="A5091" s="1"/>
      <c r="E5091"/>
      <c r="F5091"/>
      <c r="G5091"/>
      <c r="H5091"/>
      <c r="I5091"/>
      <c r="J5091"/>
    </row>
    <row r="5092" spans="1:10" s="2" customFormat="1">
      <c r="A5092" s="1"/>
      <c r="E5092"/>
      <c r="F5092"/>
      <c r="G5092"/>
      <c r="H5092"/>
      <c r="I5092"/>
      <c r="J5092"/>
    </row>
    <row r="5093" spans="1:10" s="2" customFormat="1">
      <c r="A5093" s="1"/>
      <c r="E5093"/>
      <c r="F5093"/>
      <c r="G5093"/>
      <c r="H5093"/>
      <c r="I5093"/>
      <c r="J5093"/>
    </row>
    <row r="5094" spans="1:10" s="2" customFormat="1">
      <c r="A5094" s="1"/>
      <c r="E5094"/>
      <c r="F5094"/>
      <c r="G5094"/>
      <c r="H5094"/>
      <c r="I5094"/>
      <c r="J5094"/>
    </row>
    <row r="5095" spans="1:10" s="2" customFormat="1">
      <c r="A5095" s="1"/>
      <c r="E5095"/>
      <c r="F5095"/>
      <c r="G5095"/>
      <c r="H5095"/>
      <c r="I5095"/>
      <c r="J5095"/>
    </row>
    <row r="5096" spans="1:10" s="2" customFormat="1">
      <c r="A5096" s="1"/>
      <c r="E5096"/>
      <c r="F5096"/>
      <c r="G5096"/>
      <c r="H5096"/>
      <c r="I5096"/>
      <c r="J5096"/>
    </row>
    <row r="5097" spans="1:10" s="2" customFormat="1">
      <c r="A5097" s="1"/>
      <c r="E5097"/>
      <c r="F5097"/>
      <c r="G5097"/>
      <c r="H5097"/>
      <c r="I5097"/>
      <c r="J5097"/>
    </row>
    <row r="5098" spans="1:10" s="2" customFormat="1">
      <c r="A5098" s="1"/>
      <c r="E5098"/>
      <c r="F5098"/>
      <c r="G5098"/>
      <c r="H5098"/>
      <c r="I5098"/>
      <c r="J5098"/>
    </row>
    <row r="5099" spans="1:10" s="2" customFormat="1">
      <c r="A5099" s="1"/>
      <c r="E5099"/>
      <c r="F5099"/>
      <c r="G5099"/>
      <c r="H5099"/>
      <c r="I5099"/>
      <c r="J5099"/>
    </row>
    <row r="5100" spans="1:10" s="2" customFormat="1">
      <c r="A5100" s="1"/>
      <c r="E5100"/>
      <c r="F5100"/>
      <c r="G5100"/>
      <c r="H5100"/>
      <c r="I5100"/>
      <c r="J5100"/>
    </row>
    <row r="5101" spans="1:10" s="2" customFormat="1">
      <c r="A5101" s="1"/>
      <c r="E5101"/>
      <c r="F5101"/>
      <c r="G5101"/>
      <c r="H5101"/>
      <c r="I5101"/>
      <c r="J5101"/>
    </row>
    <row r="5102" spans="1:10" s="2" customFormat="1">
      <c r="A5102" s="1"/>
      <c r="E5102"/>
      <c r="F5102"/>
      <c r="G5102"/>
      <c r="H5102"/>
      <c r="I5102"/>
      <c r="J5102"/>
    </row>
    <row r="5103" spans="1:10" s="2" customFormat="1">
      <c r="A5103" s="1"/>
      <c r="E5103"/>
      <c r="F5103"/>
      <c r="G5103"/>
      <c r="H5103"/>
      <c r="I5103"/>
      <c r="J5103"/>
    </row>
    <row r="5104" spans="1:10" s="2" customFormat="1">
      <c r="A5104" s="1"/>
      <c r="E5104"/>
      <c r="F5104"/>
      <c r="G5104"/>
      <c r="H5104"/>
      <c r="I5104"/>
      <c r="J5104"/>
    </row>
    <row r="5105" spans="1:10" s="2" customFormat="1">
      <c r="A5105" s="1"/>
      <c r="E5105"/>
      <c r="F5105"/>
      <c r="G5105"/>
      <c r="H5105"/>
      <c r="I5105"/>
      <c r="J5105"/>
    </row>
    <row r="5106" spans="1:10" s="2" customFormat="1">
      <c r="A5106" s="1"/>
      <c r="E5106"/>
      <c r="F5106"/>
      <c r="G5106"/>
      <c r="H5106"/>
      <c r="I5106"/>
      <c r="J5106"/>
    </row>
    <row r="5107" spans="1:10" s="2" customFormat="1">
      <c r="A5107" s="1"/>
      <c r="E5107"/>
      <c r="F5107"/>
      <c r="G5107"/>
      <c r="H5107"/>
      <c r="I5107"/>
      <c r="J5107"/>
    </row>
    <row r="5108" spans="1:10" s="2" customFormat="1">
      <c r="A5108" s="1"/>
      <c r="E5108"/>
      <c r="F5108"/>
      <c r="G5108"/>
      <c r="H5108"/>
      <c r="I5108"/>
      <c r="J5108"/>
    </row>
    <row r="5109" spans="1:10" s="2" customFormat="1">
      <c r="A5109" s="1"/>
      <c r="E5109"/>
      <c r="F5109"/>
      <c r="G5109"/>
      <c r="H5109"/>
      <c r="I5109"/>
      <c r="J5109"/>
    </row>
    <row r="5110" spans="1:10" s="2" customFormat="1">
      <c r="A5110" s="1"/>
      <c r="E5110"/>
      <c r="F5110"/>
      <c r="G5110"/>
      <c r="H5110"/>
      <c r="I5110"/>
      <c r="J5110"/>
    </row>
    <row r="5111" spans="1:10" s="2" customFormat="1">
      <c r="A5111" s="1"/>
      <c r="E5111"/>
      <c r="F5111"/>
      <c r="G5111"/>
      <c r="H5111"/>
      <c r="I5111"/>
      <c r="J5111"/>
    </row>
    <row r="5112" spans="1:10" s="2" customFormat="1">
      <c r="A5112" s="1"/>
      <c r="E5112"/>
      <c r="F5112"/>
      <c r="G5112"/>
      <c r="H5112"/>
      <c r="I5112"/>
      <c r="J5112"/>
    </row>
    <row r="5113" spans="1:10" s="2" customFormat="1">
      <c r="A5113" s="1"/>
      <c r="E5113"/>
      <c r="F5113"/>
      <c r="G5113"/>
      <c r="H5113"/>
      <c r="I5113"/>
      <c r="J5113"/>
    </row>
    <row r="5114" spans="1:10" s="2" customFormat="1">
      <c r="A5114" s="1"/>
      <c r="E5114"/>
      <c r="F5114"/>
      <c r="G5114"/>
      <c r="H5114"/>
      <c r="I5114"/>
      <c r="J5114"/>
    </row>
    <row r="5115" spans="1:10" s="2" customFormat="1">
      <c r="A5115" s="1"/>
      <c r="E5115"/>
      <c r="F5115"/>
      <c r="G5115"/>
      <c r="H5115"/>
      <c r="I5115"/>
      <c r="J5115"/>
    </row>
    <row r="5116" spans="1:10" s="2" customFormat="1">
      <c r="A5116" s="1"/>
      <c r="E5116"/>
      <c r="F5116"/>
      <c r="G5116"/>
      <c r="H5116"/>
      <c r="I5116"/>
      <c r="J5116"/>
    </row>
    <row r="5117" spans="1:10" s="2" customFormat="1">
      <c r="A5117" s="1"/>
      <c r="E5117"/>
      <c r="F5117"/>
      <c r="G5117"/>
      <c r="H5117"/>
      <c r="I5117"/>
      <c r="J5117"/>
    </row>
    <row r="5118" spans="1:10" s="2" customFormat="1">
      <c r="A5118" s="1"/>
      <c r="E5118"/>
      <c r="F5118"/>
      <c r="G5118"/>
      <c r="H5118"/>
      <c r="I5118"/>
      <c r="J5118"/>
    </row>
    <row r="5119" spans="1:10" s="2" customFormat="1">
      <c r="A5119" s="1"/>
      <c r="E5119"/>
      <c r="F5119"/>
      <c r="G5119"/>
      <c r="H5119"/>
      <c r="I5119"/>
      <c r="J5119"/>
    </row>
    <row r="5120" spans="1:10" s="2" customFormat="1">
      <c r="A5120" s="1"/>
      <c r="E5120"/>
      <c r="F5120"/>
      <c r="G5120"/>
      <c r="H5120"/>
      <c r="I5120"/>
      <c r="J5120"/>
    </row>
    <row r="5121" spans="1:10" s="2" customFormat="1">
      <c r="A5121" s="1"/>
      <c r="E5121"/>
      <c r="F5121"/>
      <c r="G5121"/>
      <c r="H5121"/>
      <c r="I5121"/>
      <c r="J5121"/>
    </row>
    <row r="5122" spans="1:10" s="2" customFormat="1">
      <c r="A5122" s="1"/>
      <c r="E5122"/>
      <c r="F5122"/>
      <c r="G5122"/>
      <c r="H5122"/>
      <c r="I5122"/>
      <c r="J5122"/>
    </row>
    <row r="5123" spans="1:10" s="2" customFormat="1">
      <c r="A5123" s="1"/>
      <c r="E5123"/>
      <c r="F5123"/>
      <c r="G5123"/>
      <c r="H5123"/>
      <c r="I5123"/>
      <c r="J5123"/>
    </row>
    <row r="5124" spans="1:10" s="2" customFormat="1">
      <c r="A5124" s="1"/>
      <c r="E5124"/>
      <c r="F5124"/>
      <c r="G5124"/>
      <c r="H5124"/>
      <c r="I5124"/>
      <c r="J5124"/>
    </row>
    <row r="5125" spans="1:10" s="2" customFormat="1">
      <c r="A5125" s="1"/>
      <c r="E5125"/>
      <c r="F5125"/>
      <c r="G5125"/>
      <c r="H5125"/>
      <c r="I5125"/>
      <c r="J5125"/>
    </row>
    <row r="5126" spans="1:10" s="2" customFormat="1">
      <c r="A5126" s="1"/>
      <c r="E5126"/>
      <c r="F5126"/>
      <c r="G5126"/>
      <c r="H5126"/>
      <c r="I5126"/>
      <c r="J5126"/>
    </row>
    <row r="5127" spans="1:10" s="2" customFormat="1">
      <c r="A5127" s="1"/>
      <c r="E5127"/>
      <c r="F5127"/>
      <c r="G5127"/>
      <c r="H5127"/>
      <c r="I5127"/>
      <c r="J5127"/>
    </row>
    <row r="5128" spans="1:10" s="2" customFormat="1">
      <c r="A5128" s="1"/>
      <c r="E5128"/>
      <c r="F5128"/>
      <c r="G5128"/>
      <c r="H5128"/>
      <c r="I5128"/>
      <c r="J5128"/>
    </row>
    <row r="5129" spans="1:10" s="2" customFormat="1">
      <c r="A5129" s="1"/>
      <c r="E5129"/>
      <c r="F5129"/>
      <c r="G5129"/>
      <c r="H5129"/>
      <c r="I5129"/>
      <c r="J5129"/>
    </row>
    <row r="5130" spans="1:10" s="2" customFormat="1">
      <c r="A5130" s="1"/>
      <c r="E5130"/>
      <c r="F5130"/>
      <c r="G5130"/>
      <c r="H5130"/>
      <c r="I5130"/>
      <c r="J5130"/>
    </row>
    <row r="5131" spans="1:10" s="2" customFormat="1">
      <c r="A5131" s="1"/>
      <c r="E5131"/>
      <c r="F5131"/>
      <c r="G5131"/>
      <c r="H5131"/>
      <c r="I5131"/>
      <c r="J5131"/>
    </row>
    <row r="5132" spans="1:10" s="2" customFormat="1">
      <c r="A5132" s="1"/>
      <c r="E5132"/>
      <c r="F5132"/>
      <c r="G5132"/>
      <c r="H5132"/>
      <c r="I5132"/>
      <c r="J5132"/>
    </row>
    <row r="5133" spans="1:10" s="2" customFormat="1">
      <c r="A5133" s="1"/>
      <c r="E5133"/>
      <c r="F5133"/>
      <c r="G5133"/>
      <c r="H5133"/>
      <c r="I5133"/>
      <c r="J5133"/>
    </row>
    <row r="5134" spans="1:10" s="2" customFormat="1">
      <c r="A5134" s="1"/>
      <c r="E5134"/>
      <c r="F5134"/>
      <c r="G5134"/>
      <c r="H5134"/>
      <c r="I5134"/>
      <c r="J5134"/>
    </row>
    <row r="5135" spans="1:10" s="2" customFormat="1">
      <c r="A5135" s="1"/>
      <c r="E5135"/>
      <c r="F5135"/>
      <c r="G5135"/>
      <c r="H5135"/>
      <c r="I5135"/>
      <c r="J5135"/>
    </row>
    <row r="5136" spans="1:10" s="2" customFormat="1">
      <c r="A5136" s="1"/>
      <c r="E5136"/>
      <c r="F5136"/>
      <c r="G5136"/>
      <c r="H5136"/>
      <c r="I5136"/>
      <c r="J5136"/>
    </row>
    <row r="5137" spans="1:10" s="2" customFormat="1">
      <c r="A5137" s="1"/>
      <c r="E5137"/>
      <c r="F5137"/>
      <c r="G5137"/>
      <c r="H5137"/>
      <c r="I5137"/>
      <c r="J5137"/>
    </row>
    <row r="5138" spans="1:10" s="2" customFormat="1">
      <c r="A5138" s="1"/>
      <c r="E5138"/>
      <c r="F5138"/>
      <c r="G5138"/>
      <c r="H5138"/>
      <c r="I5138"/>
      <c r="J5138"/>
    </row>
  </sheetData>
  <mergeCells count="2">
    <mergeCell ref="A1:D1"/>
    <mergeCell ref="F1:H1"/>
  </mergeCells>
  <phoneticPr fontId="4" type="noConversion"/>
  <pageMargins left="0.7" right="0.7" top="0.75" bottom="0.75" header="0.3" footer="0.3"/>
  <pageSetup scale="56"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V178"/>
  <sheetViews>
    <sheetView workbookViewId="0">
      <pane ySplit="1" topLeftCell="A20" activePane="bottomLeft" state="frozen"/>
      <selection pane="bottomLeft" activeCell="C50" sqref="C50"/>
    </sheetView>
  </sheetViews>
  <sheetFormatPr defaultRowHeight="15"/>
  <cols>
    <col min="1" max="1" width="6.85546875" bestFit="1" customWidth="1"/>
    <col min="2" max="2" width="4.85546875" bestFit="1" customWidth="1"/>
    <col min="3" max="3" width="36.5703125" bestFit="1" customWidth="1"/>
    <col min="4" max="4" width="8.28515625" bestFit="1" customWidth="1"/>
    <col min="5" max="5" width="20.140625" customWidth="1"/>
    <col min="6" max="6" width="13" bestFit="1" customWidth="1"/>
    <col min="7" max="7" width="87.85546875" style="63" customWidth="1"/>
  </cols>
  <sheetData>
    <row r="1" spans="1:22" ht="25.5">
      <c r="A1" s="74" t="s">
        <v>465</v>
      </c>
      <c r="B1" s="75" t="s">
        <v>374</v>
      </c>
      <c r="C1" s="74" t="s">
        <v>375</v>
      </c>
      <c r="D1" s="75" t="s">
        <v>376</v>
      </c>
      <c r="E1" s="75" t="s">
        <v>377</v>
      </c>
      <c r="F1" s="74" t="s">
        <v>378</v>
      </c>
      <c r="G1" s="90" t="s">
        <v>933</v>
      </c>
    </row>
    <row r="2" spans="1:22" ht="15.95" customHeight="1">
      <c r="A2" s="72">
        <v>1</v>
      </c>
      <c r="B2" s="70">
        <v>1</v>
      </c>
      <c r="C2" s="72" t="s">
        <v>686</v>
      </c>
      <c r="D2" s="70" t="s">
        <v>2</v>
      </c>
      <c r="E2" s="70" t="s">
        <v>15</v>
      </c>
      <c r="F2" s="72" t="s">
        <v>651</v>
      </c>
      <c r="G2" s="91" t="s">
        <v>934</v>
      </c>
      <c r="U2" s="72" t="s">
        <v>651</v>
      </c>
      <c r="V2">
        <f t="shared" ref="V2:V11" si="0">COUNTIF($F$2:$F$174,U2)</f>
        <v>16</v>
      </c>
    </row>
    <row r="3" spans="1:22" ht="15.95" customHeight="1">
      <c r="A3" s="72">
        <v>1</v>
      </c>
      <c r="B3" s="70">
        <v>2</v>
      </c>
      <c r="C3" s="72" t="s">
        <v>61</v>
      </c>
      <c r="D3" s="70" t="s">
        <v>10</v>
      </c>
      <c r="E3" s="70" t="s">
        <v>135</v>
      </c>
      <c r="F3" s="72" t="s">
        <v>659</v>
      </c>
      <c r="G3" s="91" t="s">
        <v>935</v>
      </c>
      <c r="U3" s="72" t="s">
        <v>659</v>
      </c>
      <c r="V3">
        <f t="shared" si="0"/>
        <v>16</v>
      </c>
    </row>
    <row r="4" spans="1:22" ht="15.95" customHeight="1">
      <c r="A4" s="72">
        <v>1</v>
      </c>
      <c r="B4" s="70">
        <v>3</v>
      </c>
      <c r="C4" s="72" t="s">
        <v>168</v>
      </c>
      <c r="D4" s="70" t="s">
        <v>2</v>
      </c>
      <c r="E4" s="70" t="s">
        <v>46</v>
      </c>
      <c r="F4" s="72" t="s">
        <v>661</v>
      </c>
      <c r="U4" s="72" t="s">
        <v>661</v>
      </c>
      <c r="V4">
        <f t="shared" si="0"/>
        <v>16</v>
      </c>
    </row>
    <row r="5" spans="1:22" ht="15.95" customHeight="1">
      <c r="A5" s="72">
        <v>1</v>
      </c>
      <c r="B5" s="70">
        <v>4</v>
      </c>
      <c r="C5" s="72" t="s">
        <v>1103</v>
      </c>
      <c r="D5" s="70" t="s">
        <v>10</v>
      </c>
      <c r="E5" s="70" t="s">
        <v>60</v>
      </c>
      <c r="F5" s="72" t="s">
        <v>758</v>
      </c>
      <c r="U5" s="72" t="s">
        <v>758</v>
      </c>
      <c r="V5">
        <f t="shared" si="0"/>
        <v>16</v>
      </c>
    </row>
    <row r="6" spans="1:22" ht="15.95" customHeight="1">
      <c r="A6" s="72">
        <v>1</v>
      </c>
      <c r="B6" s="70">
        <v>5</v>
      </c>
      <c r="C6" s="72" t="s">
        <v>852</v>
      </c>
      <c r="D6" s="70" t="s">
        <v>10</v>
      </c>
      <c r="E6" s="70" t="s">
        <v>11</v>
      </c>
      <c r="F6" s="72" t="s">
        <v>654</v>
      </c>
      <c r="U6" s="72" t="s">
        <v>654</v>
      </c>
      <c r="V6">
        <f t="shared" si="0"/>
        <v>16</v>
      </c>
    </row>
    <row r="7" spans="1:22" ht="15.95" customHeight="1">
      <c r="A7" s="72">
        <v>1</v>
      </c>
      <c r="B7" s="70">
        <v>6</v>
      </c>
      <c r="C7" s="72" t="s">
        <v>611</v>
      </c>
      <c r="D7" s="70" t="s">
        <v>2</v>
      </c>
      <c r="E7" s="70" t="s">
        <v>23</v>
      </c>
      <c r="F7" s="72" t="s">
        <v>657</v>
      </c>
      <c r="G7" s="63" t="s">
        <v>936</v>
      </c>
      <c r="U7" s="72" t="s">
        <v>657</v>
      </c>
      <c r="V7">
        <f t="shared" si="0"/>
        <v>16</v>
      </c>
    </row>
    <row r="8" spans="1:22" ht="15.95" customHeight="1">
      <c r="A8" s="72">
        <v>1</v>
      </c>
      <c r="B8" s="70">
        <v>7</v>
      </c>
      <c r="C8" s="72" t="s">
        <v>468</v>
      </c>
      <c r="D8" s="70" t="s">
        <v>10</v>
      </c>
      <c r="E8" s="70" t="s">
        <v>23</v>
      </c>
      <c r="F8" s="72" t="s">
        <v>652</v>
      </c>
      <c r="U8" s="72" t="s">
        <v>652</v>
      </c>
      <c r="V8">
        <f t="shared" si="0"/>
        <v>16</v>
      </c>
    </row>
    <row r="9" spans="1:22" ht="15.95" customHeight="1">
      <c r="A9" s="72">
        <v>1</v>
      </c>
      <c r="B9" s="70">
        <v>8</v>
      </c>
      <c r="C9" s="72" t="s">
        <v>853</v>
      </c>
      <c r="D9" s="70" t="s">
        <v>10</v>
      </c>
      <c r="E9" s="70" t="s">
        <v>28</v>
      </c>
      <c r="F9" s="72" t="s">
        <v>653</v>
      </c>
      <c r="G9" s="91" t="s">
        <v>937</v>
      </c>
      <c r="U9" s="72" t="s">
        <v>653</v>
      </c>
      <c r="V9">
        <f t="shared" si="0"/>
        <v>16</v>
      </c>
    </row>
    <row r="10" spans="1:22" ht="15.95" customHeight="1">
      <c r="A10" s="72">
        <v>1</v>
      </c>
      <c r="B10" s="70">
        <v>9</v>
      </c>
      <c r="C10" s="72" t="s">
        <v>827</v>
      </c>
      <c r="D10" s="70" t="s">
        <v>10</v>
      </c>
      <c r="E10" s="70" t="s">
        <v>63</v>
      </c>
      <c r="F10" s="72" t="s">
        <v>660</v>
      </c>
      <c r="G10" s="63" t="s">
        <v>938</v>
      </c>
      <c r="U10" s="72" t="s">
        <v>660</v>
      </c>
      <c r="V10">
        <f t="shared" si="0"/>
        <v>16</v>
      </c>
    </row>
    <row r="11" spans="1:22" ht="15.95" customHeight="1">
      <c r="A11" s="72">
        <v>1</v>
      </c>
      <c r="B11" s="70">
        <v>10</v>
      </c>
      <c r="C11" s="72" t="s">
        <v>845</v>
      </c>
      <c r="D11" s="70" t="s">
        <v>2</v>
      </c>
      <c r="E11" s="70" t="s">
        <v>82</v>
      </c>
      <c r="F11" s="72" t="s">
        <v>655</v>
      </c>
      <c r="G11" s="63" t="s">
        <v>939</v>
      </c>
      <c r="U11" s="72" t="s">
        <v>655</v>
      </c>
      <c r="V11">
        <f t="shared" si="0"/>
        <v>16</v>
      </c>
    </row>
    <row r="12" spans="1:22" ht="15.95" customHeight="1">
      <c r="A12" s="72">
        <v>2</v>
      </c>
      <c r="B12" s="70">
        <v>11</v>
      </c>
      <c r="C12" s="72" t="s">
        <v>1083</v>
      </c>
      <c r="D12" s="70" t="s">
        <v>2</v>
      </c>
      <c r="E12" s="70" t="s">
        <v>137</v>
      </c>
      <c r="F12" s="72" t="s">
        <v>655</v>
      </c>
      <c r="G12" s="63" t="s">
        <v>940</v>
      </c>
    </row>
    <row r="13" spans="1:22" ht="15.95" customHeight="1">
      <c r="A13" s="72">
        <v>2</v>
      </c>
      <c r="B13" s="70">
        <v>12</v>
      </c>
      <c r="C13" s="72" t="s">
        <v>66</v>
      </c>
      <c r="D13" s="70" t="s">
        <v>10</v>
      </c>
      <c r="E13" s="70" t="s">
        <v>21</v>
      </c>
      <c r="F13" s="72" t="s">
        <v>660</v>
      </c>
      <c r="G13" s="91" t="s">
        <v>941</v>
      </c>
    </row>
    <row r="14" spans="1:22" ht="15.95" customHeight="1">
      <c r="A14" s="73">
        <v>2</v>
      </c>
      <c r="B14" s="71">
        <v>13</v>
      </c>
      <c r="C14" s="73" t="s">
        <v>125</v>
      </c>
      <c r="D14" s="71" t="s">
        <v>2</v>
      </c>
      <c r="E14" s="71" t="s">
        <v>627</v>
      </c>
      <c r="F14" s="72" t="s">
        <v>653</v>
      </c>
      <c r="G14" s="91" t="s">
        <v>942</v>
      </c>
    </row>
    <row r="15" spans="1:22" ht="15.95" customHeight="1">
      <c r="A15" s="72">
        <v>2</v>
      </c>
      <c r="B15" s="70">
        <v>14</v>
      </c>
      <c r="C15" s="72" t="s">
        <v>425</v>
      </c>
      <c r="D15" s="70" t="s">
        <v>2</v>
      </c>
      <c r="E15" s="70" t="s">
        <v>120</v>
      </c>
      <c r="F15" s="72" t="s">
        <v>659</v>
      </c>
      <c r="G15" s="63" t="s">
        <v>943</v>
      </c>
    </row>
    <row r="16" spans="1:22" ht="15.95" customHeight="1">
      <c r="A16" s="72">
        <v>2</v>
      </c>
      <c r="B16" s="70">
        <v>15</v>
      </c>
      <c r="C16" s="72" t="s">
        <v>799</v>
      </c>
      <c r="D16" s="70" t="s">
        <v>2</v>
      </c>
      <c r="E16" s="70" t="s">
        <v>28</v>
      </c>
      <c r="F16" s="72" t="s">
        <v>657</v>
      </c>
      <c r="G16" s="63" t="s">
        <v>944</v>
      </c>
    </row>
    <row r="17" spans="1:7" ht="36.950000000000003" customHeight="1">
      <c r="A17" s="72">
        <v>2</v>
      </c>
      <c r="B17" s="70">
        <v>16</v>
      </c>
      <c r="C17" s="72" t="s">
        <v>650</v>
      </c>
      <c r="D17" s="70" t="s">
        <v>2</v>
      </c>
      <c r="E17" s="70" t="s">
        <v>73</v>
      </c>
      <c r="F17" s="72" t="s">
        <v>654</v>
      </c>
      <c r="G17" s="92" t="s">
        <v>945</v>
      </c>
    </row>
    <row r="18" spans="1:7" ht="34.5" customHeight="1">
      <c r="A18" s="72">
        <v>2</v>
      </c>
      <c r="B18" s="70">
        <v>17</v>
      </c>
      <c r="C18" s="72" t="s">
        <v>946</v>
      </c>
      <c r="D18" s="70" t="s">
        <v>2</v>
      </c>
      <c r="E18" s="70" t="s">
        <v>35</v>
      </c>
      <c r="F18" s="72" t="s">
        <v>758</v>
      </c>
      <c r="G18" s="92" t="s">
        <v>947</v>
      </c>
    </row>
    <row r="19" spans="1:7" ht="15.95" customHeight="1">
      <c r="A19" s="72">
        <v>2</v>
      </c>
      <c r="B19" s="70">
        <v>18</v>
      </c>
      <c r="C19" s="72" t="s">
        <v>581</v>
      </c>
      <c r="D19" s="70" t="s">
        <v>10</v>
      </c>
      <c r="E19" s="70" t="s">
        <v>6</v>
      </c>
      <c r="F19" s="72" t="s">
        <v>661</v>
      </c>
      <c r="G19" s="63" t="s">
        <v>948</v>
      </c>
    </row>
    <row r="20" spans="1:7" ht="15.95" customHeight="1">
      <c r="A20" s="72">
        <v>2</v>
      </c>
      <c r="B20" s="70">
        <v>19</v>
      </c>
      <c r="C20" s="72" t="s">
        <v>707</v>
      </c>
      <c r="D20" s="70" t="s">
        <v>2</v>
      </c>
      <c r="E20" s="70" t="s">
        <v>135</v>
      </c>
      <c r="F20" s="72" t="s">
        <v>651</v>
      </c>
    </row>
    <row r="21" spans="1:7" ht="15.95" customHeight="1">
      <c r="A21" s="72">
        <v>2</v>
      </c>
      <c r="B21" s="70">
        <v>20</v>
      </c>
      <c r="C21" s="72" t="s">
        <v>540</v>
      </c>
      <c r="D21" s="70" t="s">
        <v>5</v>
      </c>
      <c r="E21" s="70" t="s">
        <v>21</v>
      </c>
      <c r="F21" s="72" t="s">
        <v>651</v>
      </c>
      <c r="G21" s="63" t="s">
        <v>949</v>
      </c>
    </row>
    <row r="22" spans="1:7" ht="15.95" customHeight="1">
      <c r="A22" s="72">
        <v>3</v>
      </c>
      <c r="B22" s="70">
        <v>21</v>
      </c>
      <c r="C22" s="72" t="s">
        <v>906</v>
      </c>
      <c r="D22" s="70" t="s">
        <v>2</v>
      </c>
      <c r="E22" s="70" t="s">
        <v>13</v>
      </c>
      <c r="F22" s="72" t="s">
        <v>651</v>
      </c>
      <c r="G22" s="63" t="s">
        <v>950</v>
      </c>
    </row>
    <row r="23" spans="1:7" ht="15.95" customHeight="1">
      <c r="A23" s="72">
        <v>3</v>
      </c>
      <c r="B23" s="70">
        <v>22</v>
      </c>
      <c r="C23" s="72" t="s">
        <v>812</v>
      </c>
      <c r="D23" s="70" t="s">
        <v>2</v>
      </c>
      <c r="E23" s="70" t="s">
        <v>84</v>
      </c>
      <c r="F23" s="72" t="s">
        <v>659</v>
      </c>
    </row>
    <row r="24" spans="1:7" ht="15.95" customHeight="1">
      <c r="A24" s="72">
        <v>3</v>
      </c>
      <c r="B24" s="70">
        <v>23</v>
      </c>
      <c r="C24" s="72" t="s">
        <v>835</v>
      </c>
      <c r="D24" s="70" t="s">
        <v>10</v>
      </c>
      <c r="E24" s="70" t="s">
        <v>43</v>
      </c>
      <c r="F24" s="72" t="s">
        <v>661</v>
      </c>
      <c r="G24" s="63" t="s">
        <v>951</v>
      </c>
    </row>
    <row r="25" spans="1:7" ht="15.95" customHeight="1">
      <c r="A25" s="72">
        <v>3</v>
      </c>
      <c r="B25" s="70">
        <v>24</v>
      </c>
      <c r="C25" s="72" t="s">
        <v>1105</v>
      </c>
      <c r="D25" s="70" t="s">
        <v>2</v>
      </c>
      <c r="E25" s="70" t="s">
        <v>135</v>
      </c>
      <c r="F25" s="72" t="s">
        <v>758</v>
      </c>
      <c r="G25" s="63" t="s">
        <v>952</v>
      </c>
    </row>
    <row r="26" spans="1:7" ht="15.95" customHeight="1">
      <c r="A26" s="72">
        <v>3</v>
      </c>
      <c r="B26" s="70">
        <v>25</v>
      </c>
      <c r="C26" s="72" t="s">
        <v>735</v>
      </c>
      <c r="D26" s="70" t="s">
        <v>5</v>
      </c>
      <c r="E26" s="70" t="s">
        <v>953</v>
      </c>
      <c r="F26" s="72" t="s">
        <v>654</v>
      </c>
      <c r="G26" s="63" t="s">
        <v>954</v>
      </c>
    </row>
    <row r="27" spans="1:7" ht="15.95" customHeight="1">
      <c r="A27" s="72">
        <v>3</v>
      </c>
      <c r="B27" s="70">
        <v>26</v>
      </c>
      <c r="C27" s="72" t="s">
        <v>118</v>
      </c>
      <c r="D27" s="70" t="s">
        <v>2</v>
      </c>
      <c r="E27" s="70" t="s">
        <v>56</v>
      </c>
      <c r="F27" s="72" t="s">
        <v>657</v>
      </c>
      <c r="G27" s="63" t="s">
        <v>955</v>
      </c>
    </row>
    <row r="28" spans="1:7" ht="54" customHeight="1">
      <c r="A28" s="73">
        <v>3</v>
      </c>
      <c r="B28" s="71">
        <v>27</v>
      </c>
      <c r="C28" s="73" t="s">
        <v>44</v>
      </c>
      <c r="D28" s="71" t="s">
        <v>27</v>
      </c>
      <c r="E28" s="71" t="s">
        <v>13</v>
      </c>
      <c r="F28" s="72" t="s">
        <v>652</v>
      </c>
      <c r="G28" s="92" t="s">
        <v>956</v>
      </c>
    </row>
    <row r="29" spans="1:7" ht="15.95" customHeight="1">
      <c r="A29" s="72">
        <v>3</v>
      </c>
      <c r="B29" s="70">
        <v>28</v>
      </c>
      <c r="C29" s="72" t="s">
        <v>454</v>
      </c>
      <c r="D29" s="70" t="s">
        <v>10</v>
      </c>
      <c r="E29" s="70" t="s">
        <v>82</v>
      </c>
      <c r="F29" s="72" t="s">
        <v>653</v>
      </c>
    </row>
    <row r="30" spans="1:7" ht="15.95" customHeight="1">
      <c r="A30" s="73">
        <v>3</v>
      </c>
      <c r="B30" s="71">
        <v>29</v>
      </c>
      <c r="C30" s="73" t="s">
        <v>766</v>
      </c>
      <c r="D30" s="71" t="s">
        <v>2</v>
      </c>
      <c r="E30" s="71" t="s">
        <v>46</v>
      </c>
      <c r="F30" s="72" t="s">
        <v>660</v>
      </c>
    </row>
    <row r="31" spans="1:7" ht="15.95" customHeight="1">
      <c r="A31" s="72">
        <v>3</v>
      </c>
      <c r="B31" s="70">
        <v>30</v>
      </c>
      <c r="C31" s="72" t="s">
        <v>635</v>
      </c>
      <c r="D31" s="70" t="s">
        <v>27</v>
      </c>
      <c r="E31" s="70" t="s">
        <v>21</v>
      </c>
      <c r="F31" s="72" t="s">
        <v>655</v>
      </c>
      <c r="G31" s="63" t="s">
        <v>957</v>
      </c>
    </row>
    <row r="32" spans="1:7" ht="15.95" customHeight="1">
      <c r="A32" s="72">
        <v>4</v>
      </c>
      <c r="B32" s="70">
        <v>31</v>
      </c>
      <c r="C32" s="72" t="s">
        <v>958</v>
      </c>
      <c r="D32" s="70" t="s">
        <v>10</v>
      </c>
      <c r="E32" s="70" t="s">
        <v>73</v>
      </c>
      <c r="F32" s="72" t="s">
        <v>655</v>
      </c>
    </row>
    <row r="33" spans="1:7" ht="15.95" customHeight="1">
      <c r="A33" s="72">
        <v>4</v>
      </c>
      <c r="B33" s="70">
        <v>32</v>
      </c>
      <c r="C33" s="72" t="s">
        <v>694</v>
      </c>
      <c r="D33" s="70" t="s">
        <v>10</v>
      </c>
      <c r="E33" s="70" t="s">
        <v>25</v>
      </c>
      <c r="F33" s="72" t="s">
        <v>660</v>
      </c>
    </row>
    <row r="34" spans="1:7" ht="15.95" customHeight="1">
      <c r="A34" s="72">
        <v>4</v>
      </c>
      <c r="B34" s="70">
        <v>33</v>
      </c>
      <c r="C34" s="72" t="s">
        <v>634</v>
      </c>
      <c r="D34" s="70" t="s">
        <v>5</v>
      </c>
      <c r="E34" s="70" t="s">
        <v>56</v>
      </c>
      <c r="F34" s="72" t="s">
        <v>653</v>
      </c>
      <c r="G34" s="63" t="s">
        <v>959</v>
      </c>
    </row>
    <row r="35" spans="1:7" ht="15.95" customHeight="1">
      <c r="A35" s="72">
        <v>4</v>
      </c>
      <c r="B35" s="70">
        <v>34</v>
      </c>
      <c r="C35" s="72" t="s">
        <v>836</v>
      </c>
      <c r="D35" s="70" t="s">
        <v>10</v>
      </c>
      <c r="E35" s="70" t="s">
        <v>56</v>
      </c>
      <c r="F35" s="72" t="s">
        <v>652</v>
      </c>
      <c r="G35" s="63" t="s">
        <v>960</v>
      </c>
    </row>
    <row r="36" spans="1:7" ht="15.95" customHeight="1">
      <c r="A36" s="72">
        <v>4</v>
      </c>
      <c r="B36" s="70">
        <v>35</v>
      </c>
      <c r="C36" s="72" t="s">
        <v>559</v>
      </c>
      <c r="D36" s="70" t="s">
        <v>5</v>
      </c>
      <c r="E36" s="70" t="s">
        <v>13</v>
      </c>
      <c r="F36" s="72" t="s">
        <v>657</v>
      </c>
      <c r="G36" s="63" t="s">
        <v>961</v>
      </c>
    </row>
    <row r="37" spans="1:7" ht="15.95" customHeight="1">
      <c r="A37" s="72">
        <v>4</v>
      </c>
      <c r="B37" s="70">
        <v>36</v>
      </c>
      <c r="C37" s="73" t="s">
        <v>83</v>
      </c>
      <c r="D37" s="71" t="s">
        <v>10</v>
      </c>
      <c r="E37" s="71" t="s">
        <v>17</v>
      </c>
      <c r="F37" s="72" t="s">
        <v>651</v>
      </c>
    </row>
    <row r="38" spans="1:7" ht="15.95" customHeight="1">
      <c r="A38" s="72">
        <v>4</v>
      </c>
      <c r="B38" s="70">
        <v>37</v>
      </c>
      <c r="C38" s="72" t="s">
        <v>504</v>
      </c>
      <c r="D38" s="70" t="s">
        <v>2</v>
      </c>
      <c r="E38" s="70" t="s">
        <v>49</v>
      </c>
      <c r="F38" s="72" t="s">
        <v>758</v>
      </c>
    </row>
    <row r="39" spans="1:7" ht="15.95" customHeight="1">
      <c r="A39" s="72">
        <v>4</v>
      </c>
      <c r="B39" s="70">
        <v>38</v>
      </c>
      <c r="C39" s="72" t="s">
        <v>150</v>
      </c>
      <c r="D39" s="70" t="s">
        <v>2</v>
      </c>
      <c r="E39" s="70" t="s">
        <v>71</v>
      </c>
      <c r="F39" s="72" t="s">
        <v>661</v>
      </c>
      <c r="G39" s="63" t="s">
        <v>962</v>
      </c>
    </row>
    <row r="40" spans="1:7" ht="15.95" customHeight="1">
      <c r="A40" s="72">
        <v>4</v>
      </c>
      <c r="B40" s="70">
        <v>39</v>
      </c>
      <c r="C40" s="72" t="s">
        <v>840</v>
      </c>
      <c r="D40" s="70" t="s">
        <v>2</v>
      </c>
      <c r="E40" s="70" t="s">
        <v>60</v>
      </c>
      <c r="F40" s="72" t="s">
        <v>659</v>
      </c>
    </row>
    <row r="41" spans="1:7" ht="15.95" customHeight="1">
      <c r="A41" s="72">
        <v>4</v>
      </c>
      <c r="B41" s="70">
        <v>40</v>
      </c>
      <c r="C41" s="72" t="s">
        <v>629</v>
      </c>
      <c r="D41" s="70" t="s">
        <v>10</v>
      </c>
      <c r="E41" s="70" t="s">
        <v>46</v>
      </c>
      <c r="F41" s="72" t="s">
        <v>651</v>
      </c>
      <c r="G41" s="63" t="s">
        <v>963</v>
      </c>
    </row>
    <row r="42" spans="1:7">
      <c r="A42" s="76"/>
      <c r="B42" s="76"/>
      <c r="C42" s="76"/>
      <c r="D42" s="76"/>
      <c r="E42" s="76"/>
      <c r="F42" s="76"/>
    </row>
    <row r="43" spans="1:7">
      <c r="A43" s="76"/>
      <c r="B43" s="76"/>
      <c r="C43" s="76"/>
      <c r="D43" s="76"/>
      <c r="E43" s="76"/>
      <c r="F43" s="76"/>
    </row>
    <row r="44" spans="1:7">
      <c r="A44" s="76"/>
      <c r="B44" s="76"/>
      <c r="C44" s="76"/>
      <c r="D44" s="76"/>
      <c r="E44" s="76"/>
      <c r="F44" s="76"/>
    </row>
    <row r="45" spans="1:7">
      <c r="A45" s="76"/>
      <c r="B45" s="76"/>
      <c r="C45" s="76"/>
      <c r="D45" s="76"/>
      <c r="E45" s="76"/>
      <c r="F45" s="76"/>
    </row>
    <row r="46" spans="1:7">
      <c r="A46" s="76"/>
      <c r="B46" s="76"/>
      <c r="C46" s="76"/>
      <c r="D46" s="76"/>
      <c r="E46" s="76"/>
      <c r="F46" s="76"/>
    </row>
    <row r="47" spans="1:7">
      <c r="A47" s="89"/>
      <c r="B47" s="89"/>
      <c r="C47" s="89"/>
      <c r="D47" s="89"/>
      <c r="E47" s="89"/>
      <c r="F47" s="89"/>
    </row>
    <row r="48" spans="1:7" ht="15.95" customHeight="1">
      <c r="A48" s="87">
        <v>5</v>
      </c>
      <c r="B48" s="88">
        <v>41</v>
      </c>
      <c r="C48" s="87" t="s">
        <v>762</v>
      </c>
      <c r="D48" s="88" t="s">
        <v>27</v>
      </c>
      <c r="E48" s="88" t="s">
        <v>60</v>
      </c>
      <c r="F48" s="87" t="s">
        <v>651</v>
      </c>
      <c r="G48" s="63" t="s">
        <v>964</v>
      </c>
    </row>
    <row r="49" spans="1:7" ht="15.95" customHeight="1">
      <c r="A49" s="72">
        <v>5</v>
      </c>
      <c r="B49" s="70">
        <v>42</v>
      </c>
      <c r="C49" s="72" t="s">
        <v>859</v>
      </c>
      <c r="D49" s="70" t="s">
        <v>2</v>
      </c>
      <c r="E49" s="70" t="s">
        <v>21</v>
      </c>
      <c r="F49" s="72" t="s">
        <v>651</v>
      </c>
      <c r="G49" s="63" t="s">
        <v>965</v>
      </c>
    </row>
    <row r="50" spans="1:7" ht="35.1" customHeight="1">
      <c r="A50" s="72">
        <v>5</v>
      </c>
      <c r="B50" s="70">
        <v>43</v>
      </c>
      <c r="C50" s="72" t="s">
        <v>596</v>
      </c>
      <c r="D50" s="70" t="s">
        <v>5</v>
      </c>
      <c r="E50" s="70" t="s">
        <v>137</v>
      </c>
      <c r="F50" s="72" t="s">
        <v>655</v>
      </c>
      <c r="G50" s="92" t="s">
        <v>966</v>
      </c>
    </row>
    <row r="51" spans="1:7" ht="90">
      <c r="A51" s="72">
        <v>5</v>
      </c>
      <c r="B51" s="70">
        <v>44</v>
      </c>
      <c r="C51" s="72" t="s">
        <v>447</v>
      </c>
      <c r="D51" s="70" t="s">
        <v>10</v>
      </c>
      <c r="E51" s="70" t="s">
        <v>41</v>
      </c>
      <c r="F51" s="72" t="s">
        <v>651</v>
      </c>
      <c r="G51" s="92" t="s">
        <v>967</v>
      </c>
    </row>
    <row r="52" spans="1:7" ht="32.450000000000003" customHeight="1">
      <c r="A52" s="72">
        <v>5</v>
      </c>
      <c r="B52" s="70">
        <v>45</v>
      </c>
      <c r="C52" s="72" t="s">
        <v>510</v>
      </c>
      <c r="D52" s="70" t="s">
        <v>10</v>
      </c>
      <c r="E52" s="70" t="s">
        <v>137</v>
      </c>
      <c r="F52" s="72" t="s">
        <v>654</v>
      </c>
      <c r="G52" s="92" t="s">
        <v>968</v>
      </c>
    </row>
    <row r="53" spans="1:7" ht="15.95" customHeight="1">
      <c r="A53" s="72">
        <v>5</v>
      </c>
      <c r="B53" s="70">
        <v>46</v>
      </c>
      <c r="C53" s="72" t="s">
        <v>1101</v>
      </c>
      <c r="D53" s="70" t="s">
        <v>10</v>
      </c>
      <c r="E53" s="70" t="s">
        <v>13</v>
      </c>
      <c r="F53" s="72" t="s">
        <v>657</v>
      </c>
      <c r="G53" s="63" t="s">
        <v>969</v>
      </c>
    </row>
    <row r="54" spans="1:7" ht="15.95" customHeight="1">
      <c r="A54" s="72">
        <v>5</v>
      </c>
      <c r="B54" s="70">
        <v>47</v>
      </c>
      <c r="C54" s="72" t="s">
        <v>115</v>
      </c>
      <c r="D54" s="70" t="s">
        <v>2</v>
      </c>
      <c r="E54" s="70" t="s">
        <v>43</v>
      </c>
      <c r="F54" s="72" t="s">
        <v>652</v>
      </c>
    </row>
    <row r="55" spans="1:7" ht="15.95" customHeight="1">
      <c r="A55" s="72">
        <v>5</v>
      </c>
      <c r="B55" s="70">
        <v>48</v>
      </c>
      <c r="C55" s="72" t="s">
        <v>616</v>
      </c>
      <c r="D55" s="70" t="s">
        <v>2</v>
      </c>
      <c r="E55" s="70" t="s">
        <v>91</v>
      </c>
      <c r="F55" s="72" t="s">
        <v>653</v>
      </c>
      <c r="G55" s="63" t="s">
        <v>970</v>
      </c>
    </row>
    <row r="56" spans="1:7" ht="15.95" customHeight="1">
      <c r="A56" s="72">
        <v>5</v>
      </c>
      <c r="B56" s="70">
        <v>49</v>
      </c>
      <c r="C56" s="72" t="s">
        <v>715</v>
      </c>
      <c r="D56" s="70" t="s">
        <v>2</v>
      </c>
      <c r="E56" s="70" t="s">
        <v>84</v>
      </c>
      <c r="F56" s="72" t="s">
        <v>660</v>
      </c>
    </row>
    <row r="57" spans="1:7" ht="15.95" customHeight="1">
      <c r="A57" s="72">
        <v>5</v>
      </c>
      <c r="B57" s="70">
        <v>50</v>
      </c>
      <c r="C57" s="72" t="s">
        <v>761</v>
      </c>
      <c r="D57" s="70" t="s">
        <v>10</v>
      </c>
      <c r="E57" s="70" t="s">
        <v>34</v>
      </c>
      <c r="F57" s="72" t="s">
        <v>655</v>
      </c>
      <c r="G57" s="63" t="s">
        <v>971</v>
      </c>
    </row>
    <row r="58" spans="1:7" ht="34.5" customHeight="1">
      <c r="A58" s="72">
        <v>6</v>
      </c>
      <c r="B58" s="70">
        <v>51</v>
      </c>
      <c r="C58" s="72" t="s">
        <v>499</v>
      </c>
      <c r="D58" s="70" t="s">
        <v>2</v>
      </c>
      <c r="E58" s="70" t="s">
        <v>107</v>
      </c>
      <c r="F58" s="72" t="s">
        <v>655</v>
      </c>
      <c r="G58" s="92" t="s">
        <v>972</v>
      </c>
    </row>
    <row r="59" spans="1:7" ht="15.95" customHeight="1">
      <c r="A59" s="72">
        <v>6</v>
      </c>
      <c r="B59" s="70">
        <v>52</v>
      </c>
      <c r="C59" s="72" t="s">
        <v>839</v>
      </c>
      <c r="D59" s="70" t="s">
        <v>2</v>
      </c>
      <c r="E59" s="70" t="s">
        <v>929</v>
      </c>
      <c r="F59" s="72" t="s">
        <v>651</v>
      </c>
    </row>
    <row r="60" spans="1:7" ht="15.95" customHeight="1">
      <c r="A60" s="72">
        <v>6</v>
      </c>
      <c r="B60" s="70">
        <v>53</v>
      </c>
      <c r="C60" s="72" t="s">
        <v>569</v>
      </c>
      <c r="D60" s="70" t="s">
        <v>2</v>
      </c>
      <c r="E60" s="70" t="s">
        <v>63</v>
      </c>
      <c r="F60" s="72" t="s">
        <v>653</v>
      </c>
      <c r="G60" s="63" t="s">
        <v>973</v>
      </c>
    </row>
    <row r="61" spans="1:7" ht="15.95" customHeight="1">
      <c r="A61" s="72">
        <v>6</v>
      </c>
      <c r="B61" s="70">
        <v>54</v>
      </c>
      <c r="C61" s="72" t="s">
        <v>580</v>
      </c>
      <c r="D61" s="70" t="s">
        <v>10</v>
      </c>
      <c r="E61" s="70" t="s">
        <v>28</v>
      </c>
      <c r="F61" s="72" t="s">
        <v>652</v>
      </c>
      <c r="G61" s="63" t="s">
        <v>974</v>
      </c>
    </row>
    <row r="62" spans="1:7" ht="49.5" customHeight="1">
      <c r="A62" s="72">
        <v>6</v>
      </c>
      <c r="B62" s="70">
        <v>55</v>
      </c>
      <c r="C62" s="72" t="s">
        <v>416</v>
      </c>
      <c r="D62" s="70" t="s">
        <v>27</v>
      </c>
      <c r="E62" s="70" t="s">
        <v>63</v>
      </c>
      <c r="F62" s="72" t="s">
        <v>657</v>
      </c>
      <c r="G62" s="92" t="s">
        <v>975</v>
      </c>
    </row>
    <row r="63" spans="1:7" ht="39.6" customHeight="1">
      <c r="A63" s="72">
        <v>6</v>
      </c>
      <c r="B63" s="70">
        <v>56</v>
      </c>
      <c r="C63" s="72" t="s">
        <v>875</v>
      </c>
      <c r="D63" s="70" t="s">
        <v>10</v>
      </c>
      <c r="E63" s="70" t="s">
        <v>627</v>
      </c>
      <c r="F63" s="72" t="s">
        <v>654</v>
      </c>
      <c r="G63" s="92" t="s">
        <v>977</v>
      </c>
    </row>
    <row r="64" spans="1:7" ht="15.95" customHeight="1">
      <c r="A64" s="72">
        <v>6</v>
      </c>
      <c r="B64" s="70">
        <v>57</v>
      </c>
      <c r="C64" s="72" t="s">
        <v>767</v>
      </c>
      <c r="D64" s="70" t="s">
        <v>2</v>
      </c>
      <c r="E64" s="70" t="s">
        <v>23</v>
      </c>
      <c r="F64" s="72" t="s">
        <v>758</v>
      </c>
      <c r="G64" s="63" t="s">
        <v>976</v>
      </c>
    </row>
    <row r="65" spans="1:9" ht="48" customHeight="1">
      <c r="A65" s="72">
        <v>6</v>
      </c>
      <c r="B65" s="70">
        <v>58</v>
      </c>
      <c r="C65" s="72" t="s">
        <v>775</v>
      </c>
      <c r="D65" s="70" t="s">
        <v>10</v>
      </c>
      <c r="E65" s="70" t="s">
        <v>30</v>
      </c>
      <c r="F65" s="72" t="s">
        <v>661</v>
      </c>
      <c r="G65" s="92" t="s">
        <v>978</v>
      </c>
    </row>
    <row r="66" spans="1:9" ht="15.95" customHeight="1">
      <c r="A66" s="72">
        <v>6</v>
      </c>
      <c r="B66" s="70">
        <v>59</v>
      </c>
      <c r="C66" s="72" t="s">
        <v>844</v>
      </c>
      <c r="D66" s="70" t="s">
        <v>2</v>
      </c>
      <c r="E66" s="70" t="s">
        <v>3</v>
      </c>
      <c r="F66" s="72" t="s">
        <v>659</v>
      </c>
    </row>
    <row r="67" spans="1:9" ht="15.95" customHeight="1">
      <c r="A67" s="72">
        <v>6</v>
      </c>
      <c r="B67" s="70">
        <v>60</v>
      </c>
      <c r="C67" s="72" t="s">
        <v>695</v>
      </c>
      <c r="D67" s="70" t="s">
        <v>10</v>
      </c>
      <c r="E67" s="70" t="s">
        <v>107</v>
      </c>
      <c r="F67" s="72" t="s">
        <v>659</v>
      </c>
    </row>
    <row r="68" spans="1:9" ht="35.1" customHeight="1">
      <c r="A68" s="72">
        <v>7</v>
      </c>
      <c r="B68" s="70">
        <v>61</v>
      </c>
      <c r="C68" s="72" t="s">
        <v>520</v>
      </c>
      <c r="D68" s="70" t="s">
        <v>27</v>
      </c>
      <c r="E68" s="70" t="s">
        <v>135</v>
      </c>
      <c r="F68" s="72" t="s">
        <v>660</v>
      </c>
      <c r="G68" s="92" t="s">
        <v>979</v>
      </c>
    </row>
    <row r="69" spans="1:9" ht="54" customHeight="1">
      <c r="A69" s="72">
        <v>7</v>
      </c>
      <c r="B69" s="70">
        <v>62</v>
      </c>
      <c r="C69" s="72" t="str">
        <f>'[1]BChen Overall'!$C$69</f>
        <v>Diontae Johnson</v>
      </c>
      <c r="D69" s="70" t="s">
        <v>2</v>
      </c>
      <c r="E69" s="70" t="s">
        <v>32</v>
      </c>
      <c r="F69" s="72" t="s">
        <v>652</v>
      </c>
      <c r="G69" s="92" t="s">
        <v>980</v>
      </c>
    </row>
    <row r="70" spans="1:9" ht="15.95" customHeight="1">
      <c r="A70" s="72">
        <v>7</v>
      </c>
      <c r="B70" s="70">
        <v>63</v>
      </c>
      <c r="C70" s="72" t="s">
        <v>80</v>
      </c>
      <c r="D70" s="70" t="s">
        <v>2</v>
      </c>
      <c r="E70" s="70" t="s">
        <v>107</v>
      </c>
      <c r="F70" s="72" t="s">
        <v>661</v>
      </c>
      <c r="G70" s="63" t="s">
        <v>981</v>
      </c>
    </row>
    <row r="71" spans="1:9" ht="36.950000000000003" customHeight="1">
      <c r="A71" s="72">
        <v>7</v>
      </c>
      <c r="B71" s="70">
        <v>64</v>
      </c>
      <c r="C71" s="72" t="str">
        <f>'[1]BChen Overall'!$C$85</f>
        <v>Jaxon Smith-Njigba</v>
      </c>
      <c r="D71" s="70" t="s">
        <v>2</v>
      </c>
      <c r="E71" s="70" t="s">
        <v>73</v>
      </c>
      <c r="F71" s="72" t="s">
        <v>758</v>
      </c>
      <c r="G71" s="92" t="s">
        <v>982</v>
      </c>
    </row>
    <row r="72" spans="1:9" ht="15.95" customHeight="1">
      <c r="A72" s="72">
        <v>7</v>
      </c>
      <c r="B72" s="70">
        <v>65</v>
      </c>
      <c r="C72" s="72" t="s">
        <v>503</v>
      </c>
      <c r="D72" s="70" t="s">
        <v>2</v>
      </c>
      <c r="E72" s="70" t="s">
        <v>43</v>
      </c>
      <c r="F72" s="72" t="s">
        <v>654</v>
      </c>
      <c r="G72" s="63" t="s">
        <v>984</v>
      </c>
      <c r="I72" s="93" t="s">
        <v>983</v>
      </c>
    </row>
    <row r="73" spans="1:9" ht="15.95" customHeight="1">
      <c r="A73" s="72">
        <v>7</v>
      </c>
      <c r="B73" s="70">
        <v>66</v>
      </c>
      <c r="C73" s="72" t="s">
        <v>985</v>
      </c>
      <c r="D73" s="70" t="s">
        <v>2</v>
      </c>
      <c r="E73" s="70" t="s">
        <v>13</v>
      </c>
      <c r="F73" s="72" t="s">
        <v>657</v>
      </c>
      <c r="G73" s="63" t="s">
        <v>986</v>
      </c>
    </row>
    <row r="74" spans="1:9" ht="28.5" customHeight="1">
      <c r="A74" s="72">
        <v>7</v>
      </c>
      <c r="B74" s="70">
        <v>67</v>
      </c>
      <c r="C74" s="72" t="s">
        <v>919</v>
      </c>
      <c r="D74" s="70" t="s">
        <v>2</v>
      </c>
      <c r="E74" s="70" t="s">
        <v>6</v>
      </c>
      <c r="F74" s="72" t="s">
        <v>652</v>
      </c>
      <c r="G74" s="92" t="s">
        <v>987</v>
      </c>
    </row>
    <row r="75" spans="1:9" ht="15.95" customHeight="1">
      <c r="A75" s="72">
        <v>7</v>
      </c>
      <c r="B75" s="70">
        <v>68</v>
      </c>
      <c r="C75" s="72" t="s">
        <v>848</v>
      </c>
      <c r="D75" s="70" t="s">
        <v>10</v>
      </c>
      <c r="E75" s="70" t="s">
        <v>3</v>
      </c>
      <c r="F75" s="72" t="s">
        <v>653</v>
      </c>
      <c r="G75" s="63" t="s">
        <v>988</v>
      </c>
    </row>
    <row r="76" spans="1:9" ht="15.95" customHeight="1">
      <c r="A76" s="72">
        <v>7</v>
      </c>
      <c r="B76" s="70">
        <v>69</v>
      </c>
      <c r="C76" s="72" t="s">
        <v>606</v>
      </c>
      <c r="D76" s="70" t="s">
        <v>10</v>
      </c>
      <c r="E76" s="70" t="s">
        <v>49</v>
      </c>
      <c r="F76" s="72" t="s">
        <v>660</v>
      </c>
      <c r="G76" s="63" t="s">
        <v>989</v>
      </c>
    </row>
    <row r="77" spans="1:9" ht="15.95" customHeight="1">
      <c r="A77" s="72">
        <v>7</v>
      </c>
      <c r="B77" s="70">
        <v>70</v>
      </c>
      <c r="C77" s="72" t="s">
        <v>716</v>
      </c>
      <c r="D77" s="70" t="s">
        <v>5</v>
      </c>
      <c r="E77" s="70" t="s">
        <v>84</v>
      </c>
      <c r="F77" s="72" t="s">
        <v>659</v>
      </c>
    </row>
    <row r="78" spans="1:9" ht="15.95" customHeight="1">
      <c r="A78" s="72">
        <v>8</v>
      </c>
      <c r="B78" s="70">
        <v>71</v>
      </c>
      <c r="C78" s="72" t="s">
        <v>759</v>
      </c>
      <c r="D78" s="70" t="s">
        <v>10</v>
      </c>
      <c r="E78" s="70" t="s">
        <v>3</v>
      </c>
      <c r="F78" s="72" t="s">
        <v>655</v>
      </c>
      <c r="G78" s="63" t="s">
        <v>990</v>
      </c>
    </row>
    <row r="79" spans="1:9" ht="15.95" customHeight="1">
      <c r="A79" s="72">
        <v>8</v>
      </c>
      <c r="B79" s="70">
        <v>72</v>
      </c>
      <c r="C79" s="72" t="s">
        <v>867</v>
      </c>
      <c r="D79" s="70" t="s">
        <v>5</v>
      </c>
      <c r="E79" s="70" t="s">
        <v>25</v>
      </c>
      <c r="F79" s="72" t="s">
        <v>660</v>
      </c>
    </row>
    <row r="80" spans="1:9" ht="15.95" customHeight="1">
      <c r="A80" s="72">
        <v>8</v>
      </c>
      <c r="B80" s="70">
        <v>73</v>
      </c>
      <c r="C80" s="72" t="s">
        <v>926</v>
      </c>
      <c r="D80" s="70" t="s">
        <v>27</v>
      </c>
      <c r="E80" s="70" t="s">
        <v>15</v>
      </c>
      <c r="F80" s="72" t="s">
        <v>653</v>
      </c>
    </row>
    <row r="81" spans="1:7" ht="15.95" customHeight="1">
      <c r="A81" s="72">
        <v>8</v>
      </c>
      <c r="B81" s="70">
        <v>74</v>
      </c>
      <c r="C81" s="72" t="s">
        <v>593</v>
      </c>
      <c r="D81" s="72" t="s">
        <v>10</v>
      </c>
      <c r="E81" s="72" t="s">
        <v>35</v>
      </c>
      <c r="F81" s="72" t="s">
        <v>652</v>
      </c>
      <c r="G81" s="63" t="s">
        <v>991</v>
      </c>
    </row>
    <row r="82" spans="1:7" ht="15.95" customHeight="1">
      <c r="A82" s="72">
        <v>8</v>
      </c>
      <c r="B82" s="70">
        <v>75</v>
      </c>
      <c r="C82" s="94" t="s">
        <v>878</v>
      </c>
      <c r="D82" s="94" t="s">
        <v>10</v>
      </c>
      <c r="E82" s="94" t="s">
        <v>993</v>
      </c>
      <c r="F82" s="72" t="s">
        <v>657</v>
      </c>
    </row>
    <row r="83" spans="1:7" ht="15.95" customHeight="1">
      <c r="A83" s="72">
        <v>8</v>
      </c>
      <c r="B83" s="70">
        <v>76</v>
      </c>
      <c r="C83" s="72" t="s">
        <v>992</v>
      </c>
      <c r="D83" s="70" t="s">
        <v>2</v>
      </c>
      <c r="E83" s="70" t="s">
        <v>107</v>
      </c>
      <c r="F83" s="72" t="s">
        <v>654</v>
      </c>
    </row>
    <row r="84" spans="1:7" ht="15.95" customHeight="1">
      <c r="A84" s="72">
        <v>8</v>
      </c>
      <c r="B84" s="70">
        <v>77</v>
      </c>
      <c r="C84" s="72" t="s">
        <v>910</v>
      </c>
      <c r="D84" s="70" t="s">
        <v>10</v>
      </c>
      <c r="E84" s="70" t="s">
        <v>84</v>
      </c>
      <c r="F84" s="72" t="s">
        <v>758</v>
      </c>
    </row>
    <row r="85" spans="1:7" ht="15.95" customHeight="1">
      <c r="A85" s="72">
        <v>8</v>
      </c>
      <c r="B85" s="70">
        <v>78</v>
      </c>
      <c r="C85" s="72" t="s">
        <v>994</v>
      </c>
      <c r="D85" s="70" t="s">
        <v>10</v>
      </c>
      <c r="E85" s="70" t="s">
        <v>32</v>
      </c>
      <c r="F85" s="72" t="s">
        <v>661</v>
      </c>
      <c r="G85" s="63" t="s">
        <v>995</v>
      </c>
    </row>
    <row r="86" spans="1:7" ht="15.95" customHeight="1">
      <c r="A86" s="72">
        <v>8</v>
      </c>
      <c r="B86" s="70">
        <v>79</v>
      </c>
      <c r="C86" s="72" t="s">
        <v>997</v>
      </c>
      <c r="D86" s="70" t="s">
        <v>27</v>
      </c>
      <c r="E86" s="70" t="s">
        <v>627</v>
      </c>
      <c r="F86" s="72" t="s">
        <v>659</v>
      </c>
      <c r="G86" s="63" t="s">
        <v>996</v>
      </c>
    </row>
    <row r="87" spans="1:7" ht="15.95" customHeight="1">
      <c r="A87" s="72">
        <v>8</v>
      </c>
      <c r="B87" s="70">
        <v>80</v>
      </c>
      <c r="C87" s="72" t="s">
        <v>998</v>
      </c>
      <c r="D87" s="70" t="s">
        <v>2</v>
      </c>
      <c r="E87" s="70" t="s">
        <v>19</v>
      </c>
      <c r="F87" s="72" t="s">
        <v>651</v>
      </c>
    </row>
    <row r="88" spans="1:7">
      <c r="A88" s="76"/>
      <c r="B88" s="76"/>
      <c r="C88" s="76"/>
      <c r="D88" s="76"/>
      <c r="E88" s="76"/>
      <c r="F88" s="76"/>
    </row>
    <row r="89" spans="1:7">
      <c r="A89" s="76"/>
      <c r="B89" s="76"/>
      <c r="C89" s="76"/>
      <c r="D89" s="76"/>
      <c r="E89" s="76"/>
      <c r="F89" s="76"/>
    </row>
    <row r="90" spans="1:7">
      <c r="A90" s="89"/>
      <c r="B90" s="89"/>
      <c r="C90" s="89"/>
      <c r="D90" s="89"/>
      <c r="E90" s="89"/>
      <c r="F90" s="89"/>
    </row>
    <row r="91" spans="1:7" ht="42.6" customHeight="1">
      <c r="A91" s="87">
        <v>9</v>
      </c>
      <c r="B91" s="88">
        <v>81</v>
      </c>
      <c r="C91" s="87" t="s">
        <v>570</v>
      </c>
      <c r="D91" s="88" t="s">
        <v>10</v>
      </c>
      <c r="E91" s="88" t="s">
        <v>71</v>
      </c>
      <c r="F91" s="87" t="s">
        <v>651</v>
      </c>
      <c r="G91" s="92" t="s">
        <v>999</v>
      </c>
    </row>
    <row r="92" spans="1:7" ht="15.95" customHeight="1">
      <c r="A92" s="72">
        <v>9</v>
      </c>
      <c r="B92" s="70">
        <v>82</v>
      </c>
      <c r="C92" s="72" t="s">
        <v>1102</v>
      </c>
      <c r="D92" s="70" t="s">
        <v>10</v>
      </c>
      <c r="E92" s="70" t="s">
        <v>91</v>
      </c>
      <c r="F92" s="72" t="s">
        <v>659</v>
      </c>
      <c r="G92" s="63" t="s">
        <v>1000</v>
      </c>
    </row>
    <row r="93" spans="1:7" ht="15.95" customHeight="1">
      <c r="A93" s="72">
        <v>9</v>
      </c>
      <c r="B93" s="70">
        <v>83</v>
      </c>
      <c r="C93" s="72" t="s">
        <v>894</v>
      </c>
      <c r="D93" s="70" t="s">
        <v>5</v>
      </c>
      <c r="E93" s="70" t="s">
        <v>17</v>
      </c>
      <c r="F93" s="72" t="s">
        <v>661</v>
      </c>
    </row>
    <row r="94" spans="1:7" ht="15.95" customHeight="1">
      <c r="A94" s="72">
        <v>9</v>
      </c>
      <c r="B94" s="70">
        <v>84</v>
      </c>
      <c r="C94" s="72" t="s">
        <v>847</v>
      </c>
      <c r="D94" s="70" t="s">
        <v>10</v>
      </c>
      <c r="E94" s="70" t="s">
        <v>120</v>
      </c>
      <c r="F94" s="72" t="s">
        <v>758</v>
      </c>
    </row>
    <row r="95" spans="1:7" ht="15.95" customHeight="1">
      <c r="A95" s="72">
        <v>9</v>
      </c>
      <c r="B95" s="70">
        <v>85</v>
      </c>
      <c r="C95" s="72" t="s">
        <v>930</v>
      </c>
      <c r="D95" s="70" t="s">
        <v>2</v>
      </c>
      <c r="E95" s="70" t="s">
        <v>25</v>
      </c>
      <c r="F95" s="72" t="s">
        <v>654</v>
      </c>
    </row>
    <row r="96" spans="1:7" ht="15.95" customHeight="1">
      <c r="A96" s="72">
        <v>9</v>
      </c>
      <c r="B96" s="70">
        <v>86</v>
      </c>
      <c r="C96" s="72" t="s">
        <v>1080</v>
      </c>
      <c r="D96" s="70" t="s">
        <v>2</v>
      </c>
      <c r="E96" s="70" t="s">
        <v>63</v>
      </c>
      <c r="F96" s="72" t="s">
        <v>657</v>
      </c>
    </row>
    <row r="97" spans="1:7" ht="15.95" customHeight="1">
      <c r="A97" s="72">
        <v>9</v>
      </c>
      <c r="B97" s="70">
        <v>87</v>
      </c>
      <c r="C97" s="72" t="s">
        <v>856</v>
      </c>
      <c r="D97" s="70" t="s">
        <v>2</v>
      </c>
      <c r="E97" s="70" t="s">
        <v>41</v>
      </c>
      <c r="F97" s="72" t="s">
        <v>652</v>
      </c>
    </row>
    <row r="98" spans="1:7" ht="15.95" customHeight="1">
      <c r="A98" s="72">
        <v>9</v>
      </c>
      <c r="B98" s="70">
        <v>88</v>
      </c>
      <c r="C98" s="72" t="s">
        <v>886</v>
      </c>
      <c r="D98" s="70" t="s">
        <v>2</v>
      </c>
      <c r="E98" s="70" t="s">
        <v>17</v>
      </c>
      <c r="F98" s="72" t="s">
        <v>653</v>
      </c>
    </row>
    <row r="99" spans="1:7" ht="15.95" customHeight="1">
      <c r="A99" s="72">
        <v>9</v>
      </c>
      <c r="B99" s="70">
        <v>89</v>
      </c>
      <c r="C99" s="72" t="s">
        <v>711</v>
      </c>
      <c r="D99" s="70" t="s">
        <v>2</v>
      </c>
      <c r="E99" s="70" t="s">
        <v>41</v>
      </c>
      <c r="F99" s="72" t="s">
        <v>660</v>
      </c>
    </row>
    <row r="100" spans="1:7" ht="15.95" customHeight="1">
      <c r="A100" s="72">
        <v>9</v>
      </c>
      <c r="B100" s="70">
        <v>90</v>
      </c>
      <c r="C100" s="72" t="s">
        <v>901</v>
      </c>
      <c r="D100" s="70" t="s">
        <v>10</v>
      </c>
      <c r="E100" s="70" t="s">
        <v>71</v>
      </c>
      <c r="F100" s="72" t="s">
        <v>655</v>
      </c>
    </row>
    <row r="101" spans="1:7" ht="15.95" customHeight="1">
      <c r="A101" s="72">
        <v>10</v>
      </c>
      <c r="B101" s="70">
        <v>91</v>
      </c>
      <c r="C101" s="72" t="s">
        <v>837</v>
      </c>
      <c r="D101" s="70" t="s">
        <v>2</v>
      </c>
      <c r="E101" s="70" t="s">
        <v>28</v>
      </c>
      <c r="F101" s="72" t="s">
        <v>655</v>
      </c>
      <c r="G101" s="63" t="s">
        <v>1001</v>
      </c>
    </row>
    <row r="102" spans="1:7" ht="15.95" customHeight="1">
      <c r="A102" s="72">
        <v>10</v>
      </c>
      <c r="B102" s="70">
        <v>92</v>
      </c>
      <c r="C102" s="72" t="s">
        <v>833</v>
      </c>
      <c r="D102" s="70" t="s">
        <v>2</v>
      </c>
      <c r="E102" s="70" t="s">
        <v>6</v>
      </c>
      <c r="F102" s="72" t="s">
        <v>660</v>
      </c>
      <c r="G102" s="63" t="s">
        <v>1002</v>
      </c>
    </row>
    <row r="103" spans="1:7" ht="15.95" customHeight="1">
      <c r="A103" s="72">
        <v>10</v>
      </c>
      <c r="B103" s="70">
        <v>93</v>
      </c>
      <c r="C103" s="72" t="s">
        <v>1004</v>
      </c>
      <c r="D103" s="70" t="s">
        <v>2</v>
      </c>
      <c r="E103" s="70" t="s">
        <v>56</v>
      </c>
      <c r="F103" s="72" t="s">
        <v>653</v>
      </c>
      <c r="G103" s="63" t="s">
        <v>1003</v>
      </c>
    </row>
    <row r="104" spans="1:7" ht="15.95" customHeight="1">
      <c r="A104" s="72">
        <v>10</v>
      </c>
      <c r="B104" s="70">
        <v>94</v>
      </c>
      <c r="C104" s="72" t="s">
        <v>1005</v>
      </c>
      <c r="D104" s="70" t="s">
        <v>2</v>
      </c>
      <c r="E104" s="70" t="s">
        <v>6</v>
      </c>
      <c r="F104" s="72" t="s">
        <v>659</v>
      </c>
    </row>
    <row r="105" spans="1:7" ht="15.95" customHeight="1">
      <c r="A105" s="72">
        <v>10</v>
      </c>
      <c r="B105" s="70">
        <v>95</v>
      </c>
      <c r="C105" s="72" t="s">
        <v>1006</v>
      </c>
      <c r="D105" s="70" t="s">
        <v>10</v>
      </c>
      <c r="E105" s="70" t="s">
        <v>120</v>
      </c>
      <c r="F105" s="72" t="s">
        <v>657</v>
      </c>
      <c r="G105" s="63" t="s">
        <v>1007</v>
      </c>
    </row>
    <row r="106" spans="1:7" ht="15.95" customHeight="1">
      <c r="A106" s="72">
        <v>10</v>
      </c>
      <c r="B106" s="70">
        <v>96</v>
      </c>
      <c r="C106" s="72" t="s">
        <v>918</v>
      </c>
      <c r="D106" s="70" t="s">
        <v>27</v>
      </c>
      <c r="E106" s="70" t="s">
        <v>28</v>
      </c>
      <c r="F106" s="72" t="s">
        <v>654</v>
      </c>
    </row>
    <row r="107" spans="1:7" ht="15.95" customHeight="1">
      <c r="A107" s="72">
        <v>10</v>
      </c>
      <c r="B107" s="70">
        <v>97</v>
      </c>
      <c r="C107" s="72" t="s">
        <v>846</v>
      </c>
      <c r="D107" s="70" t="s">
        <v>10</v>
      </c>
      <c r="E107" s="70" t="s">
        <v>19</v>
      </c>
      <c r="F107" s="72" t="s">
        <v>651</v>
      </c>
    </row>
    <row r="108" spans="1:7" ht="15.95" customHeight="1">
      <c r="A108" s="72">
        <v>10</v>
      </c>
      <c r="B108" s="70">
        <v>98</v>
      </c>
      <c r="C108" s="72" t="s">
        <v>924</v>
      </c>
      <c r="D108" s="70" t="s">
        <v>27</v>
      </c>
      <c r="E108" s="70" t="s">
        <v>137</v>
      </c>
      <c r="F108" s="72" t="s">
        <v>661</v>
      </c>
    </row>
    <row r="109" spans="1:7" ht="15.95" customHeight="1">
      <c r="A109" s="72">
        <v>10</v>
      </c>
      <c r="B109" s="70">
        <v>99</v>
      </c>
      <c r="C109" s="72" t="s">
        <v>519</v>
      </c>
      <c r="D109" s="70" t="s">
        <v>2</v>
      </c>
      <c r="E109" s="70" t="s">
        <v>34</v>
      </c>
      <c r="F109" s="72" t="s">
        <v>659</v>
      </c>
      <c r="G109" s="63" t="s">
        <v>1008</v>
      </c>
    </row>
    <row r="110" spans="1:7" ht="15.95" customHeight="1">
      <c r="A110" s="72">
        <v>10</v>
      </c>
      <c r="B110" s="70">
        <v>100</v>
      </c>
      <c r="C110" s="72" t="s">
        <v>865</v>
      </c>
      <c r="D110" s="70" t="s">
        <v>10</v>
      </c>
      <c r="E110" s="70" t="s">
        <v>46</v>
      </c>
      <c r="F110" s="72" t="s">
        <v>651</v>
      </c>
    </row>
    <row r="111" spans="1:7" ht="15.95" customHeight="1">
      <c r="A111" s="72">
        <v>11</v>
      </c>
      <c r="B111" s="70">
        <v>101</v>
      </c>
      <c r="C111" s="72" t="s">
        <v>861</v>
      </c>
      <c r="D111" s="70" t="s">
        <v>10</v>
      </c>
      <c r="E111" s="70" t="s">
        <v>73</v>
      </c>
      <c r="F111" s="72" t="s">
        <v>758</v>
      </c>
      <c r="G111" s="63" t="s">
        <v>1009</v>
      </c>
    </row>
    <row r="112" spans="1:7" ht="15.95" customHeight="1">
      <c r="A112" s="72">
        <v>11</v>
      </c>
      <c r="B112" s="70">
        <v>102</v>
      </c>
      <c r="C112" s="72" t="s">
        <v>16</v>
      </c>
      <c r="D112" s="70" t="s">
        <v>2</v>
      </c>
      <c r="E112" s="70" t="s">
        <v>49</v>
      </c>
      <c r="F112" s="72" t="s">
        <v>652</v>
      </c>
      <c r="G112" s="63" t="s">
        <v>1010</v>
      </c>
    </row>
    <row r="113" spans="1:7" ht="15.95" customHeight="1">
      <c r="A113" s="72">
        <v>11</v>
      </c>
      <c r="B113" s="70">
        <v>103</v>
      </c>
      <c r="C113" s="72" t="s">
        <v>1011</v>
      </c>
      <c r="D113" s="70" t="s">
        <v>2</v>
      </c>
      <c r="E113" s="70" t="s">
        <v>13</v>
      </c>
      <c r="F113" s="72" t="s">
        <v>661</v>
      </c>
      <c r="G113" s="63" t="s">
        <v>1012</v>
      </c>
    </row>
    <row r="114" spans="1:7" ht="18.600000000000001" customHeight="1">
      <c r="A114" s="72">
        <v>11</v>
      </c>
      <c r="B114" s="70">
        <v>104</v>
      </c>
      <c r="C114" s="72" t="s">
        <v>1013</v>
      </c>
      <c r="D114" s="70" t="s">
        <v>10</v>
      </c>
      <c r="E114" s="70" t="s">
        <v>137</v>
      </c>
      <c r="F114" s="72" t="s">
        <v>758</v>
      </c>
      <c r="G114" s="63" t="s">
        <v>1014</v>
      </c>
    </row>
    <row r="115" spans="1:7" ht="41.1" customHeight="1">
      <c r="A115" s="72">
        <v>11</v>
      </c>
      <c r="B115" s="70">
        <v>105</v>
      </c>
      <c r="C115" s="72" t="s">
        <v>501</v>
      </c>
      <c r="D115" s="70" t="s">
        <v>2</v>
      </c>
      <c r="E115" s="70" t="s">
        <v>11</v>
      </c>
      <c r="F115" s="72" t="s">
        <v>654</v>
      </c>
      <c r="G115" s="92" t="s">
        <v>1015</v>
      </c>
    </row>
    <row r="116" spans="1:7" ht="15.95" customHeight="1">
      <c r="A116" s="72">
        <v>11</v>
      </c>
      <c r="B116" s="70">
        <v>106</v>
      </c>
      <c r="C116" s="72" t="s">
        <v>1017</v>
      </c>
      <c r="D116" s="70" t="s">
        <v>10</v>
      </c>
      <c r="E116" s="70" t="s">
        <v>6</v>
      </c>
      <c r="F116" s="72" t="s">
        <v>657</v>
      </c>
      <c r="G116" s="63" t="s">
        <v>1016</v>
      </c>
    </row>
    <row r="117" spans="1:7" ht="15.95" customHeight="1">
      <c r="A117" s="72">
        <v>11</v>
      </c>
      <c r="B117" s="70">
        <v>107</v>
      </c>
      <c r="C117" s="72" t="s">
        <v>866</v>
      </c>
      <c r="D117" s="70" t="s">
        <v>27</v>
      </c>
      <c r="E117" s="70" t="s">
        <v>56</v>
      </c>
      <c r="F117" s="72" t="s">
        <v>652</v>
      </c>
    </row>
    <row r="118" spans="1:7" ht="15.95" customHeight="1">
      <c r="A118" s="72">
        <v>11</v>
      </c>
      <c r="B118" s="70">
        <v>108</v>
      </c>
      <c r="C118" s="72" t="s">
        <v>900</v>
      </c>
      <c r="D118" s="70" t="s">
        <v>10</v>
      </c>
      <c r="E118" s="70" t="s">
        <v>15</v>
      </c>
      <c r="F118" s="72" t="s">
        <v>653</v>
      </c>
    </row>
    <row r="119" spans="1:7" ht="15.95" customHeight="1">
      <c r="A119" s="72">
        <v>11</v>
      </c>
      <c r="B119" s="70">
        <v>109</v>
      </c>
      <c r="C119" s="72" t="s">
        <v>1018</v>
      </c>
      <c r="D119" s="70" t="s">
        <v>5</v>
      </c>
      <c r="E119" s="70" t="s">
        <v>91</v>
      </c>
      <c r="F119" s="72" t="s">
        <v>659</v>
      </c>
      <c r="G119" s="63" t="s">
        <v>1019</v>
      </c>
    </row>
    <row r="120" spans="1:7" ht="39.950000000000003" customHeight="1">
      <c r="A120" s="72">
        <v>11</v>
      </c>
      <c r="B120" s="70">
        <v>110</v>
      </c>
      <c r="C120" s="72" t="s">
        <v>843</v>
      </c>
      <c r="D120" s="70" t="s">
        <v>2</v>
      </c>
      <c r="E120" s="70" t="s">
        <v>17</v>
      </c>
      <c r="F120" s="72" t="s">
        <v>655</v>
      </c>
      <c r="G120" s="92" t="s">
        <v>1020</v>
      </c>
    </row>
    <row r="121" spans="1:7" ht="15.95" customHeight="1">
      <c r="A121" s="72">
        <v>12</v>
      </c>
      <c r="B121" s="70">
        <v>111</v>
      </c>
      <c r="C121" s="72" t="s">
        <v>1021</v>
      </c>
      <c r="D121" s="70" t="s">
        <v>2</v>
      </c>
      <c r="E121" s="70" t="s">
        <v>25</v>
      </c>
      <c r="F121" s="72" t="s">
        <v>655</v>
      </c>
      <c r="G121" s="63" t="s">
        <v>1022</v>
      </c>
    </row>
    <row r="122" spans="1:7" ht="15.95" customHeight="1">
      <c r="A122" s="72">
        <v>12</v>
      </c>
      <c r="B122" s="70">
        <v>112</v>
      </c>
      <c r="C122" s="72" t="str">
        <f>'[1]BChen Overall'!$C$132</f>
        <v>Khalil Shakir</v>
      </c>
      <c r="D122" s="70" t="s">
        <v>2</v>
      </c>
      <c r="E122" s="70" t="s">
        <v>56</v>
      </c>
      <c r="F122" s="72" t="s">
        <v>660</v>
      </c>
      <c r="G122" s="63" t="s">
        <v>1023</v>
      </c>
    </row>
    <row r="123" spans="1:7" ht="15.95" customHeight="1">
      <c r="A123" s="72">
        <v>12</v>
      </c>
      <c r="B123" s="70">
        <v>113</v>
      </c>
      <c r="C123" s="72" t="s">
        <v>1025</v>
      </c>
      <c r="D123" s="70" t="s">
        <v>2</v>
      </c>
      <c r="E123" s="70" t="s">
        <v>30</v>
      </c>
      <c r="F123" s="72" t="s">
        <v>653</v>
      </c>
      <c r="G123" s="63" t="s">
        <v>1024</v>
      </c>
    </row>
    <row r="124" spans="1:7" ht="15.95" customHeight="1">
      <c r="A124" s="72">
        <v>12</v>
      </c>
      <c r="B124" s="70">
        <v>114</v>
      </c>
      <c r="C124" s="72" t="s">
        <v>427</v>
      </c>
      <c r="D124" s="70" t="s">
        <v>10</v>
      </c>
      <c r="E124" s="70" t="s">
        <v>91</v>
      </c>
      <c r="F124" s="72" t="s">
        <v>652</v>
      </c>
    </row>
    <row r="125" spans="1:7" ht="15.95" customHeight="1">
      <c r="A125" s="72">
        <v>12</v>
      </c>
      <c r="B125" s="70">
        <v>115</v>
      </c>
      <c r="C125" s="72" t="s">
        <v>774</v>
      </c>
      <c r="D125" s="70" t="s">
        <v>2</v>
      </c>
      <c r="E125" s="70" t="s">
        <v>60</v>
      </c>
      <c r="F125" s="72" t="s">
        <v>657</v>
      </c>
      <c r="G125" s="63" t="s">
        <v>1026</v>
      </c>
    </row>
    <row r="126" spans="1:7" ht="15.95" customHeight="1">
      <c r="A126" s="72">
        <v>12</v>
      </c>
      <c r="B126" s="70">
        <v>116</v>
      </c>
      <c r="C126" s="72" t="s">
        <v>1027</v>
      </c>
      <c r="D126" s="70" t="s">
        <v>10</v>
      </c>
      <c r="E126" s="70" t="s">
        <v>15</v>
      </c>
      <c r="F126" s="72" t="s">
        <v>654</v>
      </c>
      <c r="G126" s="95" t="s">
        <v>1028</v>
      </c>
    </row>
    <row r="127" spans="1:7" ht="15.95" customHeight="1">
      <c r="A127" s="72">
        <v>12</v>
      </c>
      <c r="B127" s="70">
        <v>117</v>
      </c>
      <c r="C127" s="72" t="s">
        <v>1029</v>
      </c>
      <c r="D127" s="70" t="s">
        <v>10</v>
      </c>
      <c r="E127" s="70" t="s">
        <v>34</v>
      </c>
      <c r="F127" s="72" t="s">
        <v>758</v>
      </c>
    </row>
    <row r="128" spans="1:7" ht="15.95" customHeight="1">
      <c r="A128" s="72">
        <v>12</v>
      </c>
      <c r="B128" s="70">
        <v>118</v>
      </c>
      <c r="C128" s="72" t="s">
        <v>699</v>
      </c>
      <c r="D128" s="70" t="s">
        <v>10</v>
      </c>
      <c r="E128" s="70" t="s">
        <v>84</v>
      </c>
      <c r="F128" s="72" t="s">
        <v>661</v>
      </c>
      <c r="G128" s="63" t="s">
        <v>1030</v>
      </c>
    </row>
    <row r="129" spans="1:7" ht="15.95" customHeight="1">
      <c r="A129" s="72">
        <v>12</v>
      </c>
      <c r="B129" s="70">
        <v>119</v>
      </c>
      <c r="C129" s="72" t="s">
        <v>830</v>
      </c>
      <c r="D129" s="70" t="s">
        <v>27</v>
      </c>
      <c r="E129" s="70" t="s">
        <v>41</v>
      </c>
      <c r="F129" s="72" t="s">
        <v>659</v>
      </c>
      <c r="G129" s="63" t="s">
        <v>1031</v>
      </c>
    </row>
    <row r="130" spans="1:7" ht="15.95" customHeight="1">
      <c r="A130" s="72">
        <v>12</v>
      </c>
      <c r="B130" s="70">
        <v>120</v>
      </c>
      <c r="C130" s="72" t="s">
        <v>1032</v>
      </c>
      <c r="D130" s="70" t="s">
        <v>10</v>
      </c>
      <c r="E130" s="70" t="s">
        <v>43</v>
      </c>
      <c r="F130" s="72" t="s">
        <v>659</v>
      </c>
    </row>
    <row r="131" spans="1:7">
      <c r="A131" s="76"/>
      <c r="B131" s="76"/>
      <c r="C131" s="76"/>
      <c r="D131" s="76"/>
      <c r="E131" s="76"/>
      <c r="F131" s="76"/>
    </row>
    <row r="132" spans="1:7">
      <c r="A132" s="76"/>
      <c r="B132" s="76"/>
      <c r="C132" s="76"/>
      <c r="D132" s="76"/>
      <c r="E132" s="76"/>
      <c r="F132" s="76"/>
    </row>
    <row r="133" spans="1:7">
      <c r="A133" s="76"/>
      <c r="B133" s="76"/>
      <c r="C133" s="76"/>
      <c r="D133" s="76"/>
      <c r="E133" s="76"/>
      <c r="F133" s="76"/>
    </row>
    <row r="134" spans="1:7">
      <c r="A134" s="89"/>
      <c r="B134" s="89"/>
      <c r="C134" s="89"/>
      <c r="D134" s="89"/>
      <c r="E134" s="89"/>
      <c r="F134" s="89"/>
    </row>
    <row r="135" spans="1:7" ht="15.95" customHeight="1">
      <c r="A135" s="87">
        <v>13</v>
      </c>
      <c r="B135" s="88">
        <v>121</v>
      </c>
      <c r="C135" s="87" t="s">
        <v>880</v>
      </c>
      <c r="D135" s="88" t="s">
        <v>10</v>
      </c>
      <c r="E135" s="88" t="s">
        <v>41</v>
      </c>
      <c r="F135" s="87" t="s">
        <v>651</v>
      </c>
      <c r="G135" s="63" t="s">
        <v>1033</v>
      </c>
    </row>
    <row r="136" spans="1:7" ht="15.95" customHeight="1">
      <c r="A136" s="72">
        <v>13</v>
      </c>
      <c r="B136" s="70">
        <v>122</v>
      </c>
      <c r="C136" s="72" t="s">
        <v>842</v>
      </c>
      <c r="D136" s="70" t="s">
        <v>10</v>
      </c>
      <c r="E136" s="70" t="s">
        <v>32</v>
      </c>
      <c r="F136" s="72" t="s">
        <v>655</v>
      </c>
      <c r="G136" s="63" t="s">
        <v>1034</v>
      </c>
    </row>
    <row r="137" spans="1:7" ht="15.95" customHeight="1">
      <c r="A137" s="72">
        <v>13</v>
      </c>
      <c r="B137" s="70">
        <v>123</v>
      </c>
      <c r="C137" s="72" t="s">
        <v>532</v>
      </c>
      <c r="D137" s="70" t="s">
        <v>10</v>
      </c>
      <c r="E137" s="70" t="s">
        <v>19</v>
      </c>
      <c r="F137" s="72" t="s">
        <v>661</v>
      </c>
      <c r="G137" s="63" t="s">
        <v>1035</v>
      </c>
    </row>
    <row r="138" spans="1:7" ht="53.45" customHeight="1">
      <c r="A138" s="72">
        <v>13</v>
      </c>
      <c r="B138" s="70">
        <v>124</v>
      </c>
      <c r="C138" s="72" t="s">
        <v>912</v>
      </c>
      <c r="D138" s="70" t="s">
        <v>5</v>
      </c>
      <c r="E138" s="70" t="s">
        <v>6</v>
      </c>
      <c r="F138" s="72" t="s">
        <v>758</v>
      </c>
      <c r="G138" s="96" t="s">
        <v>1036</v>
      </c>
    </row>
    <row r="139" spans="1:7" ht="15.95" customHeight="1">
      <c r="A139" s="72">
        <v>13</v>
      </c>
      <c r="B139" s="70">
        <v>125</v>
      </c>
      <c r="C139" s="72" t="s">
        <v>928</v>
      </c>
      <c r="D139" s="70" t="s">
        <v>2</v>
      </c>
      <c r="E139" s="70" t="s">
        <v>137</v>
      </c>
      <c r="F139" s="72" t="s">
        <v>654</v>
      </c>
      <c r="G139" s="63" t="s">
        <v>1037</v>
      </c>
    </row>
    <row r="140" spans="1:7" ht="15.95" customHeight="1">
      <c r="A140" s="72">
        <v>13</v>
      </c>
      <c r="B140" s="70">
        <v>126</v>
      </c>
      <c r="C140" s="72" t="s">
        <v>922</v>
      </c>
      <c r="D140" s="70" t="s">
        <v>2</v>
      </c>
      <c r="E140" s="70" t="s">
        <v>19</v>
      </c>
      <c r="F140" s="72" t="s">
        <v>657</v>
      </c>
    </row>
    <row r="141" spans="1:7" ht="15.95" customHeight="1">
      <c r="A141" s="72">
        <v>13</v>
      </c>
      <c r="B141" s="70">
        <v>127</v>
      </c>
      <c r="C141" s="72" t="s">
        <v>411</v>
      </c>
      <c r="D141" s="70" t="s">
        <v>2</v>
      </c>
      <c r="E141" s="70" t="s">
        <v>73</v>
      </c>
      <c r="F141" s="72" t="s">
        <v>652</v>
      </c>
    </row>
    <row r="142" spans="1:7" ht="15.95" customHeight="1">
      <c r="A142" s="72">
        <v>13</v>
      </c>
      <c r="B142" s="70">
        <v>128</v>
      </c>
      <c r="C142" s="72" t="s">
        <v>881</v>
      </c>
      <c r="D142" s="70" t="s">
        <v>2</v>
      </c>
      <c r="E142" s="70" t="s">
        <v>120</v>
      </c>
      <c r="F142" s="72" t="s">
        <v>653</v>
      </c>
      <c r="G142" s="63" t="s">
        <v>1038</v>
      </c>
    </row>
    <row r="143" spans="1:7" ht="15.95" customHeight="1">
      <c r="A143" s="72">
        <v>13</v>
      </c>
      <c r="B143" s="70">
        <v>129</v>
      </c>
      <c r="C143" s="72" t="s">
        <v>1039</v>
      </c>
      <c r="D143" s="70" t="s">
        <v>36</v>
      </c>
      <c r="E143" s="70" t="s">
        <v>11</v>
      </c>
      <c r="F143" s="72" t="s">
        <v>660</v>
      </c>
      <c r="G143" s="63" t="s">
        <v>1063</v>
      </c>
    </row>
    <row r="144" spans="1:7" ht="15.95" customHeight="1">
      <c r="A144" s="72">
        <v>13</v>
      </c>
      <c r="B144" s="70">
        <v>130</v>
      </c>
      <c r="C144" s="72" t="s">
        <v>1040</v>
      </c>
      <c r="D144" s="70" t="s">
        <v>10</v>
      </c>
      <c r="E144" s="70" t="s">
        <v>135</v>
      </c>
      <c r="F144" s="72" t="s">
        <v>655</v>
      </c>
    </row>
    <row r="145" spans="1:7" ht="15.95" customHeight="1">
      <c r="A145" s="72">
        <v>14</v>
      </c>
      <c r="B145" s="70">
        <v>131</v>
      </c>
      <c r="C145" s="72" t="s">
        <v>1041</v>
      </c>
      <c r="D145" s="70" t="s">
        <v>2</v>
      </c>
      <c r="E145" s="70" t="s">
        <v>32</v>
      </c>
      <c r="F145" s="72" t="s">
        <v>655</v>
      </c>
      <c r="G145" s="63" t="s">
        <v>1042</v>
      </c>
    </row>
    <row r="146" spans="1:7" ht="15.95" customHeight="1">
      <c r="A146" s="72">
        <v>14</v>
      </c>
      <c r="B146" s="70">
        <v>132</v>
      </c>
      <c r="C146" s="72" t="s">
        <v>1043</v>
      </c>
      <c r="D146" s="70" t="s">
        <v>10</v>
      </c>
      <c r="E146" s="70" t="s">
        <v>46</v>
      </c>
      <c r="F146" s="72" t="s">
        <v>660</v>
      </c>
    </row>
    <row r="147" spans="1:7" ht="15.95" customHeight="1">
      <c r="A147" s="72">
        <v>14</v>
      </c>
      <c r="B147" s="70">
        <v>133</v>
      </c>
      <c r="C147" s="72" t="s">
        <v>1044</v>
      </c>
      <c r="D147" s="70" t="s">
        <v>10</v>
      </c>
      <c r="E147" s="70" t="s">
        <v>56</v>
      </c>
      <c r="F147" s="72" t="s">
        <v>653</v>
      </c>
      <c r="G147" s="63" t="s">
        <v>1045</v>
      </c>
    </row>
    <row r="148" spans="1:7" ht="15.95" customHeight="1">
      <c r="A148" s="72">
        <v>14</v>
      </c>
      <c r="B148" s="70">
        <v>134</v>
      </c>
      <c r="C148" s="97" t="s">
        <v>908</v>
      </c>
      <c r="D148" s="70" t="s">
        <v>2</v>
      </c>
      <c r="E148" s="70" t="s">
        <v>82</v>
      </c>
      <c r="F148" s="72" t="s">
        <v>652</v>
      </c>
      <c r="G148" s="63" t="s">
        <v>1046</v>
      </c>
    </row>
    <row r="149" spans="1:7" ht="15.95" customHeight="1">
      <c r="A149" s="72">
        <v>14</v>
      </c>
      <c r="B149" s="70">
        <v>135</v>
      </c>
      <c r="C149" s="72" t="s">
        <v>1106</v>
      </c>
      <c r="D149" s="70" t="s">
        <v>10</v>
      </c>
      <c r="E149" s="70" t="s">
        <v>60</v>
      </c>
      <c r="F149" s="72" t="s">
        <v>657</v>
      </c>
      <c r="G149" s="63" t="s">
        <v>1047</v>
      </c>
    </row>
    <row r="150" spans="1:7" ht="15.95" customHeight="1">
      <c r="A150" s="72">
        <v>14</v>
      </c>
      <c r="B150" s="70">
        <v>136</v>
      </c>
      <c r="C150" s="72" t="s">
        <v>1049</v>
      </c>
      <c r="D150" s="70" t="s">
        <v>36</v>
      </c>
      <c r="E150" s="70" t="s">
        <v>71</v>
      </c>
      <c r="F150" s="72" t="s">
        <v>654</v>
      </c>
      <c r="G150" s="63" t="s">
        <v>1048</v>
      </c>
    </row>
    <row r="151" spans="1:7" ht="15.95" customHeight="1">
      <c r="A151" s="72">
        <v>14</v>
      </c>
      <c r="B151" s="70">
        <v>137</v>
      </c>
      <c r="C151" s="72" t="s">
        <v>556</v>
      </c>
      <c r="D151" s="70" t="s">
        <v>27</v>
      </c>
      <c r="E151" s="70" t="s">
        <v>71</v>
      </c>
      <c r="F151" s="72" t="s">
        <v>758</v>
      </c>
      <c r="G151" s="63" t="s">
        <v>1050</v>
      </c>
    </row>
    <row r="152" spans="1:7" ht="15.95" customHeight="1">
      <c r="A152" s="72">
        <v>14</v>
      </c>
      <c r="B152" s="70">
        <v>138</v>
      </c>
      <c r="C152" s="72" t="s">
        <v>1051</v>
      </c>
      <c r="D152" s="70" t="s">
        <v>2</v>
      </c>
      <c r="E152" s="70" t="s">
        <v>56</v>
      </c>
      <c r="F152" s="72" t="s">
        <v>661</v>
      </c>
      <c r="G152" s="63" t="s">
        <v>1052</v>
      </c>
    </row>
    <row r="153" spans="1:7" ht="15.95" customHeight="1">
      <c r="A153" s="72">
        <v>14</v>
      </c>
      <c r="B153" s="70">
        <v>139</v>
      </c>
      <c r="C153" s="72" t="s">
        <v>864</v>
      </c>
      <c r="D153" s="70" t="s">
        <v>36</v>
      </c>
      <c r="E153" s="70" t="s">
        <v>135</v>
      </c>
      <c r="F153" s="72" t="s">
        <v>659</v>
      </c>
    </row>
    <row r="154" spans="1:7" ht="15.95" customHeight="1">
      <c r="A154" s="72">
        <v>14</v>
      </c>
      <c r="B154" s="70">
        <v>140</v>
      </c>
      <c r="C154" s="72" t="s">
        <v>733</v>
      </c>
      <c r="D154" s="70" t="s">
        <v>2</v>
      </c>
      <c r="E154" s="70" t="s">
        <v>627</v>
      </c>
      <c r="F154" s="72" t="s">
        <v>654</v>
      </c>
      <c r="G154" s="63" t="s">
        <v>1053</v>
      </c>
    </row>
    <row r="155" spans="1:7" ht="15.95" customHeight="1">
      <c r="A155" s="72">
        <v>15</v>
      </c>
      <c r="B155" s="70">
        <v>141</v>
      </c>
      <c r="C155" s="72" t="s">
        <v>1054</v>
      </c>
      <c r="D155" s="70" t="s">
        <v>5</v>
      </c>
      <c r="E155" s="70" t="s">
        <v>107</v>
      </c>
      <c r="F155" s="72" t="s">
        <v>758</v>
      </c>
      <c r="G155" s="63" t="s">
        <v>1055</v>
      </c>
    </row>
    <row r="156" spans="1:7" ht="15.95" customHeight="1">
      <c r="A156" s="72">
        <v>15</v>
      </c>
      <c r="B156" s="70">
        <v>142</v>
      </c>
      <c r="C156" s="72" t="s">
        <v>162</v>
      </c>
      <c r="D156" s="70" t="s">
        <v>5</v>
      </c>
      <c r="E156" s="70" t="s">
        <v>15</v>
      </c>
      <c r="F156" s="72" t="s">
        <v>660</v>
      </c>
      <c r="G156" s="63" t="s">
        <v>1056</v>
      </c>
    </row>
    <row r="157" spans="1:7" ht="15.95" customHeight="1">
      <c r="A157" s="72">
        <v>15</v>
      </c>
      <c r="B157" s="70">
        <v>143</v>
      </c>
      <c r="C157" s="72" t="s">
        <v>698</v>
      </c>
      <c r="D157" s="70" t="s">
        <v>10</v>
      </c>
      <c r="E157" s="70" t="s">
        <v>30</v>
      </c>
      <c r="F157" s="72" t="s">
        <v>661</v>
      </c>
      <c r="G157" s="63" t="s">
        <v>1057</v>
      </c>
    </row>
    <row r="158" spans="1:7" ht="15.95" customHeight="1">
      <c r="A158" s="72">
        <v>15</v>
      </c>
      <c r="B158" s="70">
        <v>144</v>
      </c>
      <c r="C158" s="77" t="s">
        <v>703</v>
      </c>
      <c r="D158" s="70" t="s">
        <v>2</v>
      </c>
      <c r="E158" s="70" t="s">
        <v>71</v>
      </c>
      <c r="F158" s="72" t="s">
        <v>758</v>
      </c>
      <c r="G158" s="63" t="s">
        <v>1058</v>
      </c>
    </row>
    <row r="159" spans="1:7" ht="15.95" customHeight="1">
      <c r="A159" s="72">
        <v>15</v>
      </c>
      <c r="B159" s="70">
        <v>145</v>
      </c>
      <c r="C159" s="72" t="s">
        <v>1059</v>
      </c>
      <c r="D159" s="70" t="s">
        <v>2</v>
      </c>
      <c r="E159" s="70" t="s">
        <v>32</v>
      </c>
      <c r="F159" s="72" t="s">
        <v>654</v>
      </c>
      <c r="G159" s="63" t="s">
        <v>1060</v>
      </c>
    </row>
    <row r="160" spans="1:7" ht="15.95" customHeight="1">
      <c r="A160" s="72">
        <v>15</v>
      </c>
      <c r="B160" s="70">
        <v>146</v>
      </c>
      <c r="C160" s="72" t="s">
        <v>872</v>
      </c>
      <c r="D160" s="70" t="s">
        <v>2</v>
      </c>
      <c r="E160" s="70" t="s">
        <v>6</v>
      </c>
      <c r="F160" s="72" t="s">
        <v>657</v>
      </c>
      <c r="G160" s="63" t="s">
        <v>1061</v>
      </c>
    </row>
    <row r="161" spans="1:7" ht="15.95" customHeight="1">
      <c r="A161" s="72">
        <v>15</v>
      </c>
      <c r="B161" s="70">
        <v>147</v>
      </c>
      <c r="C161" s="72" t="s">
        <v>605</v>
      </c>
      <c r="D161" s="70" t="s">
        <v>36</v>
      </c>
      <c r="E161" s="70" t="s">
        <v>21</v>
      </c>
      <c r="F161" s="72" t="s">
        <v>652</v>
      </c>
    </row>
    <row r="162" spans="1:7" ht="15.95" customHeight="1">
      <c r="A162" s="72">
        <v>15</v>
      </c>
      <c r="B162" s="70">
        <v>148</v>
      </c>
      <c r="C162" s="72" t="s">
        <v>785</v>
      </c>
      <c r="D162" s="70" t="s">
        <v>5</v>
      </c>
      <c r="E162" s="70" t="s">
        <v>46</v>
      </c>
      <c r="F162" s="72" t="s">
        <v>653</v>
      </c>
      <c r="G162" s="63" t="s">
        <v>1062</v>
      </c>
    </row>
    <row r="163" spans="1:7" ht="15.95" customHeight="1">
      <c r="A163" s="72">
        <v>15</v>
      </c>
      <c r="B163" s="70">
        <v>149</v>
      </c>
      <c r="C163" s="72" t="s">
        <v>1065</v>
      </c>
      <c r="D163" s="70" t="s">
        <v>10</v>
      </c>
      <c r="E163" s="70" t="s">
        <v>11</v>
      </c>
      <c r="F163" s="72" t="s">
        <v>660</v>
      </c>
      <c r="G163" s="63" t="s">
        <v>1064</v>
      </c>
    </row>
    <row r="164" spans="1:7" ht="65.099999999999994" customHeight="1">
      <c r="A164" s="72">
        <v>15</v>
      </c>
      <c r="B164" s="70">
        <v>150</v>
      </c>
      <c r="C164" s="72" t="s">
        <v>40</v>
      </c>
      <c r="D164" s="70" t="s">
        <v>10</v>
      </c>
      <c r="E164" s="70" t="s">
        <v>15</v>
      </c>
      <c r="F164" s="72" t="s">
        <v>659</v>
      </c>
      <c r="G164" s="92" t="s">
        <v>1067</v>
      </c>
    </row>
    <row r="165" spans="1:7" ht="15.95" customHeight="1">
      <c r="A165" s="72">
        <v>16</v>
      </c>
      <c r="B165" s="70">
        <v>151</v>
      </c>
      <c r="C165" s="72" t="s">
        <v>832</v>
      </c>
      <c r="D165" s="70" t="s">
        <v>10</v>
      </c>
      <c r="E165" s="70" t="s">
        <v>107</v>
      </c>
      <c r="F165" s="72" t="s">
        <v>655</v>
      </c>
    </row>
    <row r="166" spans="1:7" ht="15.95" customHeight="1">
      <c r="A166" s="72">
        <v>16</v>
      </c>
      <c r="B166" s="70">
        <v>152</v>
      </c>
      <c r="C166" s="72" t="s">
        <v>610</v>
      </c>
      <c r="D166" s="70" t="s">
        <v>36</v>
      </c>
      <c r="E166" s="70" t="s">
        <v>15</v>
      </c>
      <c r="F166" s="72" t="s">
        <v>660</v>
      </c>
      <c r="G166" s="63" t="s">
        <v>1068</v>
      </c>
    </row>
    <row r="167" spans="1:7" ht="15.95" customHeight="1">
      <c r="A167" s="72">
        <v>16</v>
      </c>
      <c r="B167" s="70">
        <v>153</v>
      </c>
      <c r="C167" s="72" t="s">
        <v>790</v>
      </c>
      <c r="D167" s="70" t="s">
        <v>36</v>
      </c>
      <c r="E167" s="70" t="s">
        <v>56</v>
      </c>
      <c r="F167" s="72" t="s">
        <v>653</v>
      </c>
      <c r="G167" s="63" t="s">
        <v>1066</v>
      </c>
    </row>
    <row r="168" spans="1:7" ht="15.95" customHeight="1">
      <c r="A168" s="72">
        <v>16</v>
      </c>
      <c r="B168" s="70">
        <v>154</v>
      </c>
      <c r="C168" s="72" t="s">
        <v>96</v>
      </c>
      <c r="D168" s="70" t="s">
        <v>5</v>
      </c>
      <c r="E168" s="70" t="s">
        <v>120</v>
      </c>
      <c r="F168" s="72" t="s">
        <v>652</v>
      </c>
      <c r="G168" s="63" t="s">
        <v>1069</v>
      </c>
    </row>
    <row r="169" spans="1:7" ht="15.95" customHeight="1">
      <c r="A169" s="72">
        <v>16</v>
      </c>
      <c r="B169" s="70">
        <v>155</v>
      </c>
      <c r="C169" s="72" t="s">
        <v>781</v>
      </c>
      <c r="D169" s="70" t="s">
        <v>36</v>
      </c>
      <c r="E169" s="70" t="s">
        <v>3</v>
      </c>
      <c r="F169" s="72" t="s">
        <v>657</v>
      </c>
    </row>
    <row r="170" spans="1:7" ht="15.95" customHeight="1">
      <c r="A170" s="72">
        <v>16</v>
      </c>
      <c r="B170" s="70">
        <v>156</v>
      </c>
      <c r="C170" s="72" t="s">
        <v>1070</v>
      </c>
      <c r="D170" s="70" t="s">
        <v>2</v>
      </c>
      <c r="E170" s="70" t="s">
        <v>30</v>
      </c>
      <c r="F170" s="72" t="s">
        <v>654</v>
      </c>
    </row>
    <row r="171" spans="1:7" ht="15.95" customHeight="1">
      <c r="A171" s="72">
        <v>16</v>
      </c>
      <c r="B171" s="70">
        <v>157</v>
      </c>
      <c r="C171" s="72" t="s">
        <v>1071</v>
      </c>
      <c r="D171" s="70" t="s">
        <v>36</v>
      </c>
      <c r="E171" s="70" t="s">
        <v>84</v>
      </c>
      <c r="F171" s="72" t="s">
        <v>758</v>
      </c>
    </row>
    <row r="172" spans="1:7" ht="15.95" customHeight="1">
      <c r="A172" s="72">
        <v>16</v>
      </c>
      <c r="B172" s="70">
        <v>158</v>
      </c>
      <c r="C172" s="72" t="s">
        <v>927</v>
      </c>
      <c r="D172" s="70" t="s">
        <v>5</v>
      </c>
      <c r="E172" s="70" t="s">
        <v>135</v>
      </c>
      <c r="F172" s="72" t="s">
        <v>661</v>
      </c>
      <c r="G172" s="63" t="s">
        <v>1072</v>
      </c>
    </row>
    <row r="173" spans="1:7" ht="15.95" customHeight="1">
      <c r="A173" s="72">
        <v>16</v>
      </c>
      <c r="B173" s="70">
        <v>159</v>
      </c>
      <c r="C173" s="72" t="s">
        <v>1073</v>
      </c>
      <c r="D173" s="70" t="s">
        <v>36</v>
      </c>
      <c r="E173" s="70" t="s">
        <v>13</v>
      </c>
      <c r="F173" s="72" t="s">
        <v>661</v>
      </c>
      <c r="G173" s="63" t="s">
        <v>1074</v>
      </c>
    </row>
    <row r="174" spans="1:7" ht="15.95" customHeight="1">
      <c r="A174" s="72">
        <v>16</v>
      </c>
      <c r="B174" s="70">
        <v>160</v>
      </c>
      <c r="C174" s="72" t="s">
        <v>791</v>
      </c>
      <c r="D174" s="70" t="s">
        <v>5</v>
      </c>
      <c r="E174" s="70" t="s">
        <v>63</v>
      </c>
      <c r="F174" s="72" t="s">
        <v>651</v>
      </c>
      <c r="G174" s="63" t="s">
        <v>1075</v>
      </c>
    </row>
    <row r="175" spans="1:7">
      <c r="A175" s="76"/>
      <c r="B175" s="76"/>
      <c r="C175" s="76"/>
      <c r="D175" s="76"/>
      <c r="E175" s="76"/>
      <c r="F175" s="76"/>
    </row>
    <row r="176" spans="1:7">
      <c r="A176" s="76"/>
      <c r="B176" s="76"/>
      <c r="C176" s="76"/>
      <c r="D176" s="76"/>
      <c r="E176" s="76"/>
      <c r="F176" s="76"/>
    </row>
    <row r="177" spans="1:6">
      <c r="A177" s="76"/>
      <c r="B177" s="76"/>
      <c r="C177" s="76"/>
      <c r="D177" s="76"/>
      <c r="E177" s="76"/>
      <c r="F177" s="76"/>
    </row>
    <row r="178" spans="1:6">
      <c r="A178" s="76"/>
      <c r="B178" s="76"/>
      <c r="C178" s="76"/>
      <c r="D178" s="76"/>
      <c r="E178" s="76"/>
      <c r="F178" s="76"/>
    </row>
  </sheetData>
  <autoFilter ref="A1:F174" xr:uid="{00000000-0009-0000-0000-000002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U5141"/>
  <sheetViews>
    <sheetView zoomScale="80" zoomScaleNormal="80" workbookViewId="0">
      <pane ySplit="2" topLeftCell="A155" activePane="bottomLeft" state="frozen"/>
      <selection pane="bottomLeft" activeCell="B168" sqref="B168:B170"/>
    </sheetView>
  </sheetViews>
  <sheetFormatPr defaultRowHeight="15"/>
  <cols>
    <col min="1" max="1" width="9.140625" style="1"/>
    <col min="2" max="2" width="24.140625" style="12" customWidth="1"/>
    <col min="3" max="3" width="12.42578125" style="2" bestFit="1" customWidth="1"/>
    <col min="4" max="4" width="15.140625" style="2" bestFit="1" customWidth="1"/>
    <col min="5" max="5" width="6" customWidth="1"/>
    <col min="6" max="8" width="11.5703125" bestFit="1" customWidth="1"/>
    <col min="9" max="9" width="6.85546875" customWidth="1"/>
    <col min="10" max="10" width="18.5703125" bestFit="1" customWidth="1"/>
    <col min="11" max="11" width="10.85546875" bestFit="1" customWidth="1"/>
    <col min="13" max="13" width="11" bestFit="1" customWidth="1"/>
    <col min="16" max="16" width="13.5703125" bestFit="1" customWidth="1"/>
    <col min="20" max="20" width="5.85546875" bestFit="1" customWidth="1"/>
    <col min="21" max="21" width="8.85546875" bestFit="1" customWidth="1"/>
  </cols>
  <sheetData>
    <row r="1" spans="1:21">
      <c r="A1" s="104" t="s">
        <v>404</v>
      </c>
      <c r="B1" s="104"/>
      <c r="C1" s="104"/>
      <c r="D1" s="104"/>
      <c r="F1" s="106" t="s">
        <v>405</v>
      </c>
      <c r="G1" s="106"/>
      <c r="H1" s="106"/>
      <c r="I1" s="6"/>
      <c r="J1" s="6"/>
    </row>
    <row r="2" spans="1:21">
      <c r="A2" s="9" t="s">
        <v>465</v>
      </c>
      <c r="B2" s="10" t="s">
        <v>375</v>
      </c>
      <c r="C2" s="10" t="s">
        <v>376</v>
      </c>
      <c r="D2" s="10" t="s">
        <v>378</v>
      </c>
      <c r="F2" s="10" t="s">
        <v>800</v>
      </c>
      <c r="G2" s="10" t="s">
        <v>850</v>
      </c>
      <c r="H2" s="10" t="s">
        <v>893</v>
      </c>
      <c r="I2" s="6"/>
      <c r="J2" s="10" t="s">
        <v>892</v>
      </c>
    </row>
    <row r="3" spans="1:21" ht="15.75" thickBot="1">
      <c r="A3" s="78" t="s">
        <v>390</v>
      </c>
      <c r="B3" s="85" t="s">
        <v>894</v>
      </c>
      <c r="C3" s="85" t="s">
        <v>5</v>
      </c>
      <c r="D3" s="86" t="s">
        <v>469</v>
      </c>
      <c r="E3" s="11"/>
      <c r="F3" s="81" t="s">
        <v>400</v>
      </c>
      <c r="G3" s="82" t="s">
        <v>401</v>
      </c>
      <c r="H3" s="82" t="s">
        <v>402</v>
      </c>
      <c r="I3" s="83"/>
      <c r="J3" s="44">
        <f>IF(A3="FA",9,A3-1)</f>
        <v>9</v>
      </c>
      <c r="U3" s="69"/>
    </row>
    <row r="4" spans="1:21" ht="15.75" thickBot="1">
      <c r="A4" s="7">
        <f>_xlfn.XLOOKUP(B4,'2023 Draft'!$C$3:$C$162,'2023 Draft'!$A$3:$A$162)</f>
        <v>2</v>
      </c>
      <c r="B4" s="4" t="s">
        <v>852</v>
      </c>
      <c r="C4" s="4" t="s">
        <v>10</v>
      </c>
      <c r="D4" s="16" t="s">
        <v>469</v>
      </c>
      <c r="F4" s="20" t="s">
        <v>400</v>
      </c>
      <c r="G4" s="15" t="s">
        <v>401</v>
      </c>
      <c r="H4" s="15" t="s">
        <v>402</v>
      </c>
      <c r="I4" s="25"/>
      <c r="J4" s="1">
        <f t="shared" ref="J4:J9" si="0">IF(A4="FA",9,A4-1)</f>
        <v>1</v>
      </c>
      <c r="U4" s="69"/>
    </row>
    <row r="5" spans="1:21" ht="15.75" thickBot="1">
      <c r="A5" s="7">
        <f>_xlfn.XLOOKUP(B5,'2023 Draft'!$C$3:$C$162,'2023 Draft'!$A$3:$A$162)</f>
        <v>7</v>
      </c>
      <c r="B5" s="4" t="s">
        <v>510</v>
      </c>
      <c r="C5" s="4" t="s">
        <v>10</v>
      </c>
      <c r="D5" s="16" t="s">
        <v>469</v>
      </c>
      <c r="F5" s="20" t="s">
        <v>400</v>
      </c>
      <c r="G5" s="15" t="s">
        <v>401</v>
      </c>
      <c r="H5" s="15" t="s">
        <v>402</v>
      </c>
      <c r="I5" s="25"/>
      <c r="J5" s="1">
        <f t="shared" si="0"/>
        <v>6</v>
      </c>
      <c r="U5" s="69"/>
    </row>
    <row r="6" spans="1:21" ht="15.75" thickBot="1">
      <c r="A6" s="7">
        <f>_xlfn.XLOOKUP(B6,'2023 Draft'!$C$3:$C$162,'2023 Draft'!$A$3:$A$162)</f>
        <v>1</v>
      </c>
      <c r="B6" s="4" t="s">
        <v>611</v>
      </c>
      <c r="C6" s="4" t="s">
        <v>2</v>
      </c>
      <c r="D6" s="16" t="s">
        <v>469</v>
      </c>
      <c r="F6" s="20" t="s">
        <v>400</v>
      </c>
      <c r="G6" s="15" t="s">
        <v>401</v>
      </c>
      <c r="H6" s="15" t="s">
        <v>402</v>
      </c>
      <c r="I6" s="25"/>
      <c r="J6" s="1">
        <f t="shared" si="0"/>
        <v>0</v>
      </c>
      <c r="U6" s="69"/>
    </row>
    <row r="7" spans="1:21" ht="15.75" thickBot="1">
      <c r="A7" s="7" t="s">
        <v>390</v>
      </c>
      <c r="B7" s="4" t="s">
        <v>586</v>
      </c>
      <c r="C7" s="4" t="s">
        <v>2</v>
      </c>
      <c r="D7" s="16" t="s">
        <v>469</v>
      </c>
      <c r="F7" s="20" t="s">
        <v>400</v>
      </c>
      <c r="G7" s="15" t="s">
        <v>401</v>
      </c>
      <c r="H7" s="15" t="s">
        <v>402</v>
      </c>
      <c r="I7" s="25"/>
      <c r="J7" s="1">
        <f t="shared" si="0"/>
        <v>9</v>
      </c>
      <c r="U7" s="69"/>
    </row>
    <row r="8" spans="1:21" ht="15.75" thickBot="1">
      <c r="A8" s="7" t="s">
        <v>390</v>
      </c>
      <c r="B8" s="4" t="s">
        <v>802</v>
      </c>
      <c r="C8" s="4" t="s">
        <v>27</v>
      </c>
      <c r="D8" s="16" t="s">
        <v>469</v>
      </c>
      <c r="F8" s="20" t="s">
        <v>400</v>
      </c>
      <c r="G8" s="15" t="s">
        <v>401</v>
      </c>
      <c r="H8" s="15" t="s">
        <v>402</v>
      </c>
      <c r="I8" s="25"/>
      <c r="J8" s="1">
        <f t="shared" si="0"/>
        <v>9</v>
      </c>
      <c r="U8" s="69"/>
    </row>
    <row r="9" spans="1:21" ht="15.75" thickBot="1">
      <c r="A9" s="7">
        <f>_xlfn.XLOOKUP(B9,'2023 Draft'!$C$3:$C$162,'2023 Draft'!$A$3:$A$162)</f>
        <v>5</v>
      </c>
      <c r="B9" s="4" t="s">
        <v>855</v>
      </c>
      <c r="C9" s="4" t="s">
        <v>10</v>
      </c>
      <c r="D9" s="16" t="s">
        <v>469</v>
      </c>
      <c r="F9" s="20" t="s">
        <v>400</v>
      </c>
      <c r="G9" s="15" t="s">
        <v>401</v>
      </c>
      <c r="H9" s="15" t="s">
        <v>402</v>
      </c>
      <c r="I9" s="25"/>
      <c r="J9" s="1">
        <f t="shared" si="0"/>
        <v>4</v>
      </c>
      <c r="U9" s="69"/>
    </row>
    <row r="10" spans="1:21" ht="15.75" thickBot="1">
      <c r="A10" s="7">
        <f>_xlfn.XLOOKUP(B10,'2023 Draft'!$C$3:$C$162,'2023 Draft'!$A$3:$A$162)</f>
        <v>14</v>
      </c>
      <c r="B10" s="4" t="s">
        <v>827</v>
      </c>
      <c r="C10" s="4" t="s">
        <v>10</v>
      </c>
      <c r="D10" s="16" t="s">
        <v>469</v>
      </c>
      <c r="F10" s="20" t="s">
        <v>402</v>
      </c>
      <c r="G10" s="15" t="s">
        <v>387</v>
      </c>
      <c r="H10" s="15" t="s">
        <v>387</v>
      </c>
      <c r="I10" s="25"/>
      <c r="J10" s="1" t="s">
        <v>387</v>
      </c>
      <c r="U10" s="69"/>
    </row>
    <row r="11" spans="1:21" ht="15.75" thickBot="1">
      <c r="A11" s="7">
        <v>15</v>
      </c>
      <c r="B11" s="4" t="s">
        <v>825</v>
      </c>
      <c r="C11" s="4" t="s">
        <v>534</v>
      </c>
      <c r="D11" s="16" t="s">
        <v>469</v>
      </c>
      <c r="F11" s="20" t="s">
        <v>400</v>
      </c>
      <c r="G11" s="15" t="s">
        <v>401</v>
      </c>
      <c r="H11" s="15" t="s">
        <v>402</v>
      </c>
      <c r="I11" s="25"/>
      <c r="J11" s="1">
        <f t="shared" ref="J11:J19" si="1">IF(A11="FA",9,A11-1)</f>
        <v>14</v>
      </c>
      <c r="U11" s="69"/>
    </row>
    <row r="12" spans="1:21" ht="15.75" thickBot="1">
      <c r="A12" s="7">
        <f>_xlfn.XLOOKUP(B12,'2023 Draft'!$C$3:$C$162,'2023 Draft'!$A$3:$A$162)</f>
        <v>6</v>
      </c>
      <c r="B12" s="4" t="s">
        <v>150</v>
      </c>
      <c r="C12" s="4" t="s">
        <v>2</v>
      </c>
      <c r="D12" s="16" t="s">
        <v>469</v>
      </c>
      <c r="F12" s="20" t="s">
        <v>401</v>
      </c>
      <c r="G12" s="15" t="s">
        <v>402</v>
      </c>
      <c r="H12" s="15" t="s">
        <v>387</v>
      </c>
      <c r="I12" s="25"/>
      <c r="J12" s="1">
        <f t="shared" si="1"/>
        <v>5</v>
      </c>
      <c r="U12" s="69"/>
    </row>
    <row r="13" spans="1:21" ht="15.75" thickBot="1">
      <c r="A13" s="7">
        <f>_xlfn.XLOOKUP(B13,'2023 Draft'!$C$3:$C$162,'2023 Draft'!$A$3:$A$162)</f>
        <v>11</v>
      </c>
      <c r="B13" s="4" t="s">
        <v>51</v>
      </c>
      <c r="C13" s="4" t="s">
        <v>10</v>
      </c>
      <c r="D13" s="16" t="s">
        <v>469</v>
      </c>
      <c r="F13" s="20" t="s">
        <v>400</v>
      </c>
      <c r="G13" s="15" t="s">
        <v>401</v>
      </c>
      <c r="H13" s="15" t="s">
        <v>402</v>
      </c>
      <c r="I13" s="25"/>
      <c r="J13" s="1">
        <f t="shared" ref="J13" si="2">IF(A13="FA",9,A13-1)</f>
        <v>10</v>
      </c>
      <c r="U13" s="69"/>
    </row>
    <row r="14" spans="1:21" ht="15.75" thickBot="1">
      <c r="A14" s="7">
        <f>_xlfn.XLOOKUP(B14,'2023 Draft'!$C$3:$C$162,'2023 Draft'!$A$3:$A$162)</f>
        <v>8</v>
      </c>
      <c r="B14" s="4" t="s">
        <v>569</v>
      </c>
      <c r="C14" s="4" t="s">
        <v>2</v>
      </c>
      <c r="D14" s="16" t="s">
        <v>469</v>
      </c>
      <c r="F14" s="20" t="s">
        <v>400</v>
      </c>
      <c r="G14" s="15" t="s">
        <v>401</v>
      </c>
      <c r="H14" s="15" t="s">
        <v>402</v>
      </c>
      <c r="I14" s="25"/>
      <c r="J14" s="1">
        <f t="shared" si="1"/>
        <v>7</v>
      </c>
      <c r="U14" s="69"/>
    </row>
    <row r="15" spans="1:21" ht="15.75" thickBot="1">
      <c r="A15" s="7">
        <f>_xlfn.XLOOKUP(B15,'2023 Draft'!$C$3:$C$162,'2023 Draft'!$A$3:$A$162)</f>
        <v>15</v>
      </c>
      <c r="B15" s="4" t="s">
        <v>55</v>
      </c>
      <c r="C15" s="4" t="s">
        <v>2</v>
      </c>
      <c r="D15" s="16" t="s">
        <v>469</v>
      </c>
      <c r="F15" s="20" t="s">
        <v>400</v>
      </c>
      <c r="G15" s="15" t="s">
        <v>401</v>
      </c>
      <c r="H15" s="15" t="s">
        <v>402</v>
      </c>
      <c r="I15" s="25"/>
      <c r="J15" s="1">
        <f t="shared" si="1"/>
        <v>14</v>
      </c>
      <c r="U15" s="69"/>
    </row>
    <row r="16" spans="1:21" ht="15.75" thickBot="1">
      <c r="A16" s="7" t="s">
        <v>390</v>
      </c>
      <c r="B16" s="4" t="s">
        <v>813</v>
      </c>
      <c r="C16" s="4" t="s">
        <v>27</v>
      </c>
      <c r="D16" s="16" t="s">
        <v>469</v>
      </c>
      <c r="F16" s="20" t="s">
        <v>400</v>
      </c>
      <c r="G16" s="15" t="s">
        <v>401</v>
      </c>
      <c r="H16" s="15" t="s">
        <v>402</v>
      </c>
      <c r="I16" s="25"/>
      <c r="J16" s="1">
        <f t="shared" si="1"/>
        <v>9</v>
      </c>
      <c r="U16" s="69"/>
    </row>
    <row r="17" spans="1:21" ht="15.75" thickBot="1">
      <c r="A17" s="7" t="s">
        <v>390</v>
      </c>
      <c r="B17" s="4" t="s">
        <v>563</v>
      </c>
      <c r="C17" s="4" t="s">
        <v>10</v>
      </c>
      <c r="D17" s="16" t="s">
        <v>469</v>
      </c>
      <c r="F17" s="20" t="s">
        <v>400</v>
      </c>
      <c r="G17" s="15" t="s">
        <v>401</v>
      </c>
      <c r="H17" s="15" t="s">
        <v>402</v>
      </c>
      <c r="I17" s="25"/>
      <c r="J17" s="1">
        <f t="shared" si="1"/>
        <v>9</v>
      </c>
      <c r="U17" s="69"/>
    </row>
    <row r="18" spans="1:21" ht="15.75" thickBot="1">
      <c r="A18" s="7" t="s">
        <v>390</v>
      </c>
      <c r="B18" s="4" t="s">
        <v>640</v>
      </c>
      <c r="C18" s="4" t="s">
        <v>27</v>
      </c>
      <c r="D18" s="16" t="s">
        <v>469</v>
      </c>
      <c r="F18" s="20" t="s">
        <v>400</v>
      </c>
      <c r="G18" s="15" t="s">
        <v>401</v>
      </c>
      <c r="H18" s="15" t="s">
        <v>402</v>
      </c>
      <c r="I18" s="25"/>
      <c r="J18" s="1">
        <f t="shared" si="1"/>
        <v>9</v>
      </c>
      <c r="U18" s="69"/>
    </row>
    <row r="19" spans="1:21" ht="15.75" thickBot="1">
      <c r="A19" s="7">
        <f>_xlfn.XLOOKUP(B19,'2023 Draft'!$C$3:$C$162,'2023 Draft'!$A$3:$A$162)</f>
        <v>4</v>
      </c>
      <c r="B19" s="4" t="s">
        <v>716</v>
      </c>
      <c r="C19" s="4" t="s">
        <v>5</v>
      </c>
      <c r="D19" s="16" t="s">
        <v>469</v>
      </c>
      <c r="F19" s="20" t="s">
        <v>400</v>
      </c>
      <c r="G19" s="15" t="s">
        <v>401</v>
      </c>
      <c r="H19" s="15" t="s">
        <v>402</v>
      </c>
      <c r="I19" s="25"/>
      <c r="J19" s="1">
        <f t="shared" si="1"/>
        <v>3</v>
      </c>
      <c r="U19" s="69"/>
    </row>
    <row r="20" spans="1:21" ht="15.75" thickBot="1">
      <c r="A20" s="14"/>
      <c r="B20" s="14"/>
      <c r="C20" s="14"/>
      <c r="D20" s="18"/>
      <c r="E20" s="18"/>
      <c r="F20" s="18"/>
      <c r="G20" s="18"/>
      <c r="H20" s="18"/>
      <c r="I20" s="18"/>
      <c r="J20" s="18"/>
      <c r="U20" s="69"/>
    </row>
    <row r="21" spans="1:21" ht="15.75" thickBot="1">
      <c r="A21" s="7" t="s">
        <v>390</v>
      </c>
      <c r="B21" s="4" t="s">
        <v>391</v>
      </c>
      <c r="C21" s="8" t="s">
        <v>5</v>
      </c>
      <c r="D21" s="17" t="s">
        <v>470</v>
      </c>
      <c r="F21" s="20" t="s">
        <v>400</v>
      </c>
      <c r="G21" s="15" t="s">
        <v>401</v>
      </c>
      <c r="H21" s="15" t="s">
        <v>402</v>
      </c>
      <c r="I21" s="25"/>
      <c r="J21" s="1">
        <f t="shared" ref="J21:J37" si="3">IF(A21="FA",9,A21-1)</f>
        <v>9</v>
      </c>
      <c r="U21" s="69"/>
    </row>
    <row r="22" spans="1:21" ht="15.75" thickBot="1">
      <c r="A22" s="7">
        <f>_xlfn.XLOOKUP(B22,'2023 Draft'!$C$3:$C$162,'2023 Draft'!$A$3:$A$162)</f>
        <v>2</v>
      </c>
      <c r="B22" s="4" t="s">
        <v>468</v>
      </c>
      <c r="C22" s="4" t="s">
        <v>10</v>
      </c>
      <c r="D22" s="17" t="s">
        <v>470</v>
      </c>
      <c r="F22" s="20" t="s">
        <v>400</v>
      </c>
      <c r="G22" s="15" t="s">
        <v>401</v>
      </c>
      <c r="H22" s="15" t="s">
        <v>402</v>
      </c>
      <c r="I22" s="25"/>
      <c r="J22" s="1">
        <f t="shared" si="3"/>
        <v>1</v>
      </c>
      <c r="U22" s="69"/>
    </row>
    <row r="23" spans="1:21" ht="15.75" thickBot="1">
      <c r="A23" s="7">
        <f>_xlfn.XLOOKUP(B23,'2023 Draft'!$C$3:$C$162,'2023 Draft'!$A$3:$A$162)</f>
        <v>3</v>
      </c>
      <c r="B23" s="4" t="s">
        <v>835</v>
      </c>
      <c r="C23" s="4" t="s">
        <v>10</v>
      </c>
      <c r="D23" s="17" t="s">
        <v>470</v>
      </c>
      <c r="F23" s="20" t="s">
        <v>400</v>
      </c>
      <c r="G23" s="15" t="s">
        <v>401</v>
      </c>
      <c r="H23" s="15" t="s">
        <v>402</v>
      </c>
      <c r="I23" s="25"/>
      <c r="J23" s="1">
        <f t="shared" si="3"/>
        <v>2</v>
      </c>
      <c r="U23" s="69"/>
    </row>
    <row r="24" spans="1:21" ht="15.75" thickBot="1">
      <c r="A24" s="7">
        <f>_xlfn.XLOOKUP(B24,'2023 Draft'!$C$3:$C$162,'2023 Draft'!$A$3:$A$162)</f>
        <v>1</v>
      </c>
      <c r="B24" s="4" t="s">
        <v>425</v>
      </c>
      <c r="C24" s="4" t="s">
        <v>2</v>
      </c>
      <c r="D24" s="17" t="s">
        <v>470</v>
      </c>
      <c r="F24" s="15" t="s">
        <v>401</v>
      </c>
      <c r="G24" s="15" t="s">
        <v>402</v>
      </c>
      <c r="H24" s="15" t="s">
        <v>387</v>
      </c>
      <c r="I24" s="25"/>
      <c r="J24" s="1">
        <f t="shared" si="3"/>
        <v>0</v>
      </c>
      <c r="U24" s="69"/>
    </row>
    <row r="25" spans="1:21" ht="15.75" thickBot="1">
      <c r="A25" s="7">
        <f>_xlfn.XLOOKUP(B25,'2023 Draft'!$C$3:$C$162,'2023 Draft'!$A$3:$A$162)</f>
        <v>3</v>
      </c>
      <c r="B25" s="4" t="s">
        <v>624</v>
      </c>
      <c r="C25" s="4" t="s">
        <v>2</v>
      </c>
      <c r="D25" s="17" t="s">
        <v>470</v>
      </c>
      <c r="F25" s="20" t="s">
        <v>400</v>
      </c>
      <c r="G25" s="15" t="s">
        <v>401</v>
      </c>
      <c r="H25" s="15" t="s">
        <v>402</v>
      </c>
      <c r="I25" s="25"/>
      <c r="J25" s="1">
        <f t="shared" si="3"/>
        <v>2</v>
      </c>
      <c r="K25" s="23"/>
      <c r="U25" s="69"/>
    </row>
    <row r="26" spans="1:21" ht="15.75" thickBot="1">
      <c r="A26" s="78">
        <f>_xlfn.XLOOKUP(B26,'2023 Draft'!$C$3:$C$162,'2023 Draft'!$A$3:$A$162)</f>
        <v>12</v>
      </c>
      <c r="B26" s="79" t="s">
        <v>866</v>
      </c>
      <c r="C26" s="79" t="s">
        <v>27</v>
      </c>
      <c r="D26" s="80" t="s">
        <v>470</v>
      </c>
      <c r="E26" s="11"/>
      <c r="F26" s="81" t="s">
        <v>400</v>
      </c>
      <c r="G26" s="82" t="s">
        <v>401</v>
      </c>
      <c r="H26" s="82" t="s">
        <v>402</v>
      </c>
      <c r="I26" s="83"/>
      <c r="J26" s="44">
        <f t="shared" si="3"/>
        <v>11</v>
      </c>
      <c r="U26" s="69"/>
    </row>
    <row r="27" spans="1:21" ht="15.75" thickBot="1">
      <c r="A27" s="78">
        <f>_xlfn.XLOOKUP(B27,'2023 Draft'!$C$3:$C$162,'2023 Draft'!$A$3:$A$162)</f>
        <v>6</v>
      </c>
      <c r="B27" s="79" t="s">
        <v>115</v>
      </c>
      <c r="C27" s="79" t="s">
        <v>2</v>
      </c>
      <c r="D27" s="80" t="s">
        <v>470</v>
      </c>
      <c r="E27" s="11"/>
      <c r="F27" s="81" t="s">
        <v>400</v>
      </c>
      <c r="G27" s="82" t="s">
        <v>401</v>
      </c>
      <c r="H27" s="82" t="s">
        <v>402</v>
      </c>
      <c r="I27" s="83"/>
      <c r="J27" s="44">
        <f t="shared" si="3"/>
        <v>5</v>
      </c>
      <c r="U27" s="69"/>
    </row>
    <row r="28" spans="1:21" ht="15.75" thickBot="1">
      <c r="A28" s="7">
        <f>_xlfn.XLOOKUP(B28,'2023 Draft'!$C$3:$C$162,'2023 Draft'!$A$3:$A$162)</f>
        <v>1</v>
      </c>
      <c r="B28" s="4" t="s">
        <v>427</v>
      </c>
      <c r="C28" s="4" t="s">
        <v>10</v>
      </c>
      <c r="D28" s="17" t="s">
        <v>470</v>
      </c>
      <c r="F28" s="20" t="s">
        <v>400</v>
      </c>
      <c r="G28" s="15" t="s">
        <v>401</v>
      </c>
      <c r="H28" s="15" t="s">
        <v>402</v>
      </c>
      <c r="I28" s="25"/>
      <c r="J28" s="1">
        <f t="shared" si="3"/>
        <v>0</v>
      </c>
      <c r="K28" s="23"/>
      <c r="U28" s="69"/>
    </row>
    <row r="29" spans="1:21" ht="15.75" thickBot="1">
      <c r="A29" s="7" t="s">
        <v>390</v>
      </c>
      <c r="B29" s="4" t="s">
        <v>815</v>
      </c>
      <c r="C29" s="4" t="s">
        <v>534</v>
      </c>
      <c r="D29" s="17" t="s">
        <v>470</v>
      </c>
      <c r="F29" s="20" t="s">
        <v>400</v>
      </c>
      <c r="G29" s="15" t="s">
        <v>401</v>
      </c>
      <c r="H29" s="15" t="s">
        <v>402</v>
      </c>
      <c r="I29" s="25"/>
      <c r="J29" s="1">
        <f t="shared" si="3"/>
        <v>9</v>
      </c>
      <c r="U29" s="69"/>
    </row>
    <row r="30" spans="1:21" ht="15.75" thickBot="1">
      <c r="A30" s="7">
        <f>_xlfn.XLOOKUP(B30,'2023 Draft'!$C$3:$C$162,'2023 Draft'!$A$3:$A$162)</f>
        <v>4</v>
      </c>
      <c r="B30" s="4" t="s">
        <v>612</v>
      </c>
      <c r="C30" s="4" t="s">
        <v>10</v>
      </c>
      <c r="D30" s="17" t="s">
        <v>470</v>
      </c>
      <c r="F30" s="20" t="s">
        <v>400</v>
      </c>
      <c r="G30" s="15" t="s">
        <v>401</v>
      </c>
      <c r="H30" s="15" t="s">
        <v>402</v>
      </c>
      <c r="I30" s="25"/>
      <c r="J30" s="1">
        <f t="shared" si="3"/>
        <v>3</v>
      </c>
      <c r="U30" s="69"/>
    </row>
    <row r="31" spans="1:21" ht="15.75" thickBot="1">
      <c r="A31" s="7">
        <f>_xlfn.XLOOKUP(B31,'2023 Draft'!$C$3:$C$162,'2023 Draft'!$A$3:$A$162)</f>
        <v>5</v>
      </c>
      <c r="B31" s="4" t="s">
        <v>616</v>
      </c>
      <c r="C31" s="4" t="s">
        <v>2</v>
      </c>
      <c r="D31" s="17" t="s">
        <v>470</v>
      </c>
      <c r="F31" s="20" t="s">
        <v>400</v>
      </c>
      <c r="G31" s="15" t="s">
        <v>401</v>
      </c>
      <c r="H31" s="15" t="s">
        <v>402</v>
      </c>
      <c r="I31" s="25"/>
      <c r="J31" s="1">
        <f t="shared" si="3"/>
        <v>4</v>
      </c>
      <c r="U31" s="69"/>
    </row>
    <row r="32" spans="1:21" ht="15.75" thickBot="1">
      <c r="A32" s="7">
        <f>_xlfn.XLOOKUP(B32,'2023 Draft'!$C$3:$C$162,'2023 Draft'!$A$3:$A$162)</f>
        <v>7</v>
      </c>
      <c r="B32" s="4" t="s">
        <v>838</v>
      </c>
      <c r="C32" s="4" t="s">
        <v>2</v>
      </c>
      <c r="D32" s="17" t="s">
        <v>470</v>
      </c>
      <c r="F32" s="20" t="s">
        <v>400</v>
      </c>
      <c r="G32" s="15" t="s">
        <v>401</v>
      </c>
      <c r="H32" s="15" t="s">
        <v>402</v>
      </c>
      <c r="I32" s="25"/>
      <c r="J32" s="1">
        <f t="shared" si="3"/>
        <v>6</v>
      </c>
      <c r="U32" s="69"/>
    </row>
    <row r="33" spans="1:21" ht="15.75" thickBot="1">
      <c r="A33" s="7">
        <f>_xlfn.XLOOKUP(B33,'2023 Draft'!$C$3:$C$162,'2023 Draft'!$A$3:$A$162)</f>
        <v>9</v>
      </c>
      <c r="B33" s="4" t="s">
        <v>785</v>
      </c>
      <c r="C33" s="4" t="s">
        <v>5</v>
      </c>
      <c r="D33" s="17" t="s">
        <v>470</v>
      </c>
      <c r="F33" s="20" t="s">
        <v>400</v>
      </c>
      <c r="G33" s="15" t="s">
        <v>401</v>
      </c>
      <c r="H33" s="15" t="s">
        <v>402</v>
      </c>
      <c r="I33" s="25"/>
      <c r="J33" s="1">
        <f t="shared" si="3"/>
        <v>8</v>
      </c>
      <c r="U33" s="69"/>
    </row>
    <row r="34" spans="1:21" ht="15.75" thickBot="1">
      <c r="A34" s="7" t="s">
        <v>390</v>
      </c>
      <c r="B34" s="4" t="s">
        <v>733</v>
      </c>
      <c r="C34" s="4" t="s">
        <v>2</v>
      </c>
      <c r="D34" s="17" t="s">
        <v>470</v>
      </c>
      <c r="F34" s="20" t="s">
        <v>400</v>
      </c>
      <c r="G34" s="15" t="s">
        <v>401</v>
      </c>
      <c r="H34" s="15" t="s">
        <v>402</v>
      </c>
      <c r="I34" s="25"/>
      <c r="J34" s="1">
        <f t="shared" si="3"/>
        <v>9</v>
      </c>
      <c r="U34" s="69"/>
    </row>
    <row r="35" spans="1:21" ht="15.75" thickBot="1">
      <c r="A35" s="7" t="s">
        <v>390</v>
      </c>
      <c r="B35" s="4" t="s">
        <v>532</v>
      </c>
      <c r="C35" s="4" t="s">
        <v>10</v>
      </c>
      <c r="D35" s="17" t="s">
        <v>470</v>
      </c>
      <c r="F35" s="20" t="s">
        <v>400</v>
      </c>
      <c r="G35" s="15" t="s">
        <v>401</v>
      </c>
      <c r="H35" s="15" t="s">
        <v>402</v>
      </c>
      <c r="I35" s="25"/>
      <c r="J35" s="1">
        <f t="shared" si="3"/>
        <v>9</v>
      </c>
      <c r="U35" s="69"/>
    </row>
    <row r="36" spans="1:21" ht="15.75" thickBot="1">
      <c r="A36" s="7" t="s">
        <v>390</v>
      </c>
      <c r="B36" s="4" t="s">
        <v>895</v>
      </c>
      <c r="C36" s="4" t="s">
        <v>2</v>
      </c>
      <c r="D36" s="17" t="s">
        <v>470</v>
      </c>
      <c r="F36" s="20" t="s">
        <v>400</v>
      </c>
      <c r="G36" s="15" t="s">
        <v>401</v>
      </c>
      <c r="H36" s="15" t="s">
        <v>402</v>
      </c>
      <c r="I36" s="25"/>
      <c r="J36" s="1">
        <f t="shared" si="3"/>
        <v>9</v>
      </c>
      <c r="U36" s="69"/>
    </row>
    <row r="37" spans="1:21" ht="15.75" thickBot="1">
      <c r="A37" s="7">
        <f>_xlfn.XLOOKUP(B37,'2023 Draft'!$C$3:$C$162,'2023 Draft'!$A$3:$A$162)</f>
        <v>8</v>
      </c>
      <c r="B37" s="4" t="s">
        <v>830</v>
      </c>
      <c r="C37" s="4" t="s">
        <v>27</v>
      </c>
      <c r="D37" s="17" t="s">
        <v>470</v>
      </c>
      <c r="F37" s="15" t="s">
        <v>401</v>
      </c>
      <c r="G37" s="15" t="s">
        <v>402</v>
      </c>
      <c r="H37" s="15" t="s">
        <v>387</v>
      </c>
      <c r="I37" s="25"/>
      <c r="J37" s="1">
        <f t="shared" si="3"/>
        <v>7</v>
      </c>
      <c r="U37" s="69"/>
    </row>
    <row r="38" spans="1:21" ht="15.75" thickBot="1">
      <c r="A38" s="14"/>
      <c r="B38" s="14"/>
      <c r="C38" s="14"/>
      <c r="D38" s="18"/>
      <c r="E38" s="18"/>
      <c r="F38" s="18"/>
      <c r="G38" s="18"/>
      <c r="H38" s="18"/>
      <c r="I38" s="18"/>
      <c r="J38" s="18"/>
      <c r="U38" s="69"/>
    </row>
    <row r="39" spans="1:21" ht="15.75" thickBot="1">
      <c r="A39" s="7" t="s">
        <v>390</v>
      </c>
      <c r="B39" s="4" t="s">
        <v>96</v>
      </c>
      <c r="C39" s="8" t="s">
        <v>5</v>
      </c>
      <c r="D39" s="19" t="s">
        <v>385</v>
      </c>
      <c r="F39" s="20" t="s">
        <v>400</v>
      </c>
      <c r="G39" s="15" t="s">
        <v>401</v>
      </c>
      <c r="H39" s="15" t="s">
        <v>402</v>
      </c>
      <c r="I39" s="25"/>
      <c r="J39" s="1">
        <f>IF(A39="FA",9,A39-1)</f>
        <v>9</v>
      </c>
      <c r="U39" s="69"/>
    </row>
    <row r="40" spans="1:21" ht="15.75" thickBot="1">
      <c r="A40" s="7">
        <f>_xlfn.XLOOKUP(B40,'2023 Draft'!$C$3:$C$162,'2023 Draft'!$A$3:$A$162)</f>
        <v>12</v>
      </c>
      <c r="B40" s="4" t="s">
        <v>842</v>
      </c>
      <c r="C40" s="4" t="s">
        <v>10</v>
      </c>
      <c r="D40" s="19" t="s">
        <v>385</v>
      </c>
      <c r="F40" s="20" t="s">
        <v>400</v>
      </c>
      <c r="G40" s="15" t="s">
        <v>401</v>
      </c>
      <c r="H40" s="15" t="s">
        <v>402</v>
      </c>
      <c r="I40" s="25"/>
      <c r="J40" s="1">
        <f t="shared" ref="J40:J55" si="4">IF(A40="FA",9,A40-1)</f>
        <v>11</v>
      </c>
      <c r="U40" s="69"/>
    </row>
    <row r="41" spans="1:21" ht="15.75" thickBot="1">
      <c r="A41" s="7" t="s">
        <v>390</v>
      </c>
      <c r="B41" s="4" t="s">
        <v>167</v>
      </c>
      <c r="C41" s="4" t="s">
        <v>10</v>
      </c>
      <c r="D41" s="19" t="s">
        <v>385</v>
      </c>
      <c r="F41" s="20" t="s">
        <v>400</v>
      </c>
      <c r="G41" s="15" t="s">
        <v>401</v>
      </c>
      <c r="H41" s="15" t="s">
        <v>402</v>
      </c>
      <c r="I41" s="25"/>
      <c r="J41" s="1">
        <f t="shared" si="4"/>
        <v>9</v>
      </c>
      <c r="U41" s="69"/>
    </row>
    <row r="42" spans="1:21" ht="15.75" thickBot="1">
      <c r="A42" s="7">
        <f>_xlfn.XLOOKUP(B42,'2023 Draft'!$C$3:$C$162,'2023 Draft'!$A$3:$A$162)</f>
        <v>7</v>
      </c>
      <c r="B42" s="4" t="s">
        <v>707</v>
      </c>
      <c r="C42" s="4" t="s">
        <v>2</v>
      </c>
      <c r="D42" s="17" t="s">
        <v>385</v>
      </c>
      <c r="F42" s="20" t="s">
        <v>400</v>
      </c>
      <c r="G42" s="15" t="s">
        <v>401</v>
      </c>
      <c r="H42" s="15" t="s">
        <v>402</v>
      </c>
      <c r="I42" s="25"/>
      <c r="J42" s="1">
        <f t="shared" si="4"/>
        <v>6</v>
      </c>
      <c r="U42" s="69"/>
    </row>
    <row r="43" spans="1:21" ht="15.75" thickBot="1">
      <c r="A43" s="78">
        <f>_xlfn.XLOOKUP(B43,'2023 Draft'!$C$3:$C$162,'2023 Draft'!$A$3:$A$162)</f>
        <v>14</v>
      </c>
      <c r="B43" s="79" t="s">
        <v>881</v>
      </c>
      <c r="C43" s="79" t="s">
        <v>2</v>
      </c>
      <c r="D43" s="84" t="s">
        <v>385</v>
      </c>
      <c r="E43" s="11"/>
      <c r="F43" s="81" t="s">
        <v>400</v>
      </c>
      <c r="G43" s="82" t="s">
        <v>401</v>
      </c>
      <c r="H43" s="82" t="s">
        <v>402</v>
      </c>
      <c r="I43" s="83"/>
      <c r="J43" s="44">
        <f t="shared" si="4"/>
        <v>13</v>
      </c>
      <c r="U43" s="69"/>
    </row>
    <row r="44" spans="1:21" ht="15.75" thickBot="1">
      <c r="A44" s="7">
        <f>_xlfn.XLOOKUP(B44,'2023 Draft'!$C$3:$C$162,'2023 Draft'!$A$3:$A$162)</f>
        <v>1</v>
      </c>
      <c r="B44" s="4" t="s">
        <v>44</v>
      </c>
      <c r="C44" s="4" t="s">
        <v>27</v>
      </c>
      <c r="D44" s="19" t="s">
        <v>385</v>
      </c>
      <c r="F44" s="20" t="s">
        <v>400</v>
      </c>
      <c r="G44" s="15" t="s">
        <v>401</v>
      </c>
      <c r="H44" s="15" t="s">
        <v>402</v>
      </c>
      <c r="I44" s="25"/>
      <c r="J44" s="1">
        <f t="shared" si="4"/>
        <v>0</v>
      </c>
      <c r="U44" s="69"/>
    </row>
    <row r="45" spans="1:21" ht="15.75" thickBot="1">
      <c r="A45" s="7">
        <f>_xlfn.XLOOKUP(B45,'2023 Draft'!$C$3:$C$162,'2023 Draft'!$A$3:$A$162)</f>
        <v>11</v>
      </c>
      <c r="B45" s="4" t="s">
        <v>519</v>
      </c>
      <c r="C45" s="4" t="s">
        <v>2</v>
      </c>
      <c r="D45" s="19" t="s">
        <v>385</v>
      </c>
      <c r="F45" s="20" t="s">
        <v>400</v>
      </c>
      <c r="G45" s="15" t="s">
        <v>401</v>
      </c>
      <c r="H45" s="15" t="s">
        <v>402</v>
      </c>
      <c r="I45" s="25"/>
      <c r="J45" s="1">
        <f t="shared" si="4"/>
        <v>10</v>
      </c>
      <c r="U45" s="69"/>
    </row>
    <row r="46" spans="1:21" ht="15.75" thickBot="1">
      <c r="A46" s="7" t="s">
        <v>390</v>
      </c>
      <c r="B46" s="4" t="s">
        <v>880</v>
      </c>
      <c r="C46" s="4" t="s">
        <v>10</v>
      </c>
      <c r="D46" s="19" t="s">
        <v>385</v>
      </c>
      <c r="F46" s="20" t="s">
        <v>400</v>
      </c>
      <c r="G46" s="15" t="s">
        <v>401</v>
      </c>
      <c r="H46" s="15" t="s">
        <v>402</v>
      </c>
      <c r="I46" s="25"/>
      <c r="J46" s="1">
        <f t="shared" si="4"/>
        <v>9</v>
      </c>
      <c r="U46" s="69"/>
    </row>
    <row r="47" spans="1:21" ht="15.75" thickBot="1">
      <c r="A47" s="7" t="s">
        <v>390</v>
      </c>
      <c r="B47" s="4" t="s">
        <v>896</v>
      </c>
      <c r="C47" s="4" t="s">
        <v>534</v>
      </c>
      <c r="D47" s="19" t="s">
        <v>385</v>
      </c>
      <c r="F47" s="20" t="s">
        <v>400</v>
      </c>
      <c r="G47" s="15" t="s">
        <v>401</v>
      </c>
      <c r="H47" s="15" t="s">
        <v>402</v>
      </c>
      <c r="I47" s="25"/>
      <c r="J47" s="1">
        <f t="shared" si="4"/>
        <v>9</v>
      </c>
      <c r="U47" s="69"/>
    </row>
    <row r="48" spans="1:21" ht="15.75" thickBot="1">
      <c r="A48" s="7">
        <f>_xlfn.XLOOKUP(B48,'2023 Draft'!$C$3:$C$162,'2023 Draft'!$A$3:$A$162)</f>
        <v>2</v>
      </c>
      <c r="B48" s="4" t="s">
        <v>766</v>
      </c>
      <c r="C48" s="4" t="s">
        <v>2</v>
      </c>
      <c r="D48" s="19" t="s">
        <v>385</v>
      </c>
      <c r="F48" s="15" t="s">
        <v>401</v>
      </c>
      <c r="G48" s="15" t="s">
        <v>402</v>
      </c>
      <c r="H48" s="15" t="s">
        <v>387</v>
      </c>
      <c r="I48" s="25"/>
      <c r="J48" s="1">
        <f t="shared" si="4"/>
        <v>1</v>
      </c>
      <c r="U48" s="69"/>
    </row>
    <row r="49" spans="1:21" ht="15.75" thickBot="1">
      <c r="A49" s="7">
        <f>_xlfn.XLOOKUP(B49,'2023 Draft'!$C$3:$C$162,'2023 Draft'!$A$3:$A$162)</f>
        <v>3</v>
      </c>
      <c r="B49" s="4" t="s">
        <v>759</v>
      </c>
      <c r="C49" s="4" t="s">
        <v>10</v>
      </c>
      <c r="D49" s="19" t="s">
        <v>385</v>
      </c>
      <c r="F49" s="20" t="s">
        <v>400</v>
      </c>
      <c r="G49" s="15" t="s">
        <v>401</v>
      </c>
      <c r="H49" s="15" t="s">
        <v>402</v>
      </c>
      <c r="I49" s="25"/>
      <c r="J49" s="1">
        <f t="shared" si="4"/>
        <v>2</v>
      </c>
      <c r="U49" s="69"/>
    </row>
    <row r="50" spans="1:21" ht="15.75" thickBot="1">
      <c r="A50" s="7">
        <f>_xlfn.XLOOKUP(B50,'2023 Draft'!$C$3:$C$162,'2023 Draft'!$A$3:$A$162)</f>
        <v>5</v>
      </c>
      <c r="B50" s="4" t="s">
        <v>775</v>
      </c>
      <c r="C50" s="4" t="s">
        <v>10</v>
      </c>
      <c r="D50" s="19" t="s">
        <v>385</v>
      </c>
      <c r="F50" s="15" t="s">
        <v>401</v>
      </c>
      <c r="G50" s="15" t="s">
        <v>402</v>
      </c>
      <c r="H50" s="15" t="s">
        <v>387</v>
      </c>
      <c r="I50" s="25"/>
      <c r="J50" s="1">
        <f t="shared" si="4"/>
        <v>4</v>
      </c>
      <c r="K50" s="23"/>
      <c r="U50" s="69"/>
    </row>
    <row r="51" spans="1:21" ht="15.75" thickBot="1">
      <c r="A51" s="7">
        <f>_xlfn.XLOOKUP(B51,'2023 Draft'!$C$3:$C$162,'2023 Draft'!$A$3:$A$162)</f>
        <v>9</v>
      </c>
      <c r="B51" s="4" t="s">
        <v>861</v>
      </c>
      <c r="C51" s="4" t="s">
        <v>10</v>
      </c>
      <c r="D51" s="19" t="s">
        <v>385</v>
      </c>
      <c r="F51" s="20" t="s">
        <v>400</v>
      </c>
      <c r="G51" s="15" t="s">
        <v>401</v>
      </c>
      <c r="H51" s="15" t="s">
        <v>402</v>
      </c>
      <c r="I51" s="25"/>
      <c r="J51" s="1">
        <f t="shared" si="4"/>
        <v>8</v>
      </c>
      <c r="U51" s="69"/>
    </row>
    <row r="52" spans="1:21" ht="15.75" thickBot="1">
      <c r="A52" s="7" t="s">
        <v>390</v>
      </c>
      <c r="B52" s="4" t="s">
        <v>897</v>
      </c>
      <c r="C52" s="4" t="s">
        <v>2</v>
      </c>
      <c r="D52" s="19" t="s">
        <v>385</v>
      </c>
      <c r="F52" s="20" t="s">
        <v>400</v>
      </c>
      <c r="G52" s="15" t="s">
        <v>401</v>
      </c>
      <c r="H52" s="15" t="s">
        <v>402</v>
      </c>
      <c r="I52" s="25"/>
      <c r="J52" s="1">
        <f t="shared" si="4"/>
        <v>9</v>
      </c>
      <c r="U52" s="69"/>
    </row>
    <row r="53" spans="1:21" ht="15.75" thickBot="1">
      <c r="A53" s="7" t="s">
        <v>390</v>
      </c>
      <c r="B53" s="4" t="s">
        <v>898</v>
      </c>
      <c r="C53" s="4" t="s">
        <v>2</v>
      </c>
      <c r="D53" s="19" t="s">
        <v>385</v>
      </c>
      <c r="F53" s="20" t="s">
        <v>400</v>
      </c>
      <c r="G53" s="15" t="s">
        <v>401</v>
      </c>
      <c r="H53" s="15" t="s">
        <v>402</v>
      </c>
      <c r="I53" s="25"/>
      <c r="J53" s="1">
        <f t="shared" si="4"/>
        <v>9</v>
      </c>
      <c r="U53" s="69"/>
    </row>
    <row r="54" spans="1:21" ht="15.75" thickBot="1">
      <c r="A54" s="7" t="s">
        <v>390</v>
      </c>
      <c r="B54" s="4" t="s">
        <v>741</v>
      </c>
      <c r="C54" s="4" t="s">
        <v>534</v>
      </c>
      <c r="D54" s="19" t="s">
        <v>385</v>
      </c>
      <c r="F54" s="20" t="s">
        <v>400</v>
      </c>
      <c r="G54" s="15" t="s">
        <v>401</v>
      </c>
      <c r="H54" s="15" t="s">
        <v>402</v>
      </c>
      <c r="I54" s="25"/>
      <c r="J54" s="1">
        <f t="shared" si="4"/>
        <v>9</v>
      </c>
      <c r="U54" s="69"/>
    </row>
    <row r="55" spans="1:21" ht="15.75" thickBot="1">
      <c r="A55" s="78" t="s">
        <v>390</v>
      </c>
      <c r="B55" s="79" t="s">
        <v>886</v>
      </c>
      <c r="C55" s="79" t="s">
        <v>2</v>
      </c>
      <c r="D55" s="84" t="s">
        <v>385</v>
      </c>
      <c r="E55" s="11"/>
      <c r="F55" s="81" t="s">
        <v>400</v>
      </c>
      <c r="G55" s="82" t="s">
        <v>401</v>
      </c>
      <c r="H55" s="82" t="s">
        <v>402</v>
      </c>
      <c r="I55" s="83"/>
      <c r="J55" s="44">
        <f t="shared" si="4"/>
        <v>9</v>
      </c>
      <c r="U55" s="69"/>
    </row>
    <row r="56" spans="1:21" ht="15.75" thickBot="1">
      <c r="A56" s="14"/>
      <c r="B56" s="14"/>
      <c r="C56" s="14"/>
      <c r="D56" s="18"/>
      <c r="E56" s="18"/>
      <c r="F56" s="18"/>
      <c r="G56" s="18"/>
      <c r="H56" s="18"/>
      <c r="I56" s="18"/>
      <c r="J56" s="18"/>
      <c r="U56" s="69"/>
    </row>
    <row r="57" spans="1:21" ht="15.75" thickBot="1">
      <c r="A57" s="7">
        <f>_xlfn.XLOOKUP(B57,'2023 Draft'!$C$3:$C$162,'2023 Draft'!$A$3:$A$162)</f>
        <v>3</v>
      </c>
      <c r="B57" s="4" t="s">
        <v>735</v>
      </c>
      <c r="C57" s="8" t="s">
        <v>5</v>
      </c>
      <c r="D57" s="17" t="s">
        <v>0</v>
      </c>
      <c r="F57" s="20" t="s">
        <v>400</v>
      </c>
      <c r="G57" s="15" t="s">
        <v>401</v>
      </c>
      <c r="H57" s="15" t="s">
        <v>402</v>
      </c>
      <c r="I57" s="25"/>
      <c r="J57" s="1">
        <f>IF(A57="FA",9,A57-1)</f>
        <v>2</v>
      </c>
      <c r="U57" s="69"/>
    </row>
    <row r="58" spans="1:21" ht="15.75" thickBot="1">
      <c r="A58" s="78">
        <f>_xlfn.XLOOKUP(B58,'2023 Draft'!$C$3:$C$162,'2023 Draft'!$A$3:$A$162)</f>
        <v>5</v>
      </c>
      <c r="B58" s="79" t="s">
        <v>694</v>
      </c>
      <c r="C58" s="79" t="s">
        <v>10</v>
      </c>
      <c r="D58" s="80" t="s">
        <v>0</v>
      </c>
      <c r="E58" s="11"/>
      <c r="F58" s="81" t="s">
        <v>400</v>
      </c>
      <c r="G58" s="82" t="s">
        <v>401</v>
      </c>
      <c r="H58" s="82" t="s">
        <v>402</v>
      </c>
      <c r="I58" s="83"/>
      <c r="J58" s="44">
        <f t="shared" ref="J58:J72" si="5">IF(A58="FA",9,A58-1)</f>
        <v>4</v>
      </c>
      <c r="U58" s="69"/>
    </row>
    <row r="59" spans="1:21" ht="15.75" thickBot="1">
      <c r="A59" s="7">
        <f>_xlfn.XLOOKUP(B59,'2023 Draft'!$C$3:$C$162,'2023 Draft'!$A$3:$A$162)</f>
        <v>6</v>
      </c>
      <c r="B59" s="4" t="s">
        <v>695</v>
      </c>
      <c r="C59" s="4" t="s">
        <v>10</v>
      </c>
      <c r="D59" s="17" t="s">
        <v>0</v>
      </c>
      <c r="F59" s="20" t="s">
        <v>400</v>
      </c>
      <c r="G59" s="15" t="s">
        <v>401</v>
      </c>
      <c r="H59" s="15" t="s">
        <v>402</v>
      </c>
      <c r="I59" s="25"/>
      <c r="J59" s="1">
        <f t="shared" si="5"/>
        <v>5</v>
      </c>
      <c r="U59" s="69"/>
    </row>
    <row r="60" spans="1:21" ht="15.75" thickBot="1">
      <c r="A60" s="7">
        <f>_xlfn.XLOOKUP(B60,'2023 Draft'!$C$3:$C$162,'2023 Draft'!$A$3:$A$162)</f>
        <v>1</v>
      </c>
      <c r="B60" s="4" t="s">
        <v>168</v>
      </c>
      <c r="C60" s="4" t="s">
        <v>2</v>
      </c>
      <c r="D60" s="17" t="s">
        <v>0</v>
      </c>
      <c r="F60" s="20" t="s">
        <v>400</v>
      </c>
      <c r="G60" s="15" t="s">
        <v>401</v>
      </c>
      <c r="H60" s="15" t="s">
        <v>402</v>
      </c>
      <c r="I60" s="25"/>
      <c r="J60" s="1">
        <f t="shared" si="5"/>
        <v>0</v>
      </c>
      <c r="U60" s="69"/>
    </row>
    <row r="61" spans="1:21" ht="15.75" thickBot="1">
      <c r="A61" s="7">
        <f>_xlfn.XLOOKUP(B61,'2023 Draft'!$C$3:$C$162,'2023 Draft'!$A$3:$A$162)</f>
        <v>4</v>
      </c>
      <c r="B61" s="4" t="s">
        <v>503</v>
      </c>
      <c r="C61" s="4" t="s">
        <v>2</v>
      </c>
      <c r="D61" s="17" t="s">
        <v>0</v>
      </c>
      <c r="F61" s="20" t="s">
        <v>400</v>
      </c>
      <c r="G61" s="15" t="s">
        <v>401</v>
      </c>
      <c r="H61" s="15" t="s">
        <v>402</v>
      </c>
      <c r="I61" s="25"/>
      <c r="J61" s="1">
        <f t="shared" si="5"/>
        <v>3</v>
      </c>
      <c r="U61" s="69"/>
    </row>
    <row r="62" spans="1:21" ht="15.75" thickBot="1">
      <c r="A62" s="7">
        <f>_xlfn.XLOOKUP(B62,'2023 Draft'!$C$3:$C$162,'2023 Draft'!$A$3:$A$162)</f>
        <v>8</v>
      </c>
      <c r="B62" s="4" t="s">
        <v>608</v>
      </c>
      <c r="C62" s="4" t="s">
        <v>27</v>
      </c>
      <c r="D62" s="17" t="s">
        <v>0</v>
      </c>
      <c r="F62" s="20" t="s">
        <v>400</v>
      </c>
      <c r="G62" s="15" t="s">
        <v>401</v>
      </c>
      <c r="H62" s="15" t="s">
        <v>402</v>
      </c>
      <c r="I62" s="25"/>
      <c r="J62" s="1">
        <f t="shared" si="5"/>
        <v>7</v>
      </c>
      <c r="U62" s="69"/>
    </row>
    <row r="63" spans="1:21" ht="15.75" thickBot="1">
      <c r="A63" s="78">
        <f>_xlfn.XLOOKUP(B63,'2023 Draft'!$C$3:$C$162,'2023 Draft'!$A$3:$A$162)</f>
        <v>10</v>
      </c>
      <c r="B63" s="79" t="s">
        <v>711</v>
      </c>
      <c r="C63" s="79" t="s">
        <v>2</v>
      </c>
      <c r="D63" s="80" t="s">
        <v>0</v>
      </c>
      <c r="E63" s="11"/>
      <c r="F63" s="82" t="s">
        <v>401</v>
      </c>
      <c r="G63" s="82" t="s">
        <v>402</v>
      </c>
      <c r="H63" s="82" t="s">
        <v>387</v>
      </c>
      <c r="I63" s="83"/>
      <c r="J63" s="44">
        <f t="shared" si="5"/>
        <v>9</v>
      </c>
      <c r="U63" s="69"/>
    </row>
    <row r="64" spans="1:21" ht="15.75" thickBot="1">
      <c r="A64" s="7">
        <f>_xlfn.XLOOKUP(B64,'2023 Draft'!$C$3:$C$162,'2023 Draft'!$A$3:$A$162)</f>
        <v>13</v>
      </c>
      <c r="B64" s="4" t="s">
        <v>875</v>
      </c>
      <c r="C64" s="4" t="s">
        <v>10</v>
      </c>
      <c r="D64" s="17" t="s">
        <v>0</v>
      </c>
      <c r="F64" s="20" t="s">
        <v>400</v>
      </c>
      <c r="G64" s="15" t="s">
        <v>401</v>
      </c>
      <c r="H64" s="15" t="s">
        <v>402</v>
      </c>
      <c r="I64" s="25"/>
      <c r="J64" s="1">
        <f t="shared" si="5"/>
        <v>12</v>
      </c>
      <c r="U64" s="69"/>
    </row>
    <row r="65" spans="1:21" ht="15.75" thickBot="1">
      <c r="A65" s="7" t="s">
        <v>390</v>
      </c>
      <c r="B65" s="4" t="s">
        <v>899</v>
      </c>
      <c r="C65" s="4" t="s">
        <v>534</v>
      </c>
      <c r="D65" s="17" t="s">
        <v>0</v>
      </c>
      <c r="F65" s="20" t="s">
        <v>400</v>
      </c>
      <c r="G65" s="15" t="s">
        <v>401</v>
      </c>
      <c r="H65" s="15" t="s">
        <v>402</v>
      </c>
      <c r="I65" s="25"/>
      <c r="J65" s="1">
        <f t="shared" si="5"/>
        <v>9</v>
      </c>
      <c r="U65" s="69"/>
    </row>
    <row r="66" spans="1:21" ht="15.75" thickBot="1">
      <c r="A66" s="7">
        <f>_xlfn.XLOOKUP(B66,'2023 Draft'!$C$3:$C$162,'2023 Draft'!$A$3:$A$162)</f>
        <v>2</v>
      </c>
      <c r="B66" s="4" t="s">
        <v>581</v>
      </c>
      <c r="C66" s="4" t="s">
        <v>10</v>
      </c>
      <c r="D66" s="17" t="s">
        <v>0</v>
      </c>
      <c r="F66" s="20" t="s">
        <v>400</v>
      </c>
      <c r="G66" s="15" t="s">
        <v>401</v>
      </c>
      <c r="H66" s="15" t="s">
        <v>402</v>
      </c>
      <c r="I66" s="25"/>
      <c r="J66" s="1">
        <f t="shared" si="5"/>
        <v>1</v>
      </c>
      <c r="U66" s="69"/>
    </row>
    <row r="67" spans="1:21" ht="15.75" thickBot="1">
      <c r="A67" s="7">
        <f>_xlfn.XLOOKUP(B67,'2023 Draft'!$C$3:$C$162,'2023 Draft'!$A$3:$A$162)</f>
        <v>8</v>
      </c>
      <c r="B67" s="4" t="s">
        <v>620</v>
      </c>
      <c r="C67" s="4" t="s">
        <v>2</v>
      </c>
      <c r="D67" s="17" t="s">
        <v>0</v>
      </c>
      <c r="F67" s="20" t="s">
        <v>400</v>
      </c>
      <c r="G67" s="15" t="s">
        <v>401</v>
      </c>
      <c r="H67" s="15" t="s">
        <v>402</v>
      </c>
      <c r="I67" s="25"/>
      <c r="J67" s="1">
        <f t="shared" si="5"/>
        <v>7</v>
      </c>
      <c r="U67" s="69"/>
    </row>
    <row r="68" spans="1:21" ht="15.75" thickBot="1">
      <c r="A68" s="7">
        <f>_xlfn.XLOOKUP(B68,'2023 Draft'!$C$3:$C$162,'2023 Draft'!$A$3:$A$162)</f>
        <v>11</v>
      </c>
      <c r="B68" s="4" t="s">
        <v>629</v>
      </c>
      <c r="C68" s="4" t="s">
        <v>10</v>
      </c>
      <c r="D68" s="17" t="s">
        <v>0</v>
      </c>
      <c r="F68" s="20" t="s">
        <v>400</v>
      </c>
      <c r="G68" s="15" t="s">
        <v>401</v>
      </c>
      <c r="H68" s="15" t="s">
        <v>402</v>
      </c>
      <c r="I68" s="25"/>
      <c r="J68" s="1">
        <f t="shared" si="5"/>
        <v>10</v>
      </c>
      <c r="U68" s="69"/>
    </row>
    <row r="69" spans="1:21" ht="15.75" thickBot="1">
      <c r="A69" s="7">
        <f>_xlfn.XLOOKUP(B69,'2023 Draft'!$C$3:$C$162,'2023 Draft'!$A$3:$A$162)</f>
        <v>3</v>
      </c>
      <c r="B69" s="4" t="s">
        <v>650</v>
      </c>
      <c r="C69" s="4" t="s">
        <v>2</v>
      </c>
      <c r="D69" s="17" t="s">
        <v>0</v>
      </c>
      <c r="F69" s="20" t="s">
        <v>400</v>
      </c>
      <c r="G69" s="15" t="s">
        <v>401</v>
      </c>
      <c r="H69" s="15" t="s">
        <v>402</v>
      </c>
      <c r="I69" s="25"/>
      <c r="J69" s="1">
        <f t="shared" si="5"/>
        <v>2</v>
      </c>
      <c r="U69" s="69"/>
    </row>
    <row r="70" spans="1:21" ht="15.75" thickBot="1">
      <c r="A70" s="7" t="s">
        <v>390</v>
      </c>
      <c r="B70" s="4" t="s">
        <v>879</v>
      </c>
      <c r="C70" s="4" t="s">
        <v>10</v>
      </c>
      <c r="D70" s="17" t="s">
        <v>0</v>
      </c>
      <c r="F70" s="20" t="s">
        <v>400</v>
      </c>
      <c r="G70" s="15" t="s">
        <v>401</v>
      </c>
      <c r="H70" s="15" t="s">
        <v>402</v>
      </c>
      <c r="I70" s="25"/>
      <c r="J70" s="1">
        <f t="shared" si="5"/>
        <v>9</v>
      </c>
      <c r="U70" s="69"/>
    </row>
    <row r="71" spans="1:21" ht="15.75" thickBot="1">
      <c r="A71" s="7" t="s">
        <v>390</v>
      </c>
      <c r="B71" s="4" t="s">
        <v>430</v>
      </c>
      <c r="C71" s="4" t="s">
        <v>534</v>
      </c>
      <c r="D71" s="17" t="s">
        <v>0</v>
      </c>
      <c r="F71" s="20" t="s">
        <v>400</v>
      </c>
      <c r="G71" s="15" t="s">
        <v>401</v>
      </c>
      <c r="H71" s="15" t="s">
        <v>402</v>
      </c>
      <c r="I71" s="25"/>
      <c r="J71" s="1">
        <f t="shared" si="5"/>
        <v>9</v>
      </c>
      <c r="U71" s="69"/>
    </row>
    <row r="72" spans="1:21" ht="15.75" thickBot="1">
      <c r="A72" s="7" t="s">
        <v>390</v>
      </c>
      <c r="B72" s="4" t="s">
        <v>793</v>
      </c>
      <c r="C72" s="4" t="s">
        <v>10</v>
      </c>
      <c r="D72" s="17" t="s">
        <v>0</v>
      </c>
      <c r="F72" s="20" t="s">
        <v>400</v>
      </c>
      <c r="G72" s="15" t="s">
        <v>401</v>
      </c>
      <c r="H72" s="15" t="s">
        <v>402</v>
      </c>
      <c r="I72" s="25"/>
      <c r="J72" s="1">
        <f t="shared" si="5"/>
        <v>9</v>
      </c>
      <c r="U72" s="69"/>
    </row>
    <row r="73" spans="1:21" ht="15.75" thickBot="1">
      <c r="A73" s="7" t="s">
        <v>390</v>
      </c>
      <c r="B73" s="4" t="s">
        <v>900</v>
      </c>
      <c r="C73" s="4" t="s">
        <v>10</v>
      </c>
      <c r="D73" s="17" t="s">
        <v>0</v>
      </c>
      <c r="F73" s="20" t="s">
        <v>400</v>
      </c>
      <c r="G73" s="15" t="s">
        <v>401</v>
      </c>
      <c r="H73" s="15" t="s">
        <v>402</v>
      </c>
      <c r="I73" s="25"/>
      <c r="J73" s="1">
        <f t="shared" ref="J73" si="6">IF(A73="FA",9,A73-1)</f>
        <v>9</v>
      </c>
      <c r="U73" s="69"/>
    </row>
    <row r="74" spans="1:21" ht="15.75" thickBot="1">
      <c r="A74" s="14"/>
      <c r="B74" s="14"/>
      <c r="C74" s="14"/>
      <c r="D74" s="18"/>
      <c r="E74" s="18"/>
      <c r="F74" s="18"/>
      <c r="G74" s="18"/>
      <c r="H74" s="18"/>
      <c r="I74" s="18"/>
      <c r="J74" s="18"/>
      <c r="U74" s="69"/>
    </row>
    <row r="75" spans="1:21" ht="15.75" thickBot="1">
      <c r="A75" s="7">
        <f>_xlfn.XLOOKUP(B75,'2023 Draft'!$C$3:$C$162,'2023 Draft'!$A$3:$A$162)</f>
        <v>2</v>
      </c>
      <c r="B75" s="4" t="s">
        <v>559</v>
      </c>
      <c r="C75" s="8" t="s">
        <v>5</v>
      </c>
      <c r="D75" s="17" t="s">
        <v>114</v>
      </c>
      <c r="F75" s="20" t="s">
        <v>400</v>
      </c>
      <c r="G75" s="15" t="s">
        <v>401</v>
      </c>
      <c r="H75" s="15" t="s">
        <v>402</v>
      </c>
      <c r="I75" s="25"/>
      <c r="J75" s="1">
        <f>IF(A75="FA",9,A75-1)</f>
        <v>1</v>
      </c>
      <c r="U75" s="69"/>
    </row>
    <row r="76" spans="1:21" ht="15.75" thickBot="1">
      <c r="A76" s="7" t="s">
        <v>390</v>
      </c>
      <c r="B76" s="4" t="s">
        <v>901</v>
      </c>
      <c r="C76" s="4" t="s">
        <v>10</v>
      </c>
      <c r="D76" s="17" t="s">
        <v>114</v>
      </c>
      <c r="F76" s="20" t="s">
        <v>400</v>
      </c>
      <c r="G76" s="15" t="s">
        <v>401</v>
      </c>
      <c r="H76" s="15" t="s">
        <v>402</v>
      </c>
      <c r="I76" s="25"/>
      <c r="J76" s="1">
        <f t="shared" ref="J76:J91" si="7">IF(A76="FA",9,A76-1)</f>
        <v>9</v>
      </c>
      <c r="U76" s="69"/>
    </row>
    <row r="77" spans="1:21" ht="15.75" thickBot="1">
      <c r="A77" s="7" t="s">
        <v>390</v>
      </c>
      <c r="B77" s="4" t="s">
        <v>593</v>
      </c>
      <c r="C77" s="4" t="s">
        <v>10</v>
      </c>
      <c r="D77" s="17" t="s">
        <v>114</v>
      </c>
      <c r="F77" s="20" t="s">
        <v>400</v>
      </c>
      <c r="G77" s="15" t="s">
        <v>401</v>
      </c>
      <c r="H77" s="15" t="s">
        <v>402</v>
      </c>
      <c r="I77" s="25"/>
      <c r="J77" s="1">
        <f t="shared" si="7"/>
        <v>9</v>
      </c>
      <c r="U77" s="69"/>
    </row>
    <row r="78" spans="1:21" ht="15.75" thickBot="1">
      <c r="A78" s="7">
        <f>_xlfn.XLOOKUP(B78,'2023 Draft'!$C$3:$C$162,'2023 Draft'!$A$3:$A$162)</f>
        <v>4</v>
      </c>
      <c r="B78" s="4" t="s">
        <v>16</v>
      </c>
      <c r="C78" s="4" t="s">
        <v>2</v>
      </c>
      <c r="D78" s="17" t="s">
        <v>114</v>
      </c>
      <c r="F78" s="20" t="s">
        <v>400</v>
      </c>
      <c r="G78" s="15" t="s">
        <v>401</v>
      </c>
      <c r="H78" s="15" t="s">
        <v>402</v>
      </c>
      <c r="I78" s="25"/>
      <c r="J78" s="1">
        <f t="shared" si="7"/>
        <v>3</v>
      </c>
      <c r="U78" s="69"/>
    </row>
    <row r="79" spans="1:21" ht="15.75" thickBot="1">
      <c r="A79" s="78">
        <f>_xlfn.XLOOKUP(B79,'2023 Draft'!$C$3:$C$162,'2023 Draft'!$A$3:$A$162)</f>
        <v>4</v>
      </c>
      <c r="B79" s="79" t="s">
        <v>812</v>
      </c>
      <c r="C79" s="79" t="s">
        <v>2</v>
      </c>
      <c r="D79" s="80" t="s">
        <v>114</v>
      </c>
      <c r="E79" s="11"/>
      <c r="F79" s="81" t="s">
        <v>400</v>
      </c>
      <c r="G79" s="82" t="s">
        <v>401</v>
      </c>
      <c r="H79" s="82" t="s">
        <v>402</v>
      </c>
      <c r="I79" s="83"/>
      <c r="J79" s="44">
        <f t="shared" si="7"/>
        <v>3</v>
      </c>
      <c r="U79" s="69"/>
    </row>
    <row r="80" spans="1:21" ht="15.75" thickBot="1">
      <c r="A80" s="7" t="s">
        <v>390</v>
      </c>
      <c r="B80" s="4" t="s">
        <v>902</v>
      </c>
      <c r="C80" s="4" t="s">
        <v>27</v>
      </c>
      <c r="D80" s="17" t="s">
        <v>114</v>
      </c>
      <c r="F80" s="20" t="s">
        <v>400</v>
      </c>
      <c r="G80" s="15" t="s">
        <v>401</v>
      </c>
      <c r="H80" s="15" t="s">
        <v>402</v>
      </c>
      <c r="I80" s="25"/>
      <c r="J80" s="1">
        <f t="shared" si="7"/>
        <v>9</v>
      </c>
      <c r="U80" s="69"/>
    </row>
    <row r="81" spans="1:21" ht="15.75" thickBot="1">
      <c r="A81" s="78">
        <f>_xlfn.XLOOKUP(B81,'2023 Draft'!$C$3:$C$162,'2023 Draft'!$A$3:$A$162)</f>
        <v>5</v>
      </c>
      <c r="B81" s="79" t="s">
        <v>840</v>
      </c>
      <c r="C81" s="79" t="s">
        <v>2</v>
      </c>
      <c r="D81" s="80" t="s">
        <v>114</v>
      </c>
      <c r="E81" s="11"/>
      <c r="F81" s="81" t="s">
        <v>400</v>
      </c>
      <c r="G81" s="82" t="s">
        <v>401</v>
      </c>
      <c r="H81" s="82" t="s">
        <v>402</v>
      </c>
      <c r="I81" s="83"/>
      <c r="J81" s="44">
        <f t="shared" si="7"/>
        <v>4</v>
      </c>
      <c r="U81" s="69"/>
    </row>
    <row r="82" spans="1:21" ht="15.75" thickBot="1">
      <c r="A82" s="7">
        <f>_xlfn.XLOOKUP(B82,'2023 Draft'!$C$3:$C$162,'2023 Draft'!$A$3:$A$162)</f>
        <v>13</v>
      </c>
      <c r="B82" s="4" t="s">
        <v>872</v>
      </c>
      <c r="C82" s="4" t="s">
        <v>2</v>
      </c>
      <c r="D82" s="17" t="s">
        <v>114</v>
      </c>
      <c r="F82" s="20" t="s">
        <v>400</v>
      </c>
      <c r="G82" s="15" t="s">
        <v>401</v>
      </c>
      <c r="H82" s="15" t="s">
        <v>402</v>
      </c>
      <c r="I82" s="25"/>
      <c r="J82" s="1">
        <f t="shared" si="7"/>
        <v>12</v>
      </c>
      <c r="U82" s="69"/>
    </row>
    <row r="83" spans="1:21" ht="15.75" thickBot="1">
      <c r="A83" s="7">
        <v>11</v>
      </c>
      <c r="B83" s="4" t="s">
        <v>730</v>
      </c>
      <c r="C83" s="4" t="s">
        <v>534</v>
      </c>
      <c r="D83" s="17" t="s">
        <v>114</v>
      </c>
      <c r="F83" s="20" t="s">
        <v>400</v>
      </c>
      <c r="G83" s="15" t="s">
        <v>401</v>
      </c>
      <c r="H83" s="15" t="s">
        <v>402</v>
      </c>
      <c r="I83" s="25"/>
      <c r="J83" s="1">
        <f t="shared" si="7"/>
        <v>10</v>
      </c>
      <c r="U83" s="69"/>
    </row>
    <row r="84" spans="1:21" ht="15.75" thickBot="1">
      <c r="A84" s="7">
        <f>_xlfn.XLOOKUP(B84,'2023 Draft'!$C$3:$C$162,'2023 Draft'!$A$3:$A$162)</f>
        <v>14</v>
      </c>
      <c r="B84" s="4" t="s">
        <v>878</v>
      </c>
      <c r="C84" s="4" t="s">
        <v>10</v>
      </c>
      <c r="D84" s="17" t="s">
        <v>114</v>
      </c>
      <c r="F84" s="20" t="s">
        <v>400</v>
      </c>
      <c r="G84" s="15" t="s">
        <v>401</v>
      </c>
      <c r="H84" s="15" t="s">
        <v>402</v>
      </c>
      <c r="I84" s="25"/>
      <c r="J84" s="1">
        <f t="shared" si="7"/>
        <v>13</v>
      </c>
      <c r="U84" s="69"/>
    </row>
    <row r="85" spans="1:21" ht="15.75" thickBot="1">
      <c r="A85" s="7" t="s">
        <v>390</v>
      </c>
      <c r="B85" s="4" t="s">
        <v>477</v>
      </c>
      <c r="C85" s="4" t="s">
        <v>10</v>
      </c>
      <c r="D85" s="17" t="s">
        <v>114</v>
      </c>
      <c r="F85" s="20" t="s">
        <v>400</v>
      </c>
      <c r="G85" s="15" t="s">
        <v>401</v>
      </c>
      <c r="H85" s="15" t="s">
        <v>402</v>
      </c>
      <c r="I85" s="25"/>
      <c r="J85" s="1">
        <f t="shared" si="7"/>
        <v>9</v>
      </c>
      <c r="U85" s="69"/>
    </row>
    <row r="86" spans="1:21" ht="15.75" thickBot="1">
      <c r="A86" s="7" t="s">
        <v>390</v>
      </c>
      <c r="B86" s="4" t="s">
        <v>903</v>
      </c>
      <c r="C86" s="4" t="s">
        <v>5</v>
      </c>
      <c r="D86" s="17" t="s">
        <v>114</v>
      </c>
      <c r="F86" s="20" t="s">
        <v>400</v>
      </c>
      <c r="G86" s="15" t="s">
        <v>401</v>
      </c>
      <c r="H86" s="15" t="s">
        <v>402</v>
      </c>
      <c r="I86" s="25"/>
      <c r="J86" s="1">
        <f t="shared" si="7"/>
        <v>9</v>
      </c>
      <c r="U86" s="69"/>
    </row>
    <row r="87" spans="1:21" ht="15.75" thickBot="1">
      <c r="A87" s="7" t="s">
        <v>390</v>
      </c>
      <c r="B87" s="4" t="s">
        <v>99</v>
      </c>
      <c r="C87" s="4" t="s">
        <v>2</v>
      </c>
      <c r="D87" s="17" t="s">
        <v>114</v>
      </c>
      <c r="F87" s="20" t="s">
        <v>400</v>
      </c>
      <c r="G87" s="15" t="s">
        <v>401</v>
      </c>
      <c r="H87" s="15" t="s">
        <v>402</v>
      </c>
      <c r="I87" s="25"/>
      <c r="J87" s="1">
        <f t="shared" si="7"/>
        <v>9</v>
      </c>
      <c r="U87" s="69"/>
    </row>
    <row r="88" spans="1:21" ht="15.75" thickBot="1">
      <c r="A88" s="7" t="s">
        <v>390</v>
      </c>
      <c r="B88" s="4" t="s">
        <v>849</v>
      </c>
      <c r="C88" s="4" t="s">
        <v>2</v>
      </c>
      <c r="D88" s="17" t="s">
        <v>114</v>
      </c>
      <c r="F88" s="20" t="s">
        <v>400</v>
      </c>
      <c r="G88" s="15" t="s">
        <v>401</v>
      </c>
      <c r="H88" s="15" t="s">
        <v>402</v>
      </c>
      <c r="I88" s="25"/>
      <c r="J88" s="1">
        <f t="shared" si="7"/>
        <v>9</v>
      </c>
      <c r="U88" s="69"/>
    </row>
    <row r="89" spans="1:21" ht="15.75" thickBot="1">
      <c r="A89" s="7">
        <f>_xlfn.XLOOKUP(B89,'2023 Draft'!$C$3:$C$162,'2023 Draft'!$A$3:$A$162)</f>
        <v>9</v>
      </c>
      <c r="B89" s="4" t="s">
        <v>833</v>
      </c>
      <c r="C89" s="4" t="s">
        <v>2</v>
      </c>
      <c r="D89" s="17" t="s">
        <v>114</v>
      </c>
      <c r="F89" s="20" t="s">
        <v>400</v>
      </c>
      <c r="G89" s="15" t="s">
        <v>401</v>
      </c>
      <c r="H89" s="15" t="s">
        <v>402</v>
      </c>
      <c r="I89" s="25"/>
      <c r="J89" s="1">
        <f t="shared" si="7"/>
        <v>8</v>
      </c>
      <c r="U89" s="69"/>
    </row>
    <row r="90" spans="1:21" ht="15.75" thickBot="1">
      <c r="A90" s="7" t="s">
        <v>390</v>
      </c>
      <c r="B90" s="4" t="s">
        <v>904</v>
      </c>
      <c r="C90" s="4" t="s">
        <v>27</v>
      </c>
      <c r="D90" s="17" t="s">
        <v>114</v>
      </c>
      <c r="F90" s="20" t="s">
        <v>400</v>
      </c>
      <c r="G90" s="15" t="s">
        <v>401</v>
      </c>
      <c r="H90" s="15" t="s">
        <v>402</v>
      </c>
      <c r="I90" s="25"/>
      <c r="J90" s="1">
        <f t="shared" si="7"/>
        <v>9</v>
      </c>
      <c r="U90" s="69"/>
    </row>
    <row r="91" spans="1:21" ht="15.75" thickBot="1">
      <c r="A91" s="7">
        <f>_xlfn.XLOOKUP(B91,'2023 Draft'!$C$3:$C$162,'2023 Draft'!$A$3:$A$162)</f>
        <v>14</v>
      </c>
      <c r="B91" s="4" t="s">
        <v>846</v>
      </c>
      <c r="C91" s="4" t="s">
        <v>10</v>
      </c>
      <c r="D91" s="17" t="s">
        <v>114</v>
      </c>
      <c r="F91" s="20" t="s">
        <v>400</v>
      </c>
      <c r="G91" s="15" t="s">
        <v>401</v>
      </c>
      <c r="H91" s="15" t="s">
        <v>402</v>
      </c>
      <c r="I91" s="25"/>
      <c r="J91" s="1">
        <f t="shared" si="7"/>
        <v>13</v>
      </c>
      <c r="U91" s="69"/>
    </row>
    <row r="92" spans="1:21" ht="15.75" thickBot="1">
      <c r="A92" s="14"/>
      <c r="B92" s="14"/>
      <c r="C92" s="14"/>
      <c r="D92" s="18"/>
      <c r="E92" s="18"/>
      <c r="F92" s="18"/>
      <c r="G92" s="18"/>
      <c r="H92" s="18"/>
      <c r="I92" s="18"/>
      <c r="J92" s="18"/>
      <c r="U92" s="69"/>
    </row>
    <row r="93" spans="1:21" ht="15.75" thickBot="1">
      <c r="A93" s="7" t="s">
        <v>390</v>
      </c>
      <c r="B93" s="4" t="s">
        <v>905</v>
      </c>
      <c r="C93" s="8" t="s">
        <v>5</v>
      </c>
      <c r="D93" s="17" t="s">
        <v>471</v>
      </c>
      <c r="F93" s="20" t="s">
        <v>400</v>
      </c>
      <c r="G93" s="15" t="s">
        <v>401</v>
      </c>
      <c r="H93" s="15" t="s">
        <v>402</v>
      </c>
      <c r="I93" s="25"/>
      <c r="J93" s="1">
        <f>IF(A93="FA",9,A93-1)</f>
        <v>9</v>
      </c>
      <c r="U93" s="69"/>
    </row>
    <row r="94" spans="1:21" ht="15.75" thickBot="1">
      <c r="A94" s="78">
        <f>_xlfn.XLOOKUP(B94,'2023 Draft'!$C$3:$C$162,'2023 Draft'!$A$3:$A$162)</f>
        <v>11</v>
      </c>
      <c r="B94" s="79" t="s">
        <v>865</v>
      </c>
      <c r="C94" s="79" t="s">
        <v>10</v>
      </c>
      <c r="D94" s="80" t="s">
        <v>471</v>
      </c>
      <c r="E94" s="11"/>
      <c r="F94" s="81" t="s">
        <v>400</v>
      </c>
      <c r="G94" s="82" t="s">
        <v>401</v>
      </c>
      <c r="H94" s="82" t="s">
        <v>402</v>
      </c>
      <c r="I94" s="83"/>
      <c r="J94" s="44">
        <f t="shared" ref="J94:J109" si="8">IF(A94="FA",9,A94-1)</f>
        <v>10</v>
      </c>
      <c r="U94" s="69"/>
    </row>
    <row r="95" spans="1:21" ht="15.75" thickBot="1">
      <c r="A95" s="7" t="s">
        <v>390</v>
      </c>
      <c r="B95" s="4" t="s">
        <v>12</v>
      </c>
      <c r="C95" s="4" t="s">
        <v>10</v>
      </c>
      <c r="D95" s="17" t="s">
        <v>471</v>
      </c>
      <c r="F95" s="20" t="s">
        <v>400</v>
      </c>
      <c r="G95" s="15" t="s">
        <v>401</v>
      </c>
      <c r="H95" s="15" t="s">
        <v>402</v>
      </c>
      <c r="I95" s="25"/>
      <c r="J95" s="1">
        <f t="shared" si="8"/>
        <v>9</v>
      </c>
      <c r="U95" s="69"/>
    </row>
    <row r="96" spans="1:21" ht="15.75" thickBot="1">
      <c r="A96" s="78">
        <f>_xlfn.XLOOKUP(B96,'2023 Draft'!$C$3:$C$162,'2023 Draft'!$A$3:$A$162)</f>
        <v>7</v>
      </c>
      <c r="B96" s="79" t="s">
        <v>839</v>
      </c>
      <c r="C96" s="79" t="s">
        <v>2</v>
      </c>
      <c r="D96" s="80" t="s">
        <v>471</v>
      </c>
      <c r="E96" s="11"/>
      <c r="F96" s="81" t="s">
        <v>401</v>
      </c>
      <c r="G96" s="82" t="s">
        <v>402</v>
      </c>
      <c r="H96" s="82" t="s">
        <v>387</v>
      </c>
      <c r="I96" s="83"/>
      <c r="J96" s="44">
        <f t="shared" si="8"/>
        <v>6</v>
      </c>
      <c r="U96" s="69"/>
    </row>
    <row r="97" spans="1:21" ht="15.75" thickBot="1">
      <c r="A97" s="7" t="s">
        <v>390</v>
      </c>
      <c r="B97" s="4" t="s">
        <v>906</v>
      </c>
      <c r="C97" s="4" t="s">
        <v>2</v>
      </c>
      <c r="D97" s="17" t="s">
        <v>471</v>
      </c>
      <c r="F97" s="20" t="s">
        <v>400</v>
      </c>
      <c r="G97" s="15" t="s">
        <v>401</v>
      </c>
      <c r="H97" s="15" t="s">
        <v>402</v>
      </c>
      <c r="I97" s="25"/>
      <c r="J97" s="1">
        <f t="shared" si="8"/>
        <v>9</v>
      </c>
      <c r="U97" s="69"/>
    </row>
    <row r="98" spans="1:21" ht="15.75" thickBot="1">
      <c r="A98" s="7">
        <f>_xlfn.XLOOKUP(B98,'2023 Draft'!$C$3:$C$162,'2023 Draft'!$A$3:$A$162)</f>
        <v>9</v>
      </c>
      <c r="B98" s="4" t="s">
        <v>907</v>
      </c>
      <c r="C98" s="4" t="s">
        <v>27</v>
      </c>
      <c r="D98" s="17" t="s">
        <v>471</v>
      </c>
      <c r="F98" s="20" t="s">
        <v>400</v>
      </c>
      <c r="G98" s="15" t="s">
        <v>401</v>
      </c>
      <c r="H98" s="15" t="s">
        <v>402</v>
      </c>
      <c r="I98" s="25"/>
      <c r="J98" s="1">
        <f t="shared" si="8"/>
        <v>8</v>
      </c>
      <c r="U98" s="69"/>
    </row>
    <row r="99" spans="1:21" ht="15.75" thickBot="1">
      <c r="A99" s="7" t="s">
        <v>390</v>
      </c>
      <c r="B99" s="4" t="s">
        <v>908</v>
      </c>
      <c r="C99" s="4" t="s">
        <v>2</v>
      </c>
      <c r="D99" s="17" t="s">
        <v>471</v>
      </c>
      <c r="F99" s="20" t="s">
        <v>400</v>
      </c>
      <c r="G99" s="15" t="s">
        <v>401</v>
      </c>
      <c r="H99" s="15" t="s">
        <v>402</v>
      </c>
      <c r="I99" s="25"/>
      <c r="J99" s="1">
        <f t="shared" si="8"/>
        <v>9</v>
      </c>
      <c r="U99" s="69"/>
    </row>
    <row r="100" spans="1:21" ht="15.75" thickBot="1">
      <c r="A100" s="7" t="s">
        <v>390</v>
      </c>
      <c r="B100" s="4" t="s">
        <v>762</v>
      </c>
      <c r="C100" s="4" t="s">
        <v>27</v>
      </c>
      <c r="D100" s="17" t="s">
        <v>471</v>
      </c>
      <c r="F100" s="20" t="s">
        <v>400</v>
      </c>
      <c r="G100" s="15" t="s">
        <v>401</v>
      </c>
      <c r="H100" s="15" t="s">
        <v>402</v>
      </c>
      <c r="I100" s="25"/>
      <c r="J100" s="1">
        <f t="shared" si="8"/>
        <v>9</v>
      </c>
      <c r="U100" s="69"/>
    </row>
    <row r="101" spans="1:21" ht="15.75" thickBot="1">
      <c r="A101" s="7" t="s">
        <v>390</v>
      </c>
      <c r="B101" s="4" t="s">
        <v>909</v>
      </c>
      <c r="C101" s="4" t="s">
        <v>534</v>
      </c>
      <c r="D101" s="17" t="s">
        <v>471</v>
      </c>
      <c r="F101" s="20" t="s">
        <v>400</v>
      </c>
      <c r="G101" s="15" t="s">
        <v>401</v>
      </c>
      <c r="H101" s="15" t="s">
        <v>402</v>
      </c>
      <c r="I101" s="25"/>
      <c r="J101" s="1">
        <f t="shared" si="8"/>
        <v>9</v>
      </c>
      <c r="U101" s="69"/>
    </row>
    <row r="102" spans="1:21" ht="15.75" thickBot="1">
      <c r="A102" s="7">
        <f>_xlfn.XLOOKUP(B102,'2023 Draft'!$C$3:$C$162,'2023 Draft'!$A$3:$A$162)</f>
        <v>13</v>
      </c>
      <c r="B102" s="4" t="s">
        <v>871</v>
      </c>
      <c r="C102" s="4" t="s">
        <v>2</v>
      </c>
      <c r="D102" s="17" t="s">
        <v>471</v>
      </c>
      <c r="F102" s="20" t="s">
        <v>400</v>
      </c>
      <c r="G102" s="15" t="s">
        <v>401</v>
      </c>
      <c r="H102" s="15" t="s">
        <v>402</v>
      </c>
      <c r="I102" s="25"/>
      <c r="J102" s="1">
        <f t="shared" si="8"/>
        <v>12</v>
      </c>
      <c r="U102" s="69"/>
    </row>
    <row r="103" spans="1:21" ht="15.75" thickBot="1">
      <c r="A103" s="7">
        <f>_xlfn.XLOOKUP(B103,'2023 Draft'!$C$3:$C$162,'2023 Draft'!$A$3:$A$162)</f>
        <v>15</v>
      </c>
      <c r="B103" s="4" t="s">
        <v>596</v>
      </c>
      <c r="C103" s="4" t="s">
        <v>5</v>
      </c>
      <c r="D103" s="17" t="s">
        <v>471</v>
      </c>
      <c r="F103" s="20" t="s">
        <v>400</v>
      </c>
      <c r="G103" s="15" t="s">
        <v>401</v>
      </c>
      <c r="H103" s="15" t="s">
        <v>402</v>
      </c>
      <c r="I103" s="25"/>
      <c r="J103" s="1">
        <f t="shared" si="8"/>
        <v>14</v>
      </c>
      <c r="U103" s="69"/>
    </row>
    <row r="104" spans="1:21" ht="15.75" thickBot="1">
      <c r="A104" s="7">
        <f>_xlfn.XLOOKUP(B104,'2023 Draft'!$C$3:$C$162,'2023 Draft'!$A$3:$A$162)</f>
        <v>15</v>
      </c>
      <c r="B104" s="4" t="s">
        <v>837</v>
      </c>
      <c r="C104" s="4" t="s">
        <v>2</v>
      </c>
      <c r="D104" s="17" t="s">
        <v>471</v>
      </c>
      <c r="F104" s="20" t="s">
        <v>400</v>
      </c>
      <c r="G104" s="15" t="s">
        <v>401</v>
      </c>
      <c r="H104" s="15" t="s">
        <v>402</v>
      </c>
      <c r="I104" s="25"/>
      <c r="J104" s="1">
        <f t="shared" si="8"/>
        <v>14</v>
      </c>
      <c r="U104" s="69"/>
    </row>
    <row r="105" spans="1:21" ht="15.75" thickBot="1">
      <c r="A105" s="7" t="s">
        <v>390</v>
      </c>
      <c r="B105" s="4" t="s">
        <v>545</v>
      </c>
      <c r="C105" s="4" t="s">
        <v>2</v>
      </c>
      <c r="D105" s="17" t="s">
        <v>471</v>
      </c>
      <c r="F105" s="20" t="s">
        <v>400</v>
      </c>
      <c r="G105" s="15" t="s">
        <v>401</v>
      </c>
      <c r="H105" s="15" t="s">
        <v>402</v>
      </c>
      <c r="I105" s="25"/>
      <c r="J105" s="1">
        <f t="shared" si="8"/>
        <v>9</v>
      </c>
      <c r="U105" s="69"/>
    </row>
    <row r="106" spans="1:21" ht="15.75" thickBot="1">
      <c r="A106" s="7" t="s">
        <v>390</v>
      </c>
      <c r="B106" s="4" t="s">
        <v>832</v>
      </c>
      <c r="C106" s="4" t="s">
        <v>10</v>
      </c>
      <c r="D106" s="17" t="s">
        <v>471</v>
      </c>
      <c r="F106" s="20" t="s">
        <v>400</v>
      </c>
      <c r="G106" s="15" t="s">
        <v>401</v>
      </c>
      <c r="H106" s="15" t="s">
        <v>402</v>
      </c>
      <c r="I106" s="25"/>
      <c r="J106" s="1">
        <f t="shared" si="8"/>
        <v>9</v>
      </c>
      <c r="U106" s="69"/>
    </row>
    <row r="107" spans="1:21" ht="15.75" thickBot="1">
      <c r="A107" s="7" t="s">
        <v>390</v>
      </c>
      <c r="B107" s="4" t="s">
        <v>834</v>
      </c>
      <c r="C107" s="4" t="s">
        <v>10</v>
      </c>
      <c r="D107" s="17" t="s">
        <v>471</v>
      </c>
      <c r="F107" s="20" t="s">
        <v>400</v>
      </c>
      <c r="G107" s="15" t="s">
        <v>401</v>
      </c>
      <c r="H107" s="15" t="s">
        <v>402</v>
      </c>
      <c r="I107" s="25"/>
      <c r="J107" s="1">
        <f t="shared" si="8"/>
        <v>9</v>
      </c>
      <c r="U107" s="69"/>
    </row>
    <row r="108" spans="1:21" ht="15.75" thickBot="1">
      <c r="A108" s="7" t="s">
        <v>390</v>
      </c>
      <c r="B108" s="4" t="s">
        <v>910</v>
      </c>
      <c r="C108" s="4" t="s">
        <v>10</v>
      </c>
      <c r="D108" s="17" t="s">
        <v>471</v>
      </c>
      <c r="F108" s="20" t="s">
        <v>400</v>
      </c>
      <c r="G108" s="15" t="s">
        <v>401</v>
      </c>
      <c r="H108" s="15" t="s">
        <v>402</v>
      </c>
      <c r="I108" s="25"/>
      <c r="J108" s="1">
        <f t="shared" si="8"/>
        <v>9</v>
      </c>
      <c r="U108" s="69"/>
    </row>
    <row r="109" spans="1:21" ht="15.75" thickBot="1">
      <c r="A109" s="7">
        <f>_xlfn.XLOOKUP(B109,'2023 Draft'!$C$3:$C$162,'2023 Draft'!$A$3:$A$162)</f>
        <v>1</v>
      </c>
      <c r="B109" s="4" t="s">
        <v>570</v>
      </c>
      <c r="C109" s="4" t="s">
        <v>10</v>
      </c>
      <c r="D109" s="17" t="s">
        <v>471</v>
      </c>
      <c r="F109" s="20" t="s">
        <v>400</v>
      </c>
      <c r="G109" s="15" t="s">
        <v>401</v>
      </c>
      <c r="H109" s="15" t="s">
        <v>402</v>
      </c>
      <c r="I109" s="25"/>
      <c r="J109" s="1">
        <f t="shared" si="8"/>
        <v>0</v>
      </c>
      <c r="U109" s="69"/>
    </row>
    <row r="110" spans="1:21" ht="15.75" thickBot="1">
      <c r="A110" s="14"/>
      <c r="B110" s="14"/>
      <c r="C110" s="14"/>
      <c r="D110" s="18"/>
      <c r="E110" s="18"/>
      <c r="F110" s="18"/>
      <c r="G110" s="18"/>
      <c r="H110" s="18"/>
      <c r="I110" s="18"/>
      <c r="J110" s="18"/>
      <c r="U110" s="69"/>
    </row>
    <row r="111" spans="1:21" ht="15.75" thickBot="1">
      <c r="A111" s="7">
        <f>_xlfn.XLOOKUP(B111,'2023 Draft'!$C$3:$C$162,'2023 Draft'!$A$3:$A$162)</f>
        <v>4</v>
      </c>
      <c r="B111" s="4" t="s">
        <v>540</v>
      </c>
      <c r="C111" s="8" t="s">
        <v>5</v>
      </c>
      <c r="D111" s="17" t="s">
        <v>58</v>
      </c>
      <c r="F111" s="20" t="s">
        <v>400</v>
      </c>
      <c r="G111" s="15" t="s">
        <v>401</v>
      </c>
      <c r="H111" s="15" t="s">
        <v>402</v>
      </c>
      <c r="I111" s="25"/>
      <c r="J111" s="1">
        <f>IF(A111="FA",9,A111-1)</f>
        <v>3</v>
      </c>
      <c r="U111" s="69"/>
    </row>
    <row r="112" spans="1:21" ht="15.75" thickBot="1">
      <c r="A112" s="7">
        <f>_xlfn.XLOOKUP(B112,'2023 Draft'!$C$3:$C$162,'2023 Draft'!$A$3:$A$162)</f>
        <v>3</v>
      </c>
      <c r="B112" s="4" t="s">
        <v>853</v>
      </c>
      <c r="C112" s="4" t="s">
        <v>10</v>
      </c>
      <c r="D112" s="17" t="s">
        <v>58</v>
      </c>
      <c r="F112" s="20" t="s">
        <v>400</v>
      </c>
      <c r="G112" s="15" t="s">
        <v>401</v>
      </c>
      <c r="H112" s="15" t="s">
        <v>402</v>
      </c>
      <c r="I112" s="25"/>
      <c r="J112" s="1">
        <f t="shared" ref="J112:J127" si="9">IF(A112="FA",9,A112-1)</f>
        <v>2</v>
      </c>
      <c r="U112" s="69"/>
    </row>
    <row r="113" spans="1:21" ht="15.75" thickBot="1">
      <c r="A113" s="7">
        <f>_xlfn.XLOOKUP(B113,'2023 Draft'!$C$3:$C$162,'2023 Draft'!$A$3:$A$162)</f>
        <v>1</v>
      </c>
      <c r="B113" s="4" t="s">
        <v>851</v>
      </c>
      <c r="C113" s="4" t="s">
        <v>10</v>
      </c>
      <c r="D113" s="17" t="s">
        <v>58</v>
      </c>
      <c r="F113" s="20" t="s">
        <v>400</v>
      </c>
      <c r="G113" s="15" t="s">
        <v>401</v>
      </c>
      <c r="H113" s="15" t="s">
        <v>402</v>
      </c>
      <c r="I113" s="25"/>
      <c r="J113" s="1">
        <f t="shared" si="9"/>
        <v>0</v>
      </c>
      <c r="U113" s="69"/>
    </row>
    <row r="114" spans="1:21" ht="15.75" thickBot="1">
      <c r="A114" s="7">
        <f>_xlfn.XLOOKUP(B114,'2023 Draft'!$C$3:$C$162,'2023 Draft'!$A$3:$A$162)</f>
        <v>1</v>
      </c>
      <c r="B114" s="4" t="s">
        <v>686</v>
      </c>
      <c r="C114" s="4" t="s">
        <v>2</v>
      </c>
      <c r="D114" s="17" t="s">
        <v>58</v>
      </c>
      <c r="F114" s="20" t="s">
        <v>400</v>
      </c>
      <c r="G114" s="15" t="s">
        <v>401</v>
      </c>
      <c r="H114" s="15" t="s">
        <v>402</v>
      </c>
      <c r="I114" s="25"/>
      <c r="J114" s="1">
        <f t="shared" si="9"/>
        <v>0</v>
      </c>
      <c r="U114" s="69"/>
    </row>
    <row r="115" spans="1:21" ht="15.75" thickBot="1">
      <c r="A115" s="7">
        <f>_xlfn.XLOOKUP(B115,'2023 Draft'!$C$3:$C$162,'2023 Draft'!$A$3:$A$162)</f>
        <v>2</v>
      </c>
      <c r="B115" s="4" t="s">
        <v>125</v>
      </c>
      <c r="C115" s="4" t="s">
        <v>2</v>
      </c>
      <c r="D115" s="17" t="s">
        <v>58</v>
      </c>
      <c r="F115" s="20" t="s">
        <v>400</v>
      </c>
      <c r="G115" s="15" t="s">
        <v>401</v>
      </c>
      <c r="H115" s="15" t="s">
        <v>402</v>
      </c>
      <c r="I115" s="25"/>
      <c r="J115" s="1">
        <f t="shared" si="9"/>
        <v>1</v>
      </c>
      <c r="U115" s="69"/>
    </row>
    <row r="116" spans="1:21" ht="15.75" thickBot="1">
      <c r="A116" s="7">
        <f>_xlfn.XLOOKUP(B116,'2023 Draft'!$C$3:$C$162,'2023 Draft'!$A$3:$A$162)</f>
        <v>7</v>
      </c>
      <c r="B116" s="4" t="s">
        <v>520</v>
      </c>
      <c r="C116" s="4" t="s">
        <v>27</v>
      </c>
      <c r="D116" s="17" t="s">
        <v>58</v>
      </c>
      <c r="F116" s="20" t="s">
        <v>400</v>
      </c>
      <c r="G116" s="15" t="s">
        <v>401</v>
      </c>
      <c r="H116" s="15" t="s">
        <v>402</v>
      </c>
      <c r="I116" s="25"/>
      <c r="J116" s="1">
        <f t="shared" si="9"/>
        <v>6</v>
      </c>
      <c r="U116" s="69"/>
    </row>
    <row r="117" spans="1:21" ht="15.75" thickBot="1">
      <c r="A117" s="7">
        <f>_xlfn.XLOOKUP(B117,'2023 Draft'!$C$3:$C$162,'2023 Draft'!$A$3:$A$162)</f>
        <v>6</v>
      </c>
      <c r="B117" s="4" t="s">
        <v>836</v>
      </c>
      <c r="C117" s="4" t="s">
        <v>10</v>
      </c>
      <c r="D117" s="17" t="s">
        <v>58</v>
      </c>
      <c r="F117" s="20" t="s">
        <v>400</v>
      </c>
      <c r="G117" s="15" t="s">
        <v>401</v>
      </c>
      <c r="H117" s="15" t="s">
        <v>402</v>
      </c>
      <c r="I117" s="25"/>
      <c r="J117" s="1">
        <f t="shared" si="9"/>
        <v>5</v>
      </c>
      <c r="U117" s="69"/>
    </row>
    <row r="118" spans="1:21" ht="15.75" thickBot="1">
      <c r="A118" s="78" t="s">
        <v>390</v>
      </c>
      <c r="B118" s="79" t="s">
        <v>847</v>
      </c>
      <c r="C118" s="79" t="s">
        <v>10</v>
      </c>
      <c r="D118" s="80" t="s">
        <v>58</v>
      </c>
      <c r="E118" s="11"/>
      <c r="F118" s="81" t="s">
        <v>400</v>
      </c>
      <c r="G118" s="82" t="s">
        <v>401</v>
      </c>
      <c r="H118" s="82" t="s">
        <v>402</v>
      </c>
      <c r="I118" s="83"/>
      <c r="J118" s="44">
        <f t="shared" si="9"/>
        <v>9</v>
      </c>
      <c r="U118" s="69"/>
    </row>
    <row r="119" spans="1:21" ht="15.75" thickBot="1">
      <c r="A119" s="7" t="s">
        <v>390</v>
      </c>
      <c r="B119" s="4" t="s">
        <v>742</v>
      </c>
      <c r="C119" s="4" t="s">
        <v>534</v>
      </c>
      <c r="D119" s="17" t="s">
        <v>58</v>
      </c>
      <c r="F119" s="20" t="s">
        <v>400</v>
      </c>
      <c r="G119" s="15" t="s">
        <v>401</v>
      </c>
      <c r="H119" s="15" t="s">
        <v>402</v>
      </c>
      <c r="I119" s="25"/>
      <c r="J119" s="1">
        <f t="shared" si="9"/>
        <v>9</v>
      </c>
      <c r="U119" s="69"/>
    </row>
    <row r="120" spans="1:21" ht="15.75" thickBot="1">
      <c r="A120" s="7">
        <f>_xlfn.XLOOKUP(B120,'2023 Draft'!$C$3:$C$162,'2023 Draft'!$A$3:$A$162)</f>
        <v>5</v>
      </c>
      <c r="B120" s="4" t="s">
        <v>411</v>
      </c>
      <c r="C120" s="4" t="s">
        <v>2</v>
      </c>
      <c r="D120" s="17" t="s">
        <v>58</v>
      </c>
      <c r="F120" s="20" t="s">
        <v>400</v>
      </c>
      <c r="G120" s="15" t="s">
        <v>401</v>
      </c>
      <c r="H120" s="15" t="s">
        <v>402</v>
      </c>
      <c r="I120" s="25"/>
      <c r="J120" s="1">
        <f t="shared" si="9"/>
        <v>4</v>
      </c>
      <c r="U120" s="69"/>
    </row>
    <row r="121" spans="1:21" ht="15.75" thickBot="1">
      <c r="A121" s="78">
        <f>_xlfn.XLOOKUP(B121,'2023 Draft'!$C$3:$C$162,'2023 Draft'!$A$3:$A$162)</f>
        <v>7</v>
      </c>
      <c r="B121" s="79" t="s">
        <v>767</v>
      </c>
      <c r="C121" s="79" t="s">
        <v>2</v>
      </c>
      <c r="D121" s="80" t="s">
        <v>58</v>
      </c>
      <c r="E121" s="11"/>
      <c r="F121" s="81" t="s">
        <v>401</v>
      </c>
      <c r="G121" s="82" t="s">
        <v>402</v>
      </c>
      <c r="H121" s="82" t="s">
        <v>387</v>
      </c>
      <c r="I121" s="83"/>
      <c r="J121" s="44">
        <f t="shared" si="9"/>
        <v>6</v>
      </c>
      <c r="U121" s="69"/>
    </row>
    <row r="122" spans="1:21" ht="15.75" thickBot="1">
      <c r="A122" s="7">
        <f>_xlfn.XLOOKUP(B122,'2023 Draft'!$C$3:$C$162,'2023 Draft'!$A$3:$A$162)</f>
        <v>8</v>
      </c>
      <c r="B122" s="4" t="s">
        <v>859</v>
      </c>
      <c r="C122" s="4" t="s">
        <v>2</v>
      </c>
      <c r="D122" s="17" t="s">
        <v>58</v>
      </c>
      <c r="F122" s="20" t="s">
        <v>400</v>
      </c>
      <c r="G122" s="15" t="s">
        <v>401</v>
      </c>
      <c r="H122" s="15" t="s">
        <v>402</v>
      </c>
      <c r="I122" s="25"/>
      <c r="J122" s="1">
        <f t="shared" si="9"/>
        <v>7</v>
      </c>
      <c r="U122" s="69"/>
    </row>
    <row r="123" spans="1:21" ht="15.75" thickBot="1">
      <c r="A123" s="7">
        <f>_xlfn.XLOOKUP(B123,'2023 Draft'!$C$3:$C$162,'2023 Draft'!$A$3:$A$162)</f>
        <v>10</v>
      </c>
      <c r="B123" s="4" t="s">
        <v>848</v>
      </c>
      <c r="C123" s="4" t="s">
        <v>10</v>
      </c>
      <c r="D123" s="17" t="s">
        <v>58</v>
      </c>
      <c r="F123" s="20" t="s">
        <v>400</v>
      </c>
      <c r="G123" s="15" t="s">
        <v>401</v>
      </c>
      <c r="H123" s="15" t="s">
        <v>402</v>
      </c>
      <c r="I123" s="25"/>
      <c r="J123" s="1">
        <f t="shared" si="9"/>
        <v>9</v>
      </c>
      <c r="U123" s="69"/>
    </row>
    <row r="124" spans="1:21" ht="15.75" thickBot="1">
      <c r="A124" s="7" t="s">
        <v>390</v>
      </c>
      <c r="B124" s="4" t="s">
        <v>890</v>
      </c>
      <c r="C124" s="4" t="s">
        <v>5</v>
      </c>
      <c r="D124" s="17" t="s">
        <v>58</v>
      </c>
      <c r="F124" s="20" t="s">
        <v>400</v>
      </c>
      <c r="G124" s="15" t="s">
        <v>401</v>
      </c>
      <c r="H124" s="15" t="s">
        <v>402</v>
      </c>
      <c r="I124" s="25"/>
      <c r="J124" s="1">
        <f t="shared" si="9"/>
        <v>9</v>
      </c>
      <c r="U124" s="69"/>
    </row>
    <row r="125" spans="1:21" ht="15.75" thickBot="1">
      <c r="A125" s="7" t="s">
        <v>390</v>
      </c>
      <c r="B125" s="4" t="s">
        <v>891</v>
      </c>
      <c r="C125" s="4" t="s">
        <v>10</v>
      </c>
      <c r="D125" s="17" t="s">
        <v>58</v>
      </c>
      <c r="F125" s="20" t="s">
        <v>400</v>
      </c>
      <c r="G125" s="15" t="s">
        <v>401</v>
      </c>
      <c r="H125" s="15" t="s">
        <v>402</v>
      </c>
      <c r="I125" s="25"/>
      <c r="J125" s="1">
        <f t="shared" si="9"/>
        <v>9</v>
      </c>
      <c r="U125" s="69"/>
    </row>
    <row r="126" spans="1:21" ht="15.75" thickBot="1">
      <c r="A126" s="7" t="s">
        <v>390</v>
      </c>
      <c r="B126" s="4" t="s">
        <v>752</v>
      </c>
      <c r="C126" s="4" t="s">
        <v>534</v>
      </c>
      <c r="D126" s="17" t="s">
        <v>58</v>
      </c>
      <c r="F126" s="20" t="s">
        <v>400</v>
      </c>
      <c r="G126" s="15" t="s">
        <v>401</v>
      </c>
      <c r="H126" s="15" t="s">
        <v>402</v>
      </c>
      <c r="I126" s="25"/>
      <c r="J126" s="1">
        <f t="shared" si="9"/>
        <v>9</v>
      </c>
      <c r="U126" s="69"/>
    </row>
    <row r="127" spans="1:21" ht="15.75" thickBot="1">
      <c r="A127" s="7">
        <f>_xlfn.XLOOKUP(B127,'2023 Draft'!$C$3:$C$162,'2023 Draft'!$A$3:$A$162)</f>
        <v>12</v>
      </c>
      <c r="B127" s="4" t="s">
        <v>867</v>
      </c>
      <c r="C127" s="4" t="s">
        <v>5</v>
      </c>
      <c r="D127" s="17" t="s">
        <v>58</v>
      </c>
      <c r="F127" s="20" t="s">
        <v>400</v>
      </c>
      <c r="G127" s="15" t="s">
        <v>401</v>
      </c>
      <c r="H127" s="15" t="s">
        <v>402</v>
      </c>
      <c r="I127" s="25"/>
      <c r="J127" s="1">
        <f t="shared" si="9"/>
        <v>11</v>
      </c>
      <c r="U127" s="69"/>
    </row>
    <row r="128" spans="1:21" ht="15.75" thickBot="1">
      <c r="A128" s="14"/>
      <c r="B128" s="14"/>
      <c r="C128" s="14"/>
      <c r="D128" s="18"/>
      <c r="E128" s="18"/>
      <c r="F128" s="18"/>
      <c r="G128" s="18"/>
      <c r="H128" s="18"/>
      <c r="I128" s="18"/>
      <c r="J128" s="18"/>
      <c r="U128" s="69"/>
    </row>
    <row r="129" spans="1:21" ht="15.75" thickBot="1">
      <c r="A129" s="7" t="s">
        <v>390</v>
      </c>
      <c r="B129" s="4" t="s">
        <v>912</v>
      </c>
      <c r="C129" s="8" t="s">
        <v>5</v>
      </c>
      <c r="D129" s="17" t="s">
        <v>97</v>
      </c>
      <c r="F129" s="20" t="s">
        <v>400</v>
      </c>
      <c r="G129" s="15" t="s">
        <v>401</v>
      </c>
      <c r="H129" s="15" t="s">
        <v>402</v>
      </c>
      <c r="I129" s="25"/>
      <c r="J129" s="1">
        <f>IF(A129="FA",9,A129-1)</f>
        <v>9</v>
      </c>
      <c r="U129" s="69"/>
    </row>
    <row r="130" spans="1:21" ht="15.75" thickBot="1">
      <c r="A130" s="78">
        <f>_xlfn.XLOOKUP(B130,'2023 Draft'!$C$3:$C$162,'2023 Draft'!$A$3:$A$162)</f>
        <v>6</v>
      </c>
      <c r="B130" s="79" t="s">
        <v>913</v>
      </c>
      <c r="C130" s="79" t="s">
        <v>10</v>
      </c>
      <c r="D130" s="80" t="s">
        <v>97</v>
      </c>
      <c r="E130" s="11"/>
      <c r="F130" s="81" t="s">
        <v>400</v>
      </c>
      <c r="G130" s="82" t="s">
        <v>401</v>
      </c>
      <c r="H130" s="82" t="s">
        <v>402</v>
      </c>
      <c r="I130" s="83"/>
      <c r="J130" s="44">
        <f t="shared" ref="J130:J145" si="10">IF(A130="FA",9,A130-1)</f>
        <v>5</v>
      </c>
      <c r="U130" s="69"/>
    </row>
    <row r="131" spans="1:21" ht="15.75" thickBot="1">
      <c r="A131" s="7">
        <f>_xlfn.XLOOKUP(B131,'2023 Draft'!$C$3:$C$162,'2023 Draft'!$A$3:$A$162)</f>
        <v>7</v>
      </c>
      <c r="B131" s="4" t="s">
        <v>580</v>
      </c>
      <c r="C131" s="4" t="s">
        <v>10</v>
      </c>
      <c r="D131" s="17" t="s">
        <v>97</v>
      </c>
      <c r="F131" s="20" t="s">
        <v>400</v>
      </c>
      <c r="G131" s="15" t="s">
        <v>401</v>
      </c>
      <c r="H131" s="15" t="s">
        <v>402</v>
      </c>
      <c r="I131" s="25"/>
      <c r="J131" s="1">
        <f t="shared" si="10"/>
        <v>6</v>
      </c>
      <c r="U131" s="69"/>
    </row>
    <row r="132" spans="1:21" ht="15.75" thickBot="1">
      <c r="A132" s="7">
        <f>_xlfn.XLOOKUP(B132,'2023 Draft'!$C$3:$C$162,'2023 Draft'!$A$3:$A$162)</f>
        <v>1</v>
      </c>
      <c r="B132" s="4" t="s">
        <v>118</v>
      </c>
      <c r="C132" s="4" t="s">
        <v>2</v>
      </c>
      <c r="D132" s="17" t="s">
        <v>97</v>
      </c>
      <c r="F132" s="20" t="s">
        <v>400</v>
      </c>
      <c r="G132" s="15" t="s">
        <v>401</v>
      </c>
      <c r="H132" s="15" t="s">
        <v>402</v>
      </c>
      <c r="I132" s="25"/>
      <c r="J132" s="1">
        <f t="shared" si="10"/>
        <v>0</v>
      </c>
      <c r="U132" s="69"/>
    </row>
    <row r="133" spans="1:21" ht="15.75" thickBot="1">
      <c r="A133" s="78">
        <f>_xlfn.XLOOKUP(B133,'2023 Draft'!$C$3:$C$162,'2023 Draft'!$A$3:$A$162)</f>
        <v>3</v>
      </c>
      <c r="B133" s="79" t="s">
        <v>799</v>
      </c>
      <c r="C133" s="79" t="s">
        <v>2</v>
      </c>
      <c r="D133" s="80" t="s">
        <v>97</v>
      </c>
      <c r="E133" s="11"/>
      <c r="F133" s="82" t="s">
        <v>401</v>
      </c>
      <c r="G133" s="82" t="s">
        <v>402</v>
      </c>
      <c r="H133" s="82" t="s">
        <v>387</v>
      </c>
      <c r="I133" s="83"/>
      <c r="J133" s="44">
        <f t="shared" si="10"/>
        <v>2</v>
      </c>
      <c r="U133" s="69"/>
    </row>
    <row r="134" spans="1:21" ht="15.75" thickBot="1">
      <c r="A134" s="7" t="s">
        <v>390</v>
      </c>
      <c r="B134" s="4" t="s">
        <v>556</v>
      </c>
      <c r="C134" s="4" t="s">
        <v>27</v>
      </c>
      <c r="D134" s="17" t="s">
        <v>97</v>
      </c>
      <c r="F134" s="20" t="s">
        <v>400</v>
      </c>
      <c r="G134" s="15" t="s">
        <v>401</v>
      </c>
      <c r="H134" s="15" t="s">
        <v>402</v>
      </c>
      <c r="I134" s="25"/>
      <c r="J134" s="1">
        <f t="shared" si="10"/>
        <v>9</v>
      </c>
      <c r="U134" s="69"/>
    </row>
    <row r="135" spans="1:21" ht="15.75" thickBot="1">
      <c r="A135" s="7">
        <f>_xlfn.XLOOKUP(B135,'2023 Draft'!$C$3:$C$162,'2023 Draft'!$A$3:$A$162)</f>
        <v>2</v>
      </c>
      <c r="B135" s="4" t="s">
        <v>715</v>
      </c>
      <c r="C135" s="4" t="s">
        <v>2</v>
      </c>
      <c r="D135" s="17" t="s">
        <v>97</v>
      </c>
      <c r="F135" s="20" t="s">
        <v>400</v>
      </c>
      <c r="G135" s="15" t="s">
        <v>401</v>
      </c>
      <c r="H135" s="15" t="s">
        <v>402</v>
      </c>
      <c r="I135" s="25"/>
      <c r="J135" s="1">
        <f t="shared" si="10"/>
        <v>1</v>
      </c>
      <c r="U135" s="69"/>
    </row>
    <row r="136" spans="1:21" ht="15.75" thickBot="1">
      <c r="A136" s="7">
        <f>_xlfn.XLOOKUP(B136,'2023 Draft'!$C$3:$C$162,'2023 Draft'!$A$3:$A$162)</f>
        <v>11</v>
      </c>
      <c r="B136" s="4" t="s">
        <v>844</v>
      </c>
      <c r="C136" s="4" t="s">
        <v>2</v>
      </c>
      <c r="D136" s="17" t="s">
        <v>97</v>
      </c>
      <c r="F136" s="15" t="s">
        <v>401</v>
      </c>
      <c r="G136" s="15" t="s">
        <v>402</v>
      </c>
      <c r="H136" s="15" t="s">
        <v>387</v>
      </c>
      <c r="I136" s="25"/>
      <c r="J136" s="1">
        <f t="shared" si="10"/>
        <v>10</v>
      </c>
      <c r="U136" s="69"/>
    </row>
    <row r="137" spans="1:21" ht="15.75" thickBot="1">
      <c r="A137" s="7">
        <v>16</v>
      </c>
      <c r="B137" s="4" t="s">
        <v>379</v>
      </c>
      <c r="C137" s="4" t="s">
        <v>534</v>
      </c>
      <c r="D137" s="17" t="s">
        <v>97</v>
      </c>
      <c r="F137" s="20" t="s">
        <v>400</v>
      </c>
      <c r="G137" s="15" t="s">
        <v>401</v>
      </c>
      <c r="H137" s="15" t="s">
        <v>402</v>
      </c>
      <c r="I137" s="25"/>
      <c r="J137" s="1">
        <f t="shared" si="10"/>
        <v>15</v>
      </c>
      <c r="U137" s="69"/>
    </row>
    <row r="138" spans="1:21" ht="15.75" thickBot="1">
      <c r="A138" s="7">
        <f>_xlfn.XLOOKUP(B138,'2023 Draft'!$C$3:$C$162,'2023 Draft'!$A$3:$A$162)</f>
        <v>10</v>
      </c>
      <c r="B138" s="4" t="s">
        <v>416</v>
      </c>
      <c r="C138" s="4" t="s">
        <v>27</v>
      </c>
      <c r="D138" s="17" t="s">
        <v>97</v>
      </c>
      <c r="F138" s="20" t="s">
        <v>400</v>
      </c>
      <c r="G138" s="15" t="s">
        <v>401</v>
      </c>
      <c r="H138" s="15" t="s">
        <v>402</v>
      </c>
      <c r="I138" s="25"/>
      <c r="J138" s="1">
        <f t="shared" si="10"/>
        <v>9</v>
      </c>
      <c r="U138" s="69"/>
    </row>
    <row r="139" spans="1:21" ht="15.75" thickBot="1">
      <c r="A139" s="7" t="s">
        <v>390</v>
      </c>
      <c r="B139" s="4" t="s">
        <v>142</v>
      </c>
      <c r="C139" s="4" t="s">
        <v>2</v>
      </c>
      <c r="D139" s="17" t="s">
        <v>97</v>
      </c>
      <c r="F139" s="20" t="s">
        <v>400</v>
      </c>
      <c r="G139" s="15" t="s">
        <v>401</v>
      </c>
      <c r="H139" s="15" t="s">
        <v>402</v>
      </c>
      <c r="I139" s="25"/>
      <c r="J139" s="1">
        <f t="shared" si="10"/>
        <v>9</v>
      </c>
      <c r="U139" s="69"/>
    </row>
    <row r="140" spans="1:21" ht="15.75" thickBot="1">
      <c r="A140" s="7" t="s">
        <v>390</v>
      </c>
      <c r="B140" s="4" t="s">
        <v>698</v>
      </c>
      <c r="C140" s="4" t="s">
        <v>10</v>
      </c>
      <c r="D140" s="17" t="s">
        <v>97</v>
      </c>
      <c r="F140" s="20" t="s">
        <v>400</v>
      </c>
      <c r="G140" s="15" t="s">
        <v>401</v>
      </c>
      <c r="H140" s="15" t="s">
        <v>402</v>
      </c>
      <c r="I140" s="25"/>
      <c r="J140" s="1">
        <f t="shared" si="10"/>
        <v>9</v>
      </c>
      <c r="U140" s="69"/>
    </row>
    <row r="141" spans="1:21" ht="15.75" thickBot="1">
      <c r="A141" s="7" t="s">
        <v>390</v>
      </c>
      <c r="B141" s="4" t="s">
        <v>528</v>
      </c>
      <c r="C141" s="4" t="s">
        <v>2</v>
      </c>
      <c r="D141" s="17" t="s">
        <v>97</v>
      </c>
      <c r="F141" s="20" t="s">
        <v>400</v>
      </c>
      <c r="G141" s="15" t="s">
        <v>401</v>
      </c>
      <c r="H141" s="15" t="s">
        <v>402</v>
      </c>
      <c r="I141" s="25"/>
      <c r="J141" s="1">
        <f t="shared" si="10"/>
        <v>9</v>
      </c>
      <c r="U141" s="69"/>
    </row>
    <row r="142" spans="1:21" ht="15.75" thickBot="1">
      <c r="A142" s="7" t="s">
        <v>390</v>
      </c>
      <c r="B142" s="4" t="s">
        <v>914</v>
      </c>
      <c r="C142" s="4" t="s">
        <v>2</v>
      </c>
      <c r="D142" s="17" t="s">
        <v>97</v>
      </c>
      <c r="F142" s="20" t="s">
        <v>400</v>
      </c>
      <c r="G142" s="15" t="s">
        <v>401</v>
      </c>
      <c r="H142" s="15" t="s">
        <v>402</v>
      </c>
      <c r="I142" s="25"/>
      <c r="J142" s="1">
        <f t="shared" si="10"/>
        <v>9</v>
      </c>
      <c r="U142" s="69"/>
    </row>
    <row r="143" spans="1:21" ht="15.75" thickBot="1">
      <c r="A143" s="7" t="s">
        <v>390</v>
      </c>
      <c r="B143" s="4" t="s">
        <v>915</v>
      </c>
      <c r="C143" s="4" t="s">
        <v>2</v>
      </c>
      <c r="D143" s="17" t="s">
        <v>97</v>
      </c>
      <c r="F143" s="20" t="s">
        <v>400</v>
      </c>
      <c r="G143" s="15" t="s">
        <v>401</v>
      </c>
      <c r="H143" s="15" t="s">
        <v>402</v>
      </c>
      <c r="I143" s="25"/>
      <c r="J143" s="1">
        <f t="shared" si="10"/>
        <v>9</v>
      </c>
      <c r="U143" s="69"/>
    </row>
    <row r="144" spans="1:21" ht="15.75" thickBot="1">
      <c r="A144" s="7" t="s">
        <v>390</v>
      </c>
      <c r="B144" s="4" t="s">
        <v>501</v>
      </c>
      <c r="C144" s="4" t="s">
        <v>2</v>
      </c>
      <c r="D144" s="17" t="s">
        <v>97</v>
      </c>
      <c r="F144" s="20" t="s">
        <v>400</v>
      </c>
      <c r="G144" s="15" t="s">
        <v>401</v>
      </c>
      <c r="H144" s="15" t="s">
        <v>402</v>
      </c>
      <c r="I144" s="25"/>
      <c r="J144" s="1">
        <f t="shared" si="10"/>
        <v>9</v>
      </c>
      <c r="U144" s="69"/>
    </row>
    <row r="145" spans="1:21" ht="15.75" thickBot="1">
      <c r="A145" s="7">
        <f>_xlfn.XLOOKUP(B145,'2023 Draft'!$C$3:$C$162,'2023 Draft'!$A$3:$A$162)</f>
        <v>9</v>
      </c>
      <c r="B145" s="4" t="s">
        <v>916</v>
      </c>
      <c r="C145" s="4" t="s">
        <v>10</v>
      </c>
      <c r="D145" s="17" t="s">
        <v>97</v>
      </c>
      <c r="F145" s="20" t="s">
        <v>400</v>
      </c>
      <c r="G145" s="15" t="s">
        <v>401</v>
      </c>
      <c r="H145" s="15" t="s">
        <v>402</v>
      </c>
      <c r="I145" s="25"/>
      <c r="J145" s="1">
        <f t="shared" si="10"/>
        <v>8</v>
      </c>
      <c r="U145" s="69"/>
    </row>
    <row r="146" spans="1:21" ht="15.75" thickBot="1">
      <c r="A146" s="14"/>
      <c r="B146" s="14"/>
      <c r="C146" s="14"/>
      <c r="D146" s="18"/>
      <c r="E146" s="18"/>
      <c r="F146" s="18"/>
      <c r="G146" s="18"/>
      <c r="H146" s="18"/>
      <c r="I146" s="18"/>
      <c r="J146" s="18"/>
      <c r="U146" s="69"/>
    </row>
    <row r="147" spans="1:21" ht="15.75" thickBot="1">
      <c r="A147" s="7" t="s">
        <v>390</v>
      </c>
      <c r="B147" s="4" t="s">
        <v>162</v>
      </c>
      <c r="C147" s="8" t="s">
        <v>5</v>
      </c>
      <c r="D147" s="17" t="s">
        <v>181</v>
      </c>
      <c r="F147" s="20" t="s">
        <v>400</v>
      </c>
      <c r="G147" s="15" t="s">
        <v>401</v>
      </c>
      <c r="H147" s="15" t="s">
        <v>402</v>
      </c>
      <c r="I147" s="25"/>
      <c r="J147" s="1">
        <f>IF(A147="FA",9,A147-1)</f>
        <v>9</v>
      </c>
      <c r="U147" s="69"/>
    </row>
    <row r="148" spans="1:21" ht="15.75" thickBot="1">
      <c r="A148" s="7">
        <f>_xlfn.XLOOKUP(B148,'2023 Draft'!$C$3:$C$162,'2023 Draft'!$A$3:$A$162)</f>
        <v>5</v>
      </c>
      <c r="B148" s="4" t="s">
        <v>761</v>
      </c>
      <c r="C148" s="4" t="s">
        <v>10</v>
      </c>
      <c r="D148" s="17" t="s">
        <v>181</v>
      </c>
      <c r="F148" s="20" t="s">
        <v>400</v>
      </c>
      <c r="G148" s="15" t="s">
        <v>401</v>
      </c>
      <c r="H148" s="15" t="s">
        <v>402</v>
      </c>
      <c r="I148" s="25"/>
      <c r="J148" s="1">
        <f t="shared" ref="J148:J163" si="11">IF(A148="FA",9,A148-1)</f>
        <v>4</v>
      </c>
      <c r="U148" s="69"/>
    </row>
    <row r="149" spans="1:21" ht="15.75" thickBot="1">
      <c r="A149" s="7">
        <f>_xlfn.XLOOKUP(B149,'2023 Draft'!$C$3:$C$162,'2023 Draft'!$A$3:$A$162)</f>
        <v>5</v>
      </c>
      <c r="B149" s="4" t="s">
        <v>454</v>
      </c>
      <c r="C149" s="4" t="s">
        <v>10</v>
      </c>
      <c r="D149" s="17" t="s">
        <v>181</v>
      </c>
      <c r="F149" s="20" t="s">
        <v>400</v>
      </c>
      <c r="G149" s="15" t="s">
        <v>401</v>
      </c>
      <c r="H149" s="15" t="s">
        <v>402</v>
      </c>
      <c r="I149" s="25"/>
      <c r="J149" s="1">
        <f t="shared" si="11"/>
        <v>4</v>
      </c>
      <c r="U149" s="69"/>
    </row>
    <row r="150" spans="1:21" ht="15.75" thickBot="1">
      <c r="A150" s="7">
        <f>_xlfn.XLOOKUP(B150,'2023 Draft'!$C$3:$C$162,'2023 Draft'!$A$3:$A$162)</f>
        <v>4</v>
      </c>
      <c r="B150" s="4" t="s">
        <v>621</v>
      </c>
      <c r="C150" s="4" t="s">
        <v>2</v>
      </c>
      <c r="D150" s="17" t="s">
        <v>181</v>
      </c>
      <c r="F150" s="20" t="s">
        <v>400</v>
      </c>
      <c r="G150" s="15" t="s">
        <v>401</v>
      </c>
      <c r="H150" s="15" t="s">
        <v>402</v>
      </c>
      <c r="I150" s="25"/>
      <c r="J150" s="1">
        <f t="shared" si="11"/>
        <v>3</v>
      </c>
      <c r="U150" s="69"/>
    </row>
    <row r="151" spans="1:21" ht="15.75" thickBot="1">
      <c r="A151" s="78">
        <f>_xlfn.XLOOKUP(B151,'2023 Draft'!$C$3:$C$162,'2023 Draft'!$A$3:$A$162)</f>
        <v>10</v>
      </c>
      <c r="B151" s="79" t="s">
        <v>773</v>
      </c>
      <c r="C151" s="79" t="s">
        <v>2</v>
      </c>
      <c r="D151" s="80" t="s">
        <v>181</v>
      </c>
      <c r="E151" s="11"/>
      <c r="F151" s="81" t="s">
        <v>400</v>
      </c>
      <c r="G151" s="82" t="s">
        <v>401</v>
      </c>
      <c r="H151" s="82" t="s">
        <v>402</v>
      </c>
      <c r="I151" s="83"/>
      <c r="J151" s="44">
        <f t="shared" si="11"/>
        <v>9</v>
      </c>
      <c r="U151" s="69"/>
    </row>
    <row r="152" spans="1:21" ht="15.75" thickBot="1">
      <c r="A152" s="78" t="s">
        <v>390</v>
      </c>
      <c r="B152" s="79" t="s">
        <v>918</v>
      </c>
      <c r="C152" s="79" t="s">
        <v>27</v>
      </c>
      <c r="D152" s="80" t="s">
        <v>181</v>
      </c>
      <c r="E152" s="11"/>
      <c r="F152" s="81" t="s">
        <v>400</v>
      </c>
      <c r="G152" s="82" t="s">
        <v>401</v>
      </c>
      <c r="H152" s="82" t="s">
        <v>402</v>
      </c>
      <c r="I152" s="83"/>
      <c r="J152" s="44">
        <f t="shared" si="11"/>
        <v>9</v>
      </c>
      <c r="U152" s="69"/>
    </row>
    <row r="153" spans="1:21" ht="15.75" thickBot="1">
      <c r="A153" s="7">
        <f>_xlfn.XLOOKUP(B153,'2023 Draft'!$C$3:$C$162,'2023 Draft'!$A$3:$A$162)</f>
        <v>3</v>
      </c>
      <c r="B153" s="4" t="s">
        <v>447</v>
      </c>
      <c r="C153" s="4" t="s">
        <v>10</v>
      </c>
      <c r="D153" s="17" t="s">
        <v>181</v>
      </c>
      <c r="F153" s="20" t="s">
        <v>400</v>
      </c>
      <c r="G153" s="15" t="s">
        <v>401</v>
      </c>
      <c r="H153" s="15" t="s">
        <v>402</v>
      </c>
      <c r="I153" s="25"/>
      <c r="J153" s="1">
        <f t="shared" si="11"/>
        <v>2</v>
      </c>
      <c r="U153" s="69"/>
    </row>
    <row r="154" spans="1:21" ht="15.75" thickBot="1">
      <c r="A154" s="7" t="s">
        <v>390</v>
      </c>
      <c r="B154" s="4" t="s">
        <v>919</v>
      </c>
      <c r="C154" s="4" t="s">
        <v>2</v>
      </c>
      <c r="D154" s="17" t="s">
        <v>181</v>
      </c>
      <c r="F154" s="20" t="s">
        <v>400</v>
      </c>
      <c r="G154" s="15" t="s">
        <v>401</v>
      </c>
      <c r="H154" s="15" t="s">
        <v>402</v>
      </c>
      <c r="I154" s="25"/>
      <c r="J154" s="1">
        <f t="shared" si="11"/>
        <v>9</v>
      </c>
      <c r="U154" s="69"/>
    </row>
    <row r="155" spans="1:21" ht="15.75" thickBot="1">
      <c r="A155" s="7" t="s">
        <v>390</v>
      </c>
      <c r="B155" s="4" t="s">
        <v>920</v>
      </c>
      <c r="C155" s="4" t="s">
        <v>534</v>
      </c>
      <c r="D155" s="17" t="s">
        <v>181</v>
      </c>
      <c r="F155" s="20" t="s">
        <v>400</v>
      </c>
      <c r="G155" s="15" t="s">
        <v>401</v>
      </c>
      <c r="H155" s="15" t="s">
        <v>402</v>
      </c>
      <c r="I155" s="25"/>
      <c r="J155" s="1">
        <f t="shared" si="11"/>
        <v>9</v>
      </c>
      <c r="U155" s="69"/>
    </row>
    <row r="156" spans="1:21" ht="15.75" thickBot="1">
      <c r="A156" s="7">
        <f>_xlfn.XLOOKUP(B156,'2023 Draft'!$C$3:$C$162,'2023 Draft'!$A$3:$A$162)</f>
        <v>6</v>
      </c>
      <c r="B156" s="4" t="s">
        <v>845</v>
      </c>
      <c r="C156" s="4" t="s">
        <v>2</v>
      </c>
      <c r="D156" s="17" t="s">
        <v>181</v>
      </c>
      <c r="F156" s="15" t="s">
        <v>401</v>
      </c>
      <c r="G156" s="15" t="s">
        <v>402</v>
      </c>
      <c r="H156" s="15" t="s">
        <v>387</v>
      </c>
      <c r="I156" s="25"/>
      <c r="J156" s="1">
        <f t="shared" si="11"/>
        <v>5</v>
      </c>
      <c r="U156" s="69"/>
    </row>
    <row r="157" spans="1:21" ht="15.75" thickBot="1">
      <c r="A157" s="7">
        <f>_xlfn.XLOOKUP(B157,'2023 Draft'!$C$3:$C$162,'2023 Draft'!$A$3:$A$162)</f>
        <v>8</v>
      </c>
      <c r="B157" s="4" t="s">
        <v>860</v>
      </c>
      <c r="C157" s="4" t="s">
        <v>2</v>
      </c>
      <c r="D157" s="17" t="s">
        <v>181</v>
      </c>
      <c r="F157" s="20" t="s">
        <v>400</v>
      </c>
      <c r="G157" s="15" t="s">
        <v>401</v>
      </c>
      <c r="H157" s="15" t="s">
        <v>402</v>
      </c>
      <c r="I157" s="25"/>
      <c r="J157" s="1">
        <f t="shared" si="11"/>
        <v>7</v>
      </c>
      <c r="U157" s="69"/>
    </row>
    <row r="158" spans="1:21" ht="15.75" thickBot="1">
      <c r="A158" s="7">
        <f>_xlfn.XLOOKUP(B158,'2023 Draft'!$C$3:$C$162,'2023 Draft'!$A$3:$A$162)</f>
        <v>9</v>
      </c>
      <c r="B158" s="4" t="s">
        <v>786</v>
      </c>
      <c r="C158" s="4" t="s">
        <v>5</v>
      </c>
      <c r="D158" s="17" t="s">
        <v>181</v>
      </c>
      <c r="F158" s="15" t="s">
        <v>401</v>
      </c>
      <c r="G158" s="15" t="s">
        <v>402</v>
      </c>
      <c r="H158" s="15" t="s">
        <v>387</v>
      </c>
      <c r="I158" s="25"/>
      <c r="J158" s="1">
        <f t="shared" si="11"/>
        <v>8</v>
      </c>
      <c r="U158" s="69"/>
    </row>
    <row r="159" spans="1:21" ht="15.75" thickBot="1">
      <c r="A159" s="7">
        <f>_xlfn.XLOOKUP(B159,'2023 Draft'!$C$3:$C$162,'2023 Draft'!$A$3:$A$162)</f>
        <v>6</v>
      </c>
      <c r="B159" s="4" t="s">
        <v>856</v>
      </c>
      <c r="C159" s="4" t="s">
        <v>2</v>
      </c>
      <c r="D159" s="17" t="s">
        <v>181</v>
      </c>
      <c r="F159" s="20" t="s">
        <v>400</v>
      </c>
      <c r="G159" s="15" t="s">
        <v>401</v>
      </c>
      <c r="H159" s="15" t="s">
        <v>402</v>
      </c>
      <c r="I159" s="25"/>
      <c r="J159" s="1">
        <f t="shared" si="11"/>
        <v>5</v>
      </c>
      <c r="U159" s="69"/>
    </row>
    <row r="160" spans="1:21" ht="15.75" thickBot="1">
      <c r="A160" s="7" t="s">
        <v>390</v>
      </c>
      <c r="B160" s="4" t="s">
        <v>751</v>
      </c>
      <c r="C160" s="4" t="s">
        <v>10</v>
      </c>
      <c r="D160" s="17" t="s">
        <v>181</v>
      </c>
      <c r="F160" s="20" t="s">
        <v>400</v>
      </c>
      <c r="G160" s="15" t="s">
        <v>401</v>
      </c>
      <c r="H160" s="15" t="s">
        <v>402</v>
      </c>
      <c r="I160" s="25"/>
      <c r="J160" s="1">
        <f t="shared" si="11"/>
        <v>9</v>
      </c>
      <c r="U160" s="69"/>
    </row>
    <row r="161" spans="1:21" ht="15.75" thickBot="1">
      <c r="A161" s="7" t="s">
        <v>390</v>
      </c>
      <c r="B161" s="4" t="s">
        <v>446</v>
      </c>
      <c r="C161" s="4" t="s">
        <v>534</v>
      </c>
      <c r="D161" s="17" t="s">
        <v>181</v>
      </c>
      <c r="F161" s="20" t="s">
        <v>400</v>
      </c>
      <c r="G161" s="15" t="s">
        <v>401</v>
      </c>
      <c r="H161" s="15" t="s">
        <v>402</v>
      </c>
      <c r="I161" s="25"/>
      <c r="J161" s="1">
        <f t="shared" si="11"/>
        <v>9</v>
      </c>
      <c r="U161" s="69"/>
    </row>
    <row r="162" spans="1:21" ht="15.75" thickBot="1">
      <c r="A162" s="7" t="s">
        <v>390</v>
      </c>
      <c r="B162" s="4" t="s">
        <v>921</v>
      </c>
      <c r="C162" s="4" t="s">
        <v>10</v>
      </c>
      <c r="D162" s="17" t="s">
        <v>181</v>
      </c>
      <c r="F162" s="20" t="s">
        <v>400</v>
      </c>
      <c r="G162" s="15" t="s">
        <v>401</v>
      </c>
      <c r="H162" s="15" t="s">
        <v>402</v>
      </c>
      <c r="I162" s="25"/>
      <c r="J162" s="1">
        <f t="shared" si="11"/>
        <v>9</v>
      </c>
      <c r="U162" s="69"/>
    </row>
    <row r="163" spans="1:21" ht="15.75" thickBot="1">
      <c r="A163" s="7" t="s">
        <v>390</v>
      </c>
      <c r="B163" s="4" t="s">
        <v>922</v>
      </c>
      <c r="C163" s="4" t="s">
        <v>2</v>
      </c>
      <c r="D163" s="17" t="s">
        <v>181</v>
      </c>
      <c r="F163" s="20" t="s">
        <v>400</v>
      </c>
      <c r="G163" s="15" t="s">
        <v>401</v>
      </c>
      <c r="H163" s="15" t="s">
        <v>402</v>
      </c>
      <c r="I163" s="25"/>
      <c r="J163" s="1">
        <f t="shared" si="11"/>
        <v>9</v>
      </c>
      <c r="U163" s="69"/>
    </row>
    <row r="164" spans="1:21" ht="15.75" thickBot="1">
      <c r="A164" s="14"/>
      <c r="B164" s="14"/>
      <c r="C164" s="14"/>
      <c r="D164" s="18"/>
      <c r="E164" s="18"/>
      <c r="F164" s="18"/>
      <c r="G164" s="18"/>
      <c r="H164" s="18"/>
      <c r="I164" s="18"/>
      <c r="J164" s="18"/>
      <c r="U164" s="69"/>
    </row>
    <row r="165" spans="1:21" ht="15.75" thickBot="1">
      <c r="A165" s="7">
        <f>_xlfn.XLOOKUP(B165,'2023 Draft'!$C$3:$C$162,'2023 Draft'!$A$3:$A$162)</f>
        <v>2</v>
      </c>
      <c r="B165" s="4" t="s">
        <v>634</v>
      </c>
      <c r="C165" s="8" t="s">
        <v>5</v>
      </c>
      <c r="D165" s="17" t="s">
        <v>37</v>
      </c>
      <c r="F165" s="20" t="s">
        <v>400</v>
      </c>
      <c r="G165" s="15" t="s">
        <v>401</v>
      </c>
      <c r="H165" s="15" t="s">
        <v>402</v>
      </c>
      <c r="I165" s="25"/>
      <c r="J165" s="1">
        <f>IF(A165="FA",9,A165-1)</f>
        <v>1</v>
      </c>
      <c r="U165" s="69"/>
    </row>
    <row r="166" spans="1:21" ht="15.75" thickBot="1">
      <c r="A166" s="7">
        <f>_xlfn.XLOOKUP(B166,'2023 Draft'!$C$3:$C$162,'2023 Draft'!$A$3:$A$162)</f>
        <v>3</v>
      </c>
      <c r="B166" s="4" t="s">
        <v>83</v>
      </c>
      <c r="C166" s="4" t="s">
        <v>10</v>
      </c>
      <c r="D166" s="17" t="s">
        <v>37</v>
      </c>
      <c r="F166" s="20" t="s">
        <v>400</v>
      </c>
      <c r="G166" s="15" t="s">
        <v>401</v>
      </c>
      <c r="H166" s="15" t="s">
        <v>402</v>
      </c>
      <c r="I166" s="25"/>
      <c r="J166" s="1">
        <f t="shared" ref="J166:J181" si="12">IF(A166="FA",9,A166-1)</f>
        <v>2</v>
      </c>
      <c r="U166" s="69"/>
    </row>
    <row r="167" spans="1:21" ht="15.75" thickBot="1">
      <c r="A167" s="7">
        <f>_xlfn.XLOOKUP(B167,'2023 Draft'!$C$3:$C$162,'2023 Draft'!$A$3:$A$162)</f>
        <v>5</v>
      </c>
      <c r="B167" s="4" t="s">
        <v>606</v>
      </c>
      <c r="C167" s="4" t="s">
        <v>10</v>
      </c>
      <c r="D167" s="17" t="s">
        <v>37</v>
      </c>
      <c r="F167" s="15" t="s">
        <v>402</v>
      </c>
      <c r="G167" s="15" t="s">
        <v>387</v>
      </c>
      <c r="H167" s="15" t="s">
        <v>387</v>
      </c>
      <c r="I167" s="25"/>
      <c r="J167" s="1" t="s">
        <v>387</v>
      </c>
      <c r="U167" s="69"/>
    </row>
    <row r="168" spans="1:21" ht="15.75" thickBot="1">
      <c r="A168" s="78">
        <f>_xlfn.XLOOKUP(B168,'2023 Draft'!$C$3:$C$162,'2023 Draft'!$A$3:$A$162)</f>
        <v>12</v>
      </c>
      <c r="B168" s="79" t="s">
        <v>843</v>
      </c>
      <c r="C168" s="79" t="s">
        <v>2</v>
      </c>
      <c r="D168" s="80" t="s">
        <v>37</v>
      </c>
      <c r="E168" s="11"/>
      <c r="F168" s="81" t="s">
        <v>400</v>
      </c>
      <c r="G168" s="82" t="s">
        <v>401</v>
      </c>
      <c r="H168" s="82" t="s">
        <v>402</v>
      </c>
      <c r="I168" s="83"/>
      <c r="J168" s="44">
        <f t="shared" si="12"/>
        <v>11</v>
      </c>
      <c r="U168" s="69"/>
    </row>
    <row r="169" spans="1:21" ht="15.75" thickBot="1">
      <c r="A169" s="78">
        <f>_xlfn.XLOOKUP(B169,'2023 Draft'!$C$3:$C$162,'2023 Draft'!$A$3:$A$162)</f>
        <v>7</v>
      </c>
      <c r="B169" s="79" t="s">
        <v>499</v>
      </c>
      <c r="C169" s="79" t="s">
        <v>2</v>
      </c>
      <c r="D169" s="80" t="s">
        <v>37</v>
      </c>
      <c r="E169" s="11"/>
      <c r="F169" s="81" t="s">
        <v>400</v>
      </c>
      <c r="G169" s="82" t="s">
        <v>401</v>
      </c>
      <c r="H169" s="82" t="s">
        <v>402</v>
      </c>
      <c r="I169" s="83"/>
      <c r="J169" s="44">
        <f t="shared" si="12"/>
        <v>6</v>
      </c>
      <c r="U169" s="69"/>
    </row>
    <row r="170" spans="1:21" ht="15.75" thickBot="1">
      <c r="A170" s="78" t="s">
        <v>390</v>
      </c>
      <c r="B170" s="79" t="s">
        <v>924</v>
      </c>
      <c r="C170" s="79" t="s">
        <v>27</v>
      </c>
      <c r="D170" s="80" t="s">
        <v>37</v>
      </c>
      <c r="E170" s="11"/>
      <c r="F170" s="81" t="s">
        <v>400</v>
      </c>
      <c r="G170" s="82" t="s">
        <v>401</v>
      </c>
      <c r="H170" s="82" t="s">
        <v>402</v>
      </c>
      <c r="I170" s="83"/>
      <c r="J170" s="44">
        <f t="shared" si="12"/>
        <v>9</v>
      </c>
      <c r="K170" s="83" t="s">
        <v>661</v>
      </c>
      <c r="U170" s="69"/>
    </row>
    <row r="171" spans="1:21" ht="15.75" thickBot="1">
      <c r="A171" s="7">
        <f>_xlfn.XLOOKUP(B171,'2023 Draft'!$C$3:$C$162,'2023 Draft'!$A$3:$A$162)</f>
        <v>2</v>
      </c>
      <c r="B171" s="4" t="s">
        <v>66</v>
      </c>
      <c r="C171" s="4" t="s">
        <v>10</v>
      </c>
      <c r="D171" s="17" t="s">
        <v>37</v>
      </c>
      <c r="F171" s="20" t="s">
        <v>400</v>
      </c>
      <c r="G171" s="15" t="s">
        <v>401</v>
      </c>
      <c r="H171" s="15" t="s">
        <v>402</v>
      </c>
      <c r="I171" s="25"/>
      <c r="J171" s="1">
        <f t="shared" si="12"/>
        <v>1</v>
      </c>
      <c r="U171" s="69"/>
    </row>
    <row r="172" spans="1:21" ht="15.75" thickBot="1">
      <c r="A172" s="7">
        <f>_xlfn.XLOOKUP(B172,'2023 Draft'!$C$3:$C$162,'2023 Draft'!$A$3:$A$162)</f>
        <v>15</v>
      </c>
      <c r="B172" s="4" t="s">
        <v>504</v>
      </c>
      <c r="C172" s="4" t="s">
        <v>2</v>
      </c>
      <c r="D172" s="17" t="s">
        <v>37</v>
      </c>
      <c r="F172" s="15" t="s">
        <v>402</v>
      </c>
      <c r="G172" s="15" t="s">
        <v>387</v>
      </c>
      <c r="H172" s="15" t="s">
        <v>387</v>
      </c>
      <c r="I172" s="25"/>
      <c r="J172" s="1" t="s">
        <v>387</v>
      </c>
      <c r="U172" s="69"/>
    </row>
    <row r="173" spans="1:21" ht="15.75" thickBot="1">
      <c r="A173" s="7" t="s">
        <v>390</v>
      </c>
      <c r="B173" s="4" t="s">
        <v>925</v>
      </c>
      <c r="C173" s="4" t="s">
        <v>534</v>
      </c>
      <c r="D173" s="17" t="s">
        <v>37</v>
      </c>
      <c r="F173" s="20" t="s">
        <v>400</v>
      </c>
      <c r="G173" s="15" t="s">
        <v>401</v>
      </c>
      <c r="H173" s="15" t="s">
        <v>402</v>
      </c>
      <c r="I173" s="25"/>
      <c r="J173" s="1">
        <f t="shared" si="12"/>
        <v>9</v>
      </c>
      <c r="U173" s="69"/>
    </row>
    <row r="174" spans="1:21" ht="15.75" thickBot="1">
      <c r="A174" s="7">
        <f>_xlfn.XLOOKUP(B174,'2023 Draft'!$C$3:$C$162,'2023 Draft'!$A$3:$A$162)</f>
        <v>1</v>
      </c>
      <c r="B174" s="4" t="s">
        <v>61</v>
      </c>
      <c r="C174" s="4" t="s">
        <v>10</v>
      </c>
      <c r="D174" s="17" t="s">
        <v>37</v>
      </c>
      <c r="F174" s="20" t="s">
        <v>400</v>
      </c>
      <c r="G174" s="15" t="s">
        <v>401</v>
      </c>
      <c r="H174" s="15" t="s">
        <v>402</v>
      </c>
      <c r="I174" s="25"/>
      <c r="J174" s="1">
        <f t="shared" si="12"/>
        <v>0</v>
      </c>
      <c r="U174" s="69"/>
    </row>
    <row r="175" spans="1:21" ht="15.75" thickBot="1">
      <c r="A175" s="7">
        <f>_xlfn.XLOOKUP(B175,'2023 Draft'!$C$3:$C$162,'2023 Draft'!$A$3:$A$162)</f>
        <v>4</v>
      </c>
      <c r="B175" s="4" t="s">
        <v>647</v>
      </c>
      <c r="C175" s="4" t="s">
        <v>27</v>
      </c>
      <c r="D175" s="17" t="s">
        <v>37</v>
      </c>
      <c r="F175" s="20" t="s">
        <v>400</v>
      </c>
      <c r="G175" s="15" t="s">
        <v>401</v>
      </c>
      <c r="H175" s="15" t="s">
        <v>402</v>
      </c>
      <c r="I175" s="25"/>
      <c r="J175" s="1">
        <f t="shared" si="12"/>
        <v>3</v>
      </c>
      <c r="U175" s="69"/>
    </row>
    <row r="176" spans="1:21" ht="15.75" thickBot="1">
      <c r="A176" s="7">
        <f>_xlfn.XLOOKUP(B176,'2023 Draft'!$C$3:$C$162,'2023 Draft'!$A$3:$A$162)</f>
        <v>7</v>
      </c>
      <c r="B176" s="4" t="s">
        <v>858</v>
      </c>
      <c r="C176" s="4" t="s">
        <v>2</v>
      </c>
      <c r="D176" s="17" t="s">
        <v>37</v>
      </c>
      <c r="F176" s="20" t="s">
        <v>400</v>
      </c>
      <c r="G176" s="15" t="s">
        <v>401</v>
      </c>
      <c r="H176" s="15" t="s">
        <v>402</v>
      </c>
      <c r="I176" s="25"/>
      <c r="J176" s="1">
        <f t="shared" si="12"/>
        <v>6</v>
      </c>
      <c r="U176" s="69"/>
    </row>
    <row r="177" spans="1:21" ht="15.75" thickBot="1">
      <c r="A177" s="7" t="s">
        <v>390</v>
      </c>
      <c r="B177" s="4" t="s">
        <v>926</v>
      </c>
      <c r="C177" s="4" t="s">
        <v>27</v>
      </c>
      <c r="D177" s="17" t="s">
        <v>37</v>
      </c>
      <c r="F177" s="20" t="s">
        <v>400</v>
      </c>
      <c r="G177" s="15" t="s">
        <v>401</v>
      </c>
      <c r="H177" s="15" t="s">
        <v>402</v>
      </c>
      <c r="I177" s="25"/>
      <c r="J177" s="1">
        <f t="shared" si="12"/>
        <v>9</v>
      </c>
      <c r="U177" s="69"/>
    </row>
    <row r="178" spans="1:21" ht="15.75" thickBot="1">
      <c r="A178" s="7" t="s">
        <v>390</v>
      </c>
      <c r="B178" s="4" t="s">
        <v>820</v>
      </c>
      <c r="C178" s="4" t="s">
        <v>10</v>
      </c>
      <c r="D178" s="17" t="s">
        <v>37</v>
      </c>
      <c r="F178" s="20" t="s">
        <v>400</v>
      </c>
      <c r="G178" s="15" t="s">
        <v>401</v>
      </c>
      <c r="H178" s="15" t="s">
        <v>402</v>
      </c>
      <c r="I178" s="25"/>
      <c r="J178" s="1">
        <f t="shared" si="12"/>
        <v>9</v>
      </c>
      <c r="U178" s="69"/>
    </row>
    <row r="179" spans="1:21" ht="15.75" thickBot="1">
      <c r="A179" s="7" t="s">
        <v>390</v>
      </c>
      <c r="B179" s="4" t="s">
        <v>927</v>
      </c>
      <c r="C179" s="4" t="s">
        <v>5</v>
      </c>
      <c r="D179" s="17" t="s">
        <v>37</v>
      </c>
      <c r="F179" s="20" t="s">
        <v>400</v>
      </c>
      <c r="G179" s="15" t="s">
        <v>401</v>
      </c>
      <c r="H179" s="15" t="s">
        <v>402</v>
      </c>
      <c r="I179" s="25"/>
      <c r="J179" s="1">
        <f t="shared" si="12"/>
        <v>9</v>
      </c>
      <c r="U179" s="69"/>
    </row>
    <row r="180" spans="1:21" ht="15.75" thickBot="1">
      <c r="A180" s="7" t="s">
        <v>390</v>
      </c>
      <c r="B180" s="4" t="s">
        <v>928</v>
      </c>
      <c r="C180" s="4" t="s">
        <v>2</v>
      </c>
      <c r="D180" s="17" t="s">
        <v>37</v>
      </c>
      <c r="F180" s="20" t="s">
        <v>400</v>
      </c>
      <c r="G180" s="15" t="s">
        <v>401</v>
      </c>
      <c r="H180" s="15" t="s">
        <v>402</v>
      </c>
      <c r="I180" s="25"/>
      <c r="J180" s="1">
        <f t="shared" si="12"/>
        <v>9</v>
      </c>
      <c r="U180" s="69"/>
    </row>
    <row r="181" spans="1:21" ht="15.75" thickBot="1">
      <c r="A181" s="7">
        <f>_xlfn.XLOOKUP(B181,'2023 Draft'!$C$3:$C$162,'2023 Draft'!$A$3:$A$162)</f>
        <v>3</v>
      </c>
      <c r="B181" s="66" t="s">
        <v>80</v>
      </c>
      <c r="C181" s="66" t="s">
        <v>2</v>
      </c>
      <c r="D181" s="67" t="s">
        <v>37</v>
      </c>
      <c r="F181" s="20" t="s">
        <v>400</v>
      </c>
      <c r="G181" s="15" t="s">
        <v>401</v>
      </c>
      <c r="H181" s="15" t="s">
        <v>402</v>
      </c>
      <c r="I181" s="25"/>
      <c r="J181" s="1">
        <f t="shared" si="12"/>
        <v>2</v>
      </c>
      <c r="U181" s="69"/>
    </row>
    <row r="182" spans="1:21">
      <c r="A182" s="68"/>
      <c r="B182" s="22"/>
      <c r="C182" s="22"/>
      <c r="D182" s="22"/>
    </row>
    <row r="183" spans="1:21">
      <c r="A183" s="68"/>
      <c r="B183" s="22"/>
      <c r="C183" s="22"/>
      <c r="D183" s="22"/>
    </row>
    <row r="184" spans="1:21">
      <c r="A184" s="68"/>
      <c r="B184" s="22"/>
      <c r="C184" s="22"/>
      <c r="D184" s="22"/>
    </row>
    <row r="185" spans="1:21">
      <c r="A185" s="68"/>
      <c r="B185" s="22"/>
      <c r="C185" s="22"/>
      <c r="D185" s="22"/>
    </row>
    <row r="186" spans="1:21">
      <c r="A186" s="68"/>
      <c r="B186" s="22"/>
      <c r="C186" s="22"/>
      <c r="D186" s="22"/>
    </row>
    <row r="187" spans="1:21">
      <c r="A187" s="68"/>
      <c r="B187" s="22"/>
      <c r="C187" s="22"/>
      <c r="D187" s="22"/>
    </row>
    <row r="188" spans="1:21">
      <c r="A188" s="68"/>
      <c r="B188" s="22"/>
      <c r="C188" s="22"/>
      <c r="D188" s="22"/>
    </row>
    <row r="189" spans="1:21">
      <c r="A189" s="68"/>
      <c r="B189" s="22"/>
      <c r="C189" s="22"/>
      <c r="D189" s="22"/>
    </row>
    <row r="190" spans="1:21">
      <c r="A190" s="68"/>
      <c r="B190" s="22"/>
      <c r="C190" s="22"/>
      <c r="D190" s="22"/>
    </row>
    <row r="191" spans="1:21">
      <c r="A191" s="68"/>
      <c r="B191" s="22"/>
      <c r="C191" s="22"/>
      <c r="D191" s="22"/>
    </row>
    <row r="192" spans="1:21">
      <c r="A192" s="68"/>
      <c r="B192" s="22"/>
      <c r="C192" s="22"/>
      <c r="D192" s="22"/>
    </row>
    <row r="193" spans="1:4">
      <c r="A193" s="68"/>
      <c r="B193" s="22"/>
      <c r="C193" s="22"/>
      <c r="D193" s="22"/>
    </row>
    <row r="194" spans="1:4">
      <c r="A194" s="68"/>
      <c r="B194" s="22"/>
      <c r="C194" s="22"/>
      <c r="D194" s="22"/>
    </row>
    <row r="195" spans="1:4">
      <c r="A195" s="68"/>
      <c r="B195" s="22"/>
      <c r="C195" s="22"/>
      <c r="D195" s="22"/>
    </row>
    <row r="196" spans="1:4">
      <c r="A196" s="68"/>
      <c r="B196" s="22"/>
      <c r="C196" s="22"/>
      <c r="D196" s="22"/>
    </row>
    <row r="197" spans="1:4">
      <c r="A197" s="68"/>
      <c r="B197" s="22"/>
      <c r="C197" s="22"/>
      <c r="D197" s="22"/>
    </row>
    <row r="198" spans="1:4">
      <c r="A198" s="68"/>
      <c r="B198" s="22"/>
      <c r="C198" s="22"/>
      <c r="D198" s="22"/>
    </row>
    <row r="199" spans="1:4">
      <c r="A199" s="68"/>
      <c r="B199" s="22"/>
      <c r="C199" s="22"/>
      <c r="D199" s="22"/>
    </row>
    <row r="200" spans="1:4">
      <c r="A200" s="68"/>
      <c r="B200" s="22"/>
      <c r="C200" s="22"/>
      <c r="D200" s="22"/>
    </row>
    <row r="201" spans="1:4">
      <c r="A201" s="68"/>
      <c r="B201" s="22"/>
      <c r="C201" s="22"/>
      <c r="D201" s="22"/>
    </row>
    <row r="202" spans="1:4">
      <c r="A202" s="68"/>
      <c r="B202" s="22"/>
      <c r="C202" s="22"/>
      <c r="D202" s="22"/>
    </row>
    <row r="203" spans="1:4">
      <c r="A203" s="68"/>
      <c r="B203" s="22"/>
      <c r="C203" s="22"/>
      <c r="D203" s="22"/>
    </row>
    <row r="204" spans="1:4">
      <c r="A204" s="68"/>
      <c r="B204" s="22"/>
      <c r="C204" s="22"/>
      <c r="D204" s="22"/>
    </row>
    <row r="205" spans="1:4">
      <c r="A205" s="68"/>
      <c r="B205" s="22"/>
      <c r="C205" s="22"/>
      <c r="D205" s="22"/>
    </row>
    <row r="206" spans="1:4">
      <c r="A206" s="68"/>
      <c r="B206" s="22"/>
      <c r="C206" s="22"/>
      <c r="D206" s="22"/>
    </row>
    <row r="207" spans="1:4">
      <c r="A207" s="68"/>
      <c r="B207" s="22"/>
      <c r="C207" s="22"/>
      <c r="D207" s="22"/>
    </row>
    <row r="208" spans="1:4">
      <c r="A208" s="68"/>
      <c r="B208" s="22"/>
      <c r="C208" s="22"/>
      <c r="D208" s="22"/>
    </row>
    <row r="209" spans="1:4">
      <c r="A209" s="68"/>
      <c r="B209" s="22"/>
      <c r="C209" s="22"/>
      <c r="D209" s="22"/>
    </row>
    <row r="210" spans="1:4">
      <c r="A210" s="68"/>
      <c r="B210" s="22"/>
      <c r="C210" s="22"/>
      <c r="D210" s="22"/>
    </row>
    <row r="211" spans="1:4">
      <c r="A211" s="68"/>
      <c r="B211" s="22"/>
      <c r="C211" s="22"/>
      <c r="D211" s="22"/>
    </row>
    <row r="212" spans="1:4">
      <c r="A212" s="68"/>
      <c r="B212" s="22"/>
      <c r="C212" s="22"/>
      <c r="D212" s="22"/>
    </row>
    <row r="213" spans="1:4">
      <c r="A213" s="68"/>
      <c r="B213" s="22"/>
      <c r="C213" s="22"/>
      <c r="D213" s="22"/>
    </row>
    <row r="214" spans="1:4">
      <c r="A214" s="68"/>
      <c r="B214" s="22"/>
      <c r="C214" s="22"/>
      <c r="D214" s="22"/>
    </row>
    <row r="215" spans="1:4">
      <c r="A215" s="68"/>
      <c r="B215" s="22"/>
      <c r="C215" s="22"/>
      <c r="D215" s="22"/>
    </row>
    <row r="216" spans="1:4">
      <c r="A216" s="68"/>
      <c r="B216" s="22"/>
      <c r="C216" s="22"/>
      <c r="D216" s="22"/>
    </row>
    <row r="217" spans="1:4">
      <c r="A217" s="68"/>
      <c r="B217" s="22"/>
      <c r="C217" s="22"/>
      <c r="D217" s="22"/>
    </row>
    <row r="218" spans="1:4">
      <c r="A218" s="68"/>
      <c r="B218" s="22"/>
      <c r="C218" s="22"/>
      <c r="D218" s="22"/>
    </row>
    <row r="219" spans="1:4">
      <c r="A219" s="68"/>
      <c r="B219" s="22"/>
      <c r="C219" s="22"/>
      <c r="D219" s="22"/>
    </row>
    <row r="220" spans="1:4">
      <c r="A220" s="68"/>
      <c r="B220" s="22"/>
      <c r="C220" s="22"/>
      <c r="D220" s="22"/>
    </row>
    <row r="221" spans="1:4">
      <c r="A221" s="68"/>
      <c r="B221" s="22"/>
      <c r="C221" s="22"/>
      <c r="D221" s="22"/>
    </row>
    <row r="222" spans="1:4">
      <c r="A222" s="68"/>
      <c r="B222" s="22"/>
      <c r="C222" s="22"/>
      <c r="D222" s="22"/>
    </row>
    <row r="223" spans="1:4">
      <c r="A223" s="68"/>
      <c r="B223" s="22"/>
      <c r="C223" s="22"/>
      <c r="D223" s="22"/>
    </row>
    <row r="224" spans="1:4">
      <c r="A224" s="68"/>
      <c r="B224" s="22"/>
      <c r="C224" s="22"/>
      <c r="D224" s="22"/>
    </row>
    <row r="225" spans="1:4">
      <c r="A225" s="68"/>
      <c r="B225" s="22"/>
      <c r="C225" s="22"/>
      <c r="D225" s="22"/>
    </row>
    <row r="226" spans="1:4">
      <c r="A226" s="68"/>
      <c r="B226" s="22"/>
      <c r="C226" s="22"/>
      <c r="D226" s="22"/>
    </row>
    <row r="227" spans="1:4">
      <c r="A227" s="68"/>
      <c r="B227" s="22"/>
      <c r="C227" s="22"/>
      <c r="D227" s="22"/>
    </row>
    <row r="228" spans="1:4">
      <c r="A228" s="68"/>
      <c r="B228" s="22"/>
      <c r="C228" s="22"/>
      <c r="D228" s="22"/>
    </row>
    <row r="229" spans="1:4">
      <c r="A229" s="68"/>
      <c r="B229" s="22"/>
      <c r="C229" s="22"/>
      <c r="D229" s="22"/>
    </row>
    <row r="230" spans="1:4">
      <c r="A230" s="68"/>
      <c r="B230" s="22"/>
      <c r="C230" s="22"/>
      <c r="D230" s="22"/>
    </row>
    <row r="231" spans="1:4">
      <c r="A231" s="68"/>
      <c r="B231" s="22"/>
      <c r="C231" s="22"/>
      <c r="D231" s="22"/>
    </row>
    <row r="232" spans="1:4">
      <c r="A232" s="68"/>
      <c r="B232" s="22"/>
      <c r="C232" s="22"/>
      <c r="D232" s="22"/>
    </row>
    <row r="233" spans="1:4">
      <c r="A233" s="68"/>
      <c r="B233" s="22"/>
      <c r="C233" s="22"/>
      <c r="D233" s="22"/>
    </row>
    <row r="234" spans="1:4">
      <c r="A234" s="68"/>
      <c r="B234" s="22"/>
      <c r="C234" s="22"/>
      <c r="D234" s="22"/>
    </row>
    <row r="235" spans="1:4">
      <c r="A235" s="68"/>
      <c r="B235" s="22"/>
      <c r="C235" s="22"/>
      <c r="D235" s="22"/>
    </row>
    <row r="236" spans="1:4">
      <c r="A236" s="68"/>
      <c r="B236" s="22"/>
      <c r="C236" s="22"/>
      <c r="D236" s="22"/>
    </row>
    <row r="237" spans="1:4">
      <c r="A237" s="68"/>
      <c r="B237" s="22"/>
      <c r="C237" s="22"/>
      <c r="D237" s="22"/>
    </row>
    <row r="238" spans="1:4">
      <c r="A238" s="68"/>
      <c r="B238" s="22"/>
      <c r="C238" s="22"/>
      <c r="D238" s="22"/>
    </row>
    <row r="239" spans="1:4">
      <c r="A239" s="68"/>
      <c r="B239" s="22"/>
      <c r="C239" s="22"/>
      <c r="D239" s="22"/>
    </row>
    <row r="240" spans="1:4">
      <c r="A240" s="68"/>
      <c r="B240" s="22"/>
      <c r="C240" s="22"/>
      <c r="D240" s="22"/>
    </row>
    <row r="241" spans="1:4">
      <c r="A241" s="68"/>
      <c r="B241" s="22"/>
      <c r="C241" s="22"/>
      <c r="D241" s="22"/>
    </row>
    <row r="242" spans="1:4">
      <c r="A242" s="68"/>
      <c r="B242" s="22"/>
      <c r="C242" s="22"/>
      <c r="D242" s="22"/>
    </row>
    <row r="243" spans="1:4">
      <c r="A243" s="68"/>
      <c r="B243" s="22"/>
      <c r="C243" s="22"/>
      <c r="D243" s="22"/>
    </row>
    <row r="244" spans="1:4">
      <c r="A244" s="68"/>
      <c r="B244" s="22"/>
      <c r="C244" s="22"/>
      <c r="D244" s="22"/>
    </row>
    <row r="245" spans="1:4">
      <c r="A245" s="68"/>
      <c r="B245" s="22"/>
      <c r="C245" s="22"/>
      <c r="D245" s="22"/>
    </row>
    <row r="246" spans="1:4">
      <c r="A246" s="68"/>
      <c r="B246" s="22"/>
      <c r="C246" s="22"/>
      <c r="D246" s="22"/>
    </row>
    <row r="247" spans="1:4">
      <c r="A247" s="68"/>
      <c r="B247" s="22"/>
      <c r="C247" s="22"/>
      <c r="D247" s="22"/>
    </row>
    <row r="248" spans="1:4">
      <c r="A248" s="68"/>
      <c r="B248" s="22"/>
      <c r="C248" s="22"/>
      <c r="D248" s="22"/>
    </row>
    <row r="249" spans="1:4">
      <c r="A249" s="68"/>
      <c r="B249" s="22"/>
      <c r="C249" s="22"/>
      <c r="D249" s="22"/>
    </row>
    <row r="250" spans="1:4">
      <c r="A250" s="68"/>
      <c r="B250" s="22"/>
      <c r="C250" s="22"/>
      <c r="D250" s="22"/>
    </row>
    <row r="251" spans="1:4">
      <c r="A251" s="68"/>
      <c r="B251" s="22"/>
      <c r="C251" s="22"/>
      <c r="D251" s="22"/>
    </row>
    <row r="252" spans="1:4">
      <c r="A252" s="68"/>
      <c r="B252" s="22"/>
      <c r="C252" s="22"/>
      <c r="D252" s="22"/>
    </row>
    <row r="253" spans="1:4">
      <c r="A253" s="68"/>
      <c r="B253" s="22"/>
      <c r="C253" s="22"/>
      <c r="D253" s="22"/>
    </row>
    <row r="254" spans="1:4">
      <c r="A254" s="68"/>
      <c r="B254" s="22"/>
      <c r="C254" s="22"/>
      <c r="D254" s="22"/>
    </row>
    <row r="255" spans="1:4">
      <c r="A255" s="68"/>
      <c r="B255" s="22"/>
      <c r="C255" s="22"/>
      <c r="D255" s="22"/>
    </row>
    <row r="256" spans="1:4">
      <c r="A256" s="68"/>
      <c r="B256" s="22"/>
      <c r="C256" s="22"/>
      <c r="D256" s="22"/>
    </row>
    <row r="257" spans="1:4">
      <c r="A257" s="68"/>
      <c r="B257" s="22"/>
      <c r="C257" s="22"/>
      <c r="D257" s="22"/>
    </row>
    <row r="258" spans="1:4">
      <c r="A258" s="68"/>
      <c r="B258" s="22"/>
      <c r="C258" s="22"/>
      <c r="D258" s="22"/>
    </row>
    <row r="259" spans="1:4">
      <c r="A259" s="68"/>
      <c r="B259" s="22"/>
      <c r="C259" s="22"/>
      <c r="D259" s="22"/>
    </row>
    <row r="260" spans="1:4">
      <c r="A260" s="68"/>
      <c r="B260" s="22"/>
      <c r="C260" s="22"/>
      <c r="D260" s="22"/>
    </row>
    <row r="261" spans="1:4">
      <c r="A261" s="68"/>
      <c r="B261" s="22"/>
      <c r="C261" s="22"/>
      <c r="D261" s="22"/>
    </row>
    <row r="262" spans="1:4">
      <c r="A262" s="68"/>
      <c r="B262" s="22"/>
      <c r="C262" s="22"/>
      <c r="D262" s="22"/>
    </row>
    <row r="263" spans="1:4">
      <c r="A263" s="68"/>
      <c r="B263" s="22"/>
      <c r="C263" s="22"/>
      <c r="D263" s="22"/>
    </row>
    <row r="264" spans="1:4">
      <c r="A264" s="68"/>
      <c r="B264" s="22"/>
      <c r="C264" s="22"/>
      <c r="D264" s="22"/>
    </row>
    <row r="265" spans="1:4">
      <c r="A265" s="68"/>
      <c r="B265" s="22"/>
      <c r="C265" s="22"/>
      <c r="D265" s="22"/>
    </row>
    <row r="266" spans="1:4">
      <c r="A266" s="68"/>
      <c r="B266" s="22"/>
      <c r="C266" s="22"/>
      <c r="D266" s="22"/>
    </row>
    <row r="267" spans="1:4">
      <c r="A267" s="68"/>
      <c r="B267" s="22"/>
      <c r="C267" s="22"/>
      <c r="D267" s="22"/>
    </row>
    <row r="268" spans="1:4">
      <c r="A268" s="68"/>
      <c r="B268" s="22"/>
      <c r="C268" s="22"/>
      <c r="D268" s="22"/>
    </row>
    <row r="269" spans="1:4">
      <c r="A269" s="68"/>
      <c r="B269" s="22"/>
      <c r="C269" s="22"/>
      <c r="D269" s="22"/>
    </row>
    <row r="270" spans="1:4">
      <c r="A270" s="68"/>
      <c r="B270" s="22"/>
      <c r="C270" s="22"/>
      <c r="D270" s="22"/>
    </row>
    <row r="271" spans="1:4">
      <c r="A271" s="68"/>
      <c r="B271" s="22"/>
      <c r="C271" s="22"/>
      <c r="D271" s="22"/>
    </row>
    <row r="272" spans="1:4">
      <c r="A272" s="68"/>
      <c r="B272" s="22"/>
      <c r="C272" s="22"/>
      <c r="D272" s="22"/>
    </row>
    <row r="273" spans="1:4">
      <c r="A273" s="68"/>
      <c r="B273" s="22"/>
      <c r="C273" s="22"/>
      <c r="D273" s="22"/>
    </row>
    <row r="274" spans="1:4">
      <c r="A274" s="68"/>
      <c r="B274" s="22"/>
      <c r="C274" s="22"/>
      <c r="D274" s="22"/>
    </row>
    <row r="275" spans="1:4">
      <c r="A275" s="68"/>
      <c r="B275" s="22"/>
      <c r="C275" s="22"/>
      <c r="D275" s="22"/>
    </row>
    <row r="276" spans="1:4">
      <c r="A276" s="68"/>
      <c r="B276" s="22"/>
      <c r="C276" s="22"/>
      <c r="D276" s="22"/>
    </row>
    <row r="277" spans="1:4">
      <c r="A277" s="68"/>
      <c r="B277" s="22"/>
      <c r="C277" s="22"/>
      <c r="D277" s="22"/>
    </row>
    <row r="278" spans="1:4">
      <c r="A278" s="68"/>
      <c r="B278" s="22"/>
      <c r="C278" s="22"/>
      <c r="D278" s="22"/>
    </row>
    <row r="279" spans="1:4">
      <c r="A279" s="68"/>
      <c r="B279" s="22"/>
      <c r="C279" s="22"/>
      <c r="D279" s="22"/>
    </row>
    <row r="280" spans="1:4">
      <c r="A280" s="68"/>
      <c r="B280" s="22"/>
      <c r="C280" s="22"/>
      <c r="D280" s="22"/>
    </row>
    <row r="281" spans="1:4">
      <c r="A281" s="68"/>
      <c r="B281" s="22"/>
      <c r="C281" s="22"/>
      <c r="D281" s="22"/>
    </row>
    <row r="282" spans="1:4">
      <c r="A282" s="68"/>
      <c r="B282" s="22"/>
      <c r="C282" s="22"/>
      <c r="D282" s="22"/>
    </row>
    <row r="283" spans="1:4">
      <c r="A283" s="68"/>
      <c r="B283" s="22"/>
      <c r="C283" s="22"/>
      <c r="D283" s="22"/>
    </row>
    <row r="284" spans="1:4">
      <c r="A284" s="68"/>
      <c r="B284" s="22"/>
      <c r="C284" s="22"/>
      <c r="D284" s="22"/>
    </row>
    <row r="285" spans="1:4">
      <c r="A285" s="68"/>
      <c r="B285" s="22"/>
      <c r="C285" s="22"/>
      <c r="D285" s="22"/>
    </row>
    <row r="286" spans="1:4">
      <c r="A286" s="68"/>
      <c r="B286" s="22"/>
      <c r="C286" s="22"/>
      <c r="D286" s="22"/>
    </row>
    <row r="287" spans="1:4">
      <c r="A287" s="68"/>
      <c r="B287" s="22"/>
      <c r="C287" s="22"/>
      <c r="D287" s="22"/>
    </row>
    <row r="288" spans="1:4">
      <c r="A288" s="68"/>
      <c r="B288" s="22"/>
      <c r="C288" s="22"/>
      <c r="D288" s="22"/>
    </row>
    <row r="289" spans="1:4">
      <c r="A289" s="68"/>
      <c r="B289" s="22"/>
      <c r="C289" s="22"/>
      <c r="D289" s="22"/>
    </row>
    <row r="290" spans="1:4">
      <c r="A290" s="68"/>
      <c r="B290" s="22"/>
      <c r="C290" s="22"/>
      <c r="D290" s="22"/>
    </row>
    <row r="291" spans="1:4">
      <c r="A291" s="68"/>
      <c r="B291" s="22"/>
      <c r="C291" s="22"/>
      <c r="D291" s="22"/>
    </row>
    <row r="292" spans="1:4">
      <c r="A292" s="68"/>
      <c r="B292" s="22"/>
      <c r="C292" s="22"/>
      <c r="D292" s="22"/>
    </row>
    <row r="293" spans="1:4">
      <c r="A293" s="68"/>
      <c r="B293" s="22"/>
      <c r="C293" s="22"/>
      <c r="D293" s="22"/>
    </row>
    <row r="294" spans="1:4">
      <c r="A294" s="68"/>
      <c r="B294" s="22"/>
      <c r="C294" s="22"/>
      <c r="D294" s="22"/>
    </row>
    <row r="295" spans="1:4">
      <c r="A295" s="68"/>
      <c r="B295" s="22"/>
      <c r="C295" s="22"/>
      <c r="D295" s="22"/>
    </row>
    <row r="296" spans="1:4">
      <c r="A296" s="68"/>
      <c r="B296" s="22"/>
      <c r="C296" s="22"/>
      <c r="D296" s="22"/>
    </row>
    <row r="297" spans="1:4">
      <c r="A297" s="68"/>
      <c r="B297" s="22"/>
      <c r="C297" s="22"/>
      <c r="D297" s="22"/>
    </row>
    <row r="298" spans="1:4">
      <c r="A298" s="68"/>
      <c r="B298" s="22"/>
      <c r="C298" s="22"/>
      <c r="D298" s="22"/>
    </row>
    <row r="299" spans="1:4">
      <c r="A299" s="68"/>
      <c r="B299" s="22"/>
      <c r="C299" s="22"/>
      <c r="D299" s="22"/>
    </row>
    <row r="300" spans="1:4">
      <c r="A300" s="68"/>
      <c r="B300" s="22"/>
      <c r="C300" s="22"/>
      <c r="D300" s="22"/>
    </row>
    <row r="301" spans="1:4">
      <c r="A301" s="68"/>
      <c r="B301" s="22"/>
      <c r="C301" s="22"/>
      <c r="D301" s="22"/>
    </row>
    <row r="302" spans="1:4">
      <c r="A302" s="68"/>
      <c r="B302" s="22"/>
      <c r="C302" s="22"/>
      <c r="D302" s="22"/>
    </row>
    <row r="303" spans="1:4">
      <c r="A303" s="68"/>
      <c r="B303" s="22"/>
      <c r="C303" s="22"/>
      <c r="D303" s="22"/>
    </row>
    <row r="304" spans="1:4">
      <c r="A304" s="68"/>
      <c r="B304" s="22"/>
      <c r="C304" s="22"/>
      <c r="D304" s="22"/>
    </row>
    <row r="305" spans="1:4">
      <c r="A305" s="68"/>
      <c r="B305" s="22"/>
      <c r="C305" s="22"/>
      <c r="D305" s="22"/>
    </row>
    <row r="306" spans="1:4">
      <c r="A306" s="68"/>
      <c r="B306" s="22"/>
      <c r="C306" s="22"/>
      <c r="D306" s="22"/>
    </row>
    <row r="307" spans="1:4">
      <c r="A307" s="68"/>
      <c r="B307" s="22"/>
      <c r="C307" s="22"/>
      <c r="D307" s="22"/>
    </row>
    <row r="308" spans="1:4">
      <c r="A308" s="68"/>
      <c r="B308" s="22"/>
      <c r="C308" s="22"/>
      <c r="D308" s="22"/>
    </row>
    <row r="309" spans="1:4">
      <c r="A309" s="68"/>
      <c r="B309" s="22"/>
      <c r="C309" s="22"/>
      <c r="D309" s="22"/>
    </row>
    <row r="310" spans="1:4">
      <c r="A310" s="68"/>
      <c r="B310" s="22"/>
      <c r="C310" s="22"/>
      <c r="D310" s="22"/>
    </row>
    <row r="311" spans="1:4">
      <c r="A311" s="68"/>
      <c r="B311" s="22"/>
      <c r="C311" s="22"/>
      <c r="D311" s="22"/>
    </row>
    <row r="312" spans="1:4">
      <c r="A312" s="68"/>
      <c r="B312" s="22"/>
      <c r="C312" s="22"/>
      <c r="D312" s="22"/>
    </row>
    <row r="313" spans="1:4">
      <c r="A313" s="68"/>
      <c r="B313" s="22"/>
      <c r="C313" s="22"/>
      <c r="D313" s="22"/>
    </row>
    <row r="314" spans="1:4">
      <c r="A314" s="68"/>
      <c r="B314" s="22"/>
      <c r="C314" s="22"/>
      <c r="D314" s="22"/>
    </row>
    <row r="315" spans="1:4">
      <c r="A315" s="68"/>
      <c r="B315" s="22"/>
      <c r="C315" s="22"/>
      <c r="D315" s="22"/>
    </row>
    <row r="316" spans="1:4">
      <c r="A316" s="68"/>
      <c r="B316" s="22"/>
      <c r="C316" s="22"/>
      <c r="D316" s="22"/>
    </row>
    <row r="317" spans="1:4">
      <c r="A317" s="68"/>
      <c r="B317" s="22"/>
      <c r="C317" s="22"/>
      <c r="D317" s="22"/>
    </row>
    <row r="318" spans="1:4">
      <c r="A318" s="68"/>
      <c r="B318" s="22"/>
      <c r="C318" s="22"/>
      <c r="D318" s="22"/>
    </row>
    <row r="319" spans="1:4">
      <c r="A319" s="68"/>
      <c r="B319" s="22"/>
      <c r="C319" s="22"/>
      <c r="D319" s="22"/>
    </row>
    <row r="320" spans="1:4">
      <c r="A320" s="68"/>
      <c r="B320" s="22"/>
      <c r="C320" s="22"/>
      <c r="D320" s="22"/>
    </row>
    <row r="321" spans="1:4">
      <c r="A321" s="68"/>
      <c r="B321" s="22"/>
      <c r="C321" s="22"/>
      <c r="D321" s="22"/>
    </row>
    <row r="322" spans="1:4">
      <c r="A322" s="68"/>
      <c r="B322" s="22"/>
      <c r="C322" s="22"/>
      <c r="D322" s="22"/>
    </row>
    <row r="323" spans="1:4">
      <c r="A323" s="68"/>
      <c r="B323" s="22"/>
      <c r="C323" s="22"/>
      <c r="D323" s="22"/>
    </row>
    <row r="324" spans="1:4">
      <c r="A324" s="68"/>
      <c r="B324" s="22"/>
      <c r="C324" s="22"/>
      <c r="D324" s="22"/>
    </row>
    <row r="325" spans="1:4">
      <c r="A325" s="68"/>
      <c r="B325" s="22"/>
      <c r="C325" s="22"/>
      <c r="D325" s="22"/>
    </row>
    <row r="326" spans="1:4">
      <c r="A326" s="68"/>
      <c r="B326" s="22"/>
      <c r="C326" s="22"/>
      <c r="D326" s="22"/>
    </row>
    <row r="327" spans="1:4">
      <c r="A327" s="68"/>
      <c r="B327" s="22"/>
      <c r="C327" s="22"/>
      <c r="D327" s="22"/>
    </row>
    <row r="328" spans="1:4">
      <c r="A328" s="68"/>
      <c r="B328" s="22"/>
      <c r="C328" s="22"/>
      <c r="D328" s="22"/>
    </row>
    <row r="329" spans="1:4">
      <c r="A329" s="68"/>
      <c r="B329" s="22"/>
      <c r="C329" s="22"/>
      <c r="D329" s="22"/>
    </row>
    <row r="330" spans="1:4">
      <c r="A330" s="68"/>
      <c r="B330" s="22"/>
      <c r="C330" s="22"/>
      <c r="D330" s="22"/>
    </row>
    <row r="331" spans="1:4">
      <c r="A331" s="68"/>
      <c r="B331" s="22"/>
      <c r="C331" s="22"/>
      <c r="D331" s="22"/>
    </row>
    <row r="332" spans="1:4">
      <c r="A332" s="68"/>
      <c r="B332" s="22"/>
      <c r="C332" s="22"/>
      <c r="D332" s="22"/>
    </row>
    <row r="333" spans="1:4">
      <c r="A333" s="68"/>
      <c r="B333" s="22"/>
      <c r="C333" s="22"/>
      <c r="D333" s="22"/>
    </row>
    <row r="334" spans="1:4">
      <c r="A334" s="68"/>
      <c r="B334" s="22"/>
      <c r="C334" s="22"/>
      <c r="D334" s="22"/>
    </row>
    <row r="335" spans="1:4">
      <c r="A335" s="68"/>
      <c r="B335" s="22"/>
      <c r="C335" s="22"/>
      <c r="D335" s="22"/>
    </row>
    <row r="336" spans="1:4">
      <c r="A336" s="68"/>
      <c r="B336" s="22"/>
      <c r="C336" s="22"/>
      <c r="D336" s="22"/>
    </row>
    <row r="337" spans="1:4">
      <c r="A337" s="68"/>
      <c r="B337" s="22"/>
      <c r="C337" s="22"/>
      <c r="D337" s="22"/>
    </row>
    <row r="338" spans="1:4">
      <c r="A338" s="68"/>
      <c r="B338" s="22"/>
      <c r="C338" s="22"/>
      <c r="D338" s="22"/>
    </row>
    <row r="339" spans="1:4">
      <c r="A339" s="68"/>
      <c r="B339" s="22"/>
      <c r="C339" s="22"/>
      <c r="D339" s="22"/>
    </row>
    <row r="340" spans="1:4">
      <c r="A340" s="68"/>
      <c r="B340" s="22"/>
      <c r="C340" s="22"/>
      <c r="D340" s="22"/>
    </row>
    <row r="341" spans="1:4">
      <c r="A341" s="68"/>
      <c r="B341" s="22"/>
      <c r="C341" s="22"/>
      <c r="D341" s="22"/>
    </row>
    <row r="342" spans="1:4">
      <c r="A342" s="68"/>
      <c r="B342" s="22"/>
      <c r="C342" s="22"/>
      <c r="D342" s="22"/>
    </row>
    <row r="343" spans="1:4">
      <c r="A343" s="68"/>
      <c r="B343" s="22"/>
      <c r="C343" s="22"/>
      <c r="D343" s="22"/>
    </row>
    <row r="344" spans="1:4">
      <c r="A344" s="68"/>
      <c r="B344" s="22"/>
      <c r="C344" s="22"/>
      <c r="D344" s="22"/>
    </row>
    <row r="345" spans="1:4">
      <c r="A345" s="68"/>
      <c r="B345" s="22"/>
      <c r="C345" s="22"/>
      <c r="D345" s="22"/>
    </row>
    <row r="346" spans="1:4">
      <c r="A346" s="68"/>
      <c r="B346" s="22"/>
      <c r="C346" s="22"/>
      <c r="D346" s="22"/>
    </row>
    <row r="347" spans="1:4">
      <c r="A347" s="68"/>
      <c r="B347" s="22"/>
      <c r="C347" s="22"/>
      <c r="D347" s="22"/>
    </row>
    <row r="348" spans="1:4">
      <c r="A348" s="68"/>
      <c r="B348" s="22"/>
      <c r="C348" s="22"/>
      <c r="D348" s="22"/>
    </row>
    <row r="349" spans="1:4">
      <c r="A349" s="68"/>
      <c r="B349" s="22"/>
      <c r="C349" s="22"/>
      <c r="D349" s="22"/>
    </row>
    <row r="350" spans="1:4">
      <c r="A350" s="68"/>
      <c r="B350" s="22"/>
      <c r="C350" s="22"/>
      <c r="D350" s="22"/>
    </row>
    <row r="351" spans="1:4">
      <c r="A351" s="68"/>
      <c r="B351" s="22"/>
      <c r="C351" s="22"/>
      <c r="D351" s="22"/>
    </row>
    <row r="352" spans="1:4">
      <c r="A352" s="68"/>
      <c r="B352" s="22"/>
      <c r="C352" s="22"/>
      <c r="D352" s="22"/>
    </row>
    <row r="353" spans="1:4">
      <c r="A353" s="68"/>
      <c r="B353" s="22"/>
      <c r="C353" s="22"/>
      <c r="D353" s="22"/>
    </row>
    <row r="354" spans="1:4">
      <c r="A354" s="68"/>
      <c r="B354" s="22"/>
      <c r="C354" s="22"/>
      <c r="D354" s="22"/>
    </row>
    <row r="355" spans="1:4">
      <c r="A355" s="68"/>
      <c r="B355" s="22"/>
      <c r="C355" s="22"/>
      <c r="D355" s="22"/>
    </row>
    <row r="356" spans="1:4">
      <c r="A356" s="68"/>
      <c r="B356" s="22"/>
      <c r="C356" s="22"/>
      <c r="D356" s="22"/>
    </row>
    <row r="357" spans="1:4">
      <c r="A357" s="68"/>
      <c r="B357" s="22"/>
      <c r="C357" s="22"/>
      <c r="D357" s="22"/>
    </row>
    <row r="358" spans="1:4">
      <c r="A358" s="68"/>
      <c r="B358" s="22"/>
      <c r="C358" s="22"/>
      <c r="D358" s="22"/>
    </row>
    <row r="359" spans="1:4">
      <c r="A359" s="68"/>
      <c r="B359" s="22"/>
      <c r="C359" s="22"/>
      <c r="D359" s="22"/>
    </row>
    <row r="360" spans="1:4">
      <c r="A360" s="68"/>
      <c r="B360" s="22"/>
      <c r="C360" s="22"/>
      <c r="D360" s="22"/>
    </row>
    <row r="361" spans="1:4">
      <c r="A361" s="68"/>
      <c r="B361" s="22"/>
      <c r="C361" s="22"/>
      <c r="D361" s="22"/>
    </row>
    <row r="362" spans="1:4">
      <c r="A362" s="68"/>
      <c r="B362" s="22"/>
      <c r="C362" s="22"/>
      <c r="D362" s="22"/>
    </row>
    <row r="363" spans="1:4">
      <c r="A363" s="68"/>
      <c r="B363" s="22"/>
      <c r="C363" s="22"/>
      <c r="D363" s="22"/>
    </row>
    <row r="364" spans="1:4">
      <c r="A364" s="68"/>
      <c r="B364" s="22"/>
      <c r="C364" s="22"/>
      <c r="D364" s="22"/>
    </row>
    <row r="365" spans="1:4">
      <c r="A365" s="68"/>
      <c r="B365" s="22"/>
      <c r="C365" s="22"/>
      <c r="D365" s="22"/>
    </row>
    <row r="366" spans="1:4">
      <c r="A366" s="68"/>
      <c r="B366" s="22"/>
      <c r="C366" s="22"/>
      <c r="D366" s="22"/>
    </row>
    <row r="367" spans="1:4">
      <c r="A367" s="68"/>
      <c r="B367" s="22"/>
      <c r="C367" s="22"/>
      <c r="D367" s="22"/>
    </row>
    <row r="368" spans="1:4">
      <c r="A368" s="68"/>
      <c r="B368" s="22"/>
      <c r="C368" s="22"/>
      <c r="D368" s="22"/>
    </row>
    <row r="369" spans="1:4">
      <c r="A369" s="68"/>
      <c r="B369" s="22"/>
      <c r="C369" s="22"/>
      <c r="D369" s="22"/>
    </row>
    <row r="370" spans="1:4">
      <c r="A370" s="68"/>
      <c r="B370" s="22"/>
      <c r="C370" s="22"/>
      <c r="D370" s="22"/>
    </row>
    <row r="371" spans="1:4">
      <c r="A371" s="68"/>
      <c r="B371" s="22"/>
      <c r="C371" s="22"/>
      <c r="D371" s="22"/>
    </row>
    <row r="372" spans="1:4">
      <c r="A372" s="68"/>
      <c r="B372" s="22"/>
      <c r="C372" s="22"/>
      <c r="D372" s="22"/>
    </row>
    <row r="373" spans="1:4">
      <c r="A373" s="68"/>
      <c r="B373" s="22"/>
      <c r="C373" s="22"/>
      <c r="D373" s="22"/>
    </row>
    <row r="374" spans="1:4">
      <c r="A374" s="68"/>
      <c r="B374" s="22"/>
      <c r="C374" s="22"/>
      <c r="D374" s="22"/>
    </row>
    <row r="375" spans="1:4">
      <c r="A375" s="68"/>
      <c r="B375" s="22"/>
      <c r="C375" s="22"/>
      <c r="D375" s="22"/>
    </row>
    <row r="376" spans="1:4">
      <c r="A376" s="68"/>
      <c r="B376" s="22"/>
      <c r="C376" s="22"/>
      <c r="D376" s="22"/>
    </row>
    <row r="377" spans="1:4">
      <c r="A377" s="68"/>
      <c r="B377" s="22"/>
      <c r="C377" s="22"/>
      <c r="D377" s="22"/>
    </row>
    <row r="378" spans="1:4">
      <c r="A378" s="68"/>
      <c r="B378" s="22"/>
      <c r="C378" s="22"/>
      <c r="D378" s="22"/>
    </row>
    <row r="379" spans="1:4">
      <c r="A379" s="68"/>
      <c r="B379" s="22"/>
      <c r="C379" s="22"/>
      <c r="D379" s="22"/>
    </row>
    <row r="380" spans="1:4">
      <c r="A380" s="68"/>
      <c r="B380" s="22"/>
      <c r="C380" s="22"/>
      <c r="D380" s="22"/>
    </row>
    <row r="381" spans="1:4">
      <c r="A381" s="68"/>
      <c r="B381" s="22"/>
      <c r="C381" s="22"/>
      <c r="D381" s="22"/>
    </row>
    <row r="382" spans="1:4">
      <c r="A382" s="68"/>
      <c r="B382" s="22"/>
      <c r="C382" s="22"/>
      <c r="D382" s="22"/>
    </row>
    <row r="383" spans="1:4">
      <c r="A383" s="68"/>
      <c r="B383" s="22"/>
      <c r="C383" s="22"/>
      <c r="D383" s="22"/>
    </row>
    <row r="384" spans="1:4">
      <c r="A384" s="68"/>
      <c r="B384" s="22"/>
      <c r="C384" s="22"/>
      <c r="D384" s="22"/>
    </row>
    <row r="385" spans="1:4">
      <c r="A385" s="68"/>
      <c r="B385" s="22"/>
      <c r="C385" s="22"/>
      <c r="D385" s="22"/>
    </row>
    <row r="386" spans="1:4">
      <c r="A386" s="68"/>
      <c r="B386" s="22"/>
      <c r="C386" s="22"/>
      <c r="D386" s="22"/>
    </row>
    <row r="387" spans="1:4">
      <c r="A387" s="68"/>
      <c r="B387" s="22"/>
      <c r="C387" s="22"/>
      <c r="D387" s="22"/>
    </row>
    <row r="388" spans="1:4">
      <c r="A388" s="68"/>
      <c r="B388" s="22"/>
      <c r="C388" s="22"/>
      <c r="D388" s="22"/>
    </row>
    <row r="389" spans="1:4">
      <c r="A389" s="68"/>
      <c r="B389" s="22"/>
      <c r="C389" s="22"/>
      <c r="D389" s="22"/>
    </row>
    <row r="390" spans="1:4">
      <c r="A390" s="68"/>
      <c r="B390" s="22"/>
      <c r="C390" s="22"/>
      <c r="D390" s="22"/>
    </row>
    <row r="391" spans="1:4">
      <c r="A391" s="68"/>
      <c r="B391" s="22"/>
      <c r="C391" s="22"/>
      <c r="D391" s="22"/>
    </row>
    <row r="392" spans="1:4">
      <c r="A392" s="68"/>
      <c r="B392" s="22"/>
      <c r="C392" s="22"/>
      <c r="D392" s="22"/>
    </row>
    <row r="393" spans="1:4">
      <c r="A393" s="68"/>
      <c r="B393" s="22"/>
      <c r="C393" s="22"/>
      <c r="D393" s="22"/>
    </row>
    <row r="394" spans="1:4">
      <c r="A394" s="68"/>
      <c r="B394" s="22"/>
      <c r="C394" s="22"/>
      <c r="D394" s="22"/>
    </row>
    <row r="395" spans="1:4">
      <c r="A395" s="68"/>
      <c r="B395" s="22"/>
      <c r="C395" s="22"/>
      <c r="D395" s="22"/>
    </row>
    <row r="396" spans="1:4">
      <c r="A396" s="68"/>
      <c r="B396" s="22"/>
      <c r="C396" s="22"/>
      <c r="D396" s="22"/>
    </row>
    <row r="397" spans="1:4">
      <c r="A397" s="68"/>
      <c r="B397" s="22"/>
      <c r="C397" s="22"/>
      <c r="D397" s="22"/>
    </row>
    <row r="398" spans="1:4">
      <c r="A398" s="68"/>
      <c r="B398" s="22"/>
      <c r="C398" s="22"/>
      <c r="D398" s="22"/>
    </row>
    <row r="399" spans="1:4">
      <c r="A399" s="68"/>
      <c r="B399" s="22"/>
      <c r="C399" s="22"/>
      <c r="D399" s="22"/>
    </row>
    <row r="400" spans="1:4">
      <c r="A400" s="68"/>
      <c r="B400" s="22"/>
      <c r="C400" s="22"/>
      <c r="D400" s="22"/>
    </row>
    <row r="401" spans="1:4">
      <c r="A401" s="68"/>
      <c r="B401" s="22"/>
      <c r="C401" s="22"/>
      <c r="D401" s="22"/>
    </row>
    <row r="402" spans="1:4">
      <c r="A402" s="68"/>
      <c r="B402" s="22"/>
      <c r="C402" s="22"/>
      <c r="D402" s="22"/>
    </row>
    <row r="403" spans="1:4">
      <c r="A403" s="68"/>
      <c r="B403" s="22"/>
      <c r="C403" s="22"/>
      <c r="D403" s="22"/>
    </row>
    <row r="404" spans="1:4">
      <c r="A404" s="68"/>
      <c r="B404" s="22"/>
      <c r="C404" s="22"/>
      <c r="D404" s="22"/>
    </row>
    <row r="405" spans="1:4">
      <c r="A405" s="68"/>
      <c r="B405" s="22"/>
      <c r="C405" s="22"/>
      <c r="D405" s="22"/>
    </row>
    <row r="406" spans="1:4">
      <c r="A406" s="68"/>
      <c r="B406" s="22"/>
      <c r="C406" s="22"/>
      <c r="D406" s="22"/>
    </row>
    <row r="407" spans="1:4">
      <c r="A407" s="68"/>
      <c r="B407" s="22"/>
      <c r="C407" s="22"/>
      <c r="D407" s="22"/>
    </row>
    <row r="408" spans="1:4">
      <c r="A408" s="68"/>
      <c r="B408" s="22"/>
      <c r="C408" s="22"/>
      <c r="D408" s="22"/>
    </row>
    <row r="409" spans="1:4">
      <c r="A409" s="68"/>
      <c r="B409" s="22"/>
      <c r="C409" s="22"/>
      <c r="D409" s="22"/>
    </row>
    <row r="410" spans="1:4">
      <c r="A410" s="68"/>
      <c r="B410" s="22"/>
      <c r="C410" s="22"/>
      <c r="D410" s="22"/>
    </row>
    <row r="411" spans="1:4">
      <c r="A411" s="68"/>
      <c r="B411" s="22"/>
      <c r="C411" s="22"/>
      <c r="D411" s="22"/>
    </row>
    <row r="412" spans="1:4">
      <c r="A412" s="68"/>
      <c r="B412" s="22"/>
      <c r="C412" s="22"/>
      <c r="D412" s="22"/>
    </row>
    <row r="413" spans="1:4">
      <c r="A413" s="68"/>
      <c r="B413" s="22"/>
      <c r="C413" s="22"/>
      <c r="D413" s="22"/>
    </row>
    <row r="414" spans="1:4">
      <c r="A414" s="68"/>
      <c r="B414" s="22"/>
      <c r="C414" s="22"/>
      <c r="D414" s="22"/>
    </row>
    <row r="415" spans="1:4">
      <c r="A415" s="68"/>
      <c r="B415" s="22"/>
      <c r="C415" s="22"/>
      <c r="D415" s="22"/>
    </row>
    <row r="416" spans="1:4">
      <c r="A416" s="68"/>
      <c r="B416" s="22"/>
      <c r="C416" s="22"/>
      <c r="D416" s="22"/>
    </row>
    <row r="417" spans="1:4">
      <c r="A417" s="68"/>
      <c r="B417" s="22"/>
      <c r="C417" s="22"/>
      <c r="D417" s="22"/>
    </row>
    <row r="418" spans="1:4">
      <c r="A418" s="68"/>
      <c r="B418" s="22"/>
      <c r="C418" s="22"/>
      <c r="D418" s="22"/>
    </row>
    <row r="419" spans="1:4">
      <c r="A419" s="68"/>
      <c r="B419" s="22"/>
      <c r="C419" s="22"/>
      <c r="D419" s="22"/>
    </row>
    <row r="420" spans="1:4">
      <c r="A420" s="68"/>
      <c r="B420" s="22"/>
      <c r="C420" s="22"/>
      <c r="D420" s="22"/>
    </row>
    <row r="421" spans="1:4">
      <c r="A421" s="68"/>
      <c r="B421" s="22"/>
      <c r="C421" s="22"/>
      <c r="D421" s="22"/>
    </row>
    <row r="422" spans="1:4">
      <c r="A422" s="68"/>
      <c r="B422" s="22"/>
      <c r="C422" s="22"/>
      <c r="D422" s="22"/>
    </row>
    <row r="423" spans="1:4">
      <c r="A423" s="68"/>
      <c r="B423" s="22"/>
      <c r="C423" s="22"/>
      <c r="D423" s="22"/>
    </row>
    <row r="424" spans="1:4">
      <c r="A424" s="68"/>
      <c r="B424" s="22"/>
      <c r="C424" s="22"/>
      <c r="D424" s="22"/>
    </row>
    <row r="425" spans="1:4">
      <c r="A425" s="68"/>
      <c r="B425" s="22"/>
      <c r="C425" s="22"/>
      <c r="D425" s="22"/>
    </row>
    <row r="426" spans="1:4">
      <c r="A426" s="68"/>
      <c r="B426" s="22"/>
      <c r="C426" s="22"/>
      <c r="D426" s="22"/>
    </row>
    <row r="427" spans="1:4">
      <c r="A427" s="68"/>
      <c r="B427" s="22"/>
      <c r="C427" s="22"/>
      <c r="D427" s="22"/>
    </row>
    <row r="428" spans="1:4">
      <c r="A428" s="68"/>
      <c r="B428" s="22"/>
      <c r="C428" s="22"/>
      <c r="D428" s="22"/>
    </row>
    <row r="429" spans="1:4">
      <c r="A429" s="68"/>
      <c r="B429" s="22"/>
      <c r="C429" s="22"/>
      <c r="D429" s="22"/>
    </row>
    <row r="430" spans="1:4">
      <c r="A430" s="68"/>
      <c r="B430" s="22"/>
      <c r="C430" s="22"/>
      <c r="D430" s="22"/>
    </row>
    <row r="431" spans="1:4">
      <c r="A431" s="68"/>
      <c r="B431" s="22"/>
      <c r="C431" s="22"/>
      <c r="D431" s="22"/>
    </row>
    <row r="432" spans="1:4">
      <c r="A432" s="68"/>
      <c r="B432" s="22"/>
      <c r="C432" s="22"/>
      <c r="D432" s="22"/>
    </row>
    <row r="433" spans="1:4">
      <c r="A433" s="68"/>
      <c r="B433" s="22"/>
      <c r="C433" s="22"/>
      <c r="D433" s="22"/>
    </row>
    <row r="434" spans="1:4">
      <c r="A434" s="68"/>
      <c r="B434" s="22"/>
      <c r="C434" s="22"/>
      <c r="D434" s="22"/>
    </row>
    <row r="435" spans="1:4">
      <c r="A435" s="68"/>
      <c r="B435" s="22"/>
      <c r="C435" s="22"/>
      <c r="D435" s="22"/>
    </row>
    <row r="436" spans="1:4">
      <c r="A436" s="68"/>
      <c r="B436" s="22"/>
      <c r="C436" s="22"/>
      <c r="D436" s="22"/>
    </row>
    <row r="437" spans="1:4">
      <c r="A437" s="68"/>
      <c r="B437" s="22"/>
      <c r="C437" s="22"/>
      <c r="D437" s="22"/>
    </row>
    <row r="438" spans="1:4">
      <c r="A438" s="68"/>
      <c r="B438" s="22"/>
      <c r="C438" s="22"/>
      <c r="D438" s="22"/>
    </row>
    <row r="439" spans="1:4">
      <c r="A439" s="68"/>
      <c r="B439" s="22"/>
      <c r="C439" s="22"/>
      <c r="D439" s="22"/>
    </row>
    <row r="440" spans="1:4">
      <c r="A440" s="68"/>
      <c r="B440" s="22"/>
      <c r="C440" s="22"/>
      <c r="D440" s="22"/>
    </row>
    <row r="441" spans="1:4">
      <c r="A441" s="68"/>
      <c r="B441" s="22"/>
      <c r="C441" s="22"/>
      <c r="D441" s="22"/>
    </row>
    <row r="442" spans="1:4">
      <c r="A442" s="68"/>
      <c r="B442" s="22"/>
      <c r="C442" s="22"/>
      <c r="D442" s="22"/>
    </row>
    <row r="443" spans="1:4">
      <c r="A443" s="68"/>
      <c r="B443" s="22"/>
      <c r="C443" s="22"/>
      <c r="D443" s="22"/>
    </row>
    <row r="444" spans="1:4">
      <c r="A444" s="68"/>
      <c r="B444" s="22"/>
      <c r="C444" s="22"/>
      <c r="D444" s="22"/>
    </row>
    <row r="445" spans="1:4">
      <c r="A445" s="68"/>
      <c r="B445" s="22"/>
      <c r="C445" s="22"/>
      <c r="D445" s="22"/>
    </row>
    <row r="446" spans="1:4">
      <c r="A446" s="68"/>
      <c r="B446" s="22"/>
      <c r="C446" s="22"/>
      <c r="D446" s="22"/>
    </row>
    <row r="447" spans="1:4">
      <c r="A447" s="68"/>
      <c r="B447" s="22"/>
      <c r="C447" s="22"/>
      <c r="D447" s="22"/>
    </row>
    <row r="448" spans="1:4">
      <c r="A448" s="68"/>
      <c r="B448" s="22"/>
      <c r="C448" s="22"/>
      <c r="D448" s="22"/>
    </row>
    <row r="449" spans="1:4">
      <c r="A449" s="68"/>
      <c r="B449" s="22"/>
      <c r="C449" s="22"/>
      <c r="D449" s="22"/>
    </row>
    <row r="450" spans="1:4">
      <c r="A450" s="68"/>
      <c r="B450" s="22"/>
      <c r="C450" s="22"/>
      <c r="D450" s="22"/>
    </row>
    <row r="451" spans="1:4">
      <c r="A451" s="68"/>
      <c r="B451" s="22"/>
      <c r="C451" s="22"/>
      <c r="D451" s="22"/>
    </row>
    <row r="452" spans="1:4">
      <c r="A452" s="68"/>
      <c r="B452" s="22"/>
      <c r="C452" s="22"/>
      <c r="D452" s="22"/>
    </row>
    <row r="453" spans="1:4">
      <c r="A453" s="68"/>
      <c r="B453" s="22"/>
      <c r="C453" s="22"/>
      <c r="D453" s="22"/>
    </row>
    <row r="454" spans="1:4">
      <c r="A454" s="68"/>
      <c r="B454" s="22"/>
      <c r="C454" s="22"/>
      <c r="D454" s="22"/>
    </row>
    <row r="455" spans="1:4">
      <c r="A455" s="68"/>
      <c r="B455" s="22"/>
      <c r="C455" s="22"/>
      <c r="D455" s="22"/>
    </row>
    <row r="456" spans="1:4">
      <c r="A456" s="68"/>
      <c r="B456" s="22"/>
      <c r="C456" s="22"/>
      <c r="D456" s="22"/>
    </row>
    <row r="457" spans="1:4">
      <c r="A457" s="68"/>
      <c r="B457" s="22"/>
      <c r="C457" s="22"/>
      <c r="D457" s="22"/>
    </row>
    <row r="458" spans="1:4">
      <c r="A458" s="68"/>
      <c r="B458" s="22"/>
      <c r="C458" s="22"/>
      <c r="D458" s="22"/>
    </row>
    <row r="459" spans="1:4">
      <c r="A459" s="68"/>
      <c r="B459" s="22"/>
      <c r="C459" s="22"/>
      <c r="D459" s="22"/>
    </row>
    <row r="460" spans="1:4">
      <c r="A460" s="68"/>
      <c r="B460" s="22"/>
      <c r="C460" s="22"/>
      <c r="D460" s="22"/>
    </row>
    <row r="461" spans="1:4">
      <c r="A461" s="68"/>
      <c r="B461" s="22"/>
      <c r="C461" s="22"/>
      <c r="D461" s="22"/>
    </row>
    <row r="462" spans="1:4">
      <c r="A462" s="68"/>
      <c r="B462" s="22"/>
      <c r="C462" s="22"/>
      <c r="D462" s="22"/>
    </row>
    <row r="463" spans="1:4">
      <c r="A463" s="68"/>
      <c r="B463" s="22"/>
      <c r="C463" s="22"/>
      <c r="D463" s="22"/>
    </row>
    <row r="464" spans="1:4">
      <c r="A464" s="68"/>
      <c r="B464" s="22"/>
      <c r="C464" s="22"/>
      <c r="D464" s="22"/>
    </row>
    <row r="465" spans="1:4">
      <c r="A465" s="68"/>
      <c r="B465" s="22"/>
      <c r="C465" s="22"/>
      <c r="D465" s="22"/>
    </row>
    <row r="466" spans="1:4">
      <c r="A466" s="68"/>
      <c r="B466" s="22"/>
      <c r="C466" s="22"/>
      <c r="D466" s="22"/>
    </row>
    <row r="467" spans="1:4">
      <c r="A467" s="68"/>
      <c r="B467" s="22"/>
      <c r="C467" s="22"/>
      <c r="D467" s="22"/>
    </row>
    <row r="468" spans="1:4">
      <c r="A468" s="68"/>
      <c r="B468" s="22"/>
      <c r="C468" s="22"/>
      <c r="D468" s="22"/>
    </row>
    <row r="469" spans="1:4">
      <c r="A469" s="68"/>
      <c r="B469" s="22"/>
      <c r="C469" s="22"/>
      <c r="D469" s="22"/>
    </row>
    <row r="470" spans="1:4">
      <c r="A470" s="68"/>
      <c r="B470" s="22"/>
      <c r="C470" s="22"/>
      <c r="D470" s="22"/>
    </row>
    <row r="471" spans="1:4">
      <c r="A471" s="68"/>
      <c r="B471" s="22"/>
      <c r="C471" s="22"/>
      <c r="D471" s="22"/>
    </row>
    <row r="472" spans="1:4">
      <c r="A472" s="68"/>
      <c r="B472" s="22"/>
      <c r="C472" s="22"/>
      <c r="D472" s="22"/>
    </row>
    <row r="473" spans="1:4">
      <c r="A473" s="68"/>
      <c r="B473" s="22"/>
      <c r="C473" s="22"/>
      <c r="D473" s="22"/>
    </row>
    <row r="474" spans="1:4">
      <c r="A474" s="68"/>
      <c r="B474" s="22"/>
      <c r="C474" s="22"/>
      <c r="D474" s="22"/>
    </row>
    <row r="475" spans="1:4">
      <c r="A475" s="68"/>
      <c r="B475" s="22"/>
      <c r="C475" s="22"/>
      <c r="D475" s="22"/>
    </row>
    <row r="476" spans="1:4">
      <c r="A476" s="68"/>
      <c r="B476" s="22"/>
      <c r="C476" s="22"/>
      <c r="D476" s="22"/>
    </row>
    <row r="477" spans="1:4">
      <c r="A477" s="68"/>
      <c r="B477" s="22"/>
      <c r="C477" s="22"/>
      <c r="D477" s="22"/>
    </row>
    <row r="478" spans="1:4">
      <c r="A478" s="68"/>
      <c r="B478" s="22"/>
      <c r="C478" s="22"/>
      <c r="D478" s="22"/>
    </row>
    <row r="479" spans="1:4">
      <c r="A479" s="68"/>
      <c r="B479" s="22"/>
      <c r="C479" s="22"/>
      <c r="D479" s="22"/>
    </row>
    <row r="480" spans="1:4">
      <c r="A480" s="68"/>
      <c r="B480" s="22"/>
      <c r="C480" s="22"/>
      <c r="D480" s="22"/>
    </row>
    <row r="481" spans="1:4">
      <c r="A481" s="68"/>
      <c r="B481" s="22"/>
      <c r="C481" s="22"/>
      <c r="D481" s="22"/>
    </row>
    <row r="482" spans="1:4">
      <c r="A482" s="68"/>
      <c r="B482" s="22"/>
      <c r="C482" s="22"/>
      <c r="D482" s="22"/>
    </row>
    <row r="483" spans="1:4">
      <c r="A483" s="68"/>
      <c r="B483" s="22"/>
      <c r="C483" s="22"/>
      <c r="D483" s="22"/>
    </row>
    <row r="484" spans="1:4">
      <c r="A484" s="68"/>
      <c r="B484" s="22"/>
      <c r="C484" s="22"/>
      <c r="D484" s="22"/>
    </row>
    <row r="485" spans="1:4">
      <c r="A485" s="68"/>
      <c r="B485" s="22"/>
      <c r="C485" s="22"/>
      <c r="D485" s="22"/>
    </row>
    <row r="486" spans="1:4">
      <c r="A486" s="68"/>
      <c r="B486" s="22"/>
      <c r="C486" s="22"/>
      <c r="D486" s="22"/>
    </row>
    <row r="487" spans="1:4">
      <c r="A487" s="68"/>
      <c r="B487" s="22"/>
      <c r="C487" s="22"/>
      <c r="D487" s="22"/>
    </row>
    <row r="488" spans="1:4">
      <c r="A488" s="68"/>
      <c r="B488" s="22"/>
      <c r="C488" s="22"/>
      <c r="D488" s="22"/>
    </row>
    <row r="489" spans="1:4">
      <c r="A489" s="68"/>
      <c r="B489" s="22"/>
      <c r="C489" s="22"/>
      <c r="D489" s="22"/>
    </row>
    <row r="490" spans="1:4">
      <c r="A490" s="68"/>
      <c r="B490" s="22"/>
      <c r="C490" s="22"/>
      <c r="D490" s="22"/>
    </row>
    <row r="491" spans="1:4">
      <c r="A491" s="68"/>
      <c r="B491" s="22"/>
      <c r="C491" s="22"/>
      <c r="D491" s="22"/>
    </row>
    <row r="492" spans="1:4">
      <c r="A492" s="68"/>
      <c r="B492" s="22"/>
      <c r="C492" s="22"/>
      <c r="D492" s="22"/>
    </row>
    <row r="493" spans="1:4" ht="15.75" thickBot="1">
      <c r="A493" s="7"/>
      <c r="B493" s="8"/>
      <c r="C493" s="8"/>
      <c r="D493" s="16"/>
    </row>
    <row r="494" spans="1:4" ht="15.75" thickBot="1">
      <c r="A494" s="3"/>
      <c r="B494" s="4"/>
      <c r="C494" s="4"/>
      <c r="D494" s="17"/>
    </row>
    <row r="495" spans="1:4" ht="15.75" thickBot="1">
      <c r="A495" s="3"/>
      <c r="B495" s="4"/>
      <c r="C495" s="4"/>
      <c r="D495" s="17"/>
    </row>
    <row r="496" spans="1:4" ht="15.75" thickBot="1">
      <c r="A496" s="3"/>
      <c r="B496" s="4"/>
      <c r="C496" s="4"/>
      <c r="D496" s="17"/>
    </row>
    <row r="497" spans="1:4" ht="15.75" thickBot="1">
      <c r="A497" s="3"/>
      <c r="B497" s="4"/>
      <c r="C497" s="4"/>
      <c r="D497" s="17"/>
    </row>
    <row r="498" spans="1:4" ht="15.75" thickBot="1">
      <c r="A498" s="3"/>
      <c r="B498" s="4"/>
      <c r="C498" s="4"/>
      <c r="D498" s="17"/>
    </row>
    <row r="499" spans="1:4" ht="15.75" thickBot="1">
      <c r="A499" s="3"/>
      <c r="B499" s="4"/>
      <c r="C499" s="4"/>
      <c r="D499" s="17"/>
    </row>
    <row r="500" spans="1:4" ht="15.75" thickBot="1">
      <c r="A500" s="3"/>
      <c r="B500" s="4"/>
      <c r="C500" s="4"/>
      <c r="D500" s="17"/>
    </row>
    <row r="501" spans="1:4" ht="15.75" thickBot="1">
      <c r="A501" s="3"/>
      <c r="B501" s="4"/>
      <c r="C501" s="4"/>
      <c r="D501" s="17"/>
    </row>
    <row r="502" spans="1:4" ht="15.75" thickBot="1">
      <c r="A502" s="3"/>
      <c r="B502" s="4"/>
      <c r="C502" s="4"/>
      <c r="D502" s="17"/>
    </row>
    <row r="503" spans="1:4" ht="15.75" thickBot="1">
      <c r="A503" s="3"/>
      <c r="B503" s="4"/>
      <c r="C503" s="4"/>
      <c r="D503" s="17"/>
    </row>
    <row r="504" spans="1:4" ht="15.75" thickBot="1">
      <c r="A504" s="3"/>
      <c r="B504" s="4"/>
      <c r="C504" s="4"/>
      <c r="D504" s="17"/>
    </row>
    <row r="505" spans="1:4" ht="15.75" thickBot="1">
      <c r="A505" s="3"/>
      <c r="B505" s="4"/>
      <c r="C505" s="4"/>
      <c r="D505" s="17"/>
    </row>
    <row r="506" spans="1:4" ht="15.75" thickBot="1">
      <c r="A506" s="3"/>
      <c r="B506" s="4"/>
      <c r="C506" s="4"/>
      <c r="D506" s="17"/>
    </row>
    <row r="507" spans="1:4" ht="15.75" thickBot="1">
      <c r="A507" s="3"/>
      <c r="B507" s="4"/>
      <c r="C507" s="4"/>
      <c r="D507" s="17"/>
    </row>
    <row r="508" spans="1:4" ht="15.75" thickBot="1">
      <c r="A508" s="3"/>
      <c r="B508" s="4"/>
      <c r="C508" s="4"/>
      <c r="D508" s="17"/>
    </row>
    <row r="509" spans="1:4" ht="15.75" thickBot="1">
      <c r="A509" s="3"/>
      <c r="B509" s="4"/>
      <c r="C509" s="4"/>
      <c r="D509" s="17"/>
    </row>
    <row r="510" spans="1:4" ht="15.75" thickBot="1">
      <c r="A510" s="3"/>
      <c r="B510" s="4"/>
      <c r="C510" s="4"/>
      <c r="D510" s="17"/>
    </row>
    <row r="511" spans="1:4" ht="15.75" thickBot="1">
      <c r="A511" s="3"/>
      <c r="B511" s="4"/>
      <c r="C511" s="4"/>
      <c r="D511" s="17"/>
    </row>
    <row r="512" spans="1:4" ht="15.75" thickBot="1">
      <c r="A512" s="3"/>
      <c r="B512" s="4"/>
      <c r="C512" s="4"/>
      <c r="D512" s="17"/>
    </row>
    <row r="513" spans="1:4" ht="15.75" thickBot="1">
      <c r="A513" s="3"/>
      <c r="B513" s="4"/>
      <c r="C513" s="4"/>
      <c r="D513" s="17"/>
    </row>
    <row r="514" spans="1:4" ht="15.75" thickBot="1">
      <c r="A514" s="3"/>
      <c r="B514" s="4"/>
      <c r="C514" s="4"/>
      <c r="D514" s="17"/>
    </row>
    <row r="515" spans="1:4" ht="15.75" thickBot="1">
      <c r="A515" s="3"/>
      <c r="B515" s="4"/>
      <c r="C515" s="4"/>
      <c r="D515" s="17"/>
    </row>
    <row r="516" spans="1:4" ht="15.75" thickBot="1">
      <c r="A516" s="3"/>
      <c r="B516" s="4"/>
      <c r="C516" s="4"/>
      <c r="D516" s="17"/>
    </row>
    <row r="517" spans="1:4" ht="15.75" thickBot="1">
      <c r="A517" s="3"/>
      <c r="B517" s="4"/>
      <c r="C517" s="4"/>
      <c r="D517" s="17"/>
    </row>
    <row r="518" spans="1:4" ht="15.75" thickBot="1">
      <c r="A518" s="3"/>
      <c r="B518" s="4"/>
      <c r="C518" s="4"/>
      <c r="D518" s="17"/>
    </row>
    <row r="519" spans="1:4" ht="15.75" thickBot="1">
      <c r="A519" s="3"/>
      <c r="B519" s="4"/>
      <c r="C519" s="4"/>
      <c r="D519" s="17"/>
    </row>
    <row r="520" spans="1:4" ht="15.75" thickBot="1">
      <c r="A520" s="3"/>
      <c r="B520" s="4"/>
      <c r="C520" s="4"/>
      <c r="D520" s="17"/>
    </row>
    <row r="521" spans="1:4" ht="15.75" thickBot="1">
      <c r="A521" s="3"/>
      <c r="B521" s="4"/>
      <c r="C521" s="4"/>
      <c r="D521" s="17"/>
    </row>
    <row r="522" spans="1:4" ht="15.75" thickBot="1">
      <c r="A522" s="3"/>
      <c r="B522" s="4"/>
      <c r="C522" s="4"/>
      <c r="D522" s="17"/>
    </row>
    <row r="523" spans="1:4" ht="15.75" thickBot="1">
      <c r="A523" s="3"/>
      <c r="B523" s="4"/>
      <c r="C523" s="4"/>
      <c r="D523" s="17"/>
    </row>
    <row r="524" spans="1:4" ht="15.75" thickBot="1">
      <c r="A524" s="3"/>
      <c r="B524" s="4"/>
      <c r="C524" s="4"/>
      <c r="D524" s="17"/>
    </row>
    <row r="525" spans="1:4" ht="15.75" thickBot="1">
      <c r="A525" s="3"/>
      <c r="B525" s="4"/>
      <c r="C525" s="4"/>
      <c r="D525" s="17"/>
    </row>
    <row r="526" spans="1:4" ht="15.75" thickBot="1">
      <c r="A526" s="3"/>
      <c r="B526" s="4"/>
      <c r="C526" s="4"/>
      <c r="D526" s="17"/>
    </row>
    <row r="527" spans="1:4" ht="15.75" thickBot="1">
      <c r="A527" s="3"/>
      <c r="B527" s="4"/>
      <c r="C527" s="4"/>
      <c r="D527" s="17"/>
    </row>
    <row r="528" spans="1:4" ht="15.75" thickBot="1">
      <c r="A528" s="3"/>
      <c r="B528" s="4"/>
      <c r="C528" s="4"/>
      <c r="D528" s="17"/>
    </row>
    <row r="529" spans="1:4" ht="15.75" thickBot="1">
      <c r="A529" s="3"/>
      <c r="B529" s="4"/>
      <c r="C529" s="4"/>
      <c r="D529" s="17"/>
    </row>
    <row r="530" spans="1:4" ht="15.75" thickBot="1">
      <c r="A530" s="3"/>
      <c r="B530" s="4"/>
      <c r="C530" s="4"/>
      <c r="D530" s="17"/>
    </row>
    <row r="531" spans="1:4" ht="15.75" thickBot="1">
      <c r="A531" s="3"/>
      <c r="B531" s="4"/>
      <c r="C531" s="4"/>
      <c r="D531" s="17"/>
    </row>
    <row r="532" spans="1:4" ht="15.75" thickBot="1">
      <c r="A532" s="3"/>
      <c r="B532" s="4"/>
      <c r="C532" s="4"/>
      <c r="D532" s="17"/>
    </row>
    <row r="533" spans="1:4" ht="15.75" thickBot="1">
      <c r="A533" s="3"/>
      <c r="B533" s="4"/>
      <c r="C533" s="4"/>
      <c r="D533" s="17"/>
    </row>
    <row r="534" spans="1:4" ht="15.75" thickBot="1">
      <c r="A534" s="3"/>
      <c r="B534" s="4"/>
      <c r="C534" s="4"/>
      <c r="D534" s="17"/>
    </row>
    <row r="535" spans="1:4" ht="15.75" thickBot="1">
      <c r="A535" s="3"/>
      <c r="B535" s="4"/>
      <c r="C535" s="4"/>
      <c r="D535" s="17"/>
    </row>
    <row r="536" spans="1:4" ht="15.75" thickBot="1">
      <c r="A536" s="3"/>
      <c r="B536" s="4"/>
      <c r="C536" s="4"/>
      <c r="D536" s="17"/>
    </row>
    <row r="537" spans="1:4" ht="15.75" thickBot="1">
      <c r="A537" s="3"/>
      <c r="B537" s="4"/>
      <c r="C537" s="4"/>
      <c r="D537" s="17"/>
    </row>
    <row r="538" spans="1:4" ht="15.75" thickBot="1">
      <c r="A538" s="3"/>
      <c r="B538" s="4"/>
      <c r="C538" s="4"/>
      <c r="D538" s="17"/>
    </row>
    <row r="539" spans="1:4" ht="15.75" thickBot="1">
      <c r="A539" s="3"/>
      <c r="B539" s="4"/>
      <c r="C539" s="4"/>
      <c r="D539" s="17"/>
    </row>
    <row r="540" spans="1:4" ht="15.75" thickBot="1">
      <c r="A540" s="3"/>
      <c r="B540" s="4"/>
      <c r="C540" s="4"/>
      <c r="D540" s="17"/>
    </row>
    <row r="541" spans="1:4" ht="15.75" thickBot="1">
      <c r="A541" s="3"/>
      <c r="B541" s="4"/>
      <c r="C541" s="4"/>
      <c r="D541" s="17"/>
    </row>
    <row r="542" spans="1:4" ht="15.75" thickBot="1">
      <c r="A542" s="3"/>
      <c r="B542" s="4"/>
      <c r="C542" s="4"/>
      <c r="D542" s="17"/>
    </row>
    <row r="543" spans="1:4" ht="15.75" thickBot="1">
      <c r="A543" s="3"/>
      <c r="B543" s="4"/>
      <c r="C543" s="4"/>
      <c r="D543" s="17"/>
    </row>
    <row r="544" spans="1:4" ht="15.75" thickBot="1">
      <c r="A544" s="3"/>
      <c r="B544" s="4"/>
      <c r="C544" s="4"/>
      <c r="D544" s="17"/>
    </row>
    <row r="545" spans="1:4" ht="15.75" thickBot="1">
      <c r="A545" s="3"/>
      <c r="B545" s="4"/>
      <c r="C545" s="4"/>
      <c r="D545" s="17"/>
    </row>
    <row r="546" spans="1:4" ht="15.75" thickBot="1">
      <c r="A546" s="3"/>
      <c r="B546" s="4"/>
      <c r="C546" s="4"/>
      <c r="D546" s="17"/>
    </row>
    <row r="547" spans="1:4" ht="15.75" thickBot="1">
      <c r="A547" s="3"/>
      <c r="B547" s="4"/>
      <c r="C547" s="4"/>
      <c r="D547" s="17"/>
    </row>
    <row r="548" spans="1:4" ht="15.75" thickBot="1">
      <c r="A548" s="3"/>
      <c r="B548" s="4"/>
      <c r="C548" s="4"/>
      <c r="D548" s="17"/>
    </row>
    <row r="549" spans="1:4" ht="15.75" thickBot="1">
      <c r="A549" s="3"/>
      <c r="B549" s="4"/>
      <c r="C549" s="4"/>
      <c r="D549" s="17"/>
    </row>
    <row r="550" spans="1:4" ht="15.75" thickBot="1">
      <c r="A550" s="3"/>
      <c r="B550" s="4"/>
      <c r="C550" s="4"/>
      <c r="D550" s="17"/>
    </row>
    <row r="551" spans="1:4" ht="15.75" thickBot="1">
      <c r="A551" s="3"/>
      <c r="B551" s="4"/>
      <c r="C551" s="4"/>
      <c r="D551" s="17"/>
    </row>
    <row r="552" spans="1:4" ht="15.75" thickBot="1">
      <c r="A552" s="3"/>
      <c r="B552" s="4"/>
      <c r="C552" s="4"/>
      <c r="D552" s="17"/>
    </row>
    <row r="553" spans="1:4" ht="15.75" thickBot="1">
      <c r="A553" s="3"/>
      <c r="B553" s="4"/>
      <c r="C553" s="4"/>
      <c r="D553" s="17"/>
    </row>
    <row r="554" spans="1:4" ht="15.75" thickBot="1">
      <c r="A554" s="3"/>
      <c r="B554" s="4"/>
      <c r="C554" s="4"/>
      <c r="D554" s="17"/>
    </row>
    <row r="555" spans="1:4" ht="15.75" thickBot="1">
      <c r="A555" s="3"/>
      <c r="B555" s="4"/>
      <c r="C555" s="4"/>
      <c r="D555" s="17"/>
    </row>
    <row r="556" spans="1:4" ht="15.75" thickBot="1">
      <c r="A556" s="3"/>
      <c r="B556" s="4"/>
      <c r="C556" s="4"/>
      <c r="D556" s="17"/>
    </row>
    <row r="557" spans="1:4" ht="15.75" thickBot="1">
      <c r="A557" s="3"/>
      <c r="B557" s="4"/>
      <c r="C557" s="4"/>
      <c r="D557" s="17"/>
    </row>
    <row r="558" spans="1:4" ht="15.75" thickBot="1">
      <c r="A558" s="3"/>
      <c r="B558" s="4"/>
      <c r="C558" s="4"/>
      <c r="D558" s="17"/>
    </row>
    <row r="559" spans="1:4" ht="15.75" thickBot="1">
      <c r="A559" s="3"/>
      <c r="B559" s="4"/>
      <c r="C559" s="4"/>
      <c r="D559" s="17"/>
    </row>
    <row r="560" spans="1:4" ht="15.75" thickBot="1">
      <c r="A560" s="3"/>
      <c r="B560" s="4"/>
      <c r="C560" s="4"/>
      <c r="D560" s="17"/>
    </row>
    <row r="561" spans="1:4" ht="15.75" thickBot="1">
      <c r="A561" s="3"/>
      <c r="B561" s="4"/>
      <c r="C561" s="4"/>
      <c r="D561" s="17"/>
    </row>
    <row r="562" spans="1:4" ht="15.75" thickBot="1">
      <c r="A562" s="3"/>
      <c r="B562" s="4"/>
      <c r="C562" s="4"/>
      <c r="D562" s="17"/>
    </row>
    <row r="563" spans="1:4" ht="15.75" thickBot="1">
      <c r="A563" s="3"/>
      <c r="B563" s="4"/>
      <c r="C563" s="4"/>
      <c r="D563" s="17"/>
    </row>
    <row r="564" spans="1:4" ht="15.75" thickBot="1">
      <c r="A564" s="3"/>
      <c r="B564" s="4"/>
      <c r="C564" s="4"/>
      <c r="D564" s="17"/>
    </row>
    <row r="565" spans="1:4" ht="15.75" thickBot="1">
      <c r="A565" s="3"/>
      <c r="B565" s="4"/>
      <c r="C565" s="4"/>
      <c r="D565" s="17"/>
    </row>
    <row r="566" spans="1:4" ht="15.75" thickBot="1">
      <c r="A566" s="3"/>
      <c r="B566" s="4"/>
      <c r="C566" s="4"/>
      <c r="D566" s="17"/>
    </row>
    <row r="567" spans="1:4" ht="15.75" thickBot="1">
      <c r="A567" s="3"/>
      <c r="B567" s="4"/>
      <c r="C567" s="4"/>
      <c r="D567" s="17"/>
    </row>
    <row r="568" spans="1:4" ht="15.75" thickBot="1">
      <c r="A568" s="3"/>
      <c r="B568" s="4"/>
      <c r="C568" s="4"/>
      <c r="D568" s="17"/>
    </row>
    <row r="569" spans="1:4" ht="15.75" thickBot="1">
      <c r="A569" s="3"/>
      <c r="B569" s="4"/>
      <c r="C569" s="4"/>
      <c r="D569" s="17"/>
    </row>
    <row r="570" spans="1:4" ht="15.75" thickBot="1">
      <c r="A570" s="3"/>
      <c r="B570" s="4"/>
      <c r="C570" s="4"/>
      <c r="D570" s="17"/>
    </row>
    <row r="571" spans="1:4" ht="15.75" thickBot="1">
      <c r="A571" s="3"/>
      <c r="B571" s="4"/>
      <c r="C571" s="4"/>
      <c r="D571" s="17"/>
    </row>
    <row r="572" spans="1:4" ht="15.75" thickBot="1">
      <c r="A572" s="3"/>
      <c r="B572" s="4"/>
      <c r="C572" s="4"/>
      <c r="D572" s="17"/>
    </row>
    <row r="573" spans="1:4" ht="15.75" thickBot="1">
      <c r="A573" s="3"/>
      <c r="B573" s="4"/>
      <c r="C573" s="4"/>
      <c r="D573" s="17"/>
    </row>
    <row r="574" spans="1:4" ht="15.75" thickBot="1">
      <c r="A574" s="3"/>
      <c r="B574" s="4"/>
      <c r="C574" s="4"/>
      <c r="D574" s="17"/>
    </row>
    <row r="575" spans="1:4" ht="15.75" thickBot="1">
      <c r="A575" s="3"/>
      <c r="B575" s="4"/>
      <c r="C575" s="4"/>
      <c r="D575" s="17"/>
    </row>
    <row r="576" spans="1:4" ht="15.75" thickBot="1">
      <c r="A576" s="3"/>
      <c r="B576" s="4"/>
      <c r="C576" s="4"/>
      <c r="D576" s="17"/>
    </row>
    <row r="577" spans="1:4" ht="15.75" thickBot="1">
      <c r="A577" s="3"/>
      <c r="B577" s="4"/>
      <c r="C577" s="4"/>
      <c r="D577" s="17"/>
    </row>
    <row r="578" spans="1:4" ht="15.75" thickBot="1">
      <c r="A578" s="3"/>
      <c r="B578" s="4"/>
      <c r="C578" s="4"/>
      <c r="D578" s="17"/>
    </row>
    <row r="579" spans="1:4" ht="15.75" thickBot="1">
      <c r="A579" s="3"/>
      <c r="B579" s="4"/>
      <c r="C579" s="4"/>
      <c r="D579" s="17"/>
    </row>
    <row r="580" spans="1:4" ht="15.75" thickBot="1">
      <c r="A580" s="3"/>
      <c r="B580" s="4"/>
      <c r="C580" s="4"/>
      <c r="D580" s="17"/>
    </row>
    <row r="581" spans="1:4" ht="15.75" thickBot="1">
      <c r="A581" s="3"/>
      <c r="B581" s="4"/>
      <c r="C581" s="4"/>
      <c r="D581" s="17"/>
    </row>
    <row r="582" spans="1:4" ht="15.75" thickBot="1">
      <c r="A582" s="3"/>
      <c r="B582" s="4"/>
      <c r="C582" s="4"/>
      <c r="D582" s="17"/>
    </row>
    <row r="583" spans="1:4" ht="15.75" thickBot="1">
      <c r="A583" s="3"/>
      <c r="B583" s="4"/>
      <c r="C583" s="4"/>
      <c r="D583" s="17"/>
    </row>
    <row r="584" spans="1:4" ht="15.75" thickBot="1">
      <c r="A584" s="3"/>
      <c r="B584" s="4"/>
      <c r="C584" s="4"/>
      <c r="D584" s="17"/>
    </row>
    <row r="585" spans="1:4" ht="15.75" thickBot="1">
      <c r="A585" s="3"/>
      <c r="B585" s="4"/>
      <c r="C585" s="4"/>
      <c r="D585" s="17"/>
    </row>
    <row r="586" spans="1:4" ht="15.75" thickBot="1">
      <c r="A586" s="3"/>
      <c r="B586" s="4"/>
      <c r="C586" s="4"/>
      <c r="D586" s="17"/>
    </row>
    <row r="587" spans="1:4" ht="15.75" thickBot="1">
      <c r="A587" s="3"/>
      <c r="B587" s="4"/>
      <c r="C587" s="4"/>
      <c r="D587" s="17"/>
    </row>
    <row r="588" spans="1:4" ht="15.75" thickBot="1">
      <c r="A588" s="3"/>
      <c r="B588" s="4"/>
      <c r="C588" s="4"/>
      <c r="D588" s="17"/>
    </row>
    <row r="589" spans="1:4" ht="15.75" thickBot="1">
      <c r="A589" s="3"/>
      <c r="B589" s="4"/>
      <c r="C589" s="4"/>
      <c r="D589" s="17"/>
    </row>
    <row r="590" spans="1:4" ht="15.75" thickBot="1">
      <c r="A590" s="3"/>
      <c r="B590" s="4"/>
      <c r="C590" s="4"/>
      <c r="D590" s="17"/>
    </row>
    <row r="591" spans="1:4" ht="15.75" thickBot="1">
      <c r="A591" s="3"/>
      <c r="B591" s="4"/>
      <c r="C591" s="4"/>
      <c r="D591" s="17"/>
    </row>
    <row r="592" spans="1:4" ht="15.75" thickBot="1">
      <c r="A592" s="3"/>
      <c r="B592" s="4"/>
      <c r="C592" s="4"/>
      <c r="D592" s="17"/>
    </row>
    <row r="593" spans="1:4" ht="15.75" thickBot="1">
      <c r="A593" s="3"/>
      <c r="B593" s="4"/>
      <c r="C593" s="4"/>
      <c r="D593" s="17"/>
    </row>
    <row r="594" spans="1:4" ht="15.75" thickBot="1">
      <c r="A594" s="3"/>
      <c r="B594" s="4"/>
      <c r="C594" s="4"/>
      <c r="D594" s="17"/>
    </row>
    <row r="595" spans="1:4" ht="15.75" thickBot="1">
      <c r="A595" s="3"/>
      <c r="B595" s="4"/>
      <c r="C595" s="4"/>
      <c r="D595" s="17"/>
    </row>
    <row r="596" spans="1:4" ht="15.75" thickBot="1">
      <c r="A596" s="3"/>
      <c r="B596" s="4"/>
      <c r="C596" s="4"/>
      <c r="D596" s="17"/>
    </row>
    <row r="597" spans="1:4" ht="15.75" thickBot="1">
      <c r="A597" s="3"/>
      <c r="B597" s="4"/>
      <c r="C597" s="4"/>
      <c r="D597" s="17"/>
    </row>
    <row r="598" spans="1:4" ht="15.75" thickBot="1">
      <c r="A598" s="3"/>
      <c r="B598" s="4"/>
      <c r="C598" s="4"/>
      <c r="D598" s="17"/>
    </row>
    <row r="599" spans="1:4" ht="15.75" thickBot="1">
      <c r="A599" s="3"/>
      <c r="B599" s="4"/>
      <c r="C599" s="4"/>
      <c r="D599" s="17"/>
    </row>
    <row r="600" spans="1:4" ht="15.75" thickBot="1">
      <c r="A600" s="3"/>
      <c r="B600" s="4"/>
      <c r="C600" s="4"/>
      <c r="D600" s="17"/>
    </row>
    <row r="601" spans="1:4" ht="15.75" thickBot="1">
      <c r="A601" s="3"/>
      <c r="B601" s="4"/>
      <c r="C601" s="4"/>
      <c r="D601" s="17"/>
    </row>
    <row r="602" spans="1:4" ht="15.75" thickBot="1">
      <c r="A602" s="3"/>
      <c r="B602" s="4"/>
      <c r="C602" s="4"/>
      <c r="D602" s="17"/>
    </row>
    <row r="603" spans="1:4" ht="15.75" thickBot="1">
      <c r="A603" s="3"/>
      <c r="B603" s="4"/>
      <c r="C603" s="4"/>
      <c r="D603" s="17"/>
    </row>
    <row r="604" spans="1:4" ht="15.75" thickBot="1">
      <c r="A604" s="3"/>
      <c r="B604" s="4"/>
      <c r="C604" s="4"/>
      <c r="D604" s="17"/>
    </row>
    <row r="605" spans="1:4" ht="15.75" thickBot="1">
      <c r="A605" s="3"/>
      <c r="B605" s="4"/>
      <c r="C605" s="4"/>
      <c r="D605" s="17"/>
    </row>
    <row r="606" spans="1:4" ht="15.75" thickBot="1">
      <c r="A606" s="3"/>
      <c r="B606" s="4"/>
      <c r="C606" s="4"/>
      <c r="D606" s="17"/>
    </row>
    <row r="607" spans="1:4" ht="15.75" thickBot="1">
      <c r="A607" s="3"/>
      <c r="B607" s="4"/>
      <c r="C607" s="4"/>
      <c r="D607" s="17"/>
    </row>
    <row r="608" spans="1:4" ht="15.75" thickBot="1">
      <c r="A608" s="3"/>
      <c r="B608" s="4"/>
      <c r="C608" s="4"/>
      <c r="D608" s="17"/>
    </row>
    <row r="609" spans="1:4" ht="15.75" thickBot="1">
      <c r="A609" s="3"/>
      <c r="B609" s="4"/>
      <c r="C609" s="4"/>
      <c r="D609" s="17"/>
    </row>
    <row r="610" spans="1:4" ht="15.75" thickBot="1">
      <c r="A610" s="3"/>
      <c r="B610" s="4"/>
      <c r="C610" s="4"/>
      <c r="D610" s="17"/>
    </row>
    <row r="611" spans="1:4" ht="15.75" thickBot="1">
      <c r="A611" s="3"/>
      <c r="B611" s="4"/>
      <c r="C611" s="4"/>
      <c r="D611" s="17"/>
    </row>
    <row r="612" spans="1:4" ht="15.75" thickBot="1">
      <c r="A612" s="3"/>
      <c r="B612" s="4"/>
      <c r="C612" s="4"/>
      <c r="D612" s="17"/>
    </row>
    <row r="613" spans="1:4" ht="15.75" thickBot="1">
      <c r="A613" s="3"/>
      <c r="B613" s="4"/>
      <c r="C613" s="4"/>
      <c r="D613" s="17"/>
    </row>
    <row r="614" spans="1:4" ht="15.75" thickBot="1">
      <c r="A614" s="3"/>
      <c r="B614" s="4"/>
      <c r="C614" s="4"/>
      <c r="D614" s="17"/>
    </row>
    <row r="615" spans="1:4" ht="15.75" thickBot="1">
      <c r="A615" s="3"/>
      <c r="B615" s="4"/>
      <c r="C615" s="4"/>
      <c r="D615" s="17"/>
    </row>
    <row r="616" spans="1:4" ht="15.75" thickBot="1">
      <c r="A616" s="3"/>
      <c r="B616" s="4"/>
      <c r="C616" s="4"/>
      <c r="D616" s="17"/>
    </row>
    <row r="617" spans="1:4" ht="15.75" thickBot="1">
      <c r="A617" s="3"/>
      <c r="B617" s="4"/>
      <c r="C617" s="4"/>
      <c r="D617" s="17"/>
    </row>
    <row r="618" spans="1:4" ht="15.75" thickBot="1">
      <c r="A618" s="3"/>
      <c r="B618" s="4"/>
      <c r="C618" s="4"/>
      <c r="D618" s="17"/>
    </row>
    <row r="619" spans="1:4" ht="15.75" thickBot="1">
      <c r="A619" s="3"/>
      <c r="B619" s="4"/>
      <c r="C619" s="4"/>
      <c r="D619" s="17"/>
    </row>
    <row r="620" spans="1:4" ht="15.75" thickBot="1">
      <c r="A620" s="3"/>
      <c r="B620" s="4"/>
      <c r="C620" s="4"/>
      <c r="D620" s="17"/>
    </row>
    <row r="621" spans="1:4" ht="15.75" thickBot="1">
      <c r="A621" s="3"/>
      <c r="B621" s="4"/>
      <c r="C621" s="4"/>
      <c r="D621" s="17"/>
    </row>
    <row r="622" spans="1:4" ht="15.75" thickBot="1">
      <c r="A622" s="3"/>
      <c r="B622" s="4"/>
      <c r="C622" s="4"/>
      <c r="D622" s="17"/>
    </row>
    <row r="623" spans="1:4" ht="15.75" thickBot="1">
      <c r="A623" s="3"/>
      <c r="B623" s="4"/>
      <c r="C623" s="4"/>
      <c r="D623" s="17"/>
    </row>
    <row r="624" spans="1:4" ht="15.75" thickBot="1">
      <c r="A624" s="3"/>
      <c r="B624" s="4"/>
      <c r="C624" s="4"/>
      <c r="D624" s="17"/>
    </row>
    <row r="625" spans="1:4" ht="15.75" thickBot="1">
      <c r="A625" s="3"/>
      <c r="B625" s="4"/>
      <c r="C625" s="4"/>
      <c r="D625" s="17"/>
    </row>
    <row r="626" spans="1:4" ht="15.75" thickBot="1">
      <c r="A626" s="3"/>
      <c r="B626" s="4"/>
      <c r="C626" s="4"/>
      <c r="D626" s="17"/>
    </row>
    <row r="627" spans="1:4" ht="15.75" thickBot="1">
      <c r="A627" s="3"/>
      <c r="B627" s="4"/>
      <c r="C627" s="4"/>
      <c r="D627" s="17"/>
    </row>
    <row r="628" spans="1:4" ht="15.75" thickBot="1">
      <c r="A628" s="3"/>
      <c r="B628" s="4"/>
      <c r="C628" s="4"/>
      <c r="D628" s="17"/>
    </row>
    <row r="629" spans="1:4" ht="15.75" thickBot="1">
      <c r="A629" s="3"/>
      <c r="B629" s="4"/>
      <c r="C629" s="4"/>
      <c r="D629" s="17"/>
    </row>
    <row r="630" spans="1:4" ht="15.75" thickBot="1">
      <c r="A630" s="3"/>
      <c r="B630" s="4"/>
      <c r="C630" s="4"/>
      <c r="D630" s="17"/>
    </row>
    <row r="631" spans="1:4" ht="15.75" thickBot="1">
      <c r="A631" s="3"/>
      <c r="B631" s="4"/>
      <c r="C631" s="4"/>
      <c r="D631" s="17"/>
    </row>
    <row r="632" spans="1:4" ht="15.75" thickBot="1">
      <c r="A632" s="3"/>
      <c r="B632" s="4"/>
      <c r="C632" s="4"/>
      <c r="D632" s="17"/>
    </row>
    <row r="633" spans="1:4" ht="15.75" thickBot="1">
      <c r="A633" s="3"/>
      <c r="B633" s="4"/>
      <c r="C633" s="4"/>
      <c r="D633" s="17"/>
    </row>
    <row r="634" spans="1:4" ht="15.75" thickBot="1">
      <c r="A634" s="3"/>
      <c r="B634" s="4"/>
      <c r="C634" s="4"/>
      <c r="D634" s="17"/>
    </row>
    <row r="635" spans="1:4" ht="15.75" thickBot="1">
      <c r="A635" s="3"/>
      <c r="B635" s="4"/>
      <c r="C635" s="4"/>
      <c r="D635" s="17"/>
    </row>
    <row r="636" spans="1:4" ht="15.75" thickBot="1">
      <c r="A636" s="3"/>
      <c r="B636" s="4"/>
      <c r="C636" s="4"/>
      <c r="D636" s="17"/>
    </row>
    <row r="637" spans="1:4" ht="15.75" thickBot="1">
      <c r="A637" s="3"/>
      <c r="B637" s="4"/>
      <c r="C637" s="4"/>
      <c r="D637" s="17"/>
    </row>
    <row r="638" spans="1:4" ht="15.75" thickBot="1">
      <c r="A638" s="3"/>
      <c r="B638" s="4"/>
      <c r="C638" s="4"/>
      <c r="D638" s="17"/>
    </row>
    <row r="639" spans="1:4" ht="15.75" thickBot="1">
      <c r="A639" s="3"/>
      <c r="B639" s="4"/>
      <c r="C639" s="4"/>
      <c r="D639" s="17"/>
    </row>
    <row r="640" spans="1:4" ht="15.75" thickBot="1">
      <c r="A640" s="3"/>
      <c r="B640" s="4"/>
      <c r="C640" s="4"/>
      <c r="D640" s="17"/>
    </row>
    <row r="641" spans="1:4" ht="15.75" thickBot="1">
      <c r="A641" s="3"/>
      <c r="B641" s="4"/>
      <c r="C641" s="4"/>
      <c r="D641" s="17"/>
    </row>
    <row r="642" spans="1:4" ht="15.75" thickBot="1">
      <c r="A642" s="3"/>
      <c r="B642" s="4"/>
      <c r="C642" s="4"/>
      <c r="D642" s="17"/>
    </row>
    <row r="643" spans="1:4" ht="15.75" thickBot="1">
      <c r="A643" s="3"/>
      <c r="B643" s="4"/>
      <c r="C643" s="4"/>
      <c r="D643" s="17"/>
    </row>
    <row r="644" spans="1:4" ht="15.75" thickBot="1">
      <c r="A644" s="3"/>
      <c r="B644" s="4"/>
      <c r="C644" s="4"/>
      <c r="D644" s="17"/>
    </row>
    <row r="645" spans="1:4" ht="15.75" thickBot="1">
      <c r="A645" s="3"/>
      <c r="B645" s="4"/>
      <c r="C645" s="4"/>
      <c r="D645" s="17"/>
    </row>
    <row r="646" spans="1:4" ht="15.75" thickBot="1">
      <c r="A646" s="3"/>
      <c r="B646" s="4"/>
      <c r="C646" s="4"/>
      <c r="D646" s="17"/>
    </row>
    <row r="647" spans="1:4" ht="15.75" thickBot="1">
      <c r="A647" s="3"/>
      <c r="B647" s="4"/>
      <c r="C647" s="4"/>
      <c r="D647" s="17"/>
    </row>
    <row r="648" spans="1:4" ht="15.75" thickBot="1">
      <c r="A648" s="3"/>
      <c r="B648" s="4"/>
      <c r="C648" s="4"/>
      <c r="D648" s="17"/>
    </row>
    <row r="649" spans="1:4" ht="15.75" thickBot="1">
      <c r="A649" s="3"/>
      <c r="B649" s="4"/>
      <c r="C649" s="4"/>
      <c r="D649" s="17"/>
    </row>
    <row r="650" spans="1:4" ht="15.75" thickBot="1">
      <c r="A650" s="3"/>
      <c r="B650" s="4"/>
      <c r="C650" s="4"/>
      <c r="D650" s="17"/>
    </row>
    <row r="651" spans="1:4" ht="15.75" thickBot="1">
      <c r="A651" s="3"/>
      <c r="B651" s="4"/>
      <c r="C651" s="4"/>
      <c r="D651" s="17"/>
    </row>
    <row r="652" spans="1:4" ht="15.75" thickBot="1">
      <c r="A652" s="3"/>
      <c r="B652" s="4"/>
      <c r="C652" s="4"/>
      <c r="D652" s="17"/>
    </row>
    <row r="653" spans="1:4" ht="15.75" thickBot="1">
      <c r="A653" s="3"/>
      <c r="B653" s="4"/>
      <c r="C653" s="4"/>
      <c r="D653" s="17"/>
    </row>
    <row r="654" spans="1:4" ht="15.75" thickBot="1">
      <c r="A654" s="3"/>
      <c r="B654" s="4"/>
      <c r="C654" s="4"/>
      <c r="D654" s="17"/>
    </row>
    <row r="655" spans="1:4" ht="15.75" thickBot="1">
      <c r="A655" s="3"/>
      <c r="B655" s="4"/>
      <c r="C655" s="4"/>
      <c r="D655" s="17"/>
    </row>
    <row r="656" spans="1:4" ht="15.75" thickBot="1">
      <c r="A656" s="3"/>
      <c r="B656" s="4"/>
      <c r="C656" s="4"/>
      <c r="D656" s="17"/>
    </row>
    <row r="657" spans="1:4" ht="15.75" thickBot="1">
      <c r="A657" s="3"/>
      <c r="B657" s="4"/>
      <c r="C657" s="4"/>
      <c r="D657" s="17"/>
    </row>
    <row r="658" spans="1:4" ht="15.75" thickBot="1">
      <c r="A658" s="3"/>
      <c r="B658" s="4"/>
      <c r="C658" s="4"/>
      <c r="D658" s="17"/>
    </row>
    <row r="659" spans="1:4" ht="15.75" thickBot="1">
      <c r="A659" s="3"/>
      <c r="B659" s="4"/>
      <c r="C659" s="4"/>
      <c r="D659" s="17"/>
    </row>
    <row r="660" spans="1:4" ht="15.75" thickBot="1">
      <c r="A660" s="3"/>
      <c r="B660" s="4"/>
      <c r="C660" s="4"/>
      <c r="D660" s="17"/>
    </row>
    <row r="661" spans="1:4" ht="15.75" thickBot="1">
      <c r="A661" s="3"/>
      <c r="B661" s="4"/>
      <c r="C661" s="4"/>
      <c r="D661" s="17"/>
    </row>
    <row r="662" spans="1:4" ht="15.75" thickBot="1">
      <c r="A662" s="3"/>
      <c r="B662" s="4"/>
      <c r="C662" s="4"/>
      <c r="D662" s="17"/>
    </row>
    <row r="663" spans="1:4" ht="15.75" thickBot="1">
      <c r="A663" s="3"/>
      <c r="B663" s="4"/>
      <c r="C663" s="4"/>
      <c r="D663" s="17"/>
    </row>
    <row r="664" spans="1:4" ht="15.75" thickBot="1">
      <c r="A664" s="3"/>
      <c r="B664" s="4"/>
      <c r="C664" s="4"/>
      <c r="D664" s="17"/>
    </row>
    <row r="665" spans="1:4" ht="15.75" thickBot="1">
      <c r="A665" s="3"/>
      <c r="B665" s="4"/>
      <c r="C665" s="4"/>
      <c r="D665" s="17"/>
    </row>
    <row r="666" spans="1:4" ht="15.75" thickBot="1">
      <c r="A666" s="3"/>
      <c r="B666" s="4"/>
      <c r="C666" s="4"/>
      <c r="D666" s="17"/>
    </row>
    <row r="667" spans="1:4" ht="15.75" thickBot="1">
      <c r="A667" s="3"/>
      <c r="B667" s="4"/>
      <c r="C667" s="4"/>
      <c r="D667" s="17"/>
    </row>
    <row r="668" spans="1:4" ht="15.75" thickBot="1">
      <c r="A668" s="3"/>
      <c r="B668" s="4"/>
      <c r="C668" s="4"/>
      <c r="D668" s="17"/>
    </row>
    <row r="669" spans="1:4" ht="15.75" thickBot="1">
      <c r="A669" s="3"/>
      <c r="B669" s="4"/>
      <c r="C669" s="4"/>
      <c r="D669" s="17"/>
    </row>
    <row r="670" spans="1:4" ht="15.75" thickBot="1">
      <c r="A670" s="3"/>
      <c r="B670" s="4"/>
      <c r="C670" s="4"/>
      <c r="D670" s="17"/>
    </row>
    <row r="671" spans="1:4" ht="15.75" thickBot="1">
      <c r="A671" s="3"/>
      <c r="B671" s="4"/>
      <c r="C671" s="4"/>
      <c r="D671" s="17"/>
    </row>
    <row r="672" spans="1:4" ht="15.75" thickBot="1">
      <c r="A672" s="3"/>
      <c r="B672" s="4"/>
      <c r="C672" s="4"/>
      <c r="D672" s="17"/>
    </row>
    <row r="673" spans="1:4" ht="15.75" thickBot="1">
      <c r="A673" s="3"/>
      <c r="B673" s="4"/>
      <c r="C673" s="4"/>
      <c r="D673" s="17"/>
    </row>
    <row r="674" spans="1:4" ht="15.75" thickBot="1">
      <c r="A674" s="3"/>
      <c r="B674" s="4"/>
      <c r="C674" s="4"/>
      <c r="D674" s="17"/>
    </row>
    <row r="675" spans="1:4" ht="15.75" thickBot="1">
      <c r="A675" s="3"/>
      <c r="B675" s="4"/>
      <c r="C675" s="4"/>
      <c r="D675" s="17"/>
    </row>
    <row r="676" spans="1:4" ht="15.75" thickBot="1">
      <c r="A676" s="3"/>
      <c r="B676" s="4"/>
      <c r="C676" s="4"/>
      <c r="D676" s="17"/>
    </row>
    <row r="677" spans="1:4" ht="15.75" thickBot="1">
      <c r="A677" s="3"/>
      <c r="B677" s="4"/>
      <c r="C677" s="4"/>
      <c r="D677" s="17"/>
    </row>
    <row r="678" spans="1:4" ht="15.75" thickBot="1">
      <c r="A678" s="3"/>
      <c r="B678" s="4"/>
      <c r="C678" s="4"/>
      <c r="D678" s="17"/>
    </row>
    <row r="679" spans="1:4" ht="15.75" thickBot="1">
      <c r="A679" s="3"/>
      <c r="B679" s="4"/>
      <c r="C679" s="4"/>
      <c r="D679" s="17"/>
    </row>
    <row r="680" spans="1:4" ht="15.75" thickBot="1">
      <c r="A680" s="3"/>
      <c r="B680" s="4"/>
      <c r="C680" s="4"/>
      <c r="D680" s="17"/>
    </row>
    <row r="681" spans="1:4" ht="15.75" thickBot="1">
      <c r="A681" s="3"/>
      <c r="B681" s="4"/>
      <c r="C681" s="4"/>
      <c r="D681" s="17"/>
    </row>
    <row r="682" spans="1:4" ht="15.75" thickBot="1">
      <c r="A682" s="3"/>
      <c r="B682" s="4"/>
      <c r="C682" s="4"/>
      <c r="D682" s="17"/>
    </row>
    <row r="683" spans="1:4" ht="15.75" thickBot="1">
      <c r="A683" s="3"/>
      <c r="B683" s="4"/>
      <c r="C683" s="4"/>
      <c r="D683" s="17"/>
    </row>
    <row r="684" spans="1:4" ht="15.75" thickBot="1">
      <c r="A684" s="3"/>
      <c r="B684" s="4"/>
      <c r="C684" s="4"/>
      <c r="D684" s="17"/>
    </row>
    <row r="685" spans="1:4" ht="15.75" thickBot="1">
      <c r="A685" s="3"/>
      <c r="B685" s="4"/>
      <c r="C685" s="4"/>
      <c r="D685" s="17"/>
    </row>
    <row r="686" spans="1:4" ht="15.75" thickBot="1">
      <c r="A686" s="3"/>
      <c r="B686" s="4"/>
      <c r="C686" s="4"/>
      <c r="D686" s="17"/>
    </row>
    <row r="687" spans="1:4" ht="15.75" thickBot="1">
      <c r="A687" s="3"/>
      <c r="B687" s="4"/>
      <c r="C687" s="4"/>
      <c r="D687" s="17"/>
    </row>
    <row r="688" spans="1:4" ht="15.75" thickBot="1">
      <c r="A688" s="3"/>
      <c r="B688" s="4"/>
      <c r="C688" s="4"/>
      <c r="D688" s="17"/>
    </row>
    <row r="689" spans="1:4" ht="15.75" thickBot="1">
      <c r="A689" s="3"/>
      <c r="B689" s="4"/>
      <c r="C689" s="4"/>
      <c r="D689" s="17"/>
    </row>
    <row r="690" spans="1:4" ht="15.75" thickBot="1">
      <c r="A690" s="3"/>
      <c r="B690" s="4"/>
      <c r="C690" s="4"/>
      <c r="D690" s="17"/>
    </row>
    <row r="691" spans="1:4" ht="15.75" thickBot="1">
      <c r="A691" s="3"/>
      <c r="B691" s="4"/>
      <c r="C691" s="4"/>
      <c r="D691" s="17"/>
    </row>
    <row r="692" spans="1:4" ht="15.75" thickBot="1">
      <c r="A692" s="3"/>
      <c r="B692" s="4"/>
      <c r="C692" s="4"/>
      <c r="D692" s="17"/>
    </row>
    <row r="693" spans="1:4" ht="15.75" thickBot="1">
      <c r="A693" s="3"/>
      <c r="B693" s="4"/>
      <c r="C693" s="4"/>
      <c r="D693" s="17"/>
    </row>
    <row r="694" spans="1:4" ht="15.75" thickBot="1">
      <c r="A694" s="3"/>
      <c r="B694" s="4"/>
      <c r="C694" s="4"/>
      <c r="D694" s="17"/>
    </row>
    <row r="695" spans="1:4" ht="15.75" thickBot="1">
      <c r="A695" s="3"/>
      <c r="B695" s="4"/>
      <c r="C695" s="4"/>
      <c r="D695" s="17"/>
    </row>
    <row r="696" spans="1:4" ht="15.75" thickBot="1">
      <c r="A696" s="3"/>
      <c r="B696" s="4"/>
      <c r="C696" s="4"/>
      <c r="D696" s="17"/>
    </row>
    <row r="697" spans="1:4" ht="15.75" thickBot="1">
      <c r="A697" s="3"/>
      <c r="B697" s="4"/>
      <c r="C697" s="4"/>
      <c r="D697" s="17"/>
    </row>
    <row r="698" spans="1:4" ht="15.75" thickBot="1">
      <c r="A698" s="3"/>
      <c r="B698" s="4"/>
      <c r="C698" s="4"/>
      <c r="D698" s="17"/>
    </row>
    <row r="699" spans="1:4" ht="15.75" thickBot="1">
      <c r="A699" s="3"/>
      <c r="B699" s="4"/>
      <c r="C699" s="4"/>
      <c r="D699" s="17"/>
    </row>
    <row r="700" spans="1:4" ht="15.75" thickBot="1">
      <c r="A700" s="3"/>
      <c r="B700" s="4"/>
      <c r="C700" s="4"/>
      <c r="D700" s="17"/>
    </row>
    <row r="701" spans="1:4" ht="15.75" thickBot="1">
      <c r="A701" s="3"/>
      <c r="B701" s="4"/>
      <c r="C701" s="4"/>
      <c r="D701" s="17"/>
    </row>
    <row r="702" spans="1:4" ht="15.75" thickBot="1">
      <c r="A702" s="3"/>
      <c r="B702" s="4"/>
      <c r="C702" s="4"/>
      <c r="D702" s="17"/>
    </row>
    <row r="703" spans="1:4" ht="15.75" thickBot="1">
      <c r="A703" s="3"/>
      <c r="B703" s="4"/>
      <c r="C703" s="4"/>
      <c r="D703" s="17"/>
    </row>
    <row r="704" spans="1:4" ht="15.75" thickBot="1">
      <c r="A704" s="3"/>
      <c r="B704" s="4"/>
      <c r="C704" s="4"/>
      <c r="D704" s="17"/>
    </row>
    <row r="705" spans="1:4" ht="15.75" thickBot="1">
      <c r="A705" s="3"/>
      <c r="B705" s="4"/>
      <c r="C705" s="4"/>
      <c r="D705" s="17"/>
    </row>
    <row r="706" spans="1:4" ht="15.75" thickBot="1">
      <c r="A706" s="3"/>
      <c r="B706" s="4"/>
      <c r="C706" s="4"/>
      <c r="D706" s="17"/>
    </row>
    <row r="707" spans="1:4" ht="15.75" thickBot="1">
      <c r="A707" s="3"/>
      <c r="B707" s="4"/>
      <c r="C707" s="4"/>
      <c r="D707" s="17"/>
    </row>
    <row r="708" spans="1:4" ht="15.75" thickBot="1">
      <c r="A708" s="3"/>
      <c r="B708" s="4"/>
      <c r="C708" s="4"/>
      <c r="D708" s="17"/>
    </row>
    <row r="709" spans="1:4" ht="15.75" thickBot="1">
      <c r="A709" s="3"/>
      <c r="B709" s="4"/>
      <c r="C709" s="4"/>
      <c r="D709" s="17"/>
    </row>
    <row r="710" spans="1:4" ht="15.75" thickBot="1">
      <c r="A710" s="3"/>
      <c r="B710" s="4"/>
      <c r="C710" s="4"/>
      <c r="D710" s="17"/>
    </row>
    <row r="711" spans="1:4" ht="15.75" thickBot="1">
      <c r="A711" s="3"/>
      <c r="B711" s="4"/>
      <c r="C711" s="4"/>
      <c r="D711" s="17"/>
    </row>
    <row r="712" spans="1:4" ht="15.75" thickBot="1">
      <c r="A712" s="3"/>
      <c r="B712" s="4"/>
      <c r="C712" s="4"/>
      <c r="D712" s="17"/>
    </row>
    <row r="713" spans="1:4" ht="15.75" thickBot="1">
      <c r="A713" s="3"/>
      <c r="B713" s="4"/>
      <c r="C713" s="4"/>
      <c r="D713" s="17"/>
    </row>
    <row r="714" spans="1:4" ht="15.75" thickBot="1">
      <c r="A714" s="3"/>
      <c r="B714" s="4"/>
      <c r="C714" s="4"/>
      <c r="D714" s="17"/>
    </row>
    <row r="715" spans="1:4" ht="15.75" thickBot="1">
      <c r="A715" s="3"/>
      <c r="B715" s="4"/>
      <c r="C715" s="4"/>
      <c r="D715" s="17"/>
    </row>
    <row r="716" spans="1:4" ht="15.75" thickBot="1">
      <c r="A716" s="3"/>
      <c r="B716" s="4"/>
      <c r="C716" s="4"/>
      <c r="D716" s="17"/>
    </row>
    <row r="717" spans="1:4" ht="15.75" thickBot="1">
      <c r="A717" s="3"/>
      <c r="B717" s="4"/>
      <c r="C717" s="4"/>
      <c r="D717" s="17"/>
    </row>
    <row r="718" spans="1:4" ht="15.75" thickBot="1">
      <c r="A718" s="3"/>
      <c r="B718" s="4"/>
      <c r="C718" s="4"/>
      <c r="D718" s="17"/>
    </row>
    <row r="719" spans="1:4" ht="15.75" thickBot="1">
      <c r="A719" s="3"/>
      <c r="B719" s="4"/>
      <c r="C719" s="4"/>
      <c r="D719" s="17"/>
    </row>
    <row r="720" spans="1:4" ht="15.75" thickBot="1">
      <c r="A720" s="3"/>
      <c r="B720" s="4"/>
      <c r="C720" s="4"/>
      <c r="D720" s="17"/>
    </row>
    <row r="721" spans="1:4" ht="15.75" thickBot="1">
      <c r="A721" s="3"/>
      <c r="B721" s="4"/>
      <c r="C721" s="4"/>
      <c r="D721" s="17"/>
    </row>
    <row r="722" spans="1:4" ht="15.75" thickBot="1">
      <c r="A722" s="3"/>
      <c r="B722" s="4"/>
      <c r="C722" s="4"/>
      <c r="D722" s="17"/>
    </row>
    <row r="723" spans="1:4" ht="15.75" thickBot="1">
      <c r="A723" s="3"/>
      <c r="B723" s="4"/>
      <c r="C723" s="4"/>
      <c r="D723" s="17"/>
    </row>
    <row r="724" spans="1:4" ht="15.75" thickBot="1">
      <c r="A724" s="3"/>
      <c r="B724" s="4"/>
      <c r="C724" s="4"/>
      <c r="D724" s="17"/>
    </row>
    <row r="725" spans="1:4" ht="15.75" thickBot="1">
      <c r="A725" s="3"/>
      <c r="B725" s="4"/>
      <c r="C725" s="4"/>
      <c r="D725" s="17"/>
    </row>
    <row r="726" spans="1:4" ht="15.75" thickBot="1">
      <c r="A726" s="3"/>
      <c r="B726" s="4"/>
      <c r="C726" s="4"/>
      <c r="D726" s="17"/>
    </row>
    <row r="727" spans="1:4" ht="15.75" thickBot="1">
      <c r="A727" s="3"/>
      <c r="B727" s="4"/>
      <c r="C727" s="4"/>
      <c r="D727" s="17"/>
    </row>
    <row r="728" spans="1:4" ht="15.75" thickBot="1">
      <c r="A728" s="3"/>
      <c r="B728" s="4"/>
      <c r="C728" s="4"/>
      <c r="D728" s="17"/>
    </row>
    <row r="729" spans="1:4" ht="15.75" thickBot="1">
      <c r="A729" s="3"/>
      <c r="B729" s="4"/>
      <c r="C729" s="4"/>
      <c r="D729" s="17"/>
    </row>
    <row r="730" spans="1:4" ht="15.75" thickBot="1">
      <c r="A730" s="3"/>
      <c r="B730" s="4"/>
      <c r="C730" s="4"/>
      <c r="D730" s="17"/>
    </row>
    <row r="731" spans="1:4" ht="15.75" thickBot="1">
      <c r="A731" s="3"/>
      <c r="B731" s="4"/>
      <c r="C731" s="4"/>
      <c r="D731" s="17"/>
    </row>
    <row r="732" spans="1:4" ht="15.75" thickBot="1">
      <c r="A732" s="3"/>
      <c r="B732" s="4"/>
      <c r="C732" s="4"/>
      <c r="D732" s="17"/>
    </row>
    <row r="733" spans="1:4" ht="15.75" thickBot="1">
      <c r="A733" s="3"/>
      <c r="B733" s="4"/>
      <c r="C733" s="4"/>
      <c r="D733" s="17"/>
    </row>
    <row r="734" spans="1:4" ht="15.75" thickBot="1">
      <c r="A734" s="3"/>
      <c r="B734" s="4"/>
      <c r="C734" s="4"/>
      <c r="D734" s="17"/>
    </row>
    <row r="735" spans="1:4" ht="15.75" thickBot="1">
      <c r="A735" s="3"/>
      <c r="B735" s="4"/>
      <c r="C735" s="4"/>
      <c r="D735" s="17"/>
    </row>
    <row r="736" spans="1:4" ht="15.75" thickBot="1">
      <c r="A736" s="3"/>
      <c r="B736" s="4"/>
      <c r="C736" s="4"/>
      <c r="D736" s="17"/>
    </row>
    <row r="737" spans="1:4" ht="15.75" thickBot="1">
      <c r="A737" s="3"/>
      <c r="B737" s="4"/>
      <c r="C737" s="4"/>
      <c r="D737" s="17"/>
    </row>
    <row r="738" spans="1:4" ht="15.75" thickBot="1">
      <c r="A738" s="3"/>
      <c r="B738" s="4"/>
      <c r="C738" s="4"/>
      <c r="D738" s="17"/>
    </row>
    <row r="739" spans="1:4" ht="15.75" thickBot="1">
      <c r="A739" s="3"/>
      <c r="B739" s="4"/>
      <c r="C739" s="4"/>
      <c r="D739" s="17"/>
    </row>
    <row r="740" spans="1:4" ht="15.75" thickBot="1">
      <c r="A740" s="3"/>
      <c r="B740" s="4"/>
      <c r="C740" s="4"/>
      <c r="D740" s="17"/>
    </row>
    <row r="741" spans="1:4" ht="15.75" thickBot="1">
      <c r="A741" s="3"/>
      <c r="B741" s="4"/>
      <c r="C741" s="4"/>
      <c r="D741" s="17"/>
    </row>
    <row r="742" spans="1:4" ht="15.75" thickBot="1">
      <c r="A742" s="3"/>
      <c r="B742" s="4"/>
      <c r="C742" s="4"/>
      <c r="D742" s="17"/>
    </row>
    <row r="743" spans="1:4" ht="15.75" thickBot="1">
      <c r="A743" s="3"/>
      <c r="B743" s="4"/>
      <c r="C743" s="4"/>
      <c r="D743" s="17"/>
    </row>
    <row r="744" spans="1:4" ht="15.75" thickBot="1">
      <c r="A744" s="3"/>
      <c r="B744" s="4"/>
      <c r="C744" s="4"/>
      <c r="D744" s="17"/>
    </row>
    <row r="745" spans="1:4" ht="15.75" thickBot="1">
      <c r="A745" s="3"/>
      <c r="B745" s="4"/>
      <c r="C745" s="4"/>
      <c r="D745" s="17"/>
    </row>
    <row r="746" spans="1:4" ht="15.75" thickBot="1">
      <c r="A746" s="3"/>
      <c r="B746" s="4"/>
      <c r="C746" s="4"/>
      <c r="D746" s="17"/>
    </row>
    <row r="747" spans="1:4" ht="15.75" thickBot="1">
      <c r="A747" s="3"/>
      <c r="B747" s="4"/>
      <c r="C747" s="4"/>
      <c r="D747" s="17"/>
    </row>
    <row r="748" spans="1:4" ht="15.75" thickBot="1">
      <c r="A748" s="3"/>
      <c r="B748" s="4"/>
      <c r="C748" s="4"/>
      <c r="D748" s="17"/>
    </row>
    <row r="749" spans="1:4" ht="15.75" thickBot="1">
      <c r="A749" s="3"/>
      <c r="B749" s="4"/>
      <c r="C749" s="4"/>
      <c r="D749" s="17"/>
    </row>
    <row r="750" spans="1:4" ht="15.75" thickBot="1">
      <c r="A750" s="3"/>
      <c r="B750" s="4"/>
      <c r="C750" s="4"/>
      <c r="D750" s="17"/>
    </row>
    <row r="751" spans="1:4" ht="15.75" thickBot="1">
      <c r="A751" s="3"/>
      <c r="B751" s="4"/>
      <c r="C751" s="4"/>
      <c r="D751" s="17"/>
    </row>
    <row r="752" spans="1:4" ht="15.75" thickBot="1">
      <c r="A752" s="3"/>
      <c r="B752" s="4"/>
      <c r="C752" s="4"/>
      <c r="D752" s="17"/>
    </row>
    <row r="753" spans="1:4" ht="15.75" thickBot="1">
      <c r="A753" s="3"/>
      <c r="B753" s="4"/>
      <c r="C753" s="4"/>
      <c r="D753" s="17"/>
    </row>
    <row r="754" spans="1:4" ht="15.75" thickBot="1">
      <c r="A754" s="3"/>
      <c r="B754" s="4"/>
      <c r="C754" s="4"/>
      <c r="D754" s="17"/>
    </row>
    <row r="755" spans="1:4" ht="15.75" thickBot="1">
      <c r="A755" s="3"/>
      <c r="B755" s="4"/>
      <c r="C755" s="4"/>
      <c r="D755" s="17"/>
    </row>
    <row r="756" spans="1:4" ht="15.75" thickBot="1">
      <c r="A756" s="3"/>
      <c r="B756" s="4"/>
      <c r="C756" s="4"/>
      <c r="D756" s="17"/>
    </row>
    <row r="757" spans="1:4" ht="15.75" thickBot="1">
      <c r="A757" s="3"/>
      <c r="B757" s="4"/>
      <c r="C757" s="4"/>
      <c r="D757" s="17"/>
    </row>
    <row r="758" spans="1:4" ht="15.75" thickBot="1">
      <c r="A758" s="3"/>
      <c r="B758" s="4"/>
      <c r="C758" s="4"/>
      <c r="D758" s="17"/>
    </row>
    <row r="759" spans="1:4" ht="15.75" thickBot="1">
      <c r="A759" s="3"/>
      <c r="B759" s="4"/>
      <c r="C759" s="4"/>
      <c r="D759" s="17"/>
    </row>
    <row r="760" spans="1:4" ht="15.75" thickBot="1">
      <c r="A760" s="3"/>
      <c r="B760" s="4"/>
      <c r="C760" s="4"/>
      <c r="D760" s="17"/>
    </row>
    <row r="761" spans="1:4" ht="15.75" thickBot="1">
      <c r="A761" s="3"/>
      <c r="B761" s="4"/>
      <c r="C761" s="4"/>
      <c r="D761" s="17"/>
    </row>
    <row r="762" spans="1:4" ht="15.75" thickBot="1">
      <c r="A762" s="3"/>
      <c r="B762" s="4"/>
      <c r="C762" s="4"/>
      <c r="D762" s="17"/>
    </row>
    <row r="763" spans="1:4" ht="15.75" thickBot="1">
      <c r="A763" s="3"/>
      <c r="B763" s="4"/>
      <c r="C763" s="4"/>
      <c r="D763" s="17"/>
    </row>
    <row r="764" spans="1:4" ht="15.75" thickBot="1">
      <c r="A764" s="3"/>
      <c r="B764" s="4"/>
      <c r="C764" s="4"/>
      <c r="D764" s="17"/>
    </row>
    <row r="765" spans="1:4" ht="15.75" thickBot="1">
      <c r="A765" s="3"/>
      <c r="B765" s="4"/>
      <c r="C765" s="4"/>
      <c r="D765" s="17"/>
    </row>
    <row r="766" spans="1:4" ht="15.75" thickBot="1">
      <c r="A766" s="3"/>
      <c r="B766" s="4"/>
      <c r="C766" s="4"/>
      <c r="D766" s="17"/>
    </row>
    <row r="767" spans="1:4" ht="15.75" thickBot="1">
      <c r="A767" s="3"/>
      <c r="B767" s="4"/>
      <c r="C767" s="4"/>
      <c r="D767" s="17"/>
    </row>
    <row r="768" spans="1:4" ht="15.75" thickBot="1">
      <c r="A768" s="3"/>
      <c r="B768" s="4"/>
      <c r="C768" s="4"/>
      <c r="D768" s="17"/>
    </row>
    <row r="769" spans="1:4" ht="15.75" thickBot="1">
      <c r="A769" s="3"/>
      <c r="B769" s="4"/>
      <c r="C769" s="4"/>
      <c r="D769" s="17"/>
    </row>
    <row r="770" spans="1:4" ht="15.75" thickBot="1">
      <c r="A770" s="3"/>
      <c r="B770" s="4"/>
      <c r="C770" s="4"/>
      <c r="D770" s="17"/>
    </row>
    <row r="771" spans="1:4" ht="15.75" thickBot="1">
      <c r="A771" s="3"/>
      <c r="B771" s="4"/>
      <c r="C771" s="4"/>
      <c r="D771" s="17"/>
    </row>
    <row r="772" spans="1:4" ht="15.75" thickBot="1">
      <c r="A772" s="3"/>
      <c r="B772" s="4"/>
      <c r="C772" s="4"/>
      <c r="D772" s="17"/>
    </row>
    <row r="773" spans="1:4" ht="15.75" thickBot="1">
      <c r="A773" s="3"/>
      <c r="B773" s="4"/>
      <c r="C773" s="4"/>
      <c r="D773" s="17"/>
    </row>
    <row r="774" spans="1:4" ht="15.75" thickBot="1">
      <c r="A774" s="3"/>
      <c r="B774" s="4"/>
      <c r="C774" s="4"/>
      <c r="D774" s="17"/>
    </row>
    <row r="775" spans="1:4" ht="15.75" thickBot="1">
      <c r="A775" s="3"/>
      <c r="B775" s="4"/>
      <c r="C775" s="4"/>
      <c r="D775" s="17"/>
    </row>
    <row r="776" spans="1:4" ht="15.75" thickBot="1">
      <c r="A776" s="3"/>
      <c r="B776" s="4"/>
      <c r="C776" s="4"/>
      <c r="D776" s="17"/>
    </row>
    <row r="777" spans="1:4" ht="15.75" thickBot="1">
      <c r="A777" s="3"/>
      <c r="B777" s="4"/>
      <c r="C777" s="4"/>
      <c r="D777" s="17"/>
    </row>
    <row r="778" spans="1:4" ht="15.75" thickBot="1">
      <c r="A778" s="3"/>
      <c r="B778" s="4"/>
      <c r="C778" s="4"/>
      <c r="D778" s="17"/>
    </row>
    <row r="779" spans="1:4" ht="15.75" thickBot="1">
      <c r="A779" s="3"/>
      <c r="B779" s="4"/>
      <c r="C779" s="4"/>
      <c r="D779" s="17"/>
    </row>
    <row r="780" spans="1:4" ht="15.75" thickBot="1">
      <c r="A780" s="3"/>
      <c r="B780" s="4"/>
      <c r="C780" s="4"/>
      <c r="D780" s="17"/>
    </row>
    <row r="781" spans="1:4" ht="15.75" thickBot="1">
      <c r="A781" s="3"/>
      <c r="B781" s="4"/>
      <c r="C781" s="4"/>
      <c r="D781" s="17"/>
    </row>
    <row r="782" spans="1:4" ht="15.75" thickBot="1">
      <c r="A782" s="3"/>
      <c r="B782" s="4"/>
      <c r="C782" s="4"/>
      <c r="D782" s="17"/>
    </row>
    <row r="783" spans="1:4" ht="15.75" thickBot="1">
      <c r="A783" s="3"/>
      <c r="B783" s="4"/>
      <c r="C783" s="4"/>
      <c r="D783" s="17"/>
    </row>
    <row r="784" spans="1:4" ht="15.75" thickBot="1">
      <c r="A784" s="3"/>
      <c r="B784" s="4"/>
      <c r="C784" s="4"/>
      <c r="D784" s="17"/>
    </row>
    <row r="785" spans="1:4" ht="15.75" thickBot="1">
      <c r="A785" s="3"/>
      <c r="B785" s="4"/>
      <c r="C785" s="4"/>
      <c r="D785" s="17"/>
    </row>
    <row r="786" spans="1:4" ht="15.75" thickBot="1">
      <c r="A786" s="3"/>
      <c r="B786" s="4"/>
      <c r="C786" s="4"/>
      <c r="D786" s="17"/>
    </row>
    <row r="787" spans="1:4" ht="15.75" thickBot="1">
      <c r="A787" s="3"/>
      <c r="B787" s="4"/>
      <c r="C787" s="4"/>
      <c r="D787" s="17"/>
    </row>
    <row r="788" spans="1:4" ht="15.75" thickBot="1">
      <c r="A788" s="3"/>
      <c r="B788" s="4"/>
      <c r="C788" s="4"/>
      <c r="D788" s="17"/>
    </row>
    <row r="789" spans="1:4" ht="15.75" thickBot="1">
      <c r="A789" s="3"/>
      <c r="B789" s="4"/>
      <c r="C789" s="4"/>
      <c r="D789" s="17"/>
    </row>
    <row r="790" spans="1:4" ht="15.75" thickBot="1">
      <c r="A790" s="3"/>
      <c r="B790" s="4"/>
      <c r="C790" s="4"/>
      <c r="D790" s="17"/>
    </row>
    <row r="791" spans="1:4" ht="15.75" thickBot="1">
      <c r="A791" s="3"/>
      <c r="B791" s="4"/>
      <c r="C791" s="4"/>
      <c r="D791" s="17"/>
    </row>
    <row r="792" spans="1:4" ht="15.75" thickBot="1">
      <c r="A792" s="3"/>
      <c r="B792" s="4"/>
      <c r="C792" s="4"/>
      <c r="D792" s="17"/>
    </row>
    <row r="793" spans="1:4" ht="15.75" thickBot="1">
      <c r="A793" s="3"/>
      <c r="B793" s="4"/>
      <c r="C793" s="4"/>
      <c r="D793" s="17"/>
    </row>
    <row r="794" spans="1:4" ht="15.75" thickBot="1">
      <c r="A794" s="3"/>
      <c r="B794" s="4"/>
      <c r="C794" s="4"/>
      <c r="D794" s="17"/>
    </row>
    <row r="795" spans="1:4" ht="15.75" thickBot="1">
      <c r="A795" s="3"/>
      <c r="B795" s="4"/>
      <c r="C795" s="4"/>
      <c r="D795" s="17"/>
    </row>
    <row r="796" spans="1:4" ht="15.75" thickBot="1">
      <c r="A796" s="3"/>
      <c r="B796" s="4"/>
      <c r="C796" s="4"/>
      <c r="D796" s="17"/>
    </row>
    <row r="797" spans="1:4" ht="15.75" thickBot="1">
      <c r="A797" s="3"/>
      <c r="B797" s="4"/>
      <c r="C797" s="4"/>
      <c r="D797" s="17"/>
    </row>
    <row r="798" spans="1:4" ht="15.75" thickBot="1">
      <c r="A798" s="3"/>
      <c r="B798" s="4"/>
      <c r="C798" s="4"/>
      <c r="D798" s="17"/>
    </row>
    <row r="799" spans="1:4" ht="15.75" thickBot="1">
      <c r="A799" s="3"/>
      <c r="B799" s="4"/>
      <c r="C799" s="4"/>
      <c r="D799" s="17"/>
    </row>
    <row r="800" spans="1:4" ht="15.75" thickBot="1">
      <c r="A800" s="3"/>
      <c r="B800" s="4"/>
      <c r="C800" s="4"/>
      <c r="D800" s="17"/>
    </row>
    <row r="801" spans="1:4" ht="15.75" thickBot="1">
      <c r="A801" s="3"/>
      <c r="B801" s="4"/>
      <c r="C801" s="4"/>
      <c r="D801" s="17"/>
    </row>
    <row r="802" spans="1:4" ht="15.75" thickBot="1">
      <c r="A802" s="3"/>
      <c r="B802" s="4"/>
      <c r="C802" s="4"/>
      <c r="D802" s="17"/>
    </row>
    <row r="803" spans="1:4" ht="15.75" thickBot="1">
      <c r="A803" s="3"/>
      <c r="B803" s="4"/>
      <c r="C803" s="4"/>
      <c r="D803" s="17"/>
    </row>
    <row r="804" spans="1:4" ht="15.75" thickBot="1">
      <c r="A804" s="3"/>
      <c r="B804" s="4"/>
      <c r="C804" s="4"/>
      <c r="D804" s="17"/>
    </row>
    <row r="805" spans="1:4" ht="15.75" thickBot="1">
      <c r="A805" s="3"/>
      <c r="B805" s="4"/>
      <c r="C805" s="4"/>
      <c r="D805" s="17"/>
    </row>
    <row r="806" spans="1:4" ht="15.75" thickBot="1">
      <c r="A806" s="3"/>
      <c r="B806" s="4"/>
      <c r="C806" s="4"/>
      <c r="D806" s="17"/>
    </row>
    <row r="807" spans="1:4" ht="15.75" thickBot="1">
      <c r="A807" s="3"/>
      <c r="B807" s="4"/>
      <c r="C807" s="4"/>
      <c r="D807" s="17"/>
    </row>
    <row r="808" spans="1:4" ht="15.75" thickBot="1">
      <c r="A808" s="3"/>
      <c r="B808" s="4"/>
      <c r="C808" s="4"/>
      <c r="D808" s="17"/>
    </row>
    <row r="809" spans="1:4" ht="15.75" thickBot="1">
      <c r="A809" s="3"/>
      <c r="B809" s="4"/>
      <c r="C809" s="4"/>
      <c r="D809" s="17"/>
    </row>
    <row r="810" spans="1:4" ht="15.75" thickBot="1">
      <c r="A810" s="3"/>
      <c r="B810" s="4"/>
      <c r="C810" s="4"/>
      <c r="D810" s="17"/>
    </row>
    <row r="811" spans="1:4" ht="15.75" thickBot="1">
      <c r="A811" s="3"/>
      <c r="B811" s="4"/>
      <c r="C811" s="4"/>
      <c r="D811" s="17"/>
    </row>
    <row r="812" spans="1:4" ht="15.75" thickBot="1">
      <c r="A812" s="3"/>
      <c r="B812" s="4"/>
      <c r="C812" s="4"/>
      <c r="D812" s="17"/>
    </row>
    <row r="813" spans="1:4" ht="15.75" thickBot="1">
      <c r="A813" s="3"/>
      <c r="B813" s="4"/>
      <c r="C813" s="4"/>
      <c r="D813" s="17"/>
    </row>
    <row r="814" spans="1:4" ht="15.75" thickBot="1">
      <c r="A814" s="3"/>
      <c r="B814" s="4"/>
      <c r="C814" s="4"/>
      <c r="D814" s="17"/>
    </row>
    <row r="815" spans="1:4" ht="15.75" thickBot="1">
      <c r="A815" s="3"/>
      <c r="B815" s="4"/>
      <c r="C815" s="4"/>
      <c r="D815" s="17"/>
    </row>
    <row r="816" spans="1:4" ht="15.75" thickBot="1">
      <c r="A816" s="3"/>
      <c r="B816" s="4"/>
      <c r="C816" s="4"/>
      <c r="D816" s="17"/>
    </row>
    <row r="817" spans="1:4" ht="15.75" thickBot="1">
      <c r="A817" s="3"/>
      <c r="B817" s="4"/>
      <c r="C817" s="4"/>
      <c r="D817" s="17"/>
    </row>
    <row r="818" spans="1:4" ht="15.75" thickBot="1">
      <c r="A818" s="3"/>
      <c r="B818" s="4"/>
      <c r="C818" s="4"/>
      <c r="D818" s="17"/>
    </row>
    <row r="819" spans="1:4" ht="15.75" thickBot="1">
      <c r="A819" s="3"/>
      <c r="B819" s="4"/>
      <c r="C819" s="4"/>
      <c r="D819" s="17"/>
    </row>
    <row r="820" spans="1:4" ht="15.75" thickBot="1">
      <c r="A820" s="3"/>
      <c r="B820" s="4"/>
      <c r="C820" s="4"/>
      <c r="D820" s="17"/>
    </row>
    <row r="821" spans="1:4" ht="15.75" thickBot="1">
      <c r="A821" s="3"/>
      <c r="B821" s="4"/>
      <c r="C821" s="4"/>
      <c r="D821" s="17"/>
    </row>
    <row r="822" spans="1:4" ht="15.75" thickBot="1">
      <c r="A822" s="3"/>
      <c r="B822" s="4"/>
      <c r="C822" s="4"/>
      <c r="D822" s="17"/>
    </row>
    <row r="823" spans="1:4" ht="15.75" thickBot="1">
      <c r="A823" s="3"/>
      <c r="B823" s="4"/>
      <c r="C823" s="4"/>
      <c r="D823" s="17"/>
    </row>
    <row r="824" spans="1:4" ht="15.75" thickBot="1">
      <c r="A824" s="3"/>
      <c r="B824" s="4"/>
      <c r="C824" s="4"/>
      <c r="D824" s="17"/>
    </row>
    <row r="825" spans="1:4" ht="15.75" thickBot="1">
      <c r="A825" s="3"/>
      <c r="B825" s="4"/>
      <c r="C825" s="4"/>
      <c r="D825" s="17"/>
    </row>
    <row r="826" spans="1:4" ht="15.75" thickBot="1">
      <c r="A826" s="3"/>
      <c r="B826" s="4"/>
      <c r="C826" s="4"/>
      <c r="D826" s="17"/>
    </row>
    <row r="827" spans="1:4" ht="15.75" thickBot="1">
      <c r="A827" s="3"/>
      <c r="B827" s="4"/>
      <c r="C827" s="4"/>
      <c r="D827" s="17"/>
    </row>
    <row r="828" spans="1:4" ht="15.75" thickBot="1">
      <c r="A828" s="3"/>
      <c r="B828" s="4"/>
      <c r="C828" s="4"/>
      <c r="D828" s="17"/>
    </row>
    <row r="829" spans="1:4" ht="15.75" thickBot="1">
      <c r="A829" s="3"/>
      <c r="B829" s="4"/>
      <c r="C829" s="4"/>
      <c r="D829" s="17"/>
    </row>
    <row r="830" spans="1:4" ht="15.75" thickBot="1">
      <c r="A830" s="3"/>
      <c r="B830" s="4"/>
      <c r="C830" s="4"/>
      <c r="D830" s="17"/>
    </row>
    <row r="831" spans="1:4" ht="15.75" thickBot="1">
      <c r="A831" s="3"/>
      <c r="B831" s="4"/>
      <c r="C831" s="4"/>
      <c r="D831" s="17"/>
    </row>
    <row r="832" spans="1:4" ht="15.75" thickBot="1">
      <c r="A832" s="3"/>
      <c r="B832" s="4"/>
      <c r="C832" s="4"/>
      <c r="D832" s="17"/>
    </row>
    <row r="833" spans="1:4" ht="15.75" thickBot="1">
      <c r="A833" s="3"/>
      <c r="B833" s="4"/>
      <c r="C833" s="4"/>
      <c r="D833" s="17"/>
    </row>
    <row r="834" spans="1:4" ht="15.75" thickBot="1">
      <c r="A834" s="3"/>
      <c r="B834" s="4"/>
      <c r="C834" s="4"/>
      <c r="D834" s="17"/>
    </row>
    <row r="835" spans="1:4" ht="15.75" thickBot="1">
      <c r="A835" s="3"/>
      <c r="B835" s="4"/>
      <c r="C835" s="4"/>
      <c r="D835" s="17"/>
    </row>
    <row r="836" spans="1:4" ht="15.75" thickBot="1">
      <c r="A836" s="3"/>
      <c r="B836" s="4"/>
      <c r="C836" s="4"/>
      <c r="D836" s="17"/>
    </row>
    <row r="837" spans="1:4" ht="15.75" thickBot="1">
      <c r="A837" s="3"/>
      <c r="B837" s="4"/>
      <c r="C837" s="4"/>
      <c r="D837" s="17"/>
    </row>
    <row r="838" spans="1:4" ht="15.75" thickBot="1">
      <c r="A838" s="3"/>
      <c r="B838" s="4"/>
      <c r="C838" s="4"/>
      <c r="D838" s="17"/>
    </row>
    <row r="839" spans="1:4" ht="15.75" thickBot="1">
      <c r="A839" s="3"/>
      <c r="B839" s="4"/>
      <c r="C839" s="4"/>
      <c r="D839" s="17"/>
    </row>
    <row r="840" spans="1:4" ht="15.75" thickBot="1">
      <c r="A840" s="3"/>
      <c r="B840" s="4"/>
      <c r="C840" s="4"/>
      <c r="D840" s="17"/>
    </row>
    <row r="841" spans="1:4" ht="15.75" thickBot="1">
      <c r="A841" s="3"/>
      <c r="B841" s="4"/>
      <c r="C841" s="4"/>
      <c r="D841" s="17"/>
    </row>
    <row r="842" spans="1:4" ht="15.75" thickBot="1">
      <c r="A842" s="3"/>
      <c r="B842" s="4"/>
      <c r="C842" s="4"/>
      <c r="D842" s="17"/>
    </row>
    <row r="843" spans="1:4" ht="15.75" thickBot="1">
      <c r="A843" s="3"/>
      <c r="B843" s="4"/>
      <c r="C843" s="4"/>
      <c r="D843" s="17"/>
    </row>
    <row r="844" spans="1:4" ht="15.75" thickBot="1">
      <c r="A844" s="3"/>
      <c r="B844" s="4"/>
      <c r="C844" s="4"/>
      <c r="D844" s="17"/>
    </row>
    <row r="845" spans="1:4" ht="15.75" thickBot="1">
      <c r="A845" s="3"/>
      <c r="B845" s="4"/>
      <c r="C845" s="4"/>
      <c r="D845" s="17"/>
    </row>
    <row r="846" spans="1:4" ht="15.75" thickBot="1">
      <c r="A846" s="3"/>
      <c r="B846" s="4"/>
      <c r="C846" s="4"/>
      <c r="D846" s="17"/>
    </row>
    <row r="847" spans="1:4" ht="15.75" thickBot="1">
      <c r="A847" s="3"/>
      <c r="B847" s="4"/>
      <c r="C847" s="4"/>
      <c r="D847" s="17"/>
    </row>
    <row r="848" spans="1:4" ht="15.75" thickBot="1">
      <c r="A848" s="3"/>
      <c r="B848" s="4"/>
      <c r="C848" s="4"/>
      <c r="D848" s="17"/>
    </row>
    <row r="849" spans="1:4" ht="15.75" thickBot="1">
      <c r="A849" s="3"/>
      <c r="B849" s="4"/>
      <c r="C849" s="4"/>
      <c r="D849" s="17"/>
    </row>
    <row r="850" spans="1:4" ht="15.75" thickBot="1">
      <c r="A850" s="3"/>
      <c r="B850" s="4"/>
      <c r="C850" s="4"/>
      <c r="D850" s="17"/>
    </row>
    <row r="851" spans="1:4" ht="15.75" thickBot="1">
      <c r="A851" s="3"/>
      <c r="B851" s="4"/>
      <c r="C851" s="4"/>
      <c r="D851" s="17"/>
    </row>
    <row r="852" spans="1:4" ht="15.75" thickBot="1">
      <c r="A852" s="3"/>
      <c r="B852" s="4"/>
      <c r="C852" s="4"/>
      <c r="D852" s="17"/>
    </row>
    <row r="853" spans="1:4" ht="15.75" thickBot="1">
      <c r="A853" s="3"/>
      <c r="B853" s="4"/>
      <c r="C853" s="4"/>
      <c r="D853" s="17"/>
    </row>
    <row r="854" spans="1:4">
      <c r="B854" s="2"/>
    </row>
    <row r="855" spans="1:4">
      <c r="B855" s="2"/>
    </row>
    <row r="856" spans="1:4">
      <c r="B856" s="2"/>
    </row>
    <row r="857" spans="1:4">
      <c r="B857" s="2"/>
    </row>
    <row r="858" spans="1:4">
      <c r="B858" s="2"/>
    </row>
    <row r="859" spans="1:4">
      <c r="B859" s="2"/>
    </row>
    <row r="860" spans="1:4">
      <c r="B860" s="2"/>
    </row>
    <row r="861" spans="1:4">
      <c r="B861" s="2"/>
    </row>
    <row r="862" spans="1:4">
      <c r="B862" s="2"/>
    </row>
    <row r="863" spans="1:4">
      <c r="B863" s="2"/>
    </row>
    <row r="864" spans="1:4">
      <c r="B864" s="2"/>
    </row>
    <row r="865" spans="1:10">
      <c r="B865" s="2"/>
    </row>
    <row r="866" spans="1:10">
      <c r="B866" s="2"/>
    </row>
    <row r="867" spans="1:10">
      <c r="B867" s="2"/>
    </row>
    <row r="868" spans="1:10" s="2" customFormat="1">
      <c r="A868" s="1"/>
      <c r="E868"/>
      <c r="F868"/>
      <c r="G868"/>
      <c r="H868"/>
      <c r="I868"/>
      <c r="J868"/>
    </row>
    <row r="869" spans="1:10" s="2" customFormat="1">
      <c r="A869" s="1"/>
      <c r="E869"/>
      <c r="F869"/>
      <c r="G869"/>
      <c r="H869"/>
      <c r="I869"/>
      <c r="J869"/>
    </row>
    <row r="870" spans="1:10" s="2" customFormat="1">
      <c r="A870" s="1"/>
      <c r="E870"/>
      <c r="F870"/>
      <c r="G870"/>
      <c r="H870"/>
      <c r="I870"/>
      <c r="J870"/>
    </row>
    <row r="871" spans="1:10" s="2" customFormat="1">
      <c r="A871" s="1"/>
      <c r="E871"/>
      <c r="F871"/>
      <c r="G871"/>
      <c r="H871"/>
      <c r="I871"/>
      <c r="J871"/>
    </row>
    <row r="872" spans="1:10" s="2" customFormat="1">
      <c r="A872" s="1"/>
      <c r="E872"/>
      <c r="F872"/>
      <c r="G872"/>
      <c r="H872"/>
      <c r="I872"/>
      <c r="J872"/>
    </row>
    <row r="873" spans="1:10" s="2" customFormat="1">
      <c r="A873" s="1"/>
      <c r="E873"/>
      <c r="F873"/>
      <c r="G873"/>
      <c r="H873"/>
      <c r="I873"/>
      <c r="J873"/>
    </row>
    <row r="874" spans="1:10" s="2" customFormat="1">
      <c r="A874" s="1"/>
      <c r="E874"/>
      <c r="F874"/>
      <c r="G874"/>
      <c r="H874"/>
      <c r="I874"/>
      <c r="J874"/>
    </row>
    <row r="875" spans="1:10" s="2" customFormat="1">
      <c r="A875" s="1"/>
      <c r="E875"/>
      <c r="F875"/>
      <c r="G875"/>
      <c r="H875"/>
      <c r="I875"/>
      <c r="J875"/>
    </row>
    <row r="876" spans="1:10" s="2" customFormat="1">
      <c r="A876" s="1"/>
      <c r="E876"/>
      <c r="F876"/>
      <c r="G876"/>
      <c r="H876"/>
      <c r="I876"/>
      <c r="J876"/>
    </row>
    <row r="877" spans="1:10" s="2" customFormat="1">
      <c r="A877" s="1"/>
      <c r="E877"/>
      <c r="F877"/>
      <c r="G877"/>
      <c r="H877"/>
      <c r="I877"/>
      <c r="J877"/>
    </row>
    <row r="878" spans="1:10" s="2" customFormat="1">
      <c r="A878" s="1"/>
      <c r="E878"/>
      <c r="F878"/>
      <c r="G878"/>
      <c r="H878"/>
      <c r="I878"/>
      <c r="J878"/>
    </row>
    <row r="879" spans="1:10" s="2" customFormat="1">
      <c r="A879" s="1"/>
      <c r="E879"/>
      <c r="F879"/>
      <c r="G879"/>
      <c r="H879"/>
      <c r="I879"/>
      <c r="J879"/>
    </row>
    <row r="880" spans="1:10" s="2" customFormat="1">
      <c r="A880" s="1"/>
      <c r="E880"/>
      <c r="F880"/>
      <c r="G880"/>
      <c r="H880"/>
      <c r="I880"/>
      <c r="J880"/>
    </row>
    <row r="881" spans="1:10" s="2" customFormat="1">
      <c r="A881" s="1"/>
      <c r="E881"/>
      <c r="F881"/>
      <c r="G881"/>
      <c r="H881"/>
      <c r="I881"/>
      <c r="J881"/>
    </row>
    <row r="882" spans="1:10" s="2" customFormat="1">
      <c r="A882" s="1"/>
      <c r="E882"/>
      <c r="F882"/>
      <c r="G882"/>
      <c r="H882"/>
      <c r="I882"/>
      <c r="J882"/>
    </row>
    <row r="883" spans="1:10" s="2" customFormat="1">
      <c r="A883" s="1"/>
      <c r="E883"/>
      <c r="F883"/>
      <c r="G883"/>
      <c r="H883"/>
      <c r="I883"/>
      <c r="J883"/>
    </row>
    <row r="884" spans="1:10" s="2" customFormat="1">
      <c r="A884" s="1"/>
      <c r="E884"/>
      <c r="F884"/>
      <c r="G884"/>
      <c r="H884"/>
      <c r="I884"/>
      <c r="J884"/>
    </row>
    <row r="885" spans="1:10" s="2" customFormat="1">
      <c r="A885" s="1"/>
      <c r="E885"/>
      <c r="F885"/>
      <c r="G885"/>
      <c r="H885"/>
      <c r="I885"/>
      <c r="J885"/>
    </row>
    <row r="886" spans="1:10" s="2" customFormat="1">
      <c r="A886" s="1"/>
      <c r="E886"/>
      <c r="F886"/>
      <c r="G886"/>
      <c r="H886"/>
      <c r="I886"/>
      <c r="J886"/>
    </row>
    <row r="887" spans="1:10" s="2" customFormat="1">
      <c r="A887" s="1"/>
      <c r="E887"/>
      <c r="F887"/>
      <c r="G887"/>
      <c r="H887"/>
      <c r="I887"/>
      <c r="J887"/>
    </row>
    <row r="888" spans="1:10" s="2" customFormat="1">
      <c r="A888" s="1"/>
      <c r="E888"/>
      <c r="F888"/>
      <c r="G888"/>
      <c r="H888"/>
      <c r="I888"/>
      <c r="J888"/>
    </row>
    <row r="889" spans="1:10" s="2" customFormat="1">
      <c r="A889" s="1"/>
      <c r="E889"/>
      <c r="F889"/>
      <c r="G889"/>
      <c r="H889"/>
      <c r="I889"/>
      <c r="J889"/>
    </row>
    <row r="890" spans="1:10" s="2" customFormat="1">
      <c r="A890" s="1"/>
      <c r="E890"/>
      <c r="F890"/>
      <c r="G890"/>
      <c r="H890"/>
      <c r="I890"/>
      <c r="J890"/>
    </row>
    <row r="891" spans="1:10" s="2" customFormat="1">
      <c r="A891" s="1"/>
      <c r="E891"/>
      <c r="F891"/>
      <c r="G891"/>
      <c r="H891"/>
      <c r="I891"/>
      <c r="J891"/>
    </row>
    <row r="892" spans="1:10" s="2" customFormat="1">
      <c r="A892" s="1"/>
      <c r="E892"/>
      <c r="F892"/>
      <c r="G892"/>
      <c r="H892"/>
      <c r="I892"/>
      <c r="J892"/>
    </row>
    <row r="893" spans="1:10" s="2" customFormat="1">
      <c r="A893" s="1"/>
      <c r="E893"/>
      <c r="F893"/>
      <c r="G893"/>
      <c r="H893"/>
      <c r="I893"/>
      <c r="J893"/>
    </row>
    <row r="894" spans="1:10" s="2" customFormat="1">
      <c r="A894" s="1"/>
      <c r="E894"/>
      <c r="F894"/>
      <c r="G894"/>
      <c r="H894"/>
      <c r="I894"/>
      <c r="J894"/>
    </row>
    <row r="895" spans="1:10" s="2" customFormat="1">
      <c r="A895" s="1"/>
      <c r="E895"/>
      <c r="F895"/>
      <c r="G895"/>
      <c r="H895"/>
      <c r="I895"/>
      <c r="J895"/>
    </row>
    <row r="896" spans="1:10" s="2" customFormat="1">
      <c r="A896" s="1"/>
      <c r="E896"/>
      <c r="F896"/>
      <c r="G896"/>
      <c r="H896"/>
      <c r="I896"/>
      <c r="J896"/>
    </row>
    <row r="897" spans="1:10" s="2" customFormat="1">
      <c r="A897" s="1"/>
      <c r="E897"/>
      <c r="F897"/>
      <c r="G897"/>
      <c r="H897"/>
      <c r="I897"/>
      <c r="J897"/>
    </row>
    <row r="898" spans="1:10" s="2" customFormat="1">
      <c r="A898" s="1"/>
      <c r="E898"/>
      <c r="F898"/>
      <c r="G898"/>
      <c r="H898"/>
      <c r="I898"/>
      <c r="J898"/>
    </row>
    <row r="899" spans="1:10" s="2" customFormat="1">
      <c r="A899" s="1"/>
      <c r="E899"/>
      <c r="F899"/>
      <c r="G899"/>
      <c r="H899"/>
      <c r="I899"/>
      <c r="J899"/>
    </row>
    <row r="900" spans="1:10" s="2" customFormat="1">
      <c r="A900" s="1"/>
      <c r="E900"/>
      <c r="F900"/>
      <c r="G900"/>
      <c r="H900"/>
      <c r="I900"/>
      <c r="J900"/>
    </row>
    <row r="901" spans="1:10" s="2" customFormat="1">
      <c r="A901" s="1"/>
      <c r="E901"/>
      <c r="F901"/>
      <c r="G901"/>
      <c r="H901"/>
      <c r="I901"/>
      <c r="J901"/>
    </row>
    <row r="902" spans="1:10" s="2" customFormat="1">
      <c r="A902" s="1"/>
      <c r="E902"/>
      <c r="F902"/>
      <c r="G902"/>
      <c r="H902"/>
      <c r="I902"/>
      <c r="J902"/>
    </row>
    <row r="903" spans="1:10" s="2" customFormat="1">
      <c r="A903" s="1"/>
      <c r="E903"/>
      <c r="F903"/>
      <c r="G903"/>
      <c r="H903"/>
      <c r="I903"/>
      <c r="J903"/>
    </row>
    <row r="904" spans="1:10" s="2" customFormat="1">
      <c r="A904" s="1"/>
      <c r="E904"/>
      <c r="F904"/>
      <c r="G904"/>
      <c r="H904"/>
      <c r="I904"/>
      <c r="J904"/>
    </row>
    <row r="905" spans="1:10" s="2" customFormat="1">
      <c r="A905" s="1"/>
      <c r="E905"/>
      <c r="F905"/>
      <c r="G905"/>
      <c r="H905"/>
      <c r="I905"/>
      <c r="J905"/>
    </row>
    <row r="906" spans="1:10" s="2" customFormat="1">
      <c r="A906" s="1"/>
      <c r="E906"/>
      <c r="F906"/>
      <c r="G906"/>
      <c r="H906"/>
      <c r="I906"/>
      <c r="J906"/>
    </row>
    <row r="907" spans="1:10" s="2" customFormat="1">
      <c r="A907" s="1"/>
      <c r="E907"/>
      <c r="F907"/>
      <c r="G907"/>
      <c r="H907"/>
      <c r="I907"/>
      <c r="J907"/>
    </row>
    <row r="908" spans="1:10" s="2" customFormat="1">
      <c r="A908" s="1"/>
      <c r="E908"/>
      <c r="F908"/>
      <c r="G908"/>
      <c r="H908"/>
      <c r="I908"/>
      <c r="J908"/>
    </row>
    <row r="909" spans="1:10" s="2" customFormat="1">
      <c r="A909" s="1"/>
      <c r="E909"/>
      <c r="F909"/>
      <c r="G909"/>
      <c r="H909"/>
      <c r="I909"/>
      <c r="J909"/>
    </row>
    <row r="910" spans="1:10" s="2" customFormat="1">
      <c r="A910" s="1"/>
      <c r="E910"/>
      <c r="F910"/>
      <c r="G910"/>
      <c r="H910"/>
      <c r="I910"/>
      <c r="J910"/>
    </row>
    <row r="911" spans="1:10" s="2" customFormat="1">
      <c r="A911" s="1"/>
      <c r="E911"/>
      <c r="F911"/>
      <c r="G911"/>
      <c r="H911"/>
      <c r="I911"/>
      <c r="J911"/>
    </row>
    <row r="912" spans="1:10" s="2" customFormat="1">
      <c r="A912" s="1"/>
      <c r="E912"/>
      <c r="F912"/>
      <c r="G912"/>
      <c r="H912"/>
      <c r="I912"/>
      <c r="J912"/>
    </row>
    <row r="913" spans="1:10" s="2" customFormat="1">
      <c r="A913" s="1"/>
      <c r="E913"/>
      <c r="F913"/>
      <c r="G913"/>
      <c r="H913"/>
      <c r="I913"/>
      <c r="J913"/>
    </row>
    <row r="914" spans="1:10" s="2" customFormat="1">
      <c r="A914" s="1"/>
      <c r="E914"/>
      <c r="F914"/>
      <c r="G914"/>
      <c r="H914"/>
      <c r="I914"/>
      <c r="J914"/>
    </row>
    <row r="915" spans="1:10" s="2" customFormat="1">
      <c r="A915" s="1"/>
      <c r="E915"/>
      <c r="F915"/>
      <c r="G915"/>
      <c r="H915"/>
      <c r="I915"/>
      <c r="J915"/>
    </row>
    <row r="916" spans="1:10" s="2" customFormat="1">
      <c r="A916" s="1"/>
      <c r="E916"/>
      <c r="F916"/>
      <c r="G916"/>
      <c r="H916"/>
      <c r="I916"/>
      <c r="J916"/>
    </row>
    <row r="917" spans="1:10" s="2" customFormat="1">
      <c r="A917" s="1"/>
      <c r="E917"/>
      <c r="F917"/>
      <c r="G917"/>
      <c r="H917"/>
      <c r="I917"/>
      <c r="J917"/>
    </row>
    <row r="918" spans="1:10" s="2" customFormat="1">
      <c r="A918" s="1"/>
      <c r="E918"/>
      <c r="F918"/>
      <c r="G918"/>
      <c r="H918"/>
      <c r="I918"/>
      <c r="J918"/>
    </row>
    <row r="919" spans="1:10" s="2" customFormat="1">
      <c r="A919" s="1"/>
      <c r="E919"/>
      <c r="F919"/>
      <c r="G919"/>
      <c r="H919"/>
      <c r="I919"/>
      <c r="J919"/>
    </row>
    <row r="920" spans="1:10" s="2" customFormat="1">
      <c r="A920" s="1"/>
      <c r="E920"/>
      <c r="F920"/>
      <c r="G920"/>
      <c r="H920"/>
      <c r="I920"/>
      <c r="J920"/>
    </row>
    <row r="921" spans="1:10" s="2" customFormat="1">
      <c r="A921" s="1"/>
      <c r="E921"/>
      <c r="F921"/>
      <c r="G921"/>
      <c r="H921"/>
      <c r="I921"/>
      <c r="J921"/>
    </row>
    <row r="922" spans="1:10" s="2" customFormat="1">
      <c r="A922" s="1"/>
      <c r="E922"/>
      <c r="F922"/>
      <c r="G922"/>
      <c r="H922"/>
      <c r="I922"/>
      <c r="J922"/>
    </row>
    <row r="923" spans="1:10" s="2" customFormat="1">
      <c r="A923" s="1"/>
      <c r="E923"/>
      <c r="F923"/>
      <c r="G923"/>
      <c r="H923"/>
      <c r="I923"/>
      <c r="J923"/>
    </row>
    <row r="924" spans="1:10" s="2" customFormat="1">
      <c r="A924" s="1"/>
      <c r="E924"/>
      <c r="F924"/>
      <c r="G924"/>
      <c r="H924"/>
      <c r="I924"/>
      <c r="J924"/>
    </row>
    <row r="925" spans="1:10" s="2" customFormat="1">
      <c r="A925" s="1"/>
      <c r="E925"/>
      <c r="F925"/>
      <c r="G925"/>
      <c r="H925"/>
      <c r="I925"/>
      <c r="J925"/>
    </row>
    <row r="926" spans="1:10" s="2" customFormat="1">
      <c r="A926" s="1"/>
      <c r="E926"/>
      <c r="F926"/>
      <c r="G926"/>
      <c r="H926"/>
      <c r="I926"/>
      <c r="J926"/>
    </row>
    <row r="927" spans="1:10" s="2" customFormat="1">
      <c r="A927" s="1"/>
      <c r="E927"/>
      <c r="F927"/>
      <c r="G927"/>
      <c r="H927"/>
      <c r="I927"/>
      <c r="J927"/>
    </row>
    <row r="928" spans="1:10" s="2" customFormat="1">
      <c r="A928" s="1"/>
      <c r="E928"/>
      <c r="F928"/>
      <c r="G928"/>
      <c r="H928"/>
      <c r="I928"/>
      <c r="J928"/>
    </row>
    <row r="929" spans="1:10" s="2" customFormat="1">
      <c r="A929" s="1"/>
      <c r="E929"/>
      <c r="F929"/>
      <c r="G929"/>
      <c r="H929"/>
      <c r="I929"/>
      <c r="J929"/>
    </row>
    <row r="930" spans="1:10" s="2" customFormat="1">
      <c r="A930" s="1"/>
      <c r="E930"/>
      <c r="F930"/>
      <c r="G930"/>
      <c r="H930"/>
      <c r="I930"/>
      <c r="J930"/>
    </row>
    <row r="931" spans="1:10" s="2" customFormat="1">
      <c r="A931" s="1"/>
      <c r="E931"/>
      <c r="F931"/>
      <c r="G931"/>
      <c r="H931"/>
      <c r="I931"/>
      <c r="J931"/>
    </row>
    <row r="932" spans="1:10" s="2" customFormat="1">
      <c r="A932" s="1"/>
      <c r="E932"/>
      <c r="F932"/>
      <c r="G932"/>
      <c r="H932"/>
      <c r="I932"/>
      <c r="J932"/>
    </row>
    <row r="933" spans="1:10" s="2" customFormat="1">
      <c r="A933" s="1"/>
      <c r="E933"/>
      <c r="F933"/>
      <c r="G933"/>
      <c r="H933"/>
      <c r="I933"/>
      <c r="J933"/>
    </row>
    <row r="934" spans="1:10" s="2" customFormat="1">
      <c r="A934" s="1"/>
      <c r="E934"/>
      <c r="F934"/>
      <c r="G934"/>
      <c r="H934"/>
      <c r="I934"/>
      <c r="J934"/>
    </row>
    <row r="935" spans="1:10" s="2" customFormat="1">
      <c r="A935" s="1"/>
      <c r="E935"/>
      <c r="F935"/>
      <c r="G935"/>
      <c r="H935"/>
      <c r="I935"/>
      <c r="J935"/>
    </row>
    <row r="936" spans="1:10" s="2" customFormat="1">
      <c r="A936" s="1"/>
      <c r="E936"/>
      <c r="F936"/>
      <c r="G936"/>
      <c r="H936"/>
      <c r="I936"/>
      <c r="J936"/>
    </row>
    <row r="937" spans="1:10" s="2" customFormat="1">
      <c r="A937" s="1"/>
      <c r="E937"/>
      <c r="F937"/>
      <c r="G937"/>
      <c r="H937"/>
      <c r="I937"/>
      <c r="J937"/>
    </row>
    <row r="938" spans="1:10" s="2" customFormat="1">
      <c r="A938" s="1"/>
      <c r="E938"/>
      <c r="F938"/>
      <c r="G938"/>
      <c r="H938"/>
      <c r="I938"/>
      <c r="J938"/>
    </row>
    <row r="939" spans="1:10" s="2" customFormat="1">
      <c r="A939" s="1"/>
      <c r="E939"/>
      <c r="F939"/>
      <c r="G939"/>
      <c r="H939"/>
      <c r="I939"/>
      <c r="J939"/>
    </row>
    <row r="940" spans="1:10" s="2" customFormat="1">
      <c r="A940" s="1"/>
      <c r="E940"/>
      <c r="F940"/>
      <c r="G940"/>
      <c r="H940"/>
      <c r="I940"/>
      <c r="J940"/>
    </row>
    <row r="941" spans="1:10" s="2" customFormat="1">
      <c r="A941" s="1"/>
      <c r="E941"/>
      <c r="F941"/>
      <c r="G941"/>
      <c r="H941"/>
      <c r="I941"/>
      <c r="J941"/>
    </row>
    <row r="942" spans="1:10" s="2" customFormat="1">
      <c r="A942" s="1"/>
      <c r="E942"/>
      <c r="F942"/>
      <c r="G942"/>
      <c r="H942"/>
      <c r="I942"/>
      <c r="J942"/>
    </row>
    <row r="943" spans="1:10" s="2" customFormat="1">
      <c r="A943" s="1"/>
      <c r="E943"/>
      <c r="F943"/>
      <c r="G943"/>
      <c r="H943"/>
      <c r="I943"/>
      <c r="J943"/>
    </row>
    <row r="944" spans="1:10" s="2" customFormat="1">
      <c r="A944" s="1"/>
      <c r="E944"/>
      <c r="F944"/>
      <c r="G944"/>
      <c r="H944"/>
      <c r="I944"/>
      <c r="J944"/>
    </row>
    <row r="945" spans="1:10" s="2" customFormat="1">
      <c r="A945" s="1"/>
      <c r="E945"/>
      <c r="F945"/>
      <c r="G945"/>
      <c r="H945"/>
      <c r="I945"/>
      <c r="J945"/>
    </row>
    <row r="946" spans="1:10" s="2" customFormat="1">
      <c r="A946" s="1"/>
      <c r="E946"/>
      <c r="F946"/>
      <c r="G946"/>
      <c r="H946"/>
      <c r="I946"/>
      <c r="J946"/>
    </row>
    <row r="947" spans="1:10" s="2" customFormat="1">
      <c r="A947" s="1"/>
      <c r="E947"/>
      <c r="F947"/>
      <c r="G947"/>
      <c r="H947"/>
      <c r="I947"/>
      <c r="J947"/>
    </row>
    <row r="948" spans="1:10" s="2" customFormat="1">
      <c r="A948" s="1"/>
      <c r="E948"/>
      <c r="F948"/>
      <c r="G948"/>
      <c r="H948"/>
      <c r="I948"/>
      <c r="J948"/>
    </row>
    <row r="949" spans="1:10" s="2" customFormat="1">
      <c r="A949" s="1"/>
      <c r="E949"/>
      <c r="F949"/>
      <c r="G949"/>
      <c r="H949"/>
      <c r="I949"/>
      <c r="J949"/>
    </row>
    <row r="950" spans="1:10" s="2" customFormat="1">
      <c r="A950" s="1"/>
      <c r="E950"/>
      <c r="F950"/>
      <c r="G950"/>
      <c r="H950"/>
      <c r="I950"/>
      <c r="J950"/>
    </row>
    <row r="951" spans="1:10" s="2" customFormat="1">
      <c r="A951" s="1"/>
      <c r="E951"/>
      <c r="F951"/>
      <c r="G951"/>
      <c r="H951"/>
      <c r="I951"/>
      <c r="J951"/>
    </row>
    <row r="952" spans="1:10" s="2" customFormat="1">
      <c r="A952" s="1"/>
      <c r="E952"/>
      <c r="F952"/>
      <c r="G952"/>
      <c r="H952"/>
      <c r="I952"/>
      <c r="J952"/>
    </row>
    <row r="953" spans="1:10" s="2" customFormat="1">
      <c r="A953" s="1"/>
      <c r="E953"/>
      <c r="F953"/>
      <c r="G953"/>
      <c r="H953"/>
      <c r="I953"/>
      <c r="J953"/>
    </row>
    <row r="954" spans="1:10" s="2" customFormat="1">
      <c r="A954" s="1"/>
      <c r="E954"/>
      <c r="F954"/>
      <c r="G954"/>
      <c r="H954"/>
      <c r="I954"/>
      <c r="J954"/>
    </row>
    <row r="955" spans="1:10" s="2" customFormat="1">
      <c r="A955" s="1"/>
      <c r="E955"/>
      <c r="F955"/>
      <c r="G955"/>
      <c r="H955"/>
      <c r="I955"/>
      <c r="J955"/>
    </row>
    <row r="956" spans="1:10" s="2" customFormat="1">
      <c r="A956" s="1"/>
      <c r="E956"/>
      <c r="F956"/>
      <c r="G956"/>
      <c r="H956"/>
      <c r="I956"/>
      <c r="J956"/>
    </row>
    <row r="957" spans="1:10" s="2" customFormat="1">
      <c r="A957" s="1"/>
      <c r="E957"/>
      <c r="F957"/>
      <c r="G957"/>
      <c r="H957"/>
      <c r="I957"/>
      <c r="J957"/>
    </row>
    <row r="958" spans="1:10" s="2" customFormat="1">
      <c r="A958" s="1"/>
      <c r="E958"/>
      <c r="F958"/>
      <c r="G958"/>
      <c r="H958"/>
      <c r="I958"/>
      <c r="J958"/>
    </row>
    <row r="959" spans="1:10" s="2" customFormat="1">
      <c r="A959" s="1"/>
      <c r="E959"/>
      <c r="F959"/>
      <c r="G959"/>
      <c r="H959"/>
      <c r="I959"/>
      <c r="J959"/>
    </row>
    <row r="960" spans="1:10" s="2" customFormat="1">
      <c r="A960" s="1"/>
      <c r="E960"/>
      <c r="F960"/>
      <c r="G960"/>
      <c r="H960"/>
      <c r="I960"/>
      <c r="J960"/>
    </row>
    <row r="961" spans="1:10" s="2" customFormat="1">
      <c r="A961" s="1"/>
      <c r="E961"/>
      <c r="F961"/>
      <c r="G961"/>
      <c r="H961"/>
      <c r="I961"/>
      <c r="J961"/>
    </row>
    <row r="962" spans="1:10" s="2" customFormat="1">
      <c r="A962" s="1"/>
      <c r="E962"/>
      <c r="F962"/>
      <c r="G962"/>
      <c r="H962"/>
      <c r="I962"/>
      <c r="J962"/>
    </row>
    <row r="963" spans="1:10" s="2" customFormat="1">
      <c r="A963" s="1"/>
      <c r="E963"/>
      <c r="F963"/>
      <c r="G963"/>
      <c r="H963"/>
      <c r="I963"/>
      <c r="J963"/>
    </row>
    <row r="964" spans="1:10" s="2" customFormat="1">
      <c r="A964" s="1"/>
      <c r="E964"/>
      <c r="F964"/>
      <c r="G964"/>
      <c r="H964"/>
      <c r="I964"/>
      <c r="J964"/>
    </row>
    <row r="965" spans="1:10" s="2" customFormat="1">
      <c r="A965" s="1"/>
      <c r="E965"/>
      <c r="F965"/>
      <c r="G965"/>
      <c r="H965"/>
      <c r="I965"/>
      <c r="J965"/>
    </row>
    <row r="966" spans="1:10" s="2" customFormat="1">
      <c r="A966" s="1"/>
      <c r="E966"/>
      <c r="F966"/>
      <c r="G966"/>
      <c r="H966"/>
      <c r="I966"/>
      <c r="J966"/>
    </row>
    <row r="967" spans="1:10" s="2" customFormat="1">
      <c r="A967" s="1"/>
      <c r="E967"/>
      <c r="F967"/>
      <c r="G967"/>
      <c r="H967"/>
      <c r="I967"/>
      <c r="J967"/>
    </row>
    <row r="968" spans="1:10" s="2" customFormat="1">
      <c r="A968" s="1"/>
      <c r="E968"/>
      <c r="F968"/>
      <c r="G968"/>
      <c r="H968"/>
      <c r="I968"/>
      <c r="J968"/>
    </row>
    <row r="969" spans="1:10" s="2" customFormat="1">
      <c r="A969" s="1"/>
      <c r="E969"/>
      <c r="F969"/>
      <c r="G969"/>
      <c r="H969"/>
      <c r="I969"/>
      <c r="J969"/>
    </row>
    <row r="970" spans="1:10" s="2" customFormat="1">
      <c r="A970" s="1"/>
      <c r="E970"/>
      <c r="F970"/>
      <c r="G970"/>
      <c r="H970"/>
      <c r="I970"/>
      <c r="J970"/>
    </row>
    <row r="971" spans="1:10" s="2" customFormat="1">
      <c r="A971" s="1"/>
      <c r="E971"/>
      <c r="F971"/>
      <c r="G971"/>
      <c r="H971"/>
      <c r="I971"/>
      <c r="J971"/>
    </row>
    <row r="972" spans="1:10" s="2" customFormat="1">
      <c r="A972" s="1"/>
      <c r="E972"/>
      <c r="F972"/>
      <c r="G972"/>
      <c r="H972"/>
      <c r="I972"/>
      <c r="J972"/>
    </row>
    <row r="973" spans="1:10" s="2" customFormat="1">
      <c r="A973" s="1"/>
      <c r="E973"/>
      <c r="F973"/>
      <c r="G973"/>
      <c r="H973"/>
      <c r="I973"/>
      <c r="J973"/>
    </row>
    <row r="974" spans="1:10" s="2" customFormat="1">
      <c r="A974" s="1"/>
      <c r="E974"/>
      <c r="F974"/>
      <c r="G974"/>
      <c r="H974"/>
      <c r="I974"/>
      <c r="J974"/>
    </row>
    <row r="975" spans="1:10" s="2" customFormat="1">
      <c r="A975" s="1"/>
      <c r="E975"/>
      <c r="F975"/>
      <c r="G975"/>
      <c r="H975"/>
      <c r="I975"/>
      <c r="J975"/>
    </row>
    <row r="976" spans="1:10" s="2" customFormat="1">
      <c r="A976" s="1"/>
      <c r="E976"/>
      <c r="F976"/>
      <c r="G976"/>
      <c r="H976"/>
      <c r="I976"/>
      <c r="J976"/>
    </row>
    <row r="977" spans="1:10" s="2" customFormat="1">
      <c r="A977" s="1"/>
      <c r="E977"/>
      <c r="F977"/>
      <c r="G977"/>
      <c r="H977"/>
      <c r="I977"/>
      <c r="J977"/>
    </row>
    <row r="978" spans="1:10" s="2" customFormat="1">
      <c r="A978" s="1"/>
      <c r="E978"/>
      <c r="F978"/>
      <c r="G978"/>
      <c r="H978"/>
      <c r="I978"/>
      <c r="J978"/>
    </row>
    <row r="979" spans="1:10" s="2" customFormat="1">
      <c r="A979" s="1"/>
      <c r="E979"/>
      <c r="F979"/>
      <c r="G979"/>
      <c r="H979"/>
      <c r="I979"/>
      <c r="J979"/>
    </row>
    <row r="980" spans="1:10" s="2" customFormat="1">
      <c r="A980" s="1"/>
      <c r="E980"/>
      <c r="F980"/>
      <c r="G980"/>
      <c r="H980"/>
      <c r="I980"/>
      <c r="J980"/>
    </row>
    <row r="981" spans="1:10" s="2" customFormat="1">
      <c r="A981" s="1"/>
      <c r="E981"/>
      <c r="F981"/>
      <c r="G981"/>
      <c r="H981"/>
      <c r="I981"/>
      <c r="J981"/>
    </row>
    <row r="982" spans="1:10" s="2" customFormat="1">
      <c r="A982" s="1"/>
      <c r="E982"/>
      <c r="F982"/>
      <c r="G982"/>
      <c r="H982"/>
      <c r="I982"/>
      <c r="J982"/>
    </row>
    <row r="983" spans="1:10" s="2" customFormat="1">
      <c r="A983" s="1"/>
      <c r="E983"/>
      <c r="F983"/>
      <c r="G983"/>
      <c r="H983"/>
      <c r="I983"/>
      <c r="J983"/>
    </row>
    <row r="984" spans="1:10" s="2" customFormat="1">
      <c r="A984" s="1"/>
      <c r="E984"/>
      <c r="F984"/>
      <c r="G984"/>
      <c r="H984"/>
      <c r="I984"/>
      <c r="J984"/>
    </row>
    <row r="985" spans="1:10" s="2" customFormat="1">
      <c r="A985" s="1"/>
      <c r="E985"/>
      <c r="F985"/>
      <c r="G985"/>
      <c r="H985"/>
      <c r="I985"/>
      <c r="J985"/>
    </row>
    <row r="986" spans="1:10" s="2" customFormat="1">
      <c r="A986" s="1"/>
      <c r="E986"/>
      <c r="F986"/>
      <c r="G986"/>
      <c r="H986"/>
      <c r="I986"/>
      <c r="J986"/>
    </row>
    <row r="987" spans="1:10" s="2" customFormat="1">
      <c r="A987" s="1"/>
      <c r="E987"/>
      <c r="F987"/>
      <c r="G987"/>
      <c r="H987"/>
      <c r="I987"/>
      <c r="J987"/>
    </row>
    <row r="988" spans="1:10" s="2" customFormat="1">
      <c r="A988" s="1"/>
      <c r="E988"/>
      <c r="F988"/>
      <c r="G988"/>
      <c r="H988"/>
      <c r="I988"/>
      <c r="J988"/>
    </row>
    <row r="989" spans="1:10" s="2" customFormat="1">
      <c r="A989" s="1"/>
      <c r="E989"/>
      <c r="F989"/>
      <c r="G989"/>
      <c r="H989"/>
      <c r="I989"/>
      <c r="J989"/>
    </row>
    <row r="990" spans="1:10" s="2" customFormat="1">
      <c r="A990" s="1"/>
      <c r="E990"/>
      <c r="F990"/>
      <c r="G990"/>
      <c r="H990"/>
      <c r="I990"/>
      <c r="J990"/>
    </row>
    <row r="991" spans="1:10" s="2" customFormat="1">
      <c r="A991" s="1"/>
      <c r="E991"/>
      <c r="F991"/>
      <c r="G991"/>
      <c r="H991"/>
      <c r="I991"/>
      <c r="J991"/>
    </row>
    <row r="992" spans="1:10" s="2" customFormat="1">
      <c r="A992" s="1"/>
      <c r="E992"/>
      <c r="F992"/>
      <c r="G992"/>
      <c r="H992"/>
      <c r="I992"/>
      <c r="J992"/>
    </row>
    <row r="993" spans="1:10" s="2" customFormat="1">
      <c r="A993" s="1"/>
      <c r="E993"/>
      <c r="F993"/>
      <c r="G993"/>
      <c r="H993"/>
      <c r="I993"/>
      <c r="J993"/>
    </row>
    <row r="994" spans="1:10" s="2" customFormat="1">
      <c r="A994" s="1"/>
      <c r="E994"/>
      <c r="F994"/>
      <c r="G994"/>
      <c r="H994"/>
      <c r="I994"/>
      <c r="J994"/>
    </row>
    <row r="995" spans="1:10" s="2" customFormat="1">
      <c r="A995" s="1"/>
      <c r="E995"/>
      <c r="F995"/>
      <c r="G995"/>
      <c r="H995"/>
      <c r="I995"/>
      <c r="J995"/>
    </row>
    <row r="996" spans="1:10" s="2" customFormat="1">
      <c r="A996" s="1"/>
      <c r="E996"/>
      <c r="F996"/>
      <c r="G996"/>
      <c r="H996"/>
      <c r="I996"/>
      <c r="J996"/>
    </row>
    <row r="997" spans="1:10" s="2" customFormat="1">
      <c r="A997" s="1"/>
      <c r="E997"/>
      <c r="F997"/>
      <c r="G997"/>
      <c r="H997"/>
      <c r="I997"/>
      <c r="J997"/>
    </row>
    <row r="998" spans="1:10" s="2" customFormat="1">
      <c r="A998" s="1"/>
      <c r="E998"/>
      <c r="F998"/>
      <c r="G998"/>
      <c r="H998"/>
      <c r="I998"/>
      <c r="J998"/>
    </row>
    <row r="999" spans="1:10" s="2" customFormat="1">
      <c r="A999" s="1"/>
      <c r="E999"/>
      <c r="F999"/>
      <c r="G999"/>
      <c r="H999"/>
      <c r="I999"/>
      <c r="J999"/>
    </row>
    <row r="1000" spans="1:10" s="2" customFormat="1">
      <c r="A1000" s="1"/>
      <c r="E1000"/>
      <c r="F1000"/>
      <c r="G1000"/>
      <c r="H1000"/>
      <c r="I1000"/>
      <c r="J1000"/>
    </row>
    <row r="1001" spans="1:10" s="2" customFormat="1">
      <c r="A1001" s="1"/>
      <c r="E1001"/>
      <c r="F1001"/>
      <c r="G1001"/>
      <c r="H1001"/>
      <c r="I1001"/>
      <c r="J1001"/>
    </row>
    <row r="1002" spans="1:10" s="2" customFormat="1">
      <c r="A1002" s="1"/>
      <c r="E1002"/>
      <c r="F1002"/>
      <c r="G1002"/>
      <c r="H1002"/>
      <c r="I1002"/>
      <c r="J1002"/>
    </row>
    <row r="1003" spans="1:10" s="2" customFormat="1">
      <c r="A1003" s="1"/>
      <c r="E1003"/>
      <c r="F1003"/>
      <c r="G1003"/>
      <c r="H1003"/>
      <c r="I1003"/>
      <c r="J1003"/>
    </row>
    <row r="1004" spans="1:10" s="2" customFormat="1">
      <c r="A1004" s="1"/>
      <c r="E1004"/>
      <c r="F1004"/>
      <c r="G1004"/>
      <c r="H1004"/>
      <c r="I1004"/>
      <c r="J1004"/>
    </row>
    <row r="1005" spans="1:10" s="2" customFormat="1">
      <c r="A1005" s="1"/>
      <c r="E1005"/>
      <c r="F1005"/>
      <c r="G1005"/>
      <c r="H1005"/>
      <c r="I1005"/>
      <c r="J1005"/>
    </row>
    <row r="1006" spans="1:10" s="2" customFormat="1">
      <c r="A1006" s="1"/>
      <c r="E1006"/>
      <c r="F1006"/>
      <c r="G1006"/>
      <c r="H1006"/>
      <c r="I1006"/>
      <c r="J1006"/>
    </row>
    <row r="1007" spans="1:10" s="2" customFormat="1">
      <c r="A1007" s="1"/>
      <c r="E1007"/>
      <c r="F1007"/>
      <c r="G1007"/>
      <c r="H1007"/>
      <c r="I1007"/>
      <c r="J1007"/>
    </row>
    <row r="1008" spans="1:10" s="2" customFormat="1">
      <c r="A1008" s="1"/>
      <c r="E1008"/>
      <c r="F1008"/>
      <c r="G1008"/>
      <c r="H1008"/>
      <c r="I1008"/>
      <c r="J1008"/>
    </row>
    <row r="1009" spans="1:10" s="2" customFormat="1">
      <c r="A1009" s="1"/>
      <c r="E1009"/>
      <c r="F1009"/>
      <c r="G1009"/>
      <c r="H1009"/>
      <c r="I1009"/>
      <c r="J1009"/>
    </row>
    <row r="1010" spans="1:10" s="2" customFormat="1">
      <c r="A1010" s="1"/>
      <c r="E1010"/>
      <c r="F1010"/>
      <c r="G1010"/>
      <c r="H1010"/>
      <c r="I1010"/>
      <c r="J1010"/>
    </row>
    <row r="1011" spans="1:10" s="2" customFormat="1">
      <c r="A1011" s="1"/>
      <c r="E1011"/>
      <c r="F1011"/>
      <c r="G1011"/>
      <c r="H1011"/>
      <c r="I1011"/>
      <c r="J1011"/>
    </row>
    <row r="1012" spans="1:10" s="2" customFormat="1">
      <c r="A1012" s="1"/>
      <c r="E1012"/>
      <c r="F1012"/>
      <c r="G1012"/>
      <c r="H1012"/>
      <c r="I1012"/>
      <c r="J1012"/>
    </row>
    <row r="1013" spans="1:10" s="2" customFormat="1">
      <c r="A1013" s="1"/>
      <c r="E1013"/>
      <c r="F1013"/>
      <c r="G1013"/>
      <c r="H1013"/>
      <c r="I1013"/>
      <c r="J1013"/>
    </row>
    <row r="1014" spans="1:10" s="2" customFormat="1">
      <c r="A1014" s="1"/>
      <c r="E1014"/>
      <c r="F1014"/>
      <c r="G1014"/>
      <c r="H1014"/>
      <c r="I1014"/>
      <c r="J1014"/>
    </row>
    <row r="1015" spans="1:10" s="2" customFormat="1">
      <c r="A1015" s="1"/>
      <c r="E1015"/>
      <c r="F1015"/>
      <c r="G1015"/>
      <c r="H1015"/>
      <c r="I1015"/>
      <c r="J1015"/>
    </row>
    <row r="1016" spans="1:10" s="2" customFormat="1">
      <c r="A1016" s="1"/>
      <c r="E1016"/>
      <c r="F1016"/>
      <c r="G1016"/>
      <c r="H1016"/>
      <c r="I1016"/>
      <c r="J1016"/>
    </row>
    <row r="1017" spans="1:10" s="2" customFormat="1">
      <c r="A1017" s="1"/>
      <c r="E1017"/>
      <c r="F1017"/>
      <c r="G1017"/>
      <c r="H1017"/>
      <c r="I1017"/>
      <c r="J1017"/>
    </row>
    <row r="1018" spans="1:10" s="2" customFormat="1">
      <c r="A1018" s="1"/>
      <c r="E1018"/>
      <c r="F1018"/>
      <c r="G1018"/>
      <c r="H1018"/>
      <c r="I1018"/>
      <c r="J1018"/>
    </row>
    <row r="1019" spans="1:10" s="2" customFormat="1">
      <c r="A1019" s="1"/>
      <c r="E1019"/>
      <c r="F1019"/>
      <c r="G1019"/>
      <c r="H1019"/>
      <c r="I1019"/>
      <c r="J1019"/>
    </row>
    <row r="1020" spans="1:10" s="2" customFormat="1">
      <c r="A1020" s="1"/>
      <c r="E1020"/>
      <c r="F1020"/>
      <c r="G1020"/>
      <c r="H1020"/>
      <c r="I1020"/>
      <c r="J1020"/>
    </row>
    <row r="1021" spans="1:10" s="2" customFormat="1">
      <c r="A1021" s="1"/>
      <c r="E1021"/>
      <c r="F1021"/>
      <c r="G1021"/>
      <c r="H1021"/>
      <c r="I1021"/>
      <c r="J1021"/>
    </row>
    <row r="1022" spans="1:10" s="2" customFormat="1">
      <c r="A1022" s="1"/>
      <c r="E1022"/>
      <c r="F1022"/>
      <c r="G1022"/>
      <c r="H1022"/>
      <c r="I1022"/>
      <c r="J1022"/>
    </row>
    <row r="1023" spans="1:10" s="2" customFormat="1">
      <c r="A1023" s="1"/>
      <c r="E1023"/>
      <c r="F1023"/>
      <c r="G1023"/>
      <c r="H1023"/>
      <c r="I1023"/>
      <c r="J1023"/>
    </row>
    <row r="1024" spans="1:10" s="2" customFormat="1">
      <c r="A1024" s="1"/>
      <c r="E1024"/>
      <c r="F1024"/>
      <c r="G1024"/>
      <c r="H1024"/>
      <c r="I1024"/>
      <c r="J1024"/>
    </row>
    <row r="1025" spans="1:10" s="2" customFormat="1">
      <c r="A1025" s="1"/>
      <c r="E1025"/>
      <c r="F1025"/>
      <c r="G1025"/>
      <c r="H1025"/>
      <c r="I1025"/>
      <c r="J1025"/>
    </row>
    <row r="1026" spans="1:10" s="2" customFormat="1">
      <c r="A1026" s="1"/>
      <c r="E1026"/>
      <c r="F1026"/>
      <c r="G1026"/>
      <c r="H1026"/>
      <c r="I1026"/>
      <c r="J1026"/>
    </row>
    <row r="1027" spans="1:10" s="2" customFormat="1">
      <c r="A1027" s="1"/>
      <c r="E1027"/>
      <c r="F1027"/>
      <c r="G1027"/>
      <c r="H1027"/>
      <c r="I1027"/>
      <c r="J1027"/>
    </row>
    <row r="1028" spans="1:10" s="2" customFormat="1">
      <c r="A1028" s="1"/>
      <c r="E1028"/>
      <c r="F1028"/>
      <c r="G1028"/>
      <c r="H1028"/>
      <c r="I1028"/>
      <c r="J1028"/>
    </row>
    <row r="1029" spans="1:10" s="2" customFormat="1">
      <c r="A1029" s="1"/>
      <c r="E1029"/>
      <c r="F1029"/>
      <c r="G1029"/>
      <c r="H1029"/>
      <c r="I1029"/>
      <c r="J1029"/>
    </row>
    <row r="1030" spans="1:10" s="2" customFormat="1">
      <c r="A1030" s="1"/>
      <c r="E1030"/>
      <c r="F1030"/>
      <c r="G1030"/>
      <c r="H1030"/>
      <c r="I1030"/>
      <c r="J1030"/>
    </row>
    <row r="1031" spans="1:10" s="2" customFormat="1">
      <c r="A1031" s="1"/>
      <c r="E1031"/>
      <c r="F1031"/>
      <c r="G1031"/>
      <c r="H1031"/>
      <c r="I1031"/>
      <c r="J1031"/>
    </row>
    <row r="1032" spans="1:10" s="2" customFormat="1">
      <c r="A1032" s="1"/>
      <c r="E1032"/>
      <c r="F1032"/>
      <c r="G1032"/>
      <c r="H1032"/>
      <c r="I1032"/>
      <c r="J1032"/>
    </row>
    <row r="1033" spans="1:10" s="2" customFormat="1">
      <c r="A1033" s="1"/>
      <c r="E1033"/>
      <c r="F1033"/>
      <c r="G1033"/>
      <c r="H1033"/>
      <c r="I1033"/>
      <c r="J1033"/>
    </row>
    <row r="1034" spans="1:10" s="2" customFormat="1">
      <c r="A1034" s="1"/>
      <c r="E1034"/>
      <c r="F1034"/>
      <c r="G1034"/>
      <c r="H1034"/>
      <c r="I1034"/>
      <c r="J1034"/>
    </row>
    <row r="1035" spans="1:10" s="2" customFormat="1">
      <c r="A1035" s="1"/>
      <c r="E1035"/>
      <c r="F1035"/>
      <c r="G1035"/>
      <c r="H1035"/>
      <c r="I1035"/>
      <c r="J1035"/>
    </row>
    <row r="1036" spans="1:10" s="2" customFormat="1">
      <c r="A1036" s="1"/>
      <c r="E1036"/>
      <c r="F1036"/>
      <c r="G1036"/>
      <c r="H1036"/>
      <c r="I1036"/>
      <c r="J1036"/>
    </row>
    <row r="1037" spans="1:10" s="2" customFormat="1">
      <c r="A1037" s="1"/>
      <c r="E1037"/>
      <c r="F1037"/>
      <c r="G1037"/>
      <c r="H1037"/>
      <c r="I1037"/>
      <c r="J1037"/>
    </row>
    <row r="1038" spans="1:10" s="2" customFormat="1">
      <c r="A1038" s="1"/>
      <c r="E1038"/>
      <c r="F1038"/>
      <c r="G1038"/>
      <c r="H1038"/>
      <c r="I1038"/>
      <c r="J1038"/>
    </row>
    <row r="1039" spans="1:10" s="2" customFormat="1">
      <c r="A1039" s="1"/>
      <c r="E1039"/>
      <c r="F1039"/>
      <c r="G1039"/>
      <c r="H1039"/>
      <c r="I1039"/>
      <c r="J1039"/>
    </row>
    <row r="1040" spans="1:10" s="2" customFormat="1">
      <c r="A1040" s="1"/>
      <c r="E1040"/>
      <c r="F1040"/>
      <c r="G1040"/>
      <c r="H1040"/>
      <c r="I1040"/>
      <c r="J1040"/>
    </row>
    <row r="1041" spans="1:10" s="2" customFormat="1">
      <c r="A1041" s="1"/>
      <c r="E1041"/>
      <c r="F1041"/>
      <c r="G1041"/>
      <c r="H1041"/>
      <c r="I1041"/>
      <c r="J1041"/>
    </row>
    <row r="1042" spans="1:10" s="2" customFormat="1">
      <c r="A1042" s="1"/>
      <c r="E1042"/>
      <c r="F1042"/>
      <c r="G1042"/>
      <c r="H1042"/>
      <c r="I1042"/>
      <c r="J1042"/>
    </row>
    <row r="1043" spans="1:10" s="2" customFormat="1">
      <c r="A1043" s="1"/>
      <c r="E1043"/>
      <c r="F1043"/>
      <c r="G1043"/>
      <c r="H1043"/>
      <c r="I1043"/>
      <c r="J1043"/>
    </row>
    <row r="1044" spans="1:10" s="2" customFormat="1">
      <c r="A1044" s="1"/>
      <c r="E1044"/>
      <c r="F1044"/>
      <c r="G1044"/>
      <c r="H1044"/>
      <c r="I1044"/>
      <c r="J1044"/>
    </row>
    <row r="1045" spans="1:10" s="2" customFormat="1">
      <c r="A1045" s="1"/>
      <c r="E1045"/>
      <c r="F1045"/>
      <c r="G1045"/>
      <c r="H1045"/>
      <c r="I1045"/>
      <c r="J1045"/>
    </row>
    <row r="1046" spans="1:10" s="2" customFormat="1">
      <c r="A1046" s="1"/>
      <c r="E1046"/>
      <c r="F1046"/>
      <c r="G1046"/>
      <c r="H1046"/>
      <c r="I1046"/>
      <c r="J1046"/>
    </row>
    <row r="1047" spans="1:10" s="2" customFormat="1">
      <c r="A1047" s="1"/>
      <c r="E1047"/>
      <c r="F1047"/>
      <c r="G1047"/>
      <c r="H1047"/>
      <c r="I1047"/>
      <c r="J1047"/>
    </row>
    <row r="1048" spans="1:10" s="2" customFormat="1">
      <c r="A1048" s="1"/>
      <c r="E1048"/>
      <c r="F1048"/>
      <c r="G1048"/>
      <c r="H1048"/>
      <c r="I1048"/>
      <c r="J1048"/>
    </row>
    <row r="1049" spans="1:10" s="2" customFormat="1">
      <c r="A1049" s="1"/>
      <c r="E1049"/>
      <c r="F1049"/>
      <c r="G1049"/>
      <c r="H1049"/>
      <c r="I1049"/>
      <c r="J1049"/>
    </row>
    <row r="1050" spans="1:10" s="2" customFormat="1">
      <c r="A1050" s="1"/>
      <c r="E1050"/>
      <c r="F1050"/>
      <c r="G1050"/>
      <c r="H1050"/>
      <c r="I1050"/>
      <c r="J1050"/>
    </row>
    <row r="1051" spans="1:10" s="2" customFormat="1">
      <c r="A1051" s="1"/>
      <c r="E1051"/>
      <c r="F1051"/>
      <c r="G1051"/>
      <c r="H1051"/>
      <c r="I1051"/>
      <c r="J1051"/>
    </row>
    <row r="1052" spans="1:10" s="2" customFormat="1">
      <c r="A1052" s="1"/>
      <c r="E1052"/>
      <c r="F1052"/>
      <c r="G1052"/>
      <c r="H1052"/>
      <c r="I1052"/>
      <c r="J1052"/>
    </row>
    <row r="1053" spans="1:10" s="2" customFormat="1">
      <c r="A1053" s="1"/>
      <c r="E1053"/>
      <c r="F1053"/>
      <c r="G1053"/>
      <c r="H1053"/>
      <c r="I1053"/>
      <c r="J1053"/>
    </row>
    <row r="1054" spans="1:10" s="2" customFormat="1">
      <c r="A1054" s="1"/>
      <c r="E1054"/>
      <c r="F1054"/>
      <c r="G1054"/>
      <c r="H1054"/>
      <c r="I1054"/>
      <c r="J1054"/>
    </row>
    <row r="1055" spans="1:10" s="2" customFormat="1">
      <c r="A1055" s="1"/>
      <c r="E1055"/>
      <c r="F1055"/>
      <c r="G1055"/>
      <c r="H1055"/>
      <c r="I1055"/>
      <c r="J1055"/>
    </row>
    <row r="1056" spans="1:10" s="2" customFormat="1">
      <c r="A1056" s="1"/>
      <c r="E1056"/>
      <c r="F1056"/>
      <c r="G1056"/>
      <c r="H1056"/>
      <c r="I1056"/>
      <c r="J1056"/>
    </row>
    <row r="1057" spans="1:10" s="2" customFormat="1">
      <c r="A1057" s="1"/>
      <c r="E1057"/>
      <c r="F1057"/>
      <c r="G1057"/>
      <c r="H1057"/>
      <c r="I1057"/>
      <c r="J1057"/>
    </row>
    <row r="1058" spans="1:10" s="2" customFormat="1">
      <c r="A1058" s="1"/>
      <c r="E1058"/>
      <c r="F1058"/>
      <c r="G1058"/>
      <c r="H1058"/>
      <c r="I1058"/>
      <c r="J1058"/>
    </row>
    <row r="1059" spans="1:10" s="2" customFormat="1">
      <c r="A1059" s="1"/>
      <c r="E1059"/>
      <c r="F1059"/>
      <c r="G1059"/>
      <c r="H1059"/>
      <c r="I1059"/>
      <c r="J1059"/>
    </row>
    <row r="1060" spans="1:10" s="2" customFormat="1">
      <c r="A1060" s="1"/>
      <c r="E1060"/>
      <c r="F1060"/>
      <c r="G1060"/>
      <c r="H1060"/>
      <c r="I1060"/>
      <c r="J1060"/>
    </row>
    <row r="1061" spans="1:10" s="2" customFormat="1">
      <c r="A1061" s="1"/>
      <c r="E1061"/>
      <c r="F1061"/>
      <c r="G1061"/>
      <c r="H1061"/>
      <c r="I1061"/>
      <c r="J1061"/>
    </row>
    <row r="1062" spans="1:10" s="2" customFormat="1">
      <c r="A1062" s="1"/>
      <c r="E1062"/>
      <c r="F1062"/>
      <c r="G1062"/>
      <c r="H1062"/>
      <c r="I1062"/>
      <c r="J1062"/>
    </row>
    <row r="1063" spans="1:10" s="2" customFormat="1">
      <c r="A1063" s="1"/>
      <c r="E1063"/>
      <c r="F1063"/>
      <c r="G1063"/>
      <c r="H1063"/>
      <c r="I1063"/>
      <c r="J1063"/>
    </row>
    <row r="1064" spans="1:10" s="2" customFormat="1">
      <c r="A1064" s="1"/>
      <c r="E1064"/>
      <c r="F1064"/>
      <c r="G1064"/>
      <c r="H1064"/>
      <c r="I1064"/>
      <c r="J1064"/>
    </row>
    <row r="1065" spans="1:10" s="2" customFormat="1">
      <c r="A1065" s="1"/>
      <c r="E1065"/>
      <c r="F1065"/>
      <c r="G1065"/>
      <c r="H1065"/>
      <c r="I1065"/>
      <c r="J1065"/>
    </row>
    <row r="1066" spans="1:10" s="2" customFormat="1">
      <c r="A1066" s="1"/>
      <c r="E1066"/>
      <c r="F1066"/>
      <c r="G1066"/>
      <c r="H1066"/>
      <c r="I1066"/>
      <c r="J1066"/>
    </row>
    <row r="1067" spans="1:10" s="2" customFormat="1">
      <c r="A1067" s="1"/>
      <c r="E1067"/>
      <c r="F1067"/>
      <c r="G1067"/>
      <c r="H1067"/>
      <c r="I1067"/>
      <c r="J1067"/>
    </row>
    <row r="1068" spans="1:10" s="2" customFormat="1">
      <c r="A1068" s="1"/>
      <c r="E1068"/>
      <c r="F1068"/>
      <c r="G1068"/>
      <c r="H1068"/>
      <c r="I1068"/>
      <c r="J1068"/>
    </row>
    <row r="1069" spans="1:10" s="2" customFormat="1">
      <c r="A1069" s="1"/>
      <c r="E1069"/>
      <c r="F1069"/>
      <c r="G1069"/>
      <c r="H1069"/>
      <c r="I1069"/>
      <c r="J1069"/>
    </row>
    <row r="1070" spans="1:10" s="2" customFormat="1">
      <c r="A1070" s="1"/>
      <c r="E1070"/>
      <c r="F1070"/>
      <c r="G1070"/>
      <c r="H1070"/>
      <c r="I1070"/>
      <c r="J1070"/>
    </row>
    <row r="1071" spans="1:10" s="2" customFormat="1">
      <c r="A1071" s="1"/>
      <c r="E1071"/>
      <c r="F1071"/>
      <c r="G1071"/>
      <c r="H1071"/>
      <c r="I1071"/>
      <c r="J1071"/>
    </row>
    <row r="1072" spans="1:10" s="2" customFormat="1">
      <c r="A1072" s="1"/>
      <c r="E1072"/>
      <c r="F1072"/>
      <c r="G1072"/>
      <c r="H1072"/>
      <c r="I1072"/>
      <c r="J1072"/>
    </row>
    <row r="1073" spans="1:10" s="2" customFormat="1">
      <c r="A1073" s="1"/>
      <c r="E1073"/>
      <c r="F1073"/>
      <c r="G1073"/>
      <c r="H1073"/>
      <c r="I1073"/>
      <c r="J1073"/>
    </row>
    <row r="1074" spans="1:10" s="2" customFormat="1">
      <c r="A1074" s="1"/>
      <c r="E1074"/>
      <c r="F1074"/>
      <c r="G1074"/>
      <c r="H1074"/>
      <c r="I1074"/>
      <c r="J1074"/>
    </row>
    <row r="1075" spans="1:10" s="2" customFormat="1">
      <c r="A1075" s="1"/>
      <c r="E1075"/>
      <c r="F1075"/>
      <c r="G1075"/>
      <c r="H1075"/>
      <c r="I1075"/>
      <c r="J1075"/>
    </row>
    <row r="1076" spans="1:10" s="2" customFormat="1">
      <c r="A1076" s="1"/>
      <c r="E1076"/>
      <c r="F1076"/>
      <c r="G1076"/>
      <c r="H1076"/>
      <c r="I1076"/>
      <c r="J1076"/>
    </row>
    <row r="1077" spans="1:10" s="2" customFormat="1">
      <c r="A1077" s="1"/>
      <c r="E1077"/>
      <c r="F1077"/>
      <c r="G1077"/>
      <c r="H1077"/>
      <c r="I1077"/>
      <c r="J1077"/>
    </row>
    <row r="1078" spans="1:10" s="2" customFormat="1">
      <c r="A1078" s="1"/>
      <c r="E1078"/>
      <c r="F1078"/>
      <c r="G1078"/>
      <c r="H1078"/>
      <c r="I1078"/>
      <c r="J1078"/>
    </row>
    <row r="1079" spans="1:10" s="2" customFormat="1">
      <c r="A1079" s="1"/>
      <c r="E1079"/>
      <c r="F1079"/>
      <c r="G1079"/>
      <c r="H1079"/>
      <c r="I1079"/>
      <c r="J1079"/>
    </row>
    <row r="1080" spans="1:10" s="2" customFormat="1">
      <c r="A1080" s="1"/>
      <c r="E1080"/>
      <c r="F1080"/>
      <c r="G1080"/>
      <c r="H1080"/>
      <c r="I1080"/>
      <c r="J1080"/>
    </row>
    <row r="1081" spans="1:10" s="2" customFormat="1">
      <c r="A1081" s="1"/>
      <c r="E1081"/>
      <c r="F1081"/>
      <c r="G1081"/>
      <c r="H1081"/>
      <c r="I1081"/>
      <c r="J1081"/>
    </row>
    <row r="1082" spans="1:10" s="2" customFormat="1">
      <c r="A1082" s="1"/>
      <c r="E1082"/>
      <c r="F1082"/>
      <c r="G1082"/>
      <c r="H1082"/>
      <c r="I1082"/>
      <c r="J1082"/>
    </row>
    <row r="1083" spans="1:10" s="2" customFormat="1">
      <c r="A1083" s="1"/>
      <c r="E1083"/>
      <c r="F1083"/>
      <c r="G1083"/>
      <c r="H1083"/>
      <c r="I1083"/>
      <c r="J1083"/>
    </row>
    <row r="1084" spans="1:10" s="2" customFormat="1">
      <c r="A1084" s="1"/>
      <c r="E1084"/>
      <c r="F1084"/>
      <c r="G1084"/>
      <c r="H1084"/>
      <c r="I1084"/>
      <c r="J1084"/>
    </row>
    <row r="1085" spans="1:10" s="2" customFormat="1">
      <c r="A1085" s="1"/>
      <c r="E1085"/>
      <c r="F1085"/>
      <c r="G1085"/>
      <c r="H1085"/>
      <c r="I1085"/>
      <c r="J1085"/>
    </row>
    <row r="1086" spans="1:10" s="2" customFormat="1">
      <c r="A1086" s="1"/>
      <c r="E1086"/>
      <c r="F1086"/>
      <c r="G1086"/>
      <c r="H1086"/>
      <c r="I1086"/>
      <c r="J1086"/>
    </row>
    <row r="1087" spans="1:10" s="2" customFormat="1">
      <c r="A1087" s="1"/>
      <c r="E1087"/>
      <c r="F1087"/>
      <c r="G1087"/>
      <c r="H1087"/>
      <c r="I1087"/>
      <c r="J1087"/>
    </row>
    <row r="1088" spans="1:10" s="2" customFormat="1">
      <c r="A1088" s="1"/>
      <c r="E1088"/>
      <c r="F1088"/>
      <c r="G1088"/>
      <c r="H1088"/>
      <c r="I1088"/>
      <c r="J1088"/>
    </row>
    <row r="1089" spans="1:10" s="2" customFormat="1">
      <c r="A1089" s="1"/>
      <c r="E1089"/>
      <c r="F1089"/>
      <c r="G1089"/>
      <c r="H1089"/>
      <c r="I1089"/>
      <c r="J1089"/>
    </row>
    <row r="1090" spans="1:10" s="2" customFormat="1">
      <c r="A1090" s="1"/>
      <c r="E1090"/>
      <c r="F1090"/>
      <c r="G1090"/>
      <c r="H1090"/>
      <c r="I1090"/>
      <c r="J1090"/>
    </row>
    <row r="1091" spans="1:10" s="2" customFormat="1">
      <c r="A1091" s="1"/>
      <c r="E1091"/>
      <c r="F1091"/>
      <c r="G1091"/>
      <c r="H1091"/>
      <c r="I1091"/>
      <c r="J1091"/>
    </row>
    <row r="1092" spans="1:10" s="2" customFormat="1">
      <c r="A1092" s="1"/>
      <c r="E1092"/>
      <c r="F1092"/>
      <c r="G1092"/>
      <c r="H1092"/>
      <c r="I1092"/>
      <c r="J1092"/>
    </row>
    <row r="1093" spans="1:10" s="2" customFormat="1">
      <c r="A1093" s="1"/>
      <c r="E1093"/>
      <c r="F1093"/>
      <c r="G1093"/>
      <c r="H1093"/>
      <c r="I1093"/>
      <c r="J1093"/>
    </row>
    <row r="1094" spans="1:10" s="2" customFormat="1">
      <c r="A1094" s="1"/>
      <c r="E1094"/>
      <c r="F1094"/>
      <c r="G1094"/>
      <c r="H1094"/>
      <c r="I1094"/>
      <c r="J1094"/>
    </row>
    <row r="1095" spans="1:10" s="2" customFormat="1">
      <c r="A1095" s="1"/>
      <c r="E1095"/>
      <c r="F1095"/>
      <c r="G1095"/>
      <c r="H1095"/>
      <c r="I1095"/>
      <c r="J1095"/>
    </row>
    <row r="1096" spans="1:10" s="2" customFormat="1">
      <c r="A1096" s="1"/>
      <c r="E1096"/>
      <c r="F1096"/>
      <c r="G1096"/>
      <c r="H1096"/>
      <c r="I1096"/>
      <c r="J1096"/>
    </row>
    <row r="1097" spans="1:10" s="2" customFormat="1">
      <c r="A1097" s="1"/>
      <c r="E1097"/>
      <c r="F1097"/>
      <c r="G1097"/>
      <c r="H1097"/>
      <c r="I1097"/>
      <c r="J1097"/>
    </row>
    <row r="1098" spans="1:10" s="2" customFormat="1">
      <c r="A1098" s="1"/>
      <c r="E1098"/>
      <c r="F1098"/>
      <c r="G1098"/>
      <c r="H1098"/>
      <c r="I1098"/>
      <c r="J1098"/>
    </row>
    <row r="1099" spans="1:10" s="2" customFormat="1">
      <c r="A1099" s="1"/>
      <c r="E1099"/>
      <c r="F1099"/>
      <c r="G1099"/>
      <c r="H1099"/>
      <c r="I1099"/>
      <c r="J1099"/>
    </row>
    <row r="1100" spans="1:10" s="2" customFormat="1">
      <c r="A1100" s="1"/>
      <c r="E1100"/>
      <c r="F1100"/>
      <c r="G1100"/>
      <c r="H1100"/>
      <c r="I1100"/>
      <c r="J1100"/>
    </row>
    <row r="1101" spans="1:10" s="2" customFormat="1">
      <c r="A1101" s="1"/>
      <c r="E1101"/>
      <c r="F1101"/>
      <c r="G1101"/>
      <c r="H1101"/>
      <c r="I1101"/>
      <c r="J1101"/>
    </row>
    <row r="1102" spans="1:10" s="2" customFormat="1">
      <c r="A1102" s="1"/>
      <c r="E1102"/>
      <c r="F1102"/>
      <c r="G1102"/>
      <c r="H1102"/>
      <c r="I1102"/>
      <c r="J1102"/>
    </row>
    <row r="1103" spans="1:10" s="2" customFormat="1">
      <c r="A1103" s="1"/>
      <c r="E1103"/>
      <c r="F1103"/>
      <c r="G1103"/>
      <c r="H1103"/>
      <c r="I1103"/>
      <c r="J1103"/>
    </row>
    <row r="1104" spans="1:10" s="2" customFormat="1">
      <c r="A1104" s="1"/>
      <c r="E1104"/>
      <c r="F1104"/>
      <c r="G1104"/>
      <c r="H1104"/>
      <c r="I1104"/>
      <c r="J1104"/>
    </row>
    <row r="1105" spans="1:10" s="2" customFormat="1">
      <c r="A1105" s="1"/>
      <c r="E1105"/>
      <c r="F1105"/>
      <c r="G1105"/>
      <c r="H1105"/>
      <c r="I1105"/>
      <c r="J1105"/>
    </row>
    <row r="1106" spans="1:10" s="2" customFormat="1">
      <c r="A1106" s="1"/>
      <c r="E1106"/>
      <c r="F1106"/>
      <c r="G1106"/>
      <c r="H1106"/>
      <c r="I1106"/>
      <c r="J1106"/>
    </row>
    <row r="1107" spans="1:10" s="2" customFormat="1">
      <c r="A1107" s="1"/>
      <c r="E1107"/>
      <c r="F1107"/>
      <c r="G1107"/>
      <c r="H1107"/>
      <c r="I1107"/>
      <c r="J1107"/>
    </row>
    <row r="1108" spans="1:10" s="2" customFormat="1">
      <c r="A1108" s="1"/>
      <c r="E1108"/>
      <c r="F1108"/>
      <c r="G1108"/>
      <c r="H1108"/>
      <c r="I1108"/>
      <c r="J1108"/>
    </row>
    <row r="1109" spans="1:10" s="2" customFormat="1">
      <c r="A1109" s="1"/>
      <c r="E1109"/>
      <c r="F1109"/>
      <c r="G1109"/>
      <c r="H1109"/>
      <c r="I1109"/>
      <c r="J1109"/>
    </row>
    <row r="1110" spans="1:10" s="2" customFormat="1">
      <c r="A1110" s="1"/>
      <c r="E1110"/>
      <c r="F1110"/>
      <c r="G1110"/>
      <c r="H1110"/>
      <c r="I1110"/>
      <c r="J1110"/>
    </row>
    <row r="1111" spans="1:10" s="2" customFormat="1">
      <c r="A1111" s="1"/>
      <c r="E1111"/>
      <c r="F1111"/>
      <c r="G1111"/>
      <c r="H1111"/>
      <c r="I1111"/>
      <c r="J1111"/>
    </row>
    <row r="1112" spans="1:10" s="2" customFormat="1">
      <c r="A1112" s="1"/>
      <c r="E1112"/>
      <c r="F1112"/>
      <c r="G1112"/>
      <c r="H1112"/>
      <c r="I1112"/>
      <c r="J1112"/>
    </row>
    <row r="1113" spans="1:10" s="2" customFormat="1">
      <c r="A1113" s="1"/>
      <c r="E1113"/>
      <c r="F1113"/>
      <c r="G1113"/>
      <c r="H1113"/>
      <c r="I1113"/>
      <c r="J1113"/>
    </row>
    <row r="1114" spans="1:10" s="2" customFormat="1">
      <c r="A1114" s="1"/>
      <c r="E1114"/>
      <c r="F1114"/>
      <c r="G1114"/>
      <c r="H1114"/>
      <c r="I1114"/>
      <c r="J1114"/>
    </row>
    <row r="1115" spans="1:10" s="2" customFormat="1">
      <c r="A1115" s="1"/>
      <c r="E1115"/>
      <c r="F1115"/>
      <c r="G1115"/>
      <c r="H1115"/>
      <c r="I1115"/>
      <c r="J1115"/>
    </row>
    <row r="1116" spans="1:10" s="2" customFormat="1">
      <c r="A1116" s="1"/>
      <c r="E1116"/>
      <c r="F1116"/>
      <c r="G1116"/>
      <c r="H1116"/>
      <c r="I1116"/>
      <c r="J1116"/>
    </row>
    <row r="1117" spans="1:10" s="2" customFormat="1">
      <c r="A1117" s="1"/>
      <c r="E1117"/>
      <c r="F1117"/>
      <c r="G1117"/>
      <c r="H1117"/>
      <c r="I1117"/>
      <c r="J1117"/>
    </row>
    <row r="1118" spans="1:10" s="2" customFormat="1">
      <c r="A1118" s="1"/>
      <c r="E1118"/>
      <c r="F1118"/>
      <c r="G1118"/>
      <c r="H1118"/>
      <c r="I1118"/>
      <c r="J1118"/>
    </row>
    <row r="1119" spans="1:10" s="2" customFormat="1">
      <c r="A1119" s="1"/>
      <c r="E1119"/>
      <c r="F1119"/>
      <c r="G1119"/>
      <c r="H1119"/>
      <c r="I1119"/>
      <c r="J1119"/>
    </row>
    <row r="1120" spans="1:10" s="2" customFormat="1">
      <c r="A1120" s="1"/>
      <c r="E1120"/>
      <c r="F1120"/>
      <c r="G1120"/>
      <c r="H1120"/>
      <c r="I1120"/>
      <c r="J1120"/>
    </row>
    <row r="1121" spans="1:10" s="2" customFormat="1">
      <c r="A1121" s="1"/>
      <c r="E1121"/>
      <c r="F1121"/>
      <c r="G1121"/>
      <c r="H1121"/>
      <c r="I1121"/>
      <c r="J1121"/>
    </row>
    <row r="1122" spans="1:10" s="2" customFormat="1">
      <c r="A1122" s="1"/>
      <c r="E1122"/>
      <c r="F1122"/>
      <c r="G1122"/>
      <c r="H1122"/>
      <c r="I1122"/>
      <c r="J1122"/>
    </row>
    <row r="1123" spans="1:10" s="2" customFormat="1">
      <c r="A1123" s="1"/>
      <c r="E1123"/>
      <c r="F1123"/>
      <c r="G1123"/>
      <c r="H1123"/>
      <c r="I1123"/>
      <c r="J1123"/>
    </row>
    <row r="1124" spans="1:10" s="2" customFormat="1">
      <c r="A1124" s="1"/>
      <c r="E1124"/>
      <c r="F1124"/>
      <c r="G1124"/>
      <c r="H1124"/>
      <c r="I1124"/>
      <c r="J1124"/>
    </row>
    <row r="1125" spans="1:10" s="2" customFormat="1">
      <c r="A1125" s="1"/>
      <c r="E1125"/>
      <c r="F1125"/>
      <c r="G1125"/>
      <c r="H1125"/>
      <c r="I1125"/>
      <c r="J1125"/>
    </row>
    <row r="1126" spans="1:10" s="2" customFormat="1">
      <c r="A1126" s="1"/>
      <c r="E1126"/>
      <c r="F1126"/>
      <c r="G1126"/>
      <c r="H1126"/>
      <c r="I1126"/>
      <c r="J1126"/>
    </row>
    <row r="1127" spans="1:10" s="2" customFormat="1">
      <c r="A1127" s="1"/>
      <c r="E1127"/>
      <c r="F1127"/>
      <c r="G1127"/>
      <c r="H1127"/>
      <c r="I1127"/>
      <c r="J1127"/>
    </row>
    <row r="1128" spans="1:10" s="2" customFormat="1">
      <c r="A1128" s="1"/>
      <c r="E1128"/>
      <c r="F1128"/>
      <c r="G1128"/>
      <c r="H1128"/>
      <c r="I1128"/>
      <c r="J1128"/>
    </row>
    <row r="1129" spans="1:10" s="2" customFormat="1">
      <c r="A1129" s="1"/>
      <c r="E1129"/>
      <c r="F1129"/>
      <c r="G1129"/>
      <c r="H1129"/>
      <c r="I1129"/>
      <c r="J1129"/>
    </row>
    <row r="1130" spans="1:10" s="2" customFormat="1">
      <c r="A1130" s="1"/>
      <c r="E1130"/>
      <c r="F1130"/>
      <c r="G1130"/>
      <c r="H1130"/>
      <c r="I1130"/>
      <c r="J1130"/>
    </row>
    <row r="1131" spans="1:10" s="2" customFormat="1">
      <c r="A1131" s="1"/>
      <c r="E1131"/>
      <c r="F1131"/>
      <c r="G1131"/>
      <c r="H1131"/>
      <c r="I1131"/>
      <c r="J1131"/>
    </row>
    <row r="1132" spans="1:10" s="2" customFormat="1">
      <c r="A1132" s="1"/>
      <c r="E1132"/>
      <c r="F1132"/>
      <c r="G1132"/>
      <c r="H1132"/>
      <c r="I1132"/>
      <c r="J1132"/>
    </row>
    <row r="1133" spans="1:10" s="2" customFormat="1">
      <c r="A1133" s="1"/>
      <c r="E1133"/>
      <c r="F1133"/>
      <c r="G1133"/>
      <c r="H1133"/>
      <c r="I1133"/>
      <c r="J1133"/>
    </row>
    <row r="1134" spans="1:10" s="2" customFormat="1">
      <c r="A1134" s="1"/>
      <c r="E1134"/>
      <c r="F1134"/>
      <c r="G1134"/>
      <c r="H1134"/>
      <c r="I1134"/>
      <c r="J1134"/>
    </row>
    <row r="1135" spans="1:10" s="2" customFormat="1">
      <c r="A1135" s="1"/>
      <c r="E1135"/>
      <c r="F1135"/>
      <c r="G1135"/>
      <c r="H1135"/>
      <c r="I1135"/>
      <c r="J1135"/>
    </row>
    <row r="1136" spans="1:10" s="2" customFormat="1">
      <c r="A1136" s="1"/>
      <c r="E1136"/>
      <c r="F1136"/>
      <c r="G1136"/>
      <c r="H1136"/>
      <c r="I1136"/>
      <c r="J1136"/>
    </row>
    <row r="1137" spans="1:10" s="2" customFormat="1">
      <c r="A1137" s="1"/>
      <c r="E1137"/>
      <c r="F1137"/>
      <c r="G1137"/>
      <c r="H1137"/>
      <c r="I1137"/>
      <c r="J1137"/>
    </row>
    <row r="1138" spans="1:10" s="2" customFormat="1">
      <c r="A1138" s="1"/>
      <c r="E1138"/>
      <c r="F1138"/>
      <c r="G1138"/>
      <c r="H1138"/>
      <c r="I1138"/>
      <c r="J1138"/>
    </row>
    <row r="1139" spans="1:10" s="2" customFormat="1">
      <c r="A1139" s="1"/>
      <c r="E1139"/>
      <c r="F1139"/>
      <c r="G1139"/>
      <c r="H1139"/>
      <c r="I1139"/>
      <c r="J1139"/>
    </row>
    <row r="1140" spans="1:10" s="2" customFormat="1">
      <c r="A1140" s="1"/>
      <c r="E1140"/>
      <c r="F1140"/>
      <c r="G1140"/>
      <c r="H1140"/>
      <c r="I1140"/>
      <c r="J1140"/>
    </row>
    <row r="1141" spans="1:10" s="2" customFormat="1">
      <c r="A1141" s="1"/>
      <c r="E1141"/>
      <c r="F1141"/>
      <c r="G1141"/>
      <c r="H1141"/>
      <c r="I1141"/>
      <c r="J1141"/>
    </row>
    <row r="1142" spans="1:10" s="2" customFormat="1">
      <c r="A1142" s="1"/>
      <c r="E1142"/>
      <c r="F1142"/>
      <c r="G1142"/>
      <c r="H1142"/>
      <c r="I1142"/>
      <c r="J1142"/>
    </row>
    <row r="1143" spans="1:10" s="2" customFormat="1">
      <c r="A1143" s="1"/>
      <c r="E1143"/>
      <c r="F1143"/>
      <c r="G1143"/>
      <c r="H1143"/>
      <c r="I1143"/>
      <c r="J1143"/>
    </row>
    <row r="1144" spans="1:10" s="2" customFormat="1">
      <c r="A1144" s="1"/>
      <c r="E1144"/>
      <c r="F1144"/>
      <c r="G1144"/>
      <c r="H1144"/>
      <c r="I1144"/>
      <c r="J1144"/>
    </row>
    <row r="1145" spans="1:10" s="2" customFormat="1">
      <c r="A1145" s="1"/>
      <c r="E1145"/>
      <c r="F1145"/>
      <c r="G1145"/>
      <c r="H1145"/>
      <c r="I1145"/>
      <c r="J1145"/>
    </row>
    <row r="1146" spans="1:10" s="2" customFormat="1">
      <c r="A1146" s="1"/>
      <c r="E1146"/>
      <c r="F1146"/>
      <c r="G1146"/>
      <c r="H1146"/>
      <c r="I1146"/>
      <c r="J1146"/>
    </row>
    <row r="1147" spans="1:10" s="2" customFormat="1">
      <c r="A1147" s="1"/>
      <c r="E1147"/>
      <c r="F1147"/>
      <c r="G1147"/>
      <c r="H1147"/>
      <c r="I1147"/>
      <c r="J1147"/>
    </row>
    <row r="1148" spans="1:10" s="2" customFormat="1">
      <c r="A1148" s="1"/>
      <c r="E1148"/>
      <c r="F1148"/>
      <c r="G1148"/>
      <c r="H1148"/>
      <c r="I1148"/>
      <c r="J1148"/>
    </row>
    <row r="1149" spans="1:10" s="2" customFormat="1">
      <c r="A1149" s="1"/>
      <c r="E1149"/>
      <c r="F1149"/>
      <c r="G1149"/>
      <c r="H1149"/>
      <c r="I1149"/>
      <c r="J1149"/>
    </row>
    <row r="1150" spans="1:10" s="2" customFormat="1">
      <c r="A1150" s="1"/>
      <c r="E1150"/>
      <c r="F1150"/>
      <c r="G1150"/>
      <c r="H1150"/>
      <c r="I1150"/>
      <c r="J1150"/>
    </row>
    <row r="1151" spans="1:10" s="2" customFormat="1">
      <c r="A1151" s="1"/>
      <c r="E1151"/>
      <c r="F1151"/>
      <c r="G1151"/>
      <c r="H1151"/>
      <c r="I1151"/>
      <c r="J1151"/>
    </row>
    <row r="1152" spans="1:10" s="2" customFormat="1">
      <c r="A1152" s="1"/>
      <c r="E1152"/>
      <c r="F1152"/>
      <c r="G1152"/>
      <c r="H1152"/>
      <c r="I1152"/>
      <c r="J1152"/>
    </row>
    <row r="1153" spans="1:10" s="2" customFormat="1">
      <c r="A1153" s="1"/>
      <c r="E1153"/>
      <c r="F1153"/>
      <c r="G1153"/>
      <c r="H1153"/>
      <c r="I1153"/>
      <c r="J1153"/>
    </row>
    <row r="1154" spans="1:10" s="2" customFormat="1">
      <c r="A1154" s="1"/>
      <c r="E1154"/>
      <c r="F1154"/>
      <c r="G1154"/>
      <c r="H1154"/>
      <c r="I1154"/>
      <c r="J1154"/>
    </row>
    <row r="1155" spans="1:10" s="2" customFormat="1">
      <c r="A1155" s="1"/>
      <c r="E1155"/>
      <c r="F1155"/>
      <c r="G1155"/>
      <c r="H1155"/>
      <c r="I1155"/>
      <c r="J1155"/>
    </row>
    <row r="1156" spans="1:10" s="2" customFormat="1">
      <c r="A1156" s="1"/>
      <c r="E1156"/>
      <c r="F1156"/>
      <c r="G1156"/>
      <c r="H1156"/>
      <c r="I1156"/>
      <c r="J1156"/>
    </row>
    <row r="1157" spans="1:10" s="2" customFormat="1">
      <c r="A1157" s="1"/>
      <c r="E1157"/>
      <c r="F1157"/>
      <c r="G1157"/>
      <c r="H1157"/>
      <c r="I1157"/>
      <c r="J1157"/>
    </row>
    <row r="1158" spans="1:10" s="2" customFormat="1">
      <c r="A1158" s="1"/>
      <c r="E1158"/>
      <c r="F1158"/>
      <c r="G1158"/>
      <c r="H1158"/>
      <c r="I1158"/>
      <c r="J1158"/>
    </row>
    <row r="1159" spans="1:10" s="2" customFormat="1">
      <c r="A1159" s="1"/>
      <c r="E1159"/>
      <c r="F1159"/>
      <c r="G1159"/>
      <c r="H1159"/>
      <c r="I1159"/>
      <c r="J1159"/>
    </row>
    <row r="1160" spans="1:10" s="2" customFormat="1">
      <c r="A1160" s="1"/>
      <c r="E1160"/>
      <c r="F1160"/>
      <c r="G1160"/>
      <c r="H1160"/>
      <c r="I1160"/>
      <c r="J1160"/>
    </row>
    <row r="1161" spans="1:10" s="2" customFormat="1">
      <c r="A1161" s="1"/>
      <c r="E1161"/>
      <c r="F1161"/>
      <c r="G1161"/>
      <c r="H1161"/>
      <c r="I1161"/>
      <c r="J1161"/>
    </row>
    <row r="1162" spans="1:10" s="2" customFormat="1">
      <c r="A1162" s="1"/>
      <c r="E1162"/>
      <c r="F1162"/>
      <c r="G1162"/>
      <c r="H1162"/>
      <c r="I1162"/>
      <c r="J1162"/>
    </row>
    <row r="1163" spans="1:10" s="2" customFormat="1">
      <c r="A1163" s="1"/>
      <c r="E1163"/>
      <c r="F1163"/>
      <c r="G1163"/>
      <c r="H1163"/>
      <c r="I1163"/>
      <c r="J1163"/>
    </row>
    <row r="1164" spans="1:10" s="2" customFormat="1">
      <c r="A1164" s="1"/>
      <c r="E1164"/>
      <c r="F1164"/>
      <c r="G1164"/>
      <c r="H1164"/>
      <c r="I1164"/>
      <c r="J1164"/>
    </row>
    <row r="1165" spans="1:10" s="2" customFormat="1">
      <c r="A1165" s="1"/>
      <c r="E1165"/>
      <c r="F1165"/>
      <c r="G1165"/>
      <c r="H1165"/>
      <c r="I1165"/>
      <c r="J1165"/>
    </row>
    <row r="1166" spans="1:10" s="2" customFormat="1">
      <c r="A1166" s="1"/>
      <c r="E1166"/>
      <c r="F1166"/>
      <c r="G1166"/>
      <c r="H1166"/>
      <c r="I1166"/>
      <c r="J1166"/>
    </row>
    <row r="1167" spans="1:10" s="2" customFormat="1">
      <c r="A1167" s="1"/>
      <c r="E1167"/>
      <c r="F1167"/>
      <c r="G1167"/>
      <c r="H1167"/>
      <c r="I1167"/>
      <c r="J1167"/>
    </row>
    <row r="1168" spans="1:10" s="2" customFormat="1">
      <c r="A1168" s="1"/>
      <c r="E1168"/>
      <c r="F1168"/>
      <c r="G1168"/>
      <c r="H1168"/>
      <c r="I1168"/>
      <c r="J1168"/>
    </row>
    <row r="1169" spans="1:10" s="2" customFormat="1">
      <c r="A1169" s="1"/>
      <c r="E1169"/>
      <c r="F1169"/>
      <c r="G1169"/>
      <c r="H1169"/>
      <c r="I1169"/>
      <c r="J1169"/>
    </row>
    <row r="1170" spans="1:10" s="2" customFormat="1">
      <c r="A1170" s="1"/>
      <c r="E1170"/>
      <c r="F1170"/>
      <c r="G1170"/>
      <c r="H1170"/>
      <c r="I1170"/>
      <c r="J1170"/>
    </row>
    <row r="1171" spans="1:10" s="2" customFormat="1">
      <c r="A1171" s="1"/>
      <c r="E1171"/>
      <c r="F1171"/>
      <c r="G1171"/>
      <c r="H1171"/>
      <c r="I1171"/>
      <c r="J1171"/>
    </row>
    <row r="1172" spans="1:10" s="2" customFormat="1">
      <c r="A1172" s="1"/>
      <c r="E1172"/>
      <c r="F1172"/>
      <c r="G1172"/>
      <c r="H1172"/>
      <c r="I1172"/>
      <c r="J1172"/>
    </row>
    <row r="1173" spans="1:10" s="2" customFormat="1">
      <c r="A1173" s="1"/>
      <c r="E1173"/>
      <c r="F1173"/>
      <c r="G1173"/>
      <c r="H1173"/>
      <c r="I1173"/>
      <c r="J1173"/>
    </row>
    <row r="1174" spans="1:10" s="2" customFormat="1">
      <c r="A1174" s="1"/>
      <c r="E1174"/>
      <c r="F1174"/>
      <c r="G1174"/>
      <c r="H1174"/>
      <c r="I1174"/>
      <c r="J1174"/>
    </row>
    <row r="1175" spans="1:10" s="2" customFormat="1">
      <c r="A1175" s="1"/>
      <c r="E1175"/>
      <c r="F1175"/>
      <c r="G1175"/>
      <c r="H1175"/>
      <c r="I1175"/>
      <c r="J1175"/>
    </row>
    <row r="1176" spans="1:10" s="2" customFormat="1">
      <c r="A1176" s="1"/>
      <c r="E1176"/>
      <c r="F1176"/>
      <c r="G1176"/>
      <c r="H1176"/>
      <c r="I1176"/>
      <c r="J1176"/>
    </row>
    <row r="1177" spans="1:10" s="2" customFormat="1">
      <c r="A1177" s="1"/>
      <c r="E1177"/>
      <c r="F1177"/>
      <c r="G1177"/>
      <c r="H1177"/>
      <c r="I1177"/>
      <c r="J1177"/>
    </row>
    <row r="1178" spans="1:10" s="2" customFormat="1">
      <c r="A1178" s="1"/>
      <c r="E1178"/>
      <c r="F1178"/>
      <c r="G1178"/>
      <c r="H1178"/>
      <c r="I1178"/>
      <c r="J1178"/>
    </row>
    <row r="1179" spans="1:10" s="2" customFormat="1">
      <c r="A1179" s="1"/>
      <c r="E1179"/>
      <c r="F1179"/>
      <c r="G1179"/>
      <c r="H1179"/>
      <c r="I1179"/>
      <c r="J1179"/>
    </row>
    <row r="1180" spans="1:10" s="2" customFormat="1">
      <c r="A1180" s="1"/>
      <c r="E1180"/>
      <c r="F1180"/>
      <c r="G1180"/>
      <c r="H1180"/>
      <c r="I1180"/>
      <c r="J1180"/>
    </row>
    <row r="1181" spans="1:10" s="2" customFormat="1">
      <c r="A1181" s="1"/>
      <c r="E1181"/>
      <c r="F1181"/>
      <c r="G1181"/>
      <c r="H1181"/>
      <c r="I1181"/>
      <c r="J1181"/>
    </row>
    <row r="1182" spans="1:10" s="2" customFormat="1">
      <c r="A1182" s="1"/>
      <c r="E1182"/>
      <c r="F1182"/>
      <c r="G1182"/>
      <c r="H1182"/>
      <c r="I1182"/>
      <c r="J1182"/>
    </row>
    <row r="1183" spans="1:10" s="2" customFormat="1">
      <c r="A1183" s="1"/>
      <c r="E1183"/>
      <c r="F1183"/>
      <c r="G1183"/>
      <c r="H1183"/>
      <c r="I1183"/>
      <c r="J1183"/>
    </row>
    <row r="1184" spans="1:10" s="2" customFormat="1">
      <c r="A1184" s="1"/>
      <c r="E1184"/>
      <c r="F1184"/>
      <c r="G1184"/>
      <c r="H1184"/>
      <c r="I1184"/>
      <c r="J1184"/>
    </row>
    <row r="1185" spans="1:10" s="2" customFormat="1">
      <c r="A1185" s="1"/>
      <c r="E1185"/>
      <c r="F1185"/>
      <c r="G1185"/>
      <c r="H1185"/>
      <c r="I1185"/>
      <c r="J1185"/>
    </row>
    <row r="1186" spans="1:10" s="2" customFormat="1">
      <c r="A1186" s="1"/>
      <c r="E1186"/>
      <c r="F1186"/>
      <c r="G1186"/>
      <c r="H1186"/>
      <c r="I1186"/>
      <c r="J1186"/>
    </row>
    <row r="1187" spans="1:10" s="2" customFormat="1">
      <c r="A1187" s="1"/>
      <c r="E1187"/>
      <c r="F1187"/>
      <c r="G1187"/>
      <c r="H1187"/>
      <c r="I1187"/>
      <c r="J1187"/>
    </row>
    <row r="1188" spans="1:10" s="2" customFormat="1">
      <c r="A1188" s="1"/>
      <c r="E1188"/>
      <c r="F1188"/>
      <c r="G1188"/>
      <c r="H1188"/>
      <c r="I1188"/>
      <c r="J1188"/>
    </row>
    <row r="1189" spans="1:10" s="2" customFormat="1">
      <c r="A1189" s="1"/>
      <c r="E1189"/>
      <c r="F1189"/>
      <c r="G1189"/>
      <c r="H1189"/>
      <c r="I1189"/>
      <c r="J1189"/>
    </row>
    <row r="1190" spans="1:10" s="2" customFormat="1">
      <c r="A1190" s="1"/>
      <c r="E1190"/>
      <c r="F1190"/>
      <c r="G1190"/>
      <c r="H1190"/>
      <c r="I1190"/>
      <c r="J1190"/>
    </row>
    <row r="1191" spans="1:10" s="2" customFormat="1">
      <c r="A1191" s="1"/>
      <c r="E1191"/>
      <c r="F1191"/>
      <c r="G1191"/>
      <c r="H1191"/>
      <c r="I1191"/>
      <c r="J1191"/>
    </row>
    <row r="1192" spans="1:10" s="2" customFormat="1">
      <c r="A1192" s="1"/>
      <c r="E1192"/>
      <c r="F1192"/>
      <c r="G1192"/>
      <c r="H1192"/>
      <c r="I1192"/>
      <c r="J1192"/>
    </row>
    <row r="1193" spans="1:10" s="2" customFormat="1">
      <c r="A1193" s="1"/>
      <c r="E1193"/>
      <c r="F1193"/>
      <c r="G1193"/>
      <c r="H1193"/>
      <c r="I1193"/>
      <c r="J1193"/>
    </row>
    <row r="1194" spans="1:10" s="2" customFormat="1">
      <c r="A1194" s="1"/>
      <c r="E1194"/>
      <c r="F1194"/>
      <c r="G1194"/>
      <c r="H1194"/>
      <c r="I1194"/>
      <c r="J1194"/>
    </row>
    <row r="1195" spans="1:10" s="2" customFormat="1">
      <c r="A1195" s="1"/>
      <c r="E1195"/>
      <c r="F1195"/>
      <c r="G1195"/>
      <c r="H1195"/>
      <c r="I1195"/>
      <c r="J1195"/>
    </row>
    <row r="1196" spans="1:10" s="2" customFormat="1">
      <c r="A1196" s="1"/>
      <c r="E1196"/>
      <c r="F1196"/>
      <c r="G1196"/>
      <c r="H1196"/>
      <c r="I1196"/>
      <c r="J1196"/>
    </row>
    <row r="1197" spans="1:10" s="2" customFormat="1">
      <c r="A1197" s="1"/>
      <c r="E1197"/>
      <c r="F1197"/>
      <c r="G1197"/>
      <c r="H1197"/>
      <c r="I1197"/>
      <c r="J1197"/>
    </row>
    <row r="1198" spans="1:10" s="2" customFormat="1">
      <c r="A1198" s="1"/>
      <c r="E1198"/>
      <c r="F1198"/>
      <c r="G1198"/>
      <c r="H1198"/>
      <c r="I1198"/>
      <c r="J1198"/>
    </row>
    <row r="1199" spans="1:10" s="2" customFormat="1">
      <c r="A1199" s="1"/>
      <c r="E1199"/>
      <c r="F1199"/>
      <c r="G1199"/>
      <c r="H1199"/>
      <c r="I1199"/>
      <c r="J1199"/>
    </row>
    <row r="1200" spans="1:10" s="2" customFormat="1">
      <c r="A1200" s="1"/>
      <c r="E1200"/>
      <c r="F1200"/>
      <c r="G1200"/>
      <c r="H1200"/>
      <c r="I1200"/>
      <c r="J1200"/>
    </row>
    <row r="1201" spans="1:10" s="2" customFormat="1">
      <c r="A1201" s="1"/>
      <c r="E1201"/>
      <c r="F1201"/>
      <c r="G1201"/>
      <c r="H1201"/>
      <c r="I1201"/>
      <c r="J1201"/>
    </row>
    <row r="1202" spans="1:10" s="2" customFormat="1">
      <c r="A1202" s="1"/>
      <c r="E1202"/>
      <c r="F1202"/>
      <c r="G1202"/>
      <c r="H1202"/>
      <c r="I1202"/>
      <c r="J1202"/>
    </row>
    <row r="1203" spans="1:10" s="2" customFormat="1">
      <c r="A1203" s="1"/>
      <c r="E1203"/>
      <c r="F1203"/>
      <c r="G1203"/>
      <c r="H1203"/>
      <c r="I1203"/>
      <c r="J1203"/>
    </row>
    <row r="1204" spans="1:10" s="2" customFormat="1">
      <c r="A1204" s="1"/>
      <c r="E1204"/>
      <c r="F1204"/>
      <c r="G1204"/>
      <c r="H1204"/>
      <c r="I1204"/>
      <c r="J1204"/>
    </row>
    <row r="1205" spans="1:10" s="2" customFormat="1">
      <c r="A1205" s="1"/>
      <c r="E1205"/>
      <c r="F1205"/>
      <c r="G1205"/>
      <c r="H1205"/>
      <c r="I1205"/>
      <c r="J1205"/>
    </row>
    <row r="1206" spans="1:10" s="2" customFormat="1">
      <c r="A1206" s="1"/>
      <c r="E1206"/>
      <c r="F1206"/>
      <c r="G1206"/>
      <c r="H1206"/>
      <c r="I1206"/>
      <c r="J1206"/>
    </row>
    <row r="1207" spans="1:10" s="2" customFormat="1">
      <c r="A1207" s="1"/>
      <c r="E1207"/>
      <c r="F1207"/>
      <c r="G1207"/>
      <c r="H1207"/>
      <c r="I1207"/>
      <c r="J1207"/>
    </row>
    <row r="1208" spans="1:10" s="2" customFormat="1">
      <c r="A1208" s="1"/>
      <c r="E1208"/>
      <c r="F1208"/>
      <c r="G1208"/>
      <c r="H1208"/>
      <c r="I1208"/>
      <c r="J1208"/>
    </row>
    <row r="1209" spans="1:10" s="2" customFormat="1">
      <c r="A1209" s="1"/>
      <c r="E1209"/>
      <c r="F1209"/>
      <c r="G1209"/>
      <c r="H1209"/>
      <c r="I1209"/>
      <c r="J1209"/>
    </row>
    <row r="1210" spans="1:10" s="2" customFormat="1">
      <c r="A1210" s="1"/>
      <c r="E1210"/>
      <c r="F1210"/>
      <c r="G1210"/>
      <c r="H1210"/>
      <c r="I1210"/>
      <c r="J1210"/>
    </row>
    <row r="1211" spans="1:10" s="2" customFormat="1">
      <c r="A1211" s="1"/>
      <c r="E1211"/>
      <c r="F1211"/>
      <c r="G1211"/>
      <c r="H1211"/>
      <c r="I1211"/>
      <c r="J1211"/>
    </row>
    <row r="1212" spans="1:10" s="2" customFormat="1">
      <c r="A1212" s="1"/>
      <c r="E1212"/>
      <c r="F1212"/>
      <c r="G1212"/>
      <c r="H1212"/>
      <c r="I1212"/>
      <c r="J1212"/>
    </row>
    <row r="1213" spans="1:10" s="2" customFormat="1">
      <c r="A1213" s="1"/>
      <c r="E1213"/>
      <c r="F1213"/>
      <c r="G1213"/>
      <c r="H1213"/>
      <c r="I1213"/>
      <c r="J1213"/>
    </row>
    <row r="1214" spans="1:10" s="2" customFormat="1">
      <c r="A1214" s="1"/>
      <c r="E1214"/>
      <c r="F1214"/>
      <c r="G1214"/>
      <c r="H1214"/>
      <c r="I1214"/>
      <c r="J1214"/>
    </row>
    <row r="1215" spans="1:10" s="2" customFormat="1">
      <c r="A1215" s="1"/>
      <c r="E1215"/>
      <c r="F1215"/>
      <c r="G1215"/>
      <c r="H1215"/>
      <c r="I1215"/>
      <c r="J1215"/>
    </row>
    <row r="1216" spans="1:10" s="2" customFormat="1">
      <c r="A1216" s="1"/>
      <c r="E1216"/>
      <c r="F1216"/>
      <c r="G1216"/>
      <c r="H1216"/>
      <c r="I1216"/>
      <c r="J1216"/>
    </row>
    <row r="1217" spans="1:10" s="2" customFormat="1">
      <c r="A1217" s="1"/>
      <c r="E1217"/>
      <c r="F1217"/>
      <c r="G1217"/>
      <c r="H1217"/>
      <c r="I1217"/>
      <c r="J1217"/>
    </row>
    <row r="1218" spans="1:10" s="2" customFormat="1">
      <c r="A1218" s="1"/>
      <c r="E1218"/>
      <c r="F1218"/>
      <c r="G1218"/>
      <c r="H1218"/>
      <c r="I1218"/>
      <c r="J1218"/>
    </row>
    <row r="1219" spans="1:10" s="2" customFormat="1">
      <c r="A1219" s="1"/>
      <c r="E1219"/>
      <c r="F1219"/>
      <c r="G1219"/>
      <c r="H1219"/>
      <c r="I1219"/>
      <c r="J1219"/>
    </row>
    <row r="1220" spans="1:10" s="2" customFormat="1">
      <c r="A1220" s="1"/>
      <c r="E1220"/>
      <c r="F1220"/>
      <c r="G1220"/>
      <c r="H1220"/>
      <c r="I1220"/>
      <c r="J1220"/>
    </row>
    <row r="1221" spans="1:10" s="2" customFormat="1">
      <c r="A1221" s="1"/>
      <c r="E1221"/>
      <c r="F1221"/>
      <c r="G1221"/>
      <c r="H1221"/>
      <c r="I1221"/>
      <c r="J1221"/>
    </row>
    <row r="1222" spans="1:10" s="2" customFormat="1">
      <c r="A1222" s="1"/>
      <c r="E1222"/>
      <c r="F1222"/>
      <c r="G1222"/>
      <c r="H1222"/>
      <c r="I1222"/>
      <c r="J1222"/>
    </row>
    <row r="1223" spans="1:10" s="2" customFormat="1">
      <c r="A1223" s="1"/>
      <c r="E1223"/>
      <c r="F1223"/>
      <c r="G1223"/>
      <c r="H1223"/>
      <c r="I1223"/>
      <c r="J1223"/>
    </row>
    <row r="1224" spans="1:10" s="2" customFormat="1">
      <c r="A1224" s="1"/>
      <c r="E1224"/>
      <c r="F1224"/>
      <c r="G1224"/>
      <c r="H1224"/>
      <c r="I1224"/>
      <c r="J1224"/>
    </row>
    <row r="1225" spans="1:10" s="2" customFormat="1">
      <c r="A1225" s="1"/>
      <c r="E1225"/>
      <c r="F1225"/>
      <c r="G1225"/>
      <c r="H1225"/>
      <c r="I1225"/>
      <c r="J1225"/>
    </row>
    <row r="1226" spans="1:10" s="2" customFormat="1">
      <c r="A1226" s="1"/>
      <c r="E1226"/>
      <c r="F1226"/>
      <c r="G1226"/>
      <c r="H1226"/>
      <c r="I1226"/>
      <c r="J1226"/>
    </row>
    <row r="1227" spans="1:10" s="2" customFormat="1">
      <c r="A1227" s="1"/>
      <c r="E1227"/>
      <c r="F1227"/>
      <c r="G1227"/>
      <c r="H1227"/>
      <c r="I1227"/>
      <c r="J1227"/>
    </row>
    <row r="1228" spans="1:10" s="2" customFormat="1">
      <c r="A1228" s="1"/>
      <c r="E1228"/>
      <c r="F1228"/>
      <c r="G1228"/>
      <c r="H1228"/>
      <c r="I1228"/>
      <c r="J1228"/>
    </row>
    <row r="1229" spans="1:10" s="2" customFormat="1">
      <c r="A1229" s="1"/>
      <c r="E1229"/>
      <c r="F1229"/>
      <c r="G1229"/>
      <c r="H1229"/>
      <c r="I1229"/>
      <c r="J1229"/>
    </row>
    <row r="1230" spans="1:10" s="2" customFormat="1">
      <c r="A1230" s="1"/>
      <c r="E1230"/>
      <c r="F1230"/>
      <c r="G1230"/>
      <c r="H1230"/>
      <c r="I1230"/>
      <c r="J1230"/>
    </row>
    <row r="1231" spans="1:10" s="2" customFormat="1">
      <c r="A1231" s="1"/>
      <c r="E1231"/>
      <c r="F1231"/>
      <c r="G1231"/>
      <c r="H1231"/>
      <c r="I1231"/>
      <c r="J1231"/>
    </row>
    <row r="1232" spans="1:10" s="2" customFormat="1">
      <c r="A1232" s="1"/>
      <c r="E1232"/>
      <c r="F1232"/>
      <c r="G1232"/>
      <c r="H1232"/>
      <c r="I1232"/>
      <c r="J1232"/>
    </row>
    <row r="1233" spans="1:10" s="2" customFormat="1">
      <c r="A1233" s="1"/>
      <c r="E1233"/>
      <c r="F1233"/>
      <c r="G1233"/>
      <c r="H1233"/>
      <c r="I1233"/>
      <c r="J1233"/>
    </row>
    <row r="1234" spans="1:10" s="2" customFormat="1">
      <c r="A1234" s="1"/>
      <c r="E1234"/>
      <c r="F1234"/>
      <c r="G1234"/>
      <c r="H1234"/>
      <c r="I1234"/>
      <c r="J1234"/>
    </row>
    <row r="1235" spans="1:10" s="2" customFormat="1">
      <c r="A1235" s="1"/>
      <c r="E1235"/>
      <c r="F1235"/>
      <c r="G1235"/>
      <c r="H1235"/>
      <c r="I1235"/>
      <c r="J1235"/>
    </row>
    <row r="1236" spans="1:10" s="2" customFormat="1">
      <c r="A1236" s="1"/>
      <c r="E1236"/>
      <c r="F1236"/>
      <c r="G1236"/>
      <c r="H1236"/>
      <c r="I1236"/>
      <c r="J1236"/>
    </row>
    <row r="1237" spans="1:10" s="2" customFormat="1">
      <c r="A1237" s="1"/>
      <c r="E1237"/>
      <c r="F1237"/>
      <c r="G1237"/>
      <c r="H1237"/>
      <c r="I1237"/>
      <c r="J1237"/>
    </row>
    <row r="1238" spans="1:10" s="2" customFormat="1">
      <c r="A1238" s="1"/>
      <c r="E1238"/>
      <c r="F1238"/>
      <c r="G1238"/>
      <c r="H1238"/>
      <c r="I1238"/>
      <c r="J1238"/>
    </row>
    <row r="1239" spans="1:10" s="2" customFormat="1">
      <c r="A1239" s="1"/>
      <c r="E1239"/>
      <c r="F1239"/>
      <c r="G1239"/>
      <c r="H1239"/>
      <c r="I1239"/>
      <c r="J1239"/>
    </row>
    <row r="1240" spans="1:10" s="2" customFormat="1">
      <c r="A1240" s="1"/>
      <c r="E1240"/>
      <c r="F1240"/>
      <c r="G1240"/>
      <c r="H1240"/>
      <c r="I1240"/>
      <c r="J1240"/>
    </row>
    <row r="1241" spans="1:10" s="2" customFormat="1">
      <c r="A1241" s="1"/>
      <c r="E1241"/>
      <c r="F1241"/>
      <c r="G1241"/>
      <c r="H1241"/>
      <c r="I1241"/>
      <c r="J1241"/>
    </row>
    <row r="1242" spans="1:10" s="2" customFormat="1">
      <c r="A1242" s="1"/>
      <c r="E1242"/>
      <c r="F1242"/>
      <c r="G1242"/>
      <c r="H1242"/>
      <c r="I1242"/>
      <c r="J1242"/>
    </row>
    <row r="1243" spans="1:10" s="2" customFormat="1">
      <c r="A1243" s="1"/>
      <c r="E1243"/>
      <c r="F1243"/>
      <c r="G1243"/>
      <c r="H1243"/>
      <c r="I1243"/>
      <c r="J1243"/>
    </row>
    <row r="1244" spans="1:10" s="2" customFormat="1">
      <c r="A1244" s="1"/>
      <c r="E1244"/>
      <c r="F1244"/>
      <c r="G1244"/>
      <c r="H1244"/>
      <c r="I1244"/>
      <c r="J1244"/>
    </row>
    <row r="1245" spans="1:10" s="2" customFormat="1">
      <c r="A1245" s="1"/>
      <c r="E1245"/>
      <c r="F1245"/>
      <c r="G1245"/>
      <c r="H1245"/>
      <c r="I1245"/>
      <c r="J1245"/>
    </row>
    <row r="1246" spans="1:10" s="2" customFormat="1">
      <c r="A1246" s="1"/>
      <c r="E1246"/>
      <c r="F1246"/>
      <c r="G1246"/>
      <c r="H1246"/>
      <c r="I1246"/>
      <c r="J1246"/>
    </row>
    <row r="1247" spans="1:10" s="2" customFormat="1">
      <c r="A1247" s="1"/>
      <c r="E1247"/>
      <c r="F1247"/>
      <c r="G1247"/>
      <c r="H1247"/>
      <c r="I1247"/>
      <c r="J1247"/>
    </row>
    <row r="1248" spans="1:10" s="2" customFormat="1">
      <c r="A1248" s="1"/>
      <c r="E1248"/>
      <c r="F1248"/>
      <c r="G1248"/>
      <c r="H1248"/>
      <c r="I1248"/>
      <c r="J1248"/>
    </row>
    <row r="1249" spans="1:10" s="2" customFormat="1">
      <c r="A1249" s="1"/>
      <c r="E1249"/>
      <c r="F1249"/>
      <c r="G1249"/>
      <c r="H1249"/>
      <c r="I1249"/>
      <c r="J1249"/>
    </row>
    <row r="1250" spans="1:10" s="2" customFormat="1">
      <c r="A1250" s="1"/>
      <c r="E1250"/>
      <c r="F1250"/>
      <c r="G1250"/>
      <c r="H1250"/>
      <c r="I1250"/>
      <c r="J1250"/>
    </row>
    <row r="1251" spans="1:10" s="2" customFormat="1">
      <c r="A1251" s="1"/>
      <c r="E1251"/>
      <c r="F1251"/>
      <c r="G1251"/>
      <c r="H1251"/>
      <c r="I1251"/>
      <c r="J1251"/>
    </row>
    <row r="1252" spans="1:10" s="2" customFormat="1">
      <c r="A1252" s="1"/>
      <c r="E1252"/>
      <c r="F1252"/>
      <c r="G1252"/>
      <c r="H1252"/>
      <c r="I1252"/>
      <c r="J1252"/>
    </row>
    <row r="1253" spans="1:10" s="2" customFormat="1">
      <c r="A1253" s="1"/>
      <c r="E1253"/>
      <c r="F1253"/>
      <c r="G1253"/>
      <c r="H1253"/>
      <c r="I1253"/>
      <c r="J1253"/>
    </row>
    <row r="1254" spans="1:10" s="2" customFormat="1">
      <c r="A1254" s="1"/>
      <c r="E1254"/>
      <c r="F1254"/>
      <c r="G1254"/>
      <c r="H1254"/>
      <c r="I1254"/>
      <c r="J1254"/>
    </row>
    <row r="1255" spans="1:10" s="2" customFormat="1">
      <c r="A1255" s="1"/>
      <c r="E1255"/>
      <c r="F1255"/>
      <c r="G1255"/>
      <c r="H1255"/>
      <c r="I1255"/>
      <c r="J1255"/>
    </row>
    <row r="1256" spans="1:10" s="2" customFormat="1">
      <c r="A1256" s="1"/>
      <c r="E1256"/>
      <c r="F1256"/>
      <c r="G1256"/>
      <c r="H1256"/>
      <c r="I1256"/>
      <c r="J1256"/>
    </row>
    <row r="1257" spans="1:10" s="2" customFormat="1">
      <c r="A1257" s="1"/>
      <c r="E1257"/>
      <c r="F1257"/>
      <c r="G1257"/>
      <c r="H1257"/>
      <c r="I1257"/>
      <c r="J1257"/>
    </row>
    <row r="1258" spans="1:10" s="2" customFormat="1">
      <c r="A1258" s="1"/>
      <c r="E1258"/>
      <c r="F1258"/>
      <c r="G1258"/>
      <c r="H1258"/>
      <c r="I1258"/>
      <c r="J1258"/>
    </row>
    <row r="1259" spans="1:10" s="2" customFormat="1">
      <c r="A1259" s="1"/>
      <c r="E1259"/>
      <c r="F1259"/>
      <c r="G1259"/>
      <c r="H1259"/>
      <c r="I1259"/>
      <c r="J1259"/>
    </row>
    <row r="1260" spans="1:10" s="2" customFormat="1">
      <c r="A1260" s="1"/>
      <c r="E1260"/>
      <c r="F1260"/>
      <c r="G1260"/>
      <c r="H1260"/>
      <c r="I1260"/>
      <c r="J1260"/>
    </row>
    <row r="1261" spans="1:10" s="2" customFormat="1">
      <c r="A1261" s="1"/>
      <c r="E1261"/>
      <c r="F1261"/>
      <c r="G1261"/>
      <c r="H1261"/>
      <c r="I1261"/>
      <c r="J1261"/>
    </row>
    <row r="1262" spans="1:10" s="2" customFormat="1">
      <c r="A1262" s="1"/>
      <c r="E1262"/>
      <c r="F1262"/>
      <c r="G1262"/>
      <c r="H1262"/>
      <c r="I1262"/>
      <c r="J1262"/>
    </row>
    <row r="1263" spans="1:10" s="2" customFormat="1">
      <c r="A1263" s="1"/>
      <c r="E1263"/>
      <c r="F1263"/>
      <c r="G1263"/>
      <c r="H1263"/>
      <c r="I1263"/>
      <c r="J1263"/>
    </row>
    <row r="1264" spans="1:10" s="2" customFormat="1">
      <c r="A1264" s="1"/>
      <c r="E1264"/>
      <c r="F1264"/>
      <c r="G1264"/>
      <c r="H1264"/>
      <c r="I1264"/>
      <c r="J1264"/>
    </row>
    <row r="1265" spans="1:10" s="2" customFormat="1">
      <c r="A1265" s="1"/>
      <c r="E1265"/>
      <c r="F1265"/>
      <c r="G1265"/>
      <c r="H1265"/>
      <c r="I1265"/>
      <c r="J1265"/>
    </row>
    <row r="1266" spans="1:10" s="2" customFormat="1">
      <c r="A1266" s="1"/>
      <c r="E1266"/>
      <c r="F1266"/>
      <c r="G1266"/>
      <c r="H1266"/>
      <c r="I1266"/>
      <c r="J1266"/>
    </row>
    <row r="1267" spans="1:10" s="2" customFormat="1">
      <c r="A1267" s="1"/>
      <c r="E1267"/>
      <c r="F1267"/>
      <c r="G1267"/>
      <c r="H1267"/>
      <c r="I1267"/>
      <c r="J1267"/>
    </row>
    <row r="1268" spans="1:10" s="2" customFormat="1">
      <c r="A1268" s="1"/>
      <c r="E1268"/>
      <c r="F1268"/>
      <c r="G1268"/>
      <c r="H1268"/>
      <c r="I1268"/>
      <c r="J1268"/>
    </row>
    <row r="1269" spans="1:10" s="2" customFormat="1">
      <c r="A1269" s="1"/>
      <c r="E1269"/>
      <c r="F1269"/>
      <c r="G1269"/>
      <c r="H1269"/>
      <c r="I1269"/>
      <c r="J1269"/>
    </row>
    <row r="1270" spans="1:10" s="2" customFormat="1">
      <c r="A1270" s="1"/>
      <c r="E1270"/>
      <c r="F1270"/>
      <c r="G1270"/>
      <c r="H1270"/>
      <c r="I1270"/>
      <c r="J1270"/>
    </row>
    <row r="1271" spans="1:10" s="2" customFormat="1">
      <c r="A1271" s="1"/>
      <c r="E1271"/>
      <c r="F1271"/>
      <c r="G1271"/>
      <c r="H1271"/>
      <c r="I1271"/>
      <c r="J1271"/>
    </row>
    <row r="1272" spans="1:10" s="2" customFormat="1">
      <c r="A1272" s="1"/>
      <c r="E1272"/>
      <c r="F1272"/>
      <c r="G1272"/>
      <c r="H1272"/>
      <c r="I1272"/>
      <c r="J1272"/>
    </row>
    <row r="1273" spans="1:10" s="2" customFormat="1">
      <c r="A1273" s="1"/>
      <c r="E1273"/>
      <c r="F1273"/>
      <c r="G1273"/>
      <c r="H1273"/>
      <c r="I1273"/>
      <c r="J1273"/>
    </row>
    <row r="1274" spans="1:10" s="2" customFormat="1">
      <c r="A1274" s="1"/>
      <c r="E1274"/>
      <c r="F1274"/>
      <c r="G1274"/>
      <c r="H1274"/>
      <c r="I1274"/>
      <c r="J1274"/>
    </row>
    <row r="1275" spans="1:10" s="2" customFormat="1">
      <c r="A1275" s="1"/>
      <c r="E1275"/>
      <c r="F1275"/>
      <c r="G1275"/>
      <c r="H1275"/>
      <c r="I1275"/>
      <c r="J1275"/>
    </row>
    <row r="1276" spans="1:10" s="2" customFormat="1">
      <c r="A1276" s="1"/>
      <c r="E1276"/>
      <c r="F1276"/>
      <c r="G1276"/>
      <c r="H1276"/>
      <c r="I1276"/>
      <c r="J1276"/>
    </row>
    <row r="1277" spans="1:10" s="2" customFormat="1">
      <c r="A1277" s="1"/>
      <c r="E1277"/>
      <c r="F1277"/>
      <c r="G1277"/>
      <c r="H1277"/>
      <c r="I1277"/>
      <c r="J1277"/>
    </row>
    <row r="1278" spans="1:10" s="2" customFormat="1">
      <c r="A1278" s="1"/>
      <c r="E1278"/>
      <c r="F1278"/>
      <c r="G1278"/>
      <c r="H1278"/>
      <c r="I1278"/>
      <c r="J1278"/>
    </row>
    <row r="1279" spans="1:10" s="2" customFormat="1">
      <c r="A1279" s="1"/>
      <c r="E1279"/>
      <c r="F1279"/>
      <c r="G1279"/>
      <c r="H1279"/>
      <c r="I1279"/>
      <c r="J1279"/>
    </row>
    <row r="1280" spans="1:10" s="2" customFormat="1">
      <c r="A1280" s="1"/>
      <c r="E1280"/>
      <c r="F1280"/>
      <c r="G1280"/>
      <c r="H1280"/>
      <c r="I1280"/>
      <c r="J1280"/>
    </row>
    <row r="1281" spans="1:10" s="2" customFormat="1">
      <c r="A1281" s="1"/>
      <c r="E1281"/>
      <c r="F1281"/>
      <c r="G1281"/>
      <c r="H1281"/>
      <c r="I1281"/>
      <c r="J1281"/>
    </row>
    <row r="1282" spans="1:10" s="2" customFormat="1">
      <c r="A1282" s="1"/>
      <c r="E1282"/>
      <c r="F1282"/>
      <c r="G1282"/>
      <c r="H1282"/>
      <c r="I1282"/>
      <c r="J1282"/>
    </row>
    <row r="1283" spans="1:10" s="2" customFormat="1">
      <c r="A1283" s="1"/>
      <c r="E1283"/>
      <c r="F1283"/>
      <c r="G1283"/>
      <c r="H1283"/>
      <c r="I1283"/>
      <c r="J1283"/>
    </row>
    <row r="1284" spans="1:10" s="2" customFormat="1">
      <c r="A1284" s="1"/>
      <c r="E1284"/>
      <c r="F1284"/>
      <c r="G1284"/>
      <c r="H1284"/>
      <c r="I1284"/>
      <c r="J1284"/>
    </row>
    <row r="1285" spans="1:10" s="2" customFormat="1">
      <c r="A1285" s="1"/>
      <c r="E1285"/>
      <c r="F1285"/>
      <c r="G1285"/>
      <c r="H1285"/>
      <c r="I1285"/>
      <c r="J1285"/>
    </row>
    <row r="1286" spans="1:10" s="2" customFormat="1">
      <c r="A1286" s="1"/>
      <c r="E1286"/>
      <c r="F1286"/>
      <c r="G1286"/>
      <c r="H1286"/>
      <c r="I1286"/>
      <c r="J1286"/>
    </row>
    <row r="1287" spans="1:10" s="2" customFormat="1">
      <c r="A1287" s="1"/>
      <c r="E1287"/>
      <c r="F1287"/>
      <c r="G1287"/>
      <c r="H1287"/>
      <c r="I1287"/>
      <c r="J1287"/>
    </row>
    <row r="1288" spans="1:10" s="2" customFormat="1">
      <c r="A1288" s="1"/>
      <c r="E1288"/>
      <c r="F1288"/>
      <c r="G1288"/>
      <c r="H1288"/>
      <c r="I1288"/>
      <c r="J1288"/>
    </row>
    <row r="1289" spans="1:10" s="2" customFormat="1">
      <c r="A1289" s="1"/>
      <c r="E1289"/>
      <c r="F1289"/>
      <c r="G1289"/>
      <c r="H1289"/>
      <c r="I1289"/>
      <c r="J1289"/>
    </row>
    <row r="1290" spans="1:10" s="2" customFormat="1">
      <c r="A1290" s="1"/>
      <c r="E1290"/>
      <c r="F1290"/>
      <c r="G1290"/>
      <c r="H1290"/>
      <c r="I1290"/>
      <c r="J1290"/>
    </row>
    <row r="1291" spans="1:10" s="2" customFormat="1">
      <c r="A1291" s="1"/>
      <c r="E1291"/>
      <c r="F1291"/>
      <c r="G1291"/>
      <c r="H1291"/>
      <c r="I1291"/>
      <c r="J1291"/>
    </row>
    <row r="1292" spans="1:10" s="2" customFormat="1">
      <c r="A1292" s="1"/>
      <c r="E1292"/>
      <c r="F1292"/>
      <c r="G1292"/>
      <c r="H1292"/>
      <c r="I1292"/>
      <c r="J1292"/>
    </row>
    <row r="1293" spans="1:10" s="2" customFormat="1">
      <c r="A1293" s="1"/>
      <c r="E1293"/>
      <c r="F1293"/>
      <c r="G1293"/>
      <c r="H1293"/>
      <c r="I1293"/>
      <c r="J1293"/>
    </row>
    <row r="1294" spans="1:10" s="2" customFormat="1">
      <c r="A1294" s="1"/>
      <c r="E1294"/>
      <c r="F1294"/>
      <c r="G1294"/>
      <c r="H1294"/>
      <c r="I1294"/>
      <c r="J1294"/>
    </row>
    <row r="1295" spans="1:10" s="2" customFormat="1">
      <c r="A1295" s="1"/>
      <c r="E1295"/>
      <c r="F1295"/>
      <c r="G1295"/>
      <c r="H1295"/>
      <c r="I1295"/>
      <c r="J1295"/>
    </row>
    <row r="1296" spans="1:10" s="2" customFormat="1">
      <c r="A1296" s="1"/>
      <c r="E1296"/>
      <c r="F1296"/>
      <c r="G1296"/>
      <c r="H1296"/>
      <c r="I1296"/>
      <c r="J1296"/>
    </row>
    <row r="1297" spans="1:10" s="2" customFormat="1">
      <c r="A1297" s="1"/>
      <c r="E1297"/>
      <c r="F1297"/>
      <c r="G1297"/>
      <c r="H1297"/>
      <c r="I1297"/>
      <c r="J1297"/>
    </row>
    <row r="1298" spans="1:10" s="2" customFormat="1">
      <c r="A1298" s="1"/>
      <c r="E1298"/>
      <c r="F1298"/>
      <c r="G1298"/>
      <c r="H1298"/>
      <c r="I1298"/>
      <c r="J1298"/>
    </row>
    <row r="1299" spans="1:10" s="2" customFormat="1">
      <c r="A1299" s="1"/>
      <c r="E1299"/>
      <c r="F1299"/>
      <c r="G1299"/>
      <c r="H1299"/>
      <c r="I1299"/>
      <c r="J1299"/>
    </row>
    <row r="1300" spans="1:10" s="2" customFormat="1">
      <c r="A1300" s="1"/>
      <c r="E1300"/>
      <c r="F1300"/>
      <c r="G1300"/>
      <c r="H1300"/>
      <c r="I1300"/>
      <c r="J1300"/>
    </row>
    <row r="1301" spans="1:10" s="2" customFormat="1">
      <c r="A1301" s="1"/>
      <c r="E1301"/>
      <c r="F1301"/>
      <c r="G1301"/>
      <c r="H1301"/>
      <c r="I1301"/>
      <c r="J1301"/>
    </row>
    <row r="1302" spans="1:10" s="2" customFormat="1">
      <c r="A1302" s="1"/>
      <c r="E1302"/>
      <c r="F1302"/>
      <c r="G1302"/>
      <c r="H1302"/>
      <c r="I1302"/>
      <c r="J1302"/>
    </row>
    <row r="1303" spans="1:10" s="2" customFormat="1">
      <c r="A1303" s="1"/>
      <c r="E1303"/>
      <c r="F1303"/>
      <c r="G1303"/>
      <c r="H1303"/>
      <c r="I1303"/>
      <c r="J1303"/>
    </row>
    <row r="1304" spans="1:10" s="2" customFormat="1">
      <c r="A1304" s="1"/>
      <c r="E1304"/>
      <c r="F1304"/>
      <c r="G1304"/>
      <c r="H1304"/>
      <c r="I1304"/>
      <c r="J1304"/>
    </row>
    <row r="1305" spans="1:10" s="2" customFormat="1">
      <c r="A1305" s="1"/>
      <c r="E1305"/>
      <c r="F1305"/>
      <c r="G1305"/>
      <c r="H1305"/>
      <c r="I1305"/>
      <c r="J1305"/>
    </row>
    <row r="1306" spans="1:10" s="2" customFormat="1">
      <c r="A1306" s="1"/>
      <c r="E1306"/>
      <c r="F1306"/>
      <c r="G1306"/>
      <c r="H1306"/>
      <c r="I1306"/>
      <c r="J1306"/>
    </row>
    <row r="1307" spans="1:10" s="2" customFormat="1">
      <c r="A1307" s="1"/>
      <c r="E1307"/>
      <c r="F1307"/>
      <c r="G1307"/>
      <c r="H1307"/>
      <c r="I1307"/>
      <c r="J1307"/>
    </row>
    <row r="1308" spans="1:10" s="2" customFormat="1">
      <c r="A1308" s="1"/>
      <c r="E1308"/>
      <c r="F1308"/>
      <c r="G1308"/>
      <c r="H1308"/>
      <c r="I1308"/>
      <c r="J1308"/>
    </row>
    <row r="1309" spans="1:10" s="2" customFormat="1">
      <c r="A1309" s="1"/>
      <c r="E1309"/>
      <c r="F1309"/>
      <c r="G1309"/>
      <c r="H1309"/>
      <c r="I1309"/>
      <c r="J1309"/>
    </row>
    <row r="1310" spans="1:10" s="2" customFormat="1">
      <c r="A1310" s="1"/>
      <c r="E1310"/>
      <c r="F1310"/>
      <c r="G1310"/>
      <c r="H1310"/>
      <c r="I1310"/>
      <c r="J1310"/>
    </row>
    <row r="1311" spans="1:10" s="2" customFormat="1">
      <c r="A1311" s="1"/>
      <c r="E1311"/>
      <c r="F1311"/>
      <c r="G1311"/>
      <c r="H1311"/>
      <c r="I1311"/>
      <c r="J1311"/>
    </row>
    <row r="1312" spans="1:10" s="2" customFormat="1">
      <c r="A1312" s="1"/>
      <c r="E1312"/>
      <c r="F1312"/>
      <c r="G1312"/>
      <c r="H1312"/>
      <c r="I1312"/>
      <c r="J1312"/>
    </row>
    <row r="1313" spans="1:10" s="2" customFormat="1">
      <c r="A1313" s="1"/>
      <c r="E1313"/>
      <c r="F1313"/>
      <c r="G1313"/>
      <c r="H1313"/>
      <c r="I1313"/>
      <c r="J1313"/>
    </row>
    <row r="1314" spans="1:10" s="2" customFormat="1">
      <c r="A1314" s="1"/>
      <c r="E1314"/>
      <c r="F1314"/>
      <c r="G1314"/>
      <c r="H1314"/>
      <c r="I1314"/>
      <c r="J1314"/>
    </row>
    <row r="1315" spans="1:10" s="2" customFormat="1">
      <c r="A1315" s="1"/>
      <c r="E1315"/>
      <c r="F1315"/>
      <c r="G1315"/>
      <c r="H1315"/>
      <c r="I1315"/>
      <c r="J1315"/>
    </row>
    <row r="1316" spans="1:10" s="2" customFormat="1">
      <c r="A1316" s="1"/>
      <c r="E1316"/>
      <c r="F1316"/>
      <c r="G1316"/>
      <c r="H1316"/>
      <c r="I1316"/>
      <c r="J1316"/>
    </row>
    <row r="1317" spans="1:10" s="2" customFormat="1">
      <c r="A1317" s="1"/>
      <c r="E1317"/>
      <c r="F1317"/>
      <c r="G1317"/>
      <c r="H1317"/>
      <c r="I1317"/>
      <c r="J1317"/>
    </row>
    <row r="1318" spans="1:10" s="2" customFormat="1">
      <c r="A1318" s="1"/>
      <c r="E1318"/>
      <c r="F1318"/>
      <c r="G1318"/>
      <c r="H1318"/>
      <c r="I1318"/>
      <c r="J1318"/>
    </row>
    <row r="1319" spans="1:10" s="2" customFormat="1">
      <c r="A1319" s="1"/>
      <c r="E1319"/>
      <c r="F1319"/>
      <c r="G1319"/>
      <c r="H1319"/>
      <c r="I1319"/>
      <c r="J1319"/>
    </row>
    <row r="1320" spans="1:10" s="2" customFormat="1">
      <c r="A1320" s="1"/>
      <c r="E1320"/>
      <c r="F1320"/>
      <c r="G1320"/>
      <c r="H1320"/>
      <c r="I1320"/>
      <c r="J1320"/>
    </row>
    <row r="1321" spans="1:10" s="2" customFormat="1">
      <c r="A1321" s="1"/>
      <c r="E1321"/>
      <c r="F1321"/>
      <c r="G1321"/>
      <c r="H1321"/>
      <c r="I1321"/>
      <c r="J1321"/>
    </row>
    <row r="1322" spans="1:10" s="2" customFormat="1">
      <c r="A1322" s="1"/>
      <c r="E1322"/>
      <c r="F1322"/>
      <c r="G1322"/>
      <c r="H1322"/>
      <c r="I1322"/>
      <c r="J1322"/>
    </row>
    <row r="1323" spans="1:10" s="2" customFormat="1">
      <c r="A1323" s="1"/>
      <c r="E1323"/>
      <c r="F1323"/>
      <c r="G1323"/>
      <c r="H1323"/>
      <c r="I1323"/>
      <c r="J1323"/>
    </row>
    <row r="1324" spans="1:10" s="2" customFormat="1">
      <c r="A1324" s="1"/>
      <c r="E1324"/>
      <c r="F1324"/>
      <c r="G1324"/>
      <c r="H1324"/>
      <c r="I1324"/>
      <c r="J1324"/>
    </row>
    <row r="1325" spans="1:10" s="2" customFormat="1">
      <c r="A1325" s="1"/>
      <c r="E1325"/>
      <c r="F1325"/>
      <c r="G1325"/>
      <c r="H1325"/>
      <c r="I1325"/>
      <c r="J1325"/>
    </row>
    <row r="1326" spans="1:10" s="2" customFormat="1">
      <c r="A1326" s="1"/>
      <c r="E1326"/>
      <c r="F1326"/>
      <c r="G1326"/>
      <c r="H1326"/>
      <c r="I1326"/>
      <c r="J1326"/>
    </row>
    <row r="1327" spans="1:10" s="2" customFormat="1">
      <c r="A1327" s="1"/>
      <c r="E1327"/>
      <c r="F1327"/>
      <c r="G1327"/>
      <c r="H1327"/>
      <c r="I1327"/>
      <c r="J1327"/>
    </row>
    <row r="1328" spans="1:10" s="2" customFormat="1">
      <c r="A1328" s="1"/>
      <c r="E1328"/>
      <c r="F1328"/>
      <c r="G1328"/>
      <c r="H1328"/>
      <c r="I1328"/>
      <c r="J1328"/>
    </row>
    <row r="1329" spans="1:10" s="2" customFormat="1">
      <c r="A1329" s="1"/>
      <c r="E1329"/>
      <c r="F1329"/>
      <c r="G1329"/>
      <c r="H1329"/>
      <c r="I1329"/>
      <c r="J1329"/>
    </row>
    <row r="1330" spans="1:10" s="2" customFormat="1">
      <c r="A1330" s="1"/>
      <c r="E1330"/>
      <c r="F1330"/>
      <c r="G1330"/>
      <c r="H1330"/>
      <c r="I1330"/>
      <c r="J1330"/>
    </row>
    <row r="1331" spans="1:10" s="2" customFormat="1">
      <c r="A1331" s="1"/>
      <c r="E1331"/>
      <c r="F1331"/>
      <c r="G1331"/>
      <c r="H1331"/>
      <c r="I1331"/>
      <c r="J1331"/>
    </row>
    <row r="1332" spans="1:10" s="2" customFormat="1">
      <c r="A1332" s="1"/>
      <c r="E1332"/>
      <c r="F1332"/>
      <c r="G1332"/>
      <c r="H1332"/>
      <c r="I1332"/>
      <c r="J1332"/>
    </row>
    <row r="1333" spans="1:10" s="2" customFormat="1">
      <c r="A1333" s="1"/>
      <c r="E1333"/>
      <c r="F1333"/>
      <c r="G1333"/>
      <c r="H1333"/>
      <c r="I1333"/>
      <c r="J1333"/>
    </row>
    <row r="1334" spans="1:10" s="2" customFormat="1">
      <c r="A1334" s="1"/>
      <c r="E1334"/>
      <c r="F1334"/>
      <c r="G1334"/>
      <c r="H1334"/>
      <c r="I1334"/>
      <c r="J1334"/>
    </row>
    <row r="1335" spans="1:10" s="2" customFormat="1">
      <c r="A1335" s="1"/>
      <c r="E1335"/>
      <c r="F1335"/>
      <c r="G1335"/>
      <c r="H1335"/>
      <c r="I1335"/>
      <c r="J1335"/>
    </row>
    <row r="1336" spans="1:10" s="2" customFormat="1">
      <c r="A1336" s="1"/>
      <c r="E1336"/>
      <c r="F1336"/>
      <c r="G1336"/>
      <c r="H1336"/>
      <c r="I1336"/>
      <c r="J1336"/>
    </row>
    <row r="1337" spans="1:10" s="2" customFormat="1">
      <c r="A1337" s="1"/>
      <c r="E1337"/>
      <c r="F1337"/>
      <c r="G1337"/>
      <c r="H1337"/>
      <c r="I1337"/>
      <c r="J1337"/>
    </row>
    <row r="1338" spans="1:10" s="2" customFormat="1">
      <c r="A1338" s="1"/>
      <c r="E1338"/>
      <c r="F1338"/>
      <c r="G1338"/>
      <c r="H1338"/>
      <c r="I1338"/>
      <c r="J1338"/>
    </row>
    <row r="1339" spans="1:10" s="2" customFormat="1">
      <c r="A1339" s="1"/>
      <c r="E1339"/>
      <c r="F1339"/>
      <c r="G1339"/>
      <c r="H1339"/>
      <c r="I1339"/>
      <c r="J1339"/>
    </row>
    <row r="1340" spans="1:10" s="2" customFormat="1">
      <c r="A1340" s="1"/>
      <c r="E1340"/>
      <c r="F1340"/>
      <c r="G1340"/>
      <c r="H1340"/>
      <c r="I1340"/>
      <c r="J1340"/>
    </row>
    <row r="1341" spans="1:10" s="2" customFormat="1">
      <c r="A1341" s="1"/>
      <c r="E1341"/>
      <c r="F1341"/>
      <c r="G1341"/>
      <c r="H1341"/>
      <c r="I1341"/>
      <c r="J1341"/>
    </row>
    <row r="1342" spans="1:10" s="2" customFormat="1">
      <c r="A1342" s="1"/>
      <c r="E1342"/>
      <c r="F1342"/>
      <c r="G1342"/>
      <c r="H1342"/>
      <c r="I1342"/>
      <c r="J1342"/>
    </row>
    <row r="1343" spans="1:10" s="2" customFormat="1">
      <c r="A1343" s="1"/>
      <c r="E1343"/>
      <c r="F1343"/>
      <c r="G1343"/>
      <c r="H1343"/>
      <c r="I1343"/>
      <c r="J1343"/>
    </row>
    <row r="1344" spans="1:10" s="2" customFormat="1">
      <c r="A1344" s="1"/>
      <c r="E1344"/>
      <c r="F1344"/>
      <c r="G1344"/>
      <c r="H1344"/>
      <c r="I1344"/>
      <c r="J1344"/>
    </row>
    <row r="1345" spans="1:10" s="2" customFormat="1">
      <c r="A1345" s="1"/>
      <c r="E1345"/>
      <c r="F1345"/>
      <c r="G1345"/>
      <c r="H1345"/>
      <c r="I1345"/>
      <c r="J1345"/>
    </row>
    <row r="1346" spans="1:10" s="2" customFormat="1">
      <c r="A1346" s="1"/>
      <c r="E1346"/>
      <c r="F1346"/>
      <c r="G1346"/>
      <c r="H1346"/>
      <c r="I1346"/>
      <c r="J1346"/>
    </row>
    <row r="1347" spans="1:10" s="2" customFormat="1">
      <c r="A1347" s="1"/>
      <c r="E1347"/>
      <c r="F1347"/>
      <c r="G1347"/>
      <c r="H1347"/>
      <c r="I1347"/>
      <c r="J1347"/>
    </row>
    <row r="1348" spans="1:10" s="2" customFormat="1">
      <c r="A1348" s="1"/>
      <c r="E1348"/>
      <c r="F1348"/>
      <c r="G1348"/>
      <c r="H1348"/>
      <c r="I1348"/>
      <c r="J1348"/>
    </row>
    <row r="1349" spans="1:10" s="2" customFormat="1">
      <c r="A1349" s="1"/>
      <c r="E1349"/>
      <c r="F1349"/>
      <c r="G1349"/>
      <c r="H1349"/>
      <c r="I1349"/>
      <c r="J1349"/>
    </row>
    <row r="1350" spans="1:10" s="2" customFormat="1">
      <c r="A1350" s="1"/>
      <c r="E1350"/>
      <c r="F1350"/>
      <c r="G1350"/>
      <c r="H1350"/>
      <c r="I1350"/>
      <c r="J1350"/>
    </row>
    <row r="1351" spans="1:10" s="2" customFormat="1">
      <c r="A1351" s="1"/>
      <c r="E1351"/>
      <c r="F1351"/>
      <c r="G1351"/>
      <c r="H1351"/>
      <c r="I1351"/>
      <c r="J1351"/>
    </row>
    <row r="1352" spans="1:10" s="2" customFormat="1">
      <c r="A1352" s="1"/>
      <c r="E1352"/>
      <c r="F1352"/>
      <c r="G1352"/>
      <c r="H1352"/>
      <c r="I1352"/>
      <c r="J1352"/>
    </row>
    <row r="1353" spans="1:10" s="2" customFormat="1">
      <c r="A1353" s="1"/>
      <c r="E1353"/>
      <c r="F1353"/>
      <c r="G1353"/>
      <c r="H1353"/>
      <c r="I1353"/>
      <c r="J1353"/>
    </row>
    <row r="1354" spans="1:10" s="2" customFormat="1">
      <c r="A1354" s="1"/>
      <c r="E1354"/>
      <c r="F1354"/>
      <c r="G1354"/>
      <c r="H1354"/>
      <c r="I1354"/>
      <c r="J1354"/>
    </row>
    <row r="1355" spans="1:10" s="2" customFormat="1">
      <c r="A1355" s="1"/>
      <c r="E1355"/>
      <c r="F1355"/>
      <c r="G1355"/>
      <c r="H1355"/>
      <c r="I1355"/>
      <c r="J1355"/>
    </row>
    <row r="1356" spans="1:10" s="2" customFormat="1">
      <c r="A1356" s="1"/>
      <c r="E1356"/>
      <c r="F1356"/>
      <c r="G1356"/>
      <c r="H1356"/>
      <c r="I1356"/>
      <c r="J1356"/>
    </row>
    <row r="1357" spans="1:10" s="2" customFormat="1">
      <c r="A1357" s="1"/>
      <c r="E1357"/>
      <c r="F1357"/>
      <c r="G1357"/>
      <c r="H1357"/>
      <c r="I1357"/>
      <c r="J1357"/>
    </row>
    <row r="1358" spans="1:10" s="2" customFormat="1">
      <c r="A1358" s="1"/>
      <c r="E1358"/>
      <c r="F1358"/>
      <c r="G1358"/>
      <c r="H1358"/>
      <c r="I1358"/>
      <c r="J1358"/>
    </row>
    <row r="1359" spans="1:10" s="2" customFormat="1">
      <c r="A1359" s="1"/>
      <c r="E1359"/>
      <c r="F1359"/>
      <c r="G1359"/>
      <c r="H1359"/>
      <c r="I1359"/>
      <c r="J1359"/>
    </row>
    <row r="1360" spans="1:10" s="2" customFormat="1">
      <c r="A1360" s="1"/>
      <c r="E1360"/>
      <c r="F1360"/>
      <c r="G1360"/>
      <c r="H1360"/>
      <c r="I1360"/>
      <c r="J1360"/>
    </row>
    <row r="1361" spans="1:10" s="2" customFormat="1">
      <c r="A1361" s="1"/>
      <c r="E1361"/>
      <c r="F1361"/>
      <c r="G1361"/>
      <c r="H1361"/>
      <c r="I1361"/>
      <c r="J1361"/>
    </row>
    <row r="1362" spans="1:10" s="2" customFormat="1">
      <c r="A1362" s="1"/>
      <c r="E1362"/>
      <c r="F1362"/>
      <c r="G1362"/>
      <c r="H1362"/>
      <c r="I1362"/>
      <c r="J1362"/>
    </row>
    <row r="1363" spans="1:10" s="2" customFormat="1">
      <c r="A1363" s="1"/>
      <c r="E1363"/>
      <c r="F1363"/>
      <c r="G1363"/>
      <c r="H1363"/>
      <c r="I1363"/>
      <c r="J1363"/>
    </row>
    <row r="1364" spans="1:10" s="2" customFormat="1">
      <c r="A1364" s="1"/>
      <c r="E1364"/>
      <c r="F1364"/>
      <c r="G1364"/>
      <c r="H1364"/>
      <c r="I1364"/>
      <c r="J1364"/>
    </row>
    <row r="1365" spans="1:10" s="2" customFormat="1">
      <c r="A1365" s="1"/>
      <c r="E1365"/>
      <c r="F1365"/>
      <c r="G1365"/>
      <c r="H1365"/>
      <c r="I1365"/>
      <c r="J1365"/>
    </row>
    <row r="1366" spans="1:10" s="2" customFormat="1">
      <c r="A1366" s="1"/>
      <c r="E1366"/>
      <c r="F1366"/>
      <c r="G1366"/>
      <c r="H1366"/>
      <c r="I1366"/>
      <c r="J1366"/>
    </row>
    <row r="1367" spans="1:10" s="2" customFormat="1">
      <c r="A1367" s="1"/>
      <c r="E1367"/>
      <c r="F1367"/>
      <c r="G1367"/>
      <c r="H1367"/>
      <c r="I1367"/>
      <c r="J1367"/>
    </row>
    <row r="1368" spans="1:10" s="2" customFormat="1">
      <c r="A1368" s="1"/>
      <c r="E1368"/>
      <c r="F1368"/>
      <c r="G1368"/>
      <c r="H1368"/>
      <c r="I1368"/>
      <c r="J1368"/>
    </row>
    <row r="1369" spans="1:10" s="2" customFormat="1">
      <c r="A1369" s="1"/>
      <c r="E1369"/>
      <c r="F1369"/>
      <c r="G1369"/>
      <c r="H1369"/>
      <c r="I1369"/>
      <c r="J1369"/>
    </row>
    <row r="1370" spans="1:10" s="2" customFormat="1">
      <c r="A1370" s="1"/>
      <c r="E1370"/>
      <c r="F1370"/>
      <c r="G1370"/>
      <c r="H1370"/>
      <c r="I1370"/>
      <c r="J1370"/>
    </row>
    <row r="1371" spans="1:10" s="2" customFormat="1">
      <c r="A1371" s="1"/>
      <c r="E1371"/>
      <c r="F1371"/>
      <c r="G1371"/>
      <c r="H1371"/>
      <c r="I1371"/>
      <c r="J1371"/>
    </row>
    <row r="1372" spans="1:10" s="2" customFormat="1">
      <c r="A1372" s="1"/>
      <c r="E1372"/>
      <c r="F1372"/>
      <c r="G1372"/>
      <c r="H1372"/>
      <c r="I1372"/>
      <c r="J1372"/>
    </row>
    <row r="1373" spans="1:10" s="2" customFormat="1">
      <c r="A1373" s="1"/>
      <c r="E1373"/>
      <c r="F1373"/>
      <c r="G1373"/>
      <c r="H1373"/>
      <c r="I1373"/>
      <c r="J1373"/>
    </row>
    <row r="1374" spans="1:10" s="2" customFormat="1">
      <c r="A1374" s="1"/>
      <c r="E1374"/>
      <c r="F1374"/>
      <c r="G1374"/>
      <c r="H1374"/>
      <c r="I1374"/>
      <c r="J1374"/>
    </row>
    <row r="1375" spans="1:10" s="2" customFormat="1">
      <c r="A1375" s="1"/>
      <c r="E1375"/>
      <c r="F1375"/>
      <c r="G1375"/>
      <c r="H1375"/>
      <c r="I1375"/>
      <c r="J1375"/>
    </row>
    <row r="1376" spans="1:10" s="2" customFormat="1">
      <c r="A1376" s="1"/>
      <c r="E1376"/>
      <c r="F1376"/>
      <c r="G1376"/>
      <c r="H1376"/>
      <c r="I1376"/>
      <c r="J1376"/>
    </row>
    <row r="1377" spans="1:10" s="2" customFormat="1">
      <c r="A1377" s="1"/>
      <c r="E1377"/>
      <c r="F1377"/>
      <c r="G1377"/>
      <c r="H1377"/>
      <c r="I1377"/>
      <c r="J1377"/>
    </row>
    <row r="1378" spans="1:10" s="2" customFormat="1">
      <c r="A1378" s="1"/>
      <c r="E1378"/>
      <c r="F1378"/>
      <c r="G1378"/>
      <c r="H1378"/>
      <c r="I1378"/>
      <c r="J1378"/>
    </row>
    <row r="1379" spans="1:10" s="2" customFormat="1">
      <c r="A1379" s="1"/>
      <c r="E1379"/>
      <c r="F1379"/>
      <c r="G1379"/>
      <c r="H1379"/>
      <c r="I1379"/>
      <c r="J1379"/>
    </row>
    <row r="1380" spans="1:10" s="2" customFormat="1">
      <c r="A1380" s="1"/>
      <c r="E1380"/>
      <c r="F1380"/>
      <c r="G1380"/>
      <c r="H1380"/>
      <c r="I1380"/>
      <c r="J1380"/>
    </row>
    <row r="1381" spans="1:10" s="2" customFormat="1">
      <c r="A1381" s="1"/>
      <c r="E1381"/>
      <c r="F1381"/>
      <c r="G1381"/>
      <c r="H1381"/>
      <c r="I1381"/>
      <c r="J1381"/>
    </row>
    <row r="1382" spans="1:10" s="2" customFormat="1">
      <c r="A1382" s="1"/>
      <c r="E1382"/>
      <c r="F1382"/>
      <c r="G1382"/>
      <c r="H1382"/>
      <c r="I1382"/>
      <c r="J1382"/>
    </row>
    <row r="1383" spans="1:10" s="2" customFormat="1">
      <c r="A1383" s="1"/>
      <c r="E1383"/>
      <c r="F1383"/>
      <c r="G1383"/>
      <c r="H1383"/>
      <c r="I1383"/>
      <c r="J1383"/>
    </row>
    <row r="1384" spans="1:10" s="2" customFormat="1">
      <c r="A1384" s="1"/>
      <c r="E1384"/>
      <c r="F1384"/>
      <c r="G1384"/>
      <c r="H1384"/>
      <c r="I1384"/>
      <c r="J1384"/>
    </row>
    <row r="1385" spans="1:10" s="2" customFormat="1">
      <c r="A1385" s="1"/>
      <c r="E1385"/>
      <c r="F1385"/>
      <c r="G1385"/>
      <c r="H1385"/>
      <c r="I1385"/>
      <c r="J1385"/>
    </row>
    <row r="1386" spans="1:10" s="2" customFormat="1">
      <c r="A1386" s="1"/>
      <c r="E1386"/>
      <c r="F1386"/>
      <c r="G1386"/>
      <c r="H1386"/>
      <c r="I1386"/>
      <c r="J1386"/>
    </row>
    <row r="1387" spans="1:10" s="2" customFormat="1">
      <c r="A1387" s="1"/>
      <c r="E1387"/>
      <c r="F1387"/>
      <c r="G1387"/>
      <c r="H1387"/>
      <c r="I1387"/>
      <c r="J1387"/>
    </row>
    <row r="1388" spans="1:10" s="2" customFormat="1">
      <c r="A1388" s="1"/>
      <c r="E1388"/>
      <c r="F1388"/>
      <c r="G1388"/>
      <c r="H1388"/>
      <c r="I1388"/>
      <c r="J1388"/>
    </row>
    <row r="1389" spans="1:10" s="2" customFormat="1">
      <c r="A1389" s="1"/>
      <c r="E1389"/>
      <c r="F1389"/>
      <c r="G1389"/>
      <c r="H1389"/>
      <c r="I1389"/>
      <c r="J1389"/>
    </row>
    <row r="1390" spans="1:10" s="2" customFormat="1">
      <c r="A1390" s="1"/>
      <c r="E1390"/>
      <c r="F1390"/>
      <c r="G1390"/>
      <c r="H1390"/>
      <c r="I1390"/>
      <c r="J1390"/>
    </row>
    <row r="1391" spans="1:10" s="2" customFormat="1">
      <c r="A1391" s="1"/>
      <c r="E1391"/>
      <c r="F1391"/>
      <c r="G1391"/>
      <c r="H1391"/>
      <c r="I1391"/>
      <c r="J1391"/>
    </row>
    <row r="1392" spans="1:10" s="2" customFormat="1">
      <c r="A1392" s="1"/>
      <c r="E1392"/>
      <c r="F1392"/>
      <c r="G1392"/>
      <c r="H1392"/>
      <c r="I1392"/>
      <c r="J1392"/>
    </row>
    <row r="1393" spans="1:10" s="2" customFormat="1">
      <c r="A1393" s="1"/>
      <c r="E1393"/>
      <c r="F1393"/>
      <c r="G1393"/>
      <c r="H1393"/>
      <c r="I1393"/>
      <c r="J1393"/>
    </row>
    <row r="1394" spans="1:10" s="2" customFormat="1">
      <c r="A1394" s="1"/>
      <c r="E1394"/>
      <c r="F1394"/>
      <c r="G1394"/>
      <c r="H1394"/>
      <c r="I1394"/>
      <c r="J1394"/>
    </row>
    <row r="1395" spans="1:10" s="2" customFormat="1">
      <c r="A1395" s="1"/>
      <c r="E1395"/>
      <c r="F1395"/>
      <c r="G1395"/>
      <c r="H1395"/>
      <c r="I1395"/>
      <c r="J1395"/>
    </row>
    <row r="1396" spans="1:10" s="2" customFormat="1">
      <c r="A1396" s="1"/>
      <c r="E1396"/>
      <c r="F1396"/>
      <c r="G1396"/>
      <c r="H1396"/>
      <c r="I1396"/>
      <c r="J1396"/>
    </row>
    <row r="1397" spans="1:10" s="2" customFormat="1">
      <c r="A1397" s="1"/>
      <c r="E1397"/>
      <c r="F1397"/>
      <c r="G1397"/>
      <c r="H1397"/>
      <c r="I1397"/>
      <c r="J1397"/>
    </row>
    <row r="1398" spans="1:10" s="2" customFormat="1">
      <c r="A1398" s="1"/>
      <c r="E1398"/>
      <c r="F1398"/>
      <c r="G1398"/>
      <c r="H1398"/>
      <c r="I1398"/>
      <c r="J1398"/>
    </row>
    <row r="1399" spans="1:10" s="2" customFormat="1">
      <c r="A1399" s="1"/>
      <c r="E1399"/>
      <c r="F1399"/>
      <c r="G1399"/>
      <c r="H1399"/>
      <c r="I1399"/>
      <c r="J1399"/>
    </row>
    <row r="1400" spans="1:10" s="2" customFormat="1">
      <c r="A1400" s="1"/>
      <c r="E1400"/>
      <c r="F1400"/>
      <c r="G1400"/>
      <c r="H1400"/>
      <c r="I1400"/>
      <c r="J1400"/>
    </row>
    <row r="1401" spans="1:10" s="2" customFormat="1">
      <c r="A1401" s="1"/>
      <c r="E1401"/>
      <c r="F1401"/>
      <c r="G1401"/>
      <c r="H1401"/>
      <c r="I1401"/>
      <c r="J1401"/>
    </row>
    <row r="1402" spans="1:10" s="2" customFormat="1">
      <c r="A1402" s="1"/>
      <c r="E1402"/>
      <c r="F1402"/>
      <c r="G1402"/>
      <c r="H1402"/>
      <c r="I1402"/>
      <c r="J1402"/>
    </row>
    <row r="1403" spans="1:10" s="2" customFormat="1">
      <c r="A1403" s="1"/>
      <c r="E1403"/>
      <c r="F1403"/>
      <c r="G1403"/>
      <c r="H1403"/>
      <c r="I1403"/>
      <c r="J1403"/>
    </row>
    <row r="1404" spans="1:10" s="2" customFormat="1">
      <c r="A1404" s="1"/>
      <c r="E1404"/>
      <c r="F1404"/>
      <c r="G1404"/>
      <c r="H1404"/>
      <c r="I1404"/>
      <c r="J1404"/>
    </row>
    <row r="1405" spans="1:10" s="2" customFormat="1">
      <c r="A1405" s="1"/>
      <c r="E1405"/>
      <c r="F1405"/>
      <c r="G1405"/>
      <c r="H1405"/>
      <c r="I1405"/>
      <c r="J1405"/>
    </row>
    <row r="1406" spans="1:10" s="2" customFormat="1">
      <c r="A1406" s="1"/>
      <c r="E1406"/>
      <c r="F1406"/>
      <c r="G1406"/>
      <c r="H1406"/>
      <c r="I1406"/>
      <c r="J1406"/>
    </row>
    <row r="1407" spans="1:10" s="2" customFormat="1">
      <c r="A1407" s="1"/>
      <c r="E1407"/>
      <c r="F1407"/>
      <c r="G1407"/>
      <c r="H1407"/>
      <c r="I1407"/>
      <c r="J1407"/>
    </row>
    <row r="1408" spans="1:10" s="2" customFormat="1">
      <c r="A1408" s="1"/>
      <c r="E1408"/>
      <c r="F1408"/>
      <c r="G1408"/>
      <c r="H1408"/>
      <c r="I1408"/>
      <c r="J1408"/>
    </row>
    <row r="1409" spans="1:10" s="2" customFormat="1">
      <c r="A1409" s="1"/>
      <c r="E1409"/>
      <c r="F1409"/>
      <c r="G1409"/>
      <c r="H1409"/>
      <c r="I1409"/>
      <c r="J1409"/>
    </row>
    <row r="1410" spans="1:10" s="2" customFormat="1">
      <c r="A1410" s="1"/>
      <c r="E1410"/>
      <c r="F1410"/>
      <c r="G1410"/>
      <c r="H1410"/>
      <c r="I1410"/>
      <c r="J1410"/>
    </row>
    <row r="1411" spans="1:10" s="2" customFormat="1">
      <c r="A1411" s="1"/>
      <c r="E1411"/>
      <c r="F1411"/>
      <c r="G1411"/>
      <c r="H1411"/>
      <c r="I1411"/>
      <c r="J1411"/>
    </row>
    <row r="1412" spans="1:10" s="2" customFormat="1">
      <c r="A1412" s="1"/>
      <c r="E1412"/>
      <c r="F1412"/>
      <c r="G1412"/>
      <c r="H1412"/>
      <c r="I1412"/>
      <c r="J1412"/>
    </row>
    <row r="1413" spans="1:10" s="2" customFormat="1">
      <c r="A1413" s="1"/>
      <c r="E1413"/>
      <c r="F1413"/>
      <c r="G1413"/>
      <c r="H1413"/>
      <c r="I1413"/>
      <c r="J1413"/>
    </row>
    <row r="1414" spans="1:10" s="2" customFormat="1">
      <c r="A1414" s="1"/>
      <c r="E1414"/>
      <c r="F1414"/>
      <c r="G1414"/>
      <c r="H1414"/>
      <c r="I1414"/>
      <c r="J1414"/>
    </row>
    <row r="1415" spans="1:10" s="2" customFormat="1">
      <c r="A1415" s="1"/>
      <c r="E1415"/>
      <c r="F1415"/>
      <c r="G1415"/>
      <c r="H1415"/>
      <c r="I1415"/>
      <c r="J1415"/>
    </row>
    <row r="1416" spans="1:10" s="2" customFormat="1">
      <c r="A1416" s="1"/>
      <c r="E1416"/>
      <c r="F1416"/>
      <c r="G1416"/>
      <c r="H1416"/>
      <c r="I1416"/>
      <c r="J1416"/>
    </row>
    <row r="1417" spans="1:10" s="2" customFormat="1">
      <c r="A1417" s="1"/>
      <c r="E1417"/>
      <c r="F1417"/>
      <c r="G1417"/>
      <c r="H1417"/>
      <c r="I1417"/>
      <c r="J1417"/>
    </row>
    <row r="1418" spans="1:10" s="2" customFormat="1">
      <c r="A1418" s="1"/>
      <c r="E1418"/>
      <c r="F1418"/>
      <c r="G1418"/>
      <c r="H1418"/>
      <c r="I1418"/>
      <c r="J1418"/>
    </row>
    <row r="1419" spans="1:10" s="2" customFormat="1">
      <c r="A1419" s="1"/>
      <c r="E1419"/>
      <c r="F1419"/>
      <c r="G1419"/>
      <c r="H1419"/>
      <c r="I1419"/>
      <c r="J1419"/>
    </row>
    <row r="1420" spans="1:10" s="2" customFormat="1">
      <c r="A1420" s="1"/>
      <c r="E1420"/>
      <c r="F1420"/>
      <c r="G1420"/>
      <c r="H1420"/>
      <c r="I1420"/>
      <c r="J1420"/>
    </row>
    <row r="1421" spans="1:10" s="2" customFormat="1">
      <c r="A1421" s="1"/>
      <c r="E1421"/>
      <c r="F1421"/>
      <c r="G1421"/>
      <c r="H1421"/>
      <c r="I1421"/>
      <c r="J1421"/>
    </row>
    <row r="1422" spans="1:10" s="2" customFormat="1">
      <c r="A1422" s="1"/>
      <c r="E1422"/>
      <c r="F1422"/>
      <c r="G1422"/>
      <c r="H1422"/>
      <c r="I1422"/>
      <c r="J1422"/>
    </row>
    <row r="1423" spans="1:10" s="2" customFormat="1">
      <c r="A1423" s="1"/>
      <c r="E1423"/>
      <c r="F1423"/>
      <c r="G1423"/>
      <c r="H1423"/>
      <c r="I1423"/>
      <c r="J1423"/>
    </row>
    <row r="1424" spans="1:10" s="2" customFormat="1">
      <c r="A1424" s="1"/>
      <c r="E1424"/>
      <c r="F1424"/>
      <c r="G1424"/>
      <c r="H1424"/>
      <c r="I1424"/>
      <c r="J1424"/>
    </row>
    <row r="1425" spans="1:10" s="2" customFormat="1">
      <c r="A1425" s="1"/>
      <c r="E1425"/>
      <c r="F1425"/>
      <c r="G1425"/>
      <c r="H1425"/>
      <c r="I1425"/>
      <c r="J1425"/>
    </row>
    <row r="1426" spans="1:10" s="2" customFormat="1">
      <c r="A1426" s="1"/>
      <c r="E1426"/>
      <c r="F1426"/>
      <c r="G1426"/>
      <c r="H1426"/>
      <c r="I1426"/>
      <c r="J1426"/>
    </row>
    <row r="1427" spans="1:10" s="2" customFormat="1">
      <c r="A1427" s="1"/>
      <c r="E1427"/>
      <c r="F1427"/>
      <c r="G1427"/>
      <c r="H1427"/>
      <c r="I1427"/>
      <c r="J1427"/>
    </row>
    <row r="1428" spans="1:10" s="2" customFormat="1">
      <c r="A1428" s="1"/>
      <c r="E1428"/>
      <c r="F1428"/>
      <c r="G1428"/>
      <c r="H1428"/>
      <c r="I1428"/>
      <c r="J1428"/>
    </row>
    <row r="1429" spans="1:10" s="2" customFormat="1">
      <c r="A1429" s="1"/>
      <c r="E1429"/>
      <c r="F1429"/>
      <c r="G1429"/>
      <c r="H1429"/>
      <c r="I1429"/>
      <c r="J1429"/>
    </row>
    <row r="1430" spans="1:10" s="2" customFormat="1">
      <c r="A1430" s="1"/>
      <c r="E1430"/>
      <c r="F1430"/>
      <c r="G1430"/>
      <c r="H1430"/>
      <c r="I1430"/>
      <c r="J1430"/>
    </row>
    <row r="1431" spans="1:10" s="2" customFormat="1">
      <c r="A1431" s="1"/>
      <c r="E1431"/>
      <c r="F1431"/>
      <c r="G1431"/>
      <c r="H1431"/>
      <c r="I1431"/>
      <c r="J1431"/>
    </row>
    <row r="1432" spans="1:10" s="2" customFormat="1">
      <c r="A1432" s="1"/>
      <c r="E1432"/>
      <c r="F1432"/>
      <c r="G1432"/>
      <c r="H1432"/>
      <c r="I1432"/>
      <c r="J1432"/>
    </row>
    <row r="1433" spans="1:10" s="2" customFormat="1">
      <c r="A1433" s="1"/>
      <c r="E1433"/>
      <c r="F1433"/>
      <c r="G1433"/>
      <c r="H1433"/>
      <c r="I1433"/>
      <c r="J1433"/>
    </row>
    <row r="1434" spans="1:10" s="2" customFormat="1">
      <c r="A1434" s="1"/>
      <c r="E1434"/>
      <c r="F1434"/>
      <c r="G1434"/>
      <c r="H1434"/>
      <c r="I1434"/>
      <c r="J1434"/>
    </row>
    <row r="1435" spans="1:10" s="2" customFormat="1">
      <c r="A1435" s="1"/>
      <c r="E1435"/>
      <c r="F1435"/>
      <c r="G1435"/>
      <c r="H1435"/>
      <c r="I1435"/>
      <c r="J1435"/>
    </row>
    <row r="1436" spans="1:10" s="2" customFormat="1">
      <c r="A1436" s="1"/>
      <c r="E1436"/>
      <c r="F1436"/>
      <c r="G1436"/>
      <c r="H1436"/>
      <c r="I1436"/>
      <c r="J1436"/>
    </row>
    <row r="1437" spans="1:10" s="2" customFormat="1">
      <c r="A1437" s="1"/>
      <c r="E1437"/>
      <c r="F1437"/>
      <c r="G1437"/>
      <c r="H1437"/>
      <c r="I1437"/>
      <c r="J1437"/>
    </row>
    <row r="1438" spans="1:10" s="2" customFormat="1">
      <c r="A1438" s="1"/>
      <c r="E1438"/>
      <c r="F1438"/>
      <c r="G1438"/>
      <c r="H1438"/>
      <c r="I1438"/>
      <c r="J1438"/>
    </row>
    <row r="1439" spans="1:10" s="2" customFormat="1">
      <c r="A1439" s="1"/>
      <c r="E1439"/>
      <c r="F1439"/>
      <c r="G1439"/>
      <c r="H1439"/>
      <c r="I1439"/>
      <c r="J1439"/>
    </row>
    <row r="1440" spans="1:10" s="2" customFormat="1">
      <c r="A1440" s="1"/>
      <c r="E1440"/>
      <c r="F1440"/>
      <c r="G1440"/>
      <c r="H1440"/>
      <c r="I1440"/>
      <c r="J1440"/>
    </row>
    <row r="1441" spans="1:10" s="2" customFormat="1">
      <c r="A1441" s="1"/>
      <c r="E1441"/>
      <c r="F1441"/>
      <c r="G1441"/>
      <c r="H1441"/>
      <c r="I1441"/>
      <c r="J1441"/>
    </row>
    <row r="1442" spans="1:10" s="2" customFormat="1">
      <c r="A1442" s="1"/>
      <c r="E1442"/>
      <c r="F1442"/>
      <c r="G1442"/>
      <c r="H1442"/>
      <c r="I1442"/>
      <c r="J1442"/>
    </row>
    <row r="1443" spans="1:10" s="2" customFormat="1">
      <c r="A1443" s="1"/>
      <c r="E1443"/>
      <c r="F1443"/>
      <c r="G1443"/>
      <c r="H1443"/>
      <c r="I1443"/>
      <c r="J1443"/>
    </row>
    <row r="1444" spans="1:10" s="2" customFormat="1">
      <c r="A1444" s="1"/>
      <c r="E1444"/>
      <c r="F1444"/>
      <c r="G1444"/>
      <c r="H1444"/>
      <c r="I1444"/>
      <c r="J1444"/>
    </row>
    <row r="1445" spans="1:10" s="2" customFormat="1">
      <c r="A1445" s="1"/>
      <c r="E1445"/>
      <c r="F1445"/>
      <c r="G1445"/>
      <c r="H1445"/>
      <c r="I1445"/>
      <c r="J1445"/>
    </row>
    <row r="1446" spans="1:10" s="2" customFormat="1">
      <c r="A1446" s="1"/>
      <c r="E1446"/>
      <c r="F1446"/>
      <c r="G1446"/>
      <c r="H1446"/>
      <c r="I1446"/>
      <c r="J1446"/>
    </row>
    <row r="1447" spans="1:10" s="2" customFormat="1">
      <c r="A1447" s="1"/>
      <c r="E1447"/>
      <c r="F1447"/>
      <c r="G1447"/>
      <c r="H1447"/>
      <c r="I1447"/>
      <c r="J1447"/>
    </row>
    <row r="1448" spans="1:10" s="2" customFormat="1">
      <c r="A1448" s="1"/>
      <c r="E1448"/>
      <c r="F1448"/>
      <c r="G1448"/>
      <c r="H1448"/>
      <c r="I1448"/>
      <c r="J1448"/>
    </row>
    <row r="1449" spans="1:10" s="2" customFormat="1">
      <c r="A1449" s="1"/>
      <c r="E1449"/>
      <c r="F1449"/>
      <c r="G1449"/>
      <c r="H1449"/>
      <c r="I1449"/>
      <c r="J1449"/>
    </row>
    <row r="1450" spans="1:10" s="2" customFormat="1">
      <c r="A1450" s="1"/>
      <c r="E1450"/>
      <c r="F1450"/>
      <c r="G1450"/>
      <c r="H1450"/>
      <c r="I1450"/>
      <c r="J1450"/>
    </row>
    <row r="1451" spans="1:10" s="2" customFormat="1">
      <c r="A1451" s="1"/>
      <c r="E1451"/>
      <c r="F1451"/>
      <c r="G1451"/>
      <c r="H1451"/>
      <c r="I1451"/>
      <c r="J1451"/>
    </row>
    <row r="1452" spans="1:10" s="2" customFormat="1">
      <c r="A1452" s="1"/>
      <c r="E1452"/>
      <c r="F1452"/>
      <c r="G1452"/>
      <c r="H1452"/>
      <c r="I1452"/>
      <c r="J1452"/>
    </row>
    <row r="1453" spans="1:10" s="2" customFormat="1">
      <c r="A1453" s="1"/>
      <c r="E1453"/>
      <c r="F1453"/>
      <c r="G1453"/>
      <c r="H1453"/>
      <c r="I1453"/>
      <c r="J1453"/>
    </row>
    <row r="1454" spans="1:10" s="2" customFormat="1">
      <c r="A1454" s="1"/>
      <c r="E1454"/>
      <c r="F1454"/>
      <c r="G1454"/>
      <c r="H1454"/>
      <c r="I1454"/>
      <c r="J1454"/>
    </row>
    <row r="1455" spans="1:10" s="2" customFormat="1">
      <c r="A1455" s="1"/>
      <c r="E1455"/>
      <c r="F1455"/>
      <c r="G1455"/>
      <c r="H1455"/>
      <c r="I1455"/>
      <c r="J1455"/>
    </row>
    <row r="1456" spans="1:10" s="2" customFormat="1">
      <c r="A1456" s="1"/>
      <c r="E1456"/>
      <c r="F1456"/>
      <c r="G1456"/>
      <c r="H1456"/>
      <c r="I1456"/>
      <c r="J1456"/>
    </row>
    <row r="1457" spans="1:10" s="2" customFormat="1">
      <c r="A1457" s="1"/>
      <c r="E1457"/>
      <c r="F1457"/>
      <c r="G1457"/>
      <c r="H1457"/>
      <c r="I1457"/>
      <c r="J1457"/>
    </row>
    <row r="1458" spans="1:10" s="2" customFormat="1">
      <c r="A1458" s="1"/>
      <c r="E1458"/>
      <c r="F1458"/>
      <c r="G1458"/>
      <c r="H1458"/>
      <c r="I1458"/>
      <c r="J1458"/>
    </row>
    <row r="1459" spans="1:10" s="2" customFormat="1">
      <c r="A1459" s="1"/>
      <c r="E1459"/>
      <c r="F1459"/>
      <c r="G1459"/>
      <c r="H1459"/>
      <c r="I1459"/>
      <c r="J1459"/>
    </row>
    <row r="1460" spans="1:10" s="2" customFormat="1">
      <c r="A1460" s="1"/>
      <c r="E1460"/>
      <c r="F1460"/>
      <c r="G1460"/>
      <c r="H1460"/>
      <c r="I1460"/>
      <c r="J1460"/>
    </row>
    <row r="1461" spans="1:10" s="2" customFormat="1">
      <c r="A1461" s="1"/>
      <c r="E1461"/>
      <c r="F1461"/>
      <c r="G1461"/>
      <c r="H1461"/>
      <c r="I1461"/>
      <c r="J1461"/>
    </row>
    <row r="1462" spans="1:10" s="2" customFormat="1">
      <c r="A1462" s="1"/>
      <c r="E1462"/>
      <c r="F1462"/>
      <c r="G1462"/>
      <c r="H1462"/>
      <c r="I1462"/>
      <c r="J1462"/>
    </row>
    <row r="1463" spans="1:10" s="2" customFormat="1">
      <c r="A1463" s="1"/>
      <c r="E1463"/>
      <c r="F1463"/>
      <c r="G1463"/>
      <c r="H1463"/>
      <c r="I1463"/>
      <c r="J1463"/>
    </row>
    <row r="1464" spans="1:10" s="2" customFormat="1">
      <c r="A1464" s="1"/>
      <c r="E1464"/>
      <c r="F1464"/>
      <c r="G1464"/>
      <c r="H1464"/>
      <c r="I1464"/>
      <c r="J1464"/>
    </row>
    <row r="1465" spans="1:10" s="2" customFormat="1">
      <c r="A1465" s="1"/>
      <c r="E1465"/>
      <c r="F1465"/>
      <c r="G1465"/>
      <c r="H1465"/>
      <c r="I1465"/>
      <c r="J1465"/>
    </row>
    <row r="1466" spans="1:10" s="2" customFormat="1">
      <c r="A1466" s="1"/>
      <c r="E1466"/>
      <c r="F1466"/>
      <c r="G1466"/>
      <c r="H1466"/>
      <c r="I1466"/>
      <c r="J1466"/>
    </row>
    <row r="1467" spans="1:10" s="2" customFormat="1">
      <c r="A1467" s="1"/>
      <c r="E1467"/>
      <c r="F1467"/>
      <c r="G1467"/>
      <c r="H1467"/>
      <c r="I1467"/>
      <c r="J1467"/>
    </row>
    <row r="1468" spans="1:10" s="2" customFormat="1">
      <c r="A1468" s="1"/>
      <c r="E1468"/>
      <c r="F1468"/>
      <c r="G1468"/>
      <c r="H1468"/>
      <c r="I1468"/>
      <c r="J1468"/>
    </row>
    <row r="1469" spans="1:10" s="2" customFormat="1">
      <c r="A1469" s="1"/>
      <c r="E1469"/>
      <c r="F1469"/>
      <c r="G1469"/>
      <c r="H1469"/>
      <c r="I1469"/>
      <c r="J1469"/>
    </row>
    <row r="1470" spans="1:10" s="2" customFormat="1">
      <c r="A1470" s="1"/>
      <c r="E1470"/>
      <c r="F1470"/>
      <c r="G1470"/>
      <c r="H1470"/>
      <c r="I1470"/>
      <c r="J1470"/>
    </row>
    <row r="1471" spans="1:10" s="2" customFormat="1">
      <c r="A1471" s="1"/>
      <c r="E1471"/>
      <c r="F1471"/>
      <c r="G1471"/>
      <c r="H1471"/>
      <c r="I1471"/>
      <c r="J1471"/>
    </row>
    <row r="1472" spans="1:10" s="2" customFormat="1">
      <c r="A1472" s="1"/>
      <c r="E1472"/>
      <c r="F1472"/>
      <c r="G1472"/>
      <c r="H1472"/>
      <c r="I1472"/>
      <c r="J1472"/>
    </row>
    <row r="1473" spans="1:10" s="2" customFormat="1">
      <c r="A1473" s="1"/>
      <c r="E1473"/>
      <c r="F1473"/>
      <c r="G1473"/>
      <c r="H1473"/>
      <c r="I1473"/>
      <c r="J1473"/>
    </row>
    <row r="1474" spans="1:10" s="2" customFormat="1">
      <c r="A1474" s="1"/>
      <c r="E1474"/>
      <c r="F1474"/>
      <c r="G1474"/>
      <c r="H1474"/>
      <c r="I1474"/>
      <c r="J1474"/>
    </row>
    <row r="1475" spans="1:10" s="2" customFormat="1">
      <c r="A1475" s="1"/>
      <c r="E1475"/>
      <c r="F1475"/>
      <c r="G1475"/>
      <c r="H1475"/>
      <c r="I1475"/>
      <c r="J1475"/>
    </row>
    <row r="1476" spans="1:10" s="2" customFormat="1">
      <c r="A1476" s="1"/>
      <c r="E1476"/>
      <c r="F1476"/>
      <c r="G1476"/>
      <c r="H1476"/>
      <c r="I1476"/>
      <c r="J1476"/>
    </row>
    <row r="1477" spans="1:10" s="2" customFormat="1">
      <c r="A1477" s="1"/>
      <c r="E1477"/>
      <c r="F1477"/>
      <c r="G1477"/>
      <c r="H1477"/>
      <c r="I1477"/>
      <c r="J1477"/>
    </row>
    <row r="1478" spans="1:10" s="2" customFormat="1">
      <c r="A1478" s="1"/>
      <c r="E1478"/>
      <c r="F1478"/>
      <c r="G1478"/>
      <c r="H1478"/>
      <c r="I1478"/>
      <c r="J1478"/>
    </row>
    <row r="1479" spans="1:10" s="2" customFormat="1">
      <c r="A1479" s="1"/>
      <c r="E1479"/>
      <c r="F1479"/>
      <c r="G1479"/>
      <c r="H1479"/>
      <c r="I1479"/>
      <c r="J1479"/>
    </row>
    <row r="1480" spans="1:10" s="2" customFormat="1">
      <c r="A1480" s="1"/>
      <c r="E1480"/>
      <c r="F1480"/>
      <c r="G1480"/>
      <c r="H1480"/>
      <c r="I1480"/>
      <c r="J1480"/>
    </row>
    <row r="1481" spans="1:10" s="2" customFormat="1">
      <c r="A1481" s="1"/>
      <c r="E1481"/>
      <c r="F1481"/>
      <c r="G1481"/>
      <c r="H1481"/>
      <c r="I1481"/>
      <c r="J1481"/>
    </row>
    <row r="1482" spans="1:10" s="2" customFormat="1">
      <c r="A1482" s="1"/>
      <c r="E1482"/>
      <c r="F1482"/>
      <c r="G1482"/>
      <c r="H1482"/>
      <c r="I1482"/>
      <c r="J1482"/>
    </row>
    <row r="1483" spans="1:10" s="2" customFormat="1">
      <c r="A1483" s="1"/>
      <c r="E1483"/>
      <c r="F1483"/>
      <c r="G1483"/>
      <c r="H1483"/>
      <c r="I1483"/>
      <c r="J1483"/>
    </row>
    <row r="1484" spans="1:10" s="2" customFormat="1">
      <c r="A1484" s="1"/>
      <c r="E1484"/>
      <c r="F1484"/>
      <c r="G1484"/>
      <c r="H1484"/>
      <c r="I1484"/>
      <c r="J1484"/>
    </row>
    <row r="1485" spans="1:10" s="2" customFormat="1">
      <c r="A1485" s="1"/>
      <c r="E1485"/>
      <c r="F1485"/>
      <c r="G1485"/>
      <c r="H1485"/>
      <c r="I1485"/>
      <c r="J1485"/>
    </row>
    <row r="1486" spans="1:10" s="2" customFormat="1">
      <c r="A1486" s="1"/>
      <c r="E1486"/>
      <c r="F1486"/>
      <c r="G1486"/>
      <c r="H1486"/>
      <c r="I1486"/>
      <c r="J1486"/>
    </row>
    <row r="1487" spans="1:10" s="2" customFormat="1">
      <c r="A1487" s="1"/>
      <c r="E1487"/>
      <c r="F1487"/>
      <c r="G1487"/>
      <c r="H1487"/>
      <c r="I1487"/>
      <c r="J1487"/>
    </row>
    <row r="1488" spans="1:10" s="2" customFormat="1">
      <c r="A1488" s="1"/>
      <c r="E1488"/>
      <c r="F1488"/>
      <c r="G1488"/>
      <c r="H1488"/>
      <c r="I1488"/>
      <c r="J1488"/>
    </row>
    <row r="1489" spans="1:10" s="2" customFormat="1">
      <c r="A1489" s="1"/>
      <c r="E1489"/>
      <c r="F1489"/>
      <c r="G1489"/>
      <c r="H1489"/>
      <c r="I1489"/>
      <c r="J1489"/>
    </row>
    <row r="1490" spans="1:10" s="2" customFormat="1">
      <c r="A1490" s="1"/>
      <c r="E1490"/>
      <c r="F1490"/>
      <c r="G1490"/>
      <c r="H1490"/>
      <c r="I1490"/>
      <c r="J1490"/>
    </row>
    <row r="1491" spans="1:10" s="2" customFormat="1">
      <c r="A1491" s="1"/>
      <c r="E1491"/>
      <c r="F1491"/>
      <c r="G1491"/>
      <c r="H1491"/>
      <c r="I1491"/>
      <c r="J1491"/>
    </row>
    <row r="1492" spans="1:10" s="2" customFormat="1">
      <c r="A1492" s="1"/>
      <c r="E1492"/>
      <c r="F1492"/>
      <c r="G1492"/>
      <c r="H1492"/>
      <c r="I1492"/>
      <c r="J1492"/>
    </row>
    <row r="1493" spans="1:10" s="2" customFormat="1">
      <c r="A1493" s="1"/>
      <c r="E1493"/>
      <c r="F1493"/>
      <c r="G1493"/>
      <c r="H1493"/>
      <c r="I1493"/>
      <c r="J1493"/>
    </row>
    <row r="1494" spans="1:10" s="2" customFormat="1">
      <c r="A1494" s="1"/>
      <c r="E1494"/>
      <c r="F1494"/>
      <c r="G1494"/>
      <c r="H1494"/>
      <c r="I1494"/>
      <c r="J1494"/>
    </row>
    <row r="1495" spans="1:10" s="2" customFormat="1">
      <c r="A1495" s="1"/>
      <c r="E1495"/>
      <c r="F1495"/>
      <c r="G1495"/>
      <c r="H1495"/>
      <c r="I1495"/>
      <c r="J1495"/>
    </row>
    <row r="1496" spans="1:10" s="2" customFormat="1">
      <c r="A1496" s="1"/>
      <c r="E1496"/>
      <c r="F1496"/>
      <c r="G1496"/>
      <c r="H1496"/>
      <c r="I1496"/>
      <c r="J1496"/>
    </row>
    <row r="1497" spans="1:10" s="2" customFormat="1">
      <c r="A1497" s="1"/>
      <c r="E1497"/>
      <c r="F1497"/>
      <c r="G1497"/>
      <c r="H1497"/>
      <c r="I1497"/>
      <c r="J1497"/>
    </row>
    <row r="1498" spans="1:10" s="2" customFormat="1">
      <c r="A1498" s="1"/>
      <c r="E1498"/>
      <c r="F1498"/>
      <c r="G1498"/>
      <c r="H1498"/>
      <c r="I1498"/>
      <c r="J1498"/>
    </row>
    <row r="1499" spans="1:10" s="2" customFormat="1">
      <c r="A1499" s="1"/>
      <c r="E1499"/>
      <c r="F1499"/>
      <c r="G1499"/>
      <c r="H1499"/>
      <c r="I1499"/>
      <c r="J1499"/>
    </row>
    <row r="1500" spans="1:10" s="2" customFormat="1">
      <c r="A1500" s="1"/>
      <c r="E1500"/>
      <c r="F1500"/>
      <c r="G1500"/>
      <c r="H1500"/>
      <c r="I1500"/>
      <c r="J1500"/>
    </row>
    <row r="1501" spans="1:10" s="2" customFormat="1">
      <c r="A1501" s="1"/>
      <c r="E1501"/>
      <c r="F1501"/>
      <c r="G1501"/>
      <c r="H1501"/>
      <c r="I1501"/>
      <c r="J1501"/>
    </row>
    <row r="1502" spans="1:10" s="2" customFormat="1">
      <c r="A1502" s="1"/>
      <c r="E1502"/>
      <c r="F1502"/>
      <c r="G1502"/>
      <c r="H1502"/>
      <c r="I1502"/>
      <c r="J1502"/>
    </row>
    <row r="1503" spans="1:10" s="2" customFormat="1">
      <c r="A1503" s="1"/>
      <c r="E1503"/>
      <c r="F1503"/>
      <c r="G1503"/>
      <c r="H1503"/>
      <c r="I1503"/>
      <c r="J1503"/>
    </row>
    <row r="1504" spans="1:10" s="2" customFormat="1">
      <c r="A1504" s="1"/>
      <c r="E1504"/>
      <c r="F1504"/>
      <c r="G1504"/>
      <c r="H1504"/>
      <c r="I1504"/>
      <c r="J1504"/>
    </row>
    <row r="1505" spans="1:10" s="2" customFormat="1">
      <c r="A1505" s="1"/>
      <c r="E1505"/>
      <c r="F1505"/>
      <c r="G1505"/>
      <c r="H1505"/>
      <c r="I1505"/>
      <c r="J1505"/>
    </row>
    <row r="1506" spans="1:10" s="2" customFormat="1">
      <c r="A1506" s="1"/>
      <c r="E1506"/>
      <c r="F1506"/>
      <c r="G1506"/>
      <c r="H1506"/>
      <c r="I1506"/>
      <c r="J1506"/>
    </row>
    <row r="1507" spans="1:10" s="2" customFormat="1">
      <c r="A1507" s="1"/>
      <c r="E1507"/>
      <c r="F1507"/>
      <c r="G1507"/>
      <c r="H1507"/>
      <c r="I1507"/>
      <c r="J1507"/>
    </row>
    <row r="1508" spans="1:10" s="2" customFormat="1">
      <c r="A1508" s="1"/>
      <c r="E1508"/>
      <c r="F1508"/>
      <c r="G1508"/>
      <c r="H1508"/>
      <c r="I1508"/>
      <c r="J1508"/>
    </row>
    <row r="1509" spans="1:10" s="2" customFormat="1">
      <c r="A1509" s="1"/>
      <c r="E1509"/>
      <c r="F1509"/>
      <c r="G1509"/>
      <c r="H1509"/>
      <c r="I1509"/>
      <c r="J1509"/>
    </row>
    <row r="1510" spans="1:10" s="2" customFormat="1">
      <c r="A1510" s="1"/>
      <c r="E1510"/>
      <c r="F1510"/>
      <c r="G1510"/>
      <c r="H1510"/>
      <c r="I1510"/>
      <c r="J1510"/>
    </row>
    <row r="1511" spans="1:10" s="2" customFormat="1">
      <c r="A1511" s="1"/>
      <c r="E1511"/>
      <c r="F1511"/>
      <c r="G1511"/>
      <c r="H1511"/>
      <c r="I1511"/>
      <c r="J1511"/>
    </row>
    <row r="1512" spans="1:10" s="2" customFormat="1">
      <c r="A1512" s="1"/>
      <c r="E1512"/>
      <c r="F1512"/>
      <c r="G1512"/>
      <c r="H1512"/>
      <c r="I1512"/>
      <c r="J1512"/>
    </row>
    <row r="1513" spans="1:10" s="2" customFormat="1">
      <c r="A1513" s="1"/>
      <c r="E1513"/>
      <c r="F1513"/>
      <c r="G1513"/>
      <c r="H1513"/>
      <c r="I1513"/>
      <c r="J1513"/>
    </row>
    <row r="1514" spans="1:10" s="2" customFormat="1">
      <c r="A1514" s="1"/>
      <c r="E1514"/>
      <c r="F1514"/>
      <c r="G1514"/>
      <c r="H1514"/>
      <c r="I1514"/>
      <c r="J1514"/>
    </row>
    <row r="1515" spans="1:10" s="2" customFormat="1">
      <c r="A1515" s="1"/>
      <c r="E1515"/>
      <c r="F1515"/>
      <c r="G1515"/>
      <c r="H1515"/>
      <c r="I1515"/>
      <c r="J1515"/>
    </row>
    <row r="1516" spans="1:10" s="2" customFormat="1">
      <c r="A1516" s="1"/>
      <c r="E1516"/>
      <c r="F1516"/>
      <c r="G1516"/>
      <c r="H1516"/>
      <c r="I1516"/>
      <c r="J1516"/>
    </row>
    <row r="1517" spans="1:10" s="2" customFormat="1">
      <c r="A1517" s="1"/>
      <c r="E1517"/>
      <c r="F1517"/>
      <c r="G1517"/>
      <c r="H1517"/>
      <c r="I1517"/>
      <c r="J1517"/>
    </row>
    <row r="1518" spans="1:10" s="2" customFormat="1">
      <c r="A1518" s="1"/>
      <c r="E1518"/>
      <c r="F1518"/>
      <c r="G1518"/>
      <c r="H1518"/>
      <c r="I1518"/>
      <c r="J1518"/>
    </row>
    <row r="1519" spans="1:10" s="2" customFormat="1">
      <c r="A1519" s="1"/>
      <c r="E1519"/>
      <c r="F1519"/>
      <c r="G1519"/>
      <c r="H1519"/>
      <c r="I1519"/>
      <c r="J1519"/>
    </row>
    <row r="1520" spans="1:10" s="2" customFormat="1">
      <c r="A1520" s="1"/>
      <c r="E1520"/>
      <c r="F1520"/>
      <c r="G1520"/>
      <c r="H1520"/>
      <c r="I1520"/>
      <c r="J1520"/>
    </row>
    <row r="1521" spans="1:10" s="2" customFormat="1">
      <c r="A1521" s="1"/>
      <c r="E1521"/>
      <c r="F1521"/>
      <c r="G1521"/>
      <c r="H1521"/>
      <c r="I1521"/>
      <c r="J1521"/>
    </row>
    <row r="1522" spans="1:10" s="2" customFormat="1">
      <c r="A1522" s="1"/>
      <c r="E1522"/>
      <c r="F1522"/>
      <c r="G1522"/>
      <c r="H1522"/>
      <c r="I1522"/>
      <c r="J1522"/>
    </row>
    <row r="1523" spans="1:10" s="2" customFormat="1">
      <c r="A1523" s="1"/>
      <c r="E1523"/>
      <c r="F1523"/>
      <c r="G1523"/>
      <c r="H1523"/>
      <c r="I1523"/>
      <c r="J1523"/>
    </row>
    <row r="1524" spans="1:10" s="2" customFormat="1">
      <c r="A1524" s="1"/>
      <c r="E1524"/>
      <c r="F1524"/>
      <c r="G1524"/>
      <c r="H1524"/>
      <c r="I1524"/>
      <c r="J1524"/>
    </row>
    <row r="1525" spans="1:10" s="2" customFormat="1">
      <c r="A1525" s="1"/>
      <c r="E1525"/>
      <c r="F1525"/>
      <c r="G1525"/>
      <c r="H1525"/>
      <c r="I1525"/>
      <c r="J1525"/>
    </row>
    <row r="1526" spans="1:10" s="2" customFormat="1">
      <c r="A1526" s="1"/>
      <c r="E1526"/>
      <c r="F1526"/>
      <c r="G1526"/>
      <c r="H1526"/>
      <c r="I1526"/>
      <c r="J1526"/>
    </row>
    <row r="1527" spans="1:10" s="2" customFormat="1">
      <c r="A1527" s="1"/>
      <c r="E1527"/>
      <c r="F1527"/>
      <c r="G1527"/>
      <c r="H1527"/>
      <c r="I1527"/>
      <c r="J1527"/>
    </row>
    <row r="1528" spans="1:10" s="2" customFormat="1">
      <c r="A1528" s="1"/>
      <c r="E1528"/>
      <c r="F1528"/>
      <c r="G1528"/>
      <c r="H1528"/>
      <c r="I1528"/>
      <c r="J1528"/>
    </row>
    <row r="1529" spans="1:10" s="2" customFormat="1">
      <c r="A1529" s="1"/>
      <c r="E1529"/>
      <c r="F1529"/>
      <c r="G1529"/>
      <c r="H1529"/>
      <c r="I1529"/>
      <c r="J1529"/>
    </row>
    <row r="1530" spans="1:10" s="2" customFormat="1">
      <c r="A1530" s="1"/>
      <c r="E1530"/>
      <c r="F1530"/>
      <c r="G1530"/>
      <c r="H1530"/>
      <c r="I1530"/>
      <c r="J1530"/>
    </row>
    <row r="1531" spans="1:10" s="2" customFormat="1">
      <c r="A1531" s="1"/>
      <c r="E1531"/>
      <c r="F1531"/>
      <c r="G1531"/>
      <c r="H1531"/>
      <c r="I1531"/>
      <c r="J1531"/>
    </row>
    <row r="1532" spans="1:10" s="2" customFormat="1">
      <c r="A1532" s="1"/>
      <c r="E1532"/>
      <c r="F1532"/>
      <c r="G1532"/>
      <c r="H1532"/>
      <c r="I1532"/>
      <c r="J1532"/>
    </row>
    <row r="1533" spans="1:10" s="2" customFormat="1">
      <c r="A1533" s="1"/>
      <c r="E1533"/>
      <c r="F1533"/>
      <c r="G1533"/>
      <c r="H1533"/>
      <c r="I1533"/>
      <c r="J1533"/>
    </row>
    <row r="1534" spans="1:10" s="2" customFormat="1">
      <c r="A1534" s="1"/>
      <c r="E1534"/>
      <c r="F1534"/>
      <c r="G1534"/>
      <c r="H1534"/>
      <c r="I1534"/>
      <c r="J1534"/>
    </row>
    <row r="1535" spans="1:10" s="2" customFormat="1">
      <c r="A1535" s="1"/>
      <c r="E1535"/>
      <c r="F1535"/>
      <c r="G1535"/>
      <c r="H1535"/>
      <c r="I1535"/>
      <c r="J1535"/>
    </row>
    <row r="1536" spans="1:10" s="2" customFormat="1">
      <c r="A1536" s="1"/>
      <c r="E1536"/>
      <c r="F1536"/>
      <c r="G1536"/>
      <c r="H1536"/>
      <c r="I1536"/>
      <c r="J1536"/>
    </row>
    <row r="1537" spans="1:10" s="2" customFormat="1">
      <c r="A1537" s="1"/>
      <c r="E1537"/>
      <c r="F1537"/>
      <c r="G1537"/>
      <c r="H1537"/>
      <c r="I1537"/>
      <c r="J1537"/>
    </row>
    <row r="1538" spans="1:10" s="2" customFormat="1">
      <c r="A1538" s="1"/>
      <c r="E1538"/>
      <c r="F1538"/>
      <c r="G1538"/>
      <c r="H1538"/>
      <c r="I1538"/>
      <c r="J1538"/>
    </row>
    <row r="1539" spans="1:10" s="2" customFormat="1">
      <c r="A1539" s="1"/>
      <c r="E1539"/>
      <c r="F1539"/>
      <c r="G1539"/>
      <c r="H1539"/>
      <c r="I1539"/>
      <c r="J1539"/>
    </row>
    <row r="1540" spans="1:10" s="2" customFormat="1">
      <c r="A1540" s="1"/>
      <c r="E1540"/>
      <c r="F1540"/>
      <c r="G1540"/>
      <c r="H1540"/>
      <c r="I1540"/>
      <c r="J1540"/>
    </row>
    <row r="1541" spans="1:10" s="2" customFormat="1">
      <c r="A1541" s="1"/>
      <c r="E1541"/>
      <c r="F1541"/>
      <c r="G1541"/>
      <c r="H1541"/>
      <c r="I1541"/>
      <c r="J1541"/>
    </row>
    <row r="1542" spans="1:10" s="2" customFormat="1">
      <c r="A1542" s="1"/>
      <c r="E1542"/>
      <c r="F1542"/>
      <c r="G1542"/>
      <c r="H1542"/>
      <c r="I1542"/>
      <c r="J1542"/>
    </row>
    <row r="1543" spans="1:10" s="2" customFormat="1">
      <c r="A1543" s="1"/>
      <c r="E1543"/>
      <c r="F1543"/>
      <c r="G1543"/>
      <c r="H1543"/>
      <c r="I1543"/>
      <c r="J1543"/>
    </row>
    <row r="1544" spans="1:10" s="2" customFormat="1">
      <c r="A1544" s="1"/>
      <c r="E1544"/>
      <c r="F1544"/>
      <c r="G1544"/>
      <c r="H1544"/>
      <c r="I1544"/>
      <c r="J1544"/>
    </row>
    <row r="1545" spans="1:10" s="2" customFormat="1">
      <c r="A1545" s="1"/>
      <c r="E1545"/>
      <c r="F1545"/>
      <c r="G1545"/>
      <c r="H1545"/>
      <c r="I1545"/>
      <c r="J1545"/>
    </row>
    <row r="1546" spans="1:10" s="2" customFormat="1">
      <c r="A1546" s="1"/>
      <c r="E1546"/>
      <c r="F1546"/>
      <c r="G1546"/>
      <c r="H1546"/>
      <c r="I1546"/>
      <c r="J1546"/>
    </row>
    <row r="1547" spans="1:10" s="2" customFormat="1">
      <c r="A1547" s="1"/>
      <c r="E1547"/>
      <c r="F1547"/>
      <c r="G1547"/>
      <c r="H1547"/>
      <c r="I1547"/>
      <c r="J1547"/>
    </row>
    <row r="1548" spans="1:10" s="2" customFormat="1">
      <c r="A1548" s="1"/>
      <c r="E1548"/>
      <c r="F1548"/>
      <c r="G1548"/>
      <c r="H1548"/>
      <c r="I1548"/>
      <c r="J1548"/>
    </row>
    <row r="1549" spans="1:10" s="2" customFormat="1">
      <c r="A1549" s="1"/>
      <c r="E1549"/>
      <c r="F1549"/>
      <c r="G1549"/>
      <c r="H1549"/>
      <c r="I1549"/>
      <c r="J1549"/>
    </row>
    <row r="1550" spans="1:10" s="2" customFormat="1">
      <c r="A1550" s="1"/>
      <c r="E1550"/>
      <c r="F1550"/>
      <c r="G1550"/>
      <c r="H1550"/>
      <c r="I1550"/>
      <c r="J1550"/>
    </row>
    <row r="1551" spans="1:10" s="2" customFormat="1">
      <c r="A1551" s="1"/>
      <c r="E1551"/>
      <c r="F1551"/>
      <c r="G1551"/>
      <c r="H1551"/>
      <c r="I1551"/>
      <c r="J1551"/>
    </row>
    <row r="1552" spans="1:10" s="2" customFormat="1">
      <c r="A1552" s="1"/>
      <c r="E1552"/>
      <c r="F1552"/>
      <c r="G1552"/>
      <c r="H1552"/>
      <c r="I1552"/>
      <c r="J1552"/>
    </row>
    <row r="1553" spans="1:10" s="2" customFormat="1">
      <c r="A1553" s="1"/>
      <c r="E1553"/>
      <c r="F1553"/>
      <c r="G1553"/>
      <c r="H1553"/>
      <c r="I1553"/>
      <c r="J1553"/>
    </row>
    <row r="1554" spans="1:10" s="2" customFormat="1">
      <c r="A1554" s="1"/>
      <c r="E1554"/>
      <c r="F1554"/>
      <c r="G1554"/>
      <c r="H1554"/>
      <c r="I1554"/>
      <c r="J1554"/>
    </row>
    <row r="1555" spans="1:10" s="2" customFormat="1">
      <c r="A1555" s="1"/>
      <c r="E1555"/>
      <c r="F1555"/>
      <c r="G1555"/>
      <c r="H1555"/>
      <c r="I1555"/>
      <c r="J1555"/>
    </row>
    <row r="1556" spans="1:10" s="2" customFormat="1">
      <c r="A1556" s="1"/>
      <c r="E1556"/>
      <c r="F1556"/>
      <c r="G1556"/>
      <c r="H1556"/>
      <c r="I1556"/>
      <c r="J1556"/>
    </row>
    <row r="1557" spans="1:10" s="2" customFormat="1">
      <c r="A1557" s="1"/>
      <c r="E1557"/>
      <c r="F1557"/>
      <c r="G1557"/>
      <c r="H1557"/>
      <c r="I1557"/>
      <c r="J1557"/>
    </row>
    <row r="1558" spans="1:10" s="2" customFormat="1">
      <c r="A1558" s="1"/>
      <c r="E1558"/>
      <c r="F1558"/>
      <c r="G1558"/>
      <c r="H1558"/>
      <c r="I1558"/>
      <c r="J1558"/>
    </row>
    <row r="1559" spans="1:10" s="2" customFormat="1">
      <c r="A1559" s="1"/>
      <c r="E1559"/>
      <c r="F1559"/>
      <c r="G1559"/>
      <c r="H1559"/>
      <c r="I1559"/>
      <c r="J1559"/>
    </row>
    <row r="1560" spans="1:10" s="2" customFormat="1">
      <c r="A1560" s="1"/>
      <c r="E1560"/>
      <c r="F1560"/>
      <c r="G1560"/>
      <c r="H1560"/>
      <c r="I1560"/>
      <c r="J1560"/>
    </row>
    <row r="1561" spans="1:10" s="2" customFormat="1">
      <c r="A1561" s="1"/>
      <c r="E1561"/>
      <c r="F1561"/>
      <c r="G1561"/>
      <c r="H1561"/>
      <c r="I1561"/>
      <c r="J1561"/>
    </row>
    <row r="1562" spans="1:10" s="2" customFormat="1">
      <c r="A1562" s="1"/>
      <c r="E1562"/>
      <c r="F1562"/>
      <c r="G1562"/>
      <c r="H1562"/>
      <c r="I1562"/>
      <c r="J1562"/>
    </row>
    <row r="1563" spans="1:10" s="2" customFormat="1">
      <c r="A1563" s="1"/>
      <c r="E1563"/>
      <c r="F1563"/>
      <c r="G1563"/>
      <c r="H1563"/>
      <c r="I1563"/>
      <c r="J1563"/>
    </row>
    <row r="1564" spans="1:10" s="2" customFormat="1">
      <c r="A1564" s="1"/>
      <c r="E1564"/>
      <c r="F1564"/>
      <c r="G1564"/>
      <c r="H1564"/>
      <c r="I1564"/>
      <c r="J1564"/>
    </row>
    <row r="1565" spans="1:10" s="2" customFormat="1">
      <c r="A1565" s="1"/>
      <c r="E1565"/>
      <c r="F1565"/>
      <c r="G1565"/>
      <c r="H1565"/>
      <c r="I1565"/>
      <c r="J1565"/>
    </row>
    <row r="1566" spans="1:10" s="2" customFormat="1">
      <c r="A1566" s="1"/>
      <c r="E1566"/>
      <c r="F1566"/>
      <c r="G1566"/>
      <c r="H1566"/>
      <c r="I1566"/>
      <c r="J1566"/>
    </row>
    <row r="1567" spans="1:10" s="2" customFormat="1">
      <c r="A1567" s="1"/>
      <c r="E1567"/>
      <c r="F1567"/>
      <c r="G1567"/>
      <c r="H1567"/>
      <c r="I1567"/>
      <c r="J1567"/>
    </row>
    <row r="1568" spans="1:10" s="2" customFormat="1">
      <c r="A1568" s="1"/>
      <c r="E1568"/>
      <c r="F1568"/>
      <c r="G1568"/>
      <c r="H1568"/>
      <c r="I1568"/>
      <c r="J1568"/>
    </row>
    <row r="1569" spans="1:10" s="2" customFormat="1">
      <c r="A1569" s="1"/>
      <c r="E1569"/>
      <c r="F1569"/>
      <c r="G1569"/>
      <c r="H1569"/>
      <c r="I1569"/>
      <c r="J1569"/>
    </row>
    <row r="1570" spans="1:10" s="2" customFormat="1">
      <c r="A1570" s="1"/>
      <c r="E1570"/>
      <c r="F1570"/>
      <c r="G1570"/>
      <c r="H1570"/>
      <c r="I1570"/>
      <c r="J1570"/>
    </row>
    <row r="1571" spans="1:10" s="2" customFormat="1">
      <c r="A1571" s="1"/>
      <c r="E1571"/>
      <c r="F1571"/>
      <c r="G1571"/>
      <c r="H1571"/>
      <c r="I1571"/>
      <c r="J1571"/>
    </row>
    <row r="1572" spans="1:10" s="2" customFormat="1">
      <c r="A1572" s="1"/>
      <c r="E1572"/>
      <c r="F1572"/>
      <c r="G1572"/>
      <c r="H1572"/>
      <c r="I1572"/>
      <c r="J1572"/>
    </row>
    <row r="1573" spans="1:10" s="2" customFormat="1">
      <c r="A1573" s="1"/>
      <c r="E1573"/>
      <c r="F1573"/>
      <c r="G1573"/>
      <c r="H1573"/>
      <c r="I1573"/>
      <c r="J1573"/>
    </row>
    <row r="1574" spans="1:10" s="2" customFormat="1">
      <c r="A1574" s="1"/>
      <c r="E1574"/>
      <c r="F1574"/>
      <c r="G1574"/>
      <c r="H1574"/>
      <c r="I1574"/>
      <c r="J1574"/>
    </row>
    <row r="1575" spans="1:10" s="2" customFormat="1">
      <c r="A1575" s="1"/>
      <c r="E1575"/>
      <c r="F1575"/>
      <c r="G1575"/>
      <c r="H1575"/>
      <c r="I1575"/>
      <c r="J1575"/>
    </row>
    <row r="1576" spans="1:10" s="2" customFormat="1">
      <c r="A1576" s="1"/>
      <c r="E1576"/>
      <c r="F1576"/>
      <c r="G1576"/>
      <c r="H1576"/>
      <c r="I1576"/>
      <c r="J1576"/>
    </row>
    <row r="1577" spans="1:10" s="2" customFormat="1">
      <c r="A1577" s="1"/>
      <c r="E1577"/>
      <c r="F1577"/>
      <c r="G1577"/>
      <c r="H1577"/>
      <c r="I1577"/>
      <c r="J1577"/>
    </row>
    <row r="1578" spans="1:10" s="2" customFormat="1">
      <c r="A1578" s="1"/>
      <c r="E1578"/>
      <c r="F1578"/>
      <c r="G1578"/>
      <c r="H1578"/>
      <c r="I1578"/>
      <c r="J1578"/>
    </row>
    <row r="1579" spans="1:10" s="2" customFormat="1">
      <c r="A1579" s="1"/>
      <c r="E1579"/>
      <c r="F1579"/>
      <c r="G1579"/>
      <c r="H1579"/>
      <c r="I1579"/>
      <c r="J1579"/>
    </row>
    <row r="1580" spans="1:10" s="2" customFormat="1">
      <c r="A1580" s="1"/>
      <c r="E1580"/>
      <c r="F1580"/>
      <c r="G1580"/>
      <c r="H1580"/>
      <c r="I1580"/>
      <c r="J1580"/>
    </row>
    <row r="1581" spans="1:10" s="2" customFormat="1">
      <c r="A1581" s="1"/>
      <c r="E1581"/>
      <c r="F1581"/>
      <c r="G1581"/>
      <c r="H1581"/>
      <c r="I1581"/>
      <c r="J1581"/>
    </row>
    <row r="1582" spans="1:10" s="2" customFormat="1">
      <c r="A1582" s="1"/>
      <c r="E1582"/>
      <c r="F1582"/>
      <c r="G1582"/>
      <c r="H1582"/>
      <c r="I1582"/>
      <c r="J1582"/>
    </row>
    <row r="1583" spans="1:10" s="2" customFormat="1">
      <c r="A1583" s="1"/>
      <c r="E1583"/>
      <c r="F1583"/>
      <c r="G1583"/>
      <c r="H1583"/>
      <c r="I1583"/>
      <c r="J1583"/>
    </row>
    <row r="1584" spans="1:10" s="2" customFormat="1">
      <c r="A1584" s="1"/>
      <c r="E1584"/>
      <c r="F1584"/>
      <c r="G1584"/>
      <c r="H1584"/>
      <c r="I1584"/>
      <c r="J1584"/>
    </row>
    <row r="1585" spans="1:10" s="2" customFormat="1">
      <c r="A1585" s="1"/>
      <c r="E1585"/>
      <c r="F1585"/>
      <c r="G1585"/>
      <c r="H1585"/>
      <c r="I1585"/>
      <c r="J1585"/>
    </row>
    <row r="1586" spans="1:10" s="2" customFormat="1">
      <c r="A1586" s="1"/>
      <c r="E1586"/>
      <c r="F1586"/>
      <c r="G1586"/>
      <c r="H1586"/>
      <c r="I1586"/>
      <c r="J1586"/>
    </row>
    <row r="1587" spans="1:10" s="2" customFormat="1">
      <c r="A1587" s="1"/>
      <c r="E1587"/>
      <c r="F1587"/>
      <c r="G1587"/>
      <c r="H1587"/>
      <c r="I1587"/>
      <c r="J1587"/>
    </row>
    <row r="1588" spans="1:10" s="2" customFormat="1">
      <c r="A1588" s="1"/>
      <c r="E1588"/>
      <c r="F1588"/>
      <c r="G1588"/>
      <c r="H1588"/>
      <c r="I1588"/>
      <c r="J1588"/>
    </row>
    <row r="1589" spans="1:10" s="2" customFormat="1">
      <c r="A1589" s="1"/>
      <c r="E1589"/>
      <c r="F1589"/>
      <c r="G1589"/>
      <c r="H1589"/>
      <c r="I1589"/>
      <c r="J1589"/>
    </row>
    <row r="1590" spans="1:10" s="2" customFormat="1">
      <c r="A1590" s="1"/>
      <c r="E1590"/>
      <c r="F1590"/>
      <c r="G1590"/>
      <c r="H1590"/>
      <c r="I1590"/>
      <c r="J1590"/>
    </row>
    <row r="1591" spans="1:10" s="2" customFormat="1">
      <c r="A1591" s="1"/>
      <c r="E1591"/>
      <c r="F1591"/>
      <c r="G1591"/>
      <c r="H1591"/>
      <c r="I1591"/>
      <c r="J1591"/>
    </row>
    <row r="1592" spans="1:10" s="2" customFormat="1">
      <c r="A1592" s="1"/>
      <c r="E1592"/>
      <c r="F1592"/>
      <c r="G1592"/>
      <c r="H1592"/>
      <c r="I1592"/>
      <c r="J1592"/>
    </row>
    <row r="1593" spans="1:10" s="2" customFormat="1">
      <c r="A1593" s="1"/>
      <c r="E1593"/>
      <c r="F1593"/>
      <c r="G1593"/>
      <c r="H1593"/>
      <c r="I1593"/>
      <c r="J1593"/>
    </row>
    <row r="1594" spans="1:10" s="2" customFormat="1">
      <c r="A1594" s="1"/>
      <c r="E1594"/>
      <c r="F1594"/>
      <c r="G1594"/>
      <c r="H1594"/>
      <c r="I1594"/>
      <c r="J1594"/>
    </row>
    <row r="1595" spans="1:10" s="2" customFormat="1">
      <c r="A1595" s="1"/>
      <c r="E1595"/>
      <c r="F1595"/>
      <c r="G1595"/>
      <c r="H1595"/>
      <c r="I1595"/>
      <c r="J1595"/>
    </row>
    <row r="1596" spans="1:10" s="2" customFormat="1">
      <c r="A1596" s="1"/>
      <c r="E1596"/>
      <c r="F1596"/>
      <c r="G1596"/>
      <c r="H1596"/>
      <c r="I1596"/>
      <c r="J1596"/>
    </row>
    <row r="1597" spans="1:10" s="2" customFormat="1">
      <c r="A1597" s="1"/>
      <c r="E1597"/>
      <c r="F1597"/>
      <c r="G1597"/>
      <c r="H1597"/>
      <c r="I1597"/>
      <c r="J1597"/>
    </row>
    <row r="1598" spans="1:10" s="2" customFormat="1">
      <c r="A1598" s="1"/>
      <c r="E1598"/>
      <c r="F1598"/>
      <c r="G1598"/>
      <c r="H1598"/>
      <c r="I1598"/>
      <c r="J1598"/>
    </row>
    <row r="1599" spans="1:10" s="2" customFormat="1">
      <c r="A1599" s="1"/>
      <c r="E1599"/>
      <c r="F1599"/>
      <c r="G1599"/>
      <c r="H1599"/>
      <c r="I1599"/>
      <c r="J1599"/>
    </row>
    <row r="1600" spans="1:10" s="2" customFormat="1">
      <c r="A1600" s="1"/>
      <c r="E1600"/>
      <c r="F1600"/>
      <c r="G1600"/>
      <c r="H1600"/>
      <c r="I1600"/>
      <c r="J1600"/>
    </row>
    <row r="1601" spans="1:10" s="2" customFormat="1">
      <c r="A1601" s="1"/>
      <c r="E1601"/>
      <c r="F1601"/>
      <c r="G1601"/>
      <c r="H1601"/>
      <c r="I1601"/>
      <c r="J1601"/>
    </row>
    <row r="1602" spans="1:10" s="2" customFormat="1">
      <c r="A1602" s="1"/>
      <c r="E1602"/>
      <c r="F1602"/>
      <c r="G1602"/>
      <c r="H1602"/>
      <c r="I1602"/>
      <c r="J1602"/>
    </row>
    <row r="1603" spans="1:10" s="2" customFormat="1">
      <c r="A1603" s="1"/>
      <c r="E1603"/>
      <c r="F1603"/>
      <c r="G1603"/>
      <c r="H1603"/>
      <c r="I1603"/>
      <c r="J1603"/>
    </row>
    <row r="1604" spans="1:10" s="2" customFormat="1">
      <c r="A1604" s="1"/>
      <c r="E1604"/>
      <c r="F1604"/>
      <c r="G1604"/>
      <c r="H1604"/>
      <c r="I1604"/>
      <c r="J1604"/>
    </row>
    <row r="1605" spans="1:10" s="2" customFormat="1">
      <c r="A1605" s="1"/>
      <c r="E1605"/>
      <c r="F1605"/>
      <c r="G1605"/>
      <c r="H1605"/>
      <c r="I1605"/>
      <c r="J1605"/>
    </row>
    <row r="1606" spans="1:10" s="2" customFormat="1">
      <c r="A1606" s="1"/>
      <c r="E1606"/>
      <c r="F1606"/>
      <c r="G1606"/>
      <c r="H1606"/>
      <c r="I1606"/>
      <c r="J1606"/>
    </row>
    <row r="1607" spans="1:10" s="2" customFormat="1">
      <c r="A1607" s="1"/>
      <c r="E1607"/>
      <c r="F1607"/>
      <c r="G1607"/>
      <c r="H1607"/>
      <c r="I1607"/>
      <c r="J1607"/>
    </row>
    <row r="1608" spans="1:10" s="2" customFormat="1">
      <c r="A1608" s="1"/>
      <c r="E1608"/>
      <c r="F1608"/>
      <c r="G1608"/>
      <c r="H1608"/>
      <c r="I1608"/>
      <c r="J1608"/>
    </row>
    <row r="1609" spans="1:10" s="2" customFormat="1">
      <c r="A1609" s="1"/>
      <c r="E1609"/>
      <c r="F1609"/>
      <c r="G1609"/>
      <c r="H1609"/>
      <c r="I1609"/>
      <c r="J1609"/>
    </row>
    <row r="1610" spans="1:10" s="2" customFormat="1">
      <c r="A1610" s="1"/>
      <c r="E1610"/>
      <c r="F1610"/>
      <c r="G1610"/>
      <c r="H1610"/>
      <c r="I1610"/>
      <c r="J1610"/>
    </row>
    <row r="1611" spans="1:10" s="2" customFormat="1">
      <c r="A1611" s="1"/>
      <c r="E1611"/>
      <c r="F1611"/>
      <c r="G1611"/>
      <c r="H1611"/>
      <c r="I1611"/>
      <c r="J1611"/>
    </row>
    <row r="1612" spans="1:10" s="2" customFormat="1">
      <c r="A1612" s="1"/>
      <c r="E1612"/>
      <c r="F1612"/>
      <c r="G1612"/>
      <c r="H1612"/>
      <c r="I1612"/>
      <c r="J1612"/>
    </row>
    <row r="1613" spans="1:10" s="2" customFormat="1">
      <c r="A1613" s="1"/>
      <c r="E1613"/>
      <c r="F1613"/>
      <c r="G1613"/>
      <c r="H1613"/>
      <c r="I1613"/>
      <c r="J1613"/>
    </row>
    <row r="1614" spans="1:10" s="2" customFormat="1">
      <c r="A1614" s="1"/>
      <c r="E1614"/>
      <c r="F1614"/>
      <c r="G1614"/>
      <c r="H1614"/>
      <c r="I1614"/>
      <c r="J1614"/>
    </row>
    <row r="1615" spans="1:10" s="2" customFormat="1">
      <c r="A1615" s="1"/>
      <c r="E1615"/>
      <c r="F1615"/>
      <c r="G1615"/>
      <c r="H1615"/>
      <c r="I1615"/>
      <c r="J1615"/>
    </row>
    <row r="1616" spans="1:10" s="2" customFormat="1">
      <c r="A1616" s="1"/>
      <c r="E1616"/>
      <c r="F1616"/>
      <c r="G1616"/>
      <c r="H1616"/>
      <c r="I1616"/>
      <c r="J1616"/>
    </row>
    <row r="1617" spans="1:10" s="2" customFormat="1">
      <c r="A1617" s="1"/>
      <c r="E1617"/>
      <c r="F1617"/>
      <c r="G1617"/>
      <c r="H1617"/>
      <c r="I1617"/>
      <c r="J1617"/>
    </row>
    <row r="1618" spans="1:10" s="2" customFormat="1">
      <c r="A1618" s="1"/>
      <c r="E1618"/>
      <c r="F1618"/>
      <c r="G1618"/>
      <c r="H1618"/>
      <c r="I1618"/>
      <c r="J1618"/>
    </row>
    <row r="1619" spans="1:10" s="2" customFormat="1">
      <c r="A1619" s="1"/>
      <c r="E1619"/>
      <c r="F1619"/>
      <c r="G1619"/>
      <c r="H1619"/>
      <c r="I1619"/>
      <c r="J1619"/>
    </row>
    <row r="1620" spans="1:10" s="2" customFormat="1">
      <c r="A1620" s="1"/>
      <c r="E1620"/>
      <c r="F1620"/>
      <c r="G1620"/>
      <c r="H1620"/>
      <c r="I1620"/>
      <c r="J1620"/>
    </row>
    <row r="1621" spans="1:10" s="2" customFormat="1">
      <c r="A1621" s="1"/>
      <c r="E1621"/>
      <c r="F1621"/>
      <c r="G1621"/>
      <c r="H1621"/>
      <c r="I1621"/>
      <c r="J1621"/>
    </row>
    <row r="1622" spans="1:10" s="2" customFormat="1">
      <c r="A1622" s="1"/>
      <c r="E1622"/>
      <c r="F1622"/>
      <c r="G1622"/>
      <c r="H1622"/>
      <c r="I1622"/>
      <c r="J1622"/>
    </row>
    <row r="1623" spans="1:10" s="2" customFormat="1">
      <c r="A1623" s="1"/>
      <c r="E1623"/>
      <c r="F1623"/>
      <c r="G1623"/>
      <c r="H1623"/>
      <c r="I1623"/>
      <c r="J1623"/>
    </row>
    <row r="1624" spans="1:10" s="2" customFormat="1">
      <c r="A1624" s="1"/>
      <c r="E1624"/>
      <c r="F1624"/>
      <c r="G1624"/>
      <c r="H1624"/>
      <c r="I1624"/>
      <c r="J1624"/>
    </row>
    <row r="1625" spans="1:10" s="2" customFormat="1">
      <c r="A1625" s="1"/>
      <c r="E1625"/>
      <c r="F1625"/>
      <c r="G1625"/>
      <c r="H1625"/>
      <c r="I1625"/>
      <c r="J1625"/>
    </row>
    <row r="1626" spans="1:10" s="2" customFormat="1">
      <c r="A1626" s="1"/>
      <c r="E1626"/>
      <c r="F1626"/>
      <c r="G1626"/>
      <c r="H1626"/>
      <c r="I1626"/>
      <c r="J1626"/>
    </row>
    <row r="1627" spans="1:10" s="2" customFormat="1">
      <c r="A1627" s="1"/>
      <c r="E1627"/>
      <c r="F1627"/>
      <c r="G1627"/>
      <c r="H1627"/>
      <c r="I1627"/>
      <c r="J1627"/>
    </row>
    <row r="1628" spans="1:10" s="2" customFormat="1">
      <c r="A1628" s="1"/>
      <c r="E1628"/>
      <c r="F1628"/>
      <c r="G1628"/>
      <c r="H1628"/>
      <c r="I1628"/>
      <c r="J1628"/>
    </row>
    <row r="1629" spans="1:10" s="2" customFormat="1">
      <c r="A1629" s="1"/>
      <c r="E1629"/>
      <c r="F1629"/>
      <c r="G1629"/>
      <c r="H1629"/>
      <c r="I1629"/>
      <c r="J1629"/>
    </row>
    <row r="1630" spans="1:10" s="2" customFormat="1">
      <c r="A1630" s="1"/>
      <c r="E1630"/>
      <c r="F1630"/>
      <c r="G1630"/>
      <c r="H1630"/>
      <c r="I1630"/>
      <c r="J1630"/>
    </row>
    <row r="1631" spans="1:10" s="2" customFormat="1">
      <c r="A1631" s="1"/>
      <c r="E1631"/>
      <c r="F1631"/>
      <c r="G1631"/>
      <c r="H1631"/>
      <c r="I1631"/>
      <c r="J1631"/>
    </row>
    <row r="1632" spans="1:10" s="2" customFormat="1">
      <c r="A1632" s="1"/>
      <c r="E1632"/>
      <c r="F1632"/>
      <c r="G1632"/>
      <c r="H1632"/>
      <c r="I1632"/>
      <c r="J1632"/>
    </row>
    <row r="1633" spans="1:10" s="2" customFormat="1">
      <c r="A1633" s="1"/>
      <c r="E1633"/>
      <c r="F1633"/>
      <c r="G1633"/>
      <c r="H1633"/>
      <c r="I1633"/>
      <c r="J1633"/>
    </row>
    <row r="1634" spans="1:10" s="2" customFormat="1">
      <c r="A1634" s="1"/>
      <c r="E1634"/>
      <c r="F1634"/>
      <c r="G1634"/>
      <c r="H1634"/>
      <c r="I1634"/>
      <c r="J1634"/>
    </row>
    <row r="1635" spans="1:10" s="2" customFormat="1">
      <c r="A1635" s="1"/>
      <c r="E1635"/>
      <c r="F1635"/>
      <c r="G1635"/>
      <c r="H1635"/>
      <c r="I1635"/>
      <c r="J1635"/>
    </row>
    <row r="1636" spans="1:10" s="2" customFormat="1">
      <c r="A1636" s="1"/>
      <c r="E1636"/>
      <c r="F1636"/>
      <c r="G1636"/>
      <c r="H1636"/>
      <c r="I1636"/>
      <c r="J1636"/>
    </row>
    <row r="1637" spans="1:10" s="2" customFormat="1">
      <c r="A1637" s="1"/>
      <c r="E1637"/>
      <c r="F1637"/>
      <c r="G1637"/>
      <c r="H1637"/>
      <c r="I1637"/>
      <c r="J1637"/>
    </row>
    <row r="1638" spans="1:10" s="2" customFormat="1">
      <c r="A1638" s="1"/>
      <c r="E1638"/>
      <c r="F1638"/>
      <c r="G1638"/>
      <c r="H1638"/>
      <c r="I1638"/>
      <c r="J1638"/>
    </row>
    <row r="1639" spans="1:10" s="2" customFormat="1">
      <c r="A1639" s="1"/>
      <c r="E1639"/>
      <c r="F1639"/>
      <c r="G1639"/>
      <c r="H1639"/>
      <c r="I1639"/>
      <c r="J1639"/>
    </row>
    <row r="1640" spans="1:10" s="2" customFormat="1">
      <c r="A1640" s="1"/>
      <c r="E1640"/>
      <c r="F1640"/>
      <c r="G1640"/>
      <c r="H1640"/>
      <c r="I1640"/>
      <c r="J1640"/>
    </row>
    <row r="1641" spans="1:10" s="2" customFormat="1">
      <c r="A1641" s="1"/>
      <c r="E1641"/>
      <c r="F1641"/>
      <c r="G1641"/>
      <c r="H1641"/>
      <c r="I1641"/>
      <c r="J1641"/>
    </row>
    <row r="1642" spans="1:10" s="2" customFormat="1">
      <c r="A1642" s="1"/>
      <c r="E1642"/>
      <c r="F1642"/>
      <c r="G1642"/>
      <c r="H1642"/>
      <c r="I1642"/>
      <c r="J1642"/>
    </row>
    <row r="1643" spans="1:10" s="2" customFormat="1">
      <c r="A1643" s="1"/>
      <c r="E1643"/>
      <c r="F1643"/>
      <c r="G1643"/>
      <c r="H1643"/>
      <c r="I1643"/>
      <c r="J1643"/>
    </row>
    <row r="1644" spans="1:10" s="2" customFormat="1">
      <c r="A1644" s="1"/>
      <c r="E1644"/>
      <c r="F1644"/>
      <c r="G1644"/>
      <c r="H1644"/>
      <c r="I1644"/>
      <c r="J1644"/>
    </row>
    <row r="1645" spans="1:10" s="2" customFormat="1">
      <c r="A1645" s="1"/>
      <c r="E1645"/>
      <c r="F1645"/>
      <c r="G1645"/>
      <c r="H1645"/>
      <c r="I1645"/>
      <c r="J1645"/>
    </row>
    <row r="1646" spans="1:10" s="2" customFormat="1">
      <c r="A1646" s="1"/>
      <c r="E1646"/>
      <c r="F1646"/>
      <c r="G1646"/>
      <c r="H1646"/>
      <c r="I1646"/>
      <c r="J1646"/>
    </row>
    <row r="1647" spans="1:10" s="2" customFormat="1">
      <c r="A1647" s="1"/>
      <c r="E1647"/>
      <c r="F1647"/>
      <c r="G1647"/>
      <c r="H1647"/>
      <c r="I1647"/>
      <c r="J1647"/>
    </row>
    <row r="1648" spans="1:10" s="2" customFormat="1">
      <c r="A1648" s="1"/>
      <c r="E1648"/>
      <c r="F1648"/>
      <c r="G1648"/>
      <c r="H1648"/>
      <c r="I1648"/>
      <c r="J1648"/>
    </row>
    <row r="1649" spans="1:10" s="2" customFormat="1">
      <c r="A1649" s="1"/>
      <c r="E1649"/>
      <c r="F1649"/>
      <c r="G1649"/>
      <c r="H1649"/>
      <c r="I1649"/>
      <c r="J1649"/>
    </row>
    <row r="1650" spans="1:10" s="2" customFormat="1">
      <c r="A1650" s="1"/>
      <c r="E1650"/>
      <c r="F1650"/>
      <c r="G1650"/>
      <c r="H1650"/>
      <c r="I1650"/>
      <c r="J1650"/>
    </row>
    <row r="1651" spans="1:10" s="2" customFormat="1">
      <c r="A1651" s="1"/>
      <c r="E1651"/>
      <c r="F1651"/>
      <c r="G1651"/>
      <c r="H1651"/>
      <c r="I1651"/>
      <c r="J1651"/>
    </row>
    <row r="1652" spans="1:10" s="2" customFormat="1">
      <c r="A1652" s="1"/>
      <c r="E1652"/>
      <c r="F1652"/>
      <c r="G1652"/>
      <c r="H1652"/>
      <c r="I1652"/>
      <c r="J1652"/>
    </row>
    <row r="1653" spans="1:10" s="2" customFormat="1">
      <c r="A1653" s="1"/>
      <c r="E1653"/>
      <c r="F1653"/>
      <c r="G1653"/>
      <c r="H1653"/>
      <c r="I1653"/>
      <c r="J1653"/>
    </row>
    <row r="1654" spans="1:10" s="2" customFormat="1">
      <c r="A1654" s="1"/>
      <c r="E1654"/>
      <c r="F1654"/>
      <c r="G1654"/>
      <c r="H1654"/>
      <c r="I1654"/>
      <c r="J1654"/>
    </row>
    <row r="1655" spans="1:10" s="2" customFormat="1">
      <c r="A1655" s="1"/>
      <c r="E1655"/>
      <c r="F1655"/>
      <c r="G1655"/>
      <c r="H1655"/>
      <c r="I1655"/>
      <c r="J1655"/>
    </row>
    <row r="1656" spans="1:10" s="2" customFormat="1">
      <c r="A1656" s="1"/>
      <c r="E1656"/>
      <c r="F1656"/>
      <c r="G1656"/>
      <c r="H1656"/>
      <c r="I1656"/>
      <c r="J1656"/>
    </row>
    <row r="1657" spans="1:10" s="2" customFormat="1">
      <c r="A1657" s="1"/>
      <c r="E1657"/>
      <c r="F1657"/>
      <c r="G1657"/>
      <c r="H1657"/>
      <c r="I1657"/>
      <c r="J1657"/>
    </row>
    <row r="1658" spans="1:10" s="2" customFormat="1">
      <c r="A1658" s="1"/>
      <c r="E1658"/>
      <c r="F1658"/>
      <c r="G1658"/>
      <c r="H1658"/>
      <c r="I1658"/>
      <c r="J1658"/>
    </row>
    <row r="1659" spans="1:10" s="2" customFormat="1">
      <c r="A1659" s="1"/>
      <c r="E1659"/>
      <c r="F1659"/>
      <c r="G1659"/>
      <c r="H1659"/>
      <c r="I1659"/>
      <c r="J1659"/>
    </row>
    <row r="1660" spans="1:10" s="2" customFormat="1">
      <c r="A1660" s="1"/>
      <c r="E1660"/>
      <c r="F1660"/>
      <c r="G1660"/>
      <c r="H1660"/>
      <c r="I1660"/>
      <c r="J1660"/>
    </row>
    <row r="1661" spans="1:10" s="2" customFormat="1">
      <c r="A1661" s="1"/>
      <c r="E1661"/>
      <c r="F1661"/>
      <c r="G1661"/>
      <c r="H1661"/>
      <c r="I1661"/>
      <c r="J1661"/>
    </row>
    <row r="1662" spans="1:10" s="2" customFormat="1">
      <c r="A1662" s="1"/>
      <c r="E1662"/>
      <c r="F1662"/>
      <c r="G1662"/>
      <c r="H1662"/>
      <c r="I1662"/>
      <c r="J1662"/>
    </row>
    <row r="1663" spans="1:10" s="2" customFormat="1">
      <c r="A1663" s="1"/>
      <c r="E1663"/>
      <c r="F1663"/>
      <c r="G1663"/>
      <c r="H1663"/>
      <c r="I1663"/>
      <c r="J1663"/>
    </row>
    <row r="1664" spans="1:10" s="2" customFormat="1">
      <c r="A1664" s="1"/>
      <c r="E1664"/>
      <c r="F1664"/>
      <c r="G1664"/>
      <c r="H1664"/>
      <c r="I1664"/>
      <c r="J1664"/>
    </row>
    <row r="1665" spans="1:10" s="2" customFormat="1">
      <c r="A1665" s="1"/>
      <c r="E1665"/>
      <c r="F1665"/>
      <c r="G1665"/>
      <c r="H1665"/>
      <c r="I1665"/>
      <c r="J1665"/>
    </row>
    <row r="1666" spans="1:10" s="2" customFormat="1">
      <c r="A1666" s="1"/>
      <c r="E1666"/>
      <c r="F1666"/>
      <c r="G1666"/>
      <c r="H1666"/>
      <c r="I1666"/>
      <c r="J1666"/>
    </row>
    <row r="1667" spans="1:10" s="2" customFormat="1">
      <c r="A1667" s="1"/>
      <c r="E1667"/>
      <c r="F1667"/>
      <c r="G1667"/>
      <c r="H1667"/>
      <c r="I1667"/>
      <c r="J1667"/>
    </row>
    <row r="1668" spans="1:10" s="2" customFormat="1">
      <c r="A1668" s="1"/>
      <c r="E1668"/>
      <c r="F1668"/>
      <c r="G1668"/>
      <c r="H1668"/>
      <c r="I1668"/>
      <c r="J1668"/>
    </row>
    <row r="1669" spans="1:10" s="2" customFormat="1">
      <c r="A1669" s="1"/>
      <c r="E1669"/>
      <c r="F1669"/>
      <c r="G1669"/>
      <c r="H1669"/>
      <c r="I1669"/>
      <c r="J1669"/>
    </row>
    <row r="1670" spans="1:10" s="2" customFormat="1">
      <c r="A1670" s="1"/>
      <c r="E1670"/>
      <c r="F1670"/>
      <c r="G1670"/>
      <c r="H1670"/>
      <c r="I1670"/>
      <c r="J1670"/>
    </row>
    <row r="1671" spans="1:10" s="2" customFormat="1">
      <c r="A1671" s="1"/>
      <c r="E1671"/>
      <c r="F1671"/>
      <c r="G1671"/>
      <c r="H1671"/>
      <c r="I1671"/>
      <c r="J1671"/>
    </row>
    <row r="1672" spans="1:10" s="2" customFormat="1">
      <c r="A1672" s="1"/>
      <c r="E1672"/>
      <c r="F1672"/>
      <c r="G1672"/>
      <c r="H1672"/>
      <c r="I1672"/>
      <c r="J1672"/>
    </row>
    <row r="1673" spans="1:10" s="2" customFormat="1">
      <c r="A1673" s="1"/>
      <c r="E1673"/>
      <c r="F1673"/>
      <c r="G1673"/>
      <c r="H1673"/>
      <c r="I1673"/>
      <c r="J1673"/>
    </row>
    <row r="1674" spans="1:10" s="2" customFormat="1">
      <c r="A1674" s="1"/>
      <c r="E1674"/>
      <c r="F1674"/>
      <c r="G1674"/>
      <c r="H1674"/>
      <c r="I1674"/>
      <c r="J1674"/>
    </row>
    <row r="1675" spans="1:10" s="2" customFormat="1">
      <c r="A1675" s="1"/>
      <c r="E1675"/>
      <c r="F1675"/>
      <c r="G1675"/>
      <c r="H1675"/>
      <c r="I1675"/>
      <c r="J1675"/>
    </row>
    <row r="1676" spans="1:10" s="2" customFormat="1">
      <c r="A1676" s="1"/>
      <c r="E1676"/>
      <c r="F1676"/>
      <c r="G1676"/>
      <c r="H1676"/>
      <c r="I1676"/>
      <c r="J1676"/>
    </row>
    <row r="1677" spans="1:10" s="2" customFormat="1">
      <c r="A1677" s="1"/>
      <c r="E1677"/>
      <c r="F1677"/>
      <c r="G1677"/>
      <c r="H1677"/>
      <c r="I1677"/>
      <c r="J1677"/>
    </row>
    <row r="1678" spans="1:10" s="2" customFormat="1">
      <c r="A1678" s="1"/>
      <c r="E1678"/>
      <c r="F1678"/>
      <c r="G1678"/>
      <c r="H1678"/>
      <c r="I1678"/>
      <c r="J1678"/>
    </row>
    <row r="1679" spans="1:10" s="2" customFormat="1">
      <c r="A1679" s="1"/>
      <c r="E1679"/>
      <c r="F1679"/>
      <c r="G1679"/>
      <c r="H1679"/>
      <c r="I1679"/>
      <c r="J1679"/>
    </row>
    <row r="1680" spans="1:10" s="2" customFormat="1">
      <c r="A1680" s="1"/>
      <c r="E1680"/>
      <c r="F1680"/>
      <c r="G1680"/>
      <c r="H1680"/>
      <c r="I1680"/>
      <c r="J1680"/>
    </row>
    <row r="1681" spans="1:10" s="2" customFormat="1">
      <c r="A1681" s="1"/>
      <c r="E1681"/>
      <c r="F1681"/>
      <c r="G1681"/>
      <c r="H1681"/>
      <c r="I1681"/>
      <c r="J1681"/>
    </row>
    <row r="1682" spans="1:10" s="2" customFormat="1">
      <c r="A1682" s="1"/>
      <c r="E1682"/>
      <c r="F1682"/>
      <c r="G1682"/>
      <c r="H1682"/>
      <c r="I1682"/>
      <c r="J1682"/>
    </row>
    <row r="1683" spans="1:10" s="2" customFormat="1">
      <c r="A1683" s="1"/>
      <c r="E1683"/>
      <c r="F1683"/>
      <c r="G1683"/>
      <c r="H1683"/>
      <c r="I1683"/>
      <c r="J1683"/>
    </row>
    <row r="1684" spans="1:10" s="2" customFormat="1">
      <c r="A1684" s="1"/>
      <c r="E1684"/>
      <c r="F1684"/>
      <c r="G1684"/>
      <c r="H1684"/>
      <c r="I1684"/>
      <c r="J1684"/>
    </row>
    <row r="1685" spans="1:10" s="2" customFormat="1">
      <c r="A1685" s="1"/>
      <c r="E1685"/>
      <c r="F1685"/>
      <c r="G1685"/>
      <c r="H1685"/>
      <c r="I1685"/>
      <c r="J1685"/>
    </row>
    <row r="1686" spans="1:10" s="2" customFormat="1">
      <c r="A1686" s="1"/>
      <c r="E1686"/>
      <c r="F1686"/>
      <c r="G1686"/>
      <c r="H1686"/>
      <c r="I1686"/>
      <c r="J1686"/>
    </row>
    <row r="1687" spans="1:10" s="2" customFormat="1">
      <c r="A1687" s="1"/>
      <c r="E1687"/>
      <c r="F1687"/>
      <c r="G1687"/>
      <c r="H1687"/>
      <c r="I1687"/>
      <c r="J1687"/>
    </row>
    <row r="1688" spans="1:10" s="2" customFormat="1">
      <c r="A1688" s="1"/>
      <c r="E1688"/>
      <c r="F1688"/>
      <c r="G1688"/>
      <c r="H1688"/>
      <c r="I1688"/>
      <c r="J1688"/>
    </row>
    <row r="1689" spans="1:10" s="2" customFormat="1">
      <c r="A1689" s="1"/>
      <c r="E1689"/>
      <c r="F1689"/>
      <c r="G1689"/>
      <c r="H1689"/>
      <c r="I1689"/>
      <c r="J1689"/>
    </row>
    <row r="1690" spans="1:10" s="2" customFormat="1">
      <c r="A1690" s="1"/>
      <c r="E1690"/>
      <c r="F1690"/>
      <c r="G1690"/>
      <c r="H1690"/>
      <c r="I1690"/>
      <c r="J1690"/>
    </row>
    <row r="1691" spans="1:10" s="2" customFormat="1">
      <c r="A1691" s="1"/>
      <c r="E1691"/>
      <c r="F1691"/>
      <c r="G1691"/>
      <c r="H1691"/>
      <c r="I1691"/>
      <c r="J1691"/>
    </row>
    <row r="1692" spans="1:10" s="2" customFormat="1">
      <c r="A1692" s="1"/>
      <c r="E1692"/>
      <c r="F1692"/>
      <c r="G1692"/>
      <c r="H1692"/>
      <c r="I1692"/>
      <c r="J1692"/>
    </row>
    <row r="1693" spans="1:10" s="2" customFormat="1">
      <c r="A1693" s="1"/>
      <c r="E1693"/>
      <c r="F1693"/>
      <c r="G1693"/>
      <c r="H1693"/>
      <c r="I1693"/>
      <c r="J1693"/>
    </row>
    <row r="1694" spans="1:10" s="2" customFormat="1">
      <c r="A1694" s="1"/>
      <c r="E1694"/>
      <c r="F1694"/>
      <c r="G1694"/>
      <c r="H1694"/>
      <c r="I1694"/>
      <c r="J1694"/>
    </row>
    <row r="1695" spans="1:10" s="2" customFormat="1">
      <c r="A1695" s="1"/>
      <c r="E1695"/>
      <c r="F1695"/>
      <c r="G1695"/>
      <c r="H1695"/>
      <c r="I1695"/>
      <c r="J1695"/>
    </row>
    <row r="1696" spans="1:10" s="2" customFormat="1">
      <c r="A1696" s="1"/>
      <c r="E1696"/>
      <c r="F1696"/>
      <c r="G1696"/>
      <c r="H1696"/>
      <c r="I1696"/>
      <c r="J1696"/>
    </row>
    <row r="1697" spans="1:10" s="2" customFormat="1">
      <c r="A1697" s="1"/>
      <c r="E1697"/>
      <c r="F1697"/>
      <c r="G1697"/>
      <c r="H1697"/>
      <c r="I1697"/>
      <c r="J1697"/>
    </row>
    <row r="1698" spans="1:10" s="2" customFormat="1">
      <c r="A1698" s="1"/>
      <c r="E1698"/>
      <c r="F1698"/>
      <c r="G1698"/>
      <c r="H1698"/>
      <c r="I1698"/>
      <c r="J1698"/>
    </row>
    <row r="1699" spans="1:10" s="2" customFormat="1">
      <c r="A1699" s="1"/>
      <c r="E1699"/>
      <c r="F1699"/>
      <c r="G1699"/>
      <c r="H1699"/>
      <c r="I1699"/>
      <c r="J1699"/>
    </row>
    <row r="1700" spans="1:10" s="2" customFormat="1">
      <c r="A1700" s="1"/>
      <c r="E1700"/>
      <c r="F1700"/>
      <c r="G1700"/>
      <c r="H1700"/>
      <c r="I1700"/>
      <c r="J1700"/>
    </row>
    <row r="1701" spans="1:10" s="2" customFormat="1">
      <c r="A1701" s="1"/>
      <c r="E1701"/>
      <c r="F1701"/>
      <c r="G1701"/>
      <c r="H1701"/>
      <c r="I1701"/>
      <c r="J1701"/>
    </row>
    <row r="1702" spans="1:10" s="2" customFormat="1">
      <c r="A1702" s="1"/>
      <c r="E1702"/>
      <c r="F1702"/>
      <c r="G1702"/>
      <c r="H1702"/>
      <c r="I1702"/>
      <c r="J1702"/>
    </row>
    <row r="1703" spans="1:10" s="2" customFormat="1">
      <c r="A1703" s="1"/>
      <c r="E1703"/>
      <c r="F1703"/>
      <c r="G1703"/>
      <c r="H1703"/>
      <c r="I1703"/>
      <c r="J1703"/>
    </row>
    <row r="1704" spans="1:10" s="2" customFormat="1">
      <c r="A1704" s="1"/>
      <c r="E1704"/>
      <c r="F1704"/>
      <c r="G1704"/>
      <c r="H1704"/>
      <c r="I1704"/>
      <c r="J1704"/>
    </row>
    <row r="1705" spans="1:10" s="2" customFormat="1">
      <c r="A1705" s="1"/>
      <c r="E1705"/>
      <c r="F1705"/>
      <c r="G1705"/>
      <c r="H1705"/>
      <c r="I1705"/>
      <c r="J1705"/>
    </row>
    <row r="1706" spans="1:10" s="2" customFormat="1">
      <c r="A1706" s="1"/>
      <c r="E1706"/>
      <c r="F1706"/>
      <c r="G1706"/>
      <c r="H1706"/>
      <c r="I1706"/>
      <c r="J1706"/>
    </row>
    <row r="1707" spans="1:10" s="2" customFormat="1">
      <c r="A1707" s="1"/>
      <c r="E1707"/>
      <c r="F1707"/>
      <c r="G1707"/>
      <c r="H1707"/>
      <c r="I1707"/>
      <c r="J1707"/>
    </row>
    <row r="1708" spans="1:10" s="2" customFormat="1">
      <c r="A1708" s="1"/>
      <c r="E1708"/>
      <c r="F1708"/>
      <c r="G1708"/>
      <c r="H1708"/>
      <c r="I1708"/>
      <c r="J1708"/>
    </row>
    <row r="1709" spans="1:10" s="2" customFormat="1">
      <c r="A1709" s="1"/>
      <c r="E1709"/>
      <c r="F1709"/>
      <c r="G1709"/>
      <c r="H1709"/>
      <c r="I1709"/>
      <c r="J1709"/>
    </row>
    <row r="1710" spans="1:10" s="2" customFormat="1">
      <c r="A1710" s="1"/>
      <c r="E1710"/>
      <c r="F1710"/>
      <c r="G1710"/>
      <c r="H1710"/>
      <c r="I1710"/>
      <c r="J1710"/>
    </row>
    <row r="1711" spans="1:10" s="2" customFormat="1">
      <c r="A1711" s="1"/>
      <c r="E1711"/>
      <c r="F1711"/>
      <c r="G1711"/>
      <c r="H1711"/>
      <c r="I1711"/>
      <c r="J1711"/>
    </row>
    <row r="1712" spans="1:10" s="2" customFormat="1">
      <c r="A1712" s="1"/>
      <c r="E1712"/>
      <c r="F1712"/>
      <c r="G1712"/>
      <c r="H1712"/>
      <c r="I1712"/>
      <c r="J1712"/>
    </row>
    <row r="1713" spans="1:10" s="2" customFormat="1">
      <c r="A1713" s="1"/>
      <c r="E1713"/>
      <c r="F1713"/>
      <c r="G1713"/>
      <c r="H1713"/>
      <c r="I1713"/>
      <c r="J1713"/>
    </row>
    <row r="1714" spans="1:10" s="2" customFormat="1">
      <c r="A1714" s="1"/>
      <c r="E1714"/>
      <c r="F1714"/>
      <c r="G1714"/>
      <c r="H1714"/>
      <c r="I1714"/>
      <c r="J1714"/>
    </row>
    <row r="1715" spans="1:10" s="2" customFormat="1">
      <c r="A1715" s="1"/>
      <c r="E1715"/>
      <c r="F1715"/>
      <c r="G1715"/>
      <c r="H1715"/>
      <c r="I1715"/>
      <c r="J1715"/>
    </row>
    <row r="1716" spans="1:10" s="2" customFormat="1">
      <c r="A1716" s="1"/>
      <c r="E1716"/>
      <c r="F1716"/>
      <c r="G1716"/>
      <c r="H1716"/>
      <c r="I1716"/>
      <c r="J1716"/>
    </row>
    <row r="1717" spans="1:10" s="2" customFormat="1">
      <c r="A1717" s="1"/>
      <c r="E1717"/>
      <c r="F1717"/>
      <c r="G1717"/>
      <c r="H1717"/>
      <c r="I1717"/>
      <c r="J1717"/>
    </row>
    <row r="1718" spans="1:10" s="2" customFormat="1">
      <c r="A1718" s="1"/>
      <c r="E1718"/>
      <c r="F1718"/>
      <c r="G1718"/>
      <c r="H1718"/>
      <c r="I1718"/>
      <c r="J1718"/>
    </row>
    <row r="1719" spans="1:10" s="2" customFormat="1">
      <c r="A1719" s="1"/>
      <c r="E1719"/>
      <c r="F1719"/>
      <c r="G1719"/>
      <c r="H1719"/>
      <c r="I1719"/>
      <c r="J1719"/>
    </row>
    <row r="1720" spans="1:10" s="2" customFormat="1">
      <c r="A1720" s="1"/>
      <c r="E1720"/>
      <c r="F1720"/>
      <c r="G1720"/>
      <c r="H1720"/>
      <c r="I1720"/>
      <c r="J1720"/>
    </row>
    <row r="1721" spans="1:10" s="2" customFormat="1">
      <c r="A1721" s="1"/>
      <c r="E1721"/>
      <c r="F1721"/>
      <c r="G1721"/>
      <c r="H1721"/>
      <c r="I1721"/>
      <c r="J1721"/>
    </row>
    <row r="1722" spans="1:10" s="2" customFormat="1">
      <c r="A1722" s="1"/>
      <c r="E1722"/>
      <c r="F1722"/>
      <c r="G1722"/>
      <c r="H1722"/>
      <c r="I1722"/>
      <c r="J1722"/>
    </row>
    <row r="1723" spans="1:10" s="2" customFormat="1">
      <c r="A1723" s="1"/>
      <c r="E1723"/>
      <c r="F1723"/>
      <c r="G1723"/>
      <c r="H1723"/>
      <c r="I1723"/>
      <c r="J1723"/>
    </row>
    <row r="1724" spans="1:10" s="2" customFormat="1">
      <c r="A1724" s="1"/>
      <c r="E1724"/>
      <c r="F1724"/>
      <c r="G1724"/>
      <c r="H1724"/>
      <c r="I1724"/>
      <c r="J1724"/>
    </row>
    <row r="1725" spans="1:10" s="2" customFormat="1">
      <c r="A1725" s="1"/>
      <c r="E1725"/>
      <c r="F1725"/>
      <c r="G1725"/>
      <c r="H1725"/>
      <c r="I1725"/>
      <c r="J1725"/>
    </row>
    <row r="1726" spans="1:10" s="2" customFormat="1">
      <c r="A1726" s="1"/>
      <c r="E1726"/>
      <c r="F1726"/>
      <c r="G1726"/>
      <c r="H1726"/>
      <c r="I1726"/>
      <c r="J1726"/>
    </row>
    <row r="1727" spans="1:10" s="2" customFormat="1">
      <c r="A1727" s="1"/>
      <c r="E1727"/>
      <c r="F1727"/>
      <c r="G1727"/>
      <c r="H1727"/>
      <c r="I1727"/>
      <c r="J1727"/>
    </row>
    <row r="1728" spans="1:10" s="2" customFormat="1">
      <c r="A1728" s="1"/>
      <c r="E1728"/>
      <c r="F1728"/>
      <c r="G1728"/>
      <c r="H1728"/>
      <c r="I1728"/>
      <c r="J1728"/>
    </row>
    <row r="1729" spans="1:10" s="2" customFormat="1">
      <c r="A1729" s="1"/>
      <c r="E1729"/>
      <c r="F1729"/>
      <c r="G1729"/>
      <c r="H1729"/>
      <c r="I1729"/>
      <c r="J1729"/>
    </row>
    <row r="1730" spans="1:10" s="2" customFormat="1">
      <c r="A1730" s="1"/>
      <c r="E1730"/>
      <c r="F1730"/>
      <c r="G1730"/>
      <c r="H1730"/>
      <c r="I1730"/>
      <c r="J1730"/>
    </row>
    <row r="1731" spans="1:10" s="2" customFormat="1">
      <c r="A1731" s="1"/>
      <c r="E1731"/>
      <c r="F1731"/>
      <c r="G1731"/>
      <c r="H1731"/>
      <c r="I1731"/>
      <c r="J1731"/>
    </row>
    <row r="1732" spans="1:10" s="2" customFormat="1">
      <c r="A1732" s="1"/>
      <c r="E1732"/>
      <c r="F1732"/>
      <c r="G1732"/>
      <c r="H1732"/>
      <c r="I1732"/>
      <c r="J1732"/>
    </row>
    <row r="1733" spans="1:10" s="2" customFormat="1">
      <c r="A1733" s="1"/>
      <c r="E1733"/>
      <c r="F1733"/>
      <c r="G1733"/>
      <c r="H1733"/>
      <c r="I1733"/>
      <c r="J1733"/>
    </row>
    <row r="1734" spans="1:10" s="2" customFormat="1">
      <c r="A1734" s="1"/>
      <c r="E1734"/>
      <c r="F1734"/>
      <c r="G1734"/>
      <c r="H1734"/>
      <c r="I1734"/>
      <c r="J1734"/>
    </row>
    <row r="1735" spans="1:10" s="2" customFormat="1">
      <c r="A1735" s="1"/>
      <c r="E1735"/>
      <c r="F1735"/>
      <c r="G1735"/>
      <c r="H1735"/>
      <c r="I1735"/>
      <c r="J1735"/>
    </row>
    <row r="1736" spans="1:10" s="2" customFormat="1">
      <c r="A1736" s="1"/>
      <c r="E1736"/>
      <c r="F1736"/>
      <c r="G1736"/>
      <c r="H1736"/>
      <c r="I1736"/>
      <c r="J1736"/>
    </row>
    <row r="1737" spans="1:10" s="2" customFormat="1">
      <c r="A1737" s="1"/>
      <c r="E1737"/>
      <c r="F1737"/>
      <c r="G1737"/>
      <c r="H1737"/>
      <c r="I1737"/>
      <c r="J1737"/>
    </row>
    <row r="1738" spans="1:10" s="2" customFormat="1">
      <c r="A1738" s="1"/>
      <c r="E1738"/>
      <c r="F1738"/>
      <c r="G1738"/>
      <c r="H1738"/>
      <c r="I1738"/>
      <c r="J1738"/>
    </row>
    <row r="1739" spans="1:10" s="2" customFormat="1">
      <c r="A1739" s="1"/>
      <c r="E1739"/>
      <c r="F1739"/>
      <c r="G1739"/>
      <c r="H1739"/>
      <c r="I1739"/>
      <c r="J1739"/>
    </row>
    <row r="1740" spans="1:10" s="2" customFormat="1">
      <c r="A1740" s="1"/>
      <c r="E1740"/>
      <c r="F1740"/>
      <c r="G1740"/>
      <c r="H1740"/>
      <c r="I1740"/>
      <c r="J1740"/>
    </row>
    <row r="1741" spans="1:10" s="2" customFormat="1">
      <c r="A1741" s="1"/>
      <c r="E1741"/>
      <c r="F1741"/>
      <c r="G1741"/>
      <c r="H1741"/>
      <c r="I1741"/>
      <c r="J1741"/>
    </row>
    <row r="1742" spans="1:10" s="2" customFormat="1">
      <c r="A1742" s="1"/>
      <c r="E1742"/>
      <c r="F1742"/>
      <c r="G1742"/>
      <c r="H1742"/>
      <c r="I1742"/>
      <c r="J1742"/>
    </row>
    <row r="1743" spans="1:10" s="2" customFormat="1">
      <c r="A1743" s="1"/>
      <c r="E1743"/>
      <c r="F1743"/>
      <c r="G1743"/>
      <c r="H1743"/>
      <c r="I1743"/>
      <c r="J1743"/>
    </row>
    <row r="1744" spans="1:10" s="2" customFormat="1">
      <c r="A1744" s="1"/>
      <c r="E1744"/>
      <c r="F1744"/>
      <c r="G1744"/>
      <c r="H1744"/>
      <c r="I1744"/>
      <c r="J1744"/>
    </row>
    <row r="1745" spans="1:10" s="2" customFormat="1">
      <c r="A1745" s="1"/>
      <c r="E1745"/>
      <c r="F1745"/>
      <c r="G1745"/>
      <c r="H1745"/>
      <c r="I1745"/>
      <c r="J1745"/>
    </row>
    <row r="1746" spans="1:10" s="2" customFormat="1">
      <c r="A1746" s="1"/>
      <c r="E1746"/>
      <c r="F1746"/>
      <c r="G1746"/>
      <c r="H1746"/>
      <c r="I1746"/>
      <c r="J1746"/>
    </row>
    <row r="1747" spans="1:10" s="2" customFormat="1">
      <c r="A1747" s="1"/>
      <c r="E1747"/>
      <c r="F1747"/>
      <c r="G1747"/>
      <c r="H1747"/>
      <c r="I1747"/>
      <c r="J1747"/>
    </row>
    <row r="1748" spans="1:10" s="2" customFormat="1">
      <c r="A1748" s="1"/>
      <c r="E1748"/>
      <c r="F1748"/>
      <c r="G1748"/>
      <c r="H1748"/>
      <c r="I1748"/>
      <c r="J1748"/>
    </row>
    <row r="1749" spans="1:10" s="2" customFormat="1">
      <c r="A1749" s="1"/>
      <c r="E1749"/>
      <c r="F1749"/>
      <c r="G1749"/>
      <c r="H1749"/>
      <c r="I1749"/>
      <c r="J1749"/>
    </row>
    <row r="1750" spans="1:10" s="2" customFormat="1">
      <c r="A1750" s="1"/>
      <c r="E1750"/>
      <c r="F1750"/>
      <c r="G1750"/>
      <c r="H1750"/>
      <c r="I1750"/>
      <c r="J1750"/>
    </row>
    <row r="1751" spans="1:10" s="2" customFormat="1">
      <c r="A1751" s="1"/>
      <c r="E1751"/>
      <c r="F1751"/>
      <c r="G1751"/>
      <c r="H1751"/>
      <c r="I1751"/>
      <c r="J1751"/>
    </row>
    <row r="1752" spans="1:10" s="2" customFormat="1">
      <c r="A1752" s="1"/>
      <c r="E1752"/>
      <c r="F1752"/>
      <c r="G1752"/>
      <c r="H1752"/>
      <c r="I1752"/>
      <c r="J1752"/>
    </row>
    <row r="1753" spans="1:10" s="2" customFormat="1">
      <c r="A1753" s="1"/>
      <c r="E1753"/>
      <c r="F1753"/>
      <c r="G1753"/>
      <c r="H1753"/>
      <c r="I1753"/>
      <c r="J1753"/>
    </row>
    <row r="1754" spans="1:10" s="2" customFormat="1">
      <c r="A1754" s="1"/>
      <c r="E1754"/>
      <c r="F1754"/>
      <c r="G1754"/>
      <c r="H1754"/>
      <c r="I1754"/>
      <c r="J1754"/>
    </row>
    <row r="1755" spans="1:10" s="2" customFormat="1">
      <c r="A1755" s="1"/>
      <c r="E1755"/>
      <c r="F1755"/>
      <c r="G1755"/>
      <c r="H1755"/>
      <c r="I1755"/>
      <c r="J1755"/>
    </row>
    <row r="1756" spans="1:10" s="2" customFormat="1">
      <c r="A1756" s="1"/>
      <c r="E1756"/>
      <c r="F1756"/>
      <c r="G1756"/>
      <c r="H1756"/>
      <c r="I1756"/>
      <c r="J1756"/>
    </row>
    <row r="1757" spans="1:10" s="2" customFormat="1">
      <c r="A1757" s="1"/>
      <c r="E1757"/>
      <c r="F1757"/>
      <c r="G1757"/>
      <c r="H1757"/>
      <c r="I1757"/>
      <c r="J1757"/>
    </row>
    <row r="1758" spans="1:10" s="2" customFormat="1">
      <c r="A1758" s="1"/>
      <c r="E1758"/>
      <c r="F1758"/>
      <c r="G1758"/>
      <c r="H1758"/>
      <c r="I1758"/>
      <c r="J1758"/>
    </row>
    <row r="1759" spans="1:10" s="2" customFormat="1">
      <c r="A1759" s="1"/>
      <c r="E1759"/>
      <c r="F1759"/>
      <c r="G1759"/>
      <c r="H1759"/>
      <c r="I1759"/>
      <c r="J1759"/>
    </row>
    <row r="1760" spans="1:10" s="2" customFormat="1">
      <c r="A1760" s="1"/>
      <c r="E1760"/>
      <c r="F1760"/>
      <c r="G1760"/>
      <c r="H1760"/>
      <c r="I1760"/>
      <c r="J1760"/>
    </row>
    <row r="1761" spans="1:10" s="2" customFormat="1">
      <c r="A1761" s="1"/>
      <c r="E1761"/>
      <c r="F1761"/>
      <c r="G1761"/>
      <c r="H1761"/>
      <c r="I1761"/>
      <c r="J1761"/>
    </row>
    <row r="1762" spans="1:10" s="2" customFormat="1">
      <c r="A1762" s="1"/>
      <c r="E1762"/>
      <c r="F1762"/>
      <c r="G1762"/>
      <c r="H1762"/>
      <c r="I1762"/>
      <c r="J1762"/>
    </row>
    <row r="1763" spans="1:10" s="2" customFormat="1">
      <c r="A1763" s="1"/>
      <c r="E1763"/>
      <c r="F1763"/>
      <c r="G1763"/>
      <c r="H1763"/>
      <c r="I1763"/>
      <c r="J1763"/>
    </row>
    <row r="1764" spans="1:10" s="2" customFormat="1">
      <c r="A1764" s="1"/>
      <c r="E1764"/>
      <c r="F1764"/>
      <c r="G1764"/>
      <c r="H1764"/>
      <c r="I1764"/>
      <c r="J1764"/>
    </row>
    <row r="1765" spans="1:10" s="2" customFormat="1">
      <c r="A1765" s="1"/>
      <c r="E1765"/>
      <c r="F1765"/>
      <c r="G1765"/>
      <c r="H1765"/>
      <c r="I1765"/>
      <c r="J1765"/>
    </row>
    <row r="1766" spans="1:10" s="2" customFormat="1">
      <c r="A1766" s="1"/>
      <c r="E1766"/>
      <c r="F1766"/>
      <c r="G1766"/>
      <c r="H1766"/>
      <c r="I1766"/>
      <c r="J1766"/>
    </row>
    <row r="1767" spans="1:10" s="2" customFormat="1">
      <c r="A1767" s="1"/>
      <c r="E1767"/>
      <c r="F1767"/>
      <c r="G1767"/>
      <c r="H1767"/>
      <c r="I1767"/>
      <c r="J1767"/>
    </row>
    <row r="1768" spans="1:10" s="2" customFormat="1">
      <c r="A1768" s="1"/>
      <c r="E1768"/>
      <c r="F1768"/>
      <c r="G1768"/>
      <c r="H1768"/>
      <c r="I1768"/>
      <c r="J1768"/>
    </row>
    <row r="1769" spans="1:10" s="2" customFormat="1">
      <c r="A1769" s="1"/>
      <c r="E1769"/>
      <c r="F1769"/>
      <c r="G1769"/>
      <c r="H1769"/>
      <c r="I1769"/>
      <c r="J1769"/>
    </row>
    <row r="1770" spans="1:10" s="2" customFormat="1">
      <c r="A1770" s="1"/>
      <c r="E1770"/>
      <c r="F1770"/>
      <c r="G1770"/>
      <c r="H1770"/>
      <c r="I1770"/>
      <c r="J1770"/>
    </row>
    <row r="1771" spans="1:10" s="2" customFormat="1">
      <c r="A1771" s="1"/>
      <c r="E1771"/>
      <c r="F1771"/>
      <c r="G1771"/>
      <c r="H1771"/>
      <c r="I1771"/>
      <c r="J1771"/>
    </row>
    <row r="1772" spans="1:10" s="2" customFormat="1">
      <c r="A1772" s="1"/>
      <c r="E1772"/>
      <c r="F1772"/>
      <c r="G1772"/>
      <c r="H1772"/>
      <c r="I1772"/>
      <c r="J1772"/>
    </row>
    <row r="1773" spans="1:10" s="2" customFormat="1">
      <c r="A1773" s="1"/>
      <c r="E1773"/>
      <c r="F1773"/>
      <c r="G1773"/>
      <c r="H1773"/>
      <c r="I1773"/>
      <c r="J1773"/>
    </row>
    <row r="1774" spans="1:10" s="2" customFormat="1">
      <c r="A1774" s="1"/>
      <c r="E1774"/>
      <c r="F1774"/>
      <c r="G1774"/>
      <c r="H1774"/>
      <c r="I1774"/>
      <c r="J1774"/>
    </row>
    <row r="1775" spans="1:10" s="2" customFormat="1">
      <c r="A1775" s="1"/>
      <c r="E1775"/>
      <c r="F1775"/>
      <c r="G1775"/>
      <c r="H1775"/>
      <c r="I1775"/>
      <c r="J1775"/>
    </row>
    <row r="1776" spans="1:10" s="2" customFormat="1">
      <c r="A1776" s="1"/>
      <c r="E1776"/>
      <c r="F1776"/>
      <c r="G1776"/>
      <c r="H1776"/>
      <c r="I1776"/>
      <c r="J1776"/>
    </row>
    <row r="1777" spans="1:10" s="2" customFormat="1">
      <c r="A1777" s="1"/>
      <c r="E1777"/>
      <c r="F1777"/>
      <c r="G1777"/>
      <c r="H1777"/>
      <c r="I1777"/>
      <c r="J1777"/>
    </row>
    <row r="1778" spans="1:10" s="2" customFormat="1">
      <c r="A1778" s="1"/>
      <c r="E1778"/>
      <c r="F1778"/>
      <c r="G1778"/>
      <c r="H1778"/>
      <c r="I1778"/>
      <c r="J1778"/>
    </row>
    <row r="1779" spans="1:10" s="2" customFormat="1">
      <c r="A1779" s="1"/>
      <c r="E1779"/>
      <c r="F1779"/>
      <c r="G1779"/>
      <c r="H1779"/>
      <c r="I1779"/>
      <c r="J1779"/>
    </row>
    <row r="1780" spans="1:10" s="2" customFormat="1">
      <c r="A1780" s="1"/>
      <c r="E1780"/>
      <c r="F1780"/>
      <c r="G1780"/>
      <c r="H1780"/>
      <c r="I1780"/>
      <c r="J1780"/>
    </row>
    <row r="1781" spans="1:10" s="2" customFormat="1">
      <c r="A1781" s="1"/>
      <c r="E1781"/>
      <c r="F1781"/>
      <c r="G1781"/>
      <c r="H1781"/>
      <c r="I1781"/>
      <c r="J1781"/>
    </row>
    <row r="1782" spans="1:10" s="2" customFormat="1">
      <c r="A1782" s="1"/>
      <c r="E1782"/>
      <c r="F1782"/>
      <c r="G1782"/>
      <c r="H1782"/>
      <c r="I1782"/>
      <c r="J1782"/>
    </row>
    <row r="1783" spans="1:10" s="2" customFormat="1">
      <c r="A1783" s="1"/>
      <c r="E1783"/>
      <c r="F1783"/>
      <c r="G1783"/>
      <c r="H1783"/>
      <c r="I1783"/>
      <c r="J1783"/>
    </row>
    <row r="1784" spans="1:10" s="2" customFormat="1">
      <c r="A1784" s="1"/>
      <c r="E1784"/>
      <c r="F1784"/>
      <c r="G1784"/>
      <c r="H1784"/>
      <c r="I1784"/>
      <c r="J1784"/>
    </row>
    <row r="1785" spans="1:10" s="2" customFormat="1">
      <c r="A1785" s="1"/>
      <c r="E1785"/>
      <c r="F1785"/>
      <c r="G1785"/>
      <c r="H1785"/>
      <c r="I1785"/>
      <c r="J1785"/>
    </row>
    <row r="1786" spans="1:10" s="2" customFormat="1">
      <c r="A1786" s="1"/>
      <c r="E1786"/>
      <c r="F1786"/>
      <c r="G1786"/>
      <c r="H1786"/>
      <c r="I1786"/>
      <c r="J1786"/>
    </row>
    <row r="1787" spans="1:10" s="2" customFormat="1">
      <c r="A1787" s="1"/>
      <c r="E1787"/>
      <c r="F1787"/>
      <c r="G1787"/>
      <c r="H1787"/>
      <c r="I1787"/>
      <c r="J1787"/>
    </row>
    <row r="1788" spans="1:10" s="2" customFormat="1">
      <c r="A1788" s="1"/>
      <c r="E1788"/>
      <c r="F1788"/>
      <c r="G1788"/>
      <c r="H1788"/>
      <c r="I1788"/>
      <c r="J1788"/>
    </row>
    <row r="1789" spans="1:10" s="2" customFormat="1">
      <c r="A1789" s="1"/>
      <c r="E1789"/>
      <c r="F1789"/>
      <c r="G1789"/>
      <c r="H1789"/>
      <c r="I1789"/>
      <c r="J1789"/>
    </row>
    <row r="1790" spans="1:10" s="2" customFormat="1">
      <c r="A1790" s="1"/>
      <c r="E1790"/>
      <c r="F1790"/>
      <c r="G1790"/>
      <c r="H1790"/>
      <c r="I1790"/>
      <c r="J1790"/>
    </row>
    <row r="1791" spans="1:10" s="2" customFormat="1">
      <c r="A1791" s="1"/>
      <c r="E1791"/>
      <c r="F1791"/>
      <c r="G1791"/>
      <c r="H1791"/>
      <c r="I1791"/>
      <c r="J1791"/>
    </row>
    <row r="1792" spans="1:10" s="2" customFormat="1">
      <c r="A1792" s="1"/>
      <c r="E1792"/>
      <c r="F1792"/>
      <c r="G1792"/>
      <c r="H1792"/>
      <c r="I1792"/>
      <c r="J1792"/>
    </row>
    <row r="1793" spans="1:10" s="2" customFormat="1">
      <c r="A1793" s="1"/>
      <c r="E1793"/>
      <c r="F1793"/>
      <c r="G1793"/>
      <c r="H1793"/>
      <c r="I1793"/>
      <c r="J1793"/>
    </row>
    <row r="1794" spans="1:10" s="2" customFormat="1">
      <c r="A1794" s="1"/>
      <c r="E1794"/>
      <c r="F1794"/>
      <c r="G1794"/>
      <c r="H1794"/>
      <c r="I1794"/>
      <c r="J1794"/>
    </row>
    <row r="1795" spans="1:10" s="2" customFormat="1">
      <c r="A1795" s="1"/>
      <c r="E1795"/>
      <c r="F1795"/>
      <c r="G1795"/>
      <c r="H1795"/>
      <c r="I1795"/>
      <c r="J1795"/>
    </row>
    <row r="1796" spans="1:10" s="2" customFormat="1">
      <c r="A1796" s="1"/>
      <c r="E1796"/>
      <c r="F1796"/>
      <c r="G1796"/>
      <c r="H1796"/>
      <c r="I1796"/>
      <c r="J1796"/>
    </row>
    <row r="1797" spans="1:10" s="2" customFormat="1">
      <c r="A1797" s="1"/>
      <c r="E1797"/>
      <c r="F1797"/>
      <c r="G1797"/>
      <c r="H1797"/>
      <c r="I1797"/>
      <c r="J1797"/>
    </row>
    <row r="1798" spans="1:10" s="2" customFormat="1">
      <c r="A1798" s="1"/>
      <c r="E1798"/>
      <c r="F1798"/>
      <c r="G1798"/>
      <c r="H1798"/>
      <c r="I1798"/>
      <c r="J1798"/>
    </row>
    <row r="1799" spans="1:10" s="2" customFormat="1">
      <c r="A1799" s="1"/>
      <c r="E1799"/>
      <c r="F1799"/>
      <c r="G1799"/>
      <c r="H1799"/>
      <c r="I1799"/>
      <c r="J1799"/>
    </row>
    <row r="1800" spans="1:10" s="2" customFormat="1">
      <c r="A1800" s="1"/>
      <c r="E1800"/>
      <c r="F1800"/>
      <c r="G1800"/>
      <c r="H1800"/>
      <c r="I1800"/>
      <c r="J1800"/>
    </row>
    <row r="1801" spans="1:10" s="2" customFormat="1">
      <c r="A1801" s="1"/>
      <c r="E1801"/>
      <c r="F1801"/>
      <c r="G1801"/>
      <c r="H1801"/>
      <c r="I1801"/>
      <c r="J1801"/>
    </row>
    <row r="1802" spans="1:10" s="2" customFormat="1">
      <c r="A1802" s="1"/>
      <c r="E1802"/>
      <c r="F1802"/>
      <c r="G1802"/>
      <c r="H1802"/>
      <c r="I1802"/>
      <c r="J1802"/>
    </row>
    <row r="1803" spans="1:10" s="2" customFormat="1">
      <c r="A1803" s="1"/>
      <c r="E1803"/>
      <c r="F1803"/>
      <c r="G1803"/>
      <c r="H1803"/>
      <c r="I1803"/>
      <c r="J1803"/>
    </row>
    <row r="1804" spans="1:10" s="2" customFormat="1">
      <c r="A1804" s="1"/>
      <c r="E1804"/>
      <c r="F1804"/>
      <c r="G1804"/>
      <c r="H1804"/>
      <c r="I1804"/>
      <c r="J1804"/>
    </row>
    <row r="1805" spans="1:10" s="2" customFormat="1">
      <c r="A1805" s="1"/>
      <c r="E1805"/>
      <c r="F1805"/>
      <c r="G1805"/>
      <c r="H1805"/>
      <c r="I1805"/>
      <c r="J1805"/>
    </row>
    <row r="1806" spans="1:10" s="2" customFormat="1">
      <c r="A1806" s="1"/>
      <c r="E1806"/>
      <c r="F1806"/>
      <c r="G1806"/>
      <c r="H1806"/>
      <c r="I1806"/>
      <c r="J1806"/>
    </row>
    <row r="1807" spans="1:10" s="2" customFormat="1">
      <c r="A1807" s="1"/>
      <c r="E1807"/>
      <c r="F1807"/>
      <c r="G1807"/>
      <c r="H1807"/>
      <c r="I1807"/>
      <c r="J1807"/>
    </row>
    <row r="1808" spans="1:10" s="2" customFormat="1">
      <c r="A1808" s="1"/>
      <c r="E1808"/>
      <c r="F1808"/>
      <c r="G1808"/>
      <c r="H1808"/>
      <c r="I1808"/>
      <c r="J1808"/>
    </row>
    <row r="1809" spans="1:10" s="2" customFormat="1">
      <c r="A1809" s="1"/>
      <c r="E1809"/>
      <c r="F1809"/>
      <c r="G1809"/>
      <c r="H1809"/>
      <c r="I1809"/>
      <c r="J1809"/>
    </row>
    <row r="1810" spans="1:10" s="2" customFormat="1">
      <c r="A1810" s="1"/>
      <c r="E1810"/>
      <c r="F1810"/>
      <c r="G1810"/>
      <c r="H1810"/>
      <c r="I1810"/>
      <c r="J1810"/>
    </row>
    <row r="1811" spans="1:10" s="2" customFormat="1">
      <c r="A1811" s="1"/>
      <c r="E1811"/>
      <c r="F1811"/>
      <c r="G1811"/>
      <c r="H1811"/>
      <c r="I1811"/>
      <c r="J1811"/>
    </row>
    <row r="1812" spans="1:10" s="2" customFormat="1">
      <c r="A1812" s="1"/>
      <c r="E1812"/>
      <c r="F1812"/>
      <c r="G1812"/>
      <c r="H1812"/>
      <c r="I1812"/>
      <c r="J1812"/>
    </row>
    <row r="1813" spans="1:10" s="2" customFormat="1">
      <c r="A1813" s="1"/>
      <c r="E1813"/>
      <c r="F1813"/>
      <c r="G1813"/>
      <c r="H1813"/>
      <c r="I1813"/>
      <c r="J1813"/>
    </row>
    <row r="1814" spans="1:10" s="2" customFormat="1">
      <c r="A1814" s="1"/>
      <c r="E1814"/>
      <c r="F1814"/>
      <c r="G1814"/>
      <c r="H1814"/>
      <c r="I1814"/>
      <c r="J1814"/>
    </row>
    <row r="1815" spans="1:10" s="2" customFormat="1">
      <c r="A1815" s="1"/>
      <c r="E1815"/>
      <c r="F1815"/>
      <c r="G1815"/>
      <c r="H1815"/>
      <c r="I1815"/>
      <c r="J1815"/>
    </row>
    <row r="1816" spans="1:10" s="2" customFormat="1">
      <c r="A1816" s="1"/>
      <c r="E1816"/>
      <c r="F1816"/>
      <c r="G1816"/>
      <c r="H1816"/>
      <c r="I1816"/>
      <c r="J1816"/>
    </row>
    <row r="1817" spans="1:10" s="2" customFormat="1">
      <c r="A1817" s="1"/>
      <c r="E1817"/>
      <c r="F1817"/>
      <c r="G1817"/>
      <c r="H1817"/>
      <c r="I1817"/>
      <c r="J1817"/>
    </row>
    <row r="1818" spans="1:10" s="2" customFormat="1">
      <c r="A1818" s="1"/>
      <c r="E1818"/>
      <c r="F1818"/>
      <c r="G1818"/>
      <c r="H1818"/>
      <c r="I1818"/>
      <c r="J1818"/>
    </row>
    <row r="1819" spans="1:10" s="2" customFormat="1">
      <c r="A1819" s="1"/>
      <c r="E1819"/>
      <c r="F1819"/>
      <c r="G1819"/>
      <c r="H1819"/>
      <c r="I1819"/>
      <c r="J1819"/>
    </row>
    <row r="1820" spans="1:10" s="2" customFormat="1">
      <c r="A1820" s="1"/>
      <c r="E1820"/>
      <c r="F1820"/>
      <c r="G1820"/>
      <c r="H1820"/>
      <c r="I1820"/>
      <c r="J1820"/>
    </row>
    <row r="1821" spans="1:10" s="2" customFormat="1">
      <c r="A1821" s="1"/>
      <c r="E1821"/>
      <c r="F1821"/>
      <c r="G1821"/>
      <c r="H1821"/>
      <c r="I1821"/>
      <c r="J1821"/>
    </row>
    <row r="1822" spans="1:10" s="2" customFormat="1">
      <c r="A1822" s="1"/>
      <c r="E1822"/>
      <c r="F1822"/>
      <c r="G1822"/>
      <c r="H1822"/>
      <c r="I1822"/>
      <c r="J1822"/>
    </row>
    <row r="1823" spans="1:10" s="2" customFormat="1">
      <c r="A1823" s="1"/>
      <c r="E1823"/>
      <c r="F1823"/>
      <c r="G1823"/>
      <c r="H1823"/>
      <c r="I1823"/>
      <c r="J1823"/>
    </row>
    <row r="1824" spans="1:10" s="2" customFormat="1">
      <c r="A1824" s="1"/>
      <c r="E1824"/>
      <c r="F1824"/>
      <c r="G1824"/>
      <c r="H1824"/>
      <c r="I1824"/>
      <c r="J1824"/>
    </row>
    <row r="1825" spans="1:10" s="2" customFormat="1">
      <c r="A1825" s="1"/>
      <c r="E1825"/>
      <c r="F1825"/>
      <c r="G1825"/>
      <c r="H1825"/>
      <c r="I1825"/>
      <c r="J1825"/>
    </row>
    <row r="1826" spans="1:10" s="2" customFormat="1">
      <c r="A1826" s="1"/>
      <c r="E1826"/>
      <c r="F1826"/>
      <c r="G1826"/>
      <c r="H1826"/>
      <c r="I1826"/>
      <c r="J1826"/>
    </row>
    <row r="1827" spans="1:10" s="2" customFormat="1">
      <c r="A1827" s="1"/>
      <c r="E1827"/>
      <c r="F1827"/>
      <c r="G1827"/>
      <c r="H1827"/>
      <c r="I1827"/>
      <c r="J1827"/>
    </row>
    <row r="1828" spans="1:10" s="2" customFormat="1">
      <c r="A1828" s="1"/>
      <c r="E1828"/>
      <c r="F1828"/>
      <c r="G1828"/>
      <c r="H1828"/>
      <c r="I1828"/>
      <c r="J1828"/>
    </row>
    <row r="1829" spans="1:10" s="2" customFormat="1">
      <c r="A1829" s="1"/>
      <c r="E1829"/>
      <c r="F1829"/>
      <c r="G1829"/>
      <c r="H1829"/>
      <c r="I1829"/>
      <c r="J1829"/>
    </row>
    <row r="1830" spans="1:10" s="2" customFormat="1">
      <c r="A1830" s="1"/>
      <c r="E1830"/>
      <c r="F1830"/>
      <c r="G1830"/>
      <c r="H1830"/>
      <c r="I1830"/>
      <c r="J1830"/>
    </row>
    <row r="1831" spans="1:10" s="2" customFormat="1">
      <c r="A1831" s="1"/>
      <c r="E1831"/>
      <c r="F1831"/>
      <c r="G1831"/>
      <c r="H1831"/>
      <c r="I1831"/>
      <c r="J1831"/>
    </row>
    <row r="1832" spans="1:10" s="2" customFormat="1">
      <c r="A1832" s="1"/>
      <c r="E1832"/>
      <c r="F1832"/>
      <c r="G1832"/>
      <c r="H1832"/>
      <c r="I1832"/>
      <c r="J1832"/>
    </row>
    <row r="1833" spans="1:10" s="2" customFormat="1">
      <c r="A1833" s="1"/>
      <c r="E1833"/>
      <c r="F1833"/>
      <c r="G1833"/>
      <c r="H1833"/>
      <c r="I1833"/>
      <c r="J1833"/>
    </row>
    <row r="1834" spans="1:10" s="2" customFormat="1">
      <c r="A1834" s="1"/>
      <c r="E1834"/>
      <c r="F1834"/>
      <c r="G1834"/>
      <c r="H1834"/>
      <c r="I1834"/>
      <c r="J1834"/>
    </row>
    <row r="1835" spans="1:10" s="2" customFormat="1">
      <c r="A1835" s="1"/>
      <c r="E1835"/>
      <c r="F1835"/>
      <c r="G1835"/>
      <c r="H1835"/>
      <c r="I1835"/>
      <c r="J1835"/>
    </row>
    <row r="1836" spans="1:10" s="2" customFormat="1">
      <c r="A1836" s="1"/>
      <c r="E1836"/>
      <c r="F1836"/>
      <c r="G1836"/>
      <c r="H1836"/>
      <c r="I1836"/>
      <c r="J1836"/>
    </row>
    <row r="1837" spans="1:10" s="2" customFormat="1">
      <c r="A1837" s="1"/>
      <c r="E1837"/>
      <c r="F1837"/>
      <c r="G1837"/>
      <c r="H1837"/>
      <c r="I1837"/>
      <c r="J1837"/>
    </row>
    <row r="1838" spans="1:10" s="2" customFormat="1">
      <c r="A1838" s="1"/>
      <c r="E1838"/>
      <c r="F1838"/>
      <c r="G1838"/>
      <c r="H1838"/>
      <c r="I1838"/>
      <c r="J1838"/>
    </row>
    <row r="1839" spans="1:10" s="2" customFormat="1">
      <c r="A1839" s="1"/>
      <c r="E1839"/>
      <c r="F1839"/>
      <c r="G1839"/>
      <c r="H1839"/>
      <c r="I1839"/>
      <c r="J1839"/>
    </row>
    <row r="1840" spans="1:10" s="2" customFormat="1">
      <c r="A1840" s="1"/>
      <c r="E1840"/>
      <c r="F1840"/>
      <c r="G1840"/>
      <c r="H1840"/>
      <c r="I1840"/>
      <c r="J1840"/>
    </row>
    <row r="1841" spans="1:10" s="2" customFormat="1">
      <c r="A1841" s="1"/>
      <c r="E1841"/>
      <c r="F1841"/>
      <c r="G1841"/>
      <c r="H1841"/>
      <c r="I1841"/>
      <c r="J1841"/>
    </row>
    <row r="1842" spans="1:10" s="2" customFormat="1">
      <c r="A1842" s="1"/>
      <c r="E1842"/>
      <c r="F1842"/>
      <c r="G1842"/>
      <c r="H1842"/>
      <c r="I1842"/>
      <c r="J1842"/>
    </row>
    <row r="1843" spans="1:10" s="2" customFormat="1">
      <c r="A1843" s="1"/>
      <c r="E1843"/>
      <c r="F1843"/>
      <c r="G1843"/>
      <c r="H1843"/>
      <c r="I1843"/>
      <c r="J1843"/>
    </row>
    <row r="1844" spans="1:10" s="2" customFormat="1">
      <c r="A1844" s="1"/>
      <c r="E1844"/>
      <c r="F1844"/>
      <c r="G1844"/>
      <c r="H1844"/>
      <c r="I1844"/>
      <c r="J1844"/>
    </row>
    <row r="1845" spans="1:10" s="2" customFormat="1">
      <c r="A1845" s="1"/>
      <c r="E1845"/>
      <c r="F1845"/>
      <c r="G1845"/>
      <c r="H1845"/>
      <c r="I1845"/>
      <c r="J1845"/>
    </row>
    <row r="1846" spans="1:10" s="2" customFormat="1">
      <c r="A1846" s="1"/>
      <c r="E1846"/>
      <c r="F1846"/>
      <c r="G1846"/>
      <c r="H1846"/>
      <c r="I1846"/>
      <c r="J1846"/>
    </row>
    <row r="1847" spans="1:10" s="2" customFormat="1">
      <c r="A1847" s="1"/>
      <c r="E1847"/>
      <c r="F1847"/>
      <c r="G1847"/>
      <c r="H1847"/>
      <c r="I1847"/>
      <c r="J1847"/>
    </row>
    <row r="1848" spans="1:10" s="2" customFormat="1">
      <c r="A1848" s="1"/>
      <c r="E1848"/>
      <c r="F1848"/>
      <c r="G1848"/>
      <c r="H1848"/>
      <c r="I1848"/>
      <c r="J1848"/>
    </row>
    <row r="1849" spans="1:10" s="2" customFormat="1">
      <c r="A1849" s="1"/>
      <c r="E1849"/>
      <c r="F1849"/>
      <c r="G1849"/>
      <c r="H1849"/>
      <c r="I1849"/>
      <c r="J1849"/>
    </row>
    <row r="1850" spans="1:10" s="2" customFormat="1">
      <c r="A1850" s="1"/>
      <c r="E1850"/>
      <c r="F1850"/>
      <c r="G1850"/>
      <c r="H1850"/>
      <c r="I1850"/>
      <c r="J1850"/>
    </row>
    <row r="1851" spans="1:10" s="2" customFormat="1">
      <c r="A1851" s="1"/>
      <c r="E1851"/>
      <c r="F1851"/>
      <c r="G1851"/>
      <c r="H1851"/>
      <c r="I1851"/>
      <c r="J1851"/>
    </row>
    <row r="1852" spans="1:10" s="2" customFormat="1">
      <c r="A1852" s="1"/>
      <c r="E1852"/>
      <c r="F1852"/>
      <c r="G1852"/>
      <c r="H1852"/>
      <c r="I1852"/>
      <c r="J1852"/>
    </row>
    <row r="1853" spans="1:10" s="2" customFormat="1">
      <c r="A1853" s="1"/>
      <c r="E1853"/>
      <c r="F1853"/>
      <c r="G1853"/>
      <c r="H1853"/>
      <c r="I1853"/>
      <c r="J1853"/>
    </row>
    <row r="1854" spans="1:10" s="2" customFormat="1">
      <c r="A1854" s="1"/>
      <c r="E1854"/>
      <c r="F1854"/>
      <c r="G1854"/>
      <c r="H1854"/>
      <c r="I1854"/>
      <c r="J1854"/>
    </row>
    <row r="1855" spans="1:10" s="2" customFormat="1">
      <c r="A1855" s="1"/>
      <c r="E1855"/>
      <c r="F1855"/>
      <c r="G1855"/>
      <c r="H1855"/>
      <c r="I1855"/>
      <c r="J1855"/>
    </row>
    <row r="1856" spans="1:10" s="2" customFormat="1">
      <c r="A1856" s="1"/>
      <c r="E1856"/>
      <c r="F1856"/>
      <c r="G1856"/>
      <c r="H1856"/>
      <c r="I1856"/>
      <c r="J1856"/>
    </row>
    <row r="1857" spans="1:10" s="2" customFormat="1">
      <c r="A1857" s="1"/>
      <c r="E1857"/>
      <c r="F1857"/>
      <c r="G1857"/>
      <c r="H1857"/>
      <c r="I1857"/>
      <c r="J1857"/>
    </row>
    <row r="1858" spans="1:10" s="2" customFormat="1">
      <c r="A1858" s="1"/>
      <c r="E1858"/>
      <c r="F1858"/>
      <c r="G1858"/>
      <c r="H1858"/>
      <c r="I1858"/>
      <c r="J1858"/>
    </row>
    <row r="1859" spans="1:10" s="2" customFormat="1">
      <c r="A1859" s="1"/>
      <c r="E1859"/>
      <c r="F1859"/>
      <c r="G1859"/>
      <c r="H1859"/>
      <c r="I1859"/>
      <c r="J1859"/>
    </row>
    <row r="1860" spans="1:10" s="2" customFormat="1">
      <c r="A1860" s="1"/>
      <c r="E1860"/>
      <c r="F1860"/>
      <c r="G1860"/>
      <c r="H1860"/>
      <c r="I1860"/>
      <c r="J1860"/>
    </row>
    <row r="1861" spans="1:10" s="2" customFormat="1">
      <c r="A1861" s="1"/>
      <c r="E1861"/>
      <c r="F1861"/>
      <c r="G1861"/>
      <c r="H1861"/>
      <c r="I1861"/>
      <c r="J1861"/>
    </row>
    <row r="1862" spans="1:10" s="2" customFormat="1">
      <c r="A1862" s="1"/>
      <c r="E1862"/>
      <c r="F1862"/>
      <c r="G1862"/>
      <c r="H1862"/>
      <c r="I1862"/>
      <c r="J1862"/>
    </row>
    <row r="1863" spans="1:10" s="2" customFormat="1">
      <c r="A1863" s="1"/>
      <c r="E1863"/>
      <c r="F1863"/>
      <c r="G1863"/>
      <c r="H1863"/>
      <c r="I1863"/>
      <c r="J1863"/>
    </row>
    <row r="1864" spans="1:10" s="2" customFormat="1">
      <c r="A1864" s="1"/>
      <c r="E1864"/>
      <c r="F1864"/>
      <c r="G1864"/>
      <c r="H1864"/>
      <c r="I1864"/>
      <c r="J1864"/>
    </row>
    <row r="1865" spans="1:10" s="2" customFormat="1">
      <c r="A1865" s="1"/>
      <c r="E1865"/>
      <c r="F1865"/>
      <c r="G1865"/>
      <c r="H1865"/>
      <c r="I1865"/>
      <c r="J1865"/>
    </row>
    <row r="1866" spans="1:10" s="2" customFormat="1">
      <c r="A1866" s="1"/>
      <c r="E1866"/>
      <c r="F1866"/>
      <c r="G1866"/>
      <c r="H1866"/>
      <c r="I1866"/>
      <c r="J1866"/>
    </row>
    <row r="1867" spans="1:10" s="2" customFormat="1">
      <c r="A1867" s="1"/>
      <c r="E1867"/>
      <c r="F1867"/>
      <c r="G1867"/>
      <c r="H1867"/>
      <c r="I1867"/>
      <c r="J1867"/>
    </row>
    <row r="1868" spans="1:10" s="2" customFormat="1">
      <c r="A1868" s="1"/>
      <c r="E1868"/>
      <c r="F1868"/>
      <c r="G1868"/>
      <c r="H1868"/>
      <c r="I1868"/>
      <c r="J1868"/>
    </row>
    <row r="1869" spans="1:10" s="2" customFormat="1">
      <c r="A1869" s="1"/>
      <c r="E1869"/>
      <c r="F1869"/>
      <c r="G1869"/>
      <c r="H1869"/>
      <c r="I1869"/>
      <c r="J1869"/>
    </row>
    <row r="1870" spans="1:10" s="2" customFormat="1">
      <c r="A1870" s="1"/>
      <c r="E1870"/>
      <c r="F1870"/>
      <c r="G1870"/>
      <c r="H1870"/>
      <c r="I1870"/>
      <c r="J1870"/>
    </row>
    <row r="1871" spans="1:10" s="2" customFormat="1">
      <c r="A1871" s="1"/>
      <c r="E1871"/>
      <c r="F1871"/>
      <c r="G1871"/>
      <c r="H1871"/>
      <c r="I1871"/>
      <c r="J1871"/>
    </row>
    <row r="1872" spans="1:10" s="2" customFormat="1">
      <c r="A1872" s="1"/>
      <c r="E1872"/>
      <c r="F1872"/>
      <c r="G1872"/>
      <c r="H1872"/>
      <c r="I1872"/>
      <c r="J1872"/>
    </row>
    <row r="1873" spans="1:10" s="2" customFormat="1">
      <c r="A1873" s="1"/>
      <c r="E1873"/>
      <c r="F1873"/>
      <c r="G1873"/>
      <c r="H1873"/>
      <c r="I1873"/>
      <c r="J1873"/>
    </row>
    <row r="1874" spans="1:10" s="2" customFormat="1">
      <c r="A1874" s="1"/>
      <c r="E1874"/>
      <c r="F1874"/>
      <c r="G1874"/>
      <c r="H1874"/>
      <c r="I1874"/>
      <c r="J1874"/>
    </row>
    <row r="1875" spans="1:10" s="2" customFormat="1">
      <c r="A1875" s="1"/>
      <c r="E1875"/>
      <c r="F1875"/>
      <c r="G1875"/>
      <c r="H1875"/>
      <c r="I1875"/>
      <c r="J1875"/>
    </row>
    <row r="1876" spans="1:10" s="2" customFormat="1">
      <c r="A1876" s="1"/>
      <c r="E1876"/>
      <c r="F1876"/>
      <c r="G1876"/>
      <c r="H1876"/>
      <c r="I1876"/>
      <c r="J1876"/>
    </row>
    <row r="1877" spans="1:10" s="2" customFormat="1">
      <c r="A1877" s="1"/>
      <c r="E1877"/>
      <c r="F1877"/>
      <c r="G1877"/>
      <c r="H1877"/>
      <c r="I1877"/>
      <c r="J1877"/>
    </row>
    <row r="1878" spans="1:10" s="2" customFormat="1">
      <c r="A1878" s="1"/>
      <c r="E1878"/>
      <c r="F1878"/>
      <c r="G1878"/>
      <c r="H1878"/>
      <c r="I1878"/>
      <c r="J1878"/>
    </row>
    <row r="1879" spans="1:10" s="2" customFormat="1">
      <c r="A1879" s="1"/>
      <c r="E1879"/>
      <c r="F1879"/>
      <c r="G1879"/>
      <c r="H1879"/>
      <c r="I1879"/>
      <c r="J1879"/>
    </row>
    <row r="1880" spans="1:10" s="2" customFormat="1">
      <c r="A1880" s="1"/>
      <c r="E1880"/>
      <c r="F1880"/>
      <c r="G1880"/>
      <c r="H1880"/>
      <c r="I1880"/>
      <c r="J1880"/>
    </row>
    <row r="1881" spans="1:10" s="2" customFormat="1">
      <c r="A1881" s="1"/>
      <c r="E1881"/>
      <c r="F1881"/>
      <c r="G1881"/>
      <c r="H1881"/>
      <c r="I1881"/>
      <c r="J1881"/>
    </row>
    <row r="1882" spans="1:10" s="2" customFormat="1">
      <c r="A1882" s="1"/>
      <c r="E1882"/>
      <c r="F1882"/>
      <c r="G1882"/>
      <c r="H1882"/>
      <c r="I1882"/>
      <c r="J1882"/>
    </row>
    <row r="1883" spans="1:10" s="2" customFormat="1">
      <c r="A1883" s="1"/>
      <c r="E1883"/>
      <c r="F1883"/>
      <c r="G1883"/>
      <c r="H1883"/>
      <c r="I1883"/>
      <c r="J1883"/>
    </row>
    <row r="1884" spans="1:10" s="2" customFormat="1">
      <c r="A1884" s="1"/>
      <c r="E1884"/>
      <c r="F1884"/>
      <c r="G1884"/>
      <c r="H1884"/>
      <c r="I1884"/>
      <c r="J1884"/>
    </row>
    <row r="1885" spans="1:10" s="2" customFormat="1">
      <c r="A1885" s="1"/>
      <c r="E1885"/>
      <c r="F1885"/>
      <c r="G1885"/>
      <c r="H1885"/>
      <c r="I1885"/>
      <c r="J1885"/>
    </row>
    <row r="1886" spans="1:10" s="2" customFormat="1">
      <c r="A1886" s="1"/>
      <c r="E1886"/>
      <c r="F1886"/>
      <c r="G1886"/>
      <c r="H1886"/>
      <c r="I1886"/>
      <c r="J1886"/>
    </row>
    <row r="1887" spans="1:10" s="2" customFormat="1">
      <c r="A1887" s="1"/>
      <c r="E1887"/>
      <c r="F1887"/>
      <c r="G1887"/>
      <c r="H1887"/>
      <c r="I1887"/>
      <c r="J1887"/>
    </row>
    <row r="1888" spans="1:10" s="2" customFormat="1">
      <c r="A1888" s="1"/>
      <c r="E1888"/>
      <c r="F1888"/>
      <c r="G1888"/>
      <c r="H1888"/>
      <c r="I1888"/>
      <c r="J1888"/>
    </row>
    <row r="1889" spans="1:10" s="2" customFormat="1">
      <c r="A1889" s="1"/>
      <c r="E1889"/>
      <c r="F1889"/>
      <c r="G1889"/>
      <c r="H1889"/>
      <c r="I1889"/>
      <c r="J1889"/>
    </row>
    <row r="1890" spans="1:10" s="2" customFormat="1">
      <c r="A1890" s="1"/>
      <c r="E1890"/>
      <c r="F1890"/>
      <c r="G1890"/>
      <c r="H1890"/>
      <c r="I1890"/>
      <c r="J1890"/>
    </row>
    <row r="1891" spans="1:10" s="2" customFormat="1">
      <c r="A1891" s="1"/>
      <c r="E1891"/>
      <c r="F1891"/>
      <c r="G1891"/>
      <c r="H1891"/>
      <c r="I1891"/>
      <c r="J1891"/>
    </row>
    <row r="1892" spans="1:10" s="2" customFormat="1">
      <c r="A1892" s="1"/>
      <c r="E1892"/>
      <c r="F1892"/>
      <c r="G1892"/>
      <c r="H1892"/>
      <c r="I1892"/>
      <c r="J1892"/>
    </row>
    <row r="1893" spans="1:10" s="2" customFormat="1">
      <c r="A1893" s="1"/>
      <c r="E1893"/>
      <c r="F1893"/>
      <c r="G1893"/>
      <c r="H1893"/>
      <c r="I1893"/>
      <c r="J1893"/>
    </row>
    <row r="1894" spans="1:10" s="2" customFormat="1">
      <c r="A1894" s="1"/>
      <c r="E1894"/>
      <c r="F1894"/>
      <c r="G1894"/>
      <c r="H1894"/>
      <c r="I1894"/>
      <c r="J1894"/>
    </row>
    <row r="1895" spans="1:10" s="2" customFormat="1">
      <c r="A1895" s="1"/>
      <c r="E1895"/>
      <c r="F1895"/>
      <c r="G1895"/>
      <c r="H1895"/>
      <c r="I1895"/>
      <c r="J1895"/>
    </row>
    <row r="1896" spans="1:10" s="2" customFormat="1">
      <c r="A1896" s="1"/>
      <c r="E1896"/>
      <c r="F1896"/>
      <c r="G1896"/>
      <c r="H1896"/>
      <c r="I1896"/>
      <c r="J1896"/>
    </row>
    <row r="1897" spans="1:10" s="2" customFormat="1">
      <c r="A1897" s="1"/>
      <c r="E1897"/>
      <c r="F1897"/>
      <c r="G1897"/>
      <c r="H1897"/>
      <c r="I1897"/>
      <c r="J1897"/>
    </row>
    <row r="1898" spans="1:10" s="2" customFormat="1">
      <c r="A1898" s="1"/>
      <c r="E1898"/>
      <c r="F1898"/>
      <c r="G1898"/>
      <c r="H1898"/>
      <c r="I1898"/>
      <c r="J1898"/>
    </row>
    <row r="1899" spans="1:10" s="2" customFormat="1">
      <c r="A1899" s="1"/>
      <c r="E1899"/>
      <c r="F1899"/>
      <c r="G1899"/>
      <c r="H1899"/>
      <c r="I1899"/>
      <c r="J1899"/>
    </row>
    <row r="1900" spans="1:10" s="2" customFormat="1">
      <c r="A1900" s="1"/>
      <c r="E1900"/>
      <c r="F1900"/>
      <c r="G1900"/>
      <c r="H1900"/>
      <c r="I1900"/>
      <c r="J1900"/>
    </row>
    <row r="1901" spans="1:10" s="2" customFormat="1">
      <c r="A1901" s="1"/>
      <c r="E1901"/>
      <c r="F1901"/>
      <c r="G1901"/>
      <c r="H1901"/>
      <c r="I1901"/>
      <c r="J1901"/>
    </row>
    <row r="1902" spans="1:10" s="2" customFormat="1">
      <c r="A1902" s="1"/>
      <c r="E1902"/>
      <c r="F1902"/>
      <c r="G1902"/>
      <c r="H1902"/>
      <c r="I1902"/>
      <c r="J1902"/>
    </row>
    <row r="1903" spans="1:10" s="2" customFormat="1">
      <c r="A1903" s="1"/>
      <c r="E1903"/>
      <c r="F1903"/>
      <c r="G1903"/>
      <c r="H1903"/>
      <c r="I1903"/>
      <c r="J1903"/>
    </row>
    <row r="1904" spans="1:10" s="2" customFormat="1">
      <c r="A1904" s="1"/>
      <c r="E1904"/>
      <c r="F1904"/>
      <c r="G1904"/>
      <c r="H1904"/>
      <c r="I1904"/>
      <c r="J1904"/>
    </row>
    <row r="1905" spans="1:10" s="2" customFormat="1">
      <c r="A1905" s="1"/>
      <c r="E1905"/>
      <c r="F1905"/>
      <c r="G1905"/>
      <c r="H1905"/>
      <c r="I1905"/>
      <c r="J1905"/>
    </row>
    <row r="1906" spans="1:10" s="2" customFormat="1">
      <c r="A1906" s="1"/>
      <c r="E1906"/>
      <c r="F1906"/>
      <c r="G1906"/>
      <c r="H1906"/>
      <c r="I1906"/>
      <c r="J1906"/>
    </row>
    <row r="1907" spans="1:10" s="2" customFormat="1">
      <c r="A1907" s="1"/>
      <c r="E1907"/>
      <c r="F1907"/>
      <c r="G1907"/>
      <c r="H1907"/>
      <c r="I1907"/>
      <c r="J1907"/>
    </row>
    <row r="1908" spans="1:10" s="2" customFormat="1">
      <c r="A1908" s="1"/>
      <c r="E1908"/>
      <c r="F1908"/>
      <c r="G1908"/>
      <c r="H1908"/>
      <c r="I1908"/>
      <c r="J1908"/>
    </row>
    <row r="1909" spans="1:10" s="2" customFormat="1">
      <c r="A1909" s="1"/>
      <c r="E1909"/>
      <c r="F1909"/>
      <c r="G1909"/>
      <c r="H1909"/>
      <c r="I1909"/>
      <c r="J1909"/>
    </row>
    <row r="1910" spans="1:10" s="2" customFormat="1">
      <c r="A1910" s="1"/>
      <c r="E1910"/>
      <c r="F1910"/>
      <c r="G1910"/>
      <c r="H1910"/>
      <c r="I1910"/>
      <c r="J1910"/>
    </row>
    <row r="1911" spans="1:10" s="2" customFormat="1">
      <c r="A1911" s="1"/>
      <c r="E1911"/>
      <c r="F1911"/>
      <c r="G1911"/>
      <c r="H1911"/>
      <c r="I1911"/>
      <c r="J1911"/>
    </row>
    <row r="1912" spans="1:10" s="2" customFormat="1">
      <c r="A1912" s="1"/>
      <c r="E1912"/>
      <c r="F1912"/>
      <c r="G1912"/>
      <c r="H1912"/>
      <c r="I1912"/>
      <c r="J1912"/>
    </row>
    <row r="1913" spans="1:10" s="2" customFormat="1">
      <c r="A1913" s="1"/>
      <c r="E1913"/>
      <c r="F1913"/>
      <c r="G1913"/>
      <c r="H1913"/>
      <c r="I1913"/>
      <c r="J1913"/>
    </row>
    <row r="1914" spans="1:10" s="2" customFormat="1">
      <c r="A1914" s="1"/>
      <c r="E1914"/>
      <c r="F1914"/>
      <c r="G1914"/>
      <c r="H1914"/>
      <c r="I1914"/>
      <c r="J1914"/>
    </row>
    <row r="1915" spans="1:10" s="2" customFormat="1">
      <c r="A1915" s="1"/>
      <c r="E1915"/>
      <c r="F1915"/>
      <c r="G1915"/>
      <c r="H1915"/>
      <c r="I1915"/>
      <c r="J1915"/>
    </row>
    <row r="1916" spans="1:10" s="2" customFormat="1">
      <c r="A1916" s="1"/>
      <c r="E1916"/>
      <c r="F1916"/>
      <c r="G1916"/>
      <c r="H1916"/>
      <c r="I1916"/>
      <c r="J1916"/>
    </row>
    <row r="1917" spans="1:10" s="2" customFormat="1">
      <c r="A1917" s="1"/>
      <c r="E1917"/>
      <c r="F1917"/>
      <c r="G1917"/>
      <c r="H1917"/>
      <c r="I1917"/>
      <c r="J1917"/>
    </row>
    <row r="1918" spans="1:10" s="2" customFormat="1">
      <c r="A1918" s="1"/>
      <c r="E1918"/>
      <c r="F1918"/>
      <c r="G1918"/>
      <c r="H1918"/>
      <c r="I1918"/>
      <c r="J1918"/>
    </row>
    <row r="1919" spans="1:10" s="2" customFormat="1">
      <c r="A1919" s="1"/>
      <c r="E1919"/>
      <c r="F1919"/>
      <c r="G1919"/>
      <c r="H1919"/>
      <c r="I1919"/>
      <c r="J1919"/>
    </row>
    <row r="1920" spans="1:10" s="2" customFormat="1">
      <c r="A1920" s="1"/>
      <c r="E1920"/>
      <c r="F1920"/>
      <c r="G1920"/>
      <c r="H1920"/>
      <c r="I1920"/>
      <c r="J1920"/>
    </row>
    <row r="1921" spans="1:10" s="2" customFormat="1">
      <c r="A1921" s="1"/>
      <c r="E1921"/>
      <c r="F1921"/>
      <c r="G1921"/>
      <c r="H1921"/>
      <c r="I1921"/>
      <c r="J1921"/>
    </row>
    <row r="1922" spans="1:10" s="2" customFormat="1">
      <c r="A1922" s="1"/>
      <c r="E1922"/>
      <c r="F1922"/>
      <c r="G1922"/>
      <c r="H1922"/>
      <c r="I1922"/>
      <c r="J1922"/>
    </row>
    <row r="1923" spans="1:10" s="2" customFormat="1">
      <c r="A1923" s="1"/>
      <c r="E1923"/>
      <c r="F1923"/>
      <c r="G1923"/>
      <c r="H1923"/>
      <c r="I1923"/>
      <c r="J1923"/>
    </row>
    <row r="1924" spans="1:10" s="2" customFormat="1">
      <c r="A1924" s="1"/>
      <c r="E1924"/>
      <c r="F1924"/>
      <c r="G1924"/>
      <c r="H1924"/>
      <c r="I1924"/>
      <c r="J1924"/>
    </row>
    <row r="1925" spans="1:10" s="2" customFormat="1">
      <c r="A1925" s="1"/>
      <c r="E1925"/>
      <c r="F1925"/>
      <c r="G1925"/>
      <c r="H1925"/>
      <c r="I1925"/>
      <c r="J1925"/>
    </row>
    <row r="1926" spans="1:10" s="2" customFormat="1">
      <c r="A1926" s="1"/>
      <c r="E1926"/>
      <c r="F1926"/>
      <c r="G1926"/>
      <c r="H1926"/>
      <c r="I1926"/>
      <c r="J1926"/>
    </row>
    <row r="1927" spans="1:10" s="2" customFormat="1">
      <c r="A1927" s="1"/>
      <c r="E1927"/>
      <c r="F1927"/>
      <c r="G1927"/>
      <c r="H1927"/>
      <c r="I1927"/>
      <c r="J1927"/>
    </row>
    <row r="1928" spans="1:10" s="2" customFormat="1">
      <c r="A1928" s="1"/>
      <c r="E1928"/>
      <c r="F1928"/>
      <c r="G1928"/>
      <c r="H1928"/>
      <c r="I1928"/>
      <c r="J1928"/>
    </row>
    <row r="1929" spans="1:10" s="2" customFormat="1">
      <c r="A1929" s="1"/>
      <c r="E1929"/>
      <c r="F1929"/>
      <c r="G1929"/>
      <c r="H1929"/>
      <c r="I1929"/>
      <c r="J1929"/>
    </row>
    <row r="1930" spans="1:10" s="2" customFormat="1">
      <c r="A1930" s="1"/>
      <c r="E1930"/>
      <c r="F1930"/>
      <c r="G1930"/>
      <c r="H1930"/>
      <c r="I1930"/>
      <c r="J1930"/>
    </row>
    <row r="1931" spans="1:10" s="2" customFormat="1">
      <c r="A1931" s="1"/>
      <c r="E1931"/>
      <c r="F1931"/>
      <c r="G1931"/>
      <c r="H1931"/>
      <c r="I1931"/>
      <c r="J1931"/>
    </row>
    <row r="1932" spans="1:10" s="2" customFormat="1">
      <c r="A1932" s="1"/>
      <c r="E1932"/>
      <c r="F1932"/>
      <c r="G1932"/>
      <c r="H1932"/>
      <c r="I1932"/>
      <c r="J1932"/>
    </row>
    <row r="1933" spans="1:10" s="2" customFormat="1">
      <c r="A1933" s="1"/>
      <c r="E1933"/>
      <c r="F1933"/>
      <c r="G1933"/>
      <c r="H1933"/>
      <c r="I1933"/>
      <c r="J1933"/>
    </row>
    <row r="1934" spans="1:10" s="2" customFormat="1">
      <c r="A1934" s="1"/>
      <c r="E1934"/>
      <c r="F1934"/>
      <c r="G1934"/>
      <c r="H1934"/>
      <c r="I1934"/>
      <c r="J1934"/>
    </row>
    <row r="1935" spans="1:10" s="2" customFormat="1">
      <c r="A1935" s="1"/>
      <c r="E1935"/>
      <c r="F1935"/>
      <c r="G1935"/>
      <c r="H1935"/>
      <c r="I1935"/>
      <c r="J1935"/>
    </row>
    <row r="1936" spans="1:10" s="2" customFormat="1">
      <c r="A1936" s="1"/>
      <c r="E1936"/>
      <c r="F1936"/>
      <c r="G1936"/>
      <c r="H1936"/>
      <c r="I1936"/>
      <c r="J1936"/>
    </row>
    <row r="1937" spans="1:10" s="2" customFormat="1">
      <c r="A1937" s="1"/>
      <c r="E1937"/>
      <c r="F1937"/>
      <c r="G1937"/>
      <c r="H1937"/>
      <c r="I1937"/>
      <c r="J1937"/>
    </row>
    <row r="1938" spans="1:10" s="2" customFormat="1">
      <c r="A1938" s="1"/>
      <c r="E1938"/>
      <c r="F1938"/>
      <c r="G1938"/>
      <c r="H1938"/>
      <c r="I1938"/>
      <c r="J1938"/>
    </row>
    <row r="1939" spans="1:10" s="2" customFormat="1">
      <c r="A1939" s="1"/>
      <c r="E1939"/>
      <c r="F1939"/>
      <c r="G1939"/>
      <c r="H1939"/>
      <c r="I1939"/>
      <c r="J1939"/>
    </row>
    <row r="1940" spans="1:10" s="2" customFormat="1">
      <c r="A1940" s="1"/>
      <c r="E1940"/>
      <c r="F1940"/>
      <c r="G1940"/>
      <c r="H1940"/>
      <c r="I1940"/>
      <c r="J1940"/>
    </row>
    <row r="1941" spans="1:10" s="2" customFormat="1">
      <c r="A1941" s="1"/>
      <c r="E1941"/>
      <c r="F1941"/>
      <c r="G1941"/>
      <c r="H1941"/>
      <c r="I1941"/>
      <c r="J1941"/>
    </row>
    <row r="1942" spans="1:10" s="2" customFormat="1">
      <c r="A1942" s="1"/>
      <c r="E1942"/>
      <c r="F1942"/>
      <c r="G1942"/>
      <c r="H1942"/>
      <c r="I1942"/>
      <c r="J1942"/>
    </row>
    <row r="1943" spans="1:10" s="2" customFormat="1">
      <c r="A1943" s="1"/>
      <c r="E1943"/>
      <c r="F1943"/>
      <c r="G1943"/>
      <c r="H1943"/>
      <c r="I1943"/>
      <c r="J1943"/>
    </row>
    <row r="1944" spans="1:10" s="2" customFormat="1">
      <c r="A1944" s="1"/>
      <c r="E1944"/>
      <c r="F1944"/>
      <c r="G1944"/>
      <c r="H1944"/>
      <c r="I1944"/>
      <c r="J1944"/>
    </row>
    <row r="1945" spans="1:10" s="2" customFormat="1">
      <c r="A1945" s="1"/>
      <c r="E1945"/>
      <c r="F1945"/>
      <c r="G1945"/>
      <c r="H1945"/>
      <c r="I1945"/>
      <c r="J1945"/>
    </row>
    <row r="1946" spans="1:10" s="2" customFormat="1">
      <c r="A1946" s="1"/>
      <c r="E1946"/>
      <c r="F1946"/>
      <c r="G1946"/>
      <c r="H1946"/>
      <c r="I1946"/>
      <c r="J1946"/>
    </row>
    <row r="1947" spans="1:10" s="2" customFormat="1">
      <c r="A1947" s="1"/>
      <c r="E1947"/>
      <c r="F1947"/>
      <c r="G1947"/>
      <c r="H1947"/>
      <c r="I1947"/>
      <c r="J1947"/>
    </row>
    <row r="1948" spans="1:10" s="2" customFormat="1">
      <c r="A1948" s="1"/>
      <c r="E1948"/>
      <c r="F1948"/>
      <c r="G1948"/>
      <c r="H1948"/>
      <c r="I1948"/>
      <c r="J1948"/>
    </row>
    <row r="1949" spans="1:10" s="2" customFormat="1">
      <c r="A1949" s="1"/>
      <c r="E1949"/>
      <c r="F1949"/>
      <c r="G1949"/>
      <c r="H1949"/>
      <c r="I1949"/>
      <c r="J1949"/>
    </row>
    <row r="1950" spans="1:10" s="2" customFormat="1">
      <c r="A1950" s="1"/>
      <c r="E1950"/>
      <c r="F1950"/>
      <c r="G1950"/>
      <c r="H1950"/>
      <c r="I1950"/>
      <c r="J1950"/>
    </row>
    <row r="1951" spans="1:10" s="2" customFormat="1">
      <c r="A1951" s="1"/>
      <c r="E1951"/>
      <c r="F1951"/>
      <c r="G1951"/>
      <c r="H1951"/>
      <c r="I1951"/>
      <c r="J1951"/>
    </row>
    <row r="1952" spans="1:10" s="2" customFormat="1">
      <c r="A1952" s="1"/>
      <c r="E1952"/>
      <c r="F1952"/>
      <c r="G1952"/>
      <c r="H1952"/>
      <c r="I1952"/>
      <c r="J1952"/>
    </row>
    <row r="1953" spans="1:10" s="2" customFormat="1">
      <c r="A1953" s="1"/>
      <c r="E1953"/>
      <c r="F1953"/>
      <c r="G1953"/>
      <c r="H1953"/>
      <c r="I1953"/>
      <c r="J1953"/>
    </row>
    <row r="1954" spans="1:10" s="2" customFormat="1">
      <c r="A1954" s="1"/>
      <c r="E1954"/>
      <c r="F1954"/>
      <c r="G1954"/>
      <c r="H1954"/>
      <c r="I1954"/>
      <c r="J1954"/>
    </row>
    <row r="1955" spans="1:10" s="2" customFormat="1">
      <c r="A1955" s="1"/>
      <c r="E1955"/>
      <c r="F1955"/>
      <c r="G1955"/>
      <c r="H1955"/>
      <c r="I1955"/>
      <c r="J1955"/>
    </row>
    <row r="1956" spans="1:10" s="2" customFormat="1">
      <c r="A1956" s="1"/>
      <c r="E1956"/>
      <c r="F1956"/>
      <c r="G1956"/>
      <c r="H1956"/>
      <c r="I1956"/>
      <c r="J1956"/>
    </row>
    <row r="1957" spans="1:10" s="2" customFormat="1">
      <c r="A1957" s="1"/>
      <c r="E1957"/>
      <c r="F1957"/>
      <c r="G1957"/>
      <c r="H1957"/>
      <c r="I1957"/>
      <c r="J1957"/>
    </row>
    <row r="1958" spans="1:10" s="2" customFormat="1">
      <c r="A1958" s="1"/>
      <c r="E1958"/>
      <c r="F1958"/>
      <c r="G1958"/>
      <c r="H1958"/>
      <c r="I1958"/>
      <c r="J1958"/>
    </row>
    <row r="1959" spans="1:10" s="2" customFormat="1">
      <c r="A1959" s="1"/>
      <c r="E1959"/>
      <c r="F1959"/>
      <c r="G1959"/>
      <c r="H1959"/>
      <c r="I1959"/>
      <c r="J1959"/>
    </row>
    <row r="1960" spans="1:10" s="2" customFormat="1">
      <c r="A1960" s="1"/>
      <c r="E1960"/>
      <c r="F1960"/>
      <c r="G1960"/>
      <c r="H1960"/>
      <c r="I1960"/>
      <c r="J1960"/>
    </row>
    <row r="1961" spans="1:10" s="2" customFormat="1">
      <c r="A1961" s="1"/>
      <c r="E1961"/>
      <c r="F1961"/>
      <c r="G1961"/>
      <c r="H1961"/>
      <c r="I1961"/>
      <c r="J1961"/>
    </row>
    <row r="1962" spans="1:10" s="2" customFormat="1">
      <c r="A1962" s="1"/>
      <c r="E1962"/>
      <c r="F1962"/>
      <c r="G1962"/>
      <c r="H1962"/>
      <c r="I1962"/>
      <c r="J1962"/>
    </row>
    <row r="1963" spans="1:10" s="2" customFormat="1">
      <c r="A1963" s="1"/>
      <c r="E1963"/>
      <c r="F1963"/>
      <c r="G1963"/>
      <c r="H1963"/>
      <c r="I1963"/>
      <c r="J1963"/>
    </row>
    <row r="1964" spans="1:10" s="2" customFormat="1">
      <c r="A1964" s="1"/>
      <c r="E1964"/>
      <c r="F1964"/>
      <c r="G1964"/>
      <c r="H1964"/>
      <c r="I1964"/>
      <c r="J1964"/>
    </row>
    <row r="1965" spans="1:10" s="2" customFormat="1">
      <c r="A1965" s="1"/>
      <c r="E1965"/>
      <c r="F1965"/>
      <c r="G1965"/>
      <c r="H1965"/>
      <c r="I1965"/>
      <c r="J1965"/>
    </row>
    <row r="1966" spans="1:10" s="2" customFormat="1">
      <c r="A1966" s="1"/>
      <c r="E1966"/>
      <c r="F1966"/>
      <c r="G1966"/>
      <c r="H1966"/>
      <c r="I1966"/>
      <c r="J1966"/>
    </row>
    <row r="1967" spans="1:10" s="2" customFormat="1">
      <c r="A1967" s="1"/>
      <c r="E1967"/>
      <c r="F1967"/>
      <c r="G1967"/>
      <c r="H1967"/>
      <c r="I1967"/>
      <c r="J1967"/>
    </row>
    <row r="1968" spans="1:10" s="2" customFormat="1">
      <c r="A1968" s="1"/>
      <c r="E1968"/>
      <c r="F1968"/>
      <c r="G1968"/>
      <c r="H1968"/>
      <c r="I1968"/>
      <c r="J1968"/>
    </row>
    <row r="1969" spans="1:10" s="2" customFormat="1">
      <c r="A1969" s="1"/>
      <c r="E1969"/>
      <c r="F1969"/>
      <c r="G1969"/>
      <c r="H1969"/>
      <c r="I1969"/>
      <c r="J1969"/>
    </row>
    <row r="1970" spans="1:10" s="2" customFormat="1">
      <c r="A1970" s="1"/>
      <c r="E1970"/>
      <c r="F1970"/>
      <c r="G1970"/>
      <c r="H1970"/>
      <c r="I1970"/>
      <c r="J1970"/>
    </row>
    <row r="1971" spans="1:10" s="2" customFormat="1">
      <c r="A1971" s="1"/>
      <c r="E1971"/>
      <c r="F1971"/>
      <c r="G1971"/>
      <c r="H1971"/>
      <c r="I1971"/>
      <c r="J1971"/>
    </row>
    <row r="1972" spans="1:10" s="2" customFormat="1">
      <c r="A1972" s="1"/>
      <c r="E1972"/>
      <c r="F1972"/>
      <c r="G1972"/>
      <c r="H1972"/>
      <c r="I1972"/>
      <c r="J1972"/>
    </row>
    <row r="1973" spans="1:10" s="2" customFormat="1">
      <c r="A1973" s="1"/>
      <c r="E1973"/>
      <c r="F1973"/>
      <c r="G1973"/>
      <c r="H1973"/>
      <c r="I1973"/>
      <c r="J1973"/>
    </row>
    <row r="1974" spans="1:10" s="2" customFormat="1">
      <c r="A1974" s="1"/>
      <c r="E1974"/>
      <c r="F1974"/>
      <c r="G1974"/>
      <c r="H1974"/>
      <c r="I1974"/>
      <c r="J1974"/>
    </row>
    <row r="1975" spans="1:10" s="2" customFormat="1">
      <c r="A1975" s="1"/>
      <c r="E1975"/>
      <c r="F1975"/>
      <c r="G1975"/>
      <c r="H1975"/>
      <c r="I1975"/>
      <c r="J1975"/>
    </row>
    <row r="1976" spans="1:10" s="2" customFormat="1">
      <c r="A1976" s="1"/>
      <c r="E1976"/>
      <c r="F1976"/>
      <c r="G1976"/>
      <c r="H1976"/>
      <c r="I1976"/>
      <c r="J1976"/>
    </row>
    <row r="1977" spans="1:10" s="2" customFormat="1">
      <c r="A1977" s="1"/>
      <c r="E1977"/>
      <c r="F1977"/>
      <c r="G1977"/>
      <c r="H1977"/>
      <c r="I1977"/>
      <c r="J1977"/>
    </row>
    <row r="1978" spans="1:10" s="2" customFormat="1">
      <c r="A1978" s="1"/>
      <c r="E1978"/>
      <c r="F1978"/>
      <c r="G1978"/>
      <c r="H1978"/>
      <c r="I1978"/>
      <c r="J1978"/>
    </row>
    <row r="1979" spans="1:10" s="2" customFormat="1">
      <c r="A1979" s="1"/>
      <c r="E1979"/>
      <c r="F1979"/>
      <c r="G1979"/>
      <c r="H1979"/>
      <c r="I1979"/>
      <c r="J1979"/>
    </row>
    <row r="1980" spans="1:10" s="2" customFormat="1">
      <c r="A1980" s="1"/>
      <c r="E1980"/>
      <c r="F1980"/>
      <c r="G1980"/>
      <c r="H1980"/>
      <c r="I1980"/>
      <c r="J1980"/>
    </row>
    <row r="1981" spans="1:10" s="2" customFormat="1">
      <c r="A1981" s="1"/>
      <c r="E1981"/>
      <c r="F1981"/>
      <c r="G1981"/>
      <c r="H1981"/>
      <c r="I1981"/>
      <c r="J1981"/>
    </row>
    <row r="1982" spans="1:10" s="2" customFormat="1">
      <c r="A1982" s="1"/>
      <c r="E1982"/>
      <c r="F1982"/>
      <c r="G1982"/>
      <c r="H1982"/>
      <c r="I1982"/>
      <c r="J1982"/>
    </row>
    <row r="1983" spans="1:10" s="2" customFormat="1">
      <c r="A1983" s="1"/>
      <c r="E1983"/>
      <c r="F1983"/>
      <c r="G1983"/>
      <c r="H1983"/>
      <c r="I1983"/>
      <c r="J1983"/>
    </row>
    <row r="1984" spans="1:10" s="2" customFormat="1">
      <c r="A1984" s="1"/>
      <c r="E1984"/>
      <c r="F1984"/>
      <c r="G1984"/>
      <c r="H1984"/>
      <c r="I1984"/>
      <c r="J1984"/>
    </row>
    <row r="1985" spans="1:10" s="2" customFormat="1">
      <c r="A1985" s="1"/>
      <c r="E1985"/>
      <c r="F1985"/>
      <c r="G1985"/>
      <c r="H1985"/>
      <c r="I1985"/>
      <c r="J1985"/>
    </row>
    <row r="1986" spans="1:10" s="2" customFormat="1">
      <c r="A1986" s="1"/>
      <c r="E1986"/>
      <c r="F1986"/>
      <c r="G1986"/>
      <c r="H1986"/>
      <c r="I1986"/>
      <c r="J1986"/>
    </row>
    <row r="1987" spans="1:10" s="2" customFormat="1">
      <c r="A1987" s="1"/>
      <c r="E1987"/>
      <c r="F1987"/>
      <c r="G1987"/>
      <c r="H1987"/>
      <c r="I1987"/>
      <c r="J1987"/>
    </row>
    <row r="1988" spans="1:10" s="2" customFormat="1">
      <c r="A1988" s="1"/>
      <c r="E1988"/>
      <c r="F1988"/>
      <c r="G1988"/>
      <c r="H1988"/>
      <c r="I1988"/>
      <c r="J1988"/>
    </row>
    <row r="1989" spans="1:10" s="2" customFormat="1">
      <c r="A1989" s="1"/>
      <c r="E1989"/>
      <c r="F1989"/>
      <c r="G1989"/>
      <c r="H1989"/>
      <c r="I1989"/>
      <c r="J1989"/>
    </row>
    <row r="1990" spans="1:10" s="2" customFormat="1">
      <c r="A1990" s="1"/>
      <c r="E1990"/>
      <c r="F1990"/>
      <c r="G1990"/>
      <c r="H1990"/>
      <c r="I1990"/>
      <c r="J1990"/>
    </row>
    <row r="1991" spans="1:10" s="2" customFormat="1">
      <c r="A1991" s="1"/>
      <c r="E1991"/>
      <c r="F1991"/>
      <c r="G1991"/>
      <c r="H1991"/>
      <c r="I1991"/>
      <c r="J1991"/>
    </row>
    <row r="1992" spans="1:10" s="2" customFormat="1">
      <c r="A1992" s="1"/>
      <c r="E1992"/>
      <c r="F1992"/>
      <c r="G1992"/>
      <c r="H1992"/>
      <c r="I1992"/>
      <c r="J1992"/>
    </row>
    <row r="1993" spans="1:10" s="2" customFormat="1">
      <c r="A1993" s="1"/>
      <c r="E1993"/>
      <c r="F1993"/>
      <c r="G1993"/>
      <c r="H1993"/>
      <c r="I1993"/>
      <c r="J1993"/>
    </row>
    <row r="1994" spans="1:10" s="2" customFormat="1">
      <c r="A1994" s="1"/>
      <c r="E1994"/>
      <c r="F1994"/>
      <c r="G1994"/>
      <c r="H1994"/>
      <c r="I1994"/>
      <c r="J1994"/>
    </row>
    <row r="1995" spans="1:10" s="2" customFormat="1">
      <c r="A1995" s="1"/>
      <c r="E1995"/>
      <c r="F1995"/>
      <c r="G1995"/>
      <c r="H1995"/>
      <c r="I1995"/>
      <c r="J1995"/>
    </row>
    <row r="1996" spans="1:10" s="2" customFormat="1">
      <c r="A1996" s="1"/>
      <c r="E1996"/>
      <c r="F1996"/>
      <c r="G1996"/>
      <c r="H1996"/>
      <c r="I1996"/>
      <c r="J1996"/>
    </row>
    <row r="1997" spans="1:10" s="2" customFormat="1">
      <c r="A1997" s="1"/>
      <c r="E1997"/>
      <c r="F1997"/>
      <c r="G1997"/>
      <c r="H1997"/>
      <c r="I1997"/>
      <c r="J1997"/>
    </row>
    <row r="1998" spans="1:10" s="2" customFormat="1">
      <c r="A1998" s="1"/>
      <c r="E1998"/>
      <c r="F1998"/>
      <c r="G1998"/>
      <c r="H1998"/>
      <c r="I1998"/>
      <c r="J1998"/>
    </row>
    <row r="1999" spans="1:10" s="2" customFormat="1">
      <c r="A1999" s="1"/>
      <c r="E1999"/>
      <c r="F1999"/>
      <c r="G1999"/>
      <c r="H1999"/>
      <c r="I1999"/>
      <c r="J1999"/>
    </row>
    <row r="2000" spans="1:10" s="2" customFormat="1">
      <c r="A2000" s="1"/>
      <c r="E2000"/>
      <c r="F2000"/>
      <c r="G2000"/>
      <c r="H2000"/>
      <c r="I2000"/>
      <c r="J2000"/>
    </row>
    <row r="2001" spans="1:10" s="2" customFormat="1">
      <c r="A2001" s="1"/>
      <c r="E2001"/>
      <c r="F2001"/>
      <c r="G2001"/>
      <c r="H2001"/>
      <c r="I2001"/>
      <c r="J2001"/>
    </row>
    <row r="2002" spans="1:10" s="2" customFormat="1">
      <c r="A2002" s="1"/>
      <c r="E2002"/>
      <c r="F2002"/>
      <c r="G2002"/>
      <c r="H2002"/>
      <c r="I2002"/>
      <c r="J2002"/>
    </row>
    <row r="2003" spans="1:10" s="2" customFormat="1">
      <c r="A2003" s="1"/>
      <c r="E2003"/>
      <c r="F2003"/>
      <c r="G2003"/>
      <c r="H2003"/>
      <c r="I2003"/>
      <c r="J2003"/>
    </row>
    <row r="2004" spans="1:10" s="2" customFormat="1">
      <c r="A2004" s="1"/>
      <c r="E2004"/>
      <c r="F2004"/>
      <c r="G2004"/>
      <c r="H2004"/>
      <c r="I2004"/>
      <c r="J2004"/>
    </row>
    <row r="2005" spans="1:10" s="2" customFormat="1">
      <c r="A2005" s="1"/>
      <c r="E2005"/>
      <c r="F2005"/>
      <c r="G2005"/>
      <c r="H2005"/>
      <c r="I2005"/>
      <c r="J2005"/>
    </row>
    <row r="2006" spans="1:10" s="2" customFormat="1">
      <c r="A2006" s="1"/>
      <c r="E2006"/>
      <c r="F2006"/>
      <c r="G2006"/>
      <c r="H2006"/>
      <c r="I2006"/>
      <c r="J2006"/>
    </row>
    <row r="2007" spans="1:10" s="2" customFormat="1">
      <c r="A2007" s="1"/>
      <c r="E2007"/>
      <c r="F2007"/>
      <c r="G2007"/>
      <c r="H2007"/>
      <c r="I2007"/>
      <c r="J2007"/>
    </row>
    <row r="2008" spans="1:10" s="2" customFormat="1">
      <c r="A2008" s="1"/>
      <c r="E2008"/>
      <c r="F2008"/>
      <c r="G2008"/>
      <c r="H2008"/>
      <c r="I2008"/>
      <c r="J2008"/>
    </row>
    <row r="2009" spans="1:10" s="2" customFormat="1">
      <c r="A2009" s="1"/>
      <c r="E2009"/>
      <c r="F2009"/>
      <c r="G2009"/>
      <c r="H2009"/>
      <c r="I2009"/>
      <c r="J2009"/>
    </row>
    <row r="2010" spans="1:10" s="2" customFormat="1">
      <c r="A2010" s="1"/>
      <c r="E2010"/>
      <c r="F2010"/>
      <c r="G2010"/>
      <c r="H2010"/>
      <c r="I2010"/>
      <c r="J2010"/>
    </row>
    <row r="2011" spans="1:10" s="2" customFormat="1">
      <c r="A2011" s="1"/>
      <c r="E2011"/>
      <c r="F2011"/>
      <c r="G2011"/>
      <c r="H2011"/>
      <c r="I2011"/>
      <c r="J2011"/>
    </row>
    <row r="2012" spans="1:10" s="2" customFormat="1">
      <c r="A2012" s="1"/>
      <c r="E2012"/>
      <c r="F2012"/>
      <c r="G2012"/>
      <c r="H2012"/>
      <c r="I2012"/>
      <c r="J2012"/>
    </row>
    <row r="2013" spans="1:10" s="2" customFormat="1">
      <c r="A2013" s="1"/>
      <c r="E2013"/>
      <c r="F2013"/>
      <c r="G2013"/>
      <c r="H2013"/>
      <c r="I2013"/>
      <c r="J2013"/>
    </row>
    <row r="2014" spans="1:10" s="2" customFormat="1">
      <c r="A2014" s="1"/>
      <c r="E2014"/>
      <c r="F2014"/>
      <c r="G2014"/>
      <c r="H2014"/>
      <c r="I2014"/>
      <c r="J2014"/>
    </row>
    <row r="2015" spans="1:10" s="2" customFormat="1">
      <c r="A2015" s="1"/>
      <c r="E2015"/>
      <c r="F2015"/>
      <c r="G2015"/>
      <c r="H2015"/>
      <c r="I2015"/>
      <c r="J2015"/>
    </row>
    <row r="2016" spans="1:10" s="2" customFormat="1">
      <c r="A2016" s="1"/>
      <c r="E2016"/>
      <c r="F2016"/>
      <c r="G2016"/>
      <c r="H2016"/>
      <c r="I2016"/>
      <c r="J2016"/>
    </row>
    <row r="2017" spans="1:10" s="2" customFormat="1">
      <c r="A2017" s="1"/>
      <c r="E2017"/>
      <c r="F2017"/>
      <c r="G2017"/>
      <c r="H2017"/>
      <c r="I2017"/>
      <c r="J2017"/>
    </row>
    <row r="2018" spans="1:10" s="2" customFormat="1">
      <c r="A2018" s="1"/>
      <c r="E2018"/>
      <c r="F2018"/>
      <c r="G2018"/>
      <c r="H2018"/>
      <c r="I2018"/>
      <c r="J2018"/>
    </row>
    <row r="2019" spans="1:10" s="2" customFormat="1">
      <c r="A2019" s="1"/>
      <c r="E2019"/>
      <c r="F2019"/>
      <c r="G2019"/>
      <c r="H2019"/>
      <c r="I2019"/>
      <c r="J2019"/>
    </row>
    <row r="2020" spans="1:10" s="2" customFormat="1">
      <c r="A2020" s="1"/>
      <c r="E2020"/>
      <c r="F2020"/>
      <c r="G2020"/>
      <c r="H2020"/>
      <c r="I2020"/>
      <c r="J2020"/>
    </row>
    <row r="2021" spans="1:10" s="2" customFormat="1">
      <c r="A2021" s="1"/>
      <c r="E2021"/>
      <c r="F2021"/>
      <c r="G2021"/>
      <c r="H2021"/>
      <c r="I2021"/>
      <c r="J2021"/>
    </row>
    <row r="2022" spans="1:10" s="2" customFormat="1">
      <c r="A2022" s="1"/>
      <c r="E2022"/>
      <c r="F2022"/>
      <c r="G2022"/>
      <c r="H2022"/>
      <c r="I2022"/>
      <c r="J2022"/>
    </row>
    <row r="2023" spans="1:10" s="2" customFormat="1">
      <c r="A2023" s="1"/>
      <c r="E2023"/>
      <c r="F2023"/>
      <c r="G2023"/>
      <c r="H2023"/>
      <c r="I2023"/>
      <c r="J2023"/>
    </row>
    <row r="2024" spans="1:10" s="2" customFormat="1">
      <c r="A2024" s="1"/>
      <c r="E2024"/>
      <c r="F2024"/>
      <c r="G2024"/>
      <c r="H2024"/>
      <c r="I2024"/>
      <c r="J2024"/>
    </row>
    <row r="2025" spans="1:10" s="2" customFormat="1">
      <c r="A2025" s="1"/>
      <c r="E2025"/>
      <c r="F2025"/>
      <c r="G2025"/>
      <c r="H2025"/>
      <c r="I2025"/>
      <c r="J2025"/>
    </row>
    <row r="2026" spans="1:10" s="2" customFormat="1">
      <c r="A2026" s="1"/>
      <c r="E2026"/>
      <c r="F2026"/>
      <c r="G2026"/>
      <c r="H2026"/>
      <c r="I2026"/>
      <c r="J2026"/>
    </row>
    <row r="2027" spans="1:10" s="2" customFormat="1">
      <c r="A2027" s="1"/>
      <c r="E2027"/>
      <c r="F2027"/>
      <c r="G2027"/>
      <c r="H2027"/>
      <c r="I2027"/>
      <c r="J2027"/>
    </row>
    <row r="2028" spans="1:10" s="2" customFormat="1">
      <c r="A2028" s="1"/>
      <c r="E2028"/>
      <c r="F2028"/>
      <c r="G2028"/>
      <c r="H2028"/>
      <c r="I2028"/>
      <c r="J2028"/>
    </row>
    <row r="2029" spans="1:10" s="2" customFormat="1">
      <c r="A2029" s="1"/>
      <c r="E2029"/>
      <c r="F2029"/>
      <c r="G2029"/>
      <c r="H2029"/>
      <c r="I2029"/>
      <c r="J2029"/>
    </row>
    <row r="2030" spans="1:10" s="2" customFormat="1">
      <c r="A2030" s="1"/>
      <c r="E2030"/>
      <c r="F2030"/>
      <c r="G2030"/>
      <c r="H2030"/>
      <c r="I2030"/>
      <c r="J2030"/>
    </row>
    <row r="2031" spans="1:10" s="2" customFormat="1">
      <c r="A2031" s="1"/>
      <c r="E2031"/>
      <c r="F2031"/>
      <c r="G2031"/>
      <c r="H2031"/>
      <c r="I2031"/>
      <c r="J2031"/>
    </row>
    <row r="2032" spans="1:10" s="2" customFormat="1">
      <c r="A2032" s="1"/>
      <c r="E2032"/>
      <c r="F2032"/>
      <c r="G2032"/>
      <c r="H2032"/>
      <c r="I2032"/>
      <c r="J2032"/>
    </row>
    <row r="2033" spans="1:10" s="2" customFormat="1">
      <c r="A2033" s="1"/>
      <c r="E2033"/>
      <c r="F2033"/>
      <c r="G2033"/>
      <c r="H2033"/>
      <c r="I2033"/>
      <c r="J2033"/>
    </row>
    <row r="2034" spans="1:10" s="2" customFormat="1">
      <c r="A2034" s="1"/>
      <c r="E2034"/>
      <c r="F2034"/>
      <c r="G2034"/>
      <c r="H2034"/>
      <c r="I2034"/>
      <c r="J2034"/>
    </row>
    <row r="2035" spans="1:10" s="2" customFormat="1">
      <c r="A2035" s="1"/>
      <c r="E2035"/>
      <c r="F2035"/>
      <c r="G2035"/>
      <c r="H2035"/>
      <c r="I2035"/>
      <c r="J2035"/>
    </row>
    <row r="2036" spans="1:10" s="2" customFormat="1">
      <c r="A2036" s="1"/>
      <c r="E2036"/>
      <c r="F2036"/>
      <c r="G2036"/>
      <c r="H2036"/>
      <c r="I2036"/>
      <c r="J2036"/>
    </row>
    <row r="2037" spans="1:10" s="2" customFormat="1">
      <c r="A2037" s="1"/>
      <c r="E2037"/>
      <c r="F2037"/>
      <c r="G2037"/>
      <c r="H2037"/>
      <c r="I2037"/>
      <c r="J2037"/>
    </row>
    <row r="2038" spans="1:10" s="2" customFormat="1">
      <c r="A2038" s="1"/>
      <c r="E2038"/>
      <c r="F2038"/>
      <c r="G2038"/>
      <c r="H2038"/>
      <c r="I2038"/>
      <c r="J2038"/>
    </row>
    <row r="2039" spans="1:10" s="2" customFormat="1">
      <c r="A2039" s="1"/>
      <c r="E2039"/>
      <c r="F2039"/>
      <c r="G2039"/>
      <c r="H2039"/>
      <c r="I2039"/>
      <c r="J2039"/>
    </row>
    <row r="2040" spans="1:10" s="2" customFormat="1">
      <c r="A2040" s="1"/>
      <c r="E2040"/>
      <c r="F2040"/>
      <c r="G2040"/>
      <c r="H2040"/>
      <c r="I2040"/>
      <c r="J2040"/>
    </row>
    <row r="2041" spans="1:10" s="2" customFormat="1">
      <c r="A2041" s="1"/>
      <c r="E2041"/>
      <c r="F2041"/>
      <c r="G2041"/>
      <c r="H2041"/>
      <c r="I2041"/>
      <c r="J2041"/>
    </row>
    <row r="2042" spans="1:10" s="2" customFormat="1">
      <c r="A2042" s="1"/>
      <c r="E2042"/>
      <c r="F2042"/>
      <c r="G2042"/>
      <c r="H2042"/>
      <c r="I2042"/>
      <c r="J2042"/>
    </row>
    <row r="2043" spans="1:10" s="2" customFormat="1">
      <c r="A2043" s="1"/>
      <c r="E2043"/>
      <c r="F2043"/>
      <c r="G2043"/>
      <c r="H2043"/>
      <c r="I2043"/>
      <c r="J2043"/>
    </row>
    <row r="2044" spans="1:10" s="2" customFormat="1">
      <c r="A2044" s="1"/>
      <c r="E2044"/>
      <c r="F2044"/>
      <c r="G2044"/>
      <c r="H2044"/>
      <c r="I2044"/>
      <c r="J2044"/>
    </row>
    <row r="2045" spans="1:10" s="2" customFormat="1">
      <c r="A2045" s="1"/>
      <c r="E2045"/>
      <c r="F2045"/>
      <c r="G2045"/>
      <c r="H2045"/>
      <c r="I2045"/>
      <c r="J2045"/>
    </row>
    <row r="2046" spans="1:10" s="2" customFormat="1">
      <c r="A2046" s="1"/>
      <c r="E2046"/>
      <c r="F2046"/>
      <c r="G2046"/>
      <c r="H2046"/>
      <c r="I2046"/>
      <c r="J2046"/>
    </row>
    <row r="2047" spans="1:10" s="2" customFormat="1">
      <c r="A2047" s="1"/>
      <c r="E2047"/>
      <c r="F2047"/>
      <c r="G2047"/>
      <c r="H2047"/>
      <c r="I2047"/>
      <c r="J2047"/>
    </row>
    <row r="2048" spans="1:10" s="2" customFormat="1">
      <c r="A2048" s="1"/>
      <c r="E2048"/>
      <c r="F2048"/>
      <c r="G2048"/>
      <c r="H2048"/>
      <c r="I2048"/>
      <c r="J2048"/>
    </row>
    <row r="2049" spans="1:10" s="2" customFormat="1">
      <c r="A2049" s="1"/>
      <c r="E2049"/>
      <c r="F2049"/>
      <c r="G2049"/>
      <c r="H2049"/>
      <c r="I2049"/>
      <c r="J2049"/>
    </row>
    <row r="2050" spans="1:10" s="2" customFormat="1">
      <c r="A2050" s="1"/>
      <c r="E2050"/>
      <c r="F2050"/>
      <c r="G2050"/>
      <c r="H2050"/>
      <c r="I2050"/>
      <c r="J2050"/>
    </row>
    <row r="2051" spans="1:10" s="2" customFormat="1">
      <c r="A2051" s="1"/>
      <c r="E2051"/>
      <c r="F2051"/>
      <c r="G2051"/>
      <c r="H2051"/>
      <c r="I2051"/>
      <c r="J2051"/>
    </row>
    <row r="2052" spans="1:10" s="2" customFormat="1">
      <c r="A2052" s="1"/>
      <c r="E2052"/>
      <c r="F2052"/>
      <c r="G2052"/>
      <c r="H2052"/>
      <c r="I2052"/>
      <c r="J2052"/>
    </row>
    <row r="2053" spans="1:10" s="2" customFormat="1">
      <c r="A2053" s="1"/>
      <c r="E2053"/>
      <c r="F2053"/>
      <c r="G2053"/>
      <c r="H2053"/>
      <c r="I2053"/>
      <c r="J2053"/>
    </row>
    <row r="2054" spans="1:10" s="2" customFormat="1">
      <c r="A2054" s="1"/>
      <c r="E2054"/>
      <c r="F2054"/>
      <c r="G2054"/>
      <c r="H2054"/>
      <c r="I2054"/>
      <c r="J2054"/>
    </row>
    <row r="2055" spans="1:10" s="2" customFormat="1">
      <c r="A2055" s="1"/>
      <c r="E2055"/>
      <c r="F2055"/>
      <c r="G2055"/>
      <c r="H2055"/>
      <c r="I2055"/>
      <c r="J2055"/>
    </row>
    <row r="2056" spans="1:10" s="2" customFormat="1">
      <c r="A2056" s="1"/>
      <c r="E2056"/>
      <c r="F2056"/>
      <c r="G2056"/>
      <c r="H2056"/>
      <c r="I2056"/>
      <c r="J2056"/>
    </row>
    <row r="2057" spans="1:10" s="2" customFormat="1">
      <c r="A2057" s="1"/>
      <c r="E2057"/>
      <c r="F2057"/>
      <c r="G2057"/>
      <c r="H2057"/>
      <c r="I2057"/>
      <c r="J2057"/>
    </row>
    <row r="2058" spans="1:10" s="2" customFormat="1">
      <c r="A2058" s="1"/>
      <c r="E2058"/>
      <c r="F2058"/>
      <c r="G2058"/>
      <c r="H2058"/>
      <c r="I2058"/>
      <c r="J2058"/>
    </row>
    <row r="2059" spans="1:10" s="2" customFormat="1">
      <c r="A2059" s="1"/>
      <c r="E2059"/>
      <c r="F2059"/>
      <c r="G2059"/>
      <c r="H2059"/>
      <c r="I2059"/>
      <c r="J2059"/>
    </row>
    <row r="2060" spans="1:10" s="2" customFormat="1">
      <c r="A2060" s="1"/>
      <c r="E2060"/>
      <c r="F2060"/>
      <c r="G2060"/>
      <c r="H2060"/>
      <c r="I2060"/>
      <c r="J2060"/>
    </row>
    <row r="2061" spans="1:10" s="2" customFormat="1">
      <c r="A2061" s="1"/>
      <c r="E2061"/>
      <c r="F2061"/>
      <c r="G2061"/>
      <c r="H2061"/>
      <c r="I2061"/>
      <c r="J2061"/>
    </row>
    <row r="2062" spans="1:10" s="2" customFormat="1">
      <c r="A2062" s="1"/>
      <c r="E2062"/>
      <c r="F2062"/>
      <c r="G2062"/>
      <c r="H2062"/>
      <c r="I2062"/>
      <c r="J2062"/>
    </row>
    <row r="2063" spans="1:10" s="2" customFormat="1">
      <c r="A2063" s="1"/>
      <c r="E2063"/>
      <c r="F2063"/>
      <c r="G2063"/>
      <c r="H2063"/>
      <c r="I2063"/>
      <c r="J2063"/>
    </row>
    <row r="2064" spans="1:10" s="2" customFormat="1">
      <c r="A2064" s="1"/>
      <c r="E2064"/>
      <c r="F2064"/>
      <c r="G2064"/>
      <c r="H2064"/>
      <c r="I2064"/>
      <c r="J2064"/>
    </row>
    <row r="2065" spans="1:10" s="2" customFormat="1">
      <c r="A2065" s="1"/>
      <c r="E2065"/>
      <c r="F2065"/>
      <c r="G2065"/>
      <c r="H2065"/>
      <c r="I2065"/>
      <c r="J2065"/>
    </row>
    <row r="2066" spans="1:10" s="2" customFormat="1">
      <c r="A2066" s="1"/>
      <c r="E2066"/>
      <c r="F2066"/>
      <c r="G2066"/>
      <c r="H2066"/>
      <c r="I2066"/>
      <c r="J2066"/>
    </row>
    <row r="2067" spans="1:10" s="2" customFormat="1">
      <c r="A2067" s="1"/>
      <c r="E2067"/>
      <c r="F2067"/>
      <c r="G2067"/>
      <c r="H2067"/>
      <c r="I2067"/>
      <c r="J2067"/>
    </row>
    <row r="2068" spans="1:10" s="2" customFormat="1">
      <c r="A2068" s="1"/>
      <c r="E2068"/>
      <c r="F2068"/>
      <c r="G2068"/>
      <c r="H2068"/>
      <c r="I2068"/>
      <c r="J2068"/>
    </row>
    <row r="2069" spans="1:10" s="2" customFormat="1">
      <c r="A2069" s="1"/>
      <c r="E2069"/>
      <c r="F2069"/>
      <c r="G2069"/>
      <c r="H2069"/>
      <c r="I2069"/>
      <c r="J2069"/>
    </row>
    <row r="2070" spans="1:10" s="2" customFormat="1">
      <c r="A2070" s="1"/>
      <c r="E2070"/>
      <c r="F2070"/>
      <c r="G2070"/>
      <c r="H2070"/>
      <c r="I2070"/>
      <c r="J2070"/>
    </row>
    <row r="2071" spans="1:10" s="2" customFormat="1">
      <c r="A2071" s="1"/>
      <c r="E2071"/>
      <c r="F2071"/>
      <c r="G2071"/>
      <c r="H2071"/>
      <c r="I2071"/>
      <c r="J2071"/>
    </row>
    <row r="2072" spans="1:10" s="2" customFormat="1">
      <c r="A2072" s="1"/>
      <c r="E2072"/>
      <c r="F2072"/>
      <c r="G2072"/>
      <c r="H2072"/>
      <c r="I2072"/>
      <c r="J2072"/>
    </row>
    <row r="2073" spans="1:10" s="2" customFormat="1">
      <c r="A2073" s="1"/>
      <c r="E2073"/>
      <c r="F2073"/>
      <c r="G2073"/>
      <c r="H2073"/>
      <c r="I2073"/>
      <c r="J2073"/>
    </row>
    <row r="2074" spans="1:10" s="2" customFormat="1">
      <c r="A2074" s="1"/>
      <c r="E2074"/>
      <c r="F2074"/>
      <c r="G2074"/>
      <c r="H2074"/>
      <c r="I2074"/>
      <c r="J2074"/>
    </row>
    <row r="2075" spans="1:10" s="2" customFormat="1">
      <c r="A2075" s="1"/>
      <c r="E2075"/>
      <c r="F2075"/>
      <c r="G2075"/>
      <c r="H2075"/>
      <c r="I2075"/>
      <c r="J2075"/>
    </row>
    <row r="2076" spans="1:10" s="2" customFormat="1">
      <c r="A2076" s="1"/>
      <c r="E2076"/>
      <c r="F2076"/>
      <c r="G2076"/>
      <c r="H2076"/>
      <c r="I2076"/>
      <c r="J2076"/>
    </row>
    <row r="2077" spans="1:10" s="2" customFormat="1">
      <c r="A2077" s="1"/>
      <c r="E2077"/>
      <c r="F2077"/>
      <c r="G2077"/>
      <c r="H2077"/>
      <c r="I2077"/>
      <c r="J2077"/>
    </row>
    <row r="2078" spans="1:10" s="2" customFormat="1">
      <c r="A2078" s="1"/>
      <c r="E2078"/>
      <c r="F2078"/>
      <c r="G2078"/>
      <c r="H2078"/>
      <c r="I2078"/>
      <c r="J2078"/>
    </row>
    <row r="2079" spans="1:10" s="2" customFormat="1">
      <c r="A2079" s="1"/>
      <c r="E2079"/>
      <c r="F2079"/>
      <c r="G2079"/>
      <c r="H2079"/>
      <c r="I2079"/>
      <c r="J2079"/>
    </row>
    <row r="2080" spans="1:10" s="2" customFormat="1">
      <c r="A2080" s="1"/>
      <c r="E2080"/>
      <c r="F2080"/>
      <c r="G2080"/>
      <c r="H2080"/>
      <c r="I2080"/>
      <c r="J2080"/>
    </row>
    <row r="2081" spans="1:10" s="2" customFormat="1">
      <c r="A2081" s="1"/>
      <c r="E2081"/>
      <c r="F2081"/>
      <c r="G2081"/>
      <c r="H2081"/>
      <c r="I2081"/>
      <c r="J2081"/>
    </row>
    <row r="2082" spans="1:10" s="2" customFormat="1">
      <c r="A2082" s="1"/>
      <c r="E2082"/>
      <c r="F2082"/>
      <c r="G2082"/>
      <c r="H2082"/>
      <c r="I2082"/>
      <c r="J2082"/>
    </row>
    <row r="2083" spans="1:10" s="2" customFormat="1">
      <c r="A2083" s="1"/>
      <c r="E2083"/>
      <c r="F2083"/>
      <c r="G2083"/>
      <c r="H2083"/>
      <c r="I2083"/>
      <c r="J2083"/>
    </row>
    <row r="2084" spans="1:10" s="2" customFormat="1">
      <c r="A2084" s="1"/>
      <c r="E2084"/>
      <c r="F2084"/>
      <c r="G2084"/>
      <c r="H2084"/>
      <c r="I2084"/>
      <c r="J2084"/>
    </row>
    <row r="2085" spans="1:10" s="2" customFormat="1">
      <c r="A2085" s="1"/>
      <c r="E2085"/>
      <c r="F2085"/>
      <c r="G2085"/>
      <c r="H2085"/>
      <c r="I2085"/>
      <c r="J2085"/>
    </row>
    <row r="2086" spans="1:10" s="2" customFormat="1">
      <c r="A2086" s="1"/>
      <c r="E2086"/>
      <c r="F2086"/>
      <c r="G2086"/>
      <c r="H2086"/>
      <c r="I2086"/>
      <c r="J2086"/>
    </row>
    <row r="2087" spans="1:10" s="2" customFormat="1">
      <c r="A2087" s="1"/>
      <c r="E2087"/>
      <c r="F2087"/>
      <c r="G2087"/>
      <c r="H2087"/>
      <c r="I2087"/>
      <c r="J2087"/>
    </row>
    <row r="2088" spans="1:10" s="2" customFormat="1">
      <c r="A2088" s="1"/>
      <c r="E2088"/>
      <c r="F2088"/>
      <c r="G2088"/>
      <c r="H2088"/>
      <c r="I2088"/>
      <c r="J2088"/>
    </row>
    <row r="2089" spans="1:10" s="2" customFormat="1">
      <c r="A2089" s="1"/>
      <c r="E2089"/>
      <c r="F2089"/>
      <c r="G2089"/>
      <c r="H2089"/>
      <c r="I2089"/>
      <c r="J2089"/>
    </row>
    <row r="2090" spans="1:10" s="2" customFormat="1">
      <c r="A2090" s="1"/>
      <c r="E2090"/>
      <c r="F2090"/>
      <c r="G2090"/>
      <c r="H2090"/>
      <c r="I2090"/>
      <c r="J2090"/>
    </row>
    <row r="2091" spans="1:10" s="2" customFormat="1">
      <c r="A2091" s="1"/>
      <c r="E2091"/>
      <c r="F2091"/>
      <c r="G2091"/>
      <c r="H2091"/>
      <c r="I2091"/>
      <c r="J2091"/>
    </row>
    <row r="2092" spans="1:10" s="2" customFormat="1">
      <c r="A2092" s="1"/>
      <c r="E2092"/>
      <c r="F2092"/>
      <c r="G2092"/>
      <c r="H2092"/>
      <c r="I2092"/>
      <c r="J2092"/>
    </row>
    <row r="2093" spans="1:10" s="2" customFormat="1">
      <c r="A2093" s="1"/>
      <c r="E2093"/>
      <c r="F2093"/>
      <c r="G2093"/>
      <c r="H2093"/>
      <c r="I2093"/>
      <c r="J2093"/>
    </row>
    <row r="2094" spans="1:10" s="2" customFormat="1">
      <c r="A2094" s="1"/>
      <c r="E2094"/>
      <c r="F2094"/>
      <c r="G2094"/>
      <c r="H2094"/>
      <c r="I2094"/>
      <c r="J2094"/>
    </row>
    <row r="2095" spans="1:10" s="2" customFormat="1">
      <c r="A2095" s="1"/>
      <c r="E2095"/>
      <c r="F2095"/>
      <c r="G2095"/>
      <c r="H2095"/>
      <c r="I2095"/>
      <c r="J2095"/>
    </row>
    <row r="2096" spans="1:10" s="2" customFormat="1">
      <c r="A2096" s="1"/>
      <c r="E2096"/>
      <c r="F2096"/>
      <c r="G2096"/>
      <c r="H2096"/>
      <c r="I2096"/>
      <c r="J2096"/>
    </row>
    <row r="2097" spans="1:10" s="2" customFormat="1">
      <c r="A2097" s="1"/>
      <c r="E2097"/>
      <c r="F2097"/>
      <c r="G2097"/>
      <c r="H2097"/>
      <c r="I2097"/>
      <c r="J2097"/>
    </row>
    <row r="2098" spans="1:10" s="2" customFormat="1">
      <c r="A2098" s="1"/>
      <c r="E2098"/>
      <c r="F2098"/>
      <c r="G2098"/>
      <c r="H2098"/>
      <c r="I2098"/>
      <c r="J2098"/>
    </row>
    <row r="2099" spans="1:10" s="2" customFormat="1">
      <c r="A2099" s="1"/>
      <c r="E2099"/>
      <c r="F2099"/>
      <c r="G2099"/>
      <c r="H2099"/>
      <c r="I2099"/>
      <c r="J2099"/>
    </row>
    <row r="2100" spans="1:10" s="2" customFormat="1">
      <c r="A2100" s="1"/>
      <c r="E2100"/>
      <c r="F2100"/>
      <c r="G2100"/>
      <c r="H2100"/>
      <c r="I2100"/>
      <c r="J2100"/>
    </row>
    <row r="2101" spans="1:10" s="2" customFormat="1">
      <c r="A2101" s="1"/>
      <c r="E2101"/>
      <c r="F2101"/>
      <c r="G2101"/>
      <c r="H2101"/>
      <c r="I2101"/>
      <c r="J2101"/>
    </row>
    <row r="2102" spans="1:10" s="2" customFormat="1">
      <c r="A2102" s="1"/>
      <c r="E2102"/>
      <c r="F2102"/>
      <c r="G2102"/>
      <c r="H2102"/>
      <c r="I2102"/>
      <c r="J2102"/>
    </row>
    <row r="2103" spans="1:10" s="2" customFormat="1">
      <c r="A2103" s="1"/>
      <c r="E2103"/>
      <c r="F2103"/>
      <c r="G2103"/>
      <c r="H2103"/>
      <c r="I2103"/>
      <c r="J2103"/>
    </row>
    <row r="2104" spans="1:10" s="2" customFormat="1">
      <c r="A2104" s="1"/>
      <c r="E2104"/>
      <c r="F2104"/>
      <c r="G2104"/>
      <c r="H2104"/>
      <c r="I2104"/>
      <c r="J2104"/>
    </row>
    <row r="2105" spans="1:10" s="2" customFormat="1">
      <c r="A2105" s="1"/>
      <c r="E2105"/>
      <c r="F2105"/>
      <c r="G2105"/>
      <c r="H2105"/>
      <c r="I2105"/>
      <c r="J2105"/>
    </row>
    <row r="2106" spans="1:10" s="2" customFormat="1">
      <c r="A2106" s="1"/>
      <c r="E2106"/>
      <c r="F2106"/>
      <c r="G2106"/>
      <c r="H2106"/>
      <c r="I2106"/>
      <c r="J2106"/>
    </row>
    <row r="2107" spans="1:10" s="2" customFormat="1">
      <c r="A2107" s="1"/>
      <c r="E2107"/>
      <c r="F2107"/>
      <c r="G2107"/>
      <c r="H2107"/>
      <c r="I2107"/>
      <c r="J2107"/>
    </row>
    <row r="2108" spans="1:10" s="2" customFormat="1">
      <c r="A2108" s="1"/>
      <c r="E2108"/>
      <c r="F2108"/>
      <c r="G2108"/>
      <c r="H2108"/>
      <c r="I2108"/>
      <c r="J2108"/>
    </row>
    <row r="2109" spans="1:10" s="2" customFormat="1">
      <c r="A2109" s="1"/>
      <c r="E2109"/>
      <c r="F2109"/>
      <c r="G2109"/>
      <c r="H2109"/>
      <c r="I2109"/>
      <c r="J2109"/>
    </row>
    <row r="2110" spans="1:10" s="2" customFormat="1">
      <c r="A2110" s="1"/>
      <c r="E2110"/>
      <c r="F2110"/>
      <c r="G2110"/>
      <c r="H2110"/>
      <c r="I2110"/>
      <c r="J2110"/>
    </row>
    <row r="2111" spans="1:10" s="2" customFormat="1">
      <c r="A2111" s="1"/>
      <c r="E2111"/>
      <c r="F2111"/>
      <c r="G2111"/>
      <c r="H2111"/>
      <c r="I2111"/>
      <c r="J2111"/>
    </row>
    <row r="2112" spans="1:10" s="2" customFormat="1">
      <c r="A2112" s="1"/>
      <c r="E2112"/>
      <c r="F2112"/>
      <c r="G2112"/>
      <c r="H2112"/>
      <c r="I2112"/>
      <c r="J2112"/>
    </row>
    <row r="2113" spans="1:10" s="2" customFormat="1">
      <c r="A2113" s="1"/>
      <c r="E2113"/>
      <c r="F2113"/>
      <c r="G2113"/>
      <c r="H2113"/>
      <c r="I2113"/>
      <c r="J2113"/>
    </row>
    <row r="2114" spans="1:10" s="2" customFormat="1">
      <c r="A2114" s="1"/>
      <c r="E2114"/>
      <c r="F2114"/>
      <c r="G2114"/>
      <c r="H2114"/>
      <c r="I2114"/>
      <c r="J2114"/>
    </row>
    <row r="2115" spans="1:10" s="2" customFormat="1">
      <c r="A2115" s="1"/>
      <c r="E2115"/>
      <c r="F2115"/>
      <c r="G2115"/>
      <c r="H2115"/>
      <c r="I2115"/>
      <c r="J2115"/>
    </row>
    <row r="2116" spans="1:10" s="2" customFormat="1">
      <c r="A2116" s="1"/>
      <c r="E2116"/>
      <c r="F2116"/>
      <c r="G2116"/>
      <c r="H2116"/>
      <c r="I2116"/>
      <c r="J2116"/>
    </row>
    <row r="2117" spans="1:10" s="2" customFormat="1">
      <c r="A2117" s="1"/>
      <c r="E2117"/>
      <c r="F2117"/>
      <c r="G2117"/>
      <c r="H2117"/>
      <c r="I2117"/>
      <c r="J2117"/>
    </row>
    <row r="2118" spans="1:10" s="2" customFormat="1">
      <c r="A2118" s="1"/>
      <c r="E2118"/>
      <c r="F2118"/>
      <c r="G2118"/>
      <c r="H2118"/>
      <c r="I2118"/>
      <c r="J2118"/>
    </row>
    <row r="2119" spans="1:10" s="2" customFormat="1">
      <c r="A2119" s="1"/>
      <c r="E2119"/>
      <c r="F2119"/>
      <c r="G2119"/>
      <c r="H2119"/>
      <c r="I2119"/>
      <c r="J2119"/>
    </row>
    <row r="2120" spans="1:10" s="2" customFormat="1">
      <c r="A2120" s="1"/>
      <c r="E2120"/>
      <c r="F2120"/>
      <c r="G2120"/>
      <c r="H2120"/>
      <c r="I2120"/>
      <c r="J2120"/>
    </row>
    <row r="2121" spans="1:10" s="2" customFormat="1">
      <c r="A2121" s="1"/>
      <c r="E2121"/>
      <c r="F2121"/>
      <c r="G2121"/>
      <c r="H2121"/>
      <c r="I2121"/>
      <c r="J2121"/>
    </row>
    <row r="2122" spans="1:10" s="2" customFormat="1">
      <c r="A2122" s="1"/>
      <c r="E2122"/>
      <c r="F2122"/>
      <c r="G2122"/>
      <c r="H2122"/>
      <c r="I2122"/>
      <c r="J2122"/>
    </row>
    <row r="2123" spans="1:10" s="2" customFormat="1">
      <c r="A2123" s="1"/>
      <c r="E2123"/>
      <c r="F2123"/>
      <c r="G2123"/>
      <c r="H2123"/>
      <c r="I2123"/>
      <c r="J2123"/>
    </row>
    <row r="2124" spans="1:10" s="2" customFormat="1">
      <c r="A2124" s="1"/>
      <c r="E2124"/>
      <c r="F2124"/>
      <c r="G2124"/>
      <c r="H2124"/>
      <c r="I2124"/>
      <c r="J2124"/>
    </row>
    <row r="2125" spans="1:10" s="2" customFormat="1">
      <c r="A2125" s="1"/>
      <c r="E2125"/>
      <c r="F2125"/>
      <c r="G2125"/>
      <c r="H2125"/>
      <c r="I2125"/>
      <c r="J2125"/>
    </row>
    <row r="2126" spans="1:10" s="2" customFormat="1">
      <c r="A2126" s="1"/>
      <c r="E2126"/>
      <c r="F2126"/>
      <c r="G2126"/>
      <c r="H2126"/>
      <c r="I2126"/>
      <c r="J2126"/>
    </row>
    <row r="2127" spans="1:10" s="2" customFormat="1">
      <c r="A2127" s="1"/>
      <c r="E2127"/>
      <c r="F2127"/>
      <c r="G2127"/>
      <c r="H2127"/>
      <c r="I2127"/>
      <c r="J2127"/>
    </row>
    <row r="2128" spans="1:10" s="2" customFormat="1">
      <c r="A2128" s="1"/>
      <c r="E2128"/>
      <c r="F2128"/>
      <c r="G2128"/>
      <c r="H2128"/>
      <c r="I2128"/>
      <c r="J2128"/>
    </row>
    <row r="2129" spans="1:10" s="2" customFormat="1">
      <c r="A2129" s="1"/>
      <c r="E2129"/>
      <c r="F2129"/>
      <c r="G2129"/>
      <c r="H2129"/>
      <c r="I2129"/>
      <c r="J2129"/>
    </row>
    <row r="2130" spans="1:10" s="2" customFormat="1">
      <c r="A2130" s="1"/>
      <c r="E2130"/>
      <c r="F2130"/>
      <c r="G2130"/>
      <c r="H2130"/>
      <c r="I2130"/>
      <c r="J2130"/>
    </row>
    <row r="2131" spans="1:10" s="2" customFormat="1">
      <c r="A2131" s="1"/>
      <c r="E2131"/>
      <c r="F2131"/>
      <c r="G2131"/>
      <c r="H2131"/>
      <c r="I2131"/>
      <c r="J2131"/>
    </row>
    <row r="2132" spans="1:10" s="2" customFormat="1">
      <c r="A2132" s="1"/>
      <c r="E2132"/>
      <c r="F2132"/>
      <c r="G2132"/>
      <c r="H2132"/>
      <c r="I2132"/>
      <c r="J2132"/>
    </row>
    <row r="2133" spans="1:10" s="2" customFormat="1">
      <c r="A2133" s="1"/>
      <c r="E2133"/>
      <c r="F2133"/>
      <c r="G2133"/>
      <c r="H2133"/>
      <c r="I2133"/>
      <c r="J2133"/>
    </row>
    <row r="2134" spans="1:10" s="2" customFormat="1">
      <c r="A2134" s="1"/>
      <c r="E2134"/>
      <c r="F2134"/>
      <c r="G2134"/>
      <c r="H2134"/>
      <c r="I2134"/>
      <c r="J2134"/>
    </row>
    <row r="2135" spans="1:10" s="2" customFormat="1">
      <c r="A2135" s="1"/>
      <c r="E2135"/>
      <c r="F2135"/>
      <c r="G2135"/>
      <c r="H2135"/>
      <c r="I2135"/>
      <c r="J2135"/>
    </row>
    <row r="2136" spans="1:10" s="2" customFormat="1">
      <c r="A2136" s="1"/>
      <c r="E2136"/>
      <c r="F2136"/>
      <c r="G2136"/>
      <c r="H2136"/>
      <c r="I2136"/>
      <c r="J2136"/>
    </row>
    <row r="2137" spans="1:10" s="2" customFormat="1">
      <c r="A2137" s="1"/>
      <c r="E2137"/>
      <c r="F2137"/>
      <c r="G2137"/>
      <c r="H2137"/>
      <c r="I2137"/>
      <c r="J2137"/>
    </row>
    <row r="2138" spans="1:10" s="2" customFormat="1">
      <c r="A2138" s="1"/>
      <c r="E2138"/>
      <c r="F2138"/>
      <c r="G2138"/>
      <c r="H2138"/>
      <c r="I2138"/>
      <c r="J2138"/>
    </row>
    <row r="2139" spans="1:10" s="2" customFormat="1">
      <c r="A2139" s="1"/>
      <c r="E2139"/>
      <c r="F2139"/>
      <c r="G2139"/>
      <c r="H2139"/>
      <c r="I2139"/>
      <c r="J2139"/>
    </row>
    <row r="2140" spans="1:10" s="2" customFormat="1">
      <c r="A2140" s="1"/>
      <c r="E2140"/>
      <c r="F2140"/>
      <c r="G2140"/>
      <c r="H2140"/>
      <c r="I2140"/>
      <c r="J2140"/>
    </row>
    <row r="2141" spans="1:10" s="2" customFormat="1">
      <c r="A2141" s="1"/>
      <c r="E2141"/>
      <c r="F2141"/>
      <c r="G2141"/>
      <c r="H2141"/>
      <c r="I2141"/>
      <c r="J2141"/>
    </row>
    <row r="2142" spans="1:10" s="2" customFormat="1">
      <c r="A2142" s="1"/>
      <c r="E2142"/>
      <c r="F2142"/>
      <c r="G2142"/>
      <c r="H2142"/>
      <c r="I2142"/>
      <c r="J2142"/>
    </row>
    <row r="2143" spans="1:10" s="2" customFormat="1">
      <c r="A2143" s="1"/>
      <c r="E2143"/>
      <c r="F2143"/>
      <c r="G2143"/>
      <c r="H2143"/>
      <c r="I2143"/>
      <c r="J2143"/>
    </row>
    <row r="2144" spans="1:10" s="2" customFormat="1">
      <c r="A2144" s="1"/>
      <c r="E2144"/>
      <c r="F2144"/>
      <c r="G2144"/>
      <c r="H2144"/>
      <c r="I2144"/>
      <c r="J2144"/>
    </row>
    <row r="2145" spans="1:10" s="2" customFormat="1">
      <c r="A2145" s="1"/>
      <c r="E2145"/>
      <c r="F2145"/>
      <c r="G2145"/>
      <c r="H2145"/>
      <c r="I2145"/>
      <c r="J2145"/>
    </row>
    <row r="2146" spans="1:10" s="2" customFormat="1">
      <c r="A2146" s="1"/>
      <c r="E2146"/>
      <c r="F2146"/>
      <c r="G2146"/>
      <c r="H2146"/>
      <c r="I2146"/>
      <c r="J2146"/>
    </row>
    <row r="2147" spans="1:10" s="2" customFormat="1">
      <c r="A2147" s="1"/>
      <c r="E2147"/>
      <c r="F2147"/>
      <c r="G2147"/>
      <c r="H2147"/>
      <c r="I2147"/>
      <c r="J2147"/>
    </row>
    <row r="2148" spans="1:10" s="2" customFormat="1">
      <c r="A2148" s="1"/>
      <c r="E2148"/>
      <c r="F2148"/>
      <c r="G2148"/>
      <c r="H2148"/>
      <c r="I2148"/>
      <c r="J2148"/>
    </row>
    <row r="2149" spans="1:10" s="2" customFormat="1">
      <c r="A2149" s="1"/>
      <c r="E2149"/>
      <c r="F2149"/>
      <c r="G2149"/>
      <c r="H2149"/>
      <c r="I2149"/>
      <c r="J2149"/>
    </row>
    <row r="2150" spans="1:10" s="2" customFormat="1">
      <c r="A2150" s="1"/>
      <c r="E2150"/>
      <c r="F2150"/>
      <c r="G2150"/>
      <c r="H2150"/>
      <c r="I2150"/>
      <c r="J2150"/>
    </row>
    <row r="2151" spans="1:10" s="2" customFormat="1">
      <c r="A2151" s="1"/>
      <c r="E2151"/>
      <c r="F2151"/>
      <c r="G2151"/>
      <c r="H2151"/>
      <c r="I2151"/>
      <c r="J2151"/>
    </row>
    <row r="2152" spans="1:10" s="2" customFormat="1">
      <c r="A2152" s="1"/>
      <c r="E2152"/>
      <c r="F2152"/>
      <c r="G2152"/>
      <c r="H2152"/>
      <c r="I2152"/>
      <c r="J2152"/>
    </row>
    <row r="2153" spans="1:10" s="2" customFormat="1">
      <c r="A2153" s="1"/>
      <c r="E2153"/>
      <c r="F2153"/>
      <c r="G2153"/>
      <c r="H2153"/>
      <c r="I2153"/>
      <c r="J2153"/>
    </row>
    <row r="2154" spans="1:10" s="2" customFormat="1">
      <c r="A2154" s="1"/>
      <c r="E2154"/>
      <c r="F2154"/>
      <c r="G2154"/>
      <c r="H2154"/>
      <c r="I2154"/>
      <c r="J2154"/>
    </row>
    <row r="2155" spans="1:10" s="2" customFormat="1">
      <c r="A2155" s="1"/>
      <c r="E2155"/>
      <c r="F2155"/>
      <c r="G2155"/>
      <c r="H2155"/>
      <c r="I2155"/>
      <c r="J2155"/>
    </row>
    <row r="2156" spans="1:10" s="2" customFormat="1">
      <c r="A2156" s="1"/>
      <c r="E2156"/>
      <c r="F2156"/>
      <c r="G2156"/>
      <c r="H2156"/>
      <c r="I2156"/>
      <c r="J2156"/>
    </row>
    <row r="2157" spans="1:10" s="2" customFormat="1">
      <c r="A2157" s="1"/>
      <c r="E2157"/>
      <c r="F2157"/>
      <c r="G2157"/>
      <c r="H2157"/>
      <c r="I2157"/>
      <c r="J2157"/>
    </row>
    <row r="2158" spans="1:10" s="2" customFormat="1">
      <c r="A2158" s="1"/>
      <c r="E2158"/>
      <c r="F2158"/>
      <c r="G2158"/>
      <c r="H2158"/>
      <c r="I2158"/>
      <c r="J2158"/>
    </row>
    <row r="2159" spans="1:10" s="2" customFormat="1">
      <c r="A2159" s="1"/>
      <c r="E2159"/>
      <c r="F2159"/>
      <c r="G2159"/>
      <c r="H2159"/>
      <c r="I2159"/>
      <c r="J2159"/>
    </row>
    <row r="2160" spans="1:10" s="2" customFormat="1">
      <c r="A2160" s="1"/>
      <c r="E2160"/>
      <c r="F2160"/>
      <c r="G2160"/>
      <c r="H2160"/>
      <c r="I2160"/>
      <c r="J2160"/>
    </row>
    <row r="2161" spans="1:10" s="2" customFormat="1">
      <c r="A2161" s="1"/>
      <c r="E2161"/>
      <c r="F2161"/>
      <c r="G2161"/>
      <c r="H2161"/>
      <c r="I2161"/>
      <c r="J2161"/>
    </row>
    <row r="2162" spans="1:10" s="2" customFormat="1">
      <c r="A2162" s="1"/>
      <c r="E2162"/>
      <c r="F2162"/>
      <c r="G2162"/>
      <c r="H2162"/>
      <c r="I2162"/>
      <c r="J2162"/>
    </row>
    <row r="2163" spans="1:10" s="2" customFormat="1">
      <c r="A2163" s="1"/>
      <c r="E2163"/>
      <c r="F2163"/>
      <c r="G2163"/>
      <c r="H2163"/>
      <c r="I2163"/>
      <c r="J2163"/>
    </row>
    <row r="2164" spans="1:10" s="2" customFormat="1">
      <c r="A2164" s="1"/>
      <c r="E2164"/>
      <c r="F2164"/>
      <c r="G2164"/>
      <c r="H2164"/>
      <c r="I2164"/>
      <c r="J2164"/>
    </row>
    <row r="2165" spans="1:10" s="2" customFormat="1">
      <c r="A2165" s="1"/>
      <c r="E2165"/>
      <c r="F2165"/>
      <c r="G2165"/>
      <c r="H2165"/>
      <c r="I2165"/>
      <c r="J2165"/>
    </row>
    <row r="2166" spans="1:10" s="2" customFormat="1">
      <c r="A2166" s="1"/>
      <c r="E2166"/>
      <c r="F2166"/>
      <c r="G2166"/>
      <c r="H2166"/>
      <c r="I2166"/>
      <c r="J2166"/>
    </row>
    <row r="2167" spans="1:10" s="2" customFormat="1">
      <c r="A2167" s="1"/>
      <c r="E2167"/>
      <c r="F2167"/>
      <c r="G2167"/>
      <c r="H2167"/>
      <c r="I2167"/>
      <c r="J2167"/>
    </row>
    <row r="2168" spans="1:10" s="2" customFormat="1">
      <c r="A2168" s="1"/>
      <c r="E2168"/>
      <c r="F2168"/>
      <c r="G2168"/>
      <c r="H2168"/>
      <c r="I2168"/>
      <c r="J2168"/>
    </row>
    <row r="2169" spans="1:10" s="2" customFormat="1">
      <c r="A2169" s="1"/>
      <c r="E2169"/>
      <c r="F2169"/>
      <c r="G2169"/>
      <c r="H2169"/>
      <c r="I2169"/>
      <c r="J2169"/>
    </row>
    <row r="2170" spans="1:10" s="2" customFormat="1">
      <c r="A2170" s="1"/>
      <c r="E2170"/>
      <c r="F2170"/>
      <c r="G2170"/>
      <c r="H2170"/>
      <c r="I2170"/>
      <c r="J2170"/>
    </row>
    <row r="2171" spans="1:10" s="2" customFormat="1">
      <c r="A2171" s="1"/>
      <c r="E2171"/>
      <c r="F2171"/>
      <c r="G2171"/>
      <c r="H2171"/>
      <c r="I2171"/>
      <c r="J2171"/>
    </row>
    <row r="2172" spans="1:10" s="2" customFormat="1">
      <c r="A2172" s="1"/>
      <c r="E2172"/>
      <c r="F2172"/>
      <c r="G2172"/>
      <c r="H2172"/>
      <c r="I2172"/>
      <c r="J2172"/>
    </row>
    <row r="2173" spans="1:10" s="2" customFormat="1">
      <c r="A2173" s="1"/>
      <c r="E2173"/>
      <c r="F2173"/>
      <c r="G2173"/>
      <c r="H2173"/>
      <c r="I2173"/>
      <c r="J2173"/>
    </row>
    <row r="2174" spans="1:10" s="2" customFormat="1">
      <c r="A2174" s="1"/>
      <c r="E2174"/>
      <c r="F2174"/>
      <c r="G2174"/>
      <c r="H2174"/>
      <c r="I2174"/>
      <c r="J2174"/>
    </row>
    <row r="2175" spans="1:10" s="2" customFormat="1">
      <c r="A2175" s="1"/>
      <c r="E2175"/>
      <c r="F2175"/>
      <c r="G2175"/>
      <c r="H2175"/>
      <c r="I2175"/>
      <c r="J2175"/>
    </row>
    <row r="2176" spans="1:10" s="2" customFormat="1">
      <c r="A2176" s="1"/>
      <c r="E2176"/>
      <c r="F2176"/>
      <c r="G2176"/>
      <c r="H2176"/>
      <c r="I2176"/>
      <c r="J2176"/>
    </row>
    <row r="2177" spans="1:10" s="2" customFormat="1">
      <c r="A2177" s="1"/>
      <c r="E2177"/>
      <c r="F2177"/>
      <c r="G2177"/>
      <c r="H2177"/>
      <c r="I2177"/>
      <c r="J2177"/>
    </row>
    <row r="2178" spans="1:10" s="2" customFormat="1">
      <c r="A2178" s="1"/>
      <c r="E2178"/>
      <c r="F2178"/>
      <c r="G2178"/>
      <c r="H2178"/>
      <c r="I2178"/>
      <c r="J2178"/>
    </row>
    <row r="2179" spans="1:10" s="2" customFormat="1">
      <c r="A2179" s="1"/>
      <c r="E2179"/>
      <c r="F2179"/>
      <c r="G2179"/>
      <c r="H2179"/>
      <c r="I2179"/>
      <c r="J2179"/>
    </row>
    <row r="2180" spans="1:10" s="2" customFormat="1">
      <c r="A2180" s="1"/>
      <c r="E2180"/>
      <c r="F2180"/>
      <c r="G2180"/>
      <c r="H2180"/>
      <c r="I2180"/>
      <c r="J2180"/>
    </row>
    <row r="2181" spans="1:10" s="2" customFormat="1">
      <c r="A2181" s="1"/>
      <c r="E2181"/>
      <c r="F2181"/>
      <c r="G2181"/>
      <c r="H2181"/>
      <c r="I2181"/>
      <c r="J2181"/>
    </row>
    <row r="2182" spans="1:10" s="2" customFormat="1">
      <c r="A2182" s="1"/>
      <c r="E2182"/>
      <c r="F2182"/>
      <c r="G2182"/>
      <c r="H2182"/>
      <c r="I2182"/>
      <c r="J2182"/>
    </row>
    <row r="2183" spans="1:10" s="2" customFormat="1">
      <c r="A2183" s="1"/>
      <c r="E2183"/>
      <c r="F2183"/>
      <c r="G2183"/>
      <c r="H2183"/>
      <c r="I2183"/>
      <c r="J2183"/>
    </row>
    <row r="2184" spans="1:10" s="2" customFormat="1">
      <c r="A2184" s="1"/>
      <c r="E2184"/>
      <c r="F2184"/>
      <c r="G2184"/>
      <c r="H2184"/>
      <c r="I2184"/>
      <c r="J2184"/>
    </row>
    <row r="2185" spans="1:10" s="2" customFormat="1">
      <c r="A2185" s="1"/>
      <c r="E2185"/>
      <c r="F2185"/>
      <c r="G2185"/>
      <c r="H2185"/>
      <c r="I2185"/>
      <c r="J2185"/>
    </row>
    <row r="2186" spans="1:10" s="2" customFormat="1">
      <c r="A2186" s="1"/>
      <c r="E2186"/>
      <c r="F2186"/>
      <c r="G2186"/>
      <c r="H2186"/>
      <c r="I2186"/>
      <c r="J2186"/>
    </row>
    <row r="2187" spans="1:10" s="2" customFormat="1">
      <c r="A2187" s="1"/>
      <c r="E2187"/>
      <c r="F2187"/>
      <c r="G2187"/>
      <c r="H2187"/>
      <c r="I2187"/>
      <c r="J2187"/>
    </row>
    <row r="2188" spans="1:10" s="2" customFormat="1">
      <c r="A2188" s="1"/>
      <c r="E2188"/>
      <c r="F2188"/>
      <c r="G2188"/>
      <c r="H2188"/>
      <c r="I2188"/>
      <c r="J2188"/>
    </row>
    <row r="2189" spans="1:10" s="2" customFormat="1">
      <c r="A2189" s="1"/>
      <c r="E2189"/>
      <c r="F2189"/>
      <c r="G2189"/>
      <c r="H2189"/>
      <c r="I2189"/>
      <c r="J2189"/>
    </row>
    <row r="2190" spans="1:10" s="2" customFormat="1">
      <c r="A2190" s="1"/>
      <c r="E2190"/>
      <c r="F2190"/>
      <c r="G2190"/>
      <c r="H2190"/>
      <c r="I2190"/>
      <c r="J2190"/>
    </row>
    <row r="2191" spans="1:10" s="2" customFormat="1">
      <c r="A2191" s="1"/>
      <c r="E2191"/>
      <c r="F2191"/>
      <c r="G2191"/>
      <c r="H2191"/>
      <c r="I2191"/>
      <c r="J2191"/>
    </row>
    <row r="2192" spans="1:10" s="2" customFormat="1">
      <c r="A2192" s="1"/>
      <c r="E2192"/>
      <c r="F2192"/>
      <c r="G2192"/>
      <c r="H2192"/>
      <c r="I2192"/>
      <c r="J2192"/>
    </row>
    <row r="2193" spans="1:10" s="2" customFormat="1">
      <c r="A2193" s="1"/>
      <c r="E2193"/>
      <c r="F2193"/>
      <c r="G2193"/>
      <c r="H2193"/>
      <c r="I2193"/>
      <c r="J2193"/>
    </row>
    <row r="2194" spans="1:10" s="2" customFormat="1">
      <c r="A2194" s="1"/>
      <c r="E2194"/>
      <c r="F2194"/>
      <c r="G2194"/>
      <c r="H2194"/>
      <c r="I2194"/>
      <c r="J2194"/>
    </row>
    <row r="2195" spans="1:10" s="2" customFormat="1">
      <c r="A2195" s="1"/>
      <c r="E2195"/>
      <c r="F2195"/>
      <c r="G2195"/>
      <c r="H2195"/>
      <c r="I2195"/>
      <c r="J2195"/>
    </row>
    <row r="2196" spans="1:10" s="2" customFormat="1">
      <c r="A2196" s="1"/>
      <c r="E2196"/>
      <c r="F2196"/>
      <c r="G2196"/>
      <c r="H2196"/>
      <c r="I2196"/>
      <c r="J2196"/>
    </row>
    <row r="2197" spans="1:10" s="2" customFormat="1">
      <c r="A2197" s="1"/>
      <c r="E2197"/>
      <c r="F2197"/>
      <c r="G2197"/>
      <c r="H2197"/>
      <c r="I2197"/>
      <c r="J2197"/>
    </row>
    <row r="2198" spans="1:10" s="2" customFormat="1">
      <c r="A2198" s="1"/>
      <c r="E2198"/>
      <c r="F2198"/>
      <c r="G2198"/>
      <c r="H2198"/>
      <c r="I2198"/>
      <c r="J2198"/>
    </row>
    <row r="2199" spans="1:10" s="2" customFormat="1">
      <c r="A2199" s="1"/>
      <c r="E2199"/>
      <c r="F2199"/>
      <c r="G2199"/>
      <c r="H2199"/>
      <c r="I2199"/>
      <c r="J2199"/>
    </row>
    <row r="2200" spans="1:10" s="2" customFormat="1">
      <c r="A2200" s="1"/>
      <c r="E2200"/>
      <c r="F2200"/>
      <c r="G2200"/>
      <c r="H2200"/>
      <c r="I2200"/>
      <c r="J2200"/>
    </row>
    <row r="2201" spans="1:10" s="2" customFormat="1">
      <c r="A2201" s="1"/>
      <c r="E2201"/>
      <c r="F2201"/>
      <c r="G2201"/>
      <c r="H2201"/>
      <c r="I2201"/>
      <c r="J2201"/>
    </row>
    <row r="2202" spans="1:10" s="2" customFormat="1">
      <c r="A2202" s="1"/>
      <c r="E2202"/>
      <c r="F2202"/>
      <c r="G2202"/>
      <c r="H2202"/>
      <c r="I2202"/>
      <c r="J2202"/>
    </row>
    <row r="2203" spans="1:10" s="2" customFormat="1">
      <c r="A2203" s="1"/>
      <c r="E2203"/>
      <c r="F2203"/>
      <c r="G2203"/>
      <c r="H2203"/>
      <c r="I2203"/>
      <c r="J2203"/>
    </row>
    <row r="2204" spans="1:10" s="2" customFormat="1">
      <c r="A2204" s="1"/>
      <c r="E2204"/>
      <c r="F2204"/>
      <c r="G2204"/>
      <c r="H2204"/>
      <c r="I2204"/>
      <c r="J2204"/>
    </row>
    <row r="2205" spans="1:10" s="2" customFormat="1">
      <c r="A2205" s="1"/>
      <c r="E2205"/>
      <c r="F2205"/>
      <c r="G2205"/>
      <c r="H2205"/>
      <c r="I2205"/>
      <c r="J2205"/>
    </row>
    <row r="2206" spans="1:10" s="2" customFormat="1">
      <c r="A2206" s="1"/>
      <c r="E2206"/>
      <c r="F2206"/>
      <c r="G2206"/>
      <c r="H2206"/>
      <c r="I2206"/>
      <c r="J2206"/>
    </row>
    <row r="2207" spans="1:10" s="2" customFormat="1">
      <c r="A2207" s="1"/>
      <c r="E2207"/>
      <c r="F2207"/>
      <c r="G2207"/>
      <c r="H2207"/>
      <c r="I2207"/>
      <c r="J2207"/>
    </row>
    <row r="2208" spans="1:10" s="2" customFormat="1">
      <c r="A2208" s="1"/>
      <c r="E2208"/>
      <c r="F2208"/>
      <c r="G2208"/>
      <c r="H2208"/>
      <c r="I2208"/>
      <c r="J2208"/>
    </row>
    <row r="2209" spans="1:10" s="2" customFormat="1">
      <c r="A2209" s="1"/>
      <c r="E2209"/>
      <c r="F2209"/>
      <c r="G2209"/>
      <c r="H2209"/>
      <c r="I2209"/>
      <c r="J2209"/>
    </row>
    <row r="2210" spans="1:10" s="2" customFormat="1">
      <c r="A2210" s="1"/>
      <c r="E2210"/>
      <c r="F2210"/>
      <c r="G2210"/>
      <c r="H2210"/>
      <c r="I2210"/>
      <c r="J2210"/>
    </row>
    <row r="2211" spans="1:10" s="2" customFormat="1">
      <c r="A2211" s="1"/>
      <c r="E2211"/>
      <c r="F2211"/>
      <c r="G2211"/>
      <c r="H2211"/>
      <c r="I2211"/>
      <c r="J2211"/>
    </row>
    <row r="2212" spans="1:10" s="2" customFormat="1">
      <c r="A2212" s="1"/>
      <c r="E2212"/>
      <c r="F2212"/>
      <c r="G2212"/>
      <c r="H2212"/>
      <c r="I2212"/>
      <c r="J2212"/>
    </row>
    <row r="2213" spans="1:10" s="2" customFormat="1">
      <c r="A2213" s="1"/>
      <c r="E2213"/>
      <c r="F2213"/>
      <c r="G2213"/>
      <c r="H2213"/>
      <c r="I2213"/>
      <c r="J2213"/>
    </row>
    <row r="2214" spans="1:10" s="2" customFormat="1">
      <c r="A2214" s="1"/>
      <c r="E2214"/>
      <c r="F2214"/>
      <c r="G2214"/>
      <c r="H2214"/>
      <c r="I2214"/>
      <c r="J2214"/>
    </row>
    <row r="2215" spans="1:10" s="2" customFormat="1">
      <c r="A2215" s="1"/>
      <c r="E2215"/>
      <c r="F2215"/>
      <c r="G2215"/>
      <c r="H2215"/>
      <c r="I2215"/>
      <c r="J2215"/>
    </row>
    <row r="2216" spans="1:10" s="2" customFormat="1">
      <c r="A2216" s="1"/>
      <c r="E2216"/>
      <c r="F2216"/>
      <c r="G2216"/>
      <c r="H2216"/>
      <c r="I2216"/>
      <c r="J2216"/>
    </row>
    <row r="2217" spans="1:10" s="2" customFormat="1">
      <c r="A2217" s="1"/>
      <c r="E2217"/>
      <c r="F2217"/>
      <c r="G2217"/>
      <c r="H2217"/>
      <c r="I2217"/>
      <c r="J2217"/>
    </row>
    <row r="2218" spans="1:10" s="2" customFormat="1">
      <c r="A2218" s="1"/>
      <c r="E2218"/>
      <c r="F2218"/>
      <c r="G2218"/>
      <c r="H2218"/>
      <c r="I2218"/>
      <c r="J2218"/>
    </row>
    <row r="2219" spans="1:10" s="2" customFormat="1">
      <c r="A2219" s="1"/>
      <c r="E2219"/>
      <c r="F2219"/>
      <c r="G2219"/>
      <c r="H2219"/>
      <c r="I2219"/>
      <c r="J2219"/>
    </row>
    <row r="2220" spans="1:10" s="2" customFormat="1">
      <c r="A2220" s="1"/>
      <c r="E2220"/>
      <c r="F2220"/>
      <c r="G2220"/>
      <c r="H2220"/>
      <c r="I2220"/>
      <c r="J2220"/>
    </row>
    <row r="2221" spans="1:10" s="2" customFormat="1">
      <c r="A2221" s="1"/>
      <c r="E2221"/>
      <c r="F2221"/>
      <c r="G2221"/>
      <c r="H2221"/>
      <c r="I2221"/>
      <c r="J2221"/>
    </row>
    <row r="2222" spans="1:10" s="2" customFormat="1">
      <c r="A2222" s="1"/>
      <c r="E2222"/>
      <c r="F2222"/>
      <c r="G2222"/>
      <c r="H2222"/>
      <c r="I2222"/>
      <c r="J2222"/>
    </row>
    <row r="2223" spans="1:10" s="2" customFormat="1">
      <c r="A2223" s="1"/>
      <c r="E2223"/>
      <c r="F2223"/>
      <c r="G2223"/>
      <c r="H2223"/>
      <c r="I2223"/>
      <c r="J2223"/>
    </row>
    <row r="2224" spans="1:10" s="2" customFormat="1">
      <c r="A2224" s="1"/>
      <c r="E2224"/>
      <c r="F2224"/>
      <c r="G2224"/>
      <c r="H2224"/>
      <c r="I2224"/>
      <c r="J2224"/>
    </row>
    <row r="2225" spans="1:10" s="2" customFormat="1">
      <c r="A2225" s="1"/>
      <c r="E2225"/>
      <c r="F2225"/>
      <c r="G2225"/>
      <c r="H2225"/>
      <c r="I2225"/>
      <c r="J2225"/>
    </row>
    <row r="2226" spans="1:10" s="2" customFormat="1">
      <c r="A2226" s="1"/>
      <c r="E2226"/>
      <c r="F2226"/>
      <c r="G2226"/>
      <c r="H2226"/>
      <c r="I2226"/>
      <c r="J2226"/>
    </row>
    <row r="2227" spans="1:10" s="2" customFormat="1">
      <c r="A2227" s="1"/>
      <c r="E2227"/>
      <c r="F2227"/>
      <c r="G2227"/>
      <c r="H2227"/>
      <c r="I2227"/>
      <c r="J2227"/>
    </row>
    <row r="2228" spans="1:10" s="2" customFormat="1">
      <c r="A2228" s="1"/>
      <c r="E2228"/>
      <c r="F2228"/>
      <c r="G2228"/>
      <c r="H2228"/>
      <c r="I2228"/>
      <c r="J2228"/>
    </row>
    <row r="2229" spans="1:10" s="2" customFormat="1">
      <c r="A2229" s="1"/>
      <c r="E2229"/>
      <c r="F2229"/>
      <c r="G2229"/>
      <c r="H2229"/>
      <c r="I2229"/>
      <c r="J2229"/>
    </row>
    <row r="2230" spans="1:10" s="2" customFormat="1">
      <c r="A2230" s="1"/>
      <c r="E2230"/>
      <c r="F2230"/>
      <c r="G2230"/>
      <c r="H2230"/>
      <c r="I2230"/>
      <c r="J2230"/>
    </row>
    <row r="2231" spans="1:10" s="2" customFormat="1">
      <c r="A2231" s="1"/>
      <c r="E2231"/>
      <c r="F2231"/>
      <c r="G2231"/>
      <c r="H2231"/>
      <c r="I2231"/>
      <c r="J2231"/>
    </row>
    <row r="2232" spans="1:10" s="2" customFormat="1">
      <c r="A2232" s="1"/>
      <c r="E2232"/>
      <c r="F2232"/>
      <c r="G2232"/>
      <c r="H2232"/>
      <c r="I2232"/>
      <c r="J2232"/>
    </row>
    <row r="2233" spans="1:10" s="2" customFormat="1">
      <c r="A2233" s="1"/>
      <c r="E2233"/>
      <c r="F2233"/>
      <c r="G2233"/>
      <c r="H2233"/>
      <c r="I2233"/>
      <c r="J2233"/>
    </row>
    <row r="2234" spans="1:10" s="2" customFormat="1">
      <c r="A2234" s="1"/>
      <c r="E2234"/>
      <c r="F2234"/>
      <c r="G2234"/>
      <c r="H2234"/>
      <c r="I2234"/>
      <c r="J2234"/>
    </row>
    <row r="2235" spans="1:10" s="2" customFormat="1">
      <c r="A2235" s="1"/>
      <c r="E2235"/>
      <c r="F2235"/>
      <c r="G2235"/>
      <c r="H2235"/>
      <c r="I2235"/>
      <c r="J2235"/>
    </row>
    <row r="2236" spans="1:10" s="2" customFormat="1">
      <c r="A2236" s="1"/>
      <c r="E2236"/>
      <c r="F2236"/>
      <c r="G2236"/>
      <c r="H2236"/>
      <c r="I2236"/>
      <c r="J2236"/>
    </row>
    <row r="2237" spans="1:10" s="2" customFormat="1">
      <c r="A2237" s="1"/>
      <c r="E2237"/>
      <c r="F2237"/>
      <c r="G2237"/>
      <c r="H2237"/>
      <c r="I2237"/>
      <c r="J2237"/>
    </row>
    <row r="2238" spans="1:10" s="2" customFormat="1">
      <c r="A2238" s="1"/>
      <c r="E2238"/>
      <c r="F2238"/>
      <c r="G2238"/>
      <c r="H2238"/>
      <c r="I2238"/>
      <c r="J2238"/>
    </row>
    <row r="2239" spans="1:10" s="2" customFormat="1">
      <c r="A2239" s="1"/>
      <c r="E2239"/>
      <c r="F2239"/>
      <c r="G2239"/>
      <c r="H2239"/>
      <c r="I2239"/>
      <c r="J2239"/>
    </row>
    <row r="2240" spans="1:10" s="2" customFormat="1">
      <c r="A2240" s="1"/>
      <c r="E2240"/>
      <c r="F2240"/>
      <c r="G2240"/>
      <c r="H2240"/>
      <c r="I2240"/>
      <c r="J2240"/>
    </row>
    <row r="2241" spans="1:10" s="2" customFormat="1">
      <c r="A2241" s="1"/>
      <c r="E2241"/>
      <c r="F2241"/>
      <c r="G2241"/>
      <c r="H2241"/>
      <c r="I2241"/>
      <c r="J2241"/>
    </row>
    <row r="2242" spans="1:10" s="2" customFormat="1">
      <c r="A2242" s="1"/>
      <c r="E2242"/>
      <c r="F2242"/>
      <c r="G2242"/>
      <c r="H2242"/>
      <c r="I2242"/>
      <c r="J2242"/>
    </row>
    <row r="2243" spans="1:10" s="2" customFormat="1">
      <c r="A2243" s="1"/>
      <c r="E2243"/>
      <c r="F2243"/>
      <c r="G2243"/>
      <c r="H2243"/>
      <c r="I2243"/>
      <c r="J2243"/>
    </row>
    <row r="2244" spans="1:10" s="2" customFormat="1">
      <c r="A2244" s="1"/>
      <c r="E2244"/>
      <c r="F2244"/>
      <c r="G2244"/>
      <c r="H2244"/>
      <c r="I2244"/>
      <c r="J2244"/>
    </row>
    <row r="2245" spans="1:10" s="2" customFormat="1">
      <c r="A2245" s="1"/>
      <c r="E2245"/>
      <c r="F2245"/>
      <c r="G2245"/>
      <c r="H2245"/>
      <c r="I2245"/>
      <c r="J2245"/>
    </row>
    <row r="2246" spans="1:10" s="2" customFormat="1">
      <c r="A2246" s="1"/>
      <c r="E2246"/>
      <c r="F2246"/>
      <c r="G2246"/>
      <c r="H2246"/>
      <c r="I2246"/>
      <c r="J2246"/>
    </row>
    <row r="2247" spans="1:10" s="2" customFormat="1">
      <c r="A2247" s="1"/>
      <c r="E2247"/>
      <c r="F2247"/>
      <c r="G2247"/>
      <c r="H2247"/>
      <c r="I2247"/>
      <c r="J2247"/>
    </row>
    <row r="2248" spans="1:10" s="2" customFormat="1">
      <c r="A2248" s="1"/>
      <c r="E2248"/>
      <c r="F2248"/>
      <c r="G2248"/>
      <c r="H2248"/>
      <c r="I2248"/>
      <c r="J2248"/>
    </row>
    <row r="2249" spans="1:10" s="2" customFormat="1">
      <c r="A2249" s="1"/>
      <c r="E2249"/>
      <c r="F2249"/>
      <c r="G2249"/>
      <c r="H2249"/>
      <c r="I2249"/>
      <c r="J2249"/>
    </row>
    <row r="2250" spans="1:10" s="2" customFormat="1">
      <c r="A2250" s="1"/>
      <c r="E2250"/>
      <c r="F2250"/>
      <c r="G2250"/>
      <c r="H2250"/>
      <c r="I2250"/>
      <c r="J2250"/>
    </row>
    <row r="2251" spans="1:10" s="2" customFormat="1">
      <c r="A2251" s="1"/>
      <c r="E2251"/>
      <c r="F2251"/>
      <c r="G2251"/>
      <c r="H2251"/>
      <c r="I2251"/>
      <c r="J2251"/>
    </row>
    <row r="2252" spans="1:10" s="2" customFormat="1">
      <c r="A2252" s="1"/>
      <c r="E2252"/>
      <c r="F2252"/>
      <c r="G2252"/>
      <c r="H2252"/>
      <c r="I2252"/>
      <c r="J2252"/>
    </row>
    <row r="2253" spans="1:10" s="2" customFormat="1">
      <c r="A2253" s="1"/>
      <c r="E2253"/>
      <c r="F2253"/>
      <c r="G2253"/>
      <c r="H2253"/>
      <c r="I2253"/>
      <c r="J2253"/>
    </row>
    <row r="2254" spans="1:10" s="2" customFormat="1">
      <c r="A2254" s="1"/>
      <c r="E2254"/>
      <c r="F2254"/>
      <c r="G2254"/>
      <c r="H2254"/>
      <c r="I2254"/>
      <c r="J2254"/>
    </row>
    <row r="2255" spans="1:10" s="2" customFormat="1">
      <c r="A2255" s="1"/>
      <c r="E2255"/>
      <c r="F2255"/>
      <c r="G2255"/>
      <c r="H2255"/>
      <c r="I2255"/>
      <c r="J2255"/>
    </row>
    <row r="2256" spans="1:10" s="2" customFormat="1">
      <c r="A2256" s="1"/>
      <c r="E2256"/>
      <c r="F2256"/>
      <c r="G2256"/>
      <c r="H2256"/>
      <c r="I2256"/>
      <c r="J2256"/>
    </row>
    <row r="2257" spans="1:10" s="2" customFormat="1">
      <c r="A2257" s="1"/>
      <c r="E2257"/>
      <c r="F2257"/>
      <c r="G2257"/>
      <c r="H2257"/>
      <c r="I2257"/>
      <c r="J2257"/>
    </row>
    <row r="2258" spans="1:10" s="2" customFormat="1">
      <c r="A2258" s="1"/>
      <c r="E2258"/>
      <c r="F2258"/>
      <c r="G2258"/>
      <c r="H2258"/>
      <c r="I2258"/>
      <c r="J2258"/>
    </row>
    <row r="2259" spans="1:10" s="2" customFormat="1">
      <c r="A2259" s="1"/>
      <c r="E2259"/>
      <c r="F2259"/>
      <c r="G2259"/>
      <c r="H2259"/>
      <c r="I2259"/>
      <c r="J2259"/>
    </row>
    <row r="2260" spans="1:10" s="2" customFormat="1">
      <c r="A2260" s="1"/>
      <c r="E2260"/>
      <c r="F2260"/>
      <c r="G2260"/>
      <c r="H2260"/>
      <c r="I2260"/>
      <c r="J2260"/>
    </row>
    <row r="2261" spans="1:10" s="2" customFormat="1">
      <c r="A2261" s="1"/>
      <c r="E2261"/>
      <c r="F2261"/>
      <c r="G2261"/>
      <c r="H2261"/>
      <c r="I2261"/>
      <c r="J2261"/>
    </row>
    <row r="2262" spans="1:10" s="2" customFormat="1">
      <c r="A2262" s="1"/>
      <c r="E2262"/>
      <c r="F2262"/>
      <c r="G2262"/>
      <c r="H2262"/>
      <c r="I2262"/>
      <c r="J2262"/>
    </row>
    <row r="2263" spans="1:10" s="2" customFormat="1">
      <c r="A2263" s="1"/>
      <c r="E2263"/>
      <c r="F2263"/>
      <c r="G2263"/>
      <c r="H2263"/>
      <c r="I2263"/>
      <c r="J2263"/>
    </row>
    <row r="2264" spans="1:10" s="2" customFormat="1">
      <c r="A2264" s="1"/>
      <c r="E2264"/>
      <c r="F2264"/>
      <c r="G2264"/>
      <c r="H2264"/>
      <c r="I2264"/>
      <c r="J2264"/>
    </row>
    <row r="2265" spans="1:10" s="2" customFormat="1">
      <c r="A2265" s="1"/>
      <c r="E2265"/>
      <c r="F2265"/>
      <c r="G2265"/>
      <c r="H2265"/>
      <c r="I2265"/>
      <c r="J2265"/>
    </row>
    <row r="2266" spans="1:10" s="2" customFormat="1">
      <c r="A2266" s="1"/>
      <c r="E2266"/>
      <c r="F2266"/>
      <c r="G2266"/>
      <c r="H2266"/>
      <c r="I2266"/>
      <c r="J2266"/>
    </row>
    <row r="2267" spans="1:10" s="2" customFormat="1">
      <c r="A2267" s="1"/>
      <c r="E2267"/>
      <c r="F2267"/>
      <c r="G2267"/>
      <c r="H2267"/>
      <c r="I2267"/>
      <c r="J2267"/>
    </row>
    <row r="2268" spans="1:10" s="2" customFormat="1">
      <c r="A2268" s="1"/>
      <c r="E2268"/>
      <c r="F2268"/>
      <c r="G2268"/>
      <c r="H2268"/>
      <c r="I2268"/>
      <c r="J2268"/>
    </row>
    <row r="2269" spans="1:10" s="2" customFormat="1">
      <c r="A2269" s="1"/>
      <c r="E2269"/>
      <c r="F2269"/>
      <c r="G2269"/>
      <c r="H2269"/>
      <c r="I2269"/>
      <c r="J2269"/>
    </row>
    <row r="2270" spans="1:10" s="2" customFormat="1">
      <c r="A2270" s="1"/>
      <c r="E2270"/>
      <c r="F2270"/>
      <c r="G2270"/>
      <c r="H2270"/>
      <c r="I2270"/>
      <c r="J2270"/>
    </row>
    <row r="2271" spans="1:10" s="2" customFormat="1">
      <c r="A2271" s="1"/>
      <c r="E2271"/>
      <c r="F2271"/>
      <c r="G2271"/>
      <c r="H2271"/>
      <c r="I2271"/>
      <c r="J2271"/>
    </row>
    <row r="2272" spans="1:10" s="2" customFormat="1">
      <c r="A2272" s="1"/>
      <c r="E2272"/>
      <c r="F2272"/>
      <c r="G2272"/>
      <c r="H2272"/>
      <c r="I2272"/>
      <c r="J2272"/>
    </row>
    <row r="2273" spans="1:10" s="2" customFormat="1">
      <c r="A2273" s="1"/>
      <c r="E2273"/>
      <c r="F2273"/>
      <c r="G2273"/>
      <c r="H2273"/>
      <c r="I2273"/>
      <c r="J2273"/>
    </row>
    <row r="2274" spans="1:10" s="2" customFormat="1">
      <c r="A2274" s="1"/>
      <c r="E2274"/>
      <c r="F2274"/>
      <c r="G2274"/>
      <c r="H2274"/>
      <c r="I2274"/>
      <c r="J2274"/>
    </row>
    <row r="2275" spans="1:10" s="2" customFormat="1">
      <c r="A2275" s="1"/>
      <c r="E2275"/>
      <c r="F2275"/>
      <c r="G2275"/>
      <c r="H2275"/>
      <c r="I2275"/>
      <c r="J2275"/>
    </row>
    <row r="2276" spans="1:10" s="2" customFormat="1">
      <c r="A2276" s="1"/>
      <c r="E2276"/>
      <c r="F2276"/>
      <c r="G2276"/>
      <c r="H2276"/>
      <c r="I2276"/>
      <c r="J2276"/>
    </row>
    <row r="2277" spans="1:10" s="2" customFormat="1">
      <c r="A2277" s="1"/>
      <c r="E2277"/>
      <c r="F2277"/>
      <c r="G2277"/>
      <c r="H2277"/>
      <c r="I2277"/>
      <c r="J2277"/>
    </row>
    <row r="2278" spans="1:10" s="2" customFormat="1">
      <c r="A2278" s="1"/>
      <c r="E2278"/>
      <c r="F2278"/>
      <c r="G2278"/>
      <c r="H2278"/>
      <c r="I2278"/>
      <c r="J2278"/>
    </row>
    <row r="2279" spans="1:10" s="2" customFormat="1">
      <c r="A2279" s="1"/>
      <c r="E2279"/>
      <c r="F2279"/>
      <c r="G2279"/>
      <c r="H2279"/>
      <c r="I2279"/>
      <c r="J2279"/>
    </row>
    <row r="2280" spans="1:10" s="2" customFormat="1">
      <c r="A2280" s="1"/>
      <c r="E2280"/>
      <c r="F2280"/>
      <c r="G2280"/>
      <c r="H2280"/>
      <c r="I2280"/>
      <c r="J2280"/>
    </row>
    <row r="2281" spans="1:10" s="2" customFormat="1">
      <c r="A2281" s="1"/>
      <c r="E2281"/>
      <c r="F2281"/>
      <c r="G2281"/>
      <c r="H2281"/>
      <c r="I2281"/>
      <c r="J2281"/>
    </row>
    <row r="2282" spans="1:10" s="2" customFormat="1">
      <c r="A2282" s="1"/>
      <c r="E2282"/>
      <c r="F2282"/>
      <c r="G2282"/>
      <c r="H2282"/>
      <c r="I2282"/>
      <c r="J2282"/>
    </row>
    <row r="2283" spans="1:10" s="2" customFormat="1">
      <c r="A2283" s="1"/>
      <c r="E2283"/>
      <c r="F2283"/>
      <c r="G2283"/>
      <c r="H2283"/>
      <c r="I2283"/>
      <c r="J2283"/>
    </row>
    <row r="2284" spans="1:10" s="2" customFormat="1">
      <c r="A2284" s="1"/>
      <c r="E2284"/>
      <c r="F2284"/>
      <c r="G2284"/>
      <c r="H2284"/>
      <c r="I2284"/>
      <c r="J2284"/>
    </row>
    <row r="2285" spans="1:10" s="2" customFormat="1">
      <c r="A2285" s="1"/>
      <c r="E2285"/>
      <c r="F2285"/>
      <c r="G2285"/>
      <c r="H2285"/>
      <c r="I2285"/>
      <c r="J2285"/>
    </row>
    <row r="2286" spans="1:10" s="2" customFormat="1">
      <c r="A2286" s="1"/>
      <c r="E2286"/>
      <c r="F2286"/>
      <c r="G2286"/>
      <c r="H2286"/>
      <c r="I2286"/>
      <c r="J2286"/>
    </row>
    <row r="2287" spans="1:10" s="2" customFormat="1">
      <c r="A2287" s="1"/>
      <c r="E2287"/>
      <c r="F2287"/>
      <c r="G2287"/>
      <c r="H2287"/>
      <c r="I2287"/>
      <c r="J2287"/>
    </row>
    <row r="2288" spans="1:10" s="2" customFormat="1">
      <c r="A2288" s="1"/>
      <c r="E2288"/>
      <c r="F2288"/>
      <c r="G2288"/>
      <c r="H2288"/>
      <c r="I2288"/>
      <c r="J2288"/>
    </row>
    <row r="2289" spans="1:10" s="2" customFormat="1">
      <c r="A2289" s="1"/>
      <c r="E2289"/>
      <c r="F2289"/>
      <c r="G2289"/>
      <c r="H2289"/>
      <c r="I2289"/>
      <c r="J2289"/>
    </row>
    <row r="2290" spans="1:10" s="2" customFormat="1">
      <c r="A2290" s="1"/>
      <c r="E2290"/>
      <c r="F2290"/>
      <c r="G2290"/>
      <c r="H2290"/>
      <c r="I2290"/>
      <c r="J2290"/>
    </row>
    <row r="2291" spans="1:10" s="2" customFormat="1">
      <c r="A2291" s="1"/>
      <c r="E2291"/>
      <c r="F2291"/>
      <c r="G2291"/>
      <c r="H2291"/>
      <c r="I2291"/>
      <c r="J2291"/>
    </row>
    <row r="2292" spans="1:10" s="2" customFormat="1">
      <c r="A2292" s="1"/>
      <c r="E2292"/>
      <c r="F2292"/>
      <c r="G2292"/>
      <c r="H2292"/>
      <c r="I2292"/>
      <c r="J2292"/>
    </row>
    <row r="2293" spans="1:10" s="2" customFormat="1">
      <c r="A2293" s="1"/>
      <c r="E2293"/>
      <c r="F2293"/>
      <c r="G2293"/>
      <c r="H2293"/>
      <c r="I2293"/>
      <c r="J2293"/>
    </row>
    <row r="2294" spans="1:10" s="2" customFormat="1">
      <c r="A2294" s="1"/>
      <c r="E2294"/>
      <c r="F2294"/>
      <c r="G2294"/>
      <c r="H2294"/>
      <c r="I2294"/>
      <c r="J2294"/>
    </row>
    <row r="2295" spans="1:10" s="2" customFormat="1">
      <c r="A2295" s="1"/>
      <c r="E2295"/>
      <c r="F2295"/>
      <c r="G2295"/>
      <c r="H2295"/>
      <c r="I2295"/>
      <c r="J2295"/>
    </row>
    <row r="2296" spans="1:10" s="2" customFormat="1">
      <c r="A2296" s="1"/>
      <c r="E2296"/>
      <c r="F2296"/>
      <c r="G2296"/>
      <c r="H2296"/>
      <c r="I2296"/>
      <c r="J2296"/>
    </row>
    <row r="2297" spans="1:10" s="2" customFormat="1">
      <c r="A2297" s="1"/>
      <c r="E2297"/>
      <c r="F2297"/>
      <c r="G2297"/>
      <c r="H2297"/>
      <c r="I2297"/>
      <c r="J2297"/>
    </row>
    <row r="2298" spans="1:10" s="2" customFormat="1">
      <c r="A2298" s="1"/>
      <c r="E2298"/>
      <c r="F2298"/>
      <c r="G2298"/>
      <c r="H2298"/>
      <c r="I2298"/>
      <c r="J2298"/>
    </row>
    <row r="2299" spans="1:10" s="2" customFormat="1">
      <c r="A2299" s="1"/>
      <c r="E2299"/>
      <c r="F2299"/>
      <c r="G2299"/>
      <c r="H2299"/>
      <c r="I2299"/>
      <c r="J2299"/>
    </row>
    <row r="2300" spans="1:10" s="2" customFormat="1">
      <c r="A2300" s="1"/>
      <c r="E2300"/>
      <c r="F2300"/>
      <c r="G2300"/>
      <c r="H2300"/>
      <c r="I2300"/>
      <c r="J2300"/>
    </row>
    <row r="2301" spans="1:10" s="2" customFormat="1">
      <c r="A2301" s="1"/>
      <c r="E2301"/>
      <c r="F2301"/>
      <c r="G2301"/>
      <c r="H2301"/>
      <c r="I2301"/>
      <c r="J2301"/>
    </row>
    <row r="2302" spans="1:10" s="2" customFormat="1">
      <c r="A2302" s="1"/>
      <c r="E2302"/>
      <c r="F2302"/>
      <c r="G2302"/>
      <c r="H2302"/>
      <c r="I2302"/>
      <c r="J2302"/>
    </row>
    <row r="2303" spans="1:10" s="2" customFormat="1">
      <c r="A2303" s="1"/>
      <c r="E2303"/>
      <c r="F2303"/>
      <c r="G2303"/>
      <c r="H2303"/>
      <c r="I2303"/>
      <c r="J2303"/>
    </row>
    <row r="2304" spans="1:10" s="2" customFormat="1">
      <c r="A2304" s="1"/>
      <c r="E2304"/>
      <c r="F2304"/>
      <c r="G2304"/>
      <c r="H2304"/>
      <c r="I2304"/>
      <c r="J2304"/>
    </row>
    <row r="2305" spans="1:10" s="2" customFormat="1">
      <c r="A2305" s="1"/>
      <c r="E2305"/>
      <c r="F2305"/>
      <c r="G2305"/>
      <c r="H2305"/>
      <c r="I2305"/>
      <c r="J2305"/>
    </row>
    <row r="2306" spans="1:10" s="2" customFormat="1">
      <c r="A2306" s="1"/>
      <c r="E2306"/>
      <c r="F2306"/>
      <c r="G2306"/>
      <c r="H2306"/>
      <c r="I2306"/>
      <c r="J2306"/>
    </row>
    <row r="2307" spans="1:10" s="2" customFormat="1">
      <c r="A2307" s="1"/>
      <c r="E2307"/>
      <c r="F2307"/>
      <c r="G2307"/>
      <c r="H2307"/>
      <c r="I2307"/>
      <c r="J2307"/>
    </row>
    <row r="2308" spans="1:10" s="2" customFormat="1">
      <c r="A2308" s="1"/>
      <c r="E2308"/>
      <c r="F2308"/>
      <c r="G2308"/>
      <c r="H2308"/>
      <c r="I2308"/>
      <c r="J2308"/>
    </row>
    <row r="2309" spans="1:10" s="2" customFormat="1">
      <c r="A2309" s="1"/>
      <c r="E2309"/>
      <c r="F2309"/>
      <c r="G2309"/>
      <c r="H2309"/>
      <c r="I2309"/>
      <c r="J2309"/>
    </row>
    <row r="2310" spans="1:10" s="2" customFormat="1">
      <c r="A2310" s="1"/>
      <c r="E2310"/>
      <c r="F2310"/>
      <c r="G2310"/>
      <c r="H2310"/>
      <c r="I2310"/>
      <c r="J2310"/>
    </row>
    <row r="2311" spans="1:10" s="2" customFormat="1">
      <c r="A2311" s="1"/>
      <c r="E2311"/>
      <c r="F2311"/>
      <c r="G2311"/>
      <c r="H2311"/>
      <c r="I2311"/>
      <c r="J2311"/>
    </row>
    <row r="2312" spans="1:10" s="2" customFormat="1">
      <c r="A2312" s="1"/>
      <c r="E2312"/>
      <c r="F2312"/>
      <c r="G2312"/>
      <c r="H2312"/>
      <c r="I2312"/>
      <c r="J2312"/>
    </row>
    <row r="2313" spans="1:10" s="2" customFormat="1">
      <c r="A2313" s="1"/>
      <c r="E2313"/>
      <c r="F2313"/>
      <c r="G2313"/>
      <c r="H2313"/>
      <c r="I2313"/>
      <c r="J2313"/>
    </row>
    <row r="2314" spans="1:10" s="2" customFormat="1">
      <c r="A2314" s="1"/>
      <c r="E2314"/>
      <c r="F2314"/>
      <c r="G2314"/>
      <c r="H2314"/>
      <c r="I2314"/>
      <c r="J2314"/>
    </row>
    <row r="2315" spans="1:10" s="2" customFormat="1">
      <c r="A2315" s="1"/>
      <c r="E2315"/>
      <c r="F2315"/>
      <c r="G2315"/>
      <c r="H2315"/>
      <c r="I2315"/>
      <c r="J2315"/>
    </row>
    <row r="2316" spans="1:10" s="2" customFormat="1">
      <c r="A2316" s="1"/>
      <c r="E2316"/>
      <c r="F2316"/>
      <c r="G2316"/>
      <c r="H2316"/>
      <c r="I2316"/>
      <c r="J2316"/>
    </row>
    <row r="2317" spans="1:10" s="2" customFormat="1">
      <c r="A2317" s="1"/>
      <c r="E2317"/>
      <c r="F2317"/>
      <c r="G2317"/>
      <c r="H2317"/>
      <c r="I2317"/>
      <c r="J2317"/>
    </row>
    <row r="2318" spans="1:10" s="2" customFormat="1">
      <c r="A2318" s="1"/>
      <c r="E2318"/>
      <c r="F2318"/>
      <c r="G2318"/>
      <c r="H2318"/>
      <c r="I2318"/>
      <c r="J2318"/>
    </row>
    <row r="2319" spans="1:10" s="2" customFormat="1">
      <c r="A2319" s="1"/>
      <c r="E2319"/>
      <c r="F2319"/>
      <c r="G2319"/>
      <c r="H2319"/>
      <c r="I2319"/>
      <c r="J2319"/>
    </row>
    <row r="2320" spans="1:10" s="2" customFormat="1">
      <c r="A2320" s="1"/>
      <c r="E2320"/>
      <c r="F2320"/>
      <c r="G2320"/>
      <c r="H2320"/>
      <c r="I2320"/>
      <c r="J2320"/>
    </row>
    <row r="2321" spans="1:10" s="2" customFormat="1">
      <c r="A2321" s="1"/>
      <c r="E2321"/>
      <c r="F2321"/>
      <c r="G2321"/>
      <c r="H2321"/>
      <c r="I2321"/>
      <c r="J2321"/>
    </row>
    <row r="2322" spans="1:10" s="2" customFormat="1">
      <c r="A2322" s="1"/>
      <c r="E2322"/>
      <c r="F2322"/>
      <c r="G2322"/>
      <c r="H2322"/>
      <c r="I2322"/>
      <c r="J2322"/>
    </row>
    <row r="2323" spans="1:10" s="2" customFormat="1">
      <c r="A2323" s="1"/>
      <c r="E2323"/>
      <c r="F2323"/>
      <c r="G2323"/>
      <c r="H2323"/>
      <c r="I2323"/>
      <c r="J2323"/>
    </row>
    <row r="2324" spans="1:10" s="2" customFormat="1">
      <c r="A2324" s="1"/>
      <c r="E2324"/>
      <c r="F2324"/>
      <c r="G2324"/>
      <c r="H2324"/>
      <c r="I2324"/>
      <c r="J2324"/>
    </row>
    <row r="2325" spans="1:10" s="2" customFormat="1">
      <c r="A2325" s="1"/>
      <c r="E2325"/>
      <c r="F2325"/>
      <c r="G2325"/>
      <c r="H2325"/>
      <c r="I2325"/>
      <c r="J2325"/>
    </row>
    <row r="2326" spans="1:10" s="2" customFormat="1">
      <c r="A2326" s="1"/>
      <c r="E2326"/>
      <c r="F2326"/>
      <c r="G2326"/>
      <c r="H2326"/>
      <c r="I2326"/>
      <c r="J2326"/>
    </row>
    <row r="2327" spans="1:10" s="2" customFormat="1">
      <c r="A2327" s="1"/>
      <c r="E2327"/>
      <c r="F2327"/>
      <c r="G2327"/>
      <c r="H2327"/>
      <c r="I2327"/>
      <c r="J2327"/>
    </row>
    <row r="2328" spans="1:10" s="2" customFormat="1">
      <c r="A2328" s="1"/>
      <c r="E2328"/>
      <c r="F2328"/>
      <c r="G2328"/>
      <c r="H2328"/>
      <c r="I2328"/>
      <c r="J2328"/>
    </row>
    <row r="2329" spans="1:10" s="2" customFormat="1">
      <c r="A2329" s="1"/>
      <c r="E2329"/>
      <c r="F2329"/>
      <c r="G2329"/>
      <c r="H2329"/>
      <c r="I2329"/>
      <c r="J2329"/>
    </row>
    <row r="2330" spans="1:10" s="2" customFormat="1">
      <c r="A2330" s="1"/>
      <c r="E2330"/>
      <c r="F2330"/>
      <c r="G2330"/>
      <c r="H2330"/>
      <c r="I2330"/>
      <c r="J2330"/>
    </row>
    <row r="2331" spans="1:10" s="2" customFormat="1">
      <c r="A2331" s="1"/>
      <c r="E2331"/>
      <c r="F2331"/>
      <c r="G2331"/>
      <c r="H2331"/>
      <c r="I2331"/>
      <c r="J2331"/>
    </row>
    <row r="2332" spans="1:10" s="2" customFormat="1">
      <c r="A2332" s="1"/>
      <c r="E2332"/>
      <c r="F2332"/>
      <c r="G2332"/>
      <c r="H2332"/>
      <c r="I2332"/>
      <c r="J2332"/>
    </row>
    <row r="2333" spans="1:10" s="2" customFormat="1">
      <c r="A2333" s="1"/>
      <c r="E2333"/>
      <c r="F2333"/>
      <c r="G2333"/>
      <c r="H2333"/>
      <c r="I2333"/>
      <c r="J2333"/>
    </row>
    <row r="2334" spans="1:10" s="2" customFormat="1">
      <c r="A2334" s="1"/>
      <c r="E2334"/>
      <c r="F2334"/>
      <c r="G2334"/>
      <c r="H2334"/>
      <c r="I2334"/>
      <c r="J2334"/>
    </row>
    <row r="2335" spans="1:10" s="2" customFormat="1">
      <c r="A2335" s="1"/>
      <c r="E2335"/>
      <c r="F2335"/>
      <c r="G2335"/>
      <c r="H2335"/>
      <c r="I2335"/>
      <c r="J2335"/>
    </row>
    <row r="2336" spans="1:10" s="2" customFormat="1">
      <c r="A2336" s="1"/>
      <c r="E2336"/>
      <c r="F2336"/>
      <c r="G2336"/>
      <c r="H2336"/>
      <c r="I2336"/>
      <c r="J2336"/>
    </row>
    <row r="2337" spans="1:10" s="2" customFormat="1">
      <c r="A2337" s="1"/>
      <c r="E2337"/>
      <c r="F2337"/>
      <c r="G2337"/>
      <c r="H2337"/>
      <c r="I2337"/>
      <c r="J2337"/>
    </row>
    <row r="2338" spans="1:10" s="2" customFormat="1">
      <c r="A2338" s="1"/>
      <c r="E2338"/>
      <c r="F2338"/>
      <c r="G2338"/>
      <c r="H2338"/>
      <c r="I2338"/>
      <c r="J2338"/>
    </row>
    <row r="2339" spans="1:10" s="2" customFormat="1">
      <c r="A2339" s="1"/>
      <c r="E2339"/>
      <c r="F2339"/>
      <c r="G2339"/>
      <c r="H2339"/>
      <c r="I2339"/>
      <c r="J2339"/>
    </row>
    <row r="2340" spans="1:10" s="2" customFormat="1">
      <c r="A2340" s="1"/>
      <c r="E2340"/>
      <c r="F2340"/>
      <c r="G2340"/>
      <c r="H2340"/>
      <c r="I2340"/>
      <c r="J2340"/>
    </row>
    <row r="2341" spans="1:10" s="2" customFormat="1">
      <c r="A2341" s="1"/>
      <c r="E2341"/>
      <c r="F2341"/>
      <c r="G2341"/>
      <c r="H2341"/>
      <c r="I2341"/>
      <c r="J2341"/>
    </row>
    <row r="2342" spans="1:10" s="2" customFormat="1">
      <c r="A2342" s="1"/>
      <c r="E2342"/>
      <c r="F2342"/>
      <c r="G2342"/>
      <c r="H2342"/>
      <c r="I2342"/>
      <c r="J2342"/>
    </row>
    <row r="2343" spans="1:10" s="2" customFormat="1">
      <c r="A2343" s="1"/>
      <c r="E2343"/>
      <c r="F2343"/>
      <c r="G2343"/>
      <c r="H2343"/>
      <c r="I2343"/>
      <c r="J2343"/>
    </row>
    <row r="2344" spans="1:10" s="2" customFormat="1">
      <c r="A2344" s="1"/>
      <c r="E2344"/>
      <c r="F2344"/>
      <c r="G2344"/>
      <c r="H2344"/>
      <c r="I2344"/>
      <c r="J2344"/>
    </row>
    <row r="2345" spans="1:10" s="2" customFormat="1">
      <c r="A2345" s="1"/>
      <c r="E2345"/>
      <c r="F2345"/>
      <c r="G2345"/>
      <c r="H2345"/>
      <c r="I2345"/>
      <c r="J2345"/>
    </row>
    <row r="2346" spans="1:10" s="2" customFormat="1">
      <c r="A2346" s="1"/>
      <c r="E2346"/>
      <c r="F2346"/>
      <c r="G2346"/>
      <c r="H2346"/>
      <c r="I2346"/>
      <c r="J2346"/>
    </row>
    <row r="2347" spans="1:10" s="2" customFormat="1">
      <c r="A2347" s="1"/>
      <c r="E2347"/>
      <c r="F2347"/>
      <c r="G2347"/>
      <c r="H2347"/>
      <c r="I2347"/>
      <c r="J2347"/>
    </row>
    <row r="2348" spans="1:10" s="2" customFormat="1">
      <c r="A2348" s="1"/>
      <c r="E2348"/>
      <c r="F2348"/>
      <c r="G2348"/>
      <c r="H2348"/>
      <c r="I2348"/>
      <c r="J2348"/>
    </row>
    <row r="2349" spans="1:10" s="2" customFormat="1">
      <c r="A2349" s="1"/>
      <c r="E2349"/>
      <c r="F2349"/>
      <c r="G2349"/>
      <c r="H2349"/>
      <c r="I2349"/>
      <c r="J2349"/>
    </row>
    <row r="2350" spans="1:10" s="2" customFormat="1">
      <c r="A2350" s="1"/>
      <c r="E2350"/>
      <c r="F2350"/>
      <c r="G2350"/>
      <c r="H2350"/>
      <c r="I2350"/>
      <c r="J2350"/>
    </row>
    <row r="2351" spans="1:10" s="2" customFormat="1">
      <c r="A2351" s="1"/>
      <c r="E2351"/>
      <c r="F2351"/>
      <c r="G2351"/>
      <c r="H2351"/>
      <c r="I2351"/>
      <c r="J2351"/>
    </row>
    <row r="2352" spans="1:10" s="2" customFormat="1">
      <c r="A2352" s="1"/>
      <c r="E2352"/>
      <c r="F2352"/>
      <c r="G2352"/>
      <c r="H2352"/>
      <c r="I2352"/>
      <c r="J2352"/>
    </row>
    <row r="2353" spans="1:10" s="2" customFormat="1">
      <c r="A2353" s="1"/>
      <c r="E2353"/>
      <c r="F2353"/>
      <c r="G2353"/>
      <c r="H2353"/>
      <c r="I2353"/>
      <c r="J2353"/>
    </row>
    <row r="2354" spans="1:10" s="2" customFormat="1">
      <c r="A2354" s="1"/>
      <c r="E2354"/>
      <c r="F2354"/>
      <c r="G2354"/>
      <c r="H2354"/>
      <c r="I2354"/>
      <c r="J2354"/>
    </row>
    <row r="2355" spans="1:10" s="2" customFormat="1">
      <c r="A2355" s="1"/>
      <c r="E2355"/>
      <c r="F2355"/>
      <c r="G2355"/>
      <c r="H2355"/>
      <c r="I2355"/>
      <c r="J2355"/>
    </row>
    <row r="2356" spans="1:10" s="2" customFormat="1">
      <c r="A2356" s="1"/>
      <c r="E2356"/>
      <c r="F2356"/>
      <c r="G2356"/>
      <c r="H2356"/>
      <c r="I2356"/>
      <c r="J2356"/>
    </row>
    <row r="2357" spans="1:10" s="2" customFormat="1">
      <c r="A2357" s="1"/>
      <c r="E2357"/>
      <c r="F2357"/>
      <c r="G2357"/>
      <c r="H2357"/>
      <c r="I2357"/>
      <c r="J2357"/>
    </row>
    <row r="2358" spans="1:10" s="2" customFormat="1">
      <c r="A2358" s="1"/>
      <c r="E2358"/>
      <c r="F2358"/>
      <c r="G2358"/>
      <c r="H2358"/>
      <c r="I2358"/>
      <c r="J2358"/>
    </row>
    <row r="2359" spans="1:10" s="2" customFormat="1">
      <c r="A2359" s="1"/>
      <c r="E2359"/>
      <c r="F2359"/>
      <c r="G2359"/>
      <c r="H2359"/>
      <c r="I2359"/>
      <c r="J2359"/>
    </row>
    <row r="2360" spans="1:10" s="2" customFormat="1">
      <c r="A2360" s="1"/>
      <c r="E2360"/>
      <c r="F2360"/>
      <c r="G2360"/>
      <c r="H2360"/>
      <c r="I2360"/>
      <c r="J2360"/>
    </row>
    <row r="2361" spans="1:10" s="2" customFormat="1">
      <c r="A2361" s="1"/>
      <c r="E2361"/>
      <c r="F2361"/>
      <c r="G2361"/>
      <c r="H2361"/>
      <c r="I2361"/>
      <c r="J2361"/>
    </row>
    <row r="2362" spans="1:10" s="2" customFormat="1">
      <c r="A2362" s="1"/>
      <c r="E2362"/>
      <c r="F2362"/>
      <c r="G2362"/>
      <c r="H2362"/>
      <c r="I2362"/>
      <c r="J2362"/>
    </row>
    <row r="2363" spans="1:10" s="2" customFormat="1">
      <c r="A2363" s="1"/>
      <c r="E2363"/>
      <c r="F2363"/>
      <c r="G2363"/>
      <c r="H2363"/>
      <c r="I2363"/>
      <c r="J2363"/>
    </row>
    <row r="2364" spans="1:10" s="2" customFormat="1">
      <c r="A2364" s="1"/>
      <c r="E2364"/>
      <c r="F2364"/>
      <c r="G2364"/>
      <c r="H2364"/>
      <c r="I2364"/>
      <c r="J2364"/>
    </row>
    <row r="2365" spans="1:10" s="2" customFormat="1">
      <c r="A2365" s="1"/>
      <c r="E2365"/>
      <c r="F2365"/>
      <c r="G2365"/>
      <c r="H2365"/>
      <c r="I2365"/>
      <c r="J2365"/>
    </row>
    <row r="2366" spans="1:10" s="2" customFormat="1">
      <c r="A2366" s="1"/>
      <c r="E2366"/>
      <c r="F2366"/>
      <c r="G2366"/>
      <c r="H2366"/>
      <c r="I2366"/>
      <c r="J2366"/>
    </row>
    <row r="2367" spans="1:10" s="2" customFormat="1">
      <c r="A2367" s="1"/>
      <c r="E2367"/>
      <c r="F2367"/>
      <c r="G2367"/>
      <c r="H2367"/>
      <c r="I2367"/>
      <c r="J2367"/>
    </row>
    <row r="2368" spans="1:10" s="2" customFormat="1">
      <c r="A2368" s="1"/>
      <c r="E2368"/>
      <c r="F2368"/>
      <c r="G2368"/>
      <c r="H2368"/>
      <c r="I2368"/>
      <c r="J2368"/>
    </row>
    <row r="2369" spans="1:10" s="2" customFormat="1">
      <c r="A2369" s="1"/>
      <c r="E2369"/>
      <c r="F2369"/>
      <c r="G2369"/>
      <c r="H2369"/>
      <c r="I2369"/>
      <c r="J2369"/>
    </row>
    <row r="2370" spans="1:10" s="2" customFormat="1">
      <c r="A2370" s="1"/>
      <c r="E2370"/>
      <c r="F2370"/>
      <c r="G2370"/>
      <c r="H2370"/>
      <c r="I2370"/>
      <c r="J2370"/>
    </row>
    <row r="2371" spans="1:10" s="2" customFormat="1">
      <c r="A2371" s="1"/>
      <c r="E2371"/>
      <c r="F2371"/>
      <c r="G2371"/>
      <c r="H2371"/>
      <c r="I2371"/>
      <c r="J2371"/>
    </row>
    <row r="2372" spans="1:10" s="2" customFormat="1">
      <c r="A2372" s="1"/>
      <c r="E2372"/>
      <c r="F2372"/>
      <c r="G2372"/>
      <c r="H2372"/>
      <c r="I2372"/>
      <c r="J2372"/>
    </row>
    <row r="2373" spans="1:10" s="2" customFormat="1">
      <c r="A2373" s="1"/>
      <c r="E2373"/>
      <c r="F2373"/>
      <c r="G2373"/>
      <c r="H2373"/>
      <c r="I2373"/>
      <c r="J2373"/>
    </row>
    <row r="2374" spans="1:10" s="2" customFormat="1">
      <c r="A2374" s="1"/>
      <c r="E2374"/>
      <c r="F2374"/>
      <c r="G2374"/>
      <c r="H2374"/>
      <c r="I2374"/>
      <c r="J2374"/>
    </row>
    <row r="2375" spans="1:10" s="2" customFormat="1">
      <c r="A2375" s="1"/>
      <c r="E2375"/>
      <c r="F2375"/>
      <c r="G2375"/>
      <c r="H2375"/>
      <c r="I2375"/>
      <c r="J2375"/>
    </row>
    <row r="2376" spans="1:10" s="2" customFormat="1">
      <c r="A2376" s="1"/>
      <c r="E2376"/>
      <c r="F2376"/>
      <c r="G2376"/>
      <c r="H2376"/>
      <c r="I2376"/>
      <c r="J2376"/>
    </row>
    <row r="2377" spans="1:10" s="2" customFormat="1">
      <c r="A2377" s="1"/>
      <c r="E2377"/>
      <c r="F2377"/>
      <c r="G2377"/>
      <c r="H2377"/>
      <c r="I2377"/>
      <c r="J2377"/>
    </row>
    <row r="2378" spans="1:10" s="2" customFormat="1">
      <c r="A2378" s="1"/>
      <c r="E2378"/>
      <c r="F2378"/>
      <c r="G2378"/>
      <c r="H2378"/>
      <c r="I2378"/>
      <c r="J2378"/>
    </row>
    <row r="2379" spans="1:10" s="2" customFormat="1">
      <c r="A2379" s="1"/>
      <c r="E2379"/>
      <c r="F2379"/>
      <c r="G2379"/>
      <c r="H2379"/>
      <c r="I2379"/>
      <c r="J2379"/>
    </row>
    <row r="2380" spans="1:10" s="2" customFormat="1">
      <c r="A2380" s="1"/>
      <c r="E2380"/>
      <c r="F2380"/>
      <c r="G2380"/>
      <c r="H2380"/>
      <c r="I2380"/>
      <c r="J2380"/>
    </row>
    <row r="2381" spans="1:10" s="2" customFormat="1">
      <c r="A2381" s="1"/>
      <c r="E2381"/>
      <c r="F2381"/>
      <c r="G2381"/>
      <c r="H2381"/>
      <c r="I2381"/>
      <c r="J2381"/>
    </row>
    <row r="2382" spans="1:10" s="2" customFormat="1">
      <c r="A2382" s="1"/>
      <c r="E2382"/>
      <c r="F2382"/>
      <c r="G2382"/>
      <c r="H2382"/>
      <c r="I2382"/>
      <c r="J2382"/>
    </row>
    <row r="2383" spans="1:10" s="2" customFormat="1">
      <c r="A2383" s="1"/>
      <c r="E2383"/>
      <c r="F2383"/>
      <c r="G2383"/>
      <c r="H2383"/>
      <c r="I2383"/>
      <c r="J2383"/>
    </row>
    <row r="2384" spans="1:10" s="2" customFormat="1">
      <c r="A2384" s="1"/>
      <c r="E2384"/>
      <c r="F2384"/>
      <c r="G2384"/>
      <c r="H2384"/>
      <c r="I2384"/>
      <c r="J2384"/>
    </row>
    <row r="2385" spans="1:10" s="2" customFormat="1">
      <c r="A2385" s="1"/>
      <c r="E2385"/>
      <c r="F2385"/>
      <c r="G2385"/>
      <c r="H2385"/>
      <c r="I2385"/>
      <c r="J2385"/>
    </row>
    <row r="2386" spans="1:10" s="2" customFormat="1">
      <c r="A2386" s="1"/>
      <c r="E2386"/>
      <c r="F2386"/>
      <c r="G2386"/>
      <c r="H2386"/>
      <c r="I2386"/>
      <c r="J2386"/>
    </row>
    <row r="2387" spans="1:10" s="2" customFormat="1">
      <c r="A2387" s="1"/>
      <c r="E2387"/>
      <c r="F2387"/>
      <c r="G2387"/>
      <c r="H2387"/>
      <c r="I2387"/>
      <c r="J2387"/>
    </row>
    <row r="2388" spans="1:10" s="2" customFormat="1">
      <c r="A2388" s="1"/>
      <c r="E2388"/>
      <c r="F2388"/>
      <c r="G2388"/>
      <c r="H2388"/>
      <c r="I2388"/>
      <c r="J2388"/>
    </row>
    <row r="2389" spans="1:10" s="2" customFormat="1">
      <c r="A2389" s="1"/>
      <c r="E2389"/>
      <c r="F2389"/>
      <c r="G2389"/>
      <c r="H2389"/>
      <c r="I2389"/>
      <c r="J2389"/>
    </row>
    <row r="2390" spans="1:10" s="2" customFormat="1">
      <c r="A2390" s="1"/>
      <c r="E2390"/>
      <c r="F2390"/>
      <c r="G2390"/>
      <c r="H2390"/>
      <c r="I2390"/>
      <c r="J2390"/>
    </row>
    <row r="2391" spans="1:10" s="2" customFormat="1">
      <c r="A2391" s="1"/>
      <c r="E2391"/>
      <c r="F2391"/>
      <c r="G2391"/>
      <c r="H2391"/>
      <c r="I2391"/>
      <c r="J2391"/>
    </row>
    <row r="2392" spans="1:10" s="2" customFormat="1">
      <c r="A2392" s="1"/>
      <c r="E2392"/>
      <c r="F2392"/>
      <c r="G2392"/>
      <c r="H2392"/>
      <c r="I2392"/>
      <c r="J2392"/>
    </row>
    <row r="2393" spans="1:10" s="2" customFormat="1">
      <c r="A2393" s="1"/>
      <c r="E2393"/>
      <c r="F2393"/>
      <c r="G2393"/>
      <c r="H2393"/>
      <c r="I2393"/>
      <c r="J2393"/>
    </row>
    <row r="2394" spans="1:10" s="2" customFormat="1">
      <c r="A2394" s="1"/>
      <c r="E2394"/>
      <c r="F2394"/>
      <c r="G2394"/>
      <c r="H2394"/>
      <c r="I2394"/>
      <c r="J2394"/>
    </row>
    <row r="2395" spans="1:10" s="2" customFormat="1">
      <c r="A2395" s="1"/>
      <c r="E2395"/>
      <c r="F2395"/>
      <c r="G2395"/>
      <c r="H2395"/>
      <c r="I2395"/>
      <c r="J2395"/>
    </row>
    <row r="2396" spans="1:10" s="2" customFormat="1">
      <c r="A2396" s="1"/>
      <c r="E2396"/>
      <c r="F2396"/>
      <c r="G2396"/>
      <c r="H2396"/>
      <c r="I2396"/>
      <c r="J2396"/>
    </row>
    <row r="2397" spans="1:10" s="2" customFormat="1">
      <c r="A2397" s="1"/>
      <c r="E2397"/>
      <c r="F2397"/>
      <c r="G2397"/>
      <c r="H2397"/>
      <c r="I2397"/>
      <c r="J2397"/>
    </row>
    <row r="2398" spans="1:10" s="2" customFormat="1">
      <c r="A2398" s="1"/>
      <c r="E2398"/>
      <c r="F2398"/>
      <c r="G2398"/>
      <c r="H2398"/>
      <c r="I2398"/>
      <c r="J2398"/>
    </row>
    <row r="2399" spans="1:10" s="2" customFormat="1">
      <c r="A2399" s="1"/>
      <c r="E2399"/>
      <c r="F2399"/>
      <c r="G2399"/>
      <c r="H2399"/>
      <c r="I2399"/>
      <c r="J2399"/>
    </row>
    <row r="2400" spans="1:10" s="2" customFormat="1">
      <c r="A2400" s="1"/>
      <c r="E2400"/>
      <c r="F2400"/>
      <c r="G2400"/>
      <c r="H2400"/>
      <c r="I2400"/>
      <c r="J2400"/>
    </row>
    <row r="2401" spans="1:10" s="2" customFormat="1">
      <c r="A2401" s="1"/>
      <c r="E2401"/>
      <c r="F2401"/>
      <c r="G2401"/>
      <c r="H2401"/>
      <c r="I2401"/>
      <c r="J2401"/>
    </row>
    <row r="2402" spans="1:10" s="2" customFormat="1">
      <c r="A2402" s="1"/>
      <c r="E2402"/>
      <c r="F2402"/>
      <c r="G2402"/>
      <c r="H2402"/>
      <c r="I2402"/>
      <c r="J2402"/>
    </row>
    <row r="2403" spans="1:10" s="2" customFormat="1">
      <c r="A2403" s="1"/>
      <c r="E2403"/>
      <c r="F2403"/>
      <c r="G2403"/>
      <c r="H2403"/>
      <c r="I2403"/>
      <c r="J2403"/>
    </row>
    <row r="2404" spans="1:10" s="2" customFormat="1">
      <c r="A2404" s="1"/>
      <c r="E2404"/>
      <c r="F2404"/>
      <c r="G2404"/>
      <c r="H2404"/>
      <c r="I2404"/>
      <c r="J2404"/>
    </row>
    <row r="2405" spans="1:10" s="2" customFormat="1">
      <c r="A2405" s="1"/>
      <c r="E2405"/>
      <c r="F2405"/>
      <c r="G2405"/>
      <c r="H2405"/>
      <c r="I2405"/>
      <c r="J2405"/>
    </row>
    <row r="2406" spans="1:10" s="2" customFormat="1">
      <c r="A2406" s="1"/>
      <c r="E2406"/>
      <c r="F2406"/>
      <c r="G2406"/>
      <c r="H2406"/>
      <c r="I2406"/>
      <c r="J2406"/>
    </row>
    <row r="2407" spans="1:10" s="2" customFormat="1">
      <c r="A2407" s="1"/>
      <c r="E2407"/>
      <c r="F2407"/>
      <c r="G2407"/>
      <c r="H2407"/>
      <c r="I2407"/>
      <c r="J2407"/>
    </row>
    <row r="2408" spans="1:10" s="2" customFormat="1">
      <c r="A2408" s="1"/>
      <c r="E2408"/>
      <c r="F2408"/>
      <c r="G2408"/>
      <c r="H2408"/>
      <c r="I2408"/>
      <c r="J2408"/>
    </row>
    <row r="2409" spans="1:10" s="2" customFormat="1">
      <c r="A2409" s="1"/>
      <c r="E2409"/>
      <c r="F2409"/>
      <c r="G2409"/>
      <c r="H2409"/>
      <c r="I2409"/>
      <c r="J2409"/>
    </row>
    <row r="2410" spans="1:10" s="2" customFormat="1">
      <c r="A2410" s="1"/>
      <c r="E2410"/>
      <c r="F2410"/>
      <c r="G2410"/>
      <c r="H2410"/>
      <c r="I2410"/>
      <c r="J2410"/>
    </row>
    <row r="2411" spans="1:10" s="2" customFormat="1">
      <c r="A2411" s="1"/>
      <c r="E2411"/>
      <c r="F2411"/>
      <c r="G2411"/>
      <c r="H2411"/>
      <c r="I2411"/>
      <c r="J2411"/>
    </row>
    <row r="2412" spans="1:10" s="2" customFormat="1">
      <c r="A2412" s="1"/>
      <c r="E2412"/>
      <c r="F2412"/>
      <c r="G2412"/>
      <c r="H2412"/>
      <c r="I2412"/>
      <c r="J2412"/>
    </row>
    <row r="2413" spans="1:10" s="2" customFormat="1">
      <c r="A2413" s="1"/>
      <c r="E2413"/>
      <c r="F2413"/>
      <c r="G2413"/>
      <c r="H2413"/>
      <c r="I2413"/>
      <c r="J2413"/>
    </row>
    <row r="2414" spans="1:10" s="2" customFormat="1">
      <c r="A2414" s="1"/>
      <c r="E2414"/>
      <c r="F2414"/>
      <c r="G2414"/>
      <c r="H2414"/>
      <c r="I2414"/>
      <c r="J2414"/>
    </row>
    <row r="2415" spans="1:10" s="2" customFormat="1">
      <c r="A2415" s="1"/>
      <c r="E2415"/>
      <c r="F2415"/>
      <c r="G2415"/>
      <c r="H2415"/>
      <c r="I2415"/>
      <c r="J2415"/>
    </row>
    <row r="2416" spans="1:10" s="2" customFormat="1">
      <c r="A2416" s="1"/>
      <c r="E2416"/>
      <c r="F2416"/>
      <c r="G2416"/>
      <c r="H2416"/>
      <c r="I2416"/>
      <c r="J2416"/>
    </row>
    <row r="2417" spans="1:10" s="2" customFormat="1">
      <c r="A2417" s="1"/>
      <c r="E2417"/>
      <c r="F2417"/>
      <c r="G2417"/>
      <c r="H2417"/>
      <c r="I2417"/>
      <c r="J2417"/>
    </row>
    <row r="2418" spans="1:10" s="2" customFormat="1">
      <c r="A2418" s="1"/>
      <c r="E2418"/>
      <c r="F2418"/>
      <c r="G2418"/>
      <c r="H2418"/>
      <c r="I2418"/>
      <c r="J2418"/>
    </row>
    <row r="2419" spans="1:10" s="2" customFormat="1">
      <c r="A2419" s="1"/>
      <c r="E2419"/>
      <c r="F2419"/>
      <c r="G2419"/>
      <c r="H2419"/>
      <c r="I2419"/>
      <c r="J2419"/>
    </row>
    <row r="2420" spans="1:10" s="2" customFormat="1">
      <c r="A2420" s="1"/>
      <c r="E2420"/>
      <c r="F2420"/>
      <c r="G2420"/>
      <c r="H2420"/>
      <c r="I2420"/>
      <c r="J2420"/>
    </row>
    <row r="2421" spans="1:10" s="2" customFormat="1">
      <c r="A2421" s="1"/>
      <c r="E2421"/>
      <c r="F2421"/>
      <c r="G2421"/>
      <c r="H2421"/>
      <c r="I2421"/>
      <c r="J2421"/>
    </row>
    <row r="2422" spans="1:10" s="2" customFormat="1">
      <c r="A2422" s="1"/>
      <c r="E2422"/>
      <c r="F2422"/>
      <c r="G2422"/>
      <c r="H2422"/>
      <c r="I2422"/>
      <c r="J2422"/>
    </row>
    <row r="2423" spans="1:10" s="2" customFormat="1">
      <c r="A2423" s="1"/>
      <c r="E2423"/>
      <c r="F2423"/>
      <c r="G2423"/>
      <c r="H2423"/>
      <c r="I2423"/>
      <c r="J2423"/>
    </row>
    <row r="2424" spans="1:10" s="2" customFormat="1">
      <c r="A2424" s="1"/>
      <c r="E2424"/>
      <c r="F2424"/>
      <c r="G2424"/>
      <c r="H2424"/>
      <c r="I2424"/>
      <c r="J2424"/>
    </row>
    <row r="2425" spans="1:10" s="2" customFormat="1">
      <c r="A2425" s="1"/>
      <c r="E2425"/>
      <c r="F2425"/>
      <c r="G2425"/>
      <c r="H2425"/>
      <c r="I2425"/>
      <c r="J2425"/>
    </row>
    <row r="2426" spans="1:10" s="2" customFormat="1">
      <c r="A2426" s="1"/>
      <c r="E2426"/>
      <c r="F2426"/>
      <c r="G2426"/>
      <c r="H2426"/>
      <c r="I2426"/>
      <c r="J2426"/>
    </row>
    <row r="2427" spans="1:10" s="2" customFormat="1">
      <c r="A2427" s="1"/>
      <c r="E2427"/>
      <c r="F2427"/>
      <c r="G2427"/>
      <c r="H2427"/>
      <c r="I2427"/>
      <c r="J2427"/>
    </row>
    <row r="2428" spans="1:10" s="2" customFormat="1">
      <c r="A2428" s="1"/>
      <c r="E2428"/>
      <c r="F2428"/>
      <c r="G2428"/>
      <c r="H2428"/>
      <c r="I2428"/>
      <c r="J2428"/>
    </row>
    <row r="2429" spans="1:10" s="2" customFormat="1">
      <c r="A2429" s="1"/>
      <c r="E2429"/>
      <c r="F2429"/>
      <c r="G2429"/>
      <c r="H2429"/>
      <c r="I2429"/>
      <c r="J2429"/>
    </row>
    <row r="2430" spans="1:10" s="2" customFormat="1">
      <c r="A2430" s="1"/>
      <c r="E2430"/>
      <c r="F2430"/>
      <c r="G2430"/>
      <c r="H2430"/>
      <c r="I2430"/>
      <c r="J2430"/>
    </row>
    <row r="2431" spans="1:10" s="2" customFormat="1">
      <c r="A2431" s="1"/>
      <c r="E2431"/>
      <c r="F2431"/>
      <c r="G2431"/>
      <c r="H2431"/>
      <c r="I2431"/>
      <c r="J2431"/>
    </row>
    <row r="2432" spans="1:10" s="2" customFormat="1">
      <c r="A2432" s="1"/>
      <c r="E2432"/>
      <c r="F2432"/>
      <c r="G2432"/>
      <c r="H2432"/>
      <c r="I2432"/>
      <c r="J2432"/>
    </row>
    <row r="2433" spans="1:10" s="2" customFormat="1">
      <c r="A2433" s="1"/>
      <c r="E2433"/>
      <c r="F2433"/>
      <c r="G2433"/>
      <c r="H2433"/>
      <c r="I2433"/>
      <c r="J2433"/>
    </row>
    <row r="2434" spans="1:10" s="2" customFormat="1">
      <c r="A2434" s="1"/>
      <c r="E2434"/>
      <c r="F2434"/>
      <c r="G2434"/>
      <c r="H2434"/>
      <c r="I2434"/>
      <c r="J2434"/>
    </row>
    <row r="2435" spans="1:10" s="2" customFormat="1">
      <c r="A2435" s="1"/>
      <c r="E2435"/>
      <c r="F2435"/>
      <c r="G2435"/>
      <c r="H2435"/>
      <c r="I2435"/>
      <c r="J2435"/>
    </row>
    <row r="2436" spans="1:10" s="2" customFormat="1">
      <c r="A2436" s="1"/>
      <c r="E2436"/>
      <c r="F2436"/>
      <c r="G2436"/>
      <c r="H2436"/>
      <c r="I2436"/>
      <c r="J2436"/>
    </row>
    <row r="2437" spans="1:10" s="2" customFormat="1">
      <c r="A2437" s="1"/>
      <c r="E2437"/>
      <c r="F2437"/>
      <c r="G2437"/>
      <c r="H2437"/>
      <c r="I2437"/>
      <c r="J2437"/>
    </row>
    <row r="2438" spans="1:10" s="2" customFormat="1">
      <c r="A2438" s="1"/>
      <c r="E2438"/>
      <c r="F2438"/>
      <c r="G2438"/>
      <c r="H2438"/>
      <c r="I2438"/>
      <c r="J2438"/>
    </row>
    <row r="2439" spans="1:10" s="2" customFormat="1">
      <c r="A2439" s="1"/>
      <c r="E2439"/>
      <c r="F2439"/>
      <c r="G2439"/>
      <c r="H2439"/>
      <c r="I2439"/>
      <c r="J2439"/>
    </row>
    <row r="2440" spans="1:10" s="2" customFormat="1">
      <c r="A2440" s="1"/>
      <c r="E2440"/>
      <c r="F2440"/>
      <c r="G2440"/>
      <c r="H2440"/>
      <c r="I2440"/>
      <c r="J2440"/>
    </row>
    <row r="2441" spans="1:10" s="2" customFormat="1">
      <c r="A2441" s="1"/>
      <c r="E2441"/>
      <c r="F2441"/>
      <c r="G2441"/>
      <c r="H2441"/>
      <c r="I2441"/>
      <c r="J2441"/>
    </row>
    <row r="2442" spans="1:10" s="2" customFormat="1">
      <c r="A2442" s="1"/>
      <c r="E2442"/>
      <c r="F2442"/>
      <c r="G2442"/>
      <c r="H2442"/>
      <c r="I2442"/>
      <c r="J2442"/>
    </row>
    <row r="2443" spans="1:10" s="2" customFormat="1">
      <c r="A2443" s="1"/>
      <c r="E2443"/>
      <c r="F2443"/>
      <c r="G2443"/>
      <c r="H2443"/>
      <c r="I2443"/>
      <c r="J2443"/>
    </row>
    <row r="2444" spans="1:10" s="2" customFormat="1">
      <c r="A2444" s="1"/>
      <c r="E2444"/>
      <c r="F2444"/>
      <c r="G2444"/>
      <c r="H2444"/>
      <c r="I2444"/>
      <c r="J2444"/>
    </row>
    <row r="2445" spans="1:10" s="2" customFormat="1">
      <c r="A2445" s="1"/>
      <c r="E2445"/>
      <c r="F2445"/>
      <c r="G2445"/>
      <c r="H2445"/>
      <c r="I2445"/>
      <c r="J2445"/>
    </row>
    <row r="2446" spans="1:10" s="2" customFormat="1">
      <c r="A2446" s="1"/>
      <c r="E2446"/>
      <c r="F2446"/>
      <c r="G2446"/>
      <c r="H2446"/>
      <c r="I2446"/>
      <c r="J2446"/>
    </row>
    <row r="2447" spans="1:10" s="2" customFormat="1">
      <c r="A2447" s="1"/>
      <c r="E2447"/>
      <c r="F2447"/>
      <c r="G2447"/>
      <c r="H2447"/>
      <c r="I2447"/>
      <c r="J2447"/>
    </row>
    <row r="2448" spans="1:10" s="2" customFormat="1">
      <c r="A2448" s="1"/>
      <c r="E2448"/>
      <c r="F2448"/>
      <c r="G2448"/>
      <c r="H2448"/>
      <c r="I2448"/>
      <c r="J2448"/>
    </row>
    <row r="2449" spans="1:10" s="2" customFormat="1">
      <c r="A2449" s="1"/>
      <c r="E2449"/>
      <c r="F2449"/>
      <c r="G2449"/>
      <c r="H2449"/>
      <c r="I2449"/>
      <c r="J2449"/>
    </row>
    <row r="2450" spans="1:10" s="2" customFormat="1">
      <c r="A2450" s="1"/>
      <c r="E2450"/>
      <c r="F2450"/>
      <c r="G2450"/>
      <c r="H2450"/>
      <c r="I2450"/>
      <c r="J2450"/>
    </row>
    <row r="2451" spans="1:10" s="2" customFormat="1">
      <c r="A2451" s="1"/>
      <c r="E2451"/>
      <c r="F2451"/>
      <c r="G2451"/>
      <c r="H2451"/>
      <c r="I2451"/>
      <c r="J2451"/>
    </row>
    <row r="2452" spans="1:10" s="2" customFormat="1">
      <c r="A2452" s="1"/>
      <c r="E2452"/>
      <c r="F2452"/>
      <c r="G2452"/>
      <c r="H2452"/>
      <c r="I2452"/>
      <c r="J2452"/>
    </row>
    <row r="2453" spans="1:10" s="2" customFormat="1">
      <c r="A2453" s="1"/>
      <c r="E2453"/>
      <c r="F2453"/>
      <c r="G2453"/>
      <c r="H2453"/>
      <c r="I2453"/>
      <c r="J2453"/>
    </row>
    <row r="2454" spans="1:10" s="2" customFormat="1">
      <c r="A2454" s="1"/>
      <c r="E2454"/>
      <c r="F2454"/>
      <c r="G2454"/>
      <c r="H2454"/>
      <c r="I2454"/>
      <c r="J2454"/>
    </row>
    <row r="2455" spans="1:10" s="2" customFormat="1">
      <c r="A2455" s="1"/>
      <c r="E2455"/>
      <c r="F2455"/>
      <c r="G2455"/>
      <c r="H2455"/>
      <c r="I2455"/>
      <c r="J2455"/>
    </row>
    <row r="2456" spans="1:10" s="2" customFormat="1">
      <c r="A2456" s="1"/>
      <c r="E2456"/>
      <c r="F2456"/>
      <c r="G2456"/>
      <c r="H2456"/>
      <c r="I2456"/>
      <c r="J2456"/>
    </row>
    <row r="2457" spans="1:10" s="2" customFormat="1">
      <c r="A2457" s="1"/>
      <c r="E2457"/>
      <c r="F2457"/>
      <c r="G2457"/>
      <c r="H2457"/>
      <c r="I2457"/>
      <c r="J2457"/>
    </row>
    <row r="2458" spans="1:10" s="2" customFormat="1">
      <c r="A2458" s="1"/>
      <c r="E2458"/>
      <c r="F2458"/>
      <c r="G2458"/>
      <c r="H2458"/>
      <c r="I2458"/>
      <c r="J2458"/>
    </row>
    <row r="2459" spans="1:10" s="2" customFormat="1">
      <c r="A2459" s="1"/>
      <c r="E2459"/>
      <c r="F2459"/>
      <c r="G2459"/>
      <c r="H2459"/>
      <c r="I2459"/>
      <c r="J2459"/>
    </row>
    <row r="2460" spans="1:10" s="2" customFormat="1">
      <c r="A2460" s="1"/>
      <c r="E2460"/>
      <c r="F2460"/>
      <c r="G2460"/>
      <c r="H2460"/>
      <c r="I2460"/>
      <c r="J2460"/>
    </row>
    <row r="2461" spans="1:10" s="2" customFormat="1">
      <c r="A2461" s="1"/>
      <c r="E2461"/>
      <c r="F2461"/>
      <c r="G2461"/>
      <c r="H2461"/>
      <c r="I2461"/>
      <c r="J2461"/>
    </row>
    <row r="2462" spans="1:10" s="2" customFormat="1">
      <c r="A2462" s="1"/>
      <c r="E2462"/>
      <c r="F2462"/>
      <c r="G2462"/>
      <c r="H2462"/>
      <c r="I2462"/>
      <c r="J2462"/>
    </row>
    <row r="2463" spans="1:10" s="2" customFormat="1">
      <c r="A2463" s="1"/>
      <c r="E2463"/>
      <c r="F2463"/>
      <c r="G2463"/>
      <c r="H2463"/>
      <c r="I2463"/>
      <c r="J2463"/>
    </row>
    <row r="2464" spans="1:10" s="2" customFormat="1">
      <c r="A2464" s="1"/>
      <c r="E2464"/>
      <c r="F2464"/>
      <c r="G2464"/>
      <c r="H2464"/>
      <c r="I2464"/>
      <c r="J2464"/>
    </row>
    <row r="2465" spans="1:10" s="2" customFormat="1">
      <c r="A2465" s="1"/>
      <c r="E2465"/>
      <c r="F2465"/>
      <c r="G2465"/>
      <c r="H2465"/>
      <c r="I2465"/>
      <c r="J2465"/>
    </row>
    <row r="2466" spans="1:10" s="2" customFormat="1">
      <c r="A2466" s="1"/>
      <c r="E2466"/>
      <c r="F2466"/>
      <c r="G2466"/>
      <c r="H2466"/>
      <c r="I2466"/>
      <c r="J2466"/>
    </row>
    <row r="2467" spans="1:10" s="2" customFormat="1">
      <c r="A2467" s="1"/>
      <c r="E2467"/>
      <c r="F2467"/>
      <c r="G2467"/>
      <c r="H2467"/>
      <c r="I2467"/>
      <c r="J2467"/>
    </row>
    <row r="2468" spans="1:10" s="2" customFormat="1">
      <c r="A2468" s="1"/>
      <c r="E2468"/>
      <c r="F2468"/>
      <c r="G2468"/>
      <c r="H2468"/>
      <c r="I2468"/>
      <c r="J2468"/>
    </row>
    <row r="2469" spans="1:10" s="2" customFormat="1">
      <c r="A2469" s="1"/>
      <c r="E2469"/>
      <c r="F2469"/>
      <c r="G2469"/>
      <c r="H2469"/>
      <c r="I2469"/>
      <c r="J2469"/>
    </row>
    <row r="2470" spans="1:10" s="2" customFormat="1">
      <c r="A2470" s="1"/>
      <c r="E2470"/>
      <c r="F2470"/>
      <c r="G2470"/>
      <c r="H2470"/>
      <c r="I2470"/>
      <c r="J2470"/>
    </row>
    <row r="2471" spans="1:10" s="2" customFormat="1">
      <c r="A2471" s="1"/>
      <c r="E2471"/>
      <c r="F2471"/>
      <c r="G2471"/>
      <c r="H2471"/>
      <c r="I2471"/>
      <c r="J2471"/>
    </row>
    <row r="2472" spans="1:10" s="2" customFormat="1">
      <c r="A2472" s="1"/>
      <c r="E2472"/>
      <c r="F2472"/>
      <c r="G2472"/>
      <c r="H2472"/>
      <c r="I2472"/>
      <c r="J2472"/>
    </row>
    <row r="2473" spans="1:10" s="2" customFormat="1">
      <c r="A2473" s="1"/>
      <c r="E2473"/>
      <c r="F2473"/>
      <c r="G2473"/>
      <c r="H2473"/>
      <c r="I2473"/>
      <c r="J2473"/>
    </row>
    <row r="2474" spans="1:10" s="2" customFormat="1">
      <c r="A2474" s="1"/>
      <c r="E2474"/>
      <c r="F2474"/>
      <c r="G2474"/>
      <c r="H2474"/>
      <c r="I2474"/>
      <c r="J2474"/>
    </row>
    <row r="2475" spans="1:10" s="2" customFormat="1">
      <c r="A2475" s="1"/>
      <c r="E2475"/>
      <c r="F2475"/>
      <c r="G2475"/>
      <c r="H2475"/>
      <c r="I2475"/>
      <c r="J2475"/>
    </row>
    <row r="2476" spans="1:10" s="2" customFormat="1">
      <c r="A2476" s="1"/>
      <c r="E2476"/>
      <c r="F2476"/>
      <c r="G2476"/>
      <c r="H2476"/>
      <c r="I2476"/>
      <c r="J2476"/>
    </row>
    <row r="2477" spans="1:10" s="2" customFormat="1">
      <c r="A2477" s="1"/>
      <c r="E2477"/>
      <c r="F2477"/>
      <c r="G2477"/>
      <c r="H2477"/>
      <c r="I2477"/>
      <c r="J2477"/>
    </row>
    <row r="2478" spans="1:10" s="2" customFormat="1">
      <c r="A2478" s="1"/>
      <c r="E2478"/>
      <c r="F2478"/>
      <c r="G2478"/>
      <c r="H2478"/>
      <c r="I2478"/>
      <c r="J2478"/>
    </row>
    <row r="2479" spans="1:10" s="2" customFormat="1">
      <c r="A2479" s="1"/>
      <c r="E2479"/>
      <c r="F2479"/>
      <c r="G2479"/>
      <c r="H2479"/>
      <c r="I2479"/>
      <c r="J2479"/>
    </row>
    <row r="2480" spans="1:10" s="2" customFormat="1">
      <c r="A2480" s="1"/>
      <c r="E2480"/>
      <c r="F2480"/>
      <c r="G2480"/>
      <c r="H2480"/>
      <c r="I2480"/>
      <c r="J2480"/>
    </row>
    <row r="2481" spans="1:10" s="2" customFormat="1">
      <c r="A2481" s="1"/>
      <c r="E2481"/>
      <c r="F2481"/>
      <c r="G2481"/>
      <c r="H2481"/>
      <c r="I2481"/>
      <c r="J2481"/>
    </row>
    <row r="2482" spans="1:10" s="2" customFormat="1">
      <c r="A2482" s="1"/>
      <c r="E2482"/>
      <c r="F2482"/>
      <c r="G2482"/>
      <c r="H2482"/>
      <c r="I2482"/>
      <c r="J2482"/>
    </row>
    <row r="2483" spans="1:10" s="2" customFormat="1">
      <c r="A2483" s="1"/>
      <c r="E2483"/>
      <c r="F2483"/>
      <c r="G2483"/>
      <c r="H2483"/>
      <c r="I2483"/>
      <c r="J2483"/>
    </row>
    <row r="2484" spans="1:10" s="2" customFormat="1">
      <c r="A2484" s="1"/>
      <c r="E2484"/>
      <c r="F2484"/>
      <c r="G2484"/>
      <c r="H2484"/>
      <c r="I2484"/>
      <c r="J2484"/>
    </row>
    <row r="2485" spans="1:10" s="2" customFormat="1">
      <c r="A2485" s="1"/>
      <c r="E2485"/>
      <c r="F2485"/>
      <c r="G2485"/>
      <c r="H2485"/>
      <c r="I2485"/>
      <c r="J2485"/>
    </row>
    <row r="2486" spans="1:10" s="2" customFormat="1">
      <c r="A2486" s="1"/>
      <c r="E2486"/>
      <c r="F2486"/>
      <c r="G2486"/>
      <c r="H2486"/>
      <c r="I2486"/>
      <c r="J2486"/>
    </row>
    <row r="2487" spans="1:10" s="2" customFormat="1">
      <c r="A2487" s="1"/>
      <c r="E2487"/>
      <c r="F2487"/>
      <c r="G2487"/>
      <c r="H2487"/>
      <c r="I2487"/>
      <c r="J2487"/>
    </row>
    <row r="2488" spans="1:10" s="2" customFormat="1">
      <c r="A2488" s="1"/>
      <c r="E2488"/>
      <c r="F2488"/>
      <c r="G2488"/>
      <c r="H2488"/>
      <c r="I2488"/>
      <c r="J2488"/>
    </row>
    <row r="2489" spans="1:10" s="2" customFormat="1">
      <c r="A2489" s="1"/>
      <c r="E2489"/>
      <c r="F2489"/>
      <c r="G2489"/>
      <c r="H2489"/>
      <c r="I2489"/>
      <c r="J2489"/>
    </row>
    <row r="2490" spans="1:10" s="2" customFormat="1">
      <c r="A2490" s="1"/>
      <c r="E2490"/>
      <c r="F2490"/>
      <c r="G2490"/>
      <c r="H2490"/>
      <c r="I2490"/>
      <c r="J2490"/>
    </row>
    <row r="2491" spans="1:10" s="2" customFormat="1">
      <c r="A2491" s="1"/>
      <c r="E2491"/>
      <c r="F2491"/>
      <c r="G2491"/>
      <c r="H2491"/>
      <c r="I2491"/>
      <c r="J2491"/>
    </row>
    <row r="2492" spans="1:10" s="2" customFormat="1">
      <c r="A2492" s="1"/>
      <c r="E2492"/>
      <c r="F2492"/>
      <c r="G2492"/>
      <c r="H2492"/>
      <c r="I2492"/>
      <c r="J2492"/>
    </row>
    <row r="2493" spans="1:10" s="2" customFormat="1">
      <c r="A2493" s="1"/>
      <c r="E2493"/>
      <c r="F2493"/>
      <c r="G2493"/>
      <c r="H2493"/>
      <c r="I2493"/>
      <c r="J2493"/>
    </row>
    <row r="2494" spans="1:10" s="2" customFormat="1">
      <c r="A2494" s="1"/>
      <c r="E2494"/>
      <c r="F2494"/>
      <c r="G2494"/>
      <c r="H2494"/>
      <c r="I2494"/>
      <c r="J2494"/>
    </row>
    <row r="2495" spans="1:10" s="2" customFormat="1">
      <c r="A2495" s="1"/>
      <c r="E2495"/>
      <c r="F2495"/>
      <c r="G2495"/>
      <c r="H2495"/>
      <c r="I2495"/>
      <c r="J2495"/>
    </row>
    <row r="2496" spans="1:10" s="2" customFormat="1">
      <c r="A2496" s="1"/>
      <c r="E2496"/>
      <c r="F2496"/>
      <c r="G2496"/>
      <c r="H2496"/>
      <c r="I2496"/>
      <c r="J2496"/>
    </row>
    <row r="2497" spans="1:10" s="2" customFormat="1">
      <c r="A2497" s="1"/>
      <c r="E2497"/>
      <c r="F2497"/>
      <c r="G2497"/>
      <c r="H2497"/>
      <c r="I2497"/>
      <c r="J2497"/>
    </row>
    <row r="2498" spans="1:10" s="2" customFormat="1">
      <c r="A2498" s="1"/>
      <c r="E2498"/>
      <c r="F2498"/>
      <c r="G2498"/>
      <c r="H2498"/>
      <c r="I2498"/>
      <c r="J2498"/>
    </row>
    <row r="2499" spans="1:10" s="2" customFormat="1">
      <c r="A2499" s="1"/>
      <c r="E2499"/>
      <c r="F2499"/>
      <c r="G2499"/>
      <c r="H2499"/>
      <c r="I2499"/>
      <c r="J2499"/>
    </row>
    <row r="2500" spans="1:10" s="2" customFormat="1">
      <c r="A2500" s="1"/>
      <c r="E2500"/>
      <c r="F2500"/>
      <c r="G2500"/>
      <c r="H2500"/>
      <c r="I2500"/>
      <c r="J2500"/>
    </row>
    <row r="2501" spans="1:10" s="2" customFormat="1">
      <c r="A2501" s="1"/>
      <c r="E2501"/>
      <c r="F2501"/>
      <c r="G2501"/>
      <c r="H2501"/>
      <c r="I2501"/>
      <c r="J2501"/>
    </row>
    <row r="2502" spans="1:10" s="2" customFormat="1">
      <c r="A2502" s="1"/>
      <c r="E2502"/>
      <c r="F2502"/>
      <c r="G2502"/>
      <c r="H2502"/>
      <c r="I2502"/>
      <c r="J2502"/>
    </row>
    <row r="2503" spans="1:10" s="2" customFormat="1">
      <c r="A2503" s="1"/>
      <c r="E2503"/>
      <c r="F2503"/>
      <c r="G2503"/>
      <c r="H2503"/>
      <c r="I2503"/>
      <c r="J2503"/>
    </row>
    <row r="2504" spans="1:10" s="2" customFormat="1">
      <c r="A2504" s="1"/>
      <c r="E2504"/>
      <c r="F2504"/>
      <c r="G2504"/>
      <c r="H2504"/>
      <c r="I2504"/>
      <c r="J2504"/>
    </row>
    <row r="2505" spans="1:10" s="2" customFormat="1">
      <c r="A2505" s="1"/>
      <c r="E2505"/>
      <c r="F2505"/>
      <c r="G2505"/>
      <c r="H2505"/>
      <c r="I2505"/>
      <c r="J2505"/>
    </row>
    <row r="2506" spans="1:10" s="2" customFormat="1">
      <c r="A2506" s="1"/>
      <c r="E2506"/>
      <c r="F2506"/>
      <c r="G2506"/>
      <c r="H2506"/>
      <c r="I2506"/>
      <c r="J2506"/>
    </row>
    <row r="2507" spans="1:10" s="2" customFormat="1">
      <c r="A2507" s="1"/>
      <c r="E2507"/>
      <c r="F2507"/>
      <c r="G2507"/>
      <c r="H2507"/>
      <c r="I2507"/>
      <c r="J2507"/>
    </row>
    <row r="2508" spans="1:10" s="2" customFormat="1">
      <c r="A2508" s="1"/>
      <c r="E2508"/>
      <c r="F2508"/>
      <c r="G2508"/>
      <c r="H2508"/>
      <c r="I2508"/>
      <c r="J2508"/>
    </row>
    <row r="2509" spans="1:10" s="2" customFormat="1">
      <c r="A2509" s="1"/>
      <c r="E2509"/>
      <c r="F2509"/>
      <c r="G2509"/>
      <c r="H2509"/>
      <c r="I2509"/>
      <c r="J2509"/>
    </row>
    <row r="2510" spans="1:10" s="2" customFormat="1">
      <c r="A2510" s="1"/>
      <c r="E2510"/>
      <c r="F2510"/>
      <c r="G2510"/>
      <c r="H2510"/>
      <c r="I2510"/>
      <c r="J2510"/>
    </row>
    <row r="2511" spans="1:10" s="2" customFormat="1">
      <c r="A2511" s="1"/>
      <c r="E2511"/>
      <c r="F2511"/>
      <c r="G2511"/>
      <c r="H2511"/>
      <c r="I2511"/>
      <c r="J2511"/>
    </row>
    <row r="2512" spans="1:10" s="2" customFormat="1">
      <c r="A2512" s="1"/>
      <c r="E2512"/>
      <c r="F2512"/>
      <c r="G2512"/>
      <c r="H2512"/>
      <c r="I2512"/>
      <c r="J2512"/>
    </row>
    <row r="2513" spans="1:10" s="2" customFormat="1">
      <c r="A2513" s="1"/>
      <c r="E2513"/>
      <c r="F2513"/>
      <c r="G2513"/>
      <c r="H2513"/>
      <c r="I2513"/>
      <c r="J2513"/>
    </row>
    <row r="2514" spans="1:10" s="2" customFormat="1">
      <c r="A2514" s="1"/>
      <c r="E2514"/>
      <c r="F2514"/>
      <c r="G2514"/>
      <c r="H2514"/>
      <c r="I2514"/>
      <c r="J2514"/>
    </row>
    <row r="2515" spans="1:10" s="2" customFormat="1">
      <c r="A2515" s="1"/>
      <c r="E2515"/>
      <c r="F2515"/>
      <c r="G2515"/>
      <c r="H2515"/>
      <c r="I2515"/>
      <c r="J2515"/>
    </row>
    <row r="2516" spans="1:10" s="2" customFormat="1">
      <c r="A2516" s="1"/>
      <c r="E2516"/>
      <c r="F2516"/>
      <c r="G2516"/>
      <c r="H2516"/>
      <c r="I2516"/>
      <c r="J2516"/>
    </row>
    <row r="2517" spans="1:10" s="2" customFormat="1">
      <c r="A2517" s="1"/>
      <c r="E2517"/>
      <c r="F2517"/>
      <c r="G2517"/>
      <c r="H2517"/>
      <c r="I2517"/>
      <c r="J2517"/>
    </row>
    <row r="2518" spans="1:10" s="2" customFormat="1">
      <c r="A2518" s="1"/>
      <c r="E2518"/>
      <c r="F2518"/>
      <c r="G2518"/>
      <c r="H2518"/>
      <c r="I2518"/>
      <c r="J2518"/>
    </row>
    <row r="2519" spans="1:10" s="2" customFormat="1">
      <c r="A2519" s="1"/>
      <c r="E2519"/>
      <c r="F2519"/>
      <c r="G2519"/>
      <c r="H2519"/>
      <c r="I2519"/>
      <c r="J2519"/>
    </row>
    <row r="2520" spans="1:10" s="2" customFormat="1">
      <c r="A2520" s="1"/>
      <c r="E2520"/>
      <c r="F2520"/>
      <c r="G2520"/>
      <c r="H2520"/>
      <c r="I2520"/>
      <c r="J2520"/>
    </row>
    <row r="2521" spans="1:10" s="2" customFormat="1">
      <c r="A2521" s="1"/>
      <c r="E2521"/>
      <c r="F2521"/>
      <c r="G2521"/>
      <c r="H2521"/>
      <c r="I2521"/>
      <c r="J2521"/>
    </row>
    <row r="2522" spans="1:10" s="2" customFormat="1">
      <c r="A2522" s="1"/>
      <c r="E2522"/>
      <c r="F2522"/>
      <c r="G2522"/>
      <c r="H2522"/>
      <c r="I2522"/>
      <c r="J2522"/>
    </row>
    <row r="2523" spans="1:10" s="2" customFormat="1">
      <c r="A2523" s="1"/>
      <c r="E2523"/>
      <c r="F2523"/>
      <c r="G2523"/>
      <c r="H2523"/>
      <c r="I2523"/>
      <c r="J2523"/>
    </row>
    <row r="2524" spans="1:10" s="2" customFormat="1">
      <c r="A2524" s="1"/>
      <c r="E2524"/>
      <c r="F2524"/>
      <c r="G2524"/>
      <c r="H2524"/>
      <c r="I2524"/>
      <c r="J2524"/>
    </row>
    <row r="2525" spans="1:10" s="2" customFormat="1">
      <c r="A2525" s="1"/>
      <c r="E2525"/>
      <c r="F2525"/>
      <c r="G2525"/>
      <c r="H2525"/>
      <c r="I2525"/>
      <c r="J2525"/>
    </row>
    <row r="2526" spans="1:10" s="2" customFormat="1">
      <c r="A2526" s="1"/>
      <c r="E2526"/>
      <c r="F2526"/>
      <c r="G2526"/>
      <c r="H2526"/>
      <c r="I2526"/>
      <c r="J2526"/>
    </row>
    <row r="2527" spans="1:10" s="2" customFormat="1">
      <c r="A2527" s="1"/>
      <c r="E2527"/>
      <c r="F2527"/>
      <c r="G2527"/>
      <c r="H2527"/>
      <c r="I2527"/>
      <c r="J2527"/>
    </row>
    <row r="2528" spans="1:10" s="2" customFormat="1">
      <c r="A2528" s="1"/>
      <c r="E2528"/>
      <c r="F2528"/>
      <c r="G2528"/>
      <c r="H2528"/>
      <c r="I2528"/>
      <c r="J2528"/>
    </row>
    <row r="2529" spans="1:10" s="2" customFormat="1">
      <c r="A2529" s="1"/>
      <c r="E2529"/>
      <c r="F2529"/>
      <c r="G2529"/>
      <c r="H2529"/>
      <c r="I2529"/>
      <c r="J2529"/>
    </row>
    <row r="2530" spans="1:10" s="2" customFormat="1">
      <c r="A2530" s="1"/>
      <c r="E2530"/>
      <c r="F2530"/>
      <c r="G2530"/>
      <c r="H2530"/>
      <c r="I2530"/>
      <c r="J2530"/>
    </row>
    <row r="2531" spans="1:10" s="2" customFormat="1">
      <c r="A2531" s="1"/>
      <c r="E2531"/>
      <c r="F2531"/>
      <c r="G2531"/>
      <c r="H2531"/>
      <c r="I2531"/>
      <c r="J2531"/>
    </row>
    <row r="2532" spans="1:10" s="2" customFormat="1">
      <c r="A2532" s="1"/>
      <c r="E2532"/>
      <c r="F2532"/>
      <c r="G2532"/>
      <c r="H2532"/>
      <c r="I2532"/>
      <c r="J2532"/>
    </row>
    <row r="2533" spans="1:10" s="2" customFormat="1">
      <c r="A2533" s="1"/>
      <c r="E2533"/>
      <c r="F2533"/>
      <c r="G2533"/>
      <c r="H2533"/>
      <c r="I2533"/>
      <c r="J2533"/>
    </row>
    <row r="2534" spans="1:10" s="2" customFormat="1">
      <c r="A2534" s="1"/>
      <c r="E2534"/>
      <c r="F2534"/>
      <c r="G2534"/>
      <c r="H2534"/>
      <c r="I2534"/>
      <c r="J2534"/>
    </row>
    <row r="2535" spans="1:10" s="2" customFormat="1">
      <c r="A2535" s="1"/>
      <c r="E2535"/>
      <c r="F2535"/>
      <c r="G2535"/>
      <c r="H2535"/>
      <c r="I2535"/>
      <c r="J2535"/>
    </row>
    <row r="2536" spans="1:10" s="2" customFormat="1">
      <c r="A2536" s="1"/>
      <c r="E2536"/>
      <c r="F2536"/>
      <c r="G2536"/>
      <c r="H2536"/>
      <c r="I2536"/>
      <c r="J2536"/>
    </row>
    <row r="2537" spans="1:10" s="2" customFormat="1">
      <c r="A2537" s="1"/>
      <c r="E2537"/>
      <c r="F2537"/>
      <c r="G2537"/>
      <c r="H2537"/>
      <c r="I2537"/>
      <c r="J2537"/>
    </row>
    <row r="2538" spans="1:10" s="2" customFormat="1">
      <c r="A2538" s="1"/>
      <c r="E2538"/>
      <c r="F2538"/>
      <c r="G2538"/>
      <c r="H2538"/>
      <c r="I2538"/>
      <c r="J2538"/>
    </row>
    <row r="2539" spans="1:10" s="2" customFormat="1">
      <c r="A2539" s="1"/>
      <c r="E2539"/>
      <c r="F2539"/>
      <c r="G2539"/>
      <c r="H2539"/>
      <c r="I2539"/>
      <c r="J2539"/>
    </row>
    <row r="2540" spans="1:10" s="2" customFormat="1">
      <c r="A2540" s="1"/>
      <c r="E2540"/>
      <c r="F2540"/>
      <c r="G2540"/>
      <c r="H2540"/>
      <c r="I2540"/>
      <c r="J2540"/>
    </row>
    <row r="2541" spans="1:10" s="2" customFormat="1">
      <c r="A2541" s="1"/>
      <c r="E2541"/>
      <c r="F2541"/>
      <c r="G2541"/>
      <c r="H2541"/>
      <c r="I2541"/>
      <c r="J2541"/>
    </row>
    <row r="2542" spans="1:10" s="2" customFormat="1">
      <c r="A2542" s="1"/>
      <c r="E2542"/>
      <c r="F2542"/>
      <c r="G2542"/>
      <c r="H2542"/>
      <c r="I2542"/>
      <c r="J2542"/>
    </row>
    <row r="2543" spans="1:10" s="2" customFormat="1">
      <c r="A2543" s="1"/>
      <c r="E2543"/>
      <c r="F2543"/>
      <c r="G2543"/>
      <c r="H2543"/>
      <c r="I2543"/>
      <c r="J2543"/>
    </row>
    <row r="2544" spans="1:10" s="2" customFormat="1">
      <c r="A2544" s="1"/>
      <c r="E2544"/>
      <c r="F2544"/>
      <c r="G2544"/>
      <c r="H2544"/>
      <c r="I2544"/>
      <c r="J2544"/>
    </row>
    <row r="2545" spans="1:10" s="2" customFormat="1">
      <c r="A2545" s="1"/>
      <c r="E2545"/>
      <c r="F2545"/>
      <c r="G2545"/>
      <c r="H2545"/>
      <c r="I2545"/>
      <c r="J2545"/>
    </row>
    <row r="2546" spans="1:10" s="2" customFormat="1">
      <c r="A2546" s="1"/>
      <c r="E2546"/>
      <c r="F2546"/>
      <c r="G2546"/>
      <c r="H2546"/>
      <c r="I2546"/>
      <c r="J2546"/>
    </row>
    <row r="2547" spans="1:10" s="2" customFormat="1">
      <c r="A2547" s="1"/>
      <c r="E2547"/>
      <c r="F2547"/>
      <c r="G2547"/>
      <c r="H2547"/>
      <c r="I2547"/>
      <c r="J2547"/>
    </row>
    <row r="2548" spans="1:10" s="2" customFormat="1">
      <c r="A2548" s="1"/>
      <c r="E2548"/>
      <c r="F2548"/>
      <c r="G2548"/>
      <c r="H2548"/>
      <c r="I2548"/>
      <c r="J2548"/>
    </row>
    <row r="2549" spans="1:10" s="2" customFormat="1">
      <c r="A2549" s="1"/>
      <c r="E2549"/>
      <c r="F2549"/>
      <c r="G2549"/>
      <c r="H2549"/>
      <c r="I2549"/>
      <c r="J2549"/>
    </row>
    <row r="2550" spans="1:10" s="2" customFormat="1">
      <c r="A2550" s="1"/>
      <c r="E2550"/>
      <c r="F2550"/>
      <c r="G2550"/>
      <c r="H2550"/>
      <c r="I2550"/>
      <c r="J2550"/>
    </row>
    <row r="2551" spans="1:10" s="2" customFormat="1">
      <c r="A2551" s="1"/>
      <c r="E2551"/>
      <c r="F2551"/>
      <c r="G2551"/>
      <c r="H2551"/>
      <c r="I2551"/>
      <c r="J2551"/>
    </row>
    <row r="2552" spans="1:10" s="2" customFormat="1">
      <c r="A2552" s="1"/>
      <c r="E2552"/>
      <c r="F2552"/>
      <c r="G2552"/>
      <c r="H2552"/>
      <c r="I2552"/>
      <c r="J2552"/>
    </row>
    <row r="2553" spans="1:10" s="2" customFormat="1">
      <c r="A2553" s="1"/>
      <c r="E2553"/>
      <c r="F2553"/>
      <c r="G2553"/>
      <c r="H2553"/>
      <c r="I2553"/>
      <c r="J2553"/>
    </row>
    <row r="2554" spans="1:10" s="2" customFormat="1">
      <c r="A2554" s="1"/>
      <c r="E2554"/>
      <c r="F2554"/>
      <c r="G2554"/>
      <c r="H2554"/>
      <c r="I2554"/>
      <c r="J2554"/>
    </row>
    <row r="2555" spans="1:10" s="2" customFormat="1">
      <c r="A2555" s="1"/>
      <c r="E2555"/>
      <c r="F2555"/>
      <c r="G2555"/>
      <c r="H2555"/>
      <c r="I2555"/>
      <c r="J2555"/>
    </row>
    <row r="2556" spans="1:10" s="2" customFormat="1">
      <c r="A2556" s="1"/>
      <c r="E2556"/>
      <c r="F2556"/>
      <c r="G2556"/>
      <c r="H2556"/>
      <c r="I2556"/>
      <c r="J2556"/>
    </row>
    <row r="2557" spans="1:10" s="2" customFormat="1">
      <c r="A2557" s="1"/>
      <c r="E2557"/>
      <c r="F2557"/>
      <c r="G2557"/>
      <c r="H2557"/>
      <c r="I2557"/>
      <c r="J2557"/>
    </row>
    <row r="2558" spans="1:10" s="2" customFormat="1">
      <c r="A2558" s="1"/>
      <c r="E2558"/>
      <c r="F2558"/>
      <c r="G2558"/>
      <c r="H2558"/>
      <c r="I2558"/>
      <c r="J2558"/>
    </row>
    <row r="2559" spans="1:10" s="2" customFormat="1">
      <c r="A2559" s="1"/>
      <c r="E2559"/>
      <c r="F2559"/>
      <c r="G2559"/>
      <c r="H2559"/>
      <c r="I2559"/>
      <c r="J2559"/>
    </row>
    <row r="2560" spans="1:10" s="2" customFormat="1">
      <c r="A2560" s="1"/>
      <c r="E2560"/>
      <c r="F2560"/>
      <c r="G2560"/>
      <c r="H2560"/>
      <c r="I2560"/>
      <c r="J2560"/>
    </row>
    <row r="2561" spans="1:10" s="2" customFormat="1">
      <c r="A2561" s="1"/>
      <c r="E2561"/>
      <c r="F2561"/>
      <c r="G2561"/>
      <c r="H2561"/>
      <c r="I2561"/>
      <c r="J2561"/>
    </row>
    <row r="2562" spans="1:10" s="2" customFormat="1">
      <c r="A2562" s="1"/>
      <c r="E2562"/>
      <c r="F2562"/>
      <c r="G2562"/>
      <c r="H2562"/>
      <c r="I2562"/>
      <c r="J2562"/>
    </row>
    <row r="2563" spans="1:10" s="2" customFormat="1">
      <c r="A2563" s="1"/>
      <c r="E2563"/>
      <c r="F2563"/>
      <c r="G2563"/>
      <c r="H2563"/>
      <c r="I2563"/>
      <c r="J2563"/>
    </row>
    <row r="2564" spans="1:10" s="2" customFormat="1">
      <c r="A2564" s="1"/>
      <c r="E2564"/>
      <c r="F2564"/>
      <c r="G2564"/>
      <c r="H2564"/>
      <c r="I2564"/>
      <c r="J2564"/>
    </row>
    <row r="2565" spans="1:10" s="2" customFormat="1">
      <c r="A2565" s="1"/>
      <c r="E2565"/>
      <c r="F2565"/>
      <c r="G2565"/>
      <c r="H2565"/>
      <c r="I2565"/>
      <c r="J2565"/>
    </row>
    <row r="2566" spans="1:10" s="2" customFormat="1">
      <c r="A2566" s="1"/>
      <c r="E2566"/>
      <c r="F2566"/>
      <c r="G2566"/>
      <c r="H2566"/>
      <c r="I2566"/>
      <c r="J2566"/>
    </row>
    <row r="2567" spans="1:10" s="2" customFormat="1">
      <c r="A2567" s="1"/>
      <c r="E2567"/>
      <c r="F2567"/>
      <c r="G2567"/>
      <c r="H2567"/>
      <c r="I2567"/>
      <c r="J2567"/>
    </row>
    <row r="2568" spans="1:10" s="2" customFormat="1">
      <c r="A2568" s="1"/>
      <c r="E2568"/>
      <c r="F2568"/>
      <c r="G2568"/>
      <c r="H2568"/>
      <c r="I2568"/>
      <c r="J2568"/>
    </row>
    <row r="2569" spans="1:10" s="2" customFormat="1">
      <c r="A2569" s="1"/>
      <c r="E2569"/>
      <c r="F2569"/>
      <c r="G2569"/>
      <c r="H2569"/>
      <c r="I2569"/>
      <c r="J2569"/>
    </row>
    <row r="2570" spans="1:10" s="2" customFormat="1">
      <c r="A2570" s="1"/>
      <c r="E2570"/>
      <c r="F2570"/>
      <c r="G2570"/>
      <c r="H2570"/>
      <c r="I2570"/>
      <c r="J2570"/>
    </row>
    <row r="2571" spans="1:10" s="2" customFormat="1">
      <c r="A2571" s="1"/>
      <c r="E2571"/>
      <c r="F2571"/>
      <c r="G2571"/>
      <c r="H2571"/>
      <c r="I2571"/>
      <c r="J2571"/>
    </row>
    <row r="2572" spans="1:10" s="2" customFormat="1">
      <c r="A2572" s="1"/>
      <c r="E2572"/>
      <c r="F2572"/>
      <c r="G2572"/>
      <c r="H2572"/>
      <c r="I2572"/>
      <c r="J2572"/>
    </row>
    <row r="2573" spans="1:10" s="2" customFormat="1">
      <c r="A2573" s="1"/>
      <c r="E2573"/>
      <c r="F2573"/>
      <c r="G2573"/>
      <c r="H2573"/>
      <c r="I2573"/>
      <c r="J2573"/>
    </row>
    <row r="2574" spans="1:10" s="2" customFormat="1">
      <c r="A2574" s="1"/>
      <c r="E2574"/>
      <c r="F2574"/>
      <c r="G2574"/>
      <c r="H2574"/>
      <c r="I2574"/>
      <c r="J2574"/>
    </row>
    <row r="2575" spans="1:10" s="2" customFormat="1">
      <c r="A2575" s="1"/>
      <c r="E2575"/>
      <c r="F2575"/>
      <c r="G2575"/>
      <c r="H2575"/>
      <c r="I2575"/>
      <c r="J2575"/>
    </row>
    <row r="2576" spans="1:10" s="2" customFormat="1">
      <c r="A2576" s="1"/>
      <c r="E2576"/>
      <c r="F2576"/>
      <c r="G2576"/>
      <c r="H2576"/>
      <c r="I2576"/>
      <c r="J2576"/>
    </row>
    <row r="2577" spans="1:10" s="2" customFormat="1">
      <c r="A2577" s="1"/>
      <c r="E2577"/>
      <c r="F2577"/>
      <c r="G2577"/>
      <c r="H2577"/>
      <c r="I2577"/>
      <c r="J2577"/>
    </row>
    <row r="2578" spans="1:10" s="2" customFormat="1">
      <c r="A2578" s="1"/>
      <c r="E2578"/>
      <c r="F2578"/>
      <c r="G2578"/>
      <c r="H2578"/>
      <c r="I2578"/>
      <c r="J2578"/>
    </row>
    <row r="2579" spans="1:10" s="2" customFormat="1">
      <c r="A2579" s="1"/>
      <c r="E2579"/>
      <c r="F2579"/>
      <c r="G2579"/>
      <c r="H2579"/>
      <c r="I2579"/>
      <c r="J2579"/>
    </row>
    <row r="2580" spans="1:10" s="2" customFormat="1">
      <c r="A2580" s="1"/>
      <c r="E2580"/>
      <c r="F2580"/>
      <c r="G2580"/>
      <c r="H2580"/>
      <c r="I2580"/>
      <c r="J2580"/>
    </row>
    <row r="2581" spans="1:10" s="2" customFormat="1">
      <c r="A2581" s="1"/>
      <c r="E2581"/>
      <c r="F2581"/>
      <c r="G2581"/>
      <c r="H2581"/>
      <c r="I2581"/>
      <c r="J2581"/>
    </row>
    <row r="2582" spans="1:10" s="2" customFormat="1">
      <c r="A2582" s="1"/>
      <c r="E2582"/>
      <c r="F2582"/>
      <c r="G2582"/>
      <c r="H2582"/>
      <c r="I2582"/>
      <c r="J2582"/>
    </row>
    <row r="2583" spans="1:10" s="2" customFormat="1">
      <c r="A2583" s="1"/>
      <c r="E2583"/>
      <c r="F2583"/>
      <c r="G2583"/>
      <c r="H2583"/>
      <c r="I2583"/>
      <c r="J2583"/>
    </row>
    <row r="2584" spans="1:10" s="2" customFormat="1">
      <c r="A2584" s="1"/>
      <c r="E2584"/>
      <c r="F2584"/>
      <c r="G2584"/>
      <c r="H2584"/>
      <c r="I2584"/>
      <c r="J2584"/>
    </row>
    <row r="2585" spans="1:10" s="2" customFormat="1">
      <c r="A2585" s="1"/>
      <c r="E2585"/>
      <c r="F2585"/>
      <c r="G2585"/>
      <c r="H2585"/>
      <c r="I2585"/>
      <c r="J2585"/>
    </row>
    <row r="2586" spans="1:10" s="2" customFormat="1">
      <c r="A2586" s="1"/>
      <c r="E2586"/>
      <c r="F2586"/>
      <c r="G2586"/>
      <c r="H2586"/>
      <c r="I2586"/>
      <c r="J2586"/>
    </row>
    <row r="2587" spans="1:10" s="2" customFormat="1">
      <c r="A2587" s="1"/>
      <c r="E2587"/>
      <c r="F2587"/>
      <c r="G2587"/>
      <c r="H2587"/>
      <c r="I2587"/>
      <c r="J2587"/>
    </row>
    <row r="2588" spans="1:10" s="2" customFormat="1">
      <c r="A2588" s="1"/>
      <c r="E2588"/>
      <c r="F2588"/>
      <c r="G2588"/>
      <c r="H2588"/>
      <c r="I2588"/>
      <c r="J2588"/>
    </row>
    <row r="2589" spans="1:10" s="2" customFormat="1">
      <c r="A2589" s="1"/>
      <c r="E2589"/>
      <c r="F2589"/>
      <c r="G2589"/>
      <c r="H2589"/>
      <c r="I2589"/>
      <c r="J2589"/>
    </row>
    <row r="2590" spans="1:10" s="2" customFormat="1">
      <c r="A2590" s="1"/>
      <c r="E2590"/>
      <c r="F2590"/>
      <c r="G2590"/>
      <c r="H2590"/>
      <c r="I2590"/>
      <c r="J2590"/>
    </row>
    <row r="2591" spans="1:10" s="2" customFormat="1">
      <c r="A2591" s="1"/>
      <c r="E2591"/>
      <c r="F2591"/>
      <c r="G2591"/>
      <c r="H2591"/>
      <c r="I2591"/>
      <c r="J2591"/>
    </row>
    <row r="2592" spans="1:10" s="2" customFormat="1">
      <c r="A2592" s="1"/>
      <c r="E2592"/>
      <c r="F2592"/>
      <c r="G2592"/>
      <c r="H2592"/>
      <c r="I2592"/>
      <c r="J2592"/>
    </row>
    <row r="2593" spans="1:10" s="2" customFormat="1">
      <c r="A2593" s="1"/>
      <c r="E2593"/>
      <c r="F2593"/>
      <c r="G2593"/>
      <c r="H2593"/>
      <c r="I2593"/>
      <c r="J2593"/>
    </row>
    <row r="2594" spans="1:10" s="2" customFormat="1">
      <c r="A2594" s="1"/>
      <c r="E2594"/>
      <c r="F2594"/>
      <c r="G2594"/>
      <c r="H2594"/>
      <c r="I2594"/>
      <c r="J2594"/>
    </row>
    <row r="2595" spans="1:10" s="2" customFormat="1">
      <c r="A2595" s="1"/>
      <c r="E2595"/>
      <c r="F2595"/>
      <c r="G2595"/>
      <c r="H2595"/>
      <c r="I2595"/>
      <c r="J2595"/>
    </row>
    <row r="2596" spans="1:10" s="2" customFormat="1">
      <c r="A2596" s="1"/>
      <c r="E2596"/>
      <c r="F2596"/>
      <c r="G2596"/>
      <c r="H2596"/>
      <c r="I2596"/>
      <c r="J2596"/>
    </row>
    <row r="2597" spans="1:10" s="2" customFormat="1">
      <c r="A2597" s="1"/>
      <c r="E2597"/>
      <c r="F2597"/>
      <c r="G2597"/>
      <c r="H2597"/>
      <c r="I2597"/>
      <c r="J2597"/>
    </row>
    <row r="2598" spans="1:10" s="2" customFormat="1">
      <c r="A2598" s="1"/>
      <c r="E2598"/>
      <c r="F2598"/>
      <c r="G2598"/>
      <c r="H2598"/>
      <c r="I2598"/>
      <c r="J2598"/>
    </row>
    <row r="2599" spans="1:10" s="2" customFormat="1">
      <c r="A2599" s="1"/>
      <c r="E2599"/>
      <c r="F2599"/>
      <c r="G2599"/>
      <c r="H2599"/>
      <c r="I2599"/>
      <c r="J2599"/>
    </row>
    <row r="2600" spans="1:10" s="2" customFormat="1">
      <c r="A2600" s="1"/>
      <c r="E2600"/>
      <c r="F2600"/>
      <c r="G2600"/>
      <c r="H2600"/>
      <c r="I2600"/>
      <c r="J2600"/>
    </row>
    <row r="2601" spans="1:10" s="2" customFormat="1">
      <c r="A2601" s="1"/>
      <c r="E2601"/>
      <c r="F2601"/>
      <c r="G2601"/>
      <c r="H2601"/>
      <c r="I2601"/>
      <c r="J2601"/>
    </row>
    <row r="2602" spans="1:10" s="2" customFormat="1">
      <c r="A2602" s="1"/>
      <c r="E2602"/>
      <c r="F2602"/>
      <c r="G2602"/>
      <c r="H2602"/>
      <c r="I2602"/>
      <c r="J2602"/>
    </row>
    <row r="2603" spans="1:10" s="2" customFormat="1">
      <c r="A2603" s="1"/>
      <c r="E2603"/>
      <c r="F2603"/>
      <c r="G2603"/>
      <c r="H2603"/>
      <c r="I2603"/>
      <c r="J2603"/>
    </row>
    <row r="2604" spans="1:10" s="2" customFormat="1">
      <c r="A2604" s="1"/>
      <c r="E2604"/>
      <c r="F2604"/>
      <c r="G2604"/>
      <c r="H2604"/>
      <c r="I2604"/>
      <c r="J2604"/>
    </row>
    <row r="2605" spans="1:10" s="2" customFormat="1">
      <c r="A2605" s="1"/>
      <c r="E2605"/>
      <c r="F2605"/>
      <c r="G2605"/>
      <c r="H2605"/>
      <c r="I2605"/>
      <c r="J2605"/>
    </row>
    <row r="2606" spans="1:10" s="2" customFormat="1">
      <c r="A2606" s="1"/>
      <c r="E2606"/>
      <c r="F2606"/>
      <c r="G2606"/>
      <c r="H2606"/>
      <c r="I2606"/>
      <c r="J2606"/>
    </row>
    <row r="2607" spans="1:10" s="2" customFormat="1">
      <c r="A2607" s="1"/>
      <c r="E2607"/>
      <c r="F2607"/>
      <c r="G2607"/>
      <c r="H2607"/>
      <c r="I2607"/>
      <c r="J2607"/>
    </row>
    <row r="2608" spans="1:10" s="2" customFormat="1">
      <c r="A2608" s="1"/>
      <c r="E2608"/>
      <c r="F2608"/>
      <c r="G2608"/>
      <c r="H2608"/>
      <c r="I2608"/>
      <c r="J2608"/>
    </row>
    <row r="2609" spans="1:10" s="2" customFormat="1">
      <c r="A2609" s="1"/>
      <c r="E2609"/>
      <c r="F2609"/>
      <c r="G2609"/>
      <c r="H2609"/>
      <c r="I2609"/>
      <c r="J2609"/>
    </row>
    <row r="2610" spans="1:10" s="2" customFormat="1">
      <c r="A2610" s="1"/>
      <c r="E2610"/>
      <c r="F2610"/>
      <c r="G2610"/>
      <c r="H2610"/>
      <c r="I2610"/>
      <c r="J2610"/>
    </row>
    <row r="2611" spans="1:10" s="2" customFormat="1">
      <c r="A2611" s="1"/>
      <c r="E2611"/>
      <c r="F2611"/>
      <c r="G2611"/>
      <c r="H2611"/>
      <c r="I2611"/>
      <c r="J2611"/>
    </row>
    <row r="2612" spans="1:10" s="2" customFormat="1">
      <c r="A2612" s="1"/>
      <c r="E2612"/>
      <c r="F2612"/>
      <c r="G2612"/>
      <c r="H2612"/>
      <c r="I2612"/>
      <c r="J2612"/>
    </row>
    <row r="2613" spans="1:10" s="2" customFormat="1">
      <c r="A2613" s="1"/>
      <c r="E2613"/>
      <c r="F2613"/>
      <c r="G2613"/>
      <c r="H2613"/>
      <c r="I2613"/>
      <c r="J2613"/>
    </row>
    <row r="2614" spans="1:10" s="2" customFormat="1">
      <c r="A2614" s="1"/>
      <c r="E2614"/>
      <c r="F2614"/>
      <c r="G2614"/>
      <c r="H2614"/>
      <c r="I2614"/>
      <c r="J2614"/>
    </row>
    <row r="2615" spans="1:10" s="2" customFormat="1">
      <c r="A2615" s="1"/>
      <c r="E2615"/>
      <c r="F2615"/>
      <c r="G2615"/>
      <c r="H2615"/>
      <c r="I2615"/>
      <c r="J2615"/>
    </row>
    <row r="2616" spans="1:10" s="2" customFormat="1">
      <c r="A2616" s="1"/>
      <c r="E2616"/>
      <c r="F2616"/>
      <c r="G2616"/>
      <c r="H2616"/>
      <c r="I2616"/>
      <c r="J2616"/>
    </row>
    <row r="2617" spans="1:10" s="2" customFormat="1">
      <c r="A2617" s="1"/>
      <c r="E2617"/>
      <c r="F2617"/>
      <c r="G2617"/>
      <c r="H2617"/>
      <c r="I2617"/>
      <c r="J2617"/>
    </row>
    <row r="2618" spans="1:10" s="2" customFormat="1">
      <c r="A2618" s="1"/>
      <c r="E2618"/>
      <c r="F2618"/>
      <c r="G2618"/>
      <c r="H2618"/>
      <c r="I2618"/>
      <c r="J2618"/>
    </row>
    <row r="2619" spans="1:10" s="2" customFormat="1">
      <c r="A2619" s="1"/>
      <c r="E2619"/>
      <c r="F2619"/>
      <c r="G2619"/>
      <c r="H2619"/>
      <c r="I2619"/>
      <c r="J2619"/>
    </row>
    <row r="2620" spans="1:10" s="2" customFormat="1">
      <c r="A2620" s="1"/>
      <c r="E2620"/>
      <c r="F2620"/>
      <c r="G2620"/>
      <c r="H2620"/>
      <c r="I2620"/>
      <c r="J2620"/>
    </row>
    <row r="2621" spans="1:10" s="2" customFormat="1">
      <c r="A2621" s="1"/>
      <c r="E2621"/>
      <c r="F2621"/>
      <c r="G2621"/>
      <c r="H2621"/>
      <c r="I2621"/>
      <c r="J2621"/>
    </row>
    <row r="2622" spans="1:10" s="2" customFormat="1">
      <c r="A2622" s="1"/>
      <c r="E2622"/>
      <c r="F2622"/>
      <c r="G2622"/>
      <c r="H2622"/>
      <c r="I2622"/>
      <c r="J2622"/>
    </row>
    <row r="2623" spans="1:10" s="2" customFormat="1">
      <c r="A2623" s="1"/>
      <c r="E2623"/>
      <c r="F2623"/>
      <c r="G2623"/>
      <c r="H2623"/>
      <c r="I2623"/>
      <c r="J2623"/>
    </row>
    <row r="2624" spans="1:10" s="2" customFormat="1">
      <c r="A2624" s="1"/>
      <c r="E2624"/>
      <c r="F2624"/>
      <c r="G2624"/>
      <c r="H2624"/>
      <c r="I2624"/>
      <c r="J2624"/>
    </row>
    <row r="2625" spans="1:10" s="2" customFormat="1">
      <c r="A2625" s="1"/>
      <c r="E2625"/>
      <c r="F2625"/>
      <c r="G2625"/>
      <c r="H2625"/>
      <c r="I2625"/>
      <c r="J2625"/>
    </row>
    <row r="2626" spans="1:10" s="2" customFormat="1">
      <c r="A2626" s="1"/>
      <c r="E2626"/>
      <c r="F2626"/>
      <c r="G2626"/>
      <c r="H2626"/>
      <c r="I2626"/>
      <c r="J2626"/>
    </row>
    <row r="2627" spans="1:10" s="2" customFormat="1">
      <c r="A2627" s="1"/>
      <c r="E2627"/>
      <c r="F2627"/>
      <c r="G2627"/>
      <c r="H2627"/>
      <c r="I2627"/>
      <c r="J2627"/>
    </row>
    <row r="2628" spans="1:10" s="2" customFormat="1">
      <c r="A2628" s="1"/>
      <c r="E2628"/>
      <c r="F2628"/>
      <c r="G2628"/>
      <c r="H2628"/>
      <c r="I2628"/>
      <c r="J2628"/>
    </row>
    <row r="2629" spans="1:10" s="2" customFormat="1">
      <c r="A2629" s="1"/>
      <c r="E2629"/>
      <c r="F2629"/>
      <c r="G2629"/>
      <c r="H2629"/>
      <c r="I2629"/>
      <c r="J2629"/>
    </row>
    <row r="2630" spans="1:10" s="2" customFormat="1">
      <c r="A2630" s="1"/>
      <c r="E2630"/>
      <c r="F2630"/>
      <c r="G2630"/>
      <c r="H2630"/>
      <c r="I2630"/>
      <c r="J2630"/>
    </row>
    <row r="2631" spans="1:10" s="2" customFormat="1">
      <c r="A2631" s="1"/>
      <c r="E2631"/>
      <c r="F2631"/>
      <c r="G2631"/>
      <c r="H2631"/>
      <c r="I2631"/>
      <c r="J2631"/>
    </row>
    <row r="2632" spans="1:10" s="2" customFormat="1">
      <c r="A2632" s="1"/>
      <c r="E2632"/>
      <c r="F2632"/>
      <c r="G2632"/>
      <c r="H2632"/>
      <c r="I2632"/>
      <c r="J2632"/>
    </row>
    <row r="2633" spans="1:10" s="2" customFormat="1">
      <c r="A2633" s="1"/>
      <c r="E2633"/>
      <c r="F2633"/>
      <c r="G2633"/>
      <c r="H2633"/>
      <c r="I2633"/>
      <c r="J2633"/>
    </row>
    <row r="2634" spans="1:10" s="2" customFormat="1">
      <c r="A2634" s="1"/>
      <c r="E2634"/>
      <c r="F2634"/>
      <c r="G2634"/>
      <c r="H2634"/>
      <c r="I2634"/>
      <c r="J2634"/>
    </row>
    <row r="2635" spans="1:10" s="2" customFormat="1">
      <c r="A2635" s="1"/>
      <c r="E2635"/>
      <c r="F2635"/>
      <c r="G2635"/>
      <c r="H2635"/>
      <c r="I2635"/>
      <c r="J2635"/>
    </row>
    <row r="2636" spans="1:10" s="2" customFormat="1">
      <c r="A2636" s="1"/>
      <c r="E2636"/>
      <c r="F2636"/>
      <c r="G2636"/>
      <c r="H2636"/>
      <c r="I2636"/>
      <c r="J2636"/>
    </row>
    <row r="2637" spans="1:10" s="2" customFormat="1">
      <c r="A2637" s="1"/>
      <c r="E2637"/>
      <c r="F2637"/>
      <c r="G2637"/>
      <c r="H2637"/>
      <c r="I2637"/>
      <c r="J2637"/>
    </row>
    <row r="2638" spans="1:10" s="2" customFormat="1">
      <c r="A2638" s="1"/>
      <c r="E2638"/>
      <c r="F2638"/>
      <c r="G2638"/>
      <c r="H2638"/>
      <c r="I2638"/>
      <c r="J2638"/>
    </row>
    <row r="2639" spans="1:10" s="2" customFormat="1">
      <c r="A2639" s="1"/>
      <c r="E2639"/>
      <c r="F2639"/>
      <c r="G2639"/>
      <c r="H2639"/>
      <c r="I2639"/>
      <c r="J2639"/>
    </row>
    <row r="2640" spans="1:10" s="2" customFormat="1">
      <c r="A2640" s="1"/>
      <c r="E2640"/>
      <c r="F2640"/>
      <c r="G2640"/>
      <c r="H2640"/>
      <c r="I2640"/>
      <c r="J2640"/>
    </row>
    <row r="2641" spans="1:10" s="2" customFormat="1">
      <c r="A2641" s="1"/>
      <c r="E2641"/>
      <c r="F2641"/>
      <c r="G2641"/>
      <c r="H2641"/>
      <c r="I2641"/>
      <c r="J2641"/>
    </row>
    <row r="2642" spans="1:10" s="2" customFormat="1">
      <c r="A2642" s="1"/>
      <c r="E2642"/>
      <c r="F2642"/>
      <c r="G2642"/>
      <c r="H2642"/>
      <c r="I2642"/>
      <c r="J2642"/>
    </row>
    <row r="2643" spans="1:10" s="2" customFormat="1">
      <c r="A2643" s="1"/>
      <c r="E2643"/>
      <c r="F2643"/>
      <c r="G2643"/>
      <c r="H2643"/>
      <c r="I2643"/>
      <c r="J2643"/>
    </row>
    <row r="2644" spans="1:10" s="2" customFormat="1">
      <c r="A2644" s="1"/>
      <c r="E2644"/>
      <c r="F2644"/>
      <c r="G2644"/>
      <c r="H2644"/>
      <c r="I2644"/>
      <c r="J2644"/>
    </row>
    <row r="2645" spans="1:10" s="2" customFormat="1">
      <c r="A2645" s="1"/>
      <c r="E2645"/>
      <c r="F2645"/>
      <c r="G2645"/>
      <c r="H2645"/>
      <c r="I2645"/>
      <c r="J2645"/>
    </row>
    <row r="2646" spans="1:10" s="2" customFormat="1">
      <c r="A2646" s="1"/>
      <c r="E2646"/>
      <c r="F2646"/>
      <c r="G2646"/>
      <c r="H2646"/>
      <c r="I2646"/>
      <c r="J2646"/>
    </row>
    <row r="2647" spans="1:10" s="2" customFormat="1">
      <c r="A2647" s="1"/>
      <c r="E2647"/>
      <c r="F2647"/>
      <c r="G2647"/>
      <c r="H2647"/>
      <c r="I2647"/>
      <c r="J2647"/>
    </row>
    <row r="2648" spans="1:10" s="2" customFormat="1">
      <c r="A2648" s="1"/>
      <c r="E2648"/>
      <c r="F2648"/>
      <c r="G2648"/>
      <c r="H2648"/>
      <c r="I2648"/>
      <c r="J2648"/>
    </row>
    <row r="2649" spans="1:10" s="2" customFormat="1">
      <c r="A2649" s="1"/>
      <c r="E2649"/>
      <c r="F2649"/>
      <c r="G2649"/>
      <c r="H2649"/>
      <c r="I2649"/>
      <c r="J2649"/>
    </row>
    <row r="2650" spans="1:10" s="2" customFormat="1">
      <c r="A2650" s="1"/>
      <c r="E2650"/>
      <c r="F2650"/>
      <c r="G2650"/>
      <c r="H2650"/>
      <c r="I2650"/>
      <c r="J2650"/>
    </row>
    <row r="2651" spans="1:10" s="2" customFormat="1">
      <c r="A2651" s="1"/>
      <c r="E2651"/>
      <c r="F2651"/>
      <c r="G2651"/>
      <c r="H2651"/>
      <c r="I2651"/>
      <c r="J2651"/>
    </row>
    <row r="2652" spans="1:10" s="2" customFormat="1">
      <c r="A2652" s="1"/>
      <c r="E2652"/>
      <c r="F2652"/>
      <c r="G2652"/>
      <c r="H2652"/>
      <c r="I2652"/>
      <c r="J2652"/>
    </row>
    <row r="2653" spans="1:10" s="2" customFormat="1">
      <c r="A2653" s="1"/>
      <c r="E2653"/>
      <c r="F2653"/>
      <c r="G2653"/>
      <c r="H2653"/>
      <c r="I2653"/>
      <c r="J2653"/>
    </row>
    <row r="2654" spans="1:10" s="2" customFormat="1">
      <c r="A2654" s="1"/>
      <c r="E2654"/>
      <c r="F2654"/>
      <c r="G2654"/>
      <c r="H2654"/>
      <c r="I2654"/>
      <c r="J2654"/>
    </row>
    <row r="2655" spans="1:10" s="2" customFormat="1">
      <c r="A2655" s="1"/>
      <c r="E2655"/>
      <c r="F2655"/>
      <c r="G2655"/>
      <c r="H2655"/>
      <c r="I2655"/>
      <c r="J2655"/>
    </row>
    <row r="2656" spans="1:10" s="2" customFormat="1">
      <c r="A2656" s="1"/>
      <c r="E2656"/>
      <c r="F2656"/>
      <c r="G2656"/>
      <c r="H2656"/>
      <c r="I2656"/>
      <c r="J2656"/>
    </row>
    <row r="2657" spans="1:10" s="2" customFormat="1">
      <c r="A2657" s="1"/>
      <c r="E2657"/>
      <c r="F2657"/>
      <c r="G2657"/>
      <c r="H2657"/>
      <c r="I2657"/>
      <c r="J2657"/>
    </row>
    <row r="2658" spans="1:10" s="2" customFormat="1">
      <c r="A2658" s="1"/>
      <c r="E2658"/>
      <c r="F2658"/>
      <c r="G2658"/>
      <c r="H2658"/>
      <c r="I2658"/>
      <c r="J2658"/>
    </row>
    <row r="2659" spans="1:10" s="2" customFormat="1">
      <c r="A2659" s="1"/>
      <c r="E2659"/>
      <c r="F2659"/>
      <c r="G2659"/>
      <c r="H2659"/>
      <c r="I2659"/>
      <c r="J2659"/>
    </row>
    <row r="2660" spans="1:10" s="2" customFormat="1">
      <c r="A2660" s="1"/>
      <c r="E2660"/>
      <c r="F2660"/>
      <c r="G2660"/>
      <c r="H2660"/>
      <c r="I2660"/>
      <c r="J2660"/>
    </row>
    <row r="2661" spans="1:10" s="2" customFormat="1">
      <c r="A2661" s="1"/>
      <c r="E2661"/>
      <c r="F2661"/>
      <c r="G2661"/>
      <c r="H2661"/>
      <c r="I2661"/>
      <c r="J2661"/>
    </row>
    <row r="2662" spans="1:10" s="2" customFormat="1">
      <c r="A2662" s="1"/>
      <c r="E2662"/>
      <c r="F2662"/>
      <c r="G2662"/>
      <c r="H2662"/>
      <c r="I2662"/>
      <c r="J2662"/>
    </row>
    <row r="2663" spans="1:10" s="2" customFormat="1">
      <c r="A2663" s="1"/>
      <c r="E2663"/>
      <c r="F2663"/>
      <c r="G2663"/>
      <c r="H2663"/>
      <c r="I2663"/>
      <c r="J2663"/>
    </row>
    <row r="2664" spans="1:10" s="2" customFormat="1">
      <c r="A2664" s="1"/>
      <c r="E2664"/>
      <c r="F2664"/>
      <c r="G2664"/>
      <c r="H2664"/>
      <c r="I2664"/>
      <c r="J2664"/>
    </row>
    <row r="2665" spans="1:10" s="2" customFormat="1">
      <c r="A2665" s="1"/>
      <c r="E2665"/>
      <c r="F2665"/>
      <c r="G2665"/>
      <c r="H2665"/>
      <c r="I2665"/>
      <c r="J2665"/>
    </row>
    <row r="2666" spans="1:10" s="2" customFormat="1">
      <c r="A2666" s="1"/>
      <c r="E2666"/>
      <c r="F2666"/>
      <c r="G2666"/>
      <c r="H2666"/>
      <c r="I2666"/>
      <c r="J2666"/>
    </row>
    <row r="2667" spans="1:10" s="2" customFormat="1">
      <c r="A2667" s="1"/>
      <c r="E2667"/>
      <c r="F2667"/>
      <c r="G2667"/>
      <c r="H2667"/>
      <c r="I2667"/>
      <c r="J2667"/>
    </row>
    <row r="2668" spans="1:10" s="2" customFormat="1">
      <c r="A2668" s="1"/>
      <c r="E2668"/>
      <c r="F2668"/>
      <c r="G2668"/>
      <c r="H2668"/>
      <c r="I2668"/>
      <c r="J2668"/>
    </row>
    <row r="2669" spans="1:10" s="2" customFormat="1">
      <c r="A2669" s="1"/>
      <c r="E2669"/>
      <c r="F2669"/>
      <c r="G2669"/>
      <c r="H2669"/>
      <c r="I2669"/>
      <c r="J2669"/>
    </row>
    <row r="2670" spans="1:10" s="2" customFormat="1">
      <c r="A2670" s="1"/>
      <c r="E2670"/>
      <c r="F2670"/>
      <c r="G2670"/>
      <c r="H2670"/>
      <c r="I2670"/>
      <c r="J2670"/>
    </row>
    <row r="2671" spans="1:10" s="2" customFormat="1">
      <c r="A2671" s="1"/>
      <c r="E2671"/>
      <c r="F2671"/>
      <c r="G2671"/>
      <c r="H2671"/>
      <c r="I2671"/>
      <c r="J2671"/>
    </row>
    <row r="2672" spans="1:10" s="2" customFormat="1">
      <c r="A2672" s="1"/>
      <c r="E2672"/>
      <c r="F2672"/>
      <c r="G2672"/>
      <c r="H2672"/>
      <c r="I2672"/>
      <c r="J2672"/>
    </row>
    <row r="2673" spans="1:10" s="2" customFormat="1">
      <c r="A2673" s="1"/>
      <c r="E2673"/>
      <c r="F2673"/>
      <c r="G2673"/>
      <c r="H2673"/>
      <c r="I2673"/>
      <c r="J2673"/>
    </row>
    <row r="2674" spans="1:10" s="2" customFormat="1">
      <c r="A2674" s="1"/>
      <c r="E2674"/>
      <c r="F2674"/>
      <c r="G2674"/>
      <c r="H2674"/>
      <c r="I2674"/>
      <c r="J2674"/>
    </row>
    <row r="2675" spans="1:10" s="2" customFormat="1">
      <c r="A2675" s="1"/>
      <c r="E2675"/>
      <c r="F2675"/>
      <c r="G2675"/>
      <c r="H2675"/>
      <c r="I2675"/>
      <c r="J2675"/>
    </row>
    <row r="2676" spans="1:10" s="2" customFormat="1">
      <c r="A2676" s="1"/>
      <c r="E2676"/>
      <c r="F2676"/>
      <c r="G2676"/>
      <c r="H2676"/>
      <c r="I2676"/>
      <c r="J2676"/>
    </row>
    <row r="2677" spans="1:10" s="2" customFormat="1">
      <c r="A2677" s="1"/>
      <c r="E2677"/>
      <c r="F2677"/>
      <c r="G2677"/>
      <c r="H2677"/>
      <c r="I2677"/>
      <c r="J2677"/>
    </row>
    <row r="2678" spans="1:10" s="2" customFormat="1">
      <c r="A2678" s="1"/>
      <c r="E2678"/>
      <c r="F2678"/>
      <c r="G2678"/>
      <c r="H2678"/>
      <c r="I2678"/>
      <c r="J2678"/>
    </row>
    <row r="2679" spans="1:10" s="2" customFormat="1">
      <c r="A2679" s="1"/>
      <c r="E2679"/>
      <c r="F2679"/>
      <c r="G2679"/>
      <c r="H2679"/>
      <c r="I2679"/>
      <c r="J2679"/>
    </row>
    <row r="2680" spans="1:10" s="2" customFormat="1">
      <c r="A2680" s="1"/>
      <c r="E2680"/>
      <c r="F2680"/>
      <c r="G2680"/>
      <c r="H2680"/>
      <c r="I2680"/>
      <c r="J2680"/>
    </row>
    <row r="2681" spans="1:10" s="2" customFormat="1">
      <c r="A2681" s="1"/>
      <c r="E2681"/>
      <c r="F2681"/>
      <c r="G2681"/>
      <c r="H2681"/>
      <c r="I2681"/>
      <c r="J2681"/>
    </row>
    <row r="2682" spans="1:10" s="2" customFormat="1">
      <c r="A2682" s="1"/>
      <c r="E2682"/>
      <c r="F2682"/>
      <c r="G2682"/>
      <c r="H2682"/>
      <c r="I2682"/>
      <c r="J2682"/>
    </row>
    <row r="2683" spans="1:10" s="2" customFormat="1">
      <c r="A2683" s="1"/>
      <c r="E2683"/>
      <c r="F2683"/>
      <c r="G2683"/>
      <c r="H2683"/>
      <c r="I2683"/>
      <c r="J2683"/>
    </row>
    <row r="2684" spans="1:10" s="2" customFormat="1">
      <c r="A2684" s="1"/>
      <c r="E2684"/>
      <c r="F2684"/>
      <c r="G2684"/>
      <c r="H2684"/>
      <c r="I2684"/>
      <c r="J2684"/>
    </row>
    <row r="2685" spans="1:10" s="2" customFormat="1">
      <c r="A2685" s="1"/>
      <c r="E2685"/>
      <c r="F2685"/>
      <c r="G2685"/>
      <c r="H2685"/>
      <c r="I2685"/>
      <c r="J2685"/>
    </row>
    <row r="2686" spans="1:10" s="2" customFormat="1">
      <c r="A2686" s="1"/>
      <c r="E2686"/>
      <c r="F2686"/>
      <c r="G2686"/>
      <c r="H2686"/>
      <c r="I2686"/>
      <c r="J2686"/>
    </row>
    <row r="2687" spans="1:10" s="2" customFormat="1">
      <c r="A2687" s="1"/>
      <c r="E2687"/>
      <c r="F2687"/>
      <c r="G2687"/>
      <c r="H2687"/>
      <c r="I2687"/>
      <c r="J2687"/>
    </row>
    <row r="2688" spans="1:10" s="2" customFormat="1">
      <c r="A2688" s="1"/>
      <c r="E2688"/>
      <c r="F2688"/>
      <c r="G2688"/>
      <c r="H2688"/>
      <c r="I2688"/>
      <c r="J2688"/>
    </row>
    <row r="2689" spans="1:10" s="2" customFormat="1">
      <c r="A2689" s="1"/>
      <c r="E2689"/>
      <c r="F2689"/>
      <c r="G2689"/>
      <c r="H2689"/>
      <c r="I2689"/>
      <c r="J2689"/>
    </row>
    <row r="2690" spans="1:10" s="2" customFormat="1">
      <c r="A2690" s="1"/>
      <c r="E2690"/>
      <c r="F2690"/>
      <c r="G2690"/>
      <c r="H2690"/>
      <c r="I2690"/>
      <c r="J2690"/>
    </row>
    <row r="2691" spans="1:10" s="2" customFormat="1">
      <c r="A2691" s="1"/>
      <c r="E2691"/>
      <c r="F2691"/>
      <c r="G2691"/>
      <c r="H2691"/>
      <c r="I2691"/>
      <c r="J2691"/>
    </row>
    <row r="2692" spans="1:10" s="2" customFormat="1">
      <c r="A2692" s="1"/>
      <c r="E2692"/>
      <c r="F2692"/>
      <c r="G2692"/>
      <c r="H2692"/>
      <c r="I2692"/>
      <c r="J2692"/>
    </row>
    <row r="2693" spans="1:10" s="2" customFormat="1">
      <c r="A2693" s="1"/>
      <c r="E2693"/>
      <c r="F2693"/>
      <c r="G2693"/>
      <c r="H2693"/>
      <c r="I2693"/>
      <c r="J2693"/>
    </row>
    <row r="2694" spans="1:10" s="2" customFormat="1">
      <c r="A2694" s="1"/>
      <c r="E2694"/>
      <c r="F2694"/>
      <c r="G2694"/>
      <c r="H2694"/>
      <c r="I2694"/>
      <c r="J2694"/>
    </row>
    <row r="2695" spans="1:10" s="2" customFormat="1">
      <c r="A2695" s="1"/>
      <c r="E2695"/>
      <c r="F2695"/>
      <c r="G2695"/>
      <c r="H2695"/>
      <c r="I2695"/>
      <c r="J2695"/>
    </row>
    <row r="2696" spans="1:10" s="2" customFormat="1">
      <c r="A2696" s="1"/>
      <c r="E2696"/>
      <c r="F2696"/>
      <c r="G2696"/>
      <c r="H2696"/>
      <c r="I2696"/>
      <c r="J2696"/>
    </row>
    <row r="2697" spans="1:10" s="2" customFormat="1">
      <c r="A2697" s="1"/>
      <c r="E2697"/>
      <c r="F2697"/>
      <c r="G2697"/>
      <c r="H2697"/>
      <c r="I2697"/>
      <c r="J2697"/>
    </row>
    <row r="2698" spans="1:10" s="2" customFormat="1">
      <c r="A2698" s="1"/>
      <c r="E2698"/>
      <c r="F2698"/>
      <c r="G2698"/>
      <c r="H2698"/>
      <c r="I2698"/>
      <c r="J2698"/>
    </row>
    <row r="2699" spans="1:10" s="2" customFormat="1">
      <c r="A2699" s="1"/>
      <c r="E2699"/>
      <c r="F2699"/>
      <c r="G2699"/>
      <c r="H2699"/>
      <c r="I2699"/>
      <c r="J2699"/>
    </row>
    <row r="2700" spans="1:10" s="2" customFormat="1">
      <c r="A2700" s="1"/>
      <c r="E2700"/>
      <c r="F2700"/>
      <c r="G2700"/>
      <c r="H2700"/>
      <c r="I2700"/>
      <c r="J2700"/>
    </row>
    <row r="2701" spans="1:10" s="2" customFormat="1">
      <c r="A2701" s="1"/>
      <c r="E2701"/>
      <c r="F2701"/>
      <c r="G2701"/>
      <c r="H2701"/>
      <c r="I2701"/>
      <c r="J2701"/>
    </row>
    <row r="2702" spans="1:10" s="2" customFormat="1">
      <c r="A2702" s="1"/>
      <c r="E2702"/>
      <c r="F2702"/>
      <c r="G2702"/>
      <c r="H2702"/>
      <c r="I2702"/>
      <c r="J2702"/>
    </row>
    <row r="2703" spans="1:10" s="2" customFormat="1">
      <c r="A2703" s="1"/>
      <c r="E2703"/>
      <c r="F2703"/>
      <c r="G2703"/>
      <c r="H2703"/>
      <c r="I2703"/>
      <c r="J2703"/>
    </row>
    <row r="2704" spans="1:10" s="2" customFormat="1">
      <c r="A2704" s="1"/>
      <c r="E2704"/>
      <c r="F2704"/>
      <c r="G2704"/>
      <c r="H2704"/>
      <c r="I2704"/>
      <c r="J2704"/>
    </row>
    <row r="2705" spans="1:10" s="2" customFormat="1">
      <c r="A2705" s="1"/>
      <c r="E2705"/>
      <c r="F2705"/>
      <c r="G2705"/>
      <c r="H2705"/>
      <c r="I2705"/>
      <c r="J2705"/>
    </row>
    <row r="2706" spans="1:10" s="2" customFormat="1">
      <c r="A2706" s="1"/>
      <c r="E2706"/>
      <c r="F2706"/>
      <c r="G2706"/>
      <c r="H2706"/>
      <c r="I2706"/>
      <c r="J2706"/>
    </row>
    <row r="2707" spans="1:10" s="2" customFormat="1">
      <c r="A2707" s="1"/>
      <c r="E2707"/>
      <c r="F2707"/>
      <c r="G2707"/>
      <c r="H2707"/>
      <c r="I2707"/>
      <c r="J2707"/>
    </row>
    <row r="2708" spans="1:10" s="2" customFormat="1">
      <c r="A2708" s="1"/>
      <c r="E2708"/>
      <c r="F2708"/>
      <c r="G2708"/>
      <c r="H2708"/>
      <c r="I2708"/>
      <c r="J2708"/>
    </row>
    <row r="2709" spans="1:10" s="2" customFormat="1">
      <c r="A2709" s="1"/>
      <c r="E2709"/>
      <c r="F2709"/>
      <c r="G2709"/>
      <c r="H2709"/>
      <c r="I2709"/>
      <c r="J2709"/>
    </row>
    <row r="2710" spans="1:10" s="2" customFormat="1">
      <c r="A2710" s="1"/>
      <c r="E2710"/>
      <c r="F2710"/>
      <c r="G2710"/>
      <c r="H2710"/>
      <c r="I2710"/>
      <c r="J2710"/>
    </row>
    <row r="2711" spans="1:10" s="2" customFormat="1">
      <c r="A2711" s="1"/>
      <c r="E2711"/>
      <c r="F2711"/>
      <c r="G2711"/>
      <c r="H2711"/>
      <c r="I2711"/>
      <c r="J2711"/>
    </row>
    <row r="2712" spans="1:10" s="2" customFormat="1">
      <c r="A2712" s="1"/>
      <c r="E2712"/>
      <c r="F2712"/>
      <c r="G2712"/>
      <c r="H2712"/>
      <c r="I2712"/>
      <c r="J2712"/>
    </row>
    <row r="2713" spans="1:10" s="2" customFormat="1">
      <c r="A2713" s="1"/>
      <c r="E2713"/>
      <c r="F2713"/>
      <c r="G2713"/>
      <c r="H2713"/>
      <c r="I2713"/>
      <c r="J2713"/>
    </row>
    <row r="2714" spans="1:10" s="2" customFormat="1">
      <c r="A2714" s="1"/>
      <c r="E2714"/>
      <c r="F2714"/>
      <c r="G2714"/>
      <c r="H2714"/>
      <c r="I2714"/>
      <c r="J2714"/>
    </row>
    <row r="2715" spans="1:10" s="2" customFormat="1">
      <c r="A2715" s="1"/>
      <c r="E2715"/>
      <c r="F2715"/>
      <c r="G2715"/>
      <c r="H2715"/>
      <c r="I2715"/>
      <c r="J2715"/>
    </row>
    <row r="2716" spans="1:10" s="2" customFormat="1">
      <c r="A2716" s="1"/>
      <c r="E2716"/>
      <c r="F2716"/>
      <c r="G2716"/>
      <c r="H2716"/>
      <c r="I2716"/>
      <c r="J2716"/>
    </row>
    <row r="2717" spans="1:10" s="2" customFormat="1">
      <c r="A2717" s="1"/>
      <c r="E2717"/>
      <c r="F2717"/>
      <c r="G2717"/>
      <c r="H2717"/>
      <c r="I2717"/>
      <c r="J2717"/>
    </row>
    <row r="2718" spans="1:10" s="2" customFormat="1">
      <c r="A2718" s="1"/>
      <c r="E2718"/>
      <c r="F2718"/>
      <c r="G2718"/>
      <c r="H2718"/>
      <c r="I2718"/>
      <c r="J2718"/>
    </row>
    <row r="2719" spans="1:10" s="2" customFormat="1">
      <c r="A2719" s="1"/>
      <c r="E2719"/>
      <c r="F2719"/>
      <c r="G2719"/>
      <c r="H2719"/>
      <c r="I2719"/>
      <c r="J2719"/>
    </row>
    <row r="2720" spans="1:10" s="2" customFormat="1">
      <c r="A2720" s="1"/>
      <c r="E2720"/>
      <c r="F2720"/>
      <c r="G2720"/>
      <c r="H2720"/>
      <c r="I2720"/>
      <c r="J2720"/>
    </row>
    <row r="2721" spans="1:10" s="2" customFormat="1">
      <c r="A2721" s="1"/>
      <c r="E2721"/>
      <c r="F2721"/>
      <c r="G2721"/>
      <c r="H2721"/>
      <c r="I2721"/>
      <c r="J2721"/>
    </row>
    <row r="2722" spans="1:10" s="2" customFormat="1">
      <c r="A2722" s="1"/>
      <c r="E2722"/>
      <c r="F2722"/>
      <c r="G2722"/>
      <c r="H2722"/>
      <c r="I2722"/>
      <c r="J2722"/>
    </row>
    <row r="2723" spans="1:10" s="2" customFormat="1">
      <c r="A2723" s="1"/>
      <c r="E2723"/>
      <c r="F2723"/>
      <c r="G2723"/>
      <c r="H2723"/>
      <c r="I2723"/>
      <c r="J2723"/>
    </row>
    <row r="2724" spans="1:10" s="2" customFormat="1">
      <c r="A2724" s="1"/>
      <c r="E2724"/>
      <c r="F2724"/>
      <c r="G2724"/>
      <c r="H2724"/>
      <c r="I2724"/>
      <c r="J2724"/>
    </row>
    <row r="2725" spans="1:10" s="2" customFormat="1">
      <c r="A2725" s="1"/>
      <c r="E2725"/>
      <c r="F2725"/>
      <c r="G2725"/>
      <c r="H2725"/>
      <c r="I2725"/>
      <c r="J2725"/>
    </row>
    <row r="2726" spans="1:10" s="2" customFormat="1">
      <c r="A2726" s="1"/>
      <c r="E2726"/>
      <c r="F2726"/>
      <c r="G2726"/>
      <c r="H2726"/>
      <c r="I2726"/>
      <c r="J2726"/>
    </row>
    <row r="2727" spans="1:10" s="2" customFormat="1">
      <c r="A2727" s="1"/>
      <c r="E2727"/>
      <c r="F2727"/>
      <c r="G2727"/>
      <c r="H2727"/>
      <c r="I2727"/>
      <c r="J2727"/>
    </row>
    <row r="2728" spans="1:10" s="2" customFormat="1">
      <c r="A2728" s="1"/>
      <c r="E2728"/>
      <c r="F2728"/>
      <c r="G2728"/>
      <c r="H2728"/>
      <c r="I2728"/>
      <c r="J2728"/>
    </row>
    <row r="2729" spans="1:10" s="2" customFormat="1">
      <c r="A2729" s="1"/>
      <c r="E2729"/>
      <c r="F2729"/>
      <c r="G2729"/>
      <c r="H2729"/>
      <c r="I2729"/>
      <c r="J2729"/>
    </row>
    <row r="2730" spans="1:10" s="2" customFormat="1">
      <c r="A2730" s="1"/>
      <c r="E2730"/>
      <c r="F2730"/>
      <c r="G2730"/>
      <c r="H2730"/>
      <c r="I2730"/>
      <c r="J2730"/>
    </row>
    <row r="2731" spans="1:10" s="2" customFormat="1">
      <c r="A2731" s="1"/>
      <c r="E2731"/>
      <c r="F2731"/>
      <c r="G2731"/>
      <c r="H2731"/>
      <c r="I2731"/>
      <c r="J2731"/>
    </row>
    <row r="2732" spans="1:10" s="2" customFormat="1">
      <c r="A2732" s="1"/>
      <c r="E2732"/>
      <c r="F2732"/>
      <c r="G2732"/>
      <c r="H2732"/>
      <c r="I2732"/>
      <c r="J2732"/>
    </row>
    <row r="2733" spans="1:10" s="2" customFormat="1">
      <c r="A2733" s="1"/>
      <c r="E2733"/>
      <c r="F2733"/>
      <c r="G2733"/>
      <c r="H2733"/>
      <c r="I2733"/>
      <c r="J2733"/>
    </row>
    <row r="2734" spans="1:10" s="2" customFormat="1">
      <c r="A2734" s="1"/>
      <c r="E2734"/>
      <c r="F2734"/>
      <c r="G2734"/>
      <c r="H2734"/>
      <c r="I2734"/>
      <c r="J2734"/>
    </row>
    <row r="2735" spans="1:10" s="2" customFormat="1">
      <c r="A2735" s="1"/>
      <c r="E2735"/>
      <c r="F2735"/>
      <c r="G2735"/>
      <c r="H2735"/>
      <c r="I2735"/>
      <c r="J2735"/>
    </row>
    <row r="2736" spans="1:10" s="2" customFormat="1">
      <c r="A2736" s="1"/>
      <c r="E2736"/>
      <c r="F2736"/>
      <c r="G2736"/>
      <c r="H2736"/>
      <c r="I2736"/>
      <c r="J2736"/>
    </row>
    <row r="2737" spans="1:10" s="2" customFormat="1">
      <c r="A2737" s="1"/>
      <c r="E2737"/>
      <c r="F2737"/>
      <c r="G2737"/>
      <c r="H2737"/>
      <c r="I2737"/>
      <c r="J2737"/>
    </row>
    <row r="2738" spans="1:10" s="2" customFormat="1">
      <c r="A2738" s="1"/>
      <c r="E2738"/>
      <c r="F2738"/>
      <c r="G2738"/>
      <c r="H2738"/>
      <c r="I2738"/>
      <c r="J2738"/>
    </row>
    <row r="2739" spans="1:10" s="2" customFormat="1">
      <c r="A2739" s="1"/>
      <c r="E2739"/>
      <c r="F2739"/>
      <c r="G2739"/>
      <c r="H2739"/>
      <c r="I2739"/>
      <c r="J2739"/>
    </row>
    <row r="2740" spans="1:10" s="2" customFormat="1">
      <c r="A2740" s="1"/>
      <c r="E2740"/>
      <c r="F2740"/>
      <c r="G2740"/>
      <c r="H2740"/>
      <c r="I2740"/>
      <c r="J2740"/>
    </row>
    <row r="2741" spans="1:10" s="2" customFormat="1">
      <c r="A2741" s="1"/>
      <c r="E2741"/>
      <c r="F2741"/>
      <c r="G2741"/>
      <c r="H2741"/>
      <c r="I2741"/>
      <c r="J2741"/>
    </row>
    <row r="2742" spans="1:10" s="2" customFormat="1">
      <c r="A2742" s="1"/>
      <c r="E2742"/>
      <c r="F2742"/>
      <c r="G2742"/>
      <c r="H2742"/>
      <c r="I2742"/>
      <c r="J2742"/>
    </row>
    <row r="2743" spans="1:10" s="2" customFormat="1">
      <c r="A2743" s="1"/>
      <c r="E2743"/>
      <c r="F2743"/>
      <c r="G2743"/>
      <c r="H2743"/>
      <c r="I2743"/>
      <c r="J2743"/>
    </row>
    <row r="2744" spans="1:10" s="2" customFormat="1">
      <c r="A2744" s="1"/>
      <c r="E2744"/>
      <c r="F2744"/>
      <c r="G2744"/>
      <c r="H2744"/>
      <c r="I2744"/>
      <c r="J2744"/>
    </row>
    <row r="2745" spans="1:10" s="2" customFormat="1">
      <c r="A2745" s="1"/>
      <c r="E2745"/>
      <c r="F2745"/>
      <c r="G2745"/>
      <c r="H2745"/>
      <c r="I2745"/>
      <c r="J2745"/>
    </row>
    <row r="2746" spans="1:10" s="2" customFormat="1">
      <c r="A2746" s="1"/>
      <c r="E2746"/>
      <c r="F2746"/>
      <c r="G2746"/>
      <c r="H2746"/>
      <c r="I2746"/>
      <c r="J2746"/>
    </row>
    <row r="2747" spans="1:10" s="2" customFormat="1">
      <c r="A2747" s="1"/>
      <c r="E2747"/>
      <c r="F2747"/>
      <c r="G2747"/>
      <c r="H2747"/>
      <c r="I2747"/>
      <c r="J2747"/>
    </row>
    <row r="2748" spans="1:10" s="2" customFormat="1">
      <c r="A2748" s="1"/>
      <c r="E2748"/>
      <c r="F2748"/>
      <c r="G2748"/>
      <c r="H2748"/>
      <c r="I2748"/>
      <c r="J2748"/>
    </row>
    <row r="2749" spans="1:10" s="2" customFormat="1">
      <c r="A2749" s="1"/>
      <c r="E2749"/>
      <c r="F2749"/>
      <c r="G2749"/>
      <c r="H2749"/>
      <c r="I2749"/>
      <c r="J2749"/>
    </row>
    <row r="2750" spans="1:10" s="2" customFormat="1">
      <c r="A2750" s="1"/>
      <c r="E2750"/>
      <c r="F2750"/>
      <c r="G2750"/>
      <c r="H2750"/>
      <c r="I2750"/>
      <c r="J2750"/>
    </row>
    <row r="2751" spans="1:10" s="2" customFormat="1">
      <c r="A2751" s="1"/>
      <c r="E2751"/>
      <c r="F2751"/>
      <c r="G2751"/>
      <c r="H2751"/>
      <c r="I2751"/>
      <c r="J2751"/>
    </row>
    <row r="2752" spans="1:10" s="2" customFormat="1">
      <c r="A2752" s="1"/>
      <c r="E2752"/>
      <c r="F2752"/>
      <c r="G2752"/>
      <c r="H2752"/>
      <c r="I2752"/>
      <c r="J2752"/>
    </row>
    <row r="2753" spans="1:10" s="2" customFormat="1">
      <c r="A2753" s="1"/>
      <c r="E2753"/>
      <c r="F2753"/>
      <c r="G2753"/>
      <c r="H2753"/>
      <c r="I2753"/>
      <c r="J2753"/>
    </row>
    <row r="2754" spans="1:10" s="2" customFormat="1">
      <c r="A2754" s="1"/>
      <c r="E2754"/>
      <c r="F2754"/>
      <c r="G2754"/>
      <c r="H2754"/>
      <c r="I2754"/>
      <c r="J2754"/>
    </row>
    <row r="2755" spans="1:10" s="2" customFormat="1">
      <c r="A2755" s="1"/>
      <c r="E2755"/>
      <c r="F2755"/>
      <c r="G2755"/>
      <c r="H2755"/>
      <c r="I2755"/>
      <c r="J2755"/>
    </row>
    <row r="2756" spans="1:10" s="2" customFormat="1">
      <c r="A2756" s="1"/>
      <c r="E2756"/>
      <c r="F2756"/>
      <c r="G2756"/>
      <c r="H2756"/>
      <c r="I2756"/>
      <c r="J2756"/>
    </row>
    <row r="2757" spans="1:10" s="2" customFormat="1">
      <c r="A2757" s="1"/>
      <c r="E2757"/>
      <c r="F2757"/>
      <c r="G2757"/>
      <c r="H2757"/>
      <c r="I2757"/>
      <c r="J2757"/>
    </row>
    <row r="2758" spans="1:10" s="2" customFormat="1">
      <c r="A2758" s="1"/>
      <c r="E2758"/>
      <c r="F2758"/>
      <c r="G2758"/>
      <c r="H2758"/>
      <c r="I2758"/>
      <c r="J2758"/>
    </row>
    <row r="2759" spans="1:10" s="2" customFormat="1">
      <c r="A2759" s="1"/>
      <c r="E2759"/>
      <c r="F2759"/>
      <c r="G2759"/>
      <c r="H2759"/>
      <c r="I2759"/>
      <c r="J2759"/>
    </row>
    <row r="2760" spans="1:10" s="2" customFormat="1">
      <c r="A2760" s="1"/>
      <c r="E2760"/>
      <c r="F2760"/>
      <c r="G2760"/>
      <c r="H2760"/>
      <c r="I2760"/>
      <c r="J2760"/>
    </row>
    <row r="2761" spans="1:10" s="2" customFormat="1">
      <c r="A2761" s="1"/>
      <c r="E2761"/>
      <c r="F2761"/>
      <c r="G2761"/>
      <c r="H2761"/>
      <c r="I2761"/>
      <c r="J2761"/>
    </row>
    <row r="2762" spans="1:10" s="2" customFormat="1">
      <c r="A2762" s="1"/>
      <c r="E2762"/>
      <c r="F2762"/>
      <c r="G2762"/>
      <c r="H2762"/>
      <c r="I2762"/>
      <c r="J2762"/>
    </row>
    <row r="2763" spans="1:10" s="2" customFormat="1">
      <c r="A2763" s="1"/>
      <c r="E2763"/>
      <c r="F2763"/>
      <c r="G2763"/>
      <c r="H2763"/>
      <c r="I2763"/>
      <c r="J2763"/>
    </row>
    <row r="2764" spans="1:10" s="2" customFormat="1">
      <c r="A2764" s="1"/>
      <c r="E2764"/>
      <c r="F2764"/>
      <c r="G2764"/>
      <c r="H2764"/>
      <c r="I2764"/>
      <c r="J2764"/>
    </row>
    <row r="2765" spans="1:10" s="2" customFormat="1">
      <c r="A2765" s="1"/>
      <c r="E2765"/>
      <c r="F2765"/>
      <c r="G2765"/>
      <c r="H2765"/>
      <c r="I2765"/>
      <c r="J2765"/>
    </row>
    <row r="2766" spans="1:10" s="2" customFormat="1">
      <c r="A2766" s="1"/>
      <c r="E2766"/>
      <c r="F2766"/>
      <c r="G2766"/>
      <c r="H2766"/>
      <c r="I2766"/>
      <c r="J2766"/>
    </row>
    <row r="2767" spans="1:10" s="2" customFormat="1">
      <c r="A2767" s="1"/>
      <c r="E2767"/>
      <c r="F2767"/>
      <c r="G2767"/>
      <c r="H2767"/>
      <c r="I2767"/>
      <c r="J2767"/>
    </row>
    <row r="2768" spans="1:10" s="2" customFormat="1">
      <c r="A2768" s="1"/>
      <c r="E2768"/>
      <c r="F2768"/>
      <c r="G2768"/>
      <c r="H2768"/>
      <c r="I2768"/>
      <c r="J2768"/>
    </row>
    <row r="2769" spans="1:10" s="2" customFormat="1">
      <c r="A2769" s="1"/>
      <c r="E2769"/>
      <c r="F2769"/>
      <c r="G2769"/>
      <c r="H2769"/>
      <c r="I2769"/>
      <c r="J2769"/>
    </row>
    <row r="2770" spans="1:10" s="2" customFormat="1">
      <c r="A2770" s="1"/>
      <c r="E2770"/>
      <c r="F2770"/>
      <c r="G2770"/>
      <c r="H2770"/>
      <c r="I2770"/>
      <c r="J2770"/>
    </row>
    <row r="2771" spans="1:10" s="2" customFormat="1">
      <c r="A2771" s="1"/>
      <c r="E2771"/>
      <c r="F2771"/>
      <c r="G2771"/>
      <c r="H2771"/>
      <c r="I2771"/>
      <c r="J2771"/>
    </row>
    <row r="2772" spans="1:10" s="2" customFormat="1">
      <c r="A2772" s="1"/>
      <c r="E2772"/>
      <c r="F2772"/>
      <c r="G2772"/>
      <c r="H2772"/>
      <c r="I2772"/>
      <c r="J2772"/>
    </row>
    <row r="2773" spans="1:10" s="2" customFormat="1">
      <c r="A2773" s="1"/>
      <c r="E2773"/>
      <c r="F2773"/>
      <c r="G2773"/>
      <c r="H2773"/>
      <c r="I2773"/>
      <c r="J2773"/>
    </row>
    <row r="2774" spans="1:10" s="2" customFormat="1">
      <c r="A2774" s="1"/>
      <c r="E2774"/>
      <c r="F2774"/>
      <c r="G2774"/>
      <c r="H2774"/>
      <c r="I2774"/>
      <c r="J2774"/>
    </row>
    <row r="2775" spans="1:10" s="2" customFormat="1">
      <c r="A2775" s="1"/>
      <c r="E2775"/>
      <c r="F2775"/>
      <c r="G2775"/>
      <c r="H2775"/>
      <c r="I2775"/>
      <c r="J2775"/>
    </row>
    <row r="2776" spans="1:10" s="2" customFormat="1">
      <c r="A2776" s="1"/>
      <c r="E2776"/>
      <c r="F2776"/>
      <c r="G2776"/>
      <c r="H2776"/>
      <c r="I2776"/>
      <c r="J2776"/>
    </row>
    <row r="2777" spans="1:10" s="2" customFormat="1">
      <c r="A2777" s="1"/>
      <c r="E2777"/>
      <c r="F2777"/>
      <c r="G2777"/>
      <c r="H2777"/>
      <c r="I2777"/>
      <c r="J2777"/>
    </row>
    <row r="2778" spans="1:10" s="2" customFormat="1">
      <c r="A2778" s="1"/>
      <c r="E2778"/>
      <c r="F2778"/>
      <c r="G2778"/>
      <c r="H2778"/>
      <c r="I2778"/>
      <c r="J2778"/>
    </row>
    <row r="2779" spans="1:10" s="2" customFormat="1">
      <c r="A2779" s="1"/>
      <c r="E2779"/>
      <c r="F2779"/>
      <c r="G2779"/>
      <c r="H2779"/>
      <c r="I2779"/>
      <c r="J2779"/>
    </row>
    <row r="2780" spans="1:10" s="2" customFormat="1">
      <c r="A2780" s="1"/>
      <c r="E2780"/>
      <c r="F2780"/>
      <c r="G2780"/>
      <c r="H2780"/>
      <c r="I2780"/>
      <c r="J2780"/>
    </row>
    <row r="2781" spans="1:10" s="2" customFormat="1">
      <c r="A2781" s="1"/>
      <c r="E2781"/>
      <c r="F2781"/>
      <c r="G2781"/>
      <c r="H2781"/>
      <c r="I2781"/>
      <c r="J2781"/>
    </row>
    <row r="2782" spans="1:10" s="2" customFormat="1">
      <c r="A2782" s="1"/>
      <c r="E2782"/>
      <c r="F2782"/>
      <c r="G2782"/>
      <c r="H2782"/>
      <c r="I2782"/>
      <c r="J2782"/>
    </row>
    <row r="2783" spans="1:10" s="2" customFormat="1">
      <c r="A2783" s="1"/>
      <c r="E2783"/>
      <c r="F2783"/>
      <c r="G2783"/>
      <c r="H2783"/>
      <c r="I2783"/>
      <c r="J2783"/>
    </row>
    <row r="2784" spans="1:10" s="2" customFormat="1">
      <c r="A2784" s="1"/>
      <c r="E2784"/>
      <c r="F2784"/>
      <c r="G2784"/>
      <c r="H2784"/>
      <c r="I2784"/>
      <c r="J2784"/>
    </row>
    <row r="2785" spans="1:10" s="2" customFormat="1">
      <c r="A2785" s="1"/>
      <c r="E2785"/>
      <c r="F2785"/>
      <c r="G2785"/>
      <c r="H2785"/>
      <c r="I2785"/>
      <c r="J2785"/>
    </row>
    <row r="2786" spans="1:10" s="2" customFormat="1">
      <c r="A2786" s="1"/>
      <c r="E2786"/>
      <c r="F2786"/>
      <c r="G2786"/>
      <c r="H2786"/>
      <c r="I2786"/>
      <c r="J2786"/>
    </row>
    <row r="2787" spans="1:10" s="2" customFormat="1">
      <c r="A2787" s="1"/>
      <c r="E2787"/>
      <c r="F2787"/>
      <c r="G2787"/>
      <c r="H2787"/>
      <c r="I2787"/>
      <c r="J2787"/>
    </row>
    <row r="2788" spans="1:10" s="2" customFormat="1">
      <c r="A2788" s="1"/>
      <c r="E2788"/>
      <c r="F2788"/>
      <c r="G2788"/>
      <c r="H2788"/>
      <c r="I2788"/>
      <c r="J2788"/>
    </row>
    <row r="2789" spans="1:10" s="2" customFormat="1">
      <c r="A2789" s="1"/>
      <c r="E2789"/>
      <c r="F2789"/>
      <c r="G2789"/>
      <c r="H2789"/>
      <c r="I2789"/>
      <c r="J2789"/>
    </row>
    <row r="2790" spans="1:10" s="2" customFormat="1">
      <c r="A2790" s="1"/>
      <c r="E2790"/>
      <c r="F2790"/>
      <c r="G2790"/>
      <c r="H2790"/>
      <c r="I2790"/>
      <c r="J2790"/>
    </row>
    <row r="2791" spans="1:10" s="2" customFormat="1">
      <c r="A2791" s="1"/>
      <c r="E2791"/>
      <c r="F2791"/>
      <c r="G2791"/>
      <c r="H2791"/>
      <c r="I2791"/>
      <c r="J2791"/>
    </row>
    <row r="2792" spans="1:10" s="2" customFormat="1">
      <c r="A2792" s="1"/>
      <c r="E2792"/>
      <c r="F2792"/>
      <c r="G2792"/>
      <c r="H2792"/>
      <c r="I2792"/>
      <c r="J2792"/>
    </row>
    <row r="2793" spans="1:10" s="2" customFormat="1">
      <c r="A2793" s="1"/>
      <c r="E2793"/>
      <c r="F2793"/>
      <c r="G2793"/>
      <c r="H2793"/>
      <c r="I2793"/>
      <c r="J2793"/>
    </row>
    <row r="2794" spans="1:10" s="2" customFormat="1">
      <c r="A2794" s="1"/>
      <c r="E2794"/>
      <c r="F2794"/>
      <c r="G2794"/>
      <c r="H2794"/>
      <c r="I2794"/>
      <c r="J2794"/>
    </row>
    <row r="2795" spans="1:10" s="2" customFormat="1">
      <c r="A2795" s="1"/>
      <c r="E2795"/>
      <c r="F2795"/>
      <c r="G2795"/>
      <c r="H2795"/>
      <c r="I2795"/>
      <c r="J2795"/>
    </row>
    <row r="2796" spans="1:10" s="2" customFormat="1">
      <c r="A2796" s="1"/>
      <c r="E2796"/>
      <c r="F2796"/>
      <c r="G2796"/>
      <c r="H2796"/>
      <c r="I2796"/>
      <c r="J2796"/>
    </row>
    <row r="2797" spans="1:10" s="2" customFormat="1">
      <c r="A2797" s="1"/>
      <c r="E2797"/>
      <c r="F2797"/>
      <c r="G2797"/>
      <c r="H2797"/>
      <c r="I2797"/>
      <c r="J2797"/>
    </row>
    <row r="2798" spans="1:10" s="2" customFormat="1">
      <c r="A2798" s="1"/>
      <c r="E2798"/>
      <c r="F2798"/>
      <c r="G2798"/>
      <c r="H2798"/>
      <c r="I2798"/>
      <c r="J2798"/>
    </row>
    <row r="2799" spans="1:10" s="2" customFormat="1">
      <c r="A2799" s="1"/>
      <c r="E2799"/>
      <c r="F2799"/>
      <c r="G2799"/>
      <c r="H2799"/>
      <c r="I2799"/>
      <c r="J2799"/>
    </row>
    <row r="2800" spans="1:10" s="2" customFormat="1">
      <c r="A2800" s="1"/>
      <c r="E2800"/>
      <c r="F2800"/>
      <c r="G2800"/>
      <c r="H2800"/>
      <c r="I2800"/>
      <c r="J2800"/>
    </row>
    <row r="2801" spans="1:10" s="2" customFormat="1">
      <c r="A2801" s="1"/>
      <c r="E2801"/>
      <c r="F2801"/>
      <c r="G2801"/>
      <c r="H2801"/>
      <c r="I2801"/>
      <c r="J2801"/>
    </row>
    <row r="2802" spans="1:10" s="2" customFormat="1">
      <c r="A2802" s="1"/>
      <c r="E2802"/>
      <c r="F2802"/>
      <c r="G2802"/>
      <c r="H2802"/>
      <c r="I2802"/>
      <c r="J2802"/>
    </row>
    <row r="2803" spans="1:10" s="2" customFormat="1">
      <c r="A2803" s="1"/>
      <c r="E2803"/>
      <c r="F2803"/>
      <c r="G2803"/>
      <c r="H2803"/>
      <c r="I2803"/>
      <c r="J2803"/>
    </row>
    <row r="2804" spans="1:10" s="2" customFormat="1">
      <c r="A2804" s="1"/>
      <c r="E2804"/>
      <c r="F2804"/>
      <c r="G2804"/>
      <c r="H2804"/>
      <c r="I2804"/>
      <c r="J2804"/>
    </row>
    <row r="2805" spans="1:10" s="2" customFormat="1">
      <c r="A2805" s="1"/>
      <c r="E2805"/>
      <c r="F2805"/>
      <c r="G2805"/>
      <c r="H2805"/>
      <c r="I2805"/>
      <c r="J2805"/>
    </row>
    <row r="2806" spans="1:10" s="2" customFormat="1">
      <c r="A2806" s="1"/>
      <c r="E2806"/>
      <c r="F2806"/>
      <c r="G2806"/>
      <c r="H2806"/>
      <c r="I2806"/>
      <c r="J2806"/>
    </row>
    <row r="2807" spans="1:10" s="2" customFormat="1">
      <c r="A2807" s="1"/>
      <c r="E2807"/>
      <c r="F2807"/>
      <c r="G2807"/>
      <c r="H2807"/>
      <c r="I2807"/>
      <c r="J2807"/>
    </row>
    <row r="2808" spans="1:10" s="2" customFormat="1">
      <c r="A2808" s="1"/>
      <c r="E2808"/>
      <c r="F2808"/>
      <c r="G2808"/>
      <c r="H2808"/>
      <c r="I2808"/>
      <c r="J2808"/>
    </row>
    <row r="2809" spans="1:10" s="2" customFormat="1">
      <c r="A2809" s="1"/>
      <c r="E2809"/>
      <c r="F2809"/>
      <c r="G2809"/>
      <c r="H2809"/>
      <c r="I2809"/>
      <c r="J2809"/>
    </row>
    <row r="2810" spans="1:10" s="2" customFormat="1">
      <c r="A2810" s="1"/>
      <c r="E2810"/>
      <c r="F2810"/>
      <c r="G2810"/>
      <c r="H2810"/>
      <c r="I2810"/>
      <c r="J2810"/>
    </row>
    <row r="2811" spans="1:10" s="2" customFormat="1">
      <c r="A2811" s="1"/>
      <c r="E2811"/>
      <c r="F2811"/>
      <c r="G2811"/>
      <c r="H2811"/>
      <c r="I2811"/>
      <c r="J2811"/>
    </row>
    <row r="2812" spans="1:10" s="2" customFormat="1">
      <c r="A2812" s="1"/>
      <c r="E2812"/>
      <c r="F2812"/>
      <c r="G2812"/>
      <c r="H2812"/>
      <c r="I2812"/>
      <c r="J2812"/>
    </row>
    <row r="2813" spans="1:10" s="2" customFormat="1">
      <c r="A2813" s="1"/>
      <c r="E2813"/>
      <c r="F2813"/>
      <c r="G2813"/>
      <c r="H2813"/>
      <c r="I2813"/>
      <c r="J2813"/>
    </row>
    <row r="2814" spans="1:10" s="2" customFormat="1">
      <c r="A2814" s="1"/>
      <c r="E2814"/>
      <c r="F2814"/>
      <c r="G2814"/>
      <c r="H2814"/>
      <c r="I2814"/>
      <c r="J2814"/>
    </row>
    <row r="2815" spans="1:10" s="2" customFormat="1">
      <c r="A2815" s="1"/>
      <c r="E2815"/>
      <c r="F2815"/>
      <c r="G2815"/>
      <c r="H2815"/>
      <c r="I2815"/>
      <c r="J2815"/>
    </row>
    <row r="2816" spans="1:10" s="2" customFormat="1">
      <c r="A2816" s="1"/>
      <c r="E2816"/>
      <c r="F2816"/>
      <c r="G2816"/>
      <c r="H2816"/>
      <c r="I2816"/>
      <c r="J2816"/>
    </row>
    <row r="2817" spans="1:10" s="2" customFormat="1">
      <c r="A2817" s="1"/>
      <c r="E2817"/>
      <c r="F2817"/>
      <c r="G2817"/>
      <c r="H2817"/>
      <c r="I2817"/>
      <c r="J2817"/>
    </row>
    <row r="2818" spans="1:10" s="2" customFormat="1">
      <c r="A2818" s="1"/>
      <c r="E2818"/>
      <c r="F2818"/>
      <c r="G2818"/>
      <c r="H2818"/>
      <c r="I2818"/>
      <c r="J2818"/>
    </row>
    <row r="2819" spans="1:10" s="2" customFormat="1">
      <c r="A2819" s="1"/>
      <c r="E2819"/>
      <c r="F2819"/>
      <c r="G2819"/>
      <c r="H2819"/>
      <c r="I2819"/>
      <c r="J2819"/>
    </row>
    <row r="2820" spans="1:10" s="2" customFormat="1">
      <c r="A2820" s="1"/>
      <c r="E2820"/>
      <c r="F2820"/>
      <c r="G2820"/>
      <c r="H2820"/>
      <c r="I2820"/>
      <c r="J2820"/>
    </row>
    <row r="2821" spans="1:10" s="2" customFormat="1">
      <c r="A2821" s="1"/>
      <c r="E2821"/>
      <c r="F2821"/>
      <c r="G2821"/>
      <c r="H2821"/>
      <c r="I2821"/>
      <c r="J2821"/>
    </row>
    <row r="2822" spans="1:10" s="2" customFormat="1">
      <c r="A2822" s="1"/>
      <c r="E2822"/>
      <c r="F2822"/>
      <c r="G2822"/>
      <c r="H2822"/>
      <c r="I2822"/>
      <c r="J2822"/>
    </row>
    <row r="2823" spans="1:10" s="2" customFormat="1">
      <c r="A2823" s="1"/>
      <c r="E2823"/>
      <c r="F2823"/>
      <c r="G2823"/>
      <c r="H2823"/>
      <c r="I2823"/>
      <c r="J2823"/>
    </row>
    <row r="2824" spans="1:10" s="2" customFormat="1">
      <c r="A2824" s="1"/>
      <c r="E2824"/>
      <c r="F2824"/>
      <c r="G2824"/>
      <c r="H2824"/>
      <c r="I2824"/>
      <c r="J2824"/>
    </row>
    <row r="2825" spans="1:10" s="2" customFormat="1">
      <c r="A2825" s="1"/>
      <c r="E2825"/>
      <c r="F2825"/>
      <c r="G2825"/>
      <c r="H2825"/>
      <c r="I2825"/>
      <c r="J2825"/>
    </row>
    <row r="2826" spans="1:10" s="2" customFormat="1">
      <c r="A2826" s="1"/>
      <c r="E2826"/>
      <c r="F2826"/>
      <c r="G2826"/>
      <c r="H2826"/>
      <c r="I2826"/>
      <c r="J2826"/>
    </row>
    <row r="2827" spans="1:10" s="2" customFormat="1">
      <c r="A2827" s="1"/>
      <c r="E2827"/>
      <c r="F2827"/>
      <c r="G2827"/>
      <c r="H2827"/>
      <c r="I2827"/>
      <c r="J2827"/>
    </row>
    <row r="2828" spans="1:10" s="2" customFormat="1">
      <c r="A2828" s="1"/>
      <c r="E2828"/>
      <c r="F2828"/>
      <c r="G2828"/>
      <c r="H2828"/>
      <c r="I2828"/>
      <c r="J2828"/>
    </row>
    <row r="2829" spans="1:10" s="2" customFormat="1">
      <c r="A2829" s="1"/>
      <c r="E2829"/>
      <c r="F2829"/>
      <c r="G2829"/>
      <c r="H2829"/>
      <c r="I2829"/>
      <c r="J2829"/>
    </row>
    <row r="2830" spans="1:10" s="2" customFormat="1">
      <c r="A2830" s="1"/>
      <c r="E2830"/>
      <c r="F2830"/>
      <c r="G2830"/>
      <c r="H2830"/>
      <c r="I2830"/>
      <c r="J2830"/>
    </row>
    <row r="2831" spans="1:10" s="2" customFormat="1">
      <c r="A2831" s="1"/>
      <c r="E2831"/>
      <c r="F2831"/>
      <c r="G2831"/>
      <c r="H2831"/>
      <c r="I2831"/>
      <c r="J2831"/>
    </row>
    <row r="2832" spans="1:10" s="2" customFormat="1">
      <c r="A2832" s="1"/>
      <c r="E2832"/>
      <c r="F2832"/>
      <c r="G2832"/>
      <c r="H2832"/>
      <c r="I2832"/>
      <c r="J2832"/>
    </row>
    <row r="2833" spans="1:10" s="2" customFormat="1">
      <c r="A2833" s="1"/>
      <c r="E2833"/>
      <c r="F2833"/>
      <c r="G2833"/>
      <c r="H2833"/>
      <c r="I2833"/>
      <c r="J2833"/>
    </row>
    <row r="2834" spans="1:10" s="2" customFormat="1">
      <c r="A2834" s="1"/>
      <c r="E2834"/>
      <c r="F2834"/>
      <c r="G2834"/>
      <c r="H2834"/>
      <c r="I2834"/>
      <c r="J2834"/>
    </row>
    <row r="2835" spans="1:10" s="2" customFormat="1">
      <c r="A2835" s="1"/>
      <c r="E2835"/>
      <c r="F2835"/>
      <c r="G2835"/>
      <c r="H2835"/>
      <c r="I2835"/>
      <c r="J2835"/>
    </row>
    <row r="2836" spans="1:10" s="2" customFormat="1">
      <c r="A2836" s="1"/>
      <c r="E2836"/>
      <c r="F2836"/>
      <c r="G2836"/>
      <c r="H2836"/>
      <c r="I2836"/>
      <c r="J2836"/>
    </row>
    <row r="2837" spans="1:10" s="2" customFormat="1">
      <c r="A2837" s="1"/>
      <c r="E2837"/>
      <c r="F2837"/>
      <c r="G2837"/>
      <c r="H2837"/>
      <c r="I2837"/>
      <c r="J2837"/>
    </row>
    <row r="2838" spans="1:10" s="2" customFormat="1">
      <c r="A2838" s="1"/>
      <c r="E2838"/>
      <c r="F2838"/>
      <c r="G2838"/>
      <c r="H2838"/>
      <c r="I2838"/>
      <c r="J2838"/>
    </row>
    <row r="2839" spans="1:10" s="2" customFormat="1">
      <c r="A2839" s="1"/>
      <c r="E2839"/>
      <c r="F2839"/>
      <c r="G2839"/>
      <c r="H2839"/>
      <c r="I2839"/>
      <c r="J2839"/>
    </row>
    <row r="2840" spans="1:10" s="2" customFormat="1">
      <c r="A2840" s="1"/>
      <c r="E2840"/>
      <c r="F2840"/>
      <c r="G2840"/>
      <c r="H2840"/>
      <c r="I2840"/>
      <c r="J2840"/>
    </row>
    <row r="2841" spans="1:10" s="2" customFormat="1">
      <c r="A2841" s="1"/>
      <c r="E2841"/>
      <c r="F2841"/>
      <c r="G2841"/>
      <c r="H2841"/>
      <c r="I2841"/>
      <c r="J2841"/>
    </row>
    <row r="2842" spans="1:10" s="2" customFormat="1">
      <c r="A2842" s="1"/>
      <c r="E2842"/>
      <c r="F2842"/>
      <c r="G2842"/>
      <c r="H2842"/>
      <c r="I2842"/>
      <c r="J2842"/>
    </row>
    <row r="2843" spans="1:10" s="2" customFormat="1">
      <c r="A2843" s="1"/>
      <c r="E2843"/>
      <c r="F2843"/>
      <c r="G2843"/>
      <c r="H2843"/>
      <c r="I2843"/>
      <c r="J2843"/>
    </row>
    <row r="2844" spans="1:10" s="2" customFormat="1">
      <c r="A2844" s="1"/>
      <c r="E2844"/>
      <c r="F2844"/>
      <c r="G2844"/>
      <c r="H2844"/>
      <c r="I2844"/>
      <c r="J2844"/>
    </row>
    <row r="2845" spans="1:10" s="2" customFormat="1">
      <c r="A2845" s="1"/>
      <c r="E2845"/>
      <c r="F2845"/>
      <c r="G2845"/>
      <c r="H2845"/>
      <c r="I2845"/>
      <c r="J2845"/>
    </row>
    <row r="2846" spans="1:10" s="2" customFormat="1">
      <c r="A2846" s="1"/>
      <c r="E2846"/>
      <c r="F2846"/>
      <c r="G2846"/>
      <c r="H2846"/>
      <c r="I2846"/>
      <c r="J2846"/>
    </row>
    <row r="2847" spans="1:10" s="2" customFormat="1">
      <c r="A2847" s="1"/>
      <c r="E2847"/>
      <c r="F2847"/>
      <c r="G2847"/>
      <c r="H2847"/>
      <c r="I2847"/>
      <c r="J2847"/>
    </row>
    <row r="2848" spans="1:10" s="2" customFormat="1">
      <c r="A2848" s="1"/>
      <c r="E2848"/>
      <c r="F2848"/>
      <c r="G2848"/>
      <c r="H2848"/>
      <c r="I2848"/>
      <c r="J2848"/>
    </row>
    <row r="2849" spans="1:10" s="2" customFormat="1">
      <c r="A2849" s="1"/>
      <c r="E2849"/>
      <c r="F2849"/>
      <c r="G2849"/>
      <c r="H2849"/>
      <c r="I2849"/>
      <c r="J2849"/>
    </row>
    <row r="2850" spans="1:10" s="2" customFormat="1">
      <c r="A2850" s="1"/>
      <c r="E2850"/>
      <c r="F2850"/>
      <c r="G2850"/>
      <c r="H2850"/>
      <c r="I2850"/>
      <c r="J2850"/>
    </row>
    <row r="2851" spans="1:10" s="2" customFormat="1">
      <c r="A2851" s="1"/>
      <c r="E2851"/>
      <c r="F2851"/>
      <c r="G2851"/>
      <c r="H2851"/>
      <c r="I2851"/>
      <c r="J2851"/>
    </row>
    <row r="2852" spans="1:10" s="2" customFormat="1">
      <c r="A2852" s="1"/>
      <c r="E2852"/>
      <c r="F2852"/>
      <c r="G2852"/>
      <c r="H2852"/>
      <c r="I2852"/>
      <c r="J2852"/>
    </row>
    <row r="2853" spans="1:10" s="2" customFormat="1">
      <c r="A2853" s="1"/>
      <c r="E2853"/>
      <c r="F2853"/>
      <c r="G2853"/>
      <c r="H2853"/>
      <c r="I2853"/>
      <c r="J2853"/>
    </row>
    <row r="2854" spans="1:10" s="2" customFormat="1">
      <c r="A2854" s="1"/>
      <c r="E2854"/>
      <c r="F2854"/>
      <c r="G2854"/>
      <c r="H2854"/>
      <c r="I2854"/>
      <c r="J2854"/>
    </row>
    <row r="2855" spans="1:10" s="2" customFormat="1">
      <c r="A2855" s="1"/>
      <c r="E2855"/>
      <c r="F2855"/>
      <c r="G2855"/>
      <c r="H2855"/>
      <c r="I2855"/>
      <c r="J2855"/>
    </row>
    <row r="2856" spans="1:10" s="2" customFormat="1">
      <c r="A2856" s="1"/>
      <c r="E2856"/>
      <c r="F2856"/>
      <c r="G2856"/>
      <c r="H2856"/>
      <c r="I2856"/>
      <c r="J2856"/>
    </row>
    <row r="2857" spans="1:10" s="2" customFormat="1">
      <c r="A2857" s="1"/>
      <c r="E2857"/>
      <c r="F2857"/>
      <c r="G2857"/>
      <c r="H2857"/>
      <c r="I2857"/>
      <c r="J2857"/>
    </row>
    <row r="2858" spans="1:10" s="2" customFormat="1">
      <c r="A2858" s="1"/>
      <c r="E2858"/>
      <c r="F2858"/>
      <c r="G2858"/>
      <c r="H2858"/>
      <c r="I2858"/>
      <c r="J2858"/>
    </row>
    <row r="2859" spans="1:10" s="2" customFormat="1">
      <c r="A2859" s="1"/>
      <c r="E2859"/>
      <c r="F2859"/>
      <c r="G2859"/>
      <c r="H2859"/>
      <c r="I2859"/>
      <c r="J2859"/>
    </row>
    <row r="2860" spans="1:10" s="2" customFormat="1">
      <c r="A2860" s="1"/>
      <c r="E2860"/>
      <c r="F2860"/>
      <c r="G2860"/>
      <c r="H2860"/>
      <c r="I2860"/>
      <c r="J2860"/>
    </row>
    <row r="2861" spans="1:10" s="2" customFormat="1">
      <c r="A2861" s="1"/>
      <c r="E2861"/>
      <c r="F2861"/>
      <c r="G2861"/>
      <c r="H2861"/>
      <c r="I2861"/>
      <c r="J2861"/>
    </row>
    <row r="2862" spans="1:10" s="2" customFormat="1">
      <c r="A2862" s="1"/>
      <c r="E2862"/>
      <c r="F2862"/>
      <c r="G2862"/>
      <c r="H2862"/>
      <c r="I2862"/>
      <c r="J2862"/>
    </row>
    <row r="2863" spans="1:10" s="2" customFormat="1">
      <c r="A2863" s="1"/>
      <c r="E2863"/>
      <c r="F2863"/>
      <c r="G2863"/>
      <c r="H2863"/>
      <c r="I2863"/>
      <c r="J2863"/>
    </row>
    <row r="2864" spans="1:10" s="2" customFormat="1">
      <c r="A2864" s="1"/>
      <c r="E2864"/>
      <c r="F2864"/>
      <c r="G2864"/>
      <c r="H2864"/>
      <c r="I2864"/>
      <c r="J2864"/>
    </row>
    <row r="2865" spans="1:10" s="2" customFormat="1">
      <c r="A2865" s="1"/>
      <c r="E2865"/>
      <c r="F2865"/>
      <c r="G2865"/>
      <c r="H2865"/>
      <c r="I2865"/>
      <c r="J2865"/>
    </row>
    <row r="2866" spans="1:10" s="2" customFormat="1">
      <c r="A2866" s="1"/>
      <c r="E2866"/>
      <c r="F2866"/>
      <c r="G2866"/>
      <c r="H2866"/>
      <c r="I2866"/>
      <c r="J2866"/>
    </row>
    <row r="2867" spans="1:10" s="2" customFormat="1">
      <c r="A2867" s="1"/>
      <c r="E2867"/>
      <c r="F2867"/>
      <c r="G2867"/>
      <c r="H2867"/>
      <c r="I2867"/>
      <c r="J2867"/>
    </row>
    <row r="2868" spans="1:10" s="2" customFormat="1">
      <c r="A2868" s="1"/>
      <c r="E2868"/>
      <c r="F2868"/>
      <c r="G2868"/>
      <c r="H2868"/>
      <c r="I2868"/>
      <c r="J2868"/>
    </row>
    <row r="2869" spans="1:10" s="2" customFormat="1">
      <c r="A2869" s="1"/>
      <c r="E2869"/>
      <c r="F2869"/>
      <c r="G2869"/>
      <c r="H2869"/>
      <c r="I2869"/>
      <c r="J2869"/>
    </row>
    <row r="2870" spans="1:10" s="2" customFormat="1">
      <c r="A2870" s="1"/>
      <c r="E2870"/>
      <c r="F2870"/>
      <c r="G2870"/>
      <c r="H2870"/>
      <c r="I2870"/>
      <c r="J2870"/>
    </row>
    <row r="2871" spans="1:10" s="2" customFormat="1">
      <c r="A2871" s="1"/>
      <c r="E2871"/>
      <c r="F2871"/>
      <c r="G2871"/>
      <c r="H2871"/>
      <c r="I2871"/>
      <c r="J2871"/>
    </row>
    <row r="2872" spans="1:10" s="2" customFormat="1">
      <c r="A2872" s="1"/>
      <c r="E2872"/>
      <c r="F2872"/>
      <c r="G2872"/>
      <c r="H2872"/>
      <c r="I2872"/>
      <c r="J2872"/>
    </row>
    <row r="2873" spans="1:10" s="2" customFormat="1">
      <c r="A2873" s="1"/>
      <c r="E2873"/>
      <c r="F2873"/>
      <c r="G2873"/>
      <c r="H2873"/>
      <c r="I2873"/>
      <c r="J2873"/>
    </row>
    <row r="2874" spans="1:10" s="2" customFormat="1">
      <c r="A2874" s="1"/>
      <c r="E2874"/>
      <c r="F2874"/>
      <c r="G2874"/>
      <c r="H2874"/>
      <c r="I2874"/>
      <c r="J2874"/>
    </row>
    <row r="2875" spans="1:10" s="2" customFormat="1">
      <c r="A2875" s="1"/>
      <c r="E2875"/>
      <c r="F2875"/>
      <c r="G2875"/>
      <c r="H2875"/>
      <c r="I2875"/>
      <c r="J2875"/>
    </row>
    <row r="2876" spans="1:10" s="2" customFormat="1">
      <c r="A2876" s="1"/>
      <c r="E2876"/>
      <c r="F2876"/>
      <c r="G2876"/>
      <c r="H2876"/>
      <c r="I2876"/>
      <c r="J2876"/>
    </row>
    <row r="2877" spans="1:10" s="2" customFormat="1">
      <c r="A2877" s="1"/>
      <c r="E2877"/>
      <c r="F2877"/>
      <c r="G2877"/>
      <c r="H2877"/>
      <c r="I2877"/>
      <c r="J2877"/>
    </row>
    <row r="2878" spans="1:10" s="2" customFormat="1">
      <c r="A2878" s="1"/>
      <c r="E2878"/>
      <c r="F2878"/>
      <c r="G2878"/>
      <c r="H2878"/>
      <c r="I2878"/>
      <c r="J2878"/>
    </row>
    <row r="2879" spans="1:10" s="2" customFormat="1">
      <c r="A2879" s="1"/>
      <c r="E2879"/>
      <c r="F2879"/>
      <c r="G2879"/>
      <c r="H2879"/>
      <c r="I2879"/>
      <c r="J2879"/>
    </row>
    <row r="2880" spans="1:10" s="2" customFormat="1">
      <c r="A2880" s="1"/>
      <c r="E2880"/>
      <c r="F2880"/>
      <c r="G2880"/>
      <c r="H2880"/>
      <c r="I2880"/>
      <c r="J2880"/>
    </row>
    <row r="2881" spans="1:10" s="2" customFormat="1">
      <c r="A2881" s="1"/>
      <c r="E2881"/>
      <c r="F2881"/>
      <c r="G2881"/>
      <c r="H2881"/>
      <c r="I2881"/>
      <c r="J2881"/>
    </row>
    <row r="2882" spans="1:10" s="2" customFormat="1">
      <c r="A2882" s="1"/>
      <c r="E2882"/>
      <c r="F2882"/>
      <c r="G2882"/>
      <c r="H2882"/>
      <c r="I2882"/>
      <c r="J2882"/>
    </row>
    <row r="2883" spans="1:10" s="2" customFormat="1">
      <c r="A2883" s="1"/>
      <c r="E2883"/>
      <c r="F2883"/>
      <c r="G2883"/>
      <c r="H2883"/>
      <c r="I2883"/>
      <c r="J2883"/>
    </row>
    <row r="2884" spans="1:10" s="2" customFormat="1">
      <c r="A2884" s="1"/>
      <c r="E2884"/>
      <c r="F2884"/>
      <c r="G2884"/>
      <c r="H2884"/>
      <c r="I2884"/>
      <c r="J2884"/>
    </row>
    <row r="2885" spans="1:10" s="2" customFormat="1">
      <c r="A2885" s="1"/>
      <c r="E2885"/>
      <c r="F2885"/>
      <c r="G2885"/>
      <c r="H2885"/>
      <c r="I2885"/>
      <c r="J2885"/>
    </row>
    <row r="2886" spans="1:10" s="2" customFormat="1">
      <c r="A2886" s="1"/>
      <c r="E2886"/>
      <c r="F2886"/>
      <c r="G2886"/>
      <c r="H2886"/>
      <c r="I2886"/>
      <c r="J2886"/>
    </row>
    <row r="2887" spans="1:10" s="2" customFormat="1">
      <c r="A2887" s="1"/>
      <c r="E2887"/>
      <c r="F2887"/>
      <c r="G2887"/>
      <c r="H2887"/>
      <c r="I2887"/>
      <c r="J2887"/>
    </row>
    <row r="2888" spans="1:10" s="2" customFormat="1">
      <c r="A2888" s="1"/>
      <c r="E2888"/>
      <c r="F2888"/>
      <c r="G2888"/>
      <c r="H2888"/>
      <c r="I2888"/>
      <c r="J2888"/>
    </row>
    <row r="2889" spans="1:10" s="2" customFormat="1">
      <c r="A2889" s="1"/>
      <c r="E2889"/>
      <c r="F2889"/>
      <c r="G2889"/>
      <c r="H2889"/>
      <c r="I2889"/>
      <c r="J2889"/>
    </row>
    <row r="2890" spans="1:10" s="2" customFormat="1">
      <c r="A2890" s="1"/>
      <c r="E2890"/>
      <c r="F2890"/>
      <c r="G2890"/>
      <c r="H2890"/>
      <c r="I2890"/>
      <c r="J2890"/>
    </row>
    <row r="2891" spans="1:10" s="2" customFormat="1">
      <c r="A2891" s="1"/>
      <c r="E2891"/>
      <c r="F2891"/>
      <c r="G2891"/>
      <c r="H2891"/>
      <c r="I2891"/>
      <c r="J2891"/>
    </row>
    <row r="2892" spans="1:10" s="2" customFormat="1">
      <c r="A2892" s="1"/>
      <c r="E2892"/>
      <c r="F2892"/>
      <c r="G2892"/>
      <c r="H2892"/>
      <c r="I2892"/>
      <c r="J2892"/>
    </row>
    <row r="2893" spans="1:10" s="2" customFormat="1">
      <c r="A2893" s="1"/>
      <c r="E2893"/>
      <c r="F2893"/>
      <c r="G2893"/>
      <c r="H2893"/>
      <c r="I2893"/>
      <c r="J2893"/>
    </row>
    <row r="2894" spans="1:10" s="2" customFormat="1">
      <c r="A2894" s="1"/>
      <c r="E2894"/>
      <c r="F2894"/>
      <c r="G2894"/>
      <c r="H2894"/>
      <c r="I2894"/>
      <c r="J2894"/>
    </row>
    <row r="2895" spans="1:10" s="2" customFormat="1">
      <c r="A2895" s="1"/>
      <c r="E2895"/>
      <c r="F2895"/>
      <c r="G2895"/>
      <c r="H2895"/>
      <c r="I2895"/>
      <c r="J2895"/>
    </row>
    <row r="2896" spans="1:10" s="2" customFormat="1">
      <c r="A2896" s="1"/>
      <c r="E2896"/>
      <c r="F2896"/>
      <c r="G2896"/>
      <c r="H2896"/>
      <c r="I2896"/>
      <c r="J2896"/>
    </row>
    <row r="2897" spans="1:10" s="2" customFormat="1">
      <c r="A2897" s="1"/>
      <c r="E2897"/>
      <c r="F2897"/>
      <c r="G2897"/>
      <c r="H2897"/>
      <c r="I2897"/>
      <c r="J2897"/>
    </row>
    <row r="2898" spans="1:10" s="2" customFormat="1">
      <c r="A2898" s="1"/>
      <c r="E2898"/>
      <c r="F2898"/>
      <c r="G2898"/>
      <c r="H2898"/>
      <c r="I2898"/>
      <c r="J2898"/>
    </row>
    <row r="2899" spans="1:10" s="2" customFormat="1">
      <c r="A2899" s="1"/>
      <c r="E2899"/>
      <c r="F2899"/>
      <c r="G2899"/>
      <c r="H2899"/>
      <c r="I2899"/>
      <c r="J2899"/>
    </row>
    <row r="2900" spans="1:10" s="2" customFormat="1">
      <c r="A2900" s="1"/>
      <c r="E2900"/>
      <c r="F2900"/>
      <c r="G2900"/>
      <c r="H2900"/>
      <c r="I2900"/>
      <c r="J2900"/>
    </row>
    <row r="2901" spans="1:10" s="2" customFormat="1">
      <c r="A2901" s="1"/>
      <c r="E2901"/>
      <c r="F2901"/>
      <c r="G2901"/>
      <c r="H2901"/>
      <c r="I2901"/>
      <c r="J2901"/>
    </row>
    <row r="2902" spans="1:10" s="2" customFormat="1">
      <c r="A2902" s="1"/>
      <c r="E2902"/>
      <c r="F2902"/>
      <c r="G2902"/>
      <c r="H2902"/>
      <c r="I2902"/>
      <c r="J2902"/>
    </row>
    <row r="2903" spans="1:10" s="2" customFormat="1">
      <c r="A2903" s="1"/>
      <c r="E2903"/>
      <c r="F2903"/>
      <c r="G2903"/>
      <c r="H2903"/>
      <c r="I2903"/>
      <c r="J2903"/>
    </row>
    <row r="2904" spans="1:10" s="2" customFormat="1">
      <c r="A2904" s="1"/>
      <c r="E2904"/>
      <c r="F2904"/>
      <c r="G2904"/>
      <c r="H2904"/>
      <c r="I2904"/>
      <c r="J2904"/>
    </row>
    <row r="2905" spans="1:10" s="2" customFormat="1">
      <c r="A2905" s="1"/>
      <c r="E2905"/>
      <c r="F2905"/>
      <c r="G2905"/>
      <c r="H2905"/>
      <c r="I2905"/>
      <c r="J2905"/>
    </row>
    <row r="2906" spans="1:10" s="2" customFormat="1">
      <c r="A2906" s="1"/>
      <c r="E2906"/>
      <c r="F2906"/>
      <c r="G2906"/>
      <c r="H2906"/>
      <c r="I2906"/>
      <c r="J2906"/>
    </row>
    <row r="2907" spans="1:10" s="2" customFormat="1">
      <c r="A2907" s="1"/>
      <c r="E2907"/>
      <c r="F2907"/>
      <c r="G2907"/>
      <c r="H2907"/>
      <c r="I2907"/>
      <c r="J2907"/>
    </row>
    <row r="2908" spans="1:10" s="2" customFormat="1">
      <c r="A2908" s="1"/>
      <c r="E2908"/>
      <c r="F2908"/>
      <c r="G2908"/>
      <c r="H2908"/>
      <c r="I2908"/>
      <c r="J2908"/>
    </row>
    <row r="2909" spans="1:10" s="2" customFormat="1">
      <c r="A2909" s="1"/>
      <c r="E2909"/>
      <c r="F2909"/>
      <c r="G2909"/>
      <c r="H2909"/>
      <c r="I2909"/>
      <c r="J2909"/>
    </row>
    <row r="2910" spans="1:10" s="2" customFormat="1">
      <c r="A2910" s="1"/>
      <c r="E2910"/>
      <c r="F2910"/>
      <c r="G2910"/>
      <c r="H2910"/>
      <c r="I2910"/>
      <c r="J2910"/>
    </row>
    <row r="2911" spans="1:10" s="2" customFormat="1">
      <c r="A2911" s="1"/>
      <c r="E2911"/>
      <c r="F2911"/>
      <c r="G2911"/>
      <c r="H2911"/>
      <c r="I2911"/>
      <c r="J2911"/>
    </row>
    <row r="2912" spans="1:10" s="2" customFormat="1">
      <c r="A2912" s="1"/>
      <c r="E2912"/>
      <c r="F2912"/>
      <c r="G2912"/>
      <c r="H2912"/>
      <c r="I2912"/>
      <c r="J2912"/>
    </row>
    <row r="2913" spans="1:10" s="2" customFormat="1">
      <c r="A2913" s="1"/>
      <c r="E2913"/>
      <c r="F2913"/>
      <c r="G2913"/>
      <c r="H2913"/>
      <c r="I2913"/>
      <c r="J2913"/>
    </row>
    <row r="2914" spans="1:10" s="2" customFormat="1">
      <c r="A2914" s="1"/>
      <c r="E2914"/>
      <c r="F2914"/>
      <c r="G2914"/>
      <c r="H2914"/>
      <c r="I2914"/>
      <c r="J2914"/>
    </row>
    <row r="2915" spans="1:10" s="2" customFormat="1">
      <c r="A2915" s="1"/>
      <c r="E2915"/>
      <c r="F2915"/>
      <c r="G2915"/>
      <c r="H2915"/>
      <c r="I2915"/>
      <c r="J2915"/>
    </row>
    <row r="2916" spans="1:10" s="2" customFormat="1">
      <c r="A2916" s="1"/>
      <c r="E2916"/>
      <c r="F2916"/>
      <c r="G2916"/>
      <c r="H2916"/>
      <c r="I2916"/>
      <c r="J2916"/>
    </row>
    <row r="2917" spans="1:10" s="2" customFormat="1">
      <c r="A2917" s="1"/>
      <c r="E2917"/>
      <c r="F2917"/>
      <c r="G2917"/>
      <c r="H2917"/>
      <c r="I2917"/>
      <c r="J2917"/>
    </row>
    <row r="2918" spans="1:10" s="2" customFormat="1">
      <c r="A2918" s="1"/>
      <c r="E2918"/>
      <c r="F2918"/>
      <c r="G2918"/>
      <c r="H2918"/>
      <c r="I2918"/>
      <c r="J2918"/>
    </row>
    <row r="2919" spans="1:10" s="2" customFormat="1">
      <c r="A2919" s="1"/>
      <c r="E2919"/>
      <c r="F2919"/>
      <c r="G2919"/>
      <c r="H2919"/>
      <c r="I2919"/>
      <c r="J2919"/>
    </row>
    <row r="2920" spans="1:10" s="2" customFormat="1">
      <c r="A2920" s="1"/>
      <c r="E2920"/>
      <c r="F2920"/>
      <c r="G2920"/>
      <c r="H2920"/>
      <c r="I2920"/>
      <c r="J2920"/>
    </row>
    <row r="2921" spans="1:10" s="2" customFormat="1">
      <c r="A2921" s="1"/>
      <c r="E2921"/>
      <c r="F2921"/>
      <c r="G2921"/>
      <c r="H2921"/>
      <c r="I2921"/>
      <c r="J2921"/>
    </row>
    <row r="2922" spans="1:10" s="2" customFormat="1">
      <c r="A2922" s="1"/>
      <c r="E2922"/>
      <c r="F2922"/>
      <c r="G2922"/>
      <c r="H2922"/>
      <c r="I2922"/>
      <c r="J2922"/>
    </row>
    <row r="2923" spans="1:10" s="2" customFormat="1">
      <c r="A2923" s="1"/>
      <c r="E2923"/>
      <c r="F2923"/>
      <c r="G2923"/>
      <c r="H2923"/>
      <c r="I2923"/>
      <c r="J2923"/>
    </row>
    <row r="2924" spans="1:10" s="2" customFormat="1">
      <c r="A2924" s="1"/>
      <c r="E2924"/>
      <c r="F2924"/>
      <c r="G2924"/>
      <c r="H2924"/>
      <c r="I2924"/>
      <c r="J2924"/>
    </row>
    <row r="2925" spans="1:10" s="2" customFormat="1">
      <c r="A2925" s="1"/>
      <c r="E2925"/>
      <c r="F2925"/>
      <c r="G2925"/>
      <c r="H2925"/>
      <c r="I2925"/>
      <c r="J2925"/>
    </row>
    <row r="2926" spans="1:10" s="2" customFormat="1">
      <c r="A2926" s="1"/>
      <c r="E2926"/>
      <c r="F2926"/>
      <c r="G2926"/>
      <c r="H2926"/>
      <c r="I2926"/>
      <c r="J2926"/>
    </row>
    <row r="2927" spans="1:10" s="2" customFormat="1">
      <c r="A2927" s="1"/>
      <c r="E2927"/>
      <c r="F2927"/>
      <c r="G2927"/>
      <c r="H2927"/>
      <c r="I2927"/>
      <c r="J2927"/>
    </row>
    <row r="2928" spans="1:10" s="2" customFormat="1">
      <c r="A2928" s="1"/>
      <c r="E2928"/>
      <c r="F2928"/>
      <c r="G2928"/>
      <c r="H2928"/>
      <c r="I2928"/>
      <c r="J2928"/>
    </row>
    <row r="2929" spans="1:10" s="2" customFormat="1">
      <c r="A2929" s="1"/>
      <c r="E2929"/>
      <c r="F2929"/>
      <c r="G2929"/>
      <c r="H2929"/>
      <c r="I2929"/>
      <c r="J2929"/>
    </row>
    <row r="2930" spans="1:10" s="2" customFormat="1">
      <c r="A2930" s="1"/>
      <c r="E2930"/>
      <c r="F2930"/>
      <c r="G2930"/>
      <c r="H2930"/>
      <c r="I2930"/>
      <c r="J2930"/>
    </row>
    <row r="2931" spans="1:10" s="2" customFormat="1">
      <c r="A2931" s="1"/>
      <c r="E2931"/>
      <c r="F2931"/>
      <c r="G2931"/>
      <c r="H2931"/>
      <c r="I2931"/>
      <c r="J2931"/>
    </row>
    <row r="2932" spans="1:10" s="2" customFormat="1">
      <c r="A2932" s="1"/>
      <c r="E2932"/>
      <c r="F2932"/>
      <c r="G2932"/>
      <c r="H2932"/>
      <c r="I2932"/>
      <c r="J2932"/>
    </row>
    <row r="2933" spans="1:10" s="2" customFormat="1">
      <c r="A2933" s="1"/>
      <c r="E2933"/>
      <c r="F2933"/>
      <c r="G2933"/>
      <c r="H2933"/>
      <c r="I2933"/>
      <c r="J2933"/>
    </row>
    <row r="2934" spans="1:10" s="2" customFormat="1">
      <c r="A2934" s="1"/>
      <c r="E2934"/>
      <c r="F2934"/>
      <c r="G2934"/>
      <c r="H2934"/>
      <c r="I2934"/>
      <c r="J2934"/>
    </row>
    <row r="2935" spans="1:10" s="2" customFormat="1">
      <c r="A2935" s="1"/>
      <c r="E2935"/>
      <c r="F2935"/>
      <c r="G2935"/>
      <c r="H2935"/>
      <c r="I2935"/>
      <c r="J2935"/>
    </row>
    <row r="2936" spans="1:10" s="2" customFormat="1">
      <c r="A2936" s="1"/>
      <c r="E2936"/>
      <c r="F2936"/>
      <c r="G2936"/>
      <c r="H2936"/>
      <c r="I2936"/>
      <c r="J2936"/>
    </row>
    <row r="2937" spans="1:10" s="2" customFormat="1">
      <c r="A2937" s="1"/>
      <c r="E2937"/>
      <c r="F2937"/>
      <c r="G2937"/>
      <c r="H2937"/>
      <c r="I2937"/>
      <c r="J2937"/>
    </row>
    <row r="2938" spans="1:10" s="2" customFormat="1">
      <c r="A2938" s="1"/>
      <c r="E2938"/>
      <c r="F2938"/>
      <c r="G2938"/>
      <c r="H2938"/>
      <c r="I2938"/>
      <c r="J2938"/>
    </row>
    <row r="2939" spans="1:10" s="2" customFormat="1">
      <c r="A2939" s="1"/>
      <c r="E2939"/>
      <c r="F2939"/>
      <c r="G2939"/>
      <c r="H2939"/>
      <c r="I2939"/>
      <c r="J2939"/>
    </row>
    <row r="2940" spans="1:10" s="2" customFormat="1">
      <c r="A2940" s="1"/>
      <c r="E2940"/>
      <c r="F2940"/>
      <c r="G2940"/>
      <c r="H2940"/>
      <c r="I2940"/>
      <c r="J2940"/>
    </row>
    <row r="2941" spans="1:10" s="2" customFormat="1">
      <c r="A2941" s="1"/>
      <c r="E2941"/>
      <c r="F2941"/>
      <c r="G2941"/>
      <c r="H2941"/>
      <c r="I2941"/>
      <c r="J2941"/>
    </row>
    <row r="2942" spans="1:10" s="2" customFormat="1">
      <c r="A2942" s="1"/>
      <c r="E2942"/>
      <c r="F2942"/>
      <c r="G2942"/>
      <c r="H2942"/>
      <c r="I2942"/>
      <c r="J2942"/>
    </row>
    <row r="2943" spans="1:10" s="2" customFormat="1">
      <c r="A2943" s="1"/>
      <c r="E2943"/>
      <c r="F2943"/>
      <c r="G2943"/>
      <c r="H2943"/>
      <c r="I2943"/>
      <c r="J2943"/>
    </row>
    <row r="2944" spans="1:10" s="2" customFormat="1">
      <c r="A2944" s="1"/>
      <c r="E2944"/>
      <c r="F2944"/>
      <c r="G2944"/>
      <c r="H2944"/>
      <c r="I2944"/>
      <c r="J2944"/>
    </row>
    <row r="2945" spans="1:10" s="2" customFormat="1">
      <c r="A2945" s="1"/>
      <c r="E2945"/>
      <c r="F2945"/>
      <c r="G2945"/>
      <c r="H2945"/>
      <c r="I2945"/>
      <c r="J2945"/>
    </row>
    <row r="2946" spans="1:10" s="2" customFormat="1">
      <c r="A2946" s="1"/>
      <c r="E2946"/>
      <c r="F2946"/>
      <c r="G2946"/>
      <c r="H2946"/>
      <c r="I2946"/>
      <c r="J2946"/>
    </row>
    <row r="2947" spans="1:10" s="2" customFormat="1">
      <c r="A2947" s="1"/>
      <c r="E2947"/>
      <c r="F2947"/>
      <c r="G2947"/>
      <c r="H2947"/>
      <c r="I2947"/>
      <c r="J2947"/>
    </row>
    <row r="2948" spans="1:10" s="2" customFormat="1">
      <c r="A2948" s="1"/>
      <c r="E2948"/>
      <c r="F2948"/>
      <c r="G2948"/>
      <c r="H2948"/>
      <c r="I2948"/>
      <c r="J2948"/>
    </row>
    <row r="2949" spans="1:10" s="2" customFormat="1">
      <c r="A2949" s="1"/>
      <c r="E2949"/>
      <c r="F2949"/>
      <c r="G2949"/>
      <c r="H2949"/>
      <c r="I2949"/>
      <c r="J2949"/>
    </row>
    <row r="2950" spans="1:10" s="2" customFormat="1">
      <c r="A2950" s="1"/>
      <c r="E2950"/>
      <c r="F2950"/>
      <c r="G2950"/>
      <c r="H2950"/>
      <c r="I2950"/>
      <c r="J2950"/>
    </row>
    <row r="2951" spans="1:10" s="2" customFormat="1">
      <c r="A2951" s="1"/>
      <c r="E2951"/>
      <c r="F2951"/>
      <c r="G2951"/>
      <c r="H2951"/>
      <c r="I2951"/>
      <c r="J2951"/>
    </row>
    <row r="2952" spans="1:10" s="2" customFormat="1">
      <c r="A2952" s="1"/>
      <c r="E2952"/>
      <c r="F2952"/>
      <c r="G2952"/>
      <c r="H2952"/>
      <c r="I2952"/>
      <c r="J2952"/>
    </row>
    <row r="2953" spans="1:10" s="2" customFormat="1">
      <c r="A2953" s="1"/>
      <c r="E2953"/>
      <c r="F2953"/>
      <c r="G2953"/>
      <c r="H2953"/>
      <c r="I2953"/>
      <c r="J2953"/>
    </row>
    <row r="2954" spans="1:10" s="2" customFormat="1">
      <c r="A2954" s="1"/>
      <c r="E2954"/>
      <c r="F2954"/>
      <c r="G2954"/>
      <c r="H2954"/>
      <c r="I2954"/>
      <c r="J2954"/>
    </row>
    <row r="2955" spans="1:10" s="2" customFormat="1">
      <c r="A2955" s="1"/>
      <c r="E2955"/>
      <c r="F2955"/>
      <c r="G2955"/>
      <c r="H2955"/>
      <c r="I2955"/>
      <c r="J2955"/>
    </row>
    <row r="2956" spans="1:10" s="2" customFormat="1">
      <c r="A2956" s="1"/>
      <c r="E2956"/>
      <c r="F2956"/>
      <c r="G2956"/>
      <c r="H2956"/>
      <c r="I2956"/>
      <c r="J2956"/>
    </row>
    <row r="2957" spans="1:10" s="2" customFormat="1">
      <c r="A2957" s="1"/>
      <c r="E2957"/>
      <c r="F2957"/>
      <c r="G2957"/>
      <c r="H2957"/>
      <c r="I2957"/>
      <c r="J2957"/>
    </row>
    <row r="2958" spans="1:10" s="2" customFormat="1">
      <c r="A2958" s="1"/>
      <c r="E2958"/>
      <c r="F2958"/>
      <c r="G2958"/>
      <c r="H2958"/>
      <c r="I2958"/>
      <c r="J2958"/>
    </row>
    <row r="2959" spans="1:10" s="2" customFormat="1">
      <c r="A2959" s="1"/>
      <c r="E2959"/>
      <c r="F2959"/>
      <c r="G2959"/>
      <c r="H2959"/>
      <c r="I2959"/>
      <c r="J2959"/>
    </row>
    <row r="2960" spans="1:10" s="2" customFormat="1">
      <c r="A2960" s="1"/>
      <c r="E2960"/>
      <c r="F2960"/>
      <c r="G2960"/>
      <c r="H2960"/>
      <c r="I2960"/>
      <c r="J2960"/>
    </row>
    <row r="2961" spans="1:10" s="2" customFormat="1">
      <c r="A2961" s="1"/>
      <c r="E2961"/>
      <c r="F2961"/>
      <c r="G2961"/>
      <c r="H2961"/>
      <c r="I2961"/>
      <c r="J2961"/>
    </row>
    <row r="2962" spans="1:10" s="2" customFormat="1">
      <c r="A2962" s="1"/>
      <c r="E2962"/>
      <c r="F2962"/>
      <c r="G2962"/>
      <c r="H2962"/>
      <c r="I2962"/>
      <c r="J2962"/>
    </row>
    <row r="2963" spans="1:10" s="2" customFormat="1">
      <c r="A2963" s="1"/>
      <c r="E2963"/>
      <c r="F2963"/>
      <c r="G2963"/>
      <c r="H2963"/>
      <c r="I2963"/>
      <c r="J2963"/>
    </row>
    <row r="2964" spans="1:10" s="2" customFormat="1">
      <c r="A2964" s="1"/>
      <c r="E2964"/>
      <c r="F2964"/>
      <c r="G2964"/>
      <c r="H2964"/>
      <c r="I2964"/>
      <c r="J2964"/>
    </row>
    <row r="2965" spans="1:10" s="2" customFormat="1">
      <c r="A2965" s="1"/>
      <c r="E2965"/>
      <c r="F2965"/>
      <c r="G2965"/>
      <c r="H2965"/>
      <c r="I2965"/>
      <c r="J2965"/>
    </row>
    <row r="2966" spans="1:10" s="2" customFormat="1">
      <c r="A2966" s="1"/>
      <c r="E2966"/>
      <c r="F2966"/>
      <c r="G2966"/>
      <c r="H2966"/>
      <c r="I2966"/>
      <c r="J2966"/>
    </row>
    <row r="2967" spans="1:10" s="2" customFormat="1">
      <c r="A2967" s="1"/>
      <c r="E2967"/>
      <c r="F2967"/>
      <c r="G2967"/>
      <c r="H2967"/>
      <c r="I2967"/>
      <c r="J2967"/>
    </row>
    <row r="2968" spans="1:10" s="2" customFormat="1">
      <c r="A2968" s="1"/>
      <c r="E2968"/>
      <c r="F2968"/>
      <c r="G2968"/>
      <c r="H2968"/>
      <c r="I2968"/>
      <c r="J2968"/>
    </row>
    <row r="2969" spans="1:10" s="2" customFormat="1">
      <c r="A2969" s="1"/>
      <c r="E2969"/>
      <c r="F2969"/>
      <c r="G2969"/>
      <c r="H2969"/>
      <c r="I2969"/>
      <c r="J2969"/>
    </row>
    <row r="2970" spans="1:10" s="2" customFormat="1">
      <c r="A2970" s="1"/>
      <c r="E2970"/>
      <c r="F2970"/>
      <c r="G2970"/>
      <c r="H2970"/>
      <c r="I2970"/>
      <c r="J2970"/>
    </row>
    <row r="2971" spans="1:10" s="2" customFormat="1">
      <c r="A2971" s="1"/>
      <c r="E2971"/>
      <c r="F2971"/>
      <c r="G2971"/>
      <c r="H2971"/>
      <c r="I2971"/>
      <c r="J2971"/>
    </row>
    <row r="2972" spans="1:10" s="2" customFormat="1">
      <c r="A2972" s="1"/>
      <c r="E2972"/>
      <c r="F2972"/>
      <c r="G2972"/>
      <c r="H2972"/>
      <c r="I2972"/>
      <c r="J2972"/>
    </row>
    <row r="2973" spans="1:10" s="2" customFormat="1">
      <c r="A2973" s="1"/>
      <c r="E2973"/>
      <c r="F2973"/>
      <c r="G2973"/>
      <c r="H2973"/>
      <c r="I2973"/>
      <c r="J2973"/>
    </row>
    <row r="2974" spans="1:10" s="2" customFormat="1">
      <c r="A2974" s="1"/>
      <c r="E2974"/>
      <c r="F2974"/>
      <c r="G2974"/>
      <c r="H2974"/>
      <c r="I2974"/>
      <c r="J2974"/>
    </row>
    <row r="2975" spans="1:10" s="2" customFormat="1">
      <c r="A2975" s="1"/>
      <c r="E2975"/>
      <c r="F2975"/>
      <c r="G2975"/>
      <c r="H2975"/>
      <c r="I2975"/>
      <c r="J2975"/>
    </row>
    <row r="2976" spans="1:10" s="2" customFormat="1">
      <c r="A2976" s="1"/>
      <c r="E2976"/>
      <c r="F2976"/>
      <c r="G2976"/>
      <c r="H2976"/>
      <c r="I2976"/>
      <c r="J2976"/>
    </row>
    <row r="2977" spans="1:10" s="2" customFormat="1">
      <c r="A2977" s="1"/>
      <c r="E2977"/>
      <c r="F2977"/>
      <c r="G2977"/>
      <c r="H2977"/>
      <c r="I2977"/>
      <c r="J2977"/>
    </row>
    <row r="2978" spans="1:10" s="2" customFormat="1">
      <c r="A2978" s="1"/>
      <c r="E2978"/>
      <c r="F2978"/>
      <c r="G2978"/>
      <c r="H2978"/>
      <c r="I2978"/>
      <c r="J2978"/>
    </row>
    <row r="2979" spans="1:10" s="2" customFormat="1">
      <c r="A2979" s="1"/>
      <c r="E2979"/>
      <c r="F2979"/>
      <c r="G2979"/>
      <c r="H2979"/>
      <c r="I2979"/>
      <c r="J2979"/>
    </row>
    <row r="2980" spans="1:10" s="2" customFormat="1">
      <c r="A2980" s="1"/>
      <c r="E2980"/>
      <c r="F2980"/>
      <c r="G2980"/>
      <c r="H2980"/>
      <c r="I2980"/>
      <c r="J2980"/>
    </row>
    <row r="2981" spans="1:10" s="2" customFormat="1">
      <c r="A2981" s="1"/>
      <c r="E2981"/>
      <c r="F2981"/>
      <c r="G2981"/>
      <c r="H2981"/>
      <c r="I2981"/>
      <c r="J2981"/>
    </row>
    <row r="2982" spans="1:10" s="2" customFormat="1">
      <c r="A2982" s="1"/>
      <c r="E2982"/>
      <c r="F2982"/>
      <c r="G2982"/>
      <c r="H2982"/>
      <c r="I2982"/>
      <c r="J2982"/>
    </row>
    <row r="2983" spans="1:10" s="2" customFormat="1">
      <c r="A2983" s="1"/>
      <c r="E2983"/>
      <c r="F2983"/>
      <c r="G2983"/>
      <c r="H2983"/>
      <c r="I2983"/>
      <c r="J2983"/>
    </row>
    <row r="2984" spans="1:10" s="2" customFormat="1">
      <c r="A2984" s="1"/>
      <c r="E2984"/>
      <c r="F2984"/>
      <c r="G2984"/>
      <c r="H2984"/>
      <c r="I2984"/>
      <c r="J2984"/>
    </row>
    <row r="2985" spans="1:10" s="2" customFormat="1">
      <c r="A2985" s="1"/>
      <c r="E2985"/>
      <c r="F2985"/>
      <c r="G2985"/>
      <c r="H2985"/>
      <c r="I2985"/>
      <c r="J2985"/>
    </row>
    <row r="2986" spans="1:10" s="2" customFormat="1">
      <c r="A2986" s="1"/>
      <c r="E2986"/>
      <c r="F2986"/>
      <c r="G2986"/>
      <c r="H2986"/>
      <c r="I2986"/>
      <c r="J2986"/>
    </row>
    <row r="2987" spans="1:10" s="2" customFormat="1">
      <c r="A2987" s="1"/>
      <c r="E2987"/>
      <c r="F2987"/>
      <c r="G2987"/>
      <c r="H2987"/>
      <c r="I2987"/>
      <c r="J2987"/>
    </row>
    <row r="2988" spans="1:10" s="2" customFormat="1">
      <c r="A2988" s="1"/>
      <c r="E2988"/>
      <c r="F2988"/>
      <c r="G2988"/>
      <c r="H2988"/>
      <c r="I2988"/>
      <c r="J2988"/>
    </row>
    <row r="2989" spans="1:10" s="2" customFormat="1">
      <c r="A2989" s="1"/>
      <c r="E2989"/>
      <c r="F2989"/>
      <c r="G2989"/>
      <c r="H2989"/>
      <c r="I2989"/>
      <c r="J2989"/>
    </row>
    <row r="2990" spans="1:10" s="2" customFormat="1">
      <c r="A2990" s="1"/>
      <c r="E2990"/>
      <c r="F2990"/>
      <c r="G2990"/>
      <c r="H2990"/>
      <c r="I2990"/>
      <c r="J2990"/>
    </row>
    <row r="2991" spans="1:10" s="2" customFormat="1">
      <c r="A2991" s="1"/>
      <c r="E2991"/>
      <c r="F2991"/>
      <c r="G2991"/>
      <c r="H2991"/>
      <c r="I2991"/>
      <c r="J2991"/>
    </row>
    <row r="2992" spans="1:10" s="2" customFormat="1">
      <c r="A2992" s="1"/>
      <c r="E2992"/>
      <c r="F2992"/>
      <c r="G2992"/>
      <c r="H2992"/>
      <c r="I2992"/>
      <c r="J2992"/>
    </row>
    <row r="2993" spans="1:10" s="2" customFormat="1">
      <c r="A2993" s="1"/>
      <c r="E2993"/>
      <c r="F2993"/>
      <c r="G2993"/>
      <c r="H2993"/>
      <c r="I2993"/>
      <c r="J2993"/>
    </row>
    <row r="2994" spans="1:10" s="2" customFormat="1">
      <c r="A2994" s="1"/>
      <c r="E2994"/>
      <c r="F2994"/>
      <c r="G2994"/>
      <c r="H2994"/>
      <c r="I2994"/>
      <c r="J2994"/>
    </row>
    <row r="2995" spans="1:10" s="2" customFormat="1">
      <c r="A2995" s="1"/>
      <c r="E2995"/>
      <c r="F2995"/>
      <c r="G2995"/>
      <c r="H2995"/>
      <c r="I2995"/>
      <c r="J2995"/>
    </row>
    <row r="2996" spans="1:10" s="2" customFormat="1">
      <c r="A2996" s="1"/>
      <c r="E2996"/>
      <c r="F2996"/>
      <c r="G2996"/>
      <c r="H2996"/>
      <c r="I2996"/>
      <c r="J2996"/>
    </row>
    <row r="2997" spans="1:10" s="2" customFormat="1">
      <c r="A2997" s="1"/>
      <c r="E2997"/>
      <c r="F2997"/>
      <c r="G2997"/>
      <c r="H2997"/>
      <c r="I2997"/>
      <c r="J2997"/>
    </row>
    <row r="2998" spans="1:10" s="2" customFormat="1">
      <c r="A2998" s="1"/>
      <c r="E2998"/>
      <c r="F2998"/>
      <c r="G2998"/>
      <c r="H2998"/>
      <c r="I2998"/>
      <c r="J2998"/>
    </row>
    <row r="2999" spans="1:10" s="2" customFormat="1">
      <c r="A2999" s="1"/>
      <c r="E2999"/>
      <c r="F2999"/>
      <c r="G2999"/>
      <c r="H2999"/>
      <c r="I2999"/>
      <c r="J2999"/>
    </row>
    <row r="3000" spans="1:10" s="2" customFormat="1">
      <c r="A3000" s="1"/>
      <c r="E3000"/>
      <c r="F3000"/>
      <c r="G3000"/>
      <c r="H3000"/>
      <c r="I3000"/>
      <c r="J3000"/>
    </row>
    <row r="3001" spans="1:10" s="2" customFormat="1">
      <c r="A3001" s="1"/>
      <c r="E3001"/>
      <c r="F3001"/>
      <c r="G3001"/>
      <c r="H3001"/>
      <c r="I3001"/>
      <c r="J3001"/>
    </row>
    <row r="3002" spans="1:10" s="2" customFormat="1">
      <c r="A3002" s="1"/>
      <c r="E3002"/>
      <c r="F3002"/>
      <c r="G3002"/>
      <c r="H3002"/>
      <c r="I3002"/>
      <c r="J3002"/>
    </row>
    <row r="3003" spans="1:10" s="2" customFormat="1">
      <c r="A3003" s="1"/>
      <c r="E3003"/>
      <c r="F3003"/>
      <c r="G3003"/>
      <c r="H3003"/>
      <c r="I3003"/>
      <c r="J3003"/>
    </row>
    <row r="3004" spans="1:10" s="2" customFormat="1">
      <c r="A3004" s="1"/>
      <c r="E3004"/>
      <c r="F3004"/>
      <c r="G3004"/>
      <c r="H3004"/>
      <c r="I3004"/>
      <c r="J3004"/>
    </row>
    <row r="3005" spans="1:10" s="2" customFormat="1">
      <c r="A3005" s="1"/>
      <c r="E3005"/>
      <c r="F3005"/>
      <c r="G3005"/>
      <c r="H3005"/>
      <c r="I3005"/>
      <c r="J3005"/>
    </row>
    <row r="3006" spans="1:10" s="2" customFormat="1">
      <c r="A3006" s="1"/>
      <c r="E3006"/>
      <c r="F3006"/>
      <c r="G3006"/>
      <c r="H3006"/>
      <c r="I3006"/>
      <c r="J3006"/>
    </row>
    <row r="3007" spans="1:10" s="2" customFormat="1">
      <c r="A3007" s="1"/>
      <c r="E3007"/>
      <c r="F3007"/>
      <c r="G3007"/>
      <c r="H3007"/>
      <c r="I3007"/>
      <c r="J3007"/>
    </row>
    <row r="3008" spans="1:10" s="2" customFormat="1">
      <c r="A3008" s="1"/>
      <c r="E3008"/>
      <c r="F3008"/>
      <c r="G3008"/>
      <c r="H3008"/>
      <c r="I3008"/>
      <c r="J3008"/>
    </row>
    <row r="3009" spans="1:10" s="2" customFormat="1">
      <c r="A3009" s="1"/>
      <c r="E3009"/>
      <c r="F3009"/>
      <c r="G3009"/>
      <c r="H3009"/>
      <c r="I3009"/>
      <c r="J3009"/>
    </row>
    <row r="3010" spans="1:10" s="2" customFormat="1">
      <c r="A3010" s="1"/>
      <c r="E3010"/>
      <c r="F3010"/>
      <c r="G3010"/>
      <c r="H3010"/>
      <c r="I3010"/>
      <c r="J3010"/>
    </row>
    <row r="3011" spans="1:10" s="2" customFormat="1">
      <c r="A3011" s="1"/>
      <c r="E3011"/>
      <c r="F3011"/>
      <c r="G3011"/>
      <c r="H3011"/>
      <c r="I3011"/>
      <c r="J3011"/>
    </row>
    <row r="3012" spans="1:10" s="2" customFormat="1">
      <c r="A3012" s="1"/>
      <c r="E3012"/>
      <c r="F3012"/>
      <c r="G3012"/>
      <c r="H3012"/>
      <c r="I3012"/>
      <c r="J3012"/>
    </row>
    <row r="3013" spans="1:10" s="2" customFormat="1">
      <c r="A3013" s="1"/>
      <c r="E3013"/>
      <c r="F3013"/>
      <c r="G3013"/>
      <c r="H3013"/>
      <c r="I3013"/>
      <c r="J3013"/>
    </row>
    <row r="3014" spans="1:10" s="2" customFormat="1">
      <c r="A3014" s="1"/>
      <c r="E3014"/>
      <c r="F3014"/>
      <c r="G3014"/>
      <c r="H3014"/>
      <c r="I3014"/>
      <c r="J3014"/>
    </row>
    <row r="3015" spans="1:10" s="2" customFormat="1">
      <c r="A3015" s="1"/>
      <c r="E3015"/>
      <c r="F3015"/>
      <c r="G3015"/>
      <c r="H3015"/>
      <c r="I3015"/>
      <c r="J3015"/>
    </row>
    <row r="3016" spans="1:10" s="2" customFormat="1">
      <c r="A3016" s="1"/>
      <c r="E3016"/>
      <c r="F3016"/>
      <c r="G3016"/>
      <c r="H3016"/>
      <c r="I3016"/>
      <c r="J3016"/>
    </row>
    <row r="3017" spans="1:10" s="2" customFormat="1">
      <c r="A3017" s="1"/>
      <c r="E3017"/>
      <c r="F3017"/>
      <c r="G3017"/>
      <c r="H3017"/>
      <c r="I3017"/>
      <c r="J3017"/>
    </row>
    <row r="3018" spans="1:10" s="2" customFormat="1">
      <c r="A3018" s="1"/>
      <c r="E3018"/>
      <c r="F3018"/>
      <c r="G3018"/>
      <c r="H3018"/>
      <c r="I3018"/>
      <c r="J3018"/>
    </row>
    <row r="3019" spans="1:10" s="2" customFormat="1">
      <c r="A3019" s="1"/>
      <c r="E3019"/>
      <c r="F3019"/>
      <c r="G3019"/>
      <c r="H3019"/>
      <c r="I3019"/>
      <c r="J3019"/>
    </row>
    <row r="3020" spans="1:10" s="2" customFormat="1">
      <c r="A3020" s="1"/>
      <c r="E3020"/>
      <c r="F3020"/>
      <c r="G3020"/>
      <c r="H3020"/>
      <c r="I3020"/>
      <c r="J3020"/>
    </row>
    <row r="3021" spans="1:10" s="2" customFormat="1">
      <c r="A3021" s="1"/>
      <c r="E3021"/>
      <c r="F3021"/>
      <c r="G3021"/>
      <c r="H3021"/>
      <c r="I3021"/>
      <c r="J3021"/>
    </row>
    <row r="3022" spans="1:10" s="2" customFormat="1">
      <c r="A3022" s="1"/>
      <c r="E3022"/>
      <c r="F3022"/>
      <c r="G3022"/>
      <c r="H3022"/>
      <c r="I3022"/>
      <c r="J3022"/>
    </row>
    <row r="3023" spans="1:10" s="2" customFormat="1">
      <c r="A3023" s="1"/>
      <c r="E3023"/>
      <c r="F3023"/>
      <c r="G3023"/>
      <c r="H3023"/>
      <c r="I3023"/>
      <c r="J3023"/>
    </row>
    <row r="3024" spans="1:10" s="2" customFormat="1">
      <c r="A3024" s="1"/>
      <c r="E3024"/>
      <c r="F3024"/>
      <c r="G3024"/>
      <c r="H3024"/>
      <c r="I3024"/>
      <c r="J3024"/>
    </row>
    <row r="3025" spans="1:10" s="2" customFormat="1">
      <c r="A3025" s="1"/>
      <c r="E3025"/>
      <c r="F3025"/>
      <c r="G3025"/>
      <c r="H3025"/>
      <c r="I3025"/>
      <c r="J3025"/>
    </row>
    <row r="3026" spans="1:10" s="2" customFormat="1">
      <c r="A3026" s="1"/>
      <c r="E3026"/>
      <c r="F3026"/>
      <c r="G3026"/>
      <c r="H3026"/>
      <c r="I3026"/>
      <c r="J3026"/>
    </row>
    <row r="3027" spans="1:10" s="2" customFormat="1">
      <c r="A3027" s="1"/>
      <c r="E3027"/>
      <c r="F3027"/>
      <c r="G3027"/>
      <c r="H3027"/>
      <c r="I3027"/>
      <c r="J3027"/>
    </row>
    <row r="3028" spans="1:10" s="2" customFormat="1">
      <c r="A3028" s="1"/>
      <c r="E3028"/>
      <c r="F3028"/>
      <c r="G3028"/>
      <c r="H3028"/>
      <c r="I3028"/>
      <c r="J3028"/>
    </row>
    <row r="3029" spans="1:10" s="2" customFormat="1">
      <c r="A3029" s="1"/>
      <c r="E3029"/>
      <c r="F3029"/>
      <c r="G3029"/>
      <c r="H3029"/>
      <c r="I3029"/>
      <c r="J3029"/>
    </row>
    <row r="3030" spans="1:10" s="2" customFormat="1">
      <c r="A3030" s="1"/>
      <c r="E3030"/>
      <c r="F3030"/>
      <c r="G3030"/>
      <c r="H3030"/>
      <c r="I3030"/>
      <c r="J3030"/>
    </row>
    <row r="3031" spans="1:10" s="2" customFormat="1">
      <c r="A3031" s="1"/>
      <c r="E3031"/>
      <c r="F3031"/>
      <c r="G3031"/>
      <c r="H3031"/>
      <c r="I3031"/>
      <c r="J3031"/>
    </row>
    <row r="3032" spans="1:10" s="2" customFormat="1">
      <c r="A3032" s="1"/>
      <c r="E3032"/>
      <c r="F3032"/>
      <c r="G3032"/>
      <c r="H3032"/>
      <c r="I3032"/>
      <c r="J3032"/>
    </row>
    <row r="3033" spans="1:10" s="2" customFormat="1">
      <c r="A3033" s="1"/>
      <c r="E3033"/>
      <c r="F3033"/>
      <c r="G3033"/>
      <c r="H3033"/>
      <c r="I3033"/>
      <c r="J3033"/>
    </row>
    <row r="3034" spans="1:10" s="2" customFormat="1">
      <c r="A3034" s="1"/>
      <c r="E3034"/>
      <c r="F3034"/>
      <c r="G3034"/>
      <c r="H3034"/>
      <c r="I3034"/>
      <c r="J3034"/>
    </row>
    <row r="3035" spans="1:10" s="2" customFormat="1">
      <c r="A3035" s="1"/>
      <c r="E3035"/>
      <c r="F3035"/>
      <c r="G3035"/>
      <c r="H3035"/>
      <c r="I3035"/>
      <c r="J3035"/>
    </row>
    <row r="3036" spans="1:10" s="2" customFormat="1">
      <c r="A3036" s="1"/>
      <c r="E3036"/>
      <c r="F3036"/>
      <c r="G3036"/>
      <c r="H3036"/>
      <c r="I3036"/>
      <c r="J3036"/>
    </row>
    <row r="3037" spans="1:10" s="2" customFormat="1">
      <c r="A3037" s="1"/>
      <c r="E3037"/>
      <c r="F3037"/>
      <c r="G3037"/>
      <c r="H3037"/>
      <c r="I3037"/>
      <c r="J3037"/>
    </row>
    <row r="3038" spans="1:10" s="2" customFormat="1">
      <c r="A3038" s="1"/>
      <c r="E3038"/>
      <c r="F3038"/>
      <c r="G3038"/>
      <c r="H3038"/>
      <c r="I3038"/>
      <c r="J3038"/>
    </row>
    <row r="3039" spans="1:10" s="2" customFormat="1">
      <c r="A3039" s="1"/>
      <c r="E3039"/>
      <c r="F3039"/>
      <c r="G3039"/>
      <c r="H3039"/>
      <c r="I3039"/>
      <c r="J3039"/>
    </row>
    <row r="3040" spans="1:10" s="2" customFormat="1">
      <c r="A3040" s="1"/>
      <c r="E3040"/>
      <c r="F3040"/>
      <c r="G3040"/>
      <c r="H3040"/>
      <c r="I3040"/>
      <c r="J3040"/>
    </row>
    <row r="3041" spans="1:10" s="2" customFormat="1">
      <c r="A3041" s="1"/>
      <c r="E3041"/>
      <c r="F3041"/>
      <c r="G3041"/>
      <c r="H3041"/>
      <c r="I3041"/>
      <c r="J3041"/>
    </row>
    <row r="3042" spans="1:10" s="2" customFormat="1">
      <c r="A3042" s="1"/>
      <c r="E3042"/>
      <c r="F3042"/>
      <c r="G3042"/>
      <c r="H3042"/>
      <c r="I3042"/>
      <c r="J3042"/>
    </row>
    <row r="3043" spans="1:10" s="2" customFormat="1">
      <c r="A3043" s="1"/>
      <c r="E3043"/>
      <c r="F3043"/>
      <c r="G3043"/>
      <c r="H3043"/>
      <c r="I3043"/>
      <c r="J3043"/>
    </row>
    <row r="3044" spans="1:10" s="2" customFormat="1">
      <c r="A3044" s="1"/>
      <c r="E3044"/>
      <c r="F3044"/>
      <c r="G3044"/>
      <c r="H3044"/>
      <c r="I3044"/>
      <c r="J3044"/>
    </row>
    <row r="3045" spans="1:10" s="2" customFormat="1">
      <c r="A3045" s="1"/>
      <c r="E3045"/>
      <c r="F3045"/>
      <c r="G3045"/>
      <c r="H3045"/>
      <c r="I3045"/>
      <c r="J3045"/>
    </row>
    <row r="3046" spans="1:10" s="2" customFormat="1">
      <c r="A3046" s="1"/>
      <c r="E3046"/>
      <c r="F3046"/>
      <c r="G3046"/>
      <c r="H3046"/>
      <c r="I3046"/>
      <c r="J3046"/>
    </row>
    <row r="3047" spans="1:10" s="2" customFormat="1">
      <c r="A3047" s="1"/>
      <c r="E3047"/>
      <c r="F3047"/>
      <c r="G3047"/>
      <c r="H3047"/>
      <c r="I3047"/>
      <c r="J3047"/>
    </row>
    <row r="3048" spans="1:10" s="2" customFormat="1">
      <c r="A3048" s="1"/>
      <c r="E3048"/>
      <c r="F3048"/>
      <c r="G3048"/>
      <c r="H3048"/>
      <c r="I3048"/>
      <c r="J3048"/>
    </row>
    <row r="3049" spans="1:10" s="2" customFormat="1">
      <c r="A3049" s="1"/>
      <c r="E3049"/>
      <c r="F3049"/>
      <c r="G3049"/>
      <c r="H3049"/>
      <c r="I3049"/>
      <c r="J3049"/>
    </row>
    <row r="3050" spans="1:10" s="2" customFormat="1">
      <c r="A3050" s="1"/>
      <c r="E3050"/>
      <c r="F3050"/>
      <c r="G3050"/>
      <c r="H3050"/>
      <c r="I3050"/>
      <c r="J3050"/>
    </row>
    <row r="3051" spans="1:10" s="2" customFormat="1">
      <c r="A3051" s="1"/>
      <c r="E3051"/>
      <c r="F3051"/>
      <c r="G3051"/>
      <c r="H3051"/>
      <c r="I3051"/>
      <c r="J3051"/>
    </row>
    <row r="3052" spans="1:10" s="2" customFormat="1">
      <c r="A3052" s="1"/>
      <c r="E3052"/>
      <c r="F3052"/>
      <c r="G3052"/>
      <c r="H3052"/>
      <c r="I3052"/>
      <c r="J3052"/>
    </row>
    <row r="3053" spans="1:10" s="2" customFormat="1">
      <c r="A3053" s="1"/>
      <c r="E3053"/>
      <c r="F3053"/>
      <c r="G3053"/>
      <c r="H3053"/>
      <c r="I3053"/>
      <c r="J3053"/>
    </row>
    <row r="3054" spans="1:10" s="2" customFormat="1">
      <c r="A3054" s="1"/>
      <c r="E3054"/>
      <c r="F3054"/>
      <c r="G3054"/>
      <c r="H3054"/>
      <c r="I3054"/>
      <c r="J3054"/>
    </row>
    <row r="3055" spans="1:10" s="2" customFormat="1">
      <c r="A3055" s="1"/>
      <c r="E3055"/>
      <c r="F3055"/>
      <c r="G3055"/>
      <c r="H3055"/>
      <c r="I3055"/>
      <c r="J3055"/>
    </row>
    <row r="3056" spans="1:10" s="2" customFormat="1">
      <c r="A3056" s="1"/>
      <c r="E3056"/>
      <c r="F3056"/>
      <c r="G3056"/>
      <c r="H3056"/>
      <c r="I3056"/>
      <c r="J3056"/>
    </row>
    <row r="3057" spans="1:10" s="2" customFormat="1">
      <c r="A3057" s="1"/>
      <c r="E3057"/>
      <c r="F3057"/>
      <c r="G3057"/>
      <c r="H3057"/>
      <c r="I3057"/>
      <c r="J3057"/>
    </row>
    <row r="3058" spans="1:10" s="2" customFormat="1">
      <c r="A3058" s="1"/>
      <c r="E3058"/>
      <c r="F3058"/>
      <c r="G3058"/>
      <c r="H3058"/>
      <c r="I3058"/>
      <c r="J3058"/>
    </row>
    <row r="3059" spans="1:10" s="2" customFormat="1">
      <c r="A3059" s="1"/>
      <c r="E3059"/>
      <c r="F3059"/>
      <c r="G3059"/>
      <c r="H3059"/>
      <c r="I3059"/>
      <c r="J3059"/>
    </row>
    <row r="3060" spans="1:10" s="2" customFormat="1">
      <c r="A3060" s="1"/>
      <c r="E3060"/>
      <c r="F3060"/>
      <c r="G3060"/>
      <c r="H3060"/>
      <c r="I3060"/>
      <c r="J3060"/>
    </row>
    <row r="3061" spans="1:10" s="2" customFormat="1">
      <c r="A3061" s="1"/>
      <c r="E3061"/>
      <c r="F3061"/>
      <c r="G3061"/>
      <c r="H3061"/>
      <c r="I3061"/>
      <c r="J3061"/>
    </row>
    <row r="3062" spans="1:10" s="2" customFormat="1">
      <c r="A3062" s="1"/>
      <c r="E3062"/>
      <c r="F3062"/>
      <c r="G3062"/>
      <c r="H3062"/>
      <c r="I3062"/>
      <c r="J3062"/>
    </row>
    <row r="3063" spans="1:10" s="2" customFormat="1">
      <c r="A3063" s="1"/>
      <c r="E3063"/>
      <c r="F3063"/>
      <c r="G3063"/>
      <c r="H3063"/>
      <c r="I3063"/>
      <c r="J3063"/>
    </row>
    <row r="3064" spans="1:10" s="2" customFormat="1">
      <c r="A3064" s="1"/>
      <c r="E3064"/>
      <c r="F3064"/>
      <c r="G3064"/>
      <c r="H3064"/>
      <c r="I3064"/>
      <c r="J3064"/>
    </row>
    <row r="3065" spans="1:10" s="2" customFormat="1">
      <c r="A3065" s="1"/>
      <c r="E3065"/>
      <c r="F3065"/>
      <c r="G3065"/>
      <c r="H3065"/>
      <c r="I3065"/>
      <c r="J3065"/>
    </row>
    <row r="3066" spans="1:10" s="2" customFormat="1">
      <c r="A3066" s="1"/>
      <c r="E3066"/>
      <c r="F3066"/>
      <c r="G3066"/>
      <c r="H3066"/>
      <c r="I3066"/>
      <c r="J3066"/>
    </row>
    <row r="3067" spans="1:10" s="2" customFormat="1">
      <c r="A3067" s="1"/>
      <c r="E3067"/>
      <c r="F3067"/>
      <c r="G3067"/>
      <c r="H3067"/>
      <c r="I3067"/>
      <c r="J3067"/>
    </row>
    <row r="3068" spans="1:10" s="2" customFormat="1">
      <c r="A3068" s="1"/>
      <c r="E3068"/>
      <c r="F3068"/>
      <c r="G3068"/>
      <c r="H3068"/>
      <c r="I3068"/>
      <c r="J3068"/>
    </row>
    <row r="3069" spans="1:10" s="2" customFormat="1">
      <c r="A3069" s="1"/>
      <c r="E3069"/>
      <c r="F3069"/>
      <c r="G3069"/>
      <c r="H3069"/>
      <c r="I3069"/>
      <c r="J3069"/>
    </row>
    <row r="3070" spans="1:10" s="2" customFormat="1">
      <c r="A3070" s="1"/>
      <c r="E3070"/>
      <c r="F3070"/>
      <c r="G3070"/>
      <c r="H3070"/>
      <c r="I3070"/>
      <c r="J3070"/>
    </row>
    <row r="3071" spans="1:10" s="2" customFormat="1">
      <c r="A3071" s="1"/>
      <c r="E3071"/>
      <c r="F3071"/>
      <c r="G3071"/>
      <c r="H3071"/>
      <c r="I3071"/>
      <c r="J3071"/>
    </row>
    <row r="3072" spans="1:10" s="2" customFormat="1">
      <c r="A3072" s="1"/>
      <c r="E3072"/>
      <c r="F3072"/>
      <c r="G3072"/>
      <c r="H3072"/>
      <c r="I3072"/>
      <c r="J3072"/>
    </row>
    <row r="3073" spans="1:10" s="2" customFormat="1">
      <c r="A3073" s="1"/>
      <c r="E3073"/>
      <c r="F3073"/>
      <c r="G3073"/>
      <c r="H3073"/>
      <c r="I3073"/>
      <c r="J3073"/>
    </row>
    <row r="3074" spans="1:10" s="2" customFormat="1">
      <c r="A3074" s="1"/>
      <c r="E3074"/>
      <c r="F3074"/>
      <c r="G3074"/>
      <c r="H3074"/>
      <c r="I3074"/>
      <c r="J3074"/>
    </row>
    <row r="3075" spans="1:10" s="2" customFormat="1">
      <c r="A3075" s="1"/>
      <c r="E3075"/>
      <c r="F3075"/>
      <c r="G3075"/>
      <c r="H3075"/>
      <c r="I3075"/>
      <c r="J3075"/>
    </row>
    <row r="3076" spans="1:10" s="2" customFormat="1">
      <c r="A3076" s="1"/>
      <c r="E3076"/>
      <c r="F3076"/>
      <c r="G3076"/>
      <c r="H3076"/>
      <c r="I3076"/>
      <c r="J3076"/>
    </row>
    <row r="3077" spans="1:10" s="2" customFormat="1">
      <c r="A3077" s="1"/>
      <c r="E3077"/>
      <c r="F3077"/>
      <c r="G3077"/>
      <c r="H3077"/>
      <c r="I3077"/>
      <c r="J3077"/>
    </row>
    <row r="3078" spans="1:10" s="2" customFormat="1">
      <c r="A3078" s="1"/>
      <c r="E3078"/>
      <c r="F3078"/>
      <c r="G3078"/>
      <c r="H3078"/>
      <c r="I3078"/>
      <c r="J3078"/>
    </row>
    <row r="3079" spans="1:10" s="2" customFormat="1">
      <c r="A3079" s="1"/>
      <c r="E3079"/>
      <c r="F3079"/>
      <c r="G3079"/>
      <c r="H3079"/>
      <c r="I3079"/>
      <c r="J3079"/>
    </row>
    <row r="3080" spans="1:10" s="2" customFormat="1">
      <c r="A3080" s="1"/>
      <c r="E3080"/>
      <c r="F3080"/>
      <c r="G3080"/>
      <c r="H3080"/>
      <c r="I3080"/>
      <c r="J3080"/>
    </row>
    <row r="3081" spans="1:10" s="2" customFormat="1">
      <c r="A3081" s="1"/>
      <c r="E3081"/>
      <c r="F3081"/>
      <c r="G3081"/>
      <c r="H3081"/>
      <c r="I3081"/>
      <c r="J3081"/>
    </row>
    <row r="3082" spans="1:10" s="2" customFormat="1">
      <c r="A3082" s="1"/>
      <c r="E3082"/>
      <c r="F3082"/>
      <c r="G3082"/>
      <c r="H3082"/>
      <c r="I3082"/>
      <c r="J3082"/>
    </row>
    <row r="3083" spans="1:10" s="2" customFormat="1">
      <c r="A3083" s="1"/>
      <c r="E3083"/>
      <c r="F3083"/>
      <c r="G3083"/>
      <c r="H3083"/>
      <c r="I3083"/>
      <c r="J3083"/>
    </row>
    <row r="3084" spans="1:10" s="2" customFormat="1">
      <c r="A3084" s="1"/>
      <c r="E3084"/>
      <c r="F3084"/>
      <c r="G3084"/>
      <c r="H3084"/>
      <c r="I3084"/>
      <c r="J3084"/>
    </row>
    <row r="3085" spans="1:10" s="2" customFormat="1">
      <c r="A3085" s="1"/>
      <c r="E3085"/>
      <c r="F3085"/>
      <c r="G3085"/>
      <c r="H3085"/>
      <c r="I3085"/>
      <c r="J3085"/>
    </row>
    <row r="3086" spans="1:10" s="2" customFormat="1">
      <c r="A3086" s="1"/>
      <c r="E3086"/>
      <c r="F3086"/>
      <c r="G3086"/>
      <c r="H3086"/>
      <c r="I3086"/>
      <c r="J3086"/>
    </row>
    <row r="3087" spans="1:10" s="2" customFormat="1">
      <c r="A3087" s="1"/>
      <c r="E3087"/>
      <c r="F3087"/>
      <c r="G3087"/>
      <c r="H3087"/>
      <c r="I3087"/>
      <c r="J3087"/>
    </row>
    <row r="3088" spans="1:10" s="2" customFormat="1">
      <c r="A3088" s="1"/>
      <c r="E3088"/>
      <c r="F3088"/>
      <c r="G3088"/>
      <c r="H3088"/>
      <c r="I3088"/>
      <c r="J3088"/>
    </row>
    <row r="3089" spans="1:10" s="2" customFormat="1">
      <c r="A3089" s="1"/>
      <c r="E3089"/>
      <c r="F3089"/>
      <c r="G3089"/>
      <c r="H3089"/>
      <c r="I3089"/>
      <c r="J3089"/>
    </row>
    <row r="3090" spans="1:10" s="2" customFormat="1">
      <c r="A3090" s="1"/>
      <c r="E3090"/>
      <c r="F3090"/>
      <c r="G3090"/>
      <c r="H3090"/>
      <c r="I3090"/>
      <c r="J3090"/>
    </row>
    <row r="3091" spans="1:10" s="2" customFormat="1">
      <c r="A3091" s="1"/>
      <c r="E3091"/>
      <c r="F3091"/>
      <c r="G3091"/>
      <c r="H3091"/>
      <c r="I3091"/>
      <c r="J3091"/>
    </row>
    <row r="3092" spans="1:10" s="2" customFormat="1">
      <c r="A3092" s="1"/>
      <c r="E3092"/>
      <c r="F3092"/>
      <c r="G3092"/>
      <c r="H3092"/>
      <c r="I3092"/>
      <c r="J3092"/>
    </row>
    <row r="3093" spans="1:10" s="2" customFormat="1">
      <c r="A3093" s="1"/>
      <c r="E3093"/>
      <c r="F3093"/>
      <c r="G3093"/>
      <c r="H3093"/>
      <c r="I3093"/>
      <c r="J3093"/>
    </row>
    <row r="3094" spans="1:10" s="2" customFormat="1">
      <c r="A3094" s="1"/>
      <c r="E3094"/>
      <c r="F3094"/>
      <c r="G3094"/>
      <c r="H3094"/>
      <c r="I3094"/>
      <c r="J3094"/>
    </row>
    <row r="3095" spans="1:10" s="2" customFormat="1">
      <c r="A3095" s="1"/>
      <c r="E3095"/>
      <c r="F3095"/>
      <c r="G3095"/>
      <c r="H3095"/>
      <c r="I3095"/>
      <c r="J3095"/>
    </row>
    <row r="3096" spans="1:10" s="2" customFormat="1">
      <c r="A3096" s="1"/>
      <c r="E3096"/>
      <c r="F3096"/>
      <c r="G3096"/>
      <c r="H3096"/>
      <c r="I3096"/>
      <c r="J3096"/>
    </row>
    <row r="3097" spans="1:10" s="2" customFormat="1">
      <c r="A3097" s="1"/>
      <c r="E3097"/>
      <c r="F3097"/>
      <c r="G3097"/>
      <c r="H3097"/>
      <c r="I3097"/>
      <c r="J3097"/>
    </row>
    <row r="3098" spans="1:10" s="2" customFormat="1">
      <c r="A3098" s="1"/>
      <c r="E3098"/>
      <c r="F3098"/>
      <c r="G3098"/>
      <c r="H3098"/>
      <c r="I3098"/>
      <c r="J3098"/>
    </row>
    <row r="3099" spans="1:10" s="2" customFormat="1">
      <c r="A3099" s="1"/>
      <c r="E3099"/>
      <c r="F3099"/>
      <c r="G3099"/>
      <c r="H3099"/>
      <c r="I3099"/>
      <c r="J3099"/>
    </row>
    <row r="3100" spans="1:10" s="2" customFormat="1">
      <c r="A3100" s="1"/>
      <c r="E3100"/>
      <c r="F3100"/>
      <c r="G3100"/>
      <c r="H3100"/>
      <c r="I3100"/>
      <c r="J3100"/>
    </row>
    <row r="3101" spans="1:10" s="2" customFormat="1">
      <c r="A3101" s="1"/>
      <c r="E3101"/>
      <c r="F3101"/>
      <c r="G3101"/>
      <c r="H3101"/>
      <c r="I3101"/>
      <c r="J3101"/>
    </row>
    <row r="3102" spans="1:10" s="2" customFormat="1">
      <c r="A3102" s="1"/>
      <c r="E3102"/>
      <c r="F3102"/>
      <c r="G3102"/>
      <c r="H3102"/>
      <c r="I3102"/>
      <c r="J3102"/>
    </row>
    <row r="3103" spans="1:10" s="2" customFormat="1">
      <c r="A3103" s="1"/>
      <c r="E3103"/>
      <c r="F3103"/>
      <c r="G3103"/>
      <c r="H3103"/>
      <c r="I3103"/>
      <c r="J3103"/>
    </row>
    <row r="3104" spans="1:10" s="2" customFormat="1">
      <c r="A3104" s="1"/>
      <c r="E3104"/>
      <c r="F3104"/>
      <c r="G3104"/>
      <c r="H3104"/>
      <c r="I3104"/>
      <c r="J3104"/>
    </row>
    <row r="3105" spans="1:10" s="2" customFormat="1">
      <c r="A3105" s="1"/>
      <c r="E3105"/>
      <c r="F3105"/>
      <c r="G3105"/>
      <c r="H3105"/>
      <c r="I3105"/>
      <c r="J3105"/>
    </row>
    <row r="3106" spans="1:10" s="2" customFormat="1">
      <c r="A3106" s="1"/>
      <c r="E3106"/>
      <c r="F3106"/>
      <c r="G3106"/>
      <c r="H3106"/>
      <c r="I3106"/>
      <c r="J3106"/>
    </row>
    <row r="3107" spans="1:10" s="2" customFormat="1">
      <c r="A3107" s="1"/>
      <c r="E3107"/>
      <c r="F3107"/>
      <c r="G3107"/>
      <c r="H3107"/>
      <c r="I3107"/>
      <c r="J3107"/>
    </row>
    <row r="3108" spans="1:10" s="2" customFormat="1">
      <c r="A3108" s="1"/>
      <c r="E3108"/>
      <c r="F3108"/>
      <c r="G3108"/>
      <c r="H3108"/>
      <c r="I3108"/>
      <c r="J3108"/>
    </row>
    <row r="3109" spans="1:10" s="2" customFormat="1">
      <c r="A3109" s="1"/>
      <c r="E3109"/>
      <c r="F3109"/>
      <c r="G3109"/>
      <c r="H3109"/>
      <c r="I3109"/>
      <c r="J3109"/>
    </row>
    <row r="3110" spans="1:10" s="2" customFormat="1">
      <c r="A3110" s="1"/>
      <c r="E3110"/>
      <c r="F3110"/>
      <c r="G3110"/>
      <c r="H3110"/>
      <c r="I3110"/>
      <c r="J3110"/>
    </row>
    <row r="3111" spans="1:10" s="2" customFormat="1">
      <c r="A3111" s="1"/>
      <c r="E3111"/>
      <c r="F3111"/>
      <c r="G3111"/>
      <c r="H3111"/>
      <c r="I3111"/>
      <c r="J3111"/>
    </row>
    <row r="3112" spans="1:10" s="2" customFormat="1">
      <c r="A3112" s="1"/>
      <c r="E3112"/>
      <c r="F3112"/>
      <c r="G3112"/>
      <c r="H3112"/>
      <c r="I3112"/>
      <c r="J3112"/>
    </row>
    <row r="3113" spans="1:10" s="2" customFormat="1">
      <c r="A3113" s="1"/>
      <c r="E3113"/>
      <c r="F3113"/>
      <c r="G3113"/>
      <c r="H3113"/>
      <c r="I3113"/>
      <c r="J3113"/>
    </row>
    <row r="3114" spans="1:10" s="2" customFormat="1">
      <c r="A3114" s="1"/>
      <c r="E3114"/>
      <c r="F3114"/>
      <c r="G3114"/>
      <c r="H3114"/>
      <c r="I3114"/>
      <c r="J3114"/>
    </row>
    <row r="3115" spans="1:10" s="2" customFormat="1">
      <c r="A3115" s="1"/>
      <c r="E3115"/>
      <c r="F3115"/>
      <c r="G3115"/>
      <c r="H3115"/>
      <c r="I3115"/>
      <c r="J3115"/>
    </row>
    <row r="3116" spans="1:10" s="2" customFormat="1">
      <c r="A3116" s="1"/>
      <c r="E3116"/>
      <c r="F3116"/>
      <c r="G3116"/>
      <c r="H3116"/>
      <c r="I3116"/>
      <c r="J3116"/>
    </row>
    <row r="3117" spans="1:10" s="2" customFormat="1">
      <c r="A3117" s="1"/>
      <c r="E3117"/>
      <c r="F3117"/>
      <c r="G3117"/>
      <c r="H3117"/>
      <c r="I3117"/>
      <c r="J3117"/>
    </row>
    <row r="3118" spans="1:10" s="2" customFormat="1">
      <c r="A3118" s="1"/>
      <c r="E3118"/>
      <c r="F3118"/>
      <c r="G3118"/>
      <c r="H3118"/>
      <c r="I3118"/>
      <c r="J3118"/>
    </row>
    <row r="3119" spans="1:10" s="2" customFormat="1">
      <c r="A3119" s="1"/>
      <c r="E3119"/>
      <c r="F3119"/>
      <c r="G3119"/>
      <c r="H3119"/>
      <c r="I3119"/>
      <c r="J3119"/>
    </row>
    <row r="3120" spans="1:10" s="2" customFormat="1">
      <c r="A3120" s="1"/>
      <c r="E3120"/>
      <c r="F3120"/>
      <c r="G3120"/>
      <c r="H3120"/>
      <c r="I3120"/>
      <c r="J3120"/>
    </row>
    <row r="3121" spans="1:10" s="2" customFormat="1">
      <c r="A3121" s="1"/>
      <c r="E3121"/>
      <c r="F3121"/>
      <c r="G3121"/>
      <c r="H3121"/>
      <c r="I3121"/>
      <c r="J3121"/>
    </row>
    <row r="3122" spans="1:10" s="2" customFormat="1">
      <c r="A3122" s="1"/>
      <c r="E3122"/>
      <c r="F3122"/>
      <c r="G3122"/>
      <c r="H3122"/>
      <c r="I3122"/>
      <c r="J3122"/>
    </row>
    <row r="3123" spans="1:10" s="2" customFormat="1">
      <c r="A3123" s="1"/>
      <c r="E3123"/>
      <c r="F3123"/>
      <c r="G3123"/>
      <c r="H3123"/>
      <c r="I3123"/>
      <c r="J3123"/>
    </row>
    <row r="3124" spans="1:10" s="2" customFormat="1">
      <c r="A3124" s="1"/>
      <c r="E3124"/>
      <c r="F3124"/>
      <c r="G3124"/>
      <c r="H3124"/>
      <c r="I3124"/>
      <c r="J3124"/>
    </row>
    <row r="3125" spans="1:10" s="2" customFormat="1">
      <c r="A3125" s="1"/>
      <c r="E3125"/>
      <c r="F3125"/>
      <c r="G3125"/>
      <c r="H3125"/>
      <c r="I3125"/>
      <c r="J3125"/>
    </row>
    <row r="3126" spans="1:10" s="2" customFormat="1">
      <c r="A3126" s="1"/>
      <c r="E3126"/>
      <c r="F3126"/>
      <c r="G3126"/>
      <c r="H3126"/>
      <c r="I3126"/>
      <c r="J3126"/>
    </row>
    <row r="3127" spans="1:10" s="2" customFormat="1">
      <c r="A3127" s="1"/>
      <c r="E3127"/>
      <c r="F3127"/>
      <c r="G3127"/>
      <c r="H3127"/>
      <c r="I3127"/>
      <c r="J3127"/>
    </row>
    <row r="3128" spans="1:10" s="2" customFormat="1">
      <c r="A3128" s="1"/>
      <c r="E3128"/>
      <c r="F3128"/>
      <c r="G3128"/>
      <c r="H3128"/>
      <c r="I3128"/>
      <c r="J3128"/>
    </row>
    <row r="3129" spans="1:10" s="2" customFormat="1">
      <c r="A3129" s="1"/>
      <c r="E3129"/>
      <c r="F3129"/>
      <c r="G3129"/>
      <c r="H3129"/>
      <c r="I3129"/>
      <c r="J3129"/>
    </row>
    <row r="3130" spans="1:10" s="2" customFormat="1">
      <c r="A3130" s="1"/>
      <c r="E3130"/>
      <c r="F3130"/>
      <c r="G3130"/>
      <c r="H3130"/>
      <c r="I3130"/>
      <c r="J3130"/>
    </row>
    <row r="3131" spans="1:10" s="2" customFormat="1">
      <c r="A3131" s="1"/>
      <c r="E3131"/>
      <c r="F3131"/>
      <c r="G3131"/>
      <c r="H3131"/>
      <c r="I3131"/>
      <c r="J3131"/>
    </row>
    <row r="3132" spans="1:10" s="2" customFormat="1">
      <c r="A3132" s="1"/>
      <c r="E3132"/>
      <c r="F3132"/>
      <c r="G3132"/>
      <c r="H3132"/>
      <c r="I3132"/>
      <c r="J3132"/>
    </row>
    <row r="3133" spans="1:10" s="2" customFormat="1">
      <c r="A3133" s="1"/>
      <c r="E3133"/>
      <c r="F3133"/>
      <c r="G3133"/>
      <c r="H3133"/>
      <c r="I3133"/>
      <c r="J3133"/>
    </row>
    <row r="3134" spans="1:10" s="2" customFormat="1">
      <c r="A3134" s="1"/>
      <c r="E3134"/>
      <c r="F3134"/>
      <c r="G3134"/>
      <c r="H3134"/>
      <c r="I3134"/>
      <c r="J3134"/>
    </row>
    <row r="3135" spans="1:10" s="2" customFormat="1">
      <c r="A3135" s="1"/>
      <c r="E3135"/>
      <c r="F3135"/>
      <c r="G3135"/>
      <c r="H3135"/>
      <c r="I3135"/>
      <c r="J3135"/>
    </row>
    <row r="3136" spans="1:10" s="2" customFormat="1">
      <c r="A3136" s="1"/>
      <c r="E3136"/>
      <c r="F3136"/>
      <c r="G3136"/>
      <c r="H3136"/>
      <c r="I3136"/>
      <c r="J3136"/>
    </row>
    <row r="3137" spans="1:10" s="2" customFormat="1">
      <c r="A3137" s="1"/>
      <c r="E3137"/>
      <c r="F3137"/>
      <c r="G3137"/>
      <c r="H3137"/>
      <c r="I3137"/>
      <c r="J3137"/>
    </row>
    <row r="3138" spans="1:10" s="2" customFormat="1">
      <c r="A3138" s="1"/>
      <c r="E3138"/>
      <c r="F3138"/>
      <c r="G3138"/>
      <c r="H3138"/>
      <c r="I3138"/>
      <c r="J3138"/>
    </row>
    <row r="3139" spans="1:10" s="2" customFormat="1">
      <c r="A3139" s="1"/>
      <c r="E3139"/>
      <c r="F3139"/>
      <c r="G3139"/>
      <c r="H3139"/>
      <c r="I3139"/>
      <c r="J3139"/>
    </row>
    <row r="3140" spans="1:10" s="2" customFormat="1">
      <c r="A3140" s="1"/>
      <c r="E3140"/>
      <c r="F3140"/>
      <c r="G3140"/>
      <c r="H3140"/>
      <c r="I3140"/>
      <c r="J3140"/>
    </row>
    <row r="3141" spans="1:10" s="2" customFormat="1">
      <c r="A3141" s="1"/>
      <c r="E3141"/>
      <c r="F3141"/>
      <c r="G3141"/>
      <c r="H3141"/>
      <c r="I3141"/>
      <c r="J3141"/>
    </row>
    <row r="3142" spans="1:10" s="2" customFormat="1">
      <c r="A3142" s="1"/>
      <c r="E3142"/>
      <c r="F3142"/>
      <c r="G3142"/>
      <c r="H3142"/>
      <c r="I3142"/>
      <c r="J3142"/>
    </row>
    <row r="3143" spans="1:10" s="2" customFormat="1">
      <c r="A3143" s="1"/>
      <c r="E3143"/>
      <c r="F3143"/>
      <c r="G3143"/>
      <c r="H3143"/>
      <c r="I3143"/>
      <c r="J3143"/>
    </row>
    <row r="3144" spans="1:10" s="2" customFormat="1">
      <c r="A3144" s="1"/>
      <c r="E3144"/>
      <c r="F3144"/>
      <c r="G3144"/>
      <c r="H3144"/>
      <c r="I3144"/>
      <c r="J3144"/>
    </row>
    <row r="3145" spans="1:10" s="2" customFormat="1">
      <c r="A3145" s="1"/>
      <c r="E3145"/>
      <c r="F3145"/>
      <c r="G3145"/>
      <c r="H3145"/>
      <c r="I3145"/>
      <c r="J3145"/>
    </row>
    <row r="3146" spans="1:10" s="2" customFormat="1">
      <c r="A3146" s="1"/>
      <c r="E3146"/>
      <c r="F3146"/>
      <c r="G3146"/>
      <c r="H3146"/>
      <c r="I3146"/>
      <c r="J3146"/>
    </row>
    <row r="3147" spans="1:10" s="2" customFormat="1">
      <c r="A3147" s="1"/>
      <c r="E3147"/>
      <c r="F3147"/>
      <c r="G3147"/>
      <c r="H3147"/>
      <c r="I3147"/>
      <c r="J3147"/>
    </row>
    <row r="3148" spans="1:10" s="2" customFormat="1">
      <c r="A3148" s="1"/>
      <c r="E3148"/>
      <c r="F3148"/>
      <c r="G3148"/>
      <c r="H3148"/>
      <c r="I3148"/>
      <c r="J3148"/>
    </row>
    <row r="3149" spans="1:10" s="2" customFormat="1">
      <c r="A3149" s="1"/>
      <c r="E3149"/>
      <c r="F3149"/>
      <c r="G3149"/>
      <c r="H3149"/>
      <c r="I3149"/>
      <c r="J3149"/>
    </row>
    <row r="3150" spans="1:10" s="2" customFormat="1">
      <c r="A3150" s="1"/>
      <c r="E3150"/>
      <c r="F3150"/>
      <c r="G3150"/>
      <c r="H3150"/>
      <c r="I3150"/>
      <c r="J3150"/>
    </row>
    <row r="3151" spans="1:10" s="2" customFormat="1">
      <c r="A3151" s="1"/>
      <c r="E3151"/>
      <c r="F3151"/>
      <c r="G3151"/>
      <c r="H3151"/>
      <c r="I3151"/>
      <c r="J3151"/>
    </row>
    <row r="3152" spans="1:10" s="2" customFormat="1">
      <c r="A3152" s="1"/>
      <c r="E3152"/>
      <c r="F3152"/>
      <c r="G3152"/>
      <c r="H3152"/>
      <c r="I3152"/>
      <c r="J3152"/>
    </row>
    <row r="3153" spans="1:10" s="2" customFormat="1">
      <c r="A3153" s="1"/>
      <c r="E3153"/>
      <c r="F3153"/>
      <c r="G3153"/>
      <c r="H3153"/>
      <c r="I3153"/>
      <c r="J3153"/>
    </row>
    <row r="3154" spans="1:10" s="2" customFormat="1">
      <c r="A3154" s="1"/>
      <c r="E3154"/>
      <c r="F3154"/>
      <c r="G3154"/>
      <c r="H3154"/>
      <c r="I3154"/>
      <c r="J3154"/>
    </row>
    <row r="3155" spans="1:10" s="2" customFormat="1">
      <c r="A3155" s="1"/>
      <c r="E3155"/>
      <c r="F3155"/>
      <c r="G3155"/>
      <c r="H3155"/>
      <c r="I3155"/>
      <c r="J3155"/>
    </row>
    <row r="3156" spans="1:10" s="2" customFormat="1">
      <c r="A3156" s="1"/>
      <c r="E3156"/>
      <c r="F3156"/>
      <c r="G3156"/>
      <c r="H3156"/>
      <c r="I3156"/>
      <c r="J3156"/>
    </row>
    <row r="3157" spans="1:10" s="2" customFormat="1">
      <c r="A3157" s="1"/>
      <c r="E3157"/>
      <c r="F3157"/>
      <c r="G3157"/>
      <c r="H3157"/>
      <c r="I3157"/>
      <c r="J3157"/>
    </row>
    <row r="3158" spans="1:10" s="2" customFormat="1">
      <c r="A3158" s="1"/>
      <c r="E3158"/>
      <c r="F3158"/>
      <c r="G3158"/>
      <c r="H3158"/>
      <c r="I3158"/>
      <c r="J3158"/>
    </row>
    <row r="3159" spans="1:10" s="2" customFormat="1">
      <c r="A3159" s="1"/>
      <c r="E3159"/>
      <c r="F3159"/>
      <c r="G3159"/>
      <c r="H3159"/>
      <c r="I3159"/>
      <c r="J3159"/>
    </row>
    <row r="3160" spans="1:10" s="2" customFormat="1">
      <c r="A3160" s="1"/>
      <c r="E3160"/>
      <c r="F3160"/>
      <c r="G3160"/>
      <c r="H3160"/>
      <c r="I3160"/>
      <c r="J3160"/>
    </row>
    <row r="3161" spans="1:10" s="2" customFormat="1">
      <c r="A3161" s="1"/>
      <c r="E3161"/>
      <c r="F3161"/>
      <c r="G3161"/>
      <c r="H3161"/>
      <c r="I3161"/>
      <c r="J3161"/>
    </row>
    <row r="3162" spans="1:10" s="2" customFormat="1">
      <c r="A3162" s="1"/>
      <c r="E3162"/>
      <c r="F3162"/>
      <c r="G3162"/>
      <c r="H3162"/>
      <c r="I3162"/>
      <c r="J3162"/>
    </row>
    <row r="3163" spans="1:10" s="2" customFormat="1">
      <c r="A3163" s="1"/>
      <c r="E3163"/>
      <c r="F3163"/>
      <c r="G3163"/>
      <c r="H3163"/>
      <c r="I3163"/>
      <c r="J3163"/>
    </row>
    <row r="3164" spans="1:10" s="2" customFormat="1">
      <c r="A3164" s="1"/>
      <c r="E3164"/>
      <c r="F3164"/>
      <c r="G3164"/>
      <c r="H3164"/>
      <c r="I3164"/>
      <c r="J3164"/>
    </row>
    <row r="3165" spans="1:10" s="2" customFormat="1">
      <c r="A3165" s="1"/>
      <c r="E3165"/>
      <c r="F3165"/>
      <c r="G3165"/>
      <c r="H3165"/>
      <c r="I3165"/>
      <c r="J3165"/>
    </row>
    <row r="3166" spans="1:10" s="2" customFormat="1">
      <c r="A3166" s="1"/>
      <c r="E3166"/>
      <c r="F3166"/>
      <c r="G3166"/>
      <c r="H3166"/>
      <c r="I3166"/>
      <c r="J3166"/>
    </row>
    <row r="3167" spans="1:10" s="2" customFormat="1">
      <c r="A3167" s="1"/>
      <c r="E3167"/>
      <c r="F3167"/>
      <c r="G3167"/>
      <c r="H3167"/>
      <c r="I3167"/>
      <c r="J3167"/>
    </row>
    <row r="3168" spans="1:10" s="2" customFormat="1">
      <c r="A3168" s="1"/>
      <c r="E3168"/>
      <c r="F3168"/>
      <c r="G3168"/>
      <c r="H3168"/>
      <c r="I3168"/>
      <c r="J3168"/>
    </row>
    <row r="3169" spans="1:10" s="2" customFormat="1">
      <c r="A3169" s="1"/>
      <c r="E3169"/>
      <c r="F3169"/>
      <c r="G3169"/>
      <c r="H3169"/>
      <c r="I3169"/>
      <c r="J3169"/>
    </row>
    <row r="3170" spans="1:10" s="2" customFormat="1">
      <c r="A3170" s="1"/>
      <c r="E3170"/>
      <c r="F3170"/>
      <c r="G3170"/>
      <c r="H3170"/>
      <c r="I3170"/>
      <c r="J3170"/>
    </row>
    <row r="3171" spans="1:10" s="2" customFormat="1">
      <c r="A3171" s="1"/>
      <c r="E3171"/>
      <c r="F3171"/>
      <c r="G3171"/>
      <c r="H3171"/>
      <c r="I3171"/>
      <c r="J3171"/>
    </row>
    <row r="3172" spans="1:10" s="2" customFormat="1">
      <c r="A3172" s="1"/>
      <c r="E3172"/>
      <c r="F3172"/>
      <c r="G3172"/>
      <c r="H3172"/>
      <c r="I3172"/>
      <c r="J3172"/>
    </row>
    <row r="3173" spans="1:10" s="2" customFormat="1">
      <c r="A3173" s="1"/>
      <c r="E3173"/>
      <c r="F3173"/>
      <c r="G3173"/>
      <c r="H3173"/>
      <c r="I3173"/>
      <c r="J3173"/>
    </row>
    <row r="3174" spans="1:10" s="2" customFormat="1">
      <c r="A3174" s="1"/>
      <c r="E3174"/>
      <c r="F3174"/>
      <c r="G3174"/>
      <c r="H3174"/>
      <c r="I3174"/>
      <c r="J3174"/>
    </row>
    <row r="3175" spans="1:10" s="2" customFormat="1">
      <c r="A3175" s="1"/>
      <c r="E3175"/>
      <c r="F3175"/>
      <c r="G3175"/>
      <c r="H3175"/>
      <c r="I3175"/>
      <c r="J3175"/>
    </row>
    <row r="3176" spans="1:10" s="2" customFormat="1">
      <c r="A3176" s="1"/>
      <c r="E3176"/>
      <c r="F3176"/>
      <c r="G3176"/>
      <c r="H3176"/>
      <c r="I3176"/>
      <c r="J3176"/>
    </row>
    <row r="3177" spans="1:10" s="2" customFormat="1">
      <c r="A3177" s="1"/>
      <c r="E3177"/>
      <c r="F3177"/>
      <c r="G3177"/>
      <c r="H3177"/>
      <c r="I3177"/>
      <c r="J3177"/>
    </row>
    <row r="3178" spans="1:10" s="2" customFormat="1">
      <c r="A3178" s="1"/>
      <c r="E3178"/>
      <c r="F3178"/>
      <c r="G3178"/>
      <c r="H3178"/>
      <c r="I3178"/>
      <c r="J3178"/>
    </row>
    <row r="3179" spans="1:10" s="2" customFormat="1">
      <c r="A3179" s="1"/>
      <c r="E3179"/>
      <c r="F3179"/>
      <c r="G3179"/>
      <c r="H3179"/>
      <c r="I3179"/>
      <c r="J3179"/>
    </row>
    <row r="3180" spans="1:10" s="2" customFormat="1">
      <c r="A3180" s="1"/>
      <c r="E3180"/>
      <c r="F3180"/>
      <c r="G3180"/>
      <c r="H3180"/>
      <c r="I3180"/>
      <c r="J3180"/>
    </row>
    <row r="3181" spans="1:10" s="2" customFormat="1">
      <c r="A3181" s="1"/>
      <c r="E3181"/>
      <c r="F3181"/>
      <c r="G3181"/>
      <c r="H3181"/>
      <c r="I3181"/>
      <c r="J3181"/>
    </row>
    <row r="3182" spans="1:10" s="2" customFormat="1">
      <c r="A3182" s="1"/>
      <c r="E3182"/>
      <c r="F3182"/>
      <c r="G3182"/>
      <c r="H3182"/>
      <c r="I3182"/>
      <c r="J3182"/>
    </row>
    <row r="3183" spans="1:10" s="2" customFormat="1">
      <c r="A3183" s="1"/>
      <c r="E3183"/>
      <c r="F3183"/>
      <c r="G3183"/>
      <c r="H3183"/>
      <c r="I3183"/>
      <c r="J3183"/>
    </row>
    <row r="3184" spans="1:10" s="2" customFormat="1">
      <c r="A3184" s="1"/>
      <c r="E3184"/>
      <c r="F3184"/>
      <c r="G3184"/>
      <c r="H3184"/>
      <c r="I3184"/>
      <c r="J3184"/>
    </row>
    <row r="3185" spans="1:10" s="2" customFormat="1">
      <c r="A3185" s="1"/>
      <c r="E3185"/>
      <c r="F3185"/>
      <c r="G3185"/>
      <c r="H3185"/>
      <c r="I3185"/>
      <c r="J3185"/>
    </row>
    <row r="3186" spans="1:10" s="2" customFormat="1">
      <c r="A3186" s="1"/>
      <c r="E3186"/>
      <c r="F3186"/>
      <c r="G3186"/>
      <c r="H3186"/>
      <c r="I3186"/>
      <c r="J3186"/>
    </row>
    <row r="3187" spans="1:10" s="2" customFormat="1">
      <c r="A3187" s="1"/>
      <c r="E3187"/>
      <c r="F3187"/>
      <c r="G3187"/>
      <c r="H3187"/>
      <c r="I3187"/>
      <c r="J3187"/>
    </row>
    <row r="3188" spans="1:10" s="2" customFormat="1">
      <c r="A3188" s="1"/>
      <c r="E3188"/>
      <c r="F3188"/>
      <c r="G3188"/>
      <c r="H3188"/>
      <c r="I3188"/>
      <c r="J3188"/>
    </row>
    <row r="3189" spans="1:10" s="2" customFormat="1">
      <c r="A3189" s="1"/>
      <c r="E3189"/>
      <c r="F3189"/>
      <c r="G3189"/>
      <c r="H3189"/>
      <c r="I3189"/>
      <c r="J3189"/>
    </row>
    <row r="3190" spans="1:10" s="2" customFormat="1">
      <c r="A3190" s="1"/>
      <c r="E3190"/>
      <c r="F3190"/>
      <c r="G3190"/>
      <c r="H3190"/>
      <c r="I3190"/>
      <c r="J3190"/>
    </row>
    <row r="3191" spans="1:10" s="2" customFormat="1">
      <c r="A3191" s="1"/>
      <c r="E3191"/>
      <c r="F3191"/>
      <c r="G3191"/>
      <c r="H3191"/>
      <c r="I3191"/>
      <c r="J3191"/>
    </row>
    <row r="3192" spans="1:10" s="2" customFormat="1">
      <c r="A3192" s="1"/>
      <c r="E3192"/>
      <c r="F3192"/>
      <c r="G3192"/>
      <c r="H3192"/>
      <c r="I3192"/>
      <c r="J3192"/>
    </row>
    <row r="3193" spans="1:10" s="2" customFormat="1">
      <c r="A3193" s="1"/>
      <c r="E3193"/>
      <c r="F3193"/>
      <c r="G3193"/>
      <c r="H3193"/>
      <c r="I3193"/>
      <c r="J3193"/>
    </row>
    <row r="3194" spans="1:10" s="2" customFormat="1">
      <c r="A3194" s="1"/>
      <c r="E3194"/>
      <c r="F3194"/>
      <c r="G3194"/>
      <c r="H3194"/>
      <c r="I3194"/>
      <c r="J3194"/>
    </row>
    <row r="3195" spans="1:10" s="2" customFormat="1">
      <c r="A3195" s="1"/>
      <c r="E3195"/>
      <c r="F3195"/>
      <c r="G3195"/>
      <c r="H3195"/>
      <c r="I3195"/>
      <c r="J3195"/>
    </row>
    <row r="3196" spans="1:10" s="2" customFormat="1">
      <c r="A3196" s="1"/>
      <c r="E3196"/>
      <c r="F3196"/>
      <c r="G3196"/>
      <c r="H3196"/>
      <c r="I3196"/>
      <c r="J3196"/>
    </row>
    <row r="3197" spans="1:10" s="2" customFormat="1">
      <c r="A3197" s="1"/>
      <c r="E3197"/>
      <c r="F3197"/>
      <c r="G3197"/>
      <c r="H3197"/>
      <c r="I3197"/>
      <c r="J3197"/>
    </row>
    <row r="3198" spans="1:10" s="2" customFormat="1">
      <c r="A3198" s="1"/>
      <c r="E3198"/>
      <c r="F3198"/>
      <c r="G3198"/>
      <c r="H3198"/>
      <c r="I3198"/>
      <c r="J3198"/>
    </row>
    <row r="3199" spans="1:10" s="2" customFormat="1">
      <c r="A3199" s="1"/>
      <c r="E3199"/>
      <c r="F3199"/>
      <c r="G3199"/>
      <c r="H3199"/>
      <c r="I3199"/>
      <c r="J3199"/>
    </row>
    <row r="3200" spans="1:10" s="2" customFormat="1">
      <c r="A3200" s="1"/>
      <c r="E3200"/>
      <c r="F3200"/>
      <c r="G3200"/>
      <c r="H3200"/>
      <c r="I3200"/>
      <c r="J3200"/>
    </row>
    <row r="3201" spans="1:10" s="2" customFormat="1">
      <c r="A3201" s="1"/>
      <c r="E3201"/>
      <c r="F3201"/>
      <c r="G3201"/>
      <c r="H3201"/>
      <c r="I3201"/>
      <c r="J3201"/>
    </row>
    <row r="3202" spans="1:10" s="2" customFormat="1">
      <c r="A3202" s="1"/>
      <c r="E3202"/>
      <c r="F3202"/>
      <c r="G3202"/>
      <c r="H3202"/>
      <c r="I3202"/>
      <c r="J3202"/>
    </row>
    <row r="3203" spans="1:10" s="2" customFormat="1">
      <c r="A3203" s="1"/>
      <c r="E3203"/>
      <c r="F3203"/>
      <c r="G3203"/>
      <c r="H3203"/>
      <c r="I3203"/>
      <c r="J3203"/>
    </row>
    <row r="3204" spans="1:10" s="2" customFormat="1">
      <c r="A3204" s="1"/>
      <c r="E3204"/>
      <c r="F3204"/>
      <c r="G3204"/>
      <c r="H3204"/>
      <c r="I3204"/>
      <c r="J3204"/>
    </row>
    <row r="3205" spans="1:10" s="2" customFormat="1">
      <c r="A3205" s="1"/>
      <c r="E3205"/>
      <c r="F3205"/>
      <c r="G3205"/>
      <c r="H3205"/>
      <c r="I3205"/>
      <c r="J3205"/>
    </row>
    <row r="3206" spans="1:10" s="2" customFormat="1">
      <c r="A3206" s="1"/>
      <c r="E3206"/>
      <c r="F3206"/>
      <c r="G3206"/>
      <c r="H3206"/>
      <c r="I3206"/>
      <c r="J3206"/>
    </row>
    <row r="3207" spans="1:10" s="2" customFormat="1">
      <c r="A3207" s="1"/>
      <c r="E3207"/>
      <c r="F3207"/>
      <c r="G3207"/>
      <c r="H3207"/>
      <c r="I3207"/>
      <c r="J3207"/>
    </row>
    <row r="3208" spans="1:10" s="2" customFormat="1">
      <c r="A3208" s="1"/>
      <c r="E3208"/>
      <c r="F3208"/>
      <c r="G3208"/>
      <c r="H3208"/>
      <c r="I3208"/>
      <c r="J3208"/>
    </row>
    <row r="3209" spans="1:10" s="2" customFormat="1">
      <c r="A3209" s="1"/>
      <c r="E3209"/>
      <c r="F3209"/>
      <c r="G3209"/>
      <c r="H3209"/>
      <c r="I3209"/>
      <c r="J3209"/>
    </row>
    <row r="3210" spans="1:10" s="2" customFormat="1">
      <c r="A3210" s="1"/>
      <c r="E3210"/>
      <c r="F3210"/>
      <c r="G3210"/>
      <c r="H3210"/>
      <c r="I3210"/>
      <c r="J3210"/>
    </row>
    <row r="3211" spans="1:10" s="2" customFormat="1">
      <c r="A3211" s="1"/>
      <c r="E3211"/>
      <c r="F3211"/>
      <c r="G3211"/>
      <c r="H3211"/>
      <c r="I3211"/>
      <c r="J3211"/>
    </row>
    <row r="3212" spans="1:10" s="2" customFormat="1">
      <c r="A3212" s="1"/>
      <c r="E3212"/>
      <c r="F3212"/>
      <c r="G3212"/>
      <c r="H3212"/>
      <c r="I3212"/>
      <c r="J3212"/>
    </row>
    <row r="3213" spans="1:10" s="2" customFormat="1">
      <c r="A3213" s="1"/>
      <c r="E3213"/>
      <c r="F3213"/>
      <c r="G3213"/>
      <c r="H3213"/>
      <c r="I3213"/>
      <c r="J3213"/>
    </row>
    <row r="3214" spans="1:10" s="2" customFormat="1">
      <c r="A3214" s="1"/>
      <c r="E3214"/>
      <c r="F3214"/>
      <c r="G3214"/>
      <c r="H3214"/>
      <c r="I3214"/>
      <c r="J3214"/>
    </row>
    <row r="3215" spans="1:10" s="2" customFormat="1">
      <c r="A3215" s="1"/>
      <c r="E3215"/>
      <c r="F3215"/>
      <c r="G3215"/>
      <c r="H3215"/>
      <c r="I3215"/>
      <c r="J3215"/>
    </row>
    <row r="3216" spans="1:10" s="2" customFormat="1">
      <c r="A3216" s="1"/>
      <c r="E3216"/>
      <c r="F3216"/>
      <c r="G3216"/>
      <c r="H3216"/>
      <c r="I3216"/>
      <c r="J3216"/>
    </row>
    <row r="3217" spans="1:10" s="2" customFormat="1">
      <c r="A3217" s="1"/>
      <c r="E3217"/>
      <c r="F3217"/>
      <c r="G3217"/>
      <c r="H3217"/>
      <c r="I3217"/>
      <c r="J3217"/>
    </row>
    <row r="3218" spans="1:10" s="2" customFormat="1">
      <c r="A3218" s="1"/>
      <c r="E3218"/>
      <c r="F3218"/>
      <c r="G3218"/>
      <c r="H3218"/>
      <c r="I3218"/>
      <c r="J3218"/>
    </row>
    <row r="3219" spans="1:10" s="2" customFormat="1">
      <c r="A3219" s="1"/>
      <c r="E3219"/>
      <c r="F3219"/>
      <c r="G3219"/>
      <c r="H3219"/>
      <c r="I3219"/>
      <c r="J3219"/>
    </row>
    <row r="3220" spans="1:10" s="2" customFormat="1">
      <c r="A3220" s="1"/>
      <c r="E3220"/>
      <c r="F3220"/>
      <c r="G3220"/>
      <c r="H3220"/>
      <c r="I3220"/>
      <c r="J3220"/>
    </row>
    <row r="3221" spans="1:10" s="2" customFormat="1">
      <c r="A3221" s="1"/>
      <c r="E3221"/>
      <c r="F3221"/>
      <c r="G3221"/>
      <c r="H3221"/>
      <c r="I3221"/>
      <c r="J3221"/>
    </row>
    <row r="3222" spans="1:10" s="2" customFormat="1">
      <c r="A3222" s="1"/>
      <c r="E3222"/>
      <c r="F3222"/>
      <c r="G3222"/>
      <c r="H3222"/>
      <c r="I3222"/>
      <c r="J3222"/>
    </row>
    <row r="3223" spans="1:10" s="2" customFormat="1">
      <c r="A3223" s="1"/>
      <c r="E3223"/>
      <c r="F3223"/>
      <c r="G3223"/>
      <c r="H3223"/>
      <c r="I3223"/>
      <c r="J3223"/>
    </row>
    <row r="3224" spans="1:10" s="2" customFormat="1">
      <c r="A3224" s="1"/>
      <c r="E3224"/>
      <c r="F3224"/>
      <c r="G3224"/>
      <c r="H3224"/>
      <c r="I3224"/>
      <c r="J3224"/>
    </row>
    <row r="3225" spans="1:10" s="2" customFormat="1">
      <c r="A3225" s="1"/>
      <c r="E3225"/>
      <c r="F3225"/>
      <c r="G3225"/>
      <c r="H3225"/>
      <c r="I3225"/>
      <c r="J3225"/>
    </row>
    <row r="3226" spans="1:10" s="2" customFormat="1">
      <c r="A3226" s="1"/>
      <c r="E3226"/>
      <c r="F3226"/>
      <c r="G3226"/>
      <c r="H3226"/>
      <c r="I3226"/>
      <c r="J3226"/>
    </row>
    <row r="3227" spans="1:10" s="2" customFormat="1">
      <c r="A3227" s="1"/>
      <c r="E3227"/>
      <c r="F3227"/>
      <c r="G3227"/>
      <c r="H3227"/>
      <c r="I3227"/>
      <c r="J3227"/>
    </row>
    <row r="3228" spans="1:10" s="2" customFormat="1">
      <c r="A3228" s="1"/>
      <c r="E3228"/>
      <c r="F3228"/>
      <c r="G3228"/>
      <c r="H3228"/>
      <c r="I3228"/>
      <c r="J3228"/>
    </row>
    <row r="3229" spans="1:10" s="2" customFormat="1">
      <c r="A3229" s="1"/>
      <c r="E3229"/>
      <c r="F3229"/>
      <c r="G3229"/>
      <c r="H3229"/>
      <c r="I3229"/>
      <c r="J3229"/>
    </row>
    <row r="3230" spans="1:10" s="2" customFormat="1">
      <c r="A3230" s="1"/>
      <c r="E3230"/>
      <c r="F3230"/>
      <c r="G3230"/>
      <c r="H3230"/>
      <c r="I3230"/>
      <c r="J3230"/>
    </row>
    <row r="3231" spans="1:10" s="2" customFormat="1">
      <c r="A3231" s="1"/>
      <c r="E3231"/>
      <c r="F3231"/>
      <c r="G3231"/>
      <c r="H3231"/>
      <c r="I3231"/>
      <c r="J3231"/>
    </row>
    <row r="3232" spans="1:10" s="2" customFormat="1">
      <c r="A3232" s="1"/>
      <c r="E3232"/>
      <c r="F3232"/>
      <c r="G3232"/>
      <c r="H3232"/>
      <c r="I3232"/>
      <c r="J3232"/>
    </row>
    <row r="3233" spans="1:10" s="2" customFormat="1">
      <c r="A3233" s="1"/>
      <c r="E3233"/>
      <c r="F3233"/>
      <c r="G3233"/>
      <c r="H3233"/>
      <c r="I3233"/>
      <c r="J3233"/>
    </row>
    <row r="3234" spans="1:10" s="2" customFormat="1">
      <c r="A3234" s="1"/>
      <c r="E3234"/>
      <c r="F3234"/>
      <c r="G3234"/>
      <c r="H3234"/>
      <c r="I3234"/>
      <c r="J3234"/>
    </row>
    <row r="3235" spans="1:10" s="2" customFormat="1">
      <c r="A3235" s="1"/>
      <c r="E3235"/>
      <c r="F3235"/>
      <c r="G3235"/>
      <c r="H3235"/>
      <c r="I3235"/>
      <c r="J3235"/>
    </row>
    <row r="3236" spans="1:10" s="2" customFormat="1">
      <c r="A3236" s="1"/>
      <c r="E3236"/>
      <c r="F3236"/>
      <c r="G3236"/>
      <c r="H3236"/>
      <c r="I3236"/>
      <c r="J3236"/>
    </row>
    <row r="3237" spans="1:10" s="2" customFormat="1">
      <c r="A3237" s="1"/>
      <c r="E3237"/>
      <c r="F3237"/>
      <c r="G3237"/>
      <c r="H3237"/>
      <c r="I3237"/>
      <c r="J3237"/>
    </row>
    <row r="3238" spans="1:10" s="2" customFormat="1">
      <c r="A3238" s="1"/>
      <c r="E3238"/>
      <c r="F3238"/>
      <c r="G3238"/>
      <c r="H3238"/>
      <c r="I3238"/>
      <c r="J3238"/>
    </row>
    <row r="3239" spans="1:10" s="2" customFormat="1">
      <c r="A3239" s="1"/>
      <c r="E3239"/>
      <c r="F3239"/>
      <c r="G3239"/>
      <c r="H3239"/>
      <c r="I3239"/>
      <c r="J3239"/>
    </row>
    <row r="3240" spans="1:10" s="2" customFormat="1">
      <c r="A3240" s="1"/>
      <c r="E3240"/>
      <c r="F3240"/>
      <c r="G3240"/>
      <c r="H3240"/>
      <c r="I3240"/>
      <c r="J3240"/>
    </row>
    <row r="3241" spans="1:10" s="2" customFormat="1">
      <c r="A3241" s="1"/>
      <c r="E3241"/>
      <c r="F3241"/>
      <c r="G3241"/>
      <c r="H3241"/>
      <c r="I3241"/>
      <c r="J3241"/>
    </row>
    <row r="3242" spans="1:10" s="2" customFormat="1">
      <c r="A3242" s="1"/>
      <c r="E3242"/>
      <c r="F3242"/>
      <c r="G3242"/>
      <c r="H3242"/>
      <c r="I3242"/>
      <c r="J3242"/>
    </row>
    <row r="3243" spans="1:10" s="2" customFormat="1">
      <c r="A3243" s="1"/>
      <c r="E3243"/>
      <c r="F3243"/>
      <c r="G3243"/>
      <c r="H3243"/>
      <c r="I3243"/>
      <c r="J3243"/>
    </row>
    <row r="3244" spans="1:10" s="2" customFormat="1">
      <c r="A3244" s="1"/>
      <c r="E3244"/>
      <c r="F3244"/>
      <c r="G3244"/>
      <c r="H3244"/>
      <c r="I3244"/>
      <c r="J3244"/>
    </row>
    <row r="3245" spans="1:10" s="2" customFormat="1">
      <c r="A3245" s="1"/>
      <c r="E3245"/>
      <c r="F3245"/>
      <c r="G3245"/>
      <c r="H3245"/>
      <c r="I3245"/>
      <c r="J3245"/>
    </row>
    <row r="3246" spans="1:10" s="2" customFormat="1">
      <c r="A3246" s="1"/>
      <c r="E3246"/>
      <c r="F3246"/>
      <c r="G3246"/>
      <c r="H3246"/>
      <c r="I3246"/>
      <c r="J3246"/>
    </row>
    <row r="3247" spans="1:10" s="2" customFormat="1">
      <c r="A3247" s="1"/>
      <c r="E3247"/>
      <c r="F3247"/>
      <c r="G3247"/>
      <c r="H3247"/>
      <c r="I3247"/>
      <c r="J3247"/>
    </row>
    <row r="3248" spans="1:10" s="2" customFormat="1">
      <c r="A3248" s="1"/>
      <c r="E3248"/>
      <c r="F3248"/>
      <c r="G3248"/>
      <c r="H3248"/>
      <c r="I3248"/>
      <c r="J3248"/>
    </row>
    <row r="3249" spans="1:10" s="2" customFormat="1">
      <c r="A3249" s="1"/>
      <c r="E3249"/>
      <c r="F3249"/>
      <c r="G3249"/>
      <c r="H3249"/>
      <c r="I3249"/>
      <c r="J3249"/>
    </row>
    <row r="3250" spans="1:10" s="2" customFormat="1">
      <c r="A3250" s="1"/>
      <c r="E3250"/>
      <c r="F3250"/>
      <c r="G3250"/>
      <c r="H3250"/>
      <c r="I3250"/>
      <c r="J3250"/>
    </row>
    <row r="3251" spans="1:10" s="2" customFormat="1">
      <c r="A3251" s="1"/>
      <c r="E3251"/>
      <c r="F3251"/>
      <c r="G3251"/>
      <c r="H3251"/>
      <c r="I3251"/>
      <c r="J3251"/>
    </row>
    <row r="3252" spans="1:10" s="2" customFormat="1">
      <c r="A3252" s="1"/>
      <c r="E3252"/>
      <c r="F3252"/>
      <c r="G3252"/>
      <c r="H3252"/>
      <c r="I3252"/>
      <c r="J3252"/>
    </row>
    <row r="3253" spans="1:10" s="2" customFormat="1">
      <c r="A3253" s="1"/>
      <c r="E3253"/>
      <c r="F3253"/>
      <c r="G3253"/>
      <c r="H3253"/>
      <c r="I3253"/>
      <c r="J3253"/>
    </row>
    <row r="3254" spans="1:10" s="2" customFormat="1">
      <c r="A3254" s="1"/>
      <c r="E3254"/>
      <c r="F3254"/>
      <c r="G3254"/>
      <c r="H3254"/>
      <c r="I3254"/>
      <c r="J3254"/>
    </row>
    <row r="3255" spans="1:10" s="2" customFormat="1">
      <c r="A3255" s="1"/>
      <c r="E3255"/>
      <c r="F3255"/>
      <c r="G3255"/>
      <c r="H3255"/>
      <c r="I3255"/>
      <c r="J3255"/>
    </row>
    <row r="3256" spans="1:10" s="2" customFormat="1">
      <c r="A3256" s="1"/>
      <c r="E3256"/>
      <c r="F3256"/>
      <c r="G3256"/>
      <c r="H3256"/>
      <c r="I3256"/>
      <c r="J3256"/>
    </row>
    <row r="3257" spans="1:10" s="2" customFormat="1">
      <c r="A3257" s="1"/>
      <c r="E3257"/>
      <c r="F3257"/>
      <c r="G3257"/>
      <c r="H3257"/>
      <c r="I3257"/>
      <c r="J3257"/>
    </row>
    <row r="3258" spans="1:10" s="2" customFormat="1">
      <c r="A3258" s="1"/>
      <c r="E3258"/>
      <c r="F3258"/>
      <c r="G3258"/>
      <c r="H3258"/>
      <c r="I3258"/>
      <c r="J3258"/>
    </row>
    <row r="3259" spans="1:10" s="2" customFormat="1">
      <c r="A3259" s="1"/>
      <c r="E3259"/>
      <c r="F3259"/>
      <c r="G3259"/>
      <c r="H3259"/>
      <c r="I3259"/>
      <c r="J3259"/>
    </row>
    <row r="3260" spans="1:10" s="2" customFormat="1">
      <c r="A3260" s="1"/>
      <c r="E3260"/>
      <c r="F3260"/>
      <c r="G3260"/>
      <c r="H3260"/>
      <c r="I3260"/>
      <c r="J3260"/>
    </row>
    <row r="3261" spans="1:10" s="2" customFormat="1">
      <c r="A3261" s="1"/>
      <c r="E3261"/>
      <c r="F3261"/>
      <c r="G3261"/>
      <c r="H3261"/>
      <c r="I3261"/>
      <c r="J3261"/>
    </row>
    <row r="3262" spans="1:10" s="2" customFormat="1">
      <c r="A3262" s="1"/>
      <c r="E3262"/>
      <c r="F3262"/>
      <c r="G3262"/>
      <c r="H3262"/>
      <c r="I3262"/>
      <c r="J3262"/>
    </row>
    <row r="3263" spans="1:10" s="2" customFormat="1">
      <c r="A3263" s="1"/>
      <c r="E3263"/>
      <c r="F3263"/>
      <c r="G3263"/>
      <c r="H3263"/>
      <c r="I3263"/>
      <c r="J3263"/>
    </row>
    <row r="3264" spans="1:10" s="2" customFormat="1">
      <c r="A3264" s="1"/>
      <c r="E3264"/>
      <c r="F3264"/>
      <c r="G3264"/>
      <c r="H3264"/>
      <c r="I3264"/>
      <c r="J3264"/>
    </row>
    <row r="3265" spans="1:10" s="2" customFormat="1">
      <c r="A3265" s="1"/>
      <c r="E3265"/>
      <c r="F3265"/>
      <c r="G3265"/>
      <c r="H3265"/>
      <c r="I3265"/>
      <c r="J3265"/>
    </row>
    <row r="3266" spans="1:10" s="2" customFormat="1">
      <c r="A3266" s="1"/>
      <c r="E3266"/>
      <c r="F3266"/>
      <c r="G3266"/>
      <c r="H3266"/>
      <c r="I3266"/>
      <c r="J3266"/>
    </row>
    <row r="3267" spans="1:10" s="2" customFormat="1">
      <c r="A3267" s="1"/>
      <c r="E3267"/>
      <c r="F3267"/>
      <c r="G3267"/>
      <c r="H3267"/>
      <c r="I3267"/>
      <c r="J3267"/>
    </row>
    <row r="3268" spans="1:10" s="2" customFormat="1">
      <c r="A3268" s="1"/>
      <c r="E3268"/>
      <c r="F3268"/>
      <c r="G3268"/>
      <c r="H3268"/>
      <c r="I3268"/>
      <c r="J3268"/>
    </row>
    <row r="3269" spans="1:10" s="2" customFormat="1">
      <c r="A3269" s="1"/>
      <c r="E3269"/>
      <c r="F3269"/>
      <c r="G3269"/>
      <c r="H3269"/>
      <c r="I3269"/>
      <c r="J3269"/>
    </row>
    <row r="3270" spans="1:10" s="2" customFormat="1">
      <c r="A3270" s="1"/>
      <c r="E3270"/>
      <c r="F3270"/>
      <c r="G3270"/>
      <c r="H3270"/>
      <c r="I3270"/>
      <c r="J3270"/>
    </row>
    <row r="3271" spans="1:10" s="2" customFormat="1">
      <c r="A3271" s="1"/>
      <c r="E3271"/>
      <c r="F3271"/>
      <c r="G3271"/>
      <c r="H3271"/>
      <c r="I3271"/>
      <c r="J3271"/>
    </row>
    <row r="3272" spans="1:10" s="2" customFormat="1">
      <c r="A3272" s="1"/>
      <c r="E3272"/>
      <c r="F3272"/>
      <c r="G3272"/>
      <c r="H3272"/>
      <c r="I3272"/>
      <c r="J3272"/>
    </row>
    <row r="3273" spans="1:10" s="2" customFormat="1">
      <c r="A3273" s="1"/>
      <c r="E3273"/>
      <c r="F3273"/>
      <c r="G3273"/>
      <c r="H3273"/>
      <c r="I3273"/>
      <c r="J3273"/>
    </row>
    <row r="3274" spans="1:10" s="2" customFormat="1">
      <c r="A3274" s="1"/>
      <c r="E3274"/>
      <c r="F3274"/>
      <c r="G3274"/>
      <c r="H3274"/>
      <c r="I3274"/>
      <c r="J3274"/>
    </row>
    <row r="3275" spans="1:10" s="2" customFormat="1">
      <c r="A3275" s="1"/>
      <c r="E3275"/>
      <c r="F3275"/>
      <c r="G3275"/>
      <c r="H3275"/>
      <c r="I3275"/>
      <c r="J3275"/>
    </row>
    <row r="3276" spans="1:10" s="2" customFormat="1">
      <c r="A3276" s="1"/>
      <c r="E3276"/>
      <c r="F3276"/>
      <c r="G3276"/>
      <c r="H3276"/>
      <c r="I3276"/>
      <c r="J3276"/>
    </row>
    <row r="3277" spans="1:10" s="2" customFormat="1">
      <c r="A3277" s="1"/>
      <c r="E3277"/>
      <c r="F3277"/>
      <c r="G3277"/>
      <c r="H3277"/>
      <c r="I3277"/>
      <c r="J3277"/>
    </row>
    <row r="3278" spans="1:10" s="2" customFormat="1">
      <c r="A3278" s="1"/>
      <c r="E3278"/>
      <c r="F3278"/>
      <c r="G3278"/>
      <c r="H3278"/>
      <c r="I3278"/>
      <c r="J3278"/>
    </row>
    <row r="3279" spans="1:10" s="2" customFormat="1">
      <c r="A3279" s="1"/>
      <c r="E3279"/>
      <c r="F3279"/>
      <c r="G3279"/>
      <c r="H3279"/>
      <c r="I3279"/>
      <c r="J3279"/>
    </row>
    <row r="3280" spans="1:10" s="2" customFormat="1">
      <c r="A3280" s="1"/>
      <c r="E3280"/>
      <c r="F3280"/>
      <c r="G3280"/>
      <c r="H3280"/>
      <c r="I3280"/>
      <c r="J3280"/>
    </row>
    <row r="3281" spans="1:10" s="2" customFormat="1">
      <c r="A3281" s="1"/>
      <c r="E3281"/>
      <c r="F3281"/>
      <c r="G3281"/>
      <c r="H3281"/>
      <c r="I3281"/>
      <c r="J3281"/>
    </row>
    <row r="3282" spans="1:10" s="2" customFormat="1">
      <c r="A3282" s="1"/>
      <c r="E3282"/>
      <c r="F3282"/>
      <c r="G3282"/>
      <c r="H3282"/>
      <c r="I3282"/>
      <c r="J3282"/>
    </row>
    <row r="3283" spans="1:10" s="2" customFormat="1">
      <c r="A3283" s="1"/>
      <c r="E3283"/>
      <c r="F3283"/>
      <c r="G3283"/>
      <c r="H3283"/>
      <c r="I3283"/>
      <c r="J3283"/>
    </row>
    <row r="3284" spans="1:10" s="2" customFormat="1">
      <c r="A3284" s="1"/>
      <c r="E3284"/>
      <c r="F3284"/>
      <c r="G3284"/>
      <c r="H3284"/>
      <c r="I3284"/>
      <c r="J3284"/>
    </row>
    <row r="3285" spans="1:10" s="2" customFormat="1">
      <c r="A3285" s="1"/>
      <c r="E3285"/>
      <c r="F3285"/>
      <c r="G3285"/>
      <c r="H3285"/>
      <c r="I3285"/>
      <c r="J3285"/>
    </row>
    <row r="3286" spans="1:10" s="2" customFormat="1">
      <c r="A3286" s="1"/>
      <c r="E3286"/>
      <c r="F3286"/>
      <c r="G3286"/>
      <c r="H3286"/>
      <c r="I3286"/>
      <c r="J3286"/>
    </row>
    <row r="3287" spans="1:10" s="2" customFormat="1">
      <c r="A3287" s="1"/>
      <c r="E3287"/>
      <c r="F3287"/>
      <c r="G3287"/>
      <c r="H3287"/>
      <c r="I3287"/>
      <c r="J3287"/>
    </row>
    <row r="3288" spans="1:10" s="2" customFormat="1">
      <c r="A3288" s="1"/>
      <c r="E3288"/>
      <c r="F3288"/>
      <c r="G3288"/>
      <c r="H3288"/>
      <c r="I3288"/>
      <c r="J3288"/>
    </row>
    <row r="3289" spans="1:10" s="2" customFormat="1">
      <c r="A3289" s="1"/>
      <c r="E3289"/>
      <c r="F3289"/>
      <c r="G3289"/>
      <c r="H3289"/>
      <c r="I3289"/>
      <c r="J3289"/>
    </row>
    <row r="3290" spans="1:10" s="2" customFormat="1">
      <c r="A3290" s="1"/>
      <c r="E3290"/>
      <c r="F3290"/>
      <c r="G3290"/>
      <c r="H3290"/>
      <c r="I3290"/>
      <c r="J3290"/>
    </row>
    <row r="3291" spans="1:10" s="2" customFormat="1">
      <c r="A3291" s="1"/>
      <c r="E3291"/>
      <c r="F3291"/>
      <c r="G3291"/>
      <c r="H3291"/>
      <c r="I3291"/>
      <c r="J3291"/>
    </row>
    <row r="3292" spans="1:10" s="2" customFormat="1">
      <c r="A3292" s="1"/>
      <c r="E3292"/>
      <c r="F3292"/>
      <c r="G3292"/>
      <c r="H3292"/>
      <c r="I3292"/>
      <c r="J3292"/>
    </row>
    <row r="3293" spans="1:10" s="2" customFormat="1">
      <c r="A3293" s="1"/>
      <c r="E3293"/>
      <c r="F3293"/>
      <c r="G3293"/>
      <c r="H3293"/>
      <c r="I3293"/>
      <c r="J3293"/>
    </row>
    <row r="3294" spans="1:10" s="2" customFormat="1">
      <c r="A3294" s="1"/>
      <c r="E3294"/>
      <c r="F3294"/>
      <c r="G3294"/>
      <c r="H3294"/>
      <c r="I3294"/>
      <c r="J3294"/>
    </row>
    <row r="3295" spans="1:10" s="2" customFormat="1">
      <c r="A3295" s="1"/>
      <c r="E3295"/>
      <c r="F3295"/>
      <c r="G3295"/>
      <c r="H3295"/>
      <c r="I3295"/>
      <c r="J3295"/>
    </row>
    <row r="3296" spans="1:10" s="2" customFormat="1">
      <c r="A3296" s="1"/>
      <c r="E3296"/>
      <c r="F3296"/>
      <c r="G3296"/>
      <c r="H3296"/>
      <c r="I3296"/>
      <c r="J3296"/>
    </row>
    <row r="3297" spans="1:10" s="2" customFormat="1">
      <c r="A3297" s="1"/>
      <c r="E3297"/>
      <c r="F3297"/>
      <c r="G3297"/>
      <c r="H3297"/>
      <c r="I3297"/>
      <c r="J3297"/>
    </row>
    <row r="3298" spans="1:10" s="2" customFormat="1">
      <c r="A3298" s="1"/>
      <c r="E3298"/>
      <c r="F3298"/>
      <c r="G3298"/>
      <c r="H3298"/>
      <c r="I3298"/>
      <c r="J3298"/>
    </row>
    <row r="3299" spans="1:10" s="2" customFormat="1">
      <c r="A3299" s="1"/>
      <c r="E3299"/>
      <c r="F3299"/>
      <c r="G3299"/>
      <c r="H3299"/>
      <c r="I3299"/>
      <c r="J3299"/>
    </row>
    <row r="3300" spans="1:10" s="2" customFormat="1">
      <c r="A3300" s="1"/>
      <c r="E3300"/>
      <c r="F3300"/>
      <c r="G3300"/>
      <c r="H3300"/>
      <c r="I3300"/>
      <c r="J3300"/>
    </row>
    <row r="3301" spans="1:10" s="2" customFormat="1">
      <c r="A3301" s="1"/>
      <c r="E3301"/>
      <c r="F3301"/>
      <c r="G3301"/>
      <c r="H3301"/>
      <c r="I3301"/>
      <c r="J3301"/>
    </row>
    <row r="3302" spans="1:10" s="2" customFormat="1">
      <c r="A3302" s="1"/>
      <c r="E3302"/>
      <c r="F3302"/>
      <c r="G3302"/>
      <c r="H3302"/>
      <c r="I3302"/>
      <c r="J3302"/>
    </row>
    <row r="3303" spans="1:10" s="2" customFormat="1">
      <c r="A3303" s="1"/>
      <c r="E3303"/>
      <c r="F3303"/>
      <c r="G3303"/>
      <c r="H3303"/>
      <c r="I3303"/>
      <c r="J3303"/>
    </row>
    <row r="3304" spans="1:10" s="2" customFormat="1">
      <c r="A3304" s="1"/>
      <c r="E3304"/>
      <c r="F3304"/>
      <c r="G3304"/>
      <c r="H3304"/>
      <c r="I3304"/>
      <c r="J3304"/>
    </row>
    <row r="3305" spans="1:10" s="2" customFormat="1">
      <c r="A3305" s="1"/>
      <c r="E3305"/>
      <c r="F3305"/>
      <c r="G3305"/>
      <c r="H3305"/>
      <c r="I3305"/>
      <c r="J3305"/>
    </row>
    <row r="3306" spans="1:10" s="2" customFormat="1">
      <c r="A3306" s="1"/>
      <c r="E3306"/>
      <c r="F3306"/>
      <c r="G3306"/>
      <c r="H3306"/>
      <c r="I3306"/>
      <c r="J3306"/>
    </row>
    <row r="3307" spans="1:10" s="2" customFormat="1">
      <c r="A3307" s="1"/>
      <c r="E3307"/>
      <c r="F3307"/>
      <c r="G3307"/>
      <c r="H3307"/>
      <c r="I3307"/>
      <c r="J3307"/>
    </row>
    <row r="3308" spans="1:10" s="2" customFormat="1">
      <c r="A3308" s="1"/>
      <c r="E3308"/>
      <c r="F3308"/>
      <c r="G3308"/>
      <c r="H3308"/>
      <c r="I3308"/>
      <c r="J3308"/>
    </row>
    <row r="3309" spans="1:10" s="2" customFormat="1">
      <c r="A3309" s="1"/>
      <c r="E3309"/>
      <c r="F3309"/>
      <c r="G3309"/>
      <c r="H3309"/>
      <c r="I3309"/>
      <c r="J3309"/>
    </row>
    <row r="3310" spans="1:10" s="2" customFormat="1">
      <c r="A3310" s="1"/>
      <c r="E3310"/>
      <c r="F3310"/>
      <c r="G3310"/>
      <c r="H3310"/>
      <c r="I3310"/>
      <c r="J3310"/>
    </row>
    <row r="3311" spans="1:10" s="2" customFormat="1">
      <c r="A3311" s="1"/>
      <c r="E3311"/>
      <c r="F3311"/>
      <c r="G3311"/>
      <c r="H3311"/>
      <c r="I3311"/>
      <c r="J3311"/>
    </row>
    <row r="3312" spans="1:10" s="2" customFormat="1">
      <c r="A3312" s="1"/>
      <c r="E3312"/>
      <c r="F3312"/>
      <c r="G3312"/>
      <c r="H3312"/>
      <c r="I3312"/>
      <c r="J3312"/>
    </row>
    <row r="3313" spans="1:10" s="2" customFormat="1">
      <c r="A3313" s="1"/>
      <c r="E3313"/>
      <c r="F3313"/>
      <c r="G3313"/>
      <c r="H3313"/>
      <c r="I3313"/>
      <c r="J3313"/>
    </row>
    <row r="3314" spans="1:10" s="2" customFormat="1">
      <c r="A3314" s="1"/>
      <c r="E3314"/>
      <c r="F3314"/>
      <c r="G3314"/>
      <c r="H3314"/>
      <c r="I3314"/>
      <c r="J3314"/>
    </row>
    <row r="3315" spans="1:10" s="2" customFormat="1">
      <c r="A3315" s="1"/>
      <c r="E3315"/>
      <c r="F3315"/>
      <c r="G3315"/>
      <c r="H3315"/>
      <c r="I3315"/>
      <c r="J3315"/>
    </row>
    <row r="3316" spans="1:10" s="2" customFormat="1">
      <c r="A3316" s="1"/>
      <c r="E3316"/>
      <c r="F3316"/>
      <c r="G3316"/>
      <c r="H3316"/>
      <c r="I3316"/>
      <c r="J3316"/>
    </row>
    <row r="3317" spans="1:10" s="2" customFormat="1">
      <c r="A3317" s="1"/>
      <c r="E3317"/>
      <c r="F3317"/>
      <c r="G3317"/>
      <c r="H3317"/>
      <c r="I3317"/>
      <c r="J3317"/>
    </row>
    <row r="3318" spans="1:10" s="2" customFormat="1">
      <c r="A3318" s="1"/>
      <c r="E3318"/>
      <c r="F3318"/>
      <c r="G3318"/>
      <c r="H3318"/>
      <c r="I3318"/>
      <c r="J3318"/>
    </row>
    <row r="3319" spans="1:10" s="2" customFormat="1">
      <c r="A3319" s="1"/>
      <c r="E3319"/>
      <c r="F3319"/>
      <c r="G3319"/>
      <c r="H3319"/>
      <c r="I3319"/>
      <c r="J3319"/>
    </row>
    <row r="3320" spans="1:10" s="2" customFormat="1">
      <c r="A3320" s="1"/>
      <c r="E3320"/>
      <c r="F3320"/>
      <c r="G3320"/>
      <c r="H3320"/>
      <c r="I3320"/>
      <c r="J3320"/>
    </row>
    <row r="3321" spans="1:10" s="2" customFormat="1">
      <c r="A3321" s="1"/>
      <c r="E3321"/>
      <c r="F3321"/>
      <c r="G3321"/>
      <c r="H3321"/>
      <c r="I3321"/>
      <c r="J3321"/>
    </row>
    <row r="3322" spans="1:10" s="2" customFormat="1">
      <c r="A3322" s="1"/>
      <c r="E3322"/>
      <c r="F3322"/>
      <c r="G3322"/>
      <c r="H3322"/>
      <c r="I3322"/>
      <c r="J3322"/>
    </row>
    <row r="3323" spans="1:10" s="2" customFormat="1">
      <c r="A3323" s="1"/>
      <c r="E3323"/>
      <c r="F3323"/>
      <c r="G3323"/>
      <c r="H3323"/>
      <c r="I3323"/>
      <c r="J3323"/>
    </row>
    <row r="3324" spans="1:10" s="2" customFormat="1">
      <c r="A3324" s="1"/>
      <c r="E3324"/>
      <c r="F3324"/>
      <c r="G3324"/>
      <c r="H3324"/>
      <c r="I3324"/>
      <c r="J3324"/>
    </row>
    <row r="3325" spans="1:10" s="2" customFormat="1">
      <c r="A3325" s="1"/>
      <c r="E3325"/>
      <c r="F3325"/>
      <c r="G3325"/>
      <c r="H3325"/>
      <c r="I3325"/>
      <c r="J3325"/>
    </row>
    <row r="3326" spans="1:10" s="2" customFormat="1">
      <c r="A3326" s="1"/>
      <c r="E3326"/>
      <c r="F3326"/>
      <c r="G3326"/>
      <c r="H3326"/>
      <c r="I3326"/>
      <c r="J3326"/>
    </row>
    <row r="3327" spans="1:10" s="2" customFormat="1">
      <c r="A3327" s="1"/>
      <c r="E3327"/>
      <c r="F3327"/>
      <c r="G3327"/>
      <c r="H3327"/>
      <c r="I3327"/>
      <c r="J3327"/>
    </row>
    <row r="3328" spans="1:10" s="2" customFormat="1">
      <c r="A3328" s="1"/>
      <c r="E3328"/>
      <c r="F3328"/>
      <c r="G3328"/>
      <c r="H3328"/>
      <c r="I3328"/>
      <c r="J3328"/>
    </row>
    <row r="3329" spans="1:10" s="2" customFormat="1">
      <c r="A3329" s="1"/>
      <c r="E3329"/>
      <c r="F3329"/>
      <c r="G3329"/>
      <c r="H3329"/>
      <c r="I3329"/>
      <c r="J3329"/>
    </row>
    <row r="3330" spans="1:10" s="2" customFormat="1">
      <c r="A3330" s="1"/>
      <c r="E3330"/>
      <c r="F3330"/>
      <c r="G3330"/>
      <c r="H3330"/>
      <c r="I3330"/>
      <c r="J3330"/>
    </row>
    <row r="3331" spans="1:10" s="2" customFormat="1">
      <c r="A3331" s="1"/>
      <c r="E3331"/>
      <c r="F3331"/>
      <c r="G3331"/>
      <c r="H3331"/>
      <c r="I3331"/>
      <c r="J3331"/>
    </row>
    <row r="3332" spans="1:10" s="2" customFormat="1">
      <c r="A3332" s="1"/>
      <c r="E3332"/>
      <c r="F3332"/>
      <c r="G3332"/>
      <c r="H3332"/>
      <c r="I3332"/>
      <c r="J3332"/>
    </row>
    <row r="3333" spans="1:10" s="2" customFormat="1">
      <c r="A3333" s="1"/>
      <c r="E3333"/>
      <c r="F3333"/>
      <c r="G3333"/>
      <c r="H3333"/>
      <c r="I3333"/>
      <c r="J3333"/>
    </row>
    <row r="3334" spans="1:10" s="2" customFormat="1">
      <c r="A3334" s="1"/>
      <c r="E3334"/>
      <c r="F3334"/>
      <c r="G3334"/>
      <c r="H3334"/>
      <c r="I3334"/>
      <c r="J3334"/>
    </row>
    <row r="3335" spans="1:10" s="2" customFormat="1">
      <c r="A3335" s="1"/>
      <c r="E3335"/>
      <c r="F3335"/>
      <c r="G3335"/>
      <c r="H3335"/>
      <c r="I3335"/>
      <c r="J3335"/>
    </row>
    <row r="3336" spans="1:10" s="2" customFormat="1">
      <c r="A3336" s="1"/>
      <c r="E3336"/>
      <c r="F3336"/>
      <c r="G3336"/>
      <c r="H3336"/>
      <c r="I3336"/>
      <c r="J3336"/>
    </row>
    <row r="3337" spans="1:10" s="2" customFormat="1">
      <c r="A3337" s="1"/>
      <c r="E3337"/>
      <c r="F3337"/>
      <c r="G3337"/>
      <c r="H3337"/>
      <c r="I3337"/>
      <c r="J3337"/>
    </row>
    <row r="3338" spans="1:10" s="2" customFormat="1">
      <c r="A3338" s="1"/>
      <c r="E3338"/>
      <c r="F3338"/>
      <c r="G3338"/>
      <c r="H3338"/>
      <c r="I3338"/>
      <c r="J3338"/>
    </row>
    <row r="3339" spans="1:10" s="2" customFormat="1">
      <c r="A3339" s="1"/>
      <c r="E3339"/>
      <c r="F3339"/>
      <c r="G3339"/>
      <c r="H3339"/>
      <c r="I3339"/>
      <c r="J3339"/>
    </row>
    <row r="3340" spans="1:10" s="2" customFormat="1">
      <c r="A3340" s="1"/>
      <c r="E3340"/>
      <c r="F3340"/>
      <c r="G3340"/>
      <c r="H3340"/>
      <c r="I3340"/>
      <c r="J3340"/>
    </row>
    <row r="3341" spans="1:10" s="2" customFormat="1">
      <c r="A3341" s="1"/>
      <c r="E3341"/>
      <c r="F3341"/>
      <c r="G3341"/>
      <c r="H3341"/>
      <c r="I3341"/>
      <c r="J3341"/>
    </row>
    <row r="3342" spans="1:10" s="2" customFormat="1">
      <c r="A3342" s="1"/>
      <c r="E3342"/>
      <c r="F3342"/>
      <c r="G3342"/>
      <c r="H3342"/>
      <c r="I3342"/>
      <c r="J3342"/>
    </row>
    <row r="3343" spans="1:10" s="2" customFormat="1">
      <c r="A3343" s="1"/>
      <c r="E3343"/>
      <c r="F3343"/>
      <c r="G3343"/>
      <c r="H3343"/>
      <c r="I3343"/>
      <c r="J3343"/>
    </row>
    <row r="3344" spans="1:10" s="2" customFormat="1">
      <c r="A3344" s="1"/>
      <c r="E3344"/>
      <c r="F3344"/>
      <c r="G3344"/>
      <c r="H3344"/>
      <c r="I3344"/>
      <c r="J3344"/>
    </row>
    <row r="3345" spans="1:10" s="2" customFormat="1">
      <c r="A3345" s="1"/>
      <c r="E3345"/>
      <c r="F3345"/>
      <c r="G3345"/>
      <c r="H3345"/>
      <c r="I3345"/>
      <c r="J3345"/>
    </row>
    <row r="3346" spans="1:10" s="2" customFormat="1">
      <c r="A3346" s="1"/>
      <c r="E3346"/>
      <c r="F3346"/>
      <c r="G3346"/>
      <c r="H3346"/>
      <c r="I3346"/>
      <c r="J3346"/>
    </row>
    <row r="3347" spans="1:10" s="2" customFormat="1">
      <c r="A3347" s="1"/>
      <c r="E3347"/>
      <c r="F3347"/>
      <c r="G3347"/>
      <c r="H3347"/>
      <c r="I3347"/>
      <c r="J3347"/>
    </row>
    <row r="3348" spans="1:10" s="2" customFormat="1">
      <c r="A3348" s="1"/>
      <c r="E3348"/>
      <c r="F3348"/>
      <c r="G3348"/>
      <c r="H3348"/>
      <c r="I3348"/>
      <c r="J3348"/>
    </row>
    <row r="3349" spans="1:10" s="2" customFormat="1">
      <c r="A3349" s="1"/>
      <c r="E3349"/>
      <c r="F3349"/>
      <c r="G3349"/>
      <c r="H3349"/>
      <c r="I3349"/>
      <c r="J3349"/>
    </row>
    <row r="3350" spans="1:10" s="2" customFormat="1">
      <c r="A3350" s="1"/>
      <c r="E3350"/>
      <c r="F3350"/>
      <c r="G3350"/>
      <c r="H3350"/>
      <c r="I3350"/>
      <c r="J3350"/>
    </row>
    <row r="3351" spans="1:10" s="2" customFormat="1">
      <c r="A3351" s="1"/>
      <c r="E3351"/>
      <c r="F3351"/>
      <c r="G3351"/>
      <c r="H3351"/>
      <c r="I3351"/>
      <c r="J3351"/>
    </row>
    <row r="3352" spans="1:10" s="2" customFormat="1">
      <c r="A3352" s="1"/>
      <c r="E3352"/>
      <c r="F3352"/>
      <c r="G3352"/>
      <c r="H3352"/>
      <c r="I3352"/>
      <c r="J3352"/>
    </row>
    <row r="3353" spans="1:10" s="2" customFormat="1">
      <c r="A3353" s="1"/>
      <c r="E3353"/>
      <c r="F3353"/>
      <c r="G3353"/>
      <c r="H3353"/>
      <c r="I3353"/>
      <c r="J3353"/>
    </row>
    <row r="3354" spans="1:10" s="2" customFormat="1">
      <c r="A3354" s="1"/>
      <c r="E3354"/>
      <c r="F3354"/>
      <c r="G3354"/>
      <c r="H3354"/>
      <c r="I3354"/>
      <c r="J3354"/>
    </row>
    <row r="3355" spans="1:10" s="2" customFormat="1">
      <c r="A3355" s="1"/>
      <c r="E3355"/>
      <c r="F3355"/>
      <c r="G3355"/>
      <c r="H3355"/>
      <c r="I3355"/>
      <c r="J3355"/>
    </row>
    <row r="3356" spans="1:10" s="2" customFormat="1">
      <c r="A3356" s="1"/>
      <c r="E3356"/>
      <c r="F3356"/>
      <c r="G3356"/>
      <c r="H3356"/>
      <c r="I3356"/>
      <c r="J3356"/>
    </row>
    <row r="3357" spans="1:10" s="2" customFormat="1">
      <c r="A3357" s="1"/>
      <c r="E3357"/>
      <c r="F3357"/>
      <c r="G3357"/>
      <c r="H3357"/>
      <c r="I3357"/>
      <c r="J3357"/>
    </row>
    <row r="3358" spans="1:10" s="2" customFormat="1">
      <c r="A3358" s="1"/>
      <c r="E3358"/>
      <c r="F3358"/>
      <c r="G3358"/>
      <c r="H3358"/>
      <c r="I3358"/>
      <c r="J3358"/>
    </row>
    <row r="3359" spans="1:10" s="2" customFormat="1">
      <c r="A3359" s="1"/>
      <c r="E3359"/>
      <c r="F3359"/>
      <c r="G3359"/>
      <c r="H3359"/>
      <c r="I3359"/>
      <c r="J3359"/>
    </row>
    <row r="3360" spans="1:10" s="2" customFormat="1">
      <c r="A3360" s="1"/>
      <c r="E3360"/>
      <c r="F3360"/>
      <c r="G3360"/>
      <c r="H3360"/>
      <c r="I3360"/>
      <c r="J3360"/>
    </row>
    <row r="3361" spans="1:10" s="2" customFormat="1">
      <c r="A3361" s="1"/>
      <c r="E3361"/>
      <c r="F3361"/>
      <c r="G3361"/>
      <c r="H3361"/>
      <c r="I3361"/>
      <c r="J3361"/>
    </row>
    <row r="3362" spans="1:10" s="2" customFormat="1">
      <c r="A3362" s="1"/>
      <c r="E3362"/>
      <c r="F3362"/>
      <c r="G3362"/>
      <c r="H3362"/>
      <c r="I3362"/>
      <c r="J3362"/>
    </row>
    <row r="3363" spans="1:10" s="2" customFormat="1">
      <c r="A3363" s="1"/>
      <c r="E3363"/>
      <c r="F3363"/>
      <c r="G3363"/>
      <c r="H3363"/>
      <c r="I3363"/>
      <c r="J3363"/>
    </row>
    <row r="3364" spans="1:10" s="2" customFormat="1">
      <c r="A3364" s="1"/>
      <c r="E3364"/>
      <c r="F3364"/>
      <c r="G3364"/>
      <c r="H3364"/>
      <c r="I3364"/>
      <c r="J3364"/>
    </row>
    <row r="3365" spans="1:10" s="2" customFormat="1">
      <c r="A3365" s="1"/>
      <c r="E3365"/>
      <c r="F3365"/>
      <c r="G3365"/>
      <c r="H3365"/>
      <c r="I3365"/>
      <c r="J3365"/>
    </row>
    <row r="3366" spans="1:10" s="2" customFormat="1">
      <c r="A3366" s="1"/>
      <c r="E3366"/>
      <c r="F3366"/>
      <c r="G3366"/>
      <c r="H3366"/>
      <c r="I3366"/>
      <c r="J3366"/>
    </row>
    <row r="3367" spans="1:10" s="2" customFormat="1">
      <c r="A3367" s="1"/>
      <c r="E3367"/>
      <c r="F3367"/>
      <c r="G3367"/>
      <c r="H3367"/>
      <c r="I3367"/>
      <c r="J3367"/>
    </row>
    <row r="3368" spans="1:10" s="2" customFormat="1">
      <c r="A3368" s="1"/>
      <c r="E3368"/>
      <c r="F3368"/>
      <c r="G3368"/>
      <c r="H3368"/>
      <c r="I3368"/>
      <c r="J3368"/>
    </row>
    <row r="3369" spans="1:10" s="2" customFormat="1">
      <c r="A3369" s="1"/>
      <c r="E3369"/>
      <c r="F3369"/>
      <c r="G3369"/>
      <c r="H3369"/>
      <c r="I3369"/>
      <c r="J3369"/>
    </row>
    <row r="3370" spans="1:10" s="2" customFormat="1">
      <c r="A3370" s="1"/>
      <c r="E3370"/>
      <c r="F3370"/>
      <c r="G3370"/>
      <c r="H3370"/>
      <c r="I3370"/>
      <c r="J3370"/>
    </row>
    <row r="3371" spans="1:10" s="2" customFormat="1">
      <c r="A3371" s="1"/>
      <c r="E3371"/>
      <c r="F3371"/>
      <c r="G3371"/>
      <c r="H3371"/>
      <c r="I3371"/>
      <c r="J3371"/>
    </row>
    <row r="3372" spans="1:10" s="2" customFormat="1">
      <c r="A3372" s="1"/>
      <c r="E3372"/>
      <c r="F3372"/>
      <c r="G3372"/>
      <c r="H3372"/>
      <c r="I3372"/>
      <c r="J3372"/>
    </row>
    <row r="3373" spans="1:10" s="2" customFormat="1">
      <c r="A3373" s="1"/>
      <c r="E3373"/>
      <c r="F3373"/>
      <c r="G3373"/>
      <c r="H3373"/>
      <c r="I3373"/>
      <c r="J3373"/>
    </row>
    <row r="3374" spans="1:10" s="2" customFormat="1">
      <c r="A3374" s="1"/>
      <c r="E3374"/>
      <c r="F3374"/>
      <c r="G3374"/>
      <c r="H3374"/>
      <c r="I3374"/>
      <c r="J3374"/>
    </row>
    <row r="3375" spans="1:10" s="2" customFormat="1">
      <c r="A3375" s="1"/>
      <c r="E3375"/>
      <c r="F3375"/>
      <c r="G3375"/>
      <c r="H3375"/>
      <c r="I3375"/>
      <c r="J3375"/>
    </row>
    <row r="3376" spans="1:10" s="2" customFormat="1">
      <c r="A3376" s="1"/>
      <c r="E3376"/>
      <c r="F3376"/>
      <c r="G3376"/>
      <c r="H3376"/>
      <c r="I3376"/>
      <c r="J3376"/>
    </row>
    <row r="3377" spans="1:10" s="2" customFormat="1">
      <c r="A3377" s="1"/>
      <c r="E3377"/>
      <c r="F3377"/>
      <c r="G3377"/>
      <c r="H3377"/>
      <c r="I3377"/>
      <c r="J3377"/>
    </row>
    <row r="3378" spans="1:10" s="2" customFormat="1">
      <c r="A3378" s="1"/>
      <c r="E3378"/>
      <c r="F3378"/>
      <c r="G3378"/>
      <c r="H3378"/>
      <c r="I3378"/>
      <c r="J3378"/>
    </row>
    <row r="3379" spans="1:10" s="2" customFormat="1">
      <c r="A3379" s="1"/>
      <c r="E3379"/>
      <c r="F3379"/>
      <c r="G3379"/>
      <c r="H3379"/>
      <c r="I3379"/>
      <c r="J3379"/>
    </row>
    <row r="3380" spans="1:10" s="2" customFormat="1">
      <c r="A3380" s="1"/>
      <c r="E3380"/>
      <c r="F3380"/>
      <c r="G3380"/>
      <c r="H3380"/>
      <c r="I3380"/>
      <c r="J3380"/>
    </row>
    <row r="3381" spans="1:10" s="2" customFormat="1">
      <c r="A3381" s="1"/>
      <c r="E3381"/>
      <c r="F3381"/>
      <c r="G3381"/>
      <c r="H3381"/>
      <c r="I3381"/>
      <c r="J3381"/>
    </row>
    <row r="3382" spans="1:10" s="2" customFormat="1">
      <c r="A3382" s="1"/>
      <c r="E3382"/>
      <c r="F3382"/>
      <c r="G3382"/>
      <c r="H3382"/>
      <c r="I3382"/>
      <c r="J3382"/>
    </row>
    <row r="3383" spans="1:10" s="2" customFormat="1">
      <c r="A3383" s="1"/>
      <c r="E3383"/>
      <c r="F3383"/>
      <c r="G3383"/>
      <c r="H3383"/>
      <c r="I3383"/>
      <c r="J3383"/>
    </row>
    <row r="3384" spans="1:10" s="2" customFormat="1">
      <c r="A3384" s="1"/>
      <c r="E3384"/>
      <c r="F3384"/>
      <c r="G3384"/>
      <c r="H3384"/>
      <c r="I3384"/>
      <c r="J3384"/>
    </row>
    <row r="3385" spans="1:10" s="2" customFormat="1">
      <c r="A3385" s="1"/>
      <c r="E3385"/>
      <c r="F3385"/>
      <c r="G3385"/>
      <c r="H3385"/>
      <c r="I3385"/>
      <c r="J3385"/>
    </row>
    <row r="3386" spans="1:10" s="2" customFormat="1">
      <c r="A3386" s="1"/>
      <c r="E3386"/>
      <c r="F3386"/>
      <c r="G3386"/>
      <c r="H3386"/>
      <c r="I3386"/>
      <c r="J3386"/>
    </row>
    <row r="3387" spans="1:10" s="2" customFormat="1">
      <c r="A3387" s="1"/>
      <c r="E3387"/>
      <c r="F3387"/>
      <c r="G3387"/>
      <c r="H3387"/>
      <c r="I3387"/>
      <c r="J3387"/>
    </row>
    <row r="3388" spans="1:10" s="2" customFormat="1">
      <c r="A3388" s="1"/>
      <c r="E3388"/>
      <c r="F3388"/>
      <c r="G3388"/>
      <c r="H3388"/>
      <c r="I3388"/>
      <c r="J3388"/>
    </row>
    <row r="3389" spans="1:10" s="2" customFormat="1">
      <c r="A3389" s="1"/>
      <c r="E3389"/>
      <c r="F3389"/>
      <c r="G3389"/>
      <c r="H3389"/>
      <c r="I3389"/>
      <c r="J3389"/>
    </row>
    <row r="3390" spans="1:10" s="2" customFormat="1">
      <c r="A3390" s="1"/>
      <c r="E3390"/>
      <c r="F3390"/>
      <c r="G3390"/>
      <c r="H3390"/>
      <c r="I3390"/>
      <c r="J3390"/>
    </row>
    <row r="3391" spans="1:10" s="2" customFormat="1">
      <c r="A3391" s="1"/>
      <c r="E3391"/>
      <c r="F3391"/>
      <c r="G3391"/>
      <c r="H3391"/>
      <c r="I3391"/>
      <c r="J3391"/>
    </row>
    <row r="3392" spans="1:10" s="2" customFormat="1">
      <c r="A3392" s="1"/>
      <c r="E3392"/>
      <c r="F3392"/>
      <c r="G3392"/>
      <c r="H3392"/>
      <c r="I3392"/>
      <c r="J3392"/>
    </row>
    <row r="3393" spans="1:10" s="2" customFormat="1">
      <c r="A3393" s="1"/>
      <c r="E3393"/>
      <c r="F3393"/>
      <c r="G3393"/>
      <c r="H3393"/>
      <c r="I3393"/>
      <c r="J3393"/>
    </row>
    <row r="3394" spans="1:10" s="2" customFormat="1">
      <c r="A3394" s="1"/>
      <c r="E3394"/>
      <c r="F3394"/>
      <c r="G3394"/>
      <c r="H3394"/>
      <c r="I3394"/>
      <c r="J3394"/>
    </row>
    <row r="3395" spans="1:10" s="2" customFormat="1">
      <c r="A3395" s="1"/>
      <c r="E3395"/>
      <c r="F3395"/>
      <c r="G3395"/>
      <c r="H3395"/>
      <c r="I3395"/>
      <c r="J3395"/>
    </row>
    <row r="3396" spans="1:10" s="2" customFormat="1">
      <c r="A3396" s="1"/>
      <c r="E3396"/>
      <c r="F3396"/>
      <c r="G3396"/>
      <c r="H3396"/>
      <c r="I3396"/>
      <c r="J3396"/>
    </row>
    <row r="3397" spans="1:10" s="2" customFormat="1">
      <c r="A3397" s="1"/>
      <c r="E3397"/>
      <c r="F3397"/>
      <c r="G3397"/>
      <c r="H3397"/>
      <c r="I3397"/>
      <c r="J3397"/>
    </row>
    <row r="3398" spans="1:10" s="2" customFormat="1">
      <c r="A3398" s="1"/>
      <c r="E3398"/>
      <c r="F3398"/>
      <c r="G3398"/>
      <c r="H3398"/>
      <c r="I3398"/>
      <c r="J3398"/>
    </row>
    <row r="3399" spans="1:10" s="2" customFormat="1">
      <c r="A3399" s="1"/>
      <c r="E3399"/>
      <c r="F3399"/>
      <c r="G3399"/>
      <c r="H3399"/>
      <c r="I3399"/>
      <c r="J3399"/>
    </row>
    <row r="3400" spans="1:10" s="2" customFormat="1">
      <c r="A3400" s="1"/>
      <c r="E3400"/>
      <c r="F3400"/>
      <c r="G3400"/>
      <c r="H3400"/>
      <c r="I3400"/>
      <c r="J3400"/>
    </row>
    <row r="3401" spans="1:10" s="2" customFormat="1">
      <c r="A3401" s="1"/>
      <c r="E3401"/>
      <c r="F3401"/>
      <c r="G3401"/>
      <c r="H3401"/>
      <c r="I3401"/>
      <c r="J3401"/>
    </row>
    <row r="3402" spans="1:10" s="2" customFormat="1">
      <c r="A3402" s="1"/>
      <c r="E3402"/>
      <c r="F3402"/>
      <c r="G3402"/>
      <c r="H3402"/>
      <c r="I3402"/>
      <c r="J3402"/>
    </row>
    <row r="3403" spans="1:10" s="2" customFormat="1">
      <c r="A3403" s="1"/>
      <c r="E3403"/>
      <c r="F3403"/>
      <c r="G3403"/>
      <c r="H3403"/>
      <c r="I3403"/>
      <c r="J3403"/>
    </row>
    <row r="3404" spans="1:10" s="2" customFormat="1">
      <c r="A3404" s="1"/>
      <c r="E3404"/>
      <c r="F3404"/>
      <c r="G3404"/>
      <c r="H3404"/>
      <c r="I3404"/>
      <c r="J3404"/>
    </row>
    <row r="3405" spans="1:10" s="2" customFormat="1">
      <c r="A3405" s="1"/>
      <c r="E3405"/>
      <c r="F3405"/>
      <c r="G3405"/>
      <c r="H3405"/>
      <c r="I3405"/>
      <c r="J3405"/>
    </row>
    <row r="3406" spans="1:10" s="2" customFormat="1">
      <c r="A3406" s="1"/>
      <c r="E3406"/>
      <c r="F3406"/>
      <c r="G3406"/>
      <c r="H3406"/>
      <c r="I3406"/>
      <c r="J3406"/>
    </row>
    <row r="3407" spans="1:10" s="2" customFormat="1">
      <c r="A3407" s="1"/>
      <c r="E3407"/>
      <c r="F3407"/>
      <c r="G3407"/>
      <c r="H3407"/>
      <c r="I3407"/>
      <c r="J3407"/>
    </row>
    <row r="3408" spans="1:10" s="2" customFormat="1">
      <c r="A3408" s="1"/>
      <c r="E3408"/>
      <c r="F3408"/>
      <c r="G3408"/>
      <c r="H3408"/>
      <c r="I3408"/>
      <c r="J3408"/>
    </row>
    <row r="3409" spans="1:10" s="2" customFormat="1">
      <c r="A3409" s="1"/>
      <c r="E3409"/>
      <c r="F3409"/>
      <c r="G3409"/>
      <c r="H3409"/>
      <c r="I3409"/>
      <c r="J3409"/>
    </row>
    <row r="3410" spans="1:10" s="2" customFormat="1">
      <c r="A3410" s="1"/>
      <c r="E3410"/>
      <c r="F3410"/>
      <c r="G3410"/>
      <c r="H3410"/>
      <c r="I3410"/>
      <c r="J3410"/>
    </row>
    <row r="3411" spans="1:10" s="2" customFormat="1">
      <c r="A3411" s="1"/>
      <c r="E3411"/>
      <c r="F3411"/>
      <c r="G3411"/>
      <c r="H3411"/>
      <c r="I3411"/>
      <c r="J3411"/>
    </row>
    <row r="3412" spans="1:10" s="2" customFormat="1">
      <c r="A3412" s="1"/>
      <c r="E3412"/>
      <c r="F3412"/>
      <c r="G3412"/>
      <c r="H3412"/>
      <c r="I3412"/>
      <c r="J3412"/>
    </row>
    <row r="3413" spans="1:10" s="2" customFormat="1">
      <c r="A3413" s="1"/>
      <c r="E3413"/>
      <c r="F3413"/>
      <c r="G3413"/>
      <c r="H3413"/>
      <c r="I3413"/>
      <c r="J3413"/>
    </row>
    <row r="3414" spans="1:10" s="2" customFormat="1">
      <c r="A3414" s="1"/>
      <c r="E3414"/>
      <c r="F3414"/>
      <c r="G3414"/>
      <c r="H3414"/>
      <c r="I3414"/>
      <c r="J3414"/>
    </row>
    <row r="3415" spans="1:10" s="2" customFormat="1">
      <c r="A3415" s="1"/>
      <c r="E3415"/>
      <c r="F3415"/>
      <c r="G3415"/>
      <c r="H3415"/>
      <c r="I3415"/>
      <c r="J3415"/>
    </row>
    <row r="3416" spans="1:10" s="2" customFormat="1">
      <c r="A3416" s="1"/>
      <c r="E3416"/>
      <c r="F3416"/>
      <c r="G3416"/>
      <c r="H3416"/>
      <c r="I3416"/>
      <c r="J3416"/>
    </row>
    <row r="3417" spans="1:10" s="2" customFormat="1">
      <c r="A3417" s="1"/>
      <c r="E3417"/>
      <c r="F3417"/>
      <c r="G3417"/>
      <c r="H3417"/>
      <c r="I3417"/>
      <c r="J3417"/>
    </row>
    <row r="3418" spans="1:10" s="2" customFormat="1">
      <c r="A3418" s="1"/>
      <c r="E3418"/>
      <c r="F3418"/>
      <c r="G3418"/>
      <c r="H3418"/>
      <c r="I3418"/>
      <c r="J3418"/>
    </row>
    <row r="3419" spans="1:10" s="2" customFormat="1">
      <c r="A3419" s="1"/>
      <c r="E3419"/>
      <c r="F3419"/>
      <c r="G3419"/>
      <c r="H3419"/>
      <c r="I3419"/>
      <c r="J3419"/>
    </row>
    <row r="3420" spans="1:10" s="2" customFormat="1">
      <c r="A3420" s="1"/>
      <c r="E3420"/>
      <c r="F3420"/>
      <c r="G3420"/>
      <c r="H3420"/>
      <c r="I3420"/>
      <c r="J3420"/>
    </row>
    <row r="3421" spans="1:10" s="2" customFormat="1">
      <c r="A3421" s="1"/>
      <c r="E3421"/>
      <c r="F3421"/>
      <c r="G3421"/>
      <c r="H3421"/>
      <c r="I3421"/>
      <c r="J3421"/>
    </row>
    <row r="3422" spans="1:10" s="2" customFormat="1">
      <c r="A3422" s="1"/>
      <c r="E3422"/>
      <c r="F3422"/>
      <c r="G3422"/>
      <c r="H3422"/>
      <c r="I3422"/>
      <c r="J3422"/>
    </row>
    <row r="3423" spans="1:10" s="2" customFormat="1">
      <c r="A3423" s="1"/>
      <c r="E3423"/>
      <c r="F3423"/>
      <c r="G3423"/>
      <c r="H3423"/>
      <c r="I3423"/>
      <c r="J3423"/>
    </row>
    <row r="3424" spans="1:10" s="2" customFormat="1">
      <c r="A3424" s="1"/>
      <c r="E3424"/>
      <c r="F3424"/>
      <c r="G3424"/>
      <c r="H3424"/>
      <c r="I3424"/>
      <c r="J3424"/>
    </row>
    <row r="3425" spans="1:10" s="2" customFormat="1">
      <c r="A3425" s="1"/>
      <c r="E3425"/>
      <c r="F3425"/>
      <c r="G3425"/>
      <c r="H3425"/>
      <c r="I3425"/>
      <c r="J3425"/>
    </row>
    <row r="3426" spans="1:10" s="2" customFormat="1">
      <c r="A3426" s="1"/>
      <c r="E3426"/>
      <c r="F3426"/>
      <c r="G3426"/>
      <c r="H3426"/>
      <c r="I3426"/>
      <c r="J3426"/>
    </row>
    <row r="3427" spans="1:10" s="2" customFormat="1">
      <c r="A3427" s="1"/>
      <c r="E3427"/>
      <c r="F3427"/>
      <c r="G3427"/>
      <c r="H3427"/>
      <c r="I3427"/>
      <c r="J3427"/>
    </row>
    <row r="3428" spans="1:10" s="2" customFormat="1">
      <c r="A3428" s="1"/>
      <c r="E3428"/>
      <c r="F3428"/>
      <c r="G3428"/>
      <c r="H3428"/>
      <c r="I3428"/>
      <c r="J3428"/>
    </row>
    <row r="3429" spans="1:10" s="2" customFormat="1">
      <c r="A3429" s="1"/>
      <c r="E3429"/>
      <c r="F3429"/>
      <c r="G3429"/>
      <c r="H3429"/>
      <c r="I3429"/>
      <c r="J3429"/>
    </row>
    <row r="3430" spans="1:10" s="2" customFormat="1">
      <c r="A3430" s="1"/>
      <c r="E3430"/>
      <c r="F3430"/>
      <c r="G3430"/>
      <c r="H3430"/>
      <c r="I3430"/>
      <c r="J3430"/>
    </row>
    <row r="3431" spans="1:10" s="2" customFormat="1">
      <c r="A3431" s="1"/>
      <c r="E3431"/>
      <c r="F3431"/>
      <c r="G3431"/>
      <c r="H3431"/>
      <c r="I3431"/>
      <c r="J3431"/>
    </row>
    <row r="3432" spans="1:10" s="2" customFormat="1">
      <c r="A3432" s="1"/>
      <c r="E3432"/>
      <c r="F3432"/>
      <c r="G3432"/>
      <c r="H3432"/>
      <c r="I3432"/>
      <c r="J3432"/>
    </row>
    <row r="3433" spans="1:10" s="2" customFormat="1">
      <c r="A3433" s="1"/>
      <c r="E3433"/>
      <c r="F3433"/>
      <c r="G3433"/>
      <c r="H3433"/>
      <c r="I3433"/>
      <c r="J3433"/>
    </row>
    <row r="3434" spans="1:10" s="2" customFormat="1">
      <c r="A3434" s="1"/>
      <c r="E3434"/>
      <c r="F3434"/>
      <c r="G3434"/>
      <c r="H3434"/>
      <c r="I3434"/>
      <c r="J3434"/>
    </row>
    <row r="3435" spans="1:10" s="2" customFormat="1">
      <c r="A3435" s="1"/>
      <c r="E3435"/>
      <c r="F3435"/>
      <c r="G3435"/>
      <c r="H3435"/>
      <c r="I3435"/>
      <c r="J3435"/>
    </row>
    <row r="3436" spans="1:10" s="2" customFormat="1">
      <c r="A3436" s="1"/>
      <c r="E3436"/>
      <c r="F3436"/>
      <c r="G3436"/>
      <c r="H3436"/>
      <c r="I3436"/>
      <c r="J3436"/>
    </row>
    <row r="3437" spans="1:10" s="2" customFormat="1">
      <c r="A3437" s="1"/>
      <c r="E3437"/>
      <c r="F3437"/>
      <c r="G3437"/>
      <c r="H3437"/>
      <c r="I3437"/>
      <c r="J3437"/>
    </row>
    <row r="3438" spans="1:10" s="2" customFormat="1">
      <c r="A3438" s="1"/>
      <c r="E3438"/>
      <c r="F3438"/>
      <c r="G3438"/>
      <c r="H3438"/>
      <c r="I3438"/>
      <c r="J3438"/>
    </row>
    <row r="3439" spans="1:10" s="2" customFormat="1">
      <c r="A3439" s="1"/>
      <c r="E3439"/>
      <c r="F3439"/>
      <c r="G3439"/>
      <c r="H3439"/>
      <c r="I3439"/>
      <c r="J3439"/>
    </row>
    <row r="3440" spans="1:10" s="2" customFormat="1">
      <c r="A3440" s="1"/>
      <c r="E3440"/>
      <c r="F3440"/>
      <c r="G3440"/>
      <c r="H3440"/>
      <c r="I3440"/>
      <c r="J3440"/>
    </row>
    <row r="3441" spans="1:10" s="2" customFormat="1">
      <c r="A3441" s="1"/>
      <c r="E3441"/>
      <c r="F3441"/>
      <c r="G3441"/>
      <c r="H3441"/>
      <c r="I3441"/>
      <c r="J3441"/>
    </row>
    <row r="3442" spans="1:10" s="2" customFormat="1">
      <c r="A3442" s="1"/>
      <c r="E3442"/>
      <c r="F3442"/>
      <c r="G3442"/>
      <c r="H3442"/>
      <c r="I3442"/>
      <c r="J3442"/>
    </row>
    <row r="3443" spans="1:10" s="2" customFormat="1">
      <c r="A3443" s="1"/>
      <c r="E3443"/>
      <c r="F3443"/>
      <c r="G3443"/>
      <c r="H3443"/>
      <c r="I3443"/>
      <c r="J3443"/>
    </row>
    <row r="3444" spans="1:10" s="2" customFormat="1">
      <c r="A3444" s="1"/>
      <c r="E3444"/>
      <c r="F3444"/>
      <c r="G3444"/>
      <c r="H3444"/>
      <c r="I3444"/>
      <c r="J3444"/>
    </row>
    <row r="3445" spans="1:10" s="2" customFormat="1">
      <c r="A3445" s="1"/>
      <c r="E3445"/>
      <c r="F3445"/>
      <c r="G3445"/>
      <c r="H3445"/>
      <c r="I3445"/>
      <c r="J3445"/>
    </row>
    <row r="3446" spans="1:10" s="2" customFormat="1">
      <c r="A3446" s="1"/>
      <c r="E3446"/>
      <c r="F3446"/>
      <c r="G3446"/>
      <c r="H3446"/>
      <c r="I3446"/>
      <c r="J3446"/>
    </row>
    <row r="3447" spans="1:10" s="2" customFormat="1">
      <c r="A3447" s="1"/>
      <c r="E3447"/>
      <c r="F3447"/>
      <c r="G3447"/>
      <c r="H3447"/>
      <c r="I3447"/>
      <c r="J3447"/>
    </row>
    <row r="3448" spans="1:10" s="2" customFormat="1">
      <c r="A3448" s="1"/>
      <c r="E3448"/>
      <c r="F3448"/>
      <c r="G3448"/>
      <c r="H3448"/>
      <c r="I3448"/>
      <c r="J3448"/>
    </row>
    <row r="3449" spans="1:10" s="2" customFormat="1">
      <c r="A3449" s="1"/>
      <c r="E3449"/>
      <c r="F3449"/>
      <c r="G3449"/>
      <c r="H3449"/>
      <c r="I3449"/>
      <c r="J3449"/>
    </row>
    <row r="3450" spans="1:10" s="2" customFormat="1">
      <c r="A3450" s="1"/>
      <c r="E3450"/>
      <c r="F3450"/>
      <c r="G3450"/>
      <c r="H3450"/>
      <c r="I3450"/>
      <c r="J3450"/>
    </row>
    <row r="3451" spans="1:10" s="2" customFormat="1">
      <c r="A3451" s="1"/>
      <c r="E3451"/>
      <c r="F3451"/>
      <c r="G3451"/>
      <c r="H3451"/>
      <c r="I3451"/>
      <c r="J3451"/>
    </row>
    <row r="3452" spans="1:10" s="2" customFormat="1">
      <c r="A3452" s="1"/>
      <c r="E3452"/>
      <c r="F3452"/>
      <c r="G3452"/>
      <c r="H3452"/>
      <c r="I3452"/>
      <c r="J3452"/>
    </row>
    <row r="3453" spans="1:10" s="2" customFormat="1">
      <c r="A3453" s="1"/>
      <c r="E3453"/>
      <c r="F3453"/>
      <c r="G3453"/>
      <c r="H3453"/>
      <c r="I3453"/>
      <c r="J3453"/>
    </row>
    <row r="3454" spans="1:10" s="2" customFormat="1">
      <c r="A3454" s="1"/>
      <c r="E3454"/>
      <c r="F3454"/>
      <c r="G3454"/>
      <c r="H3454"/>
      <c r="I3454"/>
      <c r="J3454"/>
    </row>
    <row r="3455" spans="1:10" s="2" customFormat="1">
      <c r="A3455" s="1"/>
      <c r="E3455"/>
      <c r="F3455"/>
      <c r="G3455"/>
      <c r="H3455"/>
      <c r="I3455"/>
      <c r="J3455"/>
    </row>
    <row r="3456" spans="1:10" s="2" customFormat="1">
      <c r="A3456" s="1"/>
      <c r="E3456"/>
      <c r="F3456"/>
      <c r="G3456"/>
      <c r="H3456"/>
      <c r="I3456"/>
      <c r="J3456"/>
    </row>
    <row r="3457" spans="1:10" s="2" customFormat="1">
      <c r="A3457" s="1"/>
      <c r="E3457"/>
      <c r="F3457"/>
      <c r="G3457"/>
      <c r="H3457"/>
      <c r="I3457"/>
      <c r="J3457"/>
    </row>
    <row r="3458" spans="1:10" s="2" customFormat="1">
      <c r="A3458" s="1"/>
      <c r="E3458"/>
      <c r="F3458"/>
      <c r="G3458"/>
      <c r="H3458"/>
      <c r="I3458"/>
      <c r="J3458"/>
    </row>
    <row r="3459" spans="1:10" s="2" customFormat="1">
      <c r="A3459" s="1"/>
      <c r="E3459"/>
      <c r="F3459"/>
      <c r="G3459"/>
      <c r="H3459"/>
      <c r="I3459"/>
      <c r="J3459"/>
    </row>
    <row r="3460" spans="1:10" s="2" customFormat="1">
      <c r="A3460" s="1"/>
      <c r="E3460"/>
      <c r="F3460"/>
      <c r="G3460"/>
      <c r="H3460"/>
      <c r="I3460"/>
      <c r="J3460"/>
    </row>
    <row r="3461" spans="1:10" s="2" customFormat="1">
      <c r="A3461" s="1"/>
      <c r="E3461"/>
      <c r="F3461"/>
      <c r="G3461"/>
      <c r="H3461"/>
      <c r="I3461"/>
      <c r="J3461"/>
    </row>
    <row r="3462" spans="1:10" s="2" customFormat="1">
      <c r="A3462" s="1"/>
      <c r="E3462"/>
      <c r="F3462"/>
      <c r="G3462"/>
      <c r="H3462"/>
      <c r="I3462"/>
      <c r="J3462"/>
    </row>
    <row r="3463" spans="1:10" s="2" customFormat="1">
      <c r="A3463" s="1"/>
      <c r="E3463"/>
      <c r="F3463"/>
      <c r="G3463"/>
      <c r="H3463"/>
      <c r="I3463"/>
      <c r="J3463"/>
    </row>
    <row r="3464" spans="1:10" s="2" customFormat="1">
      <c r="A3464" s="1"/>
      <c r="E3464"/>
      <c r="F3464"/>
      <c r="G3464"/>
      <c r="H3464"/>
      <c r="I3464"/>
      <c r="J3464"/>
    </row>
    <row r="3465" spans="1:10" s="2" customFormat="1">
      <c r="A3465" s="1"/>
      <c r="E3465"/>
      <c r="F3465"/>
      <c r="G3465"/>
      <c r="H3465"/>
      <c r="I3465"/>
      <c r="J3465"/>
    </row>
    <row r="3466" spans="1:10" s="2" customFormat="1">
      <c r="A3466" s="1"/>
      <c r="E3466"/>
      <c r="F3466"/>
      <c r="G3466"/>
      <c r="H3466"/>
      <c r="I3466"/>
      <c r="J3466"/>
    </row>
    <row r="3467" spans="1:10" s="2" customFormat="1">
      <c r="A3467" s="1"/>
      <c r="E3467"/>
      <c r="F3467"/>
      <c r="G3467"/>
      <c r="H3467"/>
      <c r="I3467"/>
      <c r="J3467"/>
    </row>
    <row r="3468" spans="1:10" s="2" customFormat="1">
      <c r="A3468" s="1"/>
      <c r="E3468"/>
      <c r="F3468"/>
      <c r="G3468"/>
      <c r="H3468"/>
      <c r="I3468"/>
      <c r="J3468"/>
    </row>
    <row r="3469" spans="1:10" s="2" customFormat="1">
      <c r="A3469" s="1"/>
      <c r="E3469"/>
      <c r="F3469"/>
      <c r="G3469"/>
      <c r="H3469"/>
      <c r="I3469"/>
      <c r="J3469"/>
    </row>
    <row r="3470" spans="1:10" s="2" customFormat="1">
      <c r="A3470" s="1"/>
      <c r="E3470"/>
      <c r="F3470"/>
      <c r="G3470"/>
      <c r="H3470"/>
      <c r="I3470"/>
      <c r="J3470"/>
    </row>
    <row r="3471" spans="1:10" s="2" customFormat="1">
      <c r="A3471" s="1"/>
      <c r="E3471"/>
      <c r="F3471"/>
      <c r="G3471"/>
      <c r="H3471"/>
      <c r="I3471"/>
      <c r="J3471"/>
    </row>
    <row r="3472" spans="1:10" s="2" customFormat="1">
      <c r="A3472" s="1"/>
      <c r="E3472"/>
      <c r="F3472"/>
      <c r="G3472"/>
      <c r="H3472"/>
      <c r="I3472"/>
      <c r="J3472"/>
    </row>
    <row r="3473" spans="1:10" s="2" customFormat="1">
      <c r="A3473" s="1"/>
      <c r="E3473"/>
      <c r="F3473"/>
      <c r="G3473"/>
      <c r="H3473"/>
      <c r="I3473"/>
      <c r="J3473"/>
    </row>
    <row r="3474" spans="1:10" s="2" customFormat="1">
      <c r="A3474" s="1"/>
      <c r="E3474"/>
      <c r="F3474"/>
      <c r="G3474"/>
      <c r="H3474"/>
      <c r="I3474"/>
      <c r="J3474"/>
    </row>
    <row r="3475" spans="1:10" s="2" customFormat="1">
      <c r="A3475" s="1"/>
      <c r="E3475"/>
      <c r="F3475"/>
      <c r="G3475"/>
      <c r="H3475"/>
      <c r="I3475"/>
      <c r="J3475"/>
    </row>
    <row r="3476" spans="1:10" s="2" customFormat="1">
      <c r="A3476" s="1"/>
      <c r="E3476"/>
      <c r="F3476"/>
      <c r="G3476"/>
      <c r="H3476"/>
      <c r="I3476"/>
      <c r="J3476"/>
    </row>
    <row r="3477" spans="1:10" s="2" customFormat="1">
      <c r="A3477" s="1"/>
      <c r="E3477"/>
      <c r="F3477"/>
      <c r="G3477"/>
      <c r="H3477"/>
      <c r="I3477"/>
      <c r="J3477"/>
    </row>
    <row r="3478" spans="1:10" s="2" customFormat="1">
      <c r="A3478" s="1"/>
      <c r="E3478"/>
      <c r="F3478"/>
      <c r="G3478"/>
      <c r="H3478"/>
      <c r="I3478"/>
      <c r="J3478"/>
    </row>
    <row r="3479" spans="1:10" s="2" customFormat="1">
      <c r="A3479" s="1"/>
      <c r="E3479"/>
      <c r="F3479"/>
      <c r="G3479"/>
      <c r="H3479"/>
      <c r="I3479"/>
      <c r="J3479"/>
    </row>
    <row r="3480" spans="1:10" s="2" customFormat="1">
      <c r="A3480" s="1"/>
      <c r="E3480"/>
      <c r="F3480"/>
      <c r="G3480"/>
      <c r="H3480"/>
      <c r="I3480"/>
      <c r="J3480"/>
    </row>
    <row r="3481" spans="1:10" s="2" customFormat="1">
      <c r="A3481" s="1"/>
      <c r="E3481"/>
      <c r="F3481"/>
      <c r="G3481"/>
      <c r="H3481"/>
      <c r="I3481"/>
      <c r="J3481"/>
    </row>
    <row r="3482" spans="1:10" s="2" customFormat="1">
      <c r="A3482" s="1"/>
      <c r="E3482"/>
      <c r="F3482"/>
      <c r="G3482"/>
      <c r="H3482"/>
      <c r="I3482"/>
      <c r="J3482"/>
    </row>
    <row r="3483" spans="1:10" s="2" customFormat="1">
      <c r="A3483" s="1"/>
      <c r="E3483"/>
      <c r="F3483"/>
      <c r="G3483"/>
      <c r="H3483"/>
      <c r="I3483"/>
      <c r="J3483"/>
    </row>
    <row r="3484" spans="1:10" s="2" customFormat="1">
      <c r="A3484" s="1"/>
      <c r="E3484"/>
      <c r="F3484"/>
      <c r="G3484"/>
      <c r="H3484"/>
      <c r="I3484"/>
      <c r="J3484"/>
    </row>
    <row r="3485" spans="1:10" s="2" customFormat="1">
      <c r="A3485" s="1"/>
      <c r="E3485"/>
      <c r="F3485"/>
      <c r="G3485"/>
      <c r="H3485"/>
      <c r="I3485"/>
      <c r="J3485"/>
    </row>
    <row r="3486" spans="1:10" s="2" customFormat="1">
      <c r="A3486" s="1"/>
      <c r="E3486"/>
      <c r="F3486"/>
      <c r="G3486"/>
      <c r="H3486"/>
      <c r="I3486"/>
      <c r="J3486"/>
    </row>
    <row r="3487" spans="1:10" s="2" customFormat="1">
      <c r="A3487" s="1"/>
      <c r="E3487"/>
      <c r="F3487"/>
      <c r="G3487"/>
      <c r="H3487"/>
      <c r="I3487"/>
      <c r="J3487"/>
    </row>
    <row r="3488" spans="1:10" s="2" customFormat="1">
      <c r="A3488" s="1"/>
      <c r="E3488"/>
      <c r="F3488"/>
      <c r="G3488"/>
      <c r="H3488"/>
      <c r="I3488"/>
      <c r="J3488"/>
    </row>
    <row r="3489" spans="1:10" s="2" customFormat="1">
      <c r="A3489" s="1"/>
      <c r="E3489"/>
      <c r="F3489"/>
      <c r="G3489"/>
      <c r="H3489"/>
      <c r="I3489"/>
      <c r="J3489"/>
    </row>
    <row r="3490" spans="1:10" s="2" customFormat="1">
      <c r="A3490" s="1"/>
      <c r="E3490"/>
      <c r="F3490"/>
      <c r="G3490"/>
      <c r="H3490"/>
      <c r="I3490"/>
      <c r="J3490"/>
    </row>
    <row r="3491" spans="1:10" s="2" customFormat="1">
      <c r="A3491" s="1"/>
      <c r="E3491"/>
      <c r="F3491"/>
      <c r="G3491"/>
      <c r="H3491"/>
      <c r="I3491"/>
      <c r="J3491"/>
    </row>
    <row r="3492" spans="1:10" s="2" customFormat="1">
      <c r="A3492" s="1"/>
      <c r="E3492"/>
      <c r="F3492"/>
      <c r="G3492"/>
      <c r="H3492"/>
      <c r="I3492"/>
      <c r="J3492"/>
    </row>
    <row r="3493" spans="1:10" s="2" customFormat="1">
      <c r="A3493" s="1"/>
      <c r="E3493"/>
      <c r="F3493"/>
      <c r="G3493"/>
      <c r="H3493"/>
      <c r="I3493"/>
      <c r="J3493"/>
    </row>
    <row r="3494" spans="1:10" s="2" customFormat="1">
      <c r="A3494" s="1"/>
      <c r="E3494"/>
      <c r="F3494"/>
      <c r="G3494"/>
      <c r="H3494"/>
      <c r="I3494"/>
      <c r="J3494"/>
    </row>
    <row r="3495" spans="1:10" s="2" customFormat="1">
      <c r="A3495" s="1"/>
      <c r="E3495"/>
      <c r="F3495"/>
      <c r="G3495"/>
      <c r="H3495"/>
      <c r="I3495"/>
      <c r="J3495"/>
    </row>
    <row r="3496" spans="1:10" s="2" customFormat="1">
      <c r="A3496" s="1"/>
      <c r="E3496"/>
      <c r="F3496"/>
      <c r="G3496"/>
      <c r="H3496"/>
      <c r="I3496"/>
      <c r="J3496"/>
    </row>
    <row r="3497" spans="1:10" s="2" customFormat="1">
      <c r="A3497" s="1"/>
      <c r="E3497"/>
      <c r="F3497"/>
      <c r="G3497"/>
      <c r="H3497"/>
      <c r="I3497"/>
      <c r="J3497"/>
    </row>
    <row r="3498" spans="1:10" s="2" customFormat="1">
      <c r="A3498" s="1"/>
      <c r="E3498"/>
      <c r="F3498"/>
      <c r="G3498"/>
      <c r="H3498"/>
      <c r="I3498"/>
      <c r="J3498"/>
    </row>
    <row r="3499" spans="1:10" s="2" customFormat="1">
      <c r="A3499" s="1"/>
      <c r="E3499"/>
      <c r="F3499"/>
      <c r="G3499"/>
      <c r="H3499"/>
      <c r="I3499"/>
      <c r="J3499"/>
    </row>
    <row r="3500" spans="1:10" s="2" customFormat="1">
      <c r="A3500" s="1"/>
      <c r="E3500"/>
      <c r="F3500"/>
      <c r="G3500"/>
      <c r="H3500"/>
      <c r="I3500"/>
      <c r="J3500"/>
    </row>
    <row r="3501" spans="1:10" s="2" customFormat="1">
      <c r="A3501" s="1"/>
      <c r="E3501"/>
      <c r="F3501"/>
      <c r="G3501"/>
      <c r="H3501"/>
      <c r="I3501"/>
      <c r="J3501"/>
    </row>
    <row r="3502" spans="1:10" s="2" customFormat="1">
      <c r="A3502" s="1"/>
      <c r="E3502"/>
      <c r="F3502"/>
      <c r="G3502"/>
      <c r="H3502"/>
      <c r="I3502"/>
      <c r="J3502"/>
    </row>
    <row r="3503" spans="1:10" s="2" customFormat="1">
      <c r="A3503" s="1"/>
      <c r="E3503"/>
      <c r="F3503"/>
      <c r="G3503"/>
      <c r="H3503"/>
      <c r="I3503"/>
      <c r="J3503"/>
    </row>
    <row r="3504" spans="1:10" s="2" customFormat="1">
      <c r="A3504" s="1"/>
      <c r="E3504"/>
      <c r="F3504"/>
      <c r="G3504"/>
      <c r="H3504"/>
      <c r="I3504"/>
      <c r="J3504"/>
    </row>
    <row r="3505" spans="1:10" s="2" customFormat="1">
      <c r="A3505" s="1"/>
      <c r="E3505"/>
      <c r="F3505"/>
      <c r="G3505"/>
      <c r="H3505"/>
      <c r="I3505"/>
      <c r="J3505"/>
    </row>
    <row r="3506" spans="1:10" s="2" customFormat="1">
      <c r="A3506" s="1"/>
      <c r="E3506"/>
      <c r="F3506"/>
      <c r="G3506"/>
      <c r="H3506"/>
      <c r="I3506"/>
      <c r="J3506"/>
    </row>
    <row r="3507" spans="1:10" s="2" customFormat="1">
      <c r="A3507" s="1"/>
      <c r="E3507"/>
      <c r="F3507"/>
      <c r="G3507"/>
      <c r="H3507"/>
      <c r="I3507"/>
      <c r="J3507"/>
    </row>
    <row r="3508" spans="1:10" s="2" customFormat="1">
      <c r="A3508" s="1"/>
      <c r="E3508"/>
      <c r="F3508"/>
      <c r="G3508"/>
      <c r="H3508"/>
      <c r="I3508"/>
      <c r="J3508"/>
    </row>
    <row r="3509" spans="1:10" s="2" customFormat="1">
      <c r="A3509" s="1"/>
      <c r="E3509"/>
      <c r="F3509"/>
      <c r="G3509"/>
      <c r="H3509"/>
      <c r="I3509"/>
      <c r="J3509"/>
    </row>
    <row r="3510" spans="1:10" s="2" customFormat="1">
      <c r="A3510" s="1"/>
      <c r="E3510"/>
      <c r="F3510"/>
      <c r="G3510"/>
      <c r="H3510"/>
      <c r="I3510"/>
      <c r="J3510"/>
    </row>
    <row r="3511" spans="1:10" s="2" customFormat="1">
      <c r="A3511" s="1"/>
      <c r="E3511"/>
      <c r="F3511"/>
      <c r="G3511"/>
      <c r="H3511"/>
      <c r="I3511"/>
      <c r="J3511"/>
    </row>
    <row r="3512" spans="1:10" s="2" customFormat="1">
      <c r="A3512" s="1"/>
      <c r="E3512"/>
      <c r="F3512"/>
      <c r="G3512"/>
      <c r="H3512"/>
      <c r="I3512"/>
      <c r="J3512"/>
    </row>
    <row r="3513" spans="1:10" s="2" customFormat="1">
      <c r="A3513" s="1"/>
      <c r="E3513"/>
      <c r="F3513"/>
      <c r="G3513"/>
      <c r="H3513"/>
      <c r="I3513"/>
      <c r="J3513"/>
    </row>
    <row r="3514" spans="1:10" s="2" customFormat="1">
      <c r="A3514" s="1"/>
      <c r="E3514"/>
      <c r="F3514"/>
      <c r="G3514"/>
      <c r="H3514"/>
      <c r="I3514"/>
      <c r="J3514"/>
    </row>
    <row r="3515" spans="1:10" s="2" customFormat="1">
      <c r="A3515" s="1"/>
      <c r="E3515"/>
      <c r="F3515"/>
      <c r="G3515"/>
      <c r="H3515"/>
      <c r="I3515"/>
      <c r="J3515"/>
    </row>
    <row r="3516" spans="1:10" s="2" customFormat="1">
      <c r="A3516" s="1"/>
      <c r="E3516"/>
      <c r="F3516"/>
      <c r="G3516"/>
      <c r="H3516"/>
      <c r="I3516"/>
      <c r="J3516"/>
    </row>
    <row r="3517" spans="1:10" s="2" customFormat="1">
      <c r="A3517" s="1"/>
      <c r="E3517"/>
      <c r="F3517"/>
      <c r="G3517"/>
      <c r="H3517"/>
      <c r="I3517"/>
      <c r="J3517"/>
    </row>
    <row r="3518" spans="1:10" s="2" customFormat="1">
      <c r="A3518" s="1"/>
      <c r="E3518"/>
      <c r="F3518"/>
      <c r="G3518"/>
      <c r="H3518"/>
      <c r="I3518"/>
      <c r="J3518"/>
    </row>
    <row r="3519" spans="1:10" s="2" customFormat="1">
      <c r="A3519" s="1"/>
      <c r="E3519"/>
      <c r="F3519"/>
      <c r="G3519"/>
      <c r="H3519"/>
      <c r="I3519"/>
      <c r="J3519"/>
    </row>
    <row r="3520" spans="1:10" s="2" customFormat="1">
      <c r="A3520" s="1"/>
      <c r="E3520"/>
      <c r="F3520"/>
      <c r="G3520"/>
      <c r="H3520"/>
      <c r="I3520"/>
      <c r="J3520"/>
    </row>
    <row r="3521" spans="1:10" s="2" customFormat="1">
      <c r="A3521" s="1"/>
      <c r="E3521"/>
      <c r="F3521"/>
      <c r="G3521"/>
      <c r="H3521"/>
      <c r="I3521"/>
      <c r="J3521"/>
    </row>
    <row r="3522" spans="1:10" s="2" customFormat="1">
      <c r="A3522" s="1"/>
      <c r="E3522"/>
      <c r="F3522"/>
      <c r="G3522"/>
      <c r="H3522"/>
      <c r="I3522"/>
      <c r="J3522"/>
    </row>
    <row r="3523" spans="1:10" s="2" customFormat="1">
      <c r="A3523" s="1"/>
      <c r="E3523"/>
      <c r="F3523"/>
      <c r="G3523"/>
      <c r="H3523"/>
      <c r="I3523"/>
      <c r="J3523"/>
    </row>
    <row r="3524" spans="1:10" s="2" customFormat="1">
      <c r="A3524" s="1"/>
      <c r="E3524"/>
      <c r="F3524"/>
      <c r="G3524"/>
      <c r="H3524"/>
      <c r="I3524"/>
      <c r="J3524"/>
    </row>
    <row r="3525" spans="1:10" s="2" customFormat="1">
      <c r="A3525" s="1"/>
      <c r="E3525"/>
      <c r="F3525"/>
      <c r="G3525"/>
      <c r="H3525"/>
      <c r="I3525"/>
      <c r="J3525"/>
    </row>
    <row r="3526" spans="1:10" s="2" customFormat="1">
      <c r="A3526" s="1"/>
      <c r="E3526"/>
      <c r="F3526"/>
      <c r="G3526"/>
      <c r="H3526"/>
      <c r="I3526"/>
      <c r="J3526"/>
    </row>
    <row r="3527" spans="1:10" s="2" customFormat="1">
      <c r="A3527" s="1"/>
      <c r="E3527"/>
      <c r="F3527"/>
      <c r="G3527"/>
      <c r="H3527"/>
      <c r="I3527"/>
      <c r="J3527"/>
    </row>
    <row r="3528" spans="1:10" s="2" customFormat="1">
      <c r="A3528" s="1"/>
      <c r="E3528"/>
      <c r="F3528"/>
      <c r="G3528"/>
      <c r="H3528"/>
      <c r="I3528"/>
      <c r="J3528"/>
    </row>
    <row r="3529" spans="1:10" s="2" customFormat="1">
      <c r="A3529" s="1"/>
      <c r="E3529"/>
      <c r="F3529"/>
      <c r="G3529"/>
      <c r="H3529"/>
      <c r="I3529"/>
      <c r="J3529"/>
    </row>
    <row r="3530" spans="1:10" s="2" customFormat="1">
      <c r="A3530" s="1"/>
      <c r="E3530"/>
      <c r="F3530"/>
      <c r="G3530"/>
      <c r="H3530"/>
      <c r="I3530"/>
      <c r="J3530"/>
    </row>
    <row r="3531" spans="1:10" s="2" customFormat="1">
      <c r="A3531" s="1"/>
      <c r="E3531"/>
      <c r="F3531"/>
      <c r="G3531"/>
      <c r="H3531"/>
      <c r="I3531"/>
      <c r="J3531"/>
    </row>
    <row r="3532" spans="1:10" s="2" customFormat="1">
      <c r="A3532" s="1"/>
      <c r="E3532"/>
      <c r="F3532"/>
      <c r="G3532"/>
      <c r="H3532"/>
      <c r="I3532"/>
      <c r="J3532"/>
    </row>
    <row r="3533" spans="1:10" s="2" customFormat="1">
      <c r="A3533" s="1"/>
      <c r="E3533"/>
      <c r="F3533"/>
      <c r="G3533"/>
      <c r="H3533"/>
      <c r="I3533"/>
      <c r="J3533"/>
    </row>
    <row r="3534" spans="1:10" s="2" customFormat="1">
      <c r="A3534" s="1"/>
      <c r="E3534"/>
      <c r="F3534"/>
      <c r="G3534"/>
      <c r="H3534"/>
      <c r="I3534"/>
      <c r="J3534"/>
    </row>
    <row r="3535" spans="1:10" s="2" customFormat="1">
      <c r="A3535" s="1"/>
      <c r="E3535"/>
      <c r="F3535"/>
      <c r="G3535"/>
      <c r="H3535"/>
      <c r="I3535"/>
      <c r="J3535"/>
    </row>
    <row r="3536" spans="1:10" s="2" customFormat="1">
      <c r="A3536" s="1"/>
      <c r="E3536"/>
      <c r="F3536"/>
      <c r="G3536"/>
      <c r="H3536"/>
      <c r="I3536"/>
      <c r="J3536"/>
    </row>
    <row r="3537" spans="1:10" s="2" customFormat="1">
      <c r="A3537" s="1"/>
      <c r="E3537"/>
      <c r="F3537"/>
      <c r="G3537"/>
      <c r="H3537"/>
      <c r="I3537"/>
      <c r="J3537"/>
    </row>
    <row r="3538" spans="1:10" s="2" customFormat="1">
      <c r="A3538" s="1"/>
      <c r="E3538"/>
      <c r="F3538"/>
      <c r="G3538"/>
      <c r="H3538"/>
      <c r="I3538"/>
      <c r="J3538"/>
    </row>
    <row r="3539" spans="1:10" s="2" customFormat="1">
      <c r="A3539" s="1"/>
      <c r="E3539"/>
      <c r="F3539"/>
      <c r="G3539"/>
      <c r="H3539"/>
      <c r="I3539"/>
      <c r="J3539"/>
    </row>
    <row r="3540" spans="1:10" s="2" customFormat="1">
      <c r="A3540" s="1"/>
      <c r="E3540"/>
      <c r="F3540"/>
      <c r="G3540"/>
      <c r="H3540"/>
      <c r="I3540"/>
      <c r="J3540"/>
    </row>
    <row r="3541" spans="1:10" s="2" customFormat="1">
      <c r="A3541" s="1"/>
      <c r="E3541"/>
      <c r="F3541"/>
      <c r="G3541"/>
      <c r="H3541"/>
      <c r="I3541"/>
      <c r="J3541"/>
    </row>
    <row r="3542" spans="1:10" s="2" customFormat="1">
      <c r="A3542" s="1"/>
      <c r="E3542"/>
      <c r="F3542"/>
      <c r="G3542"/>
      <c r="H3542"/>
      <c r="I3542"/>
      <c r="J3542"/>
    </row>
    <row r="3543" spans="1:10" s="2" customFormat="1">
      <c r="A3543" s="1"/>
      <c r="E3543"/>
      <c r="F3543"/>
      <c r="G3543"/>
      <c r="H3543"/>
      <c r="I3543"/>
      <c r="J3543"/>
    </row>
    <row r="3544" spans="1:10" s="2" customFormat="1">
      <c r="A3544" s="1"/>
      <c r="E3544"/>
      <c r="F3544"/>
      <c r="G3544"/>
      <c r="H3544"/>
      <c r="I3544"/>
      <c r="J3544"/>
    </row>
    <row r="3545" spans="1:10" s="2" customFormat="1">
      <c r="A3545" s="1"/>
      <c r="E3545"/>
      <c r="F3545"/>
      <c r="G3545"/>
      <c r="H3545"/>
      <c r="I3545"/>
      <c r="J3545"/>
    </row>
    <row r="3546" spans="1:10" s="2" customFormat="1">
      <c r="A3546" s="1"/>
      <c r="E3546"/>
      <c r="F3546"/>
      <c r="G3546"/>
      <c r="H3546"/>
      <c r="I3546"/>
      <c r="J3546"/>
    </row>
    <row r="3547" spans="1:10" s="2" customFormat="1">
      <c r="A3547" s="1"/>
      <c r="E3547"/>
      <c r="F3547"/>
      <c r="G3547"/>
      <c r="H3547"/>
      <c r="I3547"/>
      <c r="J3547"/>
    </row>
    <row r="3548" spans="1:10" s="2" customFormat="1">
      <c r="A3548" s="1"/>
      <c r="E3548"/>
      <c r="F3548"/>
      <c r="G3548"/>
      <c r="H3548"/>
      <c r="I3548"/>
      <c r="J3548"/>
    </row>
    <row r="3549" spans="1:10" s="2" customFormat="1">
      <c r="A3549" s="1"/>
      <c r="E3549"/>
      <c r="F3549"/>
      <c r="G3549"/>
      <c r="H3549"/>
      <c r="I3549"/>
      <c r="J3549"/>
    </row>
    <row r="3550" spans="1:10" s="2" customFormat="1">
      <c r="A3550" s="1"/>
      <c r="E3550"/>
      <c r="F3550"/>
      <c r="G3550"/>
      <c r="H3550"/>
      <c r="I3550"/>
      <c r="J3550"/>
    </row>
    <row r="3551" spans="1:10" s="2" customFormat="1">
      <c r="A3551" s="1"/>
      <c r="E3551"/>
      <c r="F3551"/>
      <c r="G3551"/>
      <c r="H3551"/>
      <c r="I3551"/>
      <c r="J3551"/>
    </row>
    <row r="3552" spans="1:10" s="2" customFormat="1">
      <c r="A3552" s="1"/>
      <c r="E3552"/>
      <c r="F3552"/>
      <c r="G3552"/>
      <c r="H3552"/>
      <c r="I3552"/>
      <c r="J3552"/>
    </row>
    <row r="3553" spans="1:10" s="2" customFormat="1">
      <c r="A3553" s="1"/>
      <c r="E3553"/>
      <c r="F3553"/>
      <c r="G3553"/>
      <c r="H3553"/>
      <c r="I3553"/>
      <c r="J3553"/>
    </row>
    <row r="3554" spans="1:10" s="2" customFormat="1">
      <c r="A3554" s="1"/>
      <c r="E3554"/>
      <c r="F3554"/>
      <c r="G3554"/>
      <c r="H3554"/>
      <c r="I3554"/>
      <c r="J3554"/>
    </row>
    <row r="3555" spans="1:10" s="2" customFormat="1">
      <c r="A3555" s="1"/>
      <c r="E3555"/>
      <c r="F3555"/>
      <c r="G3555"/>
      <c r="H3555"/>
      <c r="I3555"/>
      <c r="J3555"/>
    </row>
    <row r="3556" spans="1:10" s="2" customFormat="1">
      <c r="A3556" s="1"/>
      <c r="E3556"/>
      <c r="F3556"/>
      <c r="G3556"/>
      <c r="H3556"/>
      <c r="I3556"/>
      <c r="J3556"/>
    </row>
    <row r="3557" spans="1:10" s="2" customFormat="1">
      <c r="A3557" s="1"/>
      <c r="E3557"/>
      <c r="F3557"/>
      <c r="G3557"/>
      <c r="H3557"/>
      <c r="I3557"/>
      <c r="J3557"/>
    </row>
    <row r="3558" spans="1:10" s="2" customFormat="1">
      <c r="A3558" s="1"/>
      <c r="E3558"/>
      <c r="F3558"/>
      <c r="G3558"/>
      <c r="H3558"/>
      <c r="I3558"/>
      <c r="J3558"/>
    </row>
    <row r="3559" spans="1:10" s="2" customFormat="1">
      <c r="A3559" s="1"/>
      <c r="E3559"/>
      <c r="F3559"/>
      <c r="G3559"/>
      <c r="H3559"/>
      <c r="I3559"/>
      <c r="J3559"/>
    </row>
    <row r="3560" spans="1:10" s="2" customFormat="1">
      <c r="A3560" s="1"/>
      <c r="E3560"/>
      <c r="F3560"/>
      <c r="G3560"/>
      <c r="H3560"/>
      <c r="I3560"/>
      <c r="J3560"/>
    </row>
    <row r="3561" spans="1:10" s="2" customFormat="1">
      <c r="A3561" s="1"/>
      <c r="E3561"/>
      <c r="F3561"/>
      <c r="G3561"/>
      <c r="H3561"/>
      <c r="I3561"/>
      <c r="J3561"/>
    </row>
    <row r="3562" spans="1:10" s="2" customFormat="1">
      <c r="A3562" s="1"/>
      <c r="E3562"/>
      <c r="F3562"/>
      <c r="G3562"/>
      <c r="H3562"/>
      <c r="I3562"/>
      <c r="J3562"/>
    </row>
    <row r="3563" spans="1:10" s="2" customFormat="1">
      <c r="A3563" s="1"/>
      <c r="E3563"/>
      <c r="F3563"/>
      <c r="G3563"/>
      <c r="H3563"/>
      <c r="I3563"/>
      <c r="J3563"/>
    </row>
    <row r="3564" spans="1:10" s="2" customFormat="1">
      <c r="A3564" s="1"/>
      <c r="E3564"/>
      <c r="F3564"/>
      <c r="G3564"/>
      <c r="H3564"/>
      <c r="I3564"/>
      <c r="J3564"/>
    </row>
    <row r="3565" spans="1:10" s="2" customFormat="1">
      <c r="A3565" s="1"/>
      <c r="E3565"/>
      <c r="F3565"/>
      <c r="G3565"/>
      <c r="H3565"/>
      <c r="I3565"/>
      <c r="J3565"/>
    </row>
    <row r="3566" spans="1:10" s="2" customFormat="1">
      <c r="A3566" s="1"/>
      <c r="E3566"/>
      <c r="F3566"/>
      <c r="G3566"/>
      <c r="H3566"/>
      <c r="I3566"/>
      <c r="J3566"/>
    </row>
    <row r="3567" spans="1:10" s="2" customFormat="1">
      <c r="A3567" s="1"/>
      <c r="E3567"/>
      <c r="F3567"/>
      <c r="G3567"/>
      <c r="H3567"/>
      <c r="I3567"/>
      <c r="J3567"/>
    </row>
    <row r="3568" spans="1:10" s="2" customFormat="1">
      <c r="A3568" s="1"/>
      <c r="E3568"/>
      <c r="F3568"/>
      <c r="G3568"/>
      <c r="H3568"/>
      <c r="I3568"/>
      <c r="J3568"/>
    </row>
    <row r="3569" spans="1:10" s="2" customFormat="1">
      <c r="A3569" s="1"/>
      <c r="E3569"/>
      <c r="F3569"/>
      <c r="G3569"/>
      <c r="H3569"/>
      <c r="I3569"/>
      <c r="J3569"/>
    </row>
    <row r="3570" spans="1:10" s="2" customFormat="1">
      <c r="A3570" s="1"/>
      <c r="E3570"/>
      <c r="F3570"/>
      <c r="G3570"/>
      <c r="H3570"/>
      <c r="I3570"/>
      <c r="J3570"/>
    </row>
    <row r="3571" spans="1:10" s="2" customFormat="1">
      <c r="A3571" s="1"/>
      <c r="E3571"/>
      <c r="F3571"/>
      <c r="G3571"/>
      <c r="H3571"/>
      <c r="I3571"/>
      <c r="J3571"/>
    </row>
    <row r="3572" spans="1:10" s="2" customFormat="1">
      <c r="A3572" s="1"/>
      <c r="E3572"/>
      <c r="F3572"/>
      <c r="G3572"/>
      <c r="H3572"/>
      <c r="I3572"/>
      <c r="J3572"/>
    </row>
    <row r="3573" spans="1:10" s="2" customFormat="1">
      <c r="A3573" s="1"/>
      <c r="E3573"/>
      <c r="F3573"/>
      <c r="G3573"/>
      <c r="H3573"/>
      <c r="I3573"/>
      <c r="J3573"/>
    </row>
    <row r="3574" spans="1:10" s="2" customFormat="1">
      <c r="A3574" s="1"/>
      <c r="E3574"/>
      <c r="F3574"/>
      <c r="G3574"/>
      <c r="H3574"/>
      <c r="I3574"/>
      <c r="J3574"/>
    </row>
    <row r="3575" spans="1:10" s="2" customFormat="1">
      <c r="A3575" s="1"/>
      <c r="E3575"/>
      <c r="F3575"/>
      <c r="G3575"/>
      <c r="H3575"/>
      <c r="I3575"/>
      <c r="J3575"/>
    </row>
    <row r="3576" spans="1:10" s="2" customFormat="1">
      <c r="A3576" s="1"/>
      <c r="E3576"/>
      <c r="F3576"/>
      <c r="G3576"/>
      <c r="H3576"/>
      <c r="I3576"/>
      <c r="J3576"/>
    </row>
    <row r="3577" spans="1:10" s="2" customFormat="1">
      <c r="A3577" s="1"/>
      <c r="E3577"/>
      <c r="F3577"/>
      <c r="G3577"/>
      <c r="H3577"/>
      <c r="I3577"/>
      <c r="J3577"/>
    </row>
    <row r="3578" spans="1:10" s="2" customFormat="1">
      <c r="A3578" s="1"/>
      <c r="E3578"/>
      <c r="F3578"/>
      <c r="G3578"/>
      <c r="H3578"/>
      <c r="I3578"/>
      <c r="J3578"/>
    </row>
    <row r="3579" spans="1:10" s="2" customFormat="1">
      <c r="A3579" s="1"/>
      <c r="E3579"/>
      <c r="F3579"/>
      <c r="G3579"/>
      <c r="H3579"/>
      <c r="I3579"/>
      <c r="J3579"/>
    </row>
    <row r="3580" spans="1:10" s="2" customFormat="1">
      <c r="A3580" s="1"/>
      <c r="E3580"/>
      <c r="F3580"/>
      <c r="G3580"/>
      <c r="H3580"/>
      <c r="I3580"/>
      <c r="J3580"/>
    </row>
    <row r="3581" spans="1:10" s="2" customFormat="1">
      <c r="A3581" s="1"/>
      <c r="E3581"/>
      <c r="F3581"/>
      <c r="G3581"/>
      <c r="H3581"/>
      <c r="I3581"/>
      <c r="J3581"/>
    </row>
    <row r="3582" spans="1:10" s="2" customFormat="1">
      <c r="A3582" s="1"/>
      <c r="E3582"/>
      <c r="F3582"/>
      <c r="G3582"/>
      <c r="H3582"/>
      <c r="I3582"/>
      <c r="J3582"/>
    </row>
    <row r="3583" spans="1:10" s="2" customFormat="1">
      <c r="A3583" s="1"/>
      <c r="E3583"/>
      <c r="F3583"/>
      <c r="G3583"/>
      <c r="H3583"/>
      <c r="I3583"/>
      <c r="J3583"/>
    </row>
    <row r="3584" spans="1:10" s="2" customFormat="1">
      <c r="A3584" s="1"/>
      <c r="E3584"/>
      <c r="F3584"/>
      <c r="G3584"/>
      <c r="H3584"/>
      <c r="I3584"/>
      <c r="J3584"/>
    </row>
    <row r="3585" spans="1:10" s="2" customFormat="1">
      <c r="A3585" s="1"/>
      <c r="E3585"/>
      <c r="F3585"/>
      <c r="G3585"/>
      <c r="H3585"/>
      <c r="I3585"/>
      <c r="J3585"/>
    </row>
    <row r="3586" spans="1:10" s="2" customFormat="1">
      <c r="A3586" s="1"/>
      <c r="E3586"/>
      <c r="F3586"/>
      <c r="G3586"/>
      <c r="H3586"/>
      <c r="I3586"/>
      <c r="J3586"/>
    </row>
    <row r="3587" spans="1:10" s="2" customFormat="1">
      <c r="A3587" s="1"/>
      <c r="E3587"/>
      <c r="F3587"/>
      <c r="G3587"/>
      <c r="H3587"/>
      <c r="I3587"/>
      <c r="J3587"/>
    </row>
    <row r="3588" spans="1:10" s="2" customFormat="1">
      <c r="A3588" s="1"/>
      <c r="E3588"/>
      <c r="F3588"/>
      <c r="G3588"/>
      <c r="H3588"/>
      <c r="I3588"/>
      <c r="J3588"/>
    </row>
    <row r="3589" spans="1:10" s="2" customFormat="1">
      <c r="A3589" s="1"/>
      <c r="E3589"/>
      <c r="F3589"/>
      <c r="G3589"/>
      <c r="H3589"/>
      <c r="I3589"/>
      <c r="J3589"/>
    </row>
    <row r="3590" spans="1:10" s="2" customFormat="1">
      <c r="A3590" s="1"/>
      <c r="E3590"/>
      <c r="F3590"/>
      <c r="G3590"/>
      <c r="H3590"/>
      <c r="I3590"/>
      <c r="J3590"/>
    </row>
    <row r="3591" spans="1:10" s="2" customFormat="1">
      <c r="A3591" s="1"/>
      <c r="E3591"/>
      <c r="F3591"/>
      <c r="G3591"/>
      <c r="H3591"/>
      <c r="I3591"/>
      <c r="J3591"/>
    </row>
    <row r="3592" spans="1:10" s="2" customFormat="1">
      <c r="A3592" s="1"/>
      <c r="E3592"/>
      <c r="F3592"/>
      <c r="G3592"/>
      <c r="H3592"/>
      <c r="I3592"/>
      <c r="J3592"/>
    </row>
    <row r="3593" spans="1:10" s="2" customFormat="1">
      <c r="A3593" s="1"/>
      <c r="E3593"/>
      <c r="F3593"/>
      <c r="G3593"/>
      <c r="H3593"/>
      <c r="I3593"/>
      <c r="J3593"/>
    </row>
    <row r="3594" spans="1:10" s="2" customFormat="1">
      <c r="A3594" s="1"/>
      <c r="E3594"/>
      <c r="F3594"/>
      <c r="G3594"/>
      <c r="H3594"/>
      <c r="I3594"/>
      <c r="J3594"/>
    </row>
    <row r="3595" spans="1:10" s="2" customFormat="1">
      <c r="A3595" s="1"/>
      <c r="E3595"/>
      <c r="F3595"/>
      <c r="G3595"/>
      <c r="H3595"/>
      <c r="I3595"/>
      <c r="J3595"/>
    </row>
    <row r="3596" spans="1:10" s="2" customFormat="1">
      <c r="A3596" s="1"/>
      <c r="E3596"/>
      <c r="F3596"/>
      <c r="G3596"/>
      <c r="H3596"/>
      <c r="I3596"/>
      <c r="J3596"/>
    </row>
    <row r="3597" spans="1:10" s="2" customFormat="1">
      <c r="A3597" s="1"/>
      <c r="E3597"/>
      <c r="F3597"/>
      <c r="G3597"/>
      <c r="H3597"/>
      <c r="I3597"/>
      <c r="J3597"/>
    </row>
    <row r="3598" spans="1:10" s="2" customFormat="1">
      <c r="A3598" s="1"/>
      <c r="E3598"/>
      <c r="F3598"/>
      <c r="G3598"/>
      <c r="H3598"/>
      <c r="I3598"/>
      <c r="J3598"/>
    </row>
    <row r="3599" spans="1:10" s="2" customFormat="1">
      <c r="A3599" s="1"/>
      <c r="E3599"/>
      <c r="F3599"/>
      <c r="G3599"/>
      <c r="H3599"/>
      <c r="I3599"/>
      <c r="J3599"/>
    </row>
    <row r="3600" spans="1:10" s="2" customFormat="1">
      <c r="A3600" s="1"/>
      <c r="E3600"/>
      <c r="F3600"/>
      <c r="G3600"/>
      <c r="H3600"/>
      <c r="I3600"/>
      <c r="J3600"/>
    </row>
    <row r="3601" spans="1:10" s="2" customFormat="1">
      <c r="A3601" s="1"/>
      <c r="E3601"/>
      <c r="F3601"/>
      <c r="G3601"/>
      <c r="H3601"/>
      <c r="I3601"/>
      <c r="J3601"/>
    </row>
    <row r="3602" spans="1:10" s="2" customFormat="1">
      <c r="A3602" s="1"/>
      <c r="E3602"/>
      <c r="F3602"/>
      <c r="G3602"/>
      <c r="H3602"/>
      <c r="I3602"/>
      <c r="J3602"/>
    </row>
    <row r="3603" spans="1:10" s="2" customFormat="1">
      <c r="A3603" s="1"/>
      <c r="E3603"/>
      <c r="F3603"/>
      <c r="G3603"/>
      <c r="H3603"/>
      <c r="I3603"/>
      <c r="J3603"/>
    </row>
    <row r="3604" spans="1:10" s="2" customFormat="1">
      <c r="A3604" s="1"/>
      <c r="E3604"/>
      <c r="F3604"/>
      <c r="G3604"/>
      <c r="H3604"/>
      <c r="I3604"/>
      <c r="J3604"/>
    </row>
    <row r="3605" spans="1:10" s="2" customFormat="1">
      <c r="A3605" s="1"/>
      <c r="E3605"/>
      <c r="F3605"/>
      <c r="G3605"/>
      <c r="H3605"/>
      <c r="I3605"/>
      <c r="J3605"/>
    </row>
    <row r="3606" spans="1:10" s="2" customFormat="1">
      <c r="A3606" s="1"/>
      <c r="E3606"/>
      <c r="F3606"/>
      <c r="G3606"/>
      <c r="H3606"/>
      <c r="I3606"/>
      <c r="J3606"/>
    </row>
    <row r="3607" spans="1:10" s="2" customFormat="1">
      <c r="A3607" s="1"/>
      <c r="E3607"/>
      <c r="F3607"/>
      <c r="G3607"/>
      <c r="H3607"/>
      <c r="I3607"/>
      <c r="J3607"/>
    </row>
    <row r="3608" spans="1:10" s="2" customFormat="1">
      <c r="A3608" s="1"/>
      <c r="E3608"/>
      <c r="F3608"/>
      <c r="G3608"/>
      <c r="H3608"/>
      <c r="I3608"/>
      <c r="J3608"/>
    </row>
    <row r="3609" spans="1:10" s="2" customFormat="1">
      <c r="A3609" s="1"/>
      <c r="E3609"/>
      <c r="F3609"/>
      <c r="G3609"/>
      <c r="H3609"/>
      <c r="I3609"/>
      <c r="J3609"/>
    </row>
    <row r="3610" spans="1:10" s="2" customFormat="1">
      <c r="A3610" s="1"/>
      <c r="E3610"/>
      <c r="F3610"/>
      <c r="G3610"/>
      <c r="H3610"/>
      <c r="I3610"/>
      <c r="J3610"/>
    </row>
    <row r="3611" spans="1:10" s="2" customFormat="1">
      <c r="A3611" s="1"/>
      <c r="E3611"/>
      <c r="F3611"/>
      <c r="G3611"/>
      <c r="H3611"/>
      <c r="I3611"/>
      <c r="J3611"/>
    </row>
    <row r="3612" spans="1:10" s="2" customFormat="1">
      <c r="A3612" s="1"/>
      <c r="E3612"/>
      <c r="F3612"/>
      <c r="G3612"/>
      <c r="H3612"/>
      <c r="I3612"/>
      <c r="J3612"/>
    </row>
    <row r="3613" spans="1:10" s="2" customFormat="1">
      <c r="A3613" s="1"/>
      <c r="E3613"/>
      <c r="F3613"/>
      <c r="G3613"/>
      <c r="H3613"/>
      <c r="I3613"/>
      <c r="J3613"/>
    </row>
    <row r="3614" spans="1:10" s="2" customFormat="1">
      <c r="A3614" s="1"/>
      <c r="E3614"/>
      <c r="F3614"/>
      <c r="G3614"/>
      <c r="H3614"/>
      <c r="I3614"/>
      <c r="J3614"/>
    </row>
    <row r="3615" spans="1:10" s="2" customFormat="1">
      <c r="A3615" s="1"/>
      <c r="E3615"/>
      <c r="F3615"/>
      <c r="G3615"/>
      <c r="H3615"/>
      <c r="I3615"/>
      <c r="J3615"/>
    </row>
    <row r="3616" spans="1:10" s="2" customFormat="1">
      <c r="A3616" s="1"/>
      <c r="E3616"/>
      <c r="F3616"/>
      <c r="G3616"/>
      <c r="H3616"/>
      <c r="I3616"/>
      <c r="J3616"/>
    </row>
    <row r="3617" spans="1:10" s="2" customFormat="1">
      <c r="A3617" s="1"/>
      <c r="E3617"/>
      <c r="F3617"/>
      <c r="G3617"/>
      <c r="H3617"/>
      <c r="I3617"/>
      <c r="J3617"/>
    </row>
    <row r="3618" spans="1:10" s="2" customFormat="1">
      <c r="A3618" s="1"/>
      <c r="E3618"/>
      <c r="F3618"/>
      <c r="G3618"/>
      <c r="H3618"/>
      <c r="I3618"/>
      <c r="J3618"/>
    </row>
    <row r="3619" spans="1:10" s="2" customFormat="1">
      <c r="A3619" s="1"/>
      <c r="E3619"/>
      <c r="F3619"/>
      <c r="G3619"/>
      <c r="H3619"/>
      <c r="I3619"/>
      <c r="J3619"/>
    </row>
    <row r="3620" spans="1:10" s="2" customFormat="1">
      <c r="A3620" s="1"/>
      <c r="E3620"/>
      <c r="F3620"/>
      <c r="G3620"/>
      <c r="H3620"/>
      <c r="I3620"/>
      <c r="J3620"/>
    </row>
    <row r="3621" spans="1:10" s="2" customFormat="1">
      <c r="A3621" s="1"/>
      <c r="E3621"/>
      <c r="F3621"/>
      <c r="G3621"/>
      <c r="H3621"/>
      <c r="I3621"/>
      <c r="J3621"/>
    </row>
    <row r="3622" spans="1:10" s="2" customFormat="1">
      <c r="A3622" s="1"/>
      <c r="E3622"/>
      <c r="F3622"/>
      <c r="G3622"/>
      <c r="H3622"/>
      <c r="I3622"/>
      <c r="J3622"/>
    </row>
    <row r="3623" spans="1:10" s="2" customFormat="1">
      <c r="A3623" s="1"/>
      <c r="E3623"/>
      <c r="F3623"/>
      <c r="G3623"/>
      <c r="H3623"/>
      <c r="I3623"/>
      <c r="J3623"/>
    </row>
    <row r="3624" spans="1:10" s="2" customFormat="1">
      <c r="A3624" s="1"/>
      <c r="E3624"/>
      <c r="F3624"/>
      <c r="G3624"/>
      <c r="H3624"/>
      <c r="I3624"/>
      <c r="J3624"/>
    </row>
    <row r="3625" spans="1:10" s="2" customFormat="1">
      <c r="A3625" s="1"/>
      <c r="E3625"/>
      <c r="F3625"/>
      <c r="G3625"/>
      <c r="H3625"/>
      <c r="I3625"/>
      <c r="J3625"/>
    </row>
    <row r="3626" spans="1:10" s="2" customFormat="1">
      <c r="A3626" s="1"/>
      <c r="E3626"/>
      <c r="F3626"/>
      <c r="G3626"/>
      <c r="H3626"/>
      <c r="I3626"/>
      <c r="J3626"/>
    </row>
    <row r="3627" spans="1:10" s="2" customFormat="1">
      <c r="A3627" s="1"/>
      <c r="E3627"/>
      <c r="F3627"/>
      <c r="G3627"/>
      <c r="H3627"/>
      <c r="I3627"/>
      <c r="J3627"/>
    </row>
    <row r="3628" spans="1:10" s="2" customFormat="1">
      <c r="A3628" s="1"/>
      <c r="E3628"/>
      <c r="F3628"/>
      <c r="G3628"/>
      <c r="H3628"/>
      <c r="I3628"/>
      <c r="J3628"/>
    </row>
    <row r="3629" spans="1:10" s="2" customFormat="1">
      <c r="A3629" s="1"/>
      <c r="E3629"/>
      <c r="F3629"/>
      <c r="G3629"/>
      <c r="H3629"/>
      <c r="I3629"/>
      <c r="J3629"/>
    </row>
    <row r="3630" spans="1:10" s="2" customFormat="1">
      <c r="A3630" s="1"/>
      <c r="E3630"/>
      <c r="F3630"/>
      <c r="G3630"/>
      <c r="H3630"/>
      <c r="I3630"/>
      <c r="J3630"/>
    </row>
    <row r="3631" spans="1:10" s="2" customFormat="1">
      <c r="A3631" s="1"/>
      <c r="E3631"/>
      <c r="F3631"/>
      <c r="G3631"/>
      <c r="H3631"/>
      <c r="I3631"/>
      <c r="J3631"/>
    </row>
    <row r="3632" spans="1:10" s="2" customFormat="1">
      <c r="A3632" s="1"/>
      <c r="E3632"/>
      <c r="F3632"/>
      <c r="G3632"/>
      <c r="H3632"/>
      <c r="I3632"/>
      <c r="J3632"/>
    </row>
    <row r="3633" spans="1:10" s="2" customFormat="1">
      <c r="A3633" s="1"/>
      <c r="E3633"/>
      <c r="F3633"/>
      <c r="G3633"/>
      <c r="H3633"/>
      <c r="I3633"/>
      <c r="J3633"/>
    </row>
    <row r="3634" spans="1:10" s="2" customFormat="1">
      <c r="A3634" s="1"/>
      <c r="E3634"/>
      <c r="F3634"/>
      <c r="G3634"/>
      <c r="H3634"/>
      <c r="I3634"/>
      <c r="J3634"/>
    </row>
    <row r="3635" spans="1:10" s="2" customFormat="1">
      <c r="A3635" s="1"/>
      <c r="E3635"/>
      <c r="F3635"/>
      <c r="G3635"/>
      <c r="H3635"/>
      <c r="I3635"/>
      <c r="J3635"/>
    </row>
    <row r="3636" spans="1:10" s="2" customFormat="1">
      <c r="A3636" s="1"/>
      <c r="E3636"/>
      <c r="F3636"/>
      <c r="G3636"/>
      <c r="H3636"/>
      <c r="I3636"/>
      <c r="J3636"/>
    </row>
    <row r="3637" spans="1:10" s="2" customFormat="1">
      <c r="A3637" s="1"/>
      <c r="E3637"/>
      <c r="F3637"/>
      <c r="G3637"/>
      <c r="H3637"/>
      <c r="I3637"/>
      <c r="J3637"/>
    </row>
    <row r="3638" spans="1:10" s="2" customFormat="1">
      <c r="A3638" s="1"/>
      <c r="E3638"/>
      <c r="F3638"/>
      <c r="G3638"/>
      <c r="H3638"/>
      <c r="I3638"/>
      <c r="J3638"/>
    </row>
    <row r="3639" spans="1:10" s="2" customFormat="1">
      <c r="A3639" s="1"/>
      <c r="E3639"/>
      <c r="F3639"/>
      <c r="G3639"/>
      <c r="H3639"/>
      <c r="I3639"/>
      <c r="J3639"/>
    </row>
    <row r="3640" spans="1:10" s="2" customFormat="1">
      <c r="A3640" s="1"/>
      <c r="E3640"/>
      <c r="F3640"/>
      <c r="G3640"/>
      <c r="H3640"/>
      <c r="I3640"/>
      <c r="J3640"/>
    </row>
    <row r="3641" spans="1:10" s="2" customFormat="1">
      <c r="A3641" s="1"/>
      <c r="E3641"/>
      <c r="F3641"/>
      <c r="G3641"/>
      <c r="H3641"/>
      <c r="I3641"/>
      <c r="J3641"/>
    </row>
    <row r="3642" spans="1:10" s="2" customFormat="1">
      <c r="A3642" s="1"/>
      <c r="E3642"/>
      <c r="F3642"/>
      <c r="G3642"/>
      <c r="H3642"/>
      <c r="I3642"/>
      <c r="J3642"/>
    </row>
    <row r="3643" spans="1:10" s="2" customFormat="1">
      <c r="A3643" s="1"/>
      <c r="E3643"/>
      <c r="F3643"/>
      <c r="G3643"/>
      <c r="H3643"/>
      <c r="I3643"/>
      <c r="J3643"/>
    </row>
    <row r="3644" spans="1:10" s="2" customFormat="1">
      <c r="A3644" s="1"/>
      <c r="E3644"/>
      <c r="F3644"/>
      <c r="G3644"/>
      <c r="H3644"/>
      <c r="I3644"/>
      <c r="J3644"/>
    </row>
    <row r="3645" spans="1:10" s="2" customFormat="1">
      <c r="A3645" s="1"/>
      <c r="E3645"/>
      <c r="F3645"/>
      <c r="G3645"/>
      <c r="H3645"/>
      <c r="I3645"/>
      <c r="J3645"/>
    </row>
    <row r="3646" spans="1:10" s="2" customFormat="1">
      <c r="A3646" s="1"/>
      <c r="E3646"/>
      <c r="F3646"/>
      <c r="G3646"/>
      <c r="H3646"/>
      <c r="I3646"/>
      <c r="J3646"/>
    </row>
    <row r="3647" spans="1:10" s="2" customFormat="1">
      <c r="A3647" s="1"/>
      <c r="E3647"/>
      <c r="F3647"/>
      <c r="G3647"/>
      <c r="H3647"/>
      <c r="I3647"/>
      <c r="J3647"/>
    </row>
    <row r="3648" spans="1:10" s="2" customFormat="1">
      <c r="A3648" s="1"/>
      <c r="E3648"/>
      <c r="F3648"/>
      <c r="G3648"/>
      <c r="H3648"/>
      <c r="I3648"/>
      <c r="J3648"/>
    </row>
    <row r="3649" spans="1:10" s="2" customFormat="1">
      <c r="A3649" s="1"/>
      <c r="E3649"/>
      <c r="F3649"/>
      <c r="G3649"/>
      <c r="H3649"/>
      <c r="I3649"/>
      <c r="J3649"/>
    </row>
    <row r="3650" spans="1:10" s="2" customFormat="1">
      <c r="A3650" s="1"/>
      <c r="E3650"/>
      <c r="F3650"/>
      <c r="G3650"/>
      <c r="H3650"/>
      <c r="I3650"/>
      <c r="J3650"/>
    </row>
    <row r="3651" spans="1:10" s="2" customFormat="1">
      <c r="A3651" s="1"/>
      <c r="E3651"/>
      <c r="F3651"/>
      <c r="G3651"/>
      <c r="H3651"/>
      <c r="I3651"/>
      <c r="J3651"/>
    </row>
    <row r="3652" spans="1:10" s="2" customFormat="1">
      <c r="A3652" s="1"/>
      <c r="E3652"/>
      <c r="F3652"/>
      <c r="G3652"/>
      <c r="H3652"/>
      <c r="I3652"/>
      <c r="J3652"/>
    </row>
    <row r="3653" spans="1:10" s="2" customFormat="1">
      <c r="A3653" s="1"/>
      <c r="E3653"/>
      <c r="F3653"/>
      <c r="G3653"/>
      <c r="H3653"/>
      <c r="I3653"/>
      <c r="J3653"/>
    </row>
    <row r="3654" spans="1:10" s="2" customFormat="1">
      <c r="A3654" s="1"/>
      <c r="E3654"/>
      <c r="F3654"/>
      <c r="G3654"/>
      <c r="H3654"/>
      <c r="I3654"/>
      <c r="J3654"/>
    </row>
    <row r="3655" spans="1:10" s="2" customFormat="1">
      <c r="A3655" s="1"/>
      <c r="E3655"/>
      <c r="F3655"/>
      <c r="G3655"/>
      <c r="H3655"/>
      <c r="I3655"/>
      <c r="J3655"/>
    </row>
    <row r="3656" spans="1:10" s="2" customFormat="1">
      <c r="A3656" s="1"/>
      <c r="E3656"/>
      <c r="F3656"/>
      <c r="G3656"/>
      <c r="H3656"/>
      <c r="I3656"/>
      <c r="J3656"/>
    </row>
    <row r="3657" spans="1:10" s="2" customFormat="1">
      <c r="A3657" s="1"/>
      <c r="E3657"/>
      <c r="F3657"/>
      <c r="G3657"/>
      <c r="H3657"/>
      <c r="I3657"/>
      <c r="J3657"/>
    </row>
    <row r="3658" spans="1:10" s="2" customFormat="1">
      <c r="A3658" s="1"/>
      <c r="E3658"/>
      <c r="F3658"/>
      <c r="G3658"/>
      <c r="H3658"/>
      <c r="I3658"/>
      <c r="J3658"/>
    </row>
    <row r="3659" spans="1:10" s="2" customFormat="1">
      <c r="A3659" s="1"/>
      <c r="E3659"/>
      <c r="F3659"/>
      <c r="G3659"/>
      <c r="H3659"/>
      <c r="I3659"/>
      <c r="J3659"/>
    </row>
    <row r="3660" spans="1:10" s="2" customFormat="1">
      <c r="A3660" s="1"/>
      <c r="E3660"/>
      <c r="F3660"/>
      <c r="G3660"/>
      <c r="H3660"/>
      <c r="I3660"/>
      <c r="J3660"/>
    </row>
    <row r="3661" spans="1:10" s="2" customFormat="1">
      <c r="A3661" s="1"/>
      <c r="E3661"/>
      <c r="F3661"/>
      <c r="G3661"/>
      <c r="H3661"/>
      <c r="I3661"/>
      <c r="J3661"/>
    </row>
    <row r="3662" spans="1:10" s="2" customFormat="1">
      <c r="A3662" s="1"/>
      <c r="E3662"/>
      <c r="F3662"/>
      <c r="G3662"/>
      <c r="H3662"/>
      <c r="I3662"/>
      <c r="J3662"/>
    </row>
    <row r="3663" spans="1:10" s="2" customFormat="1">
      <c r="A3663" s="1"/>
      <c r="E3663"/>
      <c r="F3663"/>
      <c r="G3663"/>
      <c r="H3663"/>
      <c r="I3663"/>
      <c r="J3663"/>
    </row>
    <row r="3664" spans="1:10" s="2" customFormat="1">
      <c r="A3664" s="1"/>
      <c r="E3664"/>
      <c r="F3664"/>
      <c r="G3664"/>
      <c r="H3664"/>
      <c r="I3664"/>
      <c r="J3664"/>
    </row>
    <row r="3665" spans="1:10" s="2" customFormat="1">
      <c r="A3665" s="1"/>
      <c r="E3665"/>
      <c r="F3665"/>
      <c r="G3665"/>
      <c r="H3665"/>
      <c r="I3665"/>
      <c r="J3665"/>
    </row>
    <row r="3666" spans="1:10" s="2" customFormat="1">
      <c r="A3666" s="1"/>
      <c r="E3666"/>
      <c r="F3666"/>
      <c r="G3666"/>
      <c r="H3666"/>
      <c r="I3666"/>
      <c r="J3666"/>
    </row>
    <row r="3667" spans="1:10" s="2" customFormat="1">
      <c r="A3667" s="1"/>
      <c r="E3667"/>
      <c r="F3667"/>
      <c r="G3667"/>
      <c r="H3667"/>
      <c r="I3667"/>
      <c r="J3667"/>
    </row>
    <row r="3668" spans="1:10" s="2" customFormat="1">
      <c r="A3668" s="1"/>
      <c r="E3668"/>
      <c r="F3668"/>
      <c r="G3668"/>
      <c r="H3668"/>
      <c r="I3668"/>
      <c r="J3668"/>
    </row>
    <row r="3669" spans="1:10" s="2" customFormat="1">
      <c r="A3669" s="1"/>
      <c r="E3669"/>
      <c r="F3669"/>
      <c r="G3669"/>
      <c r="H3669"/>
      <c r="I3669"/>
      <c r="J3669"/>
    </row>
    <row r="3670" spans="1:10" s="2" customFormat="1">
      <c r="A3670" s="1"/>
      <c r="E3670"/>
      <c r="F3670"/>
      <c r="G3670"/>
      <c r="H3670"/>
      <c r="I3670"/>
      <c r="J3670"/>
    </row>
    <row r="3671" spans="1:10" s="2" customFormat="1">
      <c r="A3671" s="1"/>
      <c r="E3671"/>
      <c r="F3671"/>
      <c r="G3671"/>
      <c r="H3671"/>
      <c r="I3671"/>
      <c r="J3671"/>
    </row>
    <row r="3672" spans="1:10" s="2" customFormat="1">
      <c r="A3672" s="1"/>
      <c r="E3672"/>
      <c r="F3672"/>
      <c r="G3672"/>
      <c r="H3672"/>
      <c r="I3672"/>
      <c r="J3672"/>
    </row>
    <row r="3673" spans="1:10" s="2" customFormat="1">
      <c r="A3673" s="1"/>
      <c r="E3673"/>
      <c r="F3673"/>
      <c r="G3673"/>
      <c r="H3673"/>
      <c r="I3673"/>
      <c r="J3673"/>
    </row>
    <row r="3674" spans="1:10" s="2" customFormat="1">
      <c r="A3674" s="1"/>
      <c r="E3674"/>
      <c r="F3674"/>
      <c r="G3674"/>
      <c r="H3674"/>
      <c r="I3674"/>
      <c r="J3674"/>
    </row>
    <row r="3675" spans="1:10" s="2" customFormat="1">
      <c r="A3675" s="1"/>
      <c r="E3675"/>
      <c r="F3675"/>
      <c r="G3675"/>
      <c r="H3675"/>
      <c r="I3675"/>
      <c r="J3675"/>
    </row>
    <row r="3676" spans="1:10" s="2" customFormat="1">
      <c r="A3676" s="1"/>
      <c r="E3676"/>
      <c r="F3676"/>
      <c r="G3676"/>
      <c r="H3676"/>
      <c r="I3676"/>
      <c r="J3676"/>
    </row>
    <row r="3677" spans="1:10" s="2" customFormat="1">
      <c r="A3677" s="1"/>
      <c r="E3677"/>
      <c r="F3677"/>
      <c r="G3677"/>
      <c r="H3677"/>
      <c r="I3677"/>
      <c r="J3677"/>
    </row>
    <row r="3678" spans="1:10" s="2" customFormat="1">
      <c r="A3678" s="1"/>
      <c r="E3678"/>
      <c r="F3678"/>
      <c r="G3678"/>
      <c r="H3678"/>
      <c r="I3678"/>
      <c r="J3678"/>
    </row>
    <row r="3679" spans="1:10" s="2" customFormat="1">
      <c r="A3679" s="1"/>
      <c r="E3679"/>
      <c r="F3679"/>
      <c r="G3679"/>
      <c r="H3679"/>
      <c r="I3679"/>
      <c r="J3679"/>
    </row>
    <row r="3680" spans="1:10" s="2" customFormat="1">
      <c r="A3680" s="1"/>
      <c r="E3680"/>
      <c r="F3680"/>
      <c r="G3680"/>
      <c r="H3680"/>
      <c r="I3680"/>
      <c r="J3680"/>
    </row>
    <row r="3681" spans="1:10" s="2" customFormat="1">
      <c r="A3681" s="1"/>
      <c r="E3681"/>
      <c r="F3681"/>
      <c r="G3681"/>
      <c r="H3681"/>
      <c r="I3681"/>
      <c r="J3681"/>
    </row>
    <row r="3682" spans="1:10" s="2" customFormat="1">
      <c r="A3682" s="1"/>
      <c r="E3682"/>
      <c r="F3682"/>
      <c r="G3682"/>
      <c r="H3682"/>
      <c r="I3682"/>
      <c r="J3682"/>
    </row>
    <row r="3683" spans="1:10" s="2" customFormat="1">
      <c r="A3683" s="1"/>
      <c r="E3683"/>
      <c r="F3683"/>
      <c r="G3683"/>
      <c r="H3683"/>
      <c r="I3683"/>
      <c r="J3683"/>
    </row>
    <row r="3684" spans="1:10" s="2" customFormat="1">
      <c r="A3684" s="1"/>
      <c r="E3684"/>
      <c r="F3684"/>
      <c r="G3684"/>
      <c r="H3684"/>
      <c r="I3684"/>
      <c r="J3684"/>
    </row>
    <row r="3685" spans="1:10" s="2" customFormat="1">
      <c r="A3685" s="1"/>
      <c r="E3685"/>
      <c r="F3685"/>
      <c r="G3685"/>
      <c r="H3685"/>
      <c r="I3685"/>
      <c r="J3685"/>
    </row>
    <row r="3686" spans="1:10" s="2" customFormat="1">
      <c r="A3686" s="1"/>
      <c r="E3686"/>
      <c r="F3686"/>
      <c r="G3686"/>
      <c r="H3686"/>
      <c r="I3686"/>
      <c r="J3686"/>
    </row>
    <row r="3687" spans="1:10" s="2" customFormat="1">
      <c r="A3687" s="1"/>
      <c r="E3687"/>
      <c r="F3687"/>
      <c r="G3687"/>
      <c r="H3687"/>
      <c r="I3687"/>
      <c r="J3687"/>
    </row>
    <row r="3688" spans="1:10" s="2" customFormat="1">
      <c r="A3688" s="1"/>
      <c r="E3688"/>
      <c r="F3688"/>
      <c r="G3688"/>
      <c r="H3688"/>
      <c r="I3688"/>
      <c r="J3688"/>
    </row>
    <row r="3689" spans="1:10" s="2" customFormat="1">
      <c r="A3689" s="1"/>
      <c r="E3689"/>
      <c r="F3689"/>
      <c r="G3689"/>
      <c r="H3689"/>
      <c r="I3689"/>
      <c r="J3689"/>
    </row>
    <row r="3690" spans="1:10" s="2" customFormat="1">
      <c r="A3690" s="1"/>
      <c r="E3690"/>
      <c r="F3690"/>
      <c r="G3690"/>
      <c r="H3690"/>
      <c r="I3690"/>
      <c r="J3690"/>
    </row>
    <row r="3691" spans="1:10" s="2" customFormat="1">
      <c r="A3691" s="1"/>
      <c r="E3691"/>
      <c r="F3691"/>
      <c r="G3691"/>
      <c r="H3691"/>
      <c r="I3691"/>
      <c r="J3691"/>
    </row>
    <row r="3692" spans="1:10" s="2" customFormat="1">
      <c r="A3692" s="1"/>
      <c r="E3692"/>
      <c r="F3692"/>
      <c r="G3692"/>
      <c r="H3692"/>
      <c r="I3692"/>
      <c r="J3692"/>
    </row>
    <row r="3693" spans="1:10" s="2" customFormat="1">
      <c r="A3693" s="1"/>
      <c r="E3693"/>
      <c r="F3693"/>
      <c r="G3693"/>
      <c r="H3693"/>
      <c r="I3693"/>
      <c r="J3693"/>
    </row>
    <row r="3694" spans="1:10" s="2" customFormat="1">
      <c r="A3694" s="1"/>
      <c r="E3694"/>
      <c r="F3694"/>
      <c r="G3694"/>
      <c r="H3694"/>
      <c r="I3694"/>
      <c r="J3694"/>
    </row>
    <row r="3695" spans="1:10" s="2" customFormat="1">
      <c r="A3695" s="1"/>
      <c r="E3695"/>
      <c r="F3695"/>
      <c r="G3695"/>
      <c r="H3695"/>
      <c r="I3695"/>
      <c r="J3695"/>
    </row>
    <row r="3696" spans="1:10" s="2" customFormat="1">
      <c r="A3696" s="1"/>
      <c r="E3696"/>
      <c r="F3696"/>
      <c r="G3696"/>
      <c r="H3696"/>
      <c r="I3696"/>
      <c r="J3696"/>
    </row>
    <row r="3697" spans="1:10" s="2" customFormat="1">
      <c r="A3697" s="1"/>
      <c r="E3697"/>
      <c r="F3697"/>
      <c r="G3697"/>
      <c r="H3697"/>
      <c r="I3697"/>
      <c r="J3697"/>
    </row>
    <row r="3698" spans="1:10" s="2" customFormat="1">
      <c r="A3698" s="1"/>
      <c r="E3698"/>
      <c r="F3698"/>
      <c r="G3698"/>
      <c r="H3698"/>
      <c r="I3698"/>
      <c r="J3698"/>
    </row>
    <row r="3699" spans="1:10" s="2" customFormat="1">
      <c r="A3699" s="1"/>
      <c r="E3699"/>
      <c r="F3699"/>
      <c r="G3699"/>
      <c r="H3699"/>
      <c r="I3699"/>
      <c r="J3699"/>
    </row>
    <row r="3700" spans="1:10" s="2" customFormat="1">
      <c r="A3700" s="1"/>
      <c r="E3700"/>
      <c r="F3700"/>
      <c r="G3700"/>
      <c r="H3700"/>
      <c r="I3700"/>
      <c r="J3700"/>
    </row>
    <row r="3701" spans="1:10" s="2" customFormat="1">
      <c r="A3701" s="1"/>
      <c r="E3701"/>
      <c r="F3701"/>
      <c r="G3701"/>
      <c r="H3701"/>
      <c r="I3701"/>
      <c r="J3701"/>
    </row>
    <row r="3702" spans="1:10" s="2" customFormat="1">
      <c r="A3702" s="1"/>
      <c r="E3702"/>
      <c r="F3702"/>
      <c r="G3702"/>
      <c r="H3702"/>
      <c r="I3702"/>
      <c r="J3702"/>
    </row>
    <row r="3703" spans="1:10" s="2" customFormat="1">
      <c r="A3703" s="1"/>
      <c r="E3703"/>
      <c r="F3703"/>
      <c r="G3703"/>
      <c r="H3703"/>
      <c r="I3703"/>
      <c r="J3703"/>
    </row>
    <row r="3704" spans="1:10" s="2" customFormat="1">
      <c r="A3704" s="1"/>
      <c r="E3704"/>
      <c r="F3704"/>
      <c r="G3704"/>
      <c r="H3704"/>
      <c r="I3704"/>
      <c r="J3704"/>
    </row>
    <row r="3705" spans="1:10" s="2" customFormat="1">
      <c r="A3705" s="1"/>
      <c r="E3705"/>
      <c r="F3705"/>
      <c r="G3705"/>
      <c r="H3705"/>
      <c r="I3705"/>
      <c r="J3705"/>
    </row>
    <row r="3706" spans="1:10" s="2" customFormat="1">
      <c r="A3706" s="1"/>
      <c r="E3706"/>
      <c r="F3706"/>
      <c r="G3706"/>
      <c r="H3706"/>
      <c r="I3706"/>
      <c r="J3706"/>
    </row>
    <row r="3707" spans="1:10" s="2" customFormat="1">
      <c r="A3707" s="1"/>
      <c r="E3707"/>
      <c r="F3707"/>
      <c r="G3707"/>
      <c r="H3707"/>
      <c r="I3707"/>
      <c r="J3707"/>
    </row>
    <row r="3708" spans="1:10" s="2" customFormat="1">
      <c r="A3708" s="1"/>
      <c r="E3708"/>
      <c r="F3708"/>
      <c r="G3708"/>
      <c r="H3708"/>
      <c r="I3708"/>
      <c r="J3708"/>
    </row>
    <row r="3709" spans="1:10" s="2" customFormat="1">
      <c r="A3709" s="1"/>
      <c r="E3709"/>
      <c r="F3709"/>
      <c r="G3709"/>
      <c r="H3709"/>
      <c r="I3709"/>
      <c r="J3709"/>
    </row>
    <row r="3710" spans="1:10" s="2" customFormat="1">
      <c r="A3710" s="1"/>
      <c r="E3710"/>
      <c r="F3710"/>
      <c r="G3710"/>
      <c r="H3710"/>
      <c r="I3710"/>
      <c r="J3710"/>
    </row>
    <row r="3711" spans="1:10" s="2" customFormat="1">
      <c r="A3711" s="1"/>
      <c r="E3711"/>
      <c r="F3711"/>
      <c r="G3711"/>
      <c r="H3711"/>
      <c r="I3711"/>
      <c r="J3711"/>
    </row>
    <row r="3712" spans="1:10" s="2" customFormat="1">
      <c r="A3712" s="1"/>
      <c r="E3712"/>
      <c r="F3712"/>
      <c r="G3712"/>
      <c r="H3712"/>
      <c r="I3712"/>
      <c r="J3712"/>
    </row>
    <row r="3713" spans="1:10" s="2" customFormat="1">
      <c r="A3713" s="1"/>
      <c r="E3713"/>
      <c r="F3713"/>
      <c r="G3713"/>
      <c r="H3713"/>
      <c r="I3713"/>
      <c r="J3713"/>
    </row>
    <row r="3714" spans="1:10" s="2" customFormat="1">
      <c r="A3714" s="1"/>
      <c r="E3714"/>
      <c r="F3714"/>
      <c r="G3714"/>
      <c r="H3714"/>
      <c r="I3714"/>
      <c r="J3714"/>
    </row>
    <row r="3715" spans="1:10" s="2" customFormat="1">
      <c r="A3715" s="1"/>
      <c r="E3715"/>
      <c r="F3715"/>
      <c r="G3715"/>
      <c r="H3715"/>
      <c r="I3715"/>
      <c r="J3715"/>
    </row>
    <row r="3716" spans="1:10" s="2" customFormat="1">
      <c r="A3716" s="1"/>
      <c r="E3716"/>
      <c r="F3716"/>
      <c r="G3716"/>
      <c r="H3716"/>
      <c r="I3716"/>
      <c r="J3716"/>
    </row>
    <row r="3717" spans="1:10" s="2" customFormat="1">
      <c r="A3717" s="1"/>
      <c r="E3717"/>
      <c r="F3717"/>
      <c r="G3717"/>
      <c r="H3717"/>
      <c r="I3717"/>
      <c r="J3717"/>
    </row>
    <row r="3718" spans="1:10" s="2" customFormat="1">
      <c r="A3718" s="1"/>
      <c r="E3718"/>
      <c r="F3718"/>
      <c r="G3718"/>
      <c r="H3718"/>
      <c r="I3718"/>
      <c r="J3718"/>
    </row>
    <row r="3719" spans="1:10" s="2" customFormat="1">
      <c r="A3719" s="1"/>
      <c r="E3719"/>
      <c r="F3719"/>
      <c r="G3719"/>
      <c r="H3719"/>
      <c r="I3719"/>
      <c r="J3719"/>
    </row>
    <row r="3720" spans="1:10" s="2" customFormat="1">
      <c r="A3720" s="1"/>
      <c r="E3720"/>
      <c r="F3720"/>
      <c r="G3720"/>
      <c r="H3720"/>
      <c r="I3720"/>
      <c r="J3720"/>
    </row>
    <row r="3721" spans="1:10" s="2" customFormat="1">
      <c r="A3721" s="1"/>
      <c r="E3721"/>
      <c r="F3721"/>
      <c r="G3721"/>
      <c r="H3721"/>
      <c r="I3721"/>
      <c r="J3721"/>
    </row>
    <row r="3722" spans="1:10" s="2" customFormat="1">
      <c r="A3722" s="1"/>
      <c r="E3722"/>
      <c r="F3722"/>
      <c r="G3722"/>
      <c r="H3722"/>
      <c r="I3722"/>
      <c r="J3722"/>
    </row>
    <row r="3723" spans="1:10" s="2" customFormat="1">
      <c r="A3723" s="1"/>
      <c r="E3723"/>
      <c r="F3723"/>
      <c r="G3723"/>
      <c r="H3723"/>
      <c r="I3723"/>
      <c r="J3723"/>
    </row>
    <row r="3724" spans="1:10" s="2" customFormat="1">
      <c r="A3724" s="1"/>
      <c r="E3724"/>
      <c r="F3724"/>
      <c r="G3724"/>
      <c r="H3724"/>
      <c r="I3724"/>
      <c r="J3724"/>
    </row>
    <row r="3725" spans="1:10" s="2" customFormat="1">
      <c r="A3725" s="1"/>
      <c r="E3725"/>
      <c r="F3725"/>
      <c r="G3725"/>
      <c r="H3725"/>
      <c r="I3725"/>
      <c r="J3725"/>
    </row>
    <row r="3726" spans="1:10" s="2" customFormat="1">
      <c r="A3726" s="1"/>
      <c r="E3726"/>
      <c r="F3726"/>
      <c r="G3726"/>
      <c r="H3726"/>
      <c r="I3726"/>
      <c r="J3726"/>
    </row>
    <row r="3727" spans="1:10" s="2" customFormat="1">
      <c r="A3727" s="1"/>
      <c r="E3727"/>
      <c r="F3727"/>
      <c r="G3727"/>
      <c r="H3727"/>
      <c r="I3727"/>
      <c r="J3727"/>
    </row>
    <row r="3728" spans="1:10" s="2" customFormat="1">
      <c r="A3728" s="1"/>
      <c r="E3728"/>
      <c r="F3728"/>
      <c r="G3728"/>
      <c r="H3728"/>
      <c r="I3728"/>
      <c r="J3728"/>
    </row>
    <row r="3729" spans="1:10" s="2" customFormat="1">
      <c r="A3729" s="1"/>
      <c r="E3729"/>
      <c r="F3729"/>
      <c r="G3729"/>
      <c r="H3729"/>
      <c r="I3729"/>
      <c r="J3729"/>
    </row>
    <row r="3730" spans="1:10" s="2" customFormat="1">
      <c r="A3730" s="1"/>
      <c r="E3730"/>
      <c r="F3730"/>
      <c r="G3730"/>
      <c r="H3730"/>
      <c r="I3730"/>
      <c r="J3730"/>
    </row>
    <row r="3731" spans="1:10" s="2" customFormat="1">
      <c r="A3731" s="1"/>
      <c r="E3731"/>
      <c r="F3731"/>
      <c r="G3731"/>
      <c r="H3731"/>
      <c r="I3731"/>
      <c r="J3731"/>
    </row>
    <row r="3732" spans="1:10" s="2" customFormat="1">
      <c r="A3732" s="1"/>
      <c r="E3732"/>
      <c r="F3732"/>
      <c r="G3732"/>
      <c r="H3732"/>
      <c r="I3732"/>
      <c r="J3732"/>
    </row>
    <row r="3733" spans="1:10" s="2" customFormat="1">
      <c r="A3733" s="1"/>
      <c r="E3733"/>
      <c r="F3733"/>
      <c r="G3733"/>
      <c r="H3733"/>
      <c r="I3733"/>
      <c r="J3733"/>
    </row>
    <row r="3734" spans="1:10" s="2" customFormat="1">
      <c r="A3734" s="1"/>
      <c r="E3734"/>
      <c r="F3734"/>
      <c r="G3734"/>
      <c r="H3734"/>
      <c r="I3734"/>
      <c r="J3734"/>
    </row>
    <row r="3735" spans="1:10" s="2" customFormat="1">
      <c r="A3735" s="1"/>
      <c r="E3735"/>
      <c r="F3735"/>
      <c r="G3735"/>
      <c r="H3735"/>
      <c r="I3735"/>
      <c r="J3735"/>
    </row>
    <row r="3736" spans="1:10" s="2" customFormat="1">
      <c r="A3736" s="1"/>
      <c r="E3736"/>
      <c r="F3736"/>
      <c r="G3736"/>
      <c r="H3736"/>
      <c r="I3736"/>
      <c r="J3736"/>
    </row>
    <row r="3737" spans="1:10" s="2" customFormat="1">
      <c r="A3737" s="1"/>
      <c r="E3737"/>
      <c r="F3737"/>
      <c r="G3737"/>
      <c r="H3737"/>
      <c r="I3737"/>
      <c r="J3737"/>
    </row>
    <row r="3738" spans="1:10" s="2" customFormat="1">
      <c r="A3738" s="1"/>
      <c r="E3738"/>
      <c r="F3738"/>
      <c r="G3738"/>
      <c r="H3738"/>
      <c r="I3738"/>
      <c r="J3738"/>
    </row>
    <row r="3739" spans="1:10" s="2" customFormat="1">
      <c r="A3739" s="1"/>
      <c r="E3739"/>
      <c r="F3739"/>
      <c r="G3739"/>
      <c r="H3739"/>
      <c r="I3739"/>
      <c r="J3739"/>
    </row>
    <row r="3740" spans="1:10" s="2" customFormat="1">
      <c r="A3740" s="1"/>
      <c r="E3740"/>
      <c r="F3740"/>
      <c r="G3740"/>
      <c r="H3740"/>
      <c r="I3740"/>
      <c r="J3740"/>
    </row>
    <row r="3741" spans="1:10" s="2" customFormat="1">
      <c r="A3741" s="1"/>
      <c r="E3741"/>
      <c r="F3741"/>
      <c r="G3741"/>
      <c r="H3741"/>
      <c r="I3741"/>
      <c r="J3741"/>
    </row>
    <row r="3742" spans="1:10" s="2" customFormat="1">
      <c r="A3742" s="1"/>
      <c r="E3742"/>
      <c r="F3742"/>
      <c r="G3742"/>
      <c r="H3742"/>
      <c r="I3742"/>
      <c r="J3742"/>
    </row>
    <row r="3743" spans="1:10" s="2" customFormat="1">
      <c r="A3743" s="1"/>
      <c r="E3743"/>
      <c r="F3743"/>
      <c r="G3743"/>
      <c r="H3743"/>
      <c r="I3743"/>
      <c r="J3743"/>
    </row>
    <row r="3744" spans="1:10" s="2" customFormat="1">
      <c r="A3744" s="1"/>
      <c r="E3744"/>
      <c r="F3744"/>
      <c r="G3744"/>
      <c r="H3744"/>
      <c r="I3744"/>
      <c r="J3744"/>
    </row>
    <row r="3745" spans="1:10" s="2" customFormat="1">
      <c r="A3745" s="1"/>
      <c r="E3745"/>
      <c r="F3745"/>
      <c r="G3745"/>
      <c r="H3745"/>
      <c r="I3745"/>
      <c r="J3745"/>
    </row>
    <row r="3746" spans="1:10" s="2" customFormat="1">
      <c r="A3746" s="1"/>
      <c r="E3746"/>
      <c r="F3746"/>
      <c r="G3746"/>
      <c r="H3746"/>
      <c r="I3746"/>
      <c r="J3746"/>
    </row>
    <row r="3747" spans="1:10" s="2" customFormat="1">
      <c r="A3747" s="1"/>
      <c r="E3747"/>
      <c r="F3747"/>
      <c r="G3747"/>
      <c r="H3747"/>
      <c r="I3747"/>
      <c r="J3747"/>
    </row>
    <row r="3748" spans="1:10" s="2" customFormat="1">
      <c r="A3748" s="1"/>
      <c r="E3748"/>
      <c r="F3748"/>
      <c r="G3748"/>
      <c r="H3748"/>
      <c r="I3748"/>
      <c r="J3748"/>
    </row>
    <row r="3749" spans="1:10" s="2" customFormat="1">
      <c r="A3749" s="1"/>
      <c r="E3749"/>
      <c r="F3749"/>
      <c r="G3749"/>
      <c r="H3749"/>
      <c r="I3749"/>
      <c r="J3749"/>
    </row>
    <row r="3750" spans="1:10" s="2" customFormat="1">
      <c r="A3750" s="1"/>
      <c r="E3750"/>
      <c r="F3750"/>
      <c r="G3750"/>
      <c r="H3750"/>
      <c r="I3750"/>
      <c r="J3750"/>
    </row>
    <row r="3751" spans="1:10" s="2" customFormat="1">
      <c r="A3751" s="1"/>
      <c r="E3751"/>
      <c r="F3751"/>
      <c r="G3751"/>
      <c r="H3751"/>
      <c r="I3751"/>
      <c r="J3751"/>
    </row>
    <row r="3752" spans="1:10" s="2" customFormat="1">
      <c r="A3752" s="1"/>
      <c r="E3752"/>
      <c r="F3752"/>
      <c r="G3752"/>
      <c r="H3752"/>
      <c r="I3752"/>
      <c r="J3752"/>
    </row>
    <row r="3753" spans="1:10" s="2" customFormat="1">
      <c r="A3753" s="1"/>
      <c r="E3753"/>
      <c r="F3753"/>
      <c r="G3753"/>
      <c r="H3753"/>
      <c r="I3753"/>
      <c r="J3753"/>
    </row>
    <row r="3754" spans="1:10" s="2" customFormat="1">
      <c r="A3754" s="1"/>
      <c r="E3754"/>
      <c r="F3754"/>
      <c r="G3754"/>
      <c r="H3754"/>
      <c r="I3754"/>
      <c r="J3754"/>
    </row>
    <row r="3755" spans="1:10" s="2" customFormat="1">
      <c r="A3755" s="1"/>
      <c r="E3755"/>
      <c r="F3755"/>
      <c r="G3755"/>
      <c r="H3755"/>
      <c r="I3755"/>
      <c r="J3755"/>
    </row>
    <row r="3756" spans="1:10" s="2" customFormat="1">
      <c r="A3756" s="1"/>
      <c r="E3756"/>
      <c r="F3756"/>
      <c r="G3756"/>
      <c r="H3756"/>
      <c r="I3756"/>
      <c r="J3756"/>
    </row>
    <row r="3757" spans="1:10" s="2" customFormat="1">
      <c r="A3757" s="1"/>
      <c r="E3757"/>
      <c r="F3757"/>
      <c r="G3757"/>
      <c r="H3757"/>
      <c r="I3757"/>
      <c r="J3757"/>
    </row>
    <row r="3758" spans="1:10" s="2" customFormat="1">
      <c r="A3758" s="1"/>
      <c r="E3758"/>
      <c r="F3758"/>
      <c r="G3758"/>
      <c r="H3758"/>
      <c r="I3758"/>
      <c r="J3758"/>
    </row>
    <row r="3759" spans="1:10" s="2" customFormat="1">
      <c r="A3759" s="1"/>
      <c r="E3759"/>
      <c r="F3759"/>
      <c r="G3759"/>
      <c r="H3759"/>
      <c r="I3759"/>
      <c r="J3759"/>
    </row>
    <row r="3760" spans="1:10" s="2" customFormat="1">
      <c r="A3760" s="1"/>
      <c r="E3760"/>
      <c r="F3760"/>
      <c r="G3760"/>
      <c r="H3760"/>
      <c r="I3760"/>
      <c r="J3760"/>
    </row>
    <row r="3761" spans="1:10" s="2" customFormat="1">
      <c r="A3761" s="1"/>
      <c r="E3761"/>
      <c r="F3761"/>
      <c r="G3761"/>
      <c r="H3761"/>
      <c r="I3761"/>
      <c r="J3761"/>
    </row>
    <row r="3762" spans="1:10" s="2" customFormat="1">
      <c r="A3762" s="1"/>
      <c r="E3762"/>
      <c r="F3762"/>
      <c r="G3762"/>
      <c r="H3762"/>
      <c r="I3762"/>
      <c r="J3762"/>
    </row>
    <row r="3763" spans="1:10" s="2" customFormat="1">
      <c r="A3763" s="1"/>
      <c r="E3763"/>
      <c r="F3763"/>
      <c r="G3763"/>
      <c r="H3763"/>
      <c r="I3763"/>
      <c r="J3763"/>
    </row>
    <row r="3764" spans="1:10" s="2" customFormat="1">
      <c r="A3764" s="1"/>
      <c r="E3764"/>
      <c r="F3764"/>
      <c r="G3764"/>
      <c r="H3764"/>
      <c r="I3764"/>
      <c r="J3764"/>
    </row>
    <row r="3765" spans="1:10" s="2" customFormat="1">
      <c r="A3765" s="1"/>
      <c r="E3765"/>
      <c r="F3765"/>
      <c r="G3765"/>
      <c r="H3765"/>
      <c r="I3765"/>
      <c r="J3765"/>
    </row>
    <row r="3766" spans="1:10" s="2" customFormat="1">
      <c r="A3766" s="1"/>
      <c r="E3766"/>
      <c r="F3766"/>
      <c r="G3766"/>
      <c r="H3766"/>
      <c r="I3766"/>
      <c r="J3766"/>
    </row>
    <row r="3767" spans="1:10" s="2" customFormat="1">
      <c r="A3767" s="1"/>
      <c r="E3767"/>
      <c r="F3767"/>
      <c r="G3767"/>
      <c r="H3767"/>
      <c r="I3767"/>
      <c r="J3767"/>
    </row>
    <row r="3768" spans="1:10" s="2" customFormat="1">
      <c r="A3768" s="1"/>
      <c r="E3768"/>
      <c r="F3768"/>
      <c r="G3768"/>
      <c r="H3768"/>
      <c r="I3768"/>
      <c r="J3768"/>
    </row>
    <row r="3769" spans="1:10" s="2" customFormat="1">
      <c r="A3769" s="1"/>
      <c r="E3769"/>
      <c r="F3769"/>
      <c r="G3769"/>
      <c r="H3769"/>
      <c r="I3769"/>
      <c r="J3769"/>
    </row>
    <row r="3770" spans="1:10" s="2" customFormat="1">
      <c r="A3770" s="1"/>
      <c r="E3770"/>
      <c r="F3770"/>
      <c r="G3770"/>
      <c r="H3770"/>
      <c r="I3770"/>
      <c r="J3770"/>
    </row>
    <row r="3771" spans="1:10" s="2" customFormat="1">
      <c r="A3771" s="1"/>
      <c r="E3771"/>
      <c r="F3771"/>
      <c r="G3771"/>
      <c r="H3771"/>
      <c r="I3771"/>
      <c r="J3771"/>
    </row>
    <row r="3772" spans="1:10" s="2" customFormat="1">
      <c r="A3772" s="1"/>
      <c r="E3772"/>
      <c r="F3772"/>
      <c r="G3772"/>
      <c r="H3772"/>
      <c r="I3772"/>
      <c r="J3772"/>
    </row>
    <row r="3773" spans="1:10" s="2" customFormat="1">
      <c r="A3773" s="1"/>
      <c r="E3773"/>
      <c r="F3773"/>
      <c r="G3773"/>
      <c r="H3773"/>
      <c r="I3773"/>
      <c r="J3773"/>
    </row>
    <row r="3774" spans="1:10" s="2" customFormat="1">
      <c r="A3774" s="1"/>
      <c r="E3774"/>
      <c r="F3774"/>
      <c r="G3774"/>
      <c r="H3774"/>
      <c r="I3774"/>
      <c r="J3774"/>
    </row>
    <row r="3775" spans="1:10" s="2" customFormat="1">
      <c r="A3775" s="1"/>
      <c r="E3775"/>
      <c r="F3775"/>
      <c r="G3775"/>
      <c r="H3775"/>
      <c r="I3775"/>
      <c r="J3775"/>
    </row>
    <row r="3776" spans="1:10" s="2" customFormat="1">
      <c r="A3776" s="1"/>
      <c r="E3776"/>
      <c r="F3776"/>
      <c r="G3776"/>
      <c r="H3776"/>
      <c r="I3776"/>
      <c r="J3776"/>
    </row>
    <row r="3777" spans="1:10" s="2" customFormat="1">
      <c r="A3777" s="1"/>
      <c r="E3777"/>
      <c r="F3777"/>
      <c r="G3777"/>
      <c r="H3777"/>
      <c r="I3777"/>
      <c r="J3777"/>
    </row>
    <row r="3778" spans="1:10" s="2" customFormat="1">
      <c r="A3778" s="1"/>
      <c r="E3778"/>
      <c r="F3778"/>
      <c r="G3778"/>
      <c r="H3778"/>
      <c r="I3778"/>
      <c r="J3778"/>
    </row>
    <row r="3779" spans="1:10" s="2" customFormat="1">
      <c r="A3779" s="1"/>
      <c r="E3779"/>
      <c r="F3779"/>
      <c r="G3779"/>
      <c r="H3779"/>
      <c r="I3779"/>
      <c r="J3779"/>
    </row>
    <row r="3780" spans="1:10" s="2" customFormat="1">
      <c r="A3780" s="1"/>
      <c r="E3780"/>
      <c r="F3780"/>
      <c r="G3780"/>
      <c r="H3780"/>
      <c r="I3780"/>
      <c r="J3780"/>
    </row>
    <row r="3781" spans="1:10" s="2" customFormat="1">
      <c r="A3781" s="1"/>
      <c r="E3781"/>
      <c r="F3781"/>
      <c r="G3781"/>
      <c r="H3781"/>
      <c r="I3781"/>
      <c r="J3781"/>
    </row>
    <row r="3782" spans="1:10" s="2" customFormat="1">
      <c r="A3782" s="1"/>
      <c r="E3782"/>
      <c r="F3782"/>
      <c r="G3782"/>
      <c r="H3782"/>
      <c r="I3782"/>
      <c r="J3782"/>
    </row>
    <row r="3783" spans="1:10" s="2" customFormat="1">
      <c r="A3783" s="1"/>
      <c r="E3783"/>
      <c r="F3783"/>
      <c r="G3783"/>
      <c r="H3783"/>
      <c r="I3783"/>
      <c r="J3783"/>
    </row>
    <row r="3784" spans="1:10" s="2" customFormat="1">
      <c r="A3784" s="1"/>
      <c r="E3784"/>
      <c r="F3784"/>
      <c r="G3784"/>
      <c r="H3784"/>
      <c r="I3784"/>
      <c r="J3784"/>
    </row>
    <row r="3785" spans="1:10" s="2" customFormat="1">
      <c r="A3785" s="1"/>
      <c r="E3785"/>
      <c r="F3785"/>
      <c r="G3785"/>
      <c r="H3785"/>
      <c r="I3785"/>
      <c r="J3785"/>
    </row>
    <row r="3786" spans="1:10" s="2" customFormat="1">
      <c r="A3786" s="1"/>
      <c r="E3786"/>
      <c r="F3786"/>
      <c r="G3786"/>
      <c r="H3786"/>
      <c r="I3786"/>
      <c r="J3786"/>
    </row>
    <row r="3787" spans="1:10" s="2" customFormat="1">
      <c r="A3787" s="1"/>
      <c r="E3787"/>
      <c r="F3787"/>
      <c r="G3787"/>
      <c r="H3787"/>
      <c r="I3787"/>
      <c r="J3787"/>
    </row>
    <row r="3788" spans="1:10" s="2" customFormat="1">
      <c r="A3788" s="1"/>
      <c r="E3788"/>
      <c r="F3788"/>
      <c r="G3788"/>
      <c r="H3788"/>
      <c r="I3788"/>
      <c r="J3788"/>
    </row>
    <row r="3789" spans="1:10" s="2" customFormat="1">
      <c r="A3789" s="1"/>
      <c r="E3789"/>
      <c r="F3789"/>
      <c r="G3789"/>
      <c r="H3789"/>
      <c r="I3789"/>
      <c r="J3789"/>
    </row>
    <row r="3790" spans="1:10" s="2" customFormat="1">
      <c r="A3790" s="1"/>
      <c r="E3790"/>
      <c r="F3790"/>
      <c r="G3790"/>
      <c r="H3790"/>
      <c r="I3790"/>
      <c r="J3790"/>
    </row>
    <row r="3791" spans="1:10" s="2" customFormat="1">
      <c r="A3791" s="1"/>
      <c r="E3791"/>
      <c r="F3791"/>
      <c r="G3791"/>
      <c r="H3791"/>
      <c r="I3791"/>
      <c r="J3791"/>
    </row>
    <row r="3792" spans="1:10" s="2" customFormat="1">
      <c r="A3792" s="1"/>
      <c r="E3792"/>
      <c r="F3792"/>
      <c r="G3792"/>
      <c r="H3792"/>
      <c r="I3792"/>
      <c r="J3792"/>
    </row>
    <row r="3793" spans="1:10" s="2" customFormat="1">
      <c r="A3793" s="1"/>
      <c r="E3793"/>
      <c r="F3793"/>
      <c r="G3793"/>
      <c r="H3793"/>
      <c r="I3793"/>
      <c r="J3793"/>
    </row>
    <row r="3794" spans="1:10" s="2" customFormat="1">
      <c r="A3794" s="1"/>
      <c r="E3794"/>
      <c r="F3794"/>
      <c r="G3794"/>
      <c r="H3794"/>
      <c r="I3794"/>
      <c r="J3794"/>
    </row>
    <row r="3795" spans="1:10" s="2" customFormat="1">
      <c r="A3795" s="1"/>
      <c r="E3795"/>
      <c r="F3795"/>
      <c r="G3795"/>
      <c r="H3795"/>
      <c r="I3795"/>
      <c r="J3795"/>
    </row>
    <row r="3796" spans="1:10" s="2" customFormat="1">
      <c r="A3796" s="1"/>
      <c r="E3796"/>
      <c r="F3796"/>
      <c r="G3796"/>
      <c r="H3796"/>
      <c r="I3796"/>
      <c r="J3796"/>
    </row>
    <row r="3797" spans="1:10" s="2" customFormat="1">
      <c r="A3797" s="1"/>
      <c r="E3797"/>
      <c r="F3797"/>
      <c r="G3797"/>
      <c r="H3797"/>
      <c r="I3797"/>
      <c r="J3797"/>
    </row>
    <row r="3798" spans="1:10" s="2" customFormat="1">
      <c r="A3798" s="1"/>
      <c r="E3798"/>
      <c r="F3798"/>
      <c r="G3798"/>
      <c r="H3798"/>
      <c r="I3798"/>
      <c r="J3798"/>
    </row>
    <row r="3799" spans="1:10" s="2" customFormat="1">
      <c r="A3799" s="1"/>
      <c r="E3799"/>
      <c r="F3799"/>
      <c r="G3799"/>
      <c r="H3799"/>
      <c r="I3799"/>
      <c r="J3799"/>
    </row>
    <row r="3800" spans="1:10" s="2" customFormat="1">
      <c r="A3800" s="1"/>
      <c r="E3800"/>
      <c r="F3800"/>
      <c r="G3800"/>
      <c r="H3800"/>
      <c r="I3800"/>
      <c r="J3800"/>
    </row>
    <row r="3801" spans="1:10" s="2" customFormat="1">
      <c r="A3801" s="1"/>
      <c r="E3801"/>
      <c r="F3801"/>
      <c r="G3801"/>
      <c r="H3801"/>
      <c r="I3801"/>
      <c r="J3801"/>
    </row>
    <row r="3802" spans="1:10" s="2" customFormat="1">
      <c r="A3802" s="1"/>
      <c r="E3802"/>
      <c r="F3802"/>
      <c r="G3802"/>
      <c r="H3802"/>
      <c r="I3802"/>
      <c r="J3802"/>
    </row>
    <row r="3803" spans="1:10" s="2" customFormat="1">
      <c r="A3803" s="1"/>
      <c r="E3803"/>
      <c r="F3803"/>
      <c r="G3803"/>
      <c r="H3803"/>
      <c r="I3803"/>
      <c r="J3803"/>
    </row>
    <row r="3804" spans="1:10" s="2" customFormat="1">
      <c r="A3804" s="1"/>
      <c r="E3804"/>
      <c r="F3804"/>
      <c r="G3804"/>
      <c r="H3804"/>
      <c r="I3804"/>
      <c r="J3804"/>
    </row>
    <row r="3805" spans="1:10" s="2" customFormat="1">
      <c r="A3805" s="1"/>
      <c r="E3805"/>
      <c r="F3805"/>
      <c r="G3805"/>
      <c r="H3805"/>
      <c r="I3805"/>
      <c r="J3805"/>
    </row>
    <row r="3806" spans="1:10" s="2" customFormat="1">
      <c r="A3806" s="1"/>
      <c r="E3806"/>
      <c r="F3806"/>
      <c r="G3806"/>
      <c r="H3806"/>
      <c r="I3806"/>
      <c r="J3806"/>
    </row>
    <row r="3807" spans="1:10" s="2" customFormat="1">
      <c r="A3807" s="1"/>
      <c r="E3807"/>
      <c r="F3807"/>
      <c r="G3807"/>
      <c r="H3807"/>
      <c r="I3807"/>
      <c r="J3807"/>
    </row>
    <row r="3808" spans="1:10" s="2" customFormat="1">
      <c r="A3808" s="1"/>
      <c r="E3808"/>
      <c r="F3808"/>
      <c r="G3808"/>
      <c r="H3808"/>
      <c r="I3808"/>
      <c r="J3808"/>
    </row>
    <row r="3809" spans="1:10" s="2" customFormat="1">
      <c r="A3809" s="1"/>
      <c r="E3809"/>
      <c r="F3809"/>
      <c r="G3809"/>
      <c r="H3809"/>
      <c r="I3809"/>
      <c r="J3809"/>
    </row>
    <row r="3810" spans="1:10" s="2" customFormat="1">
      <c r="A3810" s="1"/>
      <c r="E3810"/>
      <c r="F3810"/>
      <c r="G3810"/>
      <c r="H3810"/>
      <c r="I3810"/>
      <c r="J3810"/>
    </row>
    <row r="3811" spans="1:10" s="2" customFormat="1">
      <c r="A3811" s="1"/>
      <c r="E3811"/>
      <c r="F3811"/>
      <c r="G3811"/>
      <c r="H3811"/>
      <c r="I3811"/>
      <c r="J3811"/>
    </row>
    <row r="3812" spans="1:10" s="2" customFormat="1">
      <c r="A3812" s="1"/>
      <c r="E3812"/>
      <c r="F3812"/>
      <c r="G3812"/>
      <c r="H3812"/>
      <c r="I3812"/>
      <c r="J3812"/>
    </row>
    <row r="3813" spans="1:10" s="2" customFormat="1">
      <c r="A3813" s="1"/>
      <c r="E3813"/>
      <c r="F3813"/>
      <c r="G3813"/>
      <c r="H3813"/>
      <c r="I3813"/>
      <c r="J3813"/>
    </row>
    <row r="3814" spans="1:10" s="2" customFormat="1">
      <c r="A3814" s="1"/>
      <c r="E3814"/>
      <c r="F3814"/>
      <c r="G3814"/>
      <c r="H3814"/>
      <c r="I3814"/>
      <c r="J3814"/>
    </row>
    <row r="3815" spans="1:10" s="2" customFormat="1">
      <c r="A3815" s="1"/>
      <c r="E3815"/>
      <c r="F3815"/>
      <c r="G3815"/>
      <c r="H3815"/>
      <c r="I3815"/>
      <c r="J3815"/>
    </row>
    <row r="3816" spans="1:10" s="2" customFormat="1">
      <c r="A3816" s="1"/>
      <c r="E3816"/>
      <c r="F3816"/>
      <c r="G3816"/>
      <c r="H3816"/>
      <c r="I3816"/>
      <c r="J3816"/>
    </row>
    <row r="3817" spans="1:10" s="2" customFormat="1">
      <c r="A3817" s="1"/>
      <c r="E3817"/>
      <c r="F3817"/>
      <c r="G3817"/>
      <c r="H3817"/>
      <c r="I3817"/>
      <c r="J3817"/>
    </row>
    <row r="3818" spans="1:10" s="2" customFormat="1">
      <c r="A3818" s="1"/>
      <c r="E3818"/>
      <c r="F3818"/>
      <c r="G3818"/>
      <c r="H3818"/>
      <c r="I3818"/>
      <c r="J3818"/>
    </row>
    <row r="3819" spans="1:10" s="2" customFormat="1">
      <c r="A3819" s="1"/>
      <c r="E3819"/>
      <c r="F3819"/>
      <c r="G3819"/>
      <c r="H3819"/>
      <c r="I3819"/>
      <c r="J3819"/>
    </row>
    <row r="3820" spans="1:10" s="2" customFormat="1">
      <c r="A3820" s="1"/>
      <c r="E3820"/>
      <c r="F3820"/>
      <c r="G3820"/>
      <c r="H3820"/>
      <c r="I3820"/>
      <c r="J3820"/>
    </row>
    <row r="3821" spans="1:10" s="2" customFormat="1">
      <c r="A3821" s="1"/>
      <c r="E3821"/>
      <c r="F3821"/>
      <c r="G3821"/>
      <c r="H3821"/>
      <c r="I3821"/>
      <c r="J3821"/>
    </row>
    <row r="3822" spans="1:10" s="2" customFormat="1">
      <c r="A3822" s="1"/>
      <c r="E3822"/>
      <c r="F3822"/>
      <c r="G3822"/>
      <c r="H3822"/>
      <c r="I3822"/>
      <c r="J3822"/>
    </row>
    <row r="3823" spans="1:10" s="2" customFormat="1">
      <c r="A3823" s="1"/>
      <c r="E3823"/>
      <c r="F3823"/>
      <c r="G3823"/>
      <c r="H3823"/>
      <c r="I3823"/>
      <c r="J3823"/>
    </row>
    <row r="3824" spans="1:10" s="2" customFormat="1">
      <c r="A3824" s="1"/>
      <c r="E3824"/>
      <c r="F3824"/>
      <c r="G3824"/>
      <c r="H3824"/>
      <c r="I3824"/>
      <c r="J3824"/>
    </row>
    <row r="3825" spans="1:10" s="2" customFormat="1">
      <c r="A3825" s="1"/>
      <c r="E3825"/>
      <c r="F3825"/>
      <c r="G3825"/>
      <c r="H3825"/>
      <c r="I3825"/>
      <c r="J3825"/>
    </row>
    <row r="3826" spans="1:10" s="2" customFormat="1">
      <c r="A3826" s="1"/>
      <c r="E3826"/>
      <c r="F3826"/>
      <c r="G3826"/>
      <c r="H3826"/>
      <c r="I3826"/>
      <c r="J3826"/>
    </row>
    <row r="3827" spans="1:10" s="2" customFormat="1">
      <c r="A3827" s="1"/>
      <c r="E3827"/>
      <c r="F3827"/>
      <c r="G3827"/>
      <c r="H3827"/>
      <c r="I3827"/>
      <c r="J3827"/>
    </row>
    <row r="3828" spans="1:10" s="2" customFormat="1">
      <c r="A3828" s="1"/>
      <c r="E3828"/>
      <c r="F3828"/>
      <c r="G3828"/>
      <c r="H3828"/>
      <c r="I3828"/>
      <c r="J3828"/>
    </row>
    <row r="3829" spans="1:10" s="2" customFormat="1">
      <c r="A3829" s="1"/>
      <c r="E3829"/>
      <c r="F3829"/>
      <c r="G3829"/>
      <c r="H3829"/>
      <c r="I3829"/>
      <c r="J3829"/>
    </row>
    <row r="3830" spans="1:10" s="2" customFormat="1">
      <c r="A3830" s="1"/>
      <c r="E3830"/>
      <c r="F3830"/>
      <c r="G3830"/>
      <c r="H3830"/>
      <c r="I3830"/>
      <c r="J3830"/>
    </row>
    <row r="3831" spans="1:10" s="2" customFormat="1">
      <c r="A3831" s="1"/>
      <c r="E3831"/>
      <c r="F3831"/>
      <c r="G3831"/>
      <c r="H3831"/>
      <c r="I3831"/>
      <c r="J3831"/>
    </row>
    <row r="3832" spans="1:10" s="2" customFormat="1">
      <c r="A3832" s="1"/>
      <c r="E3832"/>
      <c r="F3832"/>
      <c r="G3832"/>
      <c r="H3832"/>
      <c r="I3832"/>
      <c r="J3832"/>
    </row>
    <row r="3833" spans="1:10" s="2" customFormat="1">
      <c r="A3833" s="1"/>
      <c r="E3833"/>
      <c r="F3833"/>
      <c r="G3833"/>
      <c r="H3833"/>
      <c r="I3833"/>
      <c r="J3833"/>
    </row>
    <row r="3834" spans="1:10" s="2" customFormat="1">
      <c r="A3834" s="1"/>
      <c r="E3834"/>
      <c r="F3834"/>
      <c r="G3834"/>
      <c r="H3834"/>
      <c r="I3834"/>
      <c r="J3834"/>
    </row>
    <row r="3835" spans="1:10" s="2" customFormat="1">
      <c r="A3835" s="1"/>
      <c r="E3835"/>
      <c r="F3835"/>
      <c r="G3835"/>
      <c r="H3835"/>
      <c r="I3835"/>
      <c r="J3835"/>
    </row>
    <row r="3836" spans="1:10" s="2" customFormat="1">
      <c r="A3836" s="1"/>
      <c r="E3836"/>
      <c r="F3836"/>
      <c r="G3836"/>
      <c r="H3836"/>
      <c r="I3836"/>
      <c r="J3836"/>
    </row>
    <row r="3837" spans="1:10" s="2" customFormat="1">
      <c r="A3837" s="1"/>
      <c r="E3837"/>
      <c r="F3837"/>
      <c r="G3837"/>
      <c r="H3837"/>
      <c r="I3837"/>
      <c r="J3837"/>
    </row>
    <row r="3838" spans="1:10" s="2" customFormat="1">
      <c r="A3838" s="1"/>
      <c r="E3838"/>
      <c r="F3838"/>
      <c r="G3838"/>
      <c r="H3838"/>
      <c r="I3838"/>
      <c r="J3838"/>
    </row>
    <row r="3839" spans="1:10" s="2" customFormat="1">
      <c r="A3839" s="1"/>
      <c r="E3839"/>
      <c r="F3839"/>
      <c r="G3839"/>
      <c r="H3839"/>
      <c r="I3839"/>
      <c r="J3839"/>
    </row>
    <row r="3840" spans="1:10" s="2" customFormat="1">
      <c r="A3840" s="1"/>
      <c r="E3840"/>
      <c r="F3840"/>
      <c r="G3840"/>
      <c r="H3840"/>
      <c r="I3840"/>
      <c r="J3840"/>
    </row>
    <row r="3841" spans="1:10" s="2" customFormat="1">
      <c r="A3841" s="1"/>
      <c r="E3841"/>
      <c r="F3841"/>
      <c r="G3841"/>
      <c r="H3841"/>
      <c r="I3841"/>
      <c r="J3841"/>
    </row>
    <row r="3842" spans="1:10" s="2" customFormat="1">
      <c r="A3842" s="1"/>
      <c r="E3842"/>
      <c r="F3842"/>
      <c r="G3842"/>
      <c r="H3842"/>
      <c r="I3842"/>
      <c r="J3842"/>
    </row>
    <row r="3843" spans="1:10" s="2" customFormat="1">
      <c r="A3843" s="1"/>
      <c r="E3843"/>
      <c r="F3843"/>
      <c r="G3843"/>
      <c r="H3843"/>
      <c r="I3843"/>
      <c r="J3843"/>
    </row>
    <row r="3844" spans="1:10" s="2" customFormat="1">
      <c r="A3844" s="1"/>
      <c r="E3844"/>
      <c r="F3844"/>
      <c r="G3844"/>
      <c r="H3844"/>
      <c r="I3844"/>
      <c r="J3844"/>
    </row>
    <row r="3845" spans="1:10" s="2" customFormat="1">
      <c r="A3845" s="1"/>
      <c r="E3845"/>
      <c r="F3845"/>
      <c r="G3845"/>
      <c r="H3845"/>
      <c r="I3845"/>
      <c r="J3845"/>
    </row>
    <row r="3846" spans="1:10" s="2" customFormat="1">
      <c r="A3846" s="1"/>
      <c r="E3846"/>
      <c r="F3846"/>
      <c r="G3846"/>
      <c r="H3846"/>
      <c r="I3846"/>
      <c r="J3846"/>
    </row>
    <row r="3847" spans="1:10" s="2" customFormat="1">
      <c r="A3847" s="1"/>
      <c r="E3847"/>
      <c r="F3847"/>
      <c r="G3847"/>
      <c r="H3847"/>
      <c r="I3847"/>
      <c r="J3847"/>
    </row>
    <row r="3848" spans="1:10" s="2" customFormat="1">
      <c r="A3848" s="1"/>
      <c r="E3848"/>
      <c r="F3848"/>
      <c r="G3848"/>
      <c r="H3848"/>
      <c r="I3848"/>
      <c r="J3848"/>
    </row>
    <row r="3849" spans="1:10" s="2" customFormat="1">
      <c r="A3849" s="1"/>
      <c r="E3849"/>
      <c r="F3849"/>
      <c r="G3849"/>
      <c r="H3849"/>
      <c r="I3849"/>
      <c r="J3849"/>
    </row>
    <row r="3850" spans="1:10" s="2" customFormat="1">
      <c r="A3850" s="1"/>
      <c r="E3850"/>
      <c r="F3850"/>
      <c r="G3850"/>
      <c r="H3850"/>
      <c r="I3850"/>
      <c r="J3850"/>
    </row>
    <row r="3851" spans="1:10" s="2" customFormat="1">
      <c r="A3851" s="1"/>
      <c r="E3851"/>
      <c r="F3851"/>
      <c r="G3851"/>
      <c r="H3851"/>
      <c r="I3851"/>
      <c r="J3851"/>
    </row>
    <row r="3852" spans="1:10" s="2" customFormat="1">
      <c r="A3852" s="1"/>
      <c r="E3852"/>
      <c r="F3852"/>
      <c r="G3852"/>
      <c r="H3852"/>
      <c r="I3852"/>
      <c r="J3852"/>
    </row>
    <row r="3853" spans="1:10" s="2" customFormat="1">
      <c r="A3853" s="1"/>
      <c r="E3853"/>
      <c r="F3853"/>
      <c r="G3853"/>
      <c r="H3853"/>
      <c r="I3853"/>
      <c r="J3853"/>
    </row>
    <row r="3854" spans="1:10" s="2" customFormat="1">
      <c r="A3854" s="1"/>
      <c r="E3854"/>
      <c r="F3854"/>
      <c r="G3854"/>
      <c r="H3854"/>
      <c r="I3854"/>
      <c r="J3854"/>
    </row>
    <row r="3855" spans="1:10" s="2" customFormat="1">
      <c r="A3855" s="1"/>
      <c r="E3855"/>
      <c r="F3855"/>
      <c r="G3855"/>
      <c r="H3855"/>
      <c r="I3855"/>
      <c r="J3855"/>
    </row>
    <row r="3856" spans="1:10" s="2" customFormat="1">
      <c r="A3856" s="1"/>
      <c r="E3856"/>
      <c r="F3856"/>
      <c r="G3856"/>
      <c r="H3856"/>
      <c r="I3856"/>
      <c r="J3856"/>
    </row>
    <row r="3857" spans="1:10" s="2" customFormat="1">
      <c r="A3857" s="1"/>
      <c r="E3857"/>
      <c r="F3857"/>
      <c r="G3857"/>
      <c r="H3857"/>
      <c r="I3857"/>
      <c r="J3857"/>
    </row>
    <row r="3858" spans="1:10" s="2" customFormat="1">
      <c r="A3858" s="1"/>
      <c r="E3858"/>
      <c r="F3858"/>
      <c r="G3858"/>
      <c r="H3858"/>
      <c r="I3858"/>
      <c r="J3858"/>
    </row>
    <row r="3859" spans="1:10" s="2" customFormat="1">
      <c r="A3859" s="1"/>
      <c r="E3859"/>
      <c r="F3859"/>
      <c r="G3859"/>
      <c r="H3859"/>
      <c r="I3859"/>
      <c r="J3859"/>
    </row>
    <row r="3860" spans="1:10" s="2" customFormat="1">
      <c r="A3860" s="1"/>
      <c r="E3860"/>
      <c r="F3860"/>
      <c r="G3860"/>
      <c r="H3860"/>
      <c r="I3860"/>
      <c r="J3860"/>
    </row>
    <row r="3861" spans="1:10" s="2" customFormat="1">
      <c r="A3861" s="1"/>
      <c r="E3861"/>
      <c r="F3861"/>
      <c r="G3861"/>
      <c r="H3861"/>
      <c r="I3861"/>
      <c r="J3861"/>
    </row>
    <row r="3862" spans="1:10" s="2" customFormat="1">
      <c r="A3862" s="1"/>
      <c r="E3862"/>
      <c r="F3862"/>
      <c r="G3862"/>
      <c r="H3862"/>
      <c r="I3862"/>
      <c r="J3862"/>
    </row>
    <row r="3863" spans="1:10" s="2" customFormat="1">
      <c r="A3863" s="1"/>
      <c r="E3863"/>
      <c r="F3863"/>
      <c r="G3863"/>
      <c r="H3863"/>
      <c r="I3863"/>
      <c r="J3863"/>
    </row>
    <row r="3864" spans="1:10" s="2" customFormat="1">
      <c r="A3864" s="1"/>
      <c r="E3864"/>
      <c r="F3864"/>
      <c r="G3864"/>
      <c r="H3864"/>
      <c r="I3864"/>
      <c r="J3864"/>
    </row>
    <row r="3865" spans="1:10" s="2" customFormat="1">
      <c r="A3865" s="1"/>
      <c r="E3865"/>
      <c r="F3865"/>
      <c r="G3865"/>
      <c r="H3865"/>
      <c r="I3865"/>
      <c r="J3865"/>
    </row>
    <row r="3866" spans="1:10" s="2" customFormat="1">
      <c r="A3866" s="1"/>
      <c r="E3866"/>
      <c r="F3866"/>
      <c r="G3866"/>
      <c r="H3866"/>
      <c r="I3866"/>
      <c r="J3866"/>
    </row>
    <row r="3867" spans="1:10" s="2" customFormat="1">
      <c r="A3867" s="1"/>
      <c r="E3867"/>
      <c r="F3867"/>
      <c r="G3867"/>
      <c r="H3867"/>
      <c r="I3867"/>
      <c r="J3867"/>
    </row>
    <row r="3868" spans="1:10" s="2" customFormat="1">
      <c r="A3868" s="1"/>
      <c r="E3868"/>
      <c r="F3868"/>
      <c r="G3868"/>
      <c r="H3868"/>
      <c r="I3868"/>
      <c r="J3868"/>
    </row>
    <row r="3869" spans="1:10" s="2" customFormat="1">
      <c r="A3869" s="1"/>
      <c r="E3869"/>
      <c r="F3869"/>
      <c r="G3869"/>
      <c r="H3869"/>
      <c r="I3869"/>
      <c r="J3869"/>
    </row>
    <row r="3870" spans="1:10" s="2" customFormat="1">
      <c r="A3870" s="1"/>
      <c r="E3870"/>
      <c r="F3870"/>
      <c r="G3870"/>
      <c r="H3870"/>
      <c r="I3870"/>
      <c r="J3870"/>
    </row>
    <row r="3871" spans="1:10" s="2" customFormat="1">
      <c r="A3871" s="1"/>
      <c r="E3871"/>
      <c r="F3871"/>
      <c r="G3871"/>
      <c r="H3871"/>
      <c r="I3871"/>
      <c r="J3871"/>
    </row>
    <row r="3872" spans="1:10" s="2" customFormat="1">
      <c r="A3872" s="1"/>
      <c r="E3872"/>
      <c r="F3872"/>
      <c r="G3872"/>
      <c r="H3872"/>
      <c r="I3872"/>
      <c r="J3872"/>
    </row>
    <row r="3873" spans="1:10" s="2" customFormat="1">
      <c r="A3873" s="1"/>
      <c r="E3873"/>
      <c r="F3873"/>
      <c r="G3873"/>
      <c r="H3873"/>
      <c r="I3873"/>
      <c r="J3873"/>
    </row>
    <row r="3874" spans="1:10" s="2" customFormat="1">
      <c r="A3874" s="1"/>
      <c r="E3874"/>
      <c r="F3874"/>
      <c r="G3874"/>
      <c r="H3874"/>
      <c r="I3874"/>
      <c r="J3874"/>
    </row>
    <row r="3875" spans="1:10" s="2" customFormat="1">
      <c r="A3875" s="1"/>
      <c r="E3875"/>
      <c r="F3875"/>
      <c r="G3875"/>
      <c r="H3875"/>
      <c r="I3875"/>
      <c r="J3875"/>
    </row>
    <row r="3876" spans="1:10" s="2" customFormat="1">
      <c r="A3876" s="1"/>
      <c r="E3876"/>
      <c r="F3876"/>
      <c r="G3876"/>
      <c r="H3876"/>
      <c r="I3876"/>
      <c r="J3876"/>
    </row>
    <row r="3877" spans="1:10" s="2" customFormat="1">
      <c r="A3877" s="1"/>
      <c r="E3877"/>
      <c r="F3877"/>
      <c r="G3877"/>
      <c r="H3877"/>
      <c r="I3877"/>
      <c r="J3877"/>
    </row>
    <row r="3878" spans="1:10" s="2" customFormat="1">
      <c r="A3878" s="1"/>
      <c r="E3878"/>
      <c r="F3878"/>
      <c r="G3878"/>
      <c r="H3878"/>
      <c r="I3878"/>
      <c r="J3878"/>
    </row>
    <row r="3879" spans="1:10" s="2" customFormat="1">
      <c r="A3879" s="1"/>
      <c r="E3879"/>
      <c r="F3879"/>
      <c r="G3879"/>
      <c r="H3879"/>
      <c r="I3879"/>
      <c r="J3879"/>
    </row>
    <row r="3880" spans="1:10" s="2" customFormat="1">
      <c r="A3880" s="1"/>
      <c r="E3880"/>
      <c r="F3880"/>
      <c r="G3880"/>
      <c r="H3880"/>
      <c r="I3880"/>
      <c r="J3880"/>
    </row>
    <row r="3881" spans="1:10" s="2" customFormat="1">
      <c r="A3881" s="1"/>
      <c r="E3881"/>
      <c r="F3881"/>
      <c r="G3881"/>
      <c r="H3881"/>
      <c r="I3881"/>
      <c r="J3881"/>
    </row>
    <row r="3882" spans="1:10" s="2" customFormat="1">
      <c r="A3882" s="1"/>
      <c r="E3882"/>
      <c r="F3882"/>
      <c r="G3882"/>
      <c r="H3882"/>
      <c r="I3882"/>
      <c r="J3882"/>
    </row>
    <row r="3883" spans="1:10" s="2" customFormat="1">
      <c r="A3883" s="1"/>
      <c r="E3883"/>
      <c r="F3883"/>
      <c r="G3883"/>
      <c r="H3883"/>
      <c r="I3883"/>
      <c r="J3883"/>
    </row>
    <row r="3884" spans="1:10" s="2" customFormat="1">
      <c r="A3884" s="1"/>
      <c r="E3884"/>
      <c r="F3884"/>
      <c r="G3884"/>
      <c r="H3884"/>
      <c r="I3884"/>
      <c r="J3884"/>
    </row>
    <row r="3885" spans="1:10" s="2" customFormat="1">
      <c r="A3885" s="1"/>
      <c r="E3885"/>
      <c r="F3885"/>
      <c r="G3885"/>
      <c r="H3885"/>
      <c r="I3885"/>
      <c r="J3885"/>
    </row>
    <row r="3886" spans="1:10" s="2" customFormat="1">
      <c r="A3886" s="1"/>
      <c r="E3886"/>
      <c r="F3886"/>
      <c r="G3886"/>
      <c r="H3886"/>
      <c r="I3886"/>
      <c r="J3886"/>
    </row>
    <row r="3887" spans="1:10" s="2" customFormat="1">
      <c r="A3887" s="1"/>
      <c r="E3887"/>
      <c r="F3887"/>
      <c r="G3887"/>
      <c r="H3887"/>
      <c r="I3887"/>
      <c r="J3887"/>
    </row>
    <row r="3888" spans="1:10" s="2" customFormat="1">
      <c r="A3888" s="1"/>
      <c r="E3888"/>
      <c r="F3888"/>
      <c r="G3888"/>
      <c r="H3888"/>
      <c r="I3888"/>
      <c r="J3888"/>
    </row>
    <row r="3889" spans="1:10" s="2" customFormat="1">
      <c r="A3889" s="1"/>
      <c r="E3889"/>
      <c r="F3889"/>
      <c r="G3889"/>
      <c r="H3889"/>
      <c r="I3889"/>
      <c r="J3889"/>
    </row>
    <row r="3890" spans="1:10" s="2" customFormat="1">
      <c r="A3890" s="1"/>
      <c r="E3890"/>
      <c r="F3890"/>
      <c r="G3890"/>
      <c r="H3890"/>
      <c r="I3890"/>
      <c r="J3890"/>
    </row>
    <row r="3891" spans="1:10" s="2" customFormat="1">
      <c r="A3891" s="1"/>
      <c r="E3891"/>
      <c r="F3891"/>
      <c r="G3891"/>
      <c r="H3891"/>
      <c r="I3891"/>
      <c r="J3891"/>
    </row>
    <row r="3892" spans="1:10" s="2" customFormat="1">
      <c r="A3892" s="1"/>
      <c r="E3892"/>
      <c r="F3892"/>
      <c r="G3892"/>
      <c r="H3892"/>
      <c r="I3892"/>
      <c r="J3892"/>
    </row>
    <row r="3893" spans="1:10" s="2" customFormat="1">
      <c r="A3893" s="1"/>
      <c r="E3893"/>
      <c r="F3893"/>
      <c r="G3893"/>
      <c r="H3893"/>
      <c r="I3893"/>
      <c r="J3893"/>
    </row>
    <row r="3894" spans="1:10" s="2" customFormat="1">
      <c r="A3894" s="1"/>
      <c r="E3894"/>
      <c r="F3894"/>
      <c r="G3894"/>
      <c r="H3894"/>
      <c r="I3894"/>
      <c r="J3894"/>
    </row>
    <row r="3895" spans="1:10" s="2" customFormat="1">
      <c r="A3895" s="1"/>
      <c r="E3895"/>
      <c r="F3895"/>
      <c r="G3895"/>
      <c r="H3895"/>
      <c r="I3895"/>
      <c r="J3895"/>
    </row>
    <row r="3896" spans="1:10" s="2" customFormat="1">
      <c r="A3896" s="1"/>
      <c r="E3896"/>
      <c r="F3896"/>
      <c r="G3896"/>
      <c r="H3896"/>
      <c r="I3896"/>
      <c r="J3896"/>
    </row>
    <row r="3897" spans="1:10" s="2" customFormat="1">
      <c r="A3897" s="1"/>
      <c r="E3897"/>
      <c r="F3897"/>
      <c r="G3897"/>
      <c r="H3897"/>
      <c r="I3897"/>
      <c r="J3897"/>
    </row>
    <row r="3898" spans="1:10" s="2" customFormat="1">
      <c r="A3898" s="1"/>
      <c r="E3898"/>
      <c r="F3898"/>
      <c r="G3898"/>
      <c r="H3898"/>
      <c r="I3898"/>
      <c r="J3898"/>
    </row>
    <row r="3899" spans="1:10" s="2" customFormat="1">
      <c r="A3899" s="1"/>
      <c r="E3899"/>
      <c r="F3899"/>
      <c r="G3899"/>
      <c r="H3899"/>
      <c r="I3899"/>
      <c r="J3899"/>
    </row>
    <row r="3900" spans="1:10" s="2" customFormat="1">
      <c r="A3900" s="1"/>
      <c r="E3900"/>
      <c r="F3900"/>
      <c r="G3900"/>
      <c r="H3900"/>
      <c r="I3900"/>
      <c r="J3900"/>
    </row>
    <row r="3901" spans="1:10" s="2" customFormat="1">
      <c r="A3901" s="1"/>
      <c r="E3901"/>
      <c r="F3901"/>
      <c r="G3901"/>
      <c r="H3901"/>
      <c r="I3901"/>
      <c r="J3901"/>
    </row>
    <row r="3902" spans="1:10" s="2" customFormat="1">
      <c r="A3902" s="1"/>
      <c r="E3902"/>
      <c r="F3902"/>
      <c r="G3902"/>
      <c r="H3902"/>
      <c r="I3902"/>
      <c r="J3902"/>
    </row>
    <row r="3903" spans="1:10" s="2" customFormat="1">
      <c r="A3903" s="1"/>
      <c r="E3903"/>
      <c r="F3903"/>
      <c r="G3903"/>
      <c r="H3903"/>
      <c r="I3903"/>
      <c r="J3903"/>
    </row>
    <row r="3904" spans="1:10" s="2" customFormat="1">
      <c r="A3904" s="1"/>
      <c r="E3904"/>
      <c r="F3904"/>
      <c r="G3904"/>
      <c r="H3904"/>
      <c r="I3904"/>
      <c r="J3904"/>
    </row>
    <row r="3905" spans="1:10" s="2" customFormat="1">
      <c r="A3905" s="1"/>
      <c r="E3905"/>
      <c r="F3905"/>
      <c r="G3905"/>
      <c r="H3905"/>
      <c r="I3905"/>
      <c r="J3905"/>
    </row>
    <row r="3906" spans="1:10" s="2" customFormat="1">
      <c r="A3906" s="1"/>
      <c r="E3906"/>
      <c r="F3906"/>
      <c r="G3906"/>
      <c r="H3906"/>
      <c r="I3906"/>
      <c r="J3906"/>
    </row>
    <row r="3907" spans="1:10" s="2" customFormat="1">
      <c r="A3907" s="1"/>
      <c r="E3907"/>
      <c r="F3907"/>
      <c r="G3907"/>
      <c r="H3907"/>
      <c r="I3907"/>
      <c r="J3907"/>
    </row>
    <row r="3908" spans="1:10" s="2" customFormat="1">
      <c r="A3908" s="1"/>
      <c r="E3908"/>
      <c r="F3908"/>
      <c r="G3908"/>
      <c r="H3908"/>
      <c r="I3908"/>
      <c r="J3908"/>
    </row>
    <row r="3909" spans="1:10" s="2" customFormat="1">
      <c r="A3909" s="1"/>
      <c r="E3909"/>
      <c r="F3909"/>
      <c r="G3909"/>
      <c r="H3909"/>
      <c r="I3909"/>
      <c r="J3909"/>
    </row>
    <row r="3910" spans="1:10" s="2" customFormat="1">
      <c r="A3910" s="1"/>
      <c r="E3910"/>
      <c r="F3910"/>
      <c r="G3910"/>
      <c r="H3910"/>
      <c r="I3910"/>
      <c r="J3910"/>
    </row>
    <row r="3911" spans="1:10" s="2" customFormat="1">
      <c r="A3911" s="1"/>
      <c r="E3911"/>
      <c r="F3911"/>
      <c r="G3911"/>
      <c r="H3911"/>
      <c r="I3911"/>
      <c r="J3911"/>
    </row>
    <row r="3912" spans="1:10" s="2" customFormat="1">
      <c r="A3912" s="1"/>
      <c r="E3912"/>
      <c r="F3912"/>
      <c r="G3912"/>
      <c r="H3912"/>
      <c r="I3912"/>
      <c r="J3912"/>
    </row>
    <row r="3913" spans="1:10" s="2" customFormat="1">
      <c r="A3913" s="1"/>
      <c r="E3913"/>
      <c r="F3913"/>
      <c r="G3913"/>
      <c r="H3913"/>
      <c r="I3913"/>
      <c r="J3913"/>
    </row>
    <row r="3914" spans="1:10" s="2" customFormat="1">
      <c r="A3914" s="1"/>
      <c r="E3914"/>
      <c r="F3914"/>
      <c r="G3914"/>
      <c r="H3914"/>
      <c r="I3914"/>
      <c r="J3914"/>
    </row>
    <row r="3915" spans="1:10" s="2" customFormat="1">
      <c r="A3915" s="1"/>
      <c r="E3915"/>
      <c r="F3915"/>
      <c r="G3915"/>
      <c r="H3915"/>
      <c r="I3915"/>
      <c r="J3915"/>
    </row>
    <row r="3916" spans="1:10" s="2" customFormat="1">
      <c r="A3916" s="1"/>
      <c r="E3916"/>
      <c r="F3916"/>
      <c r="G3916"/>
      <c r="H3916"/>
      <c r="I3916"/>
      <c r="J3916"/>
    </row>
    <row r="3917" spans="1:10" s="2" customFormat="1">
      <c r="A3917" s="1"/>
      <c r="E3917"/>
      <c r="F3917"/>
      <c r="G3917"/>
      <c r="H3917"/>
      <c r="I3917"/>
      <c r="J3917"/>
    </row>
    <row r="3918" spans="1:10" s="2" customFormat="1">
      <c r="A3918" s="1"/>
      <c r="E3918"/>
      <c r="F3918"/>
      <c r="G3918"/>
      <c r="H3918"/>
      <c r="I3918"/>
      <c r="J3918"/>
    </row>
    <row r="3919" spans="1:10" s="2" customFormat="1">
      <c r="A3919" s="1"/>
      <c r="E3919"/>
      <c r="F3919"/>
      <c r="G3919"/>
      <c r="H3919"/>
      <c r="I3919"/>
      <c r="J3919"/>
    </row>
    <row r="3920" spans="1:10" s="2" customFormat="1">
      <c r="A3920" s="1"/>
      <c r="E3920"/>
      <c r="F3920"/>
      <c r="G3920"/>
      <c r="H3920"/>
      <c r="I3920"/>
      <c r="J3920"/>
    </row>
    <row r="3921" spans="1:10" s="2" customFormat="1">
      <c r="A3921" s="1"/>
      <c r="E3921"/>
      <c r="F3921"/>
      <c r="G3921"/>
      <c r="H3921"/>
      <c r="I3921"/>
      <c r="J3921"/>
    </row>
    <row r="3922" spans="1:10" s="2" customFormat="1">
      <c r="A3922" s="1"/>
      <c r="E3922"/>
      <c r="F3922"/>
      <c r="G3922"/>
      <c r="H3922"/>
      <c r="I3922"/>
      <c r="J3922"/>
    </row>
    <row r="3923" spans="1:10" s="2" customFormat="1">
      <c r="A3923" s="1"/>
      <c r="E3923"/>
      <c r="F3923"/>
      <c r="G3923"/>
      <c r="H3923"/>
      <c r="I3923"/>
      <c r="J3923"/>
    </row>
    <row r="3924" spans="1:10" s="2" customFormat="1">
      <c r="A3924" s="1"/>
      <c r="E3924"/>
      <c r="F3924"/>
      <c r="G3924"/>
      <c r="H3924"/>
      <c r="I3924"/>
      <c r="J3924"/>
    </row>
    <row r="3925" spans="1:10" s="2" customFormat="1">
      <c r="A3925" s="1"/>
      <c r="E3925"/>
      <c r="F3925"/>
      <c r="G3925"/>
      <c r="H3925"/>
      <c r="I3925"/>
      <c r="J3925"/>
    </row>
    <row r="3926" spans="1:10" s="2" customFormat="1">
      <c r="A3926" s="1"/>
      <c r="E3926"/>
      <c r="F3926"/>
      <c r="G3926"/>
      <c r="H3926"/>
      <c r="I3926"/>
      <c r="J3926"/>
    </row>
    <row r="3927" spans="1:10" s="2" customFormat="1">
      <c r="A3927" s="1"/>
      <c r="E3927"/>
      <c r="F3927"/>
      <c r="G3927"/>
      <c r="H3927"/>
      <c r="I3927"/>
      <c r="J3927"/>
    </row>
    <row r="3928" spans="1:10" s="2" customFormat="1">
      <c r="A3928" s="1"/>
      <c r="E3928"/>
      <c r="F3928"/>
      <c r="G3928"/>
      <c r="H3928"/>
      <c r="I3928"/>
      <c r="J3928"/>
    </row>
    <row r="3929" spans="1:10" s="2" customFormat="1">
      <c r="A3929" s="1"/>
      <c r="E3929"/>
      <c r="F3929"/>
      <c r="G3929"/>
      <c r="H3929"/>
      <c r="I3929"/>
      <c r="J3929"/>
    </row>
    <row r="3930" spans="1:10" s="2" customFormat="1">
      <c r="A3930" s="1"/>
      <c r="E3930"/>
      <c r="F3930"/>
      <c r="G3930"/>
      <c r="H3930"/>
      <c r="I3930"/>
      <c r="J3930"/>
    </row>
    <row r="3931" spans="1:10" s="2" customFormat="1">
      <c r="A3931" s="1"/>
      <c r="E3931"/>
      <c r="F3931"/>
      <c r="G3931"/>
      <c r="H3931"/>
      <c r="I3931"/>
      <c r="J3931"/>
    </row>
    <row r="3932" spans="1:10" s="2" customFormat="1">
      <c r="A3932" s="1"/>
      <c r="E3932"/>
      <c r="F3932"/>
      <c r="G3932"/>
      <c r="H3932"/>
      <c r="I3932"/>
      <c r="J3932"/>
    </row>
    <row r="3933" spans="1:10" s="2" customFormat="1">
      <c r="A3933" s="1"/>
      <c r="E3933"/>
      <c r="F3933"/>
      <c r="G3933"/>
      <c r="H3933"/>
      <c r="I3933"/>
      <c r="J3933"/>
    </row>
    <row r="3934" spans="1:10" s="2" customFormat="1">
      <c r="A3934" s="1"/>
      <c r="E3934"/>
      <c r="F3934"/>
      <c r="G3934"/>
      <c r="H3934"/>
      <c r="I3934"/>
      <c r="J3934"/>
    </row>
    <row r="3935" spans="1:10" s="2" customFormat="1">
      <c r="A3935" s="1"/>
      <c r="E3935"/>
      <c r="F3935"/>
      <c r="G3935"/>
      <c r="H3935"/>
      <c r="I3935"/>
      <c r="J3935"/>
    </row>
    <row r="3936" spans="1:10" s="2" customFormat="1">
      <c r="A3936" s="1"/>
      <c r="E3936"/>
      <c r="F3936"/>
      <c r="G3936"/>
      <c r="H3936"/>
      <c r="I3936"/>
      <c r="J3936"/>
    </row>
    <row r="3937" spans="1:10" s="2" customFormat="1">
      <c r="A3937" s="1"/>
      <c r="E3937"/>
      <c r="F3937"/>
      <c r="G3937"/>
      <c r="H3937"/>
      <c r="I3937"/>
      <c r="J3937"/>
    </row>
    <row r="3938" spans="1:10" s="2" customFormat="1">
      <c r="A3938" s="1"/>
      <c r="E3938"/>
      <c r="F3938"/>
      <c r="G3938"/>
      <c r="H3938"/>
      <c r="I3938"/>
      <c r="J3938"/>
    </row>
    <row r="3939" spans="1:10" s="2" customFormat="1">
      <c r="A3939" s="1"/>
      <c r="E3939"/>
      <c r="F3939"/>
      <c r="G3939"/>
      <c r="H3939"/>
      <c r="I3939"/>
      <c r="J3939"/>
    </row>
    <row r="3940" spans="1:10" s="2" customFormat="1">
      <c r="A3940" s="1"/>
      <c r="E3940"/>
      <c r="F3940"/>
      <c r="G3940"/>
      <c r="H3940"/>
      <c r="I3940"/>
      <c r="J3940"/>
    </row>
    <row r="3941" spans="1:10" s="2" customFormat="1">
      <c r="A3941" s="1"/>
      <c r="E3941"/>
      <c r="F3941"/>
      <c r="G3941"/>
      <c r="H3941"/>
      <c r="I3941"/>
      <c r="J3941"/>
    </row>
    <row r="3942" spans="1:10" s="2" customFormat="1">
      <c r="A3942" s="1"/>
      <c r="E3942"/>
      <c r="F3942"/>
      <c r="G3942"/>
      <c r="H3942"/>
      <c r="I3942"/>
      <c r="J3942"/>
    </row>
    <row r="3943" spans="1:10" s="2" customFormat="1">
      <c r="A3943" s="1"/>
      <c r="E3943"/>
      <c r="F3943"/>
      <c r="G3943"/>
      <c r="H3943"/>
      <c r="I3943"/>
      <c r="J3943"/>
    </row>
    <row r="3944" spans="1:10" s="2" customFormat="1">
      <c r="A3944" s="1"/>
      <c r="E3944"/>
      <c r="F3944"/>
      <c r="G3944"/>
      <c r="H3944"/>
      <c r="I3944"/>
      <c r="J3944"/>
    </row>
    <row r="3945" spans="1:10" s="2" customFormat="1">
      <c r="A3945" s="1"/>
      <c r="E3945"/>
      <c r="F3945"/>
      <c r="G3945"/>
      <c r="H3945"/>
      <c r="I3945"/>
      <c r="J3945"/>
    </row>
    <row r="3946" spans="1:10" s="2" customFormat="1">
      <c r="A3946" s="1"/>
      <c r="E3946"/>
      <c r="F3946"/>
      <c r="G3946"/>
      <c r="H3946"/>
      <c r="I3946"/>
      <c r="J3946"/>
    </row>
    <row r="3947" spans="1:10" s="2" customFormat="1">
      <c r="A3947" s="1"/>
      <c r="E3947"/>
      <c r="F3947"/>
      <c r="G3947"/>
      <c r="H3947"/>
      <c r="I3947"/>
      <c r="J3947"/>
    </row>
    <row r="3948" spans="1:10" s="2" customFormat="1">
      <c r="A3948" s="1"/>
      <c r="E3948"/>
      <c r="F3948"/>
      <c r="G3948"/>
      <c r="H3948"/>
      <c r="I3948"/>
      <c r="J3948"/>
    </row>
    <row r="3949" spans="1:10" s="2" customFormat="1">
      <c r="A3949" s="1"/>
      <c r="E3949"/>
      <c r="F3949"/>
      <c r="G3949"/>
      <c r="H3949"/>
      <c r="I3949"/>
      <c r="J3949"/>
    </row>
    <row r="3950" spans="1:10" s="2" customFormat="1">
      <c r="A3950" s="1"/>
      <c r="E3950"/>
      <c r="F3950"/>
      <c r="G3950"/>
      <c r="H3950"/>
      <c r="I3950"/>
      <c r="J3950"/>
    </row>
    <row r="3951" spans="1:10" s="2" customFormat="1">
      <c r="A3951" s="1"/>
      <c r="E3951"/>
      <c r="F3951"/>
      <c r="G3951"/>
      <c r="H3951"/>
      <c r="I3951"/>
      <c r="J3951"/>
    </row>
    <row r="3952" spans="1:10" s="2" customFormat="1">
      <c r="A3952" s="1"/>
      <c r="E3952"/>
      <c r="F3952"/>
      <c r="G3952"/>
      <c r="H3952"/>
      <c r="I3952"/>
      <c r="J3952"/>
    </row>
    <row r="3953" spans="1:10" s="2" customFormat="1">
      <c r="A3953" s="1"/>
      <c r="E3953"/>
      <c r="F3953"/>
      <c r="G3953"/>
      <c r="H3953"/>
      <c r="I3953"/>
      <c r="J3953"/>
    </row>
    <row r="3954" spans="1:10" s="2" customFormat="1">
      <c r="A3954" s="1"/>
      <c r="E3954"/>
      <c r="F3954"/>
      <c r="G3954"/>
      <c r="H3954"/>
      <c r="I3954"/>
      <c r="J3954"/>
    </row>
    <row r="3955" spans="1:10" s="2" customFormat="1">
      <c r="A3955" s="1"/>
      <c r="E3955"/>
      <c r="F3955"/>
      <c r="G3955"/>
      <c r="H3955"/>
      <c r="I3955"/>
      <c r="J3955"/>
    </row>
    <row r="3956" spans="1:10" s="2" customFormat="1">
      <c r="A3956" s="1"/>
      <c r="E3956"/>
      <c r="F3956"/>
      <c r="G3956"/>
      <c r="H3956"/>
      <c r="I3956"/>
      <c r="J3956"/>
    </row>
    <row r="3957" spans="1:10" s="2" customFormat="1">
      <c r="A3957" s="1"/>
      <c r="E3957"/>
      <c r="F3957"/>
      <c r="G3957"/>
      <c r="H3957"/>
      <c r="I3957"/>
      <c r="J3957"/>
    </row>
    <row r="3958" spans="1:10" s="2" customFormat="1">
      <c r="A3958" s="1"/>
      <c r="E3958"/>
      <c r="F3958"/>
      <c r="G3958"/>
      <c r="H3958"/>
      <c r="I3958"/>
      <c r="J3958"/>
    </row>
    <row r="3959" spans="1:10" s="2" customFormat="1">
      <c r="A3959" s="1"/>
      <c r="E3959"/>
      <c r="F3959"/>
      <c r="G3959"/>
      <c r="H3959"/>
      <c r="I3959"/>
      <c r="J3959"/>
    </row>
    <row r="3960" spans="1:10" s="2" customFormat="1">
      <c r="A3960" s="1"/>
      <c r="E3960"/>
      <c r="F3960"/>
      <c r="G3960"/>
      <c r="H3960"/>
      <c r="I3960"/>
      <c r="J3960"/>
    </row>
    <row r="3961" spans="1:10" s="2" customFormat="1">
      <c r="A3961" s="1"/>
      <c r="E3961"/>
      <c r="F3961"/>
      <c r="G3961"/>
      <c r="H3961"/>
      <c r="I3961"/>
      <c r="J3961"/>
    </row>
    <row r="3962" spans="1:10" s="2" customFormat="1">
      <c r="A3962" s="1"/>
      <c r="E3962"/>
      <c r="F3962"/>
      <c r="G3962"/>
      <c r="H3962"/>
      <c r="I3962"/>
      <c r="J3962"/>
    </row>
    <row r="3963" spans="1:10" s="2" customFormat="1">
      <c r="A3963" s="1"/>
      <c r="E3963"/>
      <c r="F3963"/>
      <c r="G3963"/>
      <c r="H3963"/>
      <c r="I3963"/>
      <c r="J3963"/>
    </row>
    <row r="3964" spans="1:10" s="2" customFormat="1">
      <c r="A3964" s="1"/>
      <c r="E3964"/>
      <c r="F3964"/>
      <c r="G3964"/>
      <c r="H3964"/>
      <c r="I3964"/>
      <c r="J3964"/>
    </row>
    <row r="3965" spans="1:10" s="2" customFormat="1">
      <c r="A3965" s="1"/>
      <c r="E3965"/>
      <c r="F3965"/>
      <c r="G3965"/>
      <c r="H3965"/>
      <c r="I3965"/>
      <c r="J3965"/>
    </row>
    <row r="3966" spans="1:10" s="2" customFormat="1">
      <c r="A3966" s="1"/>
      <c r="E3966"/>
      <c r="F3966"/>
      <c r="G3966"/>
      <c r="H3966"/>
      <c r="I3966"/>
      <c r="J3966"/>
    </row>
    <row r="3967" spans="1:10" s="2" customFormat="1">
      <c r="A3967" s="1"/>
      <c r="E3967"/>
      <c r="F3967"/>
      <c r="G3967"/>
      <c r="H3967"/>
      <c r="I3967"/>
      <c r="J3967"/>
    </row>
    <row r="3968" spans="1:10" s="2" customFormat="1">
      <c r="A3968" s="1"/>
      <c r="E3968"/>
      <c r="F3968"/>
      <c r="G3968"/>
      <c r="H3968"/>
      <c r="I3968"/>
      <c r="J3968"/>
    </row>
    <row r="3969" spans="1:10" s="2" customFormat="1">
      <c r="A3969" s="1"/>
      <c r="E3969"/>
      <c r="F3969"/>
      <c r="G3969"/>
      <c r="H3969"/>
      <c r="I3969"/>
      <c r="J3969"/>
    </row>
    <row r="3970" spans="1:10" s="2" customFormat="1">
      <c r="A3970" s="1"/>
      <c r="E3970"/>
      <c r="F3970"/>
      <c r="G3970"/>
      <c r="H3970"/>
      <c r="I3970"/>
      <c r="J3970"/>
    </row>
    <row r="3971" spans="1:10" s="2" customFormat="1">
      <c r="A3971" s="1"/>
      <c r="E3971"/>
      <c r="F3971"/>
      <c r="G3971"/>
      <c r="H3971"/>
      <c r="I3971"/>
      <c r="J3971"/>
    </row>
    <row r="3972" spans="1:10" s="2" customFormat="1">
      <c r="A3972" s="1"/>
      <c r="E3972"/>
      <c r="F3972"/>
      <c r="G3972"/>
      <c r="H3972"/>
      <c r="I3972"/>
      <c r="J3972"/>
    </row>
    <row r="3973" spans="1:10" s="2" customFormat="1">
      <c r="A3973" s="1"/>
      <c r="E3973"/>
      <c r="F3973"/>
      <c r="G3973"/>
      <c r="H3973"/>
      <c r="I3973"/>
      <c r="J3973"/>
    </row>
    <row r="3974" spans="1:10" s="2" customFormat="1">
      <c r="A3974" s="1"/>
      <c r="E3974"/>
      <c r="F3974"/>
      <c r="G3974"/>
      <c r="H3974"/>
      <c r="I3974"/>
      <c r="J3974"/>
    </row>
    <row r="3975" spans="1:10" s="2" customFormat="1">
      <c r="A3975" s="1"/>
      <c r="E3975"/>
      <c r="F3975"/>
      <c r="G3975"/>
      <c r="H3975"/>
      <c r="I3975"/>
      <c r="J3975"/>
    </row>
    <row r="3976" spans="1:10" s="2" customFormat="1">
      <c r="A3976" s="1"/>
      <c r="E3976"/>
      <c r="F3976"/>
      <c r="G3976"/>
      <c r="H3976"/>
      <c r="I3976"/>
      <c r="J3976"/>
    </row>
    <row r="3977" spans="1:10" s="2" customFormat="1">
      <c r="A3977" s="1"/>
      <c r="E3977"/>
      <c r="F3977"/>
      <c r="G3977"/>
      <c r="H3977"/>
      <c r="I3977"/>
      <c r="J3977"/>
    </row>
    <row r="3978" spans="1:10" s="2" customFormat="1">
      <c r="A3978" s="1"/>
      <c r="E3978"/>
      <c r="F3978"/>
      <c r="G3978"/>
      <c r="H3978"/>
      <c r="I3978"/>
      <c r="J3978"/>
    </row>
    <row r="3979" spans="1:10" s="2" customFormat="1">
      <c r="A3979" s="1"/>
      <c r="E3979"/>
      <c r="F3979"/>
      <c r="G3979"/>
      <c r="H3979"/>
      <c r="I3979"/>
      <c r="J3979"/>
    </row>
    <row r="3980" spans="1:10" s="2" customFormat="1">
      <c r="A3980" s="1"/>
      <c r="E3980"/>
      <c r="F3980"/>
      <c r="G3980"/>
      <c r="H3980"/>
      <c r="I3980"/>
      <c r="J3980"/>
    </row>
    <row r="3981" spans="1:10" s="2" customFormat="1">
      <c r="A3981" s="1"/>
      <c r="E3981"/>
      <c r="F3981"/>
      <c r="G3981"/>
      <c r="H3981"/>
      <c r="I3981"/>
      <c r="J3981"/>
    </row>
    <row r="3982" spans="1:10" s="2" customFormat="1">
      <c r="A3982" s="1"/>
      <c r="E3982"/>
      <c r="F3982"/>
      <c r="G3982"/>
      <c r="H3982"/>
      <c r="I3982"/>
      <c r="J3982"/>
    </row>
    <row r="3983" spans="1:10" s="2" customFormat="1">
      <c r="A3983" s="1"/>
      <c r="E3983"/>
      <c r="F3983"/>
      <c r="G3983"/>
      <c r="H3983"/>
      <c r="I3983"/>
      <c r="J3983"/>
    </row>
    <row r="3984" spans="1:10" s="2" customFormat="1">
      <c r="A3984" s="1"/>
      <c r="E3984"/>
      <c r="F3984"/>
      <c r="G3984"/>
      <c r="H3984"/>
      <c r="I3984"/>
      <c r="J3984"/>
    </row>
    <row r="3985" spans="1:10" s="2" customFormat="1">
      <c r="A3985" s="1"/>
      <c r="E3985"/>
      <c r="F3985"/>
      <c r="G3985"/>
      <c r="H3985"/>
      <c r="I3985"/>
      <c r="J3985"/>
    </row>
    <row r="3986" spans="1:10" s="2" customFormat="1">
      <c r="A3986" s="1"/>
      <c r="E3986"/>
      <c r="F3986"/>
      <c r="G3986"/>
      <c r="H3986"/>
      <c r="I3986"/>
      <c r="J3986"/>
    </row>
    <row r="3987" spans="1:10" s="2" customFormat="1">
      <c r="A3987" s="1"/>
      <c r="E3987"/>
      <c r="F3987"/>
      <c r="G3987"/>
      <c r="H3987"/>
      <c r="I3987"/>
      <c r="J3987"/>
    </row>
    <row r="3988" spans="1:10" s="2" customFormat="1">
      <c r="A3988" s="1"/>
      <c r="E3988"/>
      <c r="F3988"/>
      <c r="G3988"/>
      <c r="H3988"/>
      <c r="I3988"/>
      <c r="J3988"/>
    </row>
    <row r="3989" spans="1:10" s="2" customFormat="1">
      <c r="A3989" s="1"/>
      <c r="E3989"/>
      <c r="F3989"/>
      <c r="G3989"/>
      <c r="H3989"/>
      <c r="I3989"/>
      <c r="J3989"/>
    </row>
    <row r="3990" spans="1:10" s="2" customFormat="1">
      <c r="A3990" s="1"/>
      <c r="E3990"/>
      <c r="F3990"/>
      <c r="G3990"/>
      <c r="H3990"/>
      <c r="I3990"/>
      <c r="J3990"/>
    </row>
    <row r="3991" spans="1:10" s="2" customFormat="1">
      <c r="A3991" s="1"/>
      <c r="E3991"/>
      <c r="F3991"/>
      <c r="G3991"/>
      <c r="H3991"/>
      <c r="I3991"/>
      <c r="J3991"/>
    </row>
    <row r="3992" spans="1:10" s="2" customFormat="1">
      <c r="A3992" s="1"/>
      <c r="E3992"/>
      <c r="F3992"/>
      <c r="G3992"/>
      <c r="H3992"/>
      <c r="I3992"/>
      <c r="J3992"/>
    </row>
    <row r="3993" spans="1:10" s="2" customFormat="1">
      <c r="A3993" s="1"/>
      <c r="E3993"/>
      <c r="F3993"/>
      <c r="G3993"/>
      <c r="H3993"/>
      <c r="I3993"/>
      <c r="J3993"/>
    </row>
    <row r="3994" spans="1:10" s="2" customFormat="1">
      <c r="A3994" s="1"/>
      <c r="E3994"/>
      <c r="F3994"/>
      <c r="G3994"/>
      <c r="H3994"/>
      <c r="I3994"/>
      <c r="J3994"/>
    </row>
    <row r="3995" spans="1:10" s="2" customFormat="1">
      <c r="A3995" s="1"/>
      <c r="E3995"/>
      <c r="F3995"/>
      <c r="G3995"/>
      <c r="H3995"/>
      <c r="I3995"/>
      <c r="J3995"/>
    </row>
    <row r="3996" spans="1:10" s="2" customFormat="1">
      <c r="A3996" s="1"/>
      <c r="E3996"/>
      <c r="F3996"/>
      <c r="G3996"/>
      <c r="H3996"/>
      <c r="I3996"/>
      <c r="J3996"/>
    </row>
    <row r="3997" spans="1:10" s="2" customFormat="1">
      <c r="A3997" s="1"/>
      <c r="E3997"/>
      <c r="F3997"/>
      <c r="G3997"/>
      <c r="H3997"/>
      <c r="I3997"/>
      <c r="J3997"/>
    </row>
    <row r="3998" spans="1:10" s="2" customFormat="1">
      <c r="A3998" s="1"/>
      <c r="E3998"/>
      <c r="F3998"/>
      <c r="G3998"/>
      <c r="H3998"/>
      <c r="I3998"/>
      <c r="J3998"/>
    </row>
    <row r="3999" spans="1:10" s="2" customFormat="1">
      <c r="A3999" s="1"/>
      <c r="E3999"/>
      <c r="F3999"/>
      <c r="G3999"/>
      <c r="H3999"/>
      <c r="I3999"/>
      <c r="J3999"/>
    </row>
    <row r="4000" spans="1:10" s="2" customFormat="1">
      <c r="A4000" s="1"/>
      <c r="E4000"/>
      <c r="F4000"/>
      <c r="G4000"/>
      <c r="H4000"/>
      <c r="I4000"/>
      <c r="J4000"/>
    </row>
    <row r="4001" spans="1:10" s="2" customFormat="1">
      <c r="A4001" s="1"/>
      <c r="E4001"/>
      <c r="F4001"/>
      <c r="G4001"/>
      <c r="H4001"/>
      <c r="I4001"/>
      <c r="J4001"/>
    </row>
    <row r="4002" spans="1:10" s="2" customFormat="1">
      <c r="A4002" s="1"/>
      <c r="E4002"/>
      <c r="F4002"/>
      <c r="G4002"/>
      <c r="H4002"/>
      <c r="I4002"/>
      <c r="J4002"/>
    </row>
    <row r="4003" spans="1:10" s="2" customFormat="1">
      <c r="A4003" s="1"/>
      <c r="E4003"/>
      <c r="F4003"/>
      <c r="G4003"/>
      <c r="H4003"/>
      <c r="I4003"/>
      <c r="J4003"/>
    </row>
    <row r="4004" spans="1:10" s="2" customFormat="1">
      <c r="A4004" s="1"/>
      <c r="E4004"/>
      <c r="F4004"/>
      <c r="G4004"/>
      <c r="H4004"/>
      <c r="I4004"/>
      <c r="J4004"/>
    </row>
    <row r="4005" spans="1:10" s="2" customFormat="1">
      <c r="A4005" s="1"/>
      <c r="E4005"/>
      <c r="F4005"/>
      <c r="G4005"/>
      <c r="H4005"/>
      <c r="I4005"/>
      <c r="J4005"/>
    </row>
    <row r="4006" spans="1:10" s="2" customFormat="1">
      <c r="A4006" s="1"/>
      <c r="E4006"/>
      <c r="F4006"/>
      <c r="G4006"/>
      <c r="H4006"/>
      <c r="I4006"/>
      <c r="J4006"/>
    </row>
    <row r="4007" spans="1:10" s="2" customFormat="1">
      <c r="A4007" s="1"/>
      <c r="E4007"/>
      <c r="F4007"/>
      <c r="G4007"/>
      <c r="H4007"/>
      <c r="I4007"/>
      <c r="J4007"/>
    </row>
    <row r="4008" spans="1:10" s="2" customFormat="1">
      <c r="A4008" s="1"/>
      <c r="E4008"/>
      <c r="F4008"/>
      <c r="G4008"/>
      <c r="H4008"/>
      <c r="I4008"/>
      <c r="J4008"/>
    </row>
    <row r="4009" spans="1:10" s="2" customFormat="1">
      <c r="A4009" s="1"/>
      <c r="E4009"/>
      <c r="F4009"/>
      <c r="G4009"/>
      <c r="H4009"/>
      <c r="I4009"/>
      <c r="J4009"/>
    </row>
    <row r="4010" spans="1:10" s="2" customFormat="1">
      <c r="A4010" s="1"/>
      <c r="E4010"/>
      <c r="F4010"/>
      <c r="G4010"/>
      <c r="H4010"/>
      <c r="I4010"/>
      <c r="J4010"/>
    </row>
    <row r="4011" spans="1:10" s="2" customFormat="1">
      <c r="A4011" s="1"/>
      <c r="E4011"/>
      <c r="F4011"/>
      <c r="G4011"/>
      <c r="H4011"/>
      <c r="I4011"/>
      <c r="J4011"/>
    </row>
    <row r="4012" spans="1:10" s="2" customFormat="1">
      <c r="A4012" s="1"/>
      <c r="E4012"/>
      <c r="F4012"/>
      <c r="G4012"/>
      <c r="H4012"/>
      <c r="I4012"/>
      <c r="J4012"/>
    </row>
    <row r="4013" spans="1:10" s="2" customFormat="1">
      <c r="A4013" s="1"/>
      <c r="E4013"/>
      <c r="F4013"/>
      <c r="G4013"/>
      <c r="H4013"/>
      <c r="I4013"/>
      <c r="J4013"/>
    </row>
    <row r="4014" spans="1:10" s="2" customFormat="1">
      <c r="A4014" s="1"/>
      <c r="E4014"/>
      <c r="F4014"/>
      <c r="G4014"/>
      <c r="H4014"/>
      <c r="I4014"/>
      <c r="J4014"/>
    </row>
    <row r="4015" spans="1:10" s="2" customFormat="1">
      <c r="A4015" s="1"/>
      <c r="E4015"/>
      <c r="F4015"/>
      <c r="G4015"/>
      <c r="H4015"/>
      <c r="I4015"/>
      <c r="J4015"/>
    </row>
    <row r="4016" spans="1:10" s="2" customFormat="1">
      <c r="A4016" s="1"/>
      <c r="E4016"/>
      <c r="F4016"/>
      <c r="G4016"/>
      <c r="H4016"/>
      <c r="I4016"/>
      <c r="J4016"/>
    </row>
    <row r="4017" spans="1:10" s="2" customFormat="1">
      <c r="A4017" s="1"/>
      <c r="E4017"/>
      <c r="F4017"/>
      <c r="G4017"/>
      <c r="H4017"/>
      <c r="I4017"/>
      <c r="J4017"/>
    </row>
    <row r="4018" spans="1:10" s="2" customFormat="1">
      <c r="A4018" s="1"/>
      <c r="E4018"/>
      <c r="F4018"/>
      <c r="G4018"/>
      <c r="H4018"/>
      <c r="I4018"/>
      <c r="J4018"/>
    </row>
    <row r="4019" spans="1:10" s="2" customFormat="1">
      <c r="A4019" s="1"/>
      <c r="E4019"/>
      <c r="F4019"/>
      <c r="G4019"/>
      <c r="H4019"/>
      <c r="I4019"/>
      <c r="J4019"/>
    </row>
    <row r="4020" spans="1:10" s="2" customFormat="1">
      <c r="A4020" s="1"/>
      <c r="E4020"/>
      <c r="F4020"/>
      <c r="G4020"/>
      <c r="H4020"/>
      <c r="I4020"/>
      <c r="J4020"/>
    </row>
    <row r="4021" spans="1:10" s="2" customFormat="1">
      <c r="A4021" s="1"/>
      <c r="E4021"/>
      <c r="F4021"/>
      <c r="G4021"/>
      <c r="H4021"/>
      <c r="I4021"/>
      <c r="J4021"/>
    </row>
    <row r="4022" spans="1:10" s="2" customFormat="1">
      <c r="A4022" s="1"/>
      <c r="E4022"/>
      <c r="F4022"/>
      <c r="G4022"/>
      <c r="H4022"/>
      <c r="I4022"/>
      <c r="J4022"/>
    </row>
    <row r="4023" spans="1:10" s="2" customFormat="1">
      <c r="A4023" s="1"/>
      <c r="E4023"/>
      <c r="F4023"/>
      <c r="G4023"/>
      <c r="H4023"/>
      <c r="I4023"/>
      <c r="J4023"/>
    </row>
    <row r="4024" spans="1:10" s="2" customFormat="1">
      <c r="A4024" s="1"/>
      <c r="E4024"/>
      <c r="F4024"/>
      <c r="G4024"/>
      <c r="H4024"/>
      <c r="I4024"/>
      <c r="J4024"/>
    </row>
    <row r="4025" spans="1:10" s="2" customFormat="1">
      <c r="A4025" s="1"/>
      <c r="E4025"/>
      <c r="F4025"/>
      <c r="G4025"/>
      <c r="H4025"/>
      <c r="I4025"/>
      <c r="J4025"/>
    </row>
    <row r="4026" spans="1:10" s="2" customFormat="1">
      <c r="A4026" s="1"/>
      <c r="E4026"/>
      <c r="F4026"/>
      <c r="G4026"/>
      <c r="H4026"/>
      <c r="I4026"/>
      <c r="J4026"/>
    </row>
    <row r="4027" spans="1:10" s="2" customFormat="1">
      <c r="A4027" s="1"/>
      <c r="E4027"/>
      <c r="F4027"/>
      <c r="G4027"/>
      <c r="H4027"/>
      <c r="I4027"/>
      <c r="J4027"/>
    </row>
    <row r="4028" spans="1:10" s="2" customFormat="1">
      <c r="A4028" s="1"/>
      <c r="E4028"/>
      <c r="F4028"/>
      <c r="G4028"/>
      <c r="H4028"/>
      <c r="I4028"/>
      <c r="J4028"/>
    </row>
    <row r="4029" spans="1:10" s="2" customFormat="1">
      <c r="A4029" s="1"/>
      <c r="E4029"/>
      <c r="F4029"/>
      <c r="G4029"/>
      <c r="H4029"/>
      <c r="I4029"/>
      <c r="J4029"/>
    </row>
    <row r="4030" spans="1:10" s="2" customFormat="1">
      <c r="A4030" s="1"/>
      <c r="E4030"/>
      <c r="F4030"/>
      <c r="G4030"/>
      <c r="H4030"/>
      <c r="I4030"/>
      <c r="J4030"/>
    </row>
    <row r="4031" spans="1:10" s="2" customFormat="1">
      <c r="A4031" s="1"/>
      <c r="E4031"/>
      <c r="F4031"/>
      <c r="G4031"/>
      <c r="H4031"/>
      <c r="I4031"/>
      <c r="J4031"/>
    </row>
    <row r="4032" spans="1:10" s="2" customFormat="1">
      <c r="A4032" s="1"/>
      <c r="E4032"/>
      <c r="F4032"/>
      <c r="G4032"/>
      <c r="H4032"/>
      <c r="I4032"/>
      <c r="J4032"/>
    </row>
    <row r="4033" spans="1:10" s="2" customFormat="1">
      <c r="A4033" s="1"/>
      <c r="E4033"/>
      <c r="F4033"/>
      <c r="G4033"/>
      <c r="H4033"/>
      <c r="I4033"/>
      <c r="J4033"/>
    </row>
    <row r="4034" spans="1:10" s="2" customFormat="1">
      <c r="A4034" s="1"/>
      <c r="E4034"/>
      <c r="F4034"/>
      <c r="G4034"/>
      <c r="H4034"/>
      <c r="I4034"/>
      <c r="J4034"/>
    </row>
    <row r="4035" spans="1:10" s="2" customFormat="1">
      <c r="A4035" s="1"/>
      <c r="E4035"/>
      <c r="F4035"/>
      <c r="G4035"/>
      <c r="H4035"/>
      <c r="I4035"/>
      <c r="J4035"/>
    </row>
    <row r="4036" spans="1:10" s="2" customFormat="1">
      <c r="A4036" s="1"/>
      <c r="E4036"/>
      <c r="F4036"/>
      <c r="G4036"/>
      <c r="H4036"/>
      <c r="I4036"/>
      <c r="J4036"/>
    </row>
    <row r="4037" spans="1:10" s="2" customFormat="1">
      <c r="A4037" s="1"/>
      <c r="E4037"/>
      <c r="F4037"/>
      <c r="G4037"/>
      <c r="H4037"/>
      <c r="I4037"/>
      <c r="J4037"/>
    </row>
    <row r="4038" spans="1:10" s="2" customFormat="1">
      <c r="A4038" s="1"/>
      <c r="E4038"/>
      <c r="F4038"/>
      <c r="G4038"/>
      <c r="H4038"/>
      <c r="I4038"/>
      <c r="J4038"/>
    </row>
    <row r="4039" spans="1:10" s="2" customFormat="1">
      <c r="A4039" s="1"/>
      <c r="E4039"/>
      <c r="F4039"/>
      <c r="G4039"/>
      <c r="H4039"/>
      <c r="I4039"/>
      <c r="J4039"/>
    </row>
    <row r="4040" spans="1:10" s="2" customFormat="1">
      <c r="A4040" s="1"/>
      <c r="E4040"/>
      <c r="F4040"/>
      <c r="G4040"/>
      <c r="H4040"/>
      <c r="I4040"/>
      <c r="J4040"/>
    </row>
    <row r="4041" spans="1:10" s="2" customFormat="1">
      <c r="A4041" s="1"/>
      <c r="E4041"/>
      <c r="F4041"/>
      <c r="G4041"/>
      <c r="H4041"/>
      <c r="I4041"/>
      <c r="J4041"/>
    </row>
    <row r="4042" spans="1:10" s="2" customFormat="1">
      <c r="A4042" s="1"/>
      <c r="E4042"/>
      <c r="F4042"/>
      <c r="G4042"/>
      <c r="H4042"/>
      <c r="I4042"/>
      <c r="J4042"/>
    </row>
    <row r="4043" spans="1:10" s="2" customFormat="1">
      <c r="A4043" s="1"/>
      <c r="E4043"/>
      <c r="F4043"/>
      <c r="G4043"/>
      <c r="H4043"/>
      <c r="I4043"/>
      <c r="J4043"/>
    </row>
    <row r="4044" spans="1:10" s="2" customFormat="1">
      <c r="A4044" s="1"/>
      <c r="E4044"/>
      <c r="F4044"/>
      <c r="G4044"/>
      <c r="H4044"/>
      <c r="I4044"/>
      <c r="J4044"/>
    </row>
    <row r="4045" spans="1:10" s="2" customFormat="1">
      <c r="A4045" s="1"/>
      <c r="E4045"/>
      <c r="F4045"/>
      <c r="G4045"/>
      <c r="H4045"/>
      <c r="I4045"/>
      <c r="J4045"/>
    </row>
    <row r="4046" spans="1:10" s="2" customFormat="1">
      <c r="A4046" s="1"/>
      <c r="E4046"/>
      <c r="F4046"/>
      <c r="G4046"/>
      <c r="H4046"/>
      <c r="I4046"/>
      <c r="J4046"/>
    </row>
    <row r="4047" spans="1:10" s="2" customFormat="1">
      <c r="A4047" s="1"/>
      <c r="E4047"/>
      <c r="F4047"/>
      <c r="G4047"/>
      <c r="H4047"/>
      <c r="I4047"/>
      <c r="J4047"/>
    </row>
    <row r="4048" spans="1:10" s="2" customFormat="1">
      <c r="A4048" s="1"/>
      <c r="E4048"/>
      <c r="F4048"/>
      <c r="G4048"/>
      <c r="H4048"/>
      <c r="I4048"/>
      <c r="J4048"/>
    </row>
    <row r="4049" spans="1:10" s="2" customFormat="1">
      <c r="A4049" s="1"/>
      <c r="E4049"/>
      <c r="F4049"/>
      <c r="G4049"/>
      <c r="H4049"/>
      <c r="I4049"/>
      <c r="J4049"/>
    </row>
    <row r="4050" spans="1:10" s="2" customFormat="1">
      <c r="A4050" s="1"/>
      <c r="E4050"/>
      <c r="F4050"/>
      <c r="G4050"/>
      <c r="H4050"/>
      <c r="I4050"/>
      <c r="J4050"/>
    </row>
    <row r="4051" spans="1:10" s="2" customFormat="1">
      <c r="A4051" s="1"/>
      <c r="E4051"/>
      <c r="F4051"/>
      <c r="G4051"/>
      <c r="H4051"/>
      <c r="I4051"/>
      <c r="J4051"/>
    </row>
    <row r="4052" spans="1:10" s="2" customFormat="1">
      <c r="A4052" s="1"/>
      <c r="E4052"/>
      <c r="F4052"/>
      <c r="G4052"/>
      <c r="H4052"/>
      <c r="I4052"/>
      <c r="J4052"/>
    </row>
    <row r="4053" spans="1:10" s="2" customFormat="1">
      <c r="A4053" s="1"/>
      <c r="E4053"/>
      <c r="F4053"/>
      <c r="G4053"/>
      <c r="H4053"/>
      <c r="I4053"/>
      <c r="J4053"/>
    </row>
    <row r="4054" spans="1:10" s="2" customFormat="1">
      <c r="A4054" s="1"/>
      <c r="E4054"/>
      <c r="F4054"/>
      <c r="G4054"/>
      <c r="H4054"/>
      <c r="I4054"/>
      <c r="J4054"/>
    </row>
    <row r="4055" spans="1:10" s="2" customFormat="1">
      <c r="A4055" s="1"/>
      <c r="E4055"/>
      <c r="F4055"/>
      <c r="G4055"/>
      <c r="H4055"/>
      <c r="I4055"/>
      <c r="J4055"/>
    </row>
    <row r="4056" spans="1:10" s="2" customFormat="1">
      <c r="A4056" s="1"/>
      <c r="E4056"/>
      <c r="F4056"/>
      <c r="G4056"/>
      <c r="H4056"/>
      <c r="I4056"/>
      <c r="J4056"/>
    </row>
    <row r="4057" spans="1:10" s="2" customFormat="1">
      <c r="A4057" s="1"/>
      <c r="E4057"/>
      <c r="F4057"/>
      <c r="G4057"/>
      <c r="H4057"/>
      <c r="I4057"/>
      <c r="J4057"/>
    </row>
    <row r="4058" spans="1:10" s="2" customFormat="1">
      <c r="A4058" s="1"/>
      <c r="E4058"/>
      <c r="F4058"/>
      <c r="G4058"/>
      <c r="H4058"/>
      <c r="I4058"/>
      <c r="J4058"/>
    </row>
    <row r="4059" spans="1:10" s="2" customFormat="1">
      <c r="A4059" s="1"/>
      <c r="E4059"/>
      <c r="F4059"/>
      <c r="G4059"/>
      <c r="H4059"/>
      <c r="I4059"/>
      <c r="J4059"/>
    </row>
    <row r="4060" spans="1:10" s="2" customFormat="1">
      <c r="A4060" s="1"/>
      <c r="E4060"/>
      <c r="F4060"/>
      <c r="G4060"/>
      <c r="H4060"/>
      <c r="I4060"/>
      <c r="J4060"/>
    </row>
    <row r="4061" spans="1:10" s="2" customFormat="1">
      <c r="A4061" s="1"/>
      <c r="E4061"/>
      <c r="F4061"/>
      <c r="G4061"/>
      <c r="H4061"/>
      <c r="I4061"/>
      <c r="J4061"/>
    </row>
    <row r="4062" spans="1:10" s="2" customFormat="1">
      <c r="A4062" s="1"/>
      <c r="E4062"/>
      <c r="F4062"/>
      <c r="G4062"/>
      <c r="H4062"/>
      <c r="I4062"/>
      <c r="J4062"/>
    </row>
    <row r="4063" spans="1:10" s="2" customFormat="1">
      <c r="A4063" s="1"/>
      <c r="E4063"/>
      <c r="F4063"/>
      <c r="G4063"/>
      <c r="H4063"/>
      <c r="I4063"/>
      <c r="J4063"/>
    </row>
    <row r="4064" spans="1:10" s="2" customFormat="1">
      <c r="A4064" s="1"/>
      <c r="E4064"/>
      <c r="F4064"/>
      <c r="G4064"/>
      <c r="H4064"/>
      <c r="I4064"/>
      <c r="J4064"/>
    </row>
    <row r="4065" spans="1:10" s="2" customFormat="1">
      <c r="A4065" s="1"/>
      <c r="E4065"/>
      <c r="F4065"/>
      <c r="G4065"/>
      <c r="H4065"/>
      <c r="I4065"/>
      <c r="J4065"/>
    </row>
    <row r="4066" spans="1:10" s="2" customFormat="1">
      <c r="A4066" s="1"/>
      <c r="E4066"/>
      <c r="F4066"/>
      <c r="G4066"/>
      <c r="H4066"/>
      <c r="I4066"/>
      <c r="J4066"/>
    </row>
    <row r="4067" spans="1:10" s="2" customFormat="1">
      <c r="A4067" s="1"/>
      <c r="E4067"/>
      <c r="F4067"/>
      <c r="G4067"/>
      <c r="H4067"/>
      <c r="I4067"/>
      <c r="J4067"/>
    </row>
    <row r="4068" spans="1:10" s="2" customFormat="1">
      <c r="A4068" s="1"/>
      <c r="E4068"/>
      <c r="F4068"/>
      <c r="G4068"/>
      <c r="H4068"/>
      <c r="I4068"/>
      <c r="J4068"/>
    </row>
    <row r="4069" spans="1:10" s="2" customFormat="1">
      <c r="A4069" s="1"/>
      <c r="E4069"/>
      <c r="F4069"/>
      <c r="G4069"/>
      <c r="H4069"/>
      <c r="I4069"/>
      <c r="J4069"/>
    </row>
    <row r="4070" spans="1:10" s="2" customFormat="1">
      <c r="A4070" s="1"/>
      <c r="E4070"/>
      <c r="F4070"/>
      <c r="G4070"/>
      <c r="H4070"/>
      <c r="I4070"/>
      <c r="J4070"/>
    </row>
    <row r="4071" spans="1:10" s="2" customFormat="1">
      <c r="A4071" s="1"/>
      <c r="E4071"/>
      <c r="F4071"/>
      <c r="G4071"/>
      <c r="H4071"/>
      <c r="I4071"/>
      <c r="J4071"/>
    </row>
    <row r="4072" spans="1:10" s="2" customFormat="1">
      <c r="A4072" s="1"/>
      <c r="E4072"/>
      <c r="F4072"/>
      <c r="G4072"/>
      <c r="H4072"/>
      <c r="I4072"/>
      <c r="J4072"/>
    </row>
    <row r="4073" spans="1:10" s="2" customFormat="1">
      <c r="A4073" s="1"/>
      <c r="E4073"/>
      <c r="F4073"/>
      <c r="G4073"/>
      <c r="H4073"/>
      <c r="I4073"/>
      <c r="J4073"/>
    </row>
    <row r="4074" spans="1:10" s="2" customFormat="1">
      <c r="A4074" s="1"/>
      <c r="E4074"/>
      <c r="F4074"/>
      <c r="G4074"/>
      <c r="H4074"/>
      <c r="I4074"/>
      <c r="J4074"/>
    </row>
    <row r="4075" spans="1:10" s="2" customFormat="1">
      <c r="A4075" s="1"/>
      <c r="E4075"/>
      <c r="F4075"/>
      <c r="G4075"/>
      <c r="H4075"/>
      <c r="I4075"/>
      <c r="J4075"/>
    </row>
    <row r="4076" spans="1:10" s="2" customFormat="1">
      <c r="A4076" s="1"/>
      <c r="E4076"/>
      <c r="F4076"/>
      <c r="G4076"/>
      <c r="H4076"/>
      <c r="I4076"/>
      <c r="J4076"/>
    </row>
    <row r="4077" spans="1:10" s="2" customFormat="1">
      <c r="A4077" s="1"/>
      <c r="E4077"/>
      <c r="F4077"/>
      <c r="G4077"/>
      <c r="H4077"/>
      <c r="I4077"/>
      <c r="J4077"/>
    </row>
    <row r="4078" spans="1:10" s="2" customFormat="1">
      <c r="A4078" s="1"/>
      <c r="E4078"/>
      <c r="F4078"/>
      <c r="G4078"/>
      <c r="H4078"/>
      <c r="I4078"/>
      <c r="J4078"/>
    </row>
    <row r="4079" spans="1:10" s="2" customFormat="1">
      <c r="A4079" s="1"/>
      <c r="E4079"/>
      <c r="F4079"/>
      <c r="G4079"/>
      <c r="H4079"/>
      <c r="I4079"/>
      <c r="J4079"/>
    </row>
    <row r="4080" spans="1:10" s="2" customFormat="1">
      <c r="A4080" s="1"/>
      <c r="E4080"/>
      <c r="F4080"/>
      <c r="G4080"/>
      <c r="H4080"/>
      <c r="I4080"/>
      <c r="J4080"/>
    </row>
    <row r="4081" spans="1:10" s="2" customFormat="1">
      <c r="A4081" s="1"/>
      <c r="E4081"/>
      <c r="F4081"/>
      <c r="G4081"/>
      <c r="H4081"/>
      <c r="I4081"/>
      <c r="J4081"/>
    </row>
    <row r="4082" spans="1:10" s="2" customFormat="1">
      <c r="A4082" s="1"/>
      <c r="E4082"/>
      <c r="F4082"/>
      <c r="G4082"/>
      <c r="H4082"/>
      <c r="I4082"/>
      <c r="J4082"/>
    </row>
    <row r="4083" spans="1:10" s="2" customFormat="1">
      <c r="A4083" s="1"/>
      <c r="E4083"/>
      <c r="F4083"/>
      <c r="G4083"/>
      <c r="H4083"/>
      <c r="I4083"/>
      <c r="J4083"/>
    </row>
    <row r="4084" spans="1:10" s="2" customFormat="1">
      <c r="A4084" s="1"/>
      <c r="E4084"/>
      <c r="F4084"/>
      <c r="G4084"/>
      <c r="H4084"/>
      <c r="I4084"/>
      <c r="J4084"/>
    </row>
    <row r="4085" spans="1:10" s="2" customFormat="1">
      <c r="A4085" s="1"/>
      <c r="E4085"/>
      <c r="F4085"/>
      <c r="G4085"/>
      <c r="H4085"/>
      <c r="I4085"/>
      <c r="J4085"/>
    </row>
    <row r="4086" spans="1:10" s="2" customFormat="1">
      <c r="A4086" s="1"/>
      <c r="E4086"/>
      <c r="F4086"/>
      <c r="G4086"/>
      <c r="H4086"/>
      <c r="I4086"/>
      <c r="J4086"/>
    </row>
    <row r="4087" spans="1:10" s="2" customFormat="1">
      <c r="A4087" s="1"/>
      <c r="E4087"/>
      <c r="F4087"/>
      <c r="G4087"/>
      <c r="H4087"/>
      <c r="I4087"/>
      <c r="J4087"/>
    </row>
    <row r="4088" spans="1:10" s="2" customFormat="1">
      <c r="A4088" s="1"/>
      <c r="E4088"/>
      <c r="F4088"/>
      <c r="G4088"/>
      <c r="H4088"/>
      <c r="I4088"/>
      <c r="J4088"/>
    </row>
    <row r="4089" spans="1:10" s="2" customFormat="1">
      <c r="A4089" s="1"/>
      <c r="E4089"/>
      <c r="F4089"/>
      <c r="G4089"/>
      <c r="H4089"/>
      <c r="I4089"/>
      <c r="J4089"/>
    </row>
    <row r="4090" spans="1:10" s="2" customFormat="1">
      <c r="A4090" s="1"/>
      <c r="E4090"/>
      <c r="F4090"/>
      <c r="G4090"/>
      <c r="H4090"/>
      <c r="I4090"/>
      <c r="J4090"/>
    </row>
    <row r="4091" spans="1:10" s="2" customFormat="1">
      <c r="A4091" s="1"/>
      <c r="E4091"/>
      <c r="F4091"/>
      <c r="G4091"/>
      <c r="H4091"/>
      <c r="I4091"/>
      <c r="J4091"/>
    </row>
    <row r="4092" spans="1:10" s="2" customFormat="1">
      <c r="A4092" s="1"/>
      <c r="E4092"/>
      <c r="F4092"/>
      <c r="G4092"/>
      <c r="H4092"/>
      <c r="I4092"/>
      <c r="J4092"/>
    </row>
    <row r="4093" spans="1:10" s="2" customFormat="1">
      <c r="A4093" s="1"/>
      <c r="E4093"/>
      <c r="F4093"/>
      <c r="G4093"/>
      <c r="H4093"/>
      <c r="I4093"/>
      <c r="J4093"/>
    </row>
    <row r="4094" spans="1:10" s="2" customFormat="1">
      <c r="A4094" s="1"/>
      <c r="E4094"/>
      <c r="F4094"/>
      <c r="G4094"/>
      <c r="H4094"/>
      <c r="I4094"/>
      <c r="J4094"/>
    </row>
    <row r="4095" spans="1:10" s="2" customFormat="1">
      <c r="A4095" s="1"/>
      <c r="E4095"/>
      <c r="F4095"/>
      <c r="G4095"/>
      <c r="H4095"/>
      <c r="I4095"/>
      <c r="J4095"/>
    </row>
    <row r="4096" spans="1:10" s="2" customFormat="1">
      <c r="A4096" s="1"/>
      <c r="E4096"/>
      <c r="F4096"/>
      <c r="G4096"/>
      <c r="H4096"/>
      <c r="I4096"/>
      <c r="J4096"/>
    </row>
    <row r="4097" spans="1:10" s="2" customFormat="1">
      <c r="A4097" s="1"/>
      <c r="E4097"/>
      <c r="F4097"/>
      <c r="G4097"/>
      <c r="H4097"/>
      <c r="I4097"/>
      <c r="J4097"/>
    </row>
    <row r="4098" spans="1:10" s="2" customFormat="1">
      <c r="A4098" s="1"/>
      <c r="E4098"/>
      <c r="F4098"/>
      <c r="G4098"/>
      <c r="H4098"/>
      <c r="I4098"/>
      <c r="J4098"/>
    </row>
    <row r="4099" spans="1:10" s="2" customFormat="1">
      <c r="A4099" s="1"/>
      <c r="E4099"/>
      <c r="F4099"/>
      <c r="G4099"/>
      <c r="H4099"/>
      <c r="I4099"/>
      <c r="J4099"/>
    </row>
    <row r="4100" spans="1:10" s="2" customFormat="1">
      <c r="A4100" s="1"/>
      <c r="E4100"/>
      <c r="F4100"/>
      <c r="G4100"/>
      <c r="H4100"/>
      <c r="I4100"/>
      <c r="J4100"/>
    </row>
    <row r="4101" spans="1:10" s="2" customFormat="1">
      <c r="A4101" s="1"/>
      <c r="E4101"/>
      <c r="F4101"/>
      <c r="G4101"/>
      <c r="H4101"/>
      <c r="I4101"/>
      <c r="J4101"/>
    </row>
    <row r="4102" spans="1:10" s="2" customFormat="1">
      <c r="A4102" s="1"/>
      <c r="E4102"/>
      <c r="F4102"/>
      <c r="G4102"/>
      <c r="H4102"/>
      <c r="I4102"/>
      <c r="J4102"/>
    </row>
    <row r="4103" spans="1:10" s="2" customFormat="1">
      <c r="A4103" s="1"/>
      <c r="E4103"/>
      <c r="F4103"/>
      <c r="G4103"/>
      <c r="H4103"/>
      <c r="I4103"/>
      <c r="J4103"/>
    </row>
    <row r="4104" spans="1:10" s="2" customFormat="1">
      <c r="A4104" s="1"/>
      <c r="E4104"/>
      <c r="F4104"/>
      <c r="G4104"/>
      <c r="H4104"/>
      <c r="I4104"/>
      <c r="J4104"/>
    </row>
    <row r="4105" spans="1:10" s="2" customFormat="1">
      <c r="A4105" s="1"/>
      <c r="E4105"/>
      <c r="F4105"/>
      <c r="G4105"/>
      <c r="H4105"/>
      <c r="I4105"/>
      <c r="J4105"/>
    </row>
    <row r="4106" spans="1:10" s="2" customFormat="1">
      <c r="A4106" s="1"/>
      <c r="E4106"/>
      <c r="F4106"/>
      <c r="G4106"/>
      <c r="H4106"/>
      <c r="I4106"/>
      <c r="J4106"/>
    </row>
    <row r="4107" spans="1:10" s="2" customFormat="1">
      <c r="A4107" s="1"/>
      <c r="E4107"/>
      <c r="F4107"/>
      <c r="G4107"/>
      <c r="H4107"/>
      <c r="I4107"/>
      <c r="J4107"/>
    </row>
    <row r="4108" spans="1:10" s="2" customFormat="1">
      <c r="A4108" s="1"/>
      <c r="E4108"/>
      <c r="F4108"/>
      <c r="G4108"/>
      <c r="H4108"/>
      <c r="I4108"/>
      <c r="J4108"/>
    </row>
    <row r="4109" spans="1:10" s="2" customFormat="1">
      <c r="A4109" s="1"/>
      <c r="E4109"/>
      <c r="F4109"/>
      <c r="G4109"/>
      <c r="H4109"/>
      <c r="I4109"/>
      <c r="J4109"/>
    </row>
    <row r="4110" spans="1:10" s="2" customFormat="1">
      <c r="A4110" s="1"/>
      <c r="E4110"/>
      <c r="F4110"/>
      <c r="G4110"/>
      <c r="H4110"/>
      <c r="I4110"/>
      <c r="J4110"/>
    </row>
    <row r="4111" spans="1:10" s="2" customFormat="1">
      <c r="A4111" s="1"/>
      <c r="E4111"/>
      <c r="F4111"/>
      <c r="G4111"/>
      <c r="H4111"/>
      <c r="I4111"/>
      <c r="J4111"/>
    </row>
    <row r="4112" spans="1:10" s="2" customFormat="1">
      <c r="A4112" s="1"/>
      <c r="E4112"/>
      <c r="F4112"/>
      <c r="G4112"/>
      <c r="H4112"/>
      <c r="I4112"/>
      <c r="J4112"/>
    </row>
    <row r="4113" spans="1:10" s="2" customFormat="1">
      <c r="A4113" s="1"/>
      <c r="E4113"/>
      <c r="F4113"/>
      <c r="G4113"/>
      <c r="H4113"/>
      <c r="I4113"/>
      <c r="J4113"/>
    </row>
    <row r="4114" spans="1:10" s="2" customFormat="1">
      <c r="A4114" s="1"/>
      <c r="E4114"/>
      <c r="F4114"/>
      <c r="G4114"/>
      <c r="H4114"/>
      <c r="I4114"/>
      <c r="J4114"/>
    </row>
    <row r="4115" spans="1:10" s="2" customFormat="1">
      <c r="A4115" s="1"/>
      <c r="E4115"/>
      <c r="F4115"/>
      <c r="G4115"/>
      <c r="H4115"/>
      <c r="I4115"/>
      <c r="J4115"/>
    </row>
    <row r="4116" spans="1:10" s="2" customFormat="1">
      <c r="A4116" s="1"/>
      <c r="E4116"/>
      <c r="F4116"/>
      <c r="G4116"/>
      <c r="H4116"/>
      <c r="I4116"/>
      <c r="J4116"/>
    </row>
    <row r="4117" spans="1:10" s="2" customFormat="1">
      <c r="A4117" s="1"/>
      <c r="E4117"/>
      <c r="F4117"/>
      <c r="G4117"/>
      <c r="H4117"/>
      <c r="I4117"/>
      <c r="J4117"/>
    </row>
    <row r="4118" spans="1:10" s="2" customFormat="1">
      <c r="A4118" s="1"/>
      <c r="E4118"/>
      <c r="F4118"/>
      <c r="G4118"/>
      <c r="H4118"/>
      <c r="I4118"/>
      <c r="J4118"/>
    </row>
    <row r="4119" spans="1:10" s="2" customFormat="1">
      <c r="A4119" s="1"/>
      <c r="E4119"/>
      <c r="F4119"/>
      <c r="G4119"/>
      <c r="H4119"/>
      <c r="I4119"/>
      <c r="J4119"/>
    </row>
    <row r="4120" spans="1:10" s="2" customFormat="1">
      <c r="A4120" s="1"/>
      <c r="E4120"/>
      <c r="F4120"/>
      <c r="G4120"/>
      <c r="H4120"/>
      <c r="I4120"/>
      <c r="J4120"/>
    </row>
    <row r="4121" spans="1:10" s="2" customFormat="1">
      <c r="A4121" s="1"/>
      <c r="E4121"/>
      <c r="F4121"/>
      <c r="G4121"/>
      <c r="H4121"/>
      <c r="I4121"/>
      <c r="J4121"/>
    </row>
    <row r="4122" spans="1:10" s="2" customFormat="1">
      <c r="A4122" s="1"/>
      <c r="E4122"/>
      <c r="F4122"/>
      <c r="G4122"/>
      <c r="H4122"/>
      <c r="I4122"/>
      <c r="J4122"/>
    </row>
    <row r="4123" spans="1:10" s="2" customFormat="1">
      <c r="A4123" s="1"/>
      <c r="E4123"/>
      <c r="F4123"/>
      <c r="G4123"/>
      <c r="H4123"/>
      <c r="I4123"/>
      <c r="J4123"/>
    </row>
    <row r="4124" spans="1:10" s="2" customFormat="1">
      <c r="A4124" s="1"/>
      <c r="E4124"/>
      <c r="F4124"/>
      <c r="G4124"/>
      <c r="H4124"/>
      <c r="I4124"/>
      <c r="J4124"/>
    </row>
    <row r="4125" spans="1:10" s="2" customFormat="1">
      <c r="A4125" s="1"/>
      <c r="E4125"/>
      <c r="F4125"/>
      <c r="G4125"/>
      <c r="H4125"/>
      <c r="I4125"/>
      <c r="J4125"/>
    </row>
    <row r="4126" spans="1:10" s="2" customFormat="1">
      <c r="A4126" s="1"/>
      <c r="E4126"/>
      <c r="F4126"/>
      <c r="G4126"/>
      <c r="H4126"/>
      <c r="I4126"/>
      <c r="J4126"/>
    </row>
    <row r="4127" spans="1:10" s="2" customFormat="1">
      <c r="A4127" s="1"/>
      <c r="E4127"/>
      <c r="F4127"/>
      <c r="G4127"/>
      <c r="H4127"/>
      <c r="I4127"/>
      <c r="J4127"/>
    </row>
    <row r="4128" spans="1:10" s="2" customFormat="1">
      <c r="A4128" s="1"/>
      <c r="E4128"/>
      <c r="F4128"/>
      <c r="G4128"/>
      <c r="H4128"/>
      <c r="I4128"/>
      <c r="J4128"/>
    </row>
    <row r="4129" spans="1:10" s="2" customFormat="1">
      <c r="A4129" s="1"/>
      <c r="E4129"/>
      <c r="F4129"/>
      <c r="G4129"/>
      <c r="H4129"/>
      <c r="I4129"/>
      <c r="J4129"/>
    </row>
    <row r="4130" spans="1:10" s="2" customFormat="1">
      <c r="A4130" s="1"/>
      <c r="E4130"/>
      <c r="F4130"/>
      <c r="G4130"/>
      <c r="H4130"/>
      <c r="I4130"/>
      <c r="J4130"/>
    </row>
    <row r="4131" spans="1:10" s="2" customFormat="1">
      <c r="A4131" s="1"/>
      <c r="E4131"/>
      <c r="F4131"/>
      <c r="G4131"/>
      <c r="H4131"/>
      <c r="I4131"/>
      <c r="J4131"/>
    </row>
    <row r="4132" spans="1:10" s="2" customFormat="1">
      <c r="A4132" s="1"/>
      <c r="E4132"/>
      <c r="F4132"/>
      <c r="G4132"/>
      <c r="H4132"/>
      <c r="I4132"/>
      <c r="J4132"/>
    </row>
    <row r="4133" spans="1:10" s="2" customFormat="1">
      <c r="A4133" s="1"/>
      <c r="E4133"/>
      <c r="F4133"/>
      <c r="G4133"/>
      <c r="H4133"/>
      <c r="I4133"/>
      <c r="J4133"/>
    </row>
    <row r="4134" spans="1:10" s="2" customFormat="1">
      <c r="A4134" s="1"/>
      <c r="E4134"/>
      <c r="F4134"/>
      <c r="G4134"/>
      <c r="H4134"/>
      <c r="I4134"/>
      <c r="J4134"/>
    </row>
    <row r="4135" spans="1:10" s="2" customFormat="1">
      <c r="A4135" s="1"/>
      <c r="E4135"/>
      <c r="F4135"/>
      <c r="G4135"/>
      <c r="H4135"/>
      <c r="I4135"/>
      <c r="J4135"/>
    </row>
    <row r="4136" spans="1:10" s="2" customFormat="1">
      <c r="A4136" s="1"/>
      <c r="E4136"/>
      <c r="F4136"/>
      <c r="G4136"/>
      <c r="H4136"/>
      <c r="I4136"/>
      <c r="J4136"/>
    </row>
    <row r="4137" spans="1:10" s="2" customFormat="1">
      <c r="A4137" s="1"/>
      <c r="E4137"/>
      <c r="F4137"/>
      <c r="G4137"/>
      <c r="H4137"/>
      <c r="I4137"/>
      <c r="J4137"/>
    </row>
    <row r="4138" spans="1:10" s="2" customFormat="1">
      <c r="A4138" s="1"/>
      <c r="E4138"/>
      <c r="F4138"/>
      <c r="G4138"/>
      <c r="H4138"/>
      <c r="I4138"/>
      <c r="J4138"/>
    </row>
    <row r="4139" spans="1:10" s="2" customFormat="1">
      <c r="A4139" s="1"/>
      <c r="E4139"/>
      <c r="F4139"/>
      <c r="G4139"/>
      <c r="H4139"/>
      <c r="I4139"/>
      <c r="J4139"/>
    </row>
    <row r="4140" spans="1:10" s="2" customFormat="1">
      <c r="A4140" s="1"/>
      <c r="E4140"/>
      <c r="F4140"/>
      <c r="G4140"/>
      <c r="H4140"/>
      <c r="I4140"/>
      <c r="J4140"/>
    </row>
    <row r="4141" spans="1:10" s="2" customFormat="1">
      <c r="A4141" s="1"/>
      <c r="E4141"/>
      <c r="F4141"/>
      <c r="G4141"/>
      <c r="H4141"/>
      <c r="I4141"/>
      <c r="J4141"/>
    </row>
    <row r="4142" spans="1:10" s="2" customFormat="1">
      <c r="A4142" s="1"/>
      <c r="E4142"/>
      <c r="F4142"/>
      <c r="G4142"/>
      <c r="H4142"/>
      <c r="I4142"/>
      <c r="J4142"/>
    </row>
    <row r="4143" spans="1:10" s="2" customFormat="1">
      <c r="A4143" s="1"/>
      <c r="E4143"/>
      <c r="F4143"/>
      <c r="G4143"/>
      <c r="H4143"/>
      <c r="I4143"/>
      <c r="J4143"/>
    </row>
    <row r="4144" spans="1:10" s="2" customFormat="1">
      <c r="A4144" s="1"/>
      <c r="E4144"/>
      <c r="F4144"/>
      <c r="G4144"/>
      <c r="H4144"/>
      <c r="I4144"/>
      <c r="J4144"/>
    </row>
    <row r="4145" spans="1:10" s="2" customFormat="1">
      <c r="A4145" s="1"/>
      <c r="E4145"/>
      <c r="F4145"/>
      <c r="G4145"/>
      <c r="H4145"/>
      <c r="I4145"/>
      <c r="J4145"/>
    </row>
    <row r="4146" spans="1:10" s="2" customFormat="1">
      <c r="A4146" s="1"/>
      <c r="E4146"/>
      <c r="F4146"/>
      <c r="G4146"/>
      <c r="H4146"/>
      <c r="I4146"/>
      <c r="J4146"/>
    </row>
    <row r="4147" spans="1:10" s="2" customFormat="1">
      <c r="A4147" s="1"/>
      <c r="E4147"/>
      <c r="F4147"/>
      <c r="G4147"/>
      <c r="H4147"/>
      <c r="I4147"/>
      <c r="J4147"/>
    </row>
    <row r="4148" spans="1:10" s="2" customFormat="1">
      <c r="A4148" s="1"/>
      <c r="E4148"/>
      <c r="F4148"/>
      <c r="G4148"/>
      <c r="H4148"/>
      <c r="I4148"/>
      <c r="J4148"/>
    </row>
    <row r="4149" spans="1:10" s="2" customFormat="1">
      <c r="A4149" s="1"/>
      <c r="E4149"/>
      <c r="F4149"/>
      <c r="G4149"/>
      <c r="H4149"/>
      <c r="I4149"/>
      <c r="J4149"/>
    </row>
    <row r="4150" spans="1:10" s="2" customFormat="1">
      <c r="A4150" s="1"/>
      <c r="E4150"/>
      <c r="F4150"/>
      <c r="G4150"/>
      <c r="H4150"/>
      <c r="I4150"/>
      <c r="J4150"/>
    </row>
    <row r="4151" spans="1:10" s="2" customFormat="1">
      <c r="A4151" s="1"/>
      <c r="E4151"/>
      <c r="F4151"/>
      <c r="G4151"/>
      <c r="H4151"/>
      <c r="I4151"/>
      <c r="J4151"/>
    </row>
    <row r="4152" spans="1:10" s="2" customFormat="1">
      <c r="A4152" s="1"/>
      <c r="E4152"/>
      <c r="F4152"/>
      <c r="G4152"/>
      <c r="H4152"/>
      <c r="I4152"/>
      <c r="J4152"/>
    </row>
    <row r="4153" spans="1:10" s="2" customFormat="1">
      <c r="A4153" s="1"/>
      <c r="E4153"/>
      <c r="F4153"/>
      <c r="G4153"/>
      <c r="H4153"/>
      <c r="I4153"/>
      <c r="J4153"/>
    </row>
    <row r="4154" spans="1:10" s="2" customFormat="1">
      <c r="A4154" s="1"/>
      <c r="E4154"/>
      <c r="F4154"/>
      <c r="G4154"/>
      <c r="H4154"/>
      <c r="I4154"/>
      <c r="J4154"/>
    </row>
    <row r="4155" spans="1:10" s="2" customFormat="1">
      <c r="A4155" s="1"/>
      <c r="E4155"/>
      <c r="F4155"/>
      <c r="G4155"/>
      <c r="H4155"/>
      <c r="I4155"/>
      <c r="J4155"/>
    </row>
    <row r="4156" spans="1:10" s="2" customFormat="1">
      <c r="A4156" s="1"/>
      <c r="E4156"/>
      <c r="F4156"/>
      <c r="G4156"/>
      <c r="H4156"/>
      <c r="I4156"/>
      <c r="J4156"/>
    </row>
    <row r="4157" spans="1:10" s="2" customFormat="1">
      <c r="A4157" s="1"/>
      <c r="E4157"/>
      <c r="F4157"/>
      <c r="G4157"/>
      <c r="H4157"/>
      <c r="I4157"/>
      <c r="J4157"/>
    </row>
    <row r="4158" spans="1:10" s="2" customFormat="1">
      <c r="A4158" s="1"/>
      <c r="E4158"/>
      <c r="F4158"/>
      <c r="G4158"/>
      <c r="H4158"/>
      <c r="I4158"/>
      <c r="J4158"/>
    </row>
    <row r="4159" spans="1:10" s="2" customFormat="1">
      <c r="A4159" s="1"/>
      <c r="E4159"/>
      <c r="F4159"/>
      <c r="G4159"/>
      <c r="H4159"/>
      <c r="I4159"/>
      <c r="J4159"/>
    </row>
    <row r="4160" spans="1:10" s="2" customFormat="1">
      <c r="A4160" s="1"/>
      <c r="E4160"/>
      <c r="F4160"/>
      <c r="G4160"/>
      <c r="H4160"/>
      <c r="I4160"/>
      <c r="J4160"/>
    </row>
    <row r="4161" spans="1:10" s="2" customFormat="1">
      <c r="A4161" s="1"/>
      <c r="E4161"/>
      <c r="F4161"/>
      <c r="G4161"/>
      <c r="H4161"/>
      <c r="I4161"/>
      <c r="J4161"/>
    </row>
    <row r="4162" spans="1:10" s="2" customFormat="1">
      <c r="A4162" s="1"/>
      <c r="E4162"/>
      <c r="F4162"/>
      <c r="G4162"/>
      <c r="H4162"/>
      <c r="I4162"/>
      <c r="J4162"/>
    </row>
    <row r="4163" spans="1:10" s="2" customFormat="1">
      <c r="A4163" s="1"/>
      <c r="E4163"/>
      <c r="F4163"/>
      <c r="G4163"/>
      <c r="H4163"/>
      <c r="I4163"/>
      <c r="J4163"/>
    </row>
    <row r="4164" spans="1:10" s="2" customFormat="1">
      <c r="A4164" s="1"/>
      <c r="E4164"/>
      <c r="F4164"/>
      <c r="G4164"/>
      <c r="H4164"/>
      <c r="I4164"/>
      <c r="J4164"/>
    </row>
    <row r="4165" spans="1:10" s="2" customFormat="1">
      <c r="A4165" s="1"/>
      <c r="E4165"/>
      <c r="F4165"/>
      <c r="G4165"/>
      <c r="H4165"/>
      <c r="I4165"/>
      <c r="J4165"/>
    </row>
    <row r="4166" spans="1:10" s="2" customFormat="1">
      <c r="A4166" s="1"/>
      <c r="E4166"/>
      <c r="F4166"/>
      <c r="G4166"/>
      <c r="H4166"/>
      <c r="I4166"/>
      <c r="J4166"/>
    </row>
    <row r="4167" spans="1:10" s="2" customFormat="1">
      <c r="A4167" s="1"/>
      <c r="E4167"/>
      <c r="F4167"/>
      <c r="G4167"/>
      <c r="H4167"/>
      <c r="I4167"/>
      <c r="J4167"/>
    </row>
    <row r="4168" spans="1:10" s="2" customFormat="1">
      <c r="A4168" s="1"/>
      <c r="E4168"/>
      <c r="F4168"/>
      <c r="G4168"/>
      <c r="H4168"/>
      <c r="I4168"/>
      <c r="J4168"/>
    </row>
    <row r="4169" spans="1:10" s="2" customFormat="1">
      <c r="A4169" s="1"/>
      <c r="E4169"/>
      <c r="F4169"/>
      <c r="G4169"/>
      <c r="H4169"/>
      <c r="I4169"/>
      <c r="J4169"/>
    </row>
    <row r="4170" spans="1:10" s="2" customFormat="1">
      <c r="A4170" s="1"/>
      <c r="E4170"/>
      <c r="F4170"/>
      <c r="G4170"/>
      <c r="H4170"/>
      <c r="I4170"/>
      <c r="J4170"/>
    </row>
    <row r="4171" spans="1:10" s="2" customFormat="1">
      <c r="A4171" s="1"/>
      <c r="E4171"/>
      <c r="F4171"/>
      <c r="G4171"/>
      <c r="H4171"/>
      <c r="I4171"/>
      <c r="J4171"/>
    </row>
    <row r="4172" spans="1:10" s="2" customFormat="1">
      <c r="A4172" s="1"/>
      <c r="E4172"/>
      <c r="F4172"/>
      <c r="G4172"/>
      <c r="H4172"/>
      <c r="I4172"/>
      <c r="J4172"/>
    </row>
    <row r="4173" spans="1:10" s="2" customFormat="1">
      <c r="A4173" s="1"/>
      <c r="E4173"/>
      <c r="F4173"/>
      <c r="G4173"/>
      <c r="H4173"/>
      <c r="I4173"/>
      <c r="J4173"/>
    </row>
    <row r="4174" spans="1:10" s="2" customFormat="1">
      <c r="A4174" s="1"/>
      <c r="E4174"/>
      <c r="F4174"/>
      <c r="G4174"/>
      <c r="H4174"/>
      <c r="I4174"/>
      <c r="J4174"/>
    </row>
    <row r="4175" spans="1:10" s="2" customFormat="1">
      <c r="A4175" s="1"/>
      <c r="E4175"/>
      <c r="F4175"/>
      <c r="G4175"/>
      <c r="H4175"/>
      <c r="I4175"/>
      <c r="J4175"/>
    </row>
    <row r="4176" spans="1:10" s="2" customFormat="1">
      <c r="A4176" s="1"/>
      <c r="E4176"/>
      <c r="F4176"/>
      <c r="G4176"/>
      <c r="H4176"/>
      <c r="I4176"/>
      <c r="J4176"/>
    </row>
    <row r="4177" spans="1:10" s="2" customFormat="1">
      <c r="A4177" s="1"/>
      <c r="E4177"/>
      <c r="F4177"/>
      <c r="G4177"/>
      <c r="H4177"/>
      <c r="I4177"/>
      <c r="J4177"/>
    </row>
    <row r="4178" spans="1:10" s="2" customFormat="1">
      <c r="A4178" s="1"/>
      <c r="E4178"/>
      <c r="F4178"/>
      <c r="G4178"/>
      <c r="H4178"/>
      <c r="I4178"/>
      <c r="J4178"/>
    </row>
    <row r="4179" spans="1:10" s="2" customFormat="1">
      <c r="A4179" s="1"/>
      <c r="E4179"/>
      <c r="F4179"/>
      <c r="G4179"/>
      <c r="H4179"/>
      <c r="I4179"/>
      <c r="J4179"/>
    </row>
    <row r="4180" spans="1:10" s="2" customFormat="1">
      <c r="A4180" s="1"/>
      <c r="E4180"/>
      <c r="F4180"/>
      <c r="G4180"/>
      <c r="H4180"/>
      <c r="I4180"/>
      <c r="J4180"/>
    </row>
    <row r="4181" spans="1:10" s="2" customFormat="1">
      <c r="A4181" s="1"/>
      <c r="E4181"/>
      <c r="F4181"/>
      <c r="G4181"/>
      <c r="H4181"/>
      <c r="I4181"/>
      <c r="J4181"/>
    </row>
    <row r="4182" spans="1:10" s="2" customFormat="1">
      <c r="A4182" s="1"/>
      <c r="E4182"/>
      <c r="F4182"/>
      <c r="G4182"/>
      <c r="H4182"/>
      <c r="I4182"/>
      <c r="J4182"/>
    </row>
    <row r="4183" spans="1:10" s="2" customFormat="1">
      <c r="A4183" s="1"/>
      <c r="E4183"/>
      <c r="F4183"/>
      <c r="G4183"/>
      <c r="H4183"/>
      <c r="I4183"/>
      <c r="J4183"/>
    </row>
    <row r="4184" spans="1:10" s="2" customFormat="1">
      <c r="A4184" s="1"/>
      <c r="E4184"/>
      <c r="F4184"/>
      <c r="G4184"/>
      <c r="H4184"/>
      <c r="I4184"/>
      <c r="J4184"/>
    </row>
    <row r="4185" spans="1:10" s="2" customFormat="1">
      <c r="A4185" s="1"/>
      <c r="E4185"/>
      <c r="F4185"/>
      <c r="G4185"/>
      <c r="H4185"/>
      <c r="I4185"/>
      <c r="J4185"/>
    </row>
    <row r="4186" spans="1:10" s="2" customFormat="1">
      <c r="A4186" s="1"/>
      <c r="E4186"/>
      <c r="F4186"/>
      <c r="G4186"/>
      <c r="H4186"/>
      <c r="I4186"/>
      <c r="J4186"/>
    </row>
    <row r="4187" spans="1:10" s="2" customFormat="1">
      <c r="A4187" s="1"/>
      <c r="E4187"/>
      <c r="F4187"/>
      <c r="G4187"/>
      <c r="H4187"/>
      <c r="I4187"/>
      <c r="J4187"/>
    </row>
    <row r="4188" spans="1:10" s="2" customFormat="1">
      <c r="A4188" s="1"/>
      <c r="E4188"/>
      <c r="F4188"/>
      <c r="G4188"/>
      <c r="H4188"/>
      <c r="I4188"/>
      <c r="J4188"/>
    </row>
    <row r="4189" spans="1:10" s="2" customFormat="1">
      <c r="A4189" s="1"/>
      <c r="E4189"/>
      <c r="F4189"/>
      <c r="G4189"/>
      <c r="H4189"/>
      <c r="I4189"/>
      <c r="J4189"/>
    </row>
    <row r="4190" spans="1:10" s="2" customFormat="1">
      <c r="A4190" s="1"/>
      <c r="E4190"/>
      <c r="F4190"/>
      <c r="G4190"/>
      <c r="H4190"/>
      <c r="I4190"/>
      <c r="J4190"/>
    </row>
    <row r="4191" spans="1:10" s="2" customFormat="1">
      <c r="A4191" s="1"/>
      <c r="E4191"/>
      <c r="F4191"/>
      <c r="G4191"/>
      <c r="H4191"/>
      <c r="I4191"/>
      <c r="J4191"/>
    </row>
    <row r="4192" spans="1:10" s="2" customFormat="1">
      <c r="A4192" s="1"/>
      <c r="E4192"/>
      <c r="F4192"/>
      <c r="G4192"/>
      <c r="H4192"/>
      <c r="I4192"/>
      <c r="J4192"/>
    </row>
    <row r="4193" spans="1:10" s="2" customFormat="1">
      <c r="A4193" s="1"/>
      <c r="E4193"/>
      <c r="F4193"/>
      <c r="G4193"/>
      <c r="H4193"/>
      <c r="I4193"/>
      <c r="J4193"/>
    </row>
    <row r="4194" spans="1:10" s="2" customFormat="1">
      <c r="A4194" s="1"/>
      <c r="E4194"/>
      <c r="F4194"/>
      <c r="G4194"/>
      <c r="H4194"/>
      <c r="I4194"/>
      <c r="J4194"/>
    </row>
    <row r="4195" spans="1:10" s="2" customFormat="1">
      <c r="A4195" s="1"/>
      <c r="E4195"/>
      <c r="F4195"/>
      <c r="G4195"/>
      <c r="H4195"/>
      <c r="I4195"/>
      <c r="J4195"/>
    </row>
    <row r="4196" spans="1:10" s="2" customFormat="1">
      <c r="A4196" s="1"/>
      <c r="E4196"/>
      <c r="F4196"/>
      <c r="G4196"/>
      <c r="H4196"/>
      <c r="I4196"/>
      <c r="J4196"/>
    </row>
    <row r="4197" spans="1:10" s="2" customFormat="1">
      <c r="A4197" s="1"/>
      <c r="E4197"/>
      <c r="F4197"/>
      <c r="G4197"/>
      <c r="H4197"/>
      <c r="I4197"/>
      <c r="J4197"/>
    </row>
    <row r="4198" spans="1:10" s="2" customFormat="1">
      <c r="A4198" s="1"/>
      <c r="E4198"/>
      <c r="F4198"/>
      <c r="G4198"/>
      <c r="H4198"/>
      <c r="I4198"/>
      <c r="J4198"/>
    </row>
    <row r="4199" spans="1:10" s="2" customFormat="1">
      <c r="A4199" s="1"/>
      <c r="E4199"/>
      <c r="F4199"/>
      <c r="G4199"/>
      <c r="H4199"/>
      <c r="I4199"/>
      <c r="J4199"/>
    </row>
    <row r="4200" spans="1:10" s="2" customFormat="1">
      <c r="A4200" s="1"/>
      <c r="E4200"/>
      <c r="F4200"/>
      <c r="G4200"/>
      <c r="H4200"/>
      <c r="I4200"/>
      <c r="J4200"/>
    </row>
    <row r="4201" spans="1:10" s="2" customFormat="1">
      <c r="A4201" s="1"/>
      <c r="E4201"/>
      <c r="F4201"/>
      <c r="G4201"/>
      <c r="H4201"/>
      <c r="I4201"/>
      <c r="J4201"/>
    </row>
    <row r="4202" spans="1:10" s="2" customFormat="1">
      <c r="A4202" s="1"/>
      <c r="E4202"/>
      <c r="F4202"/>
      <c r="G4202"/>
      <c r="H4202"/>
      <c r="I4202"/>
      <c r="J4202"/>
    </row>
    <row r="4203" spans="1:10" s="2" customFormat="1">
      <c r="A4203" s="1"/>
      <c r="E4203"/>
      <c r="F4203"/>
      <c r="G4203"/>
      <c r="H4203"/>
      <c r="I4203"/>
      <c r="J4203"/>
    </row>
    <row r="4204" spans="1:10" s="2" customFormat="1">
      <c r="A4204" s="1"/>
      <c r="E4204"/>
      <c r="F4204"/>
      <c r="G4204"/>
      <c r="H4204"/>
      <c r="I4204"/>
      <c r="J4204"/>
    </row>
    <row r="4205" spans="1:10" s="2" customFormat="1">
      <c r="A4205" s="1"/>
      <c r="E4205"/>
      <c r="F4205"/>
      <c r="G4205"/>
      <c r="H4205"/>
      <c r="I4205"/>
      <c r="J4205"/>
    </row>
    <row r="4206" spans="1:10" s="2" customFormat="1">
      <c r="A4206" s="1"/>
      <c r="E4206"/>
      <c r="F4206"/>
      <c r="G4206"/>
      <c r="H4206"/>
      <c r="I4206"/>
      <c r="J4206"/>
    </row>
    <row r="4207" spans="1:10" s="2" customFormat="1">
      <c r="A4207" s="1"/>
      <c r="E4207"/>
      <c r="F4207"/>
      <c r="G4207"/>
      <c r="H4207"/>
      <c r="I4207"/>
      <c r="J4207"/>
    </row>
    <row r="4208" spans="1:10" s="2" customFormat="1">
      <c r="A4208" s="1"/>
      <c r="E4208"/>
      <c r="F4208"/>
      <c r="G4208"/>
      <c r="H4208"/>
      <c r="I4208"/>
      <c r="J4208"/>
    </row>
    <row r="4209" spans="1:10" s="2" customFormat="1">
      <c r="A4209" s="1"/>
      <c r="E4209"/>
      <c r="F4209"/>
      <c r="G4209"/>
      <c r="H4209"/>
      <c r="I4209"/>
      <c r="J4209"/>
    </row>
    <row r="4210" spans="1:10" s="2" customFormat="1">
      <c r="A4210" s="1"/>
      <c r="E4210"/>
      <c r="F4210"/>
      <c r="G4210"/>
      <c r="H4210"/>
      <c r="I4210"/>
      <c r="J4210"/>
    </row>
    <row r="4211" spans="1:10" s="2" customFormat="1">
      <c r="A4211" s="1"/>
      <c r="E4211"/>
      <c r="F4211"/>
      <c r="G4211"/>
      <c r="H4211"/>
      <c r="I4211"/>
      <c r="J4211"/>
    </row>
    <row r="4212" spans="1:10" s="2" customFormat="1">
      <c r="A4212" s="1"/>
      <c r="E4212"/>
      <c r="F4212"/>
      <c r="G4212"/>
      <c r="H4212"/>
      <c r="I4212"/>
      <c r="J4212"/>
    </row>
    <row r="4213" spans="1:10" s="2" customFormat="1">
      <c r="A4213" s="1"/>
      <c r="E4213"/>
      <c r="F4213"/>
      <c r="G4213"/>
      <c r="H4213"/>
      <c r="I4213"/>
      <c r="J4213"/>
    </row>
    <row r="4214" spans="1:10" s="2" customFormat="1">
      <c r="A4214" s="1"/>
      <c r="E4214"/>
      <c r="F4214"/>
      <c r="G4214"/>
      <c r="H4214"/>
      <c r="I4214"/>
      <c r="J4214"/>
    </row>
    <row r="4215" spans="1:10" s="2" customFormat="1">
      <c r="A4215" s="1"/>
      <c r="E4215"/>
      <c r="F4215"/>
      <c r="G4215"/>
      <c r="H4215"/>
      <c r="I4215"/>
      <c r="J4215"/>
    </row>
    <row r="4216" spans="1:10" s="2" customFormat="1">
      <c r="A4216" s="1"/>
      <c r="E4216"/>
      <c r="F4216"/>
      <c r="G4216"/>
      <c r="H4216"/>
      <c r="I4216"/>
      <c r="J4216"/>
    </row>
    <row r="4217" spans="1:10" s="2" customFormat="1">
      <c r="A4217" s="1"/>
      <c r="E4217"/>
      <c r="F4217"/>
      <c r="G4217"/>
      <c r="H4217"/>
      <c r="I4217"/>
      <c r="J4217"/>
    </row>
    <row r="4218" spans="1:10" s="2" customFormat="1">
      <c r="A4218" s="1"/>
      <c r="E4218"/>
      <c r="F4218"/>
      <c r="G4218"/>
      <c r="H4218"/>
      <c r="I4218"/>
      <c r="J4218"/>
    </row>
    <row r="4219" spans="1:10" s="2" customFormat="1">
      <c r="A4219" s="1"/>
      <c r="E4219"/>
      <c r="F4219"/>
      <c r="G4219"/>
      <c r="H4219"/>
      <c r="I4219"/>
      <c r="J4219"/>
    </row>
    <row r="4220" spans="1:10" s="2" customFormat="1">
      <c r="A4220" s="1"/>
      <c r="E4220"/>
      <c r="F4220"/>
      <c r="G4220"/>
      <c r="H4220"/>
      <c r="I4220"/>
      <c r="J4220"/>
    </row>
    <row r="4221" spans="1:10" s="2" customFormat="1">
      <c r="A4221" s="1"/>
      <c r="E4221"/>
      <c r="F4221"/>
      <c r="G4221"/>
      <c r="H4221"/>
      <c r="I4221"/>
      <c r="J4221"/>
    </row>
    <row r="4222" spans="1:10" s="2" customFormat="1">
      <c r="A4222" s="1"/>
      <c r="E4222"/>
      <c r="F4222"/>
      <c r="G4222"/>
      <c r="H4222"/>
      <c r="I4222"/>
      <c r="J4222"/>
    </row>
    <row r="4223" spans="1:10" s="2" customFormat="1">
      <c r="A4223" s="1"/>
      <c r="E4223"/>
      <c r="F4223"/>
      <c r="G4223"/>
      <c r="H4223"/>
      <c r="I4223"/>
      <c r="J4223"/>
    </row>
    <row r="4224" spans="1:10" s="2" customFormat="1">
      <c r="A4224" s="1"/>
      <c r="E4224"/>
      <c r="F4224"/>
      <c r="G4224"/>
      <c r="H4224"/>
      <c r="I4224"/>
      <c r="J4224"/>
    </row>
    <row r="4225" spans="1:10" s="2" customFormat="1">
      <c r="A4225" s="1"/>
      <c r="E4225"/>
      <c r="F4225"/>
      <c r="G4225"/>
      <c r="H4225"/>
      <c r="I4225"/>
      <c r="J4225"/>
    </row>
    <row r="4226" spans="1:10" s="2" customFormat="1">
      <c r="A4226" s="1"/>
      <c r="E4226"/>
      <c r="F4226"/>
      <c r="G4226"/>
      <c r="H4226"/>
      <c r="I4226"/>
      <c r="J4226"/>
    </row>
    <row r="4227" spans="1:10" s="2" customFormat="1">
      <c r="A4227" s="1"/>
      <c r="E4227"/>
      <c r="F4227"/>
      <c r="G4227"/>
      <c r="H4227"/>
      <c r="I4227"/>
      <c r="J4227"/>
    </row>
    <row r="4228" spans="1:10" s="2" customFormat="1">
      <c r="A4228" s="1"/>
      <c r="E4228"/>
      <c r="F4228"/>
      <c r="G4228"/>
      <c r="H4228"/>
      <c r="I4228"/>
      <c r="J4228"/>
    </row>
    <row r="4229" spans="1:10" s="2" customFormat="1">
      <c r="A4229" s="1"/>
      <c r="E4229"/>
      <c r="F4229"/>
      <c r="G4229"/>
      <c r="H4229"/>
      <c r="I4229"/>
      <c r="J4229"/>
    </row>
    <row r="4230" spans="1:10" s="2" customFormat="1">
      <c r="A4230" s="1"/>
      <c r="E4230"/>
      <c r="F4230"/>
      <c r="G4230"/>
      <c r="H4230"/>
      <c r="I4230"/>
      <c r="J4230"/>
    </row>
    <row r="4231" spans="1:10" s="2" customFormat="1">
      <c r="A4231" s="1"/>
      <c r="E4231"/>
      <c r="F4231"/>
      <c r="G4231"/>
      <c r="H4231"/>
      <c r="I4231"/>
      <c r="J4231"/>
    </row>
    <row r="4232" spans="1:10" s="2" customFormat="1">
      <c r="A4232" s="1"/>
      <c r="E4232"/>
      <c r="F4232"/>
      <c r="G4232"/>
      <c r="H4232"/>
      <c r="I4232"/>
      <c r="J4232"/>
    </row>
    <row r="4233" spans="1:10" s="2" customFormat="1">
      <c r="A4233" s="1"/>
      <c r="E4233"/>
      <c r="F4233"/>
      <c r="G4233"/>
      <c r="H4233"/>
      <c r="I4233"/>
      <c r="J4233"/>
    </row>
    <row r="4234" spans="1:10" s="2" customFormat="1">
      <c r="A4234" s="1"/>
      <c r="E4234"/>
      <c r="F4234"/>
      <c r="G4234"/>
      <c r="H4234"/>
      <c r="I4234"/>
      <c r="J4234"/>
    </row>
    <row r="4235" spans="1:10" s="2" customFormat="1">
      <c r="A4235" s="1"/>
      <c r="E4235"/>
      <c r="F4235"/>
      <c r="G4235"/>
      <c r="H4235"/>
      <c r="I4235"/>
      <c r="J4235"/>
    </row>
    <row r="4236" spans="1:10" s="2" customFormat="1">
      <c r="A4236" s="1"/>
      <c r="E4236"/>
      <c r="F4236"/>
      <c r="G4236"/>
      <c r="H4236"/>
      <c r="I4236"/>
      <c r="J4236"/>
    </row>
    <row r="4237" spans="1:10" s="2" customFormat="1">
      <c r="A4237" s="1"/>
      <c r="E4237"/>
      <c r="F4237"/>
      <c r="G4237"/>
      <c r="H4237"/>
      <c r="I4237"/>
      <c r="J4237"/>
    </row>
    <row r="4238" spans="1:10" s="2" customFormat="1">
      <c r="A4238" s="1"/>
      <c r="E4238"/>
      <c r="F4238"/>
      <c r="G4238"/>
      <c r="H4238"/>
      <c r="I4238"/>
      <c r="J4238"/>
    </row>
    <row r="4239" spans="1:10" s="2" customFormat="1">
      <c r="A4239" s="1"/>
      <c r="E4239"/>
      <c r="F4239"/>
      <c r="G4239"/>
      <c r="H4239"/>
      <c r="I4239"/>
      <c r="J4239"/>
    </row>
    <row r="4240" spans="1:10" s="2" customFormat="1">
      <c r="A4240" s="1"/>
      <c r="E4240"/>
      <c r="F4240"/>
      <c r="G4240"/>
      <c r="H4240"/>
      <c r="I4240"/>
      <c r="J4240"/>
    </row>
    <row r="4241" spans="1:10" s="2" customFormat="1">
      <c r="A4241" s="1"/>
      <c r="E4241"/>
      <c r="F4241"/>
      <c r="G4241"/>
      <c r="H4241"/>
      <c r="I4241"/>
      <c r="J4241"/>
    </row>
    <row r="4242" spans="1:10" s="2" customFormat="1">
      <c r="A4242" s="1"/>
      <c r="E4242"/>
      <c r="F4242"/>
      <c r="G4242"/>
      <c r="H4242"/>
      <c r="I4242"/>
      <c r="J4242"/>
    </row>
    <row r="4243" spans="1:10" s="2" customFormat="1">
      <c r="A4243" s="1"/>
      <c r="E4243"/>
      <c r="F4243"/>
      <c r="G4243"/>
      <c r="H4243"/>
      <c r="I4243"/>
      <c r="J4243"/>
    </row>
    <row r="4244" spans="1:10" s="2" customFormat="1">
      <c r="A4244" s="1"/>
      <c r="E4244"/>
      <c r="F4244"/>
      <c r="G4244"/>
      <c r="H4244"/>
      <c r="I4244"/>
      <c r="J4244"/>
    </row>
    <row r="4245" spans="1:10" s="2" customFormat="1">
      <c r="A4245" s="1"/>
      <c r="E4245"/>
      <c r="F4245"/>
      <c r="G4245"/>
      <c r="H4245"/>
      <c r="I4245"/>
      <c r="J4245"/>
    </row>
    <row r="4246" spans="1:10" s="2" customFormat="1">
      <c r="A4246" s="1"/>
      <c r="E4246"/>
      <c r="F4246"/>
      <c r="G4246"/>
      <c r="H4246"/>
      <c r="I4246"/>
      <c r="J4246"/>
    </row>
    <row r="4247" spans="1:10" s="2" customFormat="1">
      <c r="A4247" s="1"/>
      <c r="E4247"/>
      <c r="F4247"/>
      <c r="G4247"/>
      <c r="H4247"/>
      <c r="I4247"/>
      <c r="J4247"/>
    </row>
    <row r="4248" spans="1:10" s="2" customFormat="1">
      <c r="A4248" s="1"/>
      <c r="E4248"/>
      <c r="F4248"/>
      <c r="G4248"/>
      <c r="H4248"/>
      <c r="I4248"/>
      <c r="J4248"/>
    </row>
    <row r="4249" spans="1:10" s="2" customFormat="1">
      <c r="A4249" s="1"/>
      <c r="E4249"/>
      <c r="F4249"/>
      <c r="G4249"/>
      <c r="H4249"/>
      <c r="I4249"/>
      <c r="J4249"/>
    </row>
    <row r="4250" spans="1:10" s="2" customFormat="1">
      <c r="A4250" s="1"/>
      <c r="E4250"/>
      <c r="F4250"/>
      <c r="G4250"/>
      <c r="H4250"/>
      <c r="I4250"/>
      <c r="J4250"/>
    </row>
    <row r="4251" spans="1:10" s="2" customFormat="1">
      <c r="A4251" s="1"/>
      <c r="E4251"/>
      <c r="F4251"/>
      <c r="G4251"/>
      <c r="H4251"/>
      <c r="I4251"/>
      <c r="J4251"/>
    </row>
    <row r="4252" spans="1:10" s="2" customFormat="1">
      <c r="A4252" s="1"/>
      <c r="E4252"/>
      <c r="F4252"/>
      <c r="G4252"/>
      <c r="H4252"/>
      <c r="I4252"/>
      <c r="J4252"/>
    </row>
    <row r="4253" spans="1:10" s="2" customFormat="1">
      <c r="A4253" s="1"/>
      <c r="E4253"/>
      <c r="F4253"/>
      <c r="G4253"/>
      <c r="H4253"/>
      <c r="I4253"/>
      <c r="J4253"/>
    </row>
    <row r="4254" spans="1:10" s="2" customFormat="1">
      <c r="A4254" s="1"/>
      <c r="E4254"/>
      <c r="F4254"/>
      <c r="G4254"/>
      <c r="H4254"/>
      <c r="I4254"/>
      <c r="J4254"/>
    </row>
    <row r="4255" spans="1:10" s="2" customFormat="1">
      <c r="A4255" s="1"/>
      <c r="E4255"/>
      <c r="F4255"/>
      <c r="G4255"/>
      <c r="H4255"/>
      <c r="I4255"/>
      <c r="J4255"/>
    </row>
    <row r="4256" spans="1:10" s="2" customFormat="1">
      <c r="A4256" s="1"/>
      <c r="E4256"/>
      <c r="F4256"/>
      <c r="G4256"/>
      <c r="H4256"/>
      <c r="I4256"/>
      <c r="J4256"/>
    </row>
    <row r="4257" spans="1:10" s="2" customFormat="1">
      <c r="A4257" s="1"/>
      <c r="E4257"/>
      <c r="F4257"/>
      <c r="G4257"/>
      <c r="H4257"/>
      <c r="I4257"/>
      <c r="J4257"/>
    </row>
    <row r="4258" spans="1:10" s="2" customFormat="1">
      <c r="A4258" s="1"/>
      <c r="E4258"/>
      <c r="F4258"/>
      <c r="G4258"/>
      <c r="H4258"/>
      <c r="I4258"/>
      <c r="J4258"/>
    </row>
    <row r="4259" spans="1:10" s="2" customFormat="1">
      <c r="A4259" s="1"/>
      <c r="E4259"/>
      <c r="F4259"/>
      <c r="G4259"/>
      <c r="H4259"/>
      <c r="I4259"/>
      <c r="J4259"/>
    </row>
    <row r="4260" spans="1:10" s="2" customFormat="1">
      <c r="A4260" s="1"/>
      <c r="E4260"/>
      <c r="F4260"/>
      <c r="G4260"/>
      <c r="H4260"/>
      <c r="I4260"/>
      <c r="J4260"/>
    </row>
    <row r="4261" spans="1:10" s="2" customFormat="1">
      <c r="A4261" s="1"/>
      <c r="E4261"/>
      <c r="F4261"/>
      <c r="G4261"/>
      <c r="H4261"/>
      <c r="I4261"/>
      <c r="J4261"/>
    </row>
    <row r="4262" spans="1:10" s="2" customFormat="1">
      <c r="A4262" s="1"/>
      <c r="E4262"/>
      <c r="F4262"/>
      <c r="G4262"/>
      <c r="H4262"/>
      <c r="I4262"/>
      <c r="J4262"/>
    </row>
    <row r="4263" spans="1:10" s="2" customFormat="1">
      <c r="A4263" s="1"/>
      <c r="E4263"/>
      <c r="F4263"/>
      <c r="G4263"/>
      <c r="H4263"/>
      <c r="I4263"/>
      <c r="J4263"/>
    </row>
    <row r="4264" spans="1:10" s="2" customFormat="1">
      <c r="A4264" s="1"/>
      <c r="E4264"/>
      <c r="F4264"/>
      <c r="G4264"/>
      <c r="H4264"/>
      <c r="I4264"/>
      <c r="J4264"/>
    </row>
    <row r="4265" spans="1:10" s="2" customFormat="1">
      <c r="A4265" s="1"/>
      <c r="E4265"/>
      <c r="F4265"/>
      <c r="G4265"/>
      <c r="H4265"/>
      <c r="I4265"/>
      <c r="J4265"/>
    </row>
    <row r="4266" spans="1:10" s="2" customFormat="1">
      <c r="A4266" s="1"/>
      <c r="E4266"/>
      <c r="F4266"/>
      <c r="G4266"/>
      <c r="H4266"/>
      <c r="I4266"/>
      <c r="J4266"/>
    </row>
    <row r="4267" spans="1:10" s="2" customFormat="1">
      <c r="A4267" s="1"/>
      <c r="E4267"/>
      <c r="F4267"/>
      <c r="G4267"/>
      <c r="H4267"/>
      <c r="I4267"/>
      <c r="J4267"/>
    </row>
    <row r="4268" spans="1:10" s="2" customFormat="1">
      <c r="A4268" s="1"/>
      <c r="E4268"/>
      <c r="F4268"/>
      <c r="G4268"/>
      <c r="H4268"/>
      <c r="I4268"/>
      <c r="J4268"/>
    </row>
    <row r="4269" spans="1:10" s="2" customFormat="1">
      <c r="A4269" s="1"/>
      <c r="E4269"/>
      <c r="F4269"/>
      <c r="G4269"/>
      <c r="H4269"/>
      <c r="I4269"/>
      <c r="J4269"/>
    </row>
    <row r="4270" spans="1:10" s="2" customFormat="1">
      <c r="A4270" s="1"/>
      <c r="E4270"/>
      <c r="F4270"/>
      <c r="G4270"/>
      <c r="H4270"/>
      <c r="I4270"/>
      <c r="J4270"/>
    </row>
    <row r="4271" spans="1:10" s="2" customFormat="1">
      <c r="A4271" s="1"/>
      <c r="E4271"/>
      <c r="F4271"/>
      <c r="G4271"/>
      <c r="H4271"/>
      <c r="I4271"/>
      <c r="J4271"/>
    </row>
    <row r="4272" spans="1:10" s="2" customFormat="1">
      <c r="A4272" s="1"/>
      <c r="E4272"/>
      <c r="F4272"/>
      <c r="G4272"/>
      <c r="H4272"/>
      <c r="I4272"/>
      <c r="J4272"/>
    </row>
    <row r="4273" spans="1:10" s="2" customFormat="1">
      <c r="A4273" s="1"/>
      <c r="E4273"/>
      <c r="F4273"/>
      <c r="G4273"/>
      <c r="H4273"/>
      <c r="I4273"/>
      <c r="J4273"/>
    </row>
    <row r="4274" spans="1:10" s="2" customFormat="1">
      <c r="A4274" s="1"/>
      <c r="E4274"/>
      <c r="F4274"/>
      <c r="G4274"/>
      <c r="H4274"/>
      <c r="I4274"/>
      <c r="J4274"/>
    </row>
    <row r="4275" spans="1:10" s="2" customFormat="1">
      <c r="A4275" s="1"/>
      <c r="E4275"/>
      <c r="F4275"/>
      <c r="G4275"/>
      <c r="H4275"/>
      <c r="I4275"/>
      <c r="J4275"/>
    </row>
    <row r="4276" spans="1:10" s="2" customFormat="1">
      <c r="A4276" s="1"/>
      <c r="E4276"/>
      <c r="F4276"/>
      <c r="G4276"/>
      <c r="H4276"/>
      <c r="I4276"/>
      <c r="J4276"/>
    </row>
    <row r="4277" spans="1:10" s="2" customFormat="1">
      <c r="A4277" s="1"/>
      <c r="E4277"/>
      <c r="F4277"/>
      <c r="G4277"/>
      <c r="H4277"/>
      <c r="I4277"/>
      <c r="J4277"/>
    </row>
    <row r="4278" spans="1:10" s="2" customFormat="1">
      <c r="A4278" s="1"/>
      <c r="E4278"/>
      <c r="F4278"/>
      <c r="G4278"/>
      <c r="H4278"/>
      <c r="I4278"/>
      <c r="J4278"/>
    </row>
    <row r="4279" spans="1:10" s="2" customFormat="1">
      <c r="A4279" s="1"/>
      <c r="E4279"/>
      <c r="F4279"/>
      <c r="G4279"/>
      <c r="H4279"/>
      <c r="I4279"/>
      <c r="J4279"/>
    </row>
    <row r="4280" spans="1:10" s="2" customFormat="1">
      <c r="A4280" s="1"/>
      <c r="E4280"/>
      <c r="F4280"/>
      <c r="G4280"/>
      <c r="H4280"/>
      <c r="I4280"/>
      <c r="J4280"/>
    </row>
    <row r="4281" spans="1:10" s="2" customFormat="1">
      <c r="A4281" s="1"/>
      <c r="E4281"/>
      <c r="F4281"/>
      <c r="G4281"/>
      <c r="H4281"/>
      <c r="I4281"/>
      <c r="J4281"/>
    </row>
    <row r="4282" spans="1:10" s="2" customFormat="1">
      <c r="A4282" s="1"/>
      <c r="E4282"/>
      <c r="F4282"/>
      <c r="G4282"/>
      <c r="H4282"/>
      <c r="I4282"/>
      <c r="J4282"/>
    </row>
    <row r="4283" spans="1:10" s="2" customFormat="1">
      <c r="A4283" s="1"/>
      <c r="E4283"/>
      <c r="F4283"/>
      <c r="G4283"/>
      <c r="H4283"/>
      <c r="I4283"/>
      <c r="J4283"/>
    </row>
    <row r="4284" spans="1:10" s="2" customFormat="1">
      <c r="A4284" s="1"/>
      <c r="E4284"/>
      <c r="F4284"/>
      <c r="G4284"/>
      <c r="H4284"/>
      <c r="I4284"/>
      <c r="J4284"/>
    </row>
    <row r="4285" spans="1:10" s="2" customFormat="1">
      <c r="A4285" s="1"/>
      <c r="E4285"/>
      <c r="F4285"/>
      <c r="G4285"/>
      <c r="H4285"/>
      <c r="I4285"/>
      <c r="J4285"/>
    </row>
    <row r="4286" spans="1:10" s="2" customFormat="1">
      <c r="A4286" s="1"/>
      <c r="E4286"/>
      <c r="F4286"/>
      <c r="G4286"/>
      <c r="H4286"/>
      <c r="I4286"/>
      <c r="J4286"/>
    </row>
    <row r="4287" spans="1:10" s="2" customFormat="1">
      <c r="A4287" s="1"/>
      <c r="E4287"/>
      <c r="F4287"/>
      <c r="G4287"/>
      <c r="H4287"/>
      <c r="I4287"/>
      <c r="J4287"/>
    </row>
    <row r="4288" spans="1:10" s="2" customFormat="1">
      <c r="A4288" s="1"/>
      <c r="E4288"/>
      <c r="F4288"/>
      <c r="G4288"/>
      <c r="H4288"/>
      <c r="I4288"/>
      <c r="J4288"/>
    </row>
    <row r="4289" spans="1:10" s="2" customFormat="1">
      <c r="A4289" s="1"/>
      <c r="E4289"/>
      <c r="F4289"/>
      <c r="G4289"/>
      <c r="H4289"/>
      <c r="I4289"/>
      <c r="J4289"/>
    </row>
    <row r="4290" spans="1:10" s="2" customFormat="1">
      <c r="A4290" s="1"/>
      <c r="E4290"/>
      <c r="F4290"/>
      <c r="G4290"/>
      <c r="H4290"/>
      <c r="I4290"/>
      <c r="J4290"/>
    </row>
    <row r="4291" spans="1:10" s="2" customFormat="1">
      <c r="A4291" s="1"/>
      <c r="E4291"/>
      <c r="F4291"/>
      <c r="G4291"/>
      <c r="H4291"/>
      <c r="I4291"/>
      <c r="J4291"/>
    </row>
    <row r="4292" spans="1:10" s="2" customFormat="1">
      <c r="A4292" s="1"/>
      <c r="E4292"/>
      <c r="F4292"/>
      <c r="G4292"/>
      <c r="H4292"/>
      <c r="I4292"/>
      <c r="J4292"/>
    </row>
    <row r="4293" spans="1:10" s="2" customFormat="1">
      <c r="A4293" s="1"/>
      <c r="E4293"/>
      <c r="F4293"/>
      <c r="G4293"/>
      <c r="H4293"/>
      <c r="I4293"/>
      <c r="J4293"/>
    </row>
    <row r="4294" spans="1:10" s="2" customFormat="1">
      <c r="A4294" s="1"/>
      <c r="E4294"/>
      <c r="F4294"/>
      <c r="G4294"/>
      <c r="H4294"/>
      <c r="I4294"/>
      <c r="J4294"/>
    </row>
    <row r="4295" spans="1:10" s="2" customFormat="1">
      <c r="A4295" s="1"/>
      <c r="E4295"/>
      <c r="F4295"/>
      <c r="G4295"/>
      <c r="H4295"/>
      <c r="I4295"/>
      <c r="J4295"/>
    </row>
    <row r="4296" spans="1:10" s="2" customFormat="1">
      <c r="A4296" s="1"/>
      <c r="E4296"/>
      <c r="F4296"/>
      <c r="G4296"/>
      <c r="H4296"/>
      <c r="I4296"/>
      <c r="J4296"/>
    </row>
    <row r="4297" spans="1:10" s="2" customFormat="1">
      <c r="A4297" s="1"/>
      <c r="E4297"/>
      <c r="F4297"/>
      <c r="G4297"/>
      <c r="H4297"/>
      <c r="I4297"/>
      <c r="J4297"/>
    </row>
    <row r="4298" spans="1:10" s="2" customFormat="1">
      <c r="A4298" s="1"/>
      <c r="E4298"/>
      <c r="F4298"/>
      <c r="G4298"/>
      <c r="H4298"/>
      <c r="I4298"/>
      <c r="J4298"/>
    </row>
    <row r="4299" spans="1:10" s="2" customFormat="1">
      <c r="A4299" s="1"/>
      <c r="E4299"/>
      <c r="F4299"/>
      <c r="G4299"/>
      <c r="H4299"/>
      <c r="I4299"/>
      <c r="J4299"/>
    </row>
    <row r="4300" spans="1:10" s="2" customFormat="1">
      <c r="A4300" s="1"/>
      <c r="E4300"/>
      <c r="F4300"/>
      <c r="G4300"/>
      <c r="H4300"/>
      <c r="I4300"/>
      <c r="J4300"/>
    </row>
    <row r="4301" spans="1:10" s="2" customFormat="1">
      <c r="A4301" s="1"/>
      <c r="E4301"/>
      <c r="F4301"/>
      <c r="G4301"/>
      <c r="H4301"/>
      <c r="I4301"/>
      <c r="J4301"/>
    </row>
    <row r="4302" spans="1:10" s="2" customFormat="1">
      <c r="A4302" s="1"/>
      <c r="E4302"/>
      <c r="F4302"/>
      <c r="G4302"/>
      <c r="H4302"/>
      <c r="I4302"/>
      <c r="J4302"/>
    </row>
    <row r="4303" spans="1:10" s="2" customFormat="1">
      <c r="A4303" s="1"/>
      <c r="E4303"/>
      <c r="F4303"/>
      <c r="G4303"/>
      <c r="H4303"/>
      <c r="I4303"/>
      <c r="J4303"/>
    </row>
    <row r="4304" spans="1:10" s="2" customFormat="1">
      <c r="A4304" s="1"/>
      <c r="E4304"/>
      <c r="F4304"/>
      <c r="G4304"/>
      <c r="H4304"/>
      <c r="I4304"/>
      <c r="J4304"/>
    </row>
    <row r="4305" spans="1:10" s="2" customFormat="1">
      <c r="A4305" s="1"/>
      <c r="E4305"/>
      <c r="F4305"/>
      <c r="G4305"/>
      <c r="H4305"/>
      <c r="I4305"/>
      <c r="J4305"/>
    </row>
    <row r="4306" spans="1:10" s="2" customFormat="1">
      <c r="A4306" s="1"/>
      <c r="E4306"/>
      <c r="F4306"/>
      <c r="G4306"/>
      <c r="H4306"/>
      <c r="I4306"/>
      <c r="J4306"/>
    </row>
    <row r="4307" spans="1:10" s="2" customFormat="1">
      <c r="A4307" s="1"/>
      <c r="E4307"/>
      <c r="F4307"/>
      <c r="G4307"/>
      <c r="H4307"/>
      <c r="I4307"/>
      <c r="J4307"/>
    </row>
    <row r="4308" spans="1:10" s="2" customFormat="1">
      <c r="A4308" s="1"/>
      <c r="E4308"/>
      <c r="F4308"/>
      <c r="G4308"/>
      <c r="H4308"/>
      <c r="I4308"/>
      <c r="J4308"/>
    </row>
    <row r="4309" spans="1:10" s="2" customFormat="1">
      <c r="A4309" s="1"/>
      <c r="E4309"/>
      <c r="F4309"/>
      <c r="G4309"/>
      <c r="H4309"/>
      <c r="I4309"/>
      <c r="J4309"/>
    </row>
    <row r="4310" spans="1:10" s="2" customFormat="1">
      <c r="A4310" s="1"/>
      <c r="E4310"/>
      <c r="F4310"/>
      <c r="G4310"/>
      <c r="H4310"/>
      <c r="I4310"/>
      <c r="J4310"/>
    </row>
    <row r="4311" spans="1:10" s="2" customFormat="1">
      <c r="A4311" s="1"/>
      <c r="E4311"/>
      <c r="F4311"/>
      <c r="G4311"/>
      <c r="H4311"/>
      <c r="I4311"/>
      <c r="J4311"/>
    </row>
    <row r="4312" spans="1:10" s="2" customFormat="1">
      <c r="A4312" s="1"/>
      <c r="E4312"/>
      <c r="F4312"/>
      <c r="G4312"/>
      <c r="H4312"/>
      <c r="I4312"/>
      <c r="J4312"/>
    </row>
    <row r="4313" spans="1:10" s="2" customFormat="1">
      <c r="A4313" s="1"/>
      <c r="E4313"/>
      <c r="F4313"/>
      <c r="G4313"/>
      <c r="H4313"/>
      <c r="I4313"/>
      <c r="J4313"/>
    </row>
    <row r="4314" spans="1:10" s="2" customFormat="1">
      <c r="A4314" s="1"/>
      <c r="E4314"/>
      <c r="F4314"/>
      <c r="G4314"/>
      <c r="H4314"/>
      <c r="I4314"/>
      <c r="J4314"/>
    </row>
    <row r="4315" spans="1:10" s="2" customFormat="1">
      <c r="A4315" s="1"/>
      <c r="E4315"/>
      <c r="F4315"/>
      <c r="G4315"/>
      <c r="H4315"/>
      <c r="I4315"/>
      <c r="J4315"/>
    </row>
    <row r="4316" spans="1:10" s="2" customFormat="1">
      <c r="A4316" s="1"/>
      <c r="E4316"/>
      <c r="F4316"/>
      <c r="G4316"/>
      <c r="H4316"/>
      <c r="I4316"/>
      <c r="J4316"/>
    </row>
    <row r="4317" spans="1:10" s="2" customFormat="1">
      <c r="A4317" s="1"/>
      <c r="E4317"/>
      <c r="F4317"/>
      <c r="G4317"/>
      <c r="H4317"/>
      <c r="I4317"/>
      <c r="J4317"/>
    </row>
    <row r="4318" spans="1:10" s="2" customFormat="1">
      <c r="A4318" s="1"/>
      <c r="E4318"/>
      <c r="F4318"/>
      <c r="G4318"/>
      <c r="H4318"/>
      <c r="I4318"/>
      <c r="J4318"/>
    </row>
    <row r="4319" spans="1:10" s="2" customFormat="1">
      <c r="A4319" s="1"/>
      <c r="E4319"/>
      <c r="F4319"/>
      <c r="G4319"/>
      <c r="H4319"/>
      <c r="I4319"/>
      <c r="J4319"/>
    </row>
    <row r="4320" spans="1:10" s="2" customFormat="1">
      <c r="A4320" s="1"/>
      <c r="E4320"/>
      <c r="F4320"/>
      <c r="G4320"/>
      <c r="H4320"/>
      <c r="I4320"/>
      <c r="J4320"/>
    </row>
    <row r="4321" spans="1:10" s="2" customFormat="1">
      <c r="A4321" s="1"/>
      <c r="E4321"/>
      <c r="F4321"/>
      <c r="G4321"/>
      <c r="H4321"/>
      <c r="I4321"/>
      <c r="J4321"/>
    </row>
    <row r="4322" spans="1:10" s="2" customFormat="1">
      <c r="A4322" s="1"/>
      <c r="E4322"/>
      <c r="F4322"/>
      <c r="G4322"/>
      <c r="H4322"/>
      <c r="I4322"/>
      <c r="J4322"/>
    </row>
    <row r="4323" spans="1:10" s="2" customFormat="1">
      <c r="A4323" s="1"/>
      <c r="E4323"/>
      <c r="F4323"/>
      <c r="G4323"/>
      <c r="H4323"/>
      <c r="I4323"/>
      <c r="J4323"/>
    </row>
    <row r="4324" spans="1:10" s="2" customFormat="1">
      <c r="A4324" s="1"/>
      <c r="E4324"/>
      <c r="F4324"/>
      <c r="G4324"/>
      <c r="H4324"/>
      <c r="I4324"/>
      <c r="J4324"/>
    </row>
    <row r="4325" spans="1:10" s="2" customFormat="1">
      <c r="A4325" s="1"/>
      <c r="E4325"/>
      <c r="F4325"/>
      <c r="G4325"/>
      <c r="H4325"/>
      <c r="I4325"/>
      <c r="J4325"/>
    </row>
    <row r="4326" spans="1:10" s="2" customFormat="1">
      <c r="A4326" s="1"/>
      <c r="E4326"/>
      <c r="F4326"/>
      <c r="G4326"/>
      <c r="H4326"/>
      <c r="I4326"/>
      <c r="J4326"/>
    </row>
    <row r="4327" spans="1:10" s="2" customFormat="1">
      <c r="A4327" s="1"/>
      <c r="E4327"/>
      <c r="F4327"/>
      <c r="G4327"/>
      <c r="H4327"/>
      <c r="I4327"/>
      <c r="J4327"/>
    </row>
    <row r="4328" spans="1:10" s="2" customFormat="1">
      <c r="A4328" s="1"/>
      <c r="E4328"/>
      <c r="F4328"/>
      <c r="G4328"/>
      <c r="H4328"/>
      <c r="I4328"/>
      <c r="J4328"/>
    </row>
    <row r="4329" spans="1:10" s="2" customFormat="1">
      <c r="A4329" s="1"/>
      <c r="E4329"/>
      <c r="F4329"/>
      <c r="G4329"/>
      <c r="H4329"/>
      <c r="I4329"/>
      <c r="J4329"/>
    </row>
    <row r="4330" spans="1:10" s="2" customFormat="1">
      <c r="A4330" s="1"/>
      <c r="E4330"/>
      <c r="F4330"/>
      <c r="G4330"/>
      <c r="H4330"/>
      <c r="I4330"/>
      <c r="J4330"/>
    </row>
    <row r="4331" spans="1:10" s="2" customFormat="1">
      <c r="A4331" s="1"/>
      <c r="E4331"/>
      <c r="F4331"/>
      <c r="G4331"/>
      <c r="H4331"/>
      <c r="I4331"/>
      <c r="J4331"/>
    </row>
    <row r="4332" spans="1:10" s="2" customFormat="1">
      <c r="A4332" s="1"/>
      <c r="E4332"/>
      <c r="F4332"/>
      <c r="G4332"/>
      <c r="H4332"/>
      <c r="I4332"/>
      <c r="J4332"/>
    </row>
    <row r="4333" spans="1:10" s="2" customFormat="1">
      <c r="A4333" s="1"/>
      <c r="E4333"/>
      <c r="F4333"/>
      <c r="G4333"/>
      <c r="H4333"/>
      <c r="I4333"/>
      <c r="J4333"/>
    </row>
    <row r="4334" spans="1:10" s="2" customFormat="1">
      <c r="A4334" s="1"/>
      <c r="E4334"/>
      <c r="F4334"/>
      <c r="G4334"/>
      <c r="H4334"/>
      <c r="I4334"/>
      <c r="J4334"/>
    </row>
    <row r="4335" spans="1:10" s="2" customFormat="1">
      <c r="A4335" s="1"/>
      <c r="E4335"/>
      <c r="F4335"/>
      <c r="G4335"/>
      <c r="H4335"/>
      <c r="I4335"/>
      <c r="J4335"/>
    </row>
    <row r="4336" spans="1:10" s="2" customFormat="1">
      <c r="A4336" s="1"/>
      <c r="E4336"/>
      <c r="F4336"/>
      <c r="G4336"/>
      <c r="H4336"/>
      <c r="I4336"/>
      <c r="J4336"/>
    </row>
    <row r="4337" spans="1:10" s="2" customFormat="1">
      <c r="A4337" s="1"/>
      <c r="E4337"/>
      <c r="F4337"/>
      <c r="G4337"/>
      <c r="H4337"/>
      <c r="I4337"/>
      <c r="J4337"/>
    </row>
    <row r="4338" spans="1:10" s="2" customFormat="1">
      <c r="A4338" s="1"/>
      <c r="E4338"/>
      <c r="F4338"/>
      <c r="G4338"/>
      <c r="H4338"/>
      <c r="I4338"/>
      <c r="J4338"/>
    </row>
    <row r="4339" spans="1:10" s="2" customFormat="1">
      <c r="A4339" s="1"/>
      <c r="E4339"/>
      <c r="F4339"/>
      <c r="G4339"/>
      <c r="H4339"/>
      <c r="I4339"/>
      <c r="J4339"/>
    </row>
    <row r="4340" spans="1:10" s="2" customFormat="1">
      <c r="A4340" s="1"/>
      <c r="E4340"/>
      <c r="F4340"/>
      <c r="G4340"/>
      <c r="H4340"/>
      <c r="I4340"/>
      <c r="J4340"/>
    </row>
    <row r="4341" spans="1:10" s="2" customFormat="1">
      <c r="A4341" s="1"/>
      <c r="E4341"/>
      <c r="F4341"/>
      <c r="G4341"/>
      <c r="H4341"/>
      <c r="I4341"/>
      <c r="J4341"/>
    </row>
    <row r="4342" spans="1:10" s="2" customFormat="1">
      <c r="A4342" s="1"/>
      <c r="E4342"/>
      <c r="F4342"/>
      <c r="G4342"/>
      <c r="H4342"/>
      <c r="I4342"/>
      <c r="J4342"/>
    </row>
    <row r="4343" spans="1:10" s="2" customFormat="1">
      <c r="A4343" s="1"/>
      <c r="E4343"/>
      <c r="F4343"/>
      <c r="G4343"/>
      <c r="H4343"/>
      <c r="I4343"/>
      <c r="J4343"/>
    </row>
    <row r="4344" spans="1:10" s="2" customFormat="1">
      <c r="A4344" s="1"/>
      <c r="E4344"/>
      <c r="F4344"/>
      <c r="G4344"/>
      <c r="H4344"/>
      <c r="I4344"/>
      <c r="J4344"/>
    </row>
    <row r="4345" spans="1:10" s="2" customFormat="1">
      <c r="A4345" s="1"/>
      <c r="E4345"/>
      <c r="F4345"/>
      <c r="G4345"/>
      <c r="H4345"/>
      <c r="I4345"/>
      <c r="J4345"/>
    </row>
    <row r="4346" spans="1:10" s="2" customFormat="1">
      <c r="A4346" s="1"/>
      <c r="E4346"/>
      <c r="F4346"/>
      <c r="G4346"/>
      <c r="H4346"/>
      <c r="I4346"/>
      <c r="J4346"/>
    </row>
    <row r="4347" spans="1:10" s="2" customFormat="1">
      <c r="A4347" s="1"/>
      <c r="E4347"/>
      <c r="F4347"/>
      <c r="G4347"/>
      <c r="H4347"/>
      <c r="I4347"/>
      <c r="J4347"/>
    </row>
    <row r="4348" spans="1:10" s="2" customFormat="1">
      <c r="A4348" s="1"/>
      <c r="E4348"/>
      <c r="F4348"/>
      <c r="G4348"/>
      <c r="H4348"/>
      <c r="I4348"/>
      <c r="J4348"/>
    </row>
    <row r="4349" spans="1:10" s="2" customFormat="1">
      <c r="A4349" s="1"/>
      <c r="E4349"/>
      <c r="F4349"/>
      <c r="G4349"/>
      <c r="H4349"/>
      <c r="I4349"/>
      <c r="J4349"/>
    </row>
    <row r="4350" spans="1:10" s="2" customFormat="1">
      <c r="A4350" s="1"/>
      <c r="E4350"/>
      <c r="F4350"/>
      <c r="G4350"/>
      <c r="H4350"/>
      <c r="I4350"/>
      <c r="J4350"/>
    </row>
    <row r="4351" spans="1:10" s="2" customFormat="1">
      <c r="A4351" s="1"/>
      <c r="E4351"/>
      <c r="F4351"/>
      <c r="G4351"/>
      <c r="H4351"/>
      <c r="I4351"/>
      <c r="J4351"/>
    </row>
    <row r="4352" spans="1:10" s="2" customFormat="1">
      <c r="A4352" s="1"/>
      <c r="E4352"/>
      <c r="F4352"/>
      <c r="G4352"/>
      <c r="H4352"/>
      <c r="I4352"/>
      <c r="J4352"/>
    </row>
    <row r="4353" spans="1:10" s="2" customFormat="1">
      <c r="A4353" s="1"/>
      <c r="E4353"/>
      <c r="F4353"/>
      <c r="G4353"/>
      <c r="H4353"/>
      <c r="I4353"/>
      <c r="J4353"/>
    </row>
    <row r="4354" spans="1:10" s="2" customFormat="1">
      <c r="A4354" s="1"/>
      <c r="E4354"/>
      <c r="F4354"/>
      <c r="G4354"/>
      <c r="H4354"/>
      <c r="I4354"/>
      <c r="J4354"/>
    </row>
    <row r="4355" spans="1:10" s="2" customFormat="1">
      <c r="A4355" s="1"/>
      <c r="E4355"/>
      <c r="F4355"/>
      <c r="G4355"/>
      <c r="H4355"/>
      <c r="I4355"/>
      <c r="J4355"/>
    </row>
    <row r="4356" spans="1:10" s="2" customFormat="1">
      <c r="A4356" s="1"/>
      <c r="E4356"/>
      <c r="F4356"/>
      <c r="G4356"/>
      <c r="H4356"/>
      <c r="I4356"/>
      <c r="J4356"/>
    </row>
    <row r="4357" spans="1:10" s="2" customFormat="1">
      <c r="A4357" s="1"/>
      <c r="E4357"/>
      <c r="F4357"/>
      <c r="G4357"/>
      <c r="H4357"/>
      <c r="I4357"/>
      <c r="J4357"/>
    </row>
    <row r="4358" spans="1:10" s="2" customFormat="1">
      <c r="A4358" s="1"/>
      <c r="E4358"/>
      <c r="F4358"/>
      <c r="G4358"/>
      <c r="H4358"/>
      <c r="I4358"/>
      <c r="J4358"/>
    </row>
    <row r="4359" spans="1:10" s="2" customFormat="1">
      <c r="A4359" s="1"/>
      <c r="E4359"/>
      <c r="F4359"/>
      <c r="G4359"/>
      <c r="H4359"/>
      <c r="I4359"/>
      <c r="J4359"/>
    </row>
    <row r="4360" spans="1:10" s="2" customFormat="1">
      <c r="A4360" s="1"/>
      <c r="E4360"/>
      <c r="F4360"/>
      <c r="G4360"/>
      <c r="H4360"/>
      <c r="I4360"/>
      <c r="J4360"/>
    </row>
    <row r="4361" spans="1:10" s="2" customFormat="1">
      <c r="A4361" s="1"/>
      <c r="E4361"/>
      <c r="F4361"/>
      <c r="G4361"/>
      <c r="H4361"/>
      <c r="I4361"/>
      <c r="J4361"/>
    </row>
    <row r="4362" spans="1:10" s="2" customFormat="1">
      <c r="A4362" s="1"/>
      <c r="E4362"/>
      <c r="F4362"/>
      <c r="G4362"/>
      <c r="H4362"/>
      <c r="I4362"/>
      <c r="J4362"/>
    </row>
    <row r="4363" spans="1:10" s="2" customFormat="1">
      <c r="A4363" s="1"/>
      <c r="E4363"/>
      <c r="F4363"/>
      <c r="G4363"/>
      <c r="H4363"/>
      <c r="I4363"/>
      <c r="J4363"/>
    </row>
    <row r="4364" spans="1:10" s="2" customFormat="1">
      <c r="A4364" s="1"/>
      <c r="E4364"/>
      <c r="F4364"/>
      <c r="G4364"/>
      <c r="H4364"/>
      <c r="I4364"/>
      <c r="J4364"/>
    </row>
    <row r="4365" spans="1:10" s="2" customFormat="1">
      <c r="A4365" s="1"/>
      <c r="E4365"/>
      <c r="F4365"/>
      <c r="G4365"/>
      <c r="H4365"/>
      <c r="I4365"/>
      <c r="J4365"/>
    </row>
    <row r="4366" spans="1:10" s="2" customFormat="1">
      <c r="A4366" s="1"/>
      <c r="E4366"/>
      <c r="F4366"/>
      <c r="G4366"/>
      <c r="H4366"/>
      <c r="I4366"/>
      <c r="J4366"/>
    </row>
    <row r="4367" spans="1:10" s="2" customFormat="1">
      <c r="A4367" s="1"/>
      <c r="E4367"/>
      <c r="F4367"/>
      <c r="G4367"/>
      <c r="H4367"/>
      <c r="I4367"/>
      <c r="J4367"/>
    </row>
    <row r="4368" spans="1:10" s="2" customFormat="1">
      <c r="A4368" s="1"/>
      <c r="E4368"/>
      <c r="F4368"/>
      <c r="G4368"/>
      <c r="H4368"/>
      <c r="I4368"/>
      <c r="J4368"/>
    </row>
    <row r="4369" spans="1:10" s="2" customFormat="1">
      <c r="A4369" s="1"/>
      <c r="E4369"/>
      <c r="F4369"/>
      <c r="G4369"/>
      <c r="H4369"/>
      <c r="I4369"/>
      <c r="J4369"/>
    </row>
    <row r="4370" spans="1:10" s="2" customFormat="1">
      <c r="A4370" s="1"/>
      <c r="E4370"/>
      <c r="F4370"/>
      <c r="G4370"/>
      <c r="H4370"/>
      <c r="I4370"/>
      <c r="J4370"/>
    </row>
    <row r="4371" spans="1:10" s="2" customFormat="1">
      <c r="A4371" s="1"/>
      <c r="E4371"/>
      <c r="F4371"/>
      <c r="G4371"/>
      <c r="H4371"/>
      <c r="I4371"/>
      <c r="J4371"/>
    </row>
    <row r="4372" spans="1:10" s="2" customFormat="1">
      <c r="A4372" s="1"/>
      <c r="E4372"/>
      <c r="F4372"/>
      <c r="G4372"/>
      <c r="H4372"/>
      <c r="I4372"/>
      <c r="J4372"/>
    </row>
    <row r="4373" spans="1:10" s="2" customFormat="1">
      <c r="A4373" s="1"/>
      <c r="E4373"/>
      <c r="F4373"/>
      <c r="G4373"/>
      <c r="H4373"/>
      <c r="I4373"/>
      <c r="J4373"/>
    </row>
    <row r="4374" spans="1:10" s="2" customFormat="1">
      <c r="A4374" s="1"/>
      <c r="E4374"/>
      <c r="F4374"/>
      <c r="G4374"/>
      <c r="H4374"/>
      <c r="I4374"/>
      <c r="J4374"/>
    </row>
    <row r="4375" spans="1:10" s="2" customFormat="1">
      <c r="A4375" s="1"/>
      <c r="E4375"/>
      <c r="F4375"/>
      <c r="G4375"/>
      <c r="H4375"/>
      <c r="I4375"/>
      <c r="J4375"/>
    </row>
    <row r="4376" spans="1:10" s="2" customFormat="1">
      <c r="A4376" s="1"/>
      <c r="E4376"/>
      <c r="F4376"/>
      <c r="G4376"/>
      <c r="H4376"/>
      <c r="I4376"/>
      <c r="J4376"/>
    </row>
    <row r="4377" spans="1:10" s="2" customFormat="1">
      <c r="A4377" s="1"/>
      <c r="E4377"/>
      <c r="F4377"/>
      <c r="G4377"/>
      <c r="H4377"/>
      <c r="I4377"/>
      <c r="J4377"/>
    </row>
    <row r="4378" spans="1:10" s="2" customFormat="1">
      <c r="A4378" s="1"/>
      <c r="E4378"/>
      <c r="F4378"/>
      <c r="G4378"/>
      <c r="H4378"/>
      <c r="I4378"/>
      <c r="J4378"/>
    </row>
    <row r="4379" spans="1:10" s="2" customFormat="1">
      <c r="A4379" s="1"/>
      <c r="E4379"/>
      <c r="F4379"/>
      <c r="G4379"/>
      <c r="H4379"/>
      <c r="I4379"/>
      <c r="J4379"/>
    </row>
    <row r="4380" spans="1:10" s="2" customFormat="1">
      <c r="A4380" s="1"/>
      <c r="E4380"/>
      <c r="F4380"/>
      <c r="G4380"/>
      <c r="H4380"/>
      <c r="I4380"/>
      <c r="J4380"/>
    </row>
    <row r="4381" spans="1:10" s="2" customFormat="1">
      <c r="A4381" s="1"/>
      <c r="E4381"/>
      <c r="F4381"/>
      <c r="G4381"/>
      <c r="H4381"/>
      <c r="I4381"/>
      <c r="J4381"/>
    </row>
    <row r="4382" spans="1:10" s="2" customFormat="1">
      <c r="A4382" s="1"/>
      <c r="E4382"/>
      <c r="F4382"/>
      <c r="G4382"/>
      <c r="H4382"/>
      <c r="I4382"/>
      <c r="J4382"/>
    </row>
    <row r="4383" spans="1:10" s="2" customFormat="1">
      <c r="A4383" s="1"/>
      <c r="E4383"/>
      <c r="F4383"/>
      <c r="G4383"/>
      <c r="H4383"/>
      <c r="I4383"/>
      <c r="J4383"/>
    </row>
    <row r="4384" spans="1:10" s="2" customFormat="1">
      <c r="A4384" s="1"/>
      <c r="E4384"/>
      <c r="F4384"/>
      <c r="G4384"/>
      <c r="H4384"/>
      <c r="I4384"/>
      <c r="J4384"/>
    </row>
    <row r="4385" spans="1:10" s="2" customFormat="1">
      <c r="A4385" s="1"/>
      <c r="E4385"/>
      <c r="F4385"/>
      <c r="G4385"/>
      <c r="H4385"/>
      <c r="I4385"/>
      <c r="J4385"/>
    </row>
    <row r="4386" spans="1:10" s="2" customFormat="1">
      <c r="A4386" s="1"/>
      <c r="E4386"/>
      <c r="F4386"/>
      <c r="G4386"/>
      <c r="H4386"/>
      <c r="I4386"/>
      <c r="J4386"/>
    </row>
    <row r="4387" spans="1:10" s="2" customFormat="1">
      <c r="A4387" s="1"/>
      <c r="E4387"/>
      <c r="F4387"/>
      <c r="G4387"/>
      <c r="H4387"/>
      <c r="I4387"/>
      <c r="J4387"/>
    </row>
    <row r="4388" spans="1:10" s="2" customFormat="1">
      <c r="A4388" s="1"/>
      <c r="E4388"/>
      <c r="F4388"/>
      <c r="G4388"/>
      <c r="H4388"/>
      <c r="I4388"/>
      <c r="J4388"/>
    </row>
    <row r="4389" spans="1:10" s="2" customFormat="1">
      <c r="A4389" s="1"/>
      <c r="E4389"/>
      <c r="F4389"/>
      <c r="G4389"/>
      <c r="H4389"/>
      <c r="I4389"/>
      <c r="J4389"/>
    </row>
    <row r="4390" spans="1:10" s="2" customFormat="1">
      <c r="A4390" s="1"/>
      <c r="E4390"/>
      <c r="F4390"/>
      <c r="G4390"/>
      <c r="H4390"/>
      <c r="I4390"/>
      <c r="J4390"/>
    </row>
    <row r="4391" spans="1:10" s="2" customFormat="1">
      <c r="A4391" s="1"/>
      <c r="E4391"/>
      <c r="F4391"/>
      <c r="G4391"/>
      <c r="H4391"/>
      <c r="I4391"/>
      <c r="J4391"/>
    </row>
    <row r="4392" spans="1:10" s="2" customFormat="1">
      <c r="A4392" s="1"/>
      <c r="E4392"/>
      <c r="F4392"/>
      <c r="G4392"/>
      <c r="H4392"/>
      <c r="I4392"/>
      <c r="J4392"/>
    </row>
    <row r="4393" spans="1:10" s="2" customFormat="1">
      <c r="A4393" s="1"/>
      <c r="E4393"/>
      <c r="F4393"/>
      <c r="G4393"/>
      <c r="H4393"/>
      <c r="I4393"/>
      <c r="J4393"/>
    </row>
    <row r="4394" spans="1:10" s="2" customFormat="1">
      <c r="A4394" s="1"/>
      <c r="E4394"/>
      <c r="F4394"/>
      <c r="G4394"/>
      <c r="H4394"/>
      <c r="I4394"/>
      <c r="J4394"/>
    </row>
    <row r="4395" spans="1:10" s="2" customFormat="1">
      <c r="A4395" s="1"/>
      <c r="E4395"/>
      <c r="F4395"/>
      <c r="G4395"/>
      <c r="H4395"/>
      <c r="I4395"/>
      <c r="J4395"/>
    </row>
    <row r="4396" spans="1:10" s="2" customFormat="1">
      <c r="A4396" s="1"/>
      <c r="E4396"/>
      <c r="F4396"/>
      <c r="G4396"/>
      <c r="H4396"/>
      <c r="I4396"/>
      <c r="J4396"/>
    </row>
    <row r="4397" spans="1:10" s="2" customFormat="1">
      <c r="A4397" s="1"/>
      <c r="E4397"/>
      <c r="F4397"/>
      <c r="G4397"/>
      <c r="H4397"/>
      <c r="I4397"/>
      <c r="J4397"/>
    </row>
    <row r="4398" spans="1:10" s="2" customFormat="1">
      <c r="A4398" s="1"/>
      <c r="E4398"/>
      <c r="F4398"/>
      <c r="G4398"/>
      <c r="H4398"/>
      <c r="I4398"/>
      <c r="J4398"/>
    </row>
    <row r="4399" spans="1:10" s="2" customFormat="1">
      <c r="A4399" s="1"/>
      <c r="E4399"/>
      <c r="F4399"/>
      <c r="G4399"/>
      <c r="H4399"/>
      <c r="I4399"/>
      <c r="J4399"/>
    </row>
    <row r="4400" spans="1:10" s="2" customFormat="1">
      <c r="A4400" s="1"/>
      <c r="E4400"/>
      <c r="F4400"/>
      <c r="G4400"/>
      <c r="H4400"/>
      <c r="I4400"/>
      <c r="J4400"/>
    </row>
    <row r="4401" spans="1:10" s="2" customFormat="1">
      <c r="A4401" s="1"/>
      <c r="E4401"/>
      <c r="F4401"/>
      <c r="G4401"/>
      <c r="H4401"/>
      <c r="I4401"/>
      <c r="J4401"/>
    </row>
    <row r="4402" spans="1:10" s="2" customFormat="1">
      <c r="A4402" s="1"/>
      <c r="E4402"/>
      <c r="F4402"/>
      <c r="G4402"/>
      <c r="H4402"/>
      <c r="I4402"/>
      <c r="J4402"/>
    </row>
    <row r="4403" spans="1:10" s="2" customFormat="1">
      <c r="A4403" s="1"/>
      <c r="E4403"/>
      <c r="F4403"/>
      <c r="G4403"/>
      <c r="H4403"/>
      <c r="I4403"/>
      <c r="J4403"/>
    </row>
    <row r="4404" spans="1:10" s="2" customFormat="1">
      <c r="A4404" s="1"/>
      <c r="E4404"/>
      <c r="F4404"/>
      <c r="G4404"/>
      <c r="H4404"/>
      <c r="I4404"/>
      <c r="J4404"/>
    </row>
    <row r="4405" spans="1:10" s="2" customFormat="1">
      <c r="A4405" s="1"/>
      <c r="E4405"/>
      <c r="F4405"/>
      <c r="G4405"/>
      <c r="H4405"/>
      <c r="I4405"/>
      <c r="J4405"/>
    </row>
    <row r="4406" spans="1:10" s="2" customFormat="1">
      <c r="A4406" s="1"/>
      <c r="E4406"/>
      <c r="F4406"/>
      <c r="G4406"/>
      <c r="H4406"/>
      <c r="I4406"/>
      <c r="J4406"/>
    </row>
    <row r="4407" spans="1:10" s="2" customFormat="1">
      <c r="A4407" s="1"/>
      <c r="E4407"/>
      <c r="F4407"/>
      <c r="G4407"/>
      <c r="H4407"/>
      <c r="I4407"/>
      <c r="J4407"/>
    </row>
    <row r="4408" spans="1:10" s="2" customFormat="1">
      <c r="A4408" s="1"/>
      <c r="E4408"/>
      <c r="F4408"/>
      <c r="G4408"/>
      <c r="H4408"/>
      <c r="I4408"/>
      <c r="J4408"/>
    </row>
    <row r="4409" spans="1:10" s="2" customFormat="1">
      <c r="A4409" s="1"/>
      <c r="E4409"/>
      <c r="F4409"/>
      <c r="G4409"/>
      <c r="H4409"/>
      <c r="I4409"/>
      <c r="J4409"/>
    </row>
    <row r="4410" spans="1:10" s="2" customFormat="1">
      <c r="A4410" s="1"/>
      <c r="E4410"/>
      <c r="F4410"/>
      <c r="G4410"/>
      <c r="H4410"/>
      <c r="I4410"/>
      <c r="J4410"/>
    </row>
    <row r="4411" spans="1:10" s="2" customFormat="1">
      <c r="A4411" s="1"/>
      <c r="E4411"/>
      <c r="F4411"/>
      <c r="G4411"/>
      <c r="H4411"/>
      <c r="I4411"/>
      <c r="J4411"/>
    </row>
    <row r="4412" spans="1:10" s="2" customFormat="1">
      <c r="A4412" s="1"/>
      <c r="E4412"/>
      <c r="F4412"/>
      <c r="G4412"/>
      <c r="H4412"/>
      <c r="I4412"/>
      <c r="J4412"/>
    </row>
    <row r="4413" spans="1:10" s="2" customFormat="1">
      <c r="A4413" s="1"/>
      <c r="E4413"/>
      <c r="F4413"/>
      <c r="G4413"/>
      <c r="H4413"/>
      <c r="I4413"/>
      <c r="J4413"/>
    </row>
    <row r="4414" spans="1:10" s="2" customFormat="1">
      <c r="A4414" s="1"/>
      <c r="E4414"/>
      <c r="F4414"/>
      <c r="G4414"/>
      <c r="H4414"/>
      <c r="I4414"/>
      <c r="J4414"/>
    </row>
    <row r="4415" spans="1:10" s="2" customFormat="1">
      <c r="A4415" s="1"/>
      <c r="E4415"/>
      <c r="F4415"/>
      <c r="G4415"/>
      <c r="H4415"/>
      <c r="I4415"/>
      <c r="J4415"/>
    </row>
    <row r="4416" spans="1:10" s="2" customFormat="1">
      <c r="A4416" s="1"/>
      <c r="E4416"/>
      <c r="F4416"/>
      <c r="G4416"/>
      <c r="H4416"/>
      <c r="I4416"/>
      <c r="J4416"/>
    </row>
    <row r="4417" spans="1:10" s="2" customFormat="1">
      <c r="A4417" s="1"/>
      <c r="E4417"/>
      <c r="F4417"/>
      <c r="G4417"/>
      <c r="H4417"/>
      <c r="I4417"/>
      <c r="J4417"/>
    </row>
    <row r="4418" spans="1:10" s="2" customFormat="1">
      <c r="A4418" s="1"/>
      <c r="E4418"/>
      <c r="F4418"/>
      <c r="G4418"/>
      <c r="H4418"/>
      <c r="I4418"/>
      <c r="J4418"/>
    </row>
    <row r="4419" spans="1:10" s="2" customFormat="1">
      <c r="A4419" s="1"/>
      <c r="E4419"/>
      <c r="F4419"/>
      <c r="G4419"/>
      <c r="H4419"/>
      <c r="I4419"/>
      <c r="J4419"/>
    </row>
    <row r="4420" spans="1:10" s="2" customFormat="1">
      <c r="A4420" s="1"/>
      <c r="E4420"/>
      <c r="F4420"/>
      <c r="G4420"/>
      <c r="H4420"/>
      <c r="I4420"/>
      <c r="J4420"/>
    </row>
    <row r="4421" spans="1:10" s="2" customFormat="1">
      <c r="A4421" s="1"/>
      <c r="E4421"/>
      <c r="F4421"/>
      <c r="G4421"/>
      <c r="H4421"/>
      <c r="I4421"/>
      <c r="J4421"/>
    </row>
    <row r="4422" spans="1:10" s="2" customFormat="1">
      <c r="A4422" s="1"/>
      <c r="E4422"/>
      <c r="F4422"/>
      <c r="G4422"/>
      <c r="H4422"/>
      <c r="I4422"/>
      <c r="J4422"/>
    </row>
    <row r="4423" spans="1:10" s="2" customFormat="1">
      <c r="A4423" s="1"/>
      <c r="E4423"/>
      <c r="F4423"/>
      <c r="G4423"/>
      <c r="H4423"/>
      <c r="I4423"/>
      <c r="J4423"/>
    </row>
    <row r="4424" spans="1:10" s="2" customFormat="1">
      <c r="A4424" s="1"/>
      <c r="E4424"/>
      <c r="F4424"/>
      <c r="G4424"/>
      <c r="H4424"/>
      <c r="I4424"/>
      <c r="J4424"/>
    </row>
    <row r="4425" spans="1:10" s="2" customFormat="1">
      <c r="A4425" s="1"/>
      <c r="E4425"/>
      <c r="F4425"/>
      <c r="G4425"/>
      <c r="H4425"/>
      <c r="I4425"/>
      <c r="J4425"/>
    </row>
    <row r="4426" spans="1:10" s="2" customFormat="1">
      <c r="A4426" s="1"/>
      <c r="E4426"/>
      <c r="F4426"/>
      <c r="G4426"/>
      <c r="H4426"/>
      <c r="I4426"/>
      <c r="J4426"/>
    </row>
    <row r="4427" spans="1:10" s="2" customFormat="1">
      <c r="A4427" s="1"/>
      <c r="E4427"/>
      <c r="F4427"/>
      <c r="G4427"/>
      <c r="H4427"/>
      <c r="I4427"/>
      <c r="J4427"/>
    </row>
    <row r="4428" spans="1:10" s="2" customFormat="1">
      <c r="A4428" s="1"/>
      <c r="E4428"/>
      <c r="F4428"/>
      <c r="G4428"/>
      <c r="H4428"/>
      <c r="I4428"/>
      <c r="J4428"/>
    </row>
    <row r="4429" spans="1:10" s="2" customFormat="1">
      <c r="A4429" s="1"/>
      <c r="E4429"/>
      <c r="F4429"/>
      <c r="G4429"/>
      <c r="H4429"/>
      <c r="I4429"/>
      <c r="J4429"/>
    </row>
    <row r="4430" spans="1:10" s="2" customFormat="1">
      <c r="A4430" s="1"/>
      <c r="E4430"/>
      <c r="F4430"/>
      <c r="G4430"/>
      <c r="H4430"/>
      <c r="I4430"/>
      <c r="J4430"/>
    </row>
    <row r="4431" spans="1:10" s="2" customFormat="1">
      <c r="A4431" s="1"/>
      <c r="E4431"/>
      <c r="F4431"/>
      <c r="G4431"/>
      <c r="H4431"/>
      <c r="I4431"/>
      <c r="J4431"/>
    </row>
    <row r="4432" spans="1:10" s="2" customFormat="1">
      <c r="A4432" s="1"/>
      <c r="E4432"/>
      <c r="F4432"/>
      <c r="G4432"/>
      <c r="H4432"/>
      <c r="I4432"/>
      <c r="J4432"/>
    </row>
    <row r="4433" spans="1:10" s="2" customFormat="1">
      <c r="A4433" s="1"/>
      <c r="E4433"/>
      <c r="F4433"/>
      <c r="G4433"/>
      <c r="H4433"/>
      <c r="I4433"/>
      <c r="J4433"/>
    </row>
    <row r="4434" spans="1:10" s="2" customFormat="1">
      <c r="A4434" s="1"/>
      <c r="E4434"/>
      <c r="F4434"/>
      <c r="G4434"/>
      <c r="H4434"/>
      <c r="I4434"/>
      <c r="J4434"/>
    </row>
    <row r="4435" spans="1:10" s="2" customFormat="1">
      <c r="A4435" s="1"/>
      <c r="E4435"/>
      <c r="F4435"/>
      <c r="G4435"/>
      <c r="H4435"/>
      <c r="I4435"/>
      <c r="J4435"/>
    </row>
    <row r="4436" spans="1:10" s="2" customFormat="1">
      <c r="A4436" s="1"/>
      <c r="E4436"/>
      <c r="F4436"/>
      <c r="G4436"/>
      <c r="H4436"/>
      <c r="I4436"/>
      <c r="J4436"/>
    </row>
    <row r="4437" spans="1:10" s="2" customFormat="1">
      <c r="A4437" s="1"/>
      <c r="E4437"/>
      <c r="F4437"/>
      <c r="G4437"/>
      <c r="H4437"/>
      <c r="I4437"/>
      <c r="J4437"/>
    </row>
    <row r="4438" spans="1:10" s="2" customFormat="1">
      <c r="A4438" s="1"/>
      <c r="E4438"/>
      <c r="F4438"/>
      <c r="G4438"/>
      <c r="H4438"/>
      <c r="I4438"/>
      <c r="J4438"/>
    </row>
    <row r="4439" spans="1:10" s="2" customFormat="1">
      <c r="A4439" s="1"/>
      <c r="E4439"/>
      <c r="F4439"/>
      <c r="G4439"/>
      <c r="H4439"/>
      <c r="I4439"/>
      <c r="J4439"/>
    </row>
    <row r="4440" spans="1:10" s="2" customFormat="1">
      <c r="A4440" s="1"/>
      <c r="E4440"/>
      <c r="F4440"/>
      <c r="G4440"/>
      <c r="H4440"/>
      <c r="I4440"/>
      <c r="J4440"/>
    </row>
    <row r="4441" spans="1:10" s="2" customFormat="1">
      <c r="A4441" s="1"/>
      <c r="E4441"/>
      <c r="F4441"/>
      <c r="G4441"/>
      <c r="H4441"/>
      <c r="I4441"/>
      <c r="J4441"/>
    </row>
    <row r="4442" spans="1:10" s="2" customFormat="1">
      <c r="A4442" s="1"/>
      <c r="E4442"/>
      <c r="F4442"/>
      <c r="G4442"/>
      <c r="H4442"/>
      <c r="I4442"/>
      <c r="J4442"/>
    </row>
    <row r="4443" spans="1:10" s="2" customFormat="1">
      <c r="A4443" s="1"/>
      <c r="E4443"/>
      <c r="F4443"/>
      <c r="G4443"/>
      <c r="H4443"/>
      <c r="I4443"/>
      <c r="J4443"/>
    </row>
    <row r="4444" spans="1:10" s="2" customFormat="1">
      <c r="A4444" s="1"/>
      <c r="E4444"/>
      <c r="F4444"/>
      <c r="G4444"/>
      <c r="H4444"/>
      <c r="I4444"/>
      <c r="J4444"/>
    </row>
    <row r="4445" spans="1:10" s="2" customFormat="1">
      <c r="A4445" s="1"/>
      <c r="E4445"/>
      <c r="F4445"/>
      <c r="G4445"/>
      <c r="H4445"/>
      <c r="I4445"/>
      <c r="J4445"/>
    </row>
    <row r="4446" spans="1:10" s="2" customFormat="1">
      <c r="A4446" s="1"/>
      <c r="E4446"/>
      <c r="F4446"/>
      <c r="G4446"/>
      <c r="H4446"/>
      <c r="I4446"/>
      <c r="J4446"/>
    </row>
    <row r="4447" spans="1:10" s="2" customFormat="1">
      <c r="A4447" s="1"/>
      <c r="E4447"/>
      <c r="F4447"/>
      <c r="G4447"/>
      <c r="H4447"/>
      <c r="I4447"/>
      <c r="J4447"/>
    </row>
    <row r="4448" spans="1:10" s="2" customFormat="1">
      <c r="A4448" s="1"/>
      <c r="E4448"/>
      <c r="F4448"/>
      <c r="G4448"/>
      <c r="H4448"/>
      <c r="I4448"/>
      <c r="J4448"/>
    </row>
    <row r="4449" spans="1:10" s="2" customFormat="1">
      <c r="A4449" s="1"/>
      <c r="E4449"/>
      <c r="F4449"/>
      <c r="G4449"/>
      <c r="H4449"/>
      <c r="I4449"/>
      <c r="J4449"/>
    </row>
    <row r="4450" spans="1:10" s="2" customFormat="1">
      <c r="A4450" s="1"/>
      <c r="E4450"/>
      <c r="F4450"/>
      <c r="G4450"/>
      <c r="H4450"/>
      <c r="I4450"/>
      <c r="J4450"/>
    </row>
    <row r="4451" spans="1:10" s="2" customFormat="1">
      <c r="A4451" s="1"/>
      <c r="E4451"/>
      <c r="F4451"/>
      <c r="G4451"/>
      <c r="H4451"/>
      <c r="I4451"/>
      <c r="J4451"/>
    </row>
    <row r="4452" spans="1:10" s="2" customFormat="1">
      <c r="A4452" s="1"/>
      <c r="E4452"/>
      <c r="F4452"/>
      <c r="G4452"/>
      <c r="H4452"/>
      <c r="I4452"/>
      <c r="J4452"/>
    </row>
    <row r="4453" spans="1:10" s="2" customFormat="1">
      <c r="A4453" s="1"/>
      <c r="E4453"/>
      <c r="F4453"/>
      <c r="G4453"/>
      <c r="H4453"/>
      <c r="I4453"/>
      <c r="J4453"/>
    </row>
    <row r="4454" spans="1:10" s="2" customFormat="1">
      <c r="A4454" s="1"/>
      <c r="E4454"/>
      <c r="F4454"/>
      <c r="G4454"/>
      <c r="H4454"/>
      <c r="I4454"/>
      <c r="J4454"/>
    </row>
    <row r="4455" spans="1:10" s="2" customFormat="1">
      <c r="A4455" s="1"/>
      <c r="E4455"/>
      <c r="F4455"/>
      <c r="G4455"/>
      <c r="H4455"/>
      <c r="I4455"/>
      <c r="J4455"/>
    </row>
    <row r="4456" spans="1:10" s="2" customFormat="1">
      <c r="A4456" s="1"/>
      <c r="E4456"/>
      <c r="F4456"/>
      <c r="G4456"/>
      <c r="H4456"/>
      <c r="I4456"/>
      <c r="J4456"/>
    </row>
    <row r="4457" spans="1:10" s="2" customFormat="1">
      <c r="A4457" s="1"/>
      <c r="E4457"/>
      <c r="F4457"/>
      <c r="G4457"/>
      <c r="H4457"/>
      <c r="I4457"/>
      <c r="J4457"/>
    </row>
    <row r="4458" spans="1:10" s="2" customFormat="1">
      <c r="A4458" s="1"/>
      <c r="E4458"/>
      <c r="F4458"/>
      <c r="G4458"/>
      <c r="H4458"/>
      <c r="I4458"/>
      <c r="J4458"/>
    </row>
    <row r="4459" spans="1:10" s="2" customFormat="1">
      <c r="A4459" s="1"/>
      <c r="E4459"/>
      <c r="F4459"/>
      <c r="G4459"/>
      <c r="H4459"/>
      <c r="I4459"/>
      <c r="J4459"/>
    </row>
    <row r="4460" spans="1:10" s="2" customFormat="1">
      <c r="A4460" s="1"/>
      <c r="E4460"/>
      <c r="F4460"/>
      <c r="G4460"/>
      <c r="H4460"/>
      <c r="I4460"/>
      <c r="J4460"/>
    </row>
    <row r="4461" spans="1:10" s="2" customFormat="1">
      <c r="A4461" s="1"/>
      <c r="E4461"/>
      <c r="F4461"/>
      <c r="G4461"/>
      <c r="H4461"/>
      <c r="I4461"/>
      <c r="J4461"/>
    </row>
    <row r="4462" spans="1:10" s="2" customFormat="1">
      <c r="A4462" s="1"/>
      <c r="E4462"/>
      <c r="F4462"/>
      <c r="G4462"/>
      <c r="H4462"/>
      <c r="I4462"/>
      <c r="J4462"/>
    </row>
    <row r="4463" spans="1:10" s="2" customFormat="1">
      <c r="A4463" s="1"/>
      <c r="E4463"/>
      <c r="F4463"/>
      <c r="G4463"/>
      <c r="H4463"/>
      <c r="I4463"/>
      <c r="J4463"/>
    </row>
    <row r="4464" spans="1:10" s="2" customFormat="1">
      <c r="A4464" s="1"/>
      <c r="E4464"/>
      <c r="F4464"/>
      <c r="G4464"/>
      <c r="H4464"/>
      <c r="I4464"/>
      <c r="J4464"/>
    </row>
    <row r="4465" spans="1:10" s="2" customFormat="1">
      <c r="A4465" s="1"/>
      <c r="E4465"/>
      <c r="F4465"/>
      <c r="G4465"/>
      <c r="H4465"/>
      <c r="I4465"/>
      <c r="J4465"/>
    </row>
    <row r="4466" spans="1:10" s="2" customFormat="1">
      <c r="A4466" s="1"/>
      <c r="E4466"/>
      <c r="F4466"/>
      <c r="G4466"/>
      <c r="H4466"/>
      <c r="I4466"/>
      <c r="J4466"/>
    </row>
    <row r="4467" spans="1:10" s="2" customFormat="1">
      <c r="A4467" s="1"/>
      <c r="E4467"/>
      <c r="F4467"/>
      <c r="G4467"/>
      <c r="H4467"/>
      <c r="I4467"/>
      <c r="J4467"/>
    </row>
    <row r="4468" spans="1:10" s="2" customFormat="1">
      <c r="A4468" s="1"/>
      <c r="E4468"/>
      <c r="F4468"/>
      <c r="G4468"/>
      <c r="H4468"/>
      <c r="I4468"/>
      <c r="J4468"/>
    </row>
    <row r="4469" spans="1:10" s="2" customFormat="1">
      <c r="A4469" s="1"/>
      <c r="E4469"/>
      <c r="F4469"/>
      <c r="G4469"/>
      <c r="H4469"/>
      <c r="I4469"/>
      <c r="J4469"/>
    </row>
    <row r="4470" spans="1:10" s="2" customFormat="1">
      <c r="A4470" s="1"/>
      <c r="E4470"/>
      <c r="F4470"/>
      <c r="G4470"/>
      <c r="H4470"/>
      <c r="I4470"/>
      <c r="J4470"/>
    </row>
    <row r="4471" spans="1:10" s="2" customFormat="1">
      <c r="A4471" s="1"/>
      <c r="E4471"/>
      <c r="F4471"/>
      <c r="G4471"/>
      <c r="H4471"/>
      <c r="I4471"/>
      <c r="J4471"/>
    </row>
    <row r="4472" spans="1:10" s="2" customFormat="1">
      <c r="A4472" s="1"/>
      <c r="E4472"/>
      <c r="F4472"/>
      <c r="G4472"/>
      <c r="H4472"/>
      <c r="I4472"/>
      <c r="J4472"/>
    </row>
    <row r="4473" spans="1:10" s="2" customFormat="1">
      <c r="A4473" s="1"/>
      <c r="E4473"/>
      <c r="F4473"/>
      <c r="G4473"/>
      <c r="H4473"/>
      <c r="I4473"/>
      <c r="J4473"/>
    </row>
    <row r="4474" spans="1:10" s="2" customFormat="1">
      <c r="A4474" s="1"/>
      <c r="E4474"/>
      <c r="F4474"/>
      <c r="G4474"/>
      <c r="H4474"/>
      <c r="I4474"/>
      <c r="J4474"/>
    </row>
    <row r="4475" spans="1:10" s="2" customFormat="1">
      <c r="A4475" s="1"/>
      <c r="E4475"/>
      <c r="F4475"/>
      <c r="G4475"/>
      <c r="H4475"/>
      <c r="I4475"/>
      <c r="J4475"/>
    </row>
    <row r="4476" spans="1:10" s="2" customFormat="1">
      <c r="A4476" s="1"/>
      <c r="E4476"/>
      <c r="F4476"/>
      <c r="G4476"/>
      <c r="H4476"/>
      <c r="I4476"/>
      <c r="J4476"/>
    </row>
    <row r="4477" spans="1:10" s="2" customFormat="1">
      <c r="A4477" s="1"/>
      <c r="E4477"/>
      <c r="F4477"/>
      <c r="G4477"/>
      <c r="H4477"/>
      <c r="I4477"/>
      <c r="J4477"/>
    </row>
    <row r="4478" spans="1:10" s="2" customFormat="1">
      <c r="A4478" s="1"/>
      <c r="E4478"/>
      <c r="F4478"/>
      <c r="G4478"/>
      <c r="H4478"/>
      <c r="I4478"/>
      <c r="J4478"/>
    </row>
    <row r="4479" spans="1:10" s="2" customFormat="1">
      <c r="A4479" s="1"/>
      <c r="E4479"/>
      <c r="F4479"/>
      <c r="G4479"/>
      <c r="H4479"/>
      <c r="I4479"/>
      <c r="J4479"/>
    </row>
    <row r="4480" spans="1:10" s="2" customFormat="1">
      <c r="A4480" s="1"/>
      <c r="E4480"/>
      <c r="F4480"/>
      <c r="G4480"/>
      <c r="H4480"/>
      <c r="I4480"/>
      <c r="J4480"/>
    </row>
    <row r="4481" spans="1:10" s="2" customFormat="1">
      <c r="A4481" s="1"/>
      <c r="E4481"/>
      <c r="F4481"/>
      <c r="G4481"/>
      <c r="H4481"/>
      <c r="I4481"/>
      <c r="J4481"/>
    </row>
    <row r="4482" spans="1:10" s="2" customFormat="1">
      <c r="A4482" s="1"/>
      <c r="E4482"/>
      <c r="F4482"/>
      <c r="G4482"/>
      <c r="H4482"/>
      <c r="I4482"/>
      <c r="J4482"/>
    </row>
    <row r="4483" spans="1:10" s="2" customFormat="1">
      <c r="A4483" s="1"/>
      <c r="E4483"/>
      <c r="F4483"/>
      <c r="G4483"/>
      <c r="H4483"/>
      <c r="I4483"/>
      <c r="J4483"/>
    </row>
    <row r="4484" spans="1:10" s="2" customFormat="1">
      <c r="A4484" s="1"/>
      <c r="E4484"/>
      <c r="F4484"/>
      <c r="G4484"/>
      <c r="H4484"/>
      <c r="I4484"/>
      <c r="J4484"/>
    </row>
    <row r="4485" spans="1:10" s="2" customFormat="1">
      <c r="A4485" s="1"/>
      <c r="E4485"/>
      <c r="F4485"/>
      <c r="G4485"/>
      <c r="H4485"/>
      <c r="I4485"/>
      <c r="J4485"/>
    </row>
    <row r="4486" spans="1:10" s="2" customFormat="1">
      <c r="A4486" s="1"/>
      <c r="E4486"/>
      <c r="F4486"/>
      <c r="G4486"/>
      <c r="H4486"/>
      <c r="I4486"/>
      <c r="J4486"/>
    </row>
    <row r="4487" spans="1:10" s="2" customFormat="1">
      <c r="A4487" s="1"/>
      <c r="E4487"/>
      <c r="F4487"/>
      <c r="G4487"/>
      <c r="H4487"/>
      <c r="I4487"/>
      <c r="J4487"/>
    </row>
    <row r="4488" spans="1:10" s="2" customFormat="1">
      <c r="A4488" s="1"/>
      <c r="E4488"/>
      <c r="F4488"/>
      <c r="G4488"/>
      <c r="H4488"/>
      <c r="I4488"/>
      <c r="J4488"/>
    </row>
    <row r="4489" spans="1:10" s="2" customFormat="1">
      <c r="A4489" s="1"/>
      <c r="E4489"/>
      <c r="F4489"/>
      <c r="G4489"/>
      <c r="H4489"/>
      <c r="I4489"/>
      <c r="J4489"/>
    </row>
    <row r="4490" spans="1:10" s="2" customFormat="1">
      <c r="A4490" s="1"/>
      <c r="E4490"/>
      <c r="F4490"/>
      <c r="G4490"/>
      <c r="H4490"/>
      <c r="I4490"/>
      <c r="J4490"/>
    </row>
    <row r="4491" spans="1:10" s="2" customFormat="1">
      <c r="A4491" s="1"/>
      <c r="E4491"/>
      <c r="F4491"/>
      <c r="G4491"/>
      <c r="H4491"/>
      <c r="I4491"/>
      <c r="J4491"/>
    </row>
    <row r="4492" spans="1:10" s="2" customFormat="1">
      <c r="A4492" s="1"/>
      <c r="E4492"/>
      <c r="F4492"/>
      <c r="G4492"/>
      <c r="H4492"/>
      <c r="I4492"/>
      <c r="J4492"/>
    </row>
    <row r="4493" spans="1:10" s="2" customFormat="1">
      <c r="A4493" s="1"/>
      <c r="E4493"/>
      <c r="F4493"/>
      <c r="G4493"/>
      <c r="H4493"/>
      <c r="I4493"/>
      <c r="J4493"/>
    </row>
    <row r="4494" spans="1:10" s="2" customFormat="1">
      <c r="A4494" s="1"/>
      <c r="E4494"/>
      <c r="F4494"/>
      <c r="G4494"/>
      <c r="H4494"/>
      <c r="I4494"/>
      <c r="J4494"/>
    </row>
    <row r="4495" spans="1:10" s="2" customFormat="1">
      <c r="A4495" s="1"/>
      <c r="E4495"/>
      <c r="F4495"/>
      <c r="G4495"/>
      <c r="H4495"/>
      <c r="I4495"/>
      <c r="J4495"/>
    </row>
    <row r="4496" spans="1:10" s="2" customFormat="1">
      <c r="A4496" s="1"/>
      <c r="E4496"/>
      <c r="F4496"/>
      <c r="G4496"/>
      <c r="H4496"/>
      <c r="I4496"/>
      <c r="J4496"/>
    </row>
    <row r="4497" spans="1:10" s="2" customFormat="1">
      <c r="A4497" s="1"/>
      <c r="E4497"/>
      <c r="F4497"/>
      <c r="G4497"/>
      <c r="H4497"/>
      <c r="I4497"/>
      <c r="J4497"/>
    </row>
    <row r="4498" spans="1:10" s="2" customFormat="1">
      <c r="A4498" s="1"/>
      <c r="E4498"/>
      <c r="F4498"/>
      <c r="G4498"/>
      <c r="H4498"/>
      <c r="I4498"/>
      <c r="J4498"/>
    </row>
    <row r="4499" spans="1:10" s="2" customFormat="1">
      <c r="A4499" s="1"/>
      <c r="E4499"/>
      <c r="F4499"/>
      <c r="G4499"/>
      <c r="H4499"/>
      <c r="I4499"/>
      <c r="J4499"/>
    </row>
    <row r="4500" spans="1:10" s="2" customFormat="1">
      <c r="A4500" s="1"/>
      <c r="E4500"/>
      <c r="F4500"/>
      <c r="G4500"/>
      <c r="H4500"/>
      <c r="I4500"/>
      <c r="J4500"/>
    </row>
    <row r="4501" spans="1:10" s="2" customFormat="1">
      <c r="A4501" s="1"/>
      <c r="E4501"/>
      <c r="F4501"/>
      <c r="G4501"/>
      <c r="H4501"/>
      <c r="I4501"/>
      <c r="J4501"/>
    </row>
    <row r="4502" spans="1:10" s="2" customFormat="1">
      <c r="A4502" s="1"/>
      <c r="E4502"/>
      <c r="F4502"/>
      <c r="G4502"/>
      <c r="H4502"/>
      <c r="I4502"/>
      <c r="J4502"/>
    </row>
    <row r="4503" spans="1:10" s="2" customFormat="1">
      <c r="A4503" s="1"/>
      <c r="E4503"/>
      <c r="F4503"/>
      <c r="G4503"/>
      <c r="H4503"/>
      <c r="I4503"/>
      <c r="J4503"/>
    </row>
    <row r="4504" spans="1:10" s="2" customFormat="1">
      <c r="A4504" s="1"/>
      <c r="E4504"/>
      <c r="F4504"/>
      <c r="G4504"/>
      <c r="H4504"/>
      <c r="I4504"/>
      <c r="J4504"/>
    </row>
    <row r="4505" spans="1:10" s="2" customFormat="1">
      <c r="A4505" s="1"/>
      <c r="E4505"/>
      <c r="F4505"/>
      <c r="G4505"/>
      <c r="H4505"/>
      <c r="I4505"/>
      <c r="J4505"/>
    </row>
    <row r="4506" spans="1:10" s="2" customFormat="1">
      <c r="A4506" s="1"/>
      <c r="E4506"/>
      <c r="F4506"/>
      <c r="G4506"/>
      <c r="H4506"/>
      <c r="I4506"/>
      <c r="J4506"/>
    </row>
    <row r="4507" spans="1:10" s="2" customFormat="1">
      <c r="A4507" s="1"/>
      <c r="E4507"/>
      <c r="F4507"/>
      <c r="G4507"/>
      <c r="H4507"/>
      <c r="I4507"/>
      <c r="J4507"/>
    </row>
    <row r="4508" spans="1:10" s="2" customFormat="1">
      <c r="A4508" s="1"/>
      <c r="E4508"/>
      <c r="F4508"/>
      <c r="G4508"/>
      <c r="H4508"/>
      <c r="I4508"/>
      <c r="J4508"/>
    </row>
    <row r="4509" spans="1:10" s="2" customFormat="1">
      <c r="A4509" s="1"/>
      <c r="E4509"/>
      <c r="F4509"/>
      <c r="G4509"/>
      <c r="H4509"/>
      <c r="I4509"/>
      <c r="J4509"/>
    </row>
    <row r="4510" spans="1:10" s="2" customFormat="1">
      <c r="A4510" s="1"/>
      <c r="E4510"/>
      <c r="F4510"/>
      <c r="G4510"/>
      <c r="H4510"/>
      <c r="I4510"/>
      <c r="J4510"/>
    </row>
    <row r="4511" spans="1:10" s="2" customFormat="1">
      <c r="A4511" s="1"/>
      <c r="E4511"/>
      <c r="F4511"/>
      <c r="G4511"/>
      <c r="H4511"/>
      <c r="I4511"/>
      <c r="J4511"/>
    </row>
    <row r="4512" spans="1:10" s="2" customFormat="1">
      <c r="A4512" s="1"/>
      <c r="E4512"/>
      <c r="F4512"/>
      <c r="G4512"/>
      <c r="H4512"/>
      <c r="I4512"/>
      <c r="J4512"/>
    </row>
    <row r="4513" spans="1:10" s="2" customFormat="1">
      <c r="A4513" s="1"/>
      <c r="E4513"/>
      <c r="F4513"/>
      <c r="G4513"/>
      <c r="H4513"/>
      <c r="I4513"/>
      <c r="J4513"/>
    </row>
    <row r="4514" spans="1:10" s="2" customFormat="1">
      <c r="A4514" s="1"/>
      <c r="E4514"/>
      <c r="F4514"/>
      <c r="G4514"/>
      <c r="H4514"/>
      <c r="I4514"/>
      <c r="J4514"/>
    </row>
    <row r="4515" spans="1:10" s="2" customFormat="1">
      <c r="A4515" s="1"/>
      <c r="E4515"/>
      <c r="F4515"/>
      <c r="G4515"/>
      <c r="H4515"/>
      <c r="I4515"/>
      <c r="J4515"/>
    </row>
    <row r="4516" spans="1:10" s="2" customFormat="1">
      <c r="A4516" s="1"/>
      <c r="E4516"/>
      <c r="F4516"/>
      <c r="G4516"/>
      <c r="H4516"/>
      <c r="I4516"/>
      <c r="J4516"/>
    </row>
    <row r="4517" spans="1:10" s="2" customFormat="1">
      <c r="A4517" s="1"/>
      <c r="E4517"/>
      <c r="F4517"/>
      <c r="G4517"/>
      <c r="H4517"/>
      <c r="I4517"/>
      <c r="J4517"/>
    </row>
    <row r="4518" spans="1:10" s="2" customFormat="1">
      <c r="A4518" s="1"/>
      <c r="E4518"/>
      <c r="F4518"/>
      <c r="G4518"/>
      <c r="H4518"/>
      <c r="I4518"/>
      <c r="J4518"/>
    </row>
    <row r="4519" spans="1:10" s="2" customFormat="1">
      <c r="A4519" s="1"/>
      <c r="E4519"/>
      <c r="F4519"/>
      <c r="G4519"/>
      <c r="H4519"/>
      <c r="I4519"/>
      <c r="J4519"/>
    </row>
    <row r="4520" spans="1:10" s="2" customFormat="1">
      <c r="A4520" s="1"/>
      <c r="E4520"/>
      <c r="F4520"/>
      <c r="G4520"/>
      <c r="H4520"/>
      <c r="I4520"/>
      <c r="J4520"/>
    </row>
    <row r="4521" spans="1:10" s="2" customFormat="1">
      <c r="A4521" s="1"/>
      <c r="E4521"/>
      <c r="F4521"/>
      <c r="G4521"/>
      <c r="H4521"/>
      <c r="I4521"/>
      <c r="J4521"/>
    </row>
    <row r="4522" spans="1:10" s="2" customFormat="1">
      <c r="A4522" s="1"/>
      <c r="E4522"/>
      <c r="F4522"/>
      <c r="G4522"/>
      <c r="H4522"/>
      <c r="I4522"/>
      <c r="J4522"/>
    </row>
    <row r="4523" spans="1:10" s="2" customFormat="1">
      <c r="A4523" s="1"/>
      <c r="E4523"/>
      <c r="F4523"/>
      <c r="G4523"/>
      <c r="H4523"/>
      <c r="I4523"/>
      <c r="J4523"/>
    </row>
    <row r="4524" spans="1:10" s="2" customFormat="1">
      <c r="A4524" s="1"/>
      <c r="E4524"/>
      <c r="F4524"/>
      <c r="G4524"/>
      <c r="H4524"/>
      <c r="I4524"/>
      <c r="J4524"/>
    </row>
    <row r="4525" spans="1:10" s="2" customFormat="1">
      <c r="A4525" s="1"/>
      <c r="E4525"/>
      <c r="F4525"/>
      <c r="G4525"/>
      <c r="H4525"/>
      <c r="I4525"/>
      <c r="J4525"/>
    </row>
    <row r="4526" spans="1:10" s="2" customFormat="1">
      <c r="A4526" s="1"/>
      <c r="E4526"/>
      <c r="F4526"/>
      <c r="G4526"/>
      <c r="H4526"/>
      <c r="I4526"/>
      <c r="J4526"/>
    </row>
    <row r="4527" spans="1:10" s="2" customFormat="1">
      <c r="A4527" s="1"/>
      <c r="E4527"/>
      <c r="F4527"/>
      <c r="G4527"/>
      <c r="H4527"/>
      <c r="I4527"/>
      <c r="J4527"/>
    </row>
    <row r="4528" spans="1:10" s="2" customFormat="1">
      <c r="A4528" s="1"/>
      <c r="E4528"/>
      <c r="F4528"/>
      <c r="G4528"/>
      <c r="H4528"/>
      <c r="I4528"/>
      <c r="J4528"/>
    </row>
    <row r="4529" spans="1:10" s="2" customFormat="1">
      <c r="A4529" s="1"/>
      <c r="E4529"/>
      <c r="F4529"/>
      <c r="G4529"/>
      <c r="H4529"/>
      <c r="I4529"/>
      <c r="J4529"/>
    </row>
    <row r="4530" spans="1:10" s="2" customFormat="1">
      <c r="A4530" s="1"/>
      <c r="E4530"/>
      <c r="F4530"/>
      <c r="G4530"/>
      <c r="H4530"/>
      <c r="I4530"/>
      <c r="J4530"/>
    </row>
    <row r="4531" spans="1:10" s="2" customFormat="1">
      <c r="A4531" s="1"/>
      <c r="E4531"/>
      <c r="F4531"/>
      <c r="G4531"/>
      <c r="H4531"/>
      <c r="I4531"/>
      <c r="J4531"/>
    </row>
    <row r="4532" spans="1:10" s="2" customFormat="1">
      <c r="A4532" s="1"/>
      <c r="E4532"/>
      <c r="F4532"/>
      <c r="G4532"/>
      <c r="H4532"/>
      <c r="I4532"/>
      <c r="J4532"/>
    </row>
    <row r="4533" spans="1:10" s="2" customFormat="1">
      <c r="A4533" s="1"/>
      <c r="E4533"/>
      <c r="F4533"/>
      <c r="G4533"/>
      <c r="H4533"/>
      <c r="I4533"/>
      <c r="J4533"/>
    </row>
    <row r="4534" spans="1:10" s="2" customFormat="1">
      <c r="A4534" s="1"/>
      <c r="E4534"/>
      <c r="F4534"/>
      <c r="G4534"/>
      <c r="H4534"/>
      <c r="I4534"/>
      <c r="J4534"/>
    </row>
    <row r="4535" spans="1:10" s="2" customFormat="1">
      <c r="A4535" s="1"/>
      <c r="E4535"/>
      <c r="F4535"/>
      <c r="G4535"/>
      <c r="H4535"/>
      <c r="I4535"/>
      <c r="J4535"/>
    </row>
    <row r="4536" spans="1:10" s="2" customFormat="1">
      <c r="A4536" s="1"/>
      <c r="E4536"/>
      <c r="F4536"/>
      <c r="G4536"/>
      <c r="H4536"/>
      <c r="I4536"/>
      <c r="J4536"/>
    </row>
    <row r="4537" spans="1:10" s="2" customFormat="1">
      <c r="A4537" s="1"/>
      <c r="E4537"/>
      <c r="F4537"/>
      <c r="G4537"/>
      <c r="H4537"/>
      <c r="I4537"/>
      <c r="J4537"/>
    </row>
    <row r="4538" spans="1:10" s="2" customFormat="1">
      <c r="A4538" s="1"/>
      <c r="E4538"/>
      <c r="F4538"/>
      <c r="G4538"/>
      <c r="H4538"/>
      <c r="I4538"/>
      <c r="J4538"/>
    </row>
    <row r="4539" spans="1:10" s="2" customFormat="1">
      <c r="A4539" s="1"/>
      <c r="E4539"/>
      <c r="F4539"/>
      <c r="G4539"/>
      <c r="H4539"/>
      <c r="I4539"/>
      <c r="J4539"/>
    </row>
    <row r="4540" spans="1:10" s="2" customFormat="1">
      <c r="A4540" s="1"/>
      <c r="E4540"/>
      <c r="F4540"/>
      <c r="G4540"/>
      <c r="H4540"/>
      <c r="I4540"/>
      <c r="J4540"/>
    </row>
    <row r="4541" spans="1:10" s="2" customFormat="1">
      <c r="A4541" s="1"/>
      <c r="E4541"/>
      <c r="F4541"/>
      <c r="G4541"/>
      <c r="H4541"/>
      <c r="I4541"/>
      <c r="J4541"/>
    </row>
    <row r="4542" spans="1:10" s="2" customFormat="1">
      <c r="A4542" s="1"/>
      <c r="E4542"/>
      <c r="F4542"/>
      <c r="G4542"/>
      <c r="H4542"/>
      <c r="I4542"/>
      <c r="J4542"/>
    </row>
    <row r="4543" spans="1:10" s="2" customFormat="1">
      <c r="A4543" s="1"/>
      <c r="E4543"/>
      <c r="F4543"/>
      <c r="G4543"/>
      <c r="H4543"/>
      <c r="I4543"/>
      <c r="J4543"/>
    </row>
    <row r="4544" spans="1:10" s="2" customFormat="1">
      <c r="A4544" s="1"/>
      <c r="E4544"/>
      <c r="F4544"/>
      <c r="G4544"/>
      <c r="H4544"/>
      <c r="I4544"/>
      <c r="J4544"/>
    </row>
    <row r="4545" spans="1:10" s="2" customFormat="1">
      <c r="A4545" s="1"/>
      <c r="E4545"/>
      <c r="F4545"/>
      <c r="G4545"/>
      <c r="H4545"/>
      <c r="I4545"/>
      <c r="J4545"/>
    </row>
    <row r="4546" spans="1:10" s="2" customFormat="1">
      <c r="A4546" s="1"/>
      <c r="E4546"/>
      <c r="F4546"/>
      <c r="G4546"/>
      <c r="H4546"/>
      <c r="I4546"/>
      <c r="J4546"/>
    </row>
    <row r="4547" spans="1:10" s="2" customFormat="1">
      <c r="A4547" s="1"/>
      <c r="E4547"/>
      <c r="F4547"/>
      <c r="G4547"/>
      <c r="H4547"/>
      <c r="I4547"/>
      <c r="J4547"/>
    </row>
    <row r="4548" spans="1:10" s="2" customFormat="1">
      <c r="A4548" s="1"/>
      <c r="E4548"/>
      <c r="F4548"/>
      <c r="G4548"/>
      <c r="H4548"/>
      <c r="I4548"/>
      <c r="J4548"/>
    </row>
    <row r="4549" spans="1:10" s="2" customFormat="1">
      <c r="A4549" s="1"/>
      <c r="E4549"/>
      <c r="F4549"/>
      <c r="G4549"/>
      <c r="H4549"/>
      <c r="I4549"/>
      <c r="J4549"/>
    </row>
    <row r="4550" spans="1:10" s="2" customFormat="1">
      <c r="A4550" s="1"/>
      <c r="E4550"/>
      <c r="F4550"/>
      <c r="G4550"/>
      <c r="H4550"/>
      <c r="I4550"/>
      <c r="J4550"/>
    </row>
    <row r="4551" spans="1:10" s="2" customFormat="1">
      <c r="A4551" s="1"/>
      <c r="E4551"/>
      <c r="F4551"/>
      <c r="G4551"/>
      <c r="H4551"/>
      <c r="I4551"/>
      <c r="J4551"/>
    </row>
    <row r="4552" spans="1:10" s="2" customFormat="1">
      <c r="A4552" s="1"/>
      <c r="E4552"/>
      <c r="F4552"/>
      <c r="G4552"/>
      <c r="H4552"/>
      <c r="I4552"/>
      <c r="J4552"/>
    </row>
    <row r="4553" spans="1:10" s="2" customFormat="1">
      <c r="A4553" s="1"/>
      <c r="E4553"/>
      <c r="F4553"/>
      <c r="G4553"/>
      <c r="H4553"/>
      <c r="I4553"/>
      <c r="J4553"/>
    </row>
    <row r="4554" spans="1:10" s="2" customFormat="1">
      <c r="A4554" s="1"/>
      <c r="E4554"/>
      <c r="F4554"/>
      <c r="G4554"/>
      <c r="H4554"/>
      <c r="I4554"/>
      <c r="J4554"/>
    </row>
    <row r="4555" spans="1:10" s="2" customFormat="1">
      <c r="A4555" s="1"/>
      <c r="E4555"/>
      <c r="F4555"/>
      <c r="G4555"/>
      <c r="H4555"/>
      <c r="I4555"/>
      <c r="J4555"/>
    </row>
    <row r="4556" spans="1:10" s="2" customFormat="1">
      <c r="A4556" s="1"/>
      <c r="E4556"/>
      <c r="F4556"/>
      <c r="G4556"/>
      <c r="H4556"/>
      <c r="I4556"/>
      <c r="J4556"/>
    </row>
    <row r="4557" spans="1:10" s="2" customFormat="1">
      <c r="A4557" s="1"/>
      <c r="E4557"/>
      <c r="F4557"/>
      <c r="G4557"/>
      <c r="H4557"/>
      <c r="I4557"/>
      <c r="J4557"/>
    </row>
    <row r="4558" spans="1:10" s="2" customFormat="1">
      <c r="A4558" s="1"/>
      <c r="E4558"/>
      <c r="F4558"/>
      <c r="G4558"/>
      <c r="H4558"/>
      <c r="I4558"/>
      <c r="J4558"/>
    </row>
    <row r="4559" spans="1:10" s="2" customFormat="1">
      <c r="A4559" s="1"/>
      <c r="E4559"/>
      <c r="F4559"/>
      <c r="G4559"/>
      <c r="H4559"/>
      <c r="I4559"/>
      <c r="J4559"/>
    </row>
    <row r="4560" spans="1:10" s="2" customFormat="1">
      <c r="A4560" s="1"/>
      <c r="E4560"/>
      <c r="F4560"/>
      <c r="G4560"/>
      <c r="H4560"/>
      <c r="I4560"/>
      <c r="J4560"/>
    </row>
    <row r="4561" spans="1:10" s="2" customFormat="1">
      <c r="A4561" s="1"/>
      <c r="E4561"/>
      <c r="F4561"/>
      <c r="G4561"/>
      <c r="H4561"/>
      <c r="I4561"/>
      <c r="J4561"/>
    </row>
    <row r="4562" spans="1:10" s="2" customFormat="1">
      <c r="A4562" s="1"/>
      <c r="E4562"/>
      <c r="F4562"/>
      <c r="G4562"/>
      <c r="H4562"/>
      <c r="I4562"/>
      <c r="J4562"/>
    </row>
    <row r="4563" spans="1:10" s="2" customFormat="1">
      <c r="A4563" s="1"/>
      <c r="E4563"/>
      <c r="F4563"/>
      <c r="G4563"/>
      <c r="H4563"/>
      <c r="I4563"/>
      <c r="J4563"/>
    </row>
    <row r="4564" spans="1:10" s="2" customFormat="1">
      <c r="A4564" s="1"/>
      <c r="E4564"/>
      <c r="F4564"/>
      <c r="G4564"/>
      <c r="H4564"/>
      <c r="I4564"/>
      <c r="J4564"/>
    </row>
    <row r="4565" spans="1:10" s="2" customFormat="1">
      <c r="A4565" s="1"/>
      <c r="E4565"/>
      <c r="F4565"/>
      <c r="G4565"/>
      <c r="H4565"/>
      <c r="I4565"/>
      <c r="J4565"/>
    </row>
    <row r="4566" spans="1:10" s="2" customFormat="1">
      <c r="A4566" s="1"/>
      <c r="E4566"/>
      <c r="F4566"/>
      <c r="G4566"/>
      <c r="H4566"/>
      <c r="I4566"/>
      <c r="J4566"/>
    </row>
    <row r="4567" spans="1:10" s="2" customFormat="1">
      <c r="A4567" s="1"/>
      <c r="E4567"/>
      <c r="F4567"/>
      <c r="G4567"/>
      <c r="H4567"/>
      <c r="I4567"/>
      <c r="J4567"/>
    </row>
    <row r="4568" spans="1:10" s="2" customFormat="1">
      <c r="A4568" s="1"/>
      <c r="E4568"/>
      <c r="F4568"/>
      <c r="G4568"/>
      <c r="H4568"/>
      <c r="I4568"/>
      <c r="J4568"/>
    </row>
    <row r="4569" spans="1:10" s="2" customFormat="1">
      <c r="A4569" s="1"/>
      <c r="E4569"/>
      <c r="F4569"/>
      <c r="G4569"/>
      <c r="H4569"/>
      <c r="I4569"/>
      <c r="J4569"/>
    </row>
    <row r="4570" spans="1:10" s="2" customFormat="1">
      <c r="A4570" s="1"/>
      <c r="E4570"/>
      <c r="F4570"/>
      <c r="G4570"/>
      <c r="H4570"/>
      <c r="I4570"/>
      <c r="J4570"/>
    </row>
    <row r="4571" spans="1:10" s="2" customFormat="1">
      <c r="A4571" s="1"/>
      <c r="E4571"/>
      <c r="F4571"/>
      <c r="G4571"/>
      <c r="H4571"/>
      <c r="I4571"/>
      <c r="J4571"/>
    </row>
    <row r="4572" spans="1:10" s="2" customFormat="1">
      <c r="A4572" s="1"/>
      <c r="E4572"/>
      <c r="F4572"/>
      <c r="G4572"/>
      <c r="H4572"/>
      <c r="I4572"/>
      <c r="J4572"/>
    </row>
    <row r="4573" spans="1:10" s="2" customFormat="1">
      <c r="A4573" s="1"/>
      <c r="E4573"/>
      <c r="F4573"/>
      <c r="G4573"/>
      <c r="H4573"/>
      <c r="I4573"/>
      <c r="J4573"/>
    </row>
    <row r="4574" spans="1:10" s="2" customFormat="1">
      <c r="A4574" s="1"/>
      <c r="E4574"/>
      <c r="F4574"/>
      <c r="G4574"/>
      <c r="H4574"/>
      <c r="I4574"/>
      <c r="J4574"/>
    </row>
    <row r="4575" spans="1:10" s="2" customFormat="1">
      <c r="A4575" s="1"/>
      <c r="E4575"/>
      <c r="F4575"/>
      <c r="G4575"/>
      <c r="H4575"/>
      <c r="I4575"/>
      <c r="J4575"/>
    </row>
    <row r="4576" spans="1:10" s="2" customFormat="1">
      <c r="A4576" s="1"/>
      <c r="E4576"/>
      <c r="F4576"/>
      <c r="G4576"/>
      <c r="H4576"/>
      <c r="I4576"/>
      <c r="J4576"/>
    </row>
    <row r="4577" spans="1:10" s="2" customFormat="1">
      <c r="A4577" s="1"/>
      <c r="E4577"/>
      <c r="F4577"/>
      <c r="G4577"/>
      <c r="H4577"/>
      <c r="I4577"/>
      <c r="J4577"/>
    </row>
    <row r="4578" spans="1:10" s="2" customFormat="1">
      <c r="A4578" s="1"/>
      <c r="E4578"/>
      <c r="F4578"/>
      <c r="G4578"/>
      <c r="H4578"/>
      <c r="I4578"/>
      <c r="J4578"/>
    </row>
    <row r="4579" spans="1:10" s="2" customFormat="1">
      <c r="A4579" s="1"/>
      <c r="E4579"/>
      <c r="F4579"/>
      <c r="G4579"/>
      <c r="H4579"/>
      <c r="I4579"/>
      <c r="J4579"/>
    </row>
    <row r="4580" spans="1:10" s="2" customFormat="1">
      <c r="A4580" s="1"/>
      <c r="E4580"/>
      <c r="F4580"/>
      <c r="G4580"/>
      <c r="H4580"/>
      <c r="I4580"/>
      <c r="J4580"/>
    </row>
    <row r="4581" spans="1:10" s="2" customFormat="1">
      <c r="A4581" s="1"/>
      <c r="E4581"/>
      <c r="F4581"/>
      <c r="G4581"/>
      <c r="H4581"/>
      <c r="I4581"/>
      <c r="J4581"/>
    </row>
    <row r="4582" spans="1:10" s="2" customFormat="1">
      <c r="A4582" s="1"/>
      <c r="E4582"/>
      <c r="F4582"/>
      <c r="G4582"/>
      <c r="H4582"/>
      <c r="I4582"/>
      <c r="J4582"/>
    </row>
    <row r="4583" spans="1:10" s="2" customFormat="1">
      <c r="A4583" s="1"/>
      <c r="E4583"/>
      <c r="F4583"/>
      <c r="G4583"/>
      <c r="H4583"/>
      <c r="I4583"/>
      <c r="J4583"/>
    </row>
    <row r="4584" spans="1:10" s="2" customFormat="1">
      <c r="A4584" s="1"/>
      <c r="E4584"/>
      <c r="F4584"/>
      <c r="G4584"/>
      <c r="H4584"/>
      <c r="I4584"/>
      <c r="J4584"/>
    </row>
    <row r="4585" spans="1:10" s="2" customFormat="1">
      <c r="A4585" s="1"/>
      <c r="E4585"/>
      <c r="F4585"/>
      <c r="G4585"/>
      <c r="H4585"/>
      <c r="I4585"/>
      <c r="J4585"/>
    </row>
    <row r="4586" spans="1:10" s="2" customFormat="1">
      <c r="A4586" s="1"/>
      <c r="E4586"/>
      <c r="F4586"/>
      <c r="G4586"/>
      <c r="H4586"/>
      <c r="I4586"/>
      <c r="J4586"/>
    </row>
    <row r="4587" spans="1:10" s="2" customFormat="1">
      <c r="A4587" s="1"/>
      <c r="E4587"/>
      <c r="F4587"/>
      <c r="G4587"/>
      <c r="H4587"/>
      <c r="I4587"/>
      <c r="J4587"/>
    </row>
    <row r="4588" spans="1:10" s="2" customFormat="1">
      <c r="A4588" s="1"/>
      <c r="E4588"/>
      <c r="F4588"/>
      <c r="G4588"/>
      <c r="H4588"/>
      <c r="I4588"/>
      <c r="J4588"/>
    </row>
    <row r="4589" spans="1:10" s="2" customFormat="1">
      <c r="A4589" s="1"/>
      <c r="E4589"/>
      <c r="F4589"/>
      <c r="G4589"/>
      <c r="H4589"/>
      <c r="I4589"/>
      <c r="J4589"/>
    </row>
    <row r="4590" spans="1:10" s="2" customFormat="1">
      <c r="A4590" s="1"/>
      <c r="E4590"/>
      <c r="F4590"/>
      <c r="G4590"/>
      <c r="H4590"/>
      <c r="I4590"/>
      <c r="J4590"/>
    </row>
    <row r="4591" spans="1:10" s="2" customFormat="1">
      <c r="A4591" s="1"/>
      <c r="E4591"/>
      <c r="F4591"/>
      <c r="G4591"/>
      <c r="H4591"/>
      <c r="I4591"/>
      <c r="J4591"/>
    </row>
    <row r="4592" spans="1:10" s="2" customFormat="1">
      <c r="A4592" s="1"/>
      <c r="E4592"/>
      <c r="F4592"/>
      <c r="G4592"/>
      <c r="H4592"/>
      <c r="I4592"/>
      <c r="J4592"/>
    </row>
    <row r="4593" spans="1:10" s="2" customFormat="1">
      <c r="A4593" s="1"/>
      <c r="E4593"/>
      <c r="F4593"/>
      <c r="G4593"/>
      <c r="H4593"/>
      <c r="I4593"/>
      <c r="J4593"/>
    </row>
    <row r="4594" spans="1:10" s="2" customFormat="1">
      <c r="A4594" s="1"/>
      <c r="E4594"/>
      <c r="F4594"/>
      <c r="G4594"/>
      <c r="H4594"/>
      <c r="I4594"/>
      <c r="J4594"/>
    </row>
    <row r="4595" spans="1:10" s="2" customFormat="1">
      <c r="A4595" s="1"/>
      <c r="E4595"/>
      <c r="F4595"/>
      <c r="G4595"/>
      <c r="H4595"/>
      <c r="I4595"/>
      <c r="J4595"/>
    </row>
    <row r="4596" spans="1:10" s="2" customFormat="1">
      <c r="A4596" s="1"/>
      <c r="E4596"/>
      <c r="F4596"/>
      <c r="G4596"/>
      <c r="H4596"/>
      <c r="I4596"/>
      <c r="J4596"/>
    </row>
    <row r="4597" spans="1:10" s="2" customFormat="1">
      <c r="A4597" s="1"/>
      <c r="E4597"/>
      <c r="F4597"/>
      <c r="G4597"/>
      <c r="H4597"/>
      <c r="I4597"/>
      <c r="J4597"/>
    </row>
    <row r="4598" spans="1:10" s="2" customFormat="1">
      <c r="A4598" s="1"/>
      <c r="E4598"/>
      <c r="F4598"/>
      <c r="G4598"/>
      <c r="H4598"/>
      <c r="I4598"/>
      <c r="J4598"/>
    </row>
    <row r="4599" spans="1:10" s="2" customFormat="1">
      <c r="A4599" s="1"/>
      <c r="E4599"/>
      <c r="F4599"/>
      <c r="G4599"/>
      <c r="H4599"/>
      <c r="I4599"/>
      <c r="J4599"/>
    </row>
    <row r="4600" spans="1:10" s="2" customFormat="1">
      <c r="A4600" s="1"/>
      <c r="E4600"/>
      <c r="F4600"/>
      <c r="G4600"/>
      <c r="H4600"/>
      <c r="I4600"/>
      <c r="J4600"/>
    </row>
    <row r="4601" spans="1:10" s="2" customFormat="1">
      <c r="A4601" s="1"/>
      <c r="E4601"/>
      <c r="F4601"/>
      <c r="G4601"/>
      <c r="H4601"/>
      <c r="I4601"/>
      <c r="J4601"/>
    </row>
    <row r="4602" spans="1:10" s="2" customFormat="1">
      <c r="A4602" s="1"/>
      <c r="E4602"/>
      <c r="F4602"/>
      <c r="G4602"/>
      <c r="H4602"/>
      <c r="I4602"/>
      <c r="J4602"/>
    </row>
    <row r="4603" spans="1:10" s="2" customFormat="1">
      <c r="A4603" s="1"/>
      <c r="E4603"/>
      <c r="F4603"/>
      <c r="G4603"/>
      <c r="H4603"/>
      <c r="I4603"/>
      <c r="J4603"/>
    </row>
    <row r="4604" spans="1:10" s="2" customFormat="1">
      <c r="A4604" s="1"/>
      <c r="E4604"/>
      <c r="F4604"/>
      <c r="G4604"/>
      <c r="H4604"/>
      <c r="I4604"/>
      <c r="J4604"/>
    </row>
    <row r="4605" spans="1:10" s="2" customFormat="1">
      <c r="A4605" s="1"/>
      <c r="E4605"/>
      <c r="F4605"/>
      <c r="G4605"/>
      <c r="H4605"/>
      <c r="I4605"/>
      <c r="J4605"/>
    </row>
    <row r="4606" spans="1:10" s="2" customFormat="1">
      <c r="A4606" s="1"/>
      <c r="E4606"/>
      <c r="F4606"/>
      <c r="G4606"/>
      <c r="H4606"/>
      <c r="I4606"/>
      <c r="J4606"/>
    </row>
    <row r="4607" spans="1:10" s="2" customFormat="1">
      <c r="A4607" s="1"/>
      <c r="E4607"/>
      <c r="F4607"/>
      <c r="G4607"/>
      <c r="H4607"/>
      <c r="I4607"/>
      <c r="J4607"/>
    </row>
    <row r="4608" spans="1:10" s="2" customFormat="1">
      <c r="A4608" s="1"/>
      <c r="E4608"/>
      <c r="F4608"/>
      <c r="G4608"/>
      <c r="H4608"/>
      <c r="I4608"/>
      <c r="J4608"/>
    </row>
    <row r="4609" spans="1:10" s="2" customFormat="1">
      <c r="A4609" s="1"/>
      <c r="E4609"/>
      <c r="F4609"/>
      <c r="G4609"/>
      <c r="H4609"/>
      <c r="I4609"/>
      <c r="J4609"/>
    </row>
    <row r="4610" spans="1:10" s="2" customFormat="1">
      <c r="A4610" s="1"/>
      <c r="E4610"/>
      <c r="F4610"/>
      <c r="G4610"/>
      <c r="H4610"/>
      <c r="I4610"/>
      <c r="J4610"/>
    </row>
    <row r="4611" spans="1:10" s="2" customFormat="1">
      <c r="A4611" s="1"/>
      <c r="E4611"/>
      <c r="F4611"/>
      <c r="G4611"/>
      <c r="H4611"/>
      <c r="I4611"/>
      <c r="J4611"/>
    </row>
    <row r="4612" spans="1:10" s="2" customFormat="1">
      <c r="A4612" s="1"/>
      <c r="E4612"/>
      <c r="F4612"/>
      <c r="G4612"/>
      <c r="H4612"/>
      <c r="I4612"/>
      <c r="J4612"/>
    </row>
    <row r="4613" spans="1:10" s="2" customFormat="1">
      <c r="A4613" s="1"/>
      <c r="E4613"/>
      <c r="F4613"/>
      <c r="G4613"/>
      <c r="H4613"/>
      <c r="I4613"/>
      <c r="J4613"/>
    </row>
    <row r="4614" spans="1:10" s="2" customFormat="1">
      <c r="A4614" s="1"/>
      <c r="E4614"/>
      <c r="F4614"/>
      <c r="G4614"/>
      <c r="H4614"/>
      <c r="I4614"/>
      <c r="J4614"/>
    </row>
    <row r="4615" spans="1:10" s="2" customFormat="1">
      <c r="A4615" s="1"/>
      <c r="E4615"/>
      <c r="F4615"/>
      <c r="G4615"/>
      <c r="H4615"/>
      <c r="I4615"/>
      <c r="J4615"/>
    </row>
    <row r="4616" spans="1:10" s="2" customFormat="1">
      <c r="A4616" s="1"/>
      <c r="E4616"/>
      <c r="F4616"/>
      <c r="G4616"/>
      <c r="H4616"/>
      <c r="I4616"/>
      <c r="J4616"/>
    </row>
    <row r="4617" spans="1:10" s="2" customFormat="1">
      <c r="A4617" s="1"/>
      <c r="E4617"/>
      <c r="F4617"/>
      <c r="G4617"/>
      <c r="H4617"/>
      <c r="I4617"/>
      <c r="J4617"/>
    </row>
    <row r="4618" spans="1:10" s="2" customFormat="1">
      <c r="A4618" s="1"/>
      <c r="E4618"/>
      <c r="F4618"/>
      <c r="G4618"/>
      <c r="H4618"/>
      <c r="I4618"/>
      <c r="J4618"/>
    </row>
    <row r="4619" spans="1:10" s="2" customFormat="1">
      <c r="A4619" s="1"/>
      <c r="E4619"/>
      <c r="F4619"/>
      <c r="G4619"/>
      <c r="H4619"/>
      <c r="I4619"/>
      <c r="J4619"/>
    </row>
    <row r="4620" spans="1:10" s="2" customFormat="1">
      <c r="A4620" s="1"/>
      <c r="E4620"/>
      <c r="F4620"/>
      <c r="G4620"/>
      <c r="H4620"/>
      <c r="I4620"/>
      <c r="J4620"/>
    </row>
    <row r="4621" spans="1:10" s="2" customFormat="1">
      <c r="A4621" s="1"/>
      <c r="E4621"/>
      <c r="F4621"/>
      <c r="G4621"/>
      <c r="H4621"/>
      <c r="I4621"/>
      <c r="J4621"/>
    </row>
    <row r="4622" spans="1:10" s="2" customFormat="1">
      <c r="A4622" s="1"/>
      <c r="E4622"/>
      <c r="F4622"/>
      <c r="G4622"/>
      <c r="H4622"/>
      <c r="I4622"/>
      <c r="J4622"/>
    </row>
    <row r="4623" spans="1:10" s="2" customFormat="1">
      <c r="A4623" s="1"/>
      <c r="E4623"/>
      <c r="F4623"/>
      <c r="G4623"/>
      <c r="H4623"/>
      <c r="I4623"/>
      <c r="J4623"/>
    </row>
    <row r="4624" spans="1:10" s="2" customFormat="1">
      <c r="A4624" s="1"/>
      <c r="E4624"/>
      <c r="F4624"/>
      <c r="G4624"/>
      <c r="H4624"/>
      <c r="I4624"/>
      <c r="J4624"/>
    </row>
    <row r="4625" spans="1:10" s="2" customFormat="1">
      <c r="A4625" s="1"/>
      <c r="E4625"/>
      <c r="F4625"/>
      <c r="G4625"/>
      <c r="H4625"/>
      <c r="I4625"/>
      <c r="J4625"/>
    </row>
    <row r="4626" spans="1:10" s="2" customFormat="1">
      <c r="A4626" s="1"/>
      <c r="E4626"/>
      <c r="F4626"/>
      <c r="G4626"/>
      <c r="H4626"/>
      <c r="I4626"/>
      <c r="J4626"/>
    </row>
    <row r="4627" spans="1:10" s="2" customFormat="1">
      <c r="A4627" s="1"/>
      <c r="E4627"/>
      <c r="F4627"/>
      <c r="G4627"/>
      <c r="H4627"/>
      <c r="I4627"/>
      <c r="J4627"/>
    </row>
    <row r="4628" spans="1:10" s="2" customFormat="1">
      <c r="A4628" s="1"/>
      <c r="E4628"/>
      <c r="F4628"/>
      <c r="G4628"/>
      <c r="H4628"/>
      <c r="I4628"/>
      <c r="J4628"/>
    </row>
    <row r="4629" spans="1:10" s="2" customFormat="1">
      <c r="A4629" s="1"/>
      <c r="E4629"/>
      <c r="F4629"/>
      <c r="G4629"/>
      <c r="H4629"/>
      <c r="I4629"/>
      <c r="J4629"/>
    </row>
    <row r="4630" spans="1:10" s="2" customFormat="1">
      <c r="A4630" s="1"/>
      <c r="E4630"/>
      <c r="F4630"/>
      <c r="G4630"/>
      <c r="H4630"/>
      <c r="I4630"/>
      <c r="J4630"/>
    </row>
    <row r="4631" spans="1:10" s="2" customFormat="1">
      <c r="A4631" s="1"/>
      <c r="E4631"/>
      <c r="F4631"/>
      <c r="G4631"/>
      <c r="H4631"/>
      <c r="I4631"/>
      <c r="J4631"/>
    </row>
    <row r="4632" spans="1:10" s="2" customFormat="1">
      <c r="A4632" s="1"/>
      <c r="E4632"/>
      <c r="F4632"/>
      <c r="G4632"/>
      <c r="H4632"/>
      <c r="I4632"/>
      <c r="J4632"/>
    </row>
    <row r="4633" spans="1:10" s="2" customFormat="1">
      <c r="A4633" s="1"/>
      <c r="E4633"/>
      <c r="F4633"/>
      <c r="G4633"/>
      <c r="H4633"/>
      <c r="I4633"/>
      <c r="J4633"/>
    </row>
    <row r="4634" spans="1:10" s="2" customFormat="1">
      <c r="A4634" s="1"/>
      <c r="E4634"/>
      <c r="F4634"/>
      <c r="G4634"/>
      <c r="H4634"/>
      <c r="I4634"/>
      <c r="J4634"/>
    </row>
    <row r="4635" spans="1:10" s="2" customFormat="1">
      <c r="A4635" s="1"/>
      <c r="E4635"/>
      <c r="F4635"/>
      <c r="G4635"/>
      <c r="H4635"/>
      <c r="I4635"/>
      <c r="J4635"/>
    </row>
    <row r="4636" spans="1:10" s="2" customFormat="1">
      <c r="A4636" s="1"/>
      <c r="E4636"/>
      <c r="F4636"/>
      <c r="G4636"/>
      <c r="H4636"/>
      <c r="I4636"/>
      <c r="J4636"/>
    </row>
    <row r="4637" spans="1:10" s="2" customFormat="1">
      <c r="A4637" s="1"/>
      <c r="E4637"/>
      <c r="F4637"/>
      <c r="G4637"/>
      <c r="H4637"/>
      <c r="I4637"/>
      <c r="J4637"/>
    </row>
    <row r="4638" spans="1:10" s="2" customFormat="1">
      <c r="A4638" s="1"/>
      <c r="E4638"/>
      <c r="F4638"/>
      <c r="G4638"/>
      <c r="H4638"/>
      <c r="I4638"/>
      <c r="J4638"/>
    </row>
    <row r="4639" spans="1:10" s="2" customFormat="1">
      <c r="A4639" s="1"/>
      <c r="E4639"/>
      <c r="F4639"/>
      <c r="G4639"/>
      <c r="H4639"/>
      <c r="I4639"/>
      <c r="J4639"/>
    </row>
    <row r="4640" spans="1:10" s="2" customFormat="1">
      <c r="A4640" s="1"/>
      <c r="E4640"/>
      <c r="F4640"/>
      <c r="G4640"/>
      <c r="H4640"/>
      <c r="I4640"/>
      <c r="J4640"/>
    </row>
    <row r="4641" spans="1:10" s="2" customFormat="1">
      <c r="A4641" s="1"/>
      <c r="E4641"/>
      <c r="F4641"/>
      <c r="G4641"/>
      <c r="H4641"/>
      <c r="I4641"/>
      <c r="J4641"/>
    </row>
    <row r="4642" spans="1:10" s="2" customFormat="1">
      <c r="A4642" s="1"/>
      <c r="E4642"/>
      <c r="F4642"/>
      <c r="G4642"/>
      <c r="H4642"/>
      <c r="I4642"/>
      <c r="J4642"/>
    </row>
    <row r="4643" spans="1:10" s="2" customFormat="1">
      <c r="A4643" s="1"/>
      <c r="E4643"/>
      <c r="F4643"/>
      <c r="G4643"/>
      <c r="H4643"/>
      <c r="I4643"/>
      <c r="J4643"/>
    </row>
    <row r="4644" spans="1:10" s="2" customFormat="1">
      <c r="A4644" s="1"/>
      <c r="E4644"/>
      <c r="F4644"/>
      <c r="G4644"/>
      <c r="H4644"/>
      <c r="I4644"/>
      <c r="J4644"/>
    </row>
    <row r="4645" spans="1:10" s="2" customFormat="1">
      <c r="A4645" s="1"/>
      <c r="E4645"/>
      <c r="F4645"/>
      <c r="G4645"/>
      <c r="H4645"/>
      <c r="I4645"/>
      <c r="J4645"/>
    </row>
    <row r="4646" spans="1:10" s="2" customFormat="1">
      <c r="A4646" s="1"/>
      <c r="E4646"/>
      <c r="F4646"/>
      <c r="G4646"/>
      <c r="H4646"/>
      <c r="I4646"/>
      <c r="J4646"/>
    </row>
    <row r="4647" spans="1:10" s="2" customFormat="1">
      <c r="A4647" s="1"/>
      <c r="E4647"/>
      <c r="F4647"/>
      <c r="G4647"/>
      <c r="H4647"/>
      <c r="I4647"/>
      <c r="J4647"/>
    </row>
    <row r="4648" spans="1:10" s="2" customFormat="1">
      <c r="A4648" s="1"/>
      <c r="E4648"/>
      <c r="F4648"/>
      <c r="G4648"/>
      <c r="H4648"/>
      <c r="I4648"/>
      <c r="J4648"/>
    </row>
    <row r="4649" spans="1:10" s="2" customFormat="1">
      <c r="A4649" s="1"/>
      <c r="E4649"/>
      <c r="F4649"/>
      <c r="G4649"/>
      <c r="H4649"/>
      <c r="I4649"/>
      <c r="J4649"/>
    </row>
    <row r="4650" spans="1:10" s="2" customFormat="1">
      <c r="A4650" s="1"/>
      <c r="E4650"/>
      <c r="F4650"/>
      <c r="G4650"/>
      <c r="H4650"/>
      <c r="I4650"/>
      <c r="J4650"/>
    </row>
    <row r="4651" spans="1:10" s="2" customFormat="1">
      <c r="A4651" s="1"/>
      <c r="E4651"/>
      <c r="F4651"/>
      <c r="G4651"/>
      <c r="H4651"/>
      <c r="I4651"/>
      <c r="J4651"/>
    </row>
    <row r="4652" spans="1:10" s="2" customFormat="1">
      <c r="A4652" s="1"/>
      <c r="E4652"/>
      <c r="F4652"/>
      <c r="G4652"/>
      <c r="H4652"/>
      <c r="I4652"/>
      <c r="J4652"/>
    </row>
    <row r="4653" spans="1:10" s="2" customFormat="1">
      <c r="A4653" s="1"/>
      <c r="E4653"/>
      <c r="F4653"/>
      <c r="G4653"/>
      <c r="H4653"/>
      <c r="I4653"/>
      <c r="J4653"/>
    </row>
    <row r="4654" spans="1:10" s="2" customFormat="1">
      <c r="A4654" s="1"/>
      <c r="E4654"/>
      <c r="F4654"/>
      <c r="G4654"/>
      <c r="H4654"/>
      <c r="I4654"/>
      <c r="J4654"/>
    </row>
    <row r="4655" spans="1:10" s="2" customFormat="1">
      <c r="A4655" s="1"/>
      <c r="E4655"/>
      <c r="F4655"/>
      <c r="G4655"/>
      <c r="H4655"/>
      <c r="I4655"/>
      <c r="J4655"/>
    </row>
    <row r="4656" spans="1:10" s="2" customFormat="1">
      <c r="A4656" s="1"/>
      <c r="E4656"/>
      <c r="F4656"/>
      <c r="G4656"/>
      <c r="H4656"/>
      <c r="I4656"/>
      <c r="J4656"/>
    </row>
    <row r="4657" spans="1:10" s="2" customFormat="1">
      <c r="A4657" s="1"/>
      <c r="E4657"/>
      <c r="F4657"/>
      <c r="G4657"/>
      <c r="H4657"/>
      <c r="I4657"/>
      <c r="J4657"/>
    </row>
    <row r="4658" spans="1:10" s="2" customFormat="1">
      <c r="A4658" s="1"/>
      <c r="E4658"/>
      <c r="F4658"/>
      <c r="G4658"/>
      <c r="H4658"/>
      <c r="I4658"/>
      <c r="J4658"/>
    </row>
    <row r="4659" spans="1:10" s="2" customFormat="1">
      <c r="A4659" s="1"/>
      <c r="E4659"/>
      <c r="F4659"/>
      <c r="G4659"/>
      <c r="H4659"/>
      <c r="I4659"/>
      <c r="J4659"/>
    </row>
    <row r="4660" spans="1:10" s="2" customFormat="1">
      <c r="A4660" s="1"/>
      <c r="E4660"/>
      <c r="F4660"/>
      <c r="G4660"/>
      <c r="H4660"/>
      <c r="I4660"/>
      <c r="J4660"/>
    </row>
    <row r="4661" spans="1:10" s="2" customFormat="1">
      <c r="A4661" s="1"/>
      <c r="E4661"/>
      <c r="F4661"/>
      <c r="G4661"/>
      <c r="H4661"/>
      <c r="I4661"/>
      <c r="J4661"/>
    </row>
    <row r="4662" spans="1:10" s="2" customFormat="1">
      <c r="A4662" s="1"/>
      <c r="E4662"/>
      <c r="F4662"/>
      <c r="G4662"/>
      <c r="H4662"/>
      <c r="I4662"/>
      <c r="J4662"/>
    </row>
    <row r="4663" spans="1:10" s="2" customFormat="1">
      <c r="A4663" s="1"/>
      <c r="E4663"/>
      <c r="F4663"/>
      <c r="G4663"/>
      <c r="H4663"/>
      <c r="I4663"/>
      <c r="J4663"/>
    </row>
    <row r="4664" spans="1:10" s="2" customFormat="1">
      <c r="A4664" s="1"/>
      <c r="E4664"/>
      <c r="F4664"/>
      <c r="G4664"/>
      <c r="H4664"/>
      <c r="I4664"/>
      <c r="J4664"/>
    </row>
    <row r="4665" spans="1:10" s="2" customFormat="1">
      <c r="A4665" s="1"/>
      <c r="E4665"/>
      <c r="F4665"/>
      <c r="G4665"/>
      <c r="H4665"/>
      <c r="I4665"/>
      <c r="J4665"/>
    </row>
    <row r="4666" spans="1:10" s="2" customFormat="1">
      <c r="A4666" s="1"/>
      <c r="E4666"/>
      <c r="F4666"/>
      <c r="G4666"/>
      <c r="H4666"/>
      <c r="I4666"/>
      <c r="J4666"/>
    </row>
    <row r="4667" spans="1:10" s="2" customFormat="1">
      <c r="A4667" s="1"/>
      <c r="E4667"/>
      <c r="F4667"/>
      <c r="G4667"/>
      <c r="H4667"/>
      <c r="I4667"/>
      <c r="J4667"/>
    </row>
    <row r="4668" spans="1:10" s="2" customFormat="1">
      <c r="A4668" s="1"/>
      <c r="E4668"/>
      <c r="F4668"/>
      <c r="G4668"/>
      <c r="H4668"/>
      <c r="I4668"/>
      <c r="J4668"/>
    </row>
    <row r="4669" spans="1:10" s="2" customFormat="1">
      <c r="A4669" s="1"/>
      <c r="E4669"/>
      <c r="F4669"/>
      <c r="G4669"/>
      <c r="H4669"/>
      <c r="I4669"/>
      <c r="J4669"/>
    </row>
    <row r="4670" spans="1:10" s="2" customFormat="1">
      <c r="A4670" s="1"/>
      <c r="E4670"/>
      <c r="F4670"/>
      <c r="G4670"/>
      <c r="H4670"/>
      <c r="I4670"/>
      <c r="J4670"/>
    </row>
    <row r="4671" spans="1:10" s="2" customFormat="1">
      <c r="A4671" s="1"/>
      <c r="E4671"/>
      <c r="F4671"/>
      <c r="G4671"/>
      <c r="H4671"/>
      <c r="I4671"/>
      <c r="J4671"/>
    </row>
    <row r="4672" spans="1:10" s="2" customFormat="1">
      <c r="A4672" s="1"/>
      <c r="E4672"/>
      <c r="F4672"/>
      <c r="G4672"/>
      <c r="H4672"/>
      <c r="I4672"/>
      <c r="J4672"/>
    </row>
    <row r="4673" spans="1:10" s="2" customFormat="1">
      <c r="A4673" s="1"/>
      <c r="E4673"/>
      <c r="F4673"/>
      <c r="G4673"/>
      <c r="H4673"/>
      <c r="I4673"/>
      <c r="J4673"/>
    </row>
    <row r="4674" spans="1:10" s="2" customFormat="1">
      <c r="A4674" s="1"/>
      <c r="E4674"/>
      <c r="F4674"/>
      <c r="G4674"/>
      <c r="H4674"/>
      <c r="I4674"/>
      <c r="J4674"/>
    </row>
    <row r="4675" spans="1:10" s="2" customFormat="1">
      <c r="A4675" s="1"/>
      <c r="E4675"/>
      <c r="F4675"/>
      <c r="G4675"/>
      <c r="H4675"/>
      <c r="I4675"/>
      <c r="J4675"/>
    </row>
    <row r="4676" spans="1:10" s="2" customFormat="1">
      <c r="A4676" s="1"/>
      <c r="E4676"/>
      <c r="F4676"/>
      <c r="G4676"/>
      <c r="H4676"/>
      <c r="I4676"/>
      <c r="J4676"/>
    </row>
    <row r="4677" spans="1:10" s="2" customFormat="1">
      <c r="A4677" s="1"/>
      <c r="E4677"/>
      <c r="F4677"/>
      <c r="G4677"/>
      <c r="H4677"/>
      <c r="I4677"/>
      <c r="J4677"/>
    </row>
    <row r="4678" spans="1:10" s="2" customFormat="1">
      <c r="A4678" s="1"/>
      <c r="E4678"/>
      <c r="F4678"/>
      <c r="G4678"/>
      <c r="H4678"/>
      <c r="I4678"/>
      <c r="J4678"/>
    </row>
    <row r="4679" spans="1:10" s="2" customFormat="1">
      <c r="A4679" s="1"/>
      <c r="E4679"/>
      <c r="F4679"/>
      <c r="G4679"/>
      <c r="H4679"/>
      <c r="I4679"/>
      <c r="J4679"/>
    </row>
    <row r="4680" spans="1:10" s="2" customFormat="1">
      <c r="A4680" s="1"/>
      <c r="E4680"/>
      <c r="F4680"/>
      <c r="G4680"/>
      <c r="H4680"/>
      <c r="I4680"/>
      <c r="J4680"/>
    </row>
    <row r="4681" spans="1:10" s="2" customFormat="1">
      <c r="A4681" s="1"/>
      <c r="E4681"/>
      <c r="F4681"/>
      <c r="G4681"/>
      <c r="H4681"/>
      <c r="I4681"/>
      <c r="J4681"/>
    </row>
    <row r="4682" spans="1:10" s="2" customFormat="1">
      <c r="A4682" s="1"/>
      <c r="E4682"/>
      <c r="F4682"/>
      <c r="G4682"/>
      <c r="H4682"/>
      <c r="I4682"/>
      <c r="J4682"/>
    </row>
    <row r="4683" spans="1:10" s="2" customFormat="1">
      <c r="A4683" s="1"/>
      <c r="E4683"/>
      <c r="F4683"/>
      <c r="G4683"/>
      <c r="H4683"/>
      <c r="I4683"/>
      <c r="J4683"/>
    </row>
    <row r="4684" spans="1:10" s="2" customFormat="1">
      <c r="A4684" s="1"/>
      <c r="E4684"/>
      <c r="F4684"/>
      <c r="G4684"/>
      <c r="H4684"/>
      <c r="I4684"/>
      <c r="J4684"/>
    </row>
    <row r="4685" spans="1:10" s="2" customFormat="1">
      <c r="A4685" s="1"/>
      <c r="E4685"/>
      <c r="F4685"/>
      <c r="G4685"/>
      <c r="H4685"/>
      <c r="I4685"/>
      <c r="J4685"/>
    </row>
    <row r="4686" spans="1:10" s="2" customFormat="1">
      <c r="A4686" s="1"/>
      <c r="E4686"/>
      <c r="F4686"/>
      <c r="G4686"/>
      <c r="H4686"/>
      <c r="I4686"/>
      <c r="J4686"/>
    </row>
    <row r="4687" spans="1:10" s="2" customFormat="1">
      <c r="A4687" s="1"/>
      <c r="E4687"/>
      <c r="F4687"/>
      <c r="G4687"/>
      <c r="H4687"/>
      <c r="I4687"/>
      <c r="J4687"/>
    </row>
    <row r="4688" spans="1:10" s="2" customFormat="1">
      <c r="A4688" s="1"/>
      <c r="E4688"/>
      <c r="F4688"/>
      <c r="G4688"/>
      <c r="H4688"/>
      <c r="I4688"/>
      <c r="J4688"/>
    </row>
    <row r="4689" spans="1:10" s="2" customFormat="1">
      <c r="A4689" s="1"/>
      <c r="E4689"/>
      <c r="F4689"/>
      <c r="G4689"/>
      <c r="H4689"/>
      <c r="I4689"/>
      <c r="J4689"/>
    </row>
    <row r="4690" spans="1:10" s="2" customFormat="1">
      <c r="A4690" s="1"/>
      <c r="E4690"/>
      <c r="F4690"/>
      <c r="G4690"/>
      <c r="H4690"/>
      <c r="I4690"/>
      <c r="J4690"/>
    </row>
    <row r="4691" spans="1:10" s="2" customFormat="1">
      <c r="A4691" s="1"/>
      <c r="E4691"/>
      <c r="F4691"/>
      <c r="G4691"/>
      <c r="H4691"/>
      <c r="I4691"/>
      <c r="J4691"/>
    </row>
    <row r="4692" spans="1:10" s="2" customFormat="1">
      <c r="A4692" s="1"/>
      <c r="E4692"/>
      <c r="F4692"/>
      <c r="G4692"/>
      <c r="H4692"/>
      <c r="I4692"/>
      <c r="J4692"/>
    </row>
    <row r="4693" spans="1:10" s="2" customFormat="1">
      <c r="A4693" s="1"/>
      <c r="E4693"/>
      <c r="F4693"/>
      <c r="G4693"/>
      <c r="H4693"/>
      <c r="I4693"/>
      <c r="J4693"/>
    </row>
    <row r="4694" spans="1:10" s="2" customFormat="1">
      <c r="A4694" s="1"/>
      <c r="E4694"/>
      <c r="F4694"/>
      <c r="G4694"/>
      <c r="H4694"/>
      <c r="I4694"/>
      <c r="J4694"/>
    </row>
    <row r="4695" spans="1:10" s="2" customFormat="1">
      <c r="A4695" s="1"/>
      <c r="E4695"/>
      <c r="F4695"/>
      <c r="G4695"/>
      <c r="H4695"/>
      <c r="I4695"/>
      <c r="J4695"/>
    </row>
    <row r="4696" spans="1:10" s="2" customFormat="1">
      <c r="A4696" s="1"/>
      <c r="E4696"/>
      <c r="F4696"/>
      <c r="G4696"/>
      <c r="H4696"/>
      <c r="I4696"/>
      <c r="J4696"/>
    </row>
    <row r="4697" spans="1:10" s="2" customFormat="1">
      <c r="A4697" s="1"/>
      <c r="E4697"/>
      <c r="F4697"/>
      <c r="G4697"/>
      <c r="H4697"/>
      <c r="I4697"/>
      <c r="J4697"/>
    </row>
    <row r="4698" spans="1:10" s="2" customFormat="1">
      <c r="A4698" s="1"/>
      <c r="E4698"/>
      <c r="F4698"/>
      <c r="G4698"/>
      <c r="H4698"/>
      <c r="I4698"/>
      <c r="J4698"/>
    </row>
    <row r="4699" spans="1:10" s="2" customFormat="1">
      <c r="A4699" s="1"/>
      <c r="E4699"/>
      <c r="F4699"/>
      <c r="G4699"/>
      <c r="H4699"/>
      <c r="I4699"/>
      <c r="J4699"/>
    </row>
    <row r="4700" spans="1:10" s="2" customFormat="1">
      <c r="A4700" s="1"/>
      <c r="E4700"/>
      <c r="F4700"/>
      <c r="G4700"/>
      <c r="H4700"/>
      <c r="I4700"/>
      <c r="J4700"/>
    </row>
    <row r="4701" spans="1:10" s="2" customFormat="1">
      <c r="A4701" s="1"/>
      <c r="E4701"/>
      <c r="F4701"/>
      <c r="G4701"/>
      <c r="H4701"/>
      <c r="I4701"/>
      <c r="J4701"/>
    </row>
    <row r="4702" spans="1:10" s="2" customFormat="1">
      <c r="A4702" s="1"/>
      <c r="E4702"/>
      <c r="F4702"/>
      <c r="G4702"/>
      <c r="H4702"/>
      <c r="I4702"/>
      <c r="J4702"/>
    </row>
    <row r="4703" spans="1:10" s="2" customFormat="1">
      <c r="A4703" s="1"/>
      <c r="E4703"/>
      <c r="F4703"/>
      <c r="G4703"/>
      <c r="H4703"/>
      <c r="I4703"/>
      <c r="J4703"/>
    </row>
    <row r="4704" spans="1:10" s="2" customFormat="1">
      <c r="A4704" s="1"/>
      <c r="E4704"/>
      <c r="F4704"/>
      <c r="G4704"/>
      <c r="H4704"/>
      <c r="I4704"/>
      <c r="J4704"/>
    </row>
    <row r="4705" spans="1:10" s="2" customFormat="1">
      <c r="A4705" s="1"/>
      <c r="E4705"/>
      <c r="F4705"/>
      <c r="G4705"/>
      <c r="H4705"/>
      <c r="I4705"/>
      <c r="J4705"/>
    </row>
    <row r="4706" spans="1:10" s="2" customFormat="1">
      <c r="A4706" s="1"/>
      <c r="E4706"/>
      <c r="F4706"/>
      <c r="G4706"/>
      <c r="H4706"/>
      <c r="I4706"/>
      <c r="J4706"/>
    </row>
    <row r="4707" spans="1:10" s="2" customFormat="1">
      <c r="A4707" s="1"/>
      <c r="E4707"/>
      <c r="F4707"/>
      <c r="G4707"/>
      <c r="H4707"/>
      <c r="I4707"/>
      <c r="J4707"/>
    </row>
    <row r="4708" spans="1:10" s="2" customFormat="1">
      <c r="A4708" s="1"/>
      <c r="E4708"/>
      <c r="F4708"/>
      <c r="G4708"/>
      <c r="H4708"/>
      <c r="I4708"/>
      <c r="J4708"/>
    </row>
    <row r="4709" spans="1:10" s="2" customFormat="1">
      <c r="A4709" s="1"/>
      <c r="E4709"/>
      <c r="F4709"/>
      <c r="G4709"/>
      <c r="H4709"/>
      <c r="I4709"/>
      <c r="J4709"/>
    </row>
    <row r="4710" spans="1:10" s="2" customFormat="1">
      <c r="A4710" s="1"/>
      <c r="E4710"/>
      <c r="F4710"/>
      <c r="G4710"/>
      <c r="H4710"/>
      <c r="I4710"/>
      <c r="J4710"/>
    </row>
    <row r="4711" spans="1:10" s="2" customFormat="1">
      <c r="A4711" s="1"/>
      <c r="E4711"/>
      <c r="F4711"/>
      <c r="G4711"/>
      <c r="H4711"/>
      <c r="I4711"/>
      <c r="J4711"/>
    </row>
    <row r="4712" spans="1:10" s="2" customFormat="1">
      <c r="A4712" s="1"/>
      <c r="E4712"/>
      <c r="F4712"/>
      <c r="G4712"/>
      <c r="H4712"/>
      <c r="I4712"/>
      <c r="J4712"/>
    </row>
    <row r="4713" spans="1:10" s="2" customFormat="1">
      <c r="A4713" s="1"/>
      <c r="E4713"/>
      <c r="F4713"/>
      <c r="G4713"/>
      <c r="H4713"/>
      <c r="I4713"/>
      <c r="J4713"/>
    </row>
    <row r="4714" spans="1:10" s="2" customFormat="1">
      <c r="A4714" s="1"/>
      <c r="E4714"/>
      <c r="F4714"/>
      <c r="G4714"/>
      <c r="H4714"/>
      <c r="I4714"/>
      <c r="J4714"/>
    </row>
    <row r="4715" spans="1:10" s="2" customFormat="1">
      <c r="A4715" s="1"/>
      <c r="E4715"/>
      <c r="F4715"/>
      <c r="G4715"/>
      <c r="H4715"/>
      <c r="I4715"/>
      <c r="J4715"/>
    </row>
    <row r="4716" spans="1:10" s="2" customFormat="1">
      <c r="A4716" s="1"/>
      <c r="E4716"/>
      <c r="F4716"/>
      <c r="G4716"/>
      <c r="H4716"/>
      <c r="I4716"/>
      <c r="J4716"/>
    </row>
    <row r="4717" spans="1:10" s="2" customFormat="1">
      <c r="A4717" s="1"/>
      <c r="E4717"/>
      <c r="F4717"/>
      <c r="G4717"/>
      <c r="H4717"/>
      <c r="I4717"/>
      <c r="J4717"/>
    </row>
    <row r="4718" spans="1:10" s="2" customFormat="1">
      <c r="A4718" s="1"/>
      <c r="E4718"/>
      <c r="F4718"/>
      <c r="G4718"/>
      <c r="H4718"/>
      <c r="I4718"/>
      <c r="J4718"/>
    </row>
    <row r="4719" spans="1:10" s="2" customFormat="1">
      <c r="A4719" s="1"/>
      <c r="E4719"/>
      <c r="F4719"/>
      <c r="G4719"/>
      <c r="H4719"/>
      <c r="I4719"/>
      <c r="J4719"/>
    </row>
    <row r="4720" spans="1:10" s="2" customFormat="1">
      <c r="A4720" s="1"/>
      <c r="E4720"/>
      <c r="F4720"/>
      <c r="G4720"/>
      <c r="H4720"/>
      <c r="I4720"/>
      <c r="J4720"/>
    </row>
    <row r="4721" spans="1:10" s="2" customFormat="1">
      <c r="A4721" s="1"/>
      <c r="E4721"/>
      <c r="F4721"/>
      <c r="G4721"/>
      <c r="H4721"/>
      <c r="I4721"/>
      <c r="J4721"/>
    </row>
    <row r="4722" spans="1:10" s="2" customFormat="1">
      <c r="A4722" s="1"/>
      <c r="E4722"/>
      <c r="F4722"/>
      <c r="G4722"/>
      <c r="H4722"/>
      <c r="I4722"/>
      <c r="J4722"/>
    </row>
    <row r="4723" spans="1:10" s="2" customFormat="1">
      <c r="A4723" s="1"/>
      <c r="E4723"/>
      <c r="F4723"/>
      <c r="G4723"/>
      <c r="H4723"/>
      <c r="I4723"/>
      <c r="J4723"/>
    </row>
    <row r="4724" spans="1:10" s="2" customFormat="1">
      <c r="A4724" s="1"/>
      <c r="E4724"/>
      <c r="F4724"/>
      <c r="G4724"/>
      <c r="H4724"/>
      <c r="I4724"/>
      <c r="J4724"/>
    </row>
    <row r="4725" spans="1:10" s="2" customFormat="1">
      <c r="A4725" s="1"/>
      <c r="E4725"/>
      <c r="F4725"/>
      <c r="G4725"/>
      <c r="H4725"/>
      <c r="I4725"/>
      <c r="J4725"/>
    </row>
    <row r="4726" spans="1:10" s="2" customFormat="1">
      <c r="A4726" s="1"/>
      <c r="E4726"/>
      <c r="F4726"/>
      <c r="G4726"/>
      <c r="H4726"/>
      <c r="I4726"/>
      <c r="J4726"/>
    </row>
    <row r="4727" spans="1:10" s="2" customFormat="1">
      <c r="A4727" s="1"/>
      <c r="E4727"/>
      <c r="F4727"/>
      <c r="G4727"/>
      <c r="H4727"/>
      <c r="I4727"/>
      <c r="J4727"/>
    </row>
    <row r="4728" spans="1:10" s="2" customFormat="1">
      <c r="A4728" s="1"/>
      <c r="E4728"/>
      <c r="F4728"/>
      <c r="G4728"/>
      <c r="H4728"/>
      <c r="I4728"/>
      <c r="J4728"/>
    </row>
    <row r="4729" spans="1:10" s="2" customFormat="1">
      <c r="A4729" s="1"/>
      <c r="E4729"/>
      <c r="F4729"/>
      <c r="G4729"/>
      <c r="H4729"/>
      <c r="I4729"/>
      <c r="J4729"/>
    </row>
    <row r="4730" spans="1:10" s="2" customFormat="1">
      <c r="A4730" s="1"/>
      <c r="E4730"/>
      <c r="F4730"/>
      <c r="G4730"/>
      <c r="H4730"/>
      <c r="I4730"/>
      <c r="J4730"/>
    </row>
    <row r="4731" spans="1:10" s="2" customFormat="1">
      <c r="A4731" s="1"/>
      <c r="E4731"/>
      <c r="F4731"/>
      <c r="G4731"/>
      <c r="H4731"/>
      <c r="I4731"/>
      <c r="J4731"/>
    </row>
    <row r="4732" spans="1:10" s="2" customFormat="1">
      <c r="A4732" s="1"/>
      <c r="E4732"/>
      <c r="F4732"/>
      <c r="G4732"/>
      <c r="H4732"/>
      <c r="I4732"/>
      <c r="J4732"/>
    </row>
    <row r="4733" spans="1:10" s="2" customFormat="1">
      <c r="A4733" s="1"/>
      <c r="E4733"/>
      <c r="F4733"/>
      <c r="G4733"/>
      <c r="H4733"/>
      <c r="I4733"/>
      <c r="J4733"/>
    </row>
    <row r="4734" spans="1:10" s="2" customFormat="1">
      <c r="A4734" s="1"/>
      <c r="E4734"/>
      <c r="F4734"/>
      <c r="G4734"/>
      <c r="H4734"/>
      <c r="I4734"/>
      <c r="J4734"/>
    </row>
    <row r="4735" spans="1:10" s="2" customFormat="1">
      <c r="A4735" s="1"/>
      <c r="E4735"/>
      <c r="F4735"/>
      <c r="G4735"/>
      <c r="H4735"/>
      <c r="I4735"/>
      <c r="J4735"/>
    </row>
    <row r="4736" spans="1:10" s="2" customFormat="1">
      <c r="A4736" s="1"/>
      <c r="E4736"/>
      <c r="F4736"/>
      <c r="G4736"/>
      <c r="H4736"/>
      <c r="I4736"/>
      <c r="J4736"/>
    </row>
    <row r="4737" spans="1:10" s="2" customFormat="1">
      <c r="A4737" s="1"/>
      <c r="E4737"/>
      <c r="F4737"/>
      <c r="G4737"/>
      <c r="H4737"/>
      <c r="I4737"/>
      <c r="J4737"/>
    </row>
    <row r="4738" spans="1:10" s="2" customFormat="1">
      <c r="A4738" s="1"/>
      <c r="E4738"/>
      <c r="F4738"/>
      <c r="G4738"/>
      <c r="H4738"/>
      <c r="I4738"/>
      <c r="J4738"/>
    </row>
    <row r="4739" spans="1:10" s="2" customFormat="1">
      <c r="A4739" s="1"/>
      <c r="E4739"/>
      <c r="F4739"/>
      <c r="G4739"/>
      <c r="H4739"/>
      <c r="I4739"/>
      <c r="J4739"/>
    </row>
    <row r="4740" spans="1:10" s="2" customFormat="1">
      <c r="A4740" s="1"/>
      <c r="E4740"/>
      <c r="F4740"/>
      <c r="G4740"/>
      <c r="H4740"/>
      <c r="I4740"/>
      <c r="J4740"/>
    </row>
    <row r="4741" spans="1:10" s="2" customFormat="1">
      <c r="A4741" s="1"/>
      <c r="E4741"/>
      <c r="F4741"/>
      <c r="G4741"/>
      <c r="H4741"/>
      <c r="I4741"/>
      <c r="J4741"/>
    </row>
    <row r="4742" spans="1:10" s="2" customFormat="1">
      <c r="A4742" s="1"/>
      <c r="E4742"/>
      <c r="F4742"/>
      <c r="G4742"/>
      <c r="H4742"/>
      <c r="I4742"/>
      <c r="J4742"/>
    </row>
    <row r="4743" spans="1:10" s="2" customFormat="1">
      <c r="A4743" s="1"/>
      <c r="E4743"/>
      <c r="F4743"/>
      <c r="G4743"/>
      <c r="H4743"/>
      <c r="I4743"/>
      <c r="J4743"/>
    </row>
    <row r="4744" spans="1:10" s="2" customFormat="1">
      <c r="A4744" s="1"/>
      <c r="E4744"/>
      <c r="F4744"/>
      <c r="G4744"/>
      <c r="H4744"/>
      <c r="I4744"/>
      <c r="J4744"/>
    </row>
    <row r="4745" spans="1:10" s="2" customFormat="1">
      <c r="A4745" s="1"/>
      <c r="E4745"/>
      <c r="F4745"/>
      <c r="G4745"/>
      <c r="H4745"/>
      <c r="I4745"/>
      <c r="J4745"/>
    </row>
    <row r="4746" spans="1:10" s="2" customFormat="1">
      <c r="A4746" s="1"/>
      <c r="E4746"/>
      <c r="F4746"/>
      <c r="G4746"/>
      <c r="H4746"/>
      <c r="I4746"/>
      <c r="J4746"/>
    </row>
    <row r="4747" spans="1:10" s="2" customFormat="1">
      <c r="A4747" s="1"/>
      <c r="E4747"/>
      <c r="F4747"/>
      <c r="G4747"/>
      <c r="H4747"/>
      <c r="I4747"/>
      <c r="J4747"/>
    </row>
    <row r="4748" spans="1:10" s="2" customFormat="1">
      <c r="A4748" s="1"/>
      <c r="E4748"/>
      <c r="F4748"/>
      <c r="G4748"/>
      <c r="H4748"/>
      <c r="I4748"/>
      <c r="J4748"/>
    </row>
    <row r="4749" spans="1:10" s="2" customFormat="1">
      <c r="A4749" s="1"/>
      <c r="E4749"/>
      <c r="F4749"/>
      <c r="G4749"/>
      <c r="H4749"/>
      <c r="I4749"/>
      <c r="J4749"/>
    </row>
    <row r="4750" spans="1:10" s="2" customFormat="1">
      <c r="A4750" s="1"/>
      <c r="E4750"/>
      <c r="F4750"/>
      <c r="G4750"/>
      <c r="H4750"/>
      <c r="I4750"/>
      <c r="J4750"/>
    </row>
    <row r="4751" spans="1:10" s="2" customFormat="1">
      <c r="A4751" s="1"/>
      <c r="E4751"/>
      <c r="F4751"/>
      <c r="G4751"/>
      <c r="H4751"/>
      <c r="I4751"/>
      <c r="J4751"/>
    </row>
    <row r="4752" spans="1:10" s="2" customFormat="1">
      <c r="A4752" s="1"/>
      <c r="E4752"/>
      <c r="F4752"/>
      <c r="G4752"/>
      <c r="H4752"/>
      <c r="I4752"/>
      <c r="J4752"/>
    </row>
    <row r="4753" spans="1:10" s="2" customFormat="1">
      <c r="A4753" s="1"/>
      <c r="E4753"/>
      <c r="F4753"/>
      <c r="G4753"/>
      <c r="H4753"/>
      <c r="I4753"/>
      <c r="J4753"/>
    </row>
    <row r="4754" spans="1:10" s="2" customFormat="1">
      <c r="A4754" s="1"/>
      <c r="E4754"/>
      <c r="F4754"/>
      <c r="G4754"/>
      <c r="H4754"/>
      <c r="I4754"/>
      <c r="J4754"/>
    </row>
    <row r="4755" spans="1:10" s="2" customFormat="1">
      <c r="A4755" s="1"/>
      <c r="E4755"/>
      <c r="F4755"/>
      <c r="G4755"/>
      <c r="H4755"/>
      <c r="I4755"/>
      <c r="J4755"/>
    </row>
    <row r="4756" spans="1:10" s="2" customFormat="1">
      <c r="A4756" s="1"/>
      <c r="E4756"/>
      <c r="F4756"/>
      <c r="G4756"/>
      <c r="H4756"/>
      <c r="I4756"/>
      <c r="J4756"/>
    </row>
    <row r="4757" spans="1:10" s="2" customFormat="1">
      <c r="A4757" s="1"/>
      <c r="E4757"/>
      <c r="F4757"/>
      <c r="G4757"/>
      <c r="H4757"/>
      <c r="I4757"/>
      <c r="J4757"/>
    </row>
    <row r="4758" spans="1:10" s="2" customFormat="1">
      <c r="A4758" s="1"/>
      <c r="E4758"/>
      <c r="F4758"/>
      <c r="G4758"/>
      <c r="H4758"/>
      <c r="I4758"/>
      <c r="J4758"/>
    </row>
    <row r="4759" spans="1:10" s="2" customFormat="1">
      <c r="A4759" s="1"/>
      <c r="E4759"/>
      <c r="F4759"/>
      <c r="G4759"/>
      <c r="H4759"/>
      <c r="I4759"/>
      <c r="J4759"/>
    </row>
    <row r="4760" spans="1:10" s="2" customFormat="1">
      <c r="A4760" s="1"/>
      <c r="E4760"/>
      <c r="F4760"/>
      <c r="G4760"/>
      <c r="H4760"/>
      <c r="I4760"/>
      <c r="J4760"/>
    </row>
    <row r="4761" spans="1:10" s="2" customFormat="1">
      <c r="A4761" s="1"/>
      <c r="E4761"/>
      <c r="F4761"/>
      <c r="G4761"/>
      <c r="H4761"/>
      <c r="I4761"/>
      <c r="J4761"/>
    </row>
    <row r="4762" spans="1:10" s="2" customFormat="1">
      <c r="A4762" s="1"/>
      <c r="E4762"/>
      <c r="F4762"/>
      <c r="G4762"/>
      <c r="H4762"/>
      <c r="I4762"/>
      <c r="J4762"/>
    </row>
    <row r="4763" spans="1:10" s="2" customFormat="1">
      <c r="A4763" s="1"/>
      <c r="E4763"/>
      <c r="F4763"/>
      <c r="G4763"/>
      <c r="H4763"/>
      <c r="I4763"/>
      <c r="J4763"/>
    </row>
    <row r="4764" spans="1:10" s="2" customFormat="1">
      <c r="A4764" s="1"/>
      <c r="E4764"/>
      <c r="F4764"/>
      <c r="G4764"/>
      <c r="H4764"/>
      <c r="I4764"/>
      <c r="J4764"/>
    </row>
    <row r="4765" spans="1:10" s="2" customFormat="1">
      <c r="A4765" s="1"/>
      <c r="E4765"/>
      <c r="F4765"/>
      <c r="G4765"/>
      <c r="H4765"/>
      <c r="I4765"/>
      <c r="J4765"/>
    </row>
    <row r="4766" spans="1:10" s="2" customFormat="1">
      <c r="A4766" s="1"/>
      <c r="E4766"/>
      <c r="F4766"/>
      <c r="G4766"/>
      <c r="H4766"/>
      <c r="I4766"/>
      <c r="J4766"/>
    </row>
    <row r="4767" spans="1:10" s="2" customFormat="1">
      <c r="A4767" s="1"/>
      <c r="E4767"/>
      <c r="F4767"/>
      <c r="G4767"/>
      <c r="H4767"/>
      <c r="I4767"/>
      <c r="J4767"/>
    </row>
    <row r="4768" spans="1:10" s="2" customFormat="1">
      <c r="A4768" s="1"/>
      <c r="E4768"/>
      <c r="F4768"/>
      <c r="G4768"/>
      <c r="H4768"/>
      <c r="I4768"/>
      <c r="J4768"/>
    </row>
    <row r="4769" spans="1:10" s="2" customFormat="1">
      <c r="A4769" s="1"/>
      <c r="E4769"/>
      <c r="F4769"/>
      <c r="G4769"/>
      <c r="H4769"/>
      <c r="I4769"/>
      <c r="J4769"/>
    </row>
    <row r="4770" spans="1:10" s="2" customFormat="1">
      <c r="A4770" s="1"/>
      <c r="E4770"/>
      <c r="F4770"/>
      <c r="G4770"/>
      <c r="H4770"/>
      <c r="I4770"/>
      <c r="J4770"/>
    </row>
    <row r="4771" spans="1:10" s="2" customFormat="1">
      <c r="A4771" s="1"/>
      <c r="E4771"/>
      <c r="F4771"/>
      <c r="G4771"/>
      <c r="H4771"/>
      <c r="I4771"/>
      <c r="J4771"/>
    </row>
    <row r="4772" spans="1:10" s="2" customFormat="1">
      <c r="A4772" s="1"/>
      <c r="E4772"/>
      <c r="F4772"/>
      <c r="G4772"/>
      <c r="H4772"/>
      <c r="I4772"/>
      <c r="J4772"/>
    </row>
    <row r="4773" spans="1:10" s="2" customFormat="1">
      <c r="A4773" s="1"/>
      <c r="E4773"/>
      <c r="F4773"/>
      <c r="G4773"/>
      <c r="H4773"/>
      <c r="I4773"/>
      <c r="J4773"/>
    </row>
    <row r="4774" spans="1:10" s="2" customFormat="1">
      <c r="A4774" s="1"/>
      <c r="E4774"/>
      <c r="F4774"/>
      <c r="G4774"/>
      <c r="H4774"/>
      <c r="I4774"/>
      <c r="J4774"/>
    </row>
    <row r="4775" spans="1:10" s="2" customFormat="1">
      <c r="A4775" s="1"/>
      <c r="E4775"/>
      <c r="F4775"/>
      <c r="G4775"/>
      <c r="H4775"/>
      <c r="I4775"/>
      <c r="J4775"/>
    </row>
    <row r="4776" spans="1:10" s="2" customFormat="1">
      <c r="A4776" s="1"/>
      <c r="E4776"/>
      <c r="F4776"/>
      <c r="G4776"/>
      <c r="H4776"/>
      <c r="I4776"/>
      <c r="J4776"/>
    </row>
    <row r="4777" spans="1:10" s="2" customFormat="1">
      <c r="A4777" s="1"/>
      <c r="E4777"/>
      <c r="F4777"/>
      <c r="G4777"/>
      <c r="H4777"/>
      <c r="I4777"/>
      <c r="J4777"/>
    </row>
    <row r="4778" spans="1:10" s="2" customFormat="1">
      <c r="A4778" s="1"/>
      <c r="E4778"/>
      <c r="F4778"/>
      <c r="G4778"/>
      <c r="H4778"/>
      <c r="I4778"/>
      <c r="J4778"/>
    </row>
    <row r="4779" spans="1:10" s="2" customFormat="1">
      <c r="A4779" s="1"/>
      <c r="E4779"/>
      <c r="F4779"/>
      <c r="G4779"/>
      <c r="H4779"/>
      <c r="I4779"/>
      <c r="J4779"/>
    </row>
    <row r="4780" spans="1:10" s="2" customFormat="1">
      <c r="A4780" s="1"/>
      <c r="E4780"/>
      <c r="F4780"/>
      <c r="G4780"/>
      <c r="H4780"/>
      <c r="I4780"/>
      <c r="J4780"/>
    </row>
    <row r="4781" spans="1:10" s="2" customFormat="1">
      <c r="A4781" s="1"/>
      <c r="E4781"/>
      <c r="F4781"/>
      <c r="G4781"/>
      <c r="H4781"/>
      <c r="I4781"/>
      <c r="J4781"/>
    </row>
    <row r="4782" spans="1:10" s="2" customFormat="1">
      <c r="A4782" s="1"/>
      <c r="E4782"/>
      <c r="F4782"/>
      <c r="G4782"/>
      <c r="H4782"/>
      <c r="I4782"/>
      <c r="J4782"/>
    </row>
    <row r="4783" spans="1:10" s="2" customFormat="1">
      <c r="A4783" s="1"/>
      <c r="E4783"/>
      <c r="F4783"/>
      <c r="G4783"/>
      <c r="H4783"/>
      <c r="I4783"/>
      <c r="J4783"/>
    </row>
    <row r="4784" spans="1:10" s="2" customFormat="1">
      <c r="A4784" s="1"/>
      <c r="E4784"/>
      <c r="F4784"/>
      <c r="G4784"/>
      <c r="H4784"/>
      <c r="I4784"/>
      <c r="J4784"/>
    </row>
    <row r="4785" spans="1:10" s="2" customFormat="1">
      <c r="A4785" s="1"/>
      <c r="E4785"/>
      <c r="F4785"/>
      <c r="G4785"/>
      <c r="H4785"/>
      <c r="I4785"/>
      <c r="J4785"/>
    </row>
    <row r="4786" spans="1:10" s="2" customFormat="1">
      <c r="A4786" s="1"/>
      <c r="E4786"/>
      <c r="F4786"/>
      <c r="G4786"/>
      <c r="H4786"/>
      <c r="I4786"/>
      <c r="J4786"/>
    </row>
    <row r="4787" spans="1:10" s="2" customFormat="1">
      <c r="A4787" s="1"/>
      <c r="E4787"/>
      <c r="F4787"/>
      <c r="G4787"/>
      <c r="H4787"/>
      <c r="I4787"/>
      <c r="J4787"/>
    </row>
    <row r="4788" spans="1:10" s="2" customFormat="1">
      <c r="A4788" s="1"/>
      <c r="E4788"/>
      <c r="F4788"/>
      <c r="G4788"/>
      <c r="H4788"/>
      <c r="I4788"/>
      <c r="J4788"/>
    </row>
    <row r="4789" spans="1:10" s="2" customFormat="1">
      <c r="A4789" s="1"/>
      <c r="E4789"/>
      <c r="F4789"/>
      <c r="G4789"/>
      <c r="H4789"/>
      <c r="I4789"/>
      <c r="J4789"/>
    </row>
    <row r="4790" spans="1:10" s="2" customFormat="1">
      <c r="A4790" s="1"/>
      <c r="E4790"/>
      <c r="F4790"/>
      <c r="G4790"/>
      <c r="H4790"/>
      <c r="I4790"/>
      <c r="J4790"/>
    </row>
    <row r="4791" spans="1:10" s="2" customFormat="1">
      <c r="A4791" s="1"/>
      <c r="E4791"/>
      <c r="F4791"/>
      <c r="G4791"/>
      <c r="H4791"/>
      <c r="I4791"/>
      <c r="J4791"/>
    </row>
    <row r="4792" spans="1:10" s="2" customFormat="1">
      <c r="A4792" s="1"/>
      <c r="E4792"/>
      <c r="F4792"/>
      <c r="G4792"/>
      <c r="H4792"/>
      <c r="I4792"/>
      <c r="J4792"/>
    </row>
    <row r="4793" spans="1:10" s="2" customFormat="1">
      <c r="A4793" s="1"/>
      <c r="E4793"/>
      <c r="F4793"/>
      <c r="G4793"/>
      <c r="H4793"/>
      <c r="I4793"/>
      <c r="J4793"/>
    </row>
    <row r="4794" spans="1:10" s="2" customFormat="1">
      <c r="A4794" s="1"/>
      <c r="E4794"/>
      <c r="F4794"/>
      <c r="G4794"/>
      <c r="H4794"/>
      <c r="I4794"/>
      <c r="J4794"/>
    </row>
    <row r="4795" spans="1:10" s="2" customFormat="1">
      <c r="A4795" s="1"/>
      <c r="E4795"/>
      <c r="F4795"/>
      <c r="G4795"/>
      <c r="H4795"/>
      <c r="I4795"/>
      <c r="J4795"/>
    </row>
    <row r="4796" spans="1:10" s="2" customFormat="1">
      <c r="A4796" s="1"/>
      <c r="E4796"/>
      <c r="F4796"/>
      <c r="G4796"/>
      <c r="H4796"/>
      <c r="I4796"/>
      <c r="J4796"/>
    </row>
    <row r="4797" spans="1:10" s="2" customFormat="1">
      <c r="A4797" s="1"/>
      <c r="E4797"/>
      <c r="F4797"/>
      <c r="G4797"/>
      <c r="H4797"/>
      <c r="I4797"/>
      <c r="J4797"/>
    </row>
    <row r="4798" spans="1:10" s="2" customFormat="1">
      <c r="A4798" s="1"/>
      <c r="E4798"/>
      <c r="F4798"/>
      <c r="G4798"/>
      <c r="H4798"/>
      <c r="I4798"/>
      <c r="J4798"/>
    </row>
    <row r="4799" spans="1:10" s="2" customFormat="1">
      <c r="A4799" s="1"/>
      <c r="E4799"/>
      <c r="F4799"/>
      <c r="G4799"/>
      <c r="H4799"/>
      <c r="I4799"/>
      <c r="J4799"/>
    </row>
    <row r="4800" spans="1:10" s="2" customFormat="1">
      <c r="A4800" s="1"/>
      <c r="E4800"/>
      <c r="F4800"/>
      <c r="G4800"/>
      <c r="H4800"/>
      <c r="I4800"/>
      <c r="J4800"/>
    </row>
    <row r="4801" spans="1:10" s="2" customFormat="1">
      <c r="A4801" s="1"/>
      <c r="E4801"/>
      <c r="F4801"/>
      <c r="G4801"/>
      <c r="H4801"/>
      <c r="I4801"/>
      <c r="J4801"/>
    </row>
    <row r="4802" spans="1:10" s="2" customFormat="1">
      <c r="A4802" s="1"/>
      <c r="E4802"/>
      <c r="F4802"/>
      <c r="G4802"/>
      <c r="H4802"/>
      <c r="I4802"/>
      <c r="J4802"/>
    </row>
    <row r="4803" spans="1:10" s="2" customFormat="1">
      <c r="A4803" s="1"/>
      <c r="E4803"/>
      <c r="F4803"/>
      <c r="G4803"/>
      <c r="H4803"/>
      <c r="I4803"/>
      <c r="J4803"/>
    </row>
    <row r="4804" spans="1:10" s="2" customFormat="1">
      <c r="A4804" s="1"/>
      <c r="E4804"/>
      <c r="F4804"/>
      <c r="G4804"/>
      <c r="H4804"/>
      <c r="I4804"/>
      <c r="J4804"/>
    </row>
    <row r="4805" spans="1:10" s="2" customFormat="1">
      <c r="A4805" s="1"/>
      <c r="E4805"/>
      <c r="F4805"/>
      <c r="G4805"/>
      <c r="H4805"/>
      <c r="I4805"/>
      <c r="J4805"/>
    </row>
    <row r="4806" spans="1:10" s="2" customFormat="1">
      <c r="A4806" s="1"/>
      <c r="E4806"/>
      <c r="F4806"/>
      <c r="G4806"/>
      <c r="H4806"/>
      <c r="I4806"/>
      <c r="J4806"/>
    </row>
    <row r="4807" spans="1:10" s="2" customFormat="1">
      <c r="A4807" s="1"/>
      <c r="E4807"/>
      <c r="F4807"/>
      <c r="G4807"/>
      <c r="H4807"/>
      <c r="I4807"/>
      <c r="J4807"/>
    </row>
    <row r="4808" spans="1:10" s="2" customFormat="1">
      <c r="A4808" s="1"/>
      <c r="E4808"/>
      <c r="F4808"/>
      <c r="G4808"/>
      <c r="H4808"/>
      <c r="I4808"/>
      <c r="J4808"/>
    </row>
    <row r="4809" spans="1:10" s="2" customFormat="1">
      <c r="A4809" s="1"/>
      <c r="E4809"/>
      <c r="F4809"/>
      <c r="G4809"/>
      <c r="H4809"/>
      <c r="I4809"/>
      <c r="J4809"/>
    </row>
    <row r="4810" spans="1:10" s="2" customFormat="1">
      <c r="A4810" s="1"/>
      <c r="E4810"/>
      <c r="F4810"/>
      <c r="G4810"/>
      <c r="H4810"/>
      <c r="I4810"/>
      <c r="J4810"/>
    </row>
    <row r="4811" spans="1:10" s="2" customFormat="1">
      <c r="A4811" s="1"/>
      <c r="E4811"/>
      <c r="F4811"/>
      <c r="G4811"/>
      <c r="H4811"/>
      <c r="I4811"/>
      <c r="J4811"/>
    </row>
    <row r="4812" spans="1:10" s="2" customFormat="1">
      <c r="A4812" s="1"/>
      <c r="E4812"/>
      <c r="F4812"/>
      <c r="G4812"/>
      <c r="H4812"/>
      <c r="I4812"/>
      <c r="J4812"/>
    </row>
    <row r="4813" spans="1:10" s="2" customFormat="1">
      <c r="A4813" s="1"/>
      <c r="E4813"/>
      <c r="F4813"/>
      <c r="G4813"/>
      <c r="H4813"/>
      <c r="I4813"/>
      <c r="J4813"/>
    </row>
    <row r="4814" spans="1:10" s="2" customFormat="1">
      <c r="A4814" s="1"/>
      <c r="E4814"/>
      <c r="F4814"/>
      <c r="G4814"/>
      <c r="H4814"/>
      <c r="I4814"/>
      <c r="J4814"/>
    </row>
    <row r="4815" spans="1:10" s="2" customFormat="1">
      <c r="A4815" s="1"/>
      <c r="E4815"/>
      <c r="F4815"/>
      <c r="G4815"/>
      <c r="H4815"/>
      <c r="I4815"/>
      <c r="J4815"/>
    </row>
    <row r="4816" spans="1:10" s="2" customFormat="1">
      <c r="A4816" s="1"/>
      <c r="E4816"/>
      <c r="F4816"/>
      <c r="G4816"/>
      <c r="H4816"/>
      <c r="I4816"/>
      <c r="J4816"/>
    </row>
    <row r="4817" spans="1:10" s="2" customFormat="1">
      <c r="A4817" s="1"/>
      <c r="E4817"/>
      <c r="F4817"/>
      <c r="G4817"/>
      <c r="H4817"/>
      <c r="I4817"/>
      <c r="J4817"/>
    </row>
    <row r="4818" spans="1:10" s="2" customFormat="1">
      <c r="A4818" s="1"/>
      <c r="E4818"/>
      <c r="F4818"/>
      <c r="G4818"/>
      <c r="H4818"/>
      <c r="I4818"/>
      <c r="J4818"/>
    </row>
    <row r="4819" spans="1:10" s="2" customFormat="1">
      <c r="A4819" s="1"/>
      <c r="E4819"/>
      <c r="F4819"/>
      <c r="G4819"/>
      <c r="H4819"/>
      <c r="I4819"/>
      <c r="J4819"/>
    </row>
    <row r="4820" spans="1:10" s="2" customFormat="1">
      <c r="A4820" s="1"/>
      <c r="E4820"/>
      <c r="F4820"/>
      <c r="G4820"/>
      <c r="H4820"/>
      <c r="I4820"/>
      <c r="J4820"/>
    </row>
    <row r="4821" spans="1:10" s="2" customFormat="1">
      <c r="A4821" s="1"/>
      <c r="E4821"/>
      <c r="F4821"/>
      <c r="G4821"/>
      <c r="H4821"/>
      <c r="I4821"/>
      <c r="J4821"/>
    </row>
    <row r="4822" spans="1:10" s="2" customFormat="1">
      <c r="A4822" s="1"/>
      <c r="E4822"/>
      <c r="F4822"/>
      <c r="G4822"/>
      <c r="H4822"/>
      <c r="I4822"/>
      <c r="J4822"/>
    </row>
    <row r="4823" spans="1:10" s="2" customFormat="1">
      <c r="A4823" s="1"/>
      <c r="E4823"/>
      <c r="F4823"/>
      <c r="G4823"/>
      <c r="H4823"/>
      <c r="I4823"/>
      <c r="J4823"/>
    </row>
    <row r="4824" spans="1:10" s="2" customFormat="1">
      <c r="A4824" s="1"/>
      <c r="E4824"/>
      <c r="F4824"/>
      <c r="G4824"/>
      <c r="H4824"/>
      <c r="I4824"/>
      <c r="J4824"/>
    </row>
    <row r="4825" spans="1:10" s="2" customFormat="1">
      <c r="A4825" s="1"/>
      <c r="E4825"/>
      <c r="F4825"/>
      <c r="G4825"/>
      <c r="H4825"/>
      <c r="I4825"/>
      <c r="J4825"/>
    </row>
    <row r="4826" spans="1:10" s="2" customFormat="1">
      <c r="A4826" s="1"/>
      <c r="E4826"/>
      <c r="F4826"/>
      <c r="G4826"/>
      <c r="H4826"/>
      <c r="I4826"/>
      <c r="J4826"/>
    </row>
    <row r="4827" spans="1:10" s="2" customFormat="1">
      <c r="A4827" s="1"/>
      <c r="E4827"/>
      <c r="F4827"/>
      <c r="G4827"/>
      <c r="H4827"/>
      <c r="I4827"/>
      <c r="J4827"/>
    </row>
    <row r="4828" spans="1:10" s="2" customFormat="1">
      <c r="A4828" s="1"/>
      <c r="E4828"/>
      <c r="F4828"/>
      <c r="G4828"/>
      <c r="H4828"/>
      <c r="I4828"/>
      <c r="J4828"/>
    </row>
    <row r="4829" spans="1:10" s="2" customFormat="1">
      <c r="A4829" s="1"/>
      <c r="E4829"/>
      <c r="F4829"/>
      <c r="G4829"/>
      <c r="H4829"/>
      <c r="I4829"/>
      <c r="J4829"/>
    </row>
    <row r="4830" spans="1:10" s="2" customFormat="1">
      <c r="A4830" s="1"/>
      <c r="E4830"/>
      <c r="F4830"/>
      <c r="G4830"/>
      <c r="H4830"/>
      <c r="I4830"/>
      <c r="J4830"/>
    </row>
    <row r="4831" spans="1:10" s="2" customFormat="1">
      <c r="A4831" s="1"/>
      <c r="E4831"/>
      <c r="F4831"/>
      <c r="G4831"/>
      <c r="H4831"/>
      <c r="I4831"/>
      <c r="J4831"/>
    </row>
    <row r="4832" spans="1:10" s="2" customFormat="1">
      <c r="A4832" s="1"/>
      <c r="E4832"/>
      <c r="F4832"/>
      <c r="G4832"/>
      <c r="H4832"/>
      <c r="I4832"/>
      <c r="J4832"/>
    </row>
    <row r="4833" spans="1:10" s="2" customFormat="1">
      <c r="A4833" s="1"/>
      <c r="E4833"/>
      <c r="F4833"/>
      <c r="G4833"/>
      <c r="H4833"/>
      <c r="I4833"/>
      <c r="J4833"/>
    </row>
    <row r="4834" spans="1:10" s="2" customFormat="1">
      <c r="A4834" s="1"/>
      <c r="E4834"/>
      <c r="F4834"/>
      <c r="G4834"/>
      <c r="H4834"/>
      <c r="I4834"/>
      <c r="J4834"/>
    </row>
    <row r="4835" spans="1:10" s="2" customFormat="1">
      <c r="A4835" s="1"/>
      <c r="E4835"/>
      <c r="F4835"/>
      <c r="G4835"/>
      <c r="H4835"/>
      <c r="I4835"/>
      <c r="J4835"/>
    </row>
    <row r="4836" spans="1:10" s="2" customFormat="1">
      <c r="A4836" s="1"/>
      <c r="E4836"/>
      <c r="F4836"/>
      <c r="G4836"/>
      <c r="H4836"/>
      <c r="I4836"/>
      <c r="J4836"/>
    </row>
    <row r="4837" spans="1:10" s="2" customFormat="1">
      <c r="A4837" s="1"/>
      <c r="E4837"/>
      <c r="F4837"/>
      <c r="G4837"/>
      <c r="H4837"/>
      <c r="I4837"/>
      <c r="J4837"/>
    </row>
    <row r="4838" spans="1:10" s="2" customFormat="1">
      <c r="A4838" s="1"/>
      <c r="E4838"/>
      <c r="F4838"/>
      <c r="G4838"/>
      <c r="H4838"/>
      <c r="I4838"/>
      <c r="J4838"/>
    </row>
    <row r="4839" spans="1:10" s="2" customFormat="1">
      <c r="A4839" s="1"/>
      <c r="E4839"/>
      <c r="F4839"/>
      <c r="G4839"/>
      <c r="H4839"/>
      <c r="I4839"/>
      <c r="J4839"/>
    </row>
    <row r="4840" spans="1:10" s="2" customFormat="1">
      <c r="A4840" s="1"/>
      <c r="E4840"/>
      <c r="F4840"/>
      <c r="G4840"/>
      <c r="H4840"/>
      <c r="I4840"/>
      <c r="J4840"/>
    </row>
    <row r="4841" spans="1:10" s="2" customFormat="1">
      <c r="A4841" s="1"/>
      <c r="E4841"/>
      <c r="F4841"/>
      <c r="G4841"/>
      <c r="H4841"/>
      <c r="I4841"/>
      <c r="J4841"/>
    </row>
    <row r="4842" spans="1:10" s="2" customFormat="1">
      <c r="A4842" s="1"/>
      <c r="E4842"/>
      <c r="F4842"/>
      <c r="G4842"/>
      <c r="H4842"/>
      <c r="I4842"/>
      <c r="J4842"/>
    </row>
    <row r="4843" spans="1:10" s="2" customFormat="1">
      <c r="A4843" s="1"/>
      <c r="E4843"/>
      <c r="F4843"/>
      <c r="G4843"/>
      <c r="H4843"/>
      <c r="I4843"/>
      <c r="J4843"/>
    </row>
    <row r="4844" spans="1:10" s="2" customFormat="1">
      <c r="A4844" s="1"/>
      <c r="E4844"/>
      <c r="F4844"/>
      <c r="G4844"/>
      <c r="H4844"/>
      <c r="I4844"/>
      <c r="J4844"/>
    </row>
    <row r="4845" spans="1:10" s="2" customFormat="1">
      <c r="A4845" s="1"/>
      <c r="E4845"/>
      <c r="F4845"/>
      <c r="G4845"/>
      <c r="H4845"/>
      <c r="I4845"/>
      <c r="J4845"/>
    </row>
    <row r="4846" spans="1:10" s="2" customFormat="1">
      <c r="A4846" s="1"/>
      <c r="E4846"/>
      <c r="F4846"/>
      <c r="G4846"/>
      <c r="H4846"/>
      <c r="I4846"/>
      <c r="J4846"/>
    </row>
    <row r="4847" spans="1:10" s="2" customFormat="1">
      <c r="A4847" s="1"/>
      <c r="E4847"/>
      <c r="F4847"/>
      <c r="G4847"/>
      <c r="H4847"/>
      <c r="I4847"/>
      <c r="J4847"/>
    </row>
    <row r="4848" spans="1:10" s="2" customFormat="1">
      <c r="A4848" s="1"/>
      <c r="E4848"/>
      <c r="F4848"/>
      <c r="G4848"/>
      <c r="H4848"/>
      <c r="I4848"/>
      <c r="J4848"/>
    </row>
    <row r="4849" spans="1:10" s="2" customFormat="1">
      <c r="A4849" s="1"/>
      <c r="E4849"/>
      <c r="F4849"/>
      <c r="G4849"/>
      <c r="H4849"/>
      <c r="I4849"/>
      <c r="J4849"/>
    </row>
    <row r="4850" spans="1:10" s="2" customFormat="1">
      <c r="A4850" s="1"/>
      <c r="E4850"/>
      <c r="F4850"/>
      <c r="G4850"/>
      <c r="H4850"/>
      <c r="I4850"/>
      <c r="J4850"/>
    </row>
    <row r="4851" spans="1:10" s="2" customFormat="1">
      <c r="A4851" s="1"/>
      <c r="E4851"/>
      <c r="F4851"/>
      <c r="G4851"/>
      <c r="H4851"/>
      <c r="I4851"/>
      <c r="J4851"/>
    </row>
    <row r="4852" spans="1:10" s="2" customFormat="1">
      <c r="A4852" s="1"/>
      <c r="E4852"/>
      <c r="F4852"/>
      <c r="G4852"/>
      <c r="H4852"/>
      <c r="I4852"/>
      <c r="J4852"/>
    </row>
    <row r="4853" spans="1:10" s="2" customFormat="1">
      <c r="A4853" s="1"/>
      <c r="E4853"/>
      <c r="F4853"/>
      <c r="G4853"/>
      <c r="H4853"/>
      <c r="I4853"/>
      <c r="J4853"/>
    </row>
    <row r="4854" spans="1:10" s="2" customFormat="1">
      <c r="A4854" s="1"/>
      <c r="E4854"/>
      <c r="F4854"/>
      <c r="G4854"/>
      <c r="H4854"/>
      <c r="I4854"/>
      <c r="J4854"/>
    </row>
    <row r="4855" spans="1:10" s="2" customFormat="1">
      <c r="A4855" s="1"/>
      <c r="E4855"/>
      <c r="F4855"/>
      <c r="G4855"/>
      <c r="H4855"/>
      <c r="I4855"/>
      <c r="J4855"/>
    </row>
    <row r="4856" spans="1:10" s="2" customFormat="1">
      <c r="A4856" s="1"/>
      <c r="E4856"/>
      <c r="F4856"/>
      <c r="G4856"/>
      <c r="H4856"/>
      <c r="I4856"/>
      <c r="J4856"/>
    </row>
    <row r="4857" spans="1:10" s="2" customFormat="1">
      <c r="A4857" s="1"/>
      <c r="E4857"/>
      <c r="F4857"/>
      <c r="G4857"/>
      <c r="H4857"/>
      <c r="I4857"/>
      <c r="J4857"/>
    </row>
    <row r="4858" spans="1:10" s="2" customFormat="1">
      <c r="A4858" s="1"/>
      <c r="E4858"/>
      <c r="F4858"/>
      <c r="G4858"/>
      <c r="H4858"/>
      <c r="I4858"/>
      <c r="J4858"/>
    </row>
    <row r="4859" spans="1:10" s="2" customFormat="1">
      <c r="A4859" s="1"/>
      <c r="E4859"/>
      <c r="F4859"/>
      <c r="G4859"/>
      <c r="H4859"/>
      <c r="I4859"/>
      <c r="J4859"/>
    </row>
    <row r="4860" spans="1:10" s="2" customFormat="1">
      <c r="A4860" s="1"/>
      <c r="E4860"/>
      <c r="F4860"/>
      <c r="G4860"/>
      <c r="H4860"/>
      <c r="I4860"/>
      <c r="J4860"/>
    </row>
    <row r="4861" spans="1:10" s="2" customFormat="1">
      <c r="A4861" s="1"/>
      <c r="E4861"/>
      <c r="F4861"/>
      <c r="G4861"/>
      <c r="H4861"/>
      <c r="I4861"/>
      <c r="J4861"/>
    </row>
    <row r="4862" spans="1:10" s="2" customFormat="1">
      <c r="A4862" s="1"/>
      <c r="E4862"/>
      <c r="F4862"/>
      <c r="G4862"/>
      <c r="H4862"/>
      <c r="I4862"/>
      <c r="J4862"/>
    </row>
    <row r="4863" spans="1:10" s="2" customFormat="1">
      <c r="A4863" s="1"/>
      <c r="E4863"/>
      <c r="F4863"/>
      <c r="G4863"/>
      <c r="H4863"/>
      <c r="I4863"/>
      <c r="J4863"/>
    </row>
    <row r="4864" spans="1:10" s="2" customFormat="1">
      <c r="A4864" s="1"/>
      <c r="E4864"/>
      <c r="F4864"/>
      <c r="G4864"/>
      <c r="H4864"/>
      <c r="I4864"/>
      <c r="J4864"/>
    </row>
    <row r="4865" spans="1:10" s="2" customFormat="1">
      <c r="A4865" s="1"/>
      <c r="E4865"/>
      <c r="F4865"/>
      <c r="G4865"/>
      <c r="H4865"/>
      <c r="I4865"/>
      <c r="J4865"/>
    </row>
    <row r="4866" spans="1:10" s="2" customFormat="1">
      <c r="A4866" s="1"/>
      <c r="E4866"/>
      <c r="F4866"/>
      <c r="G4866"/>
      <c r="H4866"/>
      <c r="I4866"/>
      <c r="J4866"/>
    </row>
    <row r="4867" spans="1:10" s="2" customFormat="1">
      <c r="A4867" s="1"/>
      <c r="E4867"/>
      <c r="F4867"/>
      <c r="G4867"/>
      <c r="H4867"/>
      <c r="I4867"/>
      <c r="J4867"/>
    </row>
    <row r="4868" spans="1:10" s="2" customFormat="1">
      <c r="A4868" s="1"/>
      <c r="E4868"/>
      <c r="F4868"/>
      <c r="G4868"/>
      <c r="H4868"/>
      <c r="I4868"/>
      <c r="J4868"/>
    </row>
    <row r="4869" spans="1:10" s="2" customFormat="1">
      <c r="A4869" s="1"/>
      <c r="E4869"/>
      <c r="F4869"/>
      <c r="G4869"/>
      <c r="H4869"/>
      <c r="I4869"/>
      <c r="J4869"/>
    </row>
    <row r="4870" spans="1:10" s="2" customFormat="1">
      <c r="A4870" s="1"/>
      <c r="E4870"/>
      <c r="F4870"/>
      <c r="G4870"/>
      <c r="H4870"/>
      <c r="I4870"/>
      <c r="J4870"/>
    </row>
    <row r="4871" spans="1:10" s="2" customFormat="1">
      <c r="A4871" s="1"/>
      <c r="E4871"/>
      <c r="F4871"/>
      <c r="G4871"/>
      <c r="H4871"/>
      <c r="I4871"/>
      <c r="J4871"/>
    </row>
    <row r="4872" spans="1:10" s="2" customFormat="1">
      <c r="A4872" s="1"/>
      <c r="E4872"/>
      <c r="F4872"/>
      <c r="G4872"/>
      <c r="H4872"/>
      <c r="I4872"/>
      <c r="J4872"/>
    </row>
    <row r="4873" spans="1:10" s="2" customFormat="1">
      <c r="A4873" s="1"/>
      <c r="E4873"/>
      <c r="F4873"/>
      <c r="G4873"/>
      <c r="H4873"/>
      <c r="I4873"/>
      <c r="J4873"/>
    </row>
    <row r="4874" spans="1:10" s="2" customFormat="1">
      <c r="A4874" s="1"/>
      <c r="E4874"/>
      <c r="F4874"/>
      <c r="G4874"/>
      <c r="H4874"/>
      <c r="I4874"/>
      <c r="J4874"/>
    </row>
    <row r="4875" spans="1:10" s="2" customFormat="1">
      <c r="A4875" s="1"/>
      <c r="E4875"/>
      <c r="F4875"/>
      <c r="G4875"/>
      <c r="H4875"/>
      <c r="I4875"/>
      <c r="J4875"/>
    </row>
    <row r="4876" spans="1:10" s="2" customFormat="1">
      <c r="A4876" s="1"/>
      <c r="E4876"/>
      <c r="F4876"/>
      <c r="G4876"/>
      <c r="H4876"/>
      <c r="I4876"/>
      <c r="J4876"/>
    </row>
    <row r="4877" spans="1:10" s="2" customFormat="1">
      <c r="A4877" s="1"/>
      <c r="E4877"/>
      <c r="F4877"/>
      <c r="G4877"/>
      <c r="H4877"/>
      <c r="I4877"/>
      <c r="J4877"/>
    </row>
    <row r="4878" spans="1:10" s="2" customFormat="1">
      <c r="A4878" s="1"/>
      <c r="E4878"/>
      <c r="F4878"/>
      <c r="G4878"/>
      <c r="H4878"/>
      <c r="I4878"/>
      <c r="J4878"/>
    </row>
    <row r="4879" spans="1:10" s="2" customFormat="1">
      <c r="A4879" s="1"/>
      <c r="E4879"/>
      <c r="F4879"/>
      <c r="G4879"/>
      <c r="H4879"/>
      <c r="I4879"/>
      <c r="J4879"/>
    </row>
    <row r="4880" spans="1:10" s="2" customFormat="1">
      <c r="A4880" s="1"/>
      <c r="E4880"/>
      <c r="F4880"/>
      <c r="G4880"/>
      <c r="H4880"/>
      <c r="I4880"/>
      <c r="J4880"/>
    </row>
    <row r="4881" spans="1:10" s="2" customFormat="1">
      <c r="A4881" s="1"/>
      <c r="E4881"/>
      <c r="F4881"/>
      <c r="G4881"/>
      <c r="H4881"/>
      <c r="I4881"/>
      <c r="J4881"/>
    </row>
    <row r="4882" spans="1:10" s="2" customFormat="1">
      <c r="A4882" s="1"/>
      <c r="E4882"/>
      <c r="F4882"/>
      <c r="G4882"/>
      <c r="H4882"/>
      <c r="I4882"/>
      <c r="J4882"/>
    </row>
    <row r="4883" spans="1:10" s="2" customFormat="1">
      <c r="A4883" s="1"/>
      <c r="E4883"/>
      <c r="F4883"/>
      <c r="G4883"/>
      <c r="H4883"/>
      <c r="I4883"/>
      <c r="J4883"/>
    </row>
    <row r="4884" spans="1:10" s="2" customFormat="1">
      <c r="A4884" s="1"/>
      <c r="E4884"/>
      <c r="F4884"/>
      <c r="G4884"/>
      <c r="H4884"/>
      <c r="I4884"/>
      <c r="J4884"/>
    </row>
    <row r="4885" spans="1:10" s="2" customFormat="1">
      <c r="A4885" s="1"/>
      <c r="E4885"/>
      <c r="F4885"/>
      <c r="G4885"/>
      <c r="H4885"/>
      <c r="I4885"/>
      <c r="J4885"/>
    </row>
    <row r="4886" spans="1:10" s="2" customFormat="1">
      <c r="A4886" s="1"/>
      <c r="E4886"/>
      <c r="F4886"/>
      <c r="G4886"/>
      <c r="H4886"/>
      <c r="I4886"/>
      <c r="J4886"/>
    </row>
    <row r="4887" spans="1:10" s="2" customFormat="1">
      <c r="A4887" s="1"/>
      <c r="E4887"/>
      <c r="F4887"/>
      <c r="G4887"/>
      <c r="H4887"/>
      <c r="I4887"/>
      <c r="J4887"/>
    </row>
    <row r="4888" spans="1:10" s="2" customFormat="1">
      <c r="A4888" s="1"/>
      <c r="E4888"/>
      <c r="F4888"/>
      <c r="G4888"/>
      <c r="H4888"/>
      <c r="I4888"/>
      <c r="J4888"/>
    </row>
    <row r="4889" spans="1:10" s="2" customFormat="1">
      <c r="A4889" s="1"/>
      <c r="E4889"/>
      <c r="F4889"/>
      <c r="G4889"/>
      <c r="H4889"/>
      <c r="I4889"/>
      <c r="J4889"/>
    </row>
    <row r="4890" spans="1:10" s="2" customFormat="1">
      <c r="A4890" s="1"/>
      <c r="E4890"/>
      <c r="F4890"/>
      <c r="G4890"/>
      <c r="H4890"/>
      <c r="I4890"/>
      <c r="J4890"/>
    </row>
    <row r="4891" spans="1:10" s="2" customFormat="1">
      <c r="A4891" s="1"/>
      <c r="E4891"/>
      <c r="F4891"/>
      <c r="G4891"/>
      <c r="H4891"/>
      <c r="I4891"/>
      <c r="J4891"/>
    </row>
    <row r="4892" spans="1:10" s="2" customFormat="1">
      <c r="A4892" s="1"/>
      <c r="E4892"/>
      <c r="F4892"/>
      <c r="G4892"/>
      <c r="H4892"/>
      <c r="I4892"/>
      <c r="J4892"/>
    </row>
    <row r="4893" spans="1:10" s="2" customFormat="1">
      <c r="A4893" s="1"/>
      <c r="E4893"/>
      <c r="F4893"/>
      <c r="G4893"/>
      <c r="H4893"/>
      <c r="I4893"/>
      <c r="J4893"/>
    </row>
    <row r="4894" spans="1:10" s="2" customFormat="1">
      <c r="A4894" s="1"/>
      <c r="E4894"/>
      <c r="F4894"/>
      <c r="G4894"/>
      <c r="H4894"/>
      <c r="I4894"/>
      <c r="J4894"/>
    </row>
    <row r="4895" spans="1:10" s="2" customFormat="1">
      <c r="A4895" s="1"/>
      <c r="E4895"/>
      <c r="F4895"/>
      <c r="G4895"/>
      <c r="H4895"/>
      <c r="I4895"/>
      <c r="J4895"/>
    </row>
    <row r="4896" spans="1:10" s="2" customFormat="1">
      <c r="A4896" s="1"/>
      <c r="E4896"/>
      <c r="F4896"/>
      <c r="G4896"/>
      <c r="H4896"/>
      <c r="I4896"/>
      <c r="J4896"/>
    </row>
    <row r="4897" spans="1:10" s="2" customFormat="1">
      <c r="A4897" s="1"/>
      <c r="E4897"/>
      <c r="F4897"/>
      <c r="G4897"/>
      <c r="H4897"/>
      <c r="I4897"/>
      <c r="J4897"/>
    </row>
    <row r="4898" spans="1:10" s="2" customFormat="1">
      <c r="A4898" s="1"/>
      <c r="E4898"/>
      <c r="F4898"/>
      <c r="G4898"/>
      <c r="H4898"/>
      <c r="I4898"/>
      <c r="J4898"/>
    </row>
    <row r="4899" spans="1:10" s="2" customFormat="1">
      <c r="A4899" s="1"/>
      <c r="E4899"/>
      <c r="F4899"/>
      <c r="G4899"/>
      <c r="H4899"/>
      <c r="I4899"/>
      <c r="J4899"/>
    </row>
    <row r="4900" spans="1:10" s="2" customFormat="1">
      <c r="A4900" s="1"/>
      <c r="E4900"/>
      <c r="F4900"/>
      <c r="G4900"/>
      <c r="H4900"/>
      <c r="I4900"/>
      <c r="J4900"/>
    </row>
    <row r="4901" spans="1:10" s="2" customFormat="1">
      <c r="A4901" s="1"/>
      <c r="E4901"/>
      <c r="F4901"/>
      <c r="G4901"/>
      <c r="H4901"/>
      <c r="I4901"/>
      <c r="J4901"/>
    </row>
    <row r="4902" spans="1:10" s="2" customFormat="1">
      <c r="A4902" s="1"/>
      <c r="E4902"/>
      <c r="F4902"/>
      <c r="G4902"/>
      <c r="H4902"/>
      <c r="I4902"/>
      <c r="J4902"/>
    </row>
    <row r="4903" spans="1:10" s="2" customFormat="1">
      <c r="A4903" s="1"/>
      <c r="E4903"/>
      <c r="F4903"/>
      <c r="G4903"/>
      <c r="H4903"/>
      <c r="I4903"/>
      <c r="J4903"/>
    </row>
    <row r="4904" spans="1:10" s="2" customFormat="1">
      <c r="A4904" s="1"/>
      <c r="E4904"/>
      <c r="F4904"/>
      <c r="G4904"/>
      <c r="H4904"/>
      <c r="I4904"/>
      <c r="J4904"/>
    </row>
    <row r="4905" spans="1:10" s="2" customFormat="1">
      <c r="A4905" s="1"/>
      <c r="E4905"/>
      <c r="F4905"/>
      <c r="G4905"/>
      <c r="H4905"/>
      <c r="I4905"/>
      <c r="J4905"/>
    </row>
    <row r="4906" spans="1:10" s="2" customFormat="1">
      <c r="A4906" s="1"/>
      <c r="E4906"/>
      <c r="F4906"/>
      <c r="G4906"/>
      <c r="H4906"/>
      <c r="I4906"/>
      <c r="J4906"/>
    </row>
    <row r="4907" spans="1:10" s="2" customFormat="1">
      <c r="A4907" s="1"/>
      <c r="E4907"/>
      <c r="F4907"/>
      <c r="G4907"/>
      <c r="H4907"/>
      <c r="I4907"/>
      <c r="J4907"/>
    </row>
    <row r="4908" spans="1:10" s="2" customFormat="1">
      <c r="A4908" s="1"/>
      <c r="E4908"/>
      <c r="F4908"/>
      <c r="G4908"/>
      <c r="H4908"/>
      <c r="I4908"/>
      <c r="J4908"/>
    </row>
    <row r="4909" spans="1:10" s="2" customFormat="1">
      <c r="A4909" s="1"/>
      <c r="E4909"/>
      <c r="F4909"/>
      <c r="G4909"/>
      <c r="H4909"/>
      <c r="I4909"/>
      <c r="J4909"/>
    </row>
    <row r="4910" spans="1:10" s="2" customFormat="1">
      <c r="A4910" s="1"/>
      <c r="E4910"/>
      <c r="F4910"/>
      <c r="G4910"/>
      <c r="H4910"/>
      <c r="I4910"/>
      <c r="J4910"/>
    </row>
    <row r="4911" spans="1:10" s="2" customFormat="1">
      <c r="A4911" s="1"/>
      <c r="E4911"/>
      <c r="F4911"/>
      <c r="G4911"/>
      <c r="H4911"/>
      <c r="I4911"/>
      <c r="J4911"/>
    </row>
    <row r="4912" spans="1:10" s="2" customFormat="1">
      <c r="A4912" s="1"/>
      <c r="E4912"/>
      <c r="F4912"/>
      <c r="G4912"/>
      <c r="H4912"/>
      <c r="I4912"/>
      <c r="J4912"/>
    </row>
    <row r="4913" spans="1:10" s="2" customFormat="1">
      <c r="A4913" s="1"/>
      <c r="E4913"/>
      <c r="F4913"/>
      <c r="G4913"/>
      <c r="H4913"/>
      <c r="I4913"/>
      <c r="J4913"/>
    </row>
    <row r="4914" spans="1:10" s="2" customFormat="1">
      <c r="A4914" s="1"/>
      <c r="E4914"/>
      <c r="F4914"/>
      <c r="G4914"/>
      <c r="H4914"/>
      <c r="I4914"/>
      <c r="J4914"/>
    </row>
    <row r="4915" spans="1:10" s="2" customFormat="1">
      <c r="A4915" s="1"/>
      <c r="E4915"/>
      <c r="F4915"/>
      <c r="G4915"/>
      <c r="H4915"/>
      <c r="I4915"/>
      <c r="J4915"/>
    </row>
    <row r="4916" spans="1:10" s="2" customFormat="1">
      <c r="A4916" s="1"/>
      <c r="E4916"/>
      <c r="F4916"/>
      <c r="G4916"/>
      <c r="H4916"/>
      <c r="I4916"/>
      <c r="J4916"/>
    </row>
    <row r="4917" spans="1:10" s="2" customFormat="1">
      <c r="A4917" s="1"/>
      <c r="E4917"/>
      <c r="F4917"/>
      <c r="G4917"/>
      <c r="H4917"/>
      <c r="I4917"/>
      <c r="J4917"/>
    </row>
    <row r="4918" spans="1:10" s="2" customFormat="1">
      <c r="A4918" s="1"/>
      <c r="E4918"/>
      <c r="F4918"/>
      <c r="G4918"/>
      <c r="H4918"/>
      <c r="I4918"/>
      <c r="J4918"/>
    </row>
    <row r="4919" spans="1:10" s="2" customFormat="1">
      <c r="A4919" s="1"/>
      <c r="E4919"/>
      <c r="F4919"/>
      <c r="G4919"/>
      <c r="H4919"/>
      <c r="I4919"/>
      <c r="J4919"/>
    </row>
    <row r="4920" spans="1:10" s="2" customFormat="1">
      <c r="A4920" s="1"/>
      <c r="E4920"/>
      <c r="F4920"/>
      <c r="G4920"/>
      <c r="H4920"/>
      <c r="I4920"/>
      <c r="J4920"/>
    </row>
    <row r="4921" spans="1:10" s="2" customFormat="1">
      <c r="A4921" s="1"/>
      <c r="E4921"/>
      <c r="F4921"/>
      <c r="G4921"/>
      <c r="H4921"/>
      <c r="I4921"/>
      <c r="J4921"/>
    </row>
    <row r="4922" spans="1:10" s="2" customFormat="1">
      <c r="A4922" s="1"/>
      <c r="E4922"/>
      <c r="F4922"/>
      <c r="G4922"/>
      <c r="H4922"/>
      <c r="I4922"/>
      <c r="J4922"/>
    </row>
    <row r="4923" spans="1:10" s="2" customFormat="1">
      <c r="A4923" s="1"/>
      <c r="E4923"/>
      <c r="F4923"/>
      <c r="G4923"/>
      <c r="H4923"/>
      <c r="I4923"/>
      <c r="J4923"/>
    </row>
    <row r="4924" spans="1:10" s="2" customFormat="1">
      <c r="A4924" s="1"/>
      <c r="E4924"/>
      <c r="F4924"/>
      <c r="G4924"/>
      <c r="H4924"/>
      <c r="I4924"/>
      <c r="J4924"/>
    </row>
    <row r="4925" spans="1:10" s="2" customFormat="1">
      <c r="A4925" s="1"/>
      <c r="E4925"/>
      <c r="F4925"/>
      <c r="G4925"/>
      <c r="H4925"/>
      <c r="I4925"/>
      <c r="J4925"/>
    </row>
    <row r="4926" spans="1:10" s="2" customFormat="1">
      <c r="A4926" s="1"/>
      <c r="E4926"/>
      <c r="F4926"/>
      <c r="G4926"/>
      <c r="H4926"/>
      <c r="I4926"/>
      <c r="J4926"/>
    </row>
    <row r="4927" spans="1:10" s="2" customFormat="1">
      <c r="A4927" s="1"/>
      <c r="E4927"/>
      <c r="F4927"/>
      <c r="G4927"/>
      <c r="H4927"/>
      <c r="I4927"/>
      <c r="J4927"/>
    </row>
    <row r="4928" spans="1:10" s="2" customFormat="1">
      <c r="A4928" s="1"/>
      <c r="E4928"/>
      <c r="F4928"/>
      <c r="G4928"/>
      <c r="H4928"/>
      <c r="I4928"/>
      <c r="J4928"/>
    </row>
    <row r="4929" spans="1:10" s="2" customFormat="1">
      <c r="A4929" s="1"/>
      <c r="E4929"/>
      <c r="F4929"/>
      <c r="G4929"/>
      <c r="H4929"/>
      <c r="I4929"/>
      <c r="J4929"/>
    </row>
    <row r="4930" spans="1:10" s="2" customFormat="1">
      <c r="A4930" s="1"/>
      <c r="E4930"/>
      <c r="F4930"/>
      <c r="G4930"/>
      <c r="H4930"/>
      <c r="I4930"/>
      <c r="J4930"/>
    </row>
    <row r="4931" spans="1:10" s="2" customFormat="1">
      <c r="A4931" s="1"/>
      <c r="E4931"/>
      <c r="F4931"/>
      <c r="G4931"/>
      <c r="H4931"/>
      <c r="I4931"/>
      <c r="J4931"/>
    </row>
    <row r="4932" spans="1:10" s="2" customFormat="1">
      <c r="A4932" s="1"/>
      <c r="E4932"/>
      <c r="F4932"/>
      <c r="G4932"/>
      <c r="H4932"/>
      <c r="I4932"/>
      <c r="J4932"/>
    </row>
    <row r="4933" spans="1:10" s="2" customFormat="1">
      <c r="A4933" s="1"/>
      <c r="E4933"/>
      <c r="F4933"/>
      <c r="G4933"/>
      <c r="H4933"/>
      <c r="I4933"/>
      <c r="J4933"/>
    </row>
    <row r="4934" spans="1:10" s="2" customFormat="1">
      <c r="A4934" s="1"/>
      <c r="E4934"/>
      <c r="F4934"/>
      <c r="G4934"/>
      <c r="H4934"/>
      <c r="I4934"/>
      <c r="J4934"/>
    </row>
    <row r="4935" spans="1:10" s="2" customFormat="1">
      <c r="A4935" s="1"/>
      <c r="E4935"/>
      <c r="F4935"/>
      <c r="G4935"/>
      <c r="H4935"/>
      <c r="I4935"/>
      <c r="J4935"/>
    </row>
    <row r="4936" spans="1:10" s="2" customFormat="1">
      <c r="A4936" s="1"/>
      <c r="E4936"/>
      <c r="F4936"/>
      <c r="G4936"/>
      <c r="H4936"/>
      <c r="I4936"/>
      <c r="J4936"/>
    </row>
    <row r="4937" spans="1:10" s="2" customFormat="1">
      <c r="A4937" s="1"/>
      <c r="E4937"/>
      <c r="F4937"/>
      <c r="G4937"/>
      <c r="H4937"/>
      <c r="I4937"/>
      <c r="J4937"/>
    </row>
    <row r="4938" spans="1:10" s="2" customFormat="1">
      <c r="A4938" s="1"/>
      <c r="E4938"/>
      <c r="F4938"/>
      <c r="G4938"/>
      <c r="H4938"/>
      <c r="I4938"/>
      <c r="J4938"/>
    </row>
    <row r="4939" spans="1:10" s="2" customFormat="1">
      <c r="A4939" s="1"/>
      <c r="E4939"/>
      <c r="F4939"/>
      <c r="G4939"/>
      <c r="H4939"/>
      <c r="I4939"/>
      <c r="J4939"/>
    </row>
    <row r="4940" spans="1:10" s="2" customFormat="1">
      <c r="A4940" s="1"/>
      <c r="E4940"/>
      <c r="F4940"/>
      <c r="G4940"/>
      <c r="H4940"/>
      <c r="I4940"/>
      <c r="J4940"/>
    </row>
    <row r="4941" spans="1:10" s="2" customFormat="1">
      <c r="A4941" s="1"/>
      <c r="E4941"/>
      <c r="F4941"/>
      <c r="G4941"/>
      <c r="H4941"/>
      <c r="I4941"/>
      <c r="J4941"/>
    </row>
    <row r="4942" spans="1:10" s="2" customFormat="1">
      <c r="A4942" s="1"/>
      <c r="E4942"/>
      <c r="F4942"/>
      <c r="G4942"/>
      <c r="H4942"/>
      <c r="I4942"/>
      <c r="J4942"/>
    </row>
    <row r="4943" spans="1:10" s="2" customFormat="1">
      <c r="A4943" s="1"/>
      <c r="E4943"/>
      <c r="F4943"/>
      <c r="G4943"/>
      <c r="H4943"/>
      <c r="I4943"/>
      <c r="J4943"/>
    </row>
    <row r="4944" spans="1:10" s="2" customFormat="1">
      <c r="A4944" s="1"/>
      <c r="E4944"/>
      <c r="F4944"/>
      <c r="G4944"/>
      <c r="H4944"/>
      <c r="I4944"/>
      <c r="J4944"/>
    </row>
    <row r="4945" spans="1:10" s="2" customFormat="1">
      <c r="A4945" s="1"/>
      <c r="E4945"/>
      <c r="F4945"/>
      <c r="G4945"/>
      <c r="H4945"/>
      <c r="I4945"/>
      <c r="J4945"/>
    </row>
    <row r="4946" spans="1:10" s="2" customFormat="1">
      <c r="A4946" s="1"/>
      <c r="E4946"/>
      <c r="F4946"/>
      <c r="G4946"/>
      <c r="H4946"/>
      <c r="I4946"/>
      <c r="J4946"/>
    </row>
    <row r="4947" spans="1:10" s="2" customFormat="1">
      <c r="A4947" s="1"/>
      <c r="E4947"/>
      <c r="F4947"/>
      <c r="G4947"/>
      <c r="H4947"/>
      <c r="I4947"/>
      <c r="J4947"/>
    </row>
    <row r="4948" spans="1:10" s="2" customFormat="1">
      <c r="A4948" s="1"/>
      <c r="E4948"/>
      <c r="F4948"/>
      <c r="G4948"/>
      <c r="H4948"/>
      <c r="I4948"/>
      <c r="J4948"/>
    </row>
    <row r="4949" spans="1:10" s="2" customFormat="1">
      <c r="A4949" s="1"/>
      <c r="E4949"/>
      <c r="F4949"/>
      <c r="G4949"/>
      <c r="H4949"/>
      <c r="I4949"/>
      <c r="J4949"/>
    </row>
    <row r="4950" spans="1:10" s="2" customFormat="1">
      <c r="A4950" s="1"/>
      <c r="E4950"/>
      <c r="F4950"/>
      <c r="G4950"/>
      <c r="H4950"/>
      <c r="I4950"/>
      <c r="J4950"/>
    </row>
    <row r="4951" spans="1:10" s="2" customFormat="1">
      <c r="A4951" s="1"/>
      <c r="E4951"/>
      <c r="F4951"/>
      <c r="G4951"/>
      <c r="H4951"/>
      <c r="I4951"/>
      <c r="J4951"/>
    </row>
    <row r="4952" spans="1:10" s="2" customFormat="1">
      <c r="A4952" s="1"/>
      <c r="E4952"/>
      <c r="F4952"/>
      <c r="G4952"/>
      <c r="H4952"/>
      <c r="I4952"/>
      <c r="J4952"/>
    </row>
    <row r="4953" spans="1:10" s="2" customFormat="1">
      <c r="A4953" s="1"/>
      <c r="E4953"/>
      <c r="F4953"/>
      <c r="G4953"/>
      <c r="H4953"/>
      <c r="I4953"/>
      <c r="J4953"/>
    </row>
    <row r="4954" spans="1:10" s="2" customFormat="1">
      <c r="A4954" s="1"/>
      <c r="E4954"/>
      <c r="F4954"/>
      <c r="G4954"/>
      <c r="H4954"/>
      <c r="I4954"/>
      <c r="J4954"/>
    </row>
    <row r="4955" spans="1:10" s="2" customFormat="1">
      <c r="A4955" s="1"/>
      <c r="E4955"/>
      <c r="F4955"/>
      <c r="G4955"/>
      <c r="H4955"/>
      <c r="I4955"/>
      <c r="J4955"/>
    </row>
    <row r="4956" spans="1:10" s="2" customFormat="1">
      <c r="A4956" s="1"/>
      <c r="E4956"/>
      <c r="F4956"/>
      <c r="G4956"/>
      <c r="H4956"/>
      <c r="I4956"/>
      <c r="J4956"/>
    </row>
    <row r="4957" spans="1:10" s="2" customFormat="1">
      <c r="A4957" s="1"/>
      <c r="E4957"/>
      <c r="F4957"/>
      <c r="G4957"/>
      <c r="H4957"/>
      <c r="I4957"/>
      <c r="J4957"/>
    </row>
    <row r="4958" spans="1:10" s="2" customFormat="1">
      <c r="A4958" s="1"/>
      <c r="E4958"/>
      <c r="F4958"/>
      <c r="G4958"/>
      <c r="H4958"/>
      <c r="I4958"/>
      <c r="J4958"/>
    </row>
    <row r="4959" spans="1:10" s="2" customFormat="1">
      <c r="A4959" s="1"/>
      <c r="E4959"/>
      <c r="F4959"/>
      <c r="G4959"/>
      <c r="H4959"/>
      <c r="I4959"/>
      <c r="J4959"/>
    </row>
    <row r="4960" spans="1:10" s="2" customFormat="1">
      <c r="A4960" s="1"/>
      <c r="E4960"/>
      <c r="F4960"/>
      <c r="G4960"/>
      <c r="H4960"/>
      <c r="I4960"/>
      <c r="J4960"/>
    </row>
    <row r="4961" spans="1:10" s="2" customFormat="1">
      <c r="A4961" s="1"/>
      <c r="E4961"/>
      <c r="F4961"/>
      <c r="G4961"/>
      <c r="H4961"/>
      <c r="I4961"/>
      <c r="J4961"/>
    </row>
    <row r="4962" spans="1:10" s="2" customFormat="1">
      <c r="A4962" s="1"/>
      <c r="E4962"/>
      <c r="F4962"/>
      <c r="G4962"/>
      <c r="H4962"/>
      <c r="I4962"/>
      <c r="J4962"/>
    </row>
    <row r="4963" spans="1:10" s="2" customFormat="1">
      <c r="A4963" s="1"/>
      <c r="E4963"/>
      <c r="F4963"/>
      <c r="G4963"/>
      <c r="H4963"/>
      <c r="I4963"/>
      <c r="J4963"/>
    </row>
    <row r="4964" spans="1:10" s="2" customFormat="1">
      <c r="A4964" s="1"/>
      <c r="E4964"/>
      <c r="F4964"/>
      <c r="G4964"/>
      <c r="H4964"/>
      <c r="I4964"/>
      <c r="J4964"/>
    </row>
    <row r="4965" spans="1:10" s="2" customFormat="1">
      <c r="A4965" s="1"/>
      <c r="E4965"/>
      <c r="F4965"/>
      <c r="G4965"/>
      <c r="H4965"/>
      <c r="I4965"/>
      <c r="J4965"/>
    </row>
    <row r="4966" spans="1:10" s="2" customFormat="1">
      <c r="A4966" s="1"/>
      <c r="E4966"/>
      <c r="F4966"/>
      <c r="G4966"/>
      <c r="H4966"/>
      <c r="I4966"/>
      <c r="J4966"/>
    </row>
    <row r="4967" spans="1:10" s="2" customFormat="1">
      <c r="A4967" s="1"/>
      <c r="E4967"/>
      <c r="F4967"/>
      <c r="G4967"/>
      <c r="H4967"/>
      <c r="I4967"/>
      <c r="J4967"/>
    </row>
    <row r="4968" spans="1:10" s="2" customFormat="1">
      <c r="A4968" s="1"/>
      <c r="E4968"/>
      <c r="F4968"/>
      <c r="G4968"/>
      <c r="H4968"/>
      <c r="I4968"/>
      <c r="J4968"/>
    </row>
    <row r="4969" spans="1:10" s="2" customFormat="1">
      <c r="A4969" s="1"/>
      <c r="E4969"/>
      <c r="F4969"/>
      <c r="G4969"/>
      <c r="H4969"/>
      <c r="I4969"/>
      <c r="J4969"/>
    </row>
    <row r="4970" spans="1:10" s="2" customFormat="1">
      <c r="A4970" s="1"/>
      <c r="E4970"/>
      <c r="F4970"/>
      <c r="G4970"/>
      <c r="H4970"/>
      <c r="I4970"/>
      <c r="J4970"/>
    </row>
    <row r="4971" spans="1:10" s="2" customFormat="1">
      <c r="A4971" s="1"/>
      <c r="E4971"/>
      <c r="F4971"/>
      <c r="G4971"/>
      <c r="H4971"/>
      <c r="I4971"/>
      <c r="J4971"/>
    </row>
    <row r="4972" spans="1:10" s="2" customFormat="1">
      <c r="A4972" s="1"/>
      <c r="E4972"/>
      <c r="F4972"/>
      <c r="G4972"/>
      <c r="H4972"/>
      <c r="I4972"/>
      <c r="J4972"/>
    </row>
    <row r="4973" spans="1:10" s="2" customFormat="1">
      <c r="A4973" s="1"/>
      <c r="E4973"/>
      <c r="F4973"/>
      <c r="G4973"/>
      <c r="H4973"/>
      <c r="I4973"/>
      <c r="J4973"/>
    </row>
    <row r="4974" spans="1:10" s="2" customFormat="1">
      <c r="A4974" s="1"/>
      <c r="E4974"/>
      <c r="F4974"/>
      <c r="G4974"/>
      <c r="H4974"/>
      <c r="I4974"/>
      <c r="J4974"/>
    </row>
    <row r="4975" spans="1:10" s="2" customFormat="1">
      <c r="A4975" s="1"/>
      <c r="E4975"/>
      <c r="F4975"/>
      <c r="G4975"/>
      <c r="H4975"/>
      <c r="I4975"/>
      <c r="J4975"/>
    </row>
    <row r="4976" spans="1:10" s="2" customFormat="1">
      <c r="A4976" s="1"/>
      <c r="E4976"/>
      <c r="F4976"/>
      <c r="G4976"/>
      <c r="H4976"/>
      <c r="I4976"/>
      <c r="J4976"/>
    </row>
    <row r="4977" spans="1:10" s="2" customFormat="1">
      <c r="A4977" s="1"/>
      <c r="E4977"/>
      <c r="F4977"/>
      <c r="G4977"/>
      <c r="H4977"/>
      <c r="I4977"/>
      <c r="J4977"/>
    </row>
    <row r="4978" spans="1:10" s="2" customFormat="1">
      <c r="A4978" s="1"/>
      <c r="E4978"/>
      <c r="F4978"/>
      <c r="G4978"/>
      <c r="H4978"/>
      <c r="I4978"/>
      <c r="J4978"/>
    </row>
    <row r="4979" spans="1:10" s="2" customFormat="1">
      <c r="A4979" s="1"/>
      <c r="E4979"/>
      <c r="F4979"/>
      <c r="G4979"/>
      <c r="H4979"/>
      <c r="I4979"/>
      <c r="J4979"/>
    </row>
    <row r="4980" spans="1:10" s="2" customFormat="1">
      <c r="A4980" s="1"/>
      <c r="E4980"/>
      <c r="F4980"/>
      <c r="G4980"/>
      <c r="H4980"/>
      <c r="I4980"/>
      <c r="J4980"/>
    </row>
    <row r="4981" spans="1:10" s="2" customFormat="1">
      <c r="A4981" s="1"/>
      <c r="E4981"/>
      <c r="F4981"/>
      <c r="G4981"/>
      <c r="H4981"/>
      <c r="I4981"/>
      <c r="J4981"/>
    </row>
    <row r="4982" spans="1:10" s="2" customFormat="1">
      <c r="A4982" s="1"/>
      <c r="E4982"/>
      <c r="F4982"/>
      <c r="G4982"/>
      <c r="H4982"/>
      <c r="I4982"/>
      <c r="J4982"/>
    </row>
    <row r="4983" spans="1:10" s="2" customFormat="1">
      <c r="A4983" s="1"/>
      <c r="E4983"/>
      <c r="F4983"/>
      <c r="G4983"/>
      <c r="H4983"/>
      <c r="I4983"/>
      <c r="J4983"/>
    </row>
    <row r="4984" spans="1:10" s="2" customFormat="1">
      <c r="A4984" s="1"/>
      <c r="E4984"/>
      <c r="F4984"/>
      <c r="G4984"/>
      <c r="H4984"/>
      <c r="I4984"/>
      <c r="J4984"/>
    </row>
    <row r="4985" spans="1:10" s="2" customFormat="1">
      <c r="A4985" s="1"/>
      <c r="E4985"/>
      <c r="F4985"/>
      <c r="G4985"/>
      <c r="H4985"/>
      <c r="I4985"/>
      <c r="J4985"/>
    </row>
    <row r="4986" spans="1:10" s="2" customFormat="1">
      <c r="A4986" s="1"/>
      <c r="E4986"/>
      <c r="F4986"/>
      <c r="G4986"/>
      <c r="H4986"/>
      <c r="I4986"/>
      <c r="J4986"/>
    </row>
    <row r="4987" spans="1:10" s="2" customFormat="1">
      <c r="A4987" s="1"/>
      <c r="E4987"/>
      <c r="F4987"/>
      <c r="G4987"/>
      <c r="H4987"/>
      <c r="I4987"/>
      <c r="J4987"/>
    </row>
    <row r="4988" spans="1:10" s="2" customFormat="1">
      <c r="A4988" s="1"/>
      <c r="E4988"/>
      <c r="F4988"/>
      <c r="G4988"/>
      <c r="H4988"/>
      <c r="I4988"/>
      <c r="J4988"/>
    </row>
    <row r="4989" spans="1:10" s="2" customFormat="1">
      <c r="A4989" s="1"/>
      <c r="E4989"/>
      <c r="F4989"/>
      <c r="G4989"/>
      <c r="H4989"/>
      <c r="I4989"/>
      <c r="J4989"/>
    </row>
    <row r="4990" spans="1:10" s="2" customFormat="1">
      <c r="A4990" s="1"/>
      <c r="E4990"/>
      <c r="F4990"/>
      <c r="G4990"/>
      <c r="H4990"/>
      <c r="I4990"/>
      <c r="J4990"/>
    </row>
    <row r="4991" spans="1:10" s="2" customFormat="1">
      <c r="A4991" s="1"/>
      <c r="E4991"/>
      <c r="F4991"/>
      <c r="G4991"/>
      <c r="H4991"/>
      <c r="I4991"/>
      <c r="J4991"/>
    </row>
    <row r="4992" spans="1:10" s="2" customFormat="1">
      <c r="A4992" s="1"/>
      <c r="E4992"/>
      <c r="F4992"/>
      <c r="G4992"/>
      <c r="H4992"/>
      <c r="I4992"/>
      <c r="J4992"/>
    </row>
    <row r="4993" spans="1:10" s="2" customFormat="1">
      <c r="A4993" s="1"/>
      <c r="E4993"/>
      <c r="F4993"/>
      <c r="G4993"/>
      <c r="H4993"/>
      <c r="I4993"/>
      <c r="J4993"/>
    </row>
    <row r="4994" spans="1:10" s="2" customFormat="1">
      <c r="A4994" s="1"/>
      <c r="E4994"/>
      <c r="F4994"/>
      <c r="G4994"/>
      <c r="H4994"/>
      <c r="I4994"/>
      <c r="J4994"/>
    </row>
    <row r="4995" spans="1:10" s="2" customFormat="1">
      <c r="A4995" s="1"/>
      <c r="E4995"/>
      <c r="F4995"/>
      <c r="G4995"/>
      <c r="H4995"/>
      <c r="I4995"/>
      <c r="J4995"/>
    </row>
    <row r="4996" spans="1:10" s="2" customFormat="1">
      <c r="A4996" s="1"/>
      <c r="E4996"/>
      <c r="F4996"/>
      <c r="G4996"/>
      <c r="H4996"/>
      <c r="I4996"/>
      <c r="J4996"/>
    </row>
    <row r="4997" spans="1:10" s="2" customFormat="1">
      <c r="A4997" s="1"/>
      <c r="E4997"/>
      <c r="F4997"/>
      <c r="G4997"/>
      <c r="H4997"/>
      <c r="I4997"/>
      <c r="J4997"/>
    </row>
    <row r="4998" spans="1:10" s="2" customFormat="1">
      <c r="A4998" s="1"/>
      <c r="E4998"/>
      <c r="F4998"/>
      <c r="G4998"/>
      <c r="H4998"/>
      <c r="I4998"/>
      <c r="J4998"/>
    </row>
    <row r="4999" spans="1:10" s="2" customFormat="1">
      <c r="A4999" s="1"/>
      <c r="E4999"/>
      <c r="F4999"/>
      <c r="G4999"/>
      <c r="H4999"/>
      <c r="I4999"/>
      <c r="J4999"/>
    </row>
    <row r="5000" spans="1:10" s="2" customFormat="1">
      <c r="A5000" s="1"/>
      <c r="E5000"/>
      <c r="F5000"/>
      <c r="G5000"/>
      <c r="H5000"/>
      <c r="I5000"/>
      <c r="J5000"/>
    </row>
    <row r="5001" spans="1:10" s="2" customFormat="1">
      <c r="A5001" s="1"/>
      <c r="E5001"/>
      <c r="F5001"/>
      <c r="G5001"/>
      <c r="H5001"/>
      <c r="I5001"/>
      <c r="J5001"/>
    </row>
    <row r="5002" spans="1:10" s="2" customFormat="1">
      <c r="A5002" s="1"/>
      <c r="E5002"/>
      <c r="F5002"/>
      <c r="G5002"/>
      <c r="H5002"/>
      <c r="I5002"/>
      <c r="J5002"/>
    </row>
    <row r="5003" spans="1:10" s="2" customFormat="1">
      <c r="A5003" s="1"/>
      <c r="E5003"/>
      <c r="F5003"/>
      <c r="G5003"/>
      <c r="H5003"/>
      <c r="I5003"/>
      <c r="J5003"/>
    </row>
    <row r="5004" spans="1:10" s="2" customFormat="1">
      <c r="A5004" s="1"/>
      <c r="E5004"/>
      <c r="F5004"/>
      <c r="G5004"/>
      <c r="H5004"/>
      <c r="I5004"/>
      <c r="J5004"/>
    </row>
    <row r="5005" spans="1:10" s="2" customFormat="1">
      <c r="A5005" s="1"/>
      <c r="E5005"/>
      <c r="F5005"/>
      <c r="G5005"/>
      <c r="H5005"/>
      <c r="I5005"/>
      <c r="J5005"/>
    </row>
    <row r="5006" spans="1:10" s="2" customFormat="1">
      <c r="A5006" s="1"/>
      <c r="E5006"/>
      <c r="F5006"/>
      <c r="G5006"/>
      <c r="H5006"/>
      <c r="I5006"/>
      <c r="J5006"/>
    </row>
    <row r="5007" spans="1:10" s="2" customFormat="1">
      <c r="A5007" s="1"/>
      <c r="E5007"/>
      <c r="F5007"/>
      <c r="G5007"/>
      <c r="H5007"/>
      <c r="I5007"/>
      <c r="J5007"/>
    </row>
    <row r="5008" spans="1:10" s="2" customFormat="1">
      <c r="A5008" s="1"/>
      <c r="E5008"/>
      <c r="F5008"/>
      <c r="G5008"/>
      <c r="H5008"/>
      <c r="I5008"/>
      <c r="J5008"/>
    </row>
    <row r="5009" spans="1:10" s="2" customFormat="1">
      <c r="A5009" s="1"/>
      <c r="E5009"/>
      <c r="F5009"/>
      <c r="G5009"/>
      <c r="H5009"/>
      <c r="I5009"/>
      <c r="J5009"/>
    </row>
    <row r="5010" spans="1:10" s="2" customFormat="1">
      <c r="A5010" s="1"/>
      <c r="E5010"/>
      <c r="F5010"/>
      <c r="G5010"/>
      <c r="H5010"/>
      <c r="I5010"/>
      <c r="J5010"/>
    </row>
    <row r="5011" spans="1:10" s="2" customFormat="1">
      <c r="A5011" s="1"/>
      <c r="E5011"/>
      <c r="F5011"/>
      <c r="G5011"/>
      <c r="H5011"/>
      <c r="I5011"/>
      <c r="J5011"/>
    </row>
    <row r="5012" spans="1:10" s="2" customFormat="1">
      <c r="A5012" s="1"/>
      <c r="E5012"/>
      <c r="F5012"/>
      <c r="G5012"/>
      <c r="H5012"/>
      <c r="I5012"/>
      <c r="J5012"/>
    </row>
    <row r="5013" spans="1:10" s="2" customFormat="1">
      <c r="A5013" s="1"/>
      <c r="E5013"/>
      <c r="F5013"/>
      <c r="G5013"/>
      <c r="H5013"/>
      <c r="I5013"/>
      <c r="J5013"/>
    </row>
    <row r="5014" spans="1:10" s="2" customFormat="1">
      <c r="A5014" s="1"/>
      <c r="E5014"/>
      <c r="F5014"/>
      <c r="G5014"/>
      <c r="H5014"/>
      <c r="I5014"/>
      <c r="J5014"/>
    </row>
    <row r="5015" spans="1:10" s="2" customFormat="1">
      <c r="A5015" s="1"/>
      <c r="E5015"/>
      <c r="F5015"/>
      <c r="G5015"/>
      <c r="H5015"/>
      <c r="I5015"/>
      <c r="J5015"/>
    </row>
    <row r="5016" spans="1:10" s="2" customFormat="1">
      <c r="A5016" s="1"/>
      <c r="E5016"/>
      <c r="F5016"/>
      <c r="G5016"/>
      <c r="H5016"/>
      <c r="I5016"/>
      <c r="J5016"/>
    </row>
    <row r="5017" spans="1:10" s="2" customFormat="1">
      <c r="A5017" s="1"/>
      <c r="E5017"/>
      <c r="F5017"/>
      <c r="G5017"/>
      <c r="H5017"/>
      <c r="I5017"/>
      <c r="J5017"/>
    </row>
    <row r="5018" spans="1:10" s="2" customFormat="1">
      <c r="A5018" s="1"/>
      <c r="E5018"/>
      <c r="F5018"/>
      <c r="G5018"/>
      <c r="H5018"/>
      <c r="I5018"/>
      <c r="J5018"/>
    </row>
    <row r="5019" spans="1:10" s="2" customFormat="1">
      <c r="A5019" s="1"/>
      <c r="E5019"/>
      <c r="F5019"/>
      <c r="G5019"/>
      <c r="H5019"/>
      <c r="I5019"/>
      <c r="J5019"/>
    </row>
    <row r="5020" spans="1:10" s="2" customFormat="1">
      <c r="A5020" s="1"/>
      <c r="E5020"/>
      <c r="F5020"/>
      <c r="G5020"/>
      <c r="H5020"/>
      <c r="I5020"/>
      <c r="J5020"/>
    </row>
    <row r="5021" spans="1:10" s="2" customFormat="1">
      <c r="A5021" s="1"/>
      <c r="E5021"/>
      <c r="F5021"/>
      <c r="G5021"/>
      <c r="H5021"/>
      <c r="I5021"/>
      <c r="J5021"/>
    </row>
    <row r="5022" spans="1:10" s="2" customFormat="1">
      <c r="A5022" s="1"/>
      <c r="E5022"/>
      <c r="F5022"/>
      <c r="G5022"/>
      <c r="H5022"/>
      <c r="I5022"/>
      <c r="J5022"/>
    </row>
    <row r="5023" spans="1:10" s="2" customFormat="1">
      <c r="A5023" s="1"/>
      <c r="E5023"/>
      <c r="F5023"/>
      <c r="G5023"/>
      <c r="H5023"/>
      <c r="I5023"/>
      <c r="J5023"/>
    </row>
    <row r="5024" spans="1:10" s="2" customFormat="1">
      <c r="A5024" s="1"/>
      <c r="E5024"/>
      <c r="F5024"/>
      <c r="G5024"/>
      <c r="H5024"/>
      <c r="I5024"/>
      <c r="J5024"/>
    </row>
    <row r="5025" spans="1:10" s="2" customFormat="1">
      <c r="A5025" s="1"/>
      <c r="E5025"/>
      <c r="F5025"/>
      <c r="G5025"/>
      <c r="H5025"/>
      <c r="I5025"/>
      <c r="J5025"/>
    </row>
    <row r="5026" spans="1:10" s="2" customFormat="1">
      <c r="A5026" s="1"/>
      <c r="E5026"/>
      <c r="F5026"/>
      <c r="G5026"/>
      <c r="H5026"/>
      <c r="I5026"/>
      <c r="J5026"/>
    </row>
    <row r="5027" spans="1:10" s="2" customFormat="1">
      <c r="A5027" s="1"/>
      <c r="E5027"/>
      <c r="F5027"/>
      <c r="G5027"/>
      <c r="H5027"/>
      <c r="I5027"/>
      <c r="J5027"/>
    </row>
    <row r="5028" spans="1:10" s="2" customFormat="1">
      <c r="A5028" s="1"/>
      <c r="E5028"/>
      <c r="F5028"/>
      <c r="G5028"/>
      <c r="H5028"/>
      <c r="I5028"/>
      <c r="J5028"/>
    </row>
    <row r="5029" spans="1:10" s="2" customFormat="1">
      <c r="A5029" s="1"/>
      <c r="E5029"/>
      <c r="F5029"/>
      <c r="G5029"/>
      <c r="H5029"/>
      <c r="I5029"/>
      <c r="J5029"/>
    </row>
    <row r="5030" spans="1:10" s="2" customFormat="1">
      <c r="A5030" s="1"/>
      <c r="E5030"/>
      <c r="F5030"/>
      <c r="G5030"/>
      <c r="H5030"/>
      <c r="I5030"/>
      <c r="J5030"/>
    </row>
    <row r="5031" spans="1:10" s="2" customFormat="1">
      <c r="A5031" s="1"/>
      <c r="E5031"/>
      <c r="F5031"/>
      <c r="G5031"/>
      <c r="H5031"/>
      <c r="I5031"/>
      <c r="J5031"/>
    </row>
    <row r="5032" spans="1:10" s="2" customFormat="1">
      <c r="A5032" s="1"/>
      <c r="E5032"/>
      <c r="F5032"/>
      <c r="G5032"/>
      <c r="H5032"/>
      <c r="I5032"/>
      <c r="J5032"/>
    </row>
    <row r="5033" spans="1:10" s="2" customFormat="1">
      <c r="A5033" s="1"/>
      <c r="E5033"/>
      <c r="F5033"/>
      <c r="G5033"/>
      <c r="H5033"/>
      <c r="I5033"/>
      <c r="J5033"/>
    </row>
    <row r="5034" spans="1:10" s="2" customFormat="1">
      <c r="A5034" s="1"/>
      <c r="E5034"/>
      <c r="F5034"/>
      <c r="G5034"/>
      <c r="H5034"/>
      <c r="I5034"/>
      <c r="J5034"/>
    </row>
    <row r="5035" spans="1:10" s="2" customFormat="1">
      <c r="A5035" s="1"/>
      <c r="E5035"/>
      <c r="F5035"/>
      <c r="G5035"/>
      <c r="H5035"/>
      <c r="I5035"/>
      <c r="J5035"/>
    </row>
    <row r="5036" spans="1:10" s="2" customFormat="1">
      <c r="A5036" s="1"/>
      <c r="E5036"/>
      <c r="F5036"/>
      <c r="G5036"/>
      <c r="H5036"/>
      <c r="I5036"/>
      <c r="J5036"/>
    </row>
    <row r="5037" spans="1:10" s="2" customFormat="1">
      <c r="A5037" s="1"/>
      <c r="E5037"/>
      <c r="F5037"/>
      <c r="G5037"/>
      <c r="H5037"/>
      <c r="I5037"/>
      <c r="J5037"/>
    </row>
    <row r="5038" spans="1:10" s="2" customFormat="1">
      <c r="A5038" s="1"/>
      <c r="E5038"/>
      <c r="F5038"/>
      <c r="G5038"/>
      <c r="H5038"/>
      <c r="I5038"/>
      <c r="J5038"/>
    </row>
    <row r="5039" spans="1:10" s="2" customFormat="1">
      <c r="A5039" s="1"/>
      <c r="E5039"/>
      <c r="F5039"/>
      <c r="G5039"/>
      <c r="H5039"/>
      <c r="I5039"/>
      <c r="J5039"/>
    </row>
    <row r="5040" spans="1:10" s="2" customFormat="1">
      <c r="A5040" s="1"/>
      <c r="E5040"/>
      <c r="F5040"/>
      <c r="G5040"/>
      <c r="H5040"/>
      <c r="I5040"/>
      <c r="J5040"/>
    </row>
    <row r="5041" spans="1:10" s="2" customFormat="1">
      <c r="A5041" s="1"/>
      <c r="E5041"/>
      <c r="F5041"/>
      <c r="G5041"/>
      <c r="H5041"/>
      <c r="I5041"/>
      <c r="J5041"/>
    </row>
    <row r="5042" spans="1:10" s="2" customFormat="1">
      <c r="A5042" s="1"/>
      <c r="E5042"/>
      <c r="F5042"/>
      <c r="G5042"/>
      <c r="H5042"/>
      <c r="I5042"/>
      <c r="J5042"/>
    </row>
    <row r="5043" spans="1:10" s="2" customFormat="1">
      <c r="A5043" s="1"/>
      <c r="E5043"/>
      <c r="F5043"/>
      <c r="G5043"/>
      <c r="H5043"/>
      <c r="I5043"/>
      <c r="J5043"/>
    </row>
    <row r="5044" spans="1:10" s="2" customFormat="1">
      <c r="A5044" s="1"/>
      <c r="E5044"/>
      <c r="F5044"/>
      <c r="G5044"/>
      <c r="H5044"/>
      <c r="I5044"/>
      <c r="J5044"/>
    </row>
    <row r="5045" spans="1:10" s="2" customFormat="1">
      <c r="A5045" s="1"/>
      <c r="E5045"/>
      <c r="F5045"/>
      <c r="G5045"/>
      <c r="H5045"/>
      <c r="I5045"/>
      <c r="J5045"/>
    </row>
    <row r="5046" spans="1:10" s="2" customFormat="1">
      <c r="A5046" s="1"/>
      <c r="E5046"/>
      <c r="F5046"/>
      <c r="G5046"/>
      <c r="H5046"/>
      <c r="I5046"/>
      <c r="J5046"/>
    </row>
    <row r="5047" spans="1:10" s="2" customFormat="1">
      <c r="A5047" s="1"/>
      <c r="E5047"/>
      <c r="F5047"/>
      <c r="G5047"/>
      <c r="H5047"/>
      <c r="I5047"/>
      <c r="J5047"/>
    </row>
    <row r="5048" spans="1:10" s="2" customFormat="1">
      <c r="A5048" s="1"/>
      <c r="E5048"/>
      <c r="F5048"/>
      <c r="G5048"/>
      <c r="H5048"/>
      <c r="I5048"/>
      <c r="J5048"/>
    </row>
    <row r="5049" spans="1:10" s="2" customFormat="1">
      <c r="A5049" s="1"/>
      <c r="E5049"/>
      <c r="F5049"/>
      <c r="G5049"/>
      <c r="H5049"/>
      <c r="I5049"/>
      <c r="J5049"/>
    </row>
    <row r="5050" spans="1:10" s="2" customFormat="1">
      <c r="A5050" s="1"/>
      <c r="E5050"/>
      <c r="F5050"/>
      <c r="G5050"/>
      <c r="H5050"/>
      <c r="I5050"/>
      <c r="J5050"/>
    </row>
    <row r="5051" spans="1:10" s="2" customFormat="1">
      <c r="A5051" s="1"/>
      <c r="E5051"/>
      <c r="F5051"/>
      <c r="G5051"/>
      <c r="H5051"/>
      <c r="I5051"/>
      <c r="J5051"/>
    </row>
    <row r="5052" spans="1:10" s="2" customFormat="1">
      <c r="A5052" s="1"/>
      <c r="E5052"/>
      <c r="F5052"/>
      <c r="G5052"/>
      <c r="H5052"/>
      <c r="I5052"/>
      <c r="J5052"/>
    </row>
    <row r="5053" spans="1:10" s="2" customFormat="1">
      <c r="A5053" s="1"/>
      <c r="E5053"/>
      <c r="F5053"/>
      <c r="G5053"/>
      <c r="H5053"/>
      <c r="I5053"/>
      <c r="J5053"/>
    </row>
    <row r="5054" spans="1:10" s="2" customFormat="1">
      <c r="A5054" s="1"/>
      <c r="E5054"/>
      <c r="F5054"/>
      <c r="G5054"/>
      <c r="H5054"/>
      <c r="I5054"/>
      <c r="J5054"/>
    </row>
    <row r="5055" spans="1:10" s="2" customFormat="1">
      <c r="A5055" s="1"/>
      <c r="E5055"/>
      <c r="F5055"/>
      <c r="G5055"/>
      <c r="H5055"/>
      <c r="I5055"/>
      <c r="J5055"/>
    </row>
    <row r="5056" spans="1:10" s="2" customFormat="1">
      <c r="A5056" s="1"/>
      <c r="E5056"/>
      <c r="F5056"/>
      <c r="G5056"/>
      <c r="H5056"/>
      <c r="I5056"/>
      <c r="J5056"/>
    </row>
    <row r="5057" spans="1:10" s="2" customFormat="1">
      <c r="A5057" s="1"/>
      <c r="E5057"/>
      <c r="F5057"/>
      <c r="G5057"/>
      <c r="H5057"/>
      <c r="I5057"/>
      <c r="J5057"/>
    </row>
    <row r="5058" spans="1:10" s="2" customFormat="1">
      <c r="A5058" s="1"/>
      <c r="E5058"/>
      <c r="F5058"/>
      <c r="G5058"/>
      <c r="H5058"/>
      <c r="I5058"/>
      <c r="J5058"/>
    </row>
    <row r="5059" spans="1:10" s="2" customFormat="1">
      <c r="A5059" s="1"/>
      <c r="E5059"/>
      <c r="F5059"/>
      <c r="G5059"/>
      <c r="H5059"/>
      <c r="I5059"/>
      <c r="J5059"/>
    </row>
    <row r="5060" spans="1:10" s="2" customFormat="1">
      <c r="A5060" s="1"/>
      <c r="E5060"/>
      <c r="F5060"/>
      <c r="G5060"/>
      <c r="H5060"/>
      <c r="I5060"/>
      <c r="J5060"/>
    </row>
    <row r="5061" spans="1:10" s="2" customFormat="1">
      <c r="A5061" s="1"/>
      <c r="E5061"/>
      <c r="F5061"/>
      <c r="G5061"/>
      <c r="H5061"/>
      <c r="I5061"/>
      <c r="J5061"/>
    </row>
    <row r="5062" spans="1:10" s="2" customFormat="1">
      <c r="A5062" s="1"/>
      <c r="E5062"/>
      <c r="F5062"/>
      <c r="G5062"/>
      <c r="H5062"/>
      <c r="I5062"/>
      <c r="J5062"/>
    </row>
    <row r="5063" spans="1:10" s="2" customFormat="1">
      <c r="A5063" s="1"/>
      <c r="E5063"/>
      <c r="F5063"/>
      <c r="G5063"/>
      <c r="H5063"/>
      <c r="I5063"/>
      <c r="J5063"/>
    </row>
    <row r="5064" spans="1:10" s="2" customFormat="1">
      <c r="A5064" s="1"/>
      <c r="E5064"/>
      <c r="F5064"/>
      <c r="G5064"/>
      <c r="H5064"/>
      <c r="I5064"/>
      <c r="J5064"/>
    </row>
    <row r="5065" spans="1:10" s="2" customFormat="1">
      <c r="A5065" s="1"/>
      <c r="E5065"/>
      <c r="F5065"/>
      <c r="G5065"/>
      <c r="H5065"/>
      <c r="I5065"/>
      <c r="J5065"/>
    </row>
    <row r="5066" spans="1:10" s="2" customFormat="1">
      <c r="A5066" s="1"/>
      <c r="E5066"/>
      <c r="F5066"/>
      <c r="G5066"/>
      <c r="H5066"/>
      <c r="I5066"/>
      <c r="J5066"/>
    </row>
    <row r="5067" spans="1:10" s="2" customFormat="1">
      <c r="A5067" s="1"/>
      <c r="E5067"/>
      <c r="F5067"/>
      <c r="G5067"/>
      <c r="H5067"/>
      <c r="I5067"/>
      <c r="J5067"/>
    </row>
    <row r="5068" spans="1:10" s="2" customFormat="1">
      <c r="A5068" s="1"/>
      <c r="E5068"/>
      <c r="F5068"/>
      <c r="G5068"/>
      <c r="H5068"/>
      <c r="I5068"/>
      <c r="J5068"/>
    </row>
    <row r="5069" spans="1:10" s="2" customFormat="1">
      <c r="A5069" s="1"/>
      <c r="E5069"/>
      <c r="F5069"/>
      <c r="G5069"/>
      <c r="H5069"/>
      <c r="I5069"/>
      <c r="J5069"/>
    </row>
    <row r="5070" spans="1:10" s="2" customFormat="1">
      <c r="A5070" s="1"/>
      <c r="E5070"/>
      <c r="F5070"/>
      <c r="G5070"/>
      <c r="H5070"/>
      <c r="I5070"/>
      <c r="J5070"/>
    </row>
    <row r="5071" spans="1:10" s="2" customFormat="1">
      <c r="A5071" s="1"/>
      <c r="E5071"/>
      <c r="F5071"/>
      <c r="G5071"/>
      <c r="H5071"/>
      <c r="I5071"/>
      <c r="J5071"/>
    </row>
    <row r="5072" spans="1:10" s="2" customFormat="1">
      <c r="A5072" s="1"/>
      <c r="E5072"/>
      <c r="F5072"/>
      <c r="G5072"/>
      <c r="H5072"/>
      <c r="I5072"/>
      <c r="J5072"/>
    </row>
    <row r="5073" spans="1:10" s="2" customFormat="1">
      <c r="A5073" s="1"/>
      <c r="E5073"/>
      <c r="F5073"/>
      <c r="G5073"/>
      <c r="H5073"/>
      <c r="I5073"/>
      <c r="J5073"/>
    </row>
    <row r="5074" spans="1:10" s="2" customFormat="1">
      <c r="A5074" s="1"/>
      <c r="E5074"/>
      <c r="F5074"/>
      <c r="G5074"/>
      <c r="H5074"/>
      <c r="I5074"/>
      <c r="J5074"/>
    </row>
    <row r="5075" spans="1:10" s="2" customFormat="1">
      <c r="A5075" s="1"/>
      <c r="E5075"/>
      <c r="F5075"/>
      <c r="G5075"/>
      <c r="H5075"/>
      <c r="I5075"/>
      <c r="J5075"/>
    </row>
    <row r="5076" spans="1:10" s="2" customFormat="1">
      <c r="A5076" s="1"/>
      <c r="E5076"/>
      <c r="F5076"/>
      <c r="G5076"/>
      <c r="H5076"/>
      <c r="I5076"/>
      <c r="J5076"/>
    </row>
    <row r="5077" spans="1:10" s="2" customFormat="1">
      <c r="A5077" s="1"/>
      <c r="E5077"/>
      <c r="F5077"/>
      <c r="G5077"/>
      <c r="H5077"/>
      <c r="I5077"/>
      <c r="J5077"/>
    </row>
    <row r="5078" spans="1:10" s="2" customFormat="1">
      <c r="A5078" s="1"/>
      <c r="E5078"/>
      <c r="F5078"/>
      <c r="G5078"/>
      <c r="H5078"/>
      <c r="I5078"/>
      <c r="J5078"/>
    </row>
    <row r="5079" spans="1:10" s="2" customFormat="1">
      <c r="A5079" s="1"/>
      <c r="E5079"/>
      <c r="F5079"/>
      <c r="G5079"/>
      <c r="H5079"/>
      <c r="I5079"/>
      <c r="J5079"/>
    </row>
    <row r="5080" spans="1:10" s="2" customFormat="1">
      <c r="A5080" s="1"/>
      <c r="E5080"/>
      <c r="F5080"/>
      <c r="G5080"/>
      <c r="H5080"/>
      <c r="I5080"/>
      <c r="J5080"/>
    </row>
    <row r="5081" spans="1:10" s="2" customFormat="1">
      <c r="A5081" s="1"/>
      <c r="E5081"/>
      <c r="F5081"/>
      <c r="G5081"/>
      <c r="H5081"/>
      <c r="I5081"/>
      <c r="J5081"/>
    </row>
    <row r="5082" spans="1:10" s="2" customFormat="1">
      <c r="A5082" s="1"/>
      <c r="E5082"/>
      <c r="F5082"/>
      <c r="G5082"/>
      <c r="H5082"/>
      <c r="I5082"/>
      <c r="J5082"/>
    </row>
    <row r="5083" spans="1:10" s="2" customFormat="1">
      <c r="A5083" s="1"/>
      <c r="E5083"/>
      <c r="F5083"/>
      <c r="G5083"/>
      <c r="H5083"/>
      <c r="I5083"/>
      <c r="J5083"/>
    </row>
    <row r="5084" spans="1:10" s="2" customFormat="1">
      <c r="A5084" s="1"/>
      <c r="E5084"/>
      <c r="F5084"/>
      <c r="G5084"/>
      <c r="H5084"/>
      <c r="I5084"/>
      <c r="J5084"/>
    </row>
    <row r="5085" spans="1:10" s="2" customFormat="1">
      <c r="A5085" s="1"/>
      <c r="E5085"/>
      <c r="F5085"/>
      <c r="G5085"/>
      <c r="H5085"/>
      <c r="I5085"/>
      <c r="J5085"/>
    </row>
    <row r="5086" spans="1:10" s="2" customFormat="1">
      <c r="A5086" s="1"/>
      <c r="E5086"/>
      <c r="F5086"/>
      <c r="G5086"/>
      <c r="H5086"/>
      <c r="I5086"/>
      <c r="J5086"/>
    </row>
    <row r="5087" spans="1:10" s="2" customFormat="1">
      <c r="A5087" s="1"/>
      <c r="E5087"/>
      <c r="F5087"/>
      <c r="G5087"/>
      <c r="H5087"/>
      <c r="I5087"/>
      <c r="J5087"/>
    </row>
    <row r="5088" spans="1:10" s="2" customFormat="1">
      <c r="A5088" s="1"/>
      <c r="E5088"/>
      <c r="F5088"/>
      <c r="G5088"/>
      <c r="H5088"/>
      <c r="I5088"/>
      <c r="J5088"/>
    </row>
    <row r="5089" spans="1:10" s="2" customFormat="1">
      <c r="A5089" s="1"/>
      <c r="E5089"/>
      <c r="F5089"/>
      <c r="G5089"/>
      <c r="H5089"/>
      <c r="I5089"/>
      <c r="J5089"/>
    </row>
    <row r="5090" spans="1:10" s="2" customFormat="1">
      <c r="A5090" s="1"/>
      <c r="E5090"/>
      <c r="F5090"/>
      <c r="G5090"/>
      <c r="H5090"/>
      <c r="I5090"/>
      <c r="J5090"/>
    </row>
    <row r="5091" spans="1:10" s="2" customFormat="1">
      <c r="A5091" s="1"/>
      <c r="E5091"/>
      <c r="F5091"/>
      <c r="G5091"/>
      <c r="H5091"/>
      <c r="I5091"/>
      <c r="J5091"/>
    </row>
    <row r="5092" spans="1:10" s="2" customFormat="1">
      <c r="A5092" s="1"/>
      <c r="E5092"/>
      <c r="F5092"/>
      <c r="G5092"/>
      <c r="H5092"/>
      <c r="I5092"/>
      <c r="J5092"/>
    </row>
    <row r="5093" spans="1:10" s="2" customFormat="1">
      <c r="A5093" s="1"/>
      <c r="E5093"/>
      <c r="F5093"/>
      <c r="G5093"/>
      <c r="H5093"/>
      <c r="I5093"/>
      <c r="J5093"/>
    </row>
    <row r="5094" spans="1:10" s="2" customFormat="1">
      <c r="A5094" s="1"/>
      <c r="E5094"/>
      <c r="F5094"/>
      <c r="G5094"/>
      <c r="H5094"/>
      <c r="I5094"/>
      <c r="J5094"/>
    </row>
    <row r="5095" spans="1:10" s="2" customFormat="1">
      <c r="A5095" s="1"/>
      <c r="E5095"/>
      <c r="F5095"/>
      <c r="G5095"/>
      <c r="H5095"/>
      <c r="I5095"/>
      <c r="J5095"/>
    </row>
    <row r="5096" spans="1:10" s="2" customFormat="1">
      <c r="A5096" s="1"/>
      <c r="E5096"/>
      <c r="F5096"/>
      <c r="G5096"/>
      <c r="H5096"/>
      <c r="I5096"/>
      <c r="J5096"/>
    </row>
    <row r="5097" spans="1:10" s="2" customFormat="1">
      <c r="A5097" s="1"/>
      <c r="E5097"/>
      <c r="F5097"/>
      <c r="G5097"/>
      <c r="H5097"/>
      <c r="I5097"/>
      <c r="J5097"/>
    </row>
    <row r="5098" spans="1:10" s="2" customFormat="1">
      <c r="A5098" s="1"/>
      <c r="E5098"/>
      <c r="F5098"/>
      <c r="G5098"/>
      <c r="H5098"/>
      <c r="I5098"/>
      <c r="J5098"/>
    </row>
    <row r="5099" spans="1:10" s="2" customFormat="1">
      <c r="A5099" s="1"/>
      <c r="E5099"/>
      <c r="F5099"/>
      <c r="G5099"/>
      <c r="H5099"/>
      <c r="I5099"/>
      <c r="J5099"/>
    </row>
    <row r="5100" spans="1:10" s="2" customFormat="1">
      <c r="A5100" s="1"/>
      <c r="E5100"/>
      <c r="F5100"/>
      <c r="G5100"/>
      <c r="H5100"/>
      <c r="I5100"/>
      <c r="J5100"/>
    </row>
    <row r="5101" spans="1:10" s="2" customFormat="1">
      <c r="A5101" s="1"/>
      <c r="E5101"/>
      <c r="F5101"/>
      <c r="G5101"/>
      <c r="H5101"/>
      <c r="I5101"/>
      <c r="J5101"/>
    </row>
    <row r="5102" spans="1:10" s="2" customFormat="1">
      <c r="A5102" s="1"/>
      <c r="E5102"/>
      <c r="F5102"/>
      <c r="G5102"/>
      <c r="H5102"/>
      <c r="I5102"/>
      <c r="J5102"/>
    </row>
    <row r="5103" spans="1:10" s="2" customFormat="1">
      <c r="A5103" s="1"/>
      <c r="E5103"/>
      <c r="F5103"/>
      <c r="G5103"/>
      <c r="H5103"/>
      <c r="I5103"/>
      <c r="J5103"/>
    </row>
    <row r="5104" spans="1:10" s="2" customFormat="1">
      <c r="A5104" s="1"/>
      <c r="E5104"/>
      <c r="F5104"/>
      <c r="G5104"/>
      <c r="H5104"/>
      <c r="I5104"/>
      <c r="J5104"/>
    </row>
    <row r="5105" spans="1:10" s="2" customFormat="1">
      <c r="A5105" s="1"/>
      <c r="E5105"/>
      <c r="F5105"/>
      <c r="G5105"/>
      <c r="H5105"/>
      <c r="I5105"/>
      <c r="J5105"/>
    </row>
    <row r="5106" spans="1:10" s="2" customFormat="1">
      <c r="A5106" s="1"/>
      <c r="E5106"/>
      <c r="F5106"/>
      <c r="G5106"/>
      <c r="H5106"/>
      <c r="I5106"/>
      <c r="J5106"/>
    </row>
    <row r="5107" spans="1:10" s="2" customFormat="1">
      <c r="A5107" s="1"/>
      <c r="E5107"/>
      <c r="F5107"/>
      <c r="G5107"/>
      <c r="H5107"/>
      <c r="I5107"/>
      <c r="J5107"/>
    </row>
    <row r="5108" spans="1:10" s="2" customFormat="1">
      <c r="A5108" s="1"/>
      <c r="E5108"/>
      <c r="F5108"/>
      <c r="G5108"/>
      <c r="H5108"/>
      <c r="I5108"/>
      <c r="J5108"/>
    </row>
    <row r="5109" spans="1:10" s="2" customFormat="1">
      <c r="A5109" s="1"/>
      <c r="E5109"/>
      <c r="F5109"/>
      <c r="G5109"/>
      <c r="H5109"/>
      <c r="I5109"/>
      <c r="J5109"/>
    </row>
    <row r="5110" spans="1:10" s="2" customFormat="1">
      <c r="A5110" s="1"/>
      <c r="E5110"/>
      <c r="F5110"/>
      <c r="G5110"/>
      <c r="H5110"/>
      <c r="I5110"/>
      <c r="J5110"/>
    </row>
    <row r="5111" spans="1:10" s="2" customFormat="1">
      <c r="A5111" s="1"/>
      <c r="E5111"/>
      <c r="F5111"/>
      <c r="G5111"/>
      <c r="H5111"/>
      <c r="I5111"/>
      <c r="J5111"/>
    </row>
    <row r="5112" spans="1:10" s="2" customFormat="1">
      <c r="A5112" s="1"/>
      <c r="E5112"/>
      <c r="F5112"/>
      <c r="G5112"/>
      <c r="H5112"/>
      <c r="I5112"/>
      <c r="J5112"/>
    </row>
    <row r="5113" spans="1:10" s="2" customFormat="1">
      <c r="A5113" s="1"/>
      <c r="E5113"/>
      <c r="F5113"/>
      <c r="G5113"/>
      <c r="H5113"/>
      <c r="I5113"/>
      <c r="J5113"/>
    </row>
    <row r="5114" spans="1:10" s="2" customFormat="1">
      <c r="A5114" s="1"/>
      <c r="E5114"/>
      <c r="F5114"/>
      <c r="G5114"/>
      <c r="H5114"/>
      <c r="I5114"/>
      <c r="J5114"/>
    </row>
    <row r="5115" spans="1:10" s="2" customFormat="1">
      <c r="A5115" s="1"/>
      <c r="E5115"/>
      <c r="F5115"/>
      <c r="G5115"/>
      <c r="H5115"/>
      <c r="I5115"/>
      <c r="J5115"/>
    </row>
    <row r="5116" spans="1:10" s="2" customFormat="1">
      <c r="A5116" s="1"/>
      <c r="E5116"/>
      <c r="F5116"/>
      <c r="G5116"/>
      <c r="H5116"/>
      <c r="I5116"/>
      <c r="J5116"/>
    </row>
    <row r="5117" spans="1:10" s="2" customFormat="1">
      <c r="A5117" s="1"/>
      <c r="E5117"/>
      <c r="F5117"/>
      <c r="G5117"/>
      <c r="H5117"/>
      <c r="I5117"/>
      <c r="J5117"/>
    </row>
    <row r="5118" spans="1:10" s="2" customFormat="1">
      <c r="A5118" s="1"/>
      <c r="E5118"/>
      <c r="F5118"/>
      <c r="G5118"/>
      <c r="H5118"/>
      <c r="I5118"/>
      <c r="J5118"/>
    </row>
    <row r="5119" spans="1:10" s="2" customFormat="1">
      <c r="A5119" s="1"/>
      <c r="E5119"/>
      <c r="F5119"/>
      <c r="G5119"/>
      <c r="H5119"/>
      <c r="I5119"/>
      <c r="J5119"/>
    </row>
    <row r="5120" spans="1:10" s="2" customFormat="1">
      <c r="A5120" s="1"/>
      <c r="E5120"/>
      <c r="F5120"/>
      <c r="G5120"/>
      <c r="H5120"/>
      <c r="I5120"/>
      <c r="J5120"/>
    </row>
    <row r="5121" spans="1:10" s="2" customFormat="1">
      <c r="A5121" s="1"/>
      <c r="E5121"/>
      <c r="F5121"/>
      <c r="G5121"/>
      <c r="H5121"/>
      <c r="I5121"/>
      <c r="J5121"/>
    </row>
    <row r="5122" spans="1:10" s="2" customFormat="1">
      <c r="A5122" s="1"/>
      <c r="E5122"/>
      <c r="F5122"/>
      <c r="G5122"/>
      <c r="H5122"/>
      <c r="I5122"/>
      <c r="J5122"/>
    </row>
    <row r="5123" spans="1:10" s="2" customFormat="1">
      <c r="A5123" s="1"/>
      <c r="E5123"/>
      <c r="F5123"/>
      <c r="G5123"/>
      <c r="H5123"/>
      <c r="I5123"/>
      <c r="J5123"/>
    </row>
    <row r="5124" spans="1:10" s="2" customFormat="1">
      <c r="A5124" s="1"/>
      <c r="E5124"/>
      <c r="F5124"/>
      <c r="G5124"/>
      <c r="H5124"/>
      <c r="I5124"/>
      <c r="J5124"/>
    </row>
    <row r="5125" spans="1:10" s="2" customFormat="1">
      <c r="A5125" s="1"/>
      <c r="E5125"/>
      <c r="F5125"/>
      <c r="G5125"/>
      <c r="H5125"/>
      <c r="I5125"/>
      <c r="J5125"/>
    </row>
    <row r="5126" spans="1:10" s="2" customFormat="1">
      <c r="A5126" s="1"/>
      <c r="E5126"/>
      <c r="F5126"/>
      <c r="G5126"/>
      <c r="H5126"/>
      <c r="I5126"/>
      <c r="J5126"/>
    </row>
    <row r="5127" spans="1:10" s="2" customFormat="1">
      <c r="A5127" s="1"/>
      <c r="E5127"/>
      <c r="F5127"/>
      <c r="G5127"/>
      <c r="H5127"/>
      <c r="I5127"/>
      <c r="J5127"/>
    </row>
    <row r="5128" spans="1:10" s="2" customFormat="1">
      <c r="A5128" s="1"/>
      <c r="E5128"/>
      <c r="F5128"/>
      <c r="G5128"/>
      <c r="H5128"/>
      <c r="I5128"/>
      <c r="J5128"/>
    </row>
    <row r="5129" spans="1:10" s="2" customFormat="1">
      <c r="A5129" s="1"/>
      <c r="E5129"/>
      <c r="F5129"/>
      <c r="G5129"/>
      <c r="H5129"/>
      <c r="I5129"/>
      <c r="J5129"/>
    </row>
    <row r="5130" spans="1:10" s="2" customFormat="1">
      <c r="A5130" s="1"/>
      <c r="E5130"/>
      <c r="F5130"/>
      <c r="G5130"/>
      <c r="H5130"/>
      <c r="I5130"/>
      <c r="J5130"/>
    </row>
    <row r="5131" spans="1:10" s="2" customFormat="1">
      <c r="A5131" s="1"/>
      <c r="E5131"/>
      <c r="F5131"/>
      <c r="G5131"/>
      <c r="H5131"/>
      <c r="I5131"/>
      <c r="J5131"/>
    </row>
    <row r="5132" spans="1:10" s="2" customFormat="1">
      <c r="A5132" s="1"/>
      <c r="E5132"/>
      <c r="F5132"/>
      <c r="G5132"/>
      <c r="H5132"/>
      <c r="I5132"/>
      <c r="J5132"/>
    </row>
    <row r="5133" spans="1:10" s="2" customFormat="1">
      <c r="A5133" s="1"/>
      <c r="E5133"/>
      <c r="F5133"/>
      <c r="G5133"/>
      <c r="H5133"/>
      <c r="I5133"/>
      <c r="J5133"/>
    </row>
    <row r="5134" spans="1:10" s="2" customFormat="1">
      <c r="A5134" s="1"/>
      <c r="E5134"/>
      <c r="F5134"/>
      <c r="G5134"/>
      <c r="H5134"/>
      <c r="I5134"/>
      <c r="J5134"/>
    </row>
    <row r="5135" spans="1:10" s="2" customFormat="1">
      <c r="A5135" s="1"/>
      <c r="E5135"/>
      <c r="F5135"/>
      <c r="G5135"/>
      <c r="H5135"/>
      <c r="I5135"/>
      <c r="J5135"/>
    </row>
    <row r="5136" spans="1:10" s="2" customFormat="1">
      <c r="A5136" s="1"/>
      <c r="E5136"/>
      <c r="F5136"/>
      <c r="G5136"/>
      <c r="H5136"/>
      <c r="I5136"/>
      <c r="J5136"/>
    </row>
    <row r="5137" spans="1:10" s="2" customFormat="1">
      <c r="A5137" s="1"/>
      <c r="E5137"/>
      <c r="F5137"/>
      <c r="G5137"/>
      <c r="H5137"/>
      <c r="I5137"/>
      <c r="J5137"/>
    </row>
    <row r="5138" spans="1:10" s="2" customFormat="1">
      <c r="A5138" s="1"/>
      <c r="E5138"/>
      <c r="F5138"/>
      <c r="G5138"/>
      <c r="H5138"/>
      <c r="I5138"/>
      <c r="J5138"/>
    </row>
    <row r="5139" spans="1:10" s="2" customFormat="1">
      <c r="A5139" s="1"/>
      <c r="E5139"/>
      <c r="F5139"/>
      <c r="G5139"/>
      <c r="H5139"/>
      <c r="I5139"/>
      <c r="J5139"/>
    </row>
    <row r="5140" spans="1:10" s="2" customFormat="1">
      <c r="A5140" s="1"/>
      <c r="E5140"/>
      <c r="F5140"/>
      <c r="G5140"/>
      <c r="H5140"/>
      <c r="I5140"/>
      <c r="J5140"/>
    </row>
    <row r="5141" spans="1:10" s="2" customFormat="1">
      <c r="A5141" s="1"/>
      <c r="E5141"/>
      <c r="F5141"/>
      <c r="G5141"/>
      <c r="H5141"/>
      <c r="I5141"/>
      <c r="J5141"/>
    </row>
  </sheetData>
  <mergeCells count="2">
    <mergeCell ref="A1:D1"/>
    <mergeCell ref="F1:H1"/>
  </mergeCells>
  <pageMargins left="0.7" right="0.7" top="0.75" bottom="0.75" header="0.3" footer="0.3"/>
  <pageSetup scale="56" fitToHeight="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2:F166"/>
  <sheetViews>
    <sheetView topLeftCell="A79" workbookViewId="0">
      <selection activeCell="G103" sqref="G103"/>
    </sheetView>
  </sheetViews>
  <sheetFormatPr defaultRowHeight="15"/>
  <cols>
    <col min="1" max="1" width="6.85546875" bestFit="1" customWidth="1"/>
    <col min="2" max="2" width="4.85546875" bestFit="1" customWidth="1"/>
    <col min="3" max="3" width="36.5703125" bestFit="1" customWidth="1"/>
    <col min="4" max="4" width="8.28515625" bestFit="1" customWidth="1"/>
    <col min="5" max="5" width="6.140625" bestFit="1" customWidth="1"/>
    <col min="6" max="6" width="8.42578125" bestFit="1" customWidth="1"/>
  </cols>
  <sheetData>
    <row r="2" spans="1:6" ht="25.5">
      <c r="A2" s="74" t="s">
        <v>465</v>
      </c>
      <c r="B2" s="75" t="s">
        <v>374</v>
      </c>
      <c r="C2" s="74" t="s">
        <v>375</v>
      </c>
      <c r="D2" s="75" t="s">
        <v>376</v>
      </c>
      <c r="E2" s="75" t="s">
        <v>377</v>
      </c>
      <c r="F2" s="74" t="s">
        <v>378</v>
      </c>
    </row>
    <row r="3" spans="1:6">
      <c r="A3" s="72">
        <v>1</v>
      </c>
      <c r="B3" s="70">
        <v>1</v>
      </c>
      <c r="C3" s="72" t="s">
        <v>61</v>
      </c>
      <c r="D3" s="70" t="s">
        <v>10</v>
      </c>
      <c r="E3" s="70" t="s">
        <v>135</v>
      </c>
      <c r="F3" s="72" t="s">
        <v>655</v>
      </c>
    </row>
    <row r="4" spans="1:6">
      <c r="A4" s="72">
        <v>1</v>
      </c>
      <c r="B4" s="70">
        <v>2</v>
      </c>
      <c r="C4" s="72" t="s">
        <v>168</v>
      </c>
      <c r="D4" s="70" t="s">
        <v>2</v>
      </c>
      <c r="E4" s="70" t="s">
        <v>46</v>
      </c>
      <c r="F4" s="72" t="s">
        <v>660</v>
      </c>
    </row>
    <row r="5" spans="1:6">
      <c r="A5" s="72">
        <v>1</v>
      </c>
      <c r="B5" s="70">
        <v>3</v>
      </c>
      <c r="C5" s="72" t="s">
        <v>427</v>
      </c>
      <c r="D5" s="70" t="s">
        <v>10</v>
      </c>
      <c r="E5" s="70" t="s">
        <v>19</v>
      </c>
      <c r="F5" s="72" t="s">
        <v>659</v>
      </c>
    </row>
    <row r="6" spans="1:6">
      <c r="A6" s="72">
        <v>1</v>
      </c>
      <c r="B6" s="70">
        <v>4</v>
      </c>
      <c r="C6" s="72" t="s">
        <v>44</v>
      </c>
      <c r="D6" s="70" t="s">
        <v>27</v>
      </c>
      <c r="E6" s="70" t="s">
        <v>13</v>
      </c>
      <c r="F6" s="72" t="s">
        <v>653</v>
      </c>
    </row>
    <row r="7" spans="1:6">
      <c r="A7" s="72">
        <v>1</v>
      </c>
      <c r="B7" s="70">
        <v>5</v>
      </c>
      <c r="C7" s="72" t="s">
        <v>118</v>
      </c>
      <c r="D7" s="70" t="s">
        <v>2</v>
      </c>
      <c r="E7" s="70" t="s">
        <v>56</v>
      </c>
      <c r="F7" s="72" t="s">
        <v>657</v>
      </c>
    </row>
    <row r="8" spans="1:6">
      <c r="A8" s="72">
        <v>1</v>
      </c>
      <c r="B8" s="70">
        <v>6</v>
      </c>
      <c r="C8" s="72" t="s">
        <v>851</v>
      </c>
      <c r="D8" s="70" t="s">
        <v>10</v>
      </c>
      <c r="E8" s="70" t="s">
        <v>60</v>
      </c>
      <c r="F8" s="72" t="s">
        <v>651</v>
      </c>
    </row>
    <row r="9" spans="1:6">
      <c r="A9" s="72">
        <v>1</v>
      </c>
      <c r="B9" s="70">
        <v>7</v>
      </c>
      <c r="C9" s="72" t="s">
        <v>570</v>
      </c>
      <c r="D9" s="70" t="s">
        <v>10</v>
      </c>
      <c r="E9" s="70" t="s">
        <v>71</v>
      </c>
      <c r="F9" s="72" t="s">
        <v>654</v>
      </c>
    </row>
    <row r="10" spans="1:6">
      <c r="A10" s="72">
        <v>1</v>
      </c>
      <c r="B10" s="70">
        <v>8</v>
      </c>
      <c r="C10" s="72" t="s">
        <v>686</v>
      </c>
      <c r="D10" s="70" t="s">
        <v>2</v>
      </c>
      <c r="E10" s="70" t="s">
        <v>15</v>
      </c>
      <c r="F10" s="72" t="s">
        <v>758</v>
      </c>
    </row>
    <row r="11" spans="1:6">
      <c r="A11" s="72">
        <v>1</v>
      </c>
      <c r="B11" s="70">
        <v>9</v>
      </c>
      <c r="C11" s="72" t="s">
        <v>611</v>
      </c>
      <c r="D11" s="70" t="s">
        <v>2</v>
      </c>
      <c r="E11" s="70" t="s">
        <v>23</v>
      </c>
      <c r="F11" s="72" t="s">
        <v>661</v>
      </c>
    </row>
    <row r="12" spans="1:6">
      <c r="A12" s="72">
        <v>1</v>
      </c>
      <c r="B12" s="70">
        <v>10</v>
      </c>
      <c r="C12" s="72" t="s">
        <v>425</v>
      </c>
      <c r="D12" s="70" t="s">
        <v>2</v>
      </c>
      <c r="E12" s="70" t="s">
        <v>120</v>
      </c>
      <c r="F12" s="72" t="s">
        <v>652</v>
      </c>
    </row>
    <row r="13" spans="1:6">
      <c r="A13" s="72">
        <v>2</v>
      </c>
      <c r="B13" s="70">
        <v>11</v>
      </c>
      <c r="C13" s="72" t="s">
        <v>468</v>
      </c>
      <c r="D13" s="70" t="s">
        <v>10</v>
      </c>
      <c r="E13" s="70" t="s">
        <v>35</v>
      </c>
      <c r="F13" s="72" t="s">
        <v>652</v>
      </c>
    </row>
    <row r="14" spans="1:6">
      <c r="A14" s="72">
        <v>2</v>
      </c>
      <c r="B14" s="70">
        <v>12</v>
      </c>
      <c r="C14" s="72" t="s">
        <v>852</v>
      </c>
      <c r="D14" s="70" t="s">
        <v>10</v>
      </c>
      <c r="E14" s="70" t="s">
        <v>11</v>
      </c>
      <c r="F14" s="72" t="s">
        <v>661</v>
      </c>
    </row>
    <row r="15" spans="1:6">
      <c r="A15" s="73">
        <v>2</v>
      </c>
      <c r="B15" s="71">
        <v>13</v>
      </c>
      <c r="C15" s="73" t="s">
        <v>125</v>
      </c>
      <c r="D15" s="71" t="s">
        <v>2</v>
      </c>
      <c r="E15" s="71" t="s">
        <v>673</v>
      </c>
      <c r="F15" s="72" t="s">
        <v>758</v>
      </c>
    </row>
    <row r="16" spans="1:6">
      <c r="A16" s="72">
        <v>2</v>
      </c>
      <c r="B16" s="70">
        <v>14</v>
      </c>
      <c r="C16" s="72" t="s">
        <v>66</v>
      </c>
      <c r="D16" s="70" t="s">
        <v>10</v>
      </c>
      <c r="E16" s="70" t="s">
        <v>49</v>
      </c>
      <c r="F16" s="72" t="s">
        <v>655</v>
      </c>
    </row>
    <row r="17" spans="1:6">
      <c r="A17" s="72">
        <v>2</v>
      </c>
      <c r="B17" s="70">
        <v>15</v>
      </c>
      <c r="C17" s="72" t="s">
        <v>581</v>
      </c>
      <c r="D17" s="70" t="s">
        <v>10</v>
      </c>
      <c r="E17" s="70" t="s">
        <v>673</v>
      </c>
      <c r="F17" s="72" t="s">
        <v>660</v>
      </c>
    </row>
    <row r="18" spans="1:6">
      <c r="A18" s="72">
        <v>2</v>
      </c>
      <c r="B18" s="70">
        <v>16</v>
      </c>
      <c r="C18" s="72" t="s">
        <v>715</v>
      </c>
      <c r="D18" s="70" t="s">
        <v>2</v>
      </c>
      <c r="E18" s="70" t="s">
        <v>84</v>
      </c>
      <c r="F18" s="72" t="s">
        <v>657</v>
      </c>
    </row>
    <row r="19" spans="1:6">
      <c r="A19" s="72">
        <v>2</v>
      </c>
      <c r="B19" s="70">
        <v>17</v>
      </c>
      <c r="C19" s="72" t="s">
        <v>766</v>
      </c>
      <c r="D19" s="70" t="s">
        <v>2</v>
      </c>
      <c r="E19" s="70" t="s">
        <v>46</v>
      </c>
      <c r="F19" s="72" t="s">
        <v>653</v>
      </c>
    </row>
    <row r="20" spans="1:6">
      <c r="A20" s="72">
        <v>2</v>
      </c>
      <c r="B20" s="70">
        <v>18</v>
      </c>
      <c r="C20" s="72" t="s">
        <v>559</v>
      </c>
      <c r="D20" s="70" t="s">
        <v>5</v>
      </c>
      <c r="E20" s="70" t="s">
        <v>13</v>
      </c>
      <c r="F20" s="72" t="s">
        <v>659</v>
      </c>
    </row>
    <row r="21" spans="1:6">
      <c r="A21" s="72">
        <v>2</v>
      </c>
      <c r="B21" s="70">
        <v>19</v>
      </c>
      <c r="C21" s="72" t="s">
        <v>635</v>
      </c>
      <c r="D21" s="70" t="s">
        <v>27</v>
      </c>
      <c r="E21" s="70" t="s">
        <v>21</v>
      </c>
      <c r="F21" s="72" t="s">
        <v>660</v>
      </c>
    </row>
    <row r="22" spans="1:6">
      <c r="A22" s="72">
        <v>2</v>
      </c>
      <c r="B22" s="70">
        <v>20</v>
      </c>
      <c r="C22" s="72" t="s">
        <v>634</v>
      </c>
      <c r="D22" s="70" t="s">
        <v>5</v>
      </c>
      <c r="E22" s="70" t="s">
        <v>56</v>
      </c>
      <c r="F22" s="72" t="s">
        <v>655</v>
      </c>
    </row>
    <row r="23" spans="1:6">
      <c r="A23" s="72">
        <v>3</v>
      </c>
      <c r="B23" s="70">
        <v>21</v>
      </c>
      <c r="C23" s="72" t="s">
        <v>80</v>
      </c>
      <c r="D23" s="70" t="s">
        <v>2</v>
      </c>
      <c r="E23" s="70" t="s">
        <v>19</v>
      </c>
      <c r="F23" s="72" t="s">
        <v>655</v>
      </c>
    </row>
    <row r="24" spans="1:6">
      <c r="A24" s="72">
        <v>3</v>
      </c>
      <c r="B24" s="70">
        <v>22</v>
      </c>
      <c r="C24" s="72" t="s">
        <v>735</v>
      </c>
      <c r="D24" s="70" t="s">
        <v>5</v>
      </c>
      <c r="E24" s="70" t="s">
        <v>23</v>
      </c>
      <c r="F24" s="72" t="s">
        <v>660</v>
      </c>
    </row>
    <row r="25" spans="1:6">
      <c r="A25" s="72">
        <v>3</v>
      </c>
      <c r="B25" s="70">
        <v>23</v>
      </c>
      <c r="C25" s="72" t="s">
        <v>624</v>
      </c>
      <c r="D25" s="70" t="s">
        <v>2</v>
      </c>
      <c r="E25" s="70" t="s">
        <v>135</v>
      </c>
      <c r="F25" s="72" t="s">
        <v>659</v>
      </c>
    </row>
    <row r="26" spans="1:6">
      <c r="A26" s="72">
        <v>3</v>
      </c>
      <c r="B26" s="70">
        <v>24</v>
      </c>
      <c r="C26" s="72" t="s">
        <v>759</v>
      </c>
      <c r="D26" s="70" t="s">
        <v>10</v>
      </c>
      <c r="E26" s="70" t="s">
        <v>3</v>
      </c>
      <c r="F26" s="72" t="s">
        <v>653</v>
      </c>
    </row>
    <row r="27" spans="1:6">
      <c r="A27" s="72">
        <v>3</v>
      </c>
      <c r="B27" s="70">
        <v>25</v>
      </c>
      <c r="C27" s="72" t="s">
        <v>799</v>
      </c>
      <c r="D27" s="70" t="s">
        <v>2</v>
      </c>
      <c r="E27" s="70" t="s">
        <v>28</v>
      </c>
      <c r="F27" s="72" t="s">
        <v>657</v>
      </c>
    </row>
    <row r="28" spans="1:6">
      <c r="A28" s="72">
        <v>3</v>
      </c>
      <c r="B28" s="70">
        <v>26</v>
      </c>
      <c r="C28" s="72" t="s">
        <v>650</v>
      </c>
      <c r="D28" s="70" t="s">
        <v>2</v>
      </c>
      <c r="E28" s="70" t="s">
        <v>73</v>
      </c>
      <c r="F28" s="72" t="s">
        <v>651</v>
      </c>
    </row>
    <row r="29" spans="1:6">
      <c r="A29" s="73">
        <v>3</v>
      </c>
      <c r="B29" s="71">
        <v>27</v>
      </c>
      <c r="C29" s="73" t="s">
        <v>447</v>
      </c>
      <c r="D29" s="71" t="s">
        <v>10</v>
      </c>
      <c r="E29" s="71" t="s">
        <v>6</v>
      </c>
      <c r="F29" s="72" t="s">
        <v>654</v>
      </c>
    </row>
    <row r="30" spans="1:6">
      <c r="A30" s="72">
        <v>3</v>
      </c>
      <c r="B30" s="70">
        <v>28</v>
      </c>
      <c r="C30" s="72" t="s">
        <v>853</v>
      </c>
      <c r="D30" s="70" t="s">
        <v>10</v>
      </c>
      <c r="E30" s="70" t="s">
        <v>28</v>
      </c>
      <c r="F30" s="72" t="s">
        <v>758</v>
      </c>
    </row>
    <row r="31" spans="1:6">
      <c r="A31" s="73">
        <v>3</v>
      </c>
      <c r="B31" s="71">
        <v>29</v>
      </c>
      <c r="C31" s="73" t="s">
        <v>83</v>
      </c>
      <c r="D31" s="71" t="s">
        <v>10</v>
      </c>
      <c r="E31" s="71" t="s">
        <v>84</v>
      </c>
      <c r="F31" s="72" t="s">
        <v>655</v>
      </c>
    </row>
    <row r="32" spans="1:6">
      <c r="A32" s="72">
        <v>3</v>
      </c>
      <c r="B32" s="70">
        <v>30</v>
      </c>
      <c r="C32" s="72" t="s">
        <v>835</v>
      </c>
      <c r="D32" s="70" t="s">
        <v>10</v>
      </c>
      <c r="E32" s="70" t="s">
        <v>43</v>
      </c>
      <c r="F32" s="72" t="s">
        <v>652</v>
      </c>
    </row>
    <row r="33" spans="1:6">
      <c r="A33" s="72">
        <v>4</v>
      </c>
      <c r="B33" s="70">
        <v>31</v>
      </c>
      <c r="C33" s="72" t="s">
        <v>612</v>
      </c>
      <c r="D33" s="70" t="s">
        <v>10</v>
      </c>
      <c r="E33" s="70" t="s">
        <v>41</v>
      </c>
      <c r="F33" s="72" t="s">
        <v>652</v>
      </c>
    </row>
    <row r="34" spans="1:6">
      <c r="A34" s="72">
        <v>4</v>
      </c>
      <c r="B34" s="70">
        <v>32</v>
      </c>
      <c r="C34" s="72" t="s">
        <v>716</v>
      </c>
      <c r="D34" s="70" t="s">
        <v>5</v>
      </c>
      <c r="E34" s="70" t="s">
        <v>84</v>
      </c>
      <c r="F34" s="72" t="s">
        <v>661</v>
      </c>
    </row>
    <row r="35" spans="1:6">
      <c r="A35" s="72">
        <v>4</v>
      </c>
      <c r="B35" s="70">
        <v>33</v>
      </c>
      <c r="C35" s="72" t="s">
        <v>540</v>
      </c>
      <c r="D35" s="70" t="s">
        <v>5</v>
      </c>
      <c r="E35" s="70" t="s">
        <v>21</v>
      </c>
      <c r="F35" s="72" t="s">
        <v>758</v>
      </c>
    </row>
    <row r="36" spans="1:6">
      <c r="A36" s="72">
        <v>4</v>
      </c>
      <c r="B36" s="70">
        <v>34</v>
      </c>
      <c r="C36" s="72" t="s">
        <v>923</v>
      </c>
      <c r="D36" s="70" t="s">
        <v>2</v>
      </c>
      <c r="E36" s="70" t="s">
        <v>3</v>
      </c>
      <c r="F36" s="72" t="s">
        <v>654</v>
      </c>
    </row>
    <row r="37" spans="1:6">
      <c r="A37" s="72">
        <v>4</v>
      </c>
      <c r="B37" s="70">
        <v>35</v>
      </c>
      <c r="C37" s="72" t="s">
        <v>812</v>
      </c>
      <c r="D37" s="70" t="s">
        <v>2</v>
      </c>
      <c r="E37" s="70" t="s">
        <v>84</v>
      </c>
      <c r="F37" s="72" t="s">
        <v>651</v>
      </c>
    </row>
    <row r="38" spans="1:6">
      <c r="A38" s="72">
        <v>4</v>
      </c>
      <c r="B38" s="70">
        <v>36</v>
      </c>
      <c r="C38" s="72" t="s">
        <v>854</v>
      </c>
      <c r="D38" s="70" t="s">
        <v>10</v>
      </c>
      <c r="E38" s="70" t="s">
        <v>17</v>
      </c>
      <c r="F38" s="72" t="s">
        <v>657</v>
      </c>
    </row>
    <row r="39" spans="1:6">
      <c r="A39" s="72">
        <v>4</v>
      </c>
      <c r="B39" s="70">
        <v>37</v>
      </c>
      <c r="C39" s="72" t="s">
        <v>743</v>
      </c>
      <c r="D39" s="70" t="s">
        <v>5</v>
      </c>
      <c r="E39" s="70" t="s">
        <v>19</v>
      </c>
      <c r="F39" s="72" t="s">
        <v>653</v>
      </c>
    </row>
    <row r="40" spans="1:6">
      <c r="A40" s="72">
        <v>4</v>
      </c>
      <c r="B40" s="70">
        <v>38</v>
      </c>
      <c r="C40" s="72" t="s">
        <v>16</v>
      </c>
      <c r="D40" s="70" t="s">
        <v>2</v>
      </c>
      <c r="E40" s="70" t="s">
        <v>49</v>
      </c>
      <c r="F40" s="72" t="s">
        <v>659</v>
      </c>
    </row>
    <row r="41" spans="1:6">
      <c r="A41" s="72">
        <v>4</v>
      </c>
      <c r="B41" s="70">
        <v>39</v>
      </c>
      <c r="C41" s="72" t="s">
        <v>503</v>
      </c>
      <c r="D41" s="70" t="s">
        <v>2</v>
      </c>
      <c r="E41" s="70" t="s">
        <v>43</v>
      </c>
      <c r="F41" s="72" t="s">
        <v>660</v>
      </c>
    </row>
    <row r="42" spans="1:6">
      <c r="A42" s="72">
        <v>4</v>
      </c>
      <c r="B42" s="70">
        <v>40</v>
      </c>
      <c r="C42" s="72" t="s">
        <v>647</v>
      </c>
      <c r="D42" s="70" t="s">
        <v>27</v>
      </c>
      <c r="E42" s="70" t="s">
        <v>35</v>
      </c>
      <c r="F42" s="72" t="s">
        <v>655</v>
      </c>
    </row>
    <row r="43" spans="1:6">
      <c r="A43" s="72">
        <v>5</v>
      </c>
      <c r="B43" s="70">
        <v>41</v>
      </c>
      <c r="C43" s="72" t="s">
        <v>606</v>
      </c>
      <c r="D43" s="70" t="s">
        <v>10</v>
      </c>
      <c r="E43" s="70" t="s">
        <v>15</v>
      </c>
      <c r="F43" s="72" t="s">
        <v>655</v>
      </c>
    </row>
    <row r="44" spans="1:6">
      <c r="A44" s="72">
        <v>5</v>
      </c>
      <c r="B44" s="70">
        <v>42</v>
      </c>
      <c r="C44" s="72" t="s">
        <v>694</v>
      </c>
      <c r="D44" s="70" t="s">
        <v>10</v>
      </c>
      <c r="E44" s="70" t="s">
        <v>25</v>
      </c>
      <c r="F44" s="72" t="s">
        <v>660</v>
      </c>
    </row>
    <row r="45" spans="1:6">
      <c r="A45" s="72">
        <v>5</v>
      </c>
      <c r="B45" s="70">
        <v>43</v>
      </c>
      <c r="C45" s="72" t="s">
        <v>840</v>
      </c>
      <c r="D45" s="70" t="s">
        <v>2</v>
      </c>
      <c r="E45" s="70" t="s">
        <v>60</v>
      </c>
      <c r="F45" s="72" t="s">
        <v>659</v>
      </c>
    </row>
    <row r="46" spans="1:6">
      <c r="A46" s="72">
        <v>5</v>
      </c>
      <c r="B46" s="70">
        <v>44</v>
      </c>
      <c r="C46" s="72" t="s">
        <v>775</v>
      </c>
      <c r="D46" s="70" t="s">
        <v>10</v>
      </c>
      <c r="E46" s="70" t="s">
        <v>30</v>
      </c>
      <c r="F46" s="72" t="s">
        <v>653</v>
      </c>
    </row>
    <row r="47" spans="1:6">
      <c r="A47" s="72">
        <v>5</v>
      </c>
      <c r="B47" s="70">
        <v>45</v>
      </c>
      <c r="C47" s="72" t="s">
        <v>501</v>
      </c>
      <c r="D47" s="70" t="s">
        <v>2</v>
      </c>
      <c r="E47" s="70" t="s">
        <v>19</v>
      </c>
      <c r="F47" s="72" t="s">
        <v>657</v>
      </c>
    </row>
    <row r="48" spans="1:6">
      <c r="A48" s="72">
        <v>5</v>
      </c>
      <c r="B48" s="70">
        <v>46</v>
      </c>
      <c r="C48" s="72" t="s">
        <v>454</v>
      </c>
      <c r="D48" s="70" t="s">
        <v>10</v>
      </c>
      <c r="E48" s="70" t="s">
        <v>82</v>
      </c>
      <c r="F48" s="72" t="s">
        <v>651</v>
      </c>
    </row>
    <row r="49" spans="1:6">
      <c r="A49" s="72">
        <v>5</v>
      </c>
      <c r="B49" s="70">
        <v>47</v>
      </c>
      <c r="C49" s="72" t="s">
        <v>761</v>
      </c>
      <c r="D49" s="70" t="s">
        <v>10</v>
      </c>
      <c r="E49" s="70" t="s">
        <v>34</v>
      </c>
      <c r="F49" s="72" t="s">
        <v>654</v>
      </c>
    </row>
    <row r="50" spans="1:6">
      <c r="A50" s="72">
        <v>5</v>
      </c>
      <c r="B50" s="70">
        <v>48</v>
      </c>
      <c r="C50" s="72" t="s">
        <v>411</v>
      </c>
      <c r="D50" s="70" t="s">
        <v>2</v>
      </c>
      <c r="E50" s="70" t="s">
        <v>73</v>
      </c>
      <c r="F50" s="72" t="s">
        <v>758</v>
      </c>
    </row>
    <row r="51" spans="1:6">
      <c r="A51" s="72">
        <v>5</v>
      </c>
      <c r="B51" s="70">
        <v>49</v>
      </c>
      <c r="C51" s="72" t="s">
        <v>855</v>
      </c>
      <c r="D51" s="70" t="s">
        <v>10</v>
      </c>
      <c r="E51" s="70" t="s">
        <v>73</v>
      </c>
      <c r="F51" s="72" t="s">
        <v>661</v>
      </c>
    </row>
    <row r="52" spans="1:6">
      <c r="A52" s="72">
        <v>5</v>
      </c>
      <c r="B52" s="70">
        <v>50</v>
      </c>
      <c r="C52" s="72" t="s">
        <v>616</v>
      </c>
      <c r="D52" s="70" t="s">
        <v>2</v>
      </c>
      <c r="E52" s="70" t="s">
        <v>91</v>
      </c>
      <c r="F52" s="72" t="s">
        <v>652</v>
      </c>
    </row>
    <row r="53" spans="1:6">
      <c r="A53" s="72">
        <v>6</v>
      </c>
      <c r="B53" s="70">
        <v>51</v>
      </c>
      <c r="C53" s="72" t="s">
        <v>115</v>
      </c>
      <c r="D53" s="70" t="s">
        <v>2</v>
      </c>
      <c r="E53" s="70" t="s">
        <v>43</v>
      </c>
      <c r="F53" s="72" t="s">
        <v>652</v>
      </c>
    </row>
    <row r="54" spans="1:6">
      <c r="A54" s="72">
        <v>6</v>
      </c>
      <c r="B54" s="70">
        <v>52</v>
      </c>
      <c r="C54" s="72" t="s">
        <v>150</v>
      </c>
      <c r="D54" s="70" t="s">
        <v>2</v>
      </c>
      <c r="E54" s="70" t="s">
        <v>71</v>
      </c>
      <c r="F54" s="72" t="s">
        <v>661</v>
      </c>
    </row>
    <row r="55" spans="1:6">
      <c r="A55" s="72">
        <v>6</v>
      </c>
      <c r="B55" s="70">
        <v>53</v>
      </c>
      <c r="C55" s="72" t="s">
        <v>836</v>
      </c>
      <c r="D55" s="70" t="s">
        <v>10</v>
      </c>
      <c r="E55" s="70" t="s">
        <v>56</v>
      </c>
      <c r="F55" s="72" t="s">
        <v>758</v>
      </c>
    </row>
    <row r="56" spans="1:6">
      <c r="A56" s="72">
        <v>6</v>
      </c>
      <c r="B56" s="70">
        <v>54</v>
      </c>
      <c r="C56" s="72" t="s">
        <v>845</v>
      </c>
      <c r="D56" s="70" t="s">
        <v>2</v>
      </c>
      <c r="E56" s="70" t="s">
        <v>82</v>
      </c>
      <c r="F56" s="72" t="s">
        <v>654</v>
      </c>
    </row>
    <row r="57" spans="1:6">
      <c r="A57" s="72">
        <v>6</v>
      </c>
      <c r="B57" s="70">
        <v>55</v>
      </c>
      <c r="C57" s="72" t="s">
        <v>583</v>
      </c>
      <c r="D57" s="70" t="s">
        <v>10</v>
      </c>
      <c r="E57" s="70" t="s">
        <v>23</v>
      </c>
      <c r="F57" s="72" t="s">
        <v>651</v>
      </c>
    </row>
    <row r="58" spans="1:6">
      <c r="A58" s="72">
        <v>6</v>
      </c>
      <c r="B58" s="70">
        <v>56</v>
      </c>
      <c r="C58" s="72" t="s">
        <v>917</v>
      </c>
      <c r="D58" s="70" t="s">
        <v>10</v>
      </c>
      <c r="E58" s="70" t="s">
        <v>13</v>
      </c>
      <c r="F58" s="72" t="s">
        <v>657</v>
      </c>
    </row>
    <row r="59" spans="1:6">
      <c r="A59" s="72">
        <v>6</v>
      </c>
      <c r="B59" s="70">
        <v>57</v>
      </c>
      <c r="C59" s="72" t="s">
        <v>856</v>
      </c>
      <c r="D59" s="70" t="s">
        <v>2</v>
      </c>
      <c r="E59" s="70" t="s">
        <v>41</v>
      </c>
      <c r="F59" s="72" t="s">
        <v>758</v>
      </c>
    </row>
    <row r="60" spans="1:6">
      <c r="A60" s="72">
        <v>6</v>
      </c>
      <c r="B60" s="70">
        <v>58</v>
      </c>
      <c r="C60" s="72" t="s">
        <v>857</v>
      </c>
      <c r="D60" s="70" t="s">
        <v>2</v>
      </c>
      <c r="E60" s="70" t="s">
        <v>13</v>
      </c>
      <c r="F60" s="72" t="s">
        <v>659</v>
      </c>
    </row>
    <row r="61" spans="1:6">
      <c r="A61" s="72">
        <v>6</v>
      </c>
      <c r="B61" s="70">
        <v>59</v>
      </c>
      <c r="C61" s="72" t="s">
        <v>695</v>
      </c>
      <c r="D61" s="70" t="s">
        <v>10</v>
      </c>
      <c r="E61" s="70" t="s">
        <v>23</v>
      </c>
      <c r="F61" s="72" t="s">
        <v>660</v>
      </c>
    </row>
    <row r="62" spans="1:6">
      <c r="A62" s="72">
        <v>6</v>
      </c>
      <c r="B62" s="70">
        <v>60</v>
      </c>
      <c r="C62" s="72" t="s">
        <v>831</v>
      </c>
      <c r="D62" s="70" t="s">
        <v>2</v>
      </c>
      <c r="E62" s="70" t="s">
        <v>91</v>
      </c>
      <c r="F62" s="72" t="s">
        <v>655</v>
      </c>
    </row>
    <row r="63" spans="1:6">
      <c r="A63" s="72">
        <v>7</v>
      </c>
      <c r="B63" s="70">
        <v>61</v>
      </c>
      <c r="C63" s="72" t="s">
        <v>858</v>
      </c>
      <c r="D63" s="70" t="s">
        <v>2</v>
      </c>
      <c r="E63" s="70" t="s">
        <v>73</v>
      </c>
      <c r="F63" s="72" t="s">
        <v>655</v>
      </c>
    </row>
    <row r="64" spans="1:6">
      <c r="A64" s="72">
        <v>7</v>
      </c>
      <c r="B64" s="70">
        <v>62</v>
      </c>
      <c r="C64" s="72" t="s">
        <v>791</v>
      </c>
      <c r="D64" s="70" t="s">
        <v>5</v>
      </c>
      <c r="E64" s="70" t="s">
        <v>63</v>
      </c>
      <c r="F64" s="72" t="s">
        <v>651</v>
      </c>
    </row>
    <row r="65" spans="1:6">
      <c r="A65" s="72">
        <v>7</v>
      </c>
      <c r="B65" s="70">
        <v>63</v>
      </c>
      <c r="C65" s="72" t="s">
        <v>499</v>
      </c>
      <c r="D65" s="70" t="s">
        <v>2</v>
      </c>
      <c r="E65" s="70" t="s">
        <v>107</v>
      </c>
      <c r="F65" s="72" t="s">
        <v>659</v>
      </c>
    </row>
    <row r="66" spans="1:6">
      <c r="A66" s="72">
        <v>7</v>
      </c>
      <c r="B66" s="70">
        <v>64</v>
      </c>
      <c r="C66" s="72" t="s">
        <v>707</v>
      </c>
      <c r="D66" s="70" t="s">
        <v>2</v>
      </c>
      <c r="E66" s="70" t="s">
        <v>135</v>
      </c>
      <c r="F66" s="72" t="s">
        <v>653</v>
      </c>
    </row>
    <row r="67" spans="1:6">
      <c r="A67" s="72">
        <v>7</v>
      </c>
      <c r="B67" s="70">
        <v>65</v>
      </c>
      <c r="C67" s="72" t="s">
        <v>580</v>
      </c>
      <c r="D67" s="70" t="s">
        <v>10</v>
      </c>
      <c r="E67" s="70" t="s">
        <v>28</v>
      </c>
      <c r="F67" s="72" t="s">
        <v>657</v>
      </c>
    </row>
    <row r="68" spans="1:6">
      <c r="A68" s="72">
        <v>7</v>
      </c>
      <c r="B68" s="70">
        <v>66</v>
      </c>
      <c r="C68" s="72" t="s">
        <v>839</v>
      </c>
      <c r="D68" s="70" t="s">
        <v>2</v>
      </c>
      <c r="E68" s="70" t="s">
        <v>11</v>
      </c>
      <c r="F68" s="72" t="s">
        <v>651</v>
      </c>
    </row>
    <row r="69" spans="1:6">
      <c r="A69" s="72">
        <v>7</v>
      </c>
      <c r="B69" s="70">
        <v>67</v>
      </c>
      <c r="C69" s="72" t="s">
        <v>520</v>
      </c>
      <c r="D69" s="70" t="s">
        <v>27</v>
      </c>
      <c r="E69" s="70" t="s">
        <v>135</v>
      </c>
      <c r="F69" s="72" t="s">
        <v>654</v>
      </c>
    </row>
    <row r="70" spans="1:6">
      <c r="A70" s="72">
        <v>7</v>
      </c>
      <c r="B70" s="70">
        <v>68</v>
      </c>
      <c r="C70" s="72" t="s">
        <v>767</v>
      </c>
      <c r="D70" s="70" t="s">
        <v>2</v>
      </c>
      <c r="E70" s="70" t="s">
        <v>23</v>
      </c>
      <c r="F70" s="72" t="s">
        <v>758</v>
      </c>
    </row>
    <row r="71" spans="1:6">
      <c r="A71" s="72">
        <v>7</v>
      </c>
      <c r="B71" s="70">
        <v>69</v>
      </c>
      <c r="C71" s="72" t="s">
        <v>510</v>
      </c>
      <c r="D71" s="70" t="s">
        <v>10</v>
      </c>
      <c r="E71" s="70" t="s">
        <v>137</v>
      </c>
      <c r="F71" s="72" t="s">
        <v>661</v>
      </c>
    </row>
    <row r="72" spans="1:6">
      <c r="A72" s="72">
        <v>7</v>
      </c>
      <c r="B72" s="70">
        <v>70</v>
      </c>
      <c r="C72" s="72" t="s">
        <v>838</v>
      </c>
      <c r="D72" s="70" t="s">
        <v>2</v>
      </c>
      <c r="E72" s="70" t="s">
        <v>56</v>
      </c>
      <c r="F72" s="72" t="s">
        <v>652</v>
      </c>
    </row>
    <row r="73" spans="1:6">
      <c r="A73" s="72">
        <v>8</v>
      </c>
      <c r="B73" s="70">
        <v>71</v>
      </c>
      <c r="C73" s="72" t="s">
        <v>830</v>
      </c>
      <c r="D73" s="70" t="s">
        <v>27</v>
      </c>
      <c r="E73" s="70" t="s">
        <v>41</v>
      </c>
      <c r="F73" s="72" t="s">
        <v>652</v>
      </c>
    </row>
    <row r="74" spans="1:6">
      <c r="A74" s="72">
        <v>8</v>
      </c>
      <c r="B74" s="70">
        <v>72</v>
      </c>
      <c r="C74" s="72" t="s">
        <v>569</v>
      </c>
      <c r="D74" s="70" t="s">
        <v>2</v>
      </c>
      <c r="E74" s="70" t="s">
        <v>63</v>
      </c>
      <c r="F74" s="72" t="s">
        <v>661</v>
      </c>
    </row>
    <row r="75" spans="1:6">
      <c r="A75" s="72">
        <v>8</v>
      </c>
      <c r="B75" s="70">
        <v>73</v>
      </c>
      <c r="C75" s="72" t="s">
        <v>859</v>
      </c>
      <c r="D75" s="70" t="s">
        <v>2</v>
      </c>
      <c r="E75" s="70" t="s">
        <v>21</v>
      </c>
      <c r="F75" s="72" t="s">
        <v>758</v>
      </c>
    </row>
    <row r="76" spans="1:6">
      <c r="A76" s="72">
        <v>8</v>
      </c>
      <c r="B76" s="70">
        <v>74</v>
      </c>
      <c r="C76" s="72" t="s">
        <v>860</v>
      </c>
      <c r="D76" s="70" t="s">
        <v>2</v>
      </c>
      <c r="E76" s="70" t="s">
        <v>19</v>
      </c>
      <c r="F76" s="72" t="s">
        <v>654</v>
      </c>
    </row>
    <row r="77" spans="1:6">
      <c r="A77" s="72">
        <v>8</v>
      </c>
      <c r="B77" s="70">
        <v>75</v>
      </c>
      <c r="C77" s="72" t="s">
        <v>620</v>
      </c>
      <c r="D77" s="70" t="s">
        <v>2</v>
      </c>
      <c r="E77" s="70" t="s">
        <v>137</v>
      </c>
      <c r="F77" s="72" t="s">
        <v>660</v>
      </c>
    </row>
    <row r="78" spans="1:6">
      <c r="A78" s="72">
        <v>8</v>
      </c>
      <c r="B78" s="70">
        <v>76</v>
      </c>
      <c r="C78" s="72" t="s">
        <v>703</v>
      </c>
      <c r="D78" s="70" t="s">
        <v>2</v>
      </c>
      <c r="E78" s="70" t="s">
        <v>34</v>
      </c>
      <c r="F78" s="72" t="s">
        <v>660</v>
      </c>
    </row>
    <row r="79" spans="1:6">
      <c r="A79" s="72">
        <v>8</v>
      </c>
      <c r="B79" s="70">
        <v>77</v>
      </c>
      <c r="C79" s="72" t="s">
        <v>99</v>
      </c>
      <c r="D79" s="70" t="s">
        <v>2</v>
      </c>
      <c r="E79" s="70" t="s">
        <v>15</v>
      </c>
      <c r="F79" s="72" t="s">
        <v>653</v>
      </c>
    </row>
    <row r="80" spans="1:6">
      <c r="A80" s="72">
        <v>8</v>
      </c>
      <c r="B80" s="70">
        <v>78</v>
      </c>
      <c r="C80" s="72" t="s">
        <v>608</v>
      </c>
      <c r="D80" s="70" t="s">
        <v>27</v>
      </c>
      <c r="E80" s="70" t="s">
        <v>23</v>
      </c>
      <c r="F80" s="72" t="s">
        <v>659</v>
      </c>
    </row>
    <row r="81" spans="1:6">
      <c r="A81" s="72">
        <v>8</v>
      </c>
      <c r="B81" s="70">
        <v>79</v>
      </c>
      <c r="C81" s="72" t="s">
        <v>698</v>
      </c>
      <c r="D81" s="70" t="s">
        <v>10</v>
      </c>
      <c r="E81" s="70" t="s">
        <v>91</v>
      </c>
      <c r="F81" s="72" t="s">
        <v>660</v>
      </c>
    </row>
    <row r="82" spans="1:6">
      <c r="A82" s="72">
        <v>8</v>
      </c>
      <c r="B82" s="70">
        <v>80</v>
      </c>
      <c r="C82" s="72" t="s">
        <v>383</v>
      </c>
      <c r="D82" s="70" t="s">
        <v>2</v>
      </c>
      <c r="E82" s="70" t="s">
        <v>21</v>
      </c>
      <c r="F82" s="72" t="s">
        <v>654</v>
      </c>
    </row>
    <row r="83" spans="1:6">
      <c r="A83" s="72">
        <v>9</v>
      </c>
      <c r="B83" s="70">
        <v>81</v>
      </c>
      <c r="C83" s="72" t="s">
        <v>161</v>
      </c>
      <c r="D83" s="70" t="s">
        <v>2</v>
      </c>
      <c r="E83" s="70" t="s">
        <v>82</v>
      </c>
      <c r="F83" s="72" t="s">
        <v>655</v>
      </c>
    </row>
    <row r="84" spans="1:6">
      <c r="A84" s="72">
        <v>9</v>
      </c>
      <c r="B84" s="70">
        <v>82</v>
      </c>
      <c r="C84" s="72" t="s">
        <v>833</v>
      </c>
      <c r="D84" s="70" t="s">
        <v>2</v>
      </c>
      <c r="E84" s="70" t="s">
        <v>6</v>
      </c>
      <c r="F84" s="72" t="s">
        <v>660</v>
      </c>
    </row>
    <row r="85" spans="1:6">
      <c r="A85" s="72">
        <v>9</v>
      </c>
      <c r="B85" s="70">
        <v>83</v>
      </c>
      <c r="C85" s="72" t="s">
        <v>40</v>
      </c>
      <c r="D85" s="70" t="s">
        <v>10</v>
      </c>
      <c r="E85" s="70" t="s">
        <v>11</v>
      </c>
      <c r="F85" s="72" t="s">
        <v>654</v>
      </c>
    </row>
    <row r="86" spans="1:6">
      <c r="A86" s="72">
        <v>9</v>
      </c>
      <c r="B86" s="70">
        <v>84</v>
      </c>
      <c r="C86" s="72" t="s">
        <v>861</v>
      </c>
      <c r="D86" s="70" t="s">
        <v>10</v>
      </c>
      <c r="E86" s="70" t="s">
        <v>73</v>
      </c>
      <c r="F86" s="72" t="s">
        <v>653</v>
      </c>
    </row>
    <row r="87" spans="1:6">
      <c r="A87" s="72">
        <v>9</v>
      </c>
      <c r="B87" s="70">
        <v>85</v>
      </c>
      <c r="C87" s="72" t="s">
        <v>916</v>
      </c>
      <c r="D87" s="70" t="s">
        <v>10</v>
      </c>
      <c r="E87" s="70" t="s">
        <v>91</v>
      </c>
      <c r="F87" s="72" t="s">
        <v>657</v>
      </c>
    </row>
    <row r="88" spans="1:6">
      <c r="A88" s="72">
        <v>9</v>
      </c>
      <c r="B88" s="70">
        <v>86</v>
      </c>
      <c r="C88" s="72" t="s">
        <v>911</v>
      </c>
      <c r="D88" s="70" t="s">
        <v>27</v>
      </c>
      <c r="E88" s="70" t="s">
        <v>3</v>
      </c>
      <c r="F88" s="72" t="s">
        <v>651</v>
      </c>
    </row>
    <row r="89" spans="1:6">
      <c r="A89" s="72">
        <v>9</v>
      </c>
      <c r="B89" s="70">
        <v>87</v>
      </c>
      <c r="C89" s="72" t="s">
        <v>786</v>
      </c>
      <c r="D89" s="70" t="s">
        <v>5</v>
      </c>
      <c r="E89" s="70" t="s">
        <v>107</v>
      </c>
      <c r="F89" s="72" t="s">
        <v>654</v>
      </c>
    </row>
    <row r="90" spans="1:6">
      <c r="A90" s="72">
        <v>9</v>
      </c>
      <c r="B90" s="70">
        <v>88</v>
      </c>
      <c r="C90" s="72" t="s">
        <v>832</v>
      </c>
      <c r="D90" s="70" t="s">
        <v>10</v>
      </c>
      <c r="E90" s="70" t="s">
        <v>107</v>
      </c>
      <c r="F90" s="72" t="s">
        <v>660</v>
      </c>
    </row>
    <row r="91" spans="1:6">
      <c r="A91" s="72">
        <v>9</v>
      </c>
      <c r="B91" s="70">
        <v>89</v>
      </c>
      <c r="C91" s="72" t="s">
        <v>762</v>
      </c>
      <c r="D91" s="70" t="s">
        <v>27</v>
      </c>
      <c r="E91" s="70" t="s">
        <v>60</v>
      </c>
      <c r="F91" s="72" t="s">
        <v>661</v>
      </c>
    </row>
    <row r="92" spans="1:6">
      <c r="A92" s="72">
        <v>9</v>
      </c>
      <c r="B92" s="70">
        <v>90</v>
      </c>
      <c r="C92" s="72" t="s">
        <v>785</v>
      </c>
      <c r="D92" s="70" t="s">
        <v>5</v>
      </c>
      <c r="E92" s="70" t="s">
        <v>46</v>
      </c>
      <c r="F92" s="72" t="s">
        <v>652</v>
      </c>
    </row>
    <row r="93" spans="1:6">
      <c r="A93" s="72">
        <v>10</v>
      </c>
      <c r="B93" s="70">
        <v>91</v>
      </c>
      <c r="C93" s="72" t="s">
        <v>441</v>
      </c>
      <c r="D93" s="70" t="s">
        <v>10</v>
      </c>
      <c r="E93" s="70" t="s">
        <v>13</v>
      </c>
      <c r="F93" s="72" t="s">
        <v>652</v>
      </c>
    </row>
    <row r="94" spans="1:6">
      <c r="A94" s="72">
        <v>10</v>
      </c>
      <c r="B94" s="70">
        <v>92</v>
      </c>
      <c r="C94" s="72" t="s">
        <v>849</v>
      </c>
      <c r="D94" s="70" t="s">
        <v>2</v>
      </c>
      <c r="E94" s="70" t="s">
        <v>49</v>
      </c>
      <c r="F94" s="72" t="s">
        <v>661</v>
      </c>
    </row>
    <row r="95" spans="1:6">
      <c r="A95" s="72">
        <v>10</v>
      </c>
      <c r="B95" s="70">
        <v>93</v>
      </c>
      <c r="C95" s="72" t="s">
        <v>848</v>
      </c>
      <c r="D95" s="70" t="s">
        <v>10</v>
      </c>
      <c r="E95" s="70" t="s">
        <v>3</v>
      </c>
      <c r="F95" s="72" t="s">
        <v>758</v>
      </c>
    </row>
    <row r="96" spans="1:6">
      <c r="A96" s="72">
        <v>10</v>
      </c>
      <c r="B96" s="70">
        <v>94</v>
      </c>
      <c r="C96" s="72" t="s">
        <v>773</v>
      </c>
      <c r="D96" s="70" t="s">
        <v>2</v>
      </c>
      <c r="E96" s="70" t="s">
        <v>25</v>
      </c>
      <c r="F96" s="72" t="s">
        <v>654</v>
      </c>
    </row>
    <row r="97" spans="1:6">
      <c r="A97" s="72">
        <v>10</v>
      </c>
      <c r="B97" s="70">
        <v>95</v>
      </c>
      <c r="C97" s="72" t="s">
        <v>862</v>
      </c>
      <c r="D97" s="70" t="s">
        <v>10</v>
      </c>
      <c r="E97" s="70" t="s">
        <v>34</v>
      </c>
      <c r="F97" s="72" t="s">
        <v>651</v>
      </c>
    </row>
    <row r="98" spans="1:6">
      <c r="A98" s="72">
        <v>10</v>
      </c>
      <c r="B98" s="70">
        <v>96</v>
      </c>
      <c r="C98" s="72" t="s">
        <v>416</v>
      </c>
      <c r="D98" s="70" t="s">
        <v>27</v>
      </c>
      <c r="E98" s="70" t="s">
        <v>63</v>
      </c>
      <c r="F98" s="72" t="s">
        <v>657</v>
      </c>
    </row>
    <row r="99" spans="1:6">
      <c r="A99" s="72">
        <v>10</v>
      </c>
      <c r="B99" s="70">
        <v>97</v>
      </c>
      <c r="C99" s="72" t="s">
        <v>702</v>
      </c>
      <c r="D99" s="70" t="s">
        <v>2</v>
      </c>
      <c r="E99" s="70" t="s">
        <v>11</v>
      </c>
      <c r="F99" s="72" t="s">
        <v>653</v>
      </c>
    </row>
    <row r="100" spans="1:6">
      <c r="A100" s="72">
        <v>10</v>
      </c>
      <c r="B100" s="70">
        <v>98</v>
      </c>
      <c r="C100" s="72" t="s">
        <v>751</v>
      </c>
      <c r="D100" s="70" t="s">
        <v>10</v>
      </c>
      <c r="E100" s="70" t="s">
        <v>6</v>
      </c>
      <c r="F100" s="72" t="s">
        <v>659</v>
      </c>
    </row>
    <row r="101" spans="1:6">
      <c r="A101" s="72">
        <v>10</v>
      </c>
      <c r="B101" s="70">
        <v>99</v>
      </c>
      <c r="C101" s="72" t="s">
        <v>711</v>
      </c>
      <c r="D101" s="70" t="s">
        <v>2</v>
      </c>
      <c r="E101" s="70" t="s">
        <v>41</v>
      </c>
      <c r="F101" s="72" t="s">
        <v>660</v>
      </c>
    </row>
    <row r="102" spans="1:6">
      <c r="A102" s="72">
        <v>10</v>
      </c>
      <c r="B102" s="70">
        <v>100</v>
      </c>
      <c r="C102" s="72" t="s">
        <v>816</v>
      </c>
      <c r="D102" s="70" t="s">
        <v>2</v>
      </c>
      <c r="E102" s="70" t="s">
        <v>13</v>
      </c>
      <c r="F102" s="72" t="s">
        <v>655</v>
      </c>
    </row>
    <row r="103" spans="1:6">
      <c r="A103" s="72">
        <v>11</v>
      </c>
      <c r="B103" s="70">
        <v>101</v>
      </c>
      <c r="C103" s="72" t="s">
        <v>863</v>
      </c>
      <c r="D103" s="70" t="s">
        <v>10</v>
      </c>
      <c r="E103" s="70" t="s">
        <v>63</v>
      </c>
      <c r="F103" s="72" t="s">
        <v>655</v>
      </c>
    </row>
    <row r="104" spans="1:6">
      <c r="A104" s="72">
        <v>11</v>
      </c>
      <c r="B104" s="70">
        <v>102</v>
      </c>
      <c r="C104" s="72" t="s">
        <v>629</v>
      </c>
      <c r="D104" s="70" t="s">
        <v>10</v>
      </c>
      <c r="E104" s="70" t="s">
        <v>46</v>
      </c>
      <c r="F104" s="72" t="s">
        <v>660</v>
      </c>
    </row>
    <row r="105" spans="1:6">
      <c r="A105" s="72">
        <v>11</v>
      </c>
      <c r="B105" s="70">
        <v>103</v>
      </c>
      <c r="C105" s="72" t="s">
        <v>864</v>
      </c>
      <c r="D105" s="70" t="s">
        <v>36</v>
      </c>
      <c r="E105" s="70" t="s">
        <v>135</v>
      </c>
      <c r="F105" s="72" t="s">
        <v>659</v>
      </c>
    </row>
    <row r="106" spans="1:6">
      <c r="A106" s="72">
        <v>11</v>
      </c>
      <c r="B106" s="70">
        <v>104</v>
      </c>
      <c r="C106" s="72" t="s">
        <v>519</v>
      </c>
      <c r="D106" s="70" t="s">
        <v>2</v>
      </c>
      <c r="E106" s="70" t="s">
        <v>34</v>
      </c>
      <c r="F106" s="72" t="s">
        <v>653</v>
      </c>
    </row>
    <row r="107" spans="1:6">
      <c r="A107" s="72">
        <v>11</v>
      </c>
      <c r="B107" s="70">
        <v>105</v>
      </c>
      <c r="C107" s="72" t="s">
        <v>844</v>
      </c>
      <c r="D107" s="70" t="s">
        <v>2</v>
      </c>
      <c r="E107" s="70" t="s">
        <v>3</v>
      </c>
      <c r="F107" s="72" t="s">
        <v>657</v>
      </c>
    </row>
    <row r="108" spans="1:6">
      <c r="A108" s="72">
        <v>11</v>
      </c>
      <c r="B108" s="70">
        <v>106</v>
      </c>
      <c r="C108" s="72" t="s">
        <v>865</v>
      </c>
      <c r="D108" s="70" t="s">
        <v>10</v>
      </c>
      <c r="E108" s="70" t="s">
        <v>46</v>
      </c>
      <c r="F108" s="72" t="s">
        <v>651</v>
      </c>
    </row>
    <row r="109" spans="1:6">
      <c r="A109" s="72">
        <v>11</v>
      </c>
      <c r="B109" s="70">
        <v>107</v>
      </c>
      <c r="C109" s="72" t="s">
        <v>488</v>
      </c>
      <c r="D109" s="70" t="s">
        <v>10</v>
      </c>
      <c r="E109" s="70" t="s">
        <v>23</v>
      </c>
      <c r="F109" s="72" t="s">
        <v>654</v>
      </c>
    </row>
    <row r="110" spans="1:6">
      <c r="A110" s="72">
        <v>11</v>
      </c>
      <c r="B110" s="70">
        <v>108</v>
      </c>
      <c r="C110" s="72" t="s">
        <v>820</v>
      </c>
      <c r="D110" s="70" t="s">
        <v>10</v>
      </c>
      <c r="E110" s="70" t="s">
        <v>135</v>
      </c>
      <c r="F110" s="72" t="s">
        <v>653</v>
      </c>
    </row>
    <row r="111" spans="1:6">
      <c r="A111" s="72">
        <v>11</v>
      </c>
      <c r="B111" s="70">
        <v>109</v>
      </c>
      <c r="C111" s="72" t="s">
        <v>51</v>
      </c>
      <c r="D111" s="70" t="s">
        <v>10</v>
      </c>
      <c r="E111" s="70" t="s">
        <v>82</v>
      </c>
      <c r="F111" s="72" t="s">
        <v>661</v>
      </c>
    </row>
    <row r="112" spans="1:6">
      <c r="A112" s="72">
        <v>11</v>
      </c>
      <c r="B112" s="70">
        <v>110</v>
      </c>
      <c r="C112" s="72" t="s">
        <v>474</v>
      </c>
      <c r="D112" s="70" t="s">
        <v>5</v>
      </c>
      <c r="E112" s="70" t="s">
        <v>11</v>
      </c>
      <c r="F112" s="72" t="s">
        <v>652</v>
      </c>
    </row>
    <row r="113" spans="1:6">
      <c r="A113" s="72">
        <v>12</v>
      </c>
      <c r="B113" s="70">
        <v>111</v>
      </c>
      <c r="C113" s="72" t="s">
        <v>866</v>
      </c>
      <c r="D113" s="70" t="s">
        <v>27</v>
      </c>
      <c r="E113" s="70" t="s">
        <v>56</v>
      </c>
      <c r="F113" s="72" t="s">
        <v>652</v>
      </c>
    </row>
    <row r="114" spans="1:6">
      <c r="A114" s="72">
        <v>12</v>
      </c>
      <c r="B114" s="70">
        <v>112</v>
      </c>
      <c r="C114" s="72" t="s">
        <v>556</v>
      </c>
      <c r="D114" s="70" t="s">
        <v>27</v>
      </c>
      <c r="E114" s="70" t="s">
        <v>71</v>
      </c>
      <c r="F114" s="72" t="s">
        <v>661</v>
      </c>
    </row>
    <row r="115" spans="1:6">
      <c r="A115" s="72">
        <v>12</v>
      </c>
      <c r="B115" s="70">
        <v>113</v>
      </c>
      <c r="C115" s="72" t="s">
        <v>867</v>
      </c>
      <c r="D115" s="70" t="s">
        <v>5</v>
      </c>
      <c r="E115" s="70" t="s">
        <v>25</v>
      </c>
      <c r="F115" s="72" t="s">
        <v>758</v>
      </c>
    </row>
    <row r="116" spans="1:6">
      <c r="A116" s="72">
        <v>12</v>
      </c>
      <c r="B116" s="70">
        <v>114</v>
      </c>
      <c r="C116" s="72" t="s">
        <v>868</v>
      </c>
      <c r="D116" s="70" t="s">
        <v>2</v>
      </c>
      <c r="E116" s="70" t="s">
        <v>32</v>
      </c>
      <c r="F116" s="72" t="s">
        <v>654</v>
      </c>
    </row>
    <row r="117" spans="1:6">
      <c r="A117" s="72">
        <v>12</v>
      </c>
      <c r="B117" s="70">
        <v>115</v>
      </c>
      <c r="C117" s="72" t="s">
        <v>869</v>
      </c>
      <c r="D117" s="70" t="s">
        <v>2</v>
      </c>
      <c r="E117" s="70" t="s">
        <v>34</v>
      </c>
      <c r="F117" s="72" t="s">
        <v>651</v>
      </c>
    </row>
    <row r="118" spans="1:6">
      <c r="A118" s="72">
        <v>12</v>
      </c>
      <c r="B118" s="70">
        <v>116</v>
      </c>
      <c r="C118" s="72" t="s">
        <v>841</v>
      </c>
      <c r="D118" s="70" t="s">
        <v>5</v>
      </c>
      <c r="E118" s="70" t="s">
        <v>35</v>
      </c>
      <c r="F118" s="72" t="s">
        <v>657</v>
      </c>
    </row>
    <row r="119" spans="1:6">
      <c r="A119" s="72">
        <v>12</v>
      </c>
      <c r="B119" s="70">
        <v>117</v>
      </c>
      <c r="C119" s="72" t="s">
        <v>842</v>
      </c>
      <c r="D119" s="70" t="s">
        <v>10</v>
      </c>
      <c r="E119" s="70" t="s">
        <v>32</v>
      </c>
      <c r="F119" s="72" t="s">
        <v>653</v>
      </c>
    </row>
    <row r="120" spans="1:6">
      <c r="A120" s="72">
        <v>12</v>
      </c>
      <c r="B120" s="70">
        <v>118</v>
      </c>
      <c r="C120" s="72" t="s">
        <v>794</v>
      </c>
      <c r="D120" s="70" t="s">
        <v>2</v>
      </c>
      <c r="E120" s="70" t="s">
        <v>21</v>
      </c>
      <c r="F120" s="72" t="s">
        <v>659</v>
      </c>
    </row>
    <row r="121" spans="1:6">
      <c r="A121" s="72">
        <v>12</v>
      </c>
      <c r="B121" s="70">
        <v>119</v>
      </c>
      <c r="C121" s="72" t="s">
        <v>826</v>
      </c>
      <c r="D121" s="70" t="s">
        <v>2</v>
      </c>
      <c r="E121" s="70" t="s">
        <v>71</v>
      </c>
      <c r="F121" s="72" t="s">
        <v>660</v>
      </c>
    </row>
    <row r="122" spans="1:6">
      <c r="A122" s="72">
        <v>12</v>
      </c>
      <c r="B122" s="70">
        <v>120</v>
      </c>
      <c r="C122" s="72" t="s">
        <v>843</v>
      </c>
      <c r="D122" s="70" t="s">
        <v>2</v>
      </c>
      <c r="E122" s="70" t="s">
        <v>870</v>
      </c>
      <c r="F122" s="72" t="s">
        <v>655</v>
      </c>
    </row>
    <row r="123" spans="1:6">
      <c r="A123" s="72">
        <v>13</v>
      </c>
      <c r="B123" s="70">
        <v>121</v>
      </c>
      <c r="C123" s="72" t="s">
        <v>834</v>
      </c>
      <c r="D123" s="70" t="s">
        <v>10</v>
      </c>
      <c r="E123" s="70" t="s">
        <v>60</v>
      </c>
      <c r="F123" s="72" t="s">
        <v>655</v>
      </c>
    </row>
    <row r="124" spans="1:6">
      <c r="A124" s="72">
        <v>13</v>
      </c>
      <c r="B124" s="70">
        <v>122</v>
      </c>
      <c r="C124" s="72" t="s">
        <v>871</v>
      </c>
      <c r="D124" s="70" t="s">
        <v>2</v>
      </c>
      <c r="E124" s="70" t="s">
        <v>32</v>
      </c>
      <c r="F124" s="72" t="s">
        <v>651</v>
      </c>
    </row>
    <row r="125" spans="1:6">
      <c r="A125" s="72">
        <v>13</v>
      </c>
      <c r="B125" s="70">
        <v>123</v>
      </c>
      <c r="C125" s="72" t="s">
        <v>872</v>
      </c>
      <c r="D125" s="70" t="s">
        <v>2</v>
      </c>
      <c r="E125" s="70" t="s">
        <v>6</v>
      </c>
      <c r="F125" s="72" t="s">
        <v>659</v>
      </c>
    </row>
    <row r="126" spans="1:6">
      <c r="A126" s="72">
        <v>13</v>
      </c>
      <c r="B126" s="70">
        <v>124</v>
      </c>
      <c r="C126" s="72" t="s">
        <v>873</v>
      </c>
      <c r="D126" s="70" t="s">
        <v>5</v>
      </c>
      <c r="E126" s="70" t="s">
        <v>71</v>
      </c>
      <c r="F126" s="72" t="s">
        <v>653</v>
      </c>
    </row>
    <row r="127" spans="1:6">
      <c r="A127" s="72">
        <v>13</v>
      </c>
      <c r="B127" s="70">
        <v>125</v>
      </c>
      <c r="C127" s="72" t="s">
        <v>874</v>
      </c>
      <c r="D127" s="70"/>
      <c r="E127" s="70"/>
      <c r="F127" s="72" t="s">
        <v>655</v>
      </c>
    </row>
    <row r="128" spans="1:6">
      <c r="A128" s="72">
        <v>13</v>
      </c>
      <c r="B128" s="70">
        <v>126</v>
      </c>
      <c r="C128" s="72" t="s">
        <v>875</v>
      </c>
      <c r="D128" s="70" t="s">
        <v>10</v>
      </c>
      <c r="E128" s="70" t="s">
        <v>673</v>
      </c>
      <c r="F128" s="72" t="s">
        <v>651</v>
      </c>
    </row>
    <row r="129" spans="1:6">
      <c r="A129" s="72">
        <v>13</v>
      </c>
      <c r="B129" s="70">
        <v>127</v>
      </c>
      <c r="C129" s="72" t="s">
        <v>876</v>
      </c>
      <c r="D129" s="70" t="s">
        <v>2</v>
      </c>
      <c r="E129" s="70" t="s">
        <v>6</v>
      </c>
      <c r="F129" s="72" t="s">
        <v>657</v>
      </c>
    </row>
    <row r="130" spans="1:6">
      <c r="A130" s="72">
        <v>13</v>
      </c>
      <c r="B130" s="70">
        <v>128</v>
      </c>
      <c r="C130" s="72" t="s">
        <v>877</v>
      </c>
      <c r="D130" s="70" t="s">
        <v>27</v>
      </c>
      <c r="E130" s="70" t="s">
        <v>49</v>
      </c>
      <c r="F130" s="72" t="s">
        <v>758</v>
      </c>
    </row>
    <row r="131" spans="1:6">
      <c r="A131" s="72">
        <v>13</v>
      </c>
      <c r="B131" s="70">
        <v>129</v>
      </c>
      <c r="C131" s="72" t="s">
        <v>594</v>
      </c>
      <c r="D131" s="70" t="s">
        <v>10</v>
      </c>
      <c r="E131" s="70" t="s">
        <v>56</v>
      </c>
      <c r="F131" s="72" t="s">
        <v>661</v>
      </c>
    </row>
    <row r="132" spans="1:6">
      <c r="A132" s="72">
        <v>13</v>
      </c>
      <c r="B132" s="70">
        <v>130</v>
      </c>
      <c r="C132" s="72" t="s">
        <v>545</v>
      </c>
      <c r="D132" s="70" t="s">
        <v>2</v>
      </c>
      <c r="E132" s="70" t="s">
        <v>84</v>
      </c>
      <c r="F132" s="72" t="s">
        <v>652</v>
      </c>
    </row>
    <row r="133" spans="1:6">
      <c r="A133" s="72">
        <v>14</v>
      </c>
      <c r="B133" s="70">
        <v>131</v>
      </c>
      <c r="C133" s="72" t="s">
        <v>878</v>
      </c>
      <c r="D133" s="70" t="s">
        <v>10</v>
      </c>
      <c r="E133" s="70" t="s">
        <v>49</v>
      </c>
      <c r="F133" s="72" t="s">
        <v>652</v>
      </c>
    </row>
    <row r="134" spans="1:6">
      <c r="A134" s="72">
        <v>14</v>
      </c>
      <c r="B134" s="70">
        <v>132</v>
      </c>
      <c r="C134" s="72" t="s">
        <v>827</v>
      </c>
      <c r="D134" s="70" t="s">
        <v>10</v>
      </c>
      <c r="E134" s="70" t="s">
        <v>63</v>
      </c>
      <c r="F134" s="72" t="s">
        <v>661</v>
      </c>
    </row>
    <row r="135" spans="1:6">
      <c r="A135" s="72">
        <v>14</v>
      </c>
      <c r="B135" s="70">
        <v>133</v>
      </c>
      <c r="C135" s="72" t="s">
        <v>693</v>
      </c>
      <c r="D135" s="70" t="s">
        <v>10</v>
      </c>
      <c r="E135" s="70" t="s">
        <v>120</v>
      </c>
      <c r="F135" s="72" t="s">
        <v>758</v>
      </c>
    </row>
    <row r="136" spans="1:6">
      <c r="A136" s="72">
        <v>14</v>
      </c>
      <c r="B136" s="70">
        <v>134</v>
      </c>
      <c r="C136" s="72" t="s">
        <v>879</v>
      </c>
      <c r="D136" s="70" t="s">
        <v>10</v>
      </c>
      <c r="E136" s="70" t="s">
        <v>107</v>
      </c>
      <c r="F136" s="72" t="s">
        <v>654</v>
      </c>
    </row>
    <row r="137" spans="1:6">
      <c r="A137" s="72">
        <v>14</v>
      </c>
      <c r="B137" s="70">
        <v>135</v>
      </c>
      <c r="C137" s="72" t="s">
        <v>880</v>
      </c>
      <c r="D137" s="70"/>
      <c r="E137" s="70"/>
      <c r="F137" s="72" t="s">
        <v>651</v>
      </c>
    </row>
    <row r="138" spans="1:6">
      <c r="A138" s="72">
        <v>14</v>
      </c>
      <c r="B138" s="70">
        <v>136</v>
      </c>
      <c r="C138" s="72" t="s">
        <v>807</v>
      </c>
      <c r="D138" s="70"/>
      <c r="E138" s="70"/>
      <c r="F138" s="72" t="s">
        <v>657</v>
      </c>
    </row>
    <row r="139" spans="1:6">
      <c r="A139" s="72">
        <v>14</v>
      </c>
      <c r="B139" s="70">
        <v>137</v>
      </c>
      <c r="C139" s="72" t="s">
        <v>881</v>
      </c>
      <c r="D139" s="70" t="s">
        <v>2</v>
      </c>
      <c r="E139" s="70" t="s">
        <v>120</v>
      </c>
      <c r="F139" s="72" t="s">
        <v>653</v>
      </c>
    </row>
    <row r="140" spans="1:6">
      <c r="A140" s="72">
        <v>14</v>
      </c>
      <c r="B140" s="70">
        <v>138</v>
      </c>
      <c r="C140" s="72" t="s">
        <v>846</v>
      </c>
      <c r="D140" s="70" t="s">
        <v>10</v>
      </c>
      <c r="E140" s="70" t="s">
        <v>21</v>
      </c>
      <c r="F140" s="72" t="s">
        <v>659</v>
      </c>
    </row>
    <row r="141" spans="1:6">
      <c r="A141" s="72">
        <v>14</v>
      </c>
      <c r="B141" s="70">
        <v>139</v>
      </c>
      <c r="C141" s="72" t="s">
        <v>882</v>
      </c>
      <c r="D141" s="70" t="s">
        <v>36</v>
      </c>
      <c r="E141" s="70" t="s">
        <v>82</v>
      </c>
      <c r="F141" s="72" t="s">
        <v>660</v>
      </c>
    </row>
    <row r="142" spans="1:6">
      <c r="A142" s="72">
        <v>14</v>
      </c>
      <c r="B142" s="70">
        <v>140</v>
      </c>
      <c r="C142" s="72" t="s">
        <v>828</v>
      </c>
      <c r="D142" s="70"/>
      <c r="E142" s="70"/>
      <c r="F142" s="72" t="s">
        <v>657</v>
      </c>
    </row>
    <row r="143" spans="1:6">
      <c r="A143" s="72">
        <v>15</v>
      </c>
      <c r="B143" s="70">
        <v>141</v>
      </c>
      <c r="C143" s="72" t="s">
        <v>883</v>
      </c>
      <c r="D143" s="70" t="s">
        <v>36</v>
      </c>
      <c r="E143" s="70" t="s">
        <v>15</v>
      </c>
      <c r="F143" s="72" t="s">
        <v>661</v>
      </c>
    </row>
    <row r="144" spans="1:6">
      <c r="A144" s="72">
        <v>15</v>
      </c>
      <c r="B144" s="70">
        <v>142</v>
      </c>
      <c r="C144" s="72" t="s">
        <v>167</v>
      </c>
      <c r="D144" s="70" t="s">
        <v>10</v>
      </c>
      <c r="E144" s="70" t="s">
        <v>30</v>
      </c>
      <c r="F144" s="72" t="s">
        <v>657</v>
      </c>
    </row>
    <row r="145" spans="1:6">
      <c r="A145" s="72">
        <v>15</v>
      </c>
      <c r="B145" s="70">
        <v>143</v>
      </c>
      <c r="C145" s="72" t="s">
        <v>837</v>
      </c>
      <c r="D145" s="70" t="s">
        <v>2</v>
      </c>
      <c r="E145" s="70" t="s">
        <v>28</v>
      </c>
      <c r="F145" s="72" t="s">
        <v>659</v>
      </c>
    </row>
    <row r="146" spans="1:6">
      <c r="A146" s="72">
        <v>15</v>
      </c>
      <c r="B146" s="70">
        <v>144</v>
      </c>
      <c r="C146" s="77" t="s">
        <v>884</v>
      </c>
      <c r="D146" s="70" t="s">
        <v>36</v>
      </c>
      <c r="E146" s="70" t="s">
        <v>23</v>
      </c>
      <c r="F146" s="72" t="s">
        <v>653</v>
      </c>
    </row>
    <row r="147" spans="1:6">
      <c r="A147" s="72">
        <v>15</v>
      </c>
      <c r="B147" s="70">
        <v>145</v>
      </c>
      <c r="C147" s="72" t="s">
        <v>504</v>
      </c>
      <c r="D147" s="70" t="s">
        <v>2</v>
      </c>
      <c r="E147" s="70" t="s">
        <v>63</v>
      </c>
      <c r="F147" s="72" t="s">
        <v>655</v>
      </c>
    </row>
    <row r="148" spans="1:6">
      <c r="A148" s="72">
        <v>15</v>
      </c>
      <c r="B148" s="70">
        <v>146</v>
      </c>
      <c r="C148" s="72" t="s">
        <v>596</v>
      </c>
      <c r="D148" s="70" t="s">
        <v>5</v>
      </c>
      <c r="E148" s="70" t="s">
        <v>137</v>
      </c>
      <c r="F148" s="72" t="s">
        <v>651</v>
      </c>
    </row>
    <row r="149" spans="1:6">
      <c r="A149" s="72">
        <v>15</v>
      </c>
      <c r="B149" s="70">
        <v>147</v>
      </c>
      <c r="C149" s="72" t="s">
        <v>885</v>
      </c>
      <c r="D149" s="70" t="s">
        <v>10</v>
      </c>
      <c r="E149" s="70" t="s">
        <v>15</v>
      </c>
      <c r="F149" s="72" t="s">
        <v>654</v>
      </c>
    </row>
    <row r="150" spans="1:6">
      <c r="A150" s="72">
        <v>15</v>
      </c>
      <c r="B150" s="70">
        <v>148</v>
      </c>
      <c r="C150" s="72" t="s">
        <v>886</v>
      </c>
      <c r="D150" s="70" t="s">
        <v>2</v>
      </c>
      <c r="E150" s="70" t="s">
        <v>17</v>
      </c>
      <c r="F150" s="72" t="s">
        <v>758</v>
      </c>
    </row>
    <row r="151" spans="1:6">
      <c r="A151" s="72">
        <v>15</v>
      </c>
      <c r="B151" s="70">
        <v>149</v>
      </c>
      <c r="C151" s="72" t="s">
        <v>55</v>
      </c>
      <c r="D151" s="70" t="s">
        <v>2</v>
      </c>
      <c r="E151" s="70" t="s">
        <v>63</v>
      </c>
      <c r="F151" s="72" t="s">
        <v>661</v>
      </c>
    </row>
    <row r="152" spans="1:6">
      <c r="A152" s="72">
        <v>15</v>
      </c>
      <c r="B152" s="70">
        <v>150</v>
      </c>
      <c r="C152" s="72" t="s">
        <v>887</v>
      </c>
      <c r="D152" s="70" t="s">
        <v>36</v>
      </c>
      <c r="E152" s="70" t="s">
        <v>11</v>
      </c>
      <c r="F152" s="72" t="s">
        <v>652</v>
      </c>
    </row>
    <row r="153" spans="1:6">
      <c r="A153" s="72">
        <v>16</v>
      </c>
      <c r="B153" s="70">
        <v>151</v>
      </c>
      <c r="C153" s="72" t="s">
        <v>888</v>
      </c>
      <c r="D153" s="70" t="s">
        <v>2</v>
      </c>
      <c r="E153" s="70" t="s">
        <v>13</v>
      </c>
      <c r="F153" s="72" t="s">
        <v>652</v>
      </c>
    </row>
    <row r="154" spans="1:6">
      <c r="A154" s="72">
        <v>16</v>
      </c>
      <c r="B154" s="70">
        <v>152</v>
      </c>
      <c r="C154" s="72" t="s">
        <v>451</v>
      </c>
      <c r="D154" s="70" t="s">
        <v>2</v>
      </c>
      <c r="E154" s="70" t="s">
        <v>30</v>
      </c>
      <c r="F154" s="72" t="s">
        <v>661</v>
      </c>
    </row>
    <row r="155" spans="1:6">
      <c r="A155" s="72">
        <v>16</v>
      </c>
      <c r="B155" s="70">
        <v>153</v>
      </c>
      <c r="C155" s="72" t="s">
        <v>829</v>
      </c>
      <c r="D155" s="70" t="s">
        <v>27</v>
      </c>
      <c r="E155" s="70" t="s">
        <v>30</v>
      </c>
      <c r="F155" s="72" t="s">
        <v>758</v>
      </c>
    </row>
    <row r="156" spans="1:6">
      <c r="A156" s="72">
        <v>16</v>
      </c>
      <c r="B156" s="70">
        <v>154</v>
      </c>
      <c r="C156" s="72" t="s">
        <v>557</v>
      </c>
      <c r="D156" s="70" t="s">
        <v>36</v>
      </c>
      <c r="E156" s="70" t="s">
        <v>30</v>
      </c>
      <c r="F156" s="72" t="s">
        <v>654</v>
      </c>
    </row>
    <row r="157" spans="1:6">
      <c r="A157" s="72">
        <v>16</v>
      </c>
      <c r="B157" s="70">
        <v>155</v>
      </c>
      <c r="C157" s="72" t="s">
        <v>819</v>
      </c>
      <c r="D157" s="70" t="s">
        <v>2</v>
      </c>
      <c r="E157" s="70" t="s">
        <v>71</v>
      </c>
      <c r="F157" s="72" t="s">
        <v>651</v>
      </c>
    </row>
    <row r="158" spans="1:6">
      <c r="A158" s="72">
        <v>16</v>
      </c>
      <c r="B158" s="70">
        <v>156</v>
      </c>
      <c r="C158" s="72" t="s">
        <v>536</v>
      </c>
      <c r="D158" s="70" t="s">
        <v>36</v>
      </c>
      <c r="E158" s="70" t="s">
        <v>3</v>
      </c>
      <c r="F158" s="72" t="s">
        <v>657</v>
      </c>
    </row>
    <row r="159" spans="1:6">
      <c r="A159" s="72">
        <v>16</v>
      </c>
      <c r="B159" s="70">
        <v>157</v>
      </c>
      <c r="C159" s="72" t="s">
        <v>739</v>
      </c>
      <c r="D159" s="70" t="s">
        <v>2</v>
      </c>
      <c r="E159" s="70" t="s">
        <v>107</v>
      </c>
      <c r="F159" s="72" t="s">
        <v>653</v>
      </c>
    </row>
    <row r="160" spans="1:6">
      <c r="A160" s="72">
        <v>16</v>
      </c>
      <c r="B160" s="70">
        <v>158</v>
      </c>
      <c r="C160" s="72" t="s">
        <v>889</v>
      </c>
      <c r="D160" s="70"/>
      <c r="E160" s="70" t="s">
        <v>19</v>
      </c>
      <c r="F160" s="72" t="s">
        <v>659</v>
      </c>
    </row>
    <row r="161" spans="1:6">
      <c r="A161" s="72">
        <v>16</v>
      </c>
      <c r="B161" s="70">
        <v>159</v>
      </c>
      <c r="C161" s="72" t="s">
        <v>636</v>
      </c>
      <c r="D161" s="70" t="s">
        <v>36</v>
      </c>
      <c r="E161" s="70" t="s">
        <v>21</v>
      </c>
      <c r="F161" s="72" t="s">
        <v>758</v>
      </c>
    </row>
    <row r="162" spans="1:6">
      <c r="A162" s="72">
        <v>16</v>
      </c>
      <c r="B162" s="70">
        <v>160</v>
      </c>
      <c r="C162" s="72" t="s">
        <v>793</v>
      </c>
      <c r="D162" s="70" t="s">
        <v>10</v>
      </c>
      <c r="E162" s="70" t="s">
        <v>23</v>
      </c>
      <c r="F162" s="72" t="s">
        <v>659</v>
      </c>
    </row>
    <row r="163" spans="1:6">
      <c r="A163" s="76"/>
      <c r="B163" s="76"/>
      <c r="C163" s="76"/>
      <c r="D163" s="76"/>
      <c r="E163" s="76"/>
      <c r="F163" s="76"/>
    </row>
    <row r="164" spans="1:6">
      <c r="A164" s="76"/>
      <c r="B164" s="76"/>
      <c r="C164" s="76"/>
      <c r="D164" s="76"/>
      <c r="E164" s="76"/>
      <c r="F164" s="76"/>
    </row>
    <row r="165" spans="1:6">
      <c r="A165" s="76"/>
      <c r="B165" s="76"/>
      <c r="C165" s="76"/>
      <c r="D165" s="76"/>
      <c r="E165" s="76"/>
      <c r="F165" s="76"/>
    </row>
    <row r="166" spans="1:6">
      <c r="A166" s="76"/>
      <c r="B166" s="76"/>
      <c r="C166" s="76"/>
      <c r="D166" s="76"/>
      <c r="E166" s="76"/>
      <c r="F166" s="7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8"/>
  <sheetViews>
    <sheetView workbookViewId="0"/>
  </sheetViews>
  <sheetFormatPr defaultRowHeight="15"/>
  <cols>
    <col min="1" max="1" width="9.140625" style="101"/>
    <col min="2" max="2" width="9.140625" style="99"/>
    <col min="3" max="3" width="48.7109375" style="101" customWidth="1"/>
    <col min="4" max="16384" width="9.140625" style="101"/>
  </cols>
  <sheetData>
    <row r="2" spans="2:3" ht="33" customHeight="1">
      <c r="B2" s="99" t="s">
        <v>5</v>
      </c>
      <c r="C2" s="100"/>
    </row>
    <row r="3" spans="2:3" ht="33" customHeight="1">
      <c r="B3" s="99" t="s">
        <v>10</v>
      </c>
      <c r="C3" s="102"/>
    </row>
    <row r="4" spans="2:3" ht="33" customHeight="1">
      <c r="B4" s="99" t="s">
        <v>10</v>
      </c>
      <c r="C4" s="102"/>
    </row>
    <row r="5" spans="2:3" ht="33" customHeight="1">
      <c r="B5" s="99" t="s">
        <v>2</v>
      </c>
      <c r="C5" s="102"/>
    </row>
    <row r="6" spans="2:3" ht="33" customHeight="1">
      <c r="B6" s="99" t="s">
        <v>2</v>
      </c>
      <c r="C6" s="102"/>
    </row>
    <row r="7" spans="2:3" ht="33" customHeight="1">
      <c r="B7" s="99" t="s">
        <v>27</v>
      </c>
      <c r="C7" s="102"/>
    </row>
    <row r="8" spans="2:3" ht="33" customHeight="1">
      <c r="B8" s="99" t="s">
        <v>931</v>
      </c>
      <c r="C8" s="102"/>
    </row>
    <row r="9" spans="2:3" ht="33" customHeight="1">
      <c r="B9" s="99" t="s">
        <v>931</v>
      </c>
      <c r="C9" s="102"/>
    </row>
    <row r="10" spans="2:3" ht="33" customHeight="1">
      <c r="B10" s="99" t="s">
        <v>534</v>
      </c>
      <c r="C10" s="102"/>
    </row>
    <row r="12" spans="2:3" ht="33" customHeight="1">
      <c r="B12" s="99" t="s">
        <v>932</v>
      </c>
      <c r="C12" s="100"/>
    </row>
    <row r="13" spans="2:3" ht="33" customHeight="1">
      <c r="B13" s="99" t="s">
        <v>932</v>
      </c>
      <c r="C13" s="102"/>
    </row>
    <row r="14" spans="2:3" ht="33" customHeight="1">
      <c r="B14" s="99" t="s">
        <v>932</v>
      </c>
      <c r="C14" s="102"/>
    </row>
    <row r="15" spans="2:3" ht="33" customHeight="1">
      <c r="B15" s="99" t="s">
        <v>932</v>
      </c>
      <c r="C15" s="102"/>
    </row>
    <row r="16" spans="2:3" ht="33" customHeight="1">
      <c r="B16" s="99" t="s">
        <v>932</v>
      </c>
      <c r="C16" s="102"/>
    </row>
    <row r="17" spans="2:3" ht="33" customHeight="1">
      <c r="B17" s="99" t="s">
        <v>932</v>
      </c>
      <c r="C17" s="102"/>
    </row>
    <row r="18" spans="2:3" ht="33" customHeight="1">
      <c r="B18" s="99" t="s">
        <v>932</v>
      </c>
      <c r="C18" s="10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O5138"/>
  <sheetViews>
    <sheetView zoomScale="80" zoomScaleNormal="80" workbookViewId="0">
      <pane ySplit="2" topLeftCell="A48" activePane="bottomLeft" state="frozen"/>
      <selection activeCell="C6" sqref="C6"/>
      <selection pane="bottomLeft" activeCell="C6" sqref="C6"/>
    </sheetView>
  </sheetViews>
  <sheetFormatPr defaultRowHeight="15"/>
  <cols>
    <col min="1" max="2" width="8.7109375" style="1"/>
    <col min="3" max="3" width="21.5703125" style="12" customWidth="1"/>
    <col min="4" max="4" width="12.42578125" style="2" bestFit="1" customWidth="1"/>
    <col min="5" max="5" width="15.140625" style="2" bestFit="1" customWidth="1"/>
    <col min="6" max="6" width="5" style="2" customWidth="1"/>
    <col min="8" max="10" width="10.7109375" bestFit="1" customWidth="1"/>
    <col min="11" max="11" width="10.7109375" customWidth="1"/>
    <col min="12" max="12" width="8.7109375" style="2"/>
  </cols>
  <sheetData>
    <row r="1" spans="1:15">
      <c r="A1" s="104" t="s">
        <v>404</v>
      </c>
      <c r="B1" s="104"/>
      <c r="C1" s="104"/>
      <c r="D1" s="104"/>
      <c r="E1" s="104"/>
      <c r="F1" s="21"/>
      <c r="H1" s="106" t="s">
        <v>405</v>
      </c>
      <c r="I1" s="106"/>
      <c r="J1" s="106"/>
      <c r="K1" s="6"/>
      <c r="L1" s="105" t="s">
        <v>406</v>
      </c>
      <c r="M1" s="105"/>
      <c r="N1" s="105"/>
      <c r="O1" s="105"/>
    </row>
    <row r="2" spans="1:15">
      <c r="A2" s="9" t="s">
        <v>374</v>
      </c>
      <c r="B2" s="9" t="s">
        <v>465</v>
      </c>
      <c r="C2" s="10" t="s">
        <v>375</v>
      </c>
      <c r="D2" s="10" t="s">
        <v>376</v>
      </c>
      <c r="E2" s="10" t="s">
        <v>378</v>
      </c>
      <c r="F2" s="6"/>
      <c r="H2" s="10" t="s">
        <v>623</v>
      </c>
      <c r="I2" s="10" t="s">
        <v>757</v>
      </c>
      <c r="J2" s="10" t="s">
        <v>800</v>
      </c>
      <c r="K2" s="6"/>
      <c r="L2" s="6">
        <v>2019</v>
      </c>
      <c r="M2" s="10">
        <v>2020</v>
      </c>
      <c r="N2" s="10">
        <v>2021</v>
      </c>
      <c r="O2" s="46">
        <v>2022</v>
      </c>
    </row>
    <row r="3" spans="1:15" ht="15.75" thickBot="1">
      <c r="A3" s="7">
        <f>VLOOKUP(C3,'2021 Draft'!$A$2:$F$172,6,FALSE)</f>
        <v>25</v>
      </c>
      <c r="B3" s="7">
        <f>VLOOKUP(C3,'2021 Draft'!$A$2:$F$172,5,FALSE)</f>
        <v>3</v>
      </c>
      <c r="C3" s="8" t="s">
        <v>634</v>
      </c>
      <c r="D3" s="8" t="s">
        <v>5</v>
      </c>
      <c r="E3" s="16" t="s">
        <v>469</v>
      </c>
      <c r="F3" s="22"/>
      <c r="H3" s="20" t="s">
        <v>400</v>
      </c>
      <c r="I3" s="15" t="s">
        <v>401</v>
      </c>
      <c r="J3" s="15" t="s">
        <v>402</v>
      </c>
      <c r="K3" s="25"/>
      <c r="L3" s="2" t="s">
        <v>387</v>
      </c>
      <c r="M3" s="2" t="s">
        <v>387</v>
      </c>
      <c r="N3" s="1">
        <f t="shared" ref="N3:N19" si="0">B3</f>
        <v>3</v>
      </c>
      <c r="O3" s="44">
        <f>IF(A3="FA",9,N3-1)</f>
        <v>2</v>
      </c>
    </row>
    <row r="4" spans="1:15" ht="15.75" thickBot="1">
      <c r="A4" s="7" t="s">
        <v>390</v>
      </c>
      <c r="B4" s="7" t="s">
        <v>390</v>
      </c>
      <c r="C4" s="4" t="s">
        <v>594</v>
      </c>
      <c r="D4" s="4" t="s">
        <v>10</v>
      </c>
      <c r="E4" s="16" t="s">
        <v>469</v>
      </c>
      <c r="F4" s="22"/>
      <c r="H4" s="20" t="s">
        <v>400</v>
      </c>
      <c r="I4" s="15" t="s">
        <v>401</v>
      </c>
      <c r="J4" s="15" t="s">
        <v>402</v>
      </c>
      <c r="K4" s="25"/>
      <c r="L4" s="2" t="s">
        <v>387</v>
      </c>
      <c r="M4" s="2" t="s">
        <v>387</v>
      </c>
      <c r="N4" s="1" t="s">
        <v>390</v>
      </c>
      <c r="O4" s="44">
        <f t="shared" ref="O4:O19" si="1">IF(A4="FA",9,N4-1)</f>
        <v>9</v>
      </c>
    </row>
    <row r="5" spans="1:15" ht="15.75" thickBot="1">
      <c r="A5" s="7" t="s">
        <v>390</v>
      </c>
      <c r="B5" s="7" t="s">
        <v>390</v>
      </c>
      <c r="C5" s="4" t="s">
        <v>95</v>
      </c>
      <c r="D5" s="4" t="s">
        <v>10</v>
      </c>
      <c r="E5" s="16" t="s">
        <v>469</v>
      </c>
      <c r="F5" s="22"/>
      <c r="H5" s="20" t="s">
        <v>400</v>
      </c>
      <c r="I5" s="15" t="s">
        <v>401</v>
      </c>
      <c r="J5" s="15" t="s">
        <v>402</v>
      </c>
      <c r="K5" s="25"/>
      <c r="L5" s="2" t="s">
        <v>387</v>
      </c>
      <c r="M5" s="2" t="s">
        <v>387</v>
      </c>
      <c r="N5" s="1" t="s">
        <v>390</v>
      </c>
      <c r="O5" s="44">
        <f t="shared" si="1"/>
        <v>9</v>
      </c>
    </row>
    <row r="6" spans="1:15" ht="15.75" thickBot="1">
      <c r="A6" s="7" t="s">
        <v>390</v>
      </c>
      <c r="B6" s="7" t="s">
        <v>390</v>
      </c>
      <c r="C6" s="4" t="s">
        <v>631</v>
      </c>
      <c r="D6" s="4" t="s">
        <v>2</v>
      </c>
      <c r="E6" s="16" t="s">
        <v>469</v>
      </c>
      <c r="F6" s="22"/>
      <c r="H6" s="20" t="s">
        <v>400</v>
      </c>
      <c r="I6" s="15" t="s">
        <v>401</v>
      </c>
      <c r="J6" s="15" t="s">
        <v>402</v>
      </c>
      <c r="K6" s="25"/>
      <c r="L6" s="2" t="s">
        <v>387</v>
      </c>
      <c r="M6" s="2" t="s">
        <v>387</v>
      </c>
      <c r="N6" s="1" t="s">
        <v>390</v>
      </c>
      <c r="O6" s="44">
        <f t="shared" si="1"/>
        <v>9</v>
      </c>
    </row>
    <row r="7" spans="1:15" ht="15.75" thickBot="1">
      <c r="A7" s="7" t="s">
        <v>390</v>
      </c>
      <c r="B7" s="7" t="s">
        <v>390</v>
      </c>
      <c r="C7" s="4" t="s">
        <v>801</v>
      </c>
      <c r="D7" s="4" t="s">
        <v>2</v>
      </c>
      <c r="E7" s="16" t="s">
        <v>469</v>
      </c>
      <c r="F7" s="22"/>
      <c r="H7" s="20" t="s">
        <v>400</v>
      </c>
      <c r="I7" s="15" t="s">
        <v>401</v>
      </c>
      <c r="J7" s="15" t="s">
        <v>402</v>
      </c>
      <c r="K7" s="25"/>
      <c r="L7" s="2" t="s">
        <v>387</v>
      </c>
      <c r="M7" s="2" t="s">
        <v>387</v>
      </c>
      <c r="N7" s="1" t="s">
        <v>390</v>
      </c>
      <c r="O7" s="44">
        <f t="shared" si="1"/>
        <v>9</v>
      </c>
    </row>
    <row r="8" spans="1:15" ht="15.75" thickBot="1">
      <c r="A8" s="7" t="s">
        <v>390</v>
      </c>
      <c r="B8" s="7" t="s">
        <v>390</v>
      </c>
      <c r="C8" s="4" t="s">
        <v>802</v>
      </c>
      <c r="D8" s="4" t="s">
        <v>27</v>
      </c>
      <c r="E8" s="16" t="s">
        <v>469</v>
      </c>
      <c r="F8" s="22"/>
      <c r="H8" s="20" t="s">
        <v>400</v>
      </c>
      <c r="I8" s="15" t="s">
        <v>401</v>
      </c>
      <c r="J8" s="15" t="s">
        <v>402</v>
      </c>
      <c r="K8" s="25"/>
      <c r="L8" s="2" t="s">
        <v>387</v>
      </c>
      <c r="M8" s="2" t="s">
        <v>387</v>
      </c>
      <c r="N8" s="1" t="s">
        <v>390</v>
      </c>
      <c r="O8" s="44">
        <f t="shared" si="1"/>
        <v>9</v>
      </c>
    </row>
    <row r="9" spans="1:15" ht="15.75" thickBot="1">
      <c r="A9" s="7">
        <f>VLOOKUP(C9,'2021 Draft'!$A$2:$F$172,6,FALSE)</f>
        <v>85</v>
      </c>
      <c r="B9" s="7">
        <f>VLOOKUP(C9,'2021 Draft'!$A$2:$F$172,5,FALSE)</f>
        <v>9</v>
      </c>
      <c r="C9" s="4" t="s">
        <v>686</v>
      </c>
      <c r="D9" s="4" t="s">
        <v>2</v>
      </c>
      <c r="E9" s="16" t="s">
        <v>469</v>
      </c>
      <c r="F9" s="22"/>
      <c r="H9" s="20" t="s">
        <v>401</v>
      </c>
      <c r="I9" s="15" t="s">
        <v>402</v>
      </c>
      <c r="J9" s="15" t="s">
        <v>387</v>
      </c>
      <c r="K9" s="25"/>
      <c r="L9" s="2" t="s">
        <v>387</v>
      </c>
      <c r="M9" s="2">
        <v>10</v>
      </c>
      <c r="N9" s="1">
        <f t="shared" si="0"/>
        <v>9</v>
      </c>
      <c r="O9" s="44">
        <f t="shared" si="1"/>
        <v>8</v>
      </c>
    </row>
    <row r="10" spans="1:15" ht="15.75" thickBot="1">
      <c r="A10" s="7">
        <f>VLOOKUP(C10,'2021 Draft'!$A$2:$F$172,6,FALSE)</f>
        <v>96</v>
      </c>
      <c r="B10" s="7">
        <f>VLOOKUP(C10,'2021 Draft'!$A$2:$F$172,5,FALSE)</f>
        <v>10</v>
      </c>
      <c r="C10" s="4" t="s">
        <v>772</v>
      </c>
      <c r="D10" s="4" t="s">
        <v>10</v>
      </c>
      <c r="E10" s="16" t="s">
        <v>469</v>
      </c>
      <c r="F10" s="22"/>
      <c r="H10" s="20" t="s">
        <v>400</v>
      </c>
      <c r="I10" s="15" t="s">
        <v>401</v>
      </c>
      <c r="J10" s="15" t="s">
        <v>402</v>
      </c>
      <c r="K10" s="25"/>
      <c r="L10" s="2" t="s">
        <v>387</v>
      </c>
      <c r="M10" s="2" t="s">
        <v>387</v>
      </c>
      <c r="N10" s="1">
        <f t="shared" si="0"/>
        <v>10</v>
      </c>
      <c r="O10" s="44">
        <f t="shared" si="1"/>
        <v>9</v>
      </c>
    </row>
    <row r="11" spans="1:15" ht="15.75" thickBot="1">
      <c r="A11" s="7" t="s">
        <v>390</v>
      </c>
      <c r="B11" s="7" t="s">
        <v>390</v>
      </c>
      <c r="C11" s="4" t="s">
        <v>730</v>
      </c>
      <c r="D11" s="4" t="s">
        <v>687</v>
      </c>
      <c r="E11" s="16" t="s">
        <v>469</v>
      </c>
      <c r="F11" s="22"/>
      <c r="H11" s="20" t="s">
        <v>400</v>
      </c>
      <c r="I11" s="15" t="s">
        <v>401</v>
      </c>
      <c r="J11" s="15" t="s">
        <v>402</v>
      </c>
      <c r="K11" s="25"/>
      <c r="L11" s="2" t="s">
        <v>387</v>
      </c>
      <c r="M11" s="2" t="s">
        <v>387</v>
      </c>
      <c r="N11" s="1" t="s">
        <v>390</v>
      </c>
      <c r="O11" s="44">
        <f t="shared" si="1"/>
        <v>9</v>
      </c>
    </row>
    <row r="12" spans="1:15" ht="15.75" thickBot="1">
      <c r="A12" s="7">
        <f>VLOOKUP(C12,'2021 Draft'!$A$2:$F$172,6,FALSE)</f>
        <v>16</v>
      </c>
      <c r="B12" s="7">
        <f>VLOOKUP(C12,'2021 Draft'!$A$2:$F$172,5,FALSE)</f>
        <v>2</v>
      </c>
      <c r="C12" s="4" t="s">
        <v>462</v>
      </c>
      <c r="D12" s="4" t="s">
        <v>2</v>
      </c>
      <c r="E12" s="16" t="s">
        <v>469</v>
      </c>
      <c r="F12" s="22"/>
      <c r="H12" s="20" t="s">
        <v>400</v>
      </c>
      <c r="I12" s="15" t="s">
        <v>401</v>
      </c>
      <c r="J12" s="15" t="s">
        <v>402</v>
      </c>
      <c r="K12" s="25"/>
      <c r="L12" s="2" t="s">
        <v>387</v>
      </c>
      <c r="M12" s="2" t="s">
        <v>387</v>
      </c>
      <c r="N12" s="1">
        <f t="shared" si="0"/>
        <v>2</v>
      </c>
      <c r="O12" s="44">
        <f t="shared" si="1"/>
        <v>1</v>
      </c>
    </row>
    <row r="13" spans="1:15" ht="15.75" thickBot="1">
      <c r="A13" s="7">
        <f>VLOOKUP(C13,'2021 Draft'!$A$2:$F$172,6,FALSE)</f>
        <v>116</v>
      </c>
      <c r="B13" s="7">
        <f>VLOOKUP(C13,'2021 Draft'!$A$2:$F$172,5,FALSE)</f>
        <v>12</v>
      </c>
      <c r="C13" s="4" t="s">
        <v>455</v>
      </c>
      <c r="D13" s="4" t="s">
        <v>2</v>
      </c>
      <c r="E13" s="16" t="s">
        <v>469</v>
      </c>
      <c r="F13" s="22"/>
      <c r="H13" s="20" t="s">
        <v>400</v>
      </c>
      <c r="I13" s="15" t="s">
        <v>401</v>
      </c>
      <c r="J13" s="15" t="s">
        <v>402</v>
      </c>
      <c r="K13" s="25"/>
      <c r="L13" s="2" t="s">
        <v>387</v>
      </c>
      <c r="M13" s="2" t="s">
        <v>387</v>
      </c>
      <c r="N13" s="1">
        <f t="shared" si="0"/>
        <v>12</v>
      </c>
      <c r="O13" s="44">
        <f t="shared" si="1"/>
        <v>11</v>
      </c>
    </row>
    <row r="14" spans="1:15" ht="15.75" thickBot="1">
      <c r="A14" s="7">
        <f>VLOOKUP(C14,'2021 Draft'!$A$2:$F$172,6,FALSE)</f>
        <v>145</v>
      </c>
      <c r="B14" s="7">
        <f>VLOOKUP(C14,'2021 Draft'!$A$2:$F$172,5,FALSE)</f>
        <v>15</v>
      </c>
      <c r="C14" s="4" t="s">
        <v>735</v>
      </c>
      <c r="D14" s="4" t="s">
        <v>5</v>
      </c>
      <c r="E14" s="16" t="s">
        <v>469</v>
      </c>
      <c r="F14" s="22"/>
      <c r="H14" s="20" t="s">
        <v>400</v>
      </c>
      <c r="I14" s="15" t="s">
        <v>401</v>
      </c>
      <c r="J14" s="15" t="s">
        <v>402</v>
      </c>
      <c r="K14" s="25"/>
      <c r="L14" s="2" t="s">
        <v>387</v>
      </c>
      <c r="M14" s="2" t="s">
        <v>387</v>
      </c>
      <c r="N14" s="1">
        <f t="shared" si="0"/>
        <v>15</v>
      </c>
      <c r="O14" s="44">
        <f t="shared" si="1"/>
        <v>14</v>
      </c>
    </row>
    <row r="15" spans="1:15" ht="15.75" thickBot="1">
      <c r="A15" s="7" t="s">
        <v>390</v>
      </c>
      <c r="B15" s="7" t="s">
        <v>390</v>
      </c>
      <c r="C15" s="4" t="s">
        <v>740</v>
      </c>
      <c r="D15" s="4" t="s">
        <v>27</v>
      </c>
      <c r="E15" s="16" t="s">
        <v>469</v>
      </c>
      <c r="F15" s="22"/>
      <c r="H15" s="20" t="s">
        <v>400</v>
      </c>
      <c r="I15" s="15" t="s">
        <v>401</v>
      </c>
      <c r="J15" s="15" t="s">
        <v>402</v>
      </c>
      <c r="K15" s="25"/>
      <c r="L15" s="2" t="s">
        <v>387</v>
      </c>
      <c r="M15" s="2" t="s">
        <v>387</v>
      </c>
      <c r="N15" s="1" t="s">
        <v>390</v>
      </c>
      <c r="O15" s="44">
        <f t="shared" si="1"/>
        <v>9</v>
      </c>
    </row>
    <row r="16" spans="1:15" ht="15.75" thickBot="1">
      <c r="A16" s="7" t="s">
        <v>390</v>
      </c>
      <c r="B16" s="7" t="s">
        <v>390</v>
      </c>
      <c r="C16" s="4" t="s">
        <v>755</v>
      </c>
      <c r="D16" s="4" t="s">
        <v>10</v>
      </c>
      <c r="E16" s="16" t="s">
        <v>469</v>
      </c>
      <c r="F16" s="22"/>
      <c r="H16" s="20" t="s">
        <v>400</v>
      </c>
      <c r="I16" s="15" t="s">
        <v>401</v>
      </c>
      <c r="J16" s="15" t="s">
        <v>402</v>
      </c>
      <c r="K16" s="25"/>
      <c r="L16" s="2" t="s">
        <v>387</v>
      </c>
      <c r="M16" s="2" t="s">
        <v>387</v>
      </c>
      <c r="N16" s="1" t="s">
        <v>390</v>
      </c>
      <c r="O16" s="44">
        <f t="shared" si="1"/>
        <v>9</v>
      </c>
    </row>
    <row r="17" spans="1:15" ht="15.75" thickBot="1">
      <c r="A17" s="7">
        <f>VLOOKUP(C17,'2021 Draft'!$A$2:$F$172,6,FALSE)</f>
        <v>147</v>
      </c>
      <c r="B17" s="7">
        <f>VLOOKUP(C17,'2021 Draft'!$A$2:$F$172,5,FALSE)</f>
        <v>15</v>
      </c>
      <c r="C17" s="4" t="s">
        <v>792</v>
      </c>
      <c r="D17" s="4" t="s">
        <v>10</v>
      </c>
      <c r="E17" s="16" t="s">
        <v>469</v>
      </c>
      <c r="F17" s="22"/>
      <c r="H17" s="20" t="s">
        <v>400</v>
      </c>
      <c r="I17" s="15" t="s">
        <v>401</v>
      </c>
      <c r="J17" s="15" t="s">
        <v>402</v>
      </c>
      <c r="K17" s="25"/>
      <c r="L17" s="2" t="s">
        <v>387</v>
      </c>
      <c r="M17" s="2" t="s">
        <v>387</v>
      </c>
      <c r="N17" s="1">
        <f t="shared" si="0"/>
        <v>15</v>
      </c>
      <c r="O17" s="44">
        <f t="shared" si="1"/>
        <v>14</v>
      </c>
    </row>
    <row r="18" spans="1:15" ht="15.75" thickBot="1">
      <c r="A18" s="7" t="s">
        <v>390</v>
      </c>
      <c r="B18" s="7" t="s">
        <v>390</v>
      </c>
      <c r="C18" s="4" t="s">
        <v>563</v>
      </c>
      <c r="D18" s="4" t="s">
        <v>10</v>
      </c>
      <c r="E18" s="16" t="s">
        <v>469</v>
      </c>
      <c r="F18" s="22"/>
      <c r="H18" s="20" t="s">
        <v>400</v>
      </c>
      <c r="I18" s="15" t="s">
        <v>401</v>
      </c>
      <c r="J18" s="15" t="s">
        <v>402</v>
      </c>
      <c r="K18" s="25"/>
      <c r="L18" s="2" t="s">
        <v>387</v>
      </c>
      <c r="M18" s="2" t="s">
        <v>387</v>
      </c>
      <c r="N18" s="1" t="s">
        <v>390</v>
      </c>
      <c r="O18" s="44">
        <f t="shared" si="1"/>
        <v>9</v>
      </c>
    </row>
    <row r="19" spans="1:15" ht="15.75" thickBot="1">
      <c r="A19" s="7">
        <f>VLOOKUP(C19,'2021 Draft'!$A$2:$F$172,6,FALSE)</f>
        <v>65</v>
      </c>
      <c r="B19" s="7">
        <f>VLOOKUP(C19,'2021 Draft'!$A$2:$F$172,5,FALSE)</f>
        <v>7</v>
      </c>
      <c r="C19" s="4" t="s">
        <v>629</v>
      </c>
      <c r="D19" s="4" t="s">
        <v>10</v>
      </c>
      <c r="E19" s="16" t="s">
        <v>469</v>
      </c>
      <c r="F19" s="22"/>
      <c r="H19" s="20" t="s">
        <v>400</v>
      </c>
      <c r="I19" s="15" t="s">
        <v>401</v>
      </c>
      <c r="J19" s="15" t="s">
        <v>402</v>
      </c>
      <c r="K19" s="25"/>
      <c r="L19" s="2" t="s">
        <v>387</v>
      </c>
      <c r="M19" s="2" t="s">
        <v>387</v>
      </c>
      <c r="N19" s="1">
        <f t="shared" si="0"/>
        <v>7</v>
      </c>
      <c r="O19" s="44">
        <f t="shared" si="1"/>
        <v>6</v>
      </c>
    </row>
    <row r="20" spans="1:15" ht="15.75" thickBot="1">
      <c r="A20" s="14"/>
      <c r="B20" s="14"/>
      <c r="C20" s="14"/>
      <c r="D20" s="14"/>
      <c r="E20" s="18"/>
      <c r="F20" s="18"/>
      <c r="H20" s="18"/>
      <c r="I20" s="18"/>
      <c r="J20" s="18"/>
      <c r="K20" s="18"/>
      <c r="L20" s="18"/>
      <c r="M20" s="18"/>
      <c r="N20" s="18"/>
      <c r="O20" s="18"/>
    </row>
    <row r="21" spans="1:15" ht="15.75" thickBot="1">
      <c r="A21" s="7">
        <f>VLOOKUP(C21,'2021 Draft'!$A$2:$F$172,6,FALSE)</f>
        <v>121</v>
      </c>
      <c r="B21" s="7">
        <f>VLOOKUP(C21,'2021 Draft'!$A$2:$F$172,5,FALSE)</f>
        <v>13</v>
      </c>
      <c r="C21" s="4" t="s">
        <v>559</v>
      </c>
      <c r="D21" s="8" t="s">
        <v>5</v>
      </c>
      <c r="E21" s="17" t="s">
        <v>470</v>
      </c>
      <c r="F21" s="22"/>
      <c r="H21" s="20" t="s">
        <v>401</v>
      </c>
      <c r="I21" s="15" t="s">
        <v>402</v>
      </c>
      <c r="J21" s="15" t="s">
        <v>387</v>
      </c>
      <c r="K21" s="25"/>
      <c r="L21" s="2">
        <v>15</v>
      </c>
      <c r="M21" s="2">
        <v>14</v>
      </c>
      <c r="N21" s="1">
        <f t="shared" ref="N21:N37" si="2">B21</f>
        <v>13</v>
      </c>
      <c r="O21" s="44">
        <f>IF(A21="FA",9,N21-1)</f>
        <v>12</v>
      </c>
    </row>
    <row r="22" spans="1:15" ht="15.75" thickBot="1">
      <c r="A22" s="7">
        <f>VLOOKUP(C22,'2021 Draft'!$A$2:$F$172,6,FALSE)</f>
        <v>40</v>
      </c>
      <c r="B22" s="7">
        <f>VLOOKUP(C22,'2021 Draft'!$A$2:$F$172,5,FALSE)</f>
        <v>4</v>
      </c>
      <c r="C22" s="4" t="s">
        <v>581</v>
      </c>
      <c r="D22" s="4" t="s">
        <v>10</v>
      </c>
      <c r="E22" s="17" t="s">
        <v>470</v>
      </c>
      <c r="F22" s="22"/>
      <c r="H22" s="20" t="s">
        <v>400</v>
      </c>
      <c r="I22" s="15" t="s">
        <v>401</v>
      </c>
      <c r="J22" s="15" t="s">
        <v>402</v>
      </c>
      <c r="K22" s="25"/>
      <c r="L22" s="2" t="s">
        <v>387</v>
      </c>
      <c r="M22" s="2" t="s">
        <v>387</v>
      </c>
      <c r="N22" s="1">
        <f t="shared" si="2"/>
        <v>4</v>
      </c>
      <c r="O22" s="44">
        <f t="shared" ref="O22:O37" si="3">IF(A22="FA",9,N22-1)</f>
        <v>3</v>
      </c>
    </row>
    <row r="23" spans="1:15" ht="15.75" thickBot="1">
      <c r="A23" s="7" t="s">
        <v>390</v>
      </c>
      <c r="B23" s="7" t="s">
        <v>390</v>
      </c>
      <c r="C23" s="4" t="s">
        <v>50</v>
      </c>
      <c r="D23" s="4" t="s">
        <v>10</v>
      </c>
      <c r="E23" s="17" t="s">
        <v>470</v>
      </c>
      <c r="F23" s="22"/>
      <c r="H23" s="20" t="s">
        <v>400</v>
      </c>
      <c r="I23" s="15" t="s">
        <v>401</v>
      </c>
      <c r="J23" s="15" t="s">
        <v>402</v>
      </c>
      <c r="K23" s="25"/>
      <c r="L23" s="2" t="s">
        <v>387</v>
      </c>
      <c r="M23" s="2" t="s">
        <v>387</v>
      </c>
      <c r="N23" s="1" t="s">
        <v>390</v>
      </c>
      <c r="O23" s="44">
        <f t="shared" si="3"/>
        <v>9</v>
      </c>
    </row>
    <row r="24" spans="1:15" ht="15.75" thickBot="1">
      <c r="A24" s="7">
        <f>VLOOKUP(C24,'2021 Draft'!$A$2:$F$172,6,FALSE)</f>
        <v>21</v>
      </c>
      <c r="B24" s="7">
        <f>VLOOKUP(C24,'2021 Draft'!$A$2:$F$172,5,FALSE)</f>
        <v>3</v>
      </c>
      <c r="C24" s="4" t="s">
        <v>411</v>
      </c>
      <c r="D24" s="4" t="s">
        <v>2</v>
      </c>
      <c r="E24" s="17" t="s">
        <v>470</v>
      </c>
      <c r="F24" s="22"/>
      <c r="H24" s="20" t="s">
        <v>400</v>
      </c>
      <c r="I24" s="15" t="s">
        <v>401</v>
      </c>
      <c r="J24" s="15" t="s">
        <v>402</v>
      </c>
      <c r="K24" s="25"/>
      <c r="L24" s="2" t="s">
        <v>387</v>
      </c>
      <c r="M24" s="2" t="s">
        <v>387</v>
      </c>
      <c r="N24" s="1">
        <f t="shared" si="2"/>
        <v>3</v>
      </c>
      <c r="O24" s="44">
        <f t="shared" si="3"/>
        <v>2</v>
      </c>
    </row>
    <row r="25" spans="1:15" ht="15.75" thickBot="1">
      <c r="A25" s="7">
        <f>VLOOKUP(C25,'2021 Draft'!$A$2:$F$172,6,FALSE)</f>
        <v>120</v>
      </c>
      <c r="B25" s="7">
        <f>VLOOKUP(C25,'2021 Draft'!$A$2:$F$172,5,FALSE)</f>
        <v>12</v>
      </c>
      <c r="C25" s="4" t="s">
        <v>711</v>
      </c>
      <c r="D25" s="4" t="s">
        <v>2</v>
      </c>
      <c r="E25" s="17" t="s">
        <v>470</v>
      </c>
      <c r="F25" s="22"/>
      <c r="H25" s="20" t="s">
        <v>401</v>
      </c>
      <c r="I25" s="15" t="s">
        <v>402</v>
      </c>
      <c r="J25" s="15" t="s">
        <v>387</v>
      </c>
      <c r="K25" s="25"/>
      <c r="L25" s="2" t="s">
        <v>387</v>
      </c>
      <c r="M25" s="2">
        <v>13</v>
      </c>
      <c r="N25" s="1">
        <f t="shared" si="2"/>
        <v>12</v>
      </c>
      <c r="O25" s="44">
        <f t="shared" si="3"/>
        <v>11</v>
      </c>
    </row>
    <row r="26" spans="1:15" ht="15.75" thickBot="1">
      <c r="A26" s="7" t="s">
        <v>390</v>
      </c>
      <c r="B26" s="7" t="s">
        <v>390</v>
      </c>
      <c r="C26" s="4" t="s">
        <v>803</v>
      </c>
      <c r="D26" s="4" t="s">
        <v>27</v>
      </c>
      <c r="E26" s="17" t="s">
        <v>470</v>
      </c>
      <c r="F26" s="22"/>
      <c r="H26" s="20" t="s">
        <v>401</v>
      </c>
      <c r="I26" s="15" t="s">
        <v>402</v>
      </c>
      <c r="J26" s="15" t="s">
        <v>387</v>
      </c>
      <c r="K26" s="25"/>
      <c r="L26" s="2" t="s">
        <v>387</v>
      </c>
      <c r="M26" s="2" t="s">
        <v>387</v>
      </c>
      <c r="N26" s="1" t="s">
        <v>390</v>
      </c>
      <c r="O26" s="44">
        <f t="shared" si="3"/>
        <v>9</v>
      </c>
    </row>
    <row r="27" spans="1:15" ht="15.75" thickBot="1">
      <c r="A27" s="7" t="s">
        <v>390</v>
      </c>
      <c r="B27" s="7" t="s">
        <v>390</v>
      </c>
      <c r="C27" s="4" t="s">
        <v>777</v>
      </c>
      <c r="D27" s="4" t="s">
        <v>2</v>
      </c>
      <c r="E27" s="17" t="s">
        <v>470</v>
      </c>
      <c r="F27" s="22"/>
      <c r="H27" s="20" t="s">
        <v>400</v>
      </c>
      <c r="I27" s="15" t="s">
        <v>401</v>
      </c>
      <c r="J27" s="15" t="s">
        <v>402</v>
      </c>
      <c r="K27" s="25"/>
      <c r="L27" s="2" t="s">
        <v>387</v>
      </c>
      <c r="M27" s="2" t="s">
        <v>387</v>
      </c>
      <c r="N27" s="1" t="s">
        <v>390</v>
      </c>
      <c r="O27" s="44">
        <f t="shared" si="3"/>
        <v>9</v>
      </c>
    </row>
    <row r="28" spans="1:15" ht="15.75" thickBot="1">
      <c r="A28" s="7" t="s">
        <v>390</v>
      </c>
      <c r="B28" s="7" t="s">
        <v>390</v>
      </c>
      <c r="C28" s="4" t="s">
        <v>415</v>
      </c>
      <c r="D28" s="4" t="s">
        <v>2</v>
      </c>
      <c r="E28" s="17" t="s">
        <v>470</v>
      </c>
      <c r="F28" s="22"/>
      <c r="H28" s="20" t="s">
        <v>400</v>
      </c>
      <c r="I28" s="15" t="s">
        <v>401</v>
      </c>
      <c r="J28" s="15" t="s">
        <v>402</v>
      </c>
      <c r="K28" s="25"/>
      <c r="L28" s="2" t="s">
        <v>387</v>
      </c>
      <c r="M28" s="2" t="s">
        <v>387</v>
      </c>
      <c r="N28" s="1" t="s">
        <v>390</v>
      </c>
      <c r="O28" s="44">
        <f t="shared" si="3"/>
        <v>9</v>
      </c>
    </row>
    <row r="29" spans="1:15" ht="15.75" thickBot="1">
      <c r="A29" s="7" t="s">
        <v>390</v>
      </c>
      <c r="B29" s="7" t="s">
        <v>390</v>
      </c>
      <c r="C29" s="4" t="s">
        <v>436</v>
      </c>
      <c r="D29" s="4" t="s">
        <v>687</v>
      </c>
      <c r="E29" s="17" t="s">
        <v>470</v>
      </c>
      <c r="F29" s="22"/>
      <c r="H29" s="20" t="s">
        <v>400</v>
      </c>
      <c r="I29" s="15" t="s">
        <v>401</v>
      </c>
      <c r="J29" s="15" t="s">
        <v>402</v>
      </c>
      <c r="K29" s="25"/>
      <c r="L29" s="2" t="s">
        <v>387</v>
      </c>
      <c r="M29" s="2" t="s">
        <v>387</v>
      </c>
      <c r="N29" s="1" t="s">
        <v>390</v>
      </c>
      <c r="O29" s="44">
        <f t="shared" si="3"/>
        <v>9</v>
      </c>
    </row>
    <row r="30" spans="1:15" ht="15.75" thickBot="1">
      <c r="A30" s="7">
        <f>VLOOKUP(C30,'2021 Draft'!$A$2:$F$172,6,FALSE)</f>
        <v>41</v>
      </c>
      <c r="B30" s="7">
        <f>VLOOKUP(C30,'2021 Draft'!$A$2:$F$172,5,FALSE)</f>
        <v>5</v>
      </c>
      <c r="C30" s="4" t="s">
        <v>703</v>
      </c>
      <c r="D30" s="4" t="s">
        <v>2</v>
      </c>
      <c r="E30" s="17" t="s">
        <v>470</v>
      </c>
      <c r="F30" s="22"/>
      <c r="H30" s="20" t="s">
        <v>400</v>
      </c>
      <c r="I30" s="15" t="s">
        <v>401</v>
      </c>
      <c r="J30" s="15" t="s">
        <v>402</v>
      </c>
      <c r="K30" s="25"/>
      <c r="L30" s="2" t="s">
        <v>387</v>
      </c>
      <c r="M30" s="2" t="s">
        <v>387</v>
      </c>
      <c r="N30" s="1">
        <f t="shared" si="2"/>
        <v>5</v>
      </c>
      <c r="O30" s="44">
        <f t="shared" si="3"/>
        <v>4</v>
      </c>
    </row>
    <row r="31" spans="1:15" ht="15.75" thickBot="1">
      <c r="A31" s="7">
        <f>VLOOKUP(C31,'2021 Draft'!$A$2:$F$172,6,FALSE)</f>
        <v>61</v>
      </c>
      <c r="B31" s="7">
        <f>VLOOKUP(C31,'2021 Draft'!$A$2:$F$172,5,FALSE)</f>
        <v>7</v>
      </c>
      <c r="C31" s="4" t="s">
        <v>519</v>
      </c>
      <c r="D31" s="4" t="s">
        <v>2</v>
      </c>
      <c r="E31" s="17" t="s">
        <v>470</v>
      </c>
      <c r="F31" s="22"/>
      <c r="H31" s="20" t="s">
        <v>400</v>
      </c>
      <c r="I31" s="15" t="s">
        <v>401</v>
      </c>
      <c r="J31" s="15" t="s">
        <v>402</v>
      </c>
      <c r="K31" s="25"/>
      <c r="L31" s="2" t="s">
        <v>387</v>
      </c>
      <c r="M31" s="2" t="s">
        <v>387</v>
      </c>
      <c r="N31" s="1">
        <f t="shared" si="2"/>
        <v>7</v>
      </c>
      <c r="O31" s="44">
        <f t="shared" si="3"/>
        <v>6</v>
      </c>
    </row>
    <row r="32" spans="1:15" ht="15.75" thickBot="1">
      <c r="A32" s="7" t="s">
        <v>390</v>
      </c>
      <c r="B32" s="7" t="s">
        <v>390</v>
      </c>
      <c r="C32" s="4" t="s">
        <v>178</v>
      </c>
      <c r="D32" s="4" t="s">
        <v>27</v>
      </c>
      <c r="E32" s="17" t="s">
        <v>470</v>
      </c>
      <c r="F32" s="22"/>
      <c r="H32" s="20" t="s">
        <v>400</v>
      </c>
      <c r="I32" s="15" t="s">
        <v>401</v>
      </c>
      <c r="J32" s="15" t="s">
        <v>402</v>
      </c>
      <c r="K32" s="25"/>
      <c r="L32" s="2" t="s">
        <v>387</v>
      </c>
      <c r="M32" s="2" t="s">
        <v>387</v>
      </c>
      <c r="N32" s="1" t="s">
        <v>390</v>
      </c>
      <c r="O32" s="44">
        <f t="shared" si="3"/>
        <v>9</v>
      </c>
    </row>
    <row r="33" spans="1:15" ht="15.75" thickBot="1">
      <c r="A33" s="7" t="s">
        <v>390</v>
      </c>
      <c r="B33" s="7" t="s">
        <v>390</v>
      </c>
      <c r="C33" s="4" t="s">
        <v>187</v>
      </c>
      <c r="D33" s="4" t="s">
        <v>2</v>
      </c>
      <c r="E33" s="17" t="s">
        <v>470</v>
      </c>
      <c r="F33" s="22"/>
      <c r="H33" s="20" t="s">
        <v>400</v>
      </c>
      <c r="I33" s="15" t="s">
        <v>401</v>
      </c>
      <c r="J33" s="15" t="s">
        <v>402</v>
      </c>
      <c r="K33" s="25"/>
      <c r="L33" s="2" t="s">
        <v>387</v>
      </c>
      <c r="M33" s="2" t="s">
        <v>387</v>
      </c>
      <c r="N33" s="1" t="s">
        <v>390</v>
      </c>
      <c r="O33" s="44">
        <f t="shared" si="3"/>
        <v>9</v>
      </c>
    </row>
    <row r="34" spans="1:15" ht="15.75" thickBot="1">
      <c r="A34" s="7" t="s">
        <v>390</v>
      </c>
      <c r="B34" s="7" t="s">
        <v>390</v>
      </c>
      <c r="C34" s="4" t="s">
        <v>414</v>
      </c>
      <c r="D34" s="4" t="s">
        <v>10</v>
      </c>
      <c r="E34" s="17" t="s">
        <v>470</v>
      </c>
      <c r="F34" s="22"/>
      <c r="H34" s="20" t="s">
        <v>400</v>
      </c>
      <c r="I34" s="15" t="s">
        <v>401</v>
      </c>
      <c r="J34" s="15" t="s">
        <v>402</v>
      </c>
      <c r="K34" s="25"/>
      <c r="L34" s="2" t="s">
        <v>387</v>
      </c>
      <c r="M34" s="2" t="s">
        <v>387</v>
      </c>
      <c r="N34" s="1" t="s">
        <v>390</v>
      </c>
      <c r="O34" s="44">
        <f t="shared" si="3"/>
        <v>9</v>
      </c>
    </row>
    <row r="35" spans="1:15" ht="15.75" thickBot="1">
      <c r="A35" s="7" t="s">
        <v>390</v>
      </c>
      <c r="B35" s="7" t="s">
        <v>390</v>
      </c>
      <c r="C35" s="4" t="s">
        <v>52</v>
      </c>
      <c r="D35" s="4" t="s">
        <v>2</v>
      </c>
      <c r="E35" s="17" t="s">
        <v>470</v>
      </c>
      <c r="F35" s="22"/>
      <c r="H35" s="20" t="s">
        <v>400</v>
      </c>
      <c r="I35" s="15" t="s">
        <v>401</v>
      </c>
      <c r="J35" s="15" t="s">
        <v>402</v>
      </c>
      <c r="K35" s="25"/>
      <c r="L35" s="2" t="s">
        <v>387</v>
      </c>
      <c r="M35" s="2" t="s">
        <v>387</v>
      </c>
      <c r="N35" s="1" t="s">
        <v>390</v>
      </c>
      <c r="O35" s="44">
        <f t="shared" si="3"/>
        <v>9</v>
      </c>
    </row>
    <row r="36" spans="1:15" ht="15.75" thickBot="1">
      <c r="A36" s="7" t="s">
        <v>390</v>
      </c>
      <c r="B36" s="7" t="s">
        <v>390</v>
      </c>
      <c r="C36" s="4" t="s">
        <v>640</v>
      </c>
      <c r="D36" s="4" t="s">
        <v>27</v>
      </c>
      <c r="E36" s="17" t="s">
        <v>470</v>
      </c>
      <c r="F36" s="22"/>
      <c r="H36" s="20" t="s">
        <v>400</v>
      </c>
      <c r="I36" s="15" t="s">
        <v>401</v>
      </c>
      <c r="J36" s="15" t="s">
        <v>402</v>
      </c>
      <c r="K36" s="25"/>
      <c r="L36" s="2" t="s">
        <v>387</v>
      </c>
      <c r="M36" s="2" t="s">
        <v>387</v>
      </c>
      <c r="N36" s="1" t="s">
        <v>390</v>
      </c>
      <c r="O36" s="44">
        <f t="shared" si="3"/>
        <v>9</v>
      </c>
    </row>
    <row r="37" spans="1:15" ht="15.75" thickBot="1">
      <c r="A37" s="7">
        <f>VLOOKUP(C37,'2021 Draft'!$A$2:$F$172,6,FALSE)</f>
        <v>1</v>
      </c>
      <c r="B37" s="7">
        <f>VLOOKUP(C37,'2021 Draft'!$A$2:$F$172,5,FALSE)</f>
        <v>1</v>
      </c>
      <c r="C37" s="4" t="s">
        <v>61</v>
      </c>
      <c r="D37" s="4" t="s">
        <v>10</v>
      </c>
      <c r="E37" s="17" t="s">
        <v>470</v>
      </c>
      <c r="F37" s="22"/>
      <c r="H37" s="20" t="s">
        <v>400</v>
      </c>
      <c r="I37" s="15" t="s">
        <v>401</v>
      </c>
      <c r="J37" s="15" t="s">
        <v>402</v>
      </c>
      <c r="K37" s="25"/>
      <c r="L37" s="2" t="s">
        <v>387</v>
      </c>
      <c r="M37" s="2" t="s">
        <v>387</v>
      </c>
      <c r="N37" s="1">
        <f t="shared" si="2"/>
        <v>1</v>
      </c>
      <c r="O37" s="44">
        <f t="shared" si="3"/>
        <v>0</v>
      </c>
    </row>
    <row r="38" spans="1:15" ht="15.75" thickBot="1">
      <c r="A38" s="14"/>
      <c r="B38" s="14"/>
      <c r="C38" s="14"/>
      <c r="D38" s="14"/>
      <c r="E38" s="18"/>
      <c r="F38" s="18"/>
      <c r="H38" s="18"/>
      <c r="I38" s="18"/>
      <c r="J38" s="18"/>
      <c r="K38" s="18"/>
      <c r="L38" s="18"/>
      <c r="M38" s="18"/>
      <c r="N38" s="18"/>
      <c r="O38" s="18"/>
    </row>
    <row r="39" spans="1:15" ht="15.75" thickBot="1">
      <c r="A39" s="7">
        <f>VLOOKUP(C39,'2021 Draft'!$A$2:$F$172,6,FALSE)</f>
        <v>143</v>
      </c>
      <c r="B39" s="7">
        <f>VLOOKUP(C39,'2021 Draft'!$A$2:$F$172,5,FALSE)</f>
        <v>15</v>
      </c>
      <c r="C39" s="4" t="s">
        <v>791</v>
      </c>
      <c r="D39" s="8" t="s">
        <v>5</v>
      </c>
      <c r="E39" s="19" t="s">
        <v>385</v>
      </c>
      <c r="F39" s="23"/>
      <c r="H39" s="20" t="s">
        <v>400</v>
      </c>
      <c r="I39" s="15" t="s">
        <v>401</v>
      </c>
      <c r="J39" s="15" t="s">
        <v>402</v>
      </c>
      <c r="K39" s="25"/>
      <c r="L39" s="2" t="s">
        <v>387</v>
      </c>
      <c r="M39" s="2" t="s">
        <v>387</v>
      </c>
      <c r="N39" s="1">
        <f t="shared" ref="N39:N54" si="4">B39</f>
        <v>15</v>
      </c>
      <c r="O39" s="44">
        <f>IF(A39="FA",9,N39-1)</f>
        <v>14</v>
      </c>
    </row>
    <row r="40" spans="1:15" ht="15.75" thickBot="1">
      <c r="A40" s="7">
        <f>VLOOKUP(C40,'2021 Draft'!$A$2:$F$172,6,FALSE)</f>
        <v>18</v>
      </c>
      <c r="B40" s="7">
        <f>VLOOKUP(C40,'2021 Draft'!$A$2:$F$172,5,FALSE)</f>
        <v>2</v>
      </c>
      <c r="C40" s="4" t="s">
        <v>580</v>
      </c>
      <c r="D40" s="4" t="s">
        <v>10</v>
      </c>
      <c r="E40" s="19" t="s">
        <v>385</v>
      </c>
      <c r="F40" s="23"/>
      <c r="H40" s="20" t="s">
        <v>400</v>
      </c>
      <c r="I40" s="15" t="s">
        <v>401</v>
      </c>
      <c r="J40" s="15" t="s">
        <v>402</v>
      </c>
      <c r="K40" s="25"/>
      <c r="L40" s="2" t="s">
        <v>387</v>
      </c>
      <c r="M40" s="2" t="s">
        <v>387</v>
      </c>
      <c r="N40" s="1">
        <f t="shared" si="4"/>
        <v>2</v>
      </c>
      <c r="O40" s="44">
        <f t="shared" ref="O40:O54" si="5">IF(A40="FA",9,N40-1)</f>
        <v>1</v>
      </c>
    </row>
    <row r="41" spans="1:15" ht="15.75" thickBot="1">
      <c r="A41" s="7">
        <f>VLOOKUP(C41,'2021 Draft'!$A$2:$F$172,6,FALSE)</f>
        <v>83</v>
      </c>
      <c r="B41" s="7">
        <f>VLOOKUP(C41,'2021 Draft'!$A$2:$F$172,5,FALSE)</f>
        <v>9</v>
      </c>
      <c r="C41" s="4" t="s">
        <v>447</v>
      </c>
      <c r="D41" s="4" t="s">
        <v>10</v>
      </c>
      <c r="E41" s="19" t="s">
        <v>385</v>
      </c>
      <c r="F41" s="23"/>
      <c r="H41" s="20" t="s">
        <v>401</v>
      </c>
      <c r="I41" s="15" t="s">
        <v>402</v>
      </c>
      <c r="J41" s="15" t="s">
        <v>387</v>
      </c>
      <c r="K41" s="25"/>
      <c r="L41" s="2">
        <v>11</v>
      </c>
      <c r="M41" s="2">
        <v>10</v>
      </c>
      <c r="N41" s="1">
        <f t="shared" si="4"/>
        <v>9</v>
      </c>
      <c r="O41" s="44">
        <f t="shared" si="5"/>
        <v>8</v>
      </c>
    </row>
    <row r="42" spans="1:15" ht="15.75" thickBot="1">
      <c r="A42" s="7">
        <f>VLOOKUP(C42,'2021 Draft'!$A$2:$F$172,6,FALSE)</f>
        <v>3</v>
      </c>
      <c r="B42" s="7">
        <f>VLOOKUP(C42,'2021 Draft'!$A$2:$F$172,5,FALSE)</f>
        <v>1</v>
      </c>
      <c r="C42" s="4" t="s">
        <v>125</v>
      </c>
      <c r="D42" s="4" t="s">
        <v>2</v>
      </c>
      <c r="E42" s="19" t="s">
        <v>385</v>
      </c>
      <c r="F42" s="23"/>
      <c r="H42" s="20" t="s">
        <v>400</v>
      </c>
      <c r="I42" s="15" t="s">
        <v>401</v>
      </c>
      <c r="J42" s="15" t="s">
        <v>402</v>
      </c>
      <c r="K42" s="25"/>
      <c r="L42" s="2" t="s">
        <v>387</v>
      </c>
      <c r="M42" s="2" t="s">
        <v>387</v>
      </c>
      <c r="N42" s="1">
        <f t="shared" si="4"/>
        <v>1</v>
      </c>
      <c r="O42" s="44">
        <f t="shared" si="5"/>
        <v>0</v>
      </c>
    </row>
    <row r="43" spans="1:15" ht="15.75" thickBot="1">
      <c r="A43" s="7">
        <f>VLOOKUP(C43,'2021 Draft'!$A$2:$F$172,6,FALSE)</f>
        <v>118</v>
      </c>
      <c r="B43" s="7">
        <f>VLOOKUP(C43,'2021 Draft'!$A$2:$F$172,5,FALSE)</f>
        <v>12</v>
      </c>
      <c r="C43" s="4" t="s">
        <v>620</v>
      </c>
      <c r="D43" s="4" t="s">
        <v>2</v>
      </c>
      <c r="E43" s="19" t="s">
        <v>385</v>
      </c>
      <c r="F43" s="23"/>
      <c r="H43" s="20" t="s">
        <v>400</v>
      </c>
      <c r="I43" s="15" t="s">
        <v>401</v>
      </c>
      <c r="J43" s="15" t="s">
        <v>402</v>
      </c>
      <c r="K43" s="25"/>
      <c r="L43" s="2" t="s">
        <v>387</v>
      </c>
      <c r="M43" s="2" t="s">
        <v>387</v>
      </c>
      <c r="N43" s="1">
        <f t="shared" si="4"/>
        <v>12</v>
      </c>
      <c r="O43" s="44">
        <f t="shared" si="5"/>
        <v>11</v>
      </c>
    </row>
    <row r="44" spans="1:15" ht="15.75" thickBot="1">
      <c r="A44" s="7" t="s">
        <v>390</v>
      </c>
      <c r="B44" s="7" t="s">
        <v>390</v>
      </c>
      <c r="C44" s="4" t="s">
        <v>105</v>
      </c>
      <c r="D44" s="4" t="s">
        <v>27</v>
      </c>
      <c r="E44" s="19" t="s">
        <v>385</v>
      </c>
      <c r="F44" s="23"/>
      <c r="H44" s="20" t="s">
        <v>400</v>
      </c>
      <c r="I44" s="15" t="s">
        <v>401</v>
      </c>
      <c r="J44" s="15" t="s">
        <v>402</v>
      </c>
      <c r="K44" s="25"/>
      <c r="L44" s="2" t="s">
        <v>387</v>
      </c>
      <c r="M44" s="2" t="s">
        <v>387</v>
      </c>
      <c r="N44" s="1" t="s">
        <v>390</v>
      </c>
      <c r="O44" s="44">
        <f t="shared" si="5"/>
        <v>9</v>
      </c>
    </row>
    <row r="45" spans="1:15" ht="15.75" thickBot="1">
      <c r="A45" s="7">
        <f>VLOOKUP(C45,'2021 Draft'!$A$2:$F$172,6,FALSE)</f>
        <v>38</v>
      </c>
      <c r="B45" s="7">
        <f>VLOOKUP(C45,'2021 Draft'!$A$2:$F$172,5,FALSE)</f>
        <v>4</v>
      </c>
      <c r="C45" s="4" t="s">
        <v>583</v>
      </c>
      <c r="D45" s="4" t="s">
        <v>10</v>
      </c>
      <c r="E45" s="19" t="s">
        <v>385</v>
      </c>
      <c r="F45" s="23"/>
      <c r="H45" s="20" t="s">
        <v>400</v>
      </c>
      <c r="I45" s="15" t="s">
        <v>401</v>
      </c>
      <c r="J45" s="15" t="s">
        <v>402</v>
      </c>
      <c r="K45" s="25"/>
      <c r="L45" s="2" t="s">
        <v>387</v>
      </c>
      <c r="M45" s="2" t="s">
        <v>387</v>
      </c>
      <c r="N45" s="1">
        <f t="shared" si="4"/>
        <v>4</v>
      </c>
      <c r="O45" s="44">
        <f t="shared" si="5"/>
        <v>3</v>
      </c>
    </row>
    <row r="46" spans="1:15" ht="15.75" thickBot="1">
      <c r="A46" s="7">
        <f>VLOOKUP(C46,'2021 Draft'!$A$2:$F$172,6,FALSE)</f>
        <v>98</v>
      </c>
      <c r="B46" s="7">
        <f>VLOOKUP(C46,'2021 Draft'!$A$2:$F$172,5,FALSE)</f>
        <v>10</v>
      </c>
      <c r="C46" s="4" t="s">
        <v>707</v>
      </c>
      <c r="D46" s="4" t="s">
        <v>2</v>
      </c>
      <c r="E46" s="19" t="s">
        <v>385</v>
      </c>
      <c r="F46" s="23"/>
      <c r="H46" s="20" t="s">
        <v>401</v>
      </c>
      <c r="I46" s="15" t="s">
        <v>402</v>
      </c>
      <c r="J46" s="15" t="s">
        <v>387</v>
      </c>
      <c r="K46" s="25"/>
      <c r="L46" s="2" t="s">
        <v>387</v>
      </c>
      <c r="M46" s="2">
        <v>11</v>
      </c>
      <c r="N46" s="1">
        <f t="shared" si="4"/>
        <v>10</v>
      </c>
      <c r="O46" s="44">
        <f t="shared" si="5"/>
        <v>9</v>
      </c>
    </row>
    <row r="47" spans="1:15" ht="15.75" thickBot="1">
      <c r="A47" s="7" t="s">
        <v>390</v>
      </c>
      <c r="B47" s="7" t="s">
        <v>390</v>
      </c>
      <c r="C47" s="4" t="s">
        <v>737</v>
      </c>
      <c r="D47" s="4" t="s">
        <v>687</v>
      </c>
      <c r="E47" s="19" t="s">
        <v>385</v>
      </c>
      <c r="F47" s="23"/>
      <c r="H47" s="20" t="s">
        <v>400</v>
      </c>
      <c r="I47" s="15" t="s">
        <v>401</v>
      </c>
      <c r="J47" s="15" t="s">
        <v>402</v>
      </c>
      <c r="K47" s="25"/>
      <c r="L47" s="2" t="s">
        <v>387</v>
      </c>
      <c r="M47" s="2" t="s">
        <v>387</v>
      </c>
      <c r="N47" s="1" t="s">
        <v>390</v>
      </c>
      <c r="O47" s="44">
        <f t="shared" si="5"/>
        <v>9</v>
      </c>
    </row>
    <row r="48" spans="1:15" ht="15.75" thickBot="1">
      <c r="A48" s="7">
        <f>VLOOKUP(C48,'2021 Draft'!$A$2:$F$172,6,FALSE)</f>
        <v>23</v>
      </c>
      <c r="B48" s="7">
        <f>VLOOKUP(C48,'2021 Draft'!$A$2:$F$172,5,FALSE)</f>
        <v>3</v>
      </c>
      <c r="C48" s="4" t="s">
        <v>695</v>
      </c>
      <c r="D48" s="4" t="s">
        <v>10</v>
      </c>
      <c r="E48" s="19" t="s">
        <v>385</v>
      </c>
      <c r="F48" s="23"/>
      <c r="H48" s="20" t="s">
        <v>400</v>
      </c>
      <c r="I48" s="15" t="s">
        <v>401</v>
      </c>
      <c r="J48" s="15" t="s">
        <v>402</v>
      </c>
      <c r="K48" s="25"/>
      <c r="L48" s="2" t="s">
        <v>387</v>
      </c>
      <c r="M48" s="2" t="s">
        <v>387</v>
      </c>
      <c r="N48" s="1">
        <f t="shared" si="4"/>
        <v>3</v>
      </c>
      <c r="O48" s="44">
        <f t="shared" si="5"/>
        <v>2</v>
      </c>
    </row>
    <row r="49" spans="1:15" ht="15.75" thickBot="1">
      <c r="A49" s="7">
        <f>VLOOKUP(C49,'2021 Draft'!$A$2:$F$172,6,FALSE)</f>
        <v>43</v>
      </c>
      <c r="B49" s="7">
        <f>VLOOKUP(C49,'2021 Draft'!$A$2:$F$172,5,FALSE)</f>
        <v>5</v>
      </c>
      <c r="C49" s="4" t="s">
        <v>540</v>
      </c>
      <c r="D49" s="4" t="s">
        <v>5</v>
      </c>
      <c r="E49" s="19" t="s">
        <v>385</v>
      </c>
      <c r="F49" s="23"/>
      <c r="H49" s="20" t="s">
        <v>400</v>
      </c>
      <c r="I49" s="15" t="s">
        <v>401</v>
      </c>
      <c r="J49" s="15" t="s">
        <v>402</v>
      </c>
      <c r="K49" s="25"/>
      <c r="L49" s="2" t="s">
        <v>387</v>
      </c>
      <c r="M49" s="2" t="s">
        <v>387</v>
      </c>
      <c r="N49" s="1">
        <f t="shared" si="4"/>
        <v>5</v>
      </c>
      <c r="O49" s="44">
        <f t="shared" si="5"/>
        <v>4</v>
      </c>
    </row>
    <row r="50" spans="1:15" ht="15.75" thickBot="1">
      <c r="A50" s="7">
        <f>VLOOKUP(C50,'2021 Draft'!$A$2:$F$172,6,FALSE)</f>
        <v>58</v>
      </c>
      <c r="B50" s="7">
        <f>VLOOKUP(C50,'2021 Draft'!$A$2:$F$172,5,FALSE)</f>
        <v>6</v>
      </c>
      <c r="C50" s="4" t="s">
        <v>99</v>
      </c>
      <c r="D50" s="4" t="s">
        <v>2</v>
      </c>
      <c r="E50" s="19" t="s">
        <v>385</v>
      </c>
      <c r="F50" s="23"/>
      <c r="H50" s="20" t="s">
        <v>400</v>
      </c>
      <c r="I50" s="15" t="s">
        <v>401</v>
      </c>
      <c r="J50" s="15" t="s">
        <v>402</v>
      </c>
      <c r="K50" s="25"/>
      <c r="L50" s="2" t="s">
        <v>387</v>
      </c>
      <c r="M50" s="2" t="s">
        <v>387</v>
      </c>
      <c r="N50" s="1">
        <f t="shared" si="4"/>
        <v>6</v>
      </c>
      <c r="O50" s="44">
        <f t="shared" si="5"/>
        <v>5</v>
      </c>
    </row>
    <row r="51" spans="1:15" ht="15.75" thickBot="1">
      <c r="A51" s="7">
        <f>VLOOKUP(C51,'2021 Draft'!$A$2:$F$172,6,FALSE)</f>
        <v>158</v>
      </c>
      <c r="B51" s="7">
        <f>VLOOKUP(C51,'2021 Draft'!$A$2:$F$172,5,FALSE)</f>
        <v>16</v>
      </c>
      <c r="C51" s="4" t="s">
        <v>546</v>
      </c>
      <c r="D51" s="4" t="s">
        <v>10</v>
      </c>
      <c r="E51" s="19" t="s">
        <v>385</v>
      </c>
      <c r="F51" s="23"/>
      <c r="H51" s="20" t="s">
        <v>400</v>
      </c>
      <c r="I51" s="15" t="s">
        <v>401</v>
      </c>
      <c r="J51" s="15" t="s">
        <v>402</v>
      </c>
      <c r="K51" s="25"/>
      <c r="L51" s="2" t="s">
        <v>387</v>
      </c>
      <c r="M51" s="2" t="s">
        <v>387</v>
      </c>
      <c r="N51" s="1">
        <f t="shared" si="4"/>
        <v>16</v>
      </c>
      <c r="O51" s="44">
        <f t="shared" si="5"/>
        <v>15</v>
      </c>
    </row>
    <row r="52" spans="1:15" ht="15.75" thickBot="1">
      <c r="A52" s="7" t="s">
        <v>390</v>
      </c>
      <c r="B52" s="7" t="s">
        <v>390</v>
      </c>
      <c r="C52" s="4" t="s">
        <v>439</v>
      </c>
      <c r="D52" s="4" t="s">
        <v>687</v>
      </c>
      <c r="E52" s="19" t="s">
        <v>385</v>
      </c>
      <c r="F52" s="23"/>
      <c r="H52" s="20" t="s">
        <v>400</v>
      </c>
      <c r="I52" s="15" t="s">
        <v>401</v>
      </c>
      <c r="J52" s="15" t="s">
        <v>402</v>
      </c>
      <c r="K52" s="25"/>
      <c r="L52" s="2" t="s">
        <v>387</v>
      </c>
      <c r="M52" s="2" t="s">
        <v>387</v>
      </c>
      <c r="N52" s="1" t="s">
        <v>390</v>
      </c>
      <c r="O52" s="44">
        <f t="shared" si="5"/>
        <v>9</v>
      </c>
    </row>
    <row r="53" spans="1:15" ht="15.75" thickBot="1">
      <c r="A53" s="7" t="s">
        <v>390</v>
      </c>
      <c r="B53" s="7" t="s">
        <v>390</v>
      </c>
      <c r="C53" s="4" t="s">
        <v>804</v>
      </c>
      <c r="D53" s="4" t="s">
        <v>10</v>
      </c>
      <c r="E53" s="19" t="s">
        <v>385</v>
      </c>
      <c r="F53" s="23"/>
      <c r="H53" s="20" t="s">
        <v>400</v>
      </c>
      <c r="I53" s="15" t="s">
        <v>401</v>
      </c>
      <c r="J53" s="15" t="s">
        <v>402</v>
      </c>
      <c r="K53" s="25"/>
      <c r="L53" s="2" t="s">
        <v>387</v>
      </c>
      <c r="M53" s="2" t="s">
        <v>387</v>
      </c>
      <c r="N53" s="1" t="s">
        <v>390</v>
      </c>
      <c r="O53" s="44">
        <f t="shared" si="5"/>
        <v>9</v>
      </c>
    </row>
    <row r="54" spans="1:15" ht="15.75" thickBot="1">
      <c r="A54" s="7">
        <f>VLOOKUP(C54,'2021 Draft'!$A$2:$F$172,6,FALSE)</f>
        <v>63</v>
      </c>
      <c r="B54" s="7">
        <f>VLOOKUP(C54,'2021 Draft'!$A$2:$F$172,5,FALSE)</f>
        <v>7</v>
      </c>
      <c r="C54" s="4" t="s">
        <v>729</v>
      </c>
      <c r="D54" s="4" t="s">
        <v>27</v>
      </c>
      <c r="E54" s="19" t="s">
        <v>385</v>
      </c>
      <c r="F54" s="23"/>
      <c r="H54" s="20" t="s">
        <v>400</v>
      </c>
      <c r="I54" s="15" t="s">
        <v>401</v>
      </c>
      <c r="J54" s="15" t="s">
        <v>402</v>
      </c>
      <c r="K54" s="25"/>
      <c r="L54" s="2" t="s">
        <v>387</v>
      </c>
      <c r="M54" s="2" t="s">
        <v>387</v>
      </c>
      <c r="N54" s="1">
        <f t="shared" si="4"/>
        <v>7</v>
      </c>
      <c r="O54" s="44">
        <f t="shared" si="5"/>
        <v>6</v>
      </c>
    </row>
    <row r="55" spans="1:15" ht="15.75" thickBot="1">
      <c r="A55" s="14"/>
      <c r="B55" s="14"/>
      <c r="C55" s="14"/>
      <c r="D55" s="14"/>
      <c r="E55" s="18"/>
      <c r="F55" s="18"/>
      <c r="H55" s="18"/>
      <c r="I55" s="18"/>
      <c r="J55" s="18"/>
      <c r="K55" s="18"/>
      <c r="L55" s="18"/>
      <c r="M55" s="18"/>
      <c r="N55" s="18"/>
      <c r="O55" s="18"/>
    </row>
    <row r="56" spans="1:15" ht="15.75" thickBot="1">
      <c r="A56" s="7" t="s">
        <v>390</v>
      </c>
      <c r="B56" s="7" t="s">
        <v>390</v>
      </c>
      <c r="C56" s="4" t="s">
        <v>47</v>
      </c>
      <c r="D56" s="8" t="s">
        <v>5</v>
      </c>
      <c r="E56" s="17" t="s">
        <v>0</v>
      </c>
      <c r="F56" s="22"/>
      <c r="H56" s="20" t="s">
        <v>400</v>
      </c>
      <c r="I56" s="15" t="s">
        <v>401</v>
      </c>
      <c r="J56" s="15" t="s">
        <v>402</v>
      </c>
      <c r="K56" s="25"/>
      <c r="L56" s="2" t="s">
        <v>387</v>
      </c>
      <c r="M56" s="2" t="s">
        <v>387</v>
      </c>
      <c r="N56" s="1" t="s">
        <v>390</v>
      </c>
      <c r="O56" s="44">
        <f>IF(A56="FA",9,N56-1)</f>
        <v>9</v>
      </c>
    </row>
    <row r="57" spans="1:15" ht="15.75" thickBot="1">
      <c r="A57" s="7">
        <f>VLOOKUP(C57,'2021 Draft'!$A$2:$F$172,6,FALSE)</f>
        <v>10</v>
      </c>
      <c r="B57" s="7">
        <f>VLOOKUP(C57,'2021 Draft'!$A$2:$F$172,5,FALSE)</f>
        <v>1</v>
      </c>
      <c r="C57" s="4" t="s">
        <v>83</v>
      </c>
      <c r="D57" s="4" t="s">
        <v>10</v>
      </c>
      <c r="E57" s="17" t="s">
        <v>0</v>
      </c>
      <c r="F57" s="22"/>
      <c r="H57" s="20" t="s">
        <v>400</v>
      </c>
      <c r="I57" s="15" t="s">
        <v>401</v>
      </c>
      <c r="J57" s="15" t="s">
        <v>402</v>
      </c>
      <c r="K57" s="25"/>
      <c r="L57" s="2" t="s">
        <v>387</v>
      </c>
      <c r="M57" s="2" t="s">
        <v>387</v>
      </c>
      <c r="N57" s="1">
        <f t="shared" ref="N57:N72" si="6">B57</f>
        <v>1</v>
      </c>
      <c r="O57" s="44">
        <f t="shared" ref="O57:O72" si="7">IF(A57="FA",9,N57-1)</f>
        <v>0</v>
      </c>
    </row>
    <row r="58" spans="1:15" ht="15.75" thickBot="1">
      <c r="A58" s="7">
        <f>VLOOKUP(C58,'2021 Draft'!$A$2:$F$172,6,FALSE)</f>
        <v>53</v>
      </c>
      <c r="B58" s="7">
        <f>VLOOKUP(C58,'2021 Draft'!$A$2:$F$172,5,FALSE)</f>
        <v>6</v>
      </c>
      <c r="C58" s="4" t="s">
        <v>454</v>
      </c>
      <c r="D58" s="4" t="s">
        <v>10</v>
      </c>
      <c r="E58" s="17" t="s">
        <v>0</v>
      </c>
      <c r="F58" s="22"/>
      <c r="H58" s="20" t="s">
        <v>401</v>
      </c>
      <c r="I58" s="15" t="s">
        <v>402</v>
      </c>
      <c r="J58" s="15" t="s">
        <v>387</v>
      </c>
      <c r="K58" s="25"/>
      <c r="L58" s="2">
        <v>8</v>
      </c>
      <c r="M58" s="2">
        <v>7</v>
      </c>
      <c r="N58" s="1">
        <f t="shared" si="6"/>
        <v>6</v>
      </c>
      <c r="O58" s="44">
        <f t="shared" si="7"/>
        <v>5</v>
      </c>
    </row>
    <row r="59" spans="1:15" ht="15.75" thickBot="1">
      <c r="A59" s="7">
        <f>VLOOKUP(C59,'2021 Draft'!$A$2:$F$172,6,FALSE)</f>
        <v>70</v>
      </c>
      <c r="B59" s="7">
        <f>VLOOKUP(C59,'2021 Draft'!$A$2:$F$172,5,FALSE)</f>
        <v>7</v>
      </c>
      <c r="C59" s="4" t="s">
        <v>1</v>
      </c>
      <c r="D59" s="4" t="s">
        <v>2</v>
      </c>
      <c r="E59" s="17" t="s">
        <v>0</v>
      </c>
      <c r="F59" s="22"/>
      <c r="H59" s="20" t="s">
        <v>400</v>
      </c>
      <c r="I59" s="15" t="s">
        <v>401</v>
      </c>
      <c r="J59" s="15" t="s">
        <v>402</v>
      </c>
      <c r="K59" s="25"/>
      <c r="L59" s="2" t="s">
        <v>387</v>
      </c>
      <c r="M59" s="2" t="s">
        <v>387</v>
      </c>
      <c r="N59" s="1">
        <f t="shared" si="6"/>
        <v>7</v>
      </c>
      <c r="O59" s="44">
        <f t="shared" si="7"/>
        <v>6</v>
      </c>
    </row>
    <row r="60" spans="1:15" ht="15.75" thickBot="1">
      <c r="A60" s="7">
        <f>VLOOKUP(C60,'2021 Draft'!$A$2:$F$172,6,FALSE)</f>
        <v>94</v>
      </c>
      <c r="B60" s="7">
        <f>VLOOKUP(C60,'2021 Draft'!$A$2:$F$172,5,FALSE)</f>
        <v>10</v>
      </c>
      <c r="C60" s="4" t="s">
        <v>706</v>
      </c>
      <c r="D60" s="4" t="s">
        <v>2</v>
      </c>
      <c r="E60" s="17" t="s">
        <v>0</v>
      </c>
      <c r="F60" s="22"/>
      <c r="H60" s="20" t="s">
        <v>401</v>
      </c>
      <c r="I60" s="15" t="s">
        <v>402</v>
      </c>
      <c r="J60" s="15" t="s">
        <v>387</v>
      </c>
      <c r="K60" s="25"/>
      <c r="L60" s="2">
        <v>12</v>
      </c>
      <c r="M60" s="2">
        <v>11</v>
      </c>
      <c r="N60" s="1">
        <f t="shared" si="6"/>
        <v>10</v>
      </c>
      <c r="O60" s="44">
        <f t="shared" si="7"/>
        <v>9</v>
      </c>
    </row>
    <row r="61" spans="1:15" ht="15.75" thickBot="1">
      <c r="A61" s="7">
        <f>VLOOKUP(C61,'2021 Draft'!$A$2:$F$172,6,FALSE)</f>
        <v>111</v>
      </c>
      <c r="B61" s="7">
        <f>VLOOKUP(C61,'2021 Draft'!$A$2:$F$172,5,FALSE)</f>
        <v>12</v>
      </c>
      <c r="C61" s="4" t="s">
        <v>520</v>
      </c>
      <c r="D61" s="4" t="s">
        <v>27</v>
      </c>
      <c r="E61" s="17" t="s">
        <v>0</v>
      </c>
      <c r="F61" s="22"/>
      <c r="H61" s="20" t="s">
        <v>401</v>
      </c>
      <c r="I61" s="15" t="s">
        <v>402</v>
      </c>
      <c r="J61" s="15" t="s">
        <v>387</v>
      </c>
      <c r="K61" s="25"/>
      <c r="L61" s="2">
        <v>14</v>
      </c>
      <c r="M61" s="2">
        <v>13</v>
      </c>
      <c r="N61" s="1">
        <f t="shared" si="6"/>
        <v>12</v>
      </c>
      <c r="O61" s="44">
        <f t="shared" si="7"/>
        <v>11</v>
      </c>
    </row>
    <row r="62" spans="1:15" ht="15.75" thickBot="1">
      <c r="A62" s="7">
        <f>VLOOKUP(C62,'2021 Draft'!$A$2:$F$172,6,FALSE)</f>
        <v>50</v>
      </c>
      <c r="B62" s="7">
        <f>VLOOKUP(C62,'2021 Draft'!$A$2:$F$172,5,FALSE)</f>
        <v>5</v>
      </c>
      <c r="C62" s="4" t="s">
        <v>599</v>
      </c>
      <c r="D62" s="4" t="s">
        <v>10</v>
      </c>
      <c r="E62" s="17" t="s">
        <v>0</v>
      </c>
      <c r="F62" s="22"/>
      <c r="H62" s="20" t="s">
        <v>400</v>
      </c>
      <c r="I62" s="15" t="s">
        <v>401</v>
      </c>
      <c r="J62" s="15" t="s">
        <v>402</v>
      </c>
      <c r="K62" s="25"/>
      <c r="L62" s="2" t="s">
        <v>387</v>
      </c>
      <c r="M62" s="2" t="s">
        <v>387</v>
      </c>
      <c r="N62" s="1">
        <f t="shared" si="6"/>
        <v>5</v>
      </c>
      <c r="O62" s="44">
        <f t="shared" si="7"/>
        <v>4</v>
      </c>
    </row>
    <row r="63" spans="1:15" ht="15.75" thickBot="1">
      <c r="A63" s="7">
        <f>VLOOKUP(C63,'2021 Draft'!$A$2:$F$172,6,FALSE)</f>
        <v>28</v>
      </c>
      <c r="B63" s="7">
        <f>VLOOKUP(C63,'2021 Draft'!$A$2:$F$172,5,FALSE)</f>
        <v>3</v>
      </c>
      <c r="C63" s="4" t="s">
        <v>142</v>
      </c>
      <c r="D63" s="4" t="s">
        <v>805</v>
      </c>
      <c r="E63" s="17" t="s">
        <v>0</v>
      </c>
      <c r="F63" s="22"/>
      <c r="H63" s="20" t="s">
        <v>400</v>
      </c>
      <c r="I63" s="15" t="s">
        <v>401</v>
      </c>
      <c r="J63" s="15" t="s">
        <v>402</v>
      </c>
      <c r="K63" s="25"/>
      <c r="L63" s="2" t="s">
        <v>387</v>
      </c>
      <c r="M63" s="2" t="s">
        <v>387</v>
      </c>
      <c r="N63" s="1">
        <f t="shared" si="6"/>
        <v>3</v>
      </c>
      <c r="O63" s="44">
        <f t="shared" si="7"/>
        <v>2</v>
      </c>
    </row>
    <row r="64" spans="1:15" ht="15.75" thickBot="1">
      <c r="A64" s="7" t="s">
        <v>390</v>
      </c>
      <c r="B64" s="7" t="s">
        <v>390</v>
      </c>
      <c r="C64" s="4" t="s">
        <v>688</v>
      </c>
      <c r="D64" s="4" t="s">
        <v>687</v>
      </c>
      <c r="E64" s="17" t="s">
        <v>0</v>
      </c>
      <c r="F64" s="22"/>
      <c r="H64" s="20" t="s">
        <v>400</v>
      </c>
      <c r="I64" s="15" t="s">
        <v>401</v>
      </c>
      <c r="J64" s="15" t="s">
        <v>402</v>
      </c>
      <c r="K64" s="25"/>
      <c r="L64" s="2" t="s">
        <v>387</v>
      </c>
      <c r="M64" s="2" t="s">
        <v>387</v>
      </c>
      <c r="N64" s="1" t="s">
        <v>390</v>
      </c>
      <c r="O64" s="44">
        <f t="shared" si="7"/>
        <v>9</v>
      </c>
    </row>
    <row r="65" spans="1:15" ht="15.75" thickBot="1">
      <c r="A65" s="7">
        <f>VLOOKUP(C65,'2021 Draft'!$A$2:$F$172,6,FALSE)</f>
        <v>110</v>
      </c>
      <c r="B65" s="7">
        <f>VLOOKUP(C65,'2021 Draft'!$A$2:$F$172,5,FALSE)</f>
        <v>11</v>
      </c>
      <c r="C65" s="4" t="s">
        <v>606</v>
      </c>
      <c r="D65" s="4" t="s">
        <v>10</v>
      </c>
      <c r="E65" s="17" t="s">
        <v>0</v>
      </c>
      <c r="F65" s="22"/>
      <c r="H65" s="20" t="s">
        <v>400</v>
      </c>
      <c r="I65" s="15" t="s">
        <v>401</v>
      </c>
      <c r="J65" s="15" t="s">
        <v>402</v>
      </c>
      <c r="K65" s="25"/>
      <c r="L65" s="2" t="s">
        <v>387</v>
      </c>
      <c r="M65" s="2" t="s">
        <v>387</v>
      </c>
      <c r="N65" s="1">
        <f t="shared" si="6"/>
        <v>11</v>
      </c>
      <c r="O65" s="44">
        <f t="shared" si="7"/>
        <v>10</v>
      </c>
    </row>
    <row r="66" spans="1:15" ht="15.75" thickBot="1">
      <c r="A66" s="7" t="s">
        <v>390</v>
      </c>
      <c r="B66" s="7" t="s">
        <v>390</v>
      </c>
      <c r="C66" s="4" t="s">
        <v>154</v>
      </c>
      <c r="D66" s="4" t="s">
        <v>10</v>
      </c>
      <c r="E66" s="17" t="s">
        <v>0</v>
      </c>
      <c r="F66" s="22"/>
      <c r="H66" s="20" t="s">
        <v>400</v>
      </c>
      <c r="I66" s="15" t="s">
        <v>401</v>
      </c>
      <c r="J66" s="15" t="s">
        <v>402</v>
      </c>
      <c r="K66" s="25"/>
      <c r="L66" s="2" t="s">
        <v>387</v>
      </c>
      <c r="M66" s="2" t="s">
        <v>387</v>
      </c>
      <c r="N66" s="1" t="s">
        <v>390</v>
      </c>
      <c r="O66" s="44">
        <f t="shared" si="7"/>
        <v>9</v>
      </c>
    </row>
    <row r="67" spans="1:15" ht="15.75" thickBot="1">
      <c r="A67" s="7" t="s">
        <v>390</v>
      </c>
      <c r="B67" s="7" t="s">
        <v>390</v>
      </c>
      <c r="C67" s="4" t="s">
        <v>774</v>
      </c>
      <c r="D67" s="4" t="s">
        <v>2</v>
      </c>
      <c r="E67" s="17" t="s">
        <v>0</v>
      </c>
      <c r="F67" s="22"/>
      <c r="H67" s="20" t="s">
        <v>400</v>
      </c>
      <c r="I67" s="15" t="s">
        <v>401</v>
      </c>
      <c r="J67" s="15" t="s">
        <v>402</v>
      </c>
      <c r="K67" s="25"/>
      <c r="L67" s="2" t="s">
        <v>387</v>
      </c>
      <c r="M67" s="2" t="s">
        <v>387</v>
      </c>
      <c r="N67" s="1" t="s">
        <v>390</v>
      </c>
      <c r="O67" s="44">
        <f t="shared" si="7"/>
        <v>9</v>
      </c>
    </row>
    <row r="68" spans="1:15" ht="15.75" thickBot="1">
      <c r="A68" s="7" t="s">
        <v>390</v>
      </c>
      <c r="B68" s="7" t="s">
        <v>390</v>
      </c>
      <c r="C68" s="4" t="s">
        <v>806</v>
      </c>
      <c r="D68" s="4" t="s">
        <v>10</v>
      </c>
      <c r="E68" s="17" t="s">
        <v>0</v>
      </c>
      <c r="F68" s="22"/>
      <c r="H68" s="20" t="s">
        <v>400</v>
      </c>
      <c r="I68" s="15" t="s">
        <v>401</v>
      </c>
      <c r="J68" s="15" t="s">
        <v>402</v>
      </c>
      <c r="K68" s="25"/>
      <c r="L68" s="2" t="s">
        <v>387</v>
      </c>
      <c r="M68" s="2" t="s">
        <v>387</v>
      </c>
      <c r="N68" s="1" t="s">
        <v>390</v>
      </c>
      <c r="O68" s="44">
        <f t="shared" si="7"/>
        <v>9</v>
      </c>
    </row>
    <row r="69" spans="1:15" ht="15.75" thickBot="1">
      <c r="A69" s="7" t="s">
        <v>390</v>
      </c>
      <c r="B69" s="7" t="s">
        <v>390</v>
      </c>
      <c r="C69" s="4" t="s">
        <v>807</v>
      </c>
      <c r="D69" s="4" t="s">
        <v>2</v>
      </c>
      <c r="E69" s="17" t="s">
        <v>0</v>
      </c>
      <c r="F69" s="22"/>
      <c r="H69" s="20" t="s">
        <v>400</v>
      </c>
      <c r="I69" s="15" t="s">
        <v>401</v>
      </c>
      <c r="J69" s="15" t="s">
        <v>402</v>
      </c>
      <c r="K69" s="25"/>
      <c r="L69" s="2" t="s">
        <v>387</v>
      </c>
      <c r="M69" s="2" t="s">
        <v>387</v>
      </c>
      <c r="N69" s="1" t="s">
        <v>390</v>
      </c>
      <c r="O69" s="44">
        <f t="shared" si="7"/>
        <v>9</v>
      </c>
    </row>
    <row r="70" spans="1:15" ht="15.75" thickBot="1">
      <c r="A70" s="7" t="s">
        <v>390</v>
      </c>
      <c r="B70" s="7" t="s">
        <v>390</v>
      </c>
      <c r="C70" s="4" t="s">
        <v>45</v>
      </c>
      <c r="D70" s="4" t="s">
        <v>2</v>
      </c>
      <c r="E70" s="17" t="s">
        <v>0</v>
      </c>
      <c r="F70" s="22"/>
      <c r="H70" s="20" t="s">
        <v>400</v>
      </c>
      <c r="I70" s="15" t="s">
        <v>401</v>
      </c>
      <c r="J70" s="15" t="s">
        <v>402</v>
      </c>
      <c r="K70" s="25"/>
      <c r="L70" s="2" t="s">
        <v>387</v>
      </c>
      <c r="M70" s="2" t="s">
        <v>387</v>
      </c>
      <c r="N70" s="1" t="s">
        <v>390</v>
      </c>
      <c r="O70" s="44">
        <f t="shared" si="7"/>
        <v>9</v>
      </c>
    </row>
    <row r="71" spans="1:15" ht="15.75" thickBot="1">
      <c r="A71" s="7" t="s">
        <v>390</v>
      </c>
      <c r="B71" s="7" t="s">
        <v>390</v>
      </c>
      <c r="C71" s="4" t="s">
        <v>808</v>
      </c>
      <c r="D71" s="4" t="s">
        <v>10</v>
      </c>
      <c r="E71" s="17" t="s">
        <v>0</v>
      </c>
      <c r="F71" s="22"/>
      <c r="H71" s="20" t="s">
        <v>400</v>
      </c>
      <c r="I71" s="15" t="s">
        <v>401</v>
      </c>
      <c r="J71" s="15" t="s">
        <v>402</v>
      </c>
      <c r="K71" s="25"/>
      <c r="L71" s="2" t="s">
        <v>387</v>
      </c>
      <c r="M71" s="2" t="s">
        <v>387</v>
      </c>
      <c r="N71" s="1" t="s">
        <v>390</v>
      </c>
      <c r="O71" s="44">
        <f t="shared" si="7"/>
        <v>9</v>
      </c>
    </row>
    <row r="72" spans="1:15" ht="15.75" thickBot="1">
      <c r="A72" s="7">
        <f>VLOOKUP(C72,'2021 Draft'!$A$2:$F$172,6,FALSE)</f>
        <v>60</v>
      </c>
      <c r="B72" s="7">
        <f>VLOOKUP(C72,'2021 Draft'!$A$2:$F$172,5,FALSE)</f>
        <v>6</v>
      </c>
      <c r="C72" s="4" t="s">
        <v>12</v>
      </c>
      <c r="D72" s="4" t="s">
        <v>10</v>
      </c>
      <c r="E72" s="17" t="s">
        <v>0</v>
      </c>
      <c r="F72" s="22"/>
      <c r="H72" s="20" t="s">
        <v>400</v>
      </c>
      <c r="I72" s="15" t="s">
        <v>401</v>
      </c>
      <c r="J72" s="15" t="s">
        <v>402</v>
      </c>
      <c r="K72" s="25"/>
      <c r="L72" s="2" t="s">
        <v>387</v>
      </c>
      <c r="M72" s="2" t="s">
        <v>387</v>
      </c>
      <c r="N72" s="1">
        <f t="shared" si="6"/>
        <v>6</v>
      </c>
      <c r="O72" s="44">
        <f t="shared" si="7"/>
        <v>5</v>
      </c>
    </row>
    <row r="73" spans="1:15" ht="15.75" thickBot="1">
      <c r="A73" s="14"/>
      <c r="B73" s="14"/>
      <c r="C73" s="14"/>
      <c r="D73" s="14"/>
      <c r="E73" s="18"/>
      <c r="F73" s="18"/>
      <c r="H73" s="18"/>
      <c r="I73" s="18"/>
      <c r="J73" s="18"/>
      <c r="K73" s="18"/>
      <c r="L73" s="18"/>
      <c r="M73" s="18"/>
      <c r="N73" s="18"/>
      <c r="O73" s="18"/>
    </row>
    <row r="74" spans="1:15" ht="15.75" thickBot="1">
      <c r="A74" s="7">
        <f>VLOOKUP(C74,'2021 Draft'!$A$2:$F$172,6,FALSE)</f>
        <v>79</v>
      </c>
      <c r="B74" s="7">
        <f>VLOOKUP(C74,'2021 Draft'!$A$2:$F$172,5,FALSE)</f>
        <v>8</v>
      </c>
      <c r="C74" s="4" t="s">
        <v>743</v>
      </c>
      <c r="D74" s="8" t="s">
        <v>5</v>
      </c>
      <c r="E74" s="17" t="s">
        <v>114</v>
      </c>
      <c r="F74" s="22"/>
      <c r="H74" s="20" t="s">
        <v>400</v>
      </c>
      <c r="I74" s="15" t="s">
        <v>401</v>
      </c>
      <c r="J74" s="15" t="s">
        <v>402</v>
      </c>
      <c r="K74" s="25"/>
      <c r="L74" s="2" t="s">
        <v>387</v>
      </c>
      <c r="M74" s="2" t="s">
        <v>387</v>
      </c>
      <c r="N74" s="1">
        <f t="shared" ref="N74:N86" si="8">B74</f>
        <v>8</v>
      </c>
      <c r="O74" s="44">
        <f>IF(A74="FA",9,N74-1)</f>
        <v>7</v>
      </c>
    </row>
    <row r="75" spans="1:15" ht="15.75" thickBot="1">
      <c r="A75" s="7">
        <f>VLOOKUP(C75,'2021 Draft'!$A$2:$F$172,6,FALSE)</f>
        <v>2</v>
      </c>
      <c r="B75" s="7">
        <f>VLOOKUP(C75,'2021 Draft'!$A$2:$F$172,5,FALSE)</f>
        <v>1</v>
      </c>
      <c r="C75" s="4" t="s">
        <v>40</v>
      </c>
      <c r="D75" s="4" t="s">
        <v>10</v>
      </c>
      <c r="E75" s="17" t="s">
        <v>114</v>
      </c>
      <c r="F75" s="22"/>
      <c r="H75" s="20" t="s">
        <v>400</v>
      </c>
      <c r="I75" s="15" t="s">
        <v>401</v>
      </c>
      <c r="J75" s="15" t="s">
        <v>402</v>
      </c>
      <c r="K75" s="25"/>
      <c r="L75" s="2" t="s">
        <v>387</v>
      </c>
      <c r="M75" s="2" t="s">
        <v>387</v>
      </c>
      <c r="N75" s="1">
        <f t="shared" si="8"/>
        <v>1</v>
      </c>
      <c r="O75" s="44">
        <f t="shared" ref="O75:O89" si="9">IF(A75="FA",9,N75-1)</f>
        <v>0</v>
      </c>
    </row>
    <row r="76" spans="1:15" ht="15.75" thickBot="1">
      <c r="A76" s="7">
        <f>VLOOKUP(C76,'2021 Draft'!$A$2:$F$172,6,FALSE)</f>
        <v>62</v>
      </c>
      <c r="B76" s="7">
        <f>VLOOKUP(C76,'2021 Draft'!$A$2:$F$172,5,FALSE)</f>
        <v>7</v>
      </c>
      <c r="C76" s="4" t="s">
        <v>570</v>
      </c>
      <c r="D76" s="4" t="s">
        <v>10</v>
      </c>
      <c r="E76" s="17" t="s">
        <v>114</v>
      </c>
      <c r="F76" s="22"/>
      <c r="H76" s="20" t="s">
        <v>401</v>
      </c>
      <c r="I76" s="15" t="s">
        <v>402</v>
      </c>
      <c r="J76" s="15" t="s">
        <v>387</v>
      </c>
      <c r="K76" s="25"/>
      <c r="L76" s="2">
        <v>9</v>
      </c>
      <c r="M76" s="2">
        <v>8</v>
      </c>
      <c r="N76" s="1">
        <f t="shared" si="8"/>
        <v>7</v>
      </c>
      <c r="O76" s="44">
        <f t="shared" si="9"/>
        <v>6</v>
      </c>
    </row>
    <row r="77" spans="1:15" ht="15.75" thickBot="1">
      <c r="A77" s="7">
        <f>VLOOKUP(C77,'2021 Draft'!$A$2:$F$172,6,FALSE)</f>
        <v>19</v>
      </c>
      <c r="B77" s="7">
        <f>VLOOKUP(C77,'2021 Draft'!$A$2:$F$172,5,FALSE)</f>
        <v>2</v>
      </c>
      <c r="C77" s="4" t="s">
        <v>150</v>
      </c>
      <c r="D77" s="4" t="s">
        <v>2</v>
      </c>
      <c r="E77" s="17" t="s">
        <v>114</v>
      </c>
      <c r="F77" s="22"/>
      <c r="H77" s="20" t="s">
        <v>400</v>
      </c>
      <c r="I77" s="15" t="s">
        <v>401</v>
      </c>
      <c r="J77" s="15" t="s">
        <v>402</v>
      </c>
      <c r="K77" s="25"/>
      <c r="L77" s="2" t="s">
        <v>387</v>
      </c>
      <c r="M77" s="2" t="s">
        <v>387</v>
      </c>
      <c r="N77" s="1">
        <f t="shared" si="8"/>
        <v>2</v>
      </c>
      <c r="O77" s="44">
        <f t="shared" si="9"/>
        <v>1</v>
      </c>
    </row>
    <row r="78" spans="1:15" ht="15.75" thickBot="1">
      <c r="A78" s="7">
        <f>VLOOKUP(C78,'2021 Draft'!$A$2:$F$172,6,FALSE)</f>
        <v>22</v>
      </c>
      <c r="B78" s="7">
        <f>VLOOKUP(C78,'2021 Draft'!$A$2:$F$172,5,FALSE)</f>
        <v>3</v>
      </c>
      <c r="C78" s="4" t="s">
        <v>621</v>
      </c>
      <c r="D78" s="4" t="s">
        <v>2</v>
      </c>
      <c r="E78" s="17" t="s">
        <v>114</v>
      </c>
      <c r="F78" s="22"/>
      <c r="H78" s="20" t="s">
        <v>400</v>
      </c>
      <c r="I78" s="15" t="s">
        <v>401</v>
      </c>
      <c r="J78" s="15" t="s">
        <v>402</v>
      </c>
      <c r="K78" s="25"/>
      <c r="L78" s="2" t="s">
        <v>387</v>
      </c>
      <c r="M78" s="2" t="s">
        <v>387</v>
      </c>
      <c r="N78" s="1">
        <f t="shared" si="8"/>
        <v>3</v>
      </c>
      <c r="O78" s="44">
        <f t="shared" si="9"/>
        <v>2</v>
      </c>
    </row>
    <row r="79" spans="1:15" ht="15.75" thickBot="1">
      <c r="A79" s="7">
        <f>VLOOKUP(C79,'2021 Draft'!$A$2:$F$172,6,FALSE)</f>
        <v>42</v>
      </c>
      <c r="B79" s="7">
        <f>VLOOKUP(C79,'2021 Draft'!$A$2:$F$172,5,FALSE)</f>
        <v>5</v>
      </c>
      <c r="C79" s="4" t="s">
        <v>635</v>
      </c>
      <c r="D79" s="4" t="s">
        <v>27</v>
      </c>
      <c r="E79" s="17" t="s">
        <v>114</v>
      </c>
      <c r="F79" s="22"/>
      <c r="H79" s="20" t="s">
        <v>400</v>
      </c>
      <c r="I79" s="15" t="s">
        <v>401</v>
      </c>
      <c r="J79" s="15" t="s">
        <v>402</v>
      </c>
      <c r="K79" s="25"/>
      <c r="L79" s="2" t="s">
        <v>387</v>
      </c>
      <c r="M79" s="2" t="s">
        <v>387</v>
      </c>
      <c r="N79" s="1">
        <f t="shared" si="8"/>
        <v>5</v>
      </c>
      <c r="O79" s="44">
        <f t="shared" si="9"/>
        <v>4</v>
      </c>
    </row>
    <row r="80" spans="1:15" ht="15.75" thickBot="1">
      <c r="A80" s="7">
        <f>VLOOKUP(C80,'2021 Draft'!$A$2:$F$172,6,FALSE)</f>
        <v>99</v>
      </c>
      <c r="B80" s="7">
        <f>VLOOKUP(C80,'2021 Draft'!$A$2:$F$172,5,FALSE)</f>
        <v>10</v>
      </c>
      <c r="C80" s="4" t="s">
        <v>773</v>
      </c>
      <c r="D80" s="4" t="s">
        <v>2</v>
      </c>
      <c r="E80" s="17" t="s">
        <v>114</v>
      </c>
      <c r="F80" s="22"/>
      <c r="H80" s="20" t="s">
        <v>400</v>
      </c>
      <c r="I80" s="15" t="s">
        <v>401</v>
      </c>
      <c r="J80" s="15" t="s">
        <v>402</v>
      </c>
      <c r="K80" s="25"/>
      <c r="L80" s="2" t="s">
        <v>387</v>
      </c>
      <c r="M80" s="2" t="s">
        <v>387</v>
      </c>
      <c r="N80" s="1">
        <f t="shared" si="8"/>
        <v>10</v>
      </c>
      <c r="O80" s="44">
        <f t="shared" si="9"/>
        <v>9</v>
      </c>
    </row>
    <row r="81" spans="1:15" ht="15.75" thickBot="1">
      <c r="A81" s="7" t="s">
        <v>390</v>
      </c>
      <c r="B81" s="7" t="s">
        <v>390</v>
      </c>
      <c r="C81" s="4" t="s">
        <v>809</v>
      </c>
      <c r="D81" s="4" t="s">
        <v>2</v>
      </c>
      <c r="E81" s="17" t="s">
        <v>114</v>
      </c>
      <c r="F81" s="22"/>
      <c r="H81" s="20" t="s">
        <v>400</v>
      </c>
      <c r="I81" s="15" t="s">
        <v>401</v>
      </c>
      <c r="J81" s="15" t="s">
        <v>402</v>
      </c>
      <c r="K81" s="25"/>
      <c r="L81" s="2" t="s">
        <v>387</v>
      </c>
      <c r="M81" s="2" t="s">
        <v>387</v>
      </c>
      <c r="N81" s="1" t="s">
        <v>390</v>
      </c>
      <c r="O81" s="44">
        <f t="shared" si="9"/>
        <v>9</v>
      </c>
    </row>
    <row r="82" spans="1:15" ht="15.75" thickBot="1">
      <c r="A82" s="7">
        <v>143</v>
      </c>
      <c r="B82" s="7">
        <v>15</v>
      </c>
      <c r="C82" s="4" t="s">
        <v>752</v>
      </c>
      <c r="D82" s="4" t="s">
        <v>687</v>
      </c>
      <c r="E82" s="17" t="s">
        <v>114</v>
      </c>
      <c r="F82" s="22"/>
      <c r="H82" s="20" t="s">
        <v>400</v>
      </c>
      <c r="I82" s="15" t="s">
        <v>401</v>
      </c>
      <c r="J82" s="15" t="s">
        <v>402</v>
      </c>
      <c r="K82" s="25"/>
      <c r="L82" s="2" t="s">
        <v>387</v>
      </c>
      <c r="M82" s="2" t="s">
        <v>387</v>
      </c>
      <c r="N82" s="1">
        <f t="shared" si="8"/>
        <v>15</v>
      </c>
      <c r="O82" s="44">
        <f t="shared" si="9"/>
        <v>14</v>
      </c>
    </row>
    <row r="83" spans="1:15" ht="15.75" thickBot="1">
      <c r="A83" s="7">
        <f>VLOOKUP(C83,'2021 Draft'!$A$2:$F$172,6,FALSE)</f>
        <v>59</v>
      </c>
      <c r="B83" s="7">
        <f>VLOOKUP(C83,'2021 Draft'!$A$2:$F$172,5,FALSE)</f>
        <v>6</v>
      </c>
      <c r="C83" s="4" t="s">
        <v>545</v>
      </c>
      <c r="D83" s="4" t="s">
        <v>2</v>
      </c>
      <c r="E83" s="17" t="s">
        <v>114</v>
      </c>
      <c r="F83" s="22"/>
      <c r="H83" s="20" t="s">
        <v>400</v>
      </c>
      <c r="I83" s="15" t="s">
        <v>401</v>
      </c>
      <c r="J83" s="15" t="s">
        <v>402</v>
      </c>
      <c r="K83" s="25"/>
      <c r="L83" s="2" t="s">
        <v>387</v>
      </c>
      <c r="M83" s="2" t="s">
        <v>387</v>
      </c>
      <c r="N83" s="1">
        <f t="shared" si="8"/>
        <v>6</v>
      </c>
      <c r="O83" s="44">
        <f t="shared" si="9"/>
        <v>5</v>
      </c>
    </row>
    <row r="84" spans="1:15" ht="15.75" thickBot="1">
      <c r="A84" s="7">
        <f>VLOOKUP(C84,'2021 Draft'!$A$2:$F$172,6,FALSE)</f>
        <v>82</v>
      </c>
      <c r="B84" s="7">
        <f>VLOOKUP(C84,'2021 Draft'!$A$2:$F$172,5,FALSE)</f>
        <v>9</v>
      </c>
      <c r="C84" s="4" t="s">
        <v>739</v>
      </c>
      <c r="D84" s="4" t="s">
        <v>2</v>
      </c>
      <c r="E84" s="17" t="s">
        <v>114</v>
      </c>
      <c r="F84" s="22"/>
      <c r="H84" s="20" t="s">
        <v>401</v>
      </c>
      <c r="I84" s="15" t="s">
        <v>402</v>
      </c>
      <c r="J84" s="15" t="s">
        <v>387</v>
      </c>
      <c r="K84" s="25"/>
      <c r="L84" s="2" t="s">
        <v>387</v>
      </c>
      <c r="M84" s="2">
        <v>10</v>
      </c>
      <c r="N84" s="1">
        <f t="shared" si="8"/>
        <v>9</v>
      </c>
      <c r="O84" s="44">
        <f t="shared" si="9"/>
        <v>8</v>
      </c>
    </row>
    <row r="85" spans="1:15" ht="15.75" thickBot="1">
      <c r="A85" s="7">
        <f>VLOOKUP(C85,'2021 Draft'!$A$2:$F$172,6,FALSE)</f>
        <v>102</v>
      </c>
      <c r="B85" s="7">
        <f>VLOOKUP(C85,'2021 Draft'!$A$2:$F$172,5,FALSE)</f>
        <v>11</v>
      </c>
      <c r="C85" s="4" t="s">
        <v>510</v>
      </c>
      <c r="D85" s="4" t="s">
        <v>10</v>
      </c>
      <c r="E85" s="17" t="s">
        <v>114</v>
      </c>
      <c r="F85" s="22"/>
      <c r="H85" s="20" t="s">
        <v>400</v>
      </c>
      <c r="I85" s="15" t="s">
        <v>401</v>
      </c>
      <c r="J85" s="15" t="s">
        <v>402</v>
      </c>
      <c r="K85" s="25"/>
      <c r="L85" s="2" t="s">
        <v>387</v>
      </c>
      <c r="M85" s="2" t="s">
        <v>387</v>
      </c>
      <c r="N85" s="1">
        <f t="shared" si="8"/>
        <v>11</v>
      </c>
      <c r="O85" s="44">
        <f t="shared" si="9"/>
        <v>10</v>
      </c>
    </row>
    <row r="86" spans="1:15" ht="15.75" thickBot="1">
      <c r="A86" s="7">
        <f>VLOOKUP(C86,'2021 Draft'!$A$2:$F$172,6,FALSE)</f>
        <v>159</v>
      </c>
      <c r="B86" s="7">
        <f>VLOOKUP(C86,'2021 Draft'!$A$2:$F$172,5,FALSE)</f>
        <v>16</v>
      </c>
      <c r="C86" s="4" t="s">
        <v>811</v>
      </c>
      <c r="D86" s="4" t="s">
        <v>10</v>
      </c>
      <c r="E86" s="17" t="s">
        <v>114</v>
      </c>
      <c r="F86" s="22"/>
      <c r="H86" s="20" t="s">
        <v>400</v>
      </c>
      <c r="I86" s="15" t="s">
        <v>401</v>
      </c>
      <c r="J86" s="15" t="s">
        <v>402</v>
      </c>
      <c r="K86" s="25"/>
      <c r="L86" s="2" t="s">
        <v>387</v>
      </c>
      <c r="M86" s="2" t="s">
        <v>387</v>
      </c>
      <c r="N86" s="1">
        <f t="shared" si="8"/>
        <v>16</v>
      </c>
      <c r="O86" s="44">
        <f t="shared" si="9"/>
        <v>15</v>
      </c>
    </row>
    <row r="87" spans="1:15" ht="15.75" thickBot="1">
      <c r="A87" s="7" t="s">
        <v>390</v>
      </c>
      <c r="B87" s="7" t="s">
        <v>390</v>
      </c>
      <c r="C87" s="4" t="s">
        <v>756</v>
      </c>
      <c r="D87" s="4" t="s">
        <v>687</v>
      </c>
      <c r="E87" s="17" t="s">
        <v>114</v>
      </c>
      <c r="F87" s="22"/>
      <c r="H87" s="20" t="s">
        <v>400</v>
      </c>
      <c r="I87" s="15" t="s">
        <v>401</v>
      </c>
      <c r="J87" s="15" t="s">
        <v>402</v>
      </c>
      <c r="K87" s="25"/>
      <c r="L87" s="2" t="s">
        <v>387</v>
      </c>
      <c r="M87" s="2" t="s">
        <v>387</v>
      </c>
      <c r="N87" s="1" t="s">
        <v>390</v>
      </c>
      <c r="O87" s="44">
        <f t="shared" si="9"/>
        <v>9</v>
      </c>
    </row>
    <row r="88" spans="1:15" ht="15.75" thickBot="1">
      <c r="A88" s="7" t="s">
        <v>390</v>
      </c>
      <c r="B88" s="7" t="s">
        <v>390</v>
      </c>
      <c r="C88" s="4" t="s">
        <v>170</v>
      </c>
      <c r="D88" s="4" t="s">
        <v>10</v>
      </c>
      <c r="E88" s="17" t="s">
        <v>114</v>
      </c>
      <c r="F88" s="22"/>
      <c r="H88" s="20" t="s">
        <v>400</v>
      </c>
      <c r="I88" s="15" t="s">
        <v>401</v>
      </c>
      <c r="J88" s="15" t="s">
        <v>402</v>
      </c>
      <c r="K88" s="25"/>
      <c r="L88" s="2" t="s">
        <v>387</v>
      </c>
      <c r="M88" s="2" t="s">
        <v>387</v>
      </c>
      <c r="N88" s="1" t="s">
        <v>390</v>
      </c>
      <c r="O88" s="44">
        <f t="shared" si="9"/>
        <v>9</v>
      </c>
    </row>
    <row r="89" spans="1:15" ht="15.75" thickBot="1">
      <c r="A89" s="7" t="s">
        <v>390</v>
      </c>
      <c r="B89" s="7" t="s">
        <v>390</v>
      </c>
      <c r="C89" s="4" t="s">
        <v>810</v>
      </c>
      <c r="D89" s="4" t="s">
        <v>5</v>
      </c>
      <c r="E89" s="17" t="s">
        <v>114</v>
      </c>
      <c r="F89" s="22"/>
      <c r="H89" s="20" t="s">
        <v>400</v>
      </c>
      <c r="I89" s="15" t="s">
        <v>401</v>
      </c>
      <c r="J89" s="15" t="s">
        <v>402</v>
      </c>
      <c r="K89" s="25"/>
      <c r="L89" s="2" t="s">
        <v>387</v>
      </c>
      <c r="M89" s="2" t="s">
        <v>387</v>
      </c>
      <c r="N89" s="1" t="s">
        <v>390</v>
      </c>
      <c r="O89" s="44">
        <f t="shared" si="9"/>
        <v>9</v>
      </c>
    </row>
    <row r="90" spans="1:15" ht="15.75" thickBot="1">
      <c r="A90" s="14"/>
      <c r="B90" s="14"/>
      <c r="C90" s="14"/>
      <c r="D90" s="14"/>
      <c r="E90" s="18"/>
      <c r="F90" s="18"/>
      <c r="H90" s="18"/>
      <c r="I90" s="18"/>
      <c r="J90" s="18"/>
      <c r="K90" s="18"/>
      <c r="L90" s="18"/>
      <c r="M90" s="18"/>
      <c r="N90" s="18"/>
      <c r="O90" s="18"/>
    </row>
    <row r="91" spans="1:15" ht="15.75" thickBot="1">
      <c r="A91" s="7">
        <f>VLOOKUP(C91,'2021 Draft'!$A$2:$F$172,6,FALSE)</f>
        <v>31</v>
      </c>
      <c r="B91" s="7">
        <f>VLOOKUP(C91,'2021 Draft'!$A$2:$F$172,5,FALSE)</f>
        <v>4</v>
      </c>
      <c r="C91" s="4" t="s">
        <v>596</v>
      </c>
      <c r="D91" s="8" t="s">
        <v>5</v>
      </c>
      <c r="E91" s="17" t="s">
        <v>471</v>
      </c>
      <c r="F91" s="22"/>
      <c r="H91" s="20" t="s">
        <v>400</v>
      </c>
      <c r="I91" s="15" t="s">
        <v>401</v>
      </c>
      <c r="J91" s="15" t="s">
        <v>402</v>
      </c>
      <c r="K91" s="25"/>
      <c r="L91" s="2" t="s">
        <v>387</v>
      </c>
      <c r="M91" s="2" t="s">
        <v>387</v>
      </c>
      <c r="N91" s="1">
        <f t="shared" ref="N91:N106" si="10">B91</f>
        <v>4</v>
      </c>
      <c r="O91" s="44">
        <f>IF(A91="FA",9,N91-1)</f>
        <v>3</v>
      </c>
    </row>
    <row r="92" spans="1:15" ht="15.75" thickBot="1">
      <c r="A92" s="7">
        <f>VLOOKUP(C92,'2021 Draft'!$A$2:$F$172,6,FALSE)</f>
        <v>7</v>
      </c>
      <c r="B92" s="7">
        <f>VLOOKUP(C92,'2021 Draft'!$A$2:$F$172,5,FALSE)</f>
        <v>1</v>
      </c>
      <c r="C92" s="4" t="s">
        <v>759</v>
      </c>
      <c r="D92" s="4" t="s">
        <v>10</v>
      </c>
      <c r="E92" s="17" t="s">
        <v>471</v>
      </c>
      <c r="F92" s="22"/>
      <c r="H92" s="20" t="s">
        <v>400</v>
      </c>
      <c r="I92" s="15" t="s">
        <v>401</v>
      </c>
      <c r="J92" s="15" t="s">
        <v>402</v>
      </c>
      <c r="K92" s="25"/>
      <c r="L92" s="2" t="s">
        <v>387</v>
      </c>
      <c r="M92" s="2" t="s">
        <v>387</v>
      </c>
      <c r="N92" s="1">
        <f t="shared" si="10"/>
        <v>1</v>
      </c>
      <c r="O92" s="44">
        <f t="shared" ref="O92:O106" si="11">IF(A92="FA",9,N92-1)</f>
        <v>0</v>
      </c>
    </row>
    <row r="93" spans="1:15" ht="15.75" thickBot="1">
      <c r="A93" s="7">
        <f>VLOOKUP(C93,'2021 Draft'!$A$2:$F$172,6,FALSE)</f>
        <v>36</v>
      </c>
      <c r="B93" s="7">
        <f>VLOOKUP(C93,'2021 Draft'!$A$2:$F$172,5,FALSE)</f>
        <v>4</v>
      </c>
      <c r="C93" s="4" t="s">
        <v>427</v>
      </c>
      <c r="D93" s="4" t="s">
        <v>10</v>
      </c>
      <c r="E93" s="17" t="s">
        <v>471</v>
      </c>
      <c r="F93" s="22"/>
      <c r="H93" s="15" t="s">
        <v>401</v>
      </c>
      <c r="I93" s="15" t="s">
        <v>402</v>
      </c>
      <c r="J93" s="15" t="s">
        <v>387</v>
      </c>
      <c r="K93" s="25"/>
      <c r="L93" s="2">
        <v>6</v>
      </c>
      <c r="M93" s="2">
        <v>5</v>
      </c>
      <c r="N93" s="1">
        <f t="shared" si="10"/>
        <v>4</v>
      </c>
      <c r="O93" s="44">
        <f t="shared" si="11"/>
        <v>3</v>
      </c>
    </row>
    <row r="94" spans="1:15" ht="15.75" thickBot="1">
      <c r="A94" s="7">
        <f>VLOOKUP(C94,'2021 Draft'!$A$2:$F$172,6,FALSE)</f>
        <v>27</v>
      </c>
      <c r="B94" s="7">
        <f>VLOOKUP(C94,'2021 Draft'!$A$2:$F$172,5,FALSE)</f>
        <v>3</v>
      </c>
      <c r="C94" s="4" t="s">
        <v>118</v>
      </c>
      <c r="D94" s="4" t="s">
        <v>2</v>
      </c>
      <c r="E94" s="17" t="s">
        <v>471</v>
      </c>
      <c r="F94" s="22"/>
      <c r="H94" s="15" t="s">
        <v>401</v>
      </c>
      <c r="I94" s="15" t="s">
        <v>402</v>
      </c>
      <c r="J94" s="15" t="s">
        <v>387</v>
      </c>
      <c r="K94" s="25"/>
      <c r="L94" s="2" t="s">
        <v>387</v>
      </c>
      <c r="M94" s="2">
        <v>4</v>
      </c>
      <c r="N94" s="1">
        <f t="shared" si="10"/>
        <v>3</v>
      </c>
      <c r="O94" s="44">
        <f t="shared" si="11"/>
        <v>2</v>
      </c>
    </row>
    <row r="95" spans="1:15" ht="15.75" thickBot="1">
      <c r="A95" s="7">
        <f>VLOOKUP(C95,'2021 Draft'!$A$2:$F$172,6,FALSE)</f>
        <v>74</v>
      </c>
      <c r="B95" s="7">
        <f>VLOOKUP(C95,'2021 Draft'!$A$2:$F$172,5,FALSE)</f>
        <v>8</v>
      </c>
      <c r="C95" s="4" t="s">
        <v>624</v>
      </c>
      <c r="D95" s="4" t="s">
        <v>2</v>
      </c>
      <c r="E95" s="17" t="s">
        <v>471</v>
      </c>
      <c r="F95" s="22"/>
      <c r="H95" s="20" t="s">
        <v>400</v>
      </c>
      <c r="I95" s="15" t="s">
        <v>401</v>
      </c>
      <c r="J95" s="15" t="s">
        <v>402</v>
      </c>
      <c r="K95" s="25"/>
      <c r="L95" s="2" t="s">
        <v>387</v>
      </c>
      <c r="M95" s="2" t="s">
        <v>387</v>
      </c>
      <c r="N95" s="1">
        <f t="shared" si="10"/>
        <v>8</v>
      </c>
      <c r="O95" s="44">
        <f t="shared" si="11"/>
        <v>7</v>
      </c>
    </row>
    <row r="96" spans="1:15" ht="15.75" thickBot="1">
      <c r="A96" s="7">
        <f>VLOOKUP(C96,'2021 Draft'!$A$2:$F$172,6,FALSE)</f>
        <v>11</v>
      </c>
      <c r="B96" s="7">
        <f>VLOOKUP(C96,'2021 Draft'!$A$2:$F$172,5,FALSE)</f>
        <v>2</v>
      </c>
      <c r="C96" s="4" t="s">
        <v>44</v>
      </c>
      <c r="D96" s="4" t="s">
        <v>27</v>
      </c>
      <c r="E96" s="17" t="s">
        <v>471</v>
      </c>
      <c r="F96" s="22"/>
      <c r="H96" s="20" t="s">
        <v>400</v>
      </c>
      <c r="I96" s="15" t="s">
        <v>401</v>
      </c>
      <c r="J96" s="15" t="s">
        <v>402</v>
      </c>
      <c r="K96" s="25"/>
      <c r="L96" s="2" t="s">
        <v>387</v>
      </c>
      <c r="M96" s="2" t="s">
        <v>387</v>
      </c>
      <c r="N96" s="1">
        <f t="shared" si="10"/>
        <v>2</v>
      </c>
      <c r="O96" s="44">
        <f t="shared" si="11"/>
        <v>1</v>
      </c>
    </row>
    <row r="97" spans="1:15" ht="15.75" thickBot="1">
      <c r="A97" s="7">
        <f>VLOOKUP(C97,'2021 Draft'!$A$2:$F$172,6,FALSE)</f>
        <v>34</v>
      </c>
      <c r="B97" s="7">
        <f>VLOOKUP(C97,'2021 Draft'!$A$2:$F$172,5,FALSE)</f>
        <v>4</v>
      </c>
      <c r="C97" s="4" t="s">
        <v>761</v>
      </c>
      <c r="D97" s="4" t="s">
        <v>10</v>
      </c>
      <c r="E97" s="17" t="s">
        <v>471</v>
      </c>
      <c r="F97" s="22"/>
      <c r="H97" s="20" t="s">
        <v>400</v>
      </c>
      <c r="I97" s="15" t="s">
        <v>401</v>
      </c>
      <c r="J97" s="15" t="s">
        <v>402</v>
      </c>
      <c r="K97" s="25"/>
      <c r="L97" s="2" t="s">
        <v>387</v>
      </c>
      <c r="M97" s="2" t="s">
        <v>387</v>
      </c>
      <c r="N97" s="1">
        <f t="shared" si="10"/>
        <v>4</v>
      </c>
      <c r="O97" s="44">
        <f t="shared" si="11"/>
        <v>3</v>
      </c>
    </row>
    <row r="98" spans="1:15" ht="15.75" thickBot="1">
      <c r="A98" s="7">
        <f>VLOOKUP(C98,'2021 Draft'!$A$2:$F$172,6,FALSE)</f>
        <v>54</v>
      </c>
      <c r="B98" s="7">
        <f>VLOOKUP(C98,'2021 Draft'!$A$2:$F$172,5,FALSE)</f>
        <v>6</v>
      </c>
      <c r="C98" s="4" t="s">
        <v>812</v>
      </c>
      <c r="D98" s="4" t="s">
        <v>2</v>
      </c>
      <c r="E98" s="17" t="s">
        <v>471</v>
      </c>
      <c r="F98" s="22"/>
      <c r="H98" s="20" t="s">
        <v>400</v>
      </c>
      <c r="I98" s="15" t="s">
        <v>401</v>
      </c>
      <c r="J98" s="15" t="s">
        <v>402</v>
      </c>
      <c r="K98" s="25"/>
      <c r="L98" s="2" t="s">
        <v>387</v>
      </c>
      <c r="M98" s="2" t="s">
        <v>387</v>
      </c>
      <c r="N98" s="1">
        <f t="shared" si="10"/>
        <v>6</v>
      </c>
      <c r="O98" s="44">
        <f t="shared" si="11"/>
        <v>5</v>
      </c>
    </row>
    <row r="99" spans="1:15" ht="15.75" thickBot="1">
      <c r="A99" s="7" t="s">
        <v>390</v>
      </c>
      <c r="B99" s="7" t="s">
        <v>390</v>
      </c>
      <c r="C99" s="4" t="s">
        <v>749</v>
      </c>
      <c r="D99" s="4" t="s">
        <v>687</v>
      </c>
      <c r="E99" s="17" t="s">
        <v>471</v>
      </c>
      <c r="F99" s="22"/>
      <c r="H99" s="20" t="s">
        <v>400</v>
      </c>
      <c r="I99" s="15" t="s">
        <v>401</v>
      </c>
      <c r="J99" s="15" t="s">
        <v>402</v>
      </c>
      <c r="K99" s="25"/>
      <c r="L99" s="2" t="s">
        <v>387</v>
      </c>
      <c r="M99" s="2" t="s">
        <v>387</v>
      </c>
      <c r="N99" s="1" t="str">
        <f t="shared" si="10"/>
        <v>FA</v>
      </c>
      <c r="O99" s="44">
        <f t="shared" si="11"/>
        <v>9</v>
      </c>
    </row>
    <row r="100" spans="1:15" ht="15.75" thickBot="1">
      <c r="A100" s="7">
        <f>VLOOKUP(C100,'2021 Draft'!$A$2:$F$172,6,FALSE)</f>
        <v>47</v>
      </c>
      <c r="B100" s="7">
        <f>VLOOKUP(C100,'2021 Draft'!$A$2:$F$172,5,FALSE)</f>
        <v>5</v>
      </c>
      <c r="C100" s="4" t="s">
        <v>731</v>
      </c>
      <c r="D100" s="4" t="s">
        <v>10</v>
      </c>
      <c r="E100" s="17" t="s">
        <v>471</v>
      </c>
      <c r="F100" s="22"/>
      <c r="H100" s="20" t="s">
        <v>400</v>
      </c>
      <c r="I100" s="15" t="s">
        <v>401</v>
      </c>
      <c r="J100" s="15" t="s">
        <v>402</v>
      </c>
      <c r="K100" s="25"/>
      <c r="L100" s="2" t="s">
        <v>387</v>
      </c>
      <c r="M100" s="2" t="s">
        <v>387</v>
      </c>
      <c r="N100" s="1">
        <f t="shared" si="10"/>
        <v>5</v>
      </c>
      <c r="O100" s="44">
        <f t="shared" si="11"/>
        <v>4</v>
      </c>
    </row>
    <row r="101" spans="1:15" ht="15.75" thickBot="1">
      <c r="A101" s="7">
        <f>VLOOKUP(C101,'2021 Draft'!$A$2:$F$172,6,FALSE)</f>
        <v>67</v>
      </c>
      <c r="B101" s="7">
        <f>VLOOKUP(C101,'2021 Draft'!$A$2:$F$172,5,FALSE)</f>
        <v>7</v>
      </c>
      <c r="C101" s="4" t="s">
        <v>708</v>
      </c>
      <c r="D101" s="4" t="s">
        <v>27</v>
      </c>
      <c r="E101" s="17" t="s">
        <v>471</v>
      </c>
      <c r="F101" s="22"/>
      <c r="H101" s="20" t="s">
        <v>400</v>
      </c>
      <c r="I101" s="15" t="s">
        <v>401</v>
      </c>
      <c r="J101" s="15" t="s">
        <v>402</v>
      </c>
      <c r="K101" s="25"/>
      <c r="L101" s="2" t="s">
        <v>387</v>
      </c>
      <c r="M101" s="2" t="s">
        <v>387</v>
      </c>
      <c r="N101" s="1">
        <f t="shared" si="10"/>
        <v>7</v>
      </c>
      <c r="O101" s="44">
        <f t="shared" si="11"/>
        <v>6</v>
      </c>
    </row>
    <row r="102" spans="1:15" ht="15.75" thickBot="1">
      <c r="A102" s="7">
        <f>VLOOKUP(C102,'2021 Draft'!$A$2:$F$172,6,FALSE)</f>
        <v>107</v>
      </c>
      <c r="B102" s="7">
        <f>VLOOKUP(C102,'2021 Draft'!$A$2:$F$172,5,FALSE)</f>
        <v>11</v>
      </c>
      <c r="C102" s="4" t="s">
        <v>51</v>
      </c>
      <c r="D102" s="4" t="s">
        <v>10</v>
      </c>
      <c r="E102" s="17" t="s">
        <v>471</v>
      </c>
      <c r="F102" s="22"/>
      <c r="H102" s="20" t="s">
        <v>400</v>
      </c>
      <c r="I102" s="15" t="s">
        <v>401</v>
      </c>
      <c r="J102" s="15" t="s">
        <v>402</v>
      </c>
      <c r="K102" s="25"/>
      <c r="L102" s="2" t="s">
        <v>387</v>
      </c>
      <c r="M102" s="2" t="s">
        <v>387</v>
      </c>
      <c r="N102" s="1">
        <f t="shared" si="10"/>
        <v>11</v>
      </c>
      <c r="O102" s="44">
        <f t="shared" si="11"/>
        <v>10</v>
      </c>
    </row>
    <row r="103" spans="1:15" ht="15.75" thickBot="1">
      <c r="A103" s="7">
        <f>VLOOKUP(C103,'2021 Draft'!$A$2:$F$172,6,FALSE)</f>
        <v>154</v>
      </c>
      <c r="B103" s="7">
        <f>VLOOKUP(C103,'2021 Draft'!$A$2:$F$172,5,FALSE)</f>
        <v>16</v>
      </c>
      <c r="C103" s="4" t="s">
        <v>716</v>
      </c>
      <c r="D103" s="4" t="s">
        <v>5</v>
      </c>
      <c r="E103" s="17" t="s">
        <v>471</v>
      </c>
      <c r="F103" s="22"/>
      <c r="H103" s="20" t="s">
        <v>400</v>
      </c>
      <c r="I103" s="15" t="s">
        <v>401</v>
      </c>
      <c r="J103" s="15" t="s">
        <v>402</v>
      </c>
      <c r="K103" s="25"/>
      <c r="L103" s="2" t="s">
        <v>387</v>
      </c>
      <c r="M103" s="2" t="s">
        <v>387</v>
      </c>
      <c r="N103" s="1">
        <f t="shared" si="10"/>
        <v>16</v>
      </c>
      <c r="O103" s="44">
        <f t="shared" si="11"/>
        <v>15</v>
      </c>
    </row>
    <row r="104" spans="1:15" ht="15.75" thickBot="1">
      <c r="A104" s="7" t="s">
        <v>390</v>
      </c>
      <c r="B104" s="7" t="s">
        <v>390</v>
      </c>
      <c r="C104" s="4" t="s">
        <v>495</v>
      </c>
      <c r="D104" s="4" t="s">
        <v>2</v>
      </c>
      <c r="E104" s="17" t="s">
        <v>471</v>
      </c>
      <c r="F104" s="22"/>
      <c r="H104" s="20" t="s">
        <v>400</v>
      </c>
      <c r="I104" s="15" t="s">
        <v>401</v>
      </c>
      <c r="J104" s="15" t="s">
        <v>402</v>
      </c>
      <c r="K104" s="25"/>
      <c r="L104" s="2" t="s">
        <v>387</v>
      </c>
      <c r="M104" s="2" t="s">
        <v>387</v>
      </c>
      <c r="N104" s="1" t="str">
        <f t="shared" si="10"/>
        <v>FA</v>
      </c>
      <c r="O104" s="44">
        <f t="shared" si="11"/>
        <v>9</v>
      </c>
    </row>
    <row r="105" spans="1:15" ht="15.75" thickBot="1">
      <c r="A105" s="7" t="s">
        <v>390</v>
      </c>
      <c r="B105" s="7" t="s">
        <v>390</v>
      </c>
      <c r="C105" s="4" t="s">
        <v>569</v>
      </c>
      <c r="D105" s="4" t="s">
        <v>2</v>
      </c>
      <c r="E105" s="17" t="s">
        <v>471</v>
      </c>
      <c r="F105" s="22"/>
      <c r="H105" s="20" t="s">
        <v>400</v>
      </c>
      <c r="I105" s="15" t="s">
        <v>401</v>
      </c>
      <c r="J105" s="15" t="s">
        <v>402</v>
      </c>
      <c r="K105" s="25"/>
      <c r="L105" s="2" t="s">
        <v>387</v>
      </c>
      <c r="M105" s="2" t="s">
        <v>387</v>
      </c>
      <c r="N105" s="1" t="str">
        <f t="shared" si="10"/>
        <v>FA</v>
      </c>
      <c r="O105" s="44">
        <f t="shared" si="11"/>
        <v>9</v>
      </c>
    </row>
    <row r="106" spans="1:15" ht="15.75" thickBot="1">
      <c r="A106" s="7" t="s">
        <v>390</v>
      </c>
      <c r="B106" s="7" t="s">
        <v>390</v>
      </c>
      <c r="C106" s="4" t="s">
        <v>418</v>
      </c>
      <c r="D106" s="4" t="s">
        <v>5</v>
      </c>
      <c r="E106" s="17" t="s">
        <v>471</v>
      </c>
      <c r="F106" s="22"/>
      <c r="H106" s="20" t="s">
        <v>400</v>
      </c>
      <c r="I106" s="15" t="s">
        <v>401</v>
      </c>
      <c r="J106" s="15" t="s">
        <v>402</v>
      </c>
      <c r="K106" s="25"/>
      <c r="L106" s="2" t="s">
        <v>387</v>
      </c>
      <c r="M106" s="2" t="s">
        <v>387</v>
      </c>
      <c r="N106" s="1" t="str">
        <f t="shared" si="10"/>
        <v>FA</v>
      </c>
      <c r="O106" s="44">
        <f t="shared" si="11"/>
        <v>9</v>
      </c>
    </row>
    <row r="107" spans="1:15" ht="15.75" thickBot="1">
      <c r="A107" s="14"/>
      <c r="B107" s="14"/>
      <c r="C107" s="14"/>
      <c r="D107" s="14"/>
      <c r="E107" s="18"/>
      <c r="F107" s="18"/>
      <c r="H107" s="18"/>
      <c r="I107" s="18"/>
      <c r="J107" s="18"/>
      <c r="K107" s="18"/>
      <c r="L107" s="18"/>
      <c r="M107" s="18"/>
      <c r="N107" s="18"/>
      <c r="O107" s="18"/>
    </row>
    <row r="108" spans="1:15" ht="15.75" thickBot="1">
      <c r="A108" s="7">
        <f>VLOOKUP(C108,'2021 Draft'!$A$2:$F$172,6,FALSE)</f>
        <v>73</v>
      </c>
      <c r="B108" s="7">
        <f>VLOOKUP(C108,'2021 Draft'!$A$2:$F$172,5,FALSE)</f>
        <v>8</v>
      </c>
      <c r="C108" s="4" t="s">
        <v>4</v>
      </c>
      <c r="D108" s="8" t="s">
        <v>5</v>
      </c>
      <c r="E108" s="17" t="s">
        <v>58</v>
      </c>
      <c r="F108" s="22"/>
      <c r="H108" s="20" t="s">
        <v>400</v>
      </c>
      <c r="I108" s="15" t="s">
        <v>401</v>
      </c>
      <c r="J108" s="15" t="s">
        <v>402</v>
      </c>
      <c r="K108" s="25"/>
      <c r="L108" s="2" t="s">
        <v>387</v>
      </c>
      <c r="M108" s="2" t="s">
        <v>387</v>
      </c>
      <c r="N108" s="1">
        <f t="shared" ref="N108:N120" si="12">B108</f>
        <v>8</v>
      </c>
      <c r="O108" s="44">
        <f>IF(A108="FA",9,N108-1)</f>
        <v>7</v>
      </c>
    </row>
    <row r="109" spans="1:15" ht="15.75" thickBot="1">
      <c r="A109" s="7">
        <f>VLOOKUP(C109,'2021 Draft'!$A$2:$F$172,6,FALSE)</f>
        <v>101</v>
      </c>
      <c r="B109" s="7">
        <f>VLOOKUP(C109,'2021 Draft'!$A$2:$F$172,5,FALSE)</f>
        <v>11</v>
      </c>
      <c r="C109" s="4" t="s">
        <v>593</v>
      </c>
      <c r="D109" s="4" t="s">
        <v>10</v>
      </c>
      <c r="E109" s="17" t="s">
        <v>58</v>
      </c>
      <c r="F109" s="22"/>
      <c r="H109" s="20" t="s">
        <v>400</v>
      </c>
      <c r="I109" s="15" t="s">
        <v>401</v>
      </c>
      <c r="J109" s="15" t="s">
        <v>402</v>
      </c>
      <c r="K109" s="25"/>
      <c r="L109" s="2" t="s">
        <v>387</v>
      </c>
      <c r="M109" s="2" t="s">
        <v>387</v>
      </c>
      <c r="N109" s="1">
        <f t="shared" si="12"/>
        <v>11</v>
      </c>
      <c r="O109" s="44">
        <f t="shared" ref="O109:O122" si="13">IF(A109="FA",9,N109-1)</f>
        <v>10</v>
      </c>
    </row>
    <row r="110" spans="1:15" ht="15.75" thickBot="1">
      <c r="A110" s="7">
        <f>VLOOKUP(C110,'2021 Draft'!$A$2:$F$172,6,FALSE)</f>
        <v>14</v>
      </c>
      <c r="B110" s="7">
        <f>VLOOKUP(C110,'2021 Draft'!$A$2:$F$172,5,FALSE)</f>
        <v>2</v>
      </c>
      <c r="C110" s="4" t="s">
        <v>656</v>
      </c>
      <c r="D110" s="4" t="s">
        <v>10</v>
      </c>
      <c r="E110" s="17" t="s">
        <v>58</v>
      </c>
      <c r="F110" s="22"/>
      <c r="H110" s="20" t="s">
        <v>400</v>
      </c>
      <c r="I110" s="15" t="s">
        <v>401</v>
      </c>
      <c r="J110" s="15" t="s">
        <v>402</v>
      </c>
      <c r="K110" s="25"/>
      <c r="L110" s="2" t="s">
        <v>387</v>
      </c>
      <c r="M110" s="2" t="s">
        <v>387</v>
      </c>
      <c r="N110" s="1">
        <f t="shared" si="12"/>
        <v>2</v>
      </c>
      <c r="O110" s="44">
        <f t="shared" si="13"/>
        <v>1</v>
      </c>
    </row>
    <row r="111" spans="1:15" ht="15.75" thickBot="1">
      <c r="A111" s="7">
        <f>VLOOKUP(C111,'2021 Draft'!$A$2:$F$172,6,FALSE)</f>
        <v>33</v>
      </c>
      <c r="B111" s="7">
        <f>VLOOKUP(C111,'2021 Draft'!$A$2:$F$172,5,FALSE)</f>
        <v>4</v>
      </c>
      <c r="C111" s="4" t="s">
        <v>715</v>
      </c>
      <c r="D111" s="4" t="s">
        <v>2</v>
      </c>
      <c r="E111" s="17" t="s">
        <v>58</v>
      </c>
      <c r="F111" s="22"/>
      <c r="H111" s="20" t="s">
        <v>400</v>
      </c>
      <c r="I111" s="15" t="s">
        <v>401</v>
      </c>
      <c r="J111" s="15" t="s">
        <v>402</v>
      </c>
      <c r="K111" s="25"/>
      <c r="L111" s="2" t="s">
        <v>387</v>
      </c>
      <c r="M111" s="2" t="s">
        <v>387</v>
      </c>
      <c r="N111" s="1">
        <f t="shared" si="12"/>
        <v>4</v>
      </c>
      <c r="O111" s="44">
        <f t="shared" si="13"/>
        <v>3</v>
      </c>
    </row>
    <row r="112" spans="1:15" ht="15.75" thickBot="1">
      <c r="A112" s="7">
        <f>VLOOKUP(C112,'2021 Draft'!$A$2:$F$172,6,FALSE)</f>
        <v>113</v>
      </c>
      <c r="B112" s="7">
        <f>VLOOKUP(C112,'2021 Draft'!$A$2:$F$172,5,FALSE)</f>
        <v>12</v>
      </c>
      <c r="C112" s="4" t="s">
        <v>501</v>
      </c>
      <c r="D112" s="4" t="s">
        <v>2</v>
      </c>
      <c r="E112" s="17" t="s">
        <v>58</v>
      </c>
      <c r="F112" s="22"/>
      <c r="H112" s="20" t="s">
        <v>400</v>
      </c>
      <c r="I112" s="15" t="s">
        <v>401</v>
      </c>
      <c r="J112" s="15" t="s">
        <v>402</v>
      </c>
      <c r="K112" s="25"/>
      <c r="L112" s="2" t="s">
        <v>387</v>
      </c>
      <c r="M112" s="2" t="s">
        <v>387</v>
      </c>
      <c r="N112" s="1">
        <f t="shared" si="12"/>
        <v>12</v>
      </c>
      <c r="O112" s="44">
        <f t="shared" si="13"/>
        <v>11</v>
      </c>
    </row>
    <row r="113" spans="1:15" ht="15.75" thickBot="1">
      <c r="A113" s="7" t="s">
        <v>390</v>
      </c>
      <c r="B113" s="7" t="s">
        <v>390</v>
      </c>
      <c r="C113" s="4" t="s">
        <v>182</v>
      </c>
      <c r="D113" s="4" t="s">
        <v>27</v>
      </c>
      <c r="E113" s="17" t="s">
        <v>58</v>
      </c>
      <c r="F113" s="22"/>
      <c r="H113" s="20" t="s">
        <v>400</v>
      </c>
      <c r="I113" s="15" t="s">
        <v>401</v>
      </c>
      <c r="J113" s="15" t="s">
        <v>402</v>
      </c>
      <c r="K113" s="25"/>
      <c r="L113" s="2" t="s">
        <v>387</v>
      </c>
      <c r="M113" s="2" t="s">
        <v>387</v>
      </c>
      <c r="N113" s="1" t="s">
        <v>390</v>
      </c>
      <c r="O113" s="44">
        <f t="shared" si="13"/>
        <v>9</v>
      </c>
    </row>
    <row r="114" spans="1:15" ht="15.75" thickBot="1">
      <c r="A114" s="7">
        <f>VLOOKUP(C114,'2021 Draft'!$A$2:$F$172,6,FALSE)</f>
        <v>48</v>
      </c>
      <c r="B114" s="7">
        <f>VLOOKUP(C114,'2021 Draft'!$A$2:$F$172,5,FALSE)</f>
        <v>5</v>
      </c>
      <c r="C114" s="4" t="s">
        <v>383</v>
      </c>
      <c r="D114" s="4" t="s">
        <v>2</v>
      </c>
      <c r="E114" s="17" t="s">
        <v>58</v>
      </c>
      <c r="F114" s="22"/>
      <c r="H114" s="20" t="s">
        <v>400</v>
      </c>
      <c r="I114" s="15" t="s">
        <v>401</v>
      </c>
      <c r="J114" s="15" t="s">
        <v>402</v>
      </c>
      <c r="K114" s="25"/>
      <c r="L114" s="2" t="s">
        <v>387</v>
      </c>
      <c r="M114" s="2" t="s">
        <v>387</v>
      </c>
      <c r="N114" s="1">
        <f t="shared" si="12"/>
        <v>5</v>
      </c>
      <c r="O114" s="44">
        <f t="shared" si="13"/>
        <v>4</v>
      </c>
    </row>
    <row r="115" spans="1:15" ht="15.75" thickBot="1">
      <c r="A115" s="7" t="s">
        <v>390</v>
      </c>
      <c r="B115" s="7" t="s">
        <v>390</v>
      </c>
      <c r="C115" s="4" t="s">
        <v>488</v>
      </c>
      <c r="D115" s="4" t="s">
        <v>10</v>
      </c>
      <c r="E115" s="17" t="s">
        <v>58</v>
      </c>
      <c r="F115" s="22"/>
      <c r="H115" s="20" t="s">
        <v>400</v>
      </c>
      <c r="I115" s="15" t="s">
        <v>401</v>
      </c>
      <c r="J115" s="15" t="s">
        <v>402</v>
      </c>
      <c r="K115" s="25"/>
      <c r="L115" s="2" t="s">
        <v>387</v>
      </c>
      <c r="M115" s="2" t="s">
        <v>387</v>
      </c>
      <c r="N115" s="1" t="s">
        <v>390</v>
      </c>
      <c r="O115" s="44">
        <f t="shared" si="13"/>
        <v>9</v>
      </c>
    </row>
    <row r="116" spans="1:15" ht="15.75" thickBot="1">
      <c r="A116" s="7" t="s">
        <v>390</v>
      </c>
      <c r="B116" s="7" t="s">
        <v>390</v>
      </c>
      <c r="C116" s="4" t="s">
        <v>407</v>
      </c>
      <c r="D116" s="4" t="s">
        <v>687</v>
      </c>
      <c r="E116" s="17" t="s">
        <v>58</v>
      </c>
      <c r="F116" s="22"/>
      <c r="H116" s="20" t="s">
        <v>400</v>
      </c>
      <c r="I116" s="15" t="s">
        <v>401</v>
      </c>
      <c r="J116" s="15" t="s">
        <v>402</v>
      </c>
      <c r="K116" s="25"/>
      <c r="L116" s="2" t="s">
        <v>387</v>
      </c>
      <c r="M116" s="2" t="s">
        <v>387</v>
      </c>
      <c r="N116" s="1" t="s">
        <v>390</v>
      </c>
      <c r="O116" s="44">
        <f t="shared" si="13"/>
        <v>9</v>
      </c>
    </row>
    <row r="117" spans="1:15" ht="15.75" thickBot="1">
      <c r="A117" s="7">
        <f>VLOOKUP(C117,'2021 Draft'!$A$2:$F$172,6,FALSE)</f>
        <v>8</v>
      </c>
      <c r="B117" s="7">
        <f>VLOOKUP(C117,'2021 Draft'!$A$2:$F$172,5,FALSE)</f>
        <v>1</v>
      </c>
      <c r="C117" s="4" t="s">
        <v>389</v>
      </c>
      <c r="D117" s="4" t="s">
        <v>2</v>
      </c>
      <c r="E117" s="17" t="s">
        <v>58</v>
      </c>
      <c r="F117" s="22"/>
      <c r="H117" s="20" t="s">
        <v>400</v>
      </c>
      <c r="I117" s="15" t="s">
        <v>401</v>
      </c>
      <c r="J117" s="15" t="s">
        <v>402</v>
      </c>
      <c r="K117" s="25"/>
      <c r="L117" s="2" t="s">
        <v>387</v>
      </c>
      <c r="M117" s="2" t="s">
        <v>387</v>
      </c>
      <c r="N117" s="1">
        <f t="shared" si="12"/>
        <v>1</v>
      </c>
      <c r="O117" s="44">
        <f t="shared" si="13"/>
        <v>0</v>
      </c>
    </row>
    <row r="118" spans="1:15" ht="15.75" thickBot="1">
      <c r="A118" s="7">
        <f>VLOOKUP(C118,'2021 Draft'!$A$2:$F$172,6,FALSE)</f>
        <v>68</v>
      </c>
      <c r="B118" s="7">
        <f>VLOOKUP(C118,'2021 Draft'!$A$2:$F$172,5,FALSE)</f>
        <v>7</v>
      </c>
      <c r="C118" s="4" t="s">
        <v>766</v>
      </c>
      <c r="D118" s="4" t="s">
        <v>2</v>
      </c>
      <c r="E118" s="17" t="s">
        <v>58</v>
      </c>
      <c r="F118" s="22"/>
      <c r="H118" s="20" t="s">
        <v>400</v>
      </c>
      <c r="I118" s="15" t="s">
        <v>401</v>
      </c>
      <c r="J118" s="15" t="s">
        <v>402</v>
      </c>
      <c r="K118" s="25"/>
      <c r="L118" s="2" t="s">
        <v>387</v>
      </c>
      <c r="M118" s="2" t="s">
        <v>387</v>
      </c>
      <c r="N118" s="1">
        <f t="shared" si="12"/>
        <v>7</v>
      </c>
      <c r="O118" s="44">
        <f t="shared" si="13"/>
        <v>6</v>
      </c>
    </row>
    <row r="119" spans="1:15" ht="15.75" thickBot="1">
      <c r="A119" s="7">
        <f>VLOOKUP(C119,'2021 Draft'!$A$2:$F$172,6,FALSE)</f>
        <v>148</v>
      </c>
      <c r="B119" s="7">
        <f>VLOOKUP(C119,'2021 Draft'!$A$2:$F$172,5,FALSE)</f>
        <v>15</v>
      </c>
      <c r="C119" s="4" t="s">
        <v>96</v>
      </c>
      <c r="D119" s="4" t="s">
        <v>5</v>
      </c>
      <c r="E119" s="17" t="s">
        <v>58</v>
      </c>
      <c r="F119" s="22"/>
      <c r="H119" s="20" t="s">
        <v>400</v>
      </c>
      <c r="I119" s="15" t="s">
        <v>401</v>
      </c>
      <c r="J119" s="15" t="s">
        <v>402</v>
      </c>
      <c r="K119" s="25"/>
      <c r="L119" s="2" t="s">
        <v>387</v>
      </c>
      <c r="M119" s="2" t="s">
        <v>387</v>
      </c>
      <c r="N119" s="1">
        <f t="shared" si="12"/>
        <v>15</v>
      </c>
      <c r="O119" s="44">
        <f t="shared" si="13"/>
        <v>14</v>
      </c>
    </row>
    <row r="120" spans="1:15" ht="15.75" thickBot="1">
      <c r="A120" s="7">
        <f>VLOOKUP(C120,'2021 Draft'!$A$2:$F$172,6,FALSE)</f>
        <v>151</v>
      </c>
      <c r="B120" s="7">
        <f>VLOOKUP(C120,'2021 Draft'!$A$2:$F$172,5,FALSE)</f>
        <v>16</v>
      </c>
      <c r="C120" s="4" t="s">
        <v>693</v>
      </c>
      <c r="D120" s="4" t="s">
        <v>10</v>
      </c>
      <c r="E120" s="17" t="s">
        <v>58</v>
      </c>
      <c r="F120" s="22"/>
      <c r="H120" s="20" t="s">
        <v>400</v>
      </c>
      <c r="I120" s="15" t="s">
        <v>401</v>
      </c>
      <c r="J120" s="15" t="s">
        <v>402</v>
      </c>
      <c r="K120" s="25"/>
      <c r="L120" s="2" t="s">
        <v>387</v>
      </c>
      <c r="M120" s="2" t="s">
        <v>387</v>
      </c>
      <c r="N120" s="1">
        <f t="shared" si="12"/>
        <v>16</v>
      </c>
      <c r="O120" s="44">
        <f t="shared" si="13"/>
        <v>15</v>
      </c>
    </row>
    <row r="121" spans="1:15" ht="15.75" thickBot="1">
      <c r="A121" s="7">
        <f>VLOOKUP(C121,'2021 Draft'!$A$2:$F$172,6,FALSE)</f>
        <v>71</v>
      </c>
      <c r="B121" s="7">
        <f>VLOOKUP(C121,'2021 Draft'!$A$2:$F$172,5,FALSE)</f>
        <v>8</v>
      </c>
      <c r="C121" s="4" t="s">
        <v>736</v>
      </c>
      <c r="D121" s="4" t="s">
        <v>2</v>
      </c>
      <c r="E121" s="17" t="s">
        <v>58</v>
      </c>
      <c r="F121" s="22"/>
      <c r="H121" s="15" t="s">
        <v>401</v>
      </c>
      <c r="I121" s="15" t="s">
        <v>402</v>
      </c>
      <c r="J121" s="15" t="s">
        <v>387</v>
      </c>
      <c r="K121" s="25"/>
      <c r="L121" s="2">
        <v>10</v>
      </c>
      <c r="M121" s="2">
        <v>9</v>
      </c>
      <c r="N121" s="1">
        <v>8</v>
      </c>
      <c r="O121" s="44">
        <f t="shared" si="13"/>
        <v>7</v>
      </c>
    </row>
    <row r="122" spans="1:15" ht="15.75" thickBot="1">
      <c r="A122" s="7" t="s">
        <v>390</v>
      </c>
      <c r="B122" s="7" t="s">
        <v>390</v>
      </c>
      <c r="C122" s="4" t="s">
        <v>188</v>
      </c>
      <c r="D122" s="4" t="s">
        <v>10</v>
      </c>
      <c r="E122" s="17" t="s">
        <v>58</v>
      </c>
      <c r="F122" s="22"/>
      <c r="H122" s="20" t="s">
        <v>400</v>
      </c>
      <c r="I122" s="15" t="s">
        <v>401</v>
      </c>
      <c r="J122" s="15" t="s">
        <v>402</v>
      </c>
      <c r="K122" s="25"/>
      <c r="L122" s="2" t="s">
        <v>387</v>
      </c>
      <c r="M122" s="2" t="s">
        <v>387</v>
      </c>
      <c r="N122" s="1" t="s">
        <v>390</v>
      </c>
      <c r="O122" s="44">
        <f t="shared" si="13"/>
        <v>9</v>
      </c>
    </row>
    <row r="123" spans="1:15" ht="15.75" thickBot="1">
      <c r="A123" s="7">
        <f>VLOOKUP(C123,'2021 Draft'!$A$2:$F$172,6,FALSE)</f>
        <v>13</v>
      </c>
      <c r="B123" s="7">
        <f>VLOOKUP(C123,'2021 Draft'!$A$2:$F$172,5,FALSE)</f>
        <v>2</v>
      </c>
      <c r="C123" s="4" t="s">
        <v>66</v>
      </c>
      <c r="D123" s="4" t="s">
        <v>10</v>
      </c>
      <c r="E123" s="17" t="s">
        <v>58</v>
      </c>
      <c r="F123" s="22"/>
      <c r="H123" s="15" t="s">
        <v>401</v>
      </c>
      <c r="I123" s="15" t="s">
        <v>402</v>
      </c>
      <c r="J123" s="15" t="s">
        <v>387</v>
      </c>
      <c r="K123" s="25"/>
      <c r="L123" s="2" t="s">
        <v>387</v>
      </c>
      <c r="M123" s="2" t="s">
        <v>387</v>
      </c>
      <c r="N123" s="1">
        <v>2</v>
      </c>
      <c r="O123" s="44">
        <f>IF(A123="FA",9,N123-1)</f>
        <v>1</v>
      </c>
    </row>
    <row r="124" spans="1:15" ht="15.75" thickBot="1">
      <c r="A124" s="14"/>
      <c r="B124" s="14"/>
      <c r="C124" s="14"/>
      <c r="D124" s="14"/>
      <c r="E124" s="18"/>
      <c r="F124" s="18"/>
      <c r="H124" s="18"/>
      <c r="I124" s="18"/>
      <c r="J124" s="18"/>
      <c r="K124" s="18"/>
      <c r="L124" s="18"/>
      <c r="M124" s="18"/>
      <c r="N124" s="18"/>
      <c r="O124" s="18"/>
    </row>
    <row r="125" spans="1:15" ht="15.75" thickBot="1">
      <c r="A125" s="7" t="s">
        <v>390</v>
      </c>
      <c r="B125" s="7" t="s">
        <v>390</v>
      </c>
      <c r="C125" s="4" t="s">
        <v>783</v>
      </c>
      <c r="D125" s="8" t="s">
        <v>5</v>
      </c>
      <c r="E125" s="17" t="s">
        <v>97</v>
      </c>
      <c r="F125" s="22"/>
      <c r="H125" s="20" t="s">
        <v>400</v>
      </c>
      <c r="I125" s="15" t="s">
        <v>401</v>
      </c>
      <c r="J125" s="15" t="s">
        <v>402</v>
      </c>
      <c r="K125" s="25"/>
      <c r="L125" s="2" t="s">
        <v>387</v>
      </c>
      <c r="M125" s="2" t="s">
        <v>387</v>
      </c>
      <c r="N125" s="1" t="str">
        <f t="shared" ref="N125:N141" si="14">B125</f>
        <v>FA</v>
      </c>
      <c r="O125" s="44">
        <f>IF(A125="FA",9,N125-1)</f>
        <v>9</v>
      </c>
    </row>
    <row r="126" spans="1:15" ht="15.75" thickBot="1">
      <c r="A126" s="7">
        <f>VLOOKUP(C126,'2021 Draft'!$A$2:$F$172,6,FALSE)</f>
        <v>29</v>
      </c>
      <c r="B126" s="7">
        <f>VLOOKUP(C126,'2021 Draft'!$A$2:$F$172,5,FALSE)</f>
        <v>3</v>
      </c>
      <c r="C126" s="4" t="s">
        <v>694</v>
      </c>
      <c r="D126" s="4" t="s">
        <v>10</v>
      </c>
      <c r="E126" s="17" t="s">
        <v>97</v>
      </c>
      <c r="F126" s="22"/>
      <c r="H126" s="20" t="s">
        <v>401</v>
      </c>
      <c r="I126" s="15" t="s">
        <v>402</v>
      </c>
      <c r="J126" s="15" t="s">
        <v>387</v>
      </c>
      <c r="K126" s="25"/>
      <c r="L126" s="2" t="s">
        <v>387</v>
      </c>
      <c r="M126" s="2">
        <v>4</v>
      </c>
      <c r="N126" s="1">
        <f t="shared" si="14"/>
        <v>3</v>
      </c>
      <c r="O126" s="44">
        <f t="shared" ref="O126:O141" si="15">IF(A126="FA",9,N126-1)</f>
        <v>2</v>
      </c>
    </row>
    <row r="127" spans="1:15" ht="15.75" thickBot="1">
      <c r="A127" s="7">
        <f>VLOOKUP(C127,'2021 Draft'!$A$2:$F$172,6,FALSE)</f>
        <v>89</v>
      </c>
      <c r="B127" s="7">
        <f>VLOOKUP(C127,'2021 Draft'!$A$2:$F$172,5,FALSE)</f>
        <v>9</v>
      </c>
      <c r="C127" s="4" t="s">
        <v>751</v>
      </c>
      <c r="D127" s="4" t="s">
        <v>10</v>
      </c>
      <c r="E127" s="17" t="s">
        <v>97</v>
      </c>
      <c r="F127" s="22"/>
      <c r="H127" s="20" t="s">
        <v>400</v>
      </c>
      <c r="I127" s="15" t="s">
        <v>401</v>
      </c>
      <c r="J127" s="15" t="s">
        <v>402</v>
      </c>
      <c r="K127" s="25"/>
      <c r="L127" s="2" t="s">
        <v>387</v>
      </c>
      <c r="M127" s="2" t="s">
        <v>387</v>
      </c>
      <c r="N127" s="1">
        <f t="shared" si="14"/>
        <v>9</v>
      </c>
      <c r="O127" s="44">
        <f t="shared" si="15"/>
        <v>8</v>
      </c>
    </row>
    <row r="128" spans="1:15" ht="15.75" thickBot="1">
      <c r="A128" s="7">
        <f>VLOOKUP(C128,'2021 Draft'!$A$2:$F$172,6,FALSE)</f>
        <v>72</v>
      </c>
      <c r="B128" s="7">
        <f>VLOOKUP(C128,'2021 Draft'!$A$2:$F$172,5,FALSE)</f>
        <v>8</v>
      </c>
      <c r="C128" s="4" t="s">
        <v>767</v>
      </c>
      <c r="D128" s="4" t="s">
        <v>2</v>
      </c>
      <c r="E128" s="17" t="s">
        <v>97</v>
      </c>
      <c r="F128" s="22"/>
      <c r="H128" s="20" t="s">
        <v>400</v>
      </c>
      <c r="I128" s="15" t="s">
        <v>401</v>
      </c>
      <c r="J128" s="15" t="s">
        <v>402</v>
      </c>
      <c r="K128" s="25"/>
      <c r="L128" s="2" t="s">
        <v>387</v>
      </c>
      <c r="M128" s="2" t="s">
        <v>387</v>
      </c>
      <c r="N128" s="1">
        <f t="shared" si="14"/>
        <v>8</v>
      </c>
      <c r="O128" s="44">
        <f t="shared" si="15"/>
        <v>7</v>
      </c>
    </row>
    <row r="129" spans="1:15" ht="15.75" thickBot="1">
      <c r="A129" s="7" t="s">
        <v>390</v>
      </c>
      <c r="B129" s="7" t="s">
        <v>390</v>
      </c>
      <c r="C129" s="4" t="s">
        <v>799</v>
      </c>
      <c r="D129" s="4" t="s">
        <v>2</v>
      </c>
      <c r="E129" s="17" t="s">
        <v>97</v>
      </c>
      <c r="F129" s="22"/>
      <c r="H129" s="20" t="s">
        <v>400</v>
      </c>
      <c r="I129" s="15" t="s">
        <v>401</v>
      </c>
      <c r="J129" s="15" t="s">
        <v>402</v>
      </c>
      <c r="K129" s="25"/>
      <c r="L129" s="2" t="s">
        <v>387</v>
      </c>
      <c r="M129" s="2" t="s">
        <v>387</v>
      </c>
      <c r="N129" s="1" t="str">
        <f t="shared" si="14"/>
        <v>FA</v>
      </c>
      <c r="O129" s="44">
        <f t="shared" si="15"/>
        <v>9</v>
      </c>
    </row>
    <row r="130" spans="1:15" ht="15.75" thickBot="1">
      <c r="A130" s="7" t="s">
        <v>390</v>
      </c>
      <c r="B130" s="7" t="s">
        <v>390</v>
      </c>
      <c r="C130" s="4" t="s">
        <v>813</v>
      </c>
      <c r="D130" s="4" t="s">
        <v>27</v>
      </c>
      <c r="E130" s="17" t="s">
        <v>97</v>
      </c>
      <c r="F130" s="22"/>
      <c r="H130" s="20" t="s">
        <v>400</v>
      </c>
      <c r="I130" s="15" t="s">
        <v>401</v>
      </c>
      <c r="J130" s="15" t="s">
        <v>402</v>
      </c>
      <c r="K130" s="25"/>
      <c r="L130" s="2" t="s">
        <v>387</v>
      </c>
      <c r="M130" s="2" t="s">
        <v>387</v>
      </c>
      <c r="N130" s="1" t="str">
        <f t="shared" si="14"/>
        <v>FA</v>
      </c>
      <c r="O130" s="44">
        <f t="shared" si="15"/>
        <v>9</v>
      </c>
    </row>
    <row r="131" spans="1:15" ht="15.75" thickBot="1">
      <c r="A131" s="7">
        <f>VLOOKUP(C131,'2021 Draft'!$A$2:$F$172,6,FALSE)</f>
        <v>9</v>
      </c>
      <c r="B131" s="7">
        <f>VLOOKUP(C131,'2021 Draft'!$A$2:$F$172,5,FALSE)</f>
        <v>1</v>
      </c>
      <c r="C131" s="4" t="s">
        <v>616</v>
      </c>
      <c r="D131" s="4" t="s">
        <v>2</v>
      </c>
      <c r="E131" s="17" t="s">
        <v>97</v>
      </c>
      <c r="F131" s="22"/>
      <c r="H131" s="20" t="s">
        <v>400</v>
      </c>
      <c r="I131" s="15" t="s">
        <v>401</v>
      </c>
      <c r="J131" s="15" t="s">
        <v>402</v>
      </c>
      <c r="K131" s="25"/>
      <c r="L131" s="2" t="s">
        <v>387</v>
      </c>
      <c r="M131" s="2" t="s">
        <v>387</v>
      </c>
      <c r="N131" s="1">
        <f t="shared" si="14"/>
        <v>1</v>
      </c>
      <c r="O131" s="44">
        <f t="shared" si="15"/>
        <v>0</v>
      </c>
    </row>
    <row r="132" spans="1:15" ht="15.75" thickBot="1">
      <c r="A132" s="7" t="s">
        <v>390</v>
      </c>
      <c r="B132" s="7" t="s">
        <v>390</v>
      </c>
      <c r="C132" s="4" t="s">
        <v>814</v>
      </c>
      <c r="D132" s="4" t="s">
        <v>10</v>
      </c>
      <c r="E132" s="17" t="s">
        <v>97</v>
      </c>
      <c r="F132" s="22"/>
      <c r="H132" s="20" t="s">
        <v>400</v>
      </c>
      <c r="I132" s="15" t="s">
        <v>401</v>
      </c>
      <c r="J132" s="15" t="s">
        <v>402</v>
      </c>
      <c r="K132" s="25"/>
      <c r="L132" s="2" t="s">
        <v>387</v>
      </c>
      <c r="M132" s="2" t="s">
        <v>387</v>
      </c>
      <c r="N132" s="1" t="str">
        <f t="shared" si="14"/>
        <v>FA</v>
      </c>
      <c r="O132" s="44">
        <f t="shared" si="15"/>
        <v>9</v>
      </c>
    </row>
    <row r="133" spans="1:15" ht="15.75" thickBot="1">
      <c r="A133" s="7" t="s">
        <v>390</v>
      </c>
      <c r="B133" s="7" t="s">
        <v>390</v>
      </c>
      <c r="C133" s="4" t="s">
        <v>815</v>
      </c>
      <c r="D133" s="4" t="s">
        <v>687</v>
      </c>
      <c r="E133" s="17" t="s">
        <v>97</v>
      </c>
      <c r="F133" s="22"/>
      <c r="H133" s="20" t="s">
        <v>400</v>
      </c>
      <c r="I133" s="15" t="s">
        <v>401</v>
      </c>
      <c r="J133" s="15" t="s">
        <v>402</v>
      </c>
      <c r="K133" s="25"/>
      <c r="L133" s="2" t="s">
        <v>387</v>
      </c>
      <c r="M133" s="2" t="s">
        <v>387</v>
      </c>
      <c r="N133" s="1" t="str">
        <f t="shared" si="14"/>
        <v>FA</v>
      </c>
      <c r="O133" s="44">
        <f t="shared" si="15"/>
        <v>9</v>
      </c>
    </row>
    <row r="134" spans="1:15" ht="15.75" thickBot="1">
      <c r="A134" s="7">
        <f>VLOOKUP(C134,'2021 Draft'!$A$2:$F$172,6,FALSE)</f>
        <v>109</v>
      </c>
      <c r="B134" s="7">
        <f>VLOOKUP(C134,'2021 Draft'!$A$2:$F$172,5,FALSE)</f>
        <v>11</v>
      </c>
      <c r="C134" s="4" t="s">
        <v>733</v>
      </c>
      <c r="D134" s="4" t="s">
        <v>2</v>
      </c>
      <c r="E134" s="17" t="s">
        <v>97</v>
      </c>
      <c r="F134" s="22"/>
      <c r="H134" s="20" t="s">
        <v>400</v>
      </c>
      <c r="I134" s="15" t="s">
        <v>401</v>
      </c>
      <c r="J134" s="15" t="s">
        <v>402</v>
      </c>
      <c r="K134" s="25"/>
      <c r="L134" s="2" t="s">
        <v>387</v>
      </c>
      <c r="M134" s="2" t="s">
        <v>387</v>
      </c>
      <c r="N134" s="1">
        <f t="shared" si="14"/>
        <v>11</v>
      </c>
      <c r="O134" s="44">
        <f t="shared" si="15"/>
        <v>10</v>
      </c>
    </row>
    <row r="135" spans="1:15" ht="15.75" thickBot="1">
      <c r="A135" s="7" t="s">
        <v>390</v>
      </c>
      <c r="B135" s="7" t="s">
        <v>390</v>
      </c>
      <c r="C135" s="4" t="s">
        <v>724</v>
      </c>
      <c r="D135" s="4" t="s">
        <v>10</v>
      </c>
      <c r="E135" s="17" t="s">
        <v>97</v>
      </c>
      <c r="F135" s="22"/>
      <c r="H135" s="20" t="s">
        <v>400</v>
      </c>
      <c r="I135" s="15" t="s">
        <v>401</v>
      </c>
      <c r="J135" s="15" t="s">
        <v>402</v>
      </c>
      <c r="K135" s="25"/>
      <c r="L135" s="2" t="s">
        <v>387</v>
      </c>
      <c r="M135" s="2" t="s">
        <v>387</v>
      </c>
      <c r="N135" s="1" t="str">
        <f t="shared" si="14"/>
        <v>FA</v>
      </c>
      <c r="O135" s="44">
        <f t="shared" si="15"/>
        <v>9</v>
      </c>
    </row>
    <row r="136" spans="1:15" ht="15.75" thickBot="1">
      <c r="A136" s="7" t="s">
        <v>390</v>
      </c>
      <c r="B136" s="7" t="s">
        <v>390</v>
      </c>
      <c r="C136" s="4" t="s">
        <v>816</v>
      </c>
      <c r="D136" s="4" t="s">
        <v>2</v>
      </c>
      <c r="E136" s="17" t="s">
        <v>97</v>
      </c>
      <c r="F136" s="22"/>
      <c r="H136" s="20" t="s">
        <v>400</v>
      </c>
      <c r="I136" s="15" t="s">
        <v>401</v>
      </c>
      <c r="J136" s="15" t="s">
        <v>402</v>
      </c>
      <c r="K136" s="25"/>
      <c r="L136" s="2" t="s">
        <v>387</v>
      </c>
      <c r="M136" s="2" t="s">
        <v>387</v>
      </c>
      <c r="N136" s="1" t="str">
        <f t="shared" si="14"/>
        <v>FA</v>
      </c>
      <c r="O136" s="44">
        <f t="shared" si="15"/>
        <v>9</v>
      </c>
    </row>
    <row r="137" spans="1:15" ht="15.75" thickBot="1">
      <c r="A137" s="7" t="s">
        <v>390</v>
      </c>
      <c r="B137" s="7" t="s">
        <v>390</v>
      </c>
      <c r="C137" s="4" t="s">
        <v>775</v>
      </c>
      <c r="D137" s="4" t="s">
        <v>10</v>
      </c>
      <c r="E137" s="17" t="s">
        <v>97</v>
      </c>
      <c r="F137" s="22"/>
      <c r="H137" s="20" t="s">
        <v>400</v>
      </c>
      <c r="I137" s="15" t="s">
        <v>401</v>
      </c>
      <c r="J137" s="15" t="s">
        <v>402</v>
      </c>
      <c r="K137" s="25"/>
      <c r="L137" s="2" t="s">
        <v>387</v>
      </c>
      <c r="M137" s="2" t="s">
        <v>387</v>
      </c>
      <c r="N137" s="1" t="str">
        <f t="shared" si="14"/>
        <v>FA</v>
      </c>
      <c r="O137" s="44">
        <f t="shared" si="15"/>
        <v>9</v>
      </c>
    </row>
    <row r="138" spans="1:15" ht="15.75" thickBot="1">
      <c r="A138" s="7" t="s">
        <v>390</v>
      </c>
      <c r="B138" s="7" t="s">
        <v>390</v>
      </c>
      <c r="C138" s="4" t="s">
        <v>817</v>
      </c>
      <c r="D138" s="4" t="s">
        <v>2</v>
      </c>
      <c r="E138" s="17" t="s">
        <v>97</v>
      </c>
      <c r="F138" s="22"/>
      <c r="H138" s="20" t="s">
        <v>400</v>
      </c>
      <c r="I138" s="15" t="s">
        <v>401</v>
      </c>
      <c r="J138" s="15" t="s">
        <v>402</v>
      </c>
      <c r="K138" s="25"/>
      <c r="L138" s="2" t="s">
        <v>387</v>
      </c>
      <c r="M138" s="2" t="s">
        <v>387</v>
      </c>
      <c r="N138" s="1" t="str">
        <f t="shared" si="14"/>
        <v>FA</v>
      </c>
      <c r="O138" s="44">
        <f t="shared" si="15"/>
        <v>9</v>
      </c>
    </row>
    <row r="139" spans="1:15" ht="15.75" thickBot="1">
      <c r="A139" s="7" t="s">
        <v>390</v>
      </c>
      <c r="B139" s="7" t="s">
        <v>390</v>
      </c>
      <c r="C139" s="4" t="s">
        <v>818</v>
      </c>
      <c r="D139" s="4" t="s">
        <v>10</v>
      </c>
      <c r="E139" s="17" t="s">
        <v>97</v>
      </c>
      <c r="F139" s="22"/>
      <c r="H139" s="20" t="s">
        <v>400</v>
      </c>
      <c r="I139" s="15" t="s">
        <v>401</v>
      </c>
      <c r="J139" s="15" t="s">
        <v>402</v>
      </c>
      <c r="K139" s="25"/>
      <c r="L139" s="2" t="s">
        <v>387</v>
      </c>
      <c r="M139" s="2" t="s">
        <v>387</v>
      </c>
      <c r="N139" s="1" t="str">
        <f t="shared" si="14"/>
        <v>FA</v>
      </c>
      <c r="O139" s="44">
        <f t="shared" si="15"/>
        <v>9</v>
      </c>
    </row>
    <row r="140" spans="1:15" ht="15.75" thickBot="1">
      <c r="A140" s="7" t="s">
        <v>390</v>
      </c>
      <c r="B140" s="7" t="s">
        <v>390</v>
      </c>
      <c r="C140" s="4" t="s">
        <v>819</v>
      </c>
      <c r="D140" s="4" t="s">
        <v>2</v>
      </c>
      <c r="E140" s="17" t="s">
        <v>97</v>
      </c>
      <c r="F140" s="22"/>
      <c r="H140" s="20" t="s">
        <v>400</v>
      </c>
      <c r="I140" s="15" t="s">
        <v>401</v>
      </c>
      <c r="J140" s="15" t="s">
        <v>402</v>
      </c>
      <c r="K140" s="25"/>
      <c r="L140" s="2" t="s">
        <v>387</v>
      </c>
      <c r="M140" s="2" t="s">
        <v>387</v>
      </c>
      <c r="N140" s="1" t="str">
        <f t="shared" si="14"/>
        <v>FA</v>
      </c>
      <c r="O140" s="44">
        <f t="shared" si="15"/>
        <v>9</v>
      </c>
    </row>
    <row r="141" spans="1:15" ht="15.75" thickBot="1">
      <c r="A141" s="7">
        <f>VLOOKUP(C141,'2021 Draft'!$A$2:$F$172,6,FALSE)</f>
        <v>92</v>
      </c>
      <c r="B141" s="7">
        <f>VLOOKUP(C141,'2021 Draft'!$A$2:$F$172,5,FALSE)</f>
        <v>10</v>
      </c>
      <c r="C141" s="4" t="s">
        <v>504</v>
      </c>
      <c r="D141" s="4" t="s">
        <v>2</v>
      </c>
      <c r="E141" s="17" t="s">
        <v>97</v>
      </c>
      <c r="F141" s="22"/>
      <c r="H141" s="20" t="s">
        <v>401</v>
      </c>
      <c r="I141" s="15" t="s">
        <v>402</v>
      </c>
      <c r="J141" s="15" t="s">
        <v>387</v>
      </c>
      <c r="K141" s="25"/>
      <c r="L141" s="2" t="s">
        <v>387</v>
      </c>
      <c r="M141" s="2">
        <v>11</v>
      </c>
      <c r="N141" s="1">
        <f t="shared" si="14"/>
        <v>10</v>
      </c>
      <c r="O141" s="44">
        <f t="shared" si="15"/>
        <v>9</v>
      </c>
    </row>
    <row r="142" spans="1:15" ht="15.75" thickBot="1">
      <c r="A142" s="14"/>
      <c r="B142" s="14"/>
      <c r="C142" s="14"/>
      <c r="D142" s="14"/>
      <c r="E142" s="18"/>
      <c r="F142" s="18"/>
      <c r="H142" s="18"/>
      <c r="I142" s="18"/>
      <c r="J142" s="18"/>
      <c r="K142" s="18"/>
      <c r="L142" s="18"/>
      <c r="M142" s="18"/>
      <c r="N142" s="18"/>
      <c r="O142" s="18"/>
    </row>
    <row r="143" spans="1:15" ht="15.75" thickBot="1">
      <c r="A143" s="7">
        <f>VLOOKUP(C143,'2021 Draft'!$A$2:$F$172,6,FALSE)</f>
        <v>57</v>
      </c>
      <c r="B143" s="7">
        <f>VLOOKUP(C143,'2021 Draft'!$A$2:$F$172,5,FALSE)</f>
        <v>6</v>
      </c>
      <c r="C143" s="4" t="s">
        <v>172</v>
      </c>
      <c r="D143" s="8" t="s">
        <v>5</v>
      </c>
      <c r="E143" s="17" t="s">
        <v>181</v>
      </c>
      <c r="F143" s="22"/>
      <c r="H143" s="20" t="s">
        <v>400</v>
      </c>
      <c r="I143" s="15" t="s">
        <v>401</v>
      </c>
      <c r="J143" s="15" t="s">
        <v>402</v>
      </c>
      <c r="K143" s="25"/>
      <c r="L143" s="2" t="s">
        <v>387</v>
      </c>
      <c r="M143" s="2" t="s">
        <v>387</v>
      </c>
      <c r="N143" s="1">
        <f t="shared" ref="N143:N158" si="16">B143</f>
        <v>6</v>
      </c>
      <c r="O143" s="44">
        <f>IF(A143="FA",9,N143-1)</f>
        <v>5</v>
      </c>
    </row>
    <row r="144" spans="1:15" ht="15.75" thickBot="1">
      <c r="A144" s="7">
        <f>VLOOKUP(C144,'2021 Draft'!$A$2:$F$172,6,FALSE)</f>
        <v>104</v>
      </c>
      <c r="B144" s="7">
        <f>VLOOKUP(C144,'2021 Draft'!$A$2:$F$172,5,FALSE)</f>
        <v>11</v>
      </c>
      <c r="C144" s="4" t="s">
        <v>62</v>
      </c>
      <c r="D144" s="4" t="s">
        <v>10</v>
      </c>
      <c r="E144" s="17" t="s">
        <v>181</v>
      </c>
      <c r="F144" s="22"/>
      <c r="H144" s="20" t="s">
        <v>400</v>
      </c>
      <c r="I144" s="15" t="s">
        <v>401</v>
      </c>
      <c r="J144" s="15" t="s">
        <v>402</v>
      </c>
      <c r="K144" s="25"/>
      <c r="L144" s="2" t="s">
        <v>387</v>
      </c>
      <c r="M144" s="2" t="s">
        <v>387</v>
      </c>
      <c r="N144" s="1">
        <f t="shared" si="16"/>
        <v>11</v>
      </c>
      <c r="O144" s="44">
        <f t="shared" ref="O144:O159" si="17">IF(A144="FA",9,N144-1)</f>
        <v>10</v>
      </c>
    </row>
    <row r="145" spans="1:15" ht="15.75" thickBot="1">
      <c r="A145" s="7" t="s">
        <v>390</v>
      </c>
      <c r="B145" s="7" t="s">
        <v>390</v>
      </c>
      <c r="C145" s="4" t="s">
        <v>824</v>
      </c>
      <c r="D145" s="4" t="s">
        <v>10</v>
      </c>
      <c r="E145" s="17" t="s">
        <v>181</v>
      </c>
      <c r="F145" s="22"/>
      <c r="H145" s="20" t="s">
        <v>400</v>
      </c>
      <c r="I145" s="15" t="s">
        <v>401</v>
      </c>
      <c r="J145" s="15" t="s">
        <v>402</v>
      </c>
      <c r="K145" s="25"/>
      <c r="L145" s="2" t="s">
        <v>387</v>
      </c>
      <c r="M145" s="2" t="s">
        <v>387</v>
      </c>
      <c r="N145" s="1" t="str">
        <f t="shared" si="16"/>
        <v>FA</v>
      </c>
      <c r="O145" s="44">
        <f t="shared" si="17"/>
        <v>9</v>
      </c>
    </row>
    <row r="146" spans="1:15" ht="15.75" thickBot="1">
      <c r="A146" s="7">
        <f>VLOOKUP(C146,'2021 Draft'!$A$2:$F$172,6,FALSE)</f>
        <v>17</v>
      </c>
      <c r="B146" s="7">
        <f>VLOOKUP(C146,'2021 Draft'!$A$2:$F$172,5,FALSE)</f>
        <v>2</v>
      </c>
      <c r="C146" s="4" t="s">
        <v>115</v>
      </c>
      <c r="D146" s="4" t="s">
        <v>2</v>
      </c>
      <c r="E146" s="17" t="s">
        <v>181</v>
      </c>
      <c r="F146" s="22"/>
      <c r="H146" s="20" t="s">
        <v>400</v>
      </c>
      <c r="I146" s="15" t="s">
        <v>401</v>
      </c>
      <c r="J146" s="15" t="s">
        <v>402</v>
      </c>
      <c r="K146" s="25"/>
      <c r="L146" s="2" t="s">
        <v>387</v>
      </c>
      <c r="M146" s="2" t="s">
        <v>387</v>
      </c>
      <c r="N146" s="1">
        <f t="shared" si="16"/>
        <v>2</v>
      </c>
      <c r="O146" s="44">
        <f t="shared" si="17"/>
        <v>1</v>
      </c>
    </row>
    <row r="147" spans="1:15" ht="15.75" thickBot="1">
      <c r="A147" s="7">
        <f>VLOOKUP(C147,'2021 Draft'!$A$2:$F$172,6,FALSE)</f>
        <v>95</v>
      </c>
      <c r="B147" s="7">
        <f>VLOOKUP(C147,'2021 Draft'!$A$2:$F$172,5,FALSE)</f>
        <v>10</v>
      </c>
      <c r="C147" s="4" t="s">
        <v>503</v>
      </c>
      <c r="D147" s="4" t="s">
        <v>2</v>
      </c>
      <c r="E147" s="17" t="s">
        <v>181</v>
      </c>
      <c r="F147" s="22"/>
      <c r="H147" s="20" t="s">
        <v>401</v>
      </c>
      <c r="I147" s="15" t="s">
        <v>402</v>
      </c>
      <c r="J147" s="15" t="s">
        <v>387</v>
      </c>
      <c r="K147" s="25"/>
      <c r="L147" s="2">
        <v>12</v>
      </c>
      <c r="M147" s="2">
        <v>11</v>
      </c>
      <c r="N147" s="1">
        <f t="shared" si="16"/>
        <v>10</v>
      </c>
      <c r="O147" s="44">
        <f t="shared" si="17"/>
        <v>9</v>
      </c>
    </row>
    <row r="148" spans="1:15" ht="15.75" thickBot="1">
      <c r="A148" s="7">
        <f>VLOOKUP(C148,'2021 Draft'!$A$2:$F$172,6,FALSE)</f>
        <v>44</v>
      </c>
      <c r="B148" s="7">
        <f>VLOOKUP(C148,'2021 Draft'!$A$2:$F$172,5,FALSE)</f>
        <v>5</v>
      </c>
      <c r="C148" s="4" t="s">
        <v>762</v>
      </c>
      <c r="D148" s="4" t="s">
        <v>27</v>
      </c>
      <c r="E148" s="17" t="s">
        <v>181</v>
      </c>
      <c r="F148" s="22"/>
      <c r="H148" s="20" t="s">
        <v>400</v>
      </c>
      <c r="I148" s="15" t="s">
        <v>401</v>
      </c>
      <c r="J148" s="15" t="s">
        <v>402</v>
      </c>
      <c r="K148" s="25"/>
      <c r="L148" s="2" t="s">
        <v>387</v>
      </c>
      <c r="M148" s="2" t="s">
        <v>387</v>
      </c>
      <c r="N148" s="1">
        <f t="shared" si="16"/>
        <v>5</v>
      </c>
      <c r="O148" s="44">
        <f t="shared" si="17"/>
        <v>4</v>
      </c>
    </row>
    <row r="149" spans="1:15" ht="15.75" thickBot="1">
      <c r="A149" s="7">
        <f>VLOOKUP(C149,'2021 Draft'!$A$2:$F$172,6,FALSE)</f>
        <v>117</v>
      </c>
      <c r="B149" s="7">
        <f>VLOOKUP(C149,'2021 Draft'!$A$2:$F$172,5,FALSE)</f>
        <v>12</v>
      </c>
      <c r="C149" s="4" t="s">
        <v>776</v>
      </c>
      <c r="D149" s="4" t="s">
        <v>2</v>
      </c>
      <c r="E149" s="17" t="s">
        <v>181</v>
      </c>
      <c r="F149" s="22"/>
      <c r="H149" s="20" t="s">
        <v>400</v>
      </c>
      <c r="I149" s="15" t="s">
        <v>401</v>
      </c>
      <c r="J149" s="15" t="s">
        <v>402</v>
      </c>
      <c r="K149" s="25"/>
      <c r="L149" s="2" t="s">
        <v>387</v>
      </c>
      <c r="M149" s="2" t="s">
        <v>387</v>
      </c>
      <c r="N149" s="1">
        <f t="shared" si="16"/>
        <v>12</v>
      </c>
      <c r="O149" s="44">
        <f t="shared" si="17"/>
        <v>11</v>
      </c>
    </row>
    <row r="150" spans="1:15" ht="15.75" thickBot="1">
      <c r="A150" s="7" t="s">
        <v>390</v>
      </c>
      <c r="B150" s="7" t="s">
        <v>390</v>
      </c>
      <c r="C150" s="4" t="s">
        <v>710</v>
      </c>
      <c r="D150" s="4" t="s">
        <v>2</v>
      </c>
      <c r="E150" s="17" t="s">
        <v>181</v>
      </c>
      <c r="F150" s="22"/>
      <c r="H150" s="20" t="s">
        <v>400</v>
      </c>
      <c r="I150" s="15" t="s">
        <v>401</v>
      </c>
      <c r="J150" s="15" t="s">
        <v>402</v>
      </c>
      <c r="K150" s="25"/>
      <c r="L150" s="2" t="s">
        <v>387</v>
      </c>
      <c r="M150" s="2" t="s">
        <v>387</v>
      </c>
      <c r="N150" s="1" t="str">
        <f t="shared" si="16"/>
        <v>FA</v>
      </c>
      <c r="O150" s="44">
        <f t="shared" si="17"/>
        <v>9</v>
      </c>
    </row>
    <row r="151" spans="1:15" ht="15.75" thickBot="1">
      <c r="A151" s="7" t="s">
        <v>390</v>
      </c>
      <c r="B151" s="7" t="s">
        <v>390</v>
      </c>
      <c r="C151" s="4" t="s">
        <v>825</v>
      </c>
      <c r="D151" s="4" t="s">
        <v>687</v>
      </c>
      <c r="E151" s="17" t="s">
        <v>181</v>
      </c>
      <c r="F151" s="22"/>
      <c r="H151" s="20" t="s">
        <v>400</v>
      </c>
      <c r="I151" s="15" t="s">
        <v>401</v>
      </c>
      <c r="J151" s="15" t="s">
        <v>402</v>
      </c>
      <c r="K151" s="25"/>
      <c r="L151" s="2" t="s">
        <v>387</v>
      </c>
      <c r="M151" s="2" t="s">
        <v>387</v>
      </c>
      <c r="N151" s="1" t="str">
        <f t="shared" si="16"/>
        <v>FA</v>
      </c>
      <c r="O151" s="44">
        <f t="shared" si="17"/>
        <v>9</v>
      </c>
    </row>
    <row r="152" spans="1:15" ht="15.75" thickBot="1">
      <c r="A152" s="7" t="s">
        <v>390</v>
      </c>
      <c r="B152" s="7" t="s">
        <v>390</v>
      </c>
      <c r="C152" s="4" t="s">
        <v>184</v>
      </c>
      <c r="D152" s="4" t="s">
        <v>2</v>
      </c>
      <c r="E152" s="17" t="s">
        <v>181</v>
      </c>
      <c r="F152" s="22"/>
      <c r="H152" s="20" t="s">
        <v>400</v>
      </c>
      <c r="I152" s="15" t="s">
        <v>401</v>
      </c>
      <c r="J152" s="15" t="s">
        <v>402</v>
      </c>
      <c r="K152" s="25"/>
      <c r="L152" s="2" t="s">
        <v>387</v>
      </c>
      <c r="M152" s="2" t="s">
        <v>387</v>
      </c>
      <c r="N152" s="1" t="str">
        <f t="shared" si="16"/>
        <v>FA</v>
      </c>
      <c r="O152" s="44">
        <f t="shared" si="17"/>
        <v>9</v>
      </c>
    </row>
    <row r="153" spans="1:15" ht="15.75" thickBot="1">
      <c r="A153" s="7" t="s">
        <v>390</v>
      </c>
      <c r="B153" s="7" t="s">
        <v>390</v>
      </c>
      <c r="C153" s="4" t="s">
        <v>722</v>
      </c>
      <c r="D153" s="4" t="s">
        <v>2</v>
      </c>
      <c r="E153" s="17" t="s">
        <v>181</v>
      </c>
      <c r="F153" s="22"/>
      <c r="H153" s="20" t="s">
        <v>400</v>
      </c>
      <c r="I153" s="15" t="s">
        <v>401</v>
      </c>
      <c r="J153" s="15" t="s">
        <v>402</v>
      </c>
      <c r="K153" s="25"/>
      <c r="L153" s="2" t="s">
        <v>387</v>
      </c>
      <c r="M153" s="2" t="s">
        <v>387</v>
      </c>
      <c r="N153" s="1" t="str">
        <f t="shared" si="16"/>
        <v>FA</v>
      </c>
      <c r="O153" s="44">
        <f t="shared" si="17"/>
        <v>9</v>
      </c>
    </row>
    <row r="154" spans="1:15" ht="15.75" thickBot="1">
      <c r="A154" s="7" t="s">
        <v>390</v>
      </c>
      <c r="B154" s="7" t="s">
        <v>390</v>
      </c>
      <c r="C154" s="4" t="s">
        <v>412</v>
      </c>
      <c r="D154" s="4" t="s">
        <v>10</v>
      </c>
      <c r="E154" s="17" t="s">
        <v>181</v>
      </c>
      <c r="F154" s="22"/>
      <c r="H154" s="20" t="s">
        <v>400</v>
      </c>
      <c r="I154" s="15" t="s">
        <v>401</v>
      </c>
      <c r="J154" s="15" t="s">
        <v>402</v>
      </c>
      <c r="K154" s="25"/>
      <c r="L154" s="2" t="s">
        <v>387</v>
      </c>
      <c r="M154" s="2" t="s">
        <v>387</v>
      </c>
      <c r="N154" s="1" t="str">
        <f t="shared" si="16"/>
        <v>FA</v>
      </c>
      <c r="O154" s="44">
        <f t="shared" si="17"/>
        <v>9</v>
      </c>
    </row>
    <row r="155" spans="1:15" ht="15.75" thickBot="1">
      <c r="A155" s="7" t="s">
        <v>390</v>
      </c>
      <c r="B155" s="7" t="s">
        <v>390</v>
      </c>
      <c r="C155" s="4" t="s">
        <v>826</v>
      </c>
      <c r="D155" s="4" t="s">
        <v>2</v>
      </c>
      <c r="E155" s="17" t="s">
        <v>181</v>
      </c>
      <c r="F155" s="22"/>
      <c r="H155" s="20" t="s">
        <v>400</v>
      </c>
      <c r="I155" s="15" t="s">
        <v>401</v>
      </c>
      <c r="J155" s="15" t="s">
        <v>402</v>
      </c>
      <c r="K155" s="25"/>
      <c r="L155" s="2" t="s">
        <v>387</v>
      </c>
      <c r="M155" s="2" t="s">
        <v>387</v>
      </c>
      <c r="N155" s="1" t="str">
        <f t="shared" si="16"/>
        <v>FA</v>
      </c>
      <c r="O155" s="44">
        <f t="shared" si="17"/>
        <v>9</v>
      </c>
    </row>
    <row r="156" spans="1:15" ht="15.75" thickBot="1">
      <c r="A156" s="7" t="s">
        <v>390</v>
      </c>
      <c r="B156" s="7" t="s">
        <v>390</v>
      </c>
      <c r="C156" s="4" t="s">
        <v>484</v>
      </c>
      <c r="D156" s="4" t="s">
        <v>10</v>
      </c>
      <c r="E156" s="17" t="s">
        <v>181</v>
      </c>
      <c r="F156" s="22"/>
      <c r="H156" s="20" t="s">
        <v>400</v>
      </c>
      <c r="I156" s="15" t="s">
        <v>401</v>
      </c>
      <c r="J156" s="15" t="s">
        <v>402</v>
      </c>
      <c r="K156" s="25"/>
      <c r="L156" s="2" t="s">
        <v>387</v>
      </c>
      <c r="M156" s="2" t="s">
        <v>387</v>
      </c>
      <c r="N156" s="1" t="str">
        <f t="shared" si="16"/>
        <v>FA</v>
      </c>
      <c r="O156" s="44">
        <f t="shared" si="17"/>
        <v>9</v>
      </c>
    </row>
    <row r="157" spans="1:15" ht="15.75" thickBot="1">
      <c r="A157" s="7" t="s">
        <v>390</v>
      </c>
      <c r="B157" s="7" t="s">
        <v>390</v>
      </c>
      <c r="C157" s="4" t="s">
        <v>449</v>
      </c>
      <c r="D157" s="4" t="s">
        <v>687</v>
      </c>
      <c r="E157" s="17" t="s">
        <v>181</v>
      </c>
      <c r="F157" s="22"/>
      <c r="H157" s="20" t="s">
        <v>400</v>
      </c>
      <c r="I157" s="15" t="s">
        <v>401</v>
      </c>
      <c r="J157" s="15" t="s">
        <v>402</v>
      </c>
      <c r="K157" s="25"/>
      <c r="L157" s="2" t="s">
        <v>387</v>
      </c>
      <c r="M157" s="2" t="s">
        <v>387</v>
      </c>
      <c r="N157" s="1" t="str">
        <f t="shared" si="16"/>
        <v>FA</v>
      </c>
      <c r="O157" s="44">
        <f t="shared" si="17"/>
        <v>9</v>
      </c>
    </row>
    <row r="158" spans="1:15" ht="15.75" thickBot="1">
      <c r="A158" s="7" t="s">
        <v>390</v>
      </c>
      <c r="B158" s="7" t="s">
        <v>390</v>
      </c>
      <c r="C158" s="4" t="s">
        <v>639</v>
      </c>
      <c r="D158" s="4" t="s">
        <v>10</v>
      </c>
      <c r="E158" s="17" t="s">
        <v>181</v>
      </c>
      <c r="F158" s="22"/>
      <c r="H158" s="20" t="s">
        <v>400</v>
      </c>
      <c r="I158" s="15" t="s">
        <v>401</v>
      </c>
      <c r="J158" s="15" t="s">
        <v>402</v>
      </c>
      <c r="K158" s="25"/>
      <c r="L158" s="2" t="s">
        <v>387</v>
      </c>
      <c r="M158" s="2" t="s">
        <v>387</v>
      </c>
      <c r="N158" s="1" t="str">
        <f t="shared" si="16"/>
        <v>FA</v>
      </c>
      <c r="O158" s="44">
        <f t="shared" si="17"/>
        <v>9</v>
      </c>
    </row>
    <row r="159" spans="1:15" ht="15.75" thickBot="1">
      <c r="A159" s="7">
        <f>VLOOKUP(C159,'2021 Draft'!$A$2:$F$172,6,FALSE)</f>
        <v>157</v>
      </c>
      <c r="B159" s="7">
        <f>VLOOKUP(C159,'2021 Draft'!$A$2:$F$172,5,FALSE)</f>
        <v>16</v>
      </c>
      <c r="C159" s="4" t="s">
        <v>697</v>
      </c>
      <c r="D159" s="4" t="s">
        <v>10</v>
      </c>
      <c r="E159" s="17" t="s">
        <v>181</v>
      </c>
      <c r="F159" s="22"/>
      <c r="H159" s="20" t="s">
        <v>400</v>
      </c>
      <c r="I159" s="15" t="s">
        <v>401</v>
      </c>
      <c r="J159" s="15" t="s">
        <v>402</v>
      </c>
      <c r="K159" s="25"/>
      <c r="L159" s="2" t="s">
        <v>387</v>
      </c>
      <c r="M159" s="2" t="s">
        <v>387</v>
      </c>
      <c r="N159" s="1">
        <f t="shared" ref="N159" si="18">B159</f>
        <v>16</v>
      </c>
      <c r="O159" s="44">
        <f t="shared" si="17"/>
        <v>15</v>
      </c>
    </row>
    <row r="160" spans="1:15" ht="15.75" thickBot="1">
      <c r="A160" s="14"/>
      <c r="B160" s="14"/>
      <c r="C160" s="14"/>
      <c r="D160" s="14"/>
      <c r="E160" s="18"/>
      <c r="F160" s="18"/>
      <c r="H160" s="18"/>
      <c r="I160" s="18"/>
      <c r="J160" s="18"/>
      <c r="K160" s="18"/>
      <c r="L160" s="18"/>
      <c r="M160" s="18"/>
      <c r="N160" s="18"/>
      <c r="O160" s="18"/>
    </row>
    <row r="161" spans="1:15" ht="15.75" thickBot="1">
      <c r="A161" s="7">
        <f>VLOOKUP(C161,'2021 Draft'!$A$2:$F$172,6,FALSE)</f>
        <v>55</v>
      </c>
      <c r="B161" s="7">
        <f>VLOOKUP(C161,'2021 Draft'!$A$2:$F$172,5,FALSE)</f>
        <v>6</v>
      </c>
      <c r="C161" s="4" t="s">
        <v>162</v>
      </c>
      <c r="D161" s="8" t="s">
        <v>5</v>
      </c>
      <c r="E161" s="17" t="s">
        <v>37</v>
      </c>
      <c r="F161" s="22"/>
      <c r="H161" s="20" t="s">
        <v>400</v>
      </c>
      <c r="I161" s="15" t="s">
        <v>401</v>
      </c>
      <c r="J161" s="15" t="s">
        <v>402</v>
      </c>
      <c r="K161" s="25"/>
      <c r="L161" s="2" t="s">
        <v>387</v>
      </c>
      <c r="M161" s="2" t="s">
        <v>387</v>
      </c>
      <c r="N161" s="1">
        <f t="shared" ref="N161:N177" si="19">B161</f>
        <v>6</v>
      </c>
      <c r="O161" s="44">
        <f>IF(A161="FA",9,N161-1)</f>
        <v>5</v>
      </c>
    </row>
    <row r="162" spans="1:15" ht="15.75" thickBot="1">
      <c r="A162" s="7" t="s">
        <v>390</v>
      </c>
      <c r="B162" s="7" t="s">
        <v>390</v>
      </c>
      <c r="C162" s="4" t="s">
        <v>820</v>
      </c>
      <c r="D162" s="4" t="s">
        <v>10</v>
      </c>
      <c r="E162" s="17" t="s">
        <v>37</v>
      </c>
      <c r="F162" s="22"/>
      <c r="H162" s="20" t="s">
        <v>400</v>
      </c>
      <c r="I162" s="15" t="s">
        <v>401</v>
      </c>
      <c r="J162" s="15" t="s">
        <v>402</v>
      </c>
      <c r="K162" s="25"/>
      <c r="L162" s="2" t="s">
        <v>387</v>
      </c>
      <c r="M162" s="2" t="s">
        <v>387</v>
      </c>
      <c r="N162" s="1" t="str">
        <f t="shared" si="19"/>
        <v>FA</v>
      </c>
      <c r="O162" s="44">
        <f t="shared" ref="O162:O177" si="20">IF(A162="FA",9,N162-1)</f>
        <v>9</v>
      </c>
    </row>
    <row r="163" spans="1:15" ht="15.75" thickBot="1">
      <c r="A163" s="7" t="s">
        <v>390</v>
      </c>
      <c r="B163" s="7" t="s">
        <v>390</v>
      </c>
      <c r="C163" s="4" t="s">
        <v>511</v>
      </c>
      <c r="D163" s="4" t="s">
        <v>10</v>
      </c>
      <c r="E163" s="17" t="s">
        <v>37</v>
      </c>
      <c r="F163" s="22"/>
      <c r="H163" s="20" t="s">
        <v>400</v>
      </c>
      <c r="I163" s="15" t="s">
        <v>401</v>
      </c>
      <c r="J163" s="15" t="s">
        <v>402</v>
      </c>
      <c r="K163" s="25"/>
      <c r="L163" s="2" t="s">
        <v>387</v>
      </c>
      <c r="M163" s="2" t="s">
        <v>387</v>
      </c>
      <c r="N163" s="1" t="str">
        <f t="shared" si="19"/>
        <v>FA</v>
      </c>
      <c r="O163" s="44">
        <f t="shared" si="20"/>
        <v>9</v>
      </c>
    </row>
    <row r="164" spans="1:15" ht="15.75" thickBot="1">
      <c r="A164" s="7">
        <f>VLOOKUP(C164,'2021 Draft'!$A$2:$F$172,6,FALSE)</f>
        <v>6</v>
      </c>
      <c r="B164" s="7">
        <f>VLOOKUP(C164,'2021 Draft'!$A$2:$F$172,5,FALSE)</f>
        <v>1</v>
      </c>
      <c r="C164" s="4" t="s">
        <v>168</v>
      </c>
      <c r="D164" s="4" t="s">
        <v>2</v>
      </c>
      <c r="E164" s="17" t="s">
        <v>37</v>
      </c>
      <c r="F164" s="22"/>
      <c r="H164" s="20" t="s">
        <v>400</v>
      </c>
      <c r="I164" s="15" t="s">
        <v>401</v>
      </c>
      <c r="J164" s="15" t="s">
        <v>402</v>
      </c>
      <c r="K164" s="25"/>
      <c r="L164" s="2" t="s">
        <v>387</v>
      </c>
      <c r="M164" s="2" t="s">
        <v>387</v>
      </c>
      <c r="N164" s="1">
        <f t="shared" si="19"/>
        <v>1</v>
      </c>
      <c r="O164" s="44">
        <f t="shared" si="20"/>
        <v>0</v>
      </c>
    </row>
    <row r="165" spans="1:15" ht="15.75" thickBot="1">
      <c r="A165" s="7">
        <f>VLOOKUP(C165,'2021 Draft'!$A$2:$F$172,6,FALSE)</f>
        <v>26</v>
      </c>
      <c r="B165" s="7">
        <f>VLOOKUP(C165,'2021 Draft'!$A$2:$F$172,5,FALSE)</f>
        <v>3</v>
      </c>
      <c r="C165" s="4" t="s">
        <v>425</v>
      </c>
      <c r="D165" s="4" t="s">
        <v>2</v>
      </c>
      <c r="E165" s="17" t="s">
        <v>37</v>
      </c>
      <c r="F165" s="22"/>
      <c r="H165" s="20" t="s">
        <v>400</v>
      </c>
      <c r="I165" s="15" t="s">
        <v>401</v>
      </c>
      <c r="J165" s="15" t="s">
        <v>402</v>
      </c>
      <c r="K165" s="25"/>
      <c r="L165" s="2" t="s">
        <v>387</v>
      </c>
      <c r="M165" s="2" t="s">
        <v>387</v>
      </c>
      <c r="N165" s="1">
        <f t="shared" si="19"/>
        <v>3</v>
      </c>
      <c r="O165" s="44">
        <f t="shared" si="20"/>
        <v>2</v>
      </c>
    </row>
    <row r="166" spans="1:15" ht="15.75" thickBot="1">
      <c r="A166" s="7" t="s">
        <v>390</v>
      </c>
      <c r="B166" s="7" t="s">
        <v>390</v>
      </c>
      <c r="C166" s="4" t="s">
        <v>608</v>
      </c>
      <c r="D166" s="4" t="s">
        <v>27</v>
      </c>
      <c r="E166" s="17" t="s">
        <v>37</v>
      </c>
      <c r="F166" s="22"/>
      <c r="H166" s="20" t="s">
        <v>400</v>
      </c>
      <c r="I166" s="15" t="s">
        <v>401</v>
      </c>
      <c r="J166" s="15" t="s">
        <v>402</v>
      </c>
      <c r="K166" s="25"/>
      <c r="L166" s="2" t="s">
        <v>387</v>
      </c>
      <c r="M166" s="2" t="s">
        <v>387</v>
      </c>
      <c r="N166" s="1" t="str">
        <f t="shared" si="19"/>
        <v>FA</v>
      </c>
      <c r="O166" s="44">
        <f t="shared" si="20"/>
        <v>9</v>
      </c>
    </row>
    <row r="167" spans="1:15" ht="15.75" thickBot="1">
      <c r="A167" s="7">
        <f>VLOOKUP(C167,'2021 Draft'!$A$2:$F$172,6,FALSE)</f>
        <v>4</v>
      </c>
      <c r="B167" s="7">
        <f>VLOOKUP(C167,'2021 Draft'!$A$2:$F$172,5,FALSE)</f>
        <v>1</v>
      </c>
      <c r="C167" s="4" t="s">
        <v>167</v>
      </c>
      <c r="D167" s="4" t="s">
        <v>10</v>
      </c>
      <c r="E167" s="17" t="s">
        <v>37</v>
      </c>
      <c r="F167" s="22"/>
      <c r="H167" s="20" t="s">
        <v>400</v>
      </c>
      <c r="I167" s="15" t="s">
        <v>401</v>
      </c>
      <c r="J167" s="15" t="s">
        <v>402</v>
      </c>
      <c r="K167" s="25"/>
      <c r="L167" s="2" t="s">
        <v>387</v>
      </c>
      <c r="M167" s="2" t="s">
        <v>387</v>
      </c>
      <c r="N167" s="1">
        <f t="shared" si="19"/>
        <v>1</v>
      </c>
      <c r="O167" s="44">
        <f t="shared" si="20"/>
        <v>0</v>
      </c>
    </row>
    <row r="168" spans="1:15" ht="15.75" thickBot="1">
      <c r="A168" s="7">
        <f>VLOOKUP(C168,'2021 Draft'!$A$2:$F$172,6,FALSE)</f>
        <v>37</v>
      </c>
      <c r="B168" s="7">
        <f>VLOOKUP(C168,'2021 Draft'!$A$2:$F$172,5,FALSE)</f>
        <v>4</v>
      </c>
      <c r="C168" s="4" t="s">
        <v>80</v>
      </c>
      <c r="D168" s="4" t="s">
        <v>2</v>
      </c>
      <c r="E168" s="17" t="s">
        <v>37</v>
      </c>
      <c r="F168" s="22"/>
      <c r="H168" s="20" t="s">
        <v>401</v>
      </c>
      <c r="I168" s="15" t="s">
        <v>402</v>
      </c>
      <c r="J168" s="15" t="s">
        <v>387</v>
      </c>
      <c r="K168" s="25"/>
      <c r="L168" s="2" t="s">
        <v>387</v>
      </c>
      <c r="M168" s="2" t="s">
        <v>387</v>
      </c>
      <c r="N168" s="1">
        <f t="shared" si="19"/>
        <v>4</v>
      </c>
      <c r="O168" s="44">
        <f t="shared" si="20"/>
        <v>3</v>
      </c>
    </row>
    <row r="169" spans="1:15" ht="15.75" thickBot="1">
      <c r="A169" s="7" t="s">
        <v>390</v>
      </c>
      <c r="B169" s="7" t="s">
        <v>390</v>
      </c>
      <c r="C169" s="4" t="s">
        <v>821</v>
      </c>
      <c r="D169" s="4" t="s">
        <v>687</v>
      </c>
      <c r="E169" s="17" t="s">
        <v>37</v>
      </c>
      <c r="F169" s="22"/>
      <c r="H169" s="20" t="s">
        <v>400</v>
      </c>
      <c r="I169" s="15" t="s">
        <v>401</v>
      </c>
      <c r="J169" s="15" t="s">
        <v>402</v>
      </c>
      <c r="K169" s="25"/>
      <c r="L169" s="2" t="s">
        <v>387</v>
      </c>
      <c r="M169" s="2" t="s">
        <v>387</v>
      </c>
      <c r="N169" s="1" t="str">
        <f t="shared" si="19"/>
        <v>FA</v>
      </c>
      <c r="O169" s="44">
        <f t="shared" si="20"/>
        <v>9</v>
      </c>
    </row>
    <row r="170" spans="1:15" ht="15.75" thickBot="1">
      <c r="A170" s="7">
        <f>VLOOKUP(C170,'2021 Draft'!$A$2:$F$172,6,FALSE)</f>
        <v>15</v>
      </c>
      <c r="B170" s="7">
        <f>VLOOKUP(C170,'2021 Draft'!$A$2:$F$172,5,FALSE)</f>
        <v>2</v>
      </c>
      <c r="C170" s="4" t="s">
        <v>647</v>
      </c>
      <c r="D170" s="4" t="s">
        <v>27</v>
      </c>
      <c r="E170" s="17" t="s">
        <v>37</v>
      </c>
      <c r="F170" s="22"/>
      <c r="H170" s="20" t="s">
        <v>400</v>
      </c>
      <c r="I170" s="15" t="s">
        <v>401</v>
      </c>
      <c r="J170" s="15" t="s">
        <v>402</v>
      </c>
      <c r="K170" s="25"/>
      <c r="L170" s="2" t="s">
        <v>387</v>
      </c>
      <c r="M170" s="2" t="s">
        <v>387</v>
      </c>
      <c r="N170" s="1">
        <f t="shared" si="19"/>
        <v>2</v>
      </c>
      <c r="O170" s="44">
        <f t="shared" si="20"/>
        <v>1</v>
      </c>
    </row>
    <row r="171" spans="1:15" ht="15.75" thickBot="1">
      <c r="A171" s="7">
        <f>'2021 Draft'!F36</f>
        <v>35</v>
      </c>
      <c r="B171" s="7">
        <f>'2021 Draft'!E36</f>
        <v>4</v>
      </c>
      <c r="C171" s="4" t="s">
        <v>499</v>
      </c>
      <c r="D171" s="4" t="s">
        <v>2</v>
      </c>
      <c r="E171" s="17" t="s">
        <v>37</v>
      </c>
      <c r="F171" s="22"/>
      <c r="H171" s="20" t="s">
        <v>400</v>
      </c>
      <c r="I171" s="15" t="s">
        <v>401</v>
      </c>
      <c r="J171" s="15" t="s">
        <v>402</v>
      </c>
      <c r="K171" s="25"/>
      <c r="L171" s="2" t="s">
        <v>387</v>
      </c>
      <c r="M171" s="2" t="s">
        <v>387</v>
      </c>
      <c r="N171" s="1">
        <f t="shared" si="19"/>
        <v>4</v>
      </c>
      <c r="O171" s="44">
        <f t="shared" si="20"/>
        <v>3</v>
      </c>
    </row>
    <row r="172" spans="1:15" ht="15.75" thickBot="1">
      <c r="A172" s="7">
        <f>VLOOKUP(C172,'2021 Draft'!$A$2:$F$172,6,FALSE)</f>
        <v>46</v>
      </c>
      <c r="B172" s="7">
        <f>VLOOKUP(C172,'2021 Draft'!$A$2:$F$172,5,FALSE)</f>
        <v>5</v>
      </c>
      <c r="C172" s="4" t="s">
        <v>698</v>
      </c>
      <c r="D172" s="4" t="s">
        <v>10</v>
      </c>
      <c r="E172" s="17" t="s">
        <v>37</v>
      </c>
      <c r="F172" s="22"/>
      <c r="H172" s="20" t="s">
        <v>401</v>
      </c>
      <c r="I172" s="15" t="s">
        <v>402</v>
      </c>
      <c r="J172" s="15" t="s">
        <v>387</v>
      </c>
      <c r="K172" s="25"/>
      <c r="L172" s="2" t="s">
        <v>387</v>
      </c>
      <c r="M172" s="2">
        <v>6</v>
      </c>
      <c r="N172" s="1">
        <f t="shared" si="19"/>
        <v>5</v>
      </c>
      <c r="O172" s="44">
        <f t="shared" si="20"/>
        <v>4</v>
      </c>
    </row>
    <row r="173" spans="1:15" ht="15.75" thickBot="1">
      <c r="A173" s="7">
        <f>VLOOKUP(C173,'2021 Draft'!$A$2:$F$172,6,FALSE)</f>
        <v>66</v>
      </c>
      <c r="B173" s="7">
        <f>VLOOKUP(C173,'2021 Draft'!$A$2:$F$172,5,FALSE)</f>
        <v>7</v>
      </c>
      <c r="C173" s="4" t="s">
        <v>765</v>
      </c>
      <c r="D173" s="4" t="s">
        <v>10</v>
      </c>
      <c r="E173" s="17" t="s">
        <v>37</v>
      </c>
      <c r="F173" s="22"/>
      <c r="H173" s="20" t="s">
        <v>400</v>
      </c>
      <c r="I173" s="15" t="s">
        <v>401</v>
      </c>
      <c r="J173" s="15" t="s">
        <v>402</v>
      </c>
      <c r="K173" s="25"/>
      <c r="L173" s="2" t="s">
        <v>387</v>
      </c>
      <c r="M173" s="2" t="s">
        <v>387</v>
      </c>
      <c r="N173" s="1">
        <f t="shared" si="19"/>
        <v>7</v>
      </c>
      <c r="O173" s="44">
        <f t="shared" si="20"/>
        <v>6</v>
      </c>
    </row>
    <row r="174" spans="1:15" ht="15.75" thickBot="1">
      <c r="A174" s="7" t="s">
        <v>390</v>
      </c>
      <c r="B174" s="7" t="s">
        <v>390</v>
      </c>
      <c r="C174" s="4" t="s">
        <v>822</v>
      </c>
      <c r="D174" s="4" t="s">
        <v>10</v>
      </c>
      <c r="E174" s="17" t="s">
        <v>37</v>
      </c>
      <c r="F174" s="22"/>
      <c r="H174" s="20" t="s">
        <v>400</v>
      </c>
      <c r="I174" s="15" t="s">
        <v>401</v>
      </c>
      <c r="J174" s="15" t="s">
        <v>402</v>
      </c>
      <c r="K174" s="25"/>
      <c r="L174" s="2" t="s">
        <v>387</v>
      </c>
      <c r="M174" s="2" t="s">
        <v>387</v>
      </c>
      <c r="N174" s="1" t="str">
        <f t="shared" si="19"/>
        <v>FA</v>
      </c>
      <c r="O174" s="44">
        <f t="shared" si="20"/>
        <v>9</v>
      </c>
    </row>
    <row r="175" spans="1:15" ht="15.75" thickBot="1">
      <c r="A175" s="7">
        <f>VLOOKUP(C175,'2021 Draft'!$A$2:$F$172,6,FALSE)</f>
        <v>5</v>
      </c>
      <c r="B175" s="7">
        <f>VLOOKUP(C175,'2021 Draft'!$A$2:$F$172,5,FALSE)</f>
        <v>1</v>
      </c>
      <c r="C175" s="4" t="s">
        <v>468</v>
      </c>
      <c r="D175" s="4" t="s">
        <v>10</v>
      </c>
      <c r="E175" s="17" t="s">
        <v>37</v>
      </c>
      <c r="F175" s="22"/>
      <c r="H175" s="20" t="s">
        <v>400</v>
      </c>
      <c r="I175" s="15" t="s">
        <v>401</v>
      </c>
      <c r="J175" s="15" t="s">
        <v>402</v>
      </c>
      <c r="K175" s="25"/>
      <c r="L175" s="2" t="s">
        <v>387</v>
      </c>
      <c r="M175" s="2" t="s">
        <v>387</v>
      </c>
      <c r="N175" s="1">
        <f t="shared" si="19"/>
        <v>1</v>
      </c>
      <c r="O175" s="44">
        <f t="shared" si="20"/>
        <v>0</v>
      </c>
    </row>
    <row r="176" spans="1:15" ht="15.75" thickBot="1">
      <c r="A176" s="7" t="s">
        <v>390</v>
      </c>
      <c r="B176" s="7" t="s">
        <v>390</v>
      </c>
      <c r="C176" s="4" t="s">
        <v>138</v>
      </c>
      <c r="D176" s="4" t="s">
        <v>2</v>
      </c>
      <c r="E176" s="17" t="s">
        <v>37</v>
      </c>
      <c r="F176" s="22"/>
      <c r="H176" s="20" t="s">
        <v>400</v>
      </c>
      <c r="I176" s="15" t="s">
        <v>401</v>
      </c>
      <c r="J176" s="15" t="s">
        <v>402</v>
      </c>
      <c r="K176" s="25"/>
      <c r="L176" s="2" t="s">
        <v>387</v>
      </c>
      <c r="M176" s="2" t="s">
        <v>387</v>
      </c>
      <c r="N176" s="1" t="str">
        <f t="shared" si="19"/>
        <v>FA</v>
      </c>
      <c r="O176" s="44">
        <f t="shared" si="20"/>
        <v>9</v>
      </c>
    </row>
    <row r="177" spans="1:15" ht="15.75" thickBot="1">
      <c r="A177" s="7">
        <f>VLOOKUP(C177,'2021 Draft'!$A$2:$F$172,6,FALSE)</f>
        <v>75</v>
      </c>
      <c r="B177" s="7">
        <f>VLOOKUP(C177,'2021 Draft'!$A$2:$F$172,5,FALSE)</f>
        <v>8</v>
      </c>
      <c r="C177" s="4" t="s">
        <v>161</v>
      </c>
      <c r="D177" s="4" t="s">
        <v>2</v>
      </c>
      <c r="E177" s="17" t="s">
        <v>37</v>
      </c>
      <c r="F177" s="22"/>
      <c r="H177" s="20" t="s">
        <v>400</v>
      </c>
      <c r="I177" s="15" t="s">
        <v>401</v>
      </c>
      <c r="J177" s="15" t="s">
        <v>402</v>
      </c>
      <c r="K177" s="25"/>
      <c r="L177" s="2" t="s">
        <v>387</v>
      </c>
      <c r="M177" s="2" t="s">
        <v>387</v>
      </c>
      <c r="N177" s="1">
        <f t="shared" si="19"/>
        <v>8</v>
      </c>
      <c r="O177" s="44">
        <f t="shared" si="20"/>
        <v>7</v>
      </c>
    </row>
    <row r="178" spans="1:15" ht="15.75" thickBot="1">
      <c r="A178" s="3"/>
      <c r="B178" s="3"/>
      <c r="C178" s="4"/>
      <c r="D178" s="4"/>
      <c r="E178" s="17"/>
      <c r="F178" s="22"/>
    </row>
    <row r="179" spans="1:15" ht="15.75" thickBot="1">
      <c r="A179" s="3"/>
      <c r="B179" s="3"/>
      <c r="C179" s="4"/>
      <c r="D179" s="4"/>
      <c r="E179" s="17"/>
      <c r="F179" s="22"/>
    </row>
    <row r="180" spans="1:15" ht="15.75" thickBot="1">
      <c r="A180" s="3"/>
      <c r="B180" s="3"/>
      <c r="C180" s="4"/>
      <c r="D180" s="4"/>
      <c r="E180" s="17"/>
      <c r="F180" s="22"/>
    </row>
    <row r="181" spans="1:15" ht="15.75" thickBot="1">
      <c r="A181" s="3"/>
      <c r="B181" s="3"/>
      <c r="C181" s="4"/>
      <c r="D181" s="4"/>
      <c r="E181" s="17"/>
      <c r="F181" s="22"/>
    </row>
    <row r="182" spans="1:15" ht="15.75" thickBot="1">
      <c r="A182" s="3"/>
      <c r="B182" s="3"/>
      <c r="C182" s="4"/>
      <c r="D182" s="4"/>
      <c r="E182" s="17"/>
      <c r="F182" s="22"/>
    </row>
    <row r="183" spans="1:15" ht="15.75" thickBot="1">
      <c r="A183" s="3"/>
      <c r="B183" s="3"/>
      <c r="C183" s="4"/>
      <c r="D183" s="4"/>
      <c r="E183" s="17"/>
      <c r="F183" s="22"/>
    </row>
    <row r="184" spans="1:15" ht="15.75" thickBot="1">
      <c r="A184" s="3"/>
      <c r="B184" s="3"/>
      <c r="C184" s="4"/>
      <c r="D184" s="4"/>
      <c r="E184" s="17"/>
      <c r="F184" s="22"/>
    </row>
    <row r="185" spans="1:15" ht="15.75" thickBot="1">
      <c r="A185" s="3"/>
      <c r="B185" s="3"/>
      <c r="C185" s="4"/>
      <c r="D185" s="4"/>
      <c r="E185" s="17"/>
      <c r="F185" s="22"/>
    </row>
    <row r="186" spans="1:15" ht="15.75" thickBot="1">
      <c r="A186" s="3"/>
      <c r="B186" s="3"/>
      <c r="C186" s="4"/>
      <c r="D186" s="4"/>
      <c r="E186" s="17"/>
      <c r="F186" s="22"/>
    </row>
    <row r="187" spans="1:15" ht="15.75" thickBot="1">
      <c r="A187" s="3"/>
      <c r="B187" s="3"/>
      <c r="C187" s="4"/>
      <c r="D187" s="4"/>
      <c r="E187" s="17"/>
      <c r="F187" s="22"/>
    </row>
    <row r="188" spans="1:15" ht="15.75" thickBot="1">
      <c r="A188" s="3"/>
      <c r="B188" s="3"/>
      <c r="C188" s="4"/>
      <c r="D188" s="4"/>
      <c r="E188" s="17"/>
      <c r="F188" s="22"/>
    </row>
    <row r="189" spans="1:15" ht="15.75" thickBot="1">
      <c r="A189" s="3"/>
      <c r="B189" s="3"/>
      <c r="C189" s="4"/>
      <c r="D189" s="4"/>
      <c r="E189" s="17"/>
      <c r="F189" s="22"/>
    </row>
    <row r="190" spans="1:15" ht="15.75" thickBot="1">
      <c r="A190" s="3"/>
      <c r="B190" s="3"/>
      <c r="C190" s="4"/>
      <c r="D190" s="4"/>
      <c r="E190" s="17"/>
      <c r="F190" s="22"/>
    </row>
    <row r="191" spans="1:15" ht="15.75" thickBot="1">
      <c r="A191" s="3"/>
      <c r="B191" s="3"/>
      <c r="C191" s="4"/>
      <c r="D191" s="4"/>
      <c r="E191" s="17"/>
      <c r="F191" s="22"/>
    </row>
    <row r="192" spans="1:15" ht="15.75" thickBot="1">
      <c r="A192" s="3"/>
      <c r="B192" s="3"/>
      <c r="C192" s="4"/>
      <c r="D192" s="4"/>
      <c r="E192" s="17"/>
      <c r="F192" s="22"/>
    </row>
    <row r="193" spans="1:6" ht="15.75" thickBot="1">
      <c r="A193" s="3"/>
      <c r="B193" s="3"/>
      <c r="C193" s="4"/>
      <c r="D193" s="4"/>
      <c r="E193" s="17"/>
      <c r="F193" s="22"/>
    </row>
    <row r="194" spans="1:6" ht="15.75" thickBot="1">
      <c r="A194" s="3"/>
      <c r="B194" s="3"/>
      <c r="C194" s="4"/>
      <c r="D194" s="4"/>
      <c r="E194" s="17"/>
      <c r="F194" s="22"/>
    </row>
    <row r="195" spans="1:6" ht="15.75" thickBot="1">
      <c r="A195" s="3"/>
      <c r="B195" s="3"/>
      <c r="C195" s="4"/>
      <c r="D195" s="4"/>
      <c r="E195" s="17"/>
      <c r="F195" s="22"/>
    </row>
    <row r="196" spans="1:6" ht="15.75" thickBot="1">
      <c r="A196" s="3"/>
      <c r="B196" s="3"/>
      <c r="C196" s="4"/>
      <c r="D196" s="4"/>
      <c r="E196" s="17"/>
      <c r="F196" s="22"/>
    </row>
    <row r="197" spans="1:6" ht="15.75" thickBot="1">
      <c r="A197" s="3"/>
      <c r="B197" s="3"/>
      <c r="C197" s="4"/>
      <c r="D197" s="4"/>
      <c r="E197" s="17"/>
      <c r="F197" s="22"/>
    </row>
    <row r="198" spans="1:6" ht="15.75" thickBot="1">
      <c r="A198" s="3"/>
      <c r="B198" s="3"/>
      <c r="C198" s="4"/>
      <c r="D198" s="4"/>
      <c r="E198" s="17"/>
      <c r="F198" s="22"/>
    </row>
    <row r="199" spans="1:6" ht="15.75" thickBot="1">
      <c r="A199" s="3"/>
      <c r="B199" s="3"/>
      <c r="C199" s="4"/>
      <c r="D199" s="4"/>
      <c r="E199" s="17"/>
      <c r="F199" s="22"/>
    </row>
    <row r="200" spans="1:6" ht="15.75" thickBot="1">
      <c r="A200" s="3"/>
      <c r="B200" s="3"/>
      <c r="C200" s="4"/>
      <c r="D200" s="4"/>
      <c r="E200" s="17"/>
      <c r="F200" s="22"/>
    </row>
    <row r="201" spans="1:6" ht="15.75" thickBot="1">
      <c r="A201" s="3"/>
      <c r="B201" s="3"/>
      <c r="C201" s="4"/>
      <c r="D201" s="4"/>
      <c r="E201" s="17"/>
      <c r="F201" s="22"/>
    </row>
    <row r="202" spans="1:6" ht="15.75" thickBot="1">
      <c r="A202" s="3"/>
      <c r="B202" s="3"/>
      <c r="C202" s="4"/>
      <c r="D202" s="4"/>
      <c r="E202" s="17"/>
      <c r="F202" s="22"/>
    </row>
    <row r="203" spans="1:6" ht="15.75" thickBot="1">
      <c r="A203" s="3"/>
      <c r="B203" s="3"/>
      <c r="C203" s="4"/>
      <c r="D203" s="4"/>
      <c r="E203" s="17"/>
      <c r="F203" s="22"/>
    </row>
    <row r="204" spans="1:6" ht="15.75" thickBot="1">
      <c r="A204" s="3"/>
      <c r="B204" s="3"/>
      <c r="C204" s="4"/>
      <c r="D204" s="4"/>
      <c r="E204" s="17"/>
      <c r="F204" s="22"/>
    </row>
    <row r="205" spans="1:6" ht="15.75" thickBot="1">
      <c r="A205" s="3"/>
      <c r="B205" s="3"/>
      <c r="C205" s="4"/>
      <c r="D205" s="4"/>
      <c r="E205" s="17"/>
      <c r="F205" s="22"/>
    </row>
    <row r="206" spans="1:6" ht="15.75" thickBot="1">
      <c r="A206" s="3"/>
      <c r="B206" s="3"/>
      <c r="C206" s="4"/>
      <c r="D206" s="4"/>
      <c r="E206" s="17"/>
      <c r="F206" s="22"/>
    </row>
    <row r="207" spans="1:6" ht="15.75" thickBot="1">
      <c r="A207" s="3"/>
      <c r="B207" s="3"/>
      <c r="C207" s="4"/>
      <c r="D207" s="4"/>
      <c r="E207" s="17"/>
      <c r="F207" s="22"/>
    </row>
    <row r="208" spans="1:6" ht="15.75" thickBot="1">
      <c r="A208" s="3"/>
      <c r="B208" s="3"/>
      <c r="C208" s="4"/>
      <c r="D208" s="4"/>
      <c r="E208" s="17"/>
      <c r="F208" s="22"/>
    </row>
    <row r="209" spans="1:6" ht="15.75" thickBot="1">
      <c r="A209" s="3"/>
      <c r="B209" s="3"/>
      <c r="C209" s="4"/>
      <c r="D209" s="4"/>
      <c r="E209" s="17"/>
      <c r="F209" s="22"/>
    </row>
    <row r="210" spans="1:6" ht="15.75" thickBot="1">
      <c r="A210" s="3"/>
      <c r="B210" s="3"/>
      <c r="C210" s="4"/>
      <c r="D210" s="4"/>
      <c r="E210" s="17"/>
      <c r="F210" s="22"/>
    </row>
    <row r="211" spans="1:6" ht="15.75" thickBot="1">
      <c r="A211" s="3"/>
      <c r="B211" s="3"/>
      <c r="C211" s="4"/>
      <c r="D211" s="4"/>
      <c r="E211" s="17"/>
      <c r="F211" s="22"/>
    </row>
    <row r="212" spans="1:6" ht="15.75" thickBot="1">
      <c r="A212" s="3"/>
      <c r="B212" s="3"/>
      <c r="C212" s="4"/>
      <c r="D212" s="4"/>
      <c r="E212" s="17"/>
      <c r="F212" s="22"/>
    </row>
    <row r="213" spans="1:6" ht="15.75" thickBot="1">
      <c r="A213" s="3"/>
      <c r="B213" s="3"/>
      <c r="C213" s="4"/>
      <c r="D213" s="4"/>
      <c r="E213" s="17"/>
      <c r="F213" s="22"/>
    </row>
    <row r="214" spans="1:6" ht="15.75" thickBot="1">
      <c r="A214" s="3"/>
      <c r="B214" s="3"/>
      <c r="C214" s="4"/>
      <c r="D214" s="4"/>
      <c r="E214" s="17"/>
      <c r="F214" s="22"/>
    </row>
    <row r="215" spans="1:6" ht="15.75" thickBot="1">
      <c r="A215" s="3"/>
      <c r="B215" s="3"/>
      <c r="C215" s="4"/>
      <c r="D215" s="4"/>
      <c r="E215" s="17"/>
      <c r="F215" s="22"/>
    </row>
    <row r="216" spans="1:6" ht="15.75" thickBot="1">
      <c r="A216" s="3"/>
      <c r="B216" s="3"/>
      <c r="C216" s="4"/>
      <c r="D216" s="4"/>
      <c r="E216" s="17"/>
      <c r="F216" s="22"/>
    </row>
    <row r="217" spans="1:6" ht="15.75" thickBot="1">
      <c r="A217" s="3"/>
      <c r="B217" s="3"/>
      <c r="C217" s="4"/>
      <c r="D217" s="4"/>
      <c r="E217" s="17"/>
      <c r="F217" s="22"/>
    </row>
    <row r="218" spans="1:6" ht="15.75" thickBot="1">
      <c r="A218" s="3"/>
      <c r="B218" s="3"/>
      <c r="C218" s="4"/>
      <c r="D218" s="4"/>
      <c r="E218" s="17"/>
      <c r="F218" s="22"/>
    </row>
    <row r="219" spans="1:6" ht="15.75" thickBot="1">
      <c r="A219" s="3"/>
      <c r="B219" s="3"/>
      <c r="C219" s="4"/>
      <c r="D219" s="4"/>
      <c r="E219" s="17"/>
      <c r="F219" s="22"/>
    </row>
    <row r="220" spans="1:6" ht="15.75" thickBot="1">
      <c r="A220" s="3"/>
      <c r="B220" s="3"/>
      <c r="C220" s="4"/>
      <c r="D220" s="4"/>
      <c r="E220" s="17"/>
      <c r="F220" s="22"/>
    </row>
    <row r="221" spans="1:6" ht="15.75" thickBot="1">
      <c r="A221" s="3"/>
      <c r="B221" s="3"/>
      <c r="C221" s="4"/>
      <c r="D221" s="4"/>
      <c r="E221" s="17"/>
      <c r="F221" s="22"/>
    </row>
    <row r="222" spans="1:6" ht="15.75" thickBot="1">
      <c r="A222" s="3"/>
      <c r="B222" s="3"/>
      <c r="C222" s="4"/>
      <c r="D222" s="4"/>
      <c r="E222" s="17"/>
      <c r="F222" s="22"/>
    </row>
    <row r="223" spans="1:6" ht="15.75" thickBot="1">
      <c r="A223" s="3"/>
      <c r="B223" s="3"/>
      <c r="C223" s="4"/>
      <c r="D223" s="4"/>
      <c r="E223" s="17"/>
      <c r="F223" s="22"/>
    </row>
    <row r="224" spans="1:6" ht="15.75" thickBot="1">
      <c r="A224" s="3"/>
      <c r="B224" s="3"/>
      <c r="C224" s="4"/>
      <c r="D224" s="4"/>
      <c r="E224" s="17"/>
      <c r="F224" s="22"/>
    </row>
    <row r="225" spans="1:6" ht="15.75" thickBot="1">
      <c r="A225" s="3"/>
      <c r="B225" s="3"/>
      <c r="C225" s="4"/>
      <c r="D225" s="4"/>
      <c r="E225" s="17"/>
      <c r="F225" s="22"/>
    </row>
    <row r="226" spans="1:6" ht="15.75" thickBot="1">
      <c r="A226" s="3"/>
      <c r="B226" s="3"/>
      <c r="C226" s="4"/>
      <c r="D226" s="4"/>
      <c r="E226" s="17"/>
      <c r="F226" s="22"/>
    </row>
    <row r="227" spans="1:6" ht="15.75" thickBot="1">
      <c r="A227" s="3"/>
      <c r="B227" s="3"/>
      <c r="C227" s="4"/>
      <c r="D227" s="4"/>
      <c r="E227" s="17"/>
      <c r="F227" s="22"/>
    </row>
    <row r="228" spans="1:6" ht="15.75" thickBot="1">
      <c r="A228" s="3"/>
      <c r="B228" s="3"/>
      <c r="C228" s="4"/>
      <c r="D228" s="4"/>
      <c r="E228" s="17"/>
      <c r="F228" s="22"/>
    </row>
    <row r="229" spans="1:6" ht="15.75" thickBot="1">
      <c r="A229" s="3"/>
      <c r="B229" s="3"/>
      <c r="C229" s="4"/>
      <c r="D229" s="4"/>
      <c r="E229" s="17"/>
      <c r="F229" s="22"/>
    </row>
    <row r="230" spans="1:6" ht="15.75" thickBot="1">
      <c r="A230" s="3"/>
      <c r="B230" s="3"/>
      <c r="C230" s="4"/>
      <c r="D230" s="4"/>
      <c r="E230" s="17"/>
      <c r="F230" s="22"/>
    </row>
    <row r="231" spans="1:6" ht="15.75" thickBot="1">
      <c r="A231" s="3"/>
      <c r="B231" s="3"/>
      <c r="C231" s="4"/>
      <c r="D231" s="4"/>
      <c r="E231" s="17"/>
      <c r="F231" s="22"/>
    </row>
    <row r="232" spans="1:6" ht="15.75" thickBot="1">
      <c r="A232" s="3"/>
      <c r="B232" s="3"/>
      <c r="C232" s="4"/>
      <c r="D232" s="4"/>
      <c r="E232" s="17"/>
      <c r="F232" s="22"/>
    </row>
    <row r="233" spans="1:6" ht="15.75" thickBot="1">
      <c r="A233" s="3"/>
      <c r="B233" s="3"/>
      <c r="C233" s="4"/>
      <c r="D233" s="4"/>
      <c r="E233" s="17"/>
      <c r="F233" s="22"/>
    </row>
    <row r="234" spans="1:6" ht="15.75" thickBot="1">
      <c r="A234" s="3"/>
      <c r="B234" s="3"/>
      <c r="C234" s="4"/>
      <c r="D234" s="4"/>
      <c r="E234" s="17"/>
      <c r="F234" s="22"/>
    </row>
    <row r="235" spans="1:6" ht="15.75" thickBot="1">
      <c r="A235" s="3"/>
      <c r="B235" s="3"/>
      <c r="C235" s="4"/>
      <c r="D235" s="4"/>
      <c r="E235" s="17"/>
      <c r="F235" s="22"/>
    </row>
    <row r="236" spans="1:6" ht="15.75" thickBot="1">
      <c r="A236" s="3"/>
      <c r="B236" s="3"/>
      <c r="C236" s="4"/>
      <c r="D236" s="4"/>
      <c r="E236" s="17"/>
      <c r="F236" s="22"/>
    </row>
    <row r="237" spans="1:6" ht="15.75" thickBot="1">
      <c r="A237" s="3"/>
      <c r="B237" s="3"/>
      <c r="C237" s="4"/>
      <c r="D237" s="4"/>
      <c r="E237" s="17"/>
      <c r="F237" s="22"/>
    </row>
    <row r="238" spans="1:6" ht="15.75" thickBot="1">
      <c r="A238" s="3"/>
      <c r="B238" s="3"/>
      <c r="C238" s="4"/>
      <c r="D238" s="4"/>
      <c r="E238" s="17"/>
      <c r="F238" s="22"/>
    </row>
    <row r="239" spans="1:6" ht="15.75" thickBot="1">
      <c r="A239" s="3"/>
      <c r="B239" s="3"/>
      <c r="C239" s="4"/>
      <c r="D239" s="4"/>
      <c r="E239" s="17"/>
      <c r="F239" s="22"/>
    </row>
    <row r="240" spans="1:6" ht="15.75" thickBot="1">
      <c r="A240" s="3"/>
      <c r="B240" s="3"/>
      <c r="C240" s="4"/>
      <c r="D240" s="4"/>
      <c r="E240" s="17"/>
      <c r="F240" s="22"/>
    </row>
    <row r="241" spans="1:6" ht="15.75" thickBot="1">
      <c r="A241" s="3"/>
      <c r="B241" s="3"/>
      <c r="C241" s="4"/>
      <c r="D241" s="4"/>
      <c r="E241" s="17"/>
      <c r="F241" s="22"/>
    </row>
    <row r="242" spans="1:6" ht="15.75" thickBot="1">
      <c r="A242" s="3"/>
      <c r="B242" s="3"/>
      <c r="C242" s="4"/>
      <c r="D242" s="4"/>
      <c r="E242" s="17"/>
      <c r="F242" s="22"/>
    </row>
    <row r="243" spans="1:6" ht="15.75" thickBot="1">
      <c r="A243" s="3"/>
      <c r="B243" s="3"/>
      <c r="C243" s="4"/>
      <c r="D243" s="4"/>
      <c r="E243" s="17"/>
      <c r="F243" s="22"/>
    </row>
    <row r="244" spans="1:6" ht="15.75" thickBot="1">
      <c r="A244" s="3"/>
      <c r="B244" s="3"/>
      <c r="C244" s="4"/>
      <c r="D244" s="4"/>
      <c r="E244" s="17"/>
      <c r="F244" s="22"/>
    </row>
    <row r="245" spans="1:6" ht="15.75" thickBot="1">
      <c r="A245" s="3"/>
      <c r="B245" s="3"/>
      <c r="C245" s="4"/>
      <c r="D245" s="4"/>
      <c r="E245" s="17"/>
      <c r="F245" s="22"/>
    </row>
    <row r="246" spans="1:6" ht="15.75" thickBot="1">
      <c r="A246" s="3"/>
      <c r="B246" s="3"/>
      <c r="C246" s="4"/>
      <c r="D246" s="4"/>
      <c r="E246" s="17"/>
      <c r="F246" s="22"/>
    </row>
    <row r="247" spans="1:6" ht="15.75" thickBot="1">
      <c r="A247" s="3"/>
      <c r="B247" s="3"/>
      <c r="C247" s="4"/>
      <c r="D247" s="4"/>
      <c r="E247" s="17"/>
      <c r="F247" s="22"/>
    </row>
    <row r="248" spans="1:6" ht="15.75" thickBot="1">
      <c r="A248" s="3"/>
      <c r="B248" s="3"/>
      <c r="C248" s="4"/>
      <c r="D248" s="4"/>
      <c r="E248" s="17"/>
      <c r="F248" s="22"/>
    </row>
    <row r="249" spans="1:6" ht="15.75" thickBot="1">
      <c r="A249" s="3"/>
      <c r="B249" s="3"/>
      <c r="C249" s="4"/>
      <c r="D249" s="4"/>
      <c r="E249" s="17"/>
      <c r="F249" s="22"/>
    </row>
    <row r="250" spans="1:6" ht="15.75" thickBot="1">
      <c r="A250" s="3"/>
      <c r="B250" s="3"/>
      <c r="C250" s="4"/>
      <c r="D250" s="4"/>
      <c r="E250" s="17"/>
      <c r="F250" s="22"/>
    </row>
    <row r="251" spans="1:6" ht="15.75" thickBot="1">
      <c r="A251" s="3"/>
      <c r="B251" s="3"/>
      <c r="C251" s="4"/>
      <c r="D251" s="4"/>
      <c r="E251" s="17"/>
      <c r="F251" s="22"/>
    </row>
    <row r="252" spans="1:6" ht="15.75" thickBot="1">
      <c r="A252" s="3"/>
      <c r="B252" s="3"/>
      <c r="C252" s="4"/>
      <c r="D252" s="4"/>
      <c r="E252" s="17"/>
      <c r="F252" s="22"/>
    </row>
    <row r="253" spans="1:6" ht="15.75" thickBot="1">
      <c r="A253" s="3"/>
      <c r="B253" s="3"/>
      <c r="C253" s="4"/>
      <c r="D253" s="4"/>
      <c r="E253" s="17"/>
      <c r="F253" s="22"/>
    </row>
    <row r="254" spans="1:6" ht="15.75" thickBot="1">
      <c r="A254" s="3"/>
      <c r="B254" s="3"/>
      <c r="C254" s="4"/>
      <c r="D254" s="4"/>
      <c r="E254" s="17"/>
      <c r="F254" s="22"/>
    </row>
    <row r="255" spans="1:6" ht="15.75" thickBot="1">
      <c r="A255" s="3"/>
      <c r="B255" s="3"/>
      <c r="C255" s="4"/>
      <c r="D255" s="4"/>
      <c r="E255" s="17"/>
      <c r="F255" s="22"/>
    </row>
    <row r="256" spans="1:6" ht="15.75" thickBot="1">
      <c r="A256" s="3"/>
      <c r="B256" s="3"/>
      <c r="C256" s="4"/>
      <c r="D256" s="4"/>
      <c r="E256" s="17"/>
      <c r="F256" s="22"/>
    </row>
    <row r="257" spans="1:6" ht="15.75" thickBot="1">
      <c r="A257" s="3"/>
      <c r="B257" s="3"/>
      <c r="C257" s="4"/>
      <c r="D257" s="4"/>
      <c r="E257" s="17"/>
      <c r="F257" s="22"/>
    </row>
    <row r="258" spans="1:6" ht="15.75" thickBot="1">
      <c r="A258" s="3"/>
      <c r="B258" s="3"/>
      <c r="C258" s="4"/>
      <c r="D258" s="4"/>
      <c r="E258" s="17"/>
      <c r="F258" s="22"/>
    </row>
    <row r="259" spans="1:6" ht="15.75" thickBot="1">
      <c r="A259" s="3"/>
      <c r="B259" s="3"/>
      <c r="C259" s="4"/>
      <c r="D259" s="4"/>
      <c r="E259" s="17"/>
      <c r="F259" s="22"/>
    </row>
    <row r="260" spans="1:6" ht="15.75" thickBot="1">
      <c r="A260" s="3"/>
      <c r="B260" s="3"/>
      <c r="C260" s="4"/>
      <c r="D260" s="4"/>
      <c r="E260" s="17"/>
      <c r="F260" s="22"/>
    </row>
    <row r="261" spans="1:6" ht="15.75" thickBot="1">
      <c r="A261" s="3"/>
      <c r="B261" s="3"/>
      <c r="C261" s="4"/>
      <c r="D261" s="4"/>
      <c r="E261" s="17"/>
      <c r="F261" s="22"/>
    </row>
    <row r="262" spans="1:6" ht="15.75" thickBot="1">
      <c r="A262" s="3"/>
      <c r="B262" s="3"/>
      <c r="C262" s="4"/>
      <c r="D262" s="4"/>
      <c r="E262" s="17"/>
      <c r="F262" s="22"/>
    </row>
    <row r="263" spans="1:6" ht="15.75" thickBot="1">
      <c r="A263" s="3"/>
      <c r="B263" s="3"/>
      <c r="C263" s="4"/>
      <c r="D263" s="4"/>
      <c r="E263" s="17"/>
      <c r="F263" s="22"/>
    </row>
    <row r="264" spans="1:6" ht="15.75" thickBot="1">
      <c r="A264" s="3"/>
      <c r="B264" s="3"/>
      <c r="C264" s="4"/>
      <c r="D264" s="4"/>
      <c r="E264" s="17"/>
      <c r="F264" s="22"/>
    </row>
    <row r="265" spans="1:6" ht="15.75" thickBot="1">
      <c r="A265" s="3"/>
      <c r="B265" s="3"/>
      <c r="C265" s="4"/>
      <c r="D265" s="4"/>
      <c r="E265" s="17"/>
      <c r="F265" s="22"/>
    </row>
    <row r="266" spans="1:6" ht="15.75" thickBot="1">
      <c r="A266" s="3"/>
      <c r="B266" s="3"/>
      <c r="C266" s="4"/>
      <c r="D266" s="4"/>
      <c r="E266" s="17"/>
      <c r="F266" s="22"/>
    </row>
    <row r="267" spans="1:6" ht="15.75" thickBot="1">
      <c r="A267" s="3"/>
      <c r="B267" s="3"/>
      <c r="C267" s="4"/>
      <c r="D267" s="4"/>
      <c r="E267" s="17"/>
      <c r="F267" s="22"/>
    </row>
    <row r="268" spans="1:6" ht="15.75" thickBot="1">
      <c r="A268" s="3"/>
      <c r="B268" s="3"/>
      <c r="C268" s="4"/>
      <c r="D268" s="4"/>
      <c r="E268" s="17"/>
      <c r="F268" s="22"/>
    </row>
    <row r="269" spans="1:6" ht="15.75" thickBot="1">
      <c r="A269" s="3"/>
      <c r="B269" s="3"/>
      <c r="C269" s="4"/>
      <c r="D269" s="4"/>
      <c r="E269" s="17"/>
      <c r="F269" s="22"/>
    </row>
    <row r="270" spans="1:6" ht="15.75" thickBot="1">
      <c r="A270" s="3"/>
      <c r="B270" s="3"/>
      <c r="C270" s="4"/>
      <c r="D270" s="4"/>
      <c r="E270" s="17"/>
      <c r="F270" s="22"/>
    </row>
    <row r="271" spans="1:6" ht="15.75" thickBot="1">
      <c r="A271" s="3"/>
      <c r="B271" s="3"/>
      <c r="C271" s="4"/>
      <c r="D271" s="4"/>
      <c r="E271" s="17"/>
      <c r="F271" s="22"/>
    </row>
    <row r="272" spans="1:6" ht="15.75" thickBot="1">
      <c r="A272" s="3"/>
      <c r="B272" s="3"/>
      <c r="C272" s="4"/>
      <c r="D272" s="4"/>
      <c r="E272" s="17"/>
      <c r="F272" s="22"/>
    </row>
    <row r="273" spans="1:6" ht="15.75" thickBot="1">
      <c r="A273" s="3"/>
      <c r="B273" s="3"/>
      <c r="C273" s="4"/>
      <c r="D273" s="4"/>
      <c r="E273" s="17"/>
      <c r="F273" s="22"/>
    </row>
    <row r="274" spans="1:6" ht="15.75" thickBot="1">
      <c r="A274" s="3"/>
      <c r="B274" s="3"/>
      <c r="C274" s="4"/>
      <c r="D274" s="4"/>
      <c r="E274" s="17"/>
      <c r="F274" s="22"/>
    </row>
    <row r="275" spans="1:6" ht="15.75" thickBot="1">
      <c r="A275" s="3"/>
      <c r="B275" s="3"/>
      <c r="C275" s="4"/>
      <c r="D275" s="4"/>
      <c r="E275" s="17"/>
      <c r="F275" s="22"/>
    </row>
    <row r="276" spans="1:6" ht="15.75" thickBot="1">
      <c r="A276" s="3"/>
      <c r="B276" s="3"/>
      <c r="C276" s="4"/>
      <c r="D276" s="4"/>
      <c r="E276" s="17"/>
      <c r="F276" s="22"/>
    </row>
    <row r="277" spans="1:6" ht="15.75" thickBot="1">
      <c r="A277" s="3"/>
      <c r="B277" s="3"/>
      <c r="C277" s="4"/>
      <c r="D277" s="4"/>
      <c r="E277" s="17"/>
      <c r="F277" s="22"/>
    </row>
    <row r="278" spans="1:6" ht="15.75" thickBot="1">
      <c r="A278" s="3"/>
      <c r="B278" s="3"/>
      <c r="C278" s="4"/>
      <c r="D278" s="4"/>
      <c r="E278" s="17"/>
      <c r="F278" s="22"/>
    </row>
    <row r="279" spans="1:6" ht="15.75" thickBot="1">
      <c r="A279" s="3"/>
      <c r="B279" s="3"/>
      <c r="C279" s="4"/>
      <c r="D279" s="4"/>
      <c r="E279" s="17"/>
      <c r="F279" s="22"/>
    </row>
    <row r="280" spans="1:6" ht="15.75" thickBot="1">
      <c r="A280" s="3"/>
      <c r="B280" s="3"/>
      <c r="C280" s="4"/>
      <c r="D280" s="4"/>
      <c r="E280" s="17"/>
      <c r="F280" s="22"/>
    </row>
    <row r="281" spans="1:6" ht="15.75" thickBot="1">
      <c r="A281" s="3"/>
      <c r="B281" s="3"/>
      <c r="C281" s="4"/>
      <c r="D281" s="4"/>
      <c r="E281" s="17"/>
      <c r="F281" s="22"/>
    </row>
    <row r="282" spans="1:6" ht="15.75" thickBot="1">
      <c r="A282" s="3"/>
      <c r="B282" s="3"/>
      <c r="C282" s="4"/>
      <c r="D282" s="4"/>
      <c r="E282" s="17"/>
      <c r="F282" s="22"/>
    </row>
    <row r="283" spans="1:6" ht="15.75" thickBot="1">
      <c r="A283" s="3"/>
      <c r="B283" s="3"/>
      <c r="C283" s="4"/>
      <c r="D283" s="4"/>
      <c r="E283" s="17"/>
      <c r="F283" s="22"/>
    </row>
    <row r="284" spans="1:6" ht="15.75" thickBot="1">
      <c r="A284" s="3"/>
      <c r="B284" s="3"/>
      <c r="C284" s="4"/>
      <c r="D284" s="4"/>
      <c r="E284" s="17"/>
      <c r="F284" s="22"/>
    </row>
    <row r="285" spans="1:6" ht="15.75" thickBot="1">
      <c r="A285" s="3"/>
      <c r="B285" s="3"/>
      <c r="C285" s="4"/>
      <c r="D285" s="4"/>
      <c r="E285" s="17"/>
      <c r="F285" s="22"/>
    </row>
    <row r="286" spans="1:6" ht="15.75" thickBot="1">
      <c r="A286" s="3"/>
      <c r="B286" s="3"/>
      <c r="C286" s="4"/>
      <c r="D286" s="4"/>
      <c r="E286" s="17"/>
      <c r="F286" s="22"/>
    </row>
    <row r="287" spans="1:6" ht="15.75" thickBot="1">
      <c r="A287" s="3"/>
      <c r="B287" s="3"/>
      <c r="C287" s="4"/>
      <c r="D287" s="4"/>
      <c r="E287" s="17"/>
      <c r="F287" s="22"/>
    </row>
    <row r="288" spans="1:6" ht="15.75" thickBot="1">
      <c r="A288" s="3"/>
      <c r="B288" s="3"/>
      <c r="C288" s="4"/>
      <c r="D288" s="4"/>
      <c r="E288" s="17"/>
      <c r="F288" s="22"/>
    </row>
    <row r="289" spans="1:6" ht="15.75" thickBot="1">
      <c r="A289" s="3"/>
      <c r="B289" s="3"/>
      <c r="C289" s="4"/>
      <c r="D289" s="4"/>
      <c r="E289" s="17"/>
      <c r="F289" s="22"/>
    </row>
    <row r="290" spans="1:6" ht="15.75" thickBot="1">
      <c r="A290" s="3"/>
      <c r="B290" s="3"/>
      <c r="C290" s="4"/>
      <c r="D290" s="4"/>
      <c r="E290" s="17"/>
      <c r="F290" s="22"/>
    </row>
    <row r="291" spans="1:6" ht="15.75" thickBot="1">
      <c r="A291" s="3"/>
      <c r="B291" s="3"/>
      <c r="C291" s="4"/>
      <c r="D291" s="4"/>
      <c r="E291" s="17"/>
      <c r="F291" s="22"/>
    </row>
    <row r="292" spans="1:6" ht="15.75" thickBot="1">
      <c r="A292" s="3"/>
      <c r="B292" s="3"/>
      <c r="C292" s="4"/>
      <c r="D292" s="4"/>
      <c r="E292" s="17"/>
      <c r="F292" s="22"/>
    </row>
    <row r="293" spans="1:6" ht="15.75" thickBot="1">
      <c r="A293" s="3"/>
      <c r="B293" s="3"/>
      <c r="C293" s="4"/>
      <c r="D293" s="4"/>
      <c r="E293" s="17"/>
      <c r="F293" s="22"/>
    </row>
    <row r="294" spans="1:6" ht="15.75" thickBot="1">
      <c r="A294" s="3"/>
      <c r="B294" s="3"/>
      <c r="C294" s="4"/>
      <c r="D294" s="4"/>
      <c r="E294" s="17"/>
      <c r="F294" s="22"/>
    </row>
    <row r="295" spans="1:6" ht="15.75" thickBot="1">
      <c r="A295" s="3"/>
      <c r="B295" s="3"/>
      <c r="C295" s="4"/>
      <c r="D295" s="4"/>
      <c r="E295" s="17"/>
      <c r="F295" s="22"/>
    </row>
    <row r="296" spans="1:6" ht="15.75" thickBot="1">
      <c r="A296" s="3"/>
      <c r="B296" s="3"/>
      <c r="C296" s="4"/>
      <c r="D296" s="4"/>
      <c r="E296" s="17"/>
      <c r="F296" s="22"/>
    </row>
    <row r="297" spans="1:6" ht="15.75" thickBot="1">
      <c r="A297" s="3"/>
      <c r="B297" s="3"/>
      <c r="C297" s="4"/>
      <c r="D297" s="4"/>
      <c r="E297" s="17"/>
      <c r="F297" s="22"/>
    </row>
    <row r="298" spans="1:6" ht="15.75" thickBot="1">
      <c r="A298" s="3"/>
      <c r="B298" s="3"/>
      <c r="C298" s="4"/>
      <c r="D298" s="4"/>
      <c r="E298" s="17"/>
      <c r="F298" s="22"/>
    </row>
    <row r="299" spans="1:6" ht="15.75" thickBot="1">
      <c r="A299" s="3"/>
      <c r="B299" s="3"/>
      <c r="C299" s="4"/>
      <c r="D299" s="4"/>
      <c r="E299" s="17"/>
      <c r="F299" s="22"/>
    </row>
    <row r="300" spans="1:6" ht="15.75" thickBot="1">
      <c r="A300" s="3"/>
      <c r="B300" s="3"/>
      <c r="C300" s="4"/>
      <c r="D300" s="4"/>
      <c r="E300" s="17"/>
      <c r="F300" s="22"/>
    </row>
    <row r="301" spans="1:6" ht="15.75" thickBot="1">
      <c r="A301" s="3"/>
      <c r="B301" s="3"/>
      <c r="C301" s="4"/>
      <c r="D301" s="4"/>
      <c r="E301" s="17"/>
      <c r="F301" s="22"/>
    </row>
    <row r="302" spans="1:6" ht="15.75" thickBot="1">
      <c r="A302" s="3"/>
      <c r="B302" s="3"/>
      <c r="C302" s="4"/>
      <c r="D302" s="4"/>
      <c r="E302" s="17"/>
      <c r="F302" s="22"/>
    </row>
    <row r="303" spans="1:6" ht="15.75" thickBot="1">
      <c r="A303" s="3"/>
      <c r="B303" s="3"/>
      <c r="C303" s="4"/>
      <c r="D303" s="4"/>
      <c r="E303" s="17"/>
      <c r="F303" s="22"/>
    </row>
    <row r="304" spans="1:6" ht="15.75" thickBot="1">
      <c r="A304" s="3"/>
      <c r="B304" s="3"/>
      <c r="C304" s="4"/>
      <c r="D304" s="4"/>
      <c r="E304" s="17"/>
      <c r="F304" s="22"/>
    </row>
    <row r="305" spans="1:6" ht="15.75" thickBot="1">
      <c r="A305" s="3"/>
      <c r="B305" s="3"/>
      <c r="C305" s="4"/>
      <c r="D305" s="4"/>
      <c r="E305" s="17"/>
      <c r="F305" s="22"/>
    </row>
    <row r="306" spans="1:6" ht="15.75" thickBot="1">
      <c r="A306" s="3"/>
      <c r="B306" s="3"/>
      <c r="C306" s="4"/>
      <c r="D306" s="4"/>
      <c r="E306" s="17"/>
      <c r="F306" s="22"/>
    </row>
    <row r="307" spans="1:6" ht="15.75" thickBot="1">
      <c r="A307" s="3"/>
      <c r="B307" s="3"/>
      <c r="C307" s="4"/>
      <c r="D307" s="4"/>
      <c r="E307" s="17"/>
      <c r="F307" s="22"/>
    </row>
    <row r="308" spans="1:6" ht="15.75" thickBot="1">
      <c r="A308" s="3"/>
      <c r="B308" s="3"/>
      <c r="C308" s="4"/>
      <c r="D308" s="4"/>
      <c r="E308" s="17"/>
      <c r="F308" s="22"/>
    </row>
    <row r="309" spans="1:6" ht="15.75" thickBot="1">
      <c r="A309" s="3"/>
      <c r="B309" s="3"/>
      <c r="C309" s="4"/>
      <c r="D309" s="4"/>
      <c r="E309" s="17"/>
      <c r="F309" s="22"/>
    </row>
    <row r="310" spans="1:6" ht="15.75" thickBot="1">
      <c r="A310" s="3"/>
      <c r="B310" s="3"/>
      <c r="C310" s="4"/>
      <c r="D310" s="4"/>
      <c r="E310" s="17"/>
      <c r="F310" s="22"/>
    </row>
    <row r="311" spans="1:6" ht="15.75" thickBot="1">
      <c r="A311" s="3"/>
      <c r="B311" s="3"/>
      <c r="C311" s="4"/>
      <c r="D311" s="4"/>
      <c r="E311" s="17"/>
      <c r="F311" s="22"/>
    </row>
    <row r="312" spans="1:6" ht="15.75" thickBot="1">
      <c r="A312" s="3"/>
      <c r="B312" s="3"/>
      <c r="C312" s="4"/>
      <c r="D312" s="4"/>
      <c r="E312" s="17"/>
      <c r="F312" s="22"/>
    </row>
    <row r="313" spans="1:6" ht="15.75" thickBot="1">
      <c r="A313" s="3"/>
      <c r="B313" s="3"/>
      <c r="C313" s="4"/>
      <c r="D313" s="4"/>
      <c r="E313" s="17"/>
      <c r="F313" s="22"/>
    </row>
    <row r="314" spans="1:6" ht="15.75" thickBot="1">
      <c r="A314" s="3"/>
      <c r="B314" s="3"/>
      <c r="C314" s="4"/>
      <c r="D314" s="4"/>
      <c r="E314" s="17"/>
      <c r="F314" s="22"/>
    </row>
    <row r="315" spans="1:6" ht="15.75" thickBot="1">
      <c r="A315" s="3"/>
      <c r="B315" s="3"/>
      <c r="C315" s="4"/>
      <c r="D315" s="4"/>
      <c r="E315" s="17"/>
      <c r="F315" s="22"/>
    </row>
    <row r="316" spans="1:6" ht="15.75" thickBot="1">
      <c r="A316" s="3"/>
      <c r="B316" s="3"/>
      <c r="C316" s="4"/>
      <c r="D316" s="4"/>
      <c r="E316" s="17"/>
      <c r="F316" s="22"/>
    </row>
    <row r="317" spans="1:6" ht="15.75" thickBot="1">
      <c r="A317" s="3"/>
      <c r="B317" s="3"/>
      <c r="C317" s="4"/>
      <c r="D317" s="4"/>
      <c r="E317" s="17"/>
      <c r="F317" s="22"/>
    </row>
    <row r="318" spans="1:6" ht="15.75" thickBot="1">
      <c r="A318" s="3"/>
      <c r="B318" s="3"/>
      <c r="C318" s="4"/>
      <c r="D318" s="4"/>
      <c r="E318" s="17"/>
      <c r="F318" s="22"/>
    </row>
    <row r="319" spans="1:6" ht="15.75" thickBot="1">
      <c r="A319" s="3"/>
      <c r="B319" s="3"/>
      <c r="C319" s="4"/>
      <c r="D319" s="4"/>
      <c r="E319" s="17"/>
      <c r="F319" s="22"/>
    </row>
    <row r="320" spans="1:6" ht="15.75" thickBot="1">
      <c r="A320" s="3"/>
      <c r="B320" s="3"/>
      <c r="C320" s="4"/>
      <c r="D320" s="4"/>
      <c r="E320" s="17"/>
      <c r="F320" s="22"/>
    </row>
    <row r="321" spans="1:6" ht="15.75" thickBot="1">
      <c r="A321" s="3"/>
      <c r="B321" s="3"/>
      <c r="C321" s="4"/>
      <c r="D321" s="4"/>
      <c r="E321" s="17"/>
      <c r="F321" s="22"/>
    </row>
    <row r="322" spans="1:6" ht="15.75" thickBot="1">
      <c r="A322" s="3"/>
      <c r="B322" s="3"/>
      <c r="C322" s="4"/>
      <c r="D322" s="4"/>
      <c r="E322" s="17"/>
      <c r="F322" s="22"/>
    </row>
    <row r="323" spans="1:6" ht="15.75" thickBot="1">
      <c r="A323" s="3"/>
      <c r="B323" s="3"/>
      <c r="C323" s="4"/>
      <c r="D323" s="4"/>
      <c r="E323" s="17"/>
      <c r="F323" s="22"/>
    </row>
    <row r="324" spans="1:6" ht="15.75" thickBot="1">
      <c r="A324" s="3"/>
      <c r="B324" s="3"/>
      <c r="C324" s="4"/>
      <c r="D324" s="4"/>
      <c r="E324" s="17"/>
      <c r="F324" s="22"/>
    </row>
    <row r="325" spans="1:6" ht="15.75" thickBot="1">
      <c r="A325" s="3"/>
      <c r="B325" s="3"/>
      <c r="C325" s="4"/>
      <c r="D325" s="4"/>
      <c r="E325" s="17"/>
      <c r="F325" s="22"/>
    </row>
    <row r="326" spans="1:6" ht="15.75" thickBot="1">
      <c r="A326" s="3"/>
      <c r="B326" s="3"/>
      <c r="C326" s="4"/>
      <c r="D326" s="4"/>
      <c r="E326" s="17"/>
      <c r="F326" s="22"/>
    </row>
    <row r="327" spans="1:6" ht="15.75" thickBot="1">
      <c r="A327" s="3"/>
      <c r="B327" s="3"/>
      <c r="C327" s="4"/>
      <c r="D327" s="4"/>
      <c r="E327" s="17"/>
      <c r="F327" s="22"/>
    </row>
    <row r="328" spans="1:6" ht="15.75" thickBot="1">
      <c r="A328" s="3"/>
      <c r="B328" s="3"/>
      <c r="C328" s="4"/>
      <c r="D328" s="4"/>
      <c r="E328" s="17"/>
      <c r="F328" s="22"/>
    </row>
    <row r="329" spans="1:6" ht="15.75" thickBot="1">
      <c r="A329" s="3"/>
      <c r="B329" s="3"/>
      <c r="C329" s="4"/>
      <c r="D329" s="4"/>
      <c r="E329" s="17"/>
      <c r="F329" s="22"/>
    </row>
    <row r="330" spans="1:6" ht="15.75" thickBot="1">
      <c r="A330" s="3"/>
      <c r="B330" s="3"/>
      <c r="C330" s="4"/>
      <c r="D330" s="4"/>
      <c r="E330" s="17"/>
      <c r="F330" s="22"/>
    </row>
    <row r="331" spans="1:6" ht="15.75" thickBot="1">
      <c r="A331" s="3"/>
      <c r="B331" s="3"/>
      <c r="C331" s="4"/>
      <c r="D331" s="4"/>
      <c r="E331" s="17"/>
      <c r="F331" s="22"/>
    </row>
    <row r="332" spans="1:6" ht="15.75" thickBot="1">
      <c r="A332" s="3"/>
      <c r="B332" s="3"/>
      <c r="C332" s="4"/>
      <c r="D332" s="4"/>
      <c r="E332" s="17"/>
      <c r="F332" s="22"/>
    </row>
    <row r="333" spans="1:6" ht="15.75" thickBot="1">
      <c r="A333" s="3"/>
      <c r="B333" s="3"/>
      <c r="C333" s="4"/>
      <c r="D333" s="4"/>
      <c r="E333" s="17"/>
      <c r="F333" s="22"/>
    </row>
    <row r="334" spans="1:6" ht="15.75" thickBot="1">
      <c r="A334" s="3"/>
      <c r="B334" s="3"/>
      <c r="C334" s="4"/>
      <c r="D334" s="4"/>
      <c r="E334" s="17"/>
      <c r="F334" s="22"/>
    </row>
    <row r="335" spans="1:6" ht="15.75" thickBot="1">
      <c r="A335" s="3"/>
      <c r="B335" s="3"/>
      <c r="C335" s="4"/>
      <c r="D335" s="4"/>
      <c r="E335" s="17"/>
      <c r="F335" s="22"/>
    </row>
    <row r="336" spans="1:6" ht="15.75" thickBot="1">
      <c r="A336" s="3"/>
      <c r="B336" s="3"/>
      <c r="C336" s="4"/>
      <c r="D336" s="4"/>
      <c r="E336" s="17"/>
      <c r="F336" s="22"/>
    </row>
    <row r="337" spans="1:6" ht="15.75" thickBot="1">
      <c r="A337" s="3"/>
      <c r="B337" s="3"/>
      <c r="C337" s="4"/>
      <c r="D337" s="4"/>
      <c r="E337" s="17"/>
      <c r="F337" s="22"/>
    </row>
    <row r="338" spans="1:6" ht="15.75" thickBot="1">
      <c r="A338" s="3"/>
      <c r="B338" s="3"/>
      <c r="C338" s="4"/>
      <c r="D338" s="4"/>
      <c r="E338" s="17"/>
      <c r="F338" s="22"/>
    </row>
    <row r="339" spans="1:6" ht="15.75" thickBot="1">
      <c r="A339" s="3"/>
      <c r="B339" s="3"/>
      <c r="C339" s="4"/>
      <c r="D339" s="4"/>
      <c r="E339" s="17"/>
      <c r="F339" s="22"/>
    </row>
    <row r="340" spans="1:6" ht="15.75" thickBot="1">
      <c r="A340" s="3"/>
      <c r="B340" s="3"/>
      <c r="C340" s="4"/>
      <c r="D340" s="4"/>
      <c r="E340" s="17"/>
      <c r="F340" s="22"/>
    </row>
    <row r="341" spans="1:6" ht="15.75" thickBot="1">
      <c r="A341" s="3"/>
      <c r="B341" s="3"/>
      <c r="C341" s="4"/>
      <c r="D341" s="4"/>
      <c r="E341" s="17"/>
      <c r="F341" s="22"/>
    </row>
    <row r="342" spans="1:6" ht="15.75" thickBot="1">
      <c r="A342" s="3"/>
      <c r="B342" s="3"/>
      <c r="C342" s="4"/>
      <c r="D342" s="4"/>
      <c r="E342" s="17"/>
      <c r="F342" s="22"/>
    </row>
    <row r="343" spans="1:6" ht="15.75" thickBot="1">
      <c r="A343" s="3"/>
      <c r="B343" s="3"/>
      <c r="C343" s="4"/>
      <c r="D343" s="4"/>
      <c r="E343" s="17"/>
      <c r="F343" s="22"/>
    </row>
    <row r="344" spans="1:6" ht="15.75" thickBot="1">
      <c r="A344" s="3"/>
      <c r="B344" s="3"/>
      <c r="C344" s="4"/>
      <c r="D344" s="4"/>
      <c r="E344" s="17"/>
      <c r="F344" s="22"/>
    </row>
    <row r="345" spans="1:6" ht="15.75" thickBot="1">
      <c r="A345" s="3"/>
      <c r="B345" s="3"/>
      <c r="C345" s="4"/>
      <c r="D345" s="4"/>
      <c r="E345" s="17"/>
      <c r="F345" s="22"/>
    </row>
    <row r="346" spans="1:6" ht="15.75" thickBot="1">
      <c r="A346" s="3"/>
      <c r="B346" s="3"/>
      <c r="C346" s="4"/>
      <c r="D346" s="4"/>
      <c r="E346" s="17"/>
      <c r="F346" s="22"/>
    </row>
    <row r="347" spans="1:6" ht="15.75" thickBot="1">
      <c r="A347" s="3"/>
      <c r="B347" s="3"/>
      <c r="C347" s="4"/>
      <c r="D347" s="4"/>
      <c r="E347" s="17"/>
      <c r="F347" s="22"/>
    </row>
    <row r="348" spans="1:6" ht="15.75" thickBot="1">
      <c r="A348" s="3"/>
      <c r="B348" s="3"/>
      <c r="C348" s="4"/>
      <c r="D348" s="4"/>
      <c r="E348" s="17"/>
      <c r="F348" s="22"/>
    </row>
    <row r="349" spans="1:6" ht="15.75" thickBot="1">
      <c r="A349" s="3"/>
      <c r="B349" s="3"/>
      <c r="C349" s="4"/>
      <c r="D349" s="4"/>
      <c r="E349" s="17"/>
      <c r="F349" s="22"/>
    </row>
    <row r="350" spans="1:6" ht="15.75" thickBot="1">
      <c r="A350" s="3"/>
      <c r="B350" s="3"/>
      <c r="C350" s="4"/>
      <c r="D350" s="4"/>
      <c r="E350" s="17"/>
      <c r="F350" s="22"/>
    </row>
    <row r="351" spans="1:6" ht="15.75" thickBot="1">
      <c r="A351" s="3"/>
      <c r="B351" s="3"/>
      <c r="C351" s="4"/>
      <c r="D351" s="4"/>
      <c r="E351" s="17"/>
      <c r="F351" s="22"/>
    </row>
    <row r="352" spans="1:6" ht="15.75" thickBot="1">
      <c r="A352" s="3"/>
      <c r="B352" s="3"/>
      <c r="C352" s="4"/>
      <c r="D352" s="4"/>
      <c r="E352" s="17"/>
      <c r="F352" s="22"/>
    </row>
    <row r="353" spans="1:6" ht="15.75" thickBot="1">
      <c r="A353" s="3"/>
      <c r="B353" s="3"/>
      <c r="C353" s="4"/>
      <c r="D353" s="4"/>
      <c r="E353" s="17"/>
      <c r="F353" s="22"/>
    </row>
    <row r="354" spans="1:6" ht="15.75" thickBot="1">
      <c r="A354" s="3"/>
      <c r="B354" s="3"/>
      <c r="C354" s="4"/>
      <c r="D354" s="4"/>
      <c r="E354" s="17"/>
      <c r="F354" s="22"/>
    </row>
    <row r="355" spans="1:6" ht="15.75" thickBot="1">
      <c r="A355" s="3"/>
      <c r="B355" s="3"/>
      <c r="C355" s="4"/>
      <c r="D355" s="4"/>
      <c r="E355" s="17"/>
      <c r="F355" s="22"/>
    </row>
    <row r="356" spans="1:6" ht="15.75" thickBot="1">
      <c r="A356" s="3"/>
      <c r="B356" s="3"/>
      <c r="C356" s="4"/>
      <c r="D356" s="4"/>
      <c r="E356" s="17"/>
      <c r="F356" s="22"/>
    </row>
    <row r="357" spans="1:6" ht="15.75" thickBot="1">
      <c r="A357" s="3"/>
      <c r="B357" s="3"/>
      <c r="C357" s="4"/>
      <c r="D357" s="4"/>
      <c r="E357" s="17"/>
      <c r="F357" s="22"/>
    </row>
    <row r="358" spans="1:6" ht="15.75" thickBot="1">
      <c r="A358" s="3"/>
      <c r="B358" s="3"/>
      <c r="C358" s="4"/>
      <c r="D358" s="4"/>
      <c r="E358" s="17"/>
      <c r="F358" s="22"/>
    </row>
    <row r="359" spans="1:6" ht="15.75" thickBot="1">
      <c r="A359" s="3"/>
      <c r="B359" s="3"/>
      <c r="C359" s="4"/>
      <c r="D359" s="4"/>
      <c r="E359" s="17"/>
      <c r="F359" s="22"/>
    </row>
    <row r="360" spans="1:6" ht="15.75" thickBot="1">
      <c r="A360" s="3"/>
      <c r="B360" s="3"/>
      <c r="C360" s="4"/>
      <c r="D360" s="4"/>
      <c r="E360" s="17"/>
      <c r="F360" s="22"/>
    </row>
    <row r="361" spans="1:6" ht="15.75" thickBot="1">
      <c r="A361" s="3"/>
      <c r="B361" s="3"/>
      <c r="C361" s="4"/>
      <c r="D361" s="4"/>
      <c r="E361" s="17"/>
      <c r="F361" s="22"/>
    </row>
    <row r="362" spans="1:6" ht="15.75" thickBot="1">
      <c r="A362" s="3"/>
      <c r="B362" s="3"/>
      <c r="C362" s="4"/>
      <c r="D362" s="4"/>
      <c r="E362" s="17"/>
      <c r="F362" s="22"/>
    </row>
    <row r="363" spans="1:6" ht="15.75" thickBot="1">
      <c r="A363" s="3"/>
      <c r="B363" s="3"/>
      <c r="C363" s="4"/>
      <c r="D363" s="4"/>
      <c r="E363" s="17"/>
      <c r="F363" s="22"/>
    </row>
    <row r="364" spans="1:6" ht="15.75" thickBot="1">
      <c r="A364" s="3"/>
      <c r="B364" s="3"/>
      <c r="C364" s="4"/>
      <c r="D364" s="4"/>
      <c r="E364" s="17"/>
      <c r="F364" s="22"/>
    </row>
    <row r="365" spans="1:6" ht="15.75" thickBot="1">
      <c r="A365" s="3"/>
      <c r="B365" s="3"/>
      <c r="C365" s="4"/>
      <c r="D365" s="4"/>
      <c r="E365" s="17"/>
      <c r="F365" s="22"/>
    </row>
    <row r="366" spans="1:6" ht="15.75" thickBot="1">
      <c r="A366" s="3"/>
      <c r="B366" s="3"/>
      <c r="C366" s="4"/>
      <c r="D366" s="4"/>
      <c r="E366" s="17"/>
      <c r="F366" s="22"/>
    </row>
    <row r="367" spans="1:6" ht="15.75" thickBot="1">
      <c r="A367" s="3"/>
      <c r="B367" s="3"/>
      <c r="C367" s="4"/>
      <c r="D367" s="4"/>
      <c r="E367" s="17"/>
      <c r="F367" s="22"/>
    </row>
    <row r="368" spans="1:6" ht="15.75" thickBot="1">
      <c r="A368" s="3"/>
      <c r="B368" s="3"/>
      <c r="C368" s="4"/>
      <c r="D368" s="4"/>
      <c r="E368" s="17"/>
      <c r="F368" s="22"/>
    </row>
    <row r="369" spans="1:6" ht="15.75" thickBot="1">
      <c r="A369" s="3"/>
      <c r="B369" s="3"/>
      <c r="C369" s="4"/>
      <c r="D369" s="4"/>
      <c r="E369" s="17"/>
      <c r="F369" s="22"/>
    </row>
    <row r="370" spans="1:6" ht="15.75" thickBot="1">
      <c r="A370" s="3"/>
      <c r="B370" s="3"/>
      <c r="C370" s="4"/>
      <c r="D370" s="4"/>
      <c r="E370" s="17"/>
      <c r="F370" s="22"/>
    </row>
    <row r="371" spans="1:6" ht="15.75" thickBot="1">
      <c r="A371" s="3"/>
      <c r="B371" s="3"/>
      <c r="C371" s="4"/>
      <c r="D371" s="4"/>
      <c r="E371" s="17"/>
      <c r="F371" s="22"/>
    </row>
    <row r="372" spans="1:6" ht="15.75" thickBot="1">
      <c r="A372" s="3"/>
      <c r="B372" s="3"/>
      <c r="C372" s="4"/>
      <c r="D372" s="4"/>
      <c r="E372" s="17"/>
      <c r="F372" s="22"/>
    </row>
    <row r="373" spans="1:6" ht="15.75" thickBot="1">
      <c r="A373" s="3"/>
      <c r="B373" s="3"/>
      <c r="C373" s="4"/>
      <c r="D373" s="4"/>
      <c r="E373" s="17"/>
      <c r="F373" s="22"/>
    </row>
    <row r="374" spans="1:6" ht="15.75" thickBot="1">
      <c r="A374" s="3"/>
      <c r="B374" s="3"/>
      <c r="C374" s="4"/>
      <c r="D374" s="4"/>
      <c r="E374" s="17"/>
      <c r="F374" s="22"/>
    </row>
    <row r="375" spans="1:6" ht="15.75" thickBot="1">
      <c r="A375" s="3"/>
      <c r="B375" s="3"/>
      <c r="C375" s="4"/>
      <c r="D375" s="4"/>
      <c r="E375" s="17"/>
      <c r="F375" s="22"/>
    </row>
    <row r="376" spans="1:6" ht="15.75" thickBot="1">
      <c r="A376" s="3"/>
      <c r="B376" s="3"/>
      <c r="C376" s="4"/>
      <c r="D376" s="4"/>
      <c r="E376" s="17"/>
      <c r="F376" s="22"/>
    </row>
    <row r="377" spans="1:6" ht="15.75" thickBot="1">
      <c r="A377" s="3"/>
      <c r="B377" s="3"/>
      <c r="C377" s="4"/>
      <c r="D377" s="4"/>
      <c r="E377" s="17"/>
      <c r="F377" s="22"/>
    </row>
    <row r="378" spans="1:6" ht="15.75" thickBot="1">
      <c r="A378" s="3"/>
      <c r="B378" s="3"/>
      <c r="C378" s="4"/>
      <c r="D378" s="4"/>
      <c r="E378" s="17"/>
      <c r="F378" s="22"/>
    </row>
    <row r="379" spans="1:6" ht="15.75" thickBot="1">
      <c r="A379" s="3"/>
      <c r="B379" s="3"/>
      <c r="C379" s="4"/>
      <c r="D379" s="4"/>
      <c r="E379" s="17"/>
      <c r="F379" s="22"/>
    </row>
    <row r="380" spans="1:6" ht="15.75" thickBot="1">
      <c r="A380" s="3"/>
      <c r="B380" s="3"/>
      <c r="C380" s="4"/>
      <c r="D380" s="4"/>
      <c r="E380" s="17"/>
      <c r="F380" s="22"/>
    </row>
    <row r="381" spans="1:6" ht="15.75" thickBot="1">
      <c r="A381" s="3"/>
      <c r="B381" s="3"/>
      <c r="C381" s="4"/>
      <c r="D381" s="4"/>
      <c r="E381" s="17"/>
      <c r="F381" s="22"/>
    </row>
    <row r="382" spans="1:6" ht="15.75" thickBot="1">
      <c r="A382" s="3"/>
      <c r="B382" s="3"/>
      <c r="C382" s="4"/>
      <c r="D382" s="4"/>
      <c r="E382" s="17"/>
      <c r="F382" s="22"/>
    </row>
    <row r="383" spans="1:6" ht="15.75" thickBot="1">
      <c r="A383" s="3"/>
      <c r="B383" s="3"/>
      <c r="C383" s="4"/>
      <c r="D383" s="4"/>
      <c r="E383" s="17"/>
      <c r="F383" s="22"/>
    </row>
    <row r="384" spans="1:6" ht="15.75" thickBot="1">
      <c r="A384" s="3"/>
      <c r="B384" s="3"/>
      <c r="C384" s="4"/>
      <c r="D384" s="4"/>
      <c r="E384" s="17"/>
      <c r="F384" s="22"/>
    </row>
    <row r="385" spans="1:6" ht="15.75" thickBot="1">
      <c r="A385" s="3"/>
      <c r="B385" s="3"/>
      <c r="C385" s="4"/>
      <c r="D385" s="4"/>
      <c r="E385" s="17"/>
      <c r="F385" s="22"/>
    </row>
    <row r="386" spans="1:6" ht="15.75" thickBot="1">
      <c r="A386" s="3"/>
      <c r="B386" s="3"/>
      <c r="C386" s="4"/>
      <c r="D386" s="4"/>
      <c r="E386" s="17"/>
      <c r="F386" s="22"/>
    </row>
    <row r="387" spans="1:6" ht="15.75" thickBot="1">
      <c r="A387" s="3"/>
      <c r="B387" s="3"/>
      <c r="C387" s="4"/>
      <c r="D387" s="4"/>
      <c r="E387" s="17"/>
      <c r="F387" s="22"/>
    </row>
    <row r="388" spans="1:6" ht="15.75" thickBot="1">
      <c r="A388" s="3"/>
      <c r="B388" s="3"/>
      <c r="C388" s="4"/>
      <c r="D388" s="4"/>
      <c r="E388" s="17"/>
      <c r="F388" s="22"/>
    </row>
    <row r="389" spans="1:6" ht="15.75" thickBot="1">
      <c r="A389" s="3"/>
      <c r="B389" s="3"/>
      <c r="C389" s="4"/>
      <c r="D389" s="4"/>
      <c r="E389" s="17"/>
      <c r="F389" s="22"/>
    </row>
    <row r="390" spans="1:6" ht="15.75" thickBot="1">
      <c r="A390" s="3"/>
      <c r="B390" s="3"/>
      <c r="C390" s="4"/>
      <c r="D390" s="4"/>
      <c r="E390" s="17"/>
      <c r="F390" s="22"/>
    </row>
    <row r="391" spans="1:6" ht="15.75" thickBot="1">
      <c r="A391" s="3"/>
      <c r="B391" s="3"/>
      <c r="C391" s="4"/>
      <c r="D391" s="4"/>
      <c r="E391" s="17"/>
      <c r="F391" s="22"/>
    </row>
    <row r="392" spans="1:6" ht="15.75" thickBot="1">
      <c r="A392" s="3"/>
      <c r="B392" s="3"/>
      <c r="C392" s="4"/>
      <c r="D392" s="4"/>
      <c r="E392" s="17"/>
      <c r="F392" s="22"/>
    </row>
    <row r="393" spans="1:6" ht="15.75" thickBot="1">
      <c r="A393" s="3"/>
      <c r="B393" s="3"/>
      <c r="C393" s="4"/>
      <c r="D393" s="4"/>
      <c r="E393" s="17"/>
      <c r="F393" s="22"/>
    </row>
    <row r="394" spans="1:6" ht="15.75" thickBot="1">
      <c r="A394" s="3"/>
      <c r="B394" s="3"/>
      <c r="C394" s="4"/>
      <c r="D394" s="4"/>
      <c r="E394" s="17"/>
      <c r="F394" s="22"/>
    </row>
    <row r="395" spans="1:6" ht="15.75" thickBot="1">
      <c r="A395" s="3"/>
      <c r="B395" s="3"/>
      <c r="C395" s="4"/>
      <c r="D395" s="4"/>
      <c r="E395" s="17"/>
      <c r="F395" s="22"/>
    </row>
    <row r="396" spans="1:6" ht="15.75" thickBot="1">
      <c r="A396" s="3"/>
      <c r="B396" s="3"/>
      <c r="C396" s="4"/>
      <c r="D396" s="4"/>
      <c r="E396" s="17"/>
      <c r="F396" s="22"/>
    </row>
    <row r="397" spans="1:6" ht="15.75" thickBot="1">
      <c r="A397" s="3"/>
      <c r="B397" s="3"/>
      <c r="C397" s="4"/>
      <c r="D397" s="4"/>
      <c r="E397" s="17"/>
      <c r="F397" s="22"/>
    </row>
    <row r="398" spans="1:6" ht="15.75" thickBot="1">
      <c r="A398" s="3"/>
      <c r="B398" s="3"/>
      <c r="C398" s="4"/>
      <c r="D398" s="4"/>
      <c r="E398" s="17"/>
      <c r="F398" s="22"/>
    </row>
    <row r="399" spans="1:6" ht="15.75" thickBot="1">
      <c r="A399" s="3"/>
      <c r="B399" s="3"/>
      <c r="C399" s="4"/>
      <c r="D399" s="4"/>
      <c r="E399" s="17"/>
      <c r="F399" s="22"/>
    </row>
    <row r="400" spans="1:6" ht="15.75" thickBot="1">
      <c r="A400" s="3"/>
      <c r="B400" s="3"/>
      <c r="C400" s="4"/>
      <c r="D400" s="4"/>
      <c r="E400" s="17"/>
      <c r="F400" s="22"/>
    </row>
    <row r="401" spans="1:6" ht="15.75" thickBot="1">
      <c r="A401" s="3"/>
      <c r="B401" s="3"/>
      <c r="C401" s="4"/>
      <c r="D401" s="4"/>
      <c r="E401" s="17"/>
      <c r="F401" s="22"/>
    </row>
    <row r="402" spans="1:6" ht="15.75" thickBot="1">
      <c r="A402" s="3"/>
      <c r="B402" s="3"/>
      <c r="C402" s="4"/>
      <c r="D402" s="4"/>
      <c r="E402" s="17"/>
      <c r="F402" s="22"/>
    </row>
    <row r="403" spans="1:6" ht="15.75" thickBot="1">
      <c r="A403" s="3"/>
      <c r="B403" s="3"/>
      <c r="C403" s="4"/>
      <c r="D403" s="4"/>
      <c r="E403" s="17"/>
      <c r="F403" s="22"/>
    </row>
    <row r="404" spans="1:6" ht="15.75" thickBot="1">
      <c r="A404" s="3"/>
      <c r="B404" s="3"/>
      <c r="C404" s="4"/>
      <c r="D404" s="4"/>
      <c r="E404" s="17"/>
      <c r="F404" s="22"/>
    </row>
    <row r="405" spans="1:6" ht="15.75" thickBot="1">
      <c r="A405" s="3"/>
      <c r="B405" s="3"/>
      <c r="C405" s="4"/>
      <c r="D405" s="4"/>
      <c r="E405" s="17"/>
      <c r="F405" s="22"/>
    </row>
    <row r="406" spans="1:6" ht="15.75" thickBot="1">
      <c r="A406" s="3"/>
      <c r="B406" s="3"/>
      <c r="C406" s="4"/>
      <c r="D406" s="4"/>
      <c r="E406" s="17"/>
      <c r="F406" s="22"/>
    </row>
    <row r="407" spans="1:6" ht="15.75" thickBot="1">
      <c r="A407" s="3"/>
      <c r="B407" s="3"/>
      <c r="C407" s="4"/>
      <c r="D407" s="4"/>
      <c r="E407" s="17"/>
      <c r="F407" s="22"/>
    </row>
    <row r="408" spans="1:6" ht="15.75" thickBot="1">
      <c r="A408" s="3"/>
      <c r="B408" s="3"/>
      <c r="C408" s="4"/>
      <c r="D408" s="4"/>
      <c r="E408" s="17"/>
      <c r="F408" s="22"/>
    </row>
    <row r="409" spans="1:6" ht="15.75" thickBot="1">
      <c r="A409" s="3"/>
      <c r="B409" s="3"/>
      <c r="C409" s="4"/>
      <c r="D409" s="4"/>
      <c r="E409" s="17"/>
      <c r="F409" s="22"/>
    </row>
    <row r="410" spans="1:6" ht="15.75" thickBot="1">
      <c r="A410" s="3"/>
      <c r="B410" s="3"/>
      <c r="C410" s="4"/>
      <c r="D410" s="4"/>
      <c r="E410" s="17"/>
      <c r="F410" s="22"/>
    </row>
    <row r="411" spans="1:6" ht="15.75" thickBot="1">
      <c r="A411" s="3"/>
      <c r="B411" s="3"/>
      <c r="C411" s="4"/>
      <c r="D411" s="4"/>
      <c r="E411" s="17"/>
      <c r="F411" s="22"/>
    </row>
    <row r="412" spans="1:6" ht="15.75" thickBot="1">
      <c r="A412" s="3"/>
      <c r="B412" s="3"/>
      <c r="C412" s="4"/>
      <c r="D412" s="4"/>
      <c r="E412" s="17"/>
      <c r="F412" s="22"/>
    </row>
    <row r="413" spans="1:6" ht="15.75" thickBot="1">
      <c r="A413" s="3"/>
      <c r="B413" s="3"/>
      <c r="C413" s="4"/>
      <c r="D413" s="4"/>
      <c r="E413" s="17"/>
      <c r="F413" s="22"/>
    </row>
    <row r="414" spans="1:6" ht="15.75" thickBot="1">
      <c r="A414" s="3"/>
      <c r="B414" s="3"/>
      <c r="C414" s="4"/>
      <c r="D414" s="4"/>
      <c r="E414" s="17"/>
      <c r="F414" s="22"/>
    </row>
    <row r="415" spans="1:6" ht="15.75" thickBot="1">
      <c r="A415" s="3"/>
      <c r="B415" s="3"/>
      <c r="C415" s="4"/>
      <c r="D415" s="4"/>
      <c r="E415" s="17"/>
      <c r="F415" s="22"/>
    </row>
    <row r="416" spans="1:6" ht="15.75" thickBot="1">
      <c r="A416" s="3"/>
      <c r="B416" s="3"/>
      <c r="C416" s="4"/>
      <c r="D416" s="4"/>
      <c r="E416" s="17"/>
      <c r="F416" s="22"/>
    </row>
    <row r="417" spans="1:6" ht="15.75" thickBot="1">
      <c r="A417" s="3"/>
      <c r="B417" s="3"/>
      <c r="C417" s="4"/>
      <c r="D417" s="4"/>
      <c r="E417" s="17"/>
      <c r="F417" s="22"/>
    </row>
    <row r="418" spans="1:6" ht="15.75" thickBot="1">
      <c r="A418" s="3"/>
      <c r="B418" s="3"/>
      <c r="C418" s="4"/>
      <c r="D418" s="4"/>
      <c r="E418" s="17"/>
      <c r="F418" s="22"/>
    </row>
    <row r="419" spans="1:6" ht="15.75" thickBot="1">
      <c r="A419" s="3"/>
      <c r="B419" s="3"/>
      <c r="C419" s="4"/>
      <c r="D419" s="4"/>
      <c r="E419" s="17"/>
      <c r="F419" s="22"/>
    </row>
    <row r="420" spans="1:6" ht="15.75" thickBot="1">
      <c r="A420" s="3"/>
      <c r="B420" s="3"/>
      <c r="C420" s="4"/>
      <c r="D420" s="4"/>
      <c r="E420" s="17"/>
      <c r="F420" s="22"/>
    </row>
    <row r="421" spans="1:6" ht="15.75" thickBot="1">
      <c r="A421" s="3"/>
      <c r="B421" s="3"/>
      <c r="C421" s="4"/>
      <c r="D421" s="4"/>
      <c r="E421" s="17"/>
      <c r="F421" s="22"/>
    </row>
    <row r="422" spans="1:6" ht="15.75" thickBot="1">
      <c r="A422" s="3"/>
      <c r="B422" s="3"/>
      <c r="C422" s="4"/>
      <c r="D422" s="4"/>
      <c r="E422" s="17"/>
      <c r="F422" s="22"/>
    </row>
    <row r="423" spans="1:6" ht="15.75" thickBot="1">
      <c r="A423" s="3"/>
      <c r="B423" s="3"/>
      <c r="C423" s="4"/>
      <c r="D423" s="4"/>
      <c r="E423" s="17"/>
      <c r="F423" s="22"/>
    </row>
    <row r="424" spans="1:6" ht="15.75" thickBot="1">
      <c r="A424" s="3"/>
      <c r="B424" s="3"/>
      <c r="C424" s="4"/>
      <c r="D424" s="4"/>
      <c r="E424" s="17"/>
      <c r="F424" s="22"/>
    </row>
    <row r="425" spans="1:6" ht="15.75" thickBot="1">
      <c r="A425" s="3"/>
      <c r="B425" s="3"/>
      <c r="C425" s="4"/>
      <c r="D425" s="4"/>
      <c r="E425" s="17"/>
      <c r="F425" s="22"/>
    </row>
    <row r="426" spans="1:6" ht="15.75" thickBot="1">
      <c r="A426" s="3"/>
      <c r="B426" s="3"/>
      <c r="C426" s="4"/>
      <c r="D426" s="4"/>
      <c r="E426" s="17"/>
      <c r="F426" s="22"/>
    </row>
    <row r="427" spans="1:6" ht="15.75" thickBot="1">
      <c r="A427" s="3"/>
      <c r="B427" s="3"/>
      <c r="C427" s="4"/>
      <c r="D427" s="4"/>
      <c r="E427" s="17"/>
      <c r="F427" s="22"/>
    </row>
    <row r="428" spans="1:6" ht="15.75" thickBot="1">
      <c r="A428" s="3"/>
      <c r="B428" s="3"/>
      <c r="C428" s="4"/>
      <c r="D428" s="4"/>
      <c r="E428" s="17"/>
      <c r="F428" s="22"/>
    </row>
    <row r="429" spans="1:6" ht="15.75" thickBot="1">
      <c r="A429" s="3"/>
      <c r="B429" s="3"/>
      <c r="C429" s="4"/>
      <c r="D429" s="4"/>
      <c r="E429" s="17"/>
      <c r="F429" s="22"/>
    </row>
    <row r="430" spans="1:6" ht="15.75" thickBot="1">
      <c r="A430" s="3"/>
      <c r="B430" s="3"/>
      <c r="C430" s="4"/>
      <c r="D430" s="4"/>
      <c r="E430" s="17"/>
      <c r="F430" s="22"/>
    </row>
    <row r="431" spans="1:6" ht="15.75" thickBot="1">
      <c r="A431" s="3"/>
      <c r="B431" s="3"/>
      <c r="C431" s="4"/>
      <c r="D431" s="4"/>
      <c r="E431" s="17"/>
      <c r="F431" s="22"/>
    </row>
    <row r="432" spans="1:6" ht="15.75" thickBot="1">
      <c r="A432" s="3"/>
      <c r="B432" s="3"/>
      <c r="C432" s="4"/>
      <c r="D432" s="4"/>
      <c r="E432" s="17"/>
      <c r="F432" s="22"/>
    </row>
    <row r="433" spans="1:6" ht="15.75" thickBot="1">
      <c r="A433" s="3"/>
      <c r="B433" s="3"/>
      <c r="C433" s="4"/>
      <c r="D433" s="4"/>
      <c r="E433" s="17"/>
      <c r="F433" s="22"/>
    </row>
    <row r="434" spans="1:6" ht="15.75" thickBot="1">
      <c r="A434" s="3"/>
      <c r="B434" s="3"/>
      <c r="C434" s="4"/>
      <c r="D434" s="4"/>
      <c r="E434" s="17"/>
      <c r="F434" s="22"/>
    </row>
    <row r="435" spans="1:6" ht="15.75" thickBot="1">
      <c r="A435" s="3"/>
      <c r="B435" s="3"/>
      <c r="C435" s="4"/>
      <c r="D435" s="4"/>
      <c r="E435" s="17"/>
      <c r="F435" s="22"/>
    </row>
    <row r="436" spans="1:6" ht="15.75" thickBot="1">
      <c r="A436" s="3"/>
      <c r="B436" s="3"/>
      <c r="C436" s="4"/>
      <c r="D436" s="4"/>
      <c r="E436" s="17"/>
      <c r="F436" s="22"/>
    </row>
    <row r="437" spans="1:6" ht="15.75" thickBot="1">
      <c r="A437" s="3"/>
      <c r="B437" s="3"/>
      <c r="C437" s="4"/>
      <c r="D437" s="4"/>
      <c r="E437" s="17"/>
      <c r="F437" s="22"/>
    </row>
    <row r="438" spans="1:6" ht="15.75" thickBot="1">
      <c r="A438" s="3"/>
      <c r="B438" s="3"/>
      <c r="C438" s="4"/>
      <c r="D438" s="4"/>
      <c r="E438" s="17"/>
      <c r="F438" s="22"/>
    </row>
    <row r="439" spans="1:6" ht="15.75" thickBot="1">
      <c r="A439" s="3"/>
      <c r="B439" s="3"/>
      <c r="C439" s="4"/>
      <c r="D439" s="4"/>
      <c r="E439" s="17"/>
      <c r="F439" s="22"/>
    </row>
    <row r="440" spans="1:6" ht="15.75" thickBot="1">
      <c r="A440" s="3"/>
      <c r="B440" s="3"/>
      <c r="C440" s="4"/>
      <c r="D440" s="4"/>
      <c r="E440" s="17"/>
      <c r="F440" s="22"/>
    </row>
    <row r="441" spans="1:6" ht="15.75" thickBot="1">
      <c r="A441" s="3"/>
      <c r="B441" s="3"/>
      <c r="C441" s="4"/>
      <c r="D441" s="4"/>
      <c r="E441" s="17"/>
      <c r="F441" s="22"/>
    </row>
    <row r="442" spans="1:6" ht="15.75" thickBot="1">
      <c r="A442" s="3"/>
      <c r="B442" s="3"/>
      <c r="C442" s="4"/>
      <c r="D442" s="4"/>
      <c r="E442" s="17"/>
      <c r="F442" s="22"/>
    </row>
    <row r="443" spans="1:6" ht="15.75" thickBot="1">
      <c r="A443" s="3"/>
      <c r="B443" s="3"/>
      <c r="C443" s="4"/>
      <c r="D443" s="4"/>
      <c r="E443" s="17"/>
      <c r="F443" s="22"/>
    </row>
    <row r="444" spans="1:6" ht="15.75" thickBot="1">
      <c r="A444" s="3"/>
      <c r="B444" s="3"/>
      <c r="C444" s="4"/>
      <c r="D444" s="4"/>
      <c r="E444" s="17"/>
      <c r="F444" s="22"/>
    </row>
    <row r="445" spans="1:6" ht="15.75" thickBot="1">
      <c r="A445" s="3"/>
      <c r="B445" s="3"/>
      <c r="C445" s="4"/>
      <c r="D445" s="4"/>
      <c r="E445" s="17"/>
      <c r="F445" s="22"/>
    </row>
    <row r="446" spans="1:6" ht="15.75" thickBot="1">
      <c r="A446" s="3"/>
      <c r="B446" s="3"/>
      <c r="C446" s="4"/>
      <c r="D446" s="4"/>
      <c r="E446" s="17"/>
      <c r="F446" s="22"/>
    </row>
    <row r="447" spans="1:6" ht="15.75" thickBot="1">
      <c r="A447" s="3"/>
      <c r="B447" s="3"/>
      <c r="C447" s="4"/>
      <c r="D447" s="4"/>
      <c r="E447" s="17"/>
      <c r="F447" s="22"/>
    </row>
    <row r="448" spans="1:6" ht="15.75" thickBot="1">
      <c r="A448" s="3"/>
      <c r="B448" s="3"/>
      <c r="C448" s="4"/>
      <c r="D448" s="4"/>
      <c r="E448" s="17"/>
      <c r="F448" s="22"/>
    </row>
    <row r="449" spans="1:6" ht="15.75" thickBot="1">
      <c r="A449" s="3"/>
      <c r="B449" s="3"/>
      <c r="C449" s="4"/>
      <c r="D449" s="4"/>
      <c r="E449" s="17"/>
      <c r="F449" s="22"/>
    </row>
    <row r="450" spans="1:6" ht="15.75" thickBot="1">
      <c r="A450" s="3"/>
      <c r="B450" s="3"/>
      <c r="C450" s="4"/>
      <c r="D450" s="4"/>
      <c r="E450" s="17"/>
      <c r="F450" s="22"/>
    </row>
    <row r="451" spans="1:6" ht="15.75" thickBot="1">
      <c r="A451" s="3"/>
      <c r="B451" s="3"/>
      <c r="C451" s="4"/>
      <c r="D451" s="4"/>
      <c r="E451" s="17"/>
      <c r="F451" s="22"/>
    </row>
    <row r="452" spans="1:6" ht="15.75" thickBot="1">
      <c r="A452" s="3"/>
      <c r="B452" s="3"/>
      <c r="C452" s="4"/>
      <c r="D452" s="4"/>
      <c r="E452" s="17"/>
      <c r="F452" s="22"/>
    </row>
    <row r="453" spans="1:6" ht="15.75" thickBot="1">
      <c r="A453" s="3"/>
      <c r="B453" s="3"/>
      <c r="C453" s="4"/>
      <c r="D453" s="4"/>
      <c r="E453" s="17"/>
      <c r="F453" s="22"/>
    </row>
    <row r="454" spans="1:6" ht="15.75" thickBot="1">
      <c r="A454" s="3"/>
      <c r="B454" s="3"/>
      <c r="C454" s="4"/>
      <c r="D454" s="4"/>
      <c r="E454" s="17"/>
      <c r="F454" s="22"/>
    </row>
    <row r="455" spans="1:6" ht="15.75" thickBot="1">
      <c r="A455" s="3"/>
      <c r="B455" s="3"/>
      <c r="C455" s="4"/>
      <c r="D455" s="4"/>
      <c r="E455" s="17"/>
      <c r="F455" s="22"/>
    </row>
    <row r="456" spans="1:6" ht="15.75" thickBot="1">
      <c r="A456" s="3"/>
      <c r="B456" s="3"/>
      <c r="C456" s="4"/>
      <c r="D456" s="4"/>
      <c r="E456" s="17"/>
      <c r="F456" s="22"/>
    </row>
    <row r="457" spans="1:6" ht="15.75" thickBot="1">
      <c r="A457" s="3"/>
      <c r="B457" s="3"/>
      <c r="C457" s="4"/>
      <c r="D457" s="4"/>
      <c r="E457" s="17"/>
      <c r="F457" s="22"/>
    </row>
    <row r="458" spans="1:6" ht="15.75" thickBot="1">
      <c r="A458" s="3"/>
      <c r="B458" s="3"/>
      <c r="C458" s="4"/>
      <c r="D458" s="4"/>
      <c r="E458" s="17"/>
      <c r="F458" s="22"/>
    </row>
    <row r="459" spans="1:6" ht="15.75" thickBot="1">
      <c r="A459" s="3"/>
      <c r="B459" s="3"/>
      <c r="C459" s="4"/>
      <c r="D459" s="4"/>
      <c r="E459" s="17"/>
      <c r="F459" s="22"/>
    </row>
    <row r="460" spans="1:6" ht="15.75" thickBot="1">
      <c r="A460" s="3"/>
      <c r="B460" s="3"/>
      <c r="C460" s="4"/>
      <c r="D460" s="4"/>
      <c r="E460" s="17"/>
      <c r="F460" s="22"/>
    </row>
    <row r="461" spans="1:6" ht="15.75" thickBot="1">
      <c r="A461" s="3"/>
      <c r="B461" s="3"/>
      <c r="C461" s="4"/>
      <c r="D461" s="4"/>
      <c r="E461" s="17"/>
      <c r="F461" s="22"/>
    </row>
    <row r="462" spans="1:6" ht="15.75" thickBot="1">
      <c r="A462" s="3"/>
      <c r="B462" s="3"/>
      <c r="C462" s="4"/>
      <c r="D462" s="4"/>
      <c r="E462" s="17"/>
      <c r="F462" s="22"/>
    </row>
    <row r="463" spans="1:6" ht="15.75" thickBot="1">
      <c r="A463" s="3"/>
      <c r="B463" s="3"/>
      <c r="C463" s="4"/>
      <c r="D463" s="4"/>
      <c r="E463" s="17"/>
      <c r="F463" s="22"/>
    </row>
    <row r="464" spans="1:6" ht="15.75" thickBot="1">
      <c r="A464" s="3"/>
      <c r="B464" s="3"/>
      <c r="C464" s="4"/>
      <c r="D464" s="4"/>
      <c r="E464" s="17"/>
      <c r="F464" s="22"/>
    </row>
    <row r="465" spans="1:6" ht="15.75" thickBot="1">
      <c r="A465" s="3"/>
      <c r="B465" s="3"/>
      <c r="C465" s="4"/>
      <c r="D465" s="4"/>
      <c r="E465" s="17"/>
      <c r="F465" s="22"/>
    </row>
    <row r="466" spans="1:6" ht="15.75" thickBot="1">
      <c r="A466" s="3"/>
      <c r="B466" s="3"/>
      <c r="C466" s="4"/>
      <c r="D466" s="4"/>
      <c r="E466" s="17"/>
      <c r="F466" s="22"/>
    </row>
    <row r="467" spans="1:6" ht="15.75" thickBot="1">
      <c r="A467" s="3"/>
      <c r="B467" s="3"/>
      <c r="C467" s="4"/>
      <c r="D467" s="4"/>
      <c r="E467" s="17"/>
      <c r="F467" s="22"/>
    </row>
    <row r="468" spans="1:6" ht="15.75" thickBot="1">
      <c r="A468" s="3"/>
      <c r="B468" s="3"/>
      <c r="C468" s="4"/>
      <c r="D468" s="4"/>
      <c r="E468" s="17"/>
      <c r="F468" s="22"/>
    </row>
    <row r="469" spans="1:6" ht="15.75" thickBot="1">
      <c r="A469" s="3"/>
      <c r="B469" s="3"/>
      <c r="C469" s="4"/>
      <c r="D469" s="4"/>
      <c r="E469" s="17"/>
      <c r="F469" s="22"/>
    </row>
    <row r="470" spans="1:6" ht="15.75" thickBot="1">
      <c r="A470" s="3"/>
      <c r="B470" s="3"/>
      <c r="C470" s="4"/>
      <c r="D470" s="4"/>
      <c r="E470" s="17"/>
      <c r="F470" s="22"/>
    </row>
    <row r="471" spans="1:6" ht="15.75" thickBot="1">
      <c r="A471" s="3"/>
      <c r="B471" s="3"/>
      <c r="C471" s="4"/>
      <c r="D471" s="4"/>
      <c r="E471" s="17"/>
      <c r="F471" s="22"/>
    </row>
    <row r="472" spans="1:6" ht="15.75" thickBot="1">
      <c r="A472" s="3"/>
      <c r="B472" s="3"/>
      <c r="C472" s="4"/>
      <c r="D472" s="4"/>
      <c r="E472" s="17"/>
      <c r="F472" s="22"/>
    </row>
    <row r="473" spans="1:6" ht="15.75" thickBot="1">
      <c r="A473" s="3"/>
      <c r="B473" s="3"/>
      <c r="C473" s="4"/>
      <c r="D473" s="4"/>
      <c r="E473" s="17"/>
      <c r="F473" s="22"/>
    </row>
    <row r="474" spans="1:6" ht="15.75" thickBot="1">
      <c r="A474" s="3"/>
      <c r="B474" s="3"/>
      <c r="C474" s="4"/>
      <c r="D474" s="4"/>
      <c r="E474" s="17"/>
      <c r="F474" s="22"/>
    </row>
    <row r="475" spans="1:6" ht="15.75" thickBot="1">
      <c r="A475" s="3"/>
      <c r="B475" s="3"/>
      <c r="C475" s="4"/>
      <c r="D475" s="4"/>
      <c r="E475" s="17"/>
      <c r="F475" s="22"/>
    </row>
    <row r="476" spans="1:6" ht="15.75" thickBot="1">
      <c r="A476" s="3"/>
      <c r="B476" s="3"/>
      <c r="C476" s="4"/>
      <c r="D476" s="4"/>
      <c r="E476" s="17"/>
      <c r="F476" s="22"/>
    </row>
    <row r="477" spans="1:6" ht="15.75" thickBot="1">
      <c r="A477" s="3"/>
      <c r="B477" s="3"/>
      <c r="C477" s="4"/>
      <c r="D477" s="4"/>
      <c r="E477" s="17"/>
      <c r="F477" s="22"/>
    </row>
    <row r="478" spans="1:6" ht="15.75" thickBot="1">
      <c r="A478" s="3"/>
      <c r="B478" s="3"/>
      <c r="C478" s="4"/>
      <c r="D478" s="4"/>
      <c r="E478" s="17"/>
      <c r="F478" s="22"/>
    </row>
    <row r="479" spans="1:6" ht="15.75" thickBot="1">
      <c r="A479" s="3"/>
      <c r="B479" s="3"/>
      <c r="C479" s="4"/>
      <c r="D479" s="4"/>
      <c r="E479" s="17"/>
      <c r="F479" s="22"/>
    </row>
    <row r="480" spans="1:6" ht="15.75" thickBot="1">
      <c r="A480" s="3"/>
      <c r="B480" s="3"/>
      <c r="C480" s="4"/>
      <c r="D480" s="4"/>
      <c r="E480" s="17"/>
      <c r="F480" s="22"/>
    </row>
    <row r="481" spans="1:6" ht="15.75" thickBot="1">
      <c r="A481" s="3"/>
      <c r="B481" s="3"/>
      <c r="C481" s="4"/>
      <c r="D481" s="4"/>
      <c r="E481" s="17"/>
      <c r="F481" s="22"/>
    </row>
    <row r="482" spans="1:6" ht="15.75" thickBot="1">
      <c r="A482" s="3"/>
      <c r="B482" s="3"/>
      <c r="C482" s="4"/>
      <c r="D482" s="4"/>
      <c r="E482" s="17"/>
      <c r="F482" s="22"/>
    </row>
    <row r="483" spans="1:6" ht="15.75" thickBot="1">
      <c r="A483" s="3"/>
      <c r="B483" s="3"/>
      <c r="C483" s="4"/>
      <c r="D483" s="4"/>
      <c r="E483" s="17"/>
      <c r="F483" s="22"/>
    </row>
    <row r="484" spans="1:6" ht="15.75" thickBot="1">
      <c r="A484" s="3"/>
      <c r="B484" s="3"/>
      <c r="C484" s="4"/>
      <c r="D484" s="4"/>
      <c r="E484" s="17"/>
      <c r="F484" s="22"/>
    </row>
    <row r="485" spans="1:6" ht="15.75" thickBot="1">
      <c r="A485" s="3"/>
      <c r="B485" s="3"/>
      <c r="C485" s="4"/>
      <c r="D485" s="4"/>
      <c r="E485" s="17"/>
      <c r="F485" s="22"/>
    </row>
    <row r="486" spans="1:6" ht="15.75" thickBot="1">
      <c r="A486" s="3"/>
      <c r="B486" s="3"/>
      <c r="C486" s="4"/>
      <c r="D486" s="4"/>
      <c r="E486" s="17"/>
      <c r="F486" s="22"/>
    </row>
    <row r="487" spans="1:6" ht="15.75" thickBot="1">
      <c r="A487" s="3"/>
      <c r="B487" s="3"/>
      <c r="C487" s="4"/>
      <c r="D487" s="4"/>
      <c r="E487" s="17"/>
      <c r="F487" s="22"/>
    </row>
    <row r="488" spans="1:6" ht="15.75" thickBot="1">
      <c r="A488" s="3"/>
      <c r="B488" s="3"/>
      <c r="C488" s="4"/>
      <c r="D488" s="4"/>
      <c r="E488" s="17"/>
      <c r="F488" s="22"/>
    </row>
    <row r="489" spans="1:6" ht="15.75" thickBot="1">
      <c r="A489" s="3"/>
      <c r="B489" s="3"/>
      <c r="C489" s="4"/>
      <c r="D489" s="4"/>
      <c r="E489" s="17"/>
      <c r="F489" s="22"/>
    </row>
    <row r="490" spans="1:6" ht="15.75" thickBot="1">
      <c r="A490" s="3"/>
      <c r="B490" s="3"/>
      <c r="C490" s="4"/>
      <c r="D490" s="4"/>
      <c r="E490" s="17"/>
      <c r="F490" s="22"/>
    </row>
    <row r="491" spans="1:6" ht="15.75" thickBot="1">
      <c r="A491" s="3"/>
      <c r="B491" s="3"/>
      <c r="C491" s="4"/>
      <c r="D491" s="4"/>
      <c r="E491" s="17"/>
      <c r="F491" s="22"/>
    </row>
    <row r="492" spans="1:6" ht="15.75" thickBot="1">
      <c r="A492" s="3"/>
      <c r="B492" s="3"/>
      <c r="C492" s="4"/>
      <c r="D492" s="4"/>
      <c r="E492" s="17"/>
      <c r="F492" s="22"/>
    </row>
    <row r="493" spans="1:6" ht="15.75" thickBot="1">
      <c r="A493" s="3"/>
      <c r="B493" s="3"/>
      <c r="C493" s="4"/>
      <c r="D493" s="4"/>
      <c r="E493" s="17"/>
      <c r="F493" s="22"/>
    </row>
    <row r="494" spans="1:6" ht="15.75" thickBot="1">
      <c r="A494" s="3"/>
      <c r="B494" s="3"/>
      <c r="C494" s="4"/>
      <c r="D494" s="4"/>
      <c r="E494" s="17"/>
      <c r="F494" s="22"/>
    </row>
    <row r="495" spans="1:6" ht="15.75" thickBot="1">
      <c r="A495" s="3"/>
      <c r="B495" s="3"/>
      <c r="C495" s="4"/>
      <c r="D495" s="4"/>
      <c r="E495" s="17"/>
      <c r="F495" s="22"/>
    </row>
    <row r="496" spans="1:6" ht="15.75" thickBot="1">
      <c r="A496" s="3"/>
      <c r="B496" s="3"/>
      <c r="C496" s="4"/>
      <c r="D496" s="4"/>
      <c r="E496" s="17"/>
      <c r="F496" s="22"/>
    </row>
    <row r="497" spans="1:6" ht="15.75" thickBot="1">
      <c r="A497" s="3"/>
      <c r="B497" s="3"/>
      <c r="C497" s="4"/>
      <c r="D497" s="4"/>
      <c r="E497" s="17"/>
      <c r="F497" s="22"/>
    </row>
    <row r="498" spans="1:6" ht="15.75" thickBot="1">
      <c r="A498" s="3"/>
      <c r="B498" s="3"/>
      <c r="C498" s="4"/>
      <c r="D498" s="4"/>
      <c r="E498" s="17"/>
      <c r="F498" s="22"/>
    </row>
    <row r="499" spans="1:6" ht="15.75" thickBot="1">
      <c r="A499" s="3"/>
      <c r="B499" s="3"/>
      <c r="C499" s="4"/>
      <c r="D499" s="4"/>
      <c r="E499" s="17"/>
      <c r="F499" s="22"/>
    </row>
    <row r="500" spans="1:6" ht="15.75" thickBot="1">
      <c r="A500" s="3"/>
      <c r="B500" s="3"/>
      <c r="C500" s="4"/>
      <c r="D500" s="4"/>
      <c r="E500" s="17"/>
      <c r="F500" s="22"/>
    </row>
    <row r="501" spans="1:6" ht="15.75" thickBot="1">
      <c r="A501" s="3"/>
      <c r="B501" s="3"/>
      <c r="C501" s="4"/>
      <c r="D501" s="4"/>
      <c r="E501" s="17"/>
      <c r="F501" s="22"/>
    </row>
    <row r="502" spans="1:6" ht="15.75" thickBot="1">
      <c r="A502" s="3"/>
      <c r="B502" s="3"/>
      <c r="C502" s="4"/>
      <c r="D502" s="4"/>
      <c r="E502" s="17"/>
      <c r="F502" s="22"/>
    </row>
    <row r="503" spans="1:6" ht="15.75" thickBot="1">
      <c r="A503" s="3"/>
      <c r="B503" s="3"/>
      <c r="C503" s="4"/>
      <c r="D503" s="4"/>
      <c r="E503" s="17"/>
      <c r="F503" s="22"/>
    </row>
    <row r="504" spans="1:6" ht="15.75" thickBot="1">
      <c r="A504" s="3"/>
      <c r="B504" s="3"/>
      <c r="C504" s="4"/>
      <c r="D504" s="4"/>
      <c r="E504" s="17"/>
      <c r="F504" s="22"/>
    </row>
    <row r="505" spans="1:6" ht="15.75" thickBot="1">
      <c r="A505" s="3"/>
      <c r="B505" s="3"/>
      <c r="C505" s="4"/>
      <c r="D505" s="4"/>
      <c r="E505" s="17"/>
      <c r="F505" s="22"/>
    </row>
    <row r="506" spans="1:6" ht="15.75" thickBot="1">
      <c r="A506" s="3"/>
      <c r="B506" s="3"/>
      <c r="C506" s="4"/>
      <c r="D506" s="4"/>
      <c r="E506" s="17"/>
      <c r="F506" s="22"/>
    </row>
    <row r="507" spans="1:6" ht="15.75" thickBot="1">
      <c r="A507" s="3"/>
      <c r="B507" s="3"/>
      <c r="C507" s="4"/>
      <c r="D507" s="4"/>
      <c r="E507" s="17"/>
      <c r="F507" s="22"/>
    </row>
    <row r="508" spans="1:6" ht="15.75" thickBot="1">
      <c r="A508" s="3"/>
      <c r="B508" s="3"/>
      <c r="C508" s="4"/>
      <c r="D508" s="4"/>
      <c r="E508" s="17"/>
      <c r="F508" s="22"/>
    </row>
    <row r="509" spans="1:6" ht="15.75" thickBot="1">
      <c r="A509" s="3"/>
      <c r="B509" s="3"/>
      <c r="C509" s="4"/>
      <c r="D509" s="4"/>
      <c r="E509" s="17"/>
      <c r="F509" s="22"/>
    </row>
    <row r="510" spans="1:6" ht="15.75" thickBot="1">
      <c r="A510" s="3"/>
      <c r="B510" s="3"/>
      <c r="C510" s="4"/>
      <c r="D510" s="4"/>
      <c r="E510" s="17"/>
      <c r="F510" s="22"/>
    </row>
    <row r="511" spans="1:6" ht="15.75" thickBot="1">
      <c r="A511" s="3"/>
      <c r="B511" s="3"/>
      <c r="C511" s="4"/>
      <c r="D511" s="4"/>
      <c r="E511" s="17"/>
      <c r="F511" s="22"/>
    </row>
    <row r="512" spans="1:6" ht="15.75" thickBot="1">
      <c r="A512" s="3"/>
      <c r="B512" s="3"/>
      <c r="C512" s="4"/>
      <c r="D512" s="4"/>
      <c r="E512" s="17"/>
      <c r="F512" s="22"/>
    </row>
    <row r="513" spans="1:6" ht="15.75" thickBot="1">
      <c r="A513" s="3"/>
      <c r="B513" s="3"/>
      <c r="C513" s="4"/>
      <c r="D513" s="4"/>
      <c r="E513" s="17"/>
      <c r="F513" s="22"/>
    </row>
    <row r="514" spans="1:6" ht="15.75" thickBot="1">
      <c r="A514" s="3"/>
      <c r="B514" s="3"/>
      <c r="C514" s="4"/>
      <c r="D514" s="4"/>
      <c r="E514" s="17"/>
      <c r="F514" s="22"/>
    </row>
    <row r="515" spans="1:6" ht="15.75" thickBot="1">
      <c r="A515" s="3"/>
      <c r="B515" s="3"/>
      <c r="C515" s="4"/>
      <c r="D515" s="4"/>
      <c r="E515" s="17"/>
      <c r="F515" s="22"/>
    </row>
    <row r="516" spans="1:6" ht="15.75" thickBot="1">
      <c r="A516" s="3"/>
      <c r="B516" s="3"/>
      <c r="C516" s="4"/>
      <c r="D516" s="4"/>
      <c r="E516" s="17"/>
      <c r="F516" s="22"/>
    </row>
    <row r="517" spans="1:6" ht="15.75" thickBot="1">
      <c r="A517" s="3"/>
      <c r="B517" s="3"/>
      <c r="C517" s="4"/>
      <c r="D517" s="4"/>
      <c r="E517" s="17"/>
      <c r="F517" s="22"/>
    </row>
    <row r="518" spans="1:6" ht="15.75" thickBot="1">
      <c r="A518" s="3"/>
      <c r="B518" s="3"/>
      <c r="C518" s="4"/>
      <c r="D518" s="4"/>
      <c r="E518" s="17"/>
      <c r="F518" s="22"/>
    </row>
    <row r="519" spans="1:6" ht="15.75" thickBot="1">
      <c r="A519" s="3"/>
      <c r="B519" s="3"/>
      <c r="C519" s="4"/>
      <c r="D519" s="4"/>
      <c r="E519" s="17"/>
      <c r="F519" s="22"/>
    </row>
    <row r="520" spans="1:6" ht="15.75" thickBot="1">
      <c r="A520" s="3"/>
      <c r="B520" s="3"/>
      <c r="C520" s="4"/>
      <c r="D520" s="4"/>
      <c r="E520" s="17"/>
      <c r="F520" s="22"/>
    </row>
    <row r="521" spans="1:6" ht="15.75" thickBot="1">
      <c r="A521" s="3"/>
      <c r="B521" s="3"/>
      <c r="C521" s="4"/>
      <c r="D521" s="4"/>
      <c r="E521" s="17"/>
      <c r="F521" s="22"/>
    </row>
    <row r="522" spans="1:6" ht="15.75" thickBot="1">
      <c r="A522" s="3"/>
      <c r="B522" s="3"/>
      <c r="C522" s="4"/>
      <c r="D522" s="4"/>
      <c r="E522" s="17"/>
      <c r="F522" s="22"/>
    </row>
    <row r="523" spans="1:6" ht="15.75" thickBot="1">
      <c r="A523" s="3"/>
      <c r="B523" s="3"/>
      <c r="C523" s="4"/>
      <c r="D523" s="4"/>
      <c r="E523" s="17"/>
      <c r="F523" s="22"/>
    </row>
    <row r="524" spans="1:6" ht="15.75" thickBot="1">
      <c r="A524" s="3"/>
      <c r="B524" s="3"/>
      <c r="C524" s="4"/>
      <c r="D524" s="4"/>
      <c r="E524" s="17"/>
      <c r="F524" s="22"/>
    </row>
    <row r="525" spans="1:6" ht="15.75" thickBot="1">
      <c r="A525" s="3"/>
      <c r="B525" s="3"/>
      <c r="C525" s="4"/>
      <c r="D525" s="4"/>
      <c r="E525" s="17"/>
      <c r="F525" s="22"/>
    </row>
    <row r="526" spans="1:6" ht="15.75" thickBot="1">
      <c r="A526" s="3"/>
      <c r="B526" s="3"/>
      <c r="C526" s="4"/>
      <c r="D526" s="4"/>
      <c r="E526" s="17"/>
      <c r="F526" s="22"/>
    </row>
    <row r="527" spans="1:6" ht="15.75" thickBot="1">
      <c r="A527" s="3"/>
      <c r="B527" s="3"/>
      <c r="C527" s="4"/>
      <c r="D527" s="4"/>
      <c r="E527" s="17"/>
      <c r="F527" s="22"/>
    </row>
    <row r="528" spans="1:6" ht="15.75" thickBot="1">
      <c r="A528" s="3"/>
      <c r="B528" s="3"/>
      <c r="C528" s="4"/>
      <c r="D528" s="4"/>
      <c r="E528" s="17"/>
      <c r="F528" s="22"/>
    </row>
    <row r="529" spans="1:6" ht="15.75" thickBot="1">
      <c r="A529" s="3"/>
      <c r="B529" s="3"/>
      <c r="C529" s="4"/>
      <c r="D529" s="4"/>
      <c r="E529" s="17"/>
      <c r="F529" s="22"/>
    </row>
    <row r="530" spans="1:6" ht="15.75" thickBot="1">
      <c r="A530" s="3"/>
      <c r="B530" s="3"/>
      <c r="C530" s="4"/>
      <c r="D530" s="4"/>
      <c r="E530" s="17"/>
      <c r="F530" s="22"/>
    </row>
    <row r="531" spans="1:6" ht="15.75" thickBot="1">
      <c r="A531" s="3"/>
      <c r="B531" s="3"/>
      <c r="C531" s="4"/>
      <c r="D531" s="4"/>
      <c r="E531" s="17"/>
      <c r="F531" s="22"/>
    </row>
    <row r="532" spans="1:6" ht="15.75" thickBot="1">
      <c r="A532" s="3"/>
      <c r="B532" s="3"/>
      <c r="C532" s="4"/>
      <c r="D532" s="4"/>
      <c r="E532" s="17"/>
      <c r="F532" s="22"/>
    </row>
    <row r="533" spans="1:6" ht="15.75" thickBot="1">
      <c r="A533" s="3"/>
      <c r="B533" s="3"/>
      <c r="C533" s="4"/>
      <c r="D533" s="4"/>
      <c r="E533" s="17"/>
      <c r="F533" s="22"/>
    </row>
    <row r="534" spans="1:6" ht="15.75" thickBot="1">
      <c r="A534" s="3"/>
      <c r="B534" s="3"/>
      <c r="C534" s="4"/>
      <c r="D534" s="4"/>
      <c r="E534" s="17"/>
      <c r="F534" s="22"/>
    </row>
    <row r="535" spans="1:6" ht="15.75" thickBot="1">
      <c r="A535" s="3"/>
      <c r="B535" s="3"/>
      <c r="C535" s="4"/>
      <c r="D535" s="4"/>
      <c r="E535" s="17"/>
      <c r="F535" s="22"/>
    </row>
    <row r="536" spans="1:6" ht="15.75" thickBot="1">
      <c r="A536" s="3"/>
      <c r="B536" s="3"/>
      <c r="C536" s="4"/>
      <c r="D536" s="4"/>
      <c r="E536" s="17"/>
      <c r="F536" s="22"/>
    </row>
    <row r="537" spans="1:6" ht="15.75" thickBot="1">
      <c r="A537" s="3"/>
      <c r="B537" s="3"/>
      <c r="C537" s="4"/>
      <c r="D537" s="4"/>
      <c r="E537" s="17"/>
      <c r="F537" s="22"/>
    </row>
    <row r="538" spans="1:6" ht="15.75" thickBot="1">
      <c r="A538" s="3"/>
      <c r="B538" s="3"/>
      <c r="C538" s="4"/>
      <c r="D538" s="4"/>
      <c r="E538" s="17"/>
      <c r="F538" s="22"/>
    </row>
    <row r="539" spans="1:6" ht="15.75" thickBot="1">
      <c r="A539" s="3"/>
      <c r="B539" s="3"/>
      <c r="C539" s="4"/>
      <c r="D539" s="4"/>
      <c r="E539" s="17"/>
      <c r="F539" s="22"/>
    </row>
    <row r="540" spans="1:6" ht="15.75" thickBot="1">
      <c r="A540" s="3"/>
      <c r="B540" s="3"/>
      <c r="C540" s="4"/>
      <c r="D540" s="4"/>
      <c r="E540" s="17"/>
      <c r="F540" s="22"/>
    </row>
    <row r="541" spans="1:6" ht="15.75" thickBot="1">
      <c r="A541" s="3"/>
      <c r="B541" s="3"/>
      <c r="C541" s="4"/>
      <c r="D541" s="4"/>
      <c r="E541" s="17"/>
      <c r="F541" s="22"/>
    </row>
    <row r="542" spans="1:6" ht="15.75" thickBot="1">
      <c r="A542" s="3"/>
      <c r="B542" s="3"/>
      <c r="C542" s="4"/>
      <c r="D542" s="4"/>
      <c r="E542" s="17"/>
      <c r="F542" s="22"/>
    </row>
    <row r="543" spans="1:6" ht="15.75" thickBot="1">
      <c r="A543" s="3"/>
      <c r="B543" s="3"/>
      <c r="C543" s="4"/>
      <c r="D543" s="4"/>
      <c r="E543" s="17"/>
      <c r="F543" s="22"/>
    </row>
    <row r="544" spans="1:6" ht="15.75" thickBot="1">
      <c r="A544" s="3"/>
      <c r="B544" s="3"/>
      <c r="C544" s="4"/>
      <c r="D544" s="4"/>
      <c r="E544" s="17"/>
      <c r="F544" s="22"/>
    </row>
    <row r="545" spans="1:6" ht="15.75" thickBot="1">
      <c r="A545" s="3"/>
      <c r="B545" s="3"/>
      <c r="C545" s="4"/>
      <c r="D545" s="4"/>
      <c r="E545" s="17"/>
      <c r="F545" s="22"/>
    </row>
    <row r="546" spans="1:6" ht="15.75" thickBot="1">
      <c r="A546" s="3"/>
      <c r="B546" s="3"/>
      <c r="C546" s="4"/>
      <c r="D546" s="4"/>
      <c r="E546" s="17"/>
      <c r="F546" s="22"/>
    </row>
    <row r="547" spans="1:6" ht="15.75" thickBot="1">
      <c r="A547" s="3"/>
      <c r="B547" s="3"/>
      <c r="C547" s="4"/>
      <c r="D547" s="4"/>
      <c r="E547" s="17"/>
      <c r="F547" s="22"/>
    </row>
    <row r="548" spans="1:6" ht="15.75" thickBot="1">
      <c r="A548" s="3"/>
      <c r="B548" s="3"/>
      <c r="C548" s="4"/>
      <c r="D548" s="4"/>
      <c r="E548" s="17"/>
      <c r="F548" s="22"/>
    </row>
    <row r="549" spans="1:6" ht="15.75" thickBot="1">
      <c r="A549" s="3"/>
      <c r="B549" s="3"/>
      <c r="C549" s="4"/>
      <c r="D549" s="4"/>
      <c r="E549" s="17"/>
      <c r="F549" s="22"/>
    </row>
    <row r="550" spans="1:6" ht="15.75" thickBot="1">
      <c r="A550" s="3"/>
      <c r="B550" s="3"/>
      <c r="C550" s="4"/>
      <c r="D550" s="4"/>
      <c r="E550" s="17"/>
      <c r="F550" s="22"/>
    </row>
    <row r="551" spans="1:6" ht="15.75" thickBot="1">
      <c r="A551" s="3"/>
      <c r="B551" s="3"/>
      <c r="C551" s="4"/>
      <c r="D551" s="4"/>
      <c r="E551" s="17"/>
      <c r="F551" s="22"/>
    </row>
    <row r="552" spans="1:6" ht="15.75" thickBot="1">
      <c r="A552" s="3"/>
      <c r="B552" s="3"/>
      <c r="C552" s="4"/>
      <c r="D552" s="4"/>
      <c r="E552" s="17"/>
      <c r="F552" s="22"/>
    </row>
    <row r="553" spans="1:6" ht="15.75" thickBot="1">
      <c r="A553" s="3"/>
      <c r="B553" s="3"/>
      <c r="C553" s="4"/>
      <c r="D553" s="4"/>
      <c r="E553" s="17"/>
      <c r="F553" s="22"/>
    </row>
    <row r="554" spans="1:6" ht="15.75" thickBot="1">
      <c r="A554" s="3"/>
      <c r="B554" s="3"/>
      <c r="C554" s="4"/>
      <c r="D554" s="4"/>
      <c r="E554" s="17"/>
      <c r="F554" s="22"/>
    </row>
    <row r="555" spans="1:6" ht="15.75" thickBot="1">
      <c r="A555" s="3"/>
      <c r="B555" s="3"/>
      <c r="C555" s="4"/>
      <c r="D555" s="4"/>
      <c r="E555" s="17"/>
      <c r="F555" s="22"/>
    </row>
    <row r="556" spans="1:6" ht="15.75" thickBot="1">
      <c r="A556" s="3"/>
      <c r="B556" s="3"/>
      <c r="C556" s="4"/>
      <c r="D556" s="4"/>
      <c r="E556" s="17"/>
      <c r="F556" s="22"/>
    </row>
    <row r="557" spans="1:6" ht="15.75" thickBot="1">
      <c r="A557" s="3"/>
      <c r="B557" s="3"/>
      <c r="C557" s="4"/>
      <c r="D557" s="4"/>
      <c r="E557" s="17"/>
      <c r="F557" s="22"/>
    </row>
    <row r="558" spans="1:6" ht="15.75" thickBot="1">
      <c r="A558" s="3"/>
      <c r="B558" s="3"/>
      <c r="C558" s="4"/>
      <c r="D558" s="4"/>
      <c r="E558" s="17"/>
      <c r="F558" s="22"/>
    </row>
    <row r="559" spans="1:6" ht="15.75" thickBot="1">
      <c r="A559" s="3"/>
      <c r="B559" s="3"/>
      <c r="C559" s="4"/>
      <c r="D559" s="4"/>
      <c r="E559" s="17"/>
      <c r="F559" s="22"/>
    </row>
    <row r="560" spans="1:6" ht="15.75" thickBot="1">
      <c r="A560" s="3"/>
      <c r="B560" s="3"/>
      <c r="C560" s="4"/>
      <c r="D560" s="4"/>
      <c r="E560" s="17"/>
      <c r="F560" s="22"/>
    </row>
    <row r="561" spans="1:6" ht="15.75" thickBot="1">
      <c r="A561" s="3"/>
      <c r="B561" s="3"/>
      <c r="C561" s="4"/>
      <c r="D561" s="4"/>
      <c r="E561" s="17"/>
      <c r="F561" s="22"/>
    </row>
    <row r="562" spans="1:6" ht="15.75" thickBot="1">
      <c r="A562" s="3"/>
      <c r="B562" s="3"/>
      <c r="C562" s="4"/>
      <c r="D562" s="4"/>
      <c r="E562" s="17"/>
      <c r="F562" s="22"/>
    </row>
    <row r="563" spans="1:6" ht="15.75" thickBot="1">
      <c r="A563" s="3"/>
      <c r="B563" s="3"/>
      <c r="C563" s="4"/>
      <c r="D563" s="4"/>
      <c r="E563" s="17"/>
      <c r="F563" s="22"/>
    </row>
    <row r="564" spans="1:6" ht="15.75" thickBot="1">
      <c r="A564" s="3"/>
      <c r="B564" s="3"/>
      <c r="C564" s="4"/>
      <c r="D564" s="4"/>
      <c r="E564" s="17"/>
      <c r="F564" s="22"/>
    </row>
    <row r="565" spans="1:6" ht="15.75" thickBot="1">
      <c r="A565" s="3"/>
      <c r="B565" s="3"/>
      <c r="C565" s="4"/>
      <c r="D565" s="4"/>
      <c r="E565" s="17"/>
      <c r="F565" s="22"/>
    </row>
    <row r="566" spans="1:6" ht="15.75" thickBot="1">
      <c r="A566" s="3"/>
      <c r="B566" s="3"/>
      <c r="C566" s="4"/>
      <c r="D566" s="4"/>
      <c r="E566" s="17"/>
      <c r="F566" s="22"/>
    </row>
    <row r="567" spans="1:6" ht="15.75" thickBot="1">
      <c r="A567" s="3"/>
      <c r="B567" s="3"/>
      <c r="C567" s="4"/>
      <c r="D567" s="4"/>
      <c r="E567" s="17"/>
      <c r="F567" s="22"/>
    </row>
    <row r="568" spans="1:6" ht="15.75" thickBot="1">
      <c r="A568" s="3"/>
      <c r="B568" s="3"/>
      <c r="C568" s="4"/>
      <c r="D568" s="4"/>
      <c r="E568" s="17"/>
      <c r="F568" s="22"/>
    </row>
    <row r="569" spans="1:6" ht="15.75" thickBot="1">
      <c r="A569" s="3"/>
      <c r="B569" s="3"/>
      <c r="C569" s="4"/>
      <c r="D569" s="4"/>
      <c r="E569" s="17"/>
      <c r="F569" s="22"/>
    </row>
    <row r="570" spans="1:6" ht="15.75" thickBot="1">
      <c r="A570" s="3"/>
      <c r="B570" s="3"/>
      <c r="C570" s="4"/>
      <c r="D570" s="4"/>
      <c r="E570" s="17"/>
      <c r="F570" s="22"/>
    </row>
    <row r="571" spans="1:6" ht="15.75" thickBot="1">
      <c r="A571" s="3"/>
      <c r="B571" s="3"/>
      <c r="C571" s="4"/>
      <c r="D571" s="4"/>
      <c r="E571" s="17"/>
      <c r="F571" s="22"/>
    </row>
    <row r="572" spans="1:6" ht="15.75" thickBot="1">
      <c r="A572" s="3"/>
      <c r="B572" s="3"/>
      <c r="C572" s="4"/>
      <c r="D572" s="4"/>
      <c r="E572" s="17"/>
      <c r="F572" s="22"/>
    </row>
    <row r="573" spans="1:6" ht="15.75" thickBot="1">
      <c r="A573" s="3"/>
      <c r="B573" s="3"/>
      <c r="C573" s="4"/>
      <c r="D573" s="4"/>
      <c r="E573" s="17"/>
      <c r="F573" s="22"/>
    </row>
    <row r="574" spans="1:6" ht="15.75" thickBot="1">
      <c r="A574" s="3"/>
      <c r="B574" s="3"/>
      <c r="C574" s="4"/>
      <c r="D574" s="4"/>
      <c r="E574" s="17"/>
      <c r="F574" s="22"/>
    </row>
    <row r="575" spans="1:6" ht="15.75" thickBot="1">
      <c r="A575" s="3"/>
      <c r="B575" s="3"/>
      <c r="C575" s="4"/>
      <c r="D575" s="4"/>
      <c r="E575" s="17"/>
      <c r="F575" s="22"/>
    </row>
    <row r="576" spans="1:6" ht="15.75" thickBot="1">
      <c r="A576" s="3"/>
      <c r="B576" s="3"/>
      <c r="C576" s="4"/>
      <c r="D576" s="4"/>
      <c r="E576" s="17"/>
      <c r="F576" s="22"/>
    </row>
    <row r="577" spans="1:6" ht="15.75" thickBot="1">
      <c r="A577" s="3"/>
      <c r="B577" s="3"/>
      <c r="C577" s="4"/>
      <c r="D577" s="4"/>
      <c r="E577" s="17"/>
      <c r="F577" s="22"/>
    </row>
    <row r="578" spans="1:6" ht="15.75" thickBot="1">
      <c r="A578" s="3"/>
      <c r="B578" s="3"/>
      <c r="C578" s="4"/>
      <c r="D578" s="4"/>
      <c r="E578" s="17"/>
      <c r="F578" s="22"/>
    </row>
    <row r="579" spans="1:6" ht="15.75" thickBot="1">
      <c r="A579" s="3"/>
      <c r="B579" s="3"/>
      <c r="C579" s="4"/>
      <c r="D579" s="4"/>
      <c r="E579" s="17"/>
      <c r="F579" s="22"/>
    </row>
    <row r="580" spans="1:6" ht="15.75" thickBot="1">
      <c r="A580" s="3"/>
      <c r="B580" s="3"/>
      <c r="C580" s="4"/>
      <c r="D580" s="4"/>
      <c r="E580" s="17"/>
      <c r="F580" s="22"/>
    </row>
    <row r="581" spans="1:6" ht="15.75" thickBot="1">
      <c r="A581" s="3"/>
      <c r="B581" s="3"/>
      <c r="C581" s="4"/>
      <c r="D581" s="4"/>
      <c r="E581" s="17"/>
      <c r="F581" s="22"/>
    </row>
    <row r="582" spans="1:6" ht="15.75" thickBot="1">
      <c r="A582" s="3"/>
      <c r="B582" s="3"/>
      <c r="C582" s="4"/>
      <c r="D582" s="4"/>
      <c r="E582" s="17"/>
      <c r="F582" s="22"/>
    </row>
    <row r="583" spans="1:6" ht="15.75" thickBot="1">
      <c r="A583" s="3"/>
      <c r="B583" s="3"/>
      <c r="C583" s="4"/>
      <c r="D583" s="4"/>
      <c r="E583" s="17"/>
      <c r="F583" s="22"/>
    </row>
    <row r="584" spans="1:6" ht="15.75" thickBot="1">
      <c r="A584" s="3"/>
      <c r="B584" s="3"/>
      <c r="C584" s="4"/>
      <c r="D584" s="4"/>
      <c r="E584" s="17"/>
      <c r="F584" s="22"/>
    </row>
    <row r="585" spans="1:6" ht="15.75" thickBot="1">
      <c r="A585" s="3"/>
      <c r="B585" s="3"/>
      <c r="C585" s="4"/>
      <c r="D585" s="4"/>
      <c r="E585" s="17"/>
      <c r="F585" s="22"/>
    </row>
    <row r="586" spans="1:6" ht="15.75" thickBot="1">
      <c r="A586" s="3"/>
      <c r="B586" s="3"/>
      <c r="C586" s="4"/>
      <c r="D586" s="4"/>
      <c r="E586" s="17"/>
      <c r="F586" s="22"/>
    </row>
    <row r="587" spans="1:6" ht="15.75" thickBot="1">
      <c r="A587" s="3"/>
      <c r="B587" s="3"/>
      <c r="C587" s="4"/>
      <c r="D587" s="4"/>
      <c r="E587" s="17"/>
      <c r="F587" s="22"/>
    </row>
    <row r="588" spans="1:6" ht="15.75" thickBot="1">
      <c r="A588" s="3"/>
      <c r="B588" s="3"/>
      <c r="C588" s="4"/>
      <c r="D588" s="4"/>
      <c r="E588" s="17"/>
      <c r="F588" s="22"/>
    </row>
    <row r="589" spans="1:6" ht="15.75" thickBot="1">
      <c r="A589" s="3"/>
      <c r="B589" s="3"/>
      <c r="C589" s="4"/>
      <c r="D589" s="4"/>
      <c r="E589" s="17"/>
      <c r="F589" s="22"/>
    </row>
    <row r="590" spans="1:6" ht="15.75" thickBot="1">
      <c r="A590" s="3"/>
      <c r="B590" s="3"/>
      <c r="C590" s="4"/>
      <c r="D590" s="4"/>
      <c r="E590" s="17"/>
      <c r="F590" s="22"/>
    </row>
    <row r="591" spans="1:6" ht="15.75" thickBot="1">
      <c r="A591" s="3"/>
      <c r="B591" s="3"/>
      <c r="C591" s="4"/>
      <c r="D591" s="4"/>
      <c r="E591" s="17"/>
      <c r="F591" s="22"/>
    </row>
    <row r="592" spans="1:6" ht="15.75" thickBot="1">
      <c r="A592" s="3"/>
      <c r="B592" s="3"/>
      <c r="C592" s="4"/>
      <c r="D592" s="4"/>
      <c r="E592" s="17"/>
      <c r="F592" s="22"/>
    </row>
    <row r="593" spans="1:6" ht="15.75" thickBot="1">
      <c r="A593" s="3"/>
      <c r="B593" s="3"/>
      <c r="C593" s="4"/>
      <c r="D593" s="4"/>
      <c r="E593" s="17"/>
      <c r="F593" s="22"/>
    </row>
    <row r="594" spans="1:6" ht="15.75" thickBot="1">
      <c r="A594" s="3"/>
      <c r="B594" s="3"/>
      <c r="C594" s="4"/>
      <c r="D594" s="4"/>
      <c r="E594" s="17"/>
      <c r="F594" s="22"/>
    </row>
    <row r="595" spans="1:6" ht="15.75" thickBot="1">
      <c r="A595" s="3"/>
      <c r="B595" s="3"/>
      <c r="C595" s="4"/>
      <c r="D595" s="4"/>
      <c r="E595" s="17"/>
      <c r="F595" s="22"/>
    </row>
    <row r="596" spans="1:6" ht="15.75" thickBot="1">
      <c r="A596" s="3"/>
      <c r="B596" s="3"/>
      <c r="C596" s="4"/>
      <c r="D596" s="4"/>
      <c r="E596" s="17"/>
      <c r="F596" s="22"/>
    </row>
    <row r="597" spans="1:6" ht="15.75" thickBot="1">
      <c r="A597" s="3"/>
      <c r="B597" s="3"/>
      <c r="C597" s="4"/>
      <c r="D597" s="4"/>
      <c r="E597" s="17"/>
      <c r="F597" s="22"/>
    </row>
    <row r="598" spans="1:6" ht="15.75" thickBot="1">
      <c r="A598" s="3"/>
      <c r="B598" s="3"/>
      <c r="C598" s="4"/>
      <c r="D598" s="4"/>
      <c r="E598" s="17"/>
      <c r="F598" s="22"/>
    </row>
    <row r="599" spans="1:6" ht="15.75" thickBot="1">
      <c r="A599" s="3"/>
      <c r="B599" s="3"/>
      <c r="C599" s="4"/>
      <c r="D599" s="4"/>
      <c r="E599" s="17"/>
      <c r="F599" s="22"/>
    </row>
    <row r="600" spans="1:6" ht="15.75" thickBot="1">
      <c r="A600" s="3"/>
      <c r="B600" s="3"/>
      <c r="C600" s="4"/>
      <c r="D600" s="4"/>
      <c r="E600" s="17"/>
      <c r="F600" s="22"/>
    </row>
    <row r="601" spans="1:6" ht="15.75" thickBot="1">
      <c r="A601" s="3"/>
      <c r="B601" s="3"/>
      <c r="C601" s="4"/>
      <c r="D601" s="4"/>
      <c r="E601" s="17"/>
      <c r="F601" s="22"/>
    </row>
    <row r="602" spans="1:6" ht="15.75" thickBot="1">
      <c r="A602" s="3"/>
      <c r="B602" s="3"/>
      <c r="C602" s="4"/>
      <c r="D602" s="4"/>
      <c r="E602" s="17"/>
      <c r="F602" s="22"/>
    </row>
    <row r="603" spans="1:6" ht="15.75" thickBot="1">
      <c r="A603" s="3"/>
      <c r="B603" s="3"/>
      <c r="C603" s="4"/>
      <c r="D603" s="4"/>
      <c r="E603" s="17"/>
      <c r="F603" s="22"/>
    </row>
    <row r="604" spans="1:6" ht="15.75" thickBot="1">
      <c r="A604" s="3"/>
      <c r="B604" s="3"/>
      <c r="C604" s="4"/>
      <c r="D604" s="4"/>
      <c r="E604" s="17"/>
      <c r="F604" s="22"/>
    </row>
    <row r="605" spans="1:6" ht="15.75" thickBot="1">
      <c r="A605" s="3"/>
      <c r="B605" s="3"/>
      <c r="C605" s="4"/>
      <c r="D605" s="4"/>
      <c r="E605" s="17"/>
      <c r="F605" s="22"/>
    </row>
    <row r="606" spans="1:6" ht="15.75" thickBot="1">
      <c r="A606" s="3"/>
      <c r="B606" s="3"/>
      <c r="C606" s="4"/>
      <c r="D606" s="4"/>
      <c r="E606" s="17"/>
      <c r="F606" s="22"/>
    </row>
    <row r="607" spans="1:6" ht="15.75" thickBot="1">
      <c r="A607" s="3"/>
      <c r="B607" s="3"/>
      <c r="C607" s="4"/>
      <c r="D607" s="4"/>
      <c r="E607" s="17"/>
      <c r="F607" s="22"/>
    </row>
    <row r="608" spans="1:6" ht="15.75" thickBot="1">
      <c r="A608" s="3"/>
      <c r="B608" s="3"/>
      <c r="C608" s="4"/>
      <c r="D608" s="4"/>
      <c r="E608" s="17"/>
      <c r="F608" s="22"/>
    </row>
    <row r="609" spans="1:6" ht="15.75" thickBot="1">
      <c r="A609" s="3"/>
      <c r="B609" s="3"/>
      <c r="C609" s="4"/>
      <c r="D609" s="4"/>
      <c r="E609" s="17"/>
      <c r="F609" s="22"/>
    </row>
    <row r="610" spans="1:6" ht="15.75" thickBot="1">
      <c r="A610" s="3"/>
      <c r="B610" s="3"/>
      <c r="C610" s="4"/>
      <c r="D610" s="4"/>
      <c r="E610" s="17"/>
      <c r="F610" s="22"/>
    </row>
    <row r="611" spans="1:6" ht="15.75" thickBot="1">
      <c r="A611" s="3"/>
      <c r="B611" s="3"/>
      <c r="C611" s="4"/>
      <c r="D611" s="4"/>
      <c r="E611" s="17"/>
      <c r="F611" s="22"/>
    </row>
    <row r="612" spans="1:6" ht="15.75" thickBot="1">
      <c r="A612" s="3"/>
      <c r="B612" s="3"/>
      <c r="C612" s="4"/>
      <c r="D612" s="4"/>
      <c r="E612" s="17"/>
      <c r="F612" s="22"/>
    </row>
    <row r="613" spans="1:6" ht="15.75" thickBot="1">
      <c r="A613" s="3"/>
      <c r="B613" s="3"/>
      <c r="C613" s="4"/>
      <c r="D613" s="4"/>
      <c r="E613" s="17"/>
      <c r="F613" s="22"/>
    </row>
    <row r="614" spans="1:6" ht="15.75" thickBot="1">
      <c r="A614" s="3"/>
      <c r="B614" s="3"/>
      <c r="C614" s="4"/>
      <c r="D614" s="4"/>
      <c r="E614" s="17"/>
      <c r="F614" s="22"/>
    </row>
    <row r="615" spans="1:6" ht="15.75" thickBot="1">
      <c r="A615" s="3"/>
      <c r="B615" s="3"/>
      <c r="C615" s="4"/>
      <c r="D615" s="4"/>
      <c r="E615" s="17"/>
      <c r="F615" s="22"/>
    </row>
    <row r="616" spans="1:6" ht="15.75" thickBot="1">
      <c r="A616" s="3"/>
      <c r="B616" s="3"/>
      <c r="C616" s="4"/>
      <c r="D616" s="4"/>
      <c r="E616" s="17"/>
      <c r="F616" s="22"/>
    </row>
    <row r="617" spans="1:6" ht="15.75" thickBot="1">
      <c r="A617" s="3"/>
      <c r="B617" s="3"/>
      <c r="C617" s="4"/>
      <c r="D617" s="4"/>
      <c r="E617" s="17"/>
      <c r="F617" s="22"/>
    </row>
    <row r="618" spans="1:6" ht="15.75" thickBot="1">
      <c r="A618" s="3"/>
      <c r="B618" s="3"/>
      <c r="C618" s="4"/>
      <c r="D618" s="4"/>
      <c r="E618" s="17"/>
      <c r="F618" s="22"/>
    </row>
    <row r="619" spans="1:6" ht="15.75" thickBot="1">
      <c r="A619" s="3"/>
      <c r="B619" s="3"/>
      <c r="C619" s="4"/>
      <c r="D619" s="4"/>
      <c r="E619" s="17"/>
      <c r="F619" s="22"/>
    </row>
    <row r="620" spans="1:6" ht="15.75" thickBot="1">
      <c r="A620" s="3"/>
      <c r="B620" s="3"/>
      <c r="C620" s="4"/>
      <c r="D620" s="4"/>
      <c r="E620" s="17"/>
      <c r="F620" s="22"/>
    </row>
    <row r="621" spans="1:6" ht="15.75" thickBot="1">
      <c r="A621" s="3"/>
      <c r="B621" s="3"/>
      <c r="C621" s="4"/>
      <c r="D621" s="4"/>
      <c r="E621" s="17"/>
      <c r="F621" s="22"/>
    </row>
    <row r="622" spans="1:6" ht="15.75" thickBot="1">
      <c r="A622" s="3"/>
      <c r="B622" s="3"/>
      <c r="C622" s="4"/>
      <c r="D622" s="4"/>
      <c r="E622" s="17"/>
      <c r="F622" s="22"/>
    </row>
    <row r="623" spans="1:6" ht="15.75" thickBot="1">
      <c r="A623" s="3"/>
      <c r="B623" s="3"/>
      <c r="C623" s="4"/>
      <c r="D623" s="4"/>
      <c r="E623" s="17"/>
      <c r="F623" s="22"/>
    </row>
    <row r="624" spans="1:6" ht="15.75" thickBot="1">
      <c r="A624" s="3"/>
      <c r="B624" s="3"/>
      <c r="C624" s="4"/>
      <c r="D624" s="4"/>
      <c r="E624" s="17"/>
      <c r="F624" s="22"/>
    </row>
    <row r="625" spans="1:6" ht="15.75" thickBot="1">
      <c r="A625" s="3"/>
      <c r="B625" s="3"/>
      <c r="C625" s="4"/>
      <c r="D625" s="4"/>
      <c r="E625" s="17"/>
      <c r="F625" s="22"/>
    </row>
    <row r="626" spans="1:6" ht="15.75" thickBot="1">
      <c r="A626" s="3"/>
      <c r="B626" s="3"/>
      <c r="C626" s="4"/>
      <c r="D626" s="4"/>
      <c r="E626" s="17"/>
      <c r="F626" s="22"/>
    </row>
    <row r="627" spans="1:6" ht="15.75" thickBot="1">
      <c r="A627" s="3"/>
      <c r="B627" s="3"/>
      <c r="C627" s="4"/>
      <c r="D627" s="4"/>
      <c r="E627" s="17"/>
      <c r="F627" s="22"/>
    </row>
    <row r="628" spans="1:6" ht="15.75" thickBot="1">
      <c r="A628" s="3"/>
      <c r="B628" s="3"/>
      <c r="C628" s="4"/>
      <c r="D628" s="4"/>
      <c r="E628" s="17"/>
      <c r="F628" s="22"/>
    </row>
    <row r="629" spans="1:6" ht="15.75" thickBot="1">
      <c r="A629" s="3"/>
      <c r="B629" s="3"/>
      <c r="C629" s="4"/>
      <c r="D629" s="4"/>
      <c r="E629" s="17"/>
      <c r="F629" s="22"/>
    </row>
    <row r="630" spans="1:6" ht="15.75" thickBot="1">
      <c r="A630" s="3"/>
      <c r="B630" s="3"/>
      <c r="C630" s="4"/>
      <c r="D630" s="4"/>
      <c r="E630" s="17"/>
      <c r="F630" s="22"/>
    </row>
    <row r="631" spans="1:6" ht="15.75" thickBot="1">
      <c r="A631" s="3"/>
      <c r="B631" s="3"/>
      <c r="C631" s="4"/>
      <c r="D631" s="4"/>
      <c r="E631" s="17"/>
      <c r="F631" s="22"/>
    </row>
    <row r="632" spans="1:6" ht="15.75" thickBot="1">
      <c r="A632" s="3"/>
      <c r="B632" s="3"/>
      <c r="C632" s="4"/>
      <c r="D632" s="4"/>
      <c r="E632" s="17"/>
      <c r="F632" s="22"/>
    </row>
    <row r="633" spans="1:6" ht="15.75" thickBot="1">
      <c r="A633" s="3"/>
      <c r="B633" s="3"/>
      <c r="C633" s="4"/>
      <c r="D633" s="4"/>
      <c r="E633" s="17"/>
      <c r="F633" s="22"/>
    </row>
    <row r="634" spans="1:6" ht="15.75" thickBot="1">
      <c r="A634" s="3"/>
      <c r="B634" s="3"/>
      <c r="C634" s="4"/>
      <c r="D634" s="4"/>
      <c r="E634" s="17"/>
      <c r="F634" s="22"/>
    </row>
    <row r="635" spans="1:6" ht="15.75" thickBot="1">
      <c r="A635" s="3"/>
      <c r="B635" s="3"/>
      <c r="C635" s="4"/>
      <c r="D635" s="4"/>
      <c r="E635" s="17"/>
      <c r="F635" s="22"/>
    </row>
    <row r="636" spans="1:6" ht="15.75" thickBot="1">
      <c r="A636" s="3"/>
      <c r="B636" s="3"/>
      <c r="C636" s="4"/>
      <c r="D636" s="4"/>
      <c r="E636" s="17"/>
      <c r="F636" s="22"/>
    </row>
    <row r="637" spans="1:6" ht="15.75" thickBot="1">
      <c r="A637" s="3"/>
      <c r="B637" s="3"/>
      <c r="C637" s="4"/>
      <c r="D637" s="4"/>
      <c r="E637" s="17"/>
      <c r="F637" s="22"/>
    </row>
    <row r="638" spans="1:6" ht="15.75" thickBot="1">
      <c r="A638" s="3"/>
      <c r="B638" s="3"/>
      <c r="C638" s="4"/>
      <c r="D638" s="4"/>
      <c r="E638" s="17"/>
      <c r="F638" s="22"/>
    </row>
    <row r="639" spans="1:6" ht="15.75" thickBot="1">
      <c r="A639" s="3"/>
      <c r="B639" s="3"/>
      <c r="C639" s="4"/>
      <c r="D639" s="4"/>
      <c r="E639" s="17"/>
      <c r="F639" s="22"/>
    </row>
    <row r="640" spans="1:6" ht="15.75" thickBot="1">
      <c r="A640" s="3"/>
      <c r="B640" s="3"/>
      <c r="C640" s="4"/>
      <c r="D640" s="4"/>
      <c r="E640" s="17"/>
      <c r="F640" s="22"/>
    </row>
    <row r="641" spans="1:6" ht="15.75" thickBot="1">
      <c r="A641" s="3"/>
      <c r="B641" s="3"/>
      <c r="C641" s="4"/>
      <c r="D641" s="4"/>
      <c r="E641" s="17"/>
      <c r="F641" s="22"/>
    </row>
    <row r="642" spans="1:6" ht="15.75" thickBot="1">
      <c r="A642" s="3"/>
      <c r="B642" s="3"/>
      <c r="C642" s="4"/>
      <c r="D642" s="4"/>
      <c r="E642" s="17"/>
      <c r="F642" s="22"/>
    </row>
    <row r="643" spans="1:6" ht="15.75" thickBot="1">
      <c r="A643" s="3"/>
      <c r="B643" s="3"/>
      <c r="C643" s="4"/>
      <c r="D643" s="4"/>
      <c r="E643" s="17"/>
      <c r="F643" s="22"/>
    </row>
    <row r="644" spans="1:6" ht="15.75" thickBot="1">
      <c r="A644" s="3"/>
      <c r="B644" s="3"/>
      <c r="C644" s="4"/>
      <c r="D644" s="4"/>
      <c r="E644" s="17"/>
      <c r="F644" s="22"/>
    </row>
    <row r="645" spans="1:6" ht="15.75" thickBot="1">
      <c r="A645" s="3"/>
      <c r="B645" s="3"/>
      <c r="C645" s="4"/>
      <c r="D645" s="4"/>
      <c r="E645" s="17"/>
      <c r="F645" s="22"/>
    </row>
    <row r="646" spans="1:6" ht="15.75" thickBot="1">
      <c r="A646" s="3"/>
      <c r="B646" s="3"/>
      <c r="C646" s="4"/>
      <c r="D646" s="4"/>
      <c r="E646" s="17"/>
      <c r="F646" s="22"/>
    </row>
    <row r="647" spans="1:6" ht="15.75" thickBot="1">
      <c r="A647" s="3"/>
      <c r="B647" s="3"/>
      <c r="C647" s="4"/>
      <c r="D647" s="4"/>
      <c r="E647" s="17"/>
      <c r="F647" s="22"/>
    </row>
    <row r="648" spans="1:6" ht="15.75" thickBot="1">
      <c r="A648" s="3"/>
      <c r="B648" s="3"/>
      <c r="C648" s="4"/>
      <c r="D648" s="4"/>
      <c r="E648" s="17"/>
      <c r="F648" s="22"/>
    </row>
    <row r="649" spans="1:6" ht="15.75" thickBot="1">
      <c r="A649" s="3"/>
      <c r="B649" s="3"/>
      <c r="C649" s="4"/>
      <c r="D649" s="4"/>
      <c r="E649" s="17"/>
      <c r="F649" s="22"/>
    </row>
    <row r="650" spans="1:6" ht="15.75" thickBot="1">
      <c r="A650" s="3"/>
      <c r="B650" s="3"/>
      <c r="C650" s="4"/>
      <c r="D650" s="4"/>
      <c r="E650" s="17"/>
      <c r="F650" s="22"/>
    </row>
    <row r="651" spans="1:6" ht="15.75" thickBot="1">
      <c r="A651" s="3"/>
      <c r="B651" s="3"/>
      <c r="C651" s="4"/>
      <c r="D651" s="4"/>
      <c r="E651" s="17"/>
      <c r="F651" s="22"/>
    </row>
    <row r="652" spans="1:6" ht="15.75" thickBot="1">
      <c r="A652" s="3"/>
      <c r="B652" s="3"/>
      <c r="C652" s="4"/>
      <c r="D652" s="4"/>
      <c r="E652" s="17"/>
      <c r="F652" s="22"/>
    </row>
    <row r="653" spans="1:6" ht="15.75" thickBot="1">
      <c r="A653" s="3"/>
      <c r="B653" s="3"/>
      <c r="C653" s="4"/>
      <c r="D653" s="4"/>
      <c r="E653" s="17"/>
      <c r="F653" s="22"/>
    </row>
    <row r="654" spans="1:6" ht="15.75" thickBot="1">
      <c r="A654" s="3"/>
      <c r="B654" s="3"/>
      <c r="C654" s="4"/>
      <c r="D654" s="4"/>
      <c r="E654" s="17"/>
      <c r="F654" s="22"/>
    </row>
    <row r="655" spans="1:6" ht="15.75" thickBot="1">
      <c r="A655" s="3"/>
      <c r="B655" s="3"/>
      <c r="C655" s="4"/>
      <c r="D655" s="4"/>
      <c r="E655" s="17"/>
      <c r="F655" s="22"/>
    </row>
    <row r="656" spans="1:6" ht="15.75" thickBot="1">
      <c r="A656" s="3"/>
      <c r="B656" s="3"/>
      <c r="C656" s="4"/>
      <c r="D656" s="4"/>
      <c r="E656" s="17"/>
      <c r="F656" s="22"/>
    </row>
    <row r="657" spans="1:6" ht="15.75" thickBot="1">
      <c r="A657" s="3"/>
      <c r="B657" s="3"/>
      <c r="C657" s="4"/>
      <c r="D657" s="4"/>
      <c r="E657" s="17"/>
      <c r="F657" s="22"/>
    </row>
    <row r="658" spans="1:6" ht="15.75" thickBot="1">
      <c r="A658" s="3"/>
      <c r="B658" s="3"/>
      <c r="C658" s="4"/>
      <c r="D658" s="4"/>
      <c r="E658" s="17"/>
      <c r="F658" s="22"/>
    </row>
    <row r="659" spans="1:6" ht="15.75" thickBot="1">
      <c r="A659" s="3"/>
      <c r="B659" s="3"/>
      <c r="C659" s="4"/>
      <c r="D659" s="4"/>
      <c r="E659" s="17"/>
      <c r="F659" s="22"/>
    </row>
    <row r="660" spans="1:6" ht="15.75" thickBot="1">
      <c r="A660" s="3"/>
      <c r="B660" s="3"/>
      <c r="C660" s="4"/>
      <c r="D660" s="4"/>
      <c r="E660" s="17"/>
      <c r="F660" s="22"/>
    </row>
    <row r="661" spans="1:6" ht="15.75" thickBot="1">
      <c r="A661" s="3"/>
      <c r="B661" s="3"/>
      <c r="C661" s="4"/>
      <c r="D661" s="4"/>
      <c r="E661" s="17"/>
      <c r="F661" s="22"/>
    </row>
    <row r="662" spans="1:6" ht="15.75" thickBot="1">
      <c r="A662" s="3"/>
      <c r="B662" s="3"/>
      <c r="C662" s="4"/>
      <c r="D662" s="4"/>
      <c r="E662" s="17"/>
      <c r="F662" s="22"/>
    </row>
    <row r="663" spans="1:6" ht="15.75" thickBot="1">
      <c r="A663" s="3"/>
      <c r="B663" s="3"/>
      <c r="C663" s="4"/>
      <c r="D663" s="4"/>
      <c r="E663" s="17"/>
      <c r="F663" s="22"/>
    </row>
    <row r="664" spans="1:6" ht="15.75" thickBot="1">
      <c r="A664" s="3"/>
      <c r="B664" s="3"/>
      <c r="C664" s="4"/>
      <c r="D664" s="4"/>
      <c r="E664" s="17"/>
      <c r="F664" s="22"/>
    </row>
    <row r="665" spans="1:6" ht="15.75" thickBot="1">
      <c r="A665" s="3"/>
      <c r="B665" s="3"/>
      <c r="C665" s="4"/>
      <c r="D665" s="4"/>
      <c r="E665" s="17"/>
      <c r="F665" s="22"/>
    </row>
    <row r="666" spans="1:6" ht="15.75" thickBot="1">
      <c r="A666" s="3"/>
      <c r="B666" s="3"/>
      <c r="C666" s="4"/>
      <c r="D666" s="4"/>
      <c r="E666" s="17"/>
      <c r="F666" s="22"/>
    </row>
    <row r="667" spans="1:6" ht="15.75" thickBot="1">
      <c r="A667" s="3"/>
      <c r="B667" s="3"/>
      <c r="C667" s="4"/>
      <c r="D667" s="4"/>
      <c r="E667" s="17"/>
      <c r="F667" s="22"/>
    </row>
    <row r="668" spans="1:6" ht="15.75" thickBot="1">
      <c r="A668" s="3"/>
      <c r="B668" s="3"/>
      <c r="C668" s="4"/>
      <c r="D668" s="4"/>
      <c r="E668" s="17"/>
      <c r="F668" s="22"/>
    </row>
    <row r="669" spans="1:6" ht="15.75" thickBot="1">
      <c r="A669" s="3"/>
      <c r="B669" s="3"/>
      <c r="C669" s="4"/>
      <c r="D669" s="4"/>
      <c r="E669" s="17"/>
      <c r="F669" s="22"/>
    </row>
    <row r="670" spans="1:6" ht="15.75" thickBot="1">
      <c r="A670" s="3"/>
      <c r="B670" s="3"/>
      <c r="C670" s="4"/>
      <c r="D670" s="4"/>
      <c r="E670" s="17"/>
      <c r="F670" s="22"/>
    </row>
    <row r="671" spans="1:6" ht="15.75" thickBot="1">
      <c r="A671" s="3"/>
      <c r="B671" s="3"/>
      <c r="C671" s="4"/>
      <c r="D671" s="4"/>
      <c r="E671" s="17"/>
      <c r="F671" s="22"/>
    </row>
    <row r="672" spans="1:6" ht="15.75" thickBot="1">
      <c r="A672" s="3"/>
      <c r="B672" s="3"/>
      <c r="C672" s="4"/>
      <c r="D672" s="4"/>
      <c r="E672" s="17"/>
      <c r="F672" s="22"/>
    </row>
    <row r="673" spans="1:6" ht="15.75" thickBot="1">
      <c r="A673" s="3"/>
      <c r="B673" s="3"/>
      <c r="C673" s="4"/>
      <c r="D673" s="4"/>
      <c r="E673" s="17"/>
      <c r="F673" s="22"/>
    </row>
    <row r="674" spans="1:6" ht="15.75" thickBot="1">
      <c r="A674" s="3"/>
      <c r="B674" s="3"/>
      <c r="C674" s="4"/>
      <c r="D674" s="4"/>
      <c r="E674" s="17"/>
      <c r="F674" s="22"/>
    </row>
    <row r="675" spans="1:6" ht="15.75" thickBot="1">
      <c r="A675" s="3"/>
      <c r="B675" s="3"/>
      <c r="C675" s="4"/>
      <c r="D675" s="4"/>
      <c r="E675" s="17"/>
      <c r="F675" s="22"/>
    </row>
    <row r="676" spans="1:6" ht="15.75" thickBot="1">
      <c r="A676" s="3"/>
      <c r="B676" s="3"/>
      <c r="C676" s="4"/>
      <c r="D676" s="4"/>
      <c r="E676" s="17"/>
      <c r="F676" s="22"/>
    </row>
    <row r="677" spans="1:6" ht="15.75" thickBot="1">
      <c r="A677" s="3"/>
      <c r="B677" s="3"/>
      <c r="C677" s="4"/>
      <c r="D677" s="4"/>
      <c r="E677" s="17"/>
      <c r="F677" s="22"/>
    </row>
    <row r="678" spans="1:6" ht="15.75" thickBot="1">
      <c r="A678" s="3"/>
      <c r="B678" s="3"/>
      <c r="C678" s="4"/>
      <c r="D678" s="4"/>
      <c r="E678" s="17"/>
      <c r="F678" s="22"/>
    </row>
    <row r="679" spans="1:6" ht="15.75" thickBot="1">
      <c r="A679" s="3"/>
      <c r="B679" s="3"/>
      <c r="C679" s="4"/>
      <c r="D679" s="4"/>
      <c r="E679" s="17"/>
      <c r="F679" s="22"/>
    </row>
    <row r="680" spans="1:6" ht="15.75" thickBot="1">
      <c r="A680" s="3"/>
      <c r="B680" s="3"/>
      <c r="C680" s="4"/>
      <c r="D680" s="4"/>
      <c r="E680" s="17"/>
      <c r="F680" s="22"/>
    </row>
    <row r="681" spans="1:6" ht="15.75" thickBot="1">
      <c r="A681" s="3"/>
      <c r="B681" s="3"/>
      <c r="C681" s="4"/>
      <c r="D681" s="4"/>
      <c r="E681" s="17"/>
      <c r="F681" s="22"/>
    </row>
    <row r="682" spans="1:6" ht="15.75" thickBot="1">
      <c r="A682" s="3"/>
      <c r="B682" s="3"/>
      <c r="C682" s="4"/>
      <c r="D682" s="4"/>
      <c r="E682" s="17"/>
      <c r="F682" s="22"/>
    </row>
    <row r="683" spans="1:6" ht="15.75" thickBot="1">
      <c r="A683" s="3"/>
      <c r="B683" s="3"/>
      <c r="C683" s="4"/>
      <c r="D683" s="4"/>
      <c r="E683" s="17"/>
      <c r="F683" s="22"/>
    </row>
    <row r="684" spans="1:6" ht="15.75" thickBot="1">
      <c r="A684" s="3"/>
      <c r="B684" s="3"/>
      <c r="C684" s="4"/>
      <c r="D684" s="4"/>
      <c r="E684" s="17"/>
      <c r="F684" s="22"/>
    </row>
    <row r="685" spans="1:6" ht="15.75" thickBot="1">
      <c r="A685" s="3"/>
      <c r="B685" s="3"/>
      <c r="C685" s="4"/>
      <c r="D685" s="4"/>
      <c r="E685" s="17"/>
      <c r="F685" s="22"/>
    </row>
    <row r="686" spans="1:6" ht="15.75" thickBot="1">
      <c r="A686" s="3"/>
      <c r="B686" s="3"/>
      <c r="C686" s="4"/>
      <c r="D686" s="4"/>
      <c r="E686" s="17"/>
      <c r="F686" s="22"/>
    </row>
    <row r="687" spans="1:6" ht="15.75" thickBot="1">
      <c r="A687" s="3"/>
      <c r="B687" s="3"/>
      <c r="C687" s="4"/>
      <c r="D687" s="4"/>
      <c r="E687" s="17"/>
      <c r="F687" s="22"/>
    </row>
    <row r="688" spans="1:6" ht="15.75" thickBot="1">
      <c r="A688" s="3"/>
      <c r="B688" s="3"/>
      <c r="C688" s="4"/>
      <c r="D688" s="4"/>
      <c r="E688" s="17"/>
      <c r="F688" s="22"/>
    </row>
    <row r="689" spans="1:6" ht="15.75" thickBot="1">
      <c r="A689" s="3"/>
      <c r="B689" s="3"/>
      <c r="C689" s="4"/>
      <c r="D689" s="4"/>
      <c r="E689" s="17"/>
      <c r="F689" s="22"/>
    </row>
    <row r="690" spans="1:6" ht="15.75" thickBot="1">
      <c r="A690" s="3"/>
      <c r="B690" s="3"/>
      <c r="C690" s="4"/>
      <c r="D690" s="4"/>
      <c r="E690" s="17"/>
      <c r="F690" s="22"/>
    </row>
    <row r="691" spans="1:6" ht="15.75" thickBot="1">
      <c r="A691" s="3"/>
      <c r="B691" s="3"/>
      <c r="C691" s="4"/>
      <c r="D691" s="4"/>
      <c r="E691" s="17"/>
      <c r="F691" s="22"/>
    </row>
    <row r="692" spans="1:6" ht="15.75" thickBot="1">
      <c r="A692" s="3"/>
      <c r="B692" s="3"/>
      <c r="C692" s="4"/>
      <c r="D692" s="4"/>
      <c r="E692" s="17"/>
      <c r="F692" s="22"/>
    </row>
    <row r="693" spans="1:6" ht="15.75" thickBot="1">
      <c r="A693" s="3"/>
      <c r="B693" s="3"/>
      <c r="C693" s="4"/>
      <c r="D693" s="4"/>
      <c r="E693" s="17"/>
      <c r="F693" s="22"/>
    </row>
    <row r="694" spans="1:6" ht="15.75" thickBot="1">
      <c r="A694" s="3"/>
      <c r="B694" s="3"/>
      <c r="C694" s="4"/>
      <c r="D694" s="4"/>
      <c r="E694" s="17"/>
      <c r="F694" s="22"/>
    </row>
    <row r="695" spans="1:6" ht="15.75" thickBot="1">
      <c r="A695" s="3"/>
      <c r="B695" s="3"/>
      <c r="C695" s="4"/>
      <c r="D695" s="4"/>
      <c r="E695" s="17"/>
      <c r="F695" s="22"/>
    </row>
    <row r="696" spans="1:6" ht="15.75" thickBot="1">
      <c r="A696" s="3"/>
      <c r="B696" s="3"/>
      <c r="C696" s="4"/>
      <c r="D696" s="4"/>
      <c r="E696" s="17"/>
      <c r="F696" s="22"/>
    </row>
    <row r="697" spans="1:6" ht="15.75" thickBot="1">
      <c r="A697" s="3"/>
      <c r="B697" s="3"/>
      <c r="C697" s="4"/>
      <c r="D697" s="4"/>
      <c r="E697" s="17"/>
      <c r="F697" s="22"/>
    </row>
    <row r="698" spans="1:6" ht="15.75" thickBot="1">
      <c r="A698" s="3"/>
      <c r="B698" s="3"/>
      <c r="C698" s="4"/>
      <c r="D698" s="4"/>
      <c r="E698" s="17"/>
      <c r="F698" s="22"/>
    </row>
    <row r="699" spans="1:6" ht="15.75" thickBot="1">
      <c r="A699" s="3"/>
      <c r="B699" s="3"/>
      <c r="C699" s="4"/>
      <c r="D699" s="4"/>
      <c r="E699" s="17"/>
      <c r="F699" s="22"/>
    </row>
    <row r="700" spans="1:6" ht="15.75" thickBot="1">
      <c r="A700" s="3"/>
      <c r="B700" s="3"/>
      <c r="C700" s="4"/>
      <c r="D700" s="4"/>
      <c r="E700" s="17"/>
      <c r="F700" s="22"/>
    </row>
    <row r="701" spans="1:6" ht="15.75" thickBot="1">
      <c r="A701" s="3"/>
      <c r="B701" s="3"/>
      <c r="C701" s="4"/>
      <c r="D701" s="4"/>
      <c r="E701" s="17"/>
      <c r="F701" s="22"/>
    </row>
    <row r="702" spans="1:6" ht="15.75" thickBot="1">
      <c r="A702" s="3"/>
      <c r="B702" s="3"/>
      <c r="C702" s="4"/>
      <c r="D702" s="4"/>
      <c r="E702" s="17"/>
      <c r="F702" s="22"/>
    </row>
    <row r="703" spans="1:6" ht="15.75" thickBot="1">
      <c r="A703" s="3"/>
      <c r="B703" s="3"/>
      <c r="C703" s="4"/>
      <c r="D703" s="4"/>
      <c r="E703" s="17"/>
      <c r="F703" s="22"/>
    </row>
    <row r="704" spans="1:6" ht="15.75" thickBot="1">
      <c r="A704" s="3"/>
      <c r="B704" s="3"/>
      <c r="C704" s="4"/>
      <c r="D704" s="4"/>
      <c r="E704" s="17"/>
      <c r="F704" s="22"/>
    </row>
    <row r="705" spans="1:6" ht="15.75" thickBot="1">
      <c r="A705" s="3"/>
      <c r="B705" s="3"/>
      <c r="C705" s="4"/>
      <c r="D705" s="4"/>
      <c r="E705" s="17"/>
      <c r="F705" s="22"/>
    </row>
    <row r="706" spans="1:6" ht="15.75" thickBot="1">
      <c r="A706" s="3"/>
      <c r="B706" s="3"/>
      <c r="C706" s="4"/>
      <c r="D706" s="4"/>
      <c r="E706" s="17"/>
      <c r="F706" s="22"/>
    </row>
    <row r="707" spans="1:6" ht="15.75" thickBot="1">
      <c r="A707" s="3"/>
      <c r="B707" s="3"/>
      <c r="C707" s="4"/>
      <c r="D707" s="4"/>
      <c r="E707" s="17"/>
      <c r="F707" s="22"/>
    </row>
    <row r="708" spans="1:6" ht="15.75" thickBot="1">
      <c r="A708" s="3"/>
      <c r="B708" s="3"/>
      <c r="C708" s="4"/>
      <c r="D708" s="4"/>
      <c r="E708" s="17"/>
      <c r="F708" s="22"/>
    </row>
    <row r="709" spans="1:6" ht="15.75" thickBot="1">
      <c r="A709" s="3"/>
      <c r="B709" s="3"/>
      <c r="C709" s="4"/>
      <c r="D709" s="4"/>
      <c r="E709" s="17"/>
      <c r="F709" s="22"/>
    </row>
    <row r="710" spans="1:6" ht="15.75" thickBot="1">
      <c r="A710" s="3"/>
      <c r="B710" s="3"/>
      <c r="C710" s="4"/>
      <c r="D710" s="4"/>
      <c r="E710" s="17"/>
      <c r="F710" s="22"/>
    </row>
    <row r="711" spans="1:6" ht="15.75" thickBot="1">
      <c r="A711" s="3"/>
      <c r="B711" s="3"/>
      <c r="C711" s="4"/>
      <c r="D711" s="4"/>
      <c r="E711" s="17"/>
      <c r="F711" s="22"/>
    </row>
    <row r="712" spans="1:6" ht="15.75" thickBot="1">
      <c r="A712" s="3"/>
      <c r="B712" s="3"/>
      <c r="C712" s="4"/>
      <c r="D712" s="4"/>
      <c r="E712" s="17"/>
      <c r="F712" s="22"/>
    </row>
    <row r="713" spans="1:6" ht="15.75" thickBot="1">
      <c r="A713" s="3"/>
      <c r="B713" s="3"/>
      <c r="C713" s="4"/>
      <c r="D713" s="4"/>
      <c r="E713" s="17"/>
      <c r="F713" s="22"/>
    </row>
    <row r="714" spans="1:6" ht="15.75" thickBot="1">
      <c r="A714" s="3"/>
      <c r="B714" s="3"/>
      <c r="C714" s="4"/>
      <c r="D714" s="4"/>
      <c r="E714" s="17"/>
      <c r="F714" s="22"/>
    </row>
    <row r="715" spans="1:6" ht="15.75" thickBot="1">
      <c r="A715" s="3"/>
      <c r="B715" s="3"/>
      <c r="C715" s="4"/>
      <c r="D715" s="4"/>
      <c r="E715" s="17"/>
      <c r="F715" s="22"/>
    </row>
    <row r="716" spans="1:6" ht="15.75" thickBot="1">
      <c r="A716" s="3"/>
      <c r="B716" s="3"/>
      <c r="C716" s="4"/>
      <c r="D716" s="4"/>
      <c r="E716" s="17"/>
      <c r="F716" s="22"/>
    </row>
    <row r="717" spans="1:6" ht="15.75" thickBot="1">
      <c r="A717" s="3"/>
      <c r="B717" s="3"/>
      <c r="C717" s="4"/>
      <c r="D717" s="4"/>
      <c r="E717" s="17"/>
      <c r="F717" s="22"/>
    </row>
    <row r="718" spans="1:6" ht="15.75" thickBot="1">
      <c r="A718" s="3"/>
      <c r="B718" s="3"/>
      <c r="C718" s="4"/>
      <c r="D718" s="4"/>
      <c r="E718" s="17"/>
      <c r="F718" s="22"/>
    </row>
    <row r="719" spans="1:6" ht="15.75" thickBot="1">
      <c r="A719" s="3"/>
      <c r="B719" s="3"/>
      <c r="C719" s="4"/>
      <c r="D719" s="4"/>
      <c r="E719" s="17"/>
      <c r="F719" s="22"/>
    </row>
    <row r="720" spans="1:6" ht="15.75" thickBot="1">
      <c r="A720" s="3"/>
      <c r="B720" s="3"/>
      <c r="C720" s="4"/>
      <c r="D720" s="4"/>
      <c r="E720" s="17"/>
      <c r="F720" s="22"/>
    </row>
    <row r="721" spans="1:6" ht="15.75" thickBot="1">
      <c r="A721" s="3"/>
      <c r="B721" s="3"/>
      <c r="C721" s="4"/>
      <c r="D721" s="4"/>
      <c r="E721" s="17"/>
      <c r="F721" s="22"/>
    </row>
    <row r="722" spans="1:6" ht="15.75" thickBot="1">
      <c r="A722" s="3"/>
      <c r="B722" s="3"/>
      <c r="C722" s="4"/>
      <c r="D722" s="4"/>
      <c r="E722" s="17"/>
      <c r="F722" s="22"/>
    </row>
    <row r="723" spans="1:6" ht="15.75" thickBot="1">
      <c r="A723" s="3"/>
      <c r="B723" s="3"/>
      <c r="C723" s="4"/>
      <c r="D723" s="4"/>
      <c r="E723" s="17"/>
      <c r="F723" s="22"/>
    </row>
    <row r="724" spans="1:6" ht="15.75" thickBot="1">
      <c r="A724" s="3"/>
      <c r="B724" s="3"/>
      <c r="C724" s="4"/>
      <c r="D724" s="4"/>
      <c r="E724" s="17"/>
      <c r="F724" s="22"/>
    </row>
    <row r="725" spans="1:6" ht="15.75" thickBot="1">
      <c r="A725" s="3"/>
      <c r="B725" s="3"/>
      <c r="C725" s="4"/>
      <c r="D725" s="4"/>
      <c r="E725" s="17"/>
      <c r="F725" s="22"/>
    </row>
    <row r="726" spans="1:6" ht="15.75" thickBot="1">
      <c r="A726" s="3"/>
      <c r="B726" s="3"/>
      <c r="C726" s="4"/>
      <c r="D726" s="4"/>
      <c r="E726" s="17"/>
      <c r="F726" s="22"/>
    </row>
    <row r="727" spans="1:6" ht="15.75" thickBot="1">
      <c r="A727" s="3"/>
      <c r="B727" s="3"/>
      <c r="C727" s="4"/>
      <c r="D727" s="4"/>
      <c r="E727" s="17"/>
      <c r="F727" s="22"/>
    </row>
    <row r="728" spans="1:6" ht="15.75" thickBot="1">
      <c r="A728" s="3"/>
      <c r="B728" s="3"/>
      <c r="C728" s="4"/>
      <c r="D728" s="4"/>
      <c r="E728" s="17"/>
      <c r="F728" s="22"/>
    </row>
    <row r="729" spans="1:6" ht="15.75" thickBot="1">
      <c r="A729" s="3"/>
      <c r="B729" s="3"/>
      <c r="C729" s="4"/>
      <c r="D729" s="4"/>
      <c r="E729" s="17"/>
      <c r="F729" s="22"/>
    </row>
    <row r="730" spans="1:6" ht="15.75" thickBot="1">
      <c r="A730" s="3"/>
      <c r="B730" s="3"/>
      <c r="C730" s="4"/>
      <c r="D730" s="4"/>
      <c r="E730" s="17"/>
      <c r="F730" s="22"/>
    </row>
    <row r="731" spans="1:6" ht="15.75" thickBot="1">
      <c r="A731" s="3"/>
      <c r="B731" s="3"/>
      <c r="C731" s="4"/>
      <c r="D731" s="4"/>
      <c r="E731" s="17"/>
      <c r="F731" s="22"/>
    </row>
    <row r="732" spans="1:6" ht="15.75" thickBot="1">
      <c r="A732" s="3"/>
      <c r="B732" s="3"/>
      <c r="C732" s="4"/>
      <c r="D732" s="4"/>
      <c r="E732" s="17"/>
      <c r="F732" s="22"/>
    </row>
    <row r="733" spans="1:6" ht="15.75" thickBot="1">
      <c r="A733" s="3"/>
      <c r="B733" s="3"/>
      <c r="C733" s="4"/>
      <c r="D733" s="4"/>
      <c r="E733" s="17"/>
      <c r="F733" s="22"/>
    </row>
    <row r="734" spans="1:6" ht="15.75" thickBot="1">
      <c r="A734" s="3"/>
      <c r="B734" s="3"/>
      <c r="C734" s="4"/>
      <c r="D734" s="4"/>
      <c r="E734" s="17"/>
      <c r="F734" s="22"/>
    </row>
    <row r="735" spans="1:6" ht="15.75" thickBot="1">
      <c r="A735" s="3"/>
      <c r="B735" s="3"/>
      <c r="C735" s="4"/>
      <c r="D735" s="4"/>
      <c r="E735" s="17"/>
      <c r="F735" s="22"/>
    </row>
    <row r="736" spans="1:6" ht="15.75" thickBot="1">
      <c r="A736" s="3"/>
      <c r="B736" s="3"/>
      <c r="C736" s="4"/>
      <c r="D736" s="4"/>
      <c r="E736" s="17"/>
      <c r="F736" s="22"/>
    </row>
    <row r="737" spans="1:6" ht="15.75" thickBot="1">
      <c r="A737" s="3"/>
      <c r="B737" s="3"/>
      <c r="C737" s="4"/>
      <c r="D737" s="4"/>
      <c r="E737" s="17"/>
      <c r="F737" s="22"/>
    </row>
    <row r="738" spans="1:6" ht="15.75" thickBot="1">
      <c r="A738" s="3"/>
      <c r="B738" s="3"/>
      <c r="C738" s="4"/>
      <c r="D738" s="4"/>
      <c r="E738" s="17"/>
      <c r="F738" s="22"/>
    </row>
    <row r="739" spans="1:6" ht="15.75" thickBot="1">
      <c r="A739" s="3"/>
      <c r="B739" s="3"/>
      <c r="C739" s="4"/>
      <c r="D739" s="4"/>
      <c r="E739" s="17"/>
      <c r="F739" s="22"/>
    </row>
    <row r="740" spans="1:6" ht="15.75" thickBot="1">
      <c r="A740" s="3"/>
      <c r="B740" s="3"/>
      <c r="C740" s="4"/>
      <c r="D740" s="4"/>
      <c r="E740" s="17"/>
      <c r="F740" s="22"/>
    </row>
    <row r="741" spans="1:6" ht="15.75" thickBot="1">
      <c r="A741" s="3"/>
      <c r="B741" s="3"/>
      <c r="C741" s="4"/>
      <c r="D741" s="4"/>
      <c r="E741" s="17"/>
      <c r="F741" s="22"/>
    </row>
    <row r="742" spans="1:6" ht="15.75" thickBot="1">
      <c r="A742" s="3"/>
      <c r="B742" s="3"/>
      <c r="C742" s="4"/>
      <c r="D742" s="4"/>
      <c r="E742" s="17"/>
      <c r="F742" s="22"/>
    </row>
    <row r="743" spans="1:6" ht="15.75" thickBot="1">
      <c r="A743" s="3"/>
      <c r="B743" s="3"/>
      <c r="C743" s="4"/>
      <c r="D743" s="4"/>
      <c r="E743" s="17"/>
      <c r="F743" s="22"/>
    </row>
    <row r="744" spans="1:6" ht="15.75" thickBot="1">
      <c r="A744" s="3"/>
      <c r="B744" s="3"/>
      <c r="C744" s="4"/>
      <c r="D744" s="4"/>
      <c r="E744" s="17"/>
      <c r="F744" s="22"/>
    </row>
    <row r="745" spans="1:6" ht="15.75" thickBot="1">
      <c r="A745" s="3"/>
      <c r="B745" s="3"/>
      <c r="C745" s="4"/>
      <c r="D745" s="4"/>
      <c r="E745" s="17"/>
      <c r="F745" s="22"/>
    </row>
    <row r="746" spans="1:6" ht="15.75" thickBot="1">
      <c r="A746" s="3"/>
      <c r="B746" s="3"/>
      <c r="C746" s="4"/>
      <c r="D746" s="4"/>
      <c r="E746" s="17"/>
      <c r="F746" s="22"/>
    </row>
    <row r="747" spans="1:6" ht="15.75" thickBot="1">
      <c r="A747" s="3"/>
      <c r="B747" s="3"/>
      <c r="C747" s="4"/>
      <c r="D747" s="4"/>
      <c r="E747" s="17"/>
      <c r="F747" s="22"/>
    </row>
    <row r="748" spans="1:6" ht="15.75" thickBot="1">
      <c r="A748" s="3"/>
      <c r="B748" s="3"/>
      <c r="C748" s="4"/>
      <c r="D748" s="4"/>
      <c r="E748" s="17"/>
      <c r="F748" s="22"/>
    </row>
    <row r="749" spans="1:6" ht="15.75" thickBot="1">
      <c r="A749" s="3"/>
      <c r="B749" s="3"/>
      <c r="C749" s="4"/>
      <c r="D749" s="4"/>
      <c r="E749" s="17"/>
      <c r="F749" s="22"/>
    </row>
    <row r="750" spans="1:6" ht="15.75" thickBot="1">
      <c r="A750" s="3"/>
      <c r="B750" s="3"/>
      <c r="C750" s="4"/>
      <c r="D750" s="4"/>
      <c r="E750" s="17"/>
      <c r="F750" s="22"/>
    </row>
    <row r="751" spans="1:6" ht="15.75" thickBot="1">
      <c r="A751" s="3"/>
      <c r="B751" s="3"/>
      <c r="C751" s="4"/>
      <c r="D751" s="4"/>
      <c r="E751" s="17"/>
      <c r="F751" s="22"/>
    </row>
    <row r="752" spans="1:6" ht="15.75" thickBot="1">
      <c r="A752" s="3"/>
      <c r="B752" s="3"/>
      <c r="C752" s="4"/>
      <c r="D752" s="4"/>
      <c r="E752" s="17"/>
      <c r="F752" s="22"/>
    </row>
    <row r="753" spans="1:6" ht="15.75" thickBot="1">
      <c r="A753" s="3"/>
      <c r="B753" s="3"/>
      <c r="C753" s="4"/>
      <c r="D753" s="4"/>
      <c r="E753" s="17"/>
      <c r="F753" s="22"/>
    </row>
    <row r="754" spans="1:6" ht="15.75" thickBot="1">
      <c r="A754" s="3"/>
      <c r="B754" s="3"/>
      <c r="C754" s="4"/>
      <c r="D754" s="4"/>
      <c r="E754" s="17"/>
      <c r="F754" s="22"/>
    </row>
    <row r="755" spans="1:6" ht="15.75" thickBot="1">
      <c r="A755" s="3"/>
      <c r="B755" s="3"/>
      <c r="C755" s="4"/>
      <c r="D755" s="4"/>
      <c r="E755" s="17"/>
      <c r="F755" s="22"/>
    </row>
    <row r="756" spans="1:6" ht="15.75" thickBot="1">
      <c r="A756" s="3"/>
      <c r="B756" s="3"/>
      <c r="C756" s="4"/>
      <c r="D756" s="4"/>
      <c r="E756" s="17"/>
      <c r="F756" s="22"/>
    </row>
    <row r="757" spans="1:6" ht="15.75" thickBot="1">
      <c r="A757" s="3"/>
      <c r="B757" s="3"/>
      <c r="C757" s="4"/>
      <c r="D757" s="4"/>
      <c r="E757" s="17"/>
      <c r="F757" s="22"/>
    </row>
    <row r="758" spans="1:6" ht="15.75" thickBot="1">
      <c r="A758" s="3"/>
      <c r="B758" s="3"/>
      <c r="C758" s="4"/>
      <c r="D758" s="4"/>
      <c r="E758" s="17"/>
      <c r="F758" s="22"/>
    </row>
    <row r="759" spans="1:6" ht="15.75" thickBot="1">
      <c r="A759" s="3"/>
      <c r="B759" s="3"/>
      <c r="C759" s="4"/>
      <c r="D759" s="4"/>
      <c r="E759" s="17"/>
      <c r="F759" s="22"/>
    </row>
    <row r="760" spans="1:6" ht="15.75" thickBot="1">
      <c r="A760" s="3"/>
      <c r="B760" s="3"/>
      <c r="C760" s="4"/>
      <c r="D760" s="4"/>
      <c r="E760" s="17"/>
      <c r="F760" s="22"/>
    </row>
    <row r="761" spans="1:6" ht="15.75" thickBot="1">
      <c r="A761" s="3"/>
      <c r="B761" s="3"/>
      <c r="C761" s="4"/>
      <c r="D761" s="4"/>
      <c r="E761" s="17"/>
      <c r="F761" s="22"/>
    </row>
    <row r="762" spans="1:6" ht="15.75" thickBot="1">
      <c r="A762" s="3"/>
      <c r="B762" s="3"/>
      <c r="C762" s="4"/>
      <c r="D762" s="4"/>
      <c r="E762" s="17"/>
      <c r="F762" s="22"/>
    </row>
    <row r="763" spans="1:6" ht="15.75" thickBot="1">
      <c r="A763" s="3"/>
      <c r="B763" s="3"/>
      <c r="C763" s="4"/>
      <c r="D763" s="4"/>
      <c r="E763" s="17"/>
      <c r="F763" s="22"/>
    </row>
    <row r="764" spans="1:6" ht="15.75" thickBot="1">
      <c r="A764" s="3"/>
      <c r="B764" s="3"/>
      <c r="C764" s="4"/>
      <c r="D764" s="4"/>
      <c r="E764" s="17"/>
      <c r="F764" s="22"/>
    </row>
    <row r="765" spans="1:6" ht="15.75" thickBot="1">
      <c r="A765" s="3"/>
      <c r="B765" s="3"/>
      <c r="C765" s="4"/>
      <c r="D765" s="4"/>
      <c r="E765" s="17"/>
      <c r="F765" s="22"/>
    </row>
    <row r="766" spans="1:6" ht="15.75" thickBot="1">
      <c r="A766" s="3"/>
      <c r="B766" s="3"/>
      <c r="C766" s="4"/>
      <c r="D766" s="4"/>
      <c r="E766" s="17"/>
      <c r="F766" s="22"/>
    </row>
    <row r="767" spans="1:6" ht="15.75" thickBot="1">
      <c r="A767" s="3"/>
      <c r="B767" s="3"/>
      <c r="C767" s="4"/>
      <c r="D767" s="4"/>
      <c r="E767" s="17"/>
      <c r="F767" s="22"/>
    </row>
    <row r="768" spans="1:6" ht="15.75" thickBot="1">
      <c r="A768" s="3"/>
      <c r="B768" s="3"/>
      <c r="C768" s="4"/>
      <c r="D768" s="4"/>
      <c r="E768" s="17"/>
      <c r="F768" s="22"/>
    </row>
    <row r="769" spans="1:6" ht="15.75" thickBot="1">
      <c r="A769" s="3"/>
      <c r="B769" s="3"/>
      <c r="C769" s="4"/>
      <c r="D769" s="4"/>
      <c r="E769" s="17"/>
      <c r="F769" s="22"/>
    </row>
    <row r="770" spans="1:6" ht="15.75" thickBot="1">
      <c r="A770" s="3"/>
      <c r="B770" s="3"/>
      <c r="C770" s="4"/>
      <c r="D770" s="4"/>
      <c r="E770" s="17"/>
      <c r="F770" s="22"/>
    </row>
    <row r="771" spans="1:6" ht="15.75" thickBot="1">
      <c r="A771" s="3"/>
      <c r="B771" s="3"/>
      <c r="C771" s="4"/>
      <c r="D771" s="4"/>
      <c r="E771" s="17"/>
      <c r="F771" s="22"/>
    </row>
    <row r="772" spans="1:6" ht="15.75" thickBot="1">
      <c r="A772" s="3"/>
      <c r="B772" s="3"/>
      <c r="C772" s="4"/>
      <c r="D772" s="4"/>
      <c r="E772" s="17"/>
      <c r="F772" s="22"/>
    </row>
    <row r="773" spans="1:6" ht="15.75" thickBot="1">
      <c r="A773" s="3"/>
      <c r="B773" s="3"/>
      <c r="C773" s="4"/>
      <c r="D773" s="4"/>
      <c r="E773" s="17"/>
      <c r="F773" s="22"/>
    </row>
    <row r="774" spans="1:6" ht="15.75" thickBot="1">
      <c r="A774" s="3"/>
      <c r="B774" s="3"/>
      <c r="C774" s="4"/>
      <c r="D774" s="4"/>
      <c r="E774" s="17"/>
      <c r="F774" s="22"/>
    </row>
    <row r="775" spans="1:6" ht="15.75" thickBot="1">
      <c r="A775" s="3"/>
      <c r="B775" s="3"/>
      <c r="C775" s="4"/>
      <c r="D775" s="4"/>
      <c r="E775" s="17"/>
      <c r="F775" s="22"/>
    </row>
    <row r="776" spans="1:6" ht="15.75" thickBot="1">
      <c r="A776" s="3"/>
      <c r="B776" s="3"/>
      <c r="C776" s="4"/>
      <c r="D776" s="4"/>
      <c r="E776" s="17"/>
      <c r="F776" s="22"/>
    </row>
    <row r="777" spans="1:6" ht="15.75" thickBot="1">
      <c r="A777" s="3"/>
      <c r="B777" s="3"/>
      <c r="C777" s="4"/>
      <c r="D777" s="4"/>
      <c r="E777" s="17"/>
      <c r="F777" s="22"/>
    </row>
    <row r="778" spans="1:6" ht="15.75" thickBot="1">
      <c r="A778" s="3"/>
      <c r="B778" s="3"/>
      <c r="C778" s="4"/>
      <c r="D778" s="4"/>
      <c r="E778" s="17"/>
      <c r="F778" s="22"/>
    </row>
    <row r="779" spans="1:6" ht="15.75" thickBot="1">
      <c r="A779" s="3"/>
      <c r="B779" s="3"/>
      <c r="C779" s="4"/>
      <c r="D779" s="4"/>
      <c r="E779" s="17"/>
      <c r="F779" s="22"/>
    </row>
    <row r="780" spans="1:6" ht="15.75" thickBot="1">
      <c r="A780" s="3"/>
      <c r="B780" s="3"/>
      <c r="C780" s="4"/>
      <c r="D780" s="4"/>
      <c r="E780" s="17"/>
      <c r="F780" s="22"/>
    </row>
    <row r="781" spans="1:6" ht="15.75" thickBot="1">
      <c r="A781" s="3"/>
      <c r="B781" s="3"/>
      <c r="C781" s="4"/>
      <c r="D781" s="4"/>
      <c r="E781" s="17"/>
      <c r="F781" s="22"/>
    </row>
    <row r="782" spans="1:6" ht="15.75" thickBot="1">
      <c r="A782" s="3"/>
      <c r="B782" s="3"/>
      <c r="C782" s="4"/>
      <c r="D782" s="4"/>
      <c r="E782" s="17"/>
      <c r="F782" s="22"/>
    </row>
    <row r="783" spans="1:6" ht="15.75" thickBot="1">
      <c r="A783" s="3"/>
      <c r="B783" s="3"/>
      <c r="C783" s="4"/>
      <c r="D783" s="4"/>
      <c r="E783" s="17"/>
      <c r="F783" s="22"/>
    </row>
    <row r="784" spans="1:6" ht="15.75" thickBot="1">
      <c r="A784" s="3"/>
      <c r="B784" s="3"/>
      <c r="C784" s="4"/>
      <c r="D784" s="4"/>
      <c r="E784" s="17"/>
      <c r="F784" s="22"/>
    </row>
    <row r="785" spans="1:6" ht="15.75" thickBot="1">
      <c r="A785" s="3"/>
      <c r="B785" s="3"/>
      <c r="C785" s="4"/>
      <c r="D785" s="4"/>
      <c r="E785" s="17"/>
      <c r="F785" s="22"/>
    </row>
    <row r="786" spans="1:6" ht="15.75" thickBot="1">
      <c r="A786" s="3"/>
      <c r="B786" s="3"/>
      <c r="C786" s="4"/>
      <c r="D786" s="4"/>
      <c r="E786" s="17"/>
      <c r="F786" s="22"/>
    </row>
    <row r="787" spans="1:6" ht="15.75" thickBot="1">
      <c r="A787" s="3"/>
      <c r="B787" s="3"/>
      <c r="C787" s="4"/>
      <c r="D787" s="4"/>
      <c r="E787" s="17"/>
      <c r="F787" s="22"/>
    </row>
    <row r="788" spans="1:6" ht="15.75" thickBot="1">
      <c r="A788" s="3"/>
      <c r="B788" s="3"/>
      <c r="C788" s="4"/>
      <c r="D788" s="4"/>
      <c r="E788" s="17"/>
      <c r="F788" s="22"/>
    </row>
    <row r="789" spans="1:6" ht="15.75" thickBot="1">
      <c r="A789" s="3"/>
      <c r="B789" s="3"/>
      <c r="C789" s="4"/>
      <c r="D789" s="4"/>
      <c r="E789" s="17"/>
      <c r="F789" s="22"/>
    </row>
    <row r="790" spans="1:6" ht="15.75" thickBot="1">
      <c r="A790" s="3"/>
      <c r="B790" s="3"/>
      <c r="C790" s="4"/>
      <c r="D790" s="4"/>
      <c r="E790" s="17"/>
      <c r="F790" s="22"/>
    </row>
    <row r="791" spans="1:6" ht="15.75" thickBot="1">
      <c r="A791" s="3"/>
      <c r="B791" s="3"/>
      <c r="C791" s="4"/>
      <c r="D791" s="4"/>
      <c r="E791" s="17"/>
      <c r="F791" s="22"/>
    </row>
    <row r="792" spans="1:6" ht="15.75" thickBot="1">
      <c r="A792" s="3"/>
      <c r="B792" s="3"/>
      <c r="C792" s="4"/>
      <c r="D792" s="4"/>
      <c r="E792" s="17"/>
      <c r="F792" s="22"/>
    </row>
    <row r="793" spans="1:6" ht="15.75" thickBot="1">
      <c r="A793" s="3"/>
      <c r="B793" s="3"/>
      <c r="C793" s="4"/>
      <c r="D793" s="4"/>
      <c r="E793" s="17"/>
      <c r="F793" s="22"/>
    </row>
    <row r="794" spans="1:6" ht="15.75" thickBot="1">
      <c r="A794" s="3"/>
      <c r="B794" s="3"/>
      <c r="C794" s="4"/>
      <c r="D794" s="4"/>
      <c r="E794" s="17"/>
      <c r="F794" s="22"/>
    </row>
    <row r="795" spans="1:6" ht="15.75" thickBot="1">
      <c r="A795" s="3"/>
      <c r="B795" s="3"/>
      <c r="C795" s="4"/>
      <c r="D795" s="4"/>
      <c r="E795" s="17"/>
      <c r="F795" s="22"/>
    </row>
    <row r="796" spans="1:6" ht="15.75" thickBot="1">
      <c r="A796" s="3"/>
      <c r="B796" s="3"/>
      <c r="C796" s="4"/>
      <c r="D796" s="4"/>
      <c r="E796" s="17"/>
      <c r="F796" s="22"/>
    </row>
    <row r="797" spans="1:6" ht="15.75" thickBot="1">
      <c r="A797" s="3"/>
      <c r="B797" s="3"/>
      <c r="C797" s="4"/>
      <c r="D797" s="4"/>
      <c r="E797" s="17"/>
      <c r="F797" s="22"/>
    </row>
    <row r="798" spans="1:6" ht="15.75" thickBot="1">
      <c r="A798" s="3"/>
      <c r="B798" s="3"/>
      <c r="C798" s="4"/>
      <c r="D798" s="4"/>
      <c r="E798" s="17"/>
      <c r="F798" s="22"/>
    </row>
    <row r="799" spans="1:6" ht="15.75" thickBot="1">
      <c r="A799" s="3"/>
      <c r="B799" s="3"/>
      <c r="C799" s="4"/>
      <c r="D799" s="4"/>
      <c r="E799" s="17"/>
      <c r="F799" s="22"/>
    </row>
    <row r="800" spans="1:6" ht="15.75" thickBot="1">
      <c r="A800" s="3"/>
      <c r="B800" s="3"/>
      <c r="C800" s="4"/>
      <c r="D800" s="4"/>
      <c r="E800" s="17"/>
      <c r="F800" s="22"/>
    </row>
    <row r="801" spans="1:6" ht="15.75" thickBot="1">
      <c r="A801" s="3"/>
      <c r="B801" s="3"/>
      <c r="C801" s="4"/>
      <c r="D801" s="4"/>
      <c r="E801" s="17"/>
      <c r="F801" s="22"/>
    </row>
    <row r="802" spans="1:6" ht="15.75" thickBot="1">
      <c r="A802" s="3"/>
      <c r="B802" s="3"/>
      <c r="C802" s="4"/>
      <c r="D802" s="4"/>
      <c r="E802" s="17"/>
      <c r="F802" s="22"/>
    </row>
    <row r="803" spans="1:6" ht="15.75" thickBot="1">
      <c r="A803" s="3"/>
      <c r="B803" s="3"/>
      <c r="C803" s="4"/>
      <c r="D803" s="4"/>
      <c r="E803" s="17"/>
      <c r="F803" s="22"/>
    </row>
    <row r="804" spans="1:6" ht="15.75" thickBot="1">
      <c r="A804" s="3"/>
      <c r="B804" s="3"/>
      <c r="C804" s="4"/>
      <c r="D804" s="4"/>
      <c r="E804" s="17"/>
      <c r="F804" s="22"/>
    </row>
    <row r="805" spans="1:6" ht="15.75" thickBot="1">
      <c r="A805" s="3"/>
      <c r="B805" s="3"/>
      <c r="C805" s="4"/>
      <c r="D805" s="4"/>
      <c r="E805" s="17"/>
      <c r="F805" s="22"/>
    </row>
    <row r="806" spans="1:6" ht="15.75" thickBot="1">
      <c r="A806" s="3"/>
      <c r="B806" s="3"/>
      <c r="C806" s="4"/>
      <c r="D806" s="4"/>
      <c r="E806" s="17"/>
      <c r="F806" s="22"/>
    </row>
    <row r="807" spans="1:6" ht="15.75" thickBot="1">
      <c r="A807" s="3"/>
      <c r="B807" s="3"/>
      <c r="C807" s="4"/>
      <c r="D807" s="4"/>
      <c r="E807" s="17"/>
      <c r="F807" s="22"/>
    </row>
    <row r="808" spans="1:6" ht="15.75" thickBot="1">
      <c r="A808" s="3"/>
      <c r="B808" s="3"/>
      <c r="C808" s="4"/>
      <c r="D808" s="4"/>
      <c r="E808" s="17"/>
      <c r="F808" s="22"/>
    </row>
    <row r="809" spans="1:6" ht="15.75" thickBot="1">
      <c r="A809" s="3"/>
      <c r="B809" s="3"/>
      <c r="C809" s="4"/>
      <c r="D809" s="4"/>
      <c r="E809" s="17"/>
      <c r="F809" s="22"/>
    </row>
    <row r="810" spans="1:6" ht="15.75" thickBot="1">
      <c r="A810" s="3"/>
      <c r="B810" s="3"/>
      <c r="C810" s="4"/>
      <c r="D810" s="4"/>
      <c r="E810" s="17"/>
      <c r="F810" s="22"/>
    </row>
    <row r="811" spans="1:6" ht="15.75" thickBot="1">
      <c r="A811" s="3"/>
      <c r="B811" s="3"/>
      <c r="C811" s="4"/>
      <c r="D811" s="4"/>
      <c r="E811" s="17"/>
      <c r="F811" s="22"/>
    </row>
    <row r="812" spans="1:6" ht="15.75" thickBot="1">
      <c r="A812" s="3"/>
      <c r="B812" s="3"/>
      <c r="C812" s="4"/>
      <c r="D812" s="4"/>
      <c r="E812" s="17"/>
      <c r="F812" s="22"/>
    </row>
    <row r="813" spans="1:6" ht="15.75" thickBot="1">
      <c r="A813" s="3"/>
      <c r="B813" s="3"/>
      <c r="C813" s="4"/>
      <c r="D813" s="4"/>
      <c r="E813" s="17"/>
      <c r="F813" s="22"/>
    </row>
    <row r="814" spans="1:6" ht="15.75" thickBot="1">
      <c r="A814" s="3"/>
      <c r="B814" s="3"/>
      <c r="C814" s="4"/>
      <c r="D814" s="4"/>
      <c r="E814" s="17"/>
      <c r="F814" s="22"/>
    </row>
    <row r="815" spans="1:6" ht="15.75" thickBot="1">
      <c r="A815" s="3"/>
      <c r="B815" s="3"/>
      <c r="C815" s="4"/>
      <c r="D815" s="4"/>
      <c r="E815" s="17"/>
      <c r="F815" s="22"/>
    </row>
    <row r="816" spans="1:6" ht="15.75" thickBot="1">
      <c r="A816" s="3"/>
      <c r="B816" s="3"/>
      <c r="C816" s="4"/>
      <c r="D816" s="4"/>
      <c r="E816" s="17"/>
      <c r="F816" s="22"/>
    </row>
    <row r="817" spans="1:6" ht="15.75" thickBot="1">
      <c r="A817" s="3"/>
      <c r="B817" s="3"/>
      <c r="C817" s="4"/>
      <c r="D817" s="4"/>
      <c r="E817" s="17"/>
      <c r="F817" s="22"/>
    </row>
    <row r="818" spans="1:6" ht="15.75" thickBot="1">
      <c r="A818" s="3"/>
      <c r="B818" s="3"/>
      <c r="C818" s="4"/>
      <c r="D818" s="4"/>
      <c r="E818" s="17"/>
      <c r="F818" s="22"/>
    </row>
    <row r="819" spans="1:6" ht="15.75" thickBot="1">
      <c r="A819" s="3"/>
      <c r="B819" s="3"/>
      <c r="C819" s="4"/>
      <c r="D819" s="4"/>
      <c r="E819" s="17"/>
      <c r="F819" s="22"/>
    </row>
    <row r="820" spans="1:6" ht="15.75" thickBot="1">
      <c r="A820" s="3"/>
      <c r="B820" s="3"/>
      <c r="C820" s="4"/>
      <c r="D820" s="4"/>
      <c r="E820" s="17"/>
      <c r="F820" s="22"/>
    </row>
    <row r="821" spans="1:6" ht="15.75" thickBot="1">
      <c r="A821" s="3"/>
      <c r="B821" s="3"/>
      <c r="C821" s="4"/>
      <c r="D821" s="4"/>
      <c r="E821" s="17"/>
      <c r="F821" s="22"/>
    </row>
    <row r="822" spans="1:6" ht="15.75" thickBot="1">
      <c r="A822" s="3"/>
      <c r="B822" s="3"/>
      <c r="C822" s="4"/>
      <c r="D822" s="4"/>
      <c r="E822" s="17"/>
      <c r="F822" s="22"/>
    </row>
    <row r="823" spans="1:6" ht="15.75" thickBot="1">
      <c r="A823" s="3"/>
      <c r="B823" s="3"/>
      <c r="C823" s="4"/>
      <c r="D823" s="4"/>
      <c r="E823" s="17"/>
      <c r="F823" s="22"/>
    </row>
    <row r="824" spans="1:6" ht="15.75" thickBot="1">
      <c r="A824" s="3"/>
      <c r="B824" s="3"/>
      <c r="C824" s="4"/>
      <c r="D824" s="4"/>
      <c r="E824" s="17"/>
      <c r="F824" s="22"/>
    </row>
    <row r="825" spans="1:6" ht="15.75" thickBot="1">
      <c r="A825" s="3"/>
      <c r="B825" s="3"/>
      <c r="C825" s="4"/>
      <c r="D825" s="4"/>
      <c r="E825" s="17"/>
      <c r="F825" s="22"/>
    </row>
    <row r="826" spans="1:6" ht="15.75" thickBot="1">
      <c r="A826" s="3"/>
      <c r="B826" s="3"/>
      <c r="C826" s="4"/>
      <c r="D826" s="4"/>
      <c r="E826" s="17"/>
      <c r="F826" s="22"/>
    </row>
    <row r="827" spans="1:6" ht="15.75" thickBot="1">
      <c r="A827" s="3"/>
      <c r="B827" s="3"/>
      <c r="C827" s="4"/>
      <c r="D827" s="4"/>
      <c r="E827" s="17"/>
      <c r="F827" s="22"/>
    </row>
    <row r="828" spans="1:6" ht="15.75" thickBot="1">
      <c r="A828" s="3"/>
      <c r="B828" s="3"/>
      <c r="C828" s="4"/>
      <c r="D828" s="4"/>
      <c r="E828" s="17"/>
      <c r="F828" s="22"/>
    </row>
    <row r="829" spans="1:6" ht="15.75" thickBot="1">
      <c r="A829" s="3"/>
      <c r="B829" s="3"/>
      <c r="C829" s="4"/>
      <c r="D829" s="4"/>
      <c r="E829" s="17"/>
      <c r="F829" s="22"/>
    </row>
    <row r="830" spans="1:6" ht="15.75" thickBot="1">
      <c r="A830" s="3"/>
      <c r="B830" s="3"/>
      <c r="C830" s="4"/>
      <c r="D830" s="4"/>
      <c r="E830" s="17"/>
      <c r="F830" s="22"/>
    </row>
    <row r="831" spans="1:6" ht="15.75" thickBot="1">
      <c r="A831" s="3"/>
      <c r="B831" s="3"/>
      <c r="C831" s="4"/>
      <c r="D831" s="4"/>
      <c r="E831" s="17"/>
      <c r="F831" s="22"/>
    </row>
    <row r="832" spans="1:6" ht="15.75" thickBot="1">
      <c r="A832" s="3"/>
      <c r="B832" s="3"/>
      <c r="C832" s="4"/>
      <c r="D832" s="4"/>
      <c r="E832" s="17"/>
      <c r="F832" s="22"/>
    </row>
    <row r="833" spans="1:6" ht="15.75" thickBot="1">
      <c r="A833" s="3"/>
      <c r="B833" s="3"/>
      <c r="C833" s="4"/>
      <c r="D833" s="4"/>
      <c r="E833" s="17"/>
      <c r="F833" s="22"/>
    </row>
    <row r="834" spans="1:6" ht="15.75" thickBot="1">
      <c r="A834" s="3"/>
      <c r="B834" s="3"/>
      <c r="C834" s="4"/>
      <c r="D834" s="4"/>
      <c r="E834" s="17"/>
      <c r="F834" s="22"/>
    </row>
    <row r="835" spans="1:6" ht="15.75" thickBot="1">
      <c r="A835" s="3"/>
      <c r="B835" s="3"/>
      <c r="C835" s="4"/>
      <c r="D835" s="4"/>
      <c r="E835" s="17"/>
      <c r="F835" s="22"/>
    </row>
    <row r="836" spans="1:6" ht="15.75" thickBot="1">
      <c r="A836" s="3"/>
      <c r="B836" s="3"/>
      <c r="C836" s="4"/>
      <c r="D836" s="4"/>
      <c r="E836" s="17"/>
      <c r="F836" s="22"/>
    </row>
    <row r="837" spans="1:6" ht="15.75" thickBot="1">
      <c r="A837" s="3"/>
      <c r="B837" s="3"/>
      <c r="C837" s="4"/>
      <c r="D837" s="4"/>
      <c r="E837" s="17"/>
      <c r="F837" s="22"/>
    </row>
    <row r="838" spans="1:6" ht="15.75" thickBot="1">
      <c r="A838" s="3"/>
      <c r="B838" s="3"/>
      <c r="C838" s="4"/>
      <c r="D838" s="4"/>
      <c r="E838" s="17"/>
      <c r="F838" s="22"/>
    </row>
    <row r="839" spans="1:6" ht="15.75" thickBot="1">
      <c r="A839" s="3"/>
      <c r="B839" s="3"/>
      <c r="C839" s="4"/>
      <c r="D839" s="4"/>
      <c r="E839" s="17"/>
      <c r="F839" s="22"/>
    </row>
    <row r="840" spans="1:6" ht="15.75" thickBot="1">
      <c r="A840" s="3"/>
      <c r="B840" s="3"/>
      <c r="C840" s="4"/>
      <c r="D840" s="4"/>
      <c r="E840" s="17"/>
      <c r="F840" s="22"/>
    </row>
    <row r="841" spans="1:6" ht="15.75" thickBot="1">
      <c r="A841" s="3"/>
      <c r="B841" s="3"/>
      <c r="C841" s="4"/>
      <c r="D841" s="4"/>
      <c r="E841" s="17"/>
      <c r="F841" s="22"/>
    </row>
    <row r="842" spans="1:6" ht="15.75" thickBot="1">
      <c r="A842" s="3"/>
      <c r="B842" s="3"/>
      <c r="C842" s="4"/>
      <c r="D842" s="4"/>
      <c r="E842" s="17"/>
      <c r="F842" s="22"/>
    </row>
    <row r="843" spans="1:6" ht="15.75" thickBot="1">
      <c r="A843" s="3"/>
      <c r="B843" s="3"/>
      <c r="C843" s="4"/>
      <c r="D843" s="4"/>
      <c r="E843" s="17"/>
      <c r="F843" s="22"/>
    </row>
    <row r="844" spans="1:6" ht="15.75" thickBot="1">
      <c r="A844" s="3"/>
      <c r="B844" s="3"/>
      <c r="C844" s="4"/>
      <c r="D844" s="4"/>
      <c r="E844" s="17"/>
      <c r="F844" s="22"/>
    </row>
    <row r="845" spans="1:6" ht="15.75" thickBot="1">
      <c r="A845" s="3"/>
      <c r="B845" s="3"/>
      <c r="C845" s="4"/>
      <c r="D845" s="4"/>
      <c r="E845" s="17"/>
      <c r="F845" s="22"/>
    </row>
    <row r="846" spans="1:6" ht="15.75" thickBot="1">
      <c r="A846" s="3"/>
      <c r="B846" s="3"/>
      <c r="C846" s="4"/>
      <c r="D846" s="4"/>
      <c r="E846" s="17"/>
      <c r="F846" s="22"/>
    </row>
    <row r="847" spans="1:6" ht="15.75" thickBot="1">
      <c r="A847" s="3"/>
      <c r="B847" s="3"/>
      <c r="C847" s="4"/>
      <c r="D847" s="4"/>
      <c r="E847" s="17"/>
      <c r="F847" s="22"/>
    </row>
    <row r="848" spans="1:6" ht="15.75" thickBot="1">
      <c r="A848" s="3"/>
      <c r="B848" s="3"/>
      <c r="C848" s="4"/>
      <c r="D848" s="4"/>
      <c r="E848" s="17"/>
      <c r="F848" s="22"/>
    </row>
    <row r="849" spans="1:6" ht="15.75" thickBot="1">
      <c r="A849" s="3"/>
      <c r="B849" s="3"/>
      <c r="C849" s="4"/>
      <c r="D849" s="4"/>
      <c r="E849" s="17"/>
      <c r="F849" s="22"/>
    </row>
    <row r="850" spans="1:6" ht="15.75" thickBot="1">
      <c r="A850" s="3"/>
      <c r="B850" s="3"/>
      <c r="C850" s="4"/>
      <c r="D850" s="4"/>
      <c r="E850" s="17"/>
      <c r="F850" s="22"/>
    </row>
    <row r="851" spans="1:6">
      <c r="C851" s="2"/>
    </row>
    <row r="852" spans="1:6">
      <c r="C852" s="2"/>
    </row>
    <row r="853" spans="1:6">
      <c r="C853" s="2"/>
    </row>
    <row r="854" spans="1:6">
      <c r="C854" s="2"/>
    </row>
    <row r="855" spans="1:6">
      <c r="C855" s="2"/>
    </row>
    <row r="856" spans="1:6">
      <c r="C856" s="2"/>
    </row>
    <row r="857" spans="1:6">
      <c r="C857" s="2"/>
    </row>
    <row r="858" spans="1:6">
      <c r="C858" s="2"/>
    </row>
    <row r="859" spans="1:6">
      <c r="C859" s="2"/>
    </row>
    <row r="860" spans="1:6">
      <c r="C860" s="2"/>
    </row>
    <row r="861" spans="1:6">
      <c r="C861" s="2"/>
    </row>
    <row r="862" spans="1:6">
      <c r="C862" s="2"/>
    </row>
    <row r="863" spans="1:6">
      <c r="C863" s="2"/>
    </row>
    <row r="864" spans="1:6">
      <c r="C864" s="2"/>
    </row>
    <row r="865" spans="3:3">
      <c r="C865" s="2"/>
    </row>
    <row r="866" spans="3:3">
      <c r="C866" s="2"/>
    </row>
    <row r="867" spans="3:3">
      <c r="C867" s="2"/>
    </row>
    <row r="868" spans="3:3">
      <c r="C868" s="2"/>
    </row>
    <row r="869" spans="3:3">
      <c r="C869" s="2"/>
    </row>
    <row r="870" spans="3:3">
      <c r="C870" s="2"/>
    </row>
    <row r="871" spans="3:3">
      <c r="C871" s="2"/>
    </row>
    <row r="872" spans="3:3">
      <c r="C872" s="2"/>
    </row>
    <row r="873" spans="3:3">
      <c r="C873" s="2"/>
    </row>
    <row r="874" spans="3:3">
      <c r="C874" s="2"/>
    </row>
    <row r="875" spans="3:3">
      <c r="C875" s="2"/>
    </row>
    <row r="876" spans="3:3">
      <c r="C876" s="2"/>
    </row>
    <row r="877" spans="3:3">
      <c r="C877" s="2"/>
    </row>
    <row r="878" spans="3:3">
      <c r="C878" s="2"/>
    </row>
    <row r="879" spans="3:3">
      <c r="C879" s="2"/>
    </row>
    <row r="880" spans="3:3">
      <c r="C880" s="2"/>
    </row>
    <row r="881" spans="3:3">
      <c r="C881" s="2"/>
    </row>
    <row r="882" spans="3:3">
      <c r="C882" s="2"/>
    </row>
    <row r="883" spans="3:3">
      <c r="C883" s="2"/>
    </row>
    <row r="884" spans="3:3">
      <c r="C884" s="2"/>
    </row>
    <row r="885" spans="3:3">
      <c r="C885" s="2"/>
    </row>
    <row r="886" spans="3:3">
      <c r="C886" s="2"/>
    </row>
    <row r="887" spans="3:3">
      <c r="C887" s="2"/>
    </row>
    <row r="888" spans="3:3">
      <c r="C888" s="2"/>
    </row>
    <row r="889" spans="3:3">
      <c r="C889" s="2"/>
    </row>
    <row r="890" spans="3:3">
      <c r="C890" s="2"/>
    </row>
    <row r="891" spans="3:3">
      <c r="C891" s="2"/>
    </row>
    <row r="892" spans="3:3">
      <c r="C892" s="2"/>
    </row>
    <row r="893" spans="3:3">
      <c r="C893" s="2"/>
    </row>
    <row r="894" spans="3:3">
      <c r="C894" s="2"/>
    </row>
    <row r="895" spans="3:3">
      <c r="C895" s="2"/>
    </row>
    <row r="896" spans="3:3">
      <c r="C896" s="2"/>
    </row>
    <row r="897" spans="3:3">
      <c r="C897" s="2"/>
    </row>
    <row r="898" spans="3:3">
      <c r="C898" s="2"/>
    </row>
    <row r="899" spans="3:3">
      <c r="C899" s="2"/>
    </row>
    <row r="900" spans="3:3">
      <c r="C900" s="2"/>
    </row>
    <row r="901" spans="3:3">
      <c r="C901" s="2"/>
    </row>
    <row r="902" spans="3:3">
      <c r="C902" s="2"/>
    </row>
    <row r="903" spans="3:3">
      <c r="C903" s="2"/>
    </row>
    <row r="904" spans="3:3">
      <c r="C904" s="2"/>
    </row>
    <row r="905" spans="3:3">
      <c r="C905" s="2"/>
    </row>
    <row r="906" spans="3:3">
      <c r="C906" s="2"/>
    </row>
    <row r="907" spans="3:3">
      <c r="C907" s="2"/>
    </row>
    <row r="908" spans="3:3">
      <c r="C908" s="2"/>
    </row>
    <row r="909" spans="3:3">
      <c r="C909" s="2"/>
    </row>
    <row r="910" spans="3:3">
      <c r="C910" s="2"/>
    </row>
    <row r="911" spans="3:3">
      <c r="C911" s="2"/>
    </row>
    <row r="912" spans="3:3">
      <c r="C912" s="2"/>
    </row>
    <row r="913" spans="3:3">
      <c r="C913" s="2"/>
    </row>
    <row r="914" spans="3:3">
      <c r="C914" s="2"/>
    </row>
    <row r="915" spans="3:3">
      <c r="C915" s="2"/>
    </row>
    <row r="916" spans="3:3">
      <c r="C916" s="2"/>
    </row>
    <row r="917" spans="3:3">
      <c r="C917" s="2"/>
    </row>
    <row r="918" spans="3:3">
      <c r="C918" s="2"/>
    </row>
    <row r="919" spans="3:3">
      <c r="C919" s="2"/>
    </row>
    <row r="920" spans="3:3">
      <c r="C920" s="2"/>
    </row>
    <row r="921" spans="3:3">
      <c r="C921" s="2"/>
    </row>
    <row r="922" spans="3:3">
      <c r="C922" s="2"/>
    </row>
    <row r="923" spans="3:3">
      <c r="C923" s="2"/>
    </row>
    <row r="924" spans="3:3">
      <c r="C924" s="2"/>
    </row>
    <row r="925" spans="3:3">
      <c r="C925" s="2"/>
    </row>
    <row r="926" spans="3:3">
      <c r="C926" s="2"/>
    </row>
    <row r="927" spans="3:3">
      <c r="C927" s="2"/>
    </row>
    <row r="928" spans="3:3">
      <c r="C928" s="2"/>
    </row>
    <row r="929" spans="3:3">
      <c r="C929" s="2"/>
    </row>
    <row r="930" spans="3:3">
      <c r="C930" s="2"/>
    </row>
    <row r="931" spans="3:3">
      <c r="C931" s="2"/>
    </row>
    <row r="932" spans="3:3">
      <c r="C932" s="2"/>
    </row>
    <row r="933" spans="3:3">
      <c r="C933" s="2"/>
    </row>
    <row r="934" spans="3:3">
      <c r="C934" s="2"/>
    </row>
    <row r="935" spans="3:3">
      <c r="C935" s="2"/>
    </row>
    <row r="936" spans="3:3">
      <c r="C936" s="2"/>
    </row>
    <row r="937" spans="3:3">
      <c r="C937" s="2"/>
    </row>
    <row r="938" spans="3:3">
      <c r="C938" s="2"/>
    </row>
    <row r="939" spans="3:3">
      <c r="C939" s="2"/>
    </row>
    <row r="940" spans="3:3">
      <c r="C940" s="2"/>
    </row>
    <row r="941" spans="3:3">
      <c r="C941" s="2"/>
    </row>
    <row r="942" spans="3:3">
      <c r="C942" s="2"/>
    </row>
    <row r="943" spans="3:3">
      <c r="C943" s="2"/>
    </row>
    <row r="944" spans="3:3">
      <c r="C944" s="2"/>
    </row>
    <row r="945" spans="3:3">
      <c r="C945" s="2"/>
    </row>
    <row r="946" spans="3:3">
      <c r="C946" s="2"/>
    </row>
    <row r="947" spans="3:3">
      <c r="C947" s="2"/>
    </row>
    <row r="948" spans="3:3">
      <c r="C948" s="2"/>
    </row>
    <row r="949" spans="3:3">
      <c r="C949" s="2"/>
    </row>
    <row r="950" spans="3:3">
      <c r="C950" s="2"/>
    </row>
    <row r="951" spans="3:3">
      <c r="C951" s="2"/>
    </row>
    <row r="952" spans="3:3">
      <c r="C952" s="2"/>
    </row>
    <row r="953" spans="3:3">
      <c r="C953" s="2"/>
    </row>
    <row r="954" spans="3:3">
      <c r="C954" s="2"/>
    </row>
    <row r="955" spans="3:3">
      <c r="C955" s="2"/>
    </row>
    <row r="956" spans="3:3">
      <c r="C956" s="2"/>
    </row>
    <row r="957" spans="3:3">
      <c r="C957" s="2"/>
    </row>
    <row r="958" spans="3:3">
      <c r="C958" s="2"/>
    </row>
    <row r="959" spans="3:3">
      <c r="C959" s="2"/>
    </row>
    <row r="960" spans="3:3">
      <c r="C960" s="2"/>
    </row>
    <row r="961" spans="3:3">
      <c r="C961" s="2"/>
    </row>
    <row r="962" spans="3:3">
      <c r="C962" s="2"/>
    </row>
    <row r="963" spans="3:3">
      <c r="C963" s="2"/>
    </row>
    <row r="964" spans="3:3">
      <c r="C964" s="2"/>
    </row>
    <row r="965" spans="3:3">
      <c r="C965" s="2"/>
    </row>
    <row r="966" spans="3:3">
      <c r="C966" s="2"/>
    </row>
    <row r="967" spans="3:3">
      <c r="C967" s="2"/>
    </row>
    <row r="968" spans="3:3">
      <c r="C968" s="2"/>
    </row>
    <row r="969" spans="3:3">
      <c r="C969" s="2"/>
    </row>
    <row r="970" spans="3:3">
      <c r="C970" s="2"/>
    </row>
    <row r="971" spans="3:3">
      <c r="C971" s="2"/>
    </row>
    <row r="972" spans="3:3">
      <c r="C972" s="2"/>
    </row>
    <row r="973" spans="3:3">
      <c r="C973" s="2"/>
    </row>
    <row r="974" spans="3:3">
      <c r="C974" s="2"/>
    </row>
    <row r="975" spans="3:3">
      <c r="C975" s="2"/>
    </row>
    <row r="976" spans="3:3">
      <c r="C976" s="2"/>
    </row>
    <row r="977" spans="3:3">
      <c r="C977" s="2"/>
    </row>
    <row r="978" spans="3:3">
      <c r="C978" s="2"/>
    </row>
    <row r="979" spans="3:3">
      <c r="C979" s="2"/>
    </row>
    <row r="980" spans="3:3">
      <c r="C980" s="2"/>
    </row>
    <row r="981" spans="3:3">
      <c r="C981" s="2"/>
    </row>
    <row r="982" spans="3:3">
      <c r="C982" s="2"/>
    </row>
    <row r="983" spans="3:3">
      <c r="C983" s="2"/>
    </row>
    <row r="984" spans="3:3">
      <c r="C984" s="2"/>
    </row>
    <row r="985" spans="3:3">
      <c r="C985" s="2"/>
    </row>
    <row r="986" spans="3:3">
      <c r="C986" s="2"/>
    </row>
    <row r="987" spans="3:3">
      <c r="C987" s="2"/>
    </row>
    <row r="988" spans="3:3">
      <c r="C988" s="2"/>
    </row>
    <row r="989" spans="3:3">
      <c r="C989" s="2"/>
    </row>
    <row r="990" spans="3:3">
      <c r="C990" s="2"/>
    </row>
    <row r="991" spans="3:3">
      <c r="C991" s="2"/>
    </row>
    <row r="992" spans="3:3">
      <c r="C992" s="2"/>
    </row>
    <row r="993" spans="3:3">
      <c r="C993" s="2"/>
    </row>
    <row r="994" spans="3:3">
      <c r="C994" s="2"/>
    </row>
    <row r="995" spans="3:3">
      <c r="C995" s="2"/>
    </row>
    <row r="996" spans="3:3">
      <c r="C996" s="2"/>
    </row>
    <row r="997" spans="3:3">
      <c r="C997" s="2"/>
    </row>
    <row r="998" spans="3:3">
      <c r="C998" s="2"/>
    </row>
    <row r="999" spans="3:3">
      <c r="C999" s="2"/>
    </row>
    <row r="1000" spans="3:3">
      <c r="C1000" s="2"/>
    </row>
    <row r="1001" spans="3:3">
      <c r="C1001" s="2"/>
    </row>
    <row r="1002" spans="3:3">
      <c r="C1002" s="2"/>
    </row>
    <row r="1003" spans="3:3">
      <c r="C1003" s="2"/>
    </row>
    <row r="1004" spans="3:3">
      <c r="C1004" s="2"/>
    </row>
    <row r="1005" spans="3:3">
      <c r="C1005" s="2"/>
    </row>
    <row r="1006" spans="3:3">
      <c r="C1006" s="2"/>
    </row>
    <row r="1007" spans="3:3">
      <c r="C1007" s="2"/>
    </row>
    <row r="1008" spans="3:3">
      <c r="C1008" s="2"/>
    </row>
    <row r="1009" spans="3:3">
      <c r="C1009" s="2"/>
    </row>
    <row r="1010" spans="3:3">
      <c r="C1010" s="2"/>
    </row>
    <row r="1011" spans="3:3">
      <c r="C1011" s="2"/>
    </row>
    <row r="1012" spans="3:3">
      <c r="C1012" s="2"/>
    </row>
    <row r="1013" spans="3:3">
      <c r="C1013" s="2"/>
    </row>
    <row r="1014" spans="3:3">
      <c r="C1014" s="2"/>
    </row>
    <row r="1015" spans="3:3">
      <c r="C1015" s="2"/>
    </row>
    <row r="1016" spans="3:3">
      <c r="C1016" s="2"/>
    </row>
    <row r="1017" spans="3:3">
      <c r="C1017" s="2"/>
    </row>
    <row r="1018" spans="3:3">
      <c r="C1018" s="2"/>
    </row>
    <row r="1019" spans="3:3">
      <c r="C1019" s="2"/>
    </row>
    <row r="1020" spans="3:3">
      <c r="C1020" s="2"/>
    </row>
    <row r="1021" spans="3:3">
      <c r="C1021" s="2"/>
    </row>
    <row r="1022" spans="3:3">
      <c r="C1022" s="2"/>
    </row>
    <row r="1023" spans="3:3">
      <c r="C1023" s="2"/>
    </row>
    <row r="1024" spans="3:3">
      <c r="C1024" s="2"/>
    </row>
    <row r="1025" spans="3:3">
      <c r="C1025" s="2"/>
    </row>
    <row r="1026" spans="3:3">
      <c r="C1026" s="2"/>
    </row>
    <row r="1027" spans="3:3">
      <c r="C1027" s="2"/>
    </row>
    <row r="1028" spans="3:3">
      <c r="C1028" s="2"/>
    </row>
    <row r="1029" spans="3:3">
      <c r="C1029" s="2"/>
    </row>
    <row r="1030" spans="3:3">
      <c r="C1030" s="2"/>
    </row>
    <row r="1031" spans="3:3">
      <c r="C1031" s="2"/>
    </row>
    <row r="1032" spans="3:3">
      <c r="C1032" s="2"/>
    </row>
    <row r="1033" spans="3:3">
      <c r="C1033" s="2"/>
    </row>
    <row r="1034" spans="3:3">
      <c r="C1034" s="2"/>
    </row>
    <row r="1035" spans="3:3">
      <c r="C1035" s="2"/>
    </row>
    <row r="1036" spans="3:3">
      <c r="C1036" s="2"/>
    </row>
    <row r="1037" spans="3:3">
      <c r="C1037" s="2"/>
    </row>
    <row r="1038" spans="3:3">
      <c r="C1038" s="2"/>
    </row>
    <row r="1039" spans="3:3">
      <c r="C1039" s="2"/>
    </row>
    <row r="1040" spans="3:3">
      <c r="C1040" s="2"/>
    </row>
    <row r="1041" spans="3:3">
      <c r="C1041" s="2"/>
    </row>
    <row r="1042" spans="3:3">
      <c r="C1042" s="2"/>
    </row>
    <row r="1043" spans="3:3">
      <c r="C1043" s="2"/>
    </row>
    <row r="1044" spans="3:3">
      <c r="C1044" s="2"/>
    </row>
    <row r="1045" spans="3:3">
      <c r="C1045" s="2"/>
    </row>
    <row r="1046" spans="3:3">
      <c r="C1046" s="2"/>
    </row>
    <row r="1047" spans="3:3">
      <c r="C1047" s="2"/>
    </row>
    <row r="1048" spans="3:3">
      <c r="C1048" s="2"/>
    </row>
    <row r="1049" spans="3:3">
      <c r="C1049" s="2"/>
    </row>
    <row r="1050" spans="3:3">
      <c r="C1050" s="2"/>
    </row>
    <row r="1051" spans="3:3">
      <c r="C1051" s="2"/>
    </row>
    <row r="1052" spans="3:3">
      <c r="C1052" s="2"/>
    </row>
    <row r="1053" spans="3:3">
      <c r="C1053" s="2"/>
    </row>
    <row r="1054" spans="3:3">
      <c r="C1054" s="2"/>
    </row>
    <row r="1055" spans="3:3">
      <c r="C1055" s="2"/>
    </row>
    <row r="1056" spans="3:3">
      <c r="C1056" s="2"/>
    </row>
    <row r="1057" spans="3:3">
      <c r="C1057" s="2"/>
    </row>
    <row r="1058" spans="3:3">
      <c r="C1058" s="2"/>
    </row>
    <row r="1059" spans="3:3">
      <c r="C1059" s="2"/>
    </row>
    <row r="1060" spans="3:3">
      <c r="C1060" s="2"/>
    </row>
    <row r="1061" spans="3:3">
      <c r="C1061" s="2"/>
    </row>
    <row r="1062" spans="3:3">
      <c r="C1062" s="2"/>
    </row>
    <row r="1063" spans="3:3">
      <c r="C1063" s="2"/>
    </row>
    <row r="1064" spans="3:3">
      <c r="C1064" s="2"/>
    </row>
    <row r="1065" spans="3:3">
      <c r="C1065" s="2"/>
    </row>
    <row r="1066" spans="3:3">
      <c r="C1066" s="2"/>
    </row>
    <row r="1067" spans="3:3">
      <c r="C1067" s="2"/>
    </row>
    <row r="1068" spans="3:3">
      <c r="C1068" s="2"/>
    </row>
    <row r="1069" spans="3:3">
      <c r="C1069" s="2"/>
    </row>
    <row r="1070" spans="3:3">
      <c r="C1070" s="2"/>
    </row>
    <row r="1071" spans="3:3">
      <c r="C1071" s="2"/>
    </row>
    <row r="1072" spans="3:3">
      <c r="C1072" s="2"/>
    </row>
    <row r="1073" spans="3:3">
      <c r="C1073" s="2"/>
    </row>
    <row r="1074" spans="3:3">
      <c r="C1074" s="2"/>
    </row>
    <row r="1075" spans="3:3">
      <c r="C1075" s="2"/>
    </row>
    <row r="1076" spans="3:3">
      <c r="C1076" s="2"/>
    </row>
    <row r="1077" spans="3:3">
      <c r="C1077" s="2"/>
    </row>
    <row r="1078" spans="3:3">
      <c r="C1078" s="2"/>
    </row>
    <row r="1079" spans="3:3">
      <c r="C1079" s="2"/>
    </row>
    <row r="1080" spans="3:3">
      <c r="C1080" s="2"/>
    </row>
    <row r="1081" spans="3:3">
      <c r="C1081" s="2"/>
    </row>
    <row r="1082" spans="3:3">
      <c r="C1082" s="2"/>
    </row>
    <row r="1083" spans="3:3">
      <c r="C1083" s="2"/>
    </row>
    <row r="1084" spans="3:3">
      <c r="C1084" s="2"/>
    </row>
    <row r="1085" spans="3:3">
      <c r="C1085" s="2"/>
    </row>
    <row r="1086" spans="3:3">
      <c r="C1086" s="2"/>
    </row>
    <row r="1087" spans="3:3">
      <c r="C1087" s="2"/>
    </row>
    <row r="1088" spans="3:3">
      <c r="C1088" s="2"/>
    </row>
    <row r="1089" spans="3:3">
      <c r="C1089" s="2"/>
    </row>
    <row r="1090" spans="3:3">
      <c r="C1090" s="2"/>
    </row>
    <row r="1091" spans="3:3">
      <c r="C1091" s="2"/>
    </row>
    <row r="1092" spans="3:3">
      <c r="C1092" s="2"/>
    </row>
    <row r="1093" spans="3:3">
      <c r="C1093" s="2"/>
    </row>
    <row r="1094" spans="3:3">
      <c r="C1094" s="2"/>
    </row>
    <row r="1095" spans="3:3">
      <c r="C1095" s="2"/>
    </row>
    <row r="1096" spans="3:3">
      <c r="C1096" s="2"/>
    </row>
    <row r="1097" spans="3:3">
      <c r="C1097" s="2"/>
    </row>
    <row r="1098" spans="3:3">
      <c r="C1098" s="2"/>
    </row>
    <row r="1099" spans="3:3">
      <c r="C1099" s="2"/>
    </row>
    <row r="1100" spans="3:3">
      <c r="C1100" s="2"/>
    </row>
    <row r="1101" spans="3:3">
      <c r="C1101" s="2"/>
    </row>
    <row r="1102" spans="3:3">
      <c r="C1102" s="2"/>
    </row>
    <row r="1103" spans="3:3">
      <c r="C1103" s="2"/>
    </row>
    <row r="1104" spans="3:3">
      <c r="C1104" s="2"/>
    </row>
    <row r="1105" spans="3:3">
      <c r="C1105" s="2"/>
    </row>
    <row r="1106" spans="3:3">
      <c r="C1106" s="2"/>
    </row>
    <row r="1107" spans="3:3">
      <c r="C1107" s="2"/>
    </row>
    <row r="1108" spans="3:3">
      <c r="C1108" s="2"/>
    </row>
    <row r="1109" spans="3:3">
      <c r="C1109" s="2"/>
    </row>
    <row r="1110" spans="3:3">
      <c r="C1110" s="2"/>
    </row>
    <row r="1111" spans="3:3">
      <c r="C1111" s="2"/>
    </row>
    <row r="1112" spans="3:3">
      <c r="C1112" s="2"/>
    </row>
    <row r="1113" spans="3:3">
      <c r="C1113" s="2"/>
    </row>
    <row r="1114" spans="3:3">
      <c r="C1114" s="2"/>
    </row>
    <row r="1115" spans="3:3">
      <c r="C1115" s="2"/>
    </row>
    <row r="1116" spans="3:3">
      <c r="C1116" s="2"/>
    </row>
    <row r="1117" spans="3:3">
      <c r="C1117" s="2"/>
    </row>
    <row r="1118" spans="3:3">
      <c r="C1118" s="2"/>
    </row>
    <row r="1119" spans="3:3">
      <c r="C1119" s="2"/>
    </row>
    <row r="1120" spans="3:3">
      <c r="C1120" s="2"/>
    </row>
    <row r="1121" spans="3:3">
      <c r="C1121" s="2"/>
    </row>
    <row r="1122" spans="3:3">
      <c r="C1122" s="2"/>
    </row>
    <row r="1123" spans="3:3">
      <c r="C1123" s="2"/>
    </row>
    <row r="1124" spans="3:3">
      <c r="C1124" s="2"/>
    </row>
    <row r="1125" spans="3:3">
      <c r="C1125" s="2"/>
    </row>
    <row r="1126" spans="3:3">
      <c r="C1126" s="2"/>
    </row>
    <row r="1127" spans="3:3">
      <c r="C1127" s="2"/>
    </row>
    <row r="1128" spans="3:3">
      <c r="C1128" s="2"/>
    </row>
    <row r="1129" spans="3:3">
      <c r="C1129" s="2"/>
    </row>
    <row r="1130" spans="3:3">
      <c r="C1130" s="2"/>
    </row>
    <row r="1131" spans="3:3">
      <c r="C1131" s="2"/>
    </row>
    <row r="1132" spans="3:3">
      <c r="C1132" s="2"/>
    </row>
    <row r="1133" spans="3:3">
      <c r="C1133" s="2"/>
    </row>
    <row r="1134" spans="3:3">
      <c r="C1134" s="2"/>
    </row>
    <row r="1135" spans="3:3">
      <c r="C1135" s="2"/>
    </row>
    <row r="1136" spans="3:3">
      <c r="C1136" s="2"/>
    </row>
    <row r="1137" spans="3:3">
      <c r="C1137" s="2"/>
    </row>
    <row r="1138" spans="3:3">
      <c r="C1138" s="2"/>
    </row>
    <row r="1139" spans="3:3">
      <c r="C1139" s="2"/>
    </row>
    <row r="1140" spans="3:3">
      <c r="C1140" s="2"/>
    </row>
    <row r="1141" spans="3:3">
      <c r="C1141" s="2"/>
    </row>
    <row r="1142" spans="3:3">
      <c r="C1142" s="2"/>
    </row>
    <row r="1143" spans="3:3">
      <c r="C1143" s="2"/>
    </row>
    <row r="1144" spans="3:3">
      <c r="C1144" s="2"/>
    </row>
    <row r="1145" spans="3:3">
      <c r="C1145" s="2"/>
    </row>
    <row r="1146" spans="3:3">
      <c r="C1146" s="2"/>
    </row>
    <row r="1147" spans="3:3">
      <c r="C1147" s="2"/>
    </row>
    <row r="1148" spans="3:3">
      <c r="C1148" s="2"/>
    </row>
    <row r="1149" spans="3:3">
      <c r="C1149" s="2"/>
    </row>
    <row r="1150" spans="3:3">
      <c r="C1150" s="2"/>
    </row>
    <row r="1151" spans="3:3">
      <c r="C1151" s="2"/>
    </row>
    <row r="1152" spans="3:3">
      <c r="C1152" s="2"/>
    </row>
    <row r="1153" spans="3:3">
      <c r="C1153" s="2"/>
    </row>
    <row r="1154" spans="3:3">
      <c r="C1154" s="2"/>
    </row>
    <row r="1155" spans="3:3">
      <c r="C1155" s="2"/>
    </row>
    <row r="1156" spans="3:3">
      <c r="C1156" s="2"/>
    </row>
    <row r="1157" spans="3:3">
      <c r="C1157" s="2"/>
    </row>
    <row r="1158" spans="3:3">
      <c r="C1158" s="2"/>
    </row>
    <row r="1159" spans="3:3">
      <c r="C1159" s="2"/>
    </row>
    <row r="1160" spans="3:3">
      <c r="C1160" s="2"/>
    </row>
    <row r="1161" spans="3:3">
      <c r="C1161" s="2"/>
    </row>
    <row r="1162" spans="3:3">
      <c r="C1162" s="2"/>
    </row>
    <row r="1163" spans="3:3">
      <c r="C1163" s="2"/>
    </row>
    <row r="1164" spans="3:3">
      <c r="C1164" s="2"/>
    </row>
    <row r="1165" spans="3:3">
      <c r="C1165" s="2"/>
    </row>
    <row r="1166" spans="3:3">
      <c r="C1166" s="2"/>
    </row>
    <row r="1167" spans="3:3">
      <c r="C1167" s="2"/>
    </row>
    <row r="1168" spans="3:3">
      <c r="C1168" s="2"/>
    </row>
    <row r="1169" spans="3:3">
      <c r="C1169" s="2"/>
    </row>
    <row r="1170" spans="3:3">
      <c r="C1170" s="2"/>
    </row>
    <row r="1171" spans="3:3">
      <c r="C1171" s="2"/>
    </row>
    <row r="1172" spans="3:3">
      <c r="C1172" s="2"/>
    </row>
    <row r="1173" spans="3:3">
      <c r="C1173" s="2"/>
    </row>
    <row r="1174" spans="3:3">
      <c r="C1174" s="2"/>
    </row>
    <row r="1175" spans="3:3">
      <c r="C1175" s="2"/>
    </row>
    <row r="1176" spans="3:3">
      <c r="C1176" s="2"/>
    </row>
    <row r="1177" spans="3:3">
      <c r="C1177" s="2"/>
    </row>
    <row r="1178" spans="3:3">
      <c r="C1178" s="2"/>
    </row>
    <row r="1179" spans="3:3">
      <c r="C1179" s="2"/>
    </row>
    <row r="1180" spans="3:3">
      <c r="C1180" s="2"/>
    </row>
    <row r="1181" spans="3:3">
      <c r="C1181" s="2"/>
    </row>
    <row r="1182" spans="3:3">
      <c r="C1182" s="2"/>
    </row>
    <row r="1183" spans="3:3">
      <c r="C1183" s="2"/>
    </row>
    <row r="1184" spans="3:3">
      <c r="C1184" s="2"/>
    </row>
    <row r="1185" spans="3:3">
      <c r="C1185" s="2"/>
    </row>
    <row r="1186" spans="3:3">
      <c r="C1186" s="2"/>
    </row>
    <row r="1187" spans="3:3">
      <c r="C1187" s="2"/>
    </row>
    <row r="1188" spans="3:3">
      <c r="C1188" s="2"/>
    </row>
    <row r="1189" spans="3:3">
      <c r="C1189" s="2"/>
    </row>
    <row r="1190" spans="3:3">
      <c r="C1190" s="2"/>
    </row>
    <row r="1191" spans="3:3">
      <c r="C1191" s="2"/>
    </row>
    <row r="1192" spans="3:3">
      <c r="C1192" s="2"/>
    </row>
    <row r="1193" spans="3:3">
      <c r="C1193" s="2"/>
    </row>
    <row r="1194" spans="3:3">
      <c r="C1194" s="2"/>
    </row>
    <row r="1195" spans="3:3">
      <c r="C1195" s="2"/>
    </row>
    <row r="1196" spans="3:3">
      <c r="C1196" s="2"/>
    </row>
    <row r="1197" spans="3:3">
      <c r="C1197" s="2"/>
    </row>
    <row r="1198" spans="3:3">
      <c r="C1198" s="2"/>
    </row>
    <row r="1199" spans="3:3">
      <c r="C1199" s="2"/>
    </row>
    <row r="1200" spans="3:3">
      <c r="C1200" s="2"/>
    </row>
    <row r="1201" spans="3:3">
      <c r="C1201" s="2"/>
    </row>
    <row r="1202" spans="3:3">
      <c r="C1202" s="2"/>
    </row>
    <row r="1203" spans="3:3">
      <c r="C1203" s="2"/>
    </row>
    <row r="1204" spans="3:3">
      <c r="C1204" s="2"/>
    </row>
    <row r="1205" spans="3:3">
      <c r="C1205" s="2"/>
    </row>
    <row r="1206" spans="3:3">
      <c r="C1206" s="2"/>
    </row>
    <row r="1207" spans="3:3">
      <c r="C1207" s="2"/>
    </row>
    <row r="1208" spans="3:3">
      <c r="C1208" s="2"/>
    </row>
    <row r="1209" spans="3:3">
      <c r="C1209" s="2"/>
    </row>
    <row r="1210" spans="3:3">
      <c r="C1210" s="2"/>
    </row>
    <row r="1211" spans="3:3">
      <c r="C1211" s="2"/>
    </row>
    <row r="1212" spans="3:3">
      <c r="C1212" s="2"/>
    </row>
    <row r="1213" spans="3:3">
      <c r="C1213" s="2"/>
    </row>
    <row r="1214" spans="3:3">
      <c r="C1214" s="2"/>
    </row>
    <row r="1215" spans="3:3">
      <c r="C1215" s="2"/>
    </row>
    <row r="1216" spans="3:3">
      <c r="C1216" s="2"/>
    </row>
    <row r="1217" spans="3:3">
      <c r="C1217" s="2"/>
    </row>
    <row r="1218" spans="3:3">
      <c r="C1218" s="2"/>
    </row>
    <row r="1219" spans="3:3">
      <c r="C1219" s="2"/>
    </row>
    <row r="1220" spans="3:3">
      <c r="C1220" s="2"/>
    </row>
    <row r="1221" spans="3:3">
      <c r="C1221" s="2"/>
    </row>
    <row r="1222" spans="3:3">
      <c r="C1222" s="2"/>
    </row>
    <row r="1223" spans="3:3">
      <c r="C1223" s="2"/>
    </row>
    <row r="1224" spans="3:3">
      <c r="C1224" s="2"/>
    </row>
    <row r="1225" spans="3:3">
      <c r="C1225" s="2"/>
    </row>
    <row r="1226" spans="3:3">
      <c r="C1226" s="2"/>
    </row>
    <row r="1227" spans="3:3">
      <c r="C1227" s="2"/>
    </row>
    <row r="1228" spans="3:3">
      <c r="C1228" s="2"/>
    </row>
    <row r="1229" spans="3:3">
      <c r="C1229" s="2"/>
    </row>
    <row r="1230" spans="3:3">
      <c r="C1230" s="2"/>
    </row>
    <row r="1231" spans="3:3">
      <c r="C1231" s="2"/>
    </row>
    <row r="1232" spans="3:3">
      <c r="C1232" s="2"/>
    </row>
    <row r="1233" spans="3:3">
      <c r="C1233" s="2"/>
    </row>
    <row r="1234" spans="3:3">
      <c r="C1234" s="2"/>
    </row>
    <row r="1235" spans="3:3">
      <c r="C1235" s="2"/>
    </row>
    <row r="1236" spans="3:3">
      <c r="C1236" s="2"/>
    </row>
    <row r="1237" spans="3:3">
      <c r="C1237" s="2"/>
    </row>
    <row r="1238" spans="3:3">
      <c r="C1238" s="2"/>
    </row>
    <row r="1239" spans="3:3">
      <c r="C1239" s="2"/>
    </row>
    <row r="1240" spans="3:3">
      <c r="C1240" s="2"/>
    </row>
    <row r="1241" spans="3:3">
      <c r="C1241" s="2"/>
    </row>
    <row r="1242" spans="3:3">
      <c r="C1242" s="2"/>
    </row>
    <row r="1243" spans="3:3">
      <c r="C1243" s="2"/>
    </row>
    <row r="1244" spans="3:3">
      <c r="C1244" s="2"/>
    </row>
    <row r="1245" spans="3:3">
      <c r="C1245" s="2"/>
    </row>
    <row r="1246" spans="3:3">
      <c r="C1246" s="2"/>
    </row>
    <row r="1247" spans="3:3">
      <c r="C1247" s="2"/>
    </row>
    <row r="1248" spans="3:3">
      <c r="C1248" s="2"/>
    </row>
    <row r="1249" spans="3:3">
      <c r="C1249" s="2"/>
    </row>
    <row r="1250" spans="3:3">
      <c r="C1250" s="2"/>
    </row>
    <row r="1251" spans="3:3">
      <c r="C1251" s="2"/>
    </row>
    <row r="1252" spans="3:3">
      <c r="C1252" s="2"/>
    </row>
    <row r="1253" spans="3:3">
      <c r="C1253" s="2"/>
    </row>
    <row r="1254" spans="3:3">
      <c r="C1254" s="2"/>
    </row>
    <row r="1255" spans="3:3">
      <c r="C1255" s="2"/>
    </row>
    <row r="1256" spans="3:3">
      <c r="C1256" s="2"/>
    </row>
    <row r="1257" spans="3:3">
      <c r="C1257" s="2"/>
    </row>
    <row r="1258" spans="3:3">
      <c r="C1258" s="2"/>
    </row>
    <row r="1259" spans="3:3">
      <c r="C1259" s="2"/>
    </row>
    <row r="1260" spans="3:3">
      <c r="C1260" s="2"/>
    </row>
    <row r="1261" spans="3:3">
      <c r="C1261" s="2"/>
    </row>
    <row r="1262" spans="3:3">
      <c r="C1262" s="2"/>
    </row>
    <row r="1263" spans="3:3">
      <c r="C1263" s="2"/>
    </row>
    <row r="1264" spans="3:3">
      <c r="C1264" s="2"/>
    </row>
    <row r="1265" spans="3:3">
      <c r="C1265" s="2"/>
    </row>
    <row r="1266" spans="3:3">
      <c r="C1266" s="2"/>
    </row>
    <row r="1267" spans="3:3">
      <c r="C1267" s="2"/>
    </row>
    <row r="1268" spans="3:3">
      <c r="C1268" s="2"/>
    </row>
    <row r="1269" spans="3:3">
      <c r="C1269" s="2"/>
    </row>
    <row r="1270" spans="3:3">
      <c r="C1270" s="2"/>
    </row>
    <row r="1271" spans="3:3">
      <c r="C1271" s="2"/>
    </row>
    <row r="1272" spans="3:3">
      <c r="C1272" s="2"/>
    </row>
    <row r="1273" spans="3:3">
      <c r="C1273" s="2"/>
    </row>
    <row r="1274" spans="3:3">
      <c r="C1274" s="2"/>
    </row>
    <row r="1275" spans="3:3">
      <c r="C1275" s="2"/>
    </row>
    <row r="1276" spans="3:3">
      <c r="C1276" s="2"/>
    </row>
    <row r="1277" spans="3:3">
      <c r="C1277" s="2"/>
    </row>
    <row r="1278" spans="3:3">
      <c r="C1278" s="2"/>
    </row>
    <row r="1279" spans="3:3">
      <c r="C1279" s="2"/>
    </row>
    <row r="1280" spans="3:3">
      <c r="C1280" s="2"/>
    </row>
    <row r="1281" spans="3:3">
      <c r="C1281" s="2"/>
    </row>
    <row r="1282" spans="3:3">
      <c r="C1282" s="2"/>
    </row>
    <row r="1283" spans="3:3">
      <c r="C1283" s="2"/>
    </row>
    <row r="1284" spans="3:3">
      <c r="C1284" s="2"/>
    </row>
    <row r="1285" spans="3:3">
      <c r="C1285" s="2"/>
    </row>
    <row r="1286" spans="3:3">
      <c r="C1286" s="2"/>
    </row>
    <row r="1287" spans="3:3">
      <c r="C1287" s="2"/>
    </row>
    <row r="1288" spans="3:3">
      <c r="C1288" s="2"/>
    </row>
    <row r="1289" spans="3:3">
      <c r="C1289" s="2"/>
    </row>
    <row r="1290" spans="3:3">
      <c r="C1290" s="2"/>
    </row>
    <row r="1291" spans="3:3">
      <c r="C1291" s="2"/>
    </row>
    <row r="1292" spans="3:3">
      <c r="C1292" s="2"/>
    </row>
    <row r="1293" spans="3:3">
      <c r="C1293" s="2"/>
    </row>
    <row r="1294" spans="3:3">
      <c r="C1294" s="2"/>
    </row>
    <row r="1295" spans="3:3">
      <c r="C1295" s="2"/>
    </row>
    <row r="1296" spans="3:3">
      <c r="C1296" s="2"/>
    </row>
    <row r="1297" spans="3:3">
      <c r="C1297" s="2"/>
    </row>
    <row r="1298" spans="3:3">
      <c r="C1298" s="2"/>
    </row>
    <row r="1299" spans="3:3">
      <c r="C1299" s="2"/>
    </row>
    <row r="1300" spans="3:3">
      <c r="C1300" s="2"/>
    </row>
    <row r="1301" spans="3:3">
      <c r="C1301" s="2"/>
    </row>
    <row r="1302" spans="3:3">
      <c r="C1302" s="2"/>
    </row>
    <row r="1303" spans="3:3">
      <c r="C1303" s="2"/>
    </row>
    <row r="1304" spans="3:3">
      <c r="C1304" s="2"/>
    </row>
    <row r="1305" spans="3:3">
      <c r="C1305" s="2"/>
    </row>
    <row r="1306" spans="3:3">
      <c r="C1306" s="2"/>
    </row>
    <row r="1307" spans="3:3">
      <c r="C1307" s="2"/>
    </row>
    <row r="1308" spans="3:3">
      <c r="C1308" s="2"/>
    </row>
    <row r="1309" spans="3:3">
      <c r="C1309" s="2"/>
    </row>
    <row r="1310" spans="3:3">
      <c r="C1310" s="2"/>
    </row>
    <row r="1311" spans="3:3">
      <c r="C1311" s="2"/>
    </row>
    <row r="1312" spans="3:3">
      <c r="C1312" s="2"/>
    </row>
    <row r="1313" spans="3:3">
      <c r="C1313" s="2"/>
    </row>
    <row r="1314" spans="3:3">
      <c r="C1314" s="2"/>
    </row>
    <row r="1315" spans="3:3">
      <c r="C1315" s="2"/>
    </row>
    <row r="1316" spans="3:3">
      <c r="C1316" s="2"/>
    </row>
    <row r="1317" spans="3:3">
      <c r="C1317" s="2"/>
    </row>
    <row r="1318" spans="3:3">
      <c r="C1318" s="2"/>
    </row>
    <row r="1319" spans="3:3">
      <c r="C1319" s="2"/>
    </row>
    <row r="1320" spans="3:3">
      <c r="C1320" s="2"/>
    </row>
    <row r="1321" spans="3:3">
      <c r="C1321" s="2"/>
    </row>
    <row r="1322" spans="3:3">
      <c r="C1322" s="2"/>
    </row>
    <row r="1323" spans="3:3">
      <c r="C1323" s="2"/>
    </row>
    <row r="1324" spans="3:3">
      <c r="C1324" s="2"/>
    </row>
    <row r="1325" spans="3:3">
      <c r="C1325" s="2"/>
    </row>
    <row r="1326" spans="3:3">
      <c r="C1326" s="2"/>
    </row>
    <row r="1327" spans="3:3">
      <c r="C1327" s="2"/>
    </row>
    <row r="1328" spans="3:3">
      <c r="C1328" s="2"/>
    </row>
    <row r="1329" spans="3:3">
      <c r="C1329" s="2"/>
    </row>
    <row r="1330" spans="3:3">
      <c r="C1330" s="2"/>
    </row>
    <row r="1331" spans="3:3">
      <c r="C1331" s="2"/>
    </row>
    <row r="1332" spans="3:3">
      <c r="C1332" s="2"/>
    </row>
    <row r="1333" spans="3:3">
      <c r="C1333" s="2"/>
    </row>
    <row r="1334" spans="3:3">
      <c r="C1334" s="2"/>
    </row>
    <row r="1335" spans="3:3">
      <c r="C1335" s="2"/>
    </row>
    <row r="1336" spans="3:3">
      <c r="C1336" s="2"/>
    </row>
    <row r="1337" spans="3:3">
      <c r="C1337" s="2"/>
    </row>
    <row r="1338" spans="3:3">
      <c r="C1338" s="2"/>
    </row>
    <row r="1339" spans="3:3">
      <c r="C1339" s="2"/>
    </row>
    <row r="1340" spans="3:3">
      <c r="C1340" s="2"/>
    </row>
    <row r="1341" spans="3:3">
      <c r="C1341" s="2"/>
    </row>
    <row r="1342" spans="3:3">
      <c r="C1342" s="2"/>
    </row>
    <row r="1343" spans="3:3">
      <c r="C1343" s="2"/>
    </row>
    <row r="1344" spans="3:3">
      <c r="C1344" s="2"/>
    </row>
    <row r="1345" spans="3:3">
      <c r="C1345" s="2"/>
    </row>
    <row r="1346" spans="3:3">
      <c r="C1346" s="2"/>
    </row>
    <row r="1347" spans="3:3">
      <c r="C1347" s="2"/>
    </row>
    <row r="1348" spans="3:3">
      <c r="C1348" s="2"/>
    </row>
    <row r="1349" spans="3:3">
      <c r="C1349" s="2"/>
    </row>
    <row r="1350" spans="3:3">
      <c r="C1350" s="2"/>
    </row>
    <row r="1351" spans="3:3">
      <c r="C1351" s="2"/>
    </row>
    <row r="1352" spans="3:3">
      <c r="C1352" s="2"/>
    </row>
    <row r="1353" spans="3:3">
      <c r="C1353" s="2"/>
    </row>
    <row r="1354" spans="3:3">
      <c r="C1354" s="2"/>
    </row>
    <row r="1355" spans="3:3">
      <c r="C1355" s="2"/>
    </row>
    <row r="1356" spans="3:3">
      <c r="C1356" s="2"/>
    </row>
    <row r="1357" spans="3:3">
      <c r="C1357" s="2"/>
    </row>
    <row r="1358" spans="3:3">
      <c r="C1358" s="2"/>
    </row>
    <row r="1359" spans="3:3">
      <c r="C1359" s="2"/>
    </row>
    <row r="1360" spans="3:3">
      <c r="C1360" s="2"/>
    </row>
    <row r="1361" spans="3:3">
      <c r="C1361" s="2"/>
    </row>
    <row r="1362" spans="3:3">
      <c r="C1362" s="2"/>
    </row>
    <row r="1363" spans="3:3">
      <c r="C1363" s="2"/>
    </row>
    <row r="1364" spans="3:3">
      <c r="C1364" s="2"/>
    </row>
    <row r="1365" spans="3:3">
      <c r="C1365" s="2"/>
    </row>
    <row r="1366" spans="3:3">
      <c r="C1366" s="2"/>
    </row>
    <row r="1367" spans="3:3">
      <c r="C1367" s="2"/>
    </row>
    <row r="1368" spans="3:3">
      <c r="C1368" s="2"/>
    </row>
    <row r="1369" spans="3:3">
      <c r="C1369" s="2"/>
    </row>
    <row r="1370" spans="3:3">
      <c r="C1370" s="2"/>
    </row>
    <row r="1371" spans="3:3">
      <c r="C1371" s="2"/>
    </row>
    <row r="1372" spans="3:3">
      <c r="C1372" s="2"/>
    </row>
    <row r="1373" spans="3:3">
      <c r="C1373" s="2"/>
    </row>
    <row r="1374" spans="3:3">
      <c r="C1374" s="2"/>
    </row>
    <row r="1375" spans="3:3">
      <c r="C1375" s="2"/>
    </row>
    <row r="1376" spans="3:3">
      <c r="C1376" s="2"/>
    </row>
    <row r="1377" spans="3:3">
      <c r="C1377" s="2"/>
    </row>
    <row r="1378" spans="3:3">
      <c r="C1378" s="2"/>
    </row>
    <row r="1379" spans="3:3">
      <c r="C1379" s="2"/>
    </row>
    <row r="1380" spans="3:3">
      <c r="C1380" s="2"/>
    </row>
    <row r="1381" spans="3:3">
      <c r="C1381" s="2"/>
    </row>
    <row r="1382" spans="3:3">
      <c r="C1382" s="2"/>
    </row>
    <row r="1383" spans="3:3">
      <c r="C1383" s="2"/>
    </row>
    <row r="1384" spans="3:3">
      <c r="C1384" s="2"/>
    </row>
    <row r="1385" spans="3:3">
      <c r="C1385" s="2"/>
    </row>
    <row r="1386" spans="3:3">
      <c r="C1386" s="2"/>
    </row>
    <row r="1387" spans="3:3">
      <c r="C1387" s="2"/>
    </row>
    <row r="1388" spans="3:3">
      <c r="C1388" s="2"/>
    </row>
    <row r="1389" spans="3:3">
      <c r="C1389" s="2"/>
    </row>
    <row r="1390" spans="3:3">
      <c r="C1390" s="2"/>
    </row>
    <row r="1391" spans="3:3">
      <c r="C1391" s="2"/>
    </row>
    <row r="1392" spans="3:3">
      <c r="C1392" s="2"/>
    </row>
    <row r="1393" spans="3:3">
      <c r="C1393" s="2"/>
    </row>
    <row r="1394" spans="3:3">
      <c r="C1394" s="2"/>
    </row>
    <row r="1395" spans="3:3">
      <c r="C1395" s="2"/>
    </row>
    <row r="1396" spans="3:3">
      <c r="C1396" s="2"/>
    </row>
    <row r="1397" spans="3:3">
      <c r="C1397" s="2"/>
    </row>
    <row r="1398" spans="3:3">
      <c r="C1398" s="2"/>
    </row>
    <row r="1399" spans="3:3">
      <c r="C1399" s="2"/>
    </row>
    <row r="1400" spans="3:3">
      <c r="C1400" s="2"/>
    </row>
    <row r="1401" spans="3:3">
      <c r="C1401" s="2"/>
    </row>
    <row r="1402" spans="3:3">
      <c r="C1402" s="2"/>
    </row>
    <row r="1403" spans="3:3">
      <c r="C1403" s="2"/>
    </row>
    <row r="1404" spans="3:3">
      <c r="C1404" s="2"/>
    </row>
    <row r="1405" spans="3:3">
      <c r="C1405" s="2"/>
    </row>
    <row r="1406" spans="3:3">
      <c r="C1406" s="2"/>
    </row>
    <row r="1407" spans="3:3">
      <c r="C1407" s="2"/>
    </row>
    <row r="1408" spans="3:3">
      <c r="C1408" s="2"/>
    </row>
    <row r="1409" spans="3:3">
      <c r="C1409" s="2"/>
    </row>
    <row r="1410" spans="3:3">
      <c r="C1410" s="2"/>
    </row>
    <row r="1411" spans="3:3">
      <c r="C1411" s="2"/>
    </row>
    <row r="1412" spans="3:3">
      <c r="C1412" s="2"/>
    </row>
    <row r="1413" spans="3:3">
      <c r="C1413" s="2"/>
    </row>
    <row r="1414" spans="3:3">
      <c r="C1414" s="2"/>
    </row>
    <row r="1415" spans="3:3">
      <c r="C1415" s="2"/>
    </row>
    <row r="1416" spans="3:3">
      <c r="C1416" s="2"/>
    </row>
    <row r="1417" spans="3:3">
      <c r="C1417" s="2"/>
    </row>
    <row r="1418" spans="3:3">
      <c r="C1418" s="2"/>
    </row>
    <row r="1419" spans="3:3">
      <c r="C1419" s="2"/>
    </row>
    <row r="1420" spans="3:3">
      <c r="C1420" s="2"/>
    </row>
    <row r="1421" spans="3:3">
      <c r="C1421" s="2"/>
    </row>
    <row r="1422" spans="3:3">
      <c r="C1422" s="2"/>
    </row>
    <row r="1423" spans="3:3">
      <c r="C1423" s="2"/>
    </row>
    <row r="1424" spans="3:3">
      <c r="C1424" s="2"/>
    </row>
    <row r="1425" spans="3:3">
      <c r="C1425" s="2"/>
    </row>
    <row r="1426" spans="3:3">
      <c r="C1426" s="2"/>
    </row>
    <row r="1427" spans="3:3">
      <c r="C1427" s="2"/>
    </row>
    <row r="1428" spans="3:3">
      <c r="C1428" s="2"/>
    </row>
    <row r="1429" spans="3:3">
      <c r="C1429" s="2"/>
    </row>
    <row r="1430" spans="3:3">
      <c r="C1430" s="2"/>
    </row>
    <row r="1431" spans="3:3">
      <c r="C1431" s="2"/>
    </row>
    <row r="1432" spans="3:3">
      <c r="C1432" s="2"/>
    </row>
    <row r="1433" spans="3:3">
      <c r="C1433" s="2"/>
    </row>
    <row r="1434" spans="3:3">
      <c r="C1434" s="2"/>
    </row>
    <row r="1435" spans="3:3">
      <c r="C1435" s="2"/>
    </row>
    <row r="1436" spans="3:3">
      <c r="C1436" s="2"/>
    </row>
    <row r="1437" spans="3:3">
      <c r="C1437" s="2"/>
    </row>
    <row r="1438" spans="3:3">
      <c r="C1438" s="2"/>
    </row>
    <row r="1439" spans="3:3">
      <c r="C1439" s="2"/>
    </row>
    <row r="1440" spans="3:3">
      <c r="C1440" s="2"/>
    </row>
    <row r="1441" spans="3:3">
      <c r="C1441" s="2"/>
    </row>
    <row r="1442" spans="3:3">
      <c r="C1442" s="2"/>
    </row>
    <row r="1443" spans="3:3">
      <c r="C1443" s="2"/>
    </row>
    <row r="1444" spans="3:3">
      <c r="C1444" s="2"/>
    </row>
    <row r="1445" spans="3:3">
      <c r="C1445" s="2"/>
    </row>
    <row r="1446" spans="3:3">
      <c r="C1446" s="2"/>
    </row>
    <row r="1447" spans="3:3">
      <c r="C1447" s="2"/>
    </row>
    <row r="1448" spans="3:3">
      <c r="C1448" s="2"/>
    </row>
    <row r="1449" spans="3:3">
      <c r="C1449" s="2"/>
    </row>
    <row r="1450" spans="3:3">
      <c r="C1450" s="2"/>
    </row>
    <row r="1451" spans="3:3">
      <c r="C1451" s="2"/>
    </row>
    <row r="1452" spans="3:3">
      <c r="C1452" s="2"/>
    </row>
    <row r="1453" spans="3:3">
      <c r="C1453" s="2"/>
    </row>
    <row r="1454" spans="3:3">
      <c r="C1454" s="2"/>
    </row>
    <row r="1455" spans="3:3">
      <c r="C1455" s="2"/>
    </row>
    <row r="1456" spans="3:3">
      <c r="C1456" s="2"/>
    </row>
    <row r="1457" spans="3:3">
      <c r="C1457" s="2"/>
    </row>
    <row r="1458" spans="3:3">
      <c r="C1458" s="2"/>
    </row>
    <row r="1459" spans="3:3">
      <c r="C1459" s="2"/>
    </row>
    <row r="1460" spans="3:3">
      <c r="C1460" s="2"/>
    </row>
    <row r="1461" spans="3:3">
      <c r="C1461" s="2"/>
    </row>
    <row r="1462" spans="3:3">
      <c r="C1462" s="2"/>
    </row>
    <row r="1463" spans="3:3">
      <c r="C1463" s="2"/>
    </row>
    <row r="1464" spans="3:3">
      <c r="C1464" s="2"/>
    </row>
    <row r="1465" spans="3:3">
      <c r="C1465" s="2"/>
    </row>
    <row r="1466" spans="3:3">
      <c r="C1466" s="2"/>
    </row>
    <row r="1467" spans="3:3">
      <c r="C1467" s="2"/>
    </row>
    <row r="1468" spans="3:3">
      <c r="C1468" s="2"/>
    </row>
    <row r="1469" spans="3:3">
      <c r="C1469" s="2"/>
    </row>
    <row r="1470" spans="3:3">
      <c r="C1470" s="2"/>
    </row>
    <row r="1471" spans="3:3">
      <c r="C1471" s="2"/>
    </row>
    <row r="1472" spans="3:3">
      <c r="C1472" s="2"/>
    </row>
    <row r="1473" spans="3:3">
      <c r="C1473" s="2"/>
    </row>
    <row r="1474" spans="3:3">
      <c r="C1474" s="2"/>
    </row>
    <row r="1475" spans="3:3">
      <c r="C1475" s="2"/>
    </row>
    <row r="1476" spans="3:3">
      <c r="C1476" s="2"/>
    </row>
    <row r="1477" spans="3:3">
      <c r="C1477" s="2"/>
    </row>
    <row r="1478" spans="3:3">
      <c r="C1478" s="2"/>
    </row>
    <row r="1479" spans="3:3">
      <c r="C1479" s="2"/>
    </row>
    <row r="1480" spans="3:3">
      <c r="C1480" s="2"/>
    </row>
    <row r="1481" spans="3:3">
      <c r="C1481" s="2"/>
    </row>
    <row r="1482" spans="3:3">
      <c r="C1482" s="2"/>
    </row>
    <row r="1483" spans="3:3">
      <c r="C1483" s="2"/>
    </row>
    <row r="1484" spans="3:3">
      <c r="C1484" s="2"/>
    </row>
    <row r="1485" spans="3:3">
      <c r="C1485" s="2"/>
    </row>
    <row r="1486" spans="3:3">
      <c r="C1486" s="2"/>
    </row>
    <row r="1487" spans="3:3">
      <c r="C1487" s="2"/>
    </row>
    <row r="1488" spans="3:3">
      <c r="C1488" s="2"/>
    </row>
    <row r="1489" spans="3:3">
      <c r="C1489" s="2"/>
    </row>
    <row r="1490" spans="3:3">
      <c r="C1490" s="2"/>
    </row>
    <row r="1491" spans="3:3">
      <c r="C1491" s="2"/>
    </row>
    <row r="1492" spans="3:3">
      <c r="C1492" s="2"/>
    </row>
    <row r="1493" spans="3:3">
      <c r="C1493" s="2"/>
    </row>
    <row r="1494" spans="3:3">
      <c r="C1494" s="2"/>
    </row>
    <row r="1495" spans="3:3">
      <c r="C1495" s="2"/>
    </row>
    <row r="1496" spans="3:3">
      <c r="C1496" s="2"/>
    </row>
    <row r="1497" spans="3:3">
      <c r="C1497" s="2"/>
    </row>
    <row r="1498" spans="3:3">
      <c r="C1498" s="2"/>
    </row>
    <row r="1499" spans="3:3">
      <c r="C1499" s="2"/>
    </row>
    <row r="1500" spans="3:3">
      <c r="C1500" s="2"/>
    </row>
    <row r="1501" spans="3:3">
      <c r="C1501" s="2"/>
    </row>
    <row r="1502" spans="3:3">
      <c r="C1502" s="2"/>
    </row>
    <row r="1503" spans="3:3">
      <c r="C1503" s="2"/>
    </row>
    <row r="1504" spans="3:3">
      <c r="C1504" s="2"/>
    </row>
    <row r="1505" spans="3:3">
      <c r="C1505" s="2"/>
    </row>
    <row r="1506" spans="3:3">
      <c r="C1506" s="2"/>
    </row>
    <row r="1507" spans="3:3">
      <c r="C1507" s="2"/>
    </row>
    <row r="1508" spans="3:3">
      <c r="C1508" s="2"/>
    </row>
    <row r="1509" spans="3:3">
      <c r="C1509" s="2"/>
    </row>
    <row r="1510" spans="3:3">
      <c r="C1510" s="2"/>
    </row>
    <row r="1511" spans="3:3">
      <c r="C1511" s="2"/>
    </row>
    <row r="1512" spans="3:3">
      <c r="C1512" s="2"/>
    </row>
    <row r="1513" spans="3:3">
      <c r="C1513" s="2"/>
    </row>
    <row r="1514" spans="3:3">
      <c r="C1514" s="2"/>
    </row>
    <row r="1515" spans="3:3">
      <c r="C1515" s="2"/>
    </row>
    <row r="1516" spans="3:3">
      <c r="C1516" s="2"/>
    </row>
    <row r="1517" spans="3:3">
      <c r="C1517" s="2"/>
    </row>
    <row r="1518" spans="3:3">
      <c r="C1518" s="2"/>
    </row>
    <row r="1519" spans="3:3">
      <c r="C1519" s="2"/>
    </row>
    <row r="1520" spans="3:3">
      <c r="C1520" s="2"/>
    </row>
    <row r="1521" spans="3:3">
      <c r="C1521" s="2"/>
    </row>
    <row r="1522" spans="3:3">
      <c r="C1522" s="2"/>
    </row>
    <row r="1523" spans="3:3">
      <c r="C1523" s="2"/>
    </row>
    <row r="1524" spans="3:3">
      <c r="C1524" s="2"/>
    </row>
    <row r="1525" spans="3:3">
      <c r="C1525" s="2"/>
    </row>
    <row r="1526" spans="3:3">
      <c r="C1526" s="2"/>
    </row>
    <row r="1527" spans="3:3">
      <c r="C1527" s="2"/>
    </row>
    <row r="1528" spans="3:3">
      <c r="C1528" s="2"/>
    </row>
    <row r="1529" spans="3:3">
      <c r="C1529" s="2"/>
    </row>
    <row r="1530" spans="3:3">
      <c r="C1530" s="2"/>
    </row>
    <row r="1531" spans="3:3">
      <c r="C1531" s="2"/>
    </row>
    <row r="1532" spans="3:3">
      <c r="C1532" s="2"/>
    </row>
    <row r="1533" spans="3:3">
      <c r="C1533" s="2"/>
    </row>
    <row r="1534" spans="3:3">
      <c r="C1534" s="2"/>
    </row>
    <row r="1535" spans="3:3">
      <c r="C1535" s="2"/>
    </row>
    <row r="1536" spans="3:3">
      <c r="C1536" s="2"/>
    </row>
    <row r="1537" spans="3:3">
      <c r="C1537" s="2"/>
    </row>
    <row r="1538" spans="3:3">
      <c r="C1538" s="2"/>
    </row>
    <row r="1539" spans="3:3">
      <c r="C1539" s="2"/>
    </row>
    <row r="1540" spans="3:3">
      <c r="C1540" s="2"/>
    </row>
    <row r="1541" spans="3:3">
      <c r="C1541" s="2"/>
    </row>
    <row r="1542" spans="3:3">
      <c r="C1542" s="2"/>
    </row>
    <row r="1543" spans="3:3">
      <c r="C1543" s="2"/>
    </row>
    <row r="1544" spans="3:3">
      <c r="C1544" s="2"/>
    </row>
    <row r="1545" spans="3:3">
      <c r="C1545" s="2"/>
    </row>
    <row r="1546" spans="3:3">
      <c r="C1546" s="2"/>
    </row>
    <row r="1547" spans="3:3">
      <c r="C1547" s="2"/>
    </row>
    <row r="1548" spans="3:3">
      <c r="C1548" s="2"/>
    </row>
    <row r="1549" spans="3:3">
      <c r="C1549" s="2"/>
    </row>
    <row r="1550" spans="3:3">
      <c r="C1550" s="2"/>
    </row>
    <row r="1551" spans="3:3">
      <c r="C1551" s="2"/>
    </row>
    <row r="1552" spans="3:3">
      <c r="C1552" s="2"/>
    </row>
    <row r="1553" spans="3:3">
      <c r="C1553" s="2"/>
    </row>
    <row r="1554" spans="3:3">
      <c r="C1554" s="2"/>
    </row>
    <row r="1555" spans="3:3">
      <c r="C1555" s="2"/>
    </row>
    <row r="1556" spans="3:3">
      <c r="C1556" s="2"/>
    </row>
    <row r="1557" spans="3:3">
      <c r="C1557" s="2"/>
    </row>
    <row r="1558" spans="3:3">
      <c r="C1558" s="2"/>
    </row>
    <row r="1559" spans="3:3">
      <c r="C1559" s="2"/>
    </row>
    <row r="1560" spans="3:3">
      <c r="C1560" s="2"/>
    </row>
    <row r="1561" spans="3:3">
      <c r="C1561" s="2"/>
    </row>
    <row r="1562" spans="3:3">
      <c r="C1562" s="2"/>
    </row>
    <row r="1563" spans="3:3">
      <c r="C1563" s="2"/>
    </row>
    <row r="1564" spans="3:3">
      <c r="C1564" s="2"/>
    </row>
    <row r="1565" spans="3:3">
      <c r="C1565" s="2"/>
    </row>
    <row r="1566" spans="3:3">
      <c r="C1566" s="2"/>
    </row>
    <row r="1567" spans="3:3">
      <c r="C1567" s="2"/>
    </row>
    <row r="1568" spans="3:3">
      <c r="C1568" s="2"/>
    </row>
    <row r="1569" spans="3:3">
      <c r="C1569" s="2"/>
    </row>
    <row r="1570" spans="3:3">
      <c r="C1570" s="2"/>
    </row>
    <row r="1571" spans="3:3">
      <c r="C1571" s="2"/>
    </row>
    <row r="1572" spans="3:3">
      <c r="C1572" s="2"/>
    </row>
    <row r="1573" spans="3:3">
      <c r="C1573" s="2"/>
    </row>
    <row r="1574" spans="3:3">
      <c r="C1574" s="2"/>
    </row>
    <row r="1575" spans="3:3">
      <c r="C1575" s="2"/>
    </row>
    <row r="1576" spans="3:3">
      <c r="C1576" s="2"/>
    </row>
    <row r="1577" spans="3:3">
      <c r="C1577" s="2"/>
    </row>
    <row r="1578" spans="3:3">
      <c r="C1578" s="2"/>
    </row>
    <row r="1579" spans="3:3">
      <c r="C1579" s="2"/>
    </row>
    <row r="1580" spans="3:3">
      <c r="C1580" s="2"/>
    </row>
    <row r="1581" spans="3:3">
      <c r="C1581" s="2"/>
    </row>
    <row r="1582" spans="3:3">
      <c r="C1582" s="2"/>
    </row>
    <row r="1583" spans="3:3">
      <c r="C1583" s="2"/>
    </row>
    <row r="1584" spans="3:3">
      <c r="C1584" s="2"/>
    </row>
    <row r="1585" spans="3:3">
      <c r="C1585" s="2"/>
    </row>
    <row r="1586" spans="3:3">
      <c r="C1586" s="2"/>
    </row>
    <row r="1587" spans="3:3">
      <c r="C1587" s="2"/>
    </row>
    <row r="1588" spans="3:3">
      <c r="C1588" s="2"/>
    </row>
    <row r="1589" spans="3:3">
      <c r="C1589" s="2"/>
    </row>
    <row r="1590" spans="3:3">
      <c r="C1590" s="2"/>
    </row>
    <row r="1591" spans="3:3">
      <c r="C1591" s="2"/>
    </row>
    <row r="1592" spans="3:3">
      <c r="C1592" s="2"/>
    </row>
    <row r="1593" spans="3:3">
      <c r="C1593" s="2"/>
    </row>
    <row r="1594" spans="3:3">
      <c r="C1594" s="2"/>
    </row>
    <row r="1595" spans="3:3">
      <c r="C1595" s="2"/>
    </row>
    <row r="1596" spans="3:3">
      <c r="C1596" s="2"/>
    </row>
    <row r="1597" spans="3:3">
      <c r="C1597" s="2"/>
    </row>
    <row r="1598" spans="3:3">
      <c r="C1598" s="2"/>
    </row>
    <row r="1599" spans="3:3">
      <c r="C1599" s="2"/>
    </row>
    <row r="1600" spans="3:3">
      <c r="C1600" s="2"/>
    </row>
    <row r="1601" spans="3:3">
      <c r="C1601" s="2"/>
    </row>
    <row r="1602" spans="3:3">
      <c r="C1602" s="2"/>
    </row>
    <row r="1603" spans="3:3">
      <c r="C1603" s="2"/>
    </row>
    <row r="1604" spans="3:3">
      <c r="C1604" s="2"/>
    </row>
    <row r="1605" spans="3:3">
      <c r="C1605" s="2"/>
    </row>
    <row r="1606" spans="3:3">
      <c r="C1606" s="2"/>
    </row>
    <row r="1607" spans="3:3">
      <c r="C1607" s="2"/>
    </row>
    <row r="1608" spans="3:3">
      <c r="C1608" s="2"/>
    </row>
    <row r="1609" spans="3:3">
      <c r="C1609" s="2"/>
    </row>
    <row r="1610" spans="3:3">
      <c r="C1610" s="2"/>
    </row>
    <row r="1611" spans="3:3">
      <c r="C1611" s="2"/>
    </row>
    <row r="1612" spans="3:3">
      <c r="C1612" s="2"/>
    </row>
    <row r="1613" spans="3:3">
      <c r="C1613" s="2"/>
    </row>
    <row r="1614" spans="3:3">
      <c r="C1614" s="2"/>
    </row>
    <row r="1615" spans="3:3">
      <c r="C1615" s="2"/>
    </row>
    <row r="1616" spans="3:3">
      <c r="C1616" s="2"/>
    </row>
    <row r="1617" spans="3:3">
      <c r="C1617" s="2"/>
    </row>
    <row r="1618" spans="3:3">
      <c r="C1618" s="2"/>
    </row>
    <row r="1619" spans="3:3">
      <c r="C1619" s="2"/>
    </row>
    <row r="1620" spans="3:3">
      <c r="C1620" s="2"/>
    </row>
    <row r="1621" spans="3:3">
      <c r="C1621" s="2"/>
    </row>
    <row r="1622" spans="3:3">
      <c r="C1622" s="2"/>
    </row>
    <row r="1623" spans="3:3">
      <c r="C1623" s="2"/>
    </row>
    <row r="1624" spans="3:3">
      <c r="C1624" s="2"/>
    </row>
    <row r="1625" spans="3:3">
      <c r="C1625" s="2"/>
    </row>
    <row r="1626" spans="3:3">
      <c r="C1626" s="2"/>
    </row>
    <row r="1627" spans="3:3">
      <c r="C1627" s="2"/>
    </row>
    <row r="1628" spans="3:3">
      <c r="C1628" s="2"/>
    </row>
    <row r="1629" spans="3:3">
      <c r="C1629" s="2"/>
    </row>
    <row r="1630" spans="3:3">
      <c r="C1630" s="2"/>
    </row>
    <row r="1631" spans="3:3">
      <c r="C1631" s="2"/>
    </row>
    <row r="1632" spans="3:3">
      <c r="C1632" s="2"/>
    </row>
    <row r="1633" spans="3:3">
      <c r="C1633" s="2"/>
    </row>
    <row r="1634" spans="3:3">
      <c r="C1634" s="2"/>
    </row>
    <row r="1635" spans="3:3">
      <c r="C1635" s="2"/>
    </row>
    <row r="1636" spans="3:3">
      <c r="C1636" s="2"/>
    </row>
    <row r="1637" spans="3:3">
      <c r="C1637" s="2"/>
    </row>
    <row r="1638" spans="3:3">
      <c r="C1638" s="2"/>
    </row>
    <row r="1639" spans="3:3">
      <c r="C1639" s="2"/>
    </row>
    <row r="1640" spans="3:3">
      <c r="C1640" s="2"/>
    </row>
    <row r="1641" spans="3:3">
      <c r="C1641" s="2"/>
    </row>
    <row r="1642" spans="3:3">
      <c r="C1642" s="2"/>
    </row>
    <row r="1643" spans="3:3">
      <c r="C1643" s="2"/>
    </row>
    <row r="1644" spans="3:3">
      <c r="C1644" s="2"/>
    </row>
    <row r="1645" spans="3:3">
      <c r="C1645" s="2"/>
    </row>
    <row r="1646" spans="3:3">
      <c r="C1646" s="2"/>
    </row>
    <row r="1647" spans="3:3">
      <c r="C1647" s="2"/>
    </row>
    <row r="1648" spans="3:3">
      <c r="C1648" s="2"/>
    </row>
    <row r="1649" spans="3:3">
      <c r="C1649" s="2"/>
    </row>
    <row r="1650" spans="3:3">
      <c r="C1650" s="2"/>
    </row>
    <row r="1651" spans="3:3">
      <c r="C1651" s="2"/>
    </row>
    <row r="1652" spans="3:3">
      <c r="C1652" s="2"/>
    </row>
    <row r="1653" spans="3:3">
      <c r="C1653" s="2"/>
    </row>
    <row r="1654" spans="3:3">
      <c r="C1654" s="2"/>
    </row>
    <row r="1655" spans="3:3">
      <c r="C1655" s="2"/>
    </row>
    <row r="1656" spans="3:3">
      <c r="C1656" s="2"/>
    </row>
    <row r="1657" spans="3:3">
      <c r="C1657" s="2"/>
    </row>
    <row r="1658" spans="3:3">
      <c r="C1658" s="2"/>
    </row>
    <row r="1659" spans="3:3">
      <c r="C1659" s="2"/>
    </row>
    <row r="1660" spans="3:3">
      <c r="C1660" s="2"/>
    </row>
    <row r="1661" spans="3:3">
      <c r="C1661" s="2"/>
    </row>
    <row r="1662" spans="3:3">
      <c r="C1662" s="2"/>
    </row>
    <row r="1663" spans="3:3">
      <c r="C1663" s="2"/>
    </row>
    <row r="1664" spans="3:3">
      <c r="C1664" s="2"/>
    </row>
    <row r="1665" spans="3:3">
      <c r="C1665" s="2"/>
    </row>
    <row r="1666" spans="3:3">
      <c r="C1666" s="2"/>
    </row>
    <row r="1667" spans="3:3">
      <c r="C1667" s="2"/>
    </row>
    <row r="1668" spans="3:3">
      <c r="C1668" s="2"/>
    </row>
    <row r="1669" spans="3:3">
      <c r="C1669" s="2"/>
    </row>
    <row r="1670" spans="3:3">
      <c r="C1670" s="2"/>
    </row>
    <row r="1671" spans="3:3">
      <c r="C1671" s="2"/>
    </row>
    <row r="1672" spans="3:3">
      <c r="C1672" s="2"/>
    </row>
    <row r="1673" spans="3:3">
      <c r="C1673" s="2"/>
    </row>
    <row r="1674" spans="3:3">
      <c r="C1674" s="2"/>
    </row>
    <row r="1675" spans="3:3">
      <c r="C1675" s="2"/>
    </row>
    <row r="1676" spans="3:3">
      <c r="C1676" s="2"/>
    </row>
    <row r="1677" spans="3:3">
      <c r="C1677" s="2"/>
    </row>
    <row r="1678" spans="3:3">
      <c r="C1678" s="2"/>
    </row>
    <row r="1679" spans="3:3">
      <c r="C1679" s="2"/>
    </row>
    <row r="1680" spans="3:3">
      <c r="C1680" s="2"/>
    </row>
    <row r="1681" spans="3:3">
      <c r="C1681" s="2"/>
    </row>
    <row r="1682" spans="3:3">
      <c r="C1682" s="2"/>
    </row>
    <row r="1683" spans="3:3">
      <c r="C1683" s="2"/>
    </row>
    <row r="1684" spans="3:3">
      <c r="C1684" s="2"/>
    </row>
    <row r="1685" spans="3:3">
      <c r="C1685" s="2"/>
    </row>
    <row r="1686" spans="3:3">
      <c r="C1686" s="2"/>
    </row>
    <row r="1687" spans="3:3">
      <c r="C1687" s="2"/>
    </row>
    <row r="1688" spans="3:3">
      <c r="C1688" s="2"/>
    </row>
    <row r="1689" spans="3:3">
      <c r="C1689" s="2"/>
    </row>
    <row r="1690" spans="3:3">
      <c r="C1690" s="2"/>
    </row>
    <row r="1691" spans="3:3">
      <c r="C1691" s="2"/>
    </row>
    <row r="1692" spans="3:3">
      <c r="C1692" s="2"/>
    </row>
    <row r="1693" spans="3:3">
      <c r="C1693" s="2"/>
    </row>
    <row r="1694" spans="3:3">
      <c r="C1694" s="2"/>
    </row>
    <row r="1695" spans="3:3">
      <c r="C1695" s="2"/>
    </row>
    <row r="1696" spans="3:3">
      <c r="C1696" s="2"/>
    </row>
    <row r="1697" spans="3:3">
      <c r="C1697" s="2"/>
    </row>
    <row r="1698" spans="3:3">
      <c r="C1698" s="2"/>
    </row>
    <row r="1699" spans="3:3">
      <c r="C1699" s="2"/>
    </row>
    <row r="1700" spans="3:3">
      <c r="C1700" s="2"/>
    </row>
    <row r="1701" spans="3:3">
      <c r="C1701" s="2"/>
    </row>
    <row r="1702" spans="3:3">
      <c r="C1702" s="2"/>
    </row>
    <row r="1703" spans="3:3">
      <c r="C1703" s="2"/>
    </row>
    <row r="1704" spans="3:3">
      <c r="C1704" s="2"/>
    </row>
    <row r="1705" spans="3:3">
      <c r="C1705" s="2"/>
    </row>
    <row r="1706" spans="3:3">
      <c r="C1706" s="2"/>
    </row>
    <row r="1707" spans="3:3">
      <c r="C1707" s="2"/>
    </row>
    <row r="1708" spans="3:3">
      <c r="C1708" s="2"/>
    </row>
    <row r="1709" spans="3:3">
      <c r="C1709" s="2"/>
    </row>
    <row r="1710" spans="3:3">
      <c r="C1710" s="2"/>
    </row>
    <row r="1711" spans="3:3">
      <c r="C1711" s="2"/>
    </row>
    <row r="1712" spans="3:3">
      <c r="C1712" s="2"/>
    </row>
    <row r="1713" spans="3:3">
      <c r="C1713" s="2"/>
    </row>
    <row r="1714" spans="3:3">
      <c r="C1714" s="2"/>
    </row>
    <row r="1715" spans="3:3">
      <c r="C1715" s="2"/>
    </row>
    <row r="1716" spans="3:3">
      <c r="C1716" s="2"/>
    </row>
    <row r="1717" spans="3:3">
      <c r="C1717" s="2"/>
    </row>
    <row r="1718" spans="3:3">
      <c r="C1718" s="2"/>
    </row>
    <row r="1719" spans="3:3">
      <c r="C1719" s="2"/>
    </row>
    <row r="1720" spans="3:3">
      <c r="C1720" s="2"/>
    </row>
    <row r="1721" spans="3:3">
      <c r="C1721" s="2"/>
    </row>
    <row r="1722" spans="3:3">
      <c r="C1722" s="2"/>
    </row>
    <row r="1723" spans="3:3">
      <c r="C1723" s="2"/>
    </row>
    <row r="1724" spans="3:3">
      <c r="C1724" s="2"/>
    </row>
    <row r="1725" spans="3:3">
      <c r="C1725" s="2"/>
    </row>
    <row r="1726" spans="3:3">
      <c r="C1726" s="2"/>
    </row>
    <row r="1727" spans="3:3">
      <c r="C1727" s="2"/>
    </row>
    <row r="1728" spans="3:3">
      <c r="C1728" s="2"/>
    </row>
    <row r="1729" spans="3:3">
      <c r="C1729" s="2"/>
    </row>
    <row r="1730" spans="3:3">
      <c r="C1730" s="2"/>
    </row>
    <row r="1731" spans="3:3">
      <c r="C1731" s="2"/>
    </row>
    <row r="1732" spans="3:3">
      <c r="C1732" s="2"/>
    </row>
    <row r="1733" spans="3:3">
      <c r="C1733" s="2"/>
    </row>
    <row r="1734" spans="3:3">
      <c r="C1734" s="2"/>
    </row>
    <row r="1735" spans="3:3">
      <c r="C1735" s="2"/>
    </row>
    <row r="1736" spans="3:3">
      <c r="C1736" s="2"/>
    </row>
    <row r="1737" spans="3:3">
      <c r="C1737" s="2"/>
    </row>
    <row r="1738" spans="3:3">
      <c r="C1738" s="2"/>
    </row>
    <row r="1739" spans="3:3">
      <c r="C1739" s="2"/>
    </row>
    <row r="1740" spans="3:3">
      <c r="C1740" s="2"/>
    </row>
    <row r="1741" spans="3:3">
      <c r="C1741" s="2"/>
    </row>
    <row r="1742" spans="3:3">
      <c r="C1742" s="2"/>
    </row>
    <row r="1743" spans="3:3">
      <c r="C1743" s="2"/>
    </row>
    <row r="1744" spans="3:3">
      <c r="C1744" s="2"/>
    </row>
    <row r="1745" spans="3:3">
      <c r="C1745" s="2"/>
    </row>
    <row r="1746" spans="3:3">
      <c r="C1746" s="2"/>
    </row>
    <row r="1747" spans="3:3">
      <c r="C1747" s="2"/>
    </row>
    <row r="1748" spans="3:3">
      <c r="C1748" s="2"/>
    </row>
    <row r="1749" spans="3:3">
      <c r="C1749" s="2"/>
    </row>
    <row r="1750" spans="3:3">
      <c r="C1750" s="2"/>
    </row>
    <row r="1751" spans="3:3">
      <c r="C1751" s="2"/>
    </row>
    <row r="1752" spans="3:3">
      <c r="C1752" s="2"/>
    </row>
    <row r="1753" spans="3:3">
      <c r="C1753" s="2"/>
    </row>
    <row r="1754" spans="3:3">
      <c r="C1754" s="2"/>
    </row>
    <row r="1755" spans="3:3">
      <c r="C1755" s="2"/>
    </row>
    <row r="1756" spans="3:3">
      <c r="C1756" s="2"/>
    </row>
    <row r="1757" spans="3:3">
      <c r="C1757" s="2"/>
    </row>
    <row r="1758" spans="3:3">
      <c r="C1758" s="2"/>
    </row>
    <row r="1759" spans="3:3">
      <c r="C1759" s="2"/>
    </row>
    <row r="1760" spans="3:3">
      <c r="C1760" s="2"/>
    </row>
    <row r="1761" spans="3:3">
      <c r="C1761" s="2"/>
    </row>
    <row r="1762" spans="3:3">
      <c r="C1762" s="2"/>
    </row>
    <row r="1763" spans="3:3">
      <c r="C1763" s="2"/>
    </row>
    <row r="1764" spans="3:3">
      <c r="C1764" s="2"/>
    </row>
    <row r="1765" spans="3:3">
      <c r="C1765" s="2"/>
    </row>
    <row r="1766" spans="3:3">
      <c r="C1766" s="2"/>
    </row>
    <row r="1767" spans="3:3">
      <c r="C1767" s="2"/>
    </row>
    <row r="1768" spans="3:3">
      <c r="C1768" s="2"/>
    </row>
    <row r="1769" spans="3:3">
      <c r="C1769" s="2"/>
    </row>
    <row r="1770" spans="3:3">
      <c r="C1770" s="2"/>
    </row>
    <row r="1771" spans="3:3">
      <c r="C1771" s="2"/>
    </row>
    <row r="1772" spans="3:3">
      <c r="C1772" s="2"/>
    </row>
    <row r="1773" spans="3:3">
      <c r="C1773" s="2"/>
    </row>
    <row r="1774" spans="3:3">
      <c r="C1774" s="2"/>
    </row>
    <row r="1775" spans="3:3">
      <c r="C1775" s="2"/>
    </row>
    <row r="1776" spans="3:3">
      <c r="C1776" s="2"/>
    </row>
    <row r="1777" spans="3:3">
      <c r="C1777" s="2"/>
    </row>
    <row r="1778" spans="3:3">
      <c r="C1778" s="2"/>
    </row>
    <row r="1779" spans="3:3">
      <c r="C1779" s="2"/>
    </row>
    <row r="1780" spans="3:3">
      <c r="C1780" s="2"/>
    </row>
    <row r="1781" spans="3:3">
      <c r="C1781" s="2"/>
    </row>
    <row r="1782" spans="3:3">
      <c r="C1782" s="2"/>
    </row>
    <row r="1783" spans="3:3">
      <c r="C1783" s="2"/>
    </row>
    <row r="1784" spans="3:3">
      <c r="C1784" s="2"/>
    </row>
    <row r="1785" spans="3:3">
      <c r="C1785" s="2"/>
    </row>
    <row r="1786" spans="3:3">
      <c r="C1786" s="2"/>
    </row>
    <row r="1787" spans="3:3">
      <c r="C1787" s="2"/>
    </row>
    <row r="1788" spans="3:3">
      <c r="C1788" s="2"/>
    </row>
    <row r="1789" spans="3:3">
      <c r="C1789" s="2"/>
    </row>
    <row r="1790" spans="3:3">
      <c r="C1790" s="2"/>
    </row>
    <row r="1791" spans="3:3">
      <c r="C1791" s="2"/>
    </row>
    <row r="1792" spans="3:3">
      <c r="C1792" s="2"/>
    </row>
    <row r="1793" spans="3:3">
      <c r="C1793" s="2"/>
    </row>
    <row r="1794" spans="3:3">
      <c r="C1794" s="2"/>
    </row>
    <row r="1795" spans="3:3">
      <c r="C1795" s="2"/>
    </row>
    <row r="1796" spans="3:3">
      <c r="C1796" s="2"/>
    </row>
    <row r="1797" spans="3:3">
      <c r="C1797" s="2"/>
    </row>
    <row r="1798" spans="3:3">
      <c r="C1798" s="2"/>
    </row>
    <row r="1799" spans="3:3">
      <c r="C1799" s="2"/>
    </row>
    <row r="1800" spans="3:3">
      <c r="C1800" s="2"/>
    </row>
    <row r="1801" spans="3:3">
      <c r="C1801" s="2"/>
    </row>
    <row r="1802" spans="3:3">
      <c r="C1802" s="2"/>
    </row>
    <row r="1803" spans="3:3">
      <c r="C1803" s="2"/>
    </row>
    <row r="1804" spans="3:3">
      <c r="C1804" s="2"/>
    </row>
    <row r="1805" spans="3:3">
      <c r="C1805" s="2"/>
    </row>
    <row r="1806" spans="3:3">
      <c r="C1806" s="2"/>
    </row>
    <row r="1807" spans="3:3">
      <c r="C1807" s="2"/>
    </row>
    <row r="1808" spans="3:3">
      <c r="C1808" s="2"/>
    </row>
    <row r="1809" spans="3:3">
      <c r="C1809" s="2"/>
    </row>
    <row r="1810" spans="3:3">
      <c r="C1810" s="2"/>
    </row>
    <row r="1811" spans="3:3">
      <c r="C1811" s="2"/>
    </row>
    <row r="1812" spans="3:3">
      <c r="C1812" s="2"/>
    </row>
    <row r="1813" spans="3:3">
      <c r="C1813" s="2"/>
    </row>
    <row r="1814" spans="3:3">
      <c r="C1814" s="2"/>
    </row>
    <row r="1815" spans="3:3">
      <c r="C1815" s="2"/>
    </row>
    <row r="1816" spans="3:3">
      <c r="C1816" s="2"/>
    </row>
    <row r="1817" spans="3:3">
      <c r="C1817" s="2"/>
    </row>
    <row r="1818" spans="3:3">
      <c r="C1818" s="2"/>
    </row>
    <row r="1819" spans="3:3">
      <c r="C1819" s="2"/>
    </row>
    <row r="1820" spans="3:3">
      <c r="C1820" s="2"/>
    </row>
    <row r="1821" spans="3:3">
      <c r="C1821" s="2"/>
    </row>
    <row r="1822" spans="3:3">
      <c r="C1822" s="2"/>
    </row>
    <row r="1823" spans="3:3">
      <c r="C1823" s="2"/>
    </row>
    <row r="1824" spans="3:3">
      <c r="C1824" s="2"/>
    </row>
    <row r="1825" spans="3:3">
      <c r="C1825" s="2"/>
    </row>
    <row r="1826" spans="3:3">
      <c r="C1826" s="2"/>
    </row>
    <row r="1827" spans="3:3">
      <c r="C1827" s="2"/>
    </row>
    <row r="1828" spans="3:3">
      <c r="C1828" s="2"/>
    </row>
    <row r="1829" spans="3:3">
      <c r="C1829" s="2"/>
    </row>
    <row r="1830" spans="3:3">
      <c r="C1830" s="2"/>
    </row>
    <row r="1831" spans="3:3">
      <c r="C1831" s="2"/>
    </row>
    <row r="1832" spans="3:3">
      <c r="C1832" s="2"/>
    </row>
    <row r="1833" spans="3:3">
      <c r="C1833" s="2"/>
    </row>
    <row r="1834" spans="3:3">
      <c r="C1834" s="2"/>
    </row>
    <row r="1835" spans="3:3">
      <c r="C1835" s="2"/>
    </row>
    <row r="1836" spans="3:3">
      <c r="C1836" s="2"/>
    </row>
    <row r="1837" spans="3:3">
      <c r="C1837" s="2"/>
    </row>
    <row r="1838" spans="3:3">
      <c r="C1838" s="2"/>
    </row>
    <row r="1839" spans="3:3">
      <c r="C1839" s="2"/>
    </row>
    <row r="1840" spans="3:3">
      <c r="C1840" s="2"/>
    </row>
    <row r="1841" spans="3:3">
      <c r="C1841" s="2"/>
    </row>
    <row r="1842" spans="3:3">
      <c r="C1842" s="2"/>
    </row>
    <row r="1843" spans="3:3">
      <c r="C1843" s="2"/>
    </row>
    <row r="1844" spans="3:3">
      <c r="C1844" s="2"/>
    </row>
    <row r="1845" spans="3:3">
      <c r="C1845" s="2"/>
    </row>
    <row r="1846" spans="3:3">
      <c r="C1846" s="2"/>
    </row>
    <row r="1847" spans="3:3">
      <c r="C1847" s="2"/>
    </row>
    <row r="1848" spans="3:3">
      <c r="C1848" s="2"/>
    </row>
    <row r="1849" spans="3:3">
      <c r="C1849" s="2"/>
    </row>
    <row r="1850" spans="3:3">
      <c r="C1850" s="2"/>
    </row>
    <row r="1851" spans="3:3">
      <c r="C1851" s="2"/>
    </row>
    <row r="1852" spans="3:3">
      <c r="C1852" s="2"/>
    </row>
    <row r="1853" spans="3:3">
      <c r="C1853" s="2"/>
    </row>
    <row r="1854" spans="3:3">
      <c r="C1854" s="2"/>
    </row>
    <row r="1855" spans="3:3">
      <c r="C1855" s="2"/>
    </row>
    <row r="1856" spans="3:3">
      <c r="C1856" s="2"/>
    </row>
    <row r="1857" spans="3:3">
      <c r="C1857" s="2"/>
    </row>
    <row r="1858" spans="3:3">
      <c r="C1858" s="2"/>
    </row>
    <row r="1859" spans="3:3">
      <c r="C1859" s="2"/>
    </row>
    <row r="1860" spans="3:3">
      <c r="C1860" s="2"/>
    </row>
    <row r="1861" spans="3:3">
      <c r="C1861" s="2"/>
    </row>
    <row r="1862" spans="3:3">
      <c r="C1862" s="2"/>
    </row>
    <row r="1863" spans="3:3">
      <c r="C1863" s="2"/>
    </row>
    <row r="1864" spans="3:3">
      <c r="C1864" s="2"/>
    </row>
    <row r="1865" spans="3:3">
      <c r="C1865" s="2"/>
    </row>
    <row r="1866" spans="3:3">
      <c r="C1866" s="2"/>
    </row>
    <row r="1867" spans="3:3">
      <c r="C1867" s="2"/>
    </row>
    <row r="1868" spans="3:3">
      <c r="C1868" s="2"/>
    </row>
    <row r="1869" spans="3:3">
      <c r="C1869" s="2"/>
    </row>
    <row r="1870" spans="3:3">
      <c r="C1870" s="2"/>
    </row>
    <row r="1871" spans="3:3">
      <c r="C1871" s="2"/>
    </row>
    <row r="1872" spans="3:3">
      <c r="C1872" s="2"/>
    </row>
    <row r="1873" spans="3:3">
      <c r="C1873" s="2"/>
    </row>
    <row r="1874" spans="3:3">
      <c r="C1874" s="2"/>
    </row>
    <row r="1875" spans="3:3">
      <c r="C1875" s="2"/>
    </row>
    <row r="1876" spans="3:3">
      <c r="C1876" s="2"/>
    </row>
    <row r="1877" spans="3:3">
      <c r="C1877" s="2"/>
    </row>
    <row r="1878" spans="3:3">
      <c r="C1878" s="2"/>
    </row>
    <row r="1879" spans="3:3">
      <c r="C1879" s="2"/>
    </row>
    <row r="1880" spans="3:3">
      <c r="C1880" s="2"/>
    </row>
    <row r="1881" spans="3:3">
      <c r="C1881" s="2"/>
    </row>
    <row r="1882" spans="3:3">
      <c r="C1882" s="2"/>
    </row>
    <row r="1883" spans="3:3">
      <c r="C1883" s="2"/>
    </row>
    <row r="1884" spans="3:3">
      <c r="C1884" s="2"/>
    </row>
    <row r="1885" spans="3:3">
      <c r="C1885" s="2"/>
    </row>
    <row r="1886" spans="3:3">
      <c r="C1886" s="2"/>
    </row>
    <row r="1887" spans="3:3">
      <c r="C1887" s="2"/>
    </row>
    <row r="1888" spans="3:3">
      <c r="C1888" s="2"/>
    </row>
    <row r="1889" spans="3:3">
      <c r="C1889" s="2"/>
    </row>
    <row r="1890" spans="3:3">
      <c r="C1890" s="2"/>
    </row>
    <row r="1891" spans="3:3">
      <c r="C1891" s="2"/>
    </row>
    <row r="1892" spans="3:3">
      <c r="C1892" s="2"/>
    </row>
    <row r="1893" spans="3:3">
      <c r="C1893" s="2"/>
    </row>
    <row r="1894" spans="3:3">
      <c r="C1894" s="2"/>
    </row>
    <row r="1895" spans="3:3">
      <c r="C1895" s="2"/>
    </row>
    <row r="1896" spans="3:3">
      <c r="C1896" s="2"/>
    </row>
    <row r="1897" spans="3:3">
      <c r="C1897" s="2"/>
    </row>
    <row r="1898" spans="3:3">
      <c r="C1898" s="2"/>
    </row>
    <row r="1899" spans="3:3">
      <c r="C1899" s="2"/>
    </row>
    <row r="1900" spans="3:3">
      <c r="C1900" s="2"/>
    </row>
    <row r="1901" spans="3:3">
      <c r="C1901" s="2"/>
    </row>
    <row r="1902" spans="3:3">
      <c r="C1902" s="2"/>
    </row>
    <row r="1903" spans="3:3">
      <c r="C1903" s="2"/>
    </row>
    <row r="1904" spans="3:3">
      <c r="C1904" s="2"/>
    </row>
    <row r="1905" spans="3:3">
      <c r="C1905" s="2"/>
    </row>
    <row r="1906" spans="3:3">
      <c r="C1906" s="2"/>
    </row>
    <row r="1907" spans="3:3">
      <c r="C1907" s="2"/>
    </row>
    <row r="1908" spans="3:3">
      <c r="C1908" s="2"/>
    </row>
    <row r="1909" spans="3:3">
      <c r="C1909" s="2"/>
    </row>
    <row r="1910" spans="3:3">
      <c r="C1910" s="2"/>
    </row>
    <row r="1911" spans="3:3">
      <c r="C1911" s="2"/>
    </row>
    <row r="1912" spans="3:3">
      <c r="C1912" s="2"/>
    </row>
    <row r="1913" spans="3:3">
      <c r="C1913" s="2"/>
    </row>
    <row r="1914" spans="3:3">
      <c r="C1914" s="2"/>
    </row>
    <row r="1915" spans="3:3">
      <c r="C1915" s="2"/>
    </row>
    <row r="1916" spans="3:3">
      <c r="C1916" s="2"/>
    </row>
    <row r="1917" spans="3:3">
      <c r="C1917" s="2"/>
    </row>
    <row r="1918" spans="3:3">
      <c r="C1918" s="2"/>
    </row>
    <row r="1919" spans="3:3">
      <c r="C1919" s="2"/>
    </row>
    <row r="1920" spans="3:3">
      <c r="C1920" s="2"/>
    </row>
    <row r="1921" spans="3:3">
      <c r="C1921" s="2"/>
    </row>
    <row r="1922" spans="3:3">
      <c r="C1922" s="2"/>
    </row>
    <row r="1923" spans="3:3">
      <c r="C1923" s="2"/>
    </row>
    <row r="1924" spans="3:3">
      <c r="C1924" s="2"/>
    </row>
    <row r="1925" spans="3:3">
      <c r="C1925" s="2"/>
    </row>
    <row r="1926" spans="3:3">
      <c r="C1926" s="2"/>
    </row>
    <row r="1927" spans="3:3">
      <c r="C1927" s="2"/>
    </row>
    <row r="1928" spans="3:3">
      <c r="C1928" s="2"/>
    </row>
    <row r="1929" spans="3:3">
      <c r="C1929" s="2"/>
    </row>
    <row r="1930" spans="3:3">
      <c r="C1930" s="2"/>
    </row>
    <row r="1931" spans="3:3">
      <c r="C1931" s="2"/>
    </row>
    <row r="1932" spans="3:3">
      <c r="C1932" s="2"/>
    </row>
    <row r="1933" spans="3:3">
      <c r="C1933" s="2"/>
    </row>
    <row r="1934" spans="3:3">
      <c r="C1934" s="2"/>
    </row>
    <row r="1935" spans="3:3">
      <c r="C1935" s="2"/>
    </row>
    <row r="1936" spans="3:3">
      <c r="C1936" s="2"/>
    </row>
    <row r="1937" spans="3:3">
      <c r="C1937" s="2"/>
    </row>
    <row r="1938" spans="3:3">
      <c r="C1938" s="2"/>
    </row>
    <row r="1939" spans="3:3">
      <c r="C1939" s="2"/>
    </row>
    <row r="1940" spans="3:3">
      <c r="C1940" s="2"/>
    </row>
    <row r="1941" spans="3:3">
      <c r="C1941" s="2"/>
    </row>
    <row r="1942" spans="3:3">
      <c r="C1942" s="2"/>
    </row>
    <row r="1943" spans="3:3">
      <c r="C1943" s="2"/>
    </row>
    <row r="1944" spans="3:3">
      <c r="C1944" s="2"/>
    </row>
    <row r="1945" spans="3:3">
      <c r="C1945" s="2"/>
    </row>
    <row r="1946" spans="3:3">
      <c r="C1946" s="2"/>
    </row>
    <row r="1947" spans="3:3">
      <c r="C1947" s="2"/>
    </row>
    <row r="1948" spans="3:3">
      <c r="C1948" s="2"/>
    </row>
    <row r="1949" spans="3:3">
      <c r="C1949" s="2"/>
    </row>
    <row r="1950" spans="3:3">
      <c r="C1950" s="2"/>
    </row>
    <row r="1951" spans="3:3">
      <c r="C1951" s="2"/>
    </row>
    <row r="1952" spans="3:3">
      <c r="C1952" s="2"/>
    </row>
    <row r="1953" spans="3:3">
      <c r="C1953" s="2"/>
    </row>
    <row r="1954" spans="3:3">
      <c r="C1954" s="2"/>
    </row>
    <row r="1955" spans="3:3">
      <c r="C1955" s="2"/>
    </row>
    <row r="1956" spans="3:3">
      <c r="C1956" s="2"/>
    </row>
    <row r="1957" spans="3:3">
      <c r="C1957" s="2"/>
    </row>
    <row r="1958" spans="3:3">
      <c r="C1958" s="2"/>
    </row>
    <row r="1959" spans="3:3">
      <c r="C1959" s="2"/>
    </row>
    <row r="1960" spans="3:3">
      <c r="C1960" s="2"/>
    </row>
    <row r="1961" spans="3:3">
      <c r="C1961" s="2"/>
    </row>
    <row r="1962" spans="3:3">
      <c r="C1962" s="2"/>
    </row>
    <row r="1963" spans="3:3">
      <c r="C1963" s="2"/>
    </row>
    <row r="1964" spans="3:3">
      <c r="C1964" s="2"/>
    </row>
    <row r="1965" spans="3:3">
      <c r="C1965" s="2"/>
    </row>
    <row r="1966" spans="3:3">
      <c r="C1966" s="2"/>
    </row>
    <row r="1967" spans="3:3">
      <c r="C1967" s="2"/>
    </row>
    <row r="1968" spans="3:3">
      <c r="C1968" s="2"/>
    </row>
    <row r="1969" spans="3:3">
      <c r="C1969" s="2"/>
    </row>
    <row r="1970" spans="3:3">
      <c r="C1970" s="2"/>
    </row>
    <row r="1971" spans="3:3">
      <c r="C1971" s="2"/>
    </row>
    <row r="1972" spans="3:3">
      <c r="C1972" s="2"/>
    </row>
    <row r="1973" spans="3:3">
      <c r="C1973" s="2"/>
    </row>
    <row r="1974" spans="3:3">
      <c r="C1974" s="2"/>
    </row>
    <row r="1975" spans="3:3">
      <c r="C1975" s="2"/>
    </row>
    <row r="1976" spans="3:3">
      <c r="C1976" s="2"/>
    </row>
    <row r="1977" spans="3:3">
      <c r="C1977" s="2"/>
    </row>
    <row r="1978" spans="3:3">
      <c r="C1978" s="2"/>
    </row>
    <row r="1979" spans="3:3">
      <c r="C1979" s="2"/>
    </row>
    <row r="1980" spans="3:3">
      <c r="C1980" s="2"/>
    </row>
    <row r="1981" spans="3:3">
      <c r="C1981" s="2"/>
    </row>
    <row r="1982" spans="3:3">
      <c r="C1982" s="2"/>
    </row>
    <row r="1983" spans="3:3">
      <c r="C1983" s="2"/>
    </row>
    <row r="1984" spans="3:3">
      <c r="C1984" s="2"/>
    </row>
    <row r="1985" spans="3:3">
      <c r="C1985" s="2"/>
    </row>
    <row r="1986" spans="3:3">
      <c r="C1986" s="2"/>
    </row>
    <row r="1987" spans="3:3">
      <c r="C1987" s="2"/>
    </row>
    <row r="1988" spans="3:3">
      <c r="C1988" s="2"/>
    </row>
    <row r="1989" spans="3:3">
      <c r="C1989" s="2"/>
    </row>
    <row r="1990" spans="3:3">
      <c r="C1990" s="2"/>
    </row>
    <row r="1991" spans="3:3">
      <c r="C1991" s="2"/>
    </row>
    <row r="1992" spans="3:3">
      <c r="C1992" s="2"/>
    </row>
    <row r="1993" spans="3:3">
      <c r="C1993" s="2"/>
    </row>
    <row r="1994" spans="3:3">
      <c r="C1994" s="2"/>
    </row>
    <row r="1995" spans="3:3">
      <c r="C1995" s="2"/>
    </row>
    <row r="1996" spans="3:3">
      <c r="C1996" s="2"/>
    </row>
    <row r="1997" spans="3:3">
      <c r="C1997" s="2"/>
    </row>
    <row r="1998" spans="3:3">
      <c r="C1998" s="2"/>
    </row>
    <row r="1999" spans="3:3">
      <c r="C1999" s="2"/>
    </row>
    <row r="2000" spans="3:3">
      <c r="C2000" s="2"/>
    </row>
    <row r="2001" spans="3:3">
      <c r="C2001" s="2"/>
    </row>
    <row r="2002" spans="3:3">
      <c r="C2002" s="2"/>
    </row>
    <row r="2003" spans="3:3">
      <c r="C2003" s="2"/>
    </row>
    <row r="2004" spans="3:3">
      <c r="C2004" s="2"/>
    </row>
    <row r="2005" spans="3:3">
      <c r="C2005" s="2"/>
    </row>
    <row r="2006" spans="3:3">
      <c r="C2006" s="2"/>
    </row>
    <row r="2007" spans="3:3">
      <c r="C2007" s="2"/>
    </row>
    <row r="2008" spans="3:3">
      <c r="C2008" s="2"/>
    </row>
    <row r="2009" spans="3:3">
      <c r="C2009" s="2"/>
    </row>
    <row r="2010" spans="3:3">
      <c r="C2010" s="2"/>
    </row>
    <row r="2011" spans="3:3">
      <c r="C2011" s="2"/>
    </row>
    <row r="2012" spans="3:3">
      <c r="C2012" s="2"/>
    </row>
    <row r="2013" spans="3:3">
      <c r="C2013" s="2"/>
    </row>
    <row r="2014" spans="3:3">
      <c r="C2014" s="2"/>
    </row>
    <row r="2015" spans="3:3">
      <c r="C2015" s="2"/>
    </row>
    <row r="2016" spans="3:3">
      <c r="C2016" s="2"/>
    </row>
    <row r="2017" spans="3:3">
      <c r="C2017" s="2"/>
    </row>
    <row r="2018" spans="3:3">
      <c r="C2018" s="2"/>
    </row>
    <row r="2019" spans="3:3">
      <c r="C2019" s="2"/>
    </row>
    <row r="2020" spans="3:3">
      <c r="C2020" s="2"/>
    </row>
    <row r="2021" spans="3:3">
      <c r="C2021" s="2"/>
    </row>
    <row r="2022" spans="3:3">
      <c r="C2022" s="2"/>
    </row>
    <row r="2023" spans="3:3">
      <c r="C2023" s="2"/>
    </row>
    <row r="2024" spans="3:3">
      <c r="C2024" s="2"/>
    </row>
    <row r="2025" spans="3:3">
      <c r="C2025" s="2"/>
    </row>
    <row r="2026" spans="3:3">
      <c r="C2026" s="2"/>
    </row>
    <row r="2027" spans="3:3">
      <c r="C2027" s="2"/>
    </row>
    <row r="2028" spans="3:3">
      <c r="C2028" s="2"/>
    </row>
    <row r="2029" spans="3:3">
      <c r="C2029" s="2"/>
    </row>
    <row r="2030" spans="3:3">
      <c r="C2030" s="2"/>
    </row>
    <row r="2031" spans="3:3">
      <c r="C2031" s="2"/>
    </row>
    <row r="2032" spans="3:3">
      <c r="C2032" s="2"/>
    </row>
    <row r="2033" spans="3:3">
      <c r="C2033" s="2"/>
    </row>
    <row r="2034" spans="3:3">
      <c r="C2034" s="2"/>
    </row>
    <row r="2035" spans="3:3">
      <c r="C2035" s="2"/>
    </row>
    <row r="2036" spans="3:3">
      <c r="C2036" s="2"/>
    </row>
    <row r="2037" spans="3:3">
      <c r="C2037" s="2"/>
    </row>
    <row r="2038" spans="3:3">
      <c r="C2038" s="2"/>
    </row>
    <row r="2039" spans="3:3">
      <c r="C2039" s="2"/>
    </row>
    <row r="2040" spans="3:3">
      <c r="C2040" s="2"/>
    </row>
    <row r="2041" spans="3:3">
      <c r="C2041" s="2"/>
    </row>
    <row r="2042" spans="3:3">
      <c r="C2042" s="2"/>
    </row>
    <row r="2043" spans="3:3">
      <c r="C2043" s="2"/>
    </row>
    <row r="2044" spans="3:3">
      <c r="C2044" s="2"/>
    </row>
    <row r="2045" spans="3:3">
      <c r="C2045" s="2"/>
    </row>
    <row r="2046" spans="3:3">
      <c r="C2046" s="2"/>
    </row>
    <row r="2047" spans="3:3">
      <c r="C2047" s="2"/>
    </row>
    <row r="2048" spans="3:3">
      <c r="C2048" s="2"/>
    </row>
    <row r="2049" spans="3:3">
      <c r="C2049" s="2"/>
    </row>
    <row r="2050" spans="3:3">
      <c r="C2050" s="2"/>
    </row>
    <row r="2051" spans="3:3">
      <c r="C2051" s="2"/>
    </row>
    <row r="2052" spans="3:3">
      <c r="C2052" s="2"/>
    </row>
    <row r="2053" spans="3:3">
      <c r="C2053" s="2"/>
    </row>
    <row r="2054" spans="3:3">
      <c r="C2054" s="2"/>
    </row>
    <row r="2055" spans="3:3">
      <c r="C2055" s="2"/>
    </row>
    <row r="2056" spans="3:3">
      <c r="C2056" s="2"/>
    </row>
    <row r="2057" spans="3:3">
      <c r="C2057" s="2"/>
    </row>
    <row r="2058" spans="3:3">
      <c r="C2058" s="2"/>
    </row>
    <row r="2059" spans="3:3">
      <c r="C2059" s="2"/>
    </row>
    <row r="2060" spans="3:3">
      <c r="C2060" s="2"/>
    </row>
    <row r="2061" spans="3:3">
      <c r="C2061" s="2"/>
    </row>
    <row r="2062" spans="3:3">
      <c r="C2062" s="2"/>
    </row>
    <row r="2063" spans="3:3">
      <c r="C2063" s="2"/>
    </row>
    <row r="2064" spans="3:3">
      <c r="C2064" s="2"/>
    </row>
    <row r="2065" spans="3:3">
      <c r="C2065" s="2"/>
    </row>
    <row r="2066" spans="3:3">
      <c r="C2066" s="2"/>
    </row>
    <row r="2067" spans="3:3">
      <c r="C2067" s="2"/>
    </row>
    <row r="2068" spans="3:3">
      <c r="C2068" s="2"/>
    </row>
    <row r="2069" spans="3:3">
      <c r="C2069" s="2"/>
    </row>
    <row r="2070" spans="3:3">
      <c r="C2070" s="2"/>
    </row>
    <row r="2071" spans="3:3">
      <c r="C2071" s="2"/>
    </row>
    <row r="2072" spans="3:3">
      <c r="C2072" s="2"/>
    </row>
    <row r="2073" spans="3:3">
      <c r="C2073" s="2"/>
    </row>
    <row r="2074" spans="3:3">
      <c r="C2074" s="2"/>
    </row>
    <row r="2075" spans="3:3">
      <c r="C2075" s="2"/>
    </row>
    <row r="2076" spans="3:3">
      <c r="C2076" s="2"/>
    </row>
    <row r="2077" spans="3:3">
      <c r="C2077" s="2"/>
    </row>
    <row r="2078" spans="3:3">
      <c r="C2078" s="2"/>
    </row>
    <row r="2079" spans="3:3">
      <c r="C2079" s="2"/>
    </row>
    <row r="2080" spans="3:3">
      <c r="C2080" s="2"/>
    </row>
    <row r="2081" spans="3:3">
      <c r="C2081" s="2"/>
    </row>
    <row r="2082" spans="3:3">
      <c r="C2082" s="2"/>
    </row>
    <row r="2083" spans="3:3">
      <c r="C2083" s="2"/>
    </row>
    <row r="2084" spans="3:3">
      <c r="C2084" s="2"/>
    </row>
    <row r="2085" spans="3:3">
      <c r="C2085" s="2"/>
    </row>
    <row r="2086" spans="3:3">
      <c r="C2086" s="2"/>
    </row>
    <row r="2087" spans="3:3">
      <c r="C2087" s="2"/>
    </row>
    <row r="2088" spans="3:3">
      <c r="C2088" s="2"/>
    </row>
    <row r="2089" spans="3:3">
      <c r="C2089" s="2"/>
    </row>
    <row r="2090" spans="3:3">
      <c r="C2090" s="2"/>
    </row>
    <row r="2091" spans="3:3">
      <c r="C2091" s="2"/>
    </row>
    <row r="2092" spans="3:3">
      <c r="C2092" s="2"/>
    </row>
    <row r="2093" spans="3:3">
      <c r="C2093" s="2"/>
    </row>
    <row r="2094" spans="3:3">
      <c r="C2094" s="2"/>
    </row>
    <row r="2095" spans="3:3">
      <c r="C2095" s="2"/>
    </row>
    <row r="2096" spans="3:3">
      <c r="C2096" s="2"/>
    </row>
    <row r="2097" spans="3:3">
      <c r="C2097" s="2"/>
    </row>
    <row r="2098" spans="3:3">
      <c r="C2098" s="2"/>
    </row>
    <row r="2099" spans="3:3">
      <c r="C2099" s="2"/>
    </row>
    <row r="2100" spans="3:3">
      <c r="C2100" s="2"/>
    </row>
    <row r="2101" spans="3:3">
      <c r="C2101" s="2"/>
    </row>
    <row r="2102" spans="3:3">
      <c r="C2102" s="2"/>
    </row>
    <row r="2103" spans="3:3">
      <c r="C2103" s="2"/>
    </row>
    <row r="2104" spans="3:3">
      <c r="C2104" s="2"/>
    </row>
    <row r="2105" spans="3:3">
      <c r="C2105" s="2"/>
    </row>
    <row r="2106" spans="3:3">
      <c r="C2106" s="2"/>
    </row>
    <row r="2107" spans="3:3">
      <c r="C2107" s="2"/>
    </row>
    <row r="2108" spans="3:3">
      <c r="C2108" s="2"/>
    </row>
    <row r="2109" spans="3:3">
      <c r="C2109" s="2"/>
    </row>
    <row r="2110" spans="3:3">
      <c r="C2110" s="2"/>
    </row>
    <row r="2111" spans="3:3">
      <c r="C2111" s="2"/>
    </row>
    <row r="2112" spans="3:3">
      <c r="C2112" s="2"/>
    </row>
    <row r="2113" spans="3:3">
      <c r="C2113" s="2"/>
    </row>
    <row r="2114" spans="3:3">
      <c r="C2114" s="2"/>
    </row>
    <row r="2115" spans="3:3">
      <c r="C2115" s="2"/>
    </row>
    <row r="2116" spans="3:3">
      <c r="C2116" s="2"/>
    </row>
    <row r="2117" spans="3:3">
      <c r="C2117" s="2"/>
    </row>
    <row r="2118" spans="3:3">
      <c r="C2118" s="2"/>
    </row>
    <row r="2119" spans="3:3">
      <c r="C2119" s="2"/>
    </row>
    <row r="2120" spans="3:3">
      <c r="C2120" s="2"/>
    </row>
    <row r="2121" spans="3:3">
      <c r="C2121" s="2"/>
    </row>
    <row r="2122" spans="3:3">
      <c r="C2122" s="2"/>
    </row>
    <row r="2123" spans="3:3">
      <c r="C2123" s="2"/>
    </row>
    <row r="2124" spans="3:3">
      <c r="C2124" s="2"/>
    </row>
    <row r="2125" spans="3:3">
      <c r="C2125" s="2"/>
    </row>
    <row r="2126" spans="3:3">
      <c r="C2126" s="2"/>
    </row>
    <row r="2127" spans="3:3">
      <c r="C2127" s="2"/>
    </row>
    <row r="2128" spans="3:3">
      <c r="C2128" s="2"/>
    </row>
    <row r="2129" spans="3:3">
      <c r="C2129" s="2"/>
    </row>
    <row r="2130" spans="3:3">
      <c r="C2130" s="2"/>
    </row>
    <row r="2131" spans="3:3">
      <c r="C2131" s="2"/>
    </row>
    <row r="2132" spans="3:3">
      <c r="C2132" s="2"/>
    </row>
    <row r="2133" spans="3:3">
      <c r="C2133" s="2"/>
    </row>
    <row r="2134" spans="3:3">
      <c r="C2134" s="2"/>
    </row>
    <row r="2135" spans="3:3">
      <c r="C2135" s="2"/>
    </row>
    <row r="2136" spans="3:3">
      <c r="C2136" s="2"/>
    </row>
    <row r="2137" spans="3:3">
      <c r="C2137" s="2"/>
    </row>
    <row r="2138" spans="3:3">
      <c r="C2138" s="2"/>
    </row>
    <row r="2139" spans="3:3">
      <c r="C2139" s="2"/>
    </row>
    <row r="2140" spans="3:3">
      <c r="C2140" s="2"/>
    </row>
    <row r="2141" spans="3:3">
      <c r="C2141" s="2"/>
    </row>
    <row r="2142" spans="3:3">
      <c r="C2142" s="2"/>
    </row>
    <row r="2143" spans="3:3">
      <c r="C2143" s="2"/>
    </row>
    <row r="2144" spans="3:3">
      <c r="C2144" s="2"/>
    </row>
    <row r="2145" spans="3:3">
      <c r="C2145" s="2"/>
    </row>
    <row r="2146" spans="3:3">
      <c r="C2146" s="2"/>
    </row>
    <row r="2147" spans="3:3">
      <c r="C2147" s="2"/>
    </row>
    <row r="2148" spans="3:3">
      <c r="C2148" s="2"/>
    </row>
    <row r="2149" spans="3:3">
      <c r="C2149" s="2"/>
    </row>
    <row r="2150" spans="3:3">
      <c r="C2150" s="2"/>
    </row>
    <row r="2151" spans="3:3">
      <c r="C2151" s="2"/>
    </row>
    <row r="2152" spans="3:3">
      <c r="C2152" s="2"/>
    </row>
    <row r="2153" spans="3:3">
      <c r="C2153" s="2"/>
    </row>
    <row r="2154" spans="3:3">
      <c r="C2154" s="2"/>
    </row>
    <row r="2155" spans="3:3">
      <c r="C2155" s="2"/>
    </row>
    <row r="2156" spans="3:3">
      <c r="C2156" s="2"/>
    </row>
    <row r="2157" spans="3:3">
      <c r="C2157" s="2"/>
    </row>
    <row r="2158" spans="3:3">
      <c r="C2158" s="2"/>
    </row>
    <row r="2159" spans="3:3">
      <c r="C2159" s="2"/>
    </row>
    <row r="2160" spans="3:3">
      <c r="C2160" s="2"/>
    </row>
    <row r="2161" spans="3:3">
      <c r="C2161" s="2"/>
    </row>
    <row r="2162" spans="3:3">
      <c r="C2162" s="2"/>
    </row>
    <row r="2163" spans="3:3">
      <c r="C2163" s="2"/>
    </row>
    <row r="2164" spans="3:3">
      <c r="C2164" s="2"/>
    </row>
    <row r="2165" spans="3:3">
      <c r="C2165" s="2"/>
    </row>
    <row r="2166" spans="3:3">
      <c r="C2166" s="2"/>
    </row>
    <row r="2167" spans="3:3">
      <c r="C2167" s="2"/>
    </row>
    <row r="2168" spans="3:3">
      <c r="C2168" s="2"/>
    </row>
    <row r="2169" spans="3:3">
      <c r="C2169" s="2"/>
    </row>
    <row r="2170" spans="3:3">
      <c r="C2170" s="2"/>
    </row>
    <row r="2171" spans="3:3">
      <c r="C2171" s="2"/>
    </row>
    <row r="2172" spans="3:3">
      <c r="C2172" s="2"/>
    </row>
    <row r="2173" spans="3:3">
      <c r="C2173" s="2"/>
    </row>
    <row r="2174" spans="3:3">
      <c r="C2174" s="2"/>
    </row>
    <row r="2175" spans="3:3">
      <c r="C2175" s="2"/>
    </row>
    <row r="2176" spans="3:3">
      <c r="C2176" s="2"/>
    </row>
    <row r="2177" spans="3:3">
      <c r="C2177" s="2"/>
    </row>
    <row r="2178" spans="3:3">
      <c r="C2178" s="2"/>
    </row>
    <row r="2179" spans="3:3">
      <c r="C2179" s="2"/>
    </row>
    <row r="2180" spans="3:3">
      <c r="C2180" s="2"/>
    </row>
    <row r="2181" spans="3:3">
      <c r="C2181" s="2"/>
    </row>
    <row r="2182" spans="3:3">
      <c r="C2182" s="2"/>
    </row>
    <row r="2183" spans="3:3">
      <c r="C2183" s="2"/>
    </row>
    <row r="2184" spans="3:3">
      <c r="C2184" s="2"/>
    </row>
    <row r="2185" spans="3:3">
      <c r="C2185" s="2"/>
    </row>
    <row r="2186" spans="3:3">
      <c r="C2186" s="2"/>
    </row>
    <row r="2187" spans="3:3">
      <c r="C2187" s="2"/>
    </row>
    <row r="2188" spans="3:3">
      <c r="C2188" s="2"/>
    </row>
    <row r="2189" spans="3:3">
      <c r="C2189" s="2"/>
    </row>
    <row r="2190" spans="3:3">
      <c r="C2190" s="2"/>
    </row>
    <row r="2191" spans="3:3">
      <c r="C2191" s="2"/>
    </row>
    <row r="2192" spans="3:3">
      <c r="C2192" s="2"/>
    </row>
    <row r="2193" spans="3:3">
      <c r="C2193" s="2"/>
    </row>
    <row r="2194" spans="3:3">
      <c r="C2194" s="2"/>
    </row>
    <row r="2195" spans="3:3">
      <c r="C2195" s="2"/>
    </row>
    <row r="2196" spans="3:3">
      <c r="C2196" s="2"/>
    </row>
    <row r="2197" spans="3:3">
      <c r="C2197" s="2"/>
    </row>
    <row r="2198" spans="3:3">
      <c r="C2198" s="2"/>
    </row>
    <row r="2199" spans="3:3">
      <c r="C2199" s="2"/>
    </row>
    <row r="2200" spans="3:3">
      <c r="C2200" s="2"/>
    </row>
    <row r="2201" spans="3:3">
      <c r="C2201" s="2"/>
    </row>
    <row r="2202" spans="3:3">
      <c r="C2202" s="2"/>
    </row>
    <row r="2203" spans="3:3">
      <c r="C2203" s="2"/>
    </row>
    <row r="2204" spans="3:3">
      <c r="C2204" s="2"/>
    </row>
    <row r="2205" spans="3:3">
      <c r="C2205" s="2"/>
    </row>
    <row r="2206" spans="3:3">
      <c r="C2206" s="2"/>
    </row>
    <row r="2207" spans="3:3">
      <c r="C2207" s="2"/>
    </row>
    <row r="2208" spans="3:3">
      <c r="C2208" s="2"/>
    </row>
    <row r="2209" spans="3:3">
      <c r="C2209" s="2"/>
    </row>
    <row r="2210" spans="3:3">
      <c r="C2210" s="2"/>
    </row>
    <row r="2211" spans="3:3">
      <c r="C2211" s="2"/>
    </row>
    <row r="2212" spans="3:3">
      <c r="C2212" s="2"/>
    </row>
    <row r="2213" spans="3:3">
      <c r="C2213" s="2"/>
    </row>
    <row r="2214" spans="3:3">
      <c r="C2214" s="2"/>
    </row>
    <row r="2215" spans="3:3">
      <c r="C2215" s="2"/>
    </row>
    <row r="2216" spans="3:3">
      <c r="C2216" s="2"/>
    </row>
    <row r="2217" spans="3:3">
      <c r="C2217" s="2"/>
    </row>
    <row r="2218" spans="3:3">
      <c r="C2218" s="2"/>
    </row>
    <row r="2219" spans="3:3">
      <c r="C2219" s="2"/>
    </row>
    <row r="2220" spans="3:3">
      <c r="C2220" s="2"/>
    </row>
    <row r="2221" spans="3:3">
      <c r="C2221" s="2"/>
    </row>
    <row r="2222" spans="3:3">
      <c r="C2222" s="2"/>
    </row>
    <row r="2223" spans="3:3">
      <c r="C2223" s="2"/>
    </row>
    <row r="2224" spans="3:3">
      <c r="C2224" s="2"/>
    </row>
    <row r="2225" spans="3:3">
      <c r="C2225" s="2"/>
    </row>
    <row r="2226" spans="3:3">
      <c r="C2226" s="2"/>
    </row>
    <row r="2227" spans="3:3">
      <c r="C2227" s="2"/>
    </row>
    <row r="2228" spans="3:3">
      <c r="C2228" s="2"/>
    </row>
    <row r="2229" spans="3:3">
      <c r="C2229" s="2"/>
    </row>
    <row r="2230" spans="3:3">
      <c r="C2230" s="2"/>
    </row>
    <row r="2231" spans="3:3">
      <c r="C2231" s="2"/>
    </row>
    <row r="2232" spans="3:3">
      <c r="C2232" s="2"/>
    </row>
    <row r="2233" spans="3:3">
      <c r="C2233" s="2"/>
    </row>
    <row r="2234" spans="3:3">
      <c r="C2234" s="2"/>
    </row>
    <row r="2235" spans="3:3">
      <c r="C2235" s="2"/>
    </row>
    <row r="2236" spans="3:3">
      <c r="C2236" s="2"/>
    </row>
    <row r="2237" spans="3:3">
      <c r="C2237" s="2"/>
    </row>
    <row r="2238" spans="3:3">
      <c r="C2238" s="2"/>
    </row>
    <row r="2239" spans="3:3">
      <c r="C2239" s="2"/>
    </row>
    <row r="2240" spans="3:3">
      <c r="C2240" s="2"/>
    </row>
    <row r="2241" spans="3:3">
      <c r="C2241" s="2"/>
    </row>
    <row r="2242" spans="3:3">
      <c r="C2242" s="2"/>
    </row>
    <row r="2243" spans="3:3">
      <c r="C2243" s="2"/>
    </row>
    <row r="2244" spans="3:3">
      <c r="C2244" s="2"/>
    </row>
    <row r="2245" spans="3:3">
      <c r="C2245" s="2"/>
    </row>
    <row r="2246" spans="3:3">
      <c r="C2246" s="2"/>
    </row>
    <row r="2247" spans="3:3">
      <c r="C2247" s="2"/>
    </row>
    <row r="2248" spans="3:3">
      <c r="C2248" s="2"/>
    </row>
    <row r="2249" spans="3:3">
      <c r="C2249" s="2"/>
    </row>
    <row r="2250" spans="3:3">
      <c r="C2250" s="2"/>
    </row>
    <row r="2251" spans="3:3">
      <c r="C2251" s="2"/>
    </row>
    <row r="2252" spans="3:3">
      <c r="C2252" s="2"/>
    </row>
    <row r="2253" spans="3:3">
      <c r="C2253" s="2"/>
    </row>
    <row r="2254" spans="3:3">
      <c r="C2254" s="2"/>
    </row>
    <row r="2255" spans="3:3">
      <c r="C2255" s="2"/>
    </row>
    <row r="2256" spans="3:3">
      <c r="C2256" s="2"/>
    </row>
    <row r="2257" spans="3:3">
      <c r="C2257" s="2"/>
    </row>
    <row r="2258" spans="3:3">
      <c r="C2258" s="2"/>
    </row>
    <row r="2259" spans="3:3">
      <c r="C2259" s="2"/>
    </row>
    <row r="2260" spans="3:3">
      <c r="C2260" s="2"/>
    </row>
    <row r="2261" spans="3:3">
      <c r="C2261" s="2"/>
    </row>
    <row r="2262" spans="3:3">
      <c r="C2262" s="2"/>
    </row>
    <row r="2263" spans="3:3">
      <c r="C2263" s="2"/>
    </row>
    <row r="2264" spans="3:3">
      <c r="C2264" s="2"/>
    </row>
    <row r="2265" spans="3:3">
      <c r="C2265" s="2"/>
    </row>
    <row r="2266" spans="3:3">
      <c r="C2266" s="2"/>
    </row>
    <row r="2267" spans="3:3">
      <c r="C2267" s="2"/>
    </row>
    <row r="2268" spans="3:3">
      <c r="C2268" s="2"/>
    </row>
    <row r="2269" spans="3:3">
      <c r="C2269" s="2"/>
    </row>
    <row r="2270" spans="3:3">
      <c r="C2270" s="2"/>
    </row>
    <row r="2271" spans="3:3">
      <c r="C2271" s="2"/>
    </row>
    <row r="2272" spans="3:3">
      <c r="C2272" s="2"/>
    </row>
    <row r="2273" spans="3:3">
      <c r="C2273" s="2"/>
    </row>
    <row r="2274" spans="3:3">
      <c r="C2274" s="2"/>
    </row>
    <row r="2275" spans="3:3">
      <c r="C2275" s="2"/>
    </row>
    <row r="2276" spans="3:3">
      <c r="C2276" s="2"/>
    </row>
    <row r="2277" spans="3:3">
      <c r="C2277" s="2"/>
    </row>
    <row r="2278" spans="3:3">
      <c r="C2278" s="2"/>
    </row>
    <row r="2279" spans="3:3">
      <c r="C2279" s="2"/>
    </row>
    <row r="2280" spans="3:3">
      <c r="C2280" s="2"/>
    </row>
    <row r="2281" spans="3:3">
      <c r="C2281" s="2"/>
    </row>
    <row r="2282" spans="3:3">
      <c r="C2282" s="2"/>
    </row>
    <row r="2283" spans="3:3">
      <c r="C2283" s="2"/>
    </row>
    <row r="2284" spans="3:3">
      <c r="C2284" s="2"/>
    </row>
    <row r="2285" spans="3:3">
      <c r="C2285" s="2"/>
    </row>
    <row r="2286" spans="3:3">
      <c r="C2286" s="2"/>
    </row>
    <row r="2287" spans="3:3">
      <c r="C2287" s="2"/>
    </row>
    <row r="2288" spans="3:3">
      <c r="C2288" s="2"/>
    </row>
    <row r="2289" spans="3:3">
      <c r="C2289" s="2"/>
    </row>
    <row r="2290" spans="3:3">
      <c r="C2290" s="2"/>
    </row>
    <row r="2291" spans="3:3">
      <c r="C2291" s="2"/>
    </row>
    <row r="2292" spans="3:3">
      <c r="C2292" s="2"/>
    </row>
    <row r="2293" spans="3:3">
      <c r="C2293" s="2"/>
    </row>
    <row r="2294" spans="3:3">
      <c r="C2294" s="2"/>
    </row>
    <row r="2295" spans="3:3">
      <c r="C2295" s="2"/>
    </row>
    <row r="2296" spans="3:3">
      <c r="C2296" s="2"/>
    </row>
    <row r="2297" spans="3:3">
      <c r="C2297" s="2"/>
    </row>
    <row r="2298" spans="3:3">
      <c r="C2298" s="2"/>
    </row>
    <row r="2299" spans="3:3">
      <c r="C2299" s="2"/>
    </row>
    <row r="2300" spans="3:3">
      <c r="C2300" s="2"/>
    </row>
    <row r="2301" spans="3:3">
      <c r="C2301" s="2"/>
    </row>
    <row r="2302" spans="3:3">
      <c r="C2302" s="2"/>
    </row>
    <row r="2303" spans="3:3">
      <c r="C2303" s="2"/>
    </row>
    <row r="2304" spans="3:3">
      <c r="C2304" s="2"/>
    </row>
    <row r="2305" spans="3:3">
      <c r="C2305" s="2"/>
    </row>
    <row r="2306" spans="3:3">
      <c r="C2306" s="2"/>
    </row>
    <row r="2307" spans="3:3">
      <c r="C2307" s="2"/>
    </row>
    <row r="2308" spans="3:3">
      <c r="C2308" s="2"/>
    </row>
    <row r="2309" spans="3:3">
      <c r="C2309" s="2"/>
    </row>
    <row r="2310" spans="3:3">
      <c r="C2310" s="2"/>
    </row>
    <row r="2311" spans="3:3">
      <c r="C2311" s="2"/>
    </row>
    <row r="2312" spans="3:3">
      <c r="C2312" s="2"/>
    </row>
    <row r="2313" spans="3:3">
      <c r="C2313" s="2"/>
    </row>
    <row r="2314" spans="3:3">
      <c r="C2314" s="2"/>
    </row>
    <row r="2315" spans="3:3">
      <c r="C2315" s="2"/>
    </row>
    <row r="2316" spans="3:3">
      <c r="C2316" s="2"/>
    </row>
    <row r="2317" spans="3:3">
      <c r="C2317" s="2"/>
    </row>
    <row r="2318" spans="3:3">
      <c r="C2318" s="2"/>
    </row>
    <row r="2319" spans="3:3">
      <c r="C2319" s="2"/>
    </row>
    <row r="2320" spans="3:3">
      <c r="C2320" s="2"/>
    </row>
    <row r="2321" spans="3:3">
      <c r="C2321" s="2"/>
    </row>
    <row r="2322" spans="3:3">
      <c r="C2322" s="2"/>
    </row>
    <row r="2323" spans="3:3">
      <c r="C2323" s="2"/>
    </row>
    <row r="2324" spans="3:3">
      <c r="C2324" s="2"/>
    </row>
    <row r="2325" spans="3:3">
      <c r="C2325" s="2"/>
    </row>
    <row r="2326" spans="3:3">
      <c r="C2326" s="2"/>
    </row>
    <row r="2327" spans="3:3">
      <c r="C2327" s="2"/>
    </row>
    <row r="2328" spans="3:3">
      <c r="C2328" s="2"/>
    </row>
    <row r="2329" spans="3:3">
      <c r="C2329" s="2"/>
    </row>
    <row r="2330" spans="3:3">
      <c r="C2330" s="2"/>
    </row>
    <row r="2331" spans="3:3">
      <c r="C2331" s="2"/>
    </row>
    <row r="2332" spans="3:3">
      <c r="C2332" s="2"/>
    </row>
    <row r="2333" spans="3:3">
      <c r="C2333" s="2"/>
    </row>
    <row r="2334" spans="3:3">
      <c r="C2334" s="2"/>
    </row>
    <row r="2335" spans="3:3">
      <c r="C2335" s="2"/>
    </row>
    <row r="2336" spans="3:3">
      <c r="C2336" s="2"/>
    </row>
    <row r="2337" spans="3:3">
      <c r="C2337" s="2"/>
    </row>
    <row r="2338" spans="3:3">
      <c r="C2338" s="2"/>
    </row>
    <row r="2339" spans="3:3">
      <c r="C2339" s="2"/>
    </row>
    <row r="2340" spans="3:3">
      <c r="C2340" s="2"/>
    </row>
    <row r="2341" spans="3:3">
      <c r="C2341" s="2"/>
    </row>
    <row r="2342" spans="3:3">
      <c r="C2342" s="2"/>
    </row>
    <row r="2343" spans="3:3">
      <c r="C2343" s="2"/>
    </row>
    <row r="2344" spans="3:3">
      <c r="C2344" s="2"/>
    </row>
    <row r="2345" spans="3:3">
      <c r="C2345" s="2"/>
    </row>
    <row r="2346" spans="3:3">
      <c r="C2346" s="2"/>
    </row>
    <row r="2347" spans="3:3">
      <c r="C2347" s="2"/>
    </row>
    <row r="2348" spans="3:3">
      <c r="C2348" s="2"/>
    </row>
    <row r="2349" spans="3:3">
      <c r="C2349" s="2"/>
    </row>
    <row r="2350" spans="3:3">
      <c r="C2350" s="2"/>
    </row>
    <row r="2351" spans="3:3">
      <c r="C2351" s="2"/>
    </row>
    <row r="2352" spans="3:3">
      <c r="C2352" s="2"/>
    </row>
    <row r="2353" spans="3:3">
      <c r="C2353" s="2"/>
    </row>
    <row r="2354" spans="3:3">
      <c r="C2354" s="2"/>
    </row>
    <row r="2355" spans="3:3">
      <c r="C2355" s="2"/>
    </row>
    <row r="2356" spans="3:3">
      <c r="C2356" s="2"/>
    </row>
    <row r="2357" spans="3:3">
      <c r="C2357" s="2"/>
    </row>
    <row r="2358" spans="3:3">
      <c r="C2358" s="2"/>
    </row>
    <row r="2359" spans="3:3">
      <c r="C2359" s="2"/>
    </row>
    <row r="2360" spans="3:3">
      <c r="C2360" s="2"/>
    </row>
    <row r="2361" spans="3:3">
      <c r="C2361" s="2"/>
    </row>
    <row r="2362" spans="3:3">
      <c r="C2362" s="2"/>
    </row>
    <row r="2363" spans="3:3">
      <c r="C2363" s="2"/>
    </row>
    <row r="2364" spans="3:3">
      <c r="C2364" s="2"/>
    </row>
    <row r="2365" spans="3:3">
      <c r="C2365" s="2"/>
    </row>
    <row r="2366" spans="3:3">
      <c r="C2366" s="2"/>
    </row>
    <row r="2367" spans="3:3">
      <c r="C2367" s="2"/>
    </row>
    <row r="2368" spans="3:3">
      <c r="C2368" s="2"/>
    </row>
    <row r="2369" spans="3:3">
      <c r="C2369" s="2"/>
    </row>
    <row r="2370" spans="3:3">
      <c r="C2370" s="2"/>
    </row>
    <row r="2371" spans="3:3">
      <c r="C2371" s="2"/>
    </row>
    <row r="2372" spans="3:3">
      <c r="C2372" s="2"/>
    </row>
    <row r="2373" spans="3:3">
      <c r="C2373" s="2"/>
    </row>
    <row r="2374" spans="3:3">
      <c r="C2374" s="2"/>
    </row>
    <row r="2375" spans="3:3">
      <c r="C2375" s="2"/>
    </row>
    <row r="2376" spans="3:3">
      <c r="C2376" s="2"/>
    </row>
    <row r="2377" spans="3:3">
      <c r="C2377" s="2"/>
    </row>
    <row r="2378" spans="3:3">
      <c r="C2378" s="2"/>
    </row>
    <row r="2379" spans="3:3">
      <c r="C2379" s="2"/>
    </row>
    <row r="2380" spans="3:3">
      <c r="C2380" s="2"/>
    </row>
    <row r="2381" spans="3:3">
      <c r="C2381" s="2"/>
    </row>
    <row r="2382" spans="3:3">
      <c r="C2382" s="2"/>
    </row>
    <row r="2383" spans="3:3">
      <c r="C2383" s="2"/>
    </row>
    <row r="2384" spans="3:3">
      <c r="C2384" s="2"/>
    </row>
    <row r="2385" spans="3:3">
      <c r="C2385" s="2"/>
    </row>
    <row r="2386" spans="3:3">
      <c r="C2386" s="2"/>
    </row>
    <row r="2387" spans="3:3">
      <c r="C2387" s="2"/>
    </row>
    <row r="2388" spans="3:3">
      <c r="C2388" s="2"/>
    </row>
    <row r="2389" spans="3:3">
      <c r="C2389" s="2"/>
    </row>
    <row r="2390" spans="3:3">
      <c r="C2390" s="2"/>
    </row>
    <row r="2391" spans="3:3">
      <c r="C2391" s="2"/>
    </row>
    <row r="2392" spans="3:3">
      <c r="C2392" s="2"/>
    </row>
    <row r="2393" spans="3:3">
      <c r="C2393" s="2"/>
    </row>
    <row r="2394" spans="3:3">
      <c r="C2394" s="2"/>
    </row>
    <row r="2395" spans="3:3">
      <c r="C2395" s="2"/>
    </row>
    <row r="2396" spans="3:3">
      <c r="C2396" s="2"/>
    </row>
    <row r="2397" spans="3:3">
      <c r="C2397" s="2"/>
    </row>
    <row r="2398" spans="3:3">
      <c r="C2398" s="2"/>
    </row>
    <row r="2399" spans="3:3">
      <c r="C2399" s="2"/>
    </row>
    <row r="2400" spans="3:3">
      <c r="C2400" s="2"/>
    </row>
    <row r="2401" spans="3:3">
      <c r="C2401" s="2"/>
    </row>
    <row r="2402" spans="3:3">
      <c r="C2402" s="2"/>
    </row>
    <row r="2403" spans="3:3">
      <c r="C2403" s="2"/>
    </row>
    <row r="2404" spans="3:3">
      <c r="C2404" s="2"/>
    </row>
    <row r="2405" spans="3:3">
      <c r="C2405" s="2"/>
    </row>
    <row r="2406" spans="3:3">
      <c r="C2406" s="2"/>
    </row>
    <row r="2407" spans="3:3">
      <c r="C2407" s="2"/>
    </row>
    <row r="2408" spans="3:3">
      <c r="C2408" s="2"/>
    </row>
    <row r="2409" spans="3:3">
      <c r="C2409" s="2"/>
    </row>
    <row r="2410" spans="3:3">
      <c r="C2410" s="2"/>
    </row>
    <row r="2411" spans="3:3">
      <c r="C2411" s="2"/>
    </row>
    <row r="2412" spans="3:3">
      <c r="C2412" s="2"/>
    </row>
    <row r="2413" spans="3:3">
      <c r="C2413" s="2"/>
    </row>
    <row r="2414" spans="3:3">
      <c r="C2414" s="2"/>
    </row>
    <row r="2415" spans="3:3">
      <c r="C2415" s="2"/>
    </row>
    <row r="2416" spans="3:3">
      <c r="C2416" s="2"/>
    </row>
    <row r="2417" spans="3:3">
      <c r="C2417" s="2"/>
    </row>
    <row r="2418" spans="3:3">
      <c r="C2418" s="2"/>
    </row>
    <row r="2419" spans="3:3">
      <c r="C2419" s="2"/>
    </row>
    <row r="2420" spans="3:3">
      <c r="C2420" s="2"/>
    </row>
    <row r="2421" spans="3:3">
      <c r="C2421" s="2"/>
    </row>
    <row r="2422" spans="3:3">
      <c r="C2422" s="2"/>
    </row>
    <row r="2423" spans="3:3">
      <c r="C2423" s="2"/>
    </row>
    <row r="2424" spans="3:3">
      <c r="C2424" s="2"/>
    </row>
    <row r="2425" spans="3:3">
      <c r="C2425" s="2"/>
    </row>
    <row r="2426" spans="3:3">
      <c r="C2426" s="2"/>
    </row>
    <row r="2427" spans="3:3">
      <c r="C2427" s="2"/>
    </row>
    <row r="2428" spans="3:3">
      <c r="C2428" s="2"/>
    </row>
    <row r="2429" spans="3:3">
      <c r="C2429" s="2"/>
    </row>
    <row r="2430" spans="3:3">
      <c r="C2430" s="2"/>
    </row>
    <row r="2431" spans="3:3">
      <c r="C2431" s="2"/>
    </row>
    <row r="2432" spans="3:3">
      <c r="C2432" s="2"/>
    </row>
    <row r="2433" spans="3:3">
      <c r="C2433" s="2"/>
    </row>
    <row r="2434" spans="3:3">
      <c r="C2434" s="2"/>
    </row>
    <row r="2435" spans="3:3">
      <c r="C2435" s="2"/>
    </row>
    <row r="2436" spans="3:3">
      <c r="C2436" s="2"/>
    </row>
    <row r="2437" spans="3:3">
      <c r="C2437" s="2"/>
    </row>
    <row r="2438" spans="3:3">
      <c r="C2438" s="2"/>
    </row>
    <row r="2439" spans="3:3">
      <c r="C2439" s="2"/>
    </row>
    <row r="2440" spans="3:3">
      <c r="C2440" s="2"/>
    </row>
    <row r="2441" spans="3:3">
      <c r="C2441" s="2"/>
    </row>
    <row r="2442" spans="3:3">
      <c r="C2442" s="2"/>
    </row>
    <row r="2443" spans="3:3">
      <c r="C2443" s="2"/>
    </row>
    <row r="2444" spans="3:3">
      <c r="C2444" s="2"/>
    </row>
    <row r="2445" spans="3:3">
      <c r="C2445" s="2"/>
    </row>
    <row r="2446" spans="3:3">
      <c r="C2446" s="2"/>
    </row>
    <row r="2447" spans="3:3">
      <c r="C2447" s="2"/>
    </row>
    <row r="2448" spans="3:3">
      <c r="C2448" s="2"/>
    </row>
    <row r="2449" spans="3:3">
      <c r="C2449" s="2"/>
    </row>
    <row r="2450" spans="3:3">
      <c r="C2450" s="2"/>
    </row>
    <row r="2451" spans="3:3">
      <c r="C2451" s="2"/>
    </row>
    <row r="2452" spans="3:3">
      <c r="C2452" s="2"/>
    </row>
    <row r="2453" spans="3:3">
      <c r="C2453" s="2"/>
    </row>
    <row r="2454" spans="3:3">
      <c r="C2454" s="2"/>
    </row>
    <row r="2455" spans="3:3">
      <c r="C2455" s="2"/>
    </row>
    <row r="2456" spans="3:3">
      <c r="C2456" s="2"/>
    </row>
    <row r="2457" spans="3:3">
      <c r="C2457" s="2"/>
    </row>
    <row r="2458" spans="3:3">
      <c r="C2458" s="2"/>
    </row>
    <row r="2459" spans="3:3">
      <c r="C2459" s="2"/>
    </row>
    <row r="2460" spans="3:3">
      <c r="C2460" s="2"/>
    </row>
    <row r="2461" spans="3:3">
      <c r="C2461" s="2"/>
    </row>
    <row r="2462" spans="3:3">
      <c r="C2462" s="2"/>
    </row>
    <row r="2463" spans="3:3">
      <c r="C2463" s="2"/>
    </row>
    <row r="2464" spans="3:3">
      <c r="C2464" s="2"/>
    </row>
    <row r="2465" spans="3:3">
      <c r="C2465" s="2"/>
    </row>
    <row r="2466" spans="3:3">
      <c r="C2466" s="2"/>
    </row>
    <row r="2467" spans="3:3">
      <c r="C2467" s="2"/>
    </row>
    <row r="2468" spans="3:3">
      <c r="C2468" s="2"/>
    </row>
    <row r="2469" spans="3:3">
      <c r="C2469" s="2"/>
    </row>
    <row r="2470" spans="3:3">
      <c r="C2470" s="2"/>
    </row>
    <row r="2471" spans="3:3">
      <c r="C2471" s="2"/>
    </row>
    <row r="2472" spans="3:3">
      <c r="C2472" s="2"/>
    </row>
    <row r="2473" spans="3:3">
      <c r="C2473" s="2"/>
    </row>
    <row r="2474" spans="3:3">
      <c r="C2474" s="2"/>
    </row>
    <row r="2475" spans="3:3">
      <c r="C2475" s="2"/>
    </row>
    <row r="2476" spans="3:3">
      <c r="C2476" s="2"/>
    </row>
    <row r="2477" spans="3:3">
      <c r="C2477" s="2"/>
    </row>
    <row r="2478" spans="3:3">
      <c r="C2478" s="2"/>
    </row>
    <row r="2479" spans="3:3">
      <c r="C2479" s="2"/>
    </row>
    <row r="2480" spans="3:3">
      <c r="C2480" s="2"/>
    </row>
    <row r="2481" spans="3:3">
      <c r="C2481" s="2"/>
    </row>
    <row r="2482" spans="3:3">
      <c r="C2482" s="2"/>
    </row>
    <row r="2483" spans="3:3">
      <c r="C2483" s="2"/>
    </row>
    <row r="2484" spans="3:3">
      <c r="C2484" s="2"/>
    </row>
    <row r="2485" spans="3:3">
      <c r="C2485" s="2"/>
    </row>
    <row r="2486" spans="3:3">
      <c r="C2486" s="2"/>
    </row>
    <row r="2487" spans="3:3">
      <c r="C2487" s="2"/>
    </row>
    <row r="2488" spans="3:3">
      <c r="C2488" s="2"/>
    </row>
    <row r="2489" spans="3:3">
      <c r="C2489" s="2"/>
    </row>
    <row r="2490" spans="3:3">
      <c r="C2490" s="2"/>
    </row>
    <row r="2491" spans="3:3">
      <c r="C2491" s="2"/>
    </row>
    <row r="2492" spans="3:3">
      <c r="C2492" s="2"/>
    </row>
    <row r="2493" spans="3:3">
      <c r="C2493" s="2"/>
    </row>
    <row r="2494" spans="3:3">
      <c r="C2494" s="2"/>
    </row>
    <row r="2495" spans="3:3">
      <c r="C2495" s="2"/>
    </row>
    <row r="2496" spans="3:3">
      <c r="C2496" s="2"/>
    </row>
    <row r="2497" spans="3:3">
      <c r="C2497" s="2"/>
    </row>
    <row r="2498" spans="3:3">
      <c r="C2498" s="2"/>
    </row>
    <row r="2499" spans="3:3">
      <c r="C2499" s="2"/>
    </row>
    <row r="2500" spans="3:3">
      <c r="C2500" s="2"/>
    </row>
    <row r="2501" spans="3:3">
      <c r="C2501" s="2"/>
    </row>
    <row r="2502" spans="3:3">
      <c r="C2502" s="2"/>
    </row>
    <row r="2503" spans="3:3">
      <c r="C2503" s="2"/>
    </row>
    <row r="2504" spans="3:3">
      <c r="C2504" s="2"/>
    </row>
    <row r="2505" spans="3:3">
      <c r="C2505" s="2"/>
    </row>
    <row r="2506" spans="3:3">
      <c r="C2506" s="2"/>
    </row>
    <row r="2507" spans="3:3">
      <c r="C2507" s="2"/>
    </row>
    <row r="2508" spans="3:3">
      <c r="C2508" s="2"/>
    </row>
    <row r="2509" spans="3:3">
      <c r="C2509" s="2"/>
    </row>
    <row r="2510" spans="3:3">
      <c r="C2510" s="2"/>
    </row>
    <row r="2511" spans="3:3">
      <c r="C2511" s="2"/>
    </row>
    <row r="2512" spans="3:3">
      <c r="C2512" s="2"/>
    </row>
    <row r="2513" spans="3:3">
      <c r="C2513" s="2"/>
    </row>
    <row r="2514" spans="3:3">
      <c r="C2514" s="2"/>
    </row>
    <row r="2515" spans="3:3">
      <c r="C2515" s="2"/>
    </row>
    <row r="2516" spans="3:3">
      <c r="C2516" s="2"/>
    </row>
    <row r="2517" spans="3:3">
      <c r="C2517" s="2"/>
    </row>
    <row r="2518" spans="3:3">
      <c r="C2518" s="2"/>
    </row>
    <row r="2519" spans="3:3">
      <c r="C2519" s="2"/>
    </row>
    <row r="2520" spans="3:3">
      <c r="C2520" s="2"/>
    </row>
    <row r="2521" spans="3:3">
      <c r="C2521" s="2"/>
    </row>
    <row r="2522" spans="3:3">
      <c r="C2522" s="2"/>
    </row>
    <row r="2523" spans="3:3">
      <c r="C2523" s="2"/>
    </row>
    <row r="2524" spans="3:3">
      <c r="C2524" s="2"/>
    </row>
    <row r="2525" spans="3:3">
      <c r="C2525" s="2"/>
    </row>
    <row r="2526" spans="3:3">
      <c r="C2526" s="2"/>
    </row>
    <row r="2527" spans="3:3">
      <c r="C2527" s="2"/>
    </row>
    <row r="2528" spans="3:3">
      <c r="C2528" s="2"/>
    </row>
    <row r="2529" spans="3:3">
      <c r="C2529" s="2"/>
    </row>
    <row r="2530" spans="3:3">
      <c r="C2530" s="2"/>
    </row>
    <row r="2531" spans="3:3">
      <c r="C2531" s="2"/>
    </row>
    <row r="2532" spans="3:3">
      <c r="C2532" s="2"/>
    </row>
    <row r="2533" spans="3:3">
      <c r="C2533" s="2"/>
    </row>
    <row r="2534" spans="3:3">
      <c r="C2534" s="2"/>
    </row>
    <row r="2535" spans="3:3">
      <c r="C2535" s="2"/>
    </row>
    <row r="2536" spans="3:3">
      <c r="C2536" s="2"/>
    </row>
    <row r="2537" spans="3:3">
      <c r="C2537" s="2"/>
    </row>
    <row r="2538" spans="3:3">
      <c r="C2538" s="2"/>
    </row>
    <row r="2539" spans="3:3">
      <c r="C2539" s="2"/>
    </row>
    <row r="2540" spans="3:3">
      <c r="C2540" s="2"/>
    </row>
    <row r="2541" spans="3:3">
      <c r="C2541" s="2"/>
    </row>
    <row r="2542" spans="3:3">
      <c r="C2542" s="2"/>
    </row>
    <row r="2543" spans="3:3">
      <c r="C2543" s="2"/>
    </row>
    <row r="2544" spans="3:3">
      <c r="C2544" s="2"/>
    </row>
    <row r="2545" spans="3:3">
      <c r="C2545" s="2"/>
    </row>
    <row r="2546" spans="3:3">
      <c r="C2546" s="2"/>
    </row>
    <row r="2547" spans="3:3">
      <c r="C2547" s="2"/>
    </row>
    <row r="2548" spans="3:3">
      <c r="C2548" s="2"/>
    </row>
    <row r="2549" spans="3:3">
      <c r="C2549" s="2"/>
    </row>
    <row r="2550" spans="3:3">
      <c r="C2550" s="2"/>
    </row>
    <row r="2551" spans="3:3">
      <c r="C2551" s="2"/>
    </row>
    <row r="2552" spans="3:3">
      <c r="C2552" s="2"/>
    </row>
    <row r="2553" spans="3:3">
      <c r="C2553" s="2"/>
    </row>
    <row r="2554" spans="3:3">
      <c r="C2554" s="2"/>
    </row>
    <row r="2555" spans="3:3">
      <c r="C2555" s="2"/>
    </row>
    <row r="2556" spans="3:3">
      <c r="C2556" s="2"/>
    </row>
    <row r="2557" spans="3:3">
      <c r="C2557" s="2"/>
    </row>
    <row r="2558" spans="3:3">
      <c r="C2558" s="2"/>
    </row>
    <row r="2559" spans="3:3">
      <c r="C2559" s="2"/>
    </row>
    <row r="2560" spans="3:3">
      <c r="C2560" s="2"/>
    </row>
    <row r="2561" spans="3:3">
      <c r="C2561" s="2"/>
    </row>
    <row r="2562" spans="3:3">
      <c r="C2562" s="2"/>
    </row>
    <row r="2563" spans="3:3">
      <c r="C2563" s="2"/>
    </row>
    <row r="2564" spans="3:3">
      <c r="C2564" s="2"/>
    </row>
    <row r="2565" spans="3:3">
      <c r="C2565" s="2"/>
    </row>
    <row r="2566" spans="3:3">
      <c r="C2566" s="2"/>
    </row>
    <row r="2567" spans="3:3">
      <c r="C2567" s="2"/>
    </row>
    <row r="2568" spans="3:3">
      <c r="C2568" s="2"/>
    </row>
    <row r="2569" spans="3:3">
      <c r="C2569" s="2"/>
    </row>
    <row r="2570" spans="3:3">
      <c r="C2570" s="2"/>
    </row>
    <row r="2571" spans="3:3">
      <c r="C2571" s="2"/>
    </row>
    <row r="2572" spans="3:3">
      <c r="C2572" s="2"/>
    </row>
    <row r="2573" spans="3:3">
      <c r="C2573" s="2"/>
    </row>
    <row r="2574" spans="3:3">
      <c r="C2574" s="2"/>
    </row>
    <row r="2575" spans="3:3">
      <c r="C2575" s="2"/>
    </row>
    <row r="2576" spans="3:3">
      <c r="C2576" s="2"/>
    </row>
    <row r="2577" spans="3:3">
      <c r="C2577" s="2"/>
    </row>
    <row r="2578" spans="3:3">
      <c r="C2578" s="2"/>
    </row>
    <row r="2579" spans="3:3">
      <c r="C2579" s="2"/>
    </row>
    <row r="2580" spans="3:3">
      <c r="C2580" s="2"/>
    </row>
    <row r="2581" spans="3:3">
      <c r="C2581" s="2"/>
    </row>
    <row r="2582" spans="3:3">
      <c r="C2582" s="2"/>
    </row>
    <row r="2583" spans="3:3">
      <c r="C2583" s="2"/>
    </row>
    <row r="2584" spans="3:3">
      <c r="C2584" s="2"/>
    </row>
    <row r="2585" spans="3:3">
      <c r="C2585" s="2"/>
    </row>
    <row r="2586" spans="3:3">
      <c r="C2586" s="2"/>
    </row>
    <row r="2587" spans="3:3">
      <c r="C2587" s="2"/>
    </row>
    <row r="2588" spans="3:3">
      <c r="C2588" s="2"/>
    </row>
    <row r="2589" spans="3:3">
      <c r="C2589" s="2"/>
    </row>
    <row r="2590" spans="3:3">
      <c r="C2590" s="2"/>
    </row>
    <row r="2591" spans="3:3">
      <c r="C2591" s="2"/>
    </row>
    <row r="2592" spans="3:3">
      <c r="C2592" s="2"/>
    </row>
    <row r="2593" spans="3:3">
      <c r="C2593" s="2"/>
    </row>
    <row r="2594" spans="3:3">
      <c r="C2594" s="2"/>
    </row>
    <row r="2595" spans="3:3">
      <c r="C2595" s="2"/>
    </row>
    <row r="2596" spans="3:3">
      <c r="C2596" s="2"/>
    </row>
    <row r="2597" spans="3:3">
      <c r="C2597" s="2"/>
    </row>
    <row r="2598" spans="3:3">
      <c r="C2598" s="2"/>
    </row>
    <row r="2599" spans="3:3">
      <c r="C2599" s="2"/>
    </row>
    <row r="2600" spans="3:3">
      <c r="C2600" s="2"/>
    </row>
    <row r="2601" spans="3:3">
      <c r="C2601" s="2"/>
    </row>
    <row r="2602" spans="3:3">
      <c r="C2602" s="2"/>
    </row>
    <row r="2603" spans="3:3">
      <c r="C2603" s="2"/>
    </row>
    <row r="2604" spans="3:3">
      <c r="C2604" s="2"/>
    </row>
    <row r="2605" spans="3:3">
      <c r="C2605" s="2"/>
    </row>
    <row r="2606" spans="3:3">
      <c r="C2606" s="2"/>
    </row>
    <row r="2607" spans="3:3">
      <c r="C2607" s="2"/>
    </row>
    <row r="2608" spans="3:3">
      <c r="C2608" s="2"/>
    </row>
    <row r="2609" spans="3:3">
      <c r="C2609" s="2"/>
    </row>
    <row r="2610" spans="3:3">
      <c r="C2610" s="2"/>
    </row>
    <row r="2611" spans="3:3">
      <c r="C2611" s="2"/>
    </row>
    <row r="2612" spans="3:3">
      <c r="C2612" s="2"/>
    </row>
    <row r="2613" spans="3:3">
      <c r="C2613" s="2"/>
    </row>
    <row r="2614" spans="3:3">
      <c r="C2614" s="2"/>
    </row>
    <row r="2615" spans="3:3">
      <c r="C2615" s="2"/>
    </row>
    <row r="2616" spans="3:3">
      <c r="C2616" s="2"/>
    </row>
    <row r="2617" spans="3:3">
      <c r="C2617" s="2"/>
    </row>
    <row r="2618" spans="3:3">
      <c r="C2618" s="2"/>
    </row>
    <row r="2619" spans="3:3">
      <c r="C2619" s="2"/>
    </row>
    <row r="2620" spans="3:3">
      <c r="C2620" s="2"/>
    </row>
    <row r="2621" spans="3:3">
      <c r="C2621" s="2"/>
    </row>
    <row r="2622" spans="3:3">
      <c r="C2622" s="2"/>
    </row>
    <row r="2623" spans="3:3">
      <c r="C2623" s="2"/>
    </row>
    <row r="2624" spans="3:3">
      <c r="C2624" s="2"/>
    </row>
    <row r="2625" spans="3:3">
      <c r="C2625" s="2"/>
    </row>
    <row r="2626" spans="3:3">
      <c r="C2626" s="2"/>
    </row>
    <row r="2627" spans="3:3">
      <c r="C2627" s="2"/>
    </row>
    <row r="2628" spans="3:3">
      <c r="C2628" s="2"/>
    </row>
    <row r="2629" spans="3:3">
      <c r="C2629" s="2"/>
    </row>
    <row r="2630" spans="3:3">
      <c r="C2630" s="2"/>
    </row>
    <row r="2631" spans="3:3">
      <c r="C2631" s="2"/>
    </row>
    <row r="2632" spans="3:3">
      <c r="C2632" s="2"/>
    </row>
    <row r="2633" spans="3:3">
      <c r="C2633" s="2"/>
    </row>
    <row r="2634" spans="3:3">
      <c r="C2634" s="2"/>
    </row>
    <row r="2635" spans="3:3">
      <c r="C2635" s="2"/>
    </row>
    <row r="2636" spans="3:3">
      <c r="C2636" s="2"/>
    </row>
    <row r="2637" spans="3:3">
      <c r="C2637" s="2"/>
    </row>
    <row r="2638" spans="3:3">
      <c r="C2638" s="2"/>
    </row>
    <row r="2639" spans="3:3">
      <c r="C2639" s="2"/>
    </row>
    <row r="2640" spans="3:3">
      <c r="C2640" s="2"/>
    </row>
    <row r="2641" spans="3:3">
      <c r="C2641" s="2"/>
    </row>
    <row r="2642" spans="3:3">
      <c r="C2642" s="2"/>
    </row>
    <row r="2643" spans="3:3">
      <c r="C2643" s="2"/>
    </row>
    <row r="2644" spans="3:3">
      <c r="C2644" s="2"/>
    </row>
    <row r="2645" spans="3:3">
      <c r="C2645" s="2"/>
    </row>
    <row r="2646" spans="3:3">
      <c r="C2646" s="2"/>
    </row>
    <row r="2647" spans="3:3">
      <c r="C2647" s="2"/>
    </row>
    <row r="2648" spans="3:3">
      <c r="C2648" s="2"/>
    </row>
    <row r="2649" spans="3:3">
      <c r="C2649" s="2"/>
    </row>
    <row r="2650" spans="3:3">
      <c r="C2650" s="2"/>
    </row>
    <row r="2651" spans="3:3">
      <c r="C2651" s="2"/>
    </row>
    <row r="2652" spans="3:3">
      <c r="C2652" s="2"/>
    </row>
    <row r="2653" spans="3:3">
      <c r="C2653" s="2"/>
    </row>
    <row r="2654" spans="3:3">
      <c r="C2654" s="2"/>
    </row>
    <row r="2655" spans="3:3">
      <c r="C2655" s="2"/>
    </row>
    <row r="2656" spans="3:3">
      <c r="C2656" s="2"/>
    </row>
    <row r="2657" spans="3:3">
      <c r="C2657" s="2"/>
    </row>
    <row r="2658" spans="3:3">
      <c r="C2658" s="2"/>
    </row>
    <row r="2659" spans="3:3">
      <c r="C2659" s="2"/>
    </row>
    <row r="2660" spans="3:3">
      <c r="C2660" s="2"/>
    </row>
    <row r="2661" spans="3:3">
      <c r="C2661" s="2"/>
    </row>
    <row r="2662" spans="3:3">
      <c r="C2662" s="2"/>
    </row>
    <row r="2663" spans="3:3">
      <c r="C2663" s="2"/>
    </row>
    <row r="2664" spans="3:3">
      <c r="C2664" s="2"/>
    </row>
    <row r="2665" spans="3:3">
      <c r="C2665" s="2"/>
    </row>
    <row r="2666" spans="3:3">
      <c r="C2666" s="2"/>
    </row>
    <row r="2667" spans="3:3">
      <c r="C2667" s="2"/>
    </row>
    <row r="2668" spans="3:3">
      <c r="C2668" s="2"/>
    </row>
    <row r="2669" spans="3:3">
      <c r="C2669" s="2"/>
    </row>
    <row r="2670" spans="3:3">
      <c r="C2670" s="2"/>
    </row>
    <row r="2671" spans="3:3">
      <c r="C2671" s="2"/>
    </row>
    <row r="2672" spans="3:3">
      <c r="C2672" s="2"/>
    </row>
    <row r="2673" spans="3:3">
      <c r="C2673" s="2"/>
    </row>
    <row r="2674" spans="3:3">
      <c r="C2674" s="2"/>
    </row>
    <row r="2675" spans="3:3">
      <c r="C2675" s="2"/>
    </row>
    <row r="2676" spans="3:3">
      <c r="C2676" s="2"/>
    </row>
    <row r="2677" spans="3:3">
      <c r="C2677" s="2"/>
    </row>
    <row r="2678" spans="3:3">
      <c r="C2678" s="2"/>
    </row>
    <row r="2679" spans="3:3">
      <c r="C2679" s="2"/>
    </row>
    <row r="2680" spans="3:3">
      <c r="C2680" s="2"/>
    </row>
    <row r="2681" spans="3:3">
      <c r="C2681" s="2"/>
    </row>
    <row r="2682" spans="3:3">
      <c r="C2682" s="2"/>
    </row>
    <row r="2683" spans="3:3">
      <c r="C2683" s="2"/>
    </row>
    <row r="2684" spans="3:3">
      <c r="C2684" s="2"/>
    </row>
    <row r="2685" spans="3:3">
      <c r="C2685" s="2"/>
    </row>
    <row r="2686" spans="3:3">
      <c r="C2686" s="2"/>
    </row>
    <row r="2687" spans="3:3">
      <c r="C2687" s="2"/>
    </row>
    <row r="2688" spans="3:3">
      <c r="C2688" s="2"/>
    </row>
    <row r="2689" spans="3:3">
      <c r="C2689" s="2"/>
    </row>
    <row r="2690" spans="3:3">
      <c r="C2690" s="2"/>
    </row>
    <row r="2691" spans="3:3">
      <c r="C2691" s="2"/>
    </row>
    <row r="2692" spans="3:3">
      <c r="C2692" s="2"/>
    </row>
    <row r="2693" spans="3:3">
      <c r="C2693" s="2"/>
    </row>
    <row r="2694" spans="3:3">
      <c r="C2694" s="2"/>
    </row>
    <row r="2695" spans="3:3">
      <c r="C2695" s="2"/>
    </row>
    <row r="2696" spans="3:3">
      <c r="C2696" s="2"/>
    </row>
    <row r="2697" spans="3:3">
      <c r="C2697" s="2"/>
    </row>
    <row r="2698" spans="3:3">
      <c r="C2698" s="2"/>
    </row>
    <row r="2699" spans="3:3">
      <c r="C2699" s="2"/>
    </row>
    <row r="2700" spans="3:3">
      <c r="C2700" s="2"/>
    </row>
    <row r="2701" spans="3:3">
      <c r="C2701" s="2"/>
    </row>
    <row r="2702" spans="3:3">
      <c r="C2702" s="2"/>
    </row>
    <row r="2703" spans="3:3">
      <c r="C2703" s="2"/>
    </row>
    <row r="2704" spans="3:3">
      <c r="C2704" s="2"/>
    </row>
    <row r="2705" spans="3:3">
      <c r="C2705" s="2"/>
    </row>
    <row r="2706" spans="3:3">
      <c r="C2706" s="2"/>
    </row>
    <row r="2707" spans="3:3">
      <c r="C2707" s="2"/>
    </row>
    <row r="2708" spans="3:3">
      <c r="C2708" s="2"/>
    </row>
    <row r="2709" spans="3:3">
      <c r="C2709" s="2"/>
    </row>
    <row r="2710" spans="3:3">
      <c r="C2710" s="2"/>
    </row>
    <row r="2711" spans="3:3">
      <c r="C2711" s="2"/>
    </row>
    <row r="2712" spans="3:3">
      <c r="C2712" s="2"/>
    </row>
    <row r="2713" spans="3:3">
      <c r="C2713" s="2"/>
    </row>
    <row r="2714" spans="3:3">
      <c r="C2714" s="2"/>
    </row>
    <row r="2715" spans="3:3">
      <c r="C2715" s="2"/>
    </row>
    <row r="2716" spans="3:3">
      <c r="C2716" s="2"/>
    </row>
    <row r="2717" spans="3:3">
      <c r="C2717" s="2"/>
    </row>
    <row r="2718" spans="3:3">
      <c r="C2718" s="2"/>
    </row>
    <row r="2719" spans="3:3">
      <c r="C2719" s="2"/>
    </row>
    <row r="2720" spans="3:3">
      <c r="C2720" s="2"/>
    </row>
    <row r="2721" spans="3:3">
      <c r="C2721" s="2"/>
    </row>
    <row r="2722" spans="3:3">
      <c r="C2722" s="2"/>
    </row>
    <row r="2723" spans="3:3">
      <c r="C2723" s="2"/>
    </row>
    <row r="2724" spans="3:3">
      <c r="C2724" s="2"/>
    </row>
    <row r="2725" spans="3:3">
      <c r="C2725" s="2"/>
    </row>
    <row r="2726" spans="3:3">
      <c r="C2726" s="2"/>
    </row>
    <row r="2727" spans="3:3">
      <c r="C2727" s="2"/>
    </row>
    <row r="2728" spans="3:3">
      <c r="C2728" s="2"/>
    </row>
    <row r="2729" spans="3:3">
      <c r="C2729" s="2"/>
    </row>
    <row r="2730" spans="3:3">
      <c r="C2730" s="2"/>
    </row>
    <row r="2731" spans="3:3">
      <c r="C2731" s="2"/>
    </row>
    <row r="2732" spans="3:3">
      <c r="C2732" s="2"/>
    </row>
    <row r="2733" spans="3:3">
      <c r="C2733" s="2"/>
    </row>
    <row r="2734" spans="3:3">
      <c r="C2734" s="2"/>
    </row>
    <row r="2735" spans="3:3">
      <c r="C2735" s="2"/>
    </row>
    <row r="2736" spans="3:3">
      <c r="C2736" s="2"/>
    </row>
    <row r="2737" spans="3:3">
      <c r="C2737" s="2"/>
    </row>
    <row r="2738" spans="3:3">
      <c r="C2738" s="2"/>
    </row>
    <row r="2739" spans="3:3">
      <c r="C2739" s="2"/>
    </row>
    <row r="2740" spans="3:3">
      <c r="C2740" s="2"/>
    </row>
    <row r="2741" spans="3:3">
      <c r="C2741" s="2"/>
    </row>
    <row r="2742" spans="3:3">
      <c r="C2742" s="2"/>
    </row>
    <row r="2743" spans="3:3">
      <c r="C2743" s="2"/>
    </row>
    <row r="2744" spans="3:3">
      <c r="C2744" s="2"/>
    </row>
    <row r="2745" spans="3:3">
      <c r="C2745" s="2"/>
    </row>
    <row r="2746" spans="3:3">
      <c r="C2746" s="2"/>
    </row>
    <row r="2747" spans="3:3">
      <c r="C2747" s="2"/>
    </row>
    <row r="2748" spans="3:3">
      <c r="C2748" s="2"/>
    </row>
    <row r="2749" spans="3:3">
      <c r="C2749" s="2"/>
    </row>
    <row r="2750" spans="3:3">
      <c r="C2750" s="2"/>
    </row>
    <row r="2751" spans="3:3">
      <c r="C2751" s="2"/>
    </row>
    <row r="2752" spans="3:3">
      <c r="C2752" s="2"/>
    </row>
    <row r="2753" spans="3:3">
      <c r="C2753" s="2"/>
    </row>
    <row r="2754" spans="3:3">
      <c r="C2754" s="2"/>
    </row>
    <row r="2755" spans="3:3">
      <c r="C2755" s="2"/>
    </row>
    <row r="2756" spans="3:3">
      <c r="C2756" s="2"/>
    </row>
    <row r="2757" spans="3:3">
      <c r="C2757" s="2"/>
    </row>
    <row r="2758" spans="3:3">
      <c r="C2758" s="2"/>
    </row>
    <row r="2759" spans="3:3">
      <c r="C2759" s="2"/>
    </row>
    <row r="2760" spans="3:3">
      <c r="C2760" s="2"/>
    </row>
    <row r="2761" spans="3:3">
      <c r="C2761" s="2"/>
    </row>
    <row r="2762" spans="3:3">
      <c r="C2762" s="2"/>
    </row>
    <row r="2763" spans="3:3">
      <c r="C2763" s="2"/>
    </row>
    <row r="2764" spans="3:3">
      <c r="C2764" s="2"/>
    </row>
    <row r="2765" spans="3:3">
      <c r="C2765" s="2"/>
    </row>
    <row r="2766" spans="3:3">
      <c r="C2766" s="2"/>
    </row>
    <row r="2767" spans="3:3">
      <c r="C2767" s="2"/>
    </row>
    <row r="2768" spans="3:3">
      <c r="C2768" s="2"/>
    </row>
    <row r="2769" spans="3:3">
      <c r="C2769" s="2"/>
    </row>
    <row r="2770" spans="3:3">
      <c r="C2770" s="2"/>
    </row>
    <row r="2771" spans="3:3">
      <c r="C2771" s="2"/>
    </row>
    <row r="2772" spans="3:3">
      <c r="C2772" s="2"/>
    </row>
    <row r="2773" spans="3:3">
      <c r="C2773" s="2"/>
    </row>
    <row r="2774" spans="3:3">
      <c r="C2774" s="2"/>
    </row>
    <row r="2775" spans="3:3">
      <c r="C2775" s="2"/>
    </row>
    <row r="2776" spans="3:3">
      <c r="C2776" s="2"/>
    </row>
    <row r="2777" spans="3:3">
      <c r="C2777" s="2"/>
    </row>
    <row r="2778" spans="3:3">
      <c r="C2778" s="2"/>
    </row>
    <row r="2779" spans="3:3">
      <c r="C2779" s="2"/>
    </row>
    <row r="2780" spans="3:3">
      <c r="C2780" s="2"/>
    </row>
    <row r="2781" spans="3:3">
      <c r="C2781" s="2"/>
    </row>
    <row r="2782" spans="3:3">
      <c r="C2782" s="2"/>
    </row>
    <row r="2783" spans="3:3">
      <c r="C2783" s="2"/>
    </row>
    <row r="2784" spans="3:3">
      <c r="C2784" s="2"/>
    </row>
    <row r="2785" spans="3:3">
      <c r="C2785" s="2"/>
    </row>
    <row r="2786" spans="3:3">
      <c r="C2786" s="2"/>
    </row>
    <row r="2787" spans="3:3">
      <c r="C2787" s="2"/>
    </row>
    <row r="2788" spans="3:3">
      <c r="C2788" s="2"/>
    </row>
    <row r="2789" spans="3:3">
      <c r="C2789" s="2"/>
    </row>
    <row r="2790" spans="3:3">
      <c r="C2790" s="2"/>
    </row>
    <row r="2791" spans="3:3">
      <c r="C2791" s="2"/>
    </row>
    <row r="2792" spans="3:3">
      <c r="C2792" s="2"/>
    </row>
    <row r="2793" spans="3:3">
      <c r="C2793" s="2"/>
    </row>
    <row r="2794" spans="3:3">
      <c r="C2794" s="2"/>
    </row>
    <row r="2795" spans="3:3">
      <c r="C2795" s="2"/>
    </row>
    <row r="2796" spans="3:3">
      <c r="C2796" s="2"/>
    </row>
    <row r="2797" spans="3:3">
      <c r="C2797" s="2"/>
    </row>
    <row r="2798" spans="3:3">
      <c r="C2798" s="2"/>
    </row>
    <row r="2799" spans="3:3">
      <c r="C2799" s="2"/>
    </row>
    <row r="2800" spans="3:3">
      <c r="C2800" s="2"/>
    </row>
    <row r="2801" spans="3:3">
      <c r="C2801" s="2"/>
    </row>
    <row r="2802" spans="3:3">
      <c r="C2802" s="2"/>
    </row>
    <row r="2803" spans="3:3">
      <c r="C2803" s="2"/>
    </row>
    <row r="2804" spans="3:3">
      <c r="C2804" s="2"/>
    </row>
    <row r="2805" spans="3:3">
      <c r="C2805" s="2"/>
    </row>
    <row r="2806" spans="3:3">
      <c r="C2806" s="2"/>
    </row>
    <row r="2807" spans="3:3">
      <c r="C2807" s="2"/>
    </row>
    <row r="2808" spans="3:3">
      <c r="C2808" s="2"/>
    </row>
    <row r="2809" spans="3:3">
      <c r="C2809" s="2"/>
    </row>
    <row r="2810" spans="3:3">
      <c r="C2810" s="2"/>
    </row>
    <row r="2811" spans="3:3">
      <c r="C2811" s="2"/>
    </row>
    <row r="2812" spans="3:3">
      <c r="C2812" s="2"/>
    </row>
    <row r="2813" spans="3:3">
      <c r="C2813" s="2"/>
    </row>
    <row r="2814" spans="3:3">
      <c r="C2814" s="2"/>
    </row>
    <row r="2815" spans="3:3">
      <c r="C2815" s="2"/>
    </row>
    <row r="2816" spans="3:3">
      <c r="C2816" s="2"/>
    </row>
    <row r="2817" spans="3:3">
      <c r="C2817" s="2"/>
    </row>
    <row r="2818" spans="3:3">
      <c r="C2818" s="2"/>
    </row>
    <row r="2819" spans="3:3">
      <c r="C2819" s="2"/>
    </row>
    <row r="2820" spans="3:3">
      <c r="C2820" s="2"/>
    </row>
    <row r="2821" spans="3:3">
      <c r="C2821" s="2"/>
    </row>
    <row r="2822" spans="3:3">
      <c r="C2822" s="2"/>
    </row>
    <row r="2823" spans="3:3">
      <c r="C2823" s="2"/>
    </row>
    <row r="2824" spans="3:3">
      <c r="C2824" s="2"/>
    </row>
    <row r="2825" spans="3:3">
      <c r="C2825" s="2"/>
    </row>
    <row r="2826" spans="3:3">
      <c r="C2826" s="2"/>
    </row>
    <row r="2827" spans="3:3">
      <c r="C2827" s="2"/>
    </row>
    <row r="2828" spans="3:3">
      <c r="C2828" s="2"/>
    </row>
    <row r="2829" spans="3:3">
      <c r="C2829" s="2"/>
    </row>
    <row r="2830" spans="3:3">
      <c r="C2830" s="2"/>
    </row>
    <row r="2831" spans="3:3">
      <c r="C2831" s="2"/>
    </row>
    <row r="2832" spans="3:3">
      <c r="C2832" s="2"/>
    </row>
    <row r="2833" spans="3:3">
      <c r="C2833" s="2"/>
    </row>
    <row r="2834" spans="3:3">
      <c r="C2834" s="2"/>
    </row>
    <row r="2835" spans="3:3">
      <c r="C2835" s="2"/>
    </row>
    <row r="2836" spans="3:3">
      <c r="C2836" s="2"/>
    </row>
    <row r="2837" spans="3:3">
      <c r="C2837" s="2"/>
    </row>
    <row r="2838" spans="3:3">
      <c r="C2838" s="2"/>
    </row>
    <row r="2839" spans="3:3">
      <c r="C2839" s="2"/>
    </row>
    <row r="2840" spans="3:3">
      <c r="C2840" s="2"/>
    </row>
    <row r="2841" spans="3:3">
      <c r="C2841" s="2"/>
    </row>
    <row r="2842" spans="3:3">
      <c r="C2842" s="2"/>
    </row>
    <row r="2843" spans="3:3">
      <c r="C2843" s="2"/>
    </row>
    <row r="2844" spans="3:3">
      <c r="C2844" s="2"/>
    </row>
    <row r="2845" spans="3:3">
      <c r="C2845" s="2"/>
    </row>
    <row r="2846" spans="3:3">
      <c r="C2846" s="2"/>
    </row>
    <row r="2847" spans="3:3">
      <c r="C2847" s="2"/>
    </row>
    <row r="2848" spans="3:3">
      <c r="C2848" s="2"/>
    </row>
    <row r="2849" spans="3:3">
      <c r="C2849" s="2"/>
    </row>
    <row r="2850" spans="3:3">
      <c r="C2850" s="2"/>
    </row>
    <row r="2851" spans="3:3">
      <c r="C2851" s="2"/>
    </row>
    <row r="2852" spans="3:3">
      <c r="C2852" s="2"/>
    </row>
    <row r="2853" spans="3:3">
      <c r="C2853" s="2"/>
    </row>
    <row r="2854" spans="3:3">
      <c r="C2854" s="2"/>
    </row>
    <row r="2855" spans="3:3">
      <c r="C2855" s="2"/>
    </row>
    <row r="2856" spans="3:3">
      <c r="C2856" s="2"/>
    </row>
    <row r="2857" spans="3:3">
      <c r="C2857" s="2"/>
    </row>
    <row r="2858" spans="3:3">
      <c r="C2858" s="2"/>
    </row>
    <row r="2859" spans="3:3">
      <c r="C2859" s="2"/>
    </row>
    <row r="2860" spans="3:3">
      <c r="C2860" s="2"/>
    </row>
    <row r="2861" spans="3:3">
      <c r="C2861" s="2"/>
    </row>
    <row r="2862" spans="3:3">
      <c r="C2862" s="2"/>
    </row>
    <row r="2863" spans="3:3">
      <c r="C2863" s="2"/>
    </row>
    <row r="2864" spans="3:3">
      <c r="C2864" s="2"/>
    </row>
    <row r="2865" spans="3:3">
      <c r="C2865" s="2"/>
    </row>
    <row r="2866" spans="3:3">
      <c r="C2866" s="2"/>
    </row>
    <row r="2867" spans="3:3">
      <c r="C2867" s="2"/>
    </row>
    <row r="2868" spans="3:3">
      <c r="C2868" s="2"/>
    </row>
    <row r="2869" spans="3:3">
      <c r="C2869" s="2"/>
    </row>
    <row r="2870" spans="3:3">
      <c r="C2870" s="2"/>
    </row>
    <row r="2871" spans="3:3">
      <c r="C2871" s="2"/>
    </row>
    <row r="2872" spans="3:3">
      <c r="C2872" s="2"/>
    </row>
    <row r="2873" spans="3:3">
      <c r="C2873" s="2"/>
    </row>
    <row r="2874" spans="3:3">
      <c r="C2874" s="2"/>
    </row>
    <row r="2875" spans="3:3">
      <c r="C2875" s="2"/>
    </row>
    <row r="2876" spans="3:3">
      <c r="C2876" s="2"/>
    </row>
    <row r="2877" spans="3:3">
      <c r="C2877" s="2"/>
    </row>
    <row r="2878" spans="3:3">
      <c r="C2878" s="2"/>
    </row>
    <row r="2879" spans="3:3">
      <c r="C2879" s="2"/>
    </row>
    <row r="2880" spans="3:3">
      <c r="C2880" s="2"/>
    </row>
    <row r="2881" spans="3:3">
      <c r="C2881" s="2"/>
    </row>
    <row r="2882" spans="3:3">
      <c r="C2882" s="2"/>
    </row>
    <row r="2883" spans="3:3">
      <c r="C2883" s="2"/>
    </row>
    <row r="2884" spans="3:3">
      <c r="C2884" s="2"/>
    </row>
    <row r="2885" spans="3:3">
      <c r="C2885" s="2"/>
    </row>
    <row r="2886" spans="3:3">
      <c r="C2886" s="2"/>
    </row>
    <row r="2887" spans="3:3">
      <c r="C2887" s="2"/>
    </row>
    <row r="2888" spans="3:3">
      <c r="C2888" s="2"/>
    </row>
    <row r="2889" spans="3:3">
      <c r="C2889" s="2"/>
    </row>
    <row r="2890" spans="3:3">
      <c r="C2890" s="2"/>
    </row>
    <row r="2891" spans="3:3">
      <c r="C2891" s="2"/>
    </row>
    <row r="2892" spans="3:3">
      <c r="C2892" s="2"/>
    </row>
    <row r="2893" spans="3:3">
      <c r="C2893" s="2"/>
    </row>
    <row r="2894" spans="3:3">
      <c r="C2894" s="2"/>
    </row>
    <row r="2895" spans="3:3">
      <c r="C2895" s="2"/>
    </row>
    <row r="2896" spans="3:3">
      <c r="C2896" s="2"/>
    </row>
    <row r="2897" spans="3:3">
      <c r="C2897" s="2"/>
    </row>
    <row r="2898" spans="3:3">
      <c r="C2898" s="2"/>
    </row>
    <row r="2899" spans="3:3">
      <c r="C2899" s="2"/>
    </row>
    <row r="2900" spans="3:3">
      <c r="C2900" s="2"/>
    </row>
    <row r="2901" spans="3:3">
      <c r="C2901" s="2"/>
    </row>
    <row r="2902" spans="3:3">
      <c r="C2902" s="2"/>
    </row>
    <row r="2903" spans="3:3">
      <c r="C2903" s="2"/>
    </row>
    <row r="2904" spans="3:3">
      <c r="C2904" s="2"/>
    </row>
    <row r="2905" spans="3:3">
      <c r="C2905" s="2"/>
    </row>
    <row r="2906" spans="3:3">
      <c r="C2906" s="2"/>
    </row>
    <row r="2907" spans="3:3">
      <c r="C2907" s="2"/>
    </row>
    <row r="2908" spans="3:3">
      <c r="C2908" s="2"/>
    </row>
    <row r="2909" spans="3:3">
      <c r="C2909" s="2"/>
    </row>
    <row r="2910" spans="3:3">
      <c r="C2910" s="2"/>
    </row>
    <row r="2911" spans="3:3">
      <c r="C2911" s="2"/>
    </row>
    <row r="2912" spans="3:3">
      <c r="C2912" s="2"/>
    </row>
    <row r="2913" spans="3:3">
      <c r="C2913" s="2"/>
    </row>
    <row r="2914" spans="3:3">
      <c r="C2914" s="2"/>
    </row>
    <row r="2915" spans="3:3">
      <c r="C2915" s="2"/>
    </row>
    <row r="2916" spans="3:3">
      <c r="C2916" s="2"/>
    </row>
    <row r="2917" spans="3:3">
      <c r="C2917" s="2"/>
    </row>
    <row r="2918" spans="3:3">
      <c r="C2918" s="2"/>
    </row>
    <row r="2919" spans="3:3">
      <c r="C2919" s="2"/>
    </row>
    <row r="2920" spans="3:3">
      <c r="C2920" s="2"/>
    </row>
    <row r="2921" spans="3:3">
      <c r="C2921" s="2"/>
    </row>
    <row r="2922" spans="3:3">
      <c r="C2922" s="2"/>
    </row>
    <row r="2923" spans="3:3">
      <c r="C2923" s="2"/>
    </row>
    <row r="2924" spans="3:3">
      <c r="C2924" s="2"/>
    </row>
    <row r="2925" spans="3:3">
      <c r="C2925" s="2"/>
    </row>
    <row r="2926" spans="3:3">
      <c r="C2926" s="2"/>
    </row>
    <row r="2927" spans="3:3">
      <c r="C2927" s="2"/>
    </row>
    <row r="2928" spans="3:3">
      <c r="C2928" s="2"/>
    </row>
    <row r="2929" spans="3:3">
      <c r="C2929" s="2"/>
    </row>
    <row r="2930" spans="3:3">
      <c r="C2930" s="2"/>
    </row>
    <row r="2931" spans="3:3">
      <c r="C2931" s="2"/>
    </row>
    <row r="2932" spans="3:3">
      <c r="C2932" s="2"/>
    </row>
    <row r="2933" spans="3:3">
      <c r="C2933" s="2"/>
    </row>
    <row r="2934" spans="3:3">
      <c r="C2934" s="2"/>
    </row>
    <row r="2935" spans="3:3">
      <c r="C2935" s="2"/>
    </row>
    <row r="2936" spans="3:3">
      <c r="C2936" s="2"/>
    </row>
    <row r="2937" spans="3:3">
      <c r="C2937" s="2"/>
    </row>
    <row r="2938" spans="3:3">
      <c r="C2938" s="2"/>
    </row>
    <row r="2939" spans="3:3">
      <c r="C2939" s="2"/>
    </row>
    <row r="2940" spans="3:3">
      <c r="C2940" s="2"/>
    </row>
    <row r="2941" spans="3:3">
      <c r="C2941" s="2"/>
    </row>
    <row r="2942" spans="3:3">
      <c r="C2942" s="2"/>
    </row>
    <row r="2943" spans="3:3">
      <c r="C2943" s="2"/>
    </row>
    <row r="2944" spans="3:3">
      <c r="C2944" s="2"/>
    </row>
    <row r="2945" spans="3:3">
      <c r="C2945" s="2"/>
    </row>
    <row r="2946" spans="3:3">
      <c r="C2946" s="2"/>
    </row>
    <row r="2947" spans="3:3">
      <c r="C2947" s="2"/>
    </row>
    <row r="2948" spans="3:3">
      <c r="C2948" s="2"/>
    </row>
    <row r="2949" spans="3:3">
      <c r="C2949" s="2"/>
    </row>
    <row r="2950" spans="3:3">
      <c r="C2950" s="2"/>
    </row>
    <row r="2951" spans="3:3">
      <c r="C2951" s="2"/>
    </row>
    <row r="2952" spans="3:3">
      <c r="C2952" s="2"/>
    </row>
    <row r="2953" spans="3:3">
      <c r="C2953" s="2"/>
    </row>
    <row r="2954" spans="3:3">
      <c r="C2954" s="2"/>
    </row>
    <row r="2955" spans="3:3">
      <c r="C2955" s="2"/>
    </row>
    <row r="2956" spans="3:3">
      <c r="C2956" s="2"/>
    </row>
    <row r="2957" spans="3:3">
      <c r="C2957" s="2"/>
    </row>
    <row r="2958" spans="3:3">
      <c r="C2958" s="2"/>
    </row>
    <row r="2959" spans="3:3">
      <c r="C2959" s="2"/>
    </row>
    <row r="2960" spans="3:3">
      <c r="C2960" s="2"/>
    </row>
    <row r="2961" spans="3:3">
      <c r="C2961" s="2"/>
    </row>
    <row r="2962" spans="3:3">
      <c r="C2962" s="2"/>
    </row>
    <row r="2963" spans="3:3">
      <c r="C2963" s="2"/>
    </row>
    <row r="2964" spans="3:3">
      <c r="C2964" s="2"/>
    </row>
    <row r="2965" spans="3:3">
      <c r="C2965" s="2"/>
    </row>
    <row r="2966" spans="3:3">
      <c r="C2966" s="2"/>
    </row>
    <row r="2967" spans="3:3">
      <c r="C2967" s="2"/>
    </row>
    <row r="2968" spans="3:3">
      <c r="C2968" s="2"/>
    </row>
    <row r="2969" spans="3:3">
      <c r="C2969" s="2"/>
    </row>
    <row r="2970" spans="3:3">
      <c r="C2970" s="2"/>
    </row>
    <row r="2971" spans="3:3">
      <c r="C2971" s="2"/>
    </row>
    <row r="2972" spans="3:3">
      <c r="C2972" s="2"/>
    </row>
    <row r="2973" spans="3:3">
      <c r="C2973" s="2"/>
    </row>
    <row r="2974" spans="3:3">
      <c r="C2974" s="2"/>
    </row>
    <row r="2975" spans="3:3">
      <c r="C2975" s="2"/>
    </row>
    <row r="2976" spans="3:3">
      <c r="C2976" s="2"/>
    </row>
    <row r="2977" spans="3:3">
      <c r="C2977" s="2"/>
    </row>
    <row r="2978" spans="3:3">
      <c r="C2978" s="2"/>
    </row>
    <row r="2979" spans="3:3">
      <c r="C2979" s="2"/>
    </row>
    <row r="2980" spans="3:3">
      <c r="C2980" s="2"/>
    </row>
    <row r="2981" spans="3:3">
      <c r="C2981" s="2"/>
    </row>
    <row r="2982" spans="3:3">
      <c r="C2982" s="2"/>
    </row>
    <row r="2983" spans="3:3">
      <c r="C2983" s="2"/>
    </row>
    <row r="2984" spans="3:3">
      <c r="C2984" s="2"/>
    </row>
    <row r="2985" spans="3:3">
      <c r="C2985" s="2"/>
    </row>
    <row r="2986" spans="3:3">
      <c r="C2986" s="2"/>
    </row>
    <row r="2987" spans="3:3">
      <c r="C2987" s="2"/>
    </row>
    <row r="2988" spans="3:3">
      <c r="C2988" s="2"/>
    </row>
    <row r="2989" spans="3:3">
      <c r="C2989" s="2"/>
    </row>
    <row r="2990" spans="3:3">
      <c r="C2990" s="2"/>
    </row>
    <row r="2991" spans="3:3">
      <c r="C2991" s="2"/>
    </row>
    <row r="2992" spans="3:3">
      <c r="C2992" s="2"/>
    </row>
    <row r="2993" spans="3:3">
      <c r="C2993" s="2"/>
    </row>
    <row r="2994" spans="3:3">
      <c r="C2994" s="2"/>
    </row>
    <row r="2995" spans="3:3">
      <c r="C2995" s="2"/>
    </row>
    <row r="2996" spans="3:3">
      <c r="C2996" s="2"/>
    </row>
    <row r="2997" spans="3:3">
      <c r="C2997" s="2"/>
    </row>
    <row r="2998" spans="3:3">
      <c r="C2998" s="2"/>
    </row>
    <row r="2999" spans="3:3">
      <c r="C2999" s="2"/>
    </row>
    <row r="3000" spans="3:3">
      <c r="C3000" s="2"/>
    </row>
    <row r="3001" spans="3:3">
      <c r="C3001" s="2"/>
    </row>
    <row r="3002" spans="3:3">
      <c r="C3002" s="2"/>
    </row>
    <row r="3003" spans="3:3">
      <c r="C3003" s="2"/>
    </row>
    <row r="3004" spans="3:3">
      <c r="C3004" s="2"/>
    </row>
    <row r="3005" spans="3:3">
      <c r="C3005" s="2"/>
    </row>
    <row r="3006" spans="3:3">
      <c r="C3006" s="2"/>
    </row>
    <row r="3007" spans="3:3">
      <c r="C3007" s="2"/>
    </row>
    <row r="3008" spans="3:3">
      <c r="C3008" s="2"/>
    </row>
    <row r="3009" spans="3:3">
      <c r="C3009" s="2"/>
    </row>
    <row r="3010" spans="3:3">
      <c r="C3010" s="2"/>
    </row>
    <row r="3011" spans="3:3">
      <c r="C3011" s="2"/>
    </row>
    <row r="3012" spans="3:3">
      <c r="C3012" s="2"/>
    </row>
    <row r="3013" spans="3:3">
      <c r="C3013" s="2"/>
    </row>
    <row r="3014" spans="3:3">
      <c r="C3014" s="2"/>
    </row>
    <row r="3015" spans="3:3">
      <c r="C3015" s="2"/>
    </row>
    <row r="3016" spans="3:3">
      <c r="C3016" s="2"/>
    </row>
    <row r="3017" spans="3:3">
      <c r="C3017" s="2"/>
    </row>
    <row r="3018" spans="3:3">
      <c r="C3018" s="2"/>
    </row>
    <row r="3019" spans="3:3">
      <c r="C3019" s="2"/>
    </row>
    <row r="3020" spans="3:3">
      <c r="C3020" s="2"/>
    </row>
    <row r="3021" spans="3:3">
      <c r="C3021" s="2"/>
    </row>
    <row r="3022" spans="3:3">
      <c r="C3022" s="2"/>
    </row>
    <row r="3023" spans="3:3">
      <c r="C3023" s="2"/>
    </row>
    <row r="3024" spans="3:3">
      <c r="C3024" s="2"/>
    </row>
    <row r="3025" spans="3:3">
      <c r="C3025" s="2"/>
    </row>
    <row r="3026" spans="3:3">
      <c r="C3026" s="2"/>
    </row>
    <row r="3027" spans="3:3">
      <c r="C3027" s="2"/>
    </row>
    <row r="3028" spans="3:3">
      <c r="C3028" s="2"/>
    </row>
    <row r="3029" spans="3:3">
      <c r="C3029" s="2"/>
    </row>
    <row r="3030" spans="3:3">
      <c r="C3030" s="2"/>
    </row>
    <row r="3031" spans="3:3">
      <c r="C3031" s="2"/>
    </row>
    <row r="3032" spans="3:3">
      <c r="C3032" s="2"/>
    </row>
    <row r="3033" spans="3:3">
      <c r="C3033" s="2"/>
    </row>
    <row r="3034" spans="3:3">
      <c r="C3034" s="2"/>
    </row>
    <row r="3035" spans="3:3">
      <c r="C3035" s="2"/>
    </row>
    <row r="3036" spans="3:3">
      <c r="C3036" s="2"/>
    </row>
    <row r="3037" spans="3:3">
      <c r="C3037" s="2"/>
    </row>
    <row r="3038" spans="3:3">
      <c r="C3038" s="2"/>
    </row>
    <row r="3039" spans="3:3">
      <c r="C3039" s="2"/>
    </row>
    <row r="3040" spans="3:3">
      <c r="C3040" s="2"/>
    </row>
    <row r="3041" spans="3:3">
      <c r="C3041" s="2"/>
    </row>
    <row r="3042" spans="3:3">
      <c r="C3042" s="2"/>
    </row>
    <row r="3043" spans="3:3">
      <c r="C3043" s="2"/>
    </row>
    <row r="3044" spans="3:3">
      <c r="C3044" s="2"/>
    </row>
    <row r="3045" spans="3:3">
      <c r="C3045" s="2"/>
    </row>
    <row r="3046" spans="3:3">
      <c r="C3046" s="2"/>
    </row>
    <row r="3047" spans="3:3">
      <c r="C3047" s="2"/>
    </row>
    <row r="3048" spans="3:3">
      <c r="C3048" s="2"/>
    </row>
    <row r="3049" spans="3:3">
      <c r="C3049" s="2"/>
    </row>
    <row r="3050" spans="3:3">
      <c r="C3050" s="2"/>
    </row>
    <row r="3051" spans="3:3">
      <c r="C3051" s="2"/>
    </row>
    <row r="3052" spans="3:3">
      <c r="C3052" s="2"/>
    </row>
    <row r="3053" spans="3:3">
      <c r="C3053" s="2"/>
    </row>
    <row r="3054" spans="3:3">
      <c r="C3054" s="2"/>
    </row>
    <row r="3055" spans="3:3">
      <c r="C3055" s="2"/>
    </row>
    <row r="3056" spans="3:3">
      <c r="C3056" s="2"/>
    </row>
    <row r="3057" spans="3:3">
      <c r="C3057" s="2"/>
    </row>
    <row r="3058" spans="3:3">
      <c r="C3058" s="2"/>
    </row>
    <row r="3059" spans="3:3">
      <c r="C3059" s="2"/>
    </row>
    <row r="3060" spans="3:3">
      <c r="C3060" s="2"/>
    </row>
    <row r="3061" spans="3:3">
      <c r="C3061" s="2"/>
    </row>
    <row r="3062" spans="3:3">
      <c r="C3062" s="2"/>
    </row>
    <row r="3063" spans="3:3">
      <c r="C3063" s="2"/>
    </row>
    <row r="3064" spans="3:3">
      <c r="C3064" s="2"/>
    </row>
    <row r="3065" spans="3:3">
      <c r="C3065" s="2"/>
    </row>
    <row r="3066" spans="3:3">
      <c r="C3066" s="2"/>
    </row>
    <row r="3067" spans="3:3">
      <c r="C3067" s="2"/>
    </row>
    <row r="3068" spans="3:3">
      <c r="C3068" s="2"/>
    </row>
    <row r="3069" spans="3:3">
      <c r="C3069" s="2"/>
    </row>
    <row r="3070" spans="3:3">
      <c r="C3070" s="2"/>
    </row>
    <row r="3071" spans="3:3">
      <c r="C3071" s="2"/>
    </row>
    <row r="3072" spans="3:3">
      <c r="C3072" s="2"/>
    </row>
    <row r="3073" spans="3:3">
      <c r="C3073" s="2"/>
    </row>
    <row r="3074" spans="3:3">
      <c r="C3074" s="2"/>
    </row>
    <row r="3075" spans="3:3">
      <c r="C3075" s="2"/>
    </row>
    <row r="3076" spans="3:3">
      <c r="C3076" s="2"/>
    </row>
    <row r="3077" spans="3:3">
      <c r="C3077" s="2"/>
    </row>
    <row r="3078" spans="3:3">
      <c r="C3078" s="2"/>
    </row>
    <row r="3079" spans="3:3">
      <c r="C3079" s="2"/>
    </row>
    <row r="3080" spans="3:3">
      <c r="C3080" s="2"/>
    </row>
    <row r="3081" spans="3:3">
      <c r="C3081" s="2"/>
    </row>
    <row r="3082" spans="3:3">
      <c r="C3082" s="2"/>
    </row>
    <row r="3083" spans="3:3">
      <c r="C3083" s="2"/>
    </row>
    <row r="3084" spans="3:3">
      <c r="C3084" s="2"/>
    </row>
    <row r="3085" spans="3:3">
      <c r="C3085" s="2"/>
    </row>
    <row r="3086" spans="3:3">
      <c r="C3086" s="2"/>
    </row>
    <row r="3087" spans="3:3">
      <c r="C3087" s="2"/>
    </row>
    <row r="3088" spans="3:3">
      <c r="C3088" s="2"/>
    </row>
    <row r="3089" spans="3:3">
      <c r="C3089" s="2"/>
    </row>
    <row r="3090" spans="3:3">
      <c r="C3090" s="2"/>
    </row>
    <row r="3091" spans="3:3">
      <c r="C3091" s="2"/>
    </row>
    <row r="3092" spans="3:3">
      <c r="C3092" s="2"/>
    </row>
    <row r="3093" spans="3:3">
      <c r="C3093" s="2"/>
    </row>
    <row r="3094" spans="3:3">
      <c r="C3094" s="2"/>
    </row>
    <row r="3095" spans="3:3">
      <c r="C3095" s="2"/>
    </row>
    <row r="3096" spans="3:3">
      <c r="C3096" s="2"/>
    </row>
    <row r="3097" spans="3:3">
      <c r="C3097" s="2"/>
    </row>
    <row r="3098" spans="3:3">
      <c r="C3098" s="2"/>
    </row>
    <row r="3099" spans="3:3">
      <c r="C3099" s="2"/>
    </row>
    <row r="3100" spans="3:3">
      <c r="C3100" s="2"/>
    </row>
    <row r="3101" spans="3:3">
      <c r="C3101" s="2"/>
    </row>
    <row r="3102" spans="3:3">
      <c r="C3102" s="2"/>
    </row>
    <row r="3103" spans="3:3">
      <c r="C3103" s="2"/>
    </row>
    <row r="3104" spans="3:3">
      <c r="C3104" s="2"/>
    </row>
    <row r="3105" spans="3:3">
      <c r="C3105" s="2"/>
    </row>
    <row r="3106" spans="3:3">
      <c r="C3106" s="2"/>
    </row>
    <row r="3107" spans="3:3">
      <c r="C3107" s="2"/>
    </row>
    <row r="3108" spans="3:3">
      <c r="C3108" s="2"/>
    </row>
    <row r="3109" spans="3:3">
      <c r="C3109" s="2"/>
    </row>
    <row r="3110" spans="3:3">
      <c r="C3110" s="2"/>
    </row>
    <row r="3111" spans="3:3">
      <c r="C3111" s="2"/>
    </row>
    <row r="3112" spans="3:3">
      <c r="C3112" s="2"/>
    </row>
    <row r="3113" spans="3:3">
      <c r="C3113" s="2"/>
    </row>
    <row r="3114" spans="3:3">
      <c r="C3114" s="2"/>
    </row>
    <row r="3115" spans="3:3">
      <c r="C3115" s="2"/>
    </row>
    <row r="3116" spans="3:3">
      <c r="C3116" s="2"/>
    </row>
    <row r="3117" spans="3:3">
      <c r="C3117" s="2"/>
    </row>
    <row r="3118" spans="3:3">
      <c r="C3118" s="2"/>
    </row>
    <row r="3119" spans="3:3">
      <c r="C3119" s="2"/>
    </row>
    <row r="3120" spans="3:3">
      <c r="C3120" s="2"/>
    </row>
    <row r="3121" spans="3:3">
      <c r="C3121" s="2"/>
    </row>
    <row r="3122" spans="3:3">
      <c r="C3122" s="2"/>
    </row>
    <row r="3123" spans="3:3">
      <c r="C3123" s="2"/>
    </row>
    <row r="3124" spans="3:3">
      <c r="C3124" s="2"/>
    </row>
    <row r="3125" spans="3:3">
      <c r="C3125" s="2"/>
    </row>
    <row r="3126" spans="3:3">
      <c r="C3126" s="2"/>
    </row>
    <row r="3127" spans="3:3">
      <c r="C3127" s="2"/>
    </row>
    <row r="3128" spans="3:3">
      <c r="C3128" s="2"/>
    </row>
    <row r="3129" spans="3:3">
      <c r="C3129" s="2"/>
    </row>
    <row r="3130" spans="3:3">
      <c r="C3130" s="2"/>
    </row>
    <row r="3131" spans="3:3">
      <c r="C3131" s="2"/>
    </row>
    <row r="3132" spans="3:3">
      <c r="C3132" s="2"/>
    </row>
    <row r="3133" spans="3:3">
      <c r="C3133" s="2"/>
    </row>
    <row r="3134" spans="3:3">
      <c r="C3134" s="2"/>
    </row>
    <row r="3135" spans="3:3">
      <c r="C3135" s="2"/>
    </row>
    <row r="3136" spans="3:3">
      <c r="C3136" s="2"/>
    </row>
    <row r="3137" spans="3:3">
      <c r="C3137" s="2"/>
    </row>
    <row r="3138" spans="3:3">
      <c r="C3138" s="2"/>
    </row>
    <row r="3139" spans="3:3">
      <c r="C3139" s="2"/>
    </row>
    <row r="3140" spans="3:3">
      <c r="C3140" s="2"/>
    </row>
    <row r="3141" spans="3:3">
      <c r="C3141" s="2"/>
    </row>
    <row r="3142" spans="3:3">
      <c r="C3142" s="2"/>
    </row>
    <row r="3143" spans="3:3">
      <c r="C3143" s="2"/>
    </row>
    <row r="3144" spans="3:3">
      <c r="C3144" s="2"/>
    </row>
    <row r="3145" spans="3:3">
      <c r="C3145" s="2"/>
    </row>
    <row r="3146" spans="3:3">
      <c r="C3146" s="2"/>
    </row>
    <row r="3147" spans="3:3">
      <c r="C3147" s="2"/>
    </row>
    <row r="3148" spans="3:3">
      <c r="C3148" s="2"/>
    </row>
    <row r="3149" spans="3:3">
      <c r="C3149" s="2"/>
    </row>
    <row r="3150" spans="3:3">
      <c r="C3150" s="2"/>
    </row>
    <row r="3151" spans="3:3">
      <c r="C3151" s="2"/>
    </row>
    <row r="3152" spans="3:3">
      <c r="C3152" s="2"/>
    </row>
    <row r="3153" spans="3:3">
      <c r="C3153" s="2"/>
    </row>
    <row r="3154" spans="3:3">
      <c r="C3154" s="2"/>
    </row>
    <row r="3155" spans="3:3">
      <c r="C3155" s="2"/>
    </row>
    <row r="3156" spans="3:3">
      <c r="C3156" s="2"/>
    </row>
    <row r="3157" spans="3:3">
      <c r="C3157" s="2"/>
    </row>
    <row r="3158" spans="3:3">
      <c r="C3158" s="2"/>
    </row>
    <row r="3159" spans="3:3">
      <c r="C3159" s="2"/>
    </row>
    <row r="3160" spans="3:3">
      <c r="C3160" s="2"/>
    </row>
    <row r="3161" spans="3:3">
      <c r="C3161" s="2"/>
    </row>
    <row r="3162" spans="3:3">
      <c r="C3162" s="2"/>
    </row>
    <row r="3163" spans="3:3">
      <c r="C3163" s="2"/>
    </row>
    <row r="3164" spans="3:3">
      <c r="C3164" s="2"/>
    </row>
    <row r="3165" spans="3:3">
      <c r="C3165" s="2"/>
    </row>
    <row r="3166" spans="3:3">
      <c r="C3166" s="2"/>
    </row>
    <row r="3167" spans="3:3">
      <c r="C3167" s="2"/>
    </row>
    <row r="3168" spans="3:3">
      <c r="C3168" s="2"/>
    </row>
    <row r="3169" spans="3:3">
      <c r="C3169" s="2"/>
    </row>
    <row r="3170" spans="3:3">
      <c r="C3170" s="2"/>
    </row>
    <row r="3171" spans="3:3">
      <c r="C3171" s="2"/>
    </row>
    <row r="3172" spans="3:3">
      <c r="C3172" s="2"/>
    </row>
    <row r="3173" spans="3:3">
      <c r="C3173" s="2"/>
    </row>
    <row r="3174" spans="3:3">
      <c r="C3174" s="2"/>
    </row>
    <row r="3175" spans="3:3">
      <c r="C3175" s="2"/>
    </row>
    <row r="3176" spans="3:3">
      <c r="C3176" s="2"/>
    </row>
    <row r="3177" spans="3:3">
      <c r="C3177" s="2"/>
    </row>
    <row r="3178" spans="3:3">
      <c r="C3178" s="2"/>
    </row>
    <row r="3179" spans="3:3">
      <c r="C3179" s="2"/>
    </row>
    <row r="3180" spans="3:3">
      <c r="C3180" s="2"/>
    </row>
    <row r="3181" spans="3:3">
      <c r="C3181" s="2"/>
    </row>
    <row r="3182" spans="3:3">
      <c r="C3182" s="2"/>
    </row>
    <row r="3183" spans="3:3">
      <c r="C3183" s="2"/>
    </row>
    <row r="3184" spans="3:3">
      <c r="C3184" s="2"/>
    </row>
    <row r="3185" spans="3:3">
      <c r="C3185" s="2"/>
    </row>
    <row r="3186" spans="3:3">
      <c r="C3186" s="2"/>
    </row>
    <row r="3187" spans="3:3">
      <c r="C3187" s="2"/>
    </row>
    <row r="3188" spans="3:3">
      <c r="C3188" s="2"/>
    </row>
    <row r="3189" spans="3:3">
      <c r="C3189" s="2"/>
    </row>
    <row r="3190" spans="3:3">
      <c r="C3190" s="2"/>
    </row>
    <row r="3191" spans="3:3">
      <c r="C3191" s="2"/>
    </row>
    <row r="3192" spans="3:3">
      <c r="C3192" s="2"/>
    </row>
    <row r="3193" spans="3:3">
      <c r="C3193" s="2"/>
    </row>
    <row r="3194" spans="3:3">
      <c r="C3194" s="2"/>
    </row>
    <row r="3195" spans="3:3">
      <c r="C3195" s="2"/>
    </row>
    <row r="3196" spans="3:3">
      <c r="C3196" s="2"/>
    </row>
    <row r="3197" spans="3:3">
      <c r="C3197" s="2"/>
    </row>
    <row r="3198" spans="3:3">
      <c r="C3198" s="2"/>
    </row>
    <row r="3199" spans="3:3">
      <c r="C3199" s="2"/>
    </row>
    <row r="3200" spans="3:3">
      <c r="C3200" s="2"/>
    </row>
    <row r="3201" spans="3:3">
      <c r="C3201" s="2"/>
    </row>
    <row r="3202" spans="3:3">
      <c r="C3202" s="2"/>
    </row>
    <row r="3203" spans="3:3">
      <c r="C3203" s="2"/>
    </row>
    <row r="3204" spans="3:3">
      <c r="C3204" s="2"/>
    </row>
    <row r="3205" spans="3:3">
      <c r="C3205" s="2"/>
    </row>
    <row r="3206" spans="3:3">
      <c r="C3206" s="2"/>
    </row>
    <row r="3207" spans="3:3">
      <c r="C3207" s="2"/>
    </row>
    <row r="3208" spans="3:3">
      <c r="C3208" s="2"/>
    </row>
    <row r="3209" spans="3:3">
      <c r="C3209" s="2"/>
    </row>
    <row r="3210" spans="3:3">
      <c r="C3210" s="2"/>
    </row>
    <row r="3211" spans="3:3">
      <c r="C3211" s="2"/>
    </row>
    <row r="3212" spans="3:3">
      <c r="C3212" s="2"/>
    </row>
    <row r="3213" spans="3:3">
      <c r="C3213" s="2"/>
    </row>
    <row r="3214" spans="3:3">
      <c r="C3214" s="2"/>
    </row>
    <row r="3215" spans="3:3">
      <c r="C3215" s="2"/>
    </row>
    <row r="3216" spans="3:3">
      <c r="C3216" s="2"/>
    </row>
    <row r="3217" spans="3:3">
      <c r="C3217" s="2"/>
    </row>
    <row r="3218" spans="3:3">
      <c r="C3218" s="2"/>
    </row>
    <row r="3219" spans="3:3">
      <c r="C3219" s="2"/>
    </row>
    <row r="3220" spans="3:3">
      <c r="C3220" s="2"/>
    </row>
    <row r="3221" spans="3:3">
      <c r="C3221" s="2"/>
    </row>
    <row r="3222" spans="3:3">
      <c r="C3222" s="2"/>
    </row>
    <row r="3223" spans="3:3">
      <c r="C3223" s="2"/>
    </row>
    <row r="3224" spans="3:3">
      <c r="C3224" s="2"/>
    </row>
    <row r="3225" spans="3:3">
      <c r="C3225" s="2"/>
    </row>
    <row r="3226" spans="3:3">
      <c r="C3226" s="2"/>
    </row>
    <row r="3227" spans="3:3">
      <c r="C3227" s="2"/>
    </row>
    <row r="3228" spans="3:3">
      <c r="C3228" s="2"/>
    </row>
    <row r="3229" spans="3:3">
      <c r="C3229" s="2"/>
    </row>
    <row r="3230" spans="3:3">
      <c r="C3230" s="2"/>
    </row>
    <row r="3231" spans="3:3">
      <c r="C3231" s="2"/>
    </row>
    <row r="3232" spans="3:3">
      <c r="C3232" s="2"/>
    </row>
    <row r="3233" spans="3:3">
      <c r="C3233" s="2"/>
    </row>
    <row r="3234" spans="3:3">
      <c r="C3234" s="2"/>
    </row>
    <row r="3235" spans="3:3">
      <c r="C3235" s="2"/>
    </row>
    <row r="3236" spans="3:3">
      <c r="C3236" s="2"/>
    </row>
    <row r="3237" spans="3:3">
      <c r="C3237" s="2"/>
    </row>
    <row r="3238" spans="3:3">
      <c r="C3238" s="2"/>
    </row>
    <row r="3239" spans="3:3">
      <c r="C3239" s="2"/>
    </row>
    <row r="3240" spans="3:3">
      <c r="C3240" s="2"/>
    </row>
    <row r="3241" spans="3:3">
      <c r="C3241" s="2"/>
    </row>
    <row r="3242" spans="3:3">
      <c r="C3242" s="2"/>
    </row>
    <row r="3243" spans="3:3">
      <c r="C3243" s="2"/>
    </row>
    <row r="3244" spans="3:3">
      <c r="C3244" s="2"/>
    </row>
    <row r="3245" spans="3:3">
      <c r="C3245" s="2"/>
    </row>
    <row r="3246" spans="3:3">
      <c r="C3246" s="2"/>
    </row>
    <row r="3247" spans="3:3">
      <c r="C3247" s="2"/>
    </row>
    <row r="3248" spans="3:3">
      <c r="C3248" s="2"/>
    </row>
    <row r="3249" spans="3:3">
      <c r="C3249" s="2"/>
    </row>
    <row r="3250" spans="3:3">
      <c r="C3250" s="2"/>
    </row>
    <row r="3251" spans="3:3">
      <c r="C3251" s="2"/>
    </row>
    <row r="3252" spans="3:3">
      <c r="C3252" s="2"/>
    </row>
    <row r="3253" spans="3:3">
      <c r="C3253" s="2"/>
    </row>
    <row r="3254" spans="3:3">
      <c r="C3254" s="2"/>
    </row>
    <row r="3255" spans="3:3">
      <c r="C3255" s="2"/>
    </row>
    <row r="3256" spans="3:3">
      <c r="C3256" s="2"/>
    </row>
    <row r="3257" spans="3:3">
      <c r="C3257" s="2"/>
    </row>
    <row r="3258" spans="3:3">
      <c r="C3258" s="2"/>
    </row>
    <row r="3259" spans="3:3">
      <c r="C3259" s="2"/>
    </row>
    <row r="3260" spans="3:3">
      <c r="C3260" s="2"/>
    </row>
    <row r="3261" spans="3:3">
      <c r="C3261" s="2"/>
    </row>
    <row r="3262" spans="3:3">
      <c r="C3262" s="2"/>
    </row>
    <row r="3263" spans="3:3">
      <c r="C3263" s="2"/>
    </row>
    <row r="3264" spans="3:3">
      <c r="C3264" s="2"/>
    </row>
    <row r="3265" spans="3:3">
      <c r="C3265" s="2"/>
    </row>
    <row r="3266" spans="3:3">
      <c r="C3266" s="2"/>
    </row>
    <row r="3267" spans="3:3">
      <c r="C3267" s="2"/>
    </row>
    <row r="3268" spans="3:3">
      <c r="C3268" s="2"/>
    </row>
    <row r="3269" spans="3:3">
      <c r="C3269" s="2"/>
    </row>
    <row r="3270" spans="3:3">
      <c r="C3270" s="2"/>
    </row>
    <row r="3271" spans="3:3">
      <c r="C3271" s="2"/>
    </row>
    <row r="3272" spans="3:3">
      <c r="C3272" s="2"/>
    </row>
    <row r="3273" spans="3:3">
      <c r="C3273" s="2"/>
    </row>
    <row r="3274" spans="3:3">
      <c r="C3274" s="2"/>
    </row>
    <row r="3275" spans="3:3">
      <c r="C3275" s="2"/>
    </row>
    <row r="3276" spans="3:3">
      <c r="C3276" s="2"/>
    </row>
    <row r="3277" spans="3:3">
      <c r="C3277" s="2"/>
    </row>
    <row r="3278" spans="3:3">
      <c r="C3278" s="2"/>
    </row>
    <row r="3279" spans="3:3">
      <c r="C3279" s="2"/>
    </row>
    <row r="3280" spans="3:3">
      <c r="C3280" s="2"/>
    </row>
    <row r="3281" spans="3:3">
      <c r="C3281" s="2"/>
    </row>
    <row r="3282" spans="3:3">
      <c r="C3282" s="2"/>
    </row>
    <row r="3283" spans="3:3">
      <c r="C3283" s="2"/>
    </row>
    <row r="3284" spans="3:3">
      <c r="C3284" s="2"/>
    </row>
    <row r="3285" spans="3:3">
      <c r="C3285" s="2"/>
    </row>
    <row r="3286" spans="3:3">
      <c r="C3286" s="2"/>
    </row>
    <row r="3287" spans="3:3">
      <c r="C3287" s="2"/>
    </row>
    <row r="3288" spans="3:3">
      <c r="C3288" s="2"/>
    </row>
    <row r="3289" spans="3:3">
      <c r="C3289" s="2"/>
    </row>
    <row r="3290" spans="3:3">
      <c r="C3290" s="2"/>
    </row>
    <row r="3291" spans="3:3">
      <c r="C3291" s="2"/>
    </row>
    <row r="3292" spans="3:3">
      <c r="C3292" s="2"/>
    </row>
    <row r="3293" spans="3:3">
      <c r="C3293" s="2"/>
    </row>
    <row r="3294" spans="3:3">
      <c r="C3294" s="2"/>
    </row>
    <row r="3295" spans="3:3">
      <c r="C3295" s="2"/>
    </row>
    <row r="3296" spans="3:3">
      <c r="C3296" s="2"/>
    </row>
    <row r="3297" spans="3:3">
      <c r="C3297" s="2"/>
    </row>
    <row r="3298" spans="3:3">
      <c r="C3298" s="2"/>
    </row>
    <row r="3299" spans="3:3">
      <c r="C3299" s="2"/>
    </row>
    <row r="3300" spans="3:3">
      <c r="C3300" s="2"/>
    </row>
    <row r="3301" spans="3:3">
      <c r="C3301" s="2"/>
    </row>
    <row r="3302" spans="3:3">
      <c r="C3302" s="2"/>
    </row>
    <row r="3303" spans="3:3">
      <c r="C3303" s="2"/>
    </row>
    <row r="3304" spans="3:3">
      <c r="C3304" s="2"/>
    </row>
    <row r="3305" spans="3:3">
      <c r="C3305" s="2"/>
    </row>
    <row r="3306" spans="3:3">
      <c r="C3306" s="2"/>
    </row>
    <row r="3307" spans="3:3">
      <c r="C3307" s="2"/>
    </row>
    <row r="3308" spans="3:3">
      <c r="C3308" s="2"/>
    </row>
    <row r="3309" spans="3:3">
      <c r="C3309" s="2"/>
    </row>
    <row r="3310" spans="3:3">
      <c r="C3310" s="2"/>
    </row>
    <row r="3311" spans="3:3">
      <c r="C3311" s="2"/>
    </row>
    <row r="3312" spans="3:3">
      <c r="C3312" s="2"/>
    </row>
    <row r="3313" spans="3:3">
      <c r="C3313" s="2"/>
    </row>
    <row r="3314" spans="3:3">
      <c r="C3314" s="2"/>
    </row>
    <row r="3315" spans="3:3">
      <c r="C3315" s="2"/>
    </row>
    <row r="3316" spans="3:3">
      <c r="C3316" s="2"/>
    </row>
    <row r="3317" spans="3:3">
      <c r="C3317" s="2"/>
    </row>
    <row r="3318" spans="3:3">
      <c r="C3318" s="2"/>
    </row>
    <row r="3319" spans="3:3">
      <c r="C3319" s="2"/>
    </row>
    <row r="3320" spans="3:3">
      <c r="C3320" s="2"/>
    </row>
    <row r="3321" spans="3:3">
      <c r="C3321" s="2"/>
    </row>
    <row r="3322" spans="3:3">
      <c r="C3322" s="2"/>
    </row>
    <row r="3323" spans="3:3">
      <c r="C3323" s="2"/>
    </row>
    <row r="3324" spans="3:3">
      <c r="C3324" s="2"/>
    </row>
    <row r="3325" spans="3:3">
      <c r="C3325" s="2"/>
    </row>
    <row r="3326" spans="3:3">
      <c r="C3326" s="2"/>
    </row>
    <row r="3327" spans="3:3">
      <c r="C3327" s="2"/>
    </row>
    <row r="3328" spans="3:3">
      <c r="C3328" s="2"/>
    </row>
    <row r="3329" spans="3:3">
      <c r="C3329" s="2"/>
    </row>
    <row r="3330" spans="3:3">
      <c r="C3330" s="2"/>
    </row>
    <row r="3331" spans="3:3">
      <c r="C3331" s="2"/>
    </row>
    <row r="3332" spans="3:3">
      <c r="C3332" s="2"/>
    </row>
    <row r="3333" spans="3:3">
      <c r="C3333" s="2"/>
    </row>
    <row r="3334" spans="3:3">
      <c r="C3334" s="2"/>
    </row>
    <row r="3335" spans="3:3">
      <c r="C3335" s="2"/>
    </row>
    <row r="3336" spans="3:3">
      <c r="C3336" s="2"/>
    </row>
    <row r="3337" spans="3:3">
      <c r="C3337" s="2"/>
    </row>
    <row r="3338" spans="3:3">
      <c r="C3338" s="2"/>
    </row>
    <row r="3339" spans="3:3">
      <c r="C3339" s="2"/>
    </row>
    <row r="3340" spans="3:3">
      <c r="C3340" s="2"/>
    </row>
    <row r="3341" spans="3:3">
      <c r="C3341" s="2"/>
    </row>
    <row r="3342" spans="3:3">
      <c r="C3342" s="2"/>
    </row>
    <row r="3343" spans="3:3">
      <c r="C3343" s="2"/>
    </row>
    <row r="3344" spans="3:3">
      <c r="C3344" s="2"/>
    </row>
    <row r="3345" spans="3:3">
      <c r="C3345" s="2"/>
    </row>
    <row r="3346" spans="3:3">
      <c r="C3346" s="2"/>
    </row>
    <row r="3347" spans="3:3">
      <c r="C3347" s="2"/>
    </row>
    <row r="3348" spans="3:3">
      <c r="C3348" s="2"/>
    </row>
    <row r="3349" spans="3:3">
      <c r="C3349" s="2"/>
    </row>
    <row r="3350" spans="3:3">
      <c r="C3350" s="2"/>
    </row>
    <row r="3351" spans="3:3">
      <c r="C3351" s="2"/>
    </row>
    <row r="3352" spans="3:3">
      <c r="C3352" s="2"/>
    </row>
    <row r="3353" spans="3:3">
      <c r="C3353" s="2"/>
    </row>
    <row r="3354" spans="3:3">
      <c r="C3354" s="2"/>
    </row>
    <row r="3355" spans="3:3">
      <c r="C3355" s="2"/>
    </row>
    <row r="3356" spans="3:3">
      <c r="C3356" s="2"/>
    </row>
    <row r="3357" spans="3:3">
      <c r="C3357" s="2"/>
    </row>
    <row r="3358" spans="3:3">
      <c r="C3358" s="2"/>
    </row>
    <row r="3359" spans="3:3">
      <c r="C3359" s="2"/>
    </row>
    <row r="3360" spans="3:3">
      <c r="C3360" s="2"/>
    </row>
    <row r="3361" spans="3:3">
      <c r="C3361" s="2"/>
    </row>
    <row r="3362" spans="3:3">
      <c r="C3362" s="2"/>
    </row>
    <row r="3363" spans="3:3">
      <c r="C3363" s="2"/>
    </row>
    <row r="3364" spans="3:3">
      <c r="C3364" s="2"/>
    </row>
    <row r="3365" spans="3:3">
      <c r="C3365" s="2"/>
    </row>
    <row r="3366" spans="3:3">
      <c r="C3366" s="2"/>
    </row>
    <row r="3367" spans="3:3">
      <c r="C3367" s="2"/>
    </row>
    <row r="3368" spans="3:3">
      <c r="C3368" s="2"/>
    </row>
    <row r="3369" spans="3:3">
      <c r="C3369" s="2"/>
    </row>
    <row r="3370" spans="3:3">
      <c r="C3370" s="2"/>
    </row>
    <row r="3371" spans="3:3">
      <c r="C3371" s="2"/>
    </row>
    <row r="3372" spans="3:3">
      <c r="C3372" s="2"/>
    </row>
    <row r="3373" spans="3:3">
      <c r="C3373" s="2"/>
    </row>
    <row r="3374" spans="3:3">
      <c r="C3374" s="2"/>
    </row>
    <row r="3375" spans="3:3">
      <c r="C3375" s="2"/>
    </row>
    <row r="3376" spans="3:3">
      <c r="C3376" s="2"/>
    </row>
    <row r="3377" spans="3:3">
      <c r="C3377" s="2"/>
    </row>
    <row r="3378" spans="3:3">
      <c r="C3378" s="2"/>
    </row>
    <row r="3379" spans="3:3">
      <c r="C3379" s="2"/>
    </row>
    <row r="3380" spans="3:3">
      <c r="C3380" s="2"/>
    </row>
    <row r="3381" spans="3:3">
      <c r="C3381" s="2"/>
    </row>
    <row r="3382" spans="3:3">
      <c r="C3382" s="2"/>
    </row>
    <row r="3383" spans="3:3">
      <c r="C3383" s="2"/>
    </row>
    <row r="3384" spans="3:3">
      <c r="C3384" s="2"/>
    </row>
    <row r="3385" spans="3:3">
      <c r="C3385" s="2"/>
    </row>
    <row r="3386" spans="3:3">
      <c r="C3386" s="2"/>
    </row>
    <row r="3387" spans="3:3">
      <c r="C3387" s="2"/>
    </row>
    <row r="3388" spans="3:3">
      <c r="C3388" s="2"/>
    </row>
    <row r="3389" spans="3:3">
      <c r="C3389" s="2"/>
    </row>
    <row r="3390" spans="3:3">
      <c r="C3390" s="2"/>
    </row>
    <row r="3391" spans="3:3">
      <c r="C3391" s="2"/>
    </row>
    <row r="3392" spans="3:3">
      <c r="C3392" s="2"/>
    </row>
    <row r="3393" spans="3:3">
      <c r="C3393" s="2"/>
    </row>
    <row r="3394" spans="3:3">
      <c r="C3394" s="2"/>
    </row>
    <row r="3395" spans="3:3">
      <c r="C3395" s="2"/>
    </row>
    <row r="3396" spans="3:3">
      <c r="C3396" s="2"/>
    </row>
    <row r="3397" spans="3:3">
      <c r="C3397" s="2"/>
    </row>
    <row r="3398" spans="3:3">
      <c r="C3398" s="2"/>
    </row>
    <row r="3399" spans="3:3">
      <c r="C3399" s="2"/>
    </row>
    <row r="3400" spans="3:3">
      <c r="C3400" s="2"/>
    </row>
    <row r="3401" spans="3:3">
      <c r="C3401" s="2"/>
    </row>
    <row r="3402" spans="3:3">
      <c r="C3402" s="2"/>
    </row>
    <row r="3403" spans="3:3">
      <c r="C3403" s="2"/>
    </row>
    <row r="3404" spans="3:3">
      <c r="C3404" s="2"/>
    </row>
    <row r="3405" spans="3:3">
      <c r="C3405" s="2"/>
    </row>
    <row r="3406" spans="3:3">
      <c r="C3406" s="2"/>
    </row>
    <row r="3407" spans="3:3">
      <c r="C3407" s="2"/>
    </row>
    <row r="3408" spans="3:3">
      <c r="C3408" s="2"/>
    </row>
    <row r="3409" spans="3:3">
      <c r="C3409" s="2"/>
    </row>
    <row r="3410" spans="3:3">
      <c r="C3410" s="2"/>
    </row>
    <row r="3411" spans="3:3">
      <c r="C3411" s="2"/>
    </row>
    <row r="3412" spans="3:3">
      <c r="C3412" s="2"/>
    </row>
    <row r="3413" spans="3:3">
      <c r="C3413" s="2"/>
    </row>
    <row r="3414" spans="3:3">
      <c r="C3414" s="2"/>
    </row>
    <row r="3415" spans="3:3">
      <c r="C3415" s="2"/>
    </row>
    <row r="3416" spans="3:3">
      <c r="C3416" s="2"/>
    </row>
    <row r="3417" spans="3:3">
      <c r="C3417" s="2"/>
    </row>
    <row r="3418" spans="3:3">
      <c r="C3418" s="2"/>
    </row>
    <row r="3419" spans="3:3">
      <c r="C3419" s="2"/>
    </row>
    <row r="3420" spans="3:3">
      <c r="C3420" s="2"/>
    </row>
    <row r="3421" spans="3:3">
      <c r="C3421" s="2"/>
    </row>
    <row r="3422" spans="3:3">
      <c r="C3422" s="2"/>
    </row>
    <row r="3423" spans="3:3">
      <c r="C3423" s="2"/>
    </row>
    <row r="3424" spans="3:3">
      <c r="C3424" s="2"/>
    </row>
    <row r="3425" spans="3:3">
      <c r="C3425" s="2"/>
    </row>
    <row r="3426" spans="3:3">
      <c r="C3426" s="2"/>
    </row>
    <row r="3427" spans="3:3">
      <c r="C3427" s="2"/>
    </row>
    <row r="3428" spans="3:3">
      <c r="C3428" s="2"/>
    </row>
    <row r="3429" spans="3:3">
      <c r="C3429" s="2"/>
    </row>
    <row r="3430" spans="3:3">
      <c r="C3430" s="2"/>
    </row>
    <row r="3431" spans="3:3">
      <c r="C3431" s="2"/>
    </row>
    <row r="3432" spans="3:3">
      <c r="C3432" s="2"/>
    </row>
    <row r="3433" spans="3:3">
      <c r="C3433" s="2"/>
    </row>
    <row r="3434" spans="3:3">
      <c r="C3434" s="2"/>
    </row>
    <row r="3435" spans="3:3">
      <c r="C3435" s="2"/>
    </row>
    <row r="3436" spans="3:3">
      <c r="C3436" s="2"/>
    </row>
    <row r="3437" spans="3:3">
      <c r="C3437" s="2"/>
    </row>
    <row r="3438" spans="3:3">
      <c r="C3438" s="2"/>
    </row>
    <row r="3439" spans="3:3">
      <c r="C3439" s="2"/>
    </row>
    <row r="3440" spans="3:3">
      <c r="C3440" s="2"/>
    </row>
    <row r="3441" spans="3:3">
      <c r="C3441" s="2"/>
    </row>
    <row r="3442" spans="3:3">
      <c r="C3442" s="2"/>
    </row>
    <row r="3443" spans="3:3">
      <c r="C3443" s="2"/>
    </row>
    <row r="3444" spans="3:3">
      <c r="C3444" s="2"/>
    </row>
    <row r="3445" spans="3:3">
      <c r="C3445" s="2"/>
    </row>
    <row r="3446" spans="3:3">
      <c r="C3446" s="2"/>
    </row>
    <row r="3447" spans="3:3">
      <c r="C3447" s="2"/>
    </row>
    <row r="3448" spans="3:3">
      <c r="C3448" s="2"/>
    </row>
    <row r="3449" spans="3:3">
      <c r="C3449" s="2"/>
    </row>
    <row r="3450" spans="3:3">
      <c r="C3450" s="2"/>
    </row>
    <row r="3451" spans="3:3">
      <c r="C3451" s="2"/>
    </row>
    <row r="3452" spans="3:3">
      <c r="C3452" s="2"/>
    </row>
    <row r="3453" spans="3:3">
      <c r="C3453" s="2"/>
    </row>
    <row r="3454" spans="3:3">
      <c r="C3454" s="2"/>
    </row>
    <row r="3455" spans="3:3">
      <c r="C3455" s="2"/>
    </row>
    <row r="3456" spans="3:3">
      <c r="C3456" s="2"/>
    </row>
    <row r="3457" spans="3:3">
      <c r="C3457" s="2"/>
    </row>
    <row r="3458" spans="3:3">
      <c r="C3458" s="2"/>
    </row>
    <row r="3459" spans="3:3">
      <c r="C3459" s="2"/>
    </row>
    <row r="3460" spans="3:3">
      <c r="C3460" s="2"/>
    </row>
    <row r="3461" spans="3:3">
      <c r="C3461" s="2"/>
    </row>
    <row r="3462" spans="3:3">
      <c r="C3462" s="2"/>
    </row>
    <row r="3463" spans="3:3">
      <c r="C3463" s="2"/>
    </row>
    <row r="3464" spans="3:3">
      <c r="C3464" s="2"/>
    </row>
    <row r="3465" spans="3:3">
      <c r="C3465" s="2"/>
    </row>
    <row r="3466" spans="3:3">
      <c r="C3466" s="2"/>
    </row>
    <row r="3467" spans="3:3">
      <c r="C3467" s="2"/>
    </row>
    <row r="3468" spans="3:3">
      <c r="C3468" s="2"/>
    </row>
    <row r="3469" spans="3:3">
      <c r="C3469" s="2"/>
    </row>
    <row r="3470" spans="3:3">
      <c r="C3470" s="2"/>
    </row>
    <row r="3471" spans="3:3">
      <c r="C3471" s="2"/>
    </row>
    <row r="3472" spans="3:3">
      <c r="C3472" s="2"/>
    </row>
    <row r="3473" spans="3:3">
      <c r="C3473" s="2"/>
    </row>
    <row r="3474" spans="3:3">
      <c r="C3474" s="2"/>
    </row>
    <row r="3475" spans="3:3">
      <c r="C3475" s="2"/>
    </row>
    <row r="3476" spans="3:3">
      <c r="C3476" s="2"/>
    </row>
    <row r="3477" spans="3:3">
      <c r="C3477" s="2"/>
    </row>
    <row r="3478" spans="3:3">
      <c r="C3478" s="2"/>
    </row>
    <row r="3479" spans="3:3">
      <c r="C3479" s="2"/>
    </row>
    <row r="3480" spans="3:3">
      <c r="C3480" s="2"/>
    </row>
    <row r="3481" spans="3:3">
      <c r="C3481" s="2"/>
    </row>
    <row r="3482" spans="3:3">
      <c r="C3482" s="2"/>
    </row>
    <row r="3483" spans="3:3">
      <c r="C3483" s="2"/>
    </row>
    <row r="3484" spans="3:3">
      <c r="C3484" s="2"/>
    </row>
    <row r="3485" spans="3:3">
      <c r="C3485" s="2"/>
    </row>
    <row r="3486" spans="3:3">
      <c r="C3486" s="2"/>
    </row>
    <row r="3487" spans="3:3">
      <c r="C3487" s="2"/>
    </row>
    <row r="3488" spans="3:3">
      <c r="C3488" s="2"/>
    </row>
    <row r="3489" spans="3:3">
      <c r="C3489" s="2"/>
    </row>
    <row r="3490" spans="3:3">
      <c r="C3490" s="2"/>
    </row>
    <row r="3491" spans="3:3">
      <c r="C3491" s="2"/>
    </row>
    <row r="3492" spans="3:3">
      <c r="C3492" s="2"/>
    </row>
    <row r="3493" spans="3:3">
      <c r="C3493" s="2"/>
    </row>
    <row r="3494" spans="3:3">
      <c r="C3494" s="2"/>
    </row>
    <row r="3495" spans="3:3">
      <c r="C3495" s="2"/>
    </row>
    <row r="3496" spans="3:3">
      <c r="C3496" s="2"/>
    </row>
    <row r="3497" spans="3:3">
      <c r="C3497" s="2"/>
    </row>
    <row r="3498" spans="3:3">
      <c r="C3498" s="2"/>
    </row>
    <row r="3499" spans="3:3">
      <c r="C3499" s="2"/>
    </row>
    <row r="3500" spans="3:3">
      <c r="C3500" s="2"/>
    </row>
    <row r="3501" spans="3:3">
      <c r="C3501" s="2"/>
    </row>
    <row r="3502" spans="3:3">
      <c r="C3502" s="2"/>
    </row>
    <row r="3503" spans="3:3">
      <c r="C3503" s="2"/>
    </row>
    <row r="3504" spans="3:3">
      <c r="C3504" s="2"/>
    </row>
    <row r="3505" spans="3:3">
      <c r="C3505" s="2"/>
    </row>
    <row r="3506" spans="3:3">
      <c r="C3506" s="2"/>
    </row>
    <row r="3507" spans="3:3">
      <c r="C3507" s="2"/>
    </row>
    <row r="3508" spans="3:3">
      <c r="C3508" s="2"/>
    </row>
    <row r="3509" spans="3:3">
      <c r="C3509" s="2"/>
    </row>
    <row r="3510" spans="3:3">
      <c r="C3510" s="2"/>
    </row>
    <row r="3511" spans="3:3">
      <c r="C3511" s="2"/>
    </row>
    <row r="3512" spans="3:3">
      <c r="C3512" s="2"/>
    </row>
    <row r="3513" spans="3:3">
      <c r="C3513" s="2"/>
    </row>
    <row r="3514" spans="3:3">
      <c r="C3514" s="2"/>
    </row>
    <row r="3515" spans="3:3">
      <c r="C3515" s="2"/>
    </row>
    <row r="3516" spans="3:3">
      <c r="C3516" s="2"/>
    </row>
    <row r="3517" spans="3:3">
      <c r="C3517" s="2"/>
    </row>
    <row r="3518" spans="3:3">
      <c r="C3518" s="2"/>
    </row>
    <row r="3519" spans="3:3">
      <c r="C3519" s="2"/>
    </row>
    <row r="3520" spans="3:3">
      <c r="C3520" s="2"/>
    </row>
    <row r="3521" spans="3:3">
      <c r="C3521" s="2"/>
    </row>
    <row r="3522" spans="3:3">
      <c r="C3522" s="2"/>
    </row>
    <row r="3523" spans="3:3">
      <c r="C3523" s="2"/>
    </row>
    <row r="3524" spans="3:3">
      <c r="C3524" s="2"/>
    </row>
    <row r="3525" spans="3:3">
      <c r="C3525" s="2"/>
    </row>
    <row r="3526" spans="3:3">
      <c r="C3526" s="2"/>
    </row>
    <row r="3527" spans="3:3">
      <c r="C3527" s="2"/>
    </row>
    <row r="3528" spans="3:3">
      <c r="C3528" s="2"/>
    </row>
    <row r="3529" spans="3:3">
      <c r="C3529" s="2"/>
    </row>
    <row r="3530" spans="3:3">
      <c r="C3530" s="2"/>
    </row>
    <row r="3531" spans="3:3">
      <c r="C3531" s="2"/>
    </row>
    <row r="3532" spans="3:3">
      <c r="C3532" s="2"/>
    </row>
    <row r="3533" spans="3:3">
      <c r="C3533" s="2"/>
    </row>
    <row r="3534" spans="3:3">
      <c r="C3534" s="2"/>
    </row>
    <row r="3535" spans="3:3">
      <c r="C3535" s="2"/>
    </row>
    <row r="3536" spans="3:3">
      <c r="C3536" s="2"/>
    </row>
    <row r="3537" spans="3:3">
      <c r="C3537" s="2"/>
    </row>
    <row r="3538" spans="3:3">
      <c r="C3538" s="2"/>
    </row>
    <row r="3539" spans="3:3">
      <c r="C3539" s="2"/>
    </row>
    <row r="3540" spans="3:3">
      <c r="C3540" s="2"/>
    </row>
    <row r="3541" spans="3:3">
      <c r="C3541" s="2"/>
    </row>
    <row r="3542" spans="3:3">
      <c r="C3542" s="2"/>
    </row>
    <row r="3543" spans="3:3">
      <c r="C3543" s="2"/>
    </row>
    <row r="3544" spans="3:3">
      <c r="C3544" s="2"/>
    </row>
    <row r="3545" spans="3:3">
      <c r="C3545" s="2"/>
    </row>
    <row r="3546" spans="3:3">
      <c r="C3546" s="2"/>
    </row>
    <row r="3547" spans="3:3">
      <c r="C3547" s="2"/>
    </row>
    <row r="3548" spans="3:3">
      <c r="C3548" s="2"/>
    </row>
    <row r="3549" spans="3:3">
      <c r="C3549" s="2"/>
    </row>
    <row r="3550" spans="3:3">
      <c r="C3550" s="2"/>
    </row>
    <row r="3551" spans="3:3">
      <c r="C3551" s="2"/>
    </row>
    <row r="3552" spans="3:3">
      <c r="C3552" s="2"/>
    </row>
    <row r="3553" spans="3:3">
      <c r="C3553" s="2"/>
    </row>
    <row r="3554" spans="3:3">
      <c r="C3554" s="2"/>
    </row>
    <row r="3555" spans="3:3">
      <c r="C3555" s="2"/>
    </row>
    <row r="3556" spans="3:3">
      <c r="C3556" s="2"/>
    </row>
    <row r="3557" spans="3:3">
      <c r="C3557" s="2"/>
    </row>
    <row r="3558" spans="3:3">
      <c r="C3558" s="2"/>
    </row>
    <row r="3559" spans="3:3">
      <c r="C3559" s="2"/>
    </row>
    <row r="3560" spans="3:3">
      <c r="C3560" s="2"/>
    </row>
    <row r="3561" spans="3:3">
      <c r="C3561" s="2"/>
    </row>
    <row r="3562" spans="3:3">
      <c r="C3562" s="2"/>
    </row>
    <row r="3563" spans="3:3">
      <c r="C3563" s="2"/>
    </row>
    <row r="3564" spans="3:3">
      <c r="C3564" s="2"/>
    </row>
    <row r="3565" spans="3:3">
      <c r="C3565" s="2"/>
    </row>
    <row r="3566" spans="3:3">
      <c r="C3566" s="2"/>
    </row>
    <row r="3567" spans="3:3">
      <c r="C3567" s="2"/>
    </row>
    <row r="3568" spans="3:3">
      <c r="C3568" s="2"/>
    </row>
    <row r="3569" spans="3:3">
      <c r="C3569" s="2"/>
    </row>
    <row r="3570" spans="3:3">
      <c r="C3570" s="2"/>
    </row>
    <row r="3571" spans="3:3">
      <c r="C3571" s="2"/>
    </row>
    <row r="3572" spans="3:3">
      <c r="C3572" s="2"/>
    </row>
    <row r="3573" spans="3:3">
      <c r="C3573" s="2"/>
    </row>
    <row r="3574" spans="3:3">
      <c r="C3574" s="2"/>
    </row>
    <row r="3575" spans="3:3">
      <c r="C3575" s="2"/>
    </row>
    <row r="3576" spans="3:3">
      <c r="C3576" s="2"/>
    </row>
    <row r="3577" spans="3:3">
      <c r="C3577" s="2"/>
    </row>
    <row r="3578" spans="3:3">
      <c r="C3578" s="2"/>
    </row>
    <row r="3579" spans="3:3">
      <c r="C3579" s="2"/>
    </row>
    <row r="3580" spans="3:3">
      <c r="C3580" s="2"/>
    </row>
    <row r="3581" spans="3:3">
      <c r="C3581" s="2"/>
    </row>
    <row r="3582" spans="3:3">
      <c r="C3582" s="2"/>
    </row>
    <row r="3583" spans="3:3">
      <c r="C3583" s="2"/>
    </row>
    <row r="3584" spans="3:3">
      <c r="C3584" s="2"/>
    </row>
    <row r="3585" spans="3:3">
      <c r="C3585" s="2"/>
    </row>
    <row r="3586" spans="3:3">
      <c r="C3586" s="2"/>
    </row>
    <row r="3587" spans="3:3">
      <c r="C3587" s="2"/>
    </row>
    <row r="3588" spans="3:3">
      <c r="C3588" s="2"/>
    </row>
    <row r="3589" spans="3:3">
      <c r="C3589" s="2"/>
    </row>
    <row r="3590" spans="3:3">
      <c r="C3590" s="2"/>
    </row>
    <row r="3591" spans="3:3">
      <c r="C3591" s="2"/>
    </row>
    <row r="3592" spans="3:3">
      <c r="C3592" s="2"/>
    </row>
    <row r="3593" spans="3:3">
      <c r="C3593" s="2"/>
    </row>
    <row r="3594" spans="3:3">
      <c r="C3594" s="2"/>
    </row>
    <row r="3595" spans="3:3">
      <c r="C3595" s="2"/>
    </row>
    <row r="3596" spans="3:3">
      <c r="C3596" s="2"/>
    </row>
    <row r="3597" spans="3:3">
      <c r="C3597" s="2"/>
    </row>
    <row r="3598" spans="3:3">
      <c r="C3598" s="2"/>
    </row>
    <row r="3599" spans="3:3">
      <c r="C3599" s="2"/>
    </row>
    <row r="3600" spans="3:3">
      <c r="C3600" s="2"/>
    </row>
    <row r="3601" spans="3:3">
      <c r="C3601" s="2"/>
    </row>
    <row r="3602" spans="3:3">
      <c r="C3602" s="2"/>
    </row>
    <row r="3603" spans="3:3">
      <c r="C3603" s="2"/>
    </row>
    <row r="3604" spans="3:3">
      <c r="C3604" s="2"/>
    </row>
    <row r="3605" spans="3:3">
      <c r="C3605" s="2"/>
    </row>
    <row r="3606" spans="3:3">
      <c r="C3606" s="2"/>
    </row>
    <row r="3607" spans="3:3">
      <c r="C3607" s="2"/>
    </row>
    <row r="3608" spans="3:3">
      <c r="C3608" s="2"/>
    </row>
    <row r="3609" spans="3:3">
      <c r="C3609" s="2"/>
    </row>
    <row r="3610" spans="3:3">
      <c r="C3610" s="2"/>
    </row>
    <row r="3611" spans="3:3">
      <c r="C3611" s="2"/>
    </row>
    <row r="3612" spans="3:3">
      <c r="C3612" s="2"/>
    </row>
    <row r="3613" spans="3:3">
      <c r="C3613" s="2"/>
    </row>
    <row r="3614" spans="3:3">
      <c r="C3614" s="2"/>
    </row>
    <row r="3615" spans="3:3">
      <c r="C3615" s="2"/>
    </row>
    <row r="3616" spans="3:3">
      <c r="C3616" s="2"/>
    </row>
    <row r="3617" spans="3:3">
      <c r="C3617" s="2"/>
    </row>
    <row r="3618" spans="3:3">
      <c r="C3618" s="2"/>
    </row>
    <row r="3619" spans="3:3">
      <c r="C3619" s="2"/>
    </row>
    <row r="3620" spans="3:3">
      <c r="C3620" s="2"/>
    </row>
    <row r="3621" spans="3:3">
      <c r="C3621" s="2"/>
    </row>
    <row r="3622" spans="3:3">
      <c r="C3622" s="2"/>
    </row>
    <row r="3623" spans="3:3">
      <c r="C3623" s="2"/>
    </row>
    <row r="3624" spans="3:3">
      <c r="C3624" s="2"/>
    </row>
    <row r="3625" spans="3:3">
      <c r="C3625" s="2"/>
    </row>
    <row r="3626" spans="3:3">
      <c r="C3626" s="2"/>
    </row>
    <row r="3627" spans="3:3">
      <c r="C3627" s="2"/>
    </row>
    <row r="3628" spans="3:3">
      <c r="C3628" s="2"/>
    </row>
    <row r="3629" spans="3:3">
      <c r="C3629" s="2"/>
    </row>
    <row r="3630" spans="3:3">
      <c r="C3630" s="2"/>
    </row>
    <row r="3631" spans="3:3">
      <c r="C3631" s="2"/>
    </row>
    <row r="3632" spans="3:3">
      <c r="C3632" s="2"/>
    </row>
    <row r="3633" spans="3:3">
      <c r="C3633" s="2"/>
    </row>
    <row r="3634" spans="3:3">
      <c r="C3634" s="2"/>
    </row>
    <row r="3635" spans="3:3">
      <c r="C3635" s="2"/>
    </row>
    <row r="3636" spans="3:3">
      <c r="C3636" s="2"/>
    </row>
    <row r="3637" spans="3:3">
      <c r="C3637" s="2"/>
    </row>
    <row r="3638" spans="3:3">
      <c r="C3638" s="2"/>
    </row>
    <row r="3639" spans="3:3">
      <c r="C3639" s="2"/>
    </row>
    <row r="3640" spans="3:3">
      <c r="C3640" s="2"/>
    </row>
    <row r="3641" spans="3:3">
      <c r="C3641" s="2"/>
    </row>
    <row r="3642" spans="3:3">
      <c r="C3642" s="2"/>
    </row>
    <row r="3643" spans="3:3">
      <c r="C3643" s="2"/>
    </row>
    <row r="3644" spans="3:3">
      <c r="C3644" s="2"/>
    </row>
    <row r="3645" spans="3:3">
      <c r="C3645" s="2"/>
    </row>
    <row r="3646" spans="3:3">
      <c r="C3646" s="2"/>
    </row>
    <row r="3647" spans="3:3">
      <c r="C3647" s="2"/>
    </row>
    <row r="3648" spans="3:3">
      <c r="C3648" s="2"/>
    </row>
    <row r="3649" spans="3:3">
      <c r="C3649" s="2"/>
    </row>
    <row r="3650" spans="3:3">
      <c r="C3650" s="2"/>
    </row>
    <row r="3651" spans="3:3">
      <c r="C3651" s="2"/>
    </row>
    <row r="3652" spans="3:3">
      <c r="C3652" s="2"/>
    </row>
    <row r="3653" spans="3:3">
      <c r="C3653" s="2"/>
    </row>
    <row r="3654" spans="3:3">
      <c r="C3654" s="2"/>
    </row>
    <row r="3655" spans="3:3">
      <c r="C3655" s="2"/>
    </row>
    <row r="3656" spans="3:3">
      <c r="C3656" s="2"/>
    </row>
    <row r="3657" spans="3:3">
      <c r="C3657" s="2"/>
    </row>
    <row r="3658" spans="3:3">
      <c r="C3658" s="2"/>
    </row>
    <row r="3659" spans="3:3">
      <c r="C3659" s="2"/>
    </row>
    <row r="3660" spans="3:3">
      <c r="C3660" s="2"/>
    </row>
    <row r="3661" spans="3:3">
      <c r="C3661" s="2"/>
    </row>
    <row r="3662" spans="3:3">
      <c r="C3662" s="2"/>
    </row>
    <row r="3663" spans="3:3">
      <c r="C3663" s="2"/>
    </row>
    <row r="3664" spans="3:3">
      <c r="C3664" s="2"/>
    </row>
    <row r="3665" spans="3:3">
      <c r="C3665" s="2"/>
    </row>
    <row r="3666" spans="3:3">
      <c r="C3666" s="2"/>
    </row>
    <row r="3667" spans="3:3">
      <c r="C3667" s="2"/>
    </row>
    <row r="3668" spans="3:3">
      <c r="C3668" s="2"/>
    </row>
    <row r="3669" spans="3:3">
      <c r="C3669" s="2"/>
    </row>
    <row r="3670" spans="3:3">
      <c r="C3670" s="2"/>
    </row>
    <row r="3671" spans="3:3">
      <c r="C3671" s="2"/>
    </row>
    <row r="3672" spans="3:3">
      <c r="C3672" s="2"/>
    </row>
    <row r="3673" spans="3:3">
      <c r="C3673" s="2"/>
    </row>
    <row r="3674" spans="3:3">
      <c r="C3674" s="2"/>
    </row>
    <row r="3675" spans="3:3">
      <c r="C3675" s="2"/>
    </row>
    <row r="3676" spans="3:3">
      <c r="C3676" s="2"/>
    </row>
    <row r="3677" spans="3:3">
      <c r="C3677" s="2"/>
    </row>
    <row r="3678" spans="3:3">
      <c r="C3678" s="2"/>
    </row>
    <row r="3679" spans="3:3">
      <c r="C3679" s="2"/>
    </row>
    <row r="3680" spans="3:3">
      <c r="C3680" s="2"/>
    </row>
    <row r="3681" spans="3:3">
      <c r="C3681" s="2"/>
    </row>
    <row r="3682" spans="3:3">
      <c r="C3682" s="2"/>
    </row>
    <row r="3683" spans="3:3">
      <c r="C3683" s="2"/>
    </row>
    <row r="3684" spans="3:3">
      <c r="C3684" s="2"/>
    </row>
    <row r="3685" spans="3:3">
      <c r="C3685" s="2"/>
    </row>
    <row r="3686" spans="3:3">
      <c r="C3686" s="2"/>
    </row>
    <row r="3687" spans="3:3">
      <c r="C3687" s="2"/>
    </row>
    <row r="3688" spans="3:3">
      <c r="C3688" s="2"/>
    </row>
    <row r="3689" spans="3:3">
      <c r="C3689" s="2"/>
    </row>
    <row r="3690" spans="3:3">
      <c r="C3690" s="2"/>
    </row>
    <row r="3691" spans="3:3">
      <c r="C3691" s="2"/>
    </row>
    <row r="3692" spans="3:3">
      <c r="C3692" s="2"/>
    </row>
    <row r="3693" spans="3:3">
      <c r="C3693" s="2"/>
    </row>
    <row r="3694" spans="3:3">
      <c r="C3694" s="2"/>
    </row>
    <row r="3695" spans="3:3">
      <c r="C3695" s="2"/>
    </row>
    <row r="3696" spans="3:3">
      <c r="C3696" s="2"/>
    </row>
    <row r="3697" spans="3:3">
      <c r="C3697" s="2"/>
    </row>
    <row r="3698" spans="3:3">
      <c r="C3698" s="2"/>
    </row>
    <row r="3699" spans="3:3">
      <c r="C3699" s="2"/>
    </row>
    <row r="3700" spans="3:3">
      <c r="C3700" s="2"/>
    </row>
    <row r="3701" spans="3:3">
      <c r="C3701" s="2"/>
    </row>
    <row r="3702" spans="3:3">
      <c r="C3702" s="2"/>
    </row>
    <row r="3703" spans="3:3">
      <c r="C3703" s="2"/>
    </row>
    <row r="3704" spans="3:3">
      <c r="C3704" s="2"/>
    </row>
    <row r="3705" spans="3:3">
      <c r="C3705" s="2"/>
    </row>
    <row r="3706" spans="3:3">
      <c r="C3706" s="2"/>
    </row>
    <row r="3707" spans="3:3">
      <c r="C3707" s="2"/>
    </row>
    <row r="3708" spans="3:3">
      <c r="C3708" s="2"/>
    </row>
    <row r="3709" spans="3:3">
      <c r="C3709" s="2"/>
    </row>
    <row r="3710" spans="3:3">
      <c r="C3710" s="2"/>
    </row>
    <row r="3711" spans="3:3">
      <c r="C3711" s="2"/>
    </row>
    <row r="3712" spans="3:3">
      <c r="C3712" s="2"/>
    </row>
    <row r="3713" spans="3:3">
      <c r="C3713" s="2"/>
    </row>
    <row r="3714" spans="3:3">
      <c r="C3714" s="2"/>
    </row>
    <row r="3715" spans="3:3">
      <c r="C3715" s="2"/>
    </row>
    <row r="3716" spans="3:3">
      <c r="C3716" s="2"/>
    </row>
    <row r="3717" spans="3:3">
      <c r="C3717" s="2"/>
    </row>
    <row r="3718" spans="3:3">
      <c r="C3718" s="2"/>
    </row>
    <row r="3719" spans="3:3">
      <c r="C3719" s="2"/>
    </row>
    <row r="3720" spans="3:3">
      <c r="C3720" s="2"/>
    </row>
    <row r="3721" spans="3:3">
      <c r="C3721" s="2"/>
    </row>
    <row r="3722" spans="3:3">
      <c r="C3722" s="2"/>
    </row>
    <row r="3723" spans="3:3">
      <c r="C3723" s="2"/>
    </row>
    <row r="3724" spans="3:3">
      <c r="C3724" s="2"/>
    </row>
    <row r="3725" spans="3:3">
      <c r="C3725" s="2"/>
    </row>
    <row r="3726" spans="3:3">
      <c r="C3726" s="2"/>
    </row>
    <row r="3727" spans="3:3">
      <c r="C3727" s="2"/>
    </row>
    <row r="3728" spans="3:3">
      <c r="C3728" s="2"/>
    </row>
    <row r="3729" spans="3:3">
      <c r="C3729" s="2"/>
    </row>
    <row r="3730" spans="3:3">
      <c r="C3730" s="2"/>
    </row>
    <row r="3731" spans="3:3">
      <c r="C3731" s="2"/>
    </row>
    <row r="3732" spans="3:3">
      <c r="C3732" s="2"/>
    </row>
    <row r="3733" spans="3:3">
      <c r="C3733" s="2"/>
    </row>
    <row r="3734" spans="3:3">
      <c r="C3734" s="2"/>
    </row>
    <row r="3735" spans="3:3">
      <c r="C3735" s="2"/>
    </row>
    <row r="3736" spans="3:3">
      <c r="C3736" s="2"/>
    </row>
    <row r="3737" spans="3:3">
      <c r="C3737" s="2"/>
    </row>
    <row r="3738" spans="3:3">
      <c r="C3738" s="2"/>
    </row>
    <row r="3739" spans="3:3">
      <c r="C3739" s="2"/>
    </row>
    <row r="3740" spans="3:3">
      <c r="C3740" s="2"/>
    </row>
    <row r="3741" spans="3:3">
      <c r="C3741" s="2"/>
    </row>
    <row r="3742" spans="3:3">
      <c r="C3742" s="2"/>
    </row>
    <row r="3743" spans="3:3">
      <c r="C3743" s="2"/>
    </row>
    <row r="3744" spans="3:3">
      <c r="C3744" s="2"/>
    </row>
    <row r="3745" spans="3:3">
      <c r="C3745" s="2"/>
    </row>
    <row r="3746" spans="3:3">
      <c r="C3746" s="2"/>
    </row>
    <row r="3747" spans="3:3">
      <c r="C3747" s="2"/>
    </row>
    <row r="3748" spans="3:3">
      <c r="C3748" s="2"/>
    </row>
    <row r="3749" spans="3:3">
      <c r="C3749" s="2"/>
    </row>
    <row r="3750" spans="3:3">
      <c r="C3750" s="2"/>
    </row>
    <row r="3751" spans="3:3">
      <c r="C3751" s="2"/>
    </row>
    <row r="3752" spans="3:3">
      <c r="C3752" s="2"/>
    </row>
    <row r="3753" spans="3:3">
      <c r="C3753" s="2"/>
    </row>
    <row r="3754" spans="3:3">
      <c r="C3754" s="2"/>
    </row>
    <row r="3755" spans="3:3">
      <c r="C3755" s="2"/>
    </row>
    <row r="3756" spans="3:3">
      <c r="C3756" s="2"/>
    </row>
    <row r="3757" spans="3:3">
      <c r="C3757" s="2"/>
    </row>
    <row r="3758" spans="3:3">
      <c r="C3758" s="2"/>
    </row>
    <row r="3759" spans="3:3">
      <c r="C3759" s="2"/>
    </row>
    <row r="3760" spans="3:3">
      <c r="C3760" s="2"/>
    </row>
    <row r="3761" spans="3:3">
      <c r="C3761" s="2"/>
    </row>
    <row r="3762" spans="3:3">
      <c r="C3762" s="2"/>
    </row>
    <row r="3763" spans="3:3">
      <c r="C3763" s="2"/>
    </row>
    <row r="3764" spans="3:3">
      <c r="C3764" s="2"/>
    </row>
    <row r="3765" spans="3:3">
      <c r="C3765" s="2"/>
    </row>
    <row r="3766" spans="3:3">
      <c r="C3766" s="2"/>
    </row>
    <row r="3767" spans="3:3">
      <c r="C3767" s="2"/>
    </row>
    <row r="3768" spans="3:3">
      <c r="C3768" s="2"/>
    </row>
    <row r="3769" spans="3:3">
      <c r="C3769" s="2"/>
    </row>
    <row r="3770" spans="3:3">
      <c r="C3770" s="2"/>
    </row>
    <row r="3771" spans="3:3">
      <c r="C3771" s="2"/>
    </row>
    <row r="3772" spans="3:3">
      <c r="C3772" s="2"/>
    </row>
    <row r="3773" spans="3:3">
      <c r="C3773" s="2"/>
    </row>
    <row r="3774" spans="3:3">
      <c r="C3774" s="2"/>
    </row>
    <row r="3775" spans="3:3">
      <c r="C3775" s="2"/>
    </row>
    <row r="3776" spans="3:3">
      <c r="C3776" s="2"/>
    </row>
    <row r="3777" spans="3:3">
      <c r="C3777" s="2"/>
    </row>
    <row r="3778" spans="3:3">
      <c r="C3778" s="2"/>
    </row>
    <row r="3779" spans="3:3">
      <c r="C3779" s="2"/>
    </row>
    <row r="3780" spans="3:3">
      <c r="C3780" s="2"/>
    </row>
    <row r="3781" spans="3:3">
      <c r="C3781" s="2"/>
    </row>
    <row r="3782" spans="3:3">
      <c r="C3782" s="2"/>
    </row>
    <row r="3783" spans="3:3">
      <c r="C3783" s="2"/>
    </row>
    <row r="3784" spans="3:3">
      <c r="C3784" s="2"/>
    </row>
    <row r="3785" spans="3:3">
      <c r="C3785" s="2"/>
    </row>
    <row r="3786" spans="3:3">
      <c r="C3786" s="2"/>
    </row>
    <row r="3787" spans="3:3">
      <c r="C3787" s="2"/>
    </row>
    <row r="3788" spans="3:3">
      <c r="C3788" s="2"/>
    </row>
    <row r="3789" spans="3:3">
      <c r="C3789" s="2"/>
    </row>
    <row r="3790" spans="3:3">
      <c r="C3790" s="2"/>
    </row>
    <row r="3791" spans="3:3">
      <c r="C3791" s="2"/>
    </row>
    <row r="3792" spans="3:3">
      <c r="C3792" s="2"/>
    </row>
    <row r="3793" spans="3:3">
      <c r="C3793" s="2"/>
    </row>
    <row r="3794" spans="3:3">
      <c r="C3794" s="2"/>
    </row>
    <row r="3795" spans="3:3">
      <c r="C3795" s="2"/>
    </row>
    <row r="3796" spans="3:3">
      <c r="C3796" s="2"/>
    </row>
    <row r="3797" spans="3:3">
      <c r="C3797" s="2"/>
    </row>
    <row r="3798" spans="3:3">
      <c r="C3798" s="2"/>
    </row>
    <row r="3799" spans="3:3">
      <c r="C3799" s="2"/>
    </row>
    <row r="3800" spans="3:3">
      <c r="C3800" s="2"/>
    </row>
    <row r="3801" spans="3:3">
      <c r="C3801" s="2"/>
    </row>
    <row r="3802" spans="3:3">
      <c r="C3802" s="2"/>
    </row>
    <row r="3803" spans="3:3">
      <c r="C3803" s="2"/>
    </row>
    <row r="3804" spans="3:3">
      <c r="C3804" s="2"/>
    </row>
    <row r="3805" spans="3:3">
      <c r="C3805" s="2"/>
    </row>
    <row r="3806" spans="3:3">
      <c r="C3806" s="2"/>
    </row>
    <row r="3807" spans="3:3">
      <c r="C3807" s="2"/>
    </row>
    <row r="3808" spans="3:3">
      <c r="C3808" s="2"/>
    </row>
    <row r="3809" spans="3:3">
      <c r="C3809" s="2"/>
    </row>
    <row r="3810" spans="3:3">
      <c r="C3810" s="2"/>
    </row>
    <row r="3811" spans="3:3">
      <c r="C3811" s="2"/>
    </row>
    <row r="3812" spans="3:3">
      <c r="C3812" s="2"/>
    </row>
    <row r="3813" spans="3:3">
      <c r="C3813" s="2"/>
    </row>
    <row r="3814" spans="3:3">
      <c r="C3814" s="2"/>
    </row>
    <row r="3815" spans="3:3">
      <c r="C3815" s="2"/>
    </row>
    <row r="3816" spans="3:3">
      <c r="C3816" s="2"/>
    </row>
    <row r="3817" spans="3:3">
      <c r="C3817" s="2"/>
    </row>
    <row r="3818" spans="3:3">
      <c r="C3818" s="2"/>
    </row>
    <row r="3819" spans="3:3">
      <c r="C3819" s="2"/>
    </row>
    <row r="3820" spans="3:3">
      <c r="C3820" s="2"/>
    </row>
    <row r="3821" spans="3:3">
      <c r="C3821" s="2"/>
    </row>
    <row r="3822" spans="3:3">
      <c r="C3822" s="2"/>
    </row>
    <row r="3823" spans="3:3">
      <c r="C3823" s="2"/>
    </row>
    <row r="3824" spans="3:3">
      <c r="C3824" s="2"/>
    </row>
    <row r="3825" spans="3:3">
      <c r="C3825" s="2"/>
    </row>
    <row r="3826" spans="3:3">
      <c r="C3826" s="2"/>
    </row>
    <row r="3827" spans="3:3">
      <c r="C3827" s="2"/>
    </row>
    <row r="3828" spans="3:3">
      <c r="C3828" s="2"/>
    </row>
    <row r="3829" spans="3:3">
      <c r="C3829" s="2"/>
    </row>
    <row r="3830" spans="3:3">
      <c r="C3830" s="2"/>
    </row>
    <row r="3831" spans="3:3">
      <c r="C3831" s="2"/>
    </row>
    <row r="3832" spans="3:3">
      <c r="C3832" s="2"/>
    </row>
    <row r="3833" spans="3:3">
      <c r="C3833" s="2"/>
    </row>
    <row r="3834" spans="3:3">
      <c r="C3834" s="2"/>
    </row>
    <row r="3835" spans="3:3">
      <c r="C3835" s="2"/>
    </row>
    <row r="3836" spans="3:3">
      <c r="C3836" s="2"/>
    </row>
    <row r="3837" spans="3:3">
      <c r="C3837" s="2"/>
    </row>
    <row r="3838" spans="3:3">
      <c r="C3838" s="2"/>
    </row>
    <row r="3839" spans="3:3">
      <c r="C3839" s="2"/>
    </row>
    <row r="3840" spans="3:3">
      <c r="C3840" s="2"/>
    </row>
    <row r="3841" spans="3:3">
      <c r="C3841" s="2"/>
    </row>
    <row r="3842" spans="3:3">
      <c r="C3842" s="2"/>
    </row>
    <row r="3843" spans="3:3">
      <c r="C3843" s="2"/>
    </row>
    <row r="3844" spans="3:3">
      <c r="C3844" s="2"/>
    </row>
    <row r="3845" spans="3:3">
      <c r="C3845" s="2"/>
    </row>
    <row r="3846" spans="3:3">
      <c r="C3846" s="2"/>
    </row>
    <row r="3847" spans="3:3">
      <c r="C3847" s="2"/>
    </row>
    <row r="3848" spans="3:3">
      <c r="C3848" s="2"/>
    </row>
    <row r="3849" spans="3:3">
      <c r="C3849" s="2"/>
    </row>
    <row r="3850" spans="3:3">
      <c r="C3850" s="2"/>
    </row>
    <row r="3851" spans="3:3">
      <c r="C3851" s="2"/>
    </row>
    <row r="3852" spans="3:3">
      <c r="C3852" s="2"/>
    </row>
    <row r="3853" spans="3:3">
      <c r="C3853" s="2"/>
    </row>
    <row r="3854" spans="3:3">
      <c r="C3854" s="2"/>
    </row>
    <row r="3855" spans="3:3">
      <c r="C3855" s="2"/>
    </row>
    <row r="3856" spans="3:3">
      <c r="C3856" s="2"/>
    </row>
    <row r="3857" spans="3:3">
      <c r="C3857" s="2"/>
    </row>
    <row r="3858" spans="3:3">
      <c r="C3858" s="2"/>
    </row>
    <row r="3859" spans="3:3">
      <c r="C3859" s="2"/>
    </row>
    <row r="3860" spans="3:3">
      <c r="C3860" s="2"/>
    </row>
    <row r="3861" spans="3:3">
      <c r="C3861" s="2"/>
    </row>
    <row r="3862" spans="3:3">
      <c r="C3862" s="2"/>
    </row>
    <row r="3863" spans="3:3">
      <c r="C3863" s="2"/>
    </row>
    <row r="3864" spans="3:3">
      <c r="C3864" s="2"/>
    </row>
    <row r="3865" spans="3:3">
      <c r="C3865" s="2"/>
    </row>
    <row r="3866" spans="3:3">
      <c r="C3866" s="2"/>
    </row>
    <row r="3867" spans="3:3">
      <c r="C3867" s="2"/>
    </row>
    <row r="3868" spans="3:3">
      <c r="C3868" s="2"/>
    </row>
    <row r="3869" spans="3:3">
      <c r="C3869" s="2"/>
    </row>
    <row r="3870" spans="3:3">
      <c r="C3870" s="2"/>
    </row>
    <row r="3871" spans="3:3">
      <c r="C3871" s="2"/>
    </row>
    <row r="3872" spans="3:3">
      <c r="C3872" s="2"/>
    </row>
    <row r="3873" spans="3:3">
      <c r="C3873" s="2"/>
    </row>
    <row r="3874" spans="3:3">
      <c r="C3874" s="2"/>
    </row>
    <row r="3875" spans="3:3">
      <c r="C3875" s="2"/>
    </row>
    <row r="3876" spans="3:3">
      <c r="C3876" s="2"/>
    </row>
    <row r="3877" spans="3:3">
      <c r="C3877" s="2"/>
    </row>
    <row r="3878" spans="3:3">
      <c r="C3878" s="2"/>
    </row>
    <row r="3879" spans="3:3">
      <c r="C3879" s="2"/>
    </row>
    <row r="3880" spans="3:3">
      <c r="C3880" s="2"/>
    </row>
    <row r="3881" spans="3:3">
      <c r="C3881" s="2"/>
    </row>
    <row r="3882" spans="3:3">
      <c r="C3882" s="2"/>
    </row>
    <row r="3883" spans="3:3">
      <c r="C3883" s="2"/>
    </row>
    <row r="3884" spans="3:3">
      <c r="C3884" s="2"/>
    </row>
    <row r="3885" spans="3:3">
      <c r="C3885" s="2"/>
    </row>
    <row r="3886" spans="3:3">
      <c r="C3886" s="2"/>
    </row>
    <row r="3887" spans="3:3">
      <c r="C3887" s="2"/>
    </row>
    <row r="3888" spans="3:3">
      <c r="C3888" s="2"/>
    </row>
    <row r="3889" spans="3:3">
      <c r="C3889" s="2"/>
    </row>
    <row r="3890" spans="3:3">
      <c r="C3890" s="2"/>
    </row>
    <row r="3891" spans="3:3">
      <c r="C3891" s="2"/>
    </row>
    <row r="3892" spans="3:3">
      <c r="C3892" s="2"/>
    </row>
    <row r="3893" spans="3:3">
      <c r="C3893" s="2"/>
    </row>
    <row r="3894" spans="3:3">
      <c r="C3894" s="2"/>
    </row>
    <row r="3895" spans="3:3">
      <c r="C3895" s="2"/>
    </row>
    <row r="3896" spans="3:3">
      <c r="C3896" s="2"/>
    </row>
    <row r="3897" spans="3:3">
      <c r="C3897" s="2"/>
    </row>
    <row r="3898" spans="3:3">
      <c r="C3898" s="2"/>
    </row>
    <row r="3899" spans="3:3">
      <c r="C3899" s="2"/>
    </row>
    <row r="3900" spans="3:3">
      <c r="C3900" s="2"/>
    </row>
    <row r="3901" spans="3:3">
      <c r="C3901" s="2"/>
    </row>
    <row r="3902" spans="3:3">
      <c r="C3902" s="2"/>
    </row>
    <row r="3903" spans="3:3">
      <c r="C3903" s="2"/>
    </row>
    <row r="3904" spans="3:3">
      <c r="C3904" s="2"/>
    </row>
    <row r="3905" spans="3:3">
      <c r="C3905" s="2"/>
    </row>
    <row r="3906" spans="3:3">
      <c r="C3906" s="2"/>
    </row>
    <row r="3907" spans="3:3">
      <c r="C3907" s="2"/>
    </row>
    <row r="3908" spans="3:3">
      <c r="C3908" s="2"/>
    </row>
    <row r="3909" spans="3:3">
      <c r="C3909" s="2"/>
    </row>
    <row r="3910" spans="3:3">
      <c r="C3910" s="2"/>
    </row>
    <row r="3911" spans="3:3">
      <c r="C3911" s="2"/>
    </row>
    <row r="3912" spans="3:3">
      <c r="C3912" s="2"/>
    </row>
    <row r="3913" spans="3:3">
      <c r="C3913" s="2"/>
    </row>
    <row r="3914" spans="3:3">
      <c r="C3914" s="2"/>
    </row>
    <row r="3915" spans="3:3">
      <c r="C3915" s="2"/>
    </row>
    <row r="3916" spans="3:3">
      <c r="C3916" s="2"/>
    </row>
    <row r="3917" spans="3:3">
      <c r="C3917" s="2"/>
    </row>
    <row r="3918" spans="3:3">
      <c r="C3918" s="2"/>
    </row>
    <row r="3919" spans="3:3">
      <c r="C3919" s="2"/>
    </row>
    <row r="3920" spans="3:3">
      <c r="C3920" s="2"/>
    </row>
    <row r="3921" spans="3:3">
      <c r="C3921" s="2"/>
    </row>
    <row r="3922" spans="3:3">
      <c r="C3922" s="2"/>
    </row>
    <row r="3923" spans="3:3">
      <c r="C3923" s="2"/>
    </row>
    <row r="3924" spans="3:3">
      <c r="C3924" s="2"/>
    </row>
    <row r="3925" spans="3:3">
      <c r="C3925" s="2"/>
    </row>
    <row r="3926" spans="3:3">
      <c r="C3926" s="2"/>
    </row>
    <row r="3927" spans="3:3">
      <c r="C3927" s="2"/>
    </row>
    <row r="3928" spans="3:3">
      <c r="C3928" s="2"/>
    </row>
    <row r="3929" spans="3:3">
      <c r="C3929" s="2"/>
    </row>
    <row r="3930" spans="3:3">
      <c r="C3930" s="2"/>
    </row>
    <row r="3931" spans="3:3">
      <c r="C3931" s="2"/>
    </row>
    <row r="3932" spans="3:3">
      <c r="C3932" s="2"/>
    </row>
    <row r="3933" spans="3:3">
      <c r="C3933" s="2"/>
    </row>
    <row r="3934" spans="3:3">
      <c r="C3934" s="2"/>
    </row>
    <row r="3935" spans="3:3">
      <c r="C3935" s="2"/>
    </row>
    <row r="3936" spans="3:3">
      <c r="C3936" s="2"/>
    </row>
    <row r="3937" spans="3:3">
      <c r="C3937" s="2"/>
    </row>
    <row r="3938" spans="3:3">
      <c r="C3938" s="2"/>
    </row>
    <row r="3939" spans="3:3">
      <c r="C3939" s="2"/>
    </row>
    <row r="3940" spans="3:3">
      <c r="C3940" s="2"/>
    </row>
    <row r="3941" spans="3:3">
      <c r="C3941" s="2"/>
    </row>
    <row r="3942" spans="3:3">
      <c r="C3942" s="2"/>
    </row>
    <row r="3943" spans="3:3">
      <c r="C3943" s="2"/>
    </row>
    <row r="3944" spans="3:3">
      <c r="C3944" s="2"/>
    </row>
    <row r="3945" spans="3:3">
      <c r="C3945" s="2"/>
    </row>
    <row r="3946" spans="3:3">
      <c r="C3946" s="2"/>
    </row>
    <row r="3947" spans="3:3">
      <c r="C3947" s="2"/>
    </row>
    <row r="3948" spans="3:3">
      <c r="C3948" s="2"/>
    </row>
    <row r="3949" spans="3:3">
      <c r="C3949" s="2"/>
    </row>
    <row r="3950" spans="3:3">
      <c r="C3950" s="2"/>
    </row>
    <row r="3951" spans="3:3">
      <c r="C3951" s="2"/>
    </row>
    <row r="3952" spans="3:3">
      <c r="C3952" s="2"/>
    </row>
    <row r="3953" spans="3:3">
      <c r="C3953" s="2"/>
    </row>
    <row r="3954" spans="3:3">
      <c r="C3954" s="2"/>
    </row>
    <row r="3955" spans="3:3">
      <c r="C3955" s="2"/>
    </row>
    <row r="3956" spans="3:3">
      <c r="C3956" s="2"/>
    </row>
    <row r="3957" spans="3:3">
      <c r="C3957" s="2"/>
    </row>
    <row r="3958" spans="3:3">
      <c r="C3958" s="2"/>
    </row>
    <row r="3959" spans="3:3">
      <c r="C3959" s="2"/>
    </row>
    <row r="3960" spans="3:3">
      <c r="C3960" s="2"/>
    </row>
    <row r="3961" spans="3:3">
      <c r="C3961" s="2"/>
    </row>
    <row r="3962" spans="3:3">
      <c r="C3962" s="2"/>
    </row>
    <row r="3963" spans="3:3">
      <c r="C3963" s="2"/>
    </row>
    <row r="3964" spans="3:3">
      <c r="C3964" s="2"/>
    </row>
    <row r="3965" spans="3:3">
      <c r="C3965" s="2"/>
    </row>
    <row r="3966" spans="3:3">
      <c r="C3966" s="2"/>
    </row>
    <row r="3967" spans="3:3">
      <c r="C3967" s="2"/>
    </row>
    <row r="3968" spans="3:3">
      <c r="C3968" s="2"/>
    </row>
    <row r="3969" spans="3:3">
      <c r="C3969" s="2"/>
    </row>
    <row r="3970" spans="3:3">
      <c r="C3970" s="2"/>
    </row>
    <row r="3971" spans="3:3">
      <c r="C3971" s="2"/>
    </row>
    <row r="3972" spans="3:3">
      <c r="C3972" s="2"/>
    </row>
    <row r="3973" spans="3:3">
      <c r="C3973" s="2"/>
    </row>
    <row r="3974" spans="3:3">
      <c r="C3974" s="2"/>
    </row>
    <row r="3975" spans="3:3">
      <c r="C3975" s="2"/>
    </row>
    <row r="3976" spans="3:3">
      <c r="C3976" s="2"/>
    </row>
    <row r="3977" spans="3:3">
      <c r="C3977" s="2"/>
    </row>
    <row r="3978" spans="3:3">
      <c r="C3978" s="2"/>
    </row>
    <row r="3979" spans="3:3">
      <c r="C3979" s="2"/>
    </row>
    <row r="3980" spans="3:3">
      <c r="C3980" s="2"/>
    </row>
    <row r="3981" spans="3:3">
      <c r="C3981" s="2"/>
    </row>
    <row r="3982" spans="3:3">
      <c r="C3982" s="2"/>
    </row>
    <row r="3983" spans="3:3">
      <c r="C3983" s="2"/>
    </row>
    <row r="3984" spans="3:3">
      <c r="C3984" s="2"/>
    </row>
    <row r="3985" spans="3:3">
      <c r="C3985" s="2"/>
    </row>
    <row r="3986" spans="3:3">
      <c r="C3986" s="2"/>
    </row>
    <row r="3987" spans="3:3">
      <c r="C3987" s="2"/>
    </row>
    <row r="3988" spans="3:3">
      <c r="C3988" s="2"/>
    </row>
    <row r="3989" spans="3:3">
      <c r="C3989" s="2"/>
    </row>
    <row r="3990" spans="3:3">
      <c r="C3990" s="2"/>
    </row>
    <row r="3991" spans="3:3">
      <c r="C3991" s="2"/>
    </row>
    <row r="3992" spans="3:3">
      <c r="C3992" s="2"/>
    </row>
    <row r="3993" spans="3:3">
      <c r="C3993" s="2"/>
    </row>
    <row r="3994" spans="3:3">
      <c r="C3994" s="2"/>
    </row>
    <row r="3995" spans="3:3">
      <c r="C3995" s="2"/>
    </row>
    <row r="3996" spans="3:3">
      <c r="C3996" s="2"/>
    </row>
    <row r="3997" spans="3:3">
      <c r="C3997" s="2"/>
    </row>
    <row r="3998" spans="3:3">
      <c r="C3998" s="2"/>
    </row>
    <row r="3999" spans="3:3">
      <c r="C3999" s="2"/>
    </row>
    <row r="4000" spans="3:3">
      <c r="C4000" s="2"/>
    </row>
    <row r="4001" spans="3:3">
      <c r="C4001" s="2"/>
    </row>
    <row r="4002" spans="3:3">
      <c r="C4002" s="2"/>
    </row>
    <row r="4003" spans="3:3">
      <c r="C4003" s="2"/>
    </row>
    <row r="4004" spans="3:3">
      <c r="C4004" s="2"/>
    </row>
    <row r="4005" spans="3:3">
      <c r="C4005" s="2"/>
    </row>
    <row r="4006" spans="3:3">
      <c r="C4006" s="2"/>
    </row>
    <row r="4007" spans="3:3">
      <c r="C4007" s="2"/>
    </row>
    <row r="4008" spans="3:3">
      <c r="C4008" s="2"/>
    </row>
    <row r="4009" spans="3:3">
      <c r="C4009" s="2"/>
    </row>
    <row r="4010" spans="3:3">
      <c r="C4010" s="2"/>
    </row>
    <row r="4011" spans="3:3">
      <c r="C4011" s="2"/>
    </row>
    <row r="4012" spans="3:3">
      <c r="C4012" s="2"/>
    </row>
    <row r="4013" spans="3:3">
      <c r="C4013" s="2"/>
    </row>
    <row r="4014" spans="3:3">
      <c r="C4014" s="2"/>
    </row>
    <row r="4015" spans="3:3">
      <c r="C4015" s="2"/>
    </row>
    <row r="4016" spans="3:3">
      <c r="C4016" s="2"/>
    </row>
    <row r="4017" spans="3:3">
      <c r="C4017" s="2"/>
    </row>
    <row r="4018" spans="3:3">
      <c r="C4018" s="2"/>
    </row>
    <row r="4019" spans="3:3">
      <c r="C4019" s="2"/>
    </row>
    <row r="4020" spans="3:3">
      <c r="C4020" s="2"/>
    </row>
    <row r="4021" spans="3:3">
      <c r="C4021" s="2"/>
    </row>
    <row r="4022" spans="3:3">
      <c r="C4022" s="2"/>
    </row>
    <row r="4023" spans="3:3">
      <c r="C4023" s="2"/>
    </row>
    <row r="4024" spans="3:3">
      <c r="C4024" s="2"/>
    </row>
    <row r="4025" spans="3:3">
      <c r="C4025" s="2"/>
    </row>
    <row r="4026" spans="3:3">
      <c r="C4026" s="2"/>
    </row>
    <row r="4027" spans="3:3">
      <c r="C4027" s="2"/>
    </row>
    <row r="4028" spans="3:3">
      <c r="C4028" s="2"/>
    </row>
    <row r="4029" spans="3:3">
      <c r="C4029" s="2"/>
    </row>
    <row r="4030" spans="3:3">
      <c r="C4030" s="2"/>
    </row>
    <row r="4031" spans="3:3">
      <c r="C4031" s="2"/>
    </row>
    <row r="4032" spans="3:3">
      <c r="C4032" s="2"/>
    </row>
    <row r="4033" spans="3:3">
      <c r="C4033" s="2"/>
    </row>
    <row r="4034" spans="3:3">
      <c r="C4034" s="2"/>
    </row>
    <row r="4035" spans="3:3">
      <c r="C4035" s="2"/>
    </row>
    <row r="4036" spans="3:3">
      <c r="C4036" s="2"/>
    </row>
    <row r="4037" spans="3:3">
      <c r="C4037" s="2"/>
    </row>
    <row r="4038" spans="3:3">
      <c r="C4038" s="2"/>
    </row>
    <row r="4039" spans="3:3">
      <c r="C4039" s="2"/>
    </row>
    <row r="4040" spans="3:3">
      <c r="C4040" s="2"/>
    </row>
    <row r="4041" spans="3:3">
      <c r="C4041" s="2"/>
    </row>
    <row r="4042" spans="3:3">
      <c r="C4042" s="2"/>
    </row>
    <row r="4043" spans="3:3">
      <c r="C4043" s="2"/>
    </row>
    <row r="4044" spans="3:3">
      <c r="C4044" s="2"/>
    </row>
    <row r="4045" spans="3:3">
      <c r="C4045" s="2"/>
    </row>
    <row r="4046" spans="3:3">
      <c r="C4046" s="2"/>
    </row>
    <row r="4047" spans="3:3">
      <c r="C4047" s="2"/>
    </row>
    <row r="4048" spans="3:3">
      <c r="C4048" s="2"/>
    </row>
    <row r="4049" spans="3:3">
      <c r="C4049" s="2"/>
    </row>
    <row r="4050" spans="3:3">
      <c r="C4050" s="2"/>
    </row>
    <row r="4051" spans="3:3">
      <c r="C4051" s="2"/>
    </row>
    <row r="4052" spans="3:3">
      <c r="C4052" s="2"/>
    </row>
    <row r="4053" spans="3:3">
      <c r="C4053" s="2"/>
    </row>
    <row r="4054" spans="3:3">
      <c r="C4054" s="2"/>
    </row>
    <row r="4055" spans="3:3">
      <c r="C4055" s="2"/>
    </row>
    <row r="4056" spans="3:3">
      <c r="C4056" s="2"/>
    </row>
    <row r="4057" spans="3:3">
      <c r="C4057" s="2"/>
    </row>
    <row r="4058" spans="3:3">
      <c r="C4058" s="2"/>
    </row>
    <row r="4059" spans="3:3">
      <c r="C4059" s="2"/>
    </row>
    <row r="4060" spans="3:3">
      <c r="C4060" s="2"/>
    </row>
    <row r="4061" spans="3:3">
      <c r="C4061" s="2"/>
    </row>
    <row r="4062" spans="3:3">
      <c r="C4062" s="2"/>
    </row>
    <row r="4063" spans="3:3">
      <c r="C4063" s="2"/>
    </row>
    <row r="4064" spans="3:3">
      <c r="C4064" s="2"/>
    </row>
    <row r="4065" spans="3:3">
      <c r="C4065" s="2"/>
    </row>
    <row r="4066" spans="3:3">
      <c r="C4066" s="2"/>
    </row>
    <row r="4067" spans="3:3">
      <c r="C4067" s="2"/>
    </row>
    <row r="4068" spans="3:3">
      <c r="C4068" s="2"/>
    </row>
    <row r="4069" spans="3:3">
      <c r="C4069" s="2"/>
    </row>
    <row r="4070" spans="3:3">
      <c r="C4070" s="2"/>
    </row>
    <row r="4071" spans="3:3">
      <c r="C4071" s="2"/>
    </row>
    <row r="4072" spans="3:3">
      <c r="C4072" s="2"/>
    </row>
    <row r="4073" spans="3:3">
      <c r="C4073" s="2"/>
    </row>
    <row r="4074" spans="3:3">
      <c r="C4074" s="2"/>
    </row>
    <row r="4075" spans="3:3">
      <c r="C4075" s="2"/>
    </row>
    <row r="4076" spans="3:3">
      <c r="C4076" s="2"/>
    </row>
    <row r="4077" spans="3:3">
      <c r="C4077" s="2"/>
    </row>
    <row r="4078" spans="3:3">
      <c r="C4078" s="2"/>
    </row>
    <row r="4079" spans="3:3">
      <c r="C4079" s="2"/>
    </row>
    <row r="4080" spans="3:3">
      <c r="C4080" s="2"/>
    </row>
    <row r="4081" spans="3:3">
      <c r="C4081" s="2"/>
    </row>
    <row r="4082" spans="3:3">
      <c r="C4082" s="2"/>
    </row>
    <row r="4083" spans="3:3">
      <c r="C4083" s="2"/>
    </row>
    <row r="4084" spans="3:3">
      <c r="C4084" s="2"/>
    </row>
    <row r="4085" spans="3:3">
      <c r="C4085" s="2"/>
    </row>
    <row r="4086" spans="3:3">
      <c r="C4086" s="2"/>
    </row>
    <row r="4087" spans="3:3">
      <c r="C4087" s="2"/>
    </row>
    <row r="4088" spans="3:3">
      <c r="C4088" s="2"/>
    </row>
    <row r="4089" spans="3:3">
      <c r="C4089" s="2"/>
    </row>
    <row r="4090" spans="3:3">
      <c r="C4090" s="2"/>
    </row>
    <row r="4091" spans="3:3">
      <c r="C4091" s="2"/>
    </row>
    <row r="4092" spans="3:3">
      <c r="C4092" s="2"/>
    </row>
    <row r="4093" spans="3:3">
      <c r="C4093" s="2"/>
    </row>
    <row r="4094" spans="3:3">
      <c r="C4094" s="2"/>
    </row>
    <row r="4095" spans="3:3">
      <c r="C4095" s="2"/>
    </row>
    <row r="4096" spans="3:3">
      <c r="C4096" s="2"/>
    </row>
    <row r="4097" spans="3:3">
      <c r="C4097" s="2"/>
    </row>
    <row r="4098" spans="3:3">
      <c r="C4098" s="2"/>
    </row>
    <row r="4099" spans="3:3">
      <c r="C4099" s="2"/>
    </row>
    <row r="4100" spans="3:3">
      <c r="C4100" s="2"/>
    </row>
    <row r="4101" spans="3:3">
      <c r="C4101" s="2"/>
    </row>
    <row r="4102" spans="3:3">
      <c r="C4102" s="2"/>
    </row>
    <row r="4103" spans="3:3">
      <c r="C4103" s="2"/>
    </row>
    <row r="4104" spans="3:3">
      <c r="C4104" s="2"/>
    </row>
    <row r="4105" spans="3:3">
      <c r="C4105" s="2"/>
    </row>
    <row r="4106" spans="3:3">
      <c r="C4106" s="2"/>
    </row>
    <row r="4107" spans="3:3">
      <c r="C4107" s="2"/>
    </row>
    <row r="4108" spans="3:3">
      <c r="C4108" s="2"/>
    </row>
    <row r="4109" spans="3:3">
      <c r="C4109" s="2"/>
    </row>
    <row r="4110" spans="3:3">
      <c r="C4110" s="2"/>
    </row>
    <row r="4111" spans="3:3">
      <c r="C4111" s="2"/>
    </row>
    <row r="4112" spans="3:3">
      <c r="C4112" s="2"/>
    </row>
    <row r="4113" spans="3:3">
      <c r="C4113" s="2"/>
    </row>
    <row r="4114" spans="3:3">
      <c r="C4114" s="2"/>
    </row>
    <row r="4115" spans="3:3">
      <c r="C4115" s="2"/>
    </row>
    <row r="4116" spans="3:3">
      <c r="C4116" s="2"/>
    </row>
    <row r="4117" spans="3:3">
      <c r="C4117" s="2"/>
    </row>
    <row r="4118" spans="3:3">
      <c r="C4118" s="2"/>
    </row>
    <row r="4119" spans="3:3">
      <c r="C4119" s="2"/>
    </row>
    <row r="4120" spans="3:3">
      <c r="C4120" s="2"/>
    </row>
    <row r="4121" spans="3:3">
      <c r="C4121" s="2"/>
    </row>
    <row r="4122" spans="3:3">
      <c r="C4122" s="2"/>
    </row>
    <row r="4123" spans="3:3">
      <c r="C4123" s="2"/>
    </row>
    <row r="4124" spans="3:3">
      <c r="C4124" s="2"/>
    </row>
    <row r="4125" spans="3:3">
      <c r="C4125" s="2"/>
    </row>
    <row r="4126" spans="3:3">
      <c r="C4126" s="2"/>
    </row>
    <row r="4127" spans="3:3">
      <c r="C4127" s="2"/>
    </row>
    <row r="4128" spans="3:3">
      <c r="C4128" s="2"/>
    </row>
    <row r="4129" spans="3:3">
      <c r="C4129" s="2"/>
    </row>
    <row r="4130" spans="3:3">
      <c r="C4130" s="2"/>
    </row>
    <row r="4131" spans="3:3">
      <c r="C4131" s="2"/>
    </row>
    <row r="4132" spans="3:3">
      <c r="C4132" s="2"/>
    </row>
    <row r="4133" spans="3:3">
      <c r="C4133" s="2"/>
    </row>
    <row r="4134" spans="3:3">
      <c r="C4134" s="2"/>
    </row>
    <row r="4135" spans="3:3">
      <c r="C4135" s="2"/>
    </row>
    <row r="4136" spans="3:3">
      <c r="C4136" s="2"/>
    </row>
    <row r="4137" spans="3:3">
      <c r="C4137" s="2"/>
    </row>
    <row r="4138" spans="3:3">
      <c r="C4138" s="2"/>
    </row>
    <row r="4139" spans="3:3">
      <c r="C4139" s="2"/>
    </row>
    <row r="4140" spans="3:3">
      <c r="C4140" s="2"/>
    </row>
    <row r="4141" spans="3:3">
      <c r="C4141" s="2"/>
    </row>
    <row r="4142" spans="3:3">
      <c r="C4142" s="2"/>
    </row>
    <row r="4143" spans="3:3">
      <c r="C4143" s="2"/>
    </row>
    <row r="4144" spans="3:3">
      <c r="C4144" s="2"/>
    </row>
    <row r="4145" spans="3:3">
      <c r="C4145" s="2"/>
    </row>
    <row r="4146" spans="3:3">
      <c r="C4146" s="2"/>
    </row>
    <row r="4147" spans="3:3">
      <c r="C4147" s="2"/>
    </row>
    <row r="4148" spans="3:3">
      <c r="C4148" s="2"/>
    </row>
    <row r="4149" spans="3:3">
      <c r="C4149" s="2"/>
    </row>
    <row r="4150" spans="3:3">
      <c r="C4150" s="2"/>
    </row>
    <row r="4151" spans="3:3">
      <c r="C4151" s="2"/>
    </row>
    <row r="4152" spans="3:3">
      <c r="C4152" s="2"/>
    </row>
    <row r="4153" spans="3:3">
      <c r="C4153" s="2"/>
    </row>
    <row r="4154" spans="3:3">
      <c r="C4154" s="2"/>
    </row>
    <row r="4155" spans="3:3">
      <c r="C4155" s="2"/>
    </row>
    <row r="4156" spans="3:3">
      <c r="C4156" s="2"/>
    </row>
    <row r="4157" spans="3:3">
      <c r="C4157" s="2"/>
    </row>
    <row r="4158" spans="3:3">
      <c r="C4158" s="2"/>
    </row>
    <row r="4159" spans="3:3">
      <c r="C4159" s="2"/>
    </row>
    <row r="4160" spans="3:3">
      <c r="C4160" s="2"/>
    </row>
    <row r="4161" spans="3:3">
      <c r="C4161" s="2"/>
    </row>
    <row r="4162" spans="3:3">
      <c r="C4162" s="2"/>
    </row>
    <row r="4163" spans="3:3">
      <c r="C4163" s="2"/>
    </row>
    <row r="4164" spans="3:3">
      <c r="C4164" s="2"/>
    </row>
    <row r="4165" spans="3:3">
      <c r="C4165" s="2"/>
    </row>
    <row r="4166" spans="3:3">
      <c r="C4166" s="2"/>
    </row>
    <row r="4167" spans="3:3">
      <c r="C4167" s="2"/>
    </row>
    <row r="4168" spans="3:3">
      <c r="C4168" s="2"/>
    </row>
    <row r="4169" spans="3:3">
      <c r="C4169" s="2"/>
    </row>
    <row r="4170" spans="3:3">
      <c r="C4170" s="2"/>
    </row>
    <row r="4171" spans="3:3">
      <c r="C4171" s="2"/>
    </row>
    <row r="4172" spans="3:3">
      <c r="C4172" s="2"/>
    </row>
    <row r="4173" spans="3:3">
      <c r="C4173" s="2"/>
    </row>
    <row r="4174" spans="3:3">
      <c r="C4174" s="2"/>
    </row>
    <row r="4175" spans="3:3">
      <c r="C4175" s="2"/>
    </row>
    <row r="4176" spans="3:3">
      <c r="C4176" s="2"/>
    </row>
    <row r="4177" spans="3:3">
      <c r="C4177" s="2"/>
    </row>
    <row r="4178" spans="3:3">
      <c r="C4178" s="2"/>
    </row>
    <row r="4179" spans="3:3">
      <c r="C4179" s="2"/>
    </row>
    <row r="4180" spans="3:3">
      <c r="C4180" s="2"/>
    </row>
    <row r="4181" spans="3:3">
      <c r="C4181" s="2"/>
    </row>
    <row r="4182" spans="3:3">
      <c r="C4182" s="2"/>
    </row>
    <row r="4183" spans="3:3">
      <c r="C4183" s="2"/>
    </row>
    <row r="4184" spans="3:3">
      <c r="C4184" s="2"/>
    </row>
    <row r="4185" spans="3:3">
      <c r="C4185" s="2"/>
    </row>
    <row r="4186" spans="3:3">
      <c r="C4186" s="2"/>
    </row>
    <row r="4187" spans="3:3">
      <c r="C4187" s="2"/>
    </row>
    <row r="4188" spans="3:3">
      <c r="C4188" s="2"/>
    </row>
    <row r="4189" spans="3:3">
      <c r="C4189" s="2"/>
    </row>
    <row r="4190" spans="3:3">
      <c r="C4190" s="2"/>
    </row>
    <row r="4191" spans="3:3">
      <c r="C4191" s="2"/>
    </row>
    <row r="4192" spans="3:3">
      <c r="C4192" s="2"/>
    </row>
    <row r="4193" spans="3:3">
      <c r="C4193" s="2"/>
    </row>
    <row r="4194" spans="3:3">
      <c r="C4194" s="2"/>
    </row>
    <row r="4195" spans="3:3">
      <c r="C4195" s="2"/>
    </row>
    <row r="4196" spans="3:3">
      <c r="C4196" s="2"/>
    </row>
    <row r="4197" spans="3:3">
      <c r="C4197" s="2"/>
    </row>
    <row r="4198" spans="3:3">
      <c r="C4198" s="2"/>
    </row>
    <row r="4199" spans="3:3">
      <c r="C4199" s="2"/>
    </row>
    <row r="4200" spans="3:3">
      <c r="C4200" s="2"/>
    </row>
    <row r="4201" spans="3:3">
      <c r="C4201" s="2"/>
    </row>
    <row r="4202" spans="3:3">
      <c r="C4202" s="2"/>
    </row>
    <row r="4203" spans="3:3">
      <c r="C4203" s="2"/>
    </row>
    <row r="4204" spans="3:3">
      <c r="C4204" s="2"/>
    </row>
    <row r="4205" spans="3:3">
      <c r="C4205" s="2"/>
    </row>
    <row r="4206" spans="3:3">
      <c r="C4206" s="2"/>
    </row>
    <row r="4207" spans="3:3">
      <c r="C4207" s="2"/>
    </row>
    <row r="4208" spans="3:3">
      <c r="C4208" s="2"/>
    </row>
    <row r="4209" spans="3:3">
      <c r="C4209" s="2"/>
    </row>
    <row r="4210" spans="3:3">
      <c r="C4210" s="2"/>
    </row>
    <row r="4211" spans="3:3">
      <c r="C4211" s="2"/>
    </row>
    <row r="4212" spans="3:3">
      <c r="C4212" s="2"/>
    </row>
    <row r="4213" spans="3:3">
      <c r="C4213" s="2"/>
    </row>
    <row r="4214" spans="3:3">
      <c r="C4214" s="2"/>
    </row>
    <row r="4215" spans="3:3">
      <c r="C4215" s="2"/>
    </row>
    <row r="4216" spans="3:3">
      <c r="C4216" s="2"/>
    </row>
    <row r="4217" spans="3:3">
      <c r="C4217" s="2"/>
    </row>
    <row r="4218" spans="3:3">
      <c r="C4218" s="2"/>
    </row>
    <row r="4219" spans="3:3">
      <c r="C4219" s="2"/>
    </row>
    <row r="4220" spans="3:3">
      <c r="C4220" s="2"/>
    </row>
    <row r="4221" spans="3:3">
      <c r="C4221" s="2"/>
    </row>
    <row r="4222" spans="3:3">
      <c r="C4222" s="2"/>
    </row>
    <row r="4223" spans="3:3">
      <c r="C4223" s="2"/>
    </row>
    <row r="4224" spans="3:3">
      <c r="C4224" s="2"/>
    </row>
    <row r="4225" spans="3:3">
      <c r="C4225" s="2"/>
    </row>
    <row r="4226" spans="3:3">
      <c r="C4226" s="2"/>
    </row>
    <row r="4227" spans="3:3">
      <c r="C4227" s="2"/>
    </row>
    <row r="4228" spans="3:3">
      <c r="C4228" s="2"/>
    </row>
    <row r="4229" spans="3:3">
      <c r="C4229" s="2"/>
    </row>
    <row r="4230" spans="3:3">
      <c r="C4230" s="2"/>
    </row>
    <row r="4231" spans="3:3">
      <c r="C4231" s="2"/>
    </row>
    <row r="4232" spans="3:3">
      <c r="C4232" s="2"/>
    </row>
    <row r="4233" spans="3:3">
      <c r="C4233" s="2"/>
    </row>
    <row r="4234" spans="3:3">
      <c r="C4234" s="2"/>
    </row>
    <row r="4235" spans="3:3">
      <c r="C4235" s="2"/>
    </row>
    <row r="4236" spans="3:3">
      <c r="C4236" s="2"/>
    </row>
    <row r="4237" spans="3:3">
      <c r="C4237" s="2"/>
    </row>
    <row r="4238" spans="3:3">
      <c r="C4238" s="2"/>
    </row>
    <row r="4239" spans="3:3">
      <c r="C4239" s="2"/>
    </row>
    <row r="4240" spans="3:3">
      <c r="C4240" s="2"/>
    </row>
    <row r="4241" spans="3:3">
      <c r="C4241" s="2"/>
    </row>
    <row r="4242" spans="3:3">
      <c r="C4242" s="2"/>
    </row>
    <row r="4243" spans="3:3">
      <c r="C4243" s="2"/>
    </row>
    <row r="4244" spans="3:3">
      <c r="C4244" s="2"/>
    </row>
    <row r="4245" spans="3:3">
      <c r="C4245" s="2"/>
    </row>
    <row r="4246" spans="3:3">
      <c r="C4246" s="2"/>
    </row>
    <row r="4247" spans="3:3">
      <c r="C4247" s="2"/>
    </row>
    <row r="4248" spans="3:3">
      <c r="C4248" s="2"/>
    </row>
    <row r="4249" spans="3:3">
      <c r="C4249" s="2"/>
    </row>
    <row r="4250" spans="3:3">
      <c r="C4250" s="2"/>
    </row>
    <row r="4251" spans="3:3">
      <c r="C4251" s="2"/>
    </row>
    <row r="4252" spans="3:3">
      <c r="C4252" s="2"/>
    </row>
    <row r="4253" spans="3:3">
      <c r="C4253" s="2"/>
    </row>
    <row r="4254" spans="3:3">
      <c r="C4254" s="2"/>
    </row>
    <row r="4255" spans="3:3">
      <c r="C4255" s="2"/>
    </row>
    <row r="4256" spans="3:3">
      <c r="C4256" s="2"/>
    </row>
    <row r="4257" spans="3:3">
      <c r="C4257" s="2"/>
    </row>
    <row r="4258" spans="3:3">
      <c r="C4258" s="2"/>
    </row>
    <row r="4259" spans="3:3">
      <c r="C4259" s="2"/>
    </row>
    <row r="4260" spans="3:3">
      <c r="C4260" s="2"/>
    </row>
    <row r="4261" spans="3:3">
      <c r="C4261" s="2"/>
    </row>
    <row r="4262" spans="3:3">
      <c r="C4262" s="2"/>
    </row>
    <row r="4263" spans="3:3">
      <c r="C4263" s="2"/>
    </row>
    <row r="4264" spans="3:3">
      <c r="C4264" s="2"/>
    </row>
    <row r="4265" spans="3:3">
      <c r="C4265" s="2"/>
    </row>
    <row r="4266" spans="3:3">
      <c r="C4266" s="2"/>
    </row>
    <row r="4267" spans="3:3">
      <c r="C4267" s="2"/>
    </row>
    <row r="4268" spans="3:3">
      <c r="C4268" s="2"/>
    </row>
    <row r="4269" spans="3:3">
      <c r="C4269" s="2"/>
    </row>
    <row r="4270" spans="3:3">
      <c r="C4270" s="2"/>
    </row>
    <row r="4271" spans="3:3">
      <c r="C4271" s="2"/>
    </row>
    <row r="4272" spans="3:3">
      <c r="C4272" s="2"/>
    </row>
    <row r="4273" spans="3:3">
      <c r="C4273" s="2"/>
    </row>
    <row r="4274" spans="3:3">
      <c r="C4274" s="2"/>
    </row>
    <row r="4275" spans="3:3">
      <c r="C4275" s="2"/>
    </row>
    <row r="4276" spans="3:3">
      <c r="C4276" s="2"/>
    </row>
    <row r="4277" spans="3:3">
      <c r="C4277" s="2"/>
    </row>
    <row r="4278" spans="3:3">
      <c r="C4278" s="2"/>
    </row>
    <row r="4279" spans="3:3">
      <c r="C4279" s="2"/>
    </row>
    <row r="4280" spans="3:3">
      <c r="C4280" s="2"/>
    </row>
    <row r="4281" spans="3:3">
      <c r="C4281" s="2"/>
    </row>
    <row r="4282" spans="3:3">
      <c r="C4282" s="2"/>
    </row>
    <row r="4283" spans="3:3">
      <c r="C4283" s="2"/>
    </row>
    <row r="4284" spans="3:3">
      <c r="C4284" s="2"/>
    </row>
    <row r="4285" spans="3:3">
      <c r="C4285" s="2"/>
    </row>
    <row r="4286" spans="3:3">
      <c r="C4286" s="2"/>
    </row>
    <row r="4287" spans="3:3">
      <c r="C4287" s="2"/>
    </row>
    <row r="4288" spans="3:3">
      <c r="C4288" s="2"/>
    </row>
    <row r="4289" spans="3:3">
      <c r="C4289" s="2"/>
    </row>
    <row r="4290" spans="3:3">
      <c r="C4290" s="2"/>
    </row>
    <row r="4291" spans="3:3">
      <c r="C4291" s="2"/>
    </row>
    <row r="4292" spans="3:3">
      <c r="C4292" s="2"/>
    </row>
    <row r="4293" spans="3:3">
      <c r="C4293" s="2"/>
    </row>
    <row r="4294" spans="3:3">
      <c r="C4294" s="2"/>
    </row>
    <row r="4295" spans="3:3">
      <c r="C4295" s="2"/>
    </row>
    <row r="4296" spans="3:3">
      <c r="C4296" s="2"/>
    </row>
    <row r="4297" spans="3:3">
      <c r="C4297" s="2"/>
    </row>
    <row r="4298" spans="3:3">
      <c r="C4298" s="2"/>
    </row>
    <row r="4299" spans="3:3">
      <c r="C4299" s="2"/>
    </row>
    <row r="4300" spans="3:3">
      <c r="C4300" s="2"/>
    </row>
    <row r="4301" spans="3:3">
      <c r="C4301" s="2"/>
    </row>
    <row r="4302" spans="3:3">
      <c r="C4302" s="2"/>
    </row>
    <row r="4303" spans="3:3">
      <c r="C4303" s="2"/>
    </row>
    <row r="4304" spans="3:3">
      <c r="C4304" s="2"/>
    </row>
    <row r="4305" spans="3:3">
      <c r="C4305" s="2"/>
    </row>
    <row r="4306" spans="3:3">
      <c r="C4306" s="2"/>
    </row>
    <row r="4307" spans="3:3">
      <c r="C4307" s="2"/>
    </row>
    <row r="4308" spans="3:3">
      <c r="C4308" s="2"/>
    </row>
    <row r="4309" spans="3:3">
      <c r="C4309" s="2"/>
    </row>
    <row r="4310" spans="3:3">
      <c r="C4310" s="2"/>
    </row>
    <row r="4311" spans="3:3">
      <c r="C4311" s="2"/>
    </row>
    <row r="4312" spans="3:3">
      <c r="C4312" s="2"/>
    </row>
    <row r="4313" spans="3:3">
      <c r="C4313" s="2"/>
    </row>
    <row r="4314" spans="3:3">
      <c r="C4314" s="2"/>
    </row>
    <row r="4315" spans="3:3">
      <c r="C4315" s="2"/>
    </row>
    <row r="4316" spans="3:3">
      <c r="C4316" s="2"/>
    </row>
    <row r="4317" spans="3:3">
      <c r="C4317" s="2"/>
    </row>
    <row r="4318" spans="3:3">
      <c r="C4318" s="2"/>
    </row>
    <row r="4319" spans="3:3">
      <c r="C4319" s="2"/>
    </row>
    <row r="4320" spans="3:3">
      <c r="C4320" s="2"/>
    </row>
    <row r="4321" spans="3:3">
      <c r="C4321" s="2"/>
    </row>
    <row r="4322" spans="3:3">
      <c r="C4322" s="2"/>
    </row>
    <row r="4323" spans="3:3">
      <c r="C4323" s="2"/>
    </row>
    <row r="4324" spans="3:3">
      <c r="C4324" s="2"/>
    </row>
    <row r="4325" spans="3:3">
      <c r="C4325" s="2"/>
    </row>
    <row r="4326" spans="3:3">
      <c r="C4326" s="2"/>
    </row>
    <row r="4327" spans="3:3">
      <c r="C4327" s="2"/>
    </row>
    <row r="4328" spans="3:3">
      <c r="C4328" s="2"/>
    </row>
    <row r="4329" spans="3:3">
      <c r="C4329" s="2"/>
    </row>
    <row r="4330" spans="3:3">
      <c r="C4330" s="2"/>
    </row>
    <row r="4331" spans="3:3">
      <c r="C4331" s="2"/>
    </row>
    <row r="4332" spans="3:3">
      <c r="C4332" s="2"/>
    </row>
    <row r="4333" spans="3:3">
      <c r="C4333" s="2"/>
    </row>
    <row r="4334" spans="3:3">
      <c r="C4334" s="2"/>
    </row>
    <row r="4335" spans="3:3">
      <c r="C4335" s="2"/>
    </row>
    <row r="4336" spans="3:3">
      <c r="C4336" s="2"/>
    </row>
    <row r="4337" spans="3:3">
      <c r="C4337" s="2"/>
    </row>
    <row r="4338" spans="3:3">
      <c r="C4338" s="2"/>
    </row>
    <row r="4339" spans="3:3">
      <c r="C4339" s="2"/>
    </row>
    <row r="4340" spans="3:3">
      <c r="C4340" s="2"/>
    </row>
    <row r="4341" spans="3:3">
      <c r="C4341" s="2"/>
    </row>
    <row r="4342" spans="3:3">
      <c r="C4342" s="2"/>
    </row>
    <row r="4343" spans="3:3">
      <c r="C4343" s="2"/>
    </row>
    <row r="4344" spans="3:3">
      <c r="C4344" s="2"/>
    </row>
    <row r="4345" spans="3:3">
      <c r="C4345" s="2"/>
    </row>
    <row r="4346" spans="3:3">
      <c r="C4346" s="2"/>
    </row>
    <row r="4347" spans="3:3">
      <c r="C4347" s="2"/>
    </row>
    <row r="4348" spans="3:3">
      <c r="C4348" s="2"/>
    </row>
    <row r="4349" spans="3:3">
      <c r="C4349" s="2"/>
    </row>
    <row r="4350" spans="3:3">
      <c r="C4350" s="2"/>
    </row>
    <row r="4351" spans="3:3">
      <c r="C4351" s="2"/>
    </row>
    <row r="4352" spans="3:3">
      <c r="C4352" s="2"/>
    </row>
    <row r="4353" spans="3:3">
      <c r="C4353" s="2"/>
    </row>
    <row r="4354" spans="3:3">
      <c r="C4354" s="2"/>
    </row>
    <row r="4355" spans="3:3">
      <c r="C4355" s="2"/>
    </row>
    <row r="4356" spans="3:3">
      <c r="C4356" s="2"/>
    </row>
    <row r="4357" spans="3:3">
      <c r="C4357" s="2"/>
    </row>
    <row r="4358" spans="3:3">
      <c r="C4358" s="2"/>
    </row>
    <row r="4359" spans="3:3">
      <c r="C4359" s="2"/>
    </row>
    <row r="4360" spans="3:3">
      <c r="C4360" s="2"/>
    </row>
    <row r="4361" spans="3:3">
      <c r="C4361" s="2"/>
    </row>
    <row r="4362" spans="3:3">
      <c r="C4362" s="2"/>
    </row>
    <row r="4363" spans="3:3">
      <c r="C4363" s="2"/>
    </row>
    <row r="4364" spans="3:3">
      <c r="C4364" s="2"/>
    </row>
    <row r="4365" spans="3:3">
      <c r="C4365" s="2"/>
    </row>
    <row r="4366" spans="3:3">
      <c r="C4366" s="2"/>
    </row>
    <row r="4367" spans="3:3">
      <c r="C4367" s="2"/>
    </row>
    <row r="4368" spans="3:3">
      <c r="C4368" s="2"/>
    </row>
    <row r="4369" spans="3:3">
      <c r="C4369" s="2"/>
    </row>
    <row r="4370" spans="3:3">
      <c r="C4370" s="2"/>
    </row>
    <row r="4371" spans="3:3">
      <c r="C4371" s="2"/>
    </row>
    <row r="4372" spans="3:3">
      <c r="C4372" s="2"/>
    </row>
    <row r="4373" spans="3:3">
      <c r="C4373" s="2"/>
    </row>
    <row r="4374" spans="3:3">
      <c r="C4374" s="2"/>
    </row>
    <row r="4375" spans="3:3">
      <c r="C4375" s="2"/>
    </row>
    <row r="4376" spans="3:3">
      <c r="C4376" s="2"/>
    </row>
    <row r="4377" spans="3:3">
      <c r="C4377" s="2"/>
    </row>
    <row r="4378" spans="3:3">
      <c r="C4378" s="2"/>
    </row>
    <row r="4379" spans="3:3">
      <c r="C4379" s="2"/>
    </row>
    <row r="4380" spans="3:3">
      <c r="C4380" s="2"/>
    </row>
    <row r="4381" spans="3:3">
      <c r="C4381" s="2"/>
    </row>
    <row r="4382" spans="3:3">
      <c r="C4382" s="2"/>
    </row>
    <row r="4383" spans="3:3">
      <c r="C4383" s="2"/>
    </row>
    <row r="4384" spans="3:3">
      <c r="C4384" s="2"/>
    </row>
    <row r="4385" spans="3:3">
      <c r="C4385" s="2"/>
    </row>
    <row r="4386" spans="3:3">
      <c r="C4386" s="2"/>
    </row>
    <row r="4387" spans="3:3">
      <c r="C4387" s="2"/>
    </row>
    <row r="4388" spans="3:3">
      <c r="C4388" s="2"/>
    </row>
    <row r="4389" spans="3:3">
      <c r="C4389" s="2"/>
    </row>
    <row r="4390" spans="3:3">
      <c r="C4390" s="2"/>
    </row>
    <row r="4391" spans="3:3">
      <c r="C4391" s="2"/>
    </row>
    <row r="4392" spans="3:3">
      <c r="C4392" s="2"/>
    </row>
    <row r="4393" spans="3:3">
      <c r="C4393" s="2"/>
    </row>
    <row r="4394" spans="3:3">
      <c r="C4394" s="2"/>
    </row>
    <row r="4395" spans="3:3">
      <c r="C4395" s="2"/>
    </row>
    <row r="4396" spans="3:3">
      <c r="C4396" s="2"/>
    </row>
    <row r="4397" spans="3:3">
      <c r="C4397" s="2"/>
    </row>
    <row r="4398" spans="3:3">
      <c r="C4398" s="2"/>
    </row>
    <row r="4399" spans="3:3">
      <c r="C4399" s="2"/>
    </row>
    <row r="4400" spans="3:3">
      <c r="C4400" s="2"/>
    </row>
    <row r="4401" spans="3:3">
      <c r="C4401" s="2"/>
    </row>
    <row r="4402" spans="3:3">
      <c r="C4402" s="2"/>
    </row>
    <row r="4403" spans="3:3">
      <c r="C4403" s="2"/>
    </row>
    <row r="4404" spans="3:3">
      <c r="C4404" s="2"/>
    </row>
    <row r="4405" spans="3:3">
      <c r="C4405" s="2"/>
    </row>
    <row r="4406" spans="3:3">
      <c r="C4406" s="2"/>
    </row>
    <row r="4407" spans="3:3">
      <c r="C4407" s="2"/>
    </row>
    <row r="4408" spans="3:3">
      <c r="C4408" s="2"/>
    </row>
    <row r="4409" spans="3:3">
      <c r="C4409" s="2"/>
    </row>
    <row r="4410" spans="3:3">
      <c r="C4410" s="2"/>
    </row>
    <row r="4411" spans="3:3">
      <c r="C4411" s="2"/>
    </row>
    <row r="4412" spans="3:3">
      <c r="C4412" s="2"/>
    </row>
    <row r="4413" spans="3:3">
      <c r="C4413" s="2"/>
    </row>
    <row r="4414" spans="3:3">
      <c r="C4414" s="2"/>
    </row>
    <row r="4415" spans="3:3">
      <c r="C4415" s="2"/>
    </row>
    <row r="4416" spans="3:3">
      <c r="C4416" s="2"/>
    </row>
    <row r="4417" spans="3:3">
      <c r="C4417" s="2"/>
    </row>
    <row r="4418" spans="3:3">
      <c r="C4418" s="2"/>
    </row>
    <row r="4419" spans="3:3">
      <c r="C4419" s="2"/>
    </row>
    <row r="4420" spans="3:3">
      <c r="C4420" s="2"/>
    </row>
    <row r="4421" spans="3:3">
      <c r="C4421" s="2"/>
    </row>
    <row r="4422" spans="3:3">
      <c r="C4422" s="2"/>
    </row>
    <row r="4423" spans="3:3">
      <c r="C4423" s="2"/>
    </row>
    <row r="4424" spans="3:3">
      <c r="C4424" s="2"/>
    </row>
    <row r="4425" spans="3:3">
      <c r="C4425" s="2"/>
    </row>
    <row r="4426" spans="3:3">
      <c r="C4426" s="2"/>
    </row>
    <row r="4427" spans="3:3">
      <c r="C4427" s="2"/>
    </row>
    <row r="4428" spans="3:3">
      <c r="C4428" s="2"/>
    </row>
    <row r="4429" spans="3:3">
      <c r="C4429" s="2"/>
    </row>
    <row r="4430" spans="3:3">
      <c r="C4430" s="2"/>
    </row>
    <row r="4431" spans="3:3">
      <c r="C4431" s="2"/>
    </row>
    <row r="4432" spans="3:3">
      <c r="C4432" s="2"/>
    </row>
    <row r="4433" spans="3:3">
      <c r="C4433" s="2"/>
    </row>
    <row r="4434" spans="3:3">
      <c r="C4434" s="2"/>
    </row>
    <row r="4435" spans="3:3">
      <c r="C4435" s="2"/>
    </row>
    <row r="4436" spans="3:3">
      <c r="C4436" s="2"/>
    </row>
    <row r="4437" spans="3:3">
      <c r="C4437" s="2"/>
    </row>
    <row r="4438" spans="3:3">
      <c r="C4438" s="2"/>
    </row>
    <row r="4439" spans="3:3">
      <c r="C4439" s="2"/>
    </row>
    <row r="4440" spans="3:3">
      <c r="C4440" s="2"/>
    </row>
    <row r="4441" spans="3:3">
      <c r="C4441" s="2"/>
    </row>
    <row r="4442" spans="3:3">
      <c r="C4442" s="2"/>
    </row>
    <row r="4443" spans="3:3">
      <c r="C4443" s="2"/>
    </row>
    <row r="4444" spans="3:3">
      <c r="C4444" s="2"/>
    </row>
    <row r="4445" spans="3:3">
      <c r="C4445" s="2"/>
    </row>
    <row r="4446" spans="3:3">
      <c r="C4446" s="2"/>
    </row>
    <row r="4447" spans="3:3">
      <c r="C4447" s="2"/>
    </row>
    <row r="4448" spans="3:3">
      <c r="C4448" s="2"/>
    </row>
    <row r="4449" spans="3:3">
      <c r="C4449" s="2"/>
    </row>
    <row r="4450" spans="3:3">
      <c r="C4450" s="2"/>
    </row>
    <row r="4451" spans="3:3">
      <c r="C4451" s="2"/>
    </row>
    <row r="4452" spans="3:3">
      <c r="C4452" s="2"/>
    </row>
    <row r="4453" spans="3:3">
      <c r="C4453" s="2"/>
    </row>
    <row r="4454" spans="3:3">
      <c r="C4454" s="2"/>
    </row>
    <row r="4455" spans="3:3">
      <c r="C4455" s="2"/>
    </row>
    <row r="4456" spans="3:3">
      <c r="C4456" s="2"/>
    </row>
    <row r="4457" spans="3:3">
      <c r="C4457" s="2"/>
    </row>
    <row r="4458" spans="3:3">
      <c r="C4458" s="2"/>
    </row>
    <row r="4459" spans="3:3">
      <c r="C4459" s="2"/>
    </row>
    <row r="4460" spans="3:3">
      <c r="C4460" s="2"/>
    </row>
    <row r="4461" spans="3:3">
      <c r="C4461" s="2"/>
    </row>
    <row r="4462" spans="3:3">
      <c r="C4462" s="2"/>
    </row>
    <row r="4463" spans="3:3">
      <c r="C4463" s="2"/>
    </row>
    <row r="4464" spans="3:3">
      <c r="C4464" s="2"/>
    </row>
    <row r="4465" spans="3:3">
      <c r="C4465" s="2"/>
    </row>
    <row r="4466" spans="3:3">
      <c r="C4466" s="2"/>
    </row>
    <row r="4467" spans="3:3">
      <c r="C4467" s="2"/>
    </row>
    <row r="4468" spans="3:3">
      <c r="C4468" s="2"/>
    </row>
    <row r="4469" spans="3:3">
      <c r="C4469" s="2"/>
    </row>
    <row r="4470" spans="3:3">
      <c r="C4470" s="2"/>
    </row>
    <row r="4471" spans="3:3">
      <c r="C4471" s="2"/>
    </row>
    <row r="4472" spans="3:3">
      <c r="C4472" s="2"/>
    </row>
    <row r="4473" spans="3:3">
      <c r="C4473" s="2"/>
    </row>
    <row r="4474" spans="3:3">
      <c r="C4474" s="2"/>
    </row>
    <row r="4475" spans="3:3">
      <c r="C4475" s="2"/>
    </row>
    <row r="4476" spans="3:3">
      <c r="C4476" s="2"/>
    </row>
    <row r="4477" spans="3:3">
      <c r="C4477" s="2"/>
    </row>
    <row r="4478" spans="3:3">
      <c r="C4478" s="2"/>
    </row>
    <row r="4479" spans="3:3">
      <c r="C4479" s="2"/>
    </row>
    <row r="4480" spans="3:3">
      <c r="C4480" s="2"/>
    </row>
    <row r="4481" spans="3:3">
      <c r="C4481" s="2"/>
    </row>
    <row r="4482" spans="3:3">
      <c r="C4482" s="2"/>
    </row>
    <row r="4483" spans="3:3">
      <c r="C4483" s="2"/>
    </row>
    <row r="4484" spans="3:3">
      <c r="C4484" s="2"/>
    </row>
    <row r="4485" spans="3:3">
      <c r="C4485" s="2"/>
    </row>
    <row r="4486" spans="3:3">
      <c r="C4486" s="2"/>
    </row>
    <row r="4487" spans="3:3">
      <c r="C4487" s="2"/>
    </row>
    <row r="4488" spans="3:3">
      <c r="C4488" s="2"/>
    </row>
    <row r="4489" spans="3:3">
      <c r="C4489" s="2"/>
    </row>
    <row r="4490" spans="3:3">
      <c r="C4490" s="2"/>
    </row>
    <row r="4491" spans="3:3">
      <c r="C4491" s="2"/>
    </row>
    <row r="4492" spans="3:3">
      <c r="C4492" s="2"/>
    </row>
    <row r="4493" spans="3:3">
      <c r="C4493" s="2"/>
    </row>
    <row r="4494" spans="3:3">
      <c r="C4494" s="2"/>
    </row>
    <row r="4495" spans="3:3">
      <c r="C4495" s="2"/>
    </row>
    <row r="4496" spans="3:3">
      <c r="C4496" s="2"/>
    </row>
    <row r="4497" spans="3:3">
      <c r="C4497" s="2"/>
    </row>
    <row r="4498" spans="3:3">
      <c r="C4498" s="2"/>
    </row>
    <row r="4499" spans="3:3">
      <c r="C4499" s="2"/>
    </row>
    <row r="4500" spans="3:3">
      <c r="C4500" s="2"/>
    </row>
    <row r="4501" spans="3:3">
      <c r="C4501" s="2"/>
    </row>
    <row r="4502" spans="3:3">
      <c r="C4502" s="2"/>
    </row>
    <row r="4503" spans="3:3">
      <c r="C4503" s="2"/>
    </row>
    <row r="4504" spans="3:3">
      <c r="C4504" s="2"/>
    </row>
    <row r="4505" spans="3:3">
      <c r="C4505" s="2"/>
    </row>
    <row r="4506" spans="3:3">
      <c r="C4506" s="2"/>
    </row>
    <row r="4507" spans="3:3">
      <c r="C4507" s="2"/>
    </row>
    <row r="4508" spans="3:3">
      <c r="C4508" s="2"/>
    </row>
    <row r="4509" spans="3:3">
      <c r="C4509" s="2"/>
    </row>
    <row r="4510" spans="3:3">
      <c r="C4510" s="2"/>
    </row>
    <row r="4511" spans="3:3">
      <c r="C4511" s="2"/>
    </row>
    <row r="4512" spans="3:3">
      <c r="C4512" s="2"/>
    </row>
    <row r="4513" spans="3:3">
      <c r="C4513" s="2"/>
    </row>
    <row r="4514" spans="3:3">
      <c r="C4514" s="2"/>
    </row>
    <row r="4515" spans="3:3">
      <c r="C4515" s="2"/>
    </row>
    <row r="4516" spans="3:3">
      <c r="C4516" s="2"/>
    </row>
    <row r="4517" spans="3:3">
      <c r="C4517" s="2"/>
    </row>
    <row r="4518" spans="3:3">
      <c r="C4518" s="2"/>
    </row>
    <row r="4519" spans="3:3">
      <c r="C4519" s="2"/>
    </row>
    <row r="4520" spans="3:3">
      <c r="C4520" s="2"/>
    </row>
    <row r="4521" spans="3:3">
      <c r="C4521" s="2"/>
    </row>
    <row r="4522" spans="3:3">
      <c r="C4522" s="2"/>
    </row>
    <row r="4523" spans="3:3">
      <c r="C4523" s="2"/>
    </row>
    <row r="4524" spans="3:3">
      <c r="C4524" s="2"/>
    </row>
    <row r="4525" spans="3:3">
      <c r="C4525" s="2"/>
    </row>
    <row r="4526" spans="3:3">
      <c r="C4526" s="2"/>
    </row>
    <row r="4527" spans="3:3">
      <c r="C4527" s="2"/>
    </row>
    <row r="4528" spans="3:3">
      <c r="C4528" s="2"/>
    </row>
    <row r="4529" spans="3:3">
      <c r="C4529" s="2"/>
    </row>
    <row r="4530" spans="3:3">
      <c r="C4530" s="2"/>
    </row>
    <row r="4531" spans="3:3">
      <c r="C4531" s="2"/>
    </row>
    <row r="4532" spans="3:3">
      <c r="C4532" s="2"/>
    </row>
    <row r="4533" spans="3:3">
      <c r="C4533" s="2"/>
    </row>
    <row r="4534" spans="3:3">
      <c r="C4534" s="2"/>
    </row>
    <row r="4535" spans="3:3">
      <c r="C4535" s="2"/>
    </row>
    <row r="4536" spans="3:3">
      <c r="C4536" s="2"/>
    </row>
    <row r="4537" spans="3:3">
      <c r="C4537" s="2"/>
    </row>
    <row r="4538" spans="3:3">
      <c r="C4538" s="2"/>
    </row>
    <row r="4539" spans="3:3">
      <c r="C4539" s="2"/>
    </row>
    <row r="4540" spans="3:3">
      <c r="C4540" s="2"/>
    </row>
    <row r="4541" spans="3:3">
      <c r="C4541" s="2"/>
    </row>
    <row r="4542" spans="3:3">
      <c r="C4542" s="2"/>
    </row>
    <row r="4543" spans="3:3">
      <c r="C4543" s="2"/>
    </row>
    <row r="4544" spans="3:3">
      <c r="C4544" s="2"/>
    </row>
    <row r="4545" spans="3:3">
      <c r="C4545" s="2"/>
    </row>
    <row r="4546" spans="3:3">
      <c r="C4546" s="2"/>
    </row>
    <row r="4547" spans="3:3">
      <c r="C4547" s="2"/>
    </row>
    <row r="4548" spans="3:3">
      <c r="C4548" s="2"/>
    </row>
    <row r="4549" spans="3:3">
      <c r="C4549" s="2"/>
    </row>
    <row r="4550" spans="3:3">
      <c r="C4550" s="2"/>
    </row>
    <row r="4551" spans="3:3">
      <c r="C4551" s="2"/>
    </row>
    <row r="4552" spans="3:3">
      <c r="C4552" s="2"/>
    </row>
    <row r="4553" spans="3:3">
      <c r="C4553" s="2"/>
    </row>
    <row r="4554" spans="3:3">
      <c r="C4554" s="2"/>
    </row>
    <row r="4555" spans="3:3">
      <c r="C4555" s="2"/>
    </row>
    <row r="4556" spans="3:3">
      <c r="C4556" s="2"/>
    </row>
    <row r="4557" spans="3:3">
      <c r="C4557" s="2"/>
    </row>
    <row r="4558" spans="3:3">
      <c r="C4558" s="2"/>
    </row>
    <row r="4559" spans="3:3">
      <c r="C4559" s="2"/>
    </row>
    <row r="4560" spans="3:3">
      <c r="C4560" s="2"/>
    </row>
    <row r="4561" spans="3:3">
      <c r="C4561" s="2"/>
    </row>
    <row r="4562" spans="3:3">
      <c r="C4562" s="2"/>
    </row>
    <row r="4563" spans="3:3">
      <c r="C4563" s="2"/>
    </row>
    <row r="4564" spans="3:3">
      <c r="C4564" s="2"/>
    </row>
    <row r="4565" spans="3:3">
      <c r="C4565" s="2"/>
    </row>
    <row r="4566" spans="3:3">
      <c r="C4566" s="2"/>
    </row>
    <row r="4567" spans="3:3">
      <c r="C4567" s="2"/>
    </row>
    <row r="4568" spans="3:3">
      <c r="C4568" s="2"/>
    </row>
    <row r="4569" spans="3:3">
      <c r="C4569" s="2"/>
    </row>
    <row r="4570" spans="3:3">
      <c r="C4570" s="2"/>
    </row>
    <row r="4571" spans="3:3">
      <c r="C4571" s="2"/>
    </row>
    <row r="4572" spans="3:3">
      <c r="C4572" s="2"/>
    </row>
    <row r="4573" spans="3:3">
      <c r="C4573" s="2"/>
    </row>
    <row r="4574" spans="3:3">
      <c r="C4574" s="2"/>
    </row>
    <row r="4575" spans="3:3">
      <c r="C4575" s="2"/>
    </row>
    <row r="4576" spans="3:3">
      <c r="C4576" s="2"/>
    </row>
    <row r="4577" spans="3:3">
      <c r="C4577" s="2"/>
    </row>
    <row r="4578" spans="3:3">
      <c r="C4578" s="2"/>
    </row>
    <row r="4579" spans="3:3">
      <c r="C4579" s="2"/>
    </row>
    <row r="4580" spans="3:3">
      <c r="C4580" s="2"/>
    </row>
    <row r="4581" spans="3:3">
      <c r="C4581" s="2"/>
    </row>
    <row r="4582" spans="3:3">
      <c r="C4582" s="2"/>
    </row>
    <row r="4583" spans="3:3">
      <c r="C4583" s="2"/>
    </row>
    <row r="4584" spans="3:3">
      <c r="C4584" s="2"/>
    </row>
    <row r="4585" spans="3:3">
      <c r="C4585" s="2"/>
    </row>
    <row r="4586" spans="3:3">
      <c r="C4586" s="2"/>
    </row>
    <row r="4587" spans="3:3">
      <c r="C4587" s="2"/>
    </row>
    <row r="4588" spans="3:3">
      <c r="C4588" s="2"/>
    </row>
    <row r="4589" spans="3:3">
      <c r="C4589" s="2"/>
    </row>
    <row r="4590" spans="3:3">
      <c r="C4590" s="2"/>
    </row>
    <row r="4591" spans="3:3">
      <c r="C4591" s="2"/>
    </row>
    <row r="4592" spans="3:3">
      <c r="C4592" s="2"/>
    </row>
    <row r="4593" spans="3:3">
      <c r="C4593" s="2"/>
    </row>
    <row r="4594" spans="3:3">
      <c r="C4594" s="2"/>
    </row>
    <row r="4595" spans="3:3">
      <c r="C4595" s="2"/>
    </row>
    <row r="4596" spans="3:3">
      <c r="C4596" s="2"/>
    </row>
    <row r="4597" spans="3:3">
      <c r="C4597" s="2"/>
    </row>
    <row r="4598" spans="3:3">
      <c r="C4598" s="2"/>
    </row>
    <row r="4599" spans="3:3">
      <c r="C4599" s="2"/>
    </row>
    <row r="4600" spans="3:3">
      <c r="C4600" s="2"/>
    </row>
    <row r="4601" spans="3:3">
      <c r="C4601" s="2"/>
    </row>
    <row r="4602" spans="3:3">
      <c r="C4602" s="2"/>
    </row>
    <row r="4603" spans="3:3">
      <c r="C4603" s="2"/>
    </row>
    <row r="4604" spans="3:3">
      <c r="C4604" s="2"/>
    </row>
    <row r="4605" spans="3:3">
      <c r="C4605" s="2"/>
    </row>
    <row r="4606" spans="3:3">
      <c r="C4606" s="2"/>
    </row>
    <row r="4607" spans="3:3">
      <c r="C4607" s="2"/>
    </row>
    <row r="4608" spans="3:3">
      <c r="C4608" s="2"/>
    </row>
    <row r="4609" spans="3:3">
      <c r="C4609" s="2"/>
    </row>
    <row r="4610" spans="3:3">
      <c r="C4610" s="2"/>
    </row>
    <row r="4611" spans="3:3">
      <c r="C4611" s="2"/>
    </row>
    <row r="4612" spans="3:3">
      <c r="C4612" s="2"/>
    </row>
    <row r="4613" spans="3:3">
      <c r="C4613" s="2"/>
    </row>
    <row r="4614" spans="3:3">
      <c r="C4614" s="2"/>
    </row>
    <row r="4615" spans="3:3">
      <c r="C4615" s="2"/>
    </row>
    <row r="4616" spans="3:3">
      <c r="C4616" s="2"/>
    </row>
    <row r="4617" spans="3:3">
      <c r="C4617" s="2"/>
    </row>
    <row r="4618" spans="3:3">
      <c r="C4618" s="2"/>
    </row>
    <row r="4619" spans="3:3">
      <c r="C4619" s="2"/>
    </row>
    <row r="4620" spans="3:3">
      <c r="C4620" s="2"/>
    </row>
    <row r="4621" spans="3:3">
      <c r="C4621" s="2"/>
    </row>
    <row r="4622" spans="3:3">
      <c r="C4622" s="2"/>
    </row>
    <row r="4623" spans="3:3">
      <c r="C4623" s="2"/>
    </row>
    <row r="4624" spans="3:3">
      <c r="C4624" s="2"/>
    </row>
    <row r="4625" spans="3:3">
      <c r="C4625" s="2"/>
    </row>
    <row r="4626" spans="3:3">
      <c r="C4626" s="2"/>
    </row>
    <row r="4627" spans="3:3">
      <c r="C4627" s="2"/>
    </row>
    <row r="4628" spans="3:3">
      <c r="C4628" s="2"/>
    </row>
    <row r="4629" spans="3:3">
      <c r="C4629" s="2"/>
    </row>
    <row r="4630" spans="3:3">
      <c r="C4630" s="2"/>
    </row>
    <row r="4631" spans="3:3">
      <c r="C4631" s="2"/>
    </row>
    <row r="4632" spans="3:3">
      <c r="C4632" s="2"/>
    </row>
    <row r="4633" spans="3:3">
      <c r="C4633" s="2"/>
    </row>
    <row r="4634" spans="3:3">
      <c r="C4634" s="2"/>
    </row>
    <row r="4635" spans="3:3">
      <c r="C4635" s="2"/>
    </row>
    <row r="4636" spans="3:3">
      <c r="C4636" s="2"/>
    </row>
    <row r="4637" spans="3:3">
      <c r="C4637" s="2"/>
    </row>
    <row r="4638" spans="3:3">
      <c r="C4638" s="2"/>
    </row>
    <row r="4639" spans="3:3">
      <c r="C4639" s="2"/>
    </row>
    <row r="4640" spans="3:3">
      <c r="C4640" s="2"/>
    </row>
    <row r="4641" spans="3:3">
      <c r="C4641" s="2"/>
    </row>
    <row r="4642" spans="3:3">
      <c r="C4642" s="2"/>
    </row>
    <row r="4643" spans="3:3">
      <c r="C4643" s="2"/>
    </row>
    <row r="4644" spans="3:3">
      <c r="C4644" s="2"/>
    </row>
    <row r="4645" spans="3:3">
      <c r="C4645" s="2"/>
    </row>
    <row r="4646" spans="3:3">
      <c r="C4646" s="2"/>
    </row>
    <row r="4647" spans="3:3">
      <c r="C4647" s="2"/>
    </row>
    <row r="4648" spans="3:3">
      <c r="C4648" s="2"/>
    </row>
    <row r="4649" spans="3:3">
      <c r="C4649" s="2"/>
    </row>
    <row r="4650" spans="3:3">
      <c r="C4650" s="2"/>
    </row>
    <row r="4651" spans="3:3">
      <c r="C4651" s="2"/>
    </row>
    <row r="4652" spans="3:3">
      <c r="C4652" s="2"/>
    </row>
    <row r="4653" spans="3:3">
      <c r="C4653" s="2"/>
    </row>
    <row r="4654" spans="3:3">
      <c r="C4654" s="2"/>
    </row>
    <row r="4655" spans="3:3">
      <c r="C4655" s="2"/>
    </row>
    <row r="4656" spans="3:3">
      <c r="C4656" s="2"/>
    </row>
    <row r="4657" spans="3:3">
      <c r="C4657" s="2"/>
    </row>
    <row r="4658" spans="3:3">
      <c r="C4658" s="2"/>
    </row>
    <row r="4659" spans="3:3">
      <c r="C4659" s="2"/>
    </row>
    <row r="4660" spans="3:3">
      <c r="C4660" s="2"/>
    </row>
    <row r="4661" spans="3:3">
      <c r="C4661" s="2"/>
    </row>
    <row r="4662" spans="3:3">
      <c r="C4662" s="2"/>
    </row>
    <row r="4663" spans="3:3">
      <c r="C4663" s="2"/>
    </row>
    <row r="4664" spans="3:3">
      <c r="C4664" s="2"/>
    </row>
    <row r="4665" spans="3:3">
      <c r="C4665" s="2"/>
    </row>
    <row r="4666" spans="3:3">
      <c r="C4666" s="2"/>
    </row>
    <row r="4667" spans="3:3">
      <c r="C4667" s="2"/>
    </row>
    <row r="4668" spans="3:3">
      <c r="C4668" s="2"/>
    </row>
    <row r="4669" spans="3:3">
      <c r="C4669" s="2"/>
    </row>
    <row r="4670" spans="3:3">
      <c r="C4670" s="2"/>
    </row>
    <row r="4671" spans="3:3">
      <c r="C4671" s="2"/>
    </row>
    <row r="4672" spans="3:3">
      <c r="C4672" s="2"/>
    </row>
    <row r="4673" spans="3:3">
      <c r="C4673" s="2"/>
    </row>
    <row r="4674" spans="3:3">
      <c r="C4674" s="2"/>
    </row>
    <row r="4675" spans="3:3">
      <c r="C4675" s="2"/>
    </row>
    <row r="4676" spans="3:3">
      <c r="C4676" s="2"/>
    </row>
    <row r="4677" spans="3:3">
      <c r="C4677" s="2"/>
    </row>
    <row r="4678" spans="3:3">
      <c r="C4678" s="2"/>
    </row>
    <row r="4679" spans="3:3">
      <c r="C4679" s="2"/>
    </row>
    <row r="4680" spans="3:3">
      <c r="C4680" s="2"/>
    </row>
    <row r="4681" spans="3:3">
      <c r="C4681" s="2"/>
    </row>
    <row r="4682" spans="3:3">
      <c r="C4682" s="2"/>
    </row>
    <row r="4683" spans="3:3">
      <c r="C4683" s="2"/>
    </row>
    <row r="4684" spans="3:3">
      <c r="C4684" s="2"/>
    </row>
    <row r="4685" spans="3:3">
      <c r="C4685" s="2"/>
    </row>
    <row r="4686" spans="3:3">
      <c r="C4686" s="2"/>
    </row>
    <row r="4687" spans="3:3">
      <c r="C4687" s="2"/>
    </row>
    <row r="4688" spans="3:3">
      <c r="C4688" s="2"/>
    </row>
    <row r="4689" spans="3:3">
      <c r="C4689" s="2"/>
    </row>
    <row r="4690" spans="3:3">
      <c r="C4690" s="2"/>
    </row>
    <row r="4691" spans="3:3">
      <c r="C4691" s="2"/>
    </row>
    <row r="4692" spans="3:3">
      <c r="C4692" s="2"/>
    </row>
    <row r="4693" spans="3:3">
      <c r="C4693" s="2"/>
    </row>
    <row r="4694" spans="3:3">
      <c r="C4694" s="2"/>
    </row>
    <row r="4695" spans="3:3">
      <c r="C4695" s="2"/>
    </row>
    <row r="4696" spans="3:3">
      <c r="C4696" s="2"/>
    </row>
    <row r="4697" spans="3:3">
      <c r="C4697" s="2"/>
    </row>
    <row r="4698" spans="3:3">
      <c r="C4698" s="2"/>
    </row>
    <row r="4699" spans="3:3">
      <c r="C4699" s="2"/>
    </row>
    <row r="4700" spans="3:3">
      <c r="C4700" s="2"/>
    </row>
    <row r="4701" spans="3:3">
      <c r="C4701" s="2"/>
    </row>
    <row r="4702" spans="3:3">
      <c r="C4702" s="2"/>
    </row>
    <row r="4703" spans="3:3">
      <c r="C4703" s="2"/>
    </row>
    <row r="4704" spans="3:3">
      <c r="C4704" s="2"/>
    </row>
    <row r="4705" spans="3:3">
      <c r="C4705" s="2"/>
    </row>
    <row r="4706" spans="3:3">
      <c r="C4706" s="2"/>
    </row>
    <row r="4707" spans="3:3">
      <c r="C4707" s="2"/>
    </row>
    <row r="4708" spans="3:3">
      <c r="C4708" s="2"/>
    </row>
    <row r="4709" spans="3:3">
      <c r="C4709" s="2"/>
    </row>
    <row r="4710" spans="3:3">
      <c r="C4710" s="2"/>
    </row>
    <row r="4711" spans="3:3">
      <c r="C4711" s="2"/>
    </row>
    <row r="4712" spans="3:3">
      <c r="C4712" s="2"/>
    </row>
    <row r="4713" spans="3:3">
      <c r="C4713" s="2"/>
    </row>
    <row r="4714" spans="3:3">
      <c r="C4714" s="2"/>
    </row>
    <row r="4715" spans="3:3">
      <c r="C4715" s="2"/>
    </row>
    <row r="4716" spans="3:3">
      <c r="C4716" s="2"/>
    </row>
    <row r="4717" spans="3:3">
      <c r="C4717" s="2"/>
    </row>
    <row r="4718" spans="3:3">
      <c r="C4718" s="2"/>
    </row>
    <row r="4719" spans="3:3">
      <c r="C4719" s="2"/>
    </row>
    <row r="4720" spans="3:3">
      <c r="C4720" s="2"/>
    </row>
    <row r="4721" spans="3:3">
      <c r="C4721" s="2"/>
    </row>
    <row r="4722" spans="3:3">
      <c r="C4722" s="2"/>
    </row>
    <row r="4723" spans="3:3">
      <c r="C4723" s="2"/>
    </row>
    <row r="4724" spans="3:3">
      <c r="C4724" s="2"/>
    </row>
    <row r="4725" spans="3:3">
      <c r="C4725" s="2"/>
    </row>
    <row r="4726" spans="3:3">
      <c r="C4726" s="2"/>
    </row>
    <row r="4727" spans="3:3">
      <c r="C4727" s="2"/>
    </row>
    <row r="4728" spans="3:3">
      <c r="C4728" s="2"/>
    </row>
    <row r="4729" spans="3:3">
      <c r="C4729" s="2"/>
    </row>
    <row r="4730" spans="3:3">
      <c r="C4730" s="2"/>
    </row>
    <row r="4731" spans="3:3">
      <c r="C4731" s="2"/>
    </row>
    <row r="4732" spans="3:3">
      <c r="C4732" s="2"/>
    </row>
    <row r="4733" spans="3:3">
      <c r="C4733" s="2"/>
    </row>
    <row r="4734" spans="3:3">
      <c r="C4734" s="2"/>
    </row>
    <row r="4735" spans="3:3">
      <c r="C4735" s="2"/>
    </row>
    <row r="4736" spans="3:3">
      <c r="C4736" s="2"/>
    </row>
    <row r="4737" spans="3:3">
      <c r="C4737" s="2"/>
    </row>
    <row r="4738" spans="3:3">
      <c r="C4738" s="2"/>
    </row>
    <row r="4739" spans="3:3">
      <c r="C4739" s="2"/>
    </row>
    <row r="4740" spans="3:3">
      <c r="C4740" s="2"/>
    </row>
    <row r="4741" spans="3:3">
      <c r="C4741" s="2"/>
    </row>
    <row r="4742" spans="3:3">
      <c r="C4742" s="2"/>
    </row>
    <row r="4743" spans="3:3">
      <c r="C4743" s="2"/>
    </row>
    <row r="4744" spans="3:3">
      <c r="C4744" s="2"/>
    </row>
    <row r="4745" spans="3:3">
      <c r="C4745" s="2"/>
    </row>
    <row r="4746" spans="3:3">
      <c r="C4746" s="2"/>
    </row>
    <row r="4747" spans="3:3">
      <c r="C4747" s="2"/>
    </row>
    <row r="4748" spans="3:3">
      <c r="C4748" s="2"/>
    </row>
    <row r="4749" spans="3:3">
      <c r="C4749" s="2"/>
    </row>
    <row r="4750" spans="3:3">
      <c r="C4750" s="2"/>
    </row>
    <row r="4751" spans="3:3">
      <c r="C4751" s="2"/>
    </row>
    <row r="4752" spans="3:3">
      <c r="C4752" s="2"/>
    </row>
    <row r="4753" spans="3:3">
      <c r="C4753" s="2"/>
    </row>
    <row r="4754" spans="3:3">
      <c r="C4754" s="2"/>
    </row>
    <row r="4755" spans="3:3">
      <c r="C4755" s="2"/>
    </row>
    <row r="4756" spans="3:3">
      <c r="C4756" s="2"/>
    </row>
    <row r="4757" spans="3:3">
      <c r="C4757" s="2"/>
    </row>
    <row r="4758" spans="3:3">
      <c r="C4758" s="2"/>
    </row>
    <row r="4759" spans="3:3">
      <c r="C4759" s="2"/>
    </row>
    <row r="4760" spans="3:3">
      <c r="C4760" s="2"/>
    </row>
    <row r="4761" spans="3:3">
      <c r="C4761" s="2"/>
    </row>
    <row r="4762" spans="3:3">
      <c r="C4762" s="2"/>
    </row>
    <row r="4763" spans="3:3">
      <c r="C4763" s="2"/>
    </row>
    <row r="4764" spans="3:3">
      <c r="C4764" s="2"/>
    </row>
    <row r="4765" spans="3:3">
      <c r="C4765" s="2"/>
    </row>
    <row r="4766" spans="3:3">
      <c r="C4766" s="2"/>
    </row>
    <row r="4767" spans="3:3">
      <c r="C4767" s="2"/>
    </row>
    <row r="4768" spans="3:3">
      <c r="C4768" s="2"/>
    </row>
    <row r="4769" spans="3:3">
      <c r="C4769" s="2"/>
    </row>
    <row r="4770" spans="3:3">
      <c r="C4770" s="2"/>
    </row>
    <row r="4771" spans="3:3">
      <c r="C4771" s="2"/>
    </row>
    <row r="4772" spans="3:3">
      <c r="C4772" s="2"/>
    </row>
    <row r="4773" spans="3:3">
      <c r="C4773" s="2"/>
    </row>
    <row r="4774" spans="3:3">
      <c r="C4774" s="2"/>
    </row>
    <row r="4775" spans="3:3">
      <c r="C4775" s="2"/>
    </row>
    <row r="4776" spans="3:3">
      <c r="C4776" s="2"/>
    </row>
    <row r="4777" spans="3:3">
      <c r="C4777" s="2"/>
    </row>
    <row r="4778" spans="3:3">
      <c r="C4778" s="2"/>
    </row>
    <row r="4779" spans="3:3">
      <c r="C4779" s="2"/>
    </row>
    <row r="4780" spans="3:3">
      <c r="C4780" s="2"/>
    </row>
    <row r="4781" spans="3:3">
      <c r="C4781" s="2"/>
    </row>
    <row r="4782" spans="3:3">
      <c r="C4782" s="2"/>
    </row>
    <row r="4783" spans="3:3">
      <c r="C4783" s="2"/>
    </row>
    <row r="4784" spans="3:3">
      <c r="C4784" s="2"/>
    </row>
    <row r="4785" spans="3:3">
      <c r="C4785" s="2"/>
    </row>
    <row r="4786" spans="3:3">
      <c r="C4786" s="2"/>
    </row>
    <row r="4787" spans="3:3">
      <c r="C4787" s="2"/>
    </row>
    <row r="4788" spans="3:3">
      <c r="C4788" s="2"/>
    </row>
    <row r="4789" spans="3:3">
      <c r="C4789" s="2"/>
    </row>
    <row r="4790" spans="3:3">
      <c r="C4790" s="2"/>
    </row>
    <row r="4791" spans="3:3">
      <c r="C4791" s="2"/>
    </row>
    <row r="4792" spans="3:3">
      <c r="C4792" s="2"/>
    </row>
    <row r="4793" spans="3:3">
      <c r="C4793" s="2"/>
    </row>
    <row r="4794" spans="3:3">
      <c r="C4794" s="2"/>
    </row>
    <row r="4795" spans="3:3">
      <c r="C4795" s="2"/>
    </row>
    <row r="4796" spans="3:3">
      <c r="C4796" s="2"/>
    </row>
    <row r="4797" spans="3:3">
      <c r="C4797" s="2"/>
    </row>
    <row r="4798" spans="3:3">
      <c r="C4798" s="2"/>
    </row>
    <row r="4799" spans="3:3">
      <c r="C4799" s="2"/>
    </row>
    <row r="4800" spans="3:3">
      <c r="C4800" s="2"/>
    </row>
    <row r="4801" spans="3:3">
      <c r="C4801" s="2"/>
    </row>
    <row r="4802" spans="3:3">
      <c r="C4802" s="2"/>
    </row>
    <row r="4803" spans="3:3">
      <c r="C4803" s="2"/>
    </row>
    <row r="4804" spans="3:3">
      <c r="C4804" s="2"/>
    </row>
    <row r="4805" spans="3:3">
      <c r="C4805" s="2"/>
    </row>
    <row r="4806" spans="3:3">
      <c r="C4806" s="2"/>
    </row>
    <row r="4807" spans="3:3">
      <c r="C4807" s="2"/>
    </row>
    <row r="4808" spans="3:3">
      <c r="C4808" s="2"/>
    </row>
    <row r="4809" spans="3:3">
      <c r="C4809" s="2"/>
    </row>
    <row r="4810" spans="3:3">
      <c r="C4810" s="2"/>
    </row>
    <row r="4811" spans="3:3">
      <c r="C4811" s="2"/>
    </row>
    <row r="4812" spans="3:3">
      <c r="C4812" s="2"/>
    </row>
    <row r="4813" spans="3:3">
      <c r="C4813" s="2"/>
    </row>
    <row r="4814" spans="3:3">
      <c r="C4814" s="2"/>
    </row>
    <row r="4815" spans="3:3">
      <c r="C4815" s="2"/>
    </row>
    <row r="4816" spans="3:3">
      <c r="C4816" s="2"/>
    </row>
    <row r="4817" spans="3:3">
      <c r="C4817" s="2"/>
    </row>
    <row r="4818" spans="3:3">
      <c r="C4818" s="2"/>
    </row>
    <row r="4819" spans="3:3">
      <c r="C4819" s="2"/>
    </row>
    <row r="4820" spans="3:3">
      <c r="C4820" s="2"/>
    </row>
    <row r="4821" spans="3:3">
      <c r="C4821" s="2"/>
    </row>
    <row r="4822" spans="3:3">
      <c r="C4822" s="2"/>
    </row>
    <row r="4823" spans="3:3">
      <c r="C4823" s="2"/>
    </row>
    <row r="4824" spans="3:3">
      <c r="C4824" s="2"/>
    </row>
    <row r="4825" spans="3:3">
      <c r="C4825" s="2"/>
    </row>
    <row r="4826" spans="3:3">
      <c r="C4826" s="2"/>
    </row>
    <row r="4827" spans="3:3">
      <c r="C4827" s="2"/>
    </row>
    <row r="4828" spans="3:3">
      <c r="C4828" s="2"/>
    </row>
    <row r="4829" spans="3:3">
      <c r="C4829" s="2"/>
    </row>
    <row r="4830" spans="3:3">
      <c r="C4830" s="2"/>
    </row>
    <row r="4831" spans="3:3">
      <c r="C4831" s="2"/>
    </row>
    <row r="4832" spans="3:3">
      <c r="C4832" s="2"/>
    </row>
    <row r="4833" spans="3:3">
      <c r="C4833" s="2"/>
    </row>
    <row r="4834" spans="3:3">
      <c r="C4834" s="2"/>
    </row>
    <row r="4835" spans="3:3">
      <c r="C4835" s="2"/>
    </row>
    <row r="4836" spans="3:3">
      <c r="C4836" s="2"/>
    </row>
    <row r="4837" spans="3:3">
      <c r="C4837" s="2"/>
    </row>
    <row r="4838" spans="3:3">
      <c r="C4838" s="2"/>
    </row>
    <row r="4839" spans="3:3">
      <c r="C4839" s="2"/>
    </row>
    <row r="4840" spans="3:3">
      <c r="C4840" s="2"/>
    </row>
    <row r="4841" spans="3:3">
      <c r="C4841" s="2"/>
    </row>
    <row r="4842" spans="3:3">
      <c r="C4842" s="2"/>
    </row>
    <row r="4843" spans="3:3">
      <c r="C4843" s="2"/>
    </row>
    <row r="4844" spans="3:3">
      <c r="C4844" s="2"/>
    </row>
    <row r="4845" spans="3:3">
      <c r="C4845" s="2"/>
    </row>
    <row r="4846" spans="3:3">
      <c r="C4846" s="2"/>
    </row>
    <row r="4847" spans="3:3">
      <c r="C4847" s="2"/>
    </row>
    <row r="4848" spans="3:3">
      <c r="C4848" s="2"/>
    </row>
    <row r="4849" spans="3:3">
      <c r="C4849" s="2"/>
    </row>
    <row r="4850" spans="3:3">
      <c r="C4850" s="2"/>
    </row>
    <row r="4851" spans="3:3">
      <c r="C4851" s="2"/>
    </row>
    <row r="4852" spans="3:3">
      <c r="C4852" s="2"/>
    </row>
    <row r="4853" spans="3:3">
      <c r="C4853" s="2"/>
    </row>
    <row r="4854" spans="3:3">
      <c r="C4854" s="2"/>
    </row>
    <row r="4855" spans="3:3">
      <c r="C4855" s="2"/>
    </row>
    <row r="4856" spans="3:3">
      <c r="C4856" s="2"/>
    </row>
    <row r="4857" spans="3:3">
      <c r="C4857" s="2"/>
    </row>
    <row r="4858" spans="3:3">
      <c r="C4858" s="2"/>
    </row>
    <row r="4859" spans="3:3">
      <c r="C4859" s="2"/>
    </row>
    <row r="4860" spans="3:3">
      <c r="C4860" s="2"/>
    </row>
    <row r="4861" spans="3:3">
      <c r="C4861" s="2"/>
    </row>
    <row r="4862" spans="3:3">
      <c r="C4862" s="2"/>
    </row>
    <row r="4863" spans="3:3">
      <c r="C4863" s="2"/>
    </row>
    <row r="4864" spans="3:3">
      <c r="C4864" s="2"/>
    </row>
    <row r="4865" spans="3:3">
      <c r="C4865" s="2"/>
    </row>
    <row r="4866" spans="3:3">
      <c r="C4866" s="2"/>
    </row>
    <row r="4867" spans="3:3">
      <c r="C4867" s="2"/>
    </row>
    <row r="4868" spans="3:3">
      <c r="C4868" s="2"/>
    </row>
    <row r="4869" spans="3:3">
      <c r="C4869" s="2"/>
    </row>
    <row r="4870" spans="3:3">
      <c r="C4870" s="2"/>
    </row>
    <row r="4871" spans="3:3">
      <c r="C4871" s="2"/>
    </row>
    <row r="4872" spans="3:3">
      <c r="C4872" s="2"/>
    </row>
    <row r="4873" spans="3:3">
      <c r="C4873" s="2"/>
    </row>
    <row r="4874" spans="3:3">
      <c r="C4874" s="2"/>
    </row>
    <row r="4875" spans="3:3">
      <c r="C4875" s="2"/>
    </row>
    <row r="4876" spans="3:3">
      <c r="C4876" s="2"/>
    </row>
    <row r="4877" spans="3:3">
      <c r="C4877" s="2"/>
    </row>
    <row r="4878" spans="3:3">
      <c r="C4878" s="2"/>
    </row>
    <row r="4879" spans="3:3">
      <c r="C4879" s="2"/>
    </row>
    <row r="4880" spans="3:3">
      <c r="C4880" s="2"/>
    </row>
    <row r="4881" spans="3:3">
      <c r="C4881" s="2"/>
    </row>
    <row r="4882" spans="3:3">
      <c r="C4882" s="2"/>
    </row>
    <row r="4883" spans="3:3">
      <c r="C4883" s="2"/>
    </row>
    <row r="4884" spans="3:3">
      <c r="C4884" s="2"/>
    </row>
    <row r="4885" spans="3:3">
      <c r="C4885" s="2"/>
    </row>
    <row r="4886" spans="3:3">
      <c r="C4886" s="2"/>
    </row>
    <row r="4887" spans="3:3">
      <c r="C4887" s="2"/>
    </row>
    <row r="4888" spans="3:3">
      <c r="C4888" s="2"/>
    </row>
    <row r="4889" spans="3:3">
      <c r="C4889" s="2"/>
    </row>
    <row r="4890" spans="3:3">
      <c r="C4890" s="2"/>
    </row>
    <row r="4891" spans="3:3">
      <c r="C4891" s="2"/>
    </row>
    <row r="4892" spans="3:3">
      <c r="C4892" s="2"/>
    </row>
    <row r="4893" spans="3:3">
      <c r="C4893" s="2"/>
    </row>
    <row r="4894" spans="3:3">
      <c r="C4894" s="2"/>
    </row>
    <row r="4895" spans="3:3">
      <c r="C4895" s="2"/>
    </row>
    <row r="4896" spans="3:3">
      <c r="C4896" s="2"/>
    </row>
    <row r="4897" spans="3:3">
      <c r="C4897" s="2"/>
    </row>
    <row r="4898" spans="3:3">
      <c r="C4898" s="2"/>
    </row>
    <row r="4899" spans="3:3">
      <c r="C4899" s="2"/>
    </row>
    <row r="4900" spans="3:3">
      <c r="C4900" s="2"/>
    </row>
    <row r="4901" spans="3:3">
      <c r="C4901" s="2"/>
    </row>
    <row r="4902" spans="3:3">
      <c r="C4902" s="2"/>
    </row>
    <row r="4903" spans="3:3">
      <c r="C4903" s="2"/>
    </row>
    <row r="4904" spans="3:3">
      <c r="C4904" s="2"/>
    </row>
    <row r="4905" spans="3:3">
      <c r="C4905" s="2"/>
    </row>
    <row r="4906" spans="3:3">
      <c r="C4906" s="2"/>
    </row>
    <row r="4907" spans="3:3">
      <c r="C4907" s="2"/>
    </row>
    <row r="4908" spans="3:3">
      <c r="C4908" s="2"/>
    </row>
    <row r="4909" spans="3:3">
      <c r="C4909" s="2"/>
    </row>
    <row r="4910" spans="3:3">
      <c r="C4910" s="2"/>
    </row>
    <row r="4911" spans="3:3">
      <c r="C4911" s="2"/>
    </row>
    <row r="4912" spans="3:3">
      <c r="C4912" s="2"/>
    </row>
    <row r="4913" spans="3:3">
      <c r="C4913" s="2"/>
    </row>
    <row r="4914" spans="3:3">
      <c r="C4914" s="2"/>
    </row>
    <row r="4915" spans="3:3">
      <c r="C4915" s="2"/>
    </row>
    <row r="4916" spans="3:3">
      <c r="C4916" s="2"/>
    </row>
    <row r="4917" spans="3:3">
      <c r="C4917" s="2"/>
    </row>
    <row r="4918" spans="3:3">
      <c r="C4918" s="2"/>
    </row>
    <row r="4919" spans="3:3">
      <c r="C4919" s="2"/>
    </row>
    <row r="4920" spans="3:3">
      <c r="C4920" s="2"/>
    </row>
    <row r="4921" spans="3:3">
      <c r="C4921" s="2"/>
    </row>
    <row r="4922" spans="3:3">
      <c r="C4922" s="2"/>
    </row>
    <row r="4923" spans="3:3">
      <c r="C4923" s="2"/>
    </row>
    <row r="4924" spans="3:3">
      <c r="C4924" s="2"/>
    </row>
    <row r="4925" spans="3:3">
      <c r="C4925" s="2"/>
    </row>
    <row r="4926" spans="3:3">
      <c r="C4926" s="2"/>
    </row>
    <row r="4927" spans="3:3">
      <c r="C4927" s="2"/>
    </row>
    <row r="4928" spans="3:3">
      <c r="C4928" s="2"/>
    </row>
    <row r="4929" spans="3:3">
      <c r="C4929" s="2"/>
    </row>
    <row r="4930" spans="3:3">
      <c r="C4930" s="2"/>
    </row>
    <row r="4931" spans="3:3">
      <c r="C4931" s="2"/>
    </row>
    <row r="4932" spans="3:3">
      <c r="C4932" s="2"/>
    </row>
    <row r="4933" spans="3:3">
      <c r="C4933" s="2"/>
    </row>
    <row r="4934" spans="3:3">
      <c r="C4934" s="2"/>
    </row>
    <row r="4935" spans="3:3">
      <c r="C4935" s="2"/>
    </row>
    <row r="4936" spans="3:3">
      <c r="C4936" s="2"/>
    </row>
    <row r="4937" spans="3:3">
      <c r="C4937" s="2"/>
    </row>
    <row r="4938" spans="3:3">
      <c r="C4938" s="2"/>
    </row>
    <row r="4939" spans="3:3">
      <c r="C4939" s="2"/>
    </row>
    <row r="4940" spans="3:3">
      <c r="C4940" s="2"/>
    </row>
    <row r="4941" spans="3:3">
      <c r="C4941" s="2"/>
    </row>
    <row r="4942" spans="3:3">
      <c r="C4942" s="2"/>
    </row>
    <row r="4943" spans="3:3">
      <c r="C4943" s="2"/>
    </row>
    <row r="4944" spans="3:3">
      <c r="C4944" s="2"/>
    </row>
    <row r="4945" spans="3:3">
      <c r="C4945" s="2"/>
    </row>
    <row r="4946" spans="3:3">
      <c r="C4946" s="2"/>
    </row>
    <row r="4947" spans="3:3">
      <c r="C4947" s="2"/>
    </row>
    <row r="4948" spans="3:3">
      <c r="C4948" s="2"/>
    </row>
    <row r="4949" spans="3:3">
      <c r="C4949" s="2"/>
    </row>
    <row r="4950" spans="3:3">
      <c r="C4950" s="2"/>
    </row>
    <row r="4951" spans="3:3">
      <c r="C4951" s="2"/>
    </row>
    <row r="4952" spans="3:3">
      <c r="C4952" s="2"/>
    </row>
    <row r="4953" spans="3:3">
      <c r="C4953" s="2"/>
    </row>
    <row r="4954" spans="3:3">
      <c r="C4954" s="2"/>
    </row>
    <row r="4955" spans="3:3">
      <c r="C4955" s="2"/>
    </row>
    <row r="4956" spans="3:3">
      <c r="C4956" s="2"/>
    </row>
    <row r="4957" spans="3:3">
      <c r="C4957" s="2"/>
    </row>
    <row r="4958" spans="3:3">
      <c r="C4958" s="2"/>
    </row>
    <row r="4959" spans="3:3">
      <c r="C4959" s="2"/>
    </row>
    <row r="4960" spans="3:3">
      <c r="C4960" s="2"/>
    </row>
    <row r="4961" spans="3:3">
      <c r="C4961" s="2"/>
    </row>
    <row r="4962" spans="3:3">
      <c r="C4962" s="2"/>
    </row>
    <row r="4963" spans="3:3">
      <c r="C4963" s="2"/>
    </row>
    <row r="4964" spans="3:3">
      <c r="C4964" s="2"/>
    </row>
    <row r="4965" spans="3:3">
      <c r="C4965" s="2"/>
    </row>
    <row r="4966" spans="3:3">
      <c r="C4966" s="2"/>
    </row>
    <row r="4967" spans="3:3">
      <c r="C4967" s="2"/>
    </row>
    <row r="4968" spans="3:3">
      <c r="C4968" s="2"/>
    </row>
    <row r="4969" spans="3:3">
      <c r="C4969" s="2"/>
    </row>
    <row r="4970" spans="3:3">
      <c r="C4970" s="2"/>
    </row>
    <row r="4971" spans="3:3">
      <c r="C4971" s="2"/>
    </row>
    <row r="4972" spans="3:3">
      <c r="C4972" s="2"/>
    </row>
    <row r="4973" spans="3:3">
      <c r="C4973" s="2"/>
    </row>
    <row r="4974" spans="3:3">
      <c r="C4974" s="2"/>
    </row>
    <row r="4975" spans="3:3">
      <c r="C4975" s="2"/>
    </row>
    <row r="4976" spans="3:3">
      <c r="C4976" s="2"/>
    </row>
    <row r="4977" spans="3:3">
      <c r="C4977" s="2"/>
    </row>
    <row r="4978" spans="3:3">
      <c r="C4978" s="2"/>
    </row>
    <row r="4979" spans="3:3">
      <c r="C4979" s="2"/>
    </row>
    <row r="4980" spans="3:3">
      <c r="C4980" s="2"/>
    </row>
    <row r="4981" spans="3:3">
      <c r="C4981" s="2"/>
    </row>
    <row r="4982" spans="3:3">
      <c r="C4982" s="2"/>
    </row>
    <row r="4983" spans="3:3">
      <c r="C4983" s="2"/>
    </row>
    <row r="4984" spans="3:3">
      <c r="C4984" s="2"/>
    </row>
    <row r="4985" spans="3:3">
      <c r="C4985" s="2"/>
    </row>
    <row r="4986" spans="3:3">
      <c r="C4986" s="2"/>
    </row>
    <row r="4987" spans="3:3">
      <c r="C4987" s="2"/>
    </row>
    <row r="4988" spans="3:3">
      <c r="C4988" s="2"/>
    </row>
    <row r="4989" spans="3:3">
      <c r="C4989" s="2"/>
    </row>
    <row r="4990" spans="3:3">
      <c r="C4990" s="2"/>
    </row>
    <row r="4991" spans="3:3">
      <c r="C4991" s="2"/>
    </row>
    <row r="4992" spans="3:3">
      <c r="C4992" s="2"/>
    </row>
    <row r="4993" spans="3:3">
      <c r="C4993" s="2"/>
    </row>
    <row r="4994" spans="3:3">
      <c r="C4994" s="2"/>
    </row>
    <row r="4995" spans="3:3">
      <c r="C4995" s="2"/>
    </row>
    <row r="4996" spans="3:3">
      <c r="C4996" s="2"/>
    </row>
    <row r="4997" spans="3:3">
      <c r="C4997" s="2"/>
    </row>
    <row r="4998" spans="3:3">
      <c r="C4998" s="2"/>
    </row>
    <row r="4999" spans="3:3">
      <c r="C4999" s="2"/>
    </row>
    <row r="5000" spans="3:3">
      <c r="C5000" s="2"/>
    </row>
    <row r="5001" spans="3:3">
      <c r="C5001" s="2"/>
    </row>
    <row r="5002" spans="3:3">
      <c r="C5002" s="2"/>
    </row>
    <row r="5003" spans="3:3">
      <c r="C5003" s="2"/>
    </row>
    <row r="5004" spans="3:3">
      <c r="C5004" s="2"/>
    </row>
    <row r="5005" spans="3:3">
      <c r="C5005" s="2"/>
    </row>
    <row r="5006" spans="3:3">
      <c r="C5006" s="2"/>
    </row>
    <row r="5007" spans="3:3">
      <c r="C5007" s="2"/>
    </row>
    <row r="5008" spans="3:3">
      <c r="C5008" s="2"/>
    </row>
    <row r="5009" spans="3:3">
      <c r="C5009" s="2"/>
    </row>
    <row r="5010" spans="3:3">
      <c r="C5010" s="2"/>
    </row>
    <row r="5011" spans="3:3">
      <c r="C5011" s="2"/>
    </row>
    <row r="5012" spans="3:3">
      <c r="C5012" s="2"/>
    </row>
    <row r="5013" spans="3:3">
      <c r="C5013" s="2"/>
    </row>
    <row r="5014" spans="3:3">
      <c r="C5014" s="2"/>
    </row>
    <row r="5015" spans="3:3">
      <c r="C5015" s="2"/>
    </row>
    <row r="5016" spans="3:3">
      <c r="C5016" s="2"/>
    </row>
    <row r="5017" spans="3:3">
      <c r="C5017" s="2"/>
    </row>
    <row r="5018" spans="3:3">
      <c r="C5018" s="2"/>
    </row>
    <row r="5019" spans="3:3">
      <c r="C5019" s="2"/>
    </row>
    <row r="5020" spans="3:3">
      <c r="C5020" s="2"/>
    </row>
    <row r="5021" spans="3:3">
      <c r="C5021" s="2"/>
    </row>
    <row r="5022" spans="3:3">
      <c r="C5022" s="2"/>
    </row>
    <row r="5023" spans="3:3">
      <c r="C5023" s="2"/>
    </row>
    <row r="5024" spans="3:3">
      <c r="C5024" s="2"/>
    </row>
    <row r="5025" spans="3:3">
      <c r="C5025" s="2"/>
    </row>
    <row r="5026" spans="3:3">
      <c r="C5026" s="2"/>
    </row>
    <row r="5027" spans="3:3">
      <c r="C5027" s="2"/>
    </row>
    <row r="5028" spans="3:3">
      <c r="C5028" s="2"/>
    </row>
    <row r="5029" spans="3:3">
      <c r="C5029" s="2"/>
    </row>
    <row r="5030" spans="3:3">
      <c r="C5030" s="2"/>
    </row>
    <row r="5031" spans="3:3">
      <c r="C5031" s="2"/>
    </row>
    <row r="5032" spans="3:3">
      <c r="C5032" s="2"/>
    </row>
    <row r="5033" spans="3:3">
      <c r="C5033" s="2"/>
    </row>
    <row r="5034" spans="3:3">
      <c r="C5034" s="2"/>
    </row>
    <row r="5035" spans="3:3">
      <c r="C5035" s="2"/>
    </row>
    <row r="5036" spans="3:3">
      <c r="C5036" s="2"/>
    </row>
    <row r="5037" spans="3:3">
      <c r="C5037" s="2"/>
    </row>
    <row r="5038" spans="3:3">
      <c r="C5038" s="2"/>
    </row>
    <row r="5039" spans="3:3">
      <c r="C5039" s="2"/>
    </row>
    <row r="5040" spans="3:3">
      <c r="C5040" s="2"/>
    </row>
    <row r="5041" spans="3:3">
      <c r="C5041" s="2"/>
    </row>
    <row r="5042" spans="3:3">
      <c r="C5042" s="2"/>
    </row>
    <row r="5043" spans="3:3">
      <c r="C5043" s="2"/>
    </row>
    <row r="5044" spans="3:3">
      <c r="C5044" s="2"/>
    </row>
    <row r="5045" spans="3:3">
      <c r="C5045" s="2"/>
    </row>
    <row r="5046" spans="3:3">
      <c r="C5046" s="2"/>
    </row>
    <row r="5047" spans="3:3">
      <c r="C5047" s="2"/>
    </row>
    <row r="5048" spans="3:3">
      <c r="C5048" s="2"/>
    </row>
    <row r="5049" spans="3:3">
      <c r="C5049" s="2"/>
    </row>
    <row r="5050" spans="3:3">
      <c r="C5050" s="2"/>
    </row>
    <row r="5051" spans="3:3">
      <c r="C5051" s="2"/>
    </row>
    <row r="5052" spans="3:3">
      <c r="C5052" s="2"/>
    </row>
    <row r="5053" spans="3:3">
      <c r="C5053" s="2"/>
    </row>
    <row r="5054" spans="3:3">
      <c r="C5054" s="2"/>
    </row>
    <row r="5055" spans="3:3">
      <c r="C5055" s="2"/>
    </row>
    <row r="5056" spans="3:3">
      <c r="C5056" s="2"/>
    </row>
    <row r="5057" spans="3:3">
      <c r="C5057" s="2"/>
    </row>
    <row r="5058" spans="3:3">
      <c r="C5058" s="2"/>
    </row>
    <row r="5059" spans="3:3">
      <c r="C5059" s="2"/>
    </row>
    <row r="5060" spans="3:3">
      <c r="C5060" s="2"/>
    </row>
    <row r="5061" spans="3:3">
      <c r="C5061" s="2"/>
    </row>
    <row r="5062" spans="3:3">
      <c r="C5062" s="2"/>
    </row>
    <row r="5063" spans="3:3">
      <c r="C5063" s="2"/>
    </row>
    <row r="5064" spans="3:3">
      <c r="C5064" s="2"/>
    </row>
    <row r="5065" spans="3:3">
      <c r="C5065" s="2"/>
    </row>
    <row r="5066" spans="3:3">
      <c r="C5066" s="2"/>
    </row>
    <row r="5067" spans="3:3">
      <c r="C5067" s="2"/>
    </row>
    <row r="5068" spans="3:3">
      <c r="C5068" s="2"/>
    </row>
    <row r="5069" spans="3:3">
      <c r="C5069" s="2"/>
    </row>
    <row r="5070" spans="3:3">
      <c r="C5070" s="2"/>
    </row>
    <row r="5071" spans="3:3">
      <c r="C5071" s="2"/>
    </row>
    <row r="5072" spans="3:3">
      <c r="C5072" s="2"/>
    </row>
    <row r="5073" spans="3:3">
      <c r="C5073" s="2"/>
    </row>
    <row r="5074" spans="3:3">
      <c r="C5074" s="2"/>
    </row>
    <row r="5075" spans="3:3">
      <c r="C5075" s="2"/>
    </row>
    <row r="5076" spans="3:3">
      <c r="C5076" s="2"/>
    </row>
    <row r="5077" spans="3:3">
      <c r="C5077" s="2"/>
    </row>
    <row r="5078" spans="3:3">
      <c r="C5078" s="2"/>
    </row>
    <row r="5079" spans="3:3">
      <c r="C5079" s="2"/>
    </row>
    <row r="5080" spans="3:3">
      <c r="C5080" s="2"/>
    </row>
    <row r="5081" spans="3:3">
      <c r="C5081" s="2"/>
    </row>
    <row r="5082" spans="3:3">
      <c r="C5082" s="2"/>
    </row>
    <row r="5083" spans="3:3">
      <c r="C5083" s="2"/>
    </row>
    <row r="5084" spans="3:3">
      <c r="C5084" s="2"/>
    </row>
    <row r="5085" spans="3:3">
      <c r="C5085" s="2"/>
    </row>
    <row r="5086" spans="3:3">
      <c r="C5086" s="2"/>
    </row>
    <row r="5087" spans="3:3">
      <c r="C5087" s="2"/>
    </row>
    <row r="5088" spans="3:3">
      <c r="C5088" s="2"/>
    </row>
    <row r="5089" spans="3:3">
      <c r="C5089" s="2"/>
    </row>
    <row r="5090" spans="3:3">
      <c r="C5090" s="2"/>
    </row>
    <row r="5091" spans="3:3">
      <c r="C5091" s="2"/>
    </row>
    <row r="5092" spans="3:3">
      <c r="C5092" s="2"/>
    </row>
    <row r="5093" spans="3:3">
      <c r="C5093" s="2"/>
    </row>
    <row r="5094" spans="3:3">
      <c r="C5094" s="2"/>
    </row>
    <row r="5095" spans="3:3">
      <c r="C5095" s="2"/>
    </row>
    <row r="5096" spans="3:3">
      <c r="C5096" s="2"/>
    </row>
    <row r="5097" spans="3:3">
      <c r="C5097" s="2"/>
    </row>
    <row r="5098" spans="3:3">
      <c r="C5098" s="2"/>
    </row>
    <row r="5099" spans="3:3">
      <c r="C5099" s="2"/>
    </row>
    <row r="5100" spans="3:3">
      <c r="C5100" s="2"/>
    </row>
    <row r="5101" spans="3:3">
      <c r="C5101" s="2"/>
    </row>
    <row r="5102" spans="3:3">
      <c r="C5102" s="2"/>
    </row>
    <row r="5103" spans="3:3">
      <c r="C5103" s="2"/>
    </row>
    <row r="5104" spans="3:3">
      <c r="C5104" s="2"/>
    </row>
    <row r="5105" spans="3:3">
      <c r="C5105" s="2"/>
    </row>
    <row r="5106" spans="3:3">
      <c r="C5106" s="2"/>
    </row>
    <row r="5107" spans="3:3">
      <c r="C5107" s="2"/>
    </row>
    <row r="5108" spans="3:3">
      <c r="C5108" s="2"/>
    </row>
    <row r="5109" spans="3:3">
      <c r="C5109" s="2"/>
    </row>
    <row r="5110" spans="3:3">
      <c r="C5110" s="2"/>
    </row>
    <row r="5111" spans="3:3">
      <c r="C5111" s="2"/>
    </row>
    <row r="5112" spans="3:3">
      <c r="C5112" s="2"/>
    </row>
    <row r="5113" spans="3:3">
      <c r="C5113" s="2"/>
    </row>
    <row r="5114" spans="3:3">
      <c r="C5114" s="2"/>
    </row>
    <row r="5115" spans="3:3">
      <c r="C5115" s="2"/>
    </row>
    <row r="5116" spans="3:3">
      <c r="C5116" s="2"/>
    </row>
    <row r="5117" spans="3:3">
      <c r="C5117" s="2"/>
    </row>
    <row r="5118" spans="3:3">
      <c r="C5118" s="2"/>
    </row>
    <row r="5119" spans="3:3">
      <c r="C5119" s="2"/>
    </row>
    <row r="5120" spans="3:3">
      <c r="C5120" s="2"/>
    </row>
    <row r="5121" spans="3:3">
      <c r="C5121" s="2"/>
    </row>
    <row r="5122" spans="3:3">
      <c r="C5122" s="2"/>
    </row>
    <row r="5123" spans="3:3">
      <c r="C5123" s="2"/>
    </row>
    <row r="5124" spans="3:3">
      <c r="C5124" s="2"/>
    </row>
    <row r="5125" spans="3:3">
      <c r="C5125" s="2"/>
    </row>
    <row r="5126" spans="3:3">
      <c r="C5126" s="2"/>
    </row>
    <row r="5127" spans="3:3">
      <c r="C5127" s="2"/>
    </row>
    <row r="5128" spans="3:3">
      <c r="C5128" s="2"/>
    </row>
    <row r="5129" spans="3:3">
      <c r="C5129" s="2"/>
    </row>
    <row r="5130" spans="3:3">
      <c r="C5130" s="2"/>
    </row>
    <row r="5131" spans="3:3">
      <c r="C5131" s="2"/>
    </row>
    <row r="5132" spans="3:3">
      <c r="C5132" s="2"/>
    </row>
    <row r="5133" spans="3:3">
      <c r="C5133" s="2"/>
    </row>
    <row r="5134" spans="3:3">
      <c r="C5134" s="2"/>
    </row>
    <row r="5135" spans="3:3">
      <c r="C5135" s="2"/>
    </row>
    <row r="5136" spans="3:3">
      <c r="C5136" s="2"/>
    </row>
    <row r="5137" spans="3:3">
      <c r="C5137" s="2"/>
    </row>
    <row r="5138" spans="3:3">
      <c r="C5138" s="2"/>
    </row>
  </sheetData>
  <mergeCells count="3">
    <mergeCell ref="A1:E1"/>
    <mergeCell ref="H1:J1"/>
    <mergeCell ref="L1:O1"/>
  </mergeCells>
  <pageMargins left="0.7" right="0.7" top="0.75" bottom="0.75" header="0.3" footer="0.3"/>
  <pageSetup scale="56" fitToHeight="0"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172"/>
  <sheetViews>
    <sheetView topLeftCell="A49" workbookViewId="0">
      <selection activeCell="C6" sqref="C6"/>
    </sheetView>
  </sheetViews>
  <sheetFormatPr defaultColWidth="9.140625" defaultRowHeight="15.95" customHeight="1"/>
  <cols>
    <col min="1" max="1" width="46.7109375" style="2" bestFit="1" customWidth="1"/>
    <col min="2" max="2" width="7.85546875" style="2" bestFit="1" customWidth="1"/>
    <col min="3" max="3" width="5.7109375" style="2" bestFit="1" customWidth="1"/>
    <col min="4" max="4" width="15.140625" style="2" bestFit="1" customWidth="1"/>
    <col min="5" max="5" width="6.42578125" style="2" bestFit="1" customWidth="1"/>
    <col min="6" max="6" width="4.5703125" style="2" bestFit="1" customWidth="1"/>
    <col min="7" max="16384" width="9.140625" style="2"/>
  </cols>
  <sheetData>
    <row r="1" spans="1:6" ht="15.95" customHeight="1">
      <c r="A1" s="58" t="s">
        <v>375</v>
      </c>
      <c r="B1" s="47" t="s">
        <v>376</v>
      </c>
      <c r="C1" s="47" t="s">
        <v>377</v>
      </c>
      <c r="D1" s="47" t="s">
        <v>378</v>
      </c>
      <c r="E1" s="47" t="s">
        <v>465</v>
      </c>
      <c r="F1" s="47" t="s">
        <v>374</v>
      </c>
    </row>
    <row r="2" spans="1:6" ht="15.95" customHeight="1">
      <c r="A2" s="60" t="s">
        <v>61</v>
      </c>
      <c r="B2" s="59" t="s">
        <v>10</v>
      </c>
      <c r="C2" s="59" t="s">
        <v>32</v>
      </c>
      <c r="D2" s="59" t="s">
        <v>652</v>
      </c>
      <c r="E2" s="59">
        <v>1</v>
      </c>
      <c r="F2" s="59">
        <v>1</v>
      </c>
    </row>
    <row r="3" spans="1:6" ht="15.95" customHeight="1">
      <c r="A3" s="60" t="s">
        <v>40</v>
      </c>
      <c r="B3" s="59" t="s">
        <v>10</v>
      </c>
      <c r="C3" s="59" t="s">
        <v>41</v>
      </c>
      <c r="D3" s="59" t="s">
        <v>659</v>
      </c>
      <c r="E3" s="59">
        <v>1</v>
      </c>
      <c r="F3" s="59">
        <v>2</v>
      </c>
    </row>
    <row r="4" spans="1:6" ht="15.95" customHeight="1">
      <c r="A4" s="60" t="s">
        <v>125</v>
      </c>
      <c r="B4" s="59" t="s">
        <v>2</v>
      </c>
      <c r="C4" s="59" t="s">
        <v>6</v>
      </c>
      <c r="D4" s="59" t="s">
        <v>653</v>
      </c>
      <c r="E4" s="59">
        <v>1</v>
      </c>
      <c r="F4" s="59">
        <v>3</v>
      </c>
    </row>
    <row r="5" spans="1:6" ht="15.95" customHeight="1">
      <c r="A5" s="60" t="s">
        <v>167</v>
      </c>
      <c r="B5" s="59" t="s">
        <v>10</v>
      </c>
      <c r="C5" s="59" t="s">
        <v>15</v>
      </c>
      <c r="D5" s="59" t="s">
        <v>654</v>
      </c>
      <c r="E5" s="59">
        <v>1</v>
      </c>
      <c r="F5" s="59">
        <v>4</v>
      </c>
    </row>
    <row r="6" spans="1:6" ht="15.95" customHeight="1">
      <c r="A6" s="60" t="s">
        <v>468</v>
      </c>
      <c r="B6" s="59" t="s">
        <v>10</v>
      </c>
      <c r="C6" s="59" t="s">
        <v>35</v>
      </c>
      <c r="D6" s="59" t="s">
        <v>661</v>
      </c>
      <c r="E6" s="59">
        <v>1</v>
      </c>
      <c r="F6" s="59">
        <v>5</v>
      </c>
    </row>
    <row r="7" spans="1:6" ht="15.95" customHeight="1">
      <c r="A7" s="60" t="s">
        <v>168</v>
      </c>
      <c r="B7" s="59" t="s">
        <v>2</v>
      </c>
      <c r="C7" s="59" t="s">
        <v>13</v>
      </c>
      <c r="D7" s="59" t="s">
        <v>655</v>
      </c>
      <c r="E7" s="59">
        <v>1</v>
      </c>
      <c r="F7" s="59">
        <v>6</v>
      </c>
    </row>
    <row r="8" spans="1:6" ht="15.95" customHeight="1">
      <c r="A8" s="60" t="s">
        <v>759</v>
      </c>
      <c r="B8" s="59" t="s">
        <v>10</v>
      </c>
      <c r="C8" s="59" t="s">
        <v>3</v>
      </c>
      <c r="D8" s="59" t="s">
        <v>651</v>
      </c>
      <c r="E8" s="59">
        <v>1</v>
      </c>
      <c r="F8" s="59">
        <v>7</v>
      </c>
    </row>
    <row r="9" spans="1:6" ht="15.95" customHeight="1">
      <c r="A9" s="60" t="s">
        <v>16</v>
      </c>
      <c r="B9" s="59" t="s">
        <v>2</v>
      </c>
      <c r="C9" s="59" t="s">
        <v>137</v>
      </c>
      <c r="D9" s="59" t="s">
        <v>758</v>
      </c>
      <c r="E9" s="59">
        <v>1</v>
      </c>
      <c r="F9" s="59">
        <v>8</v>
      </c>
    </row>
    <row r="10" spans="1:6" ht="15.95" customHeight="1">
      <c r="A10" s="60" t="s">
        <v>616</v>
      </c>
      <c r="B10" s="59" t="s">
        <v>2</v>
      </c>
      <c r="C10" s="59" t="s">
        <v>760</v>
      </c>
      <c r="D10" s="59" t="s">
        <v>657</v>
      </c>
      <c r="E10" s="59">
        <v>1</v>
      </c>
      <c r="F10" s="59">
        <v>9</v>
      </c>
    </row>
    <row r="11" spans="1:6" ht="15.95" customHeight="1">
      <c r="A11" s="60" t="s">
        <v>83</v>
      </c>
      <c r="B11" s="59" t="s">
        <v>10</v>
      </c>
      <c r="C11" s="59" t="s">
        <v>84</v>
      </c>
      <c r="D11" s="59" t="s">
        <v>660</v>
      </c>
      <c r="E11" s="59">
        <v>1</v>
      </c>
      <c r="F11" s="59">
        <v>10</v>
      </c>
    </row>
    <row r="12" spans="1:6" ht="15.95" customHeight="1">
      <c r="A12" s="60" t="s">
        <v>44</v>
      </c>
      <c r="B12" s="59" t="s">
        <v>27</v>
      </c>
      <c r="C12" s="59" t="s">
        <v>13</v>
      </c>
      <c r="D12" s="59" t="s">
        <v>660</v>
      </c>
      <c r="E12" s="59">
        <v>2</v>
      </c>
      <c r="F12" s="59">
        <v>11</v>
      </c>
    </row>
    <row r="13" spans="1:6" ht="15.95" customHeight="1">
      <c r="A13" s="60" t="s">
        <v>138</v>
      </c>
      <c r="B13" s="59" t="s">
        <v>2</v>
      </c>
      <c r="C13" s="59" t="s">
        <v>107</v>
      </c>
      <c r="D13" s="59" t="s">
        <v>657</v>
      </c>
      <c r="E13" s="59">
        <v>2</v>
      </c>
      <c r="F13" s="59">
        <v>12</v>
      </c>
    </row>
    <row r="14" spans="1:6" ht="15.95" customHeight="1">
      <c r="A14" s="61" t="s">
        <v>66</v>
      </c>
      <c r="B14" s="12" t="s">
        <v>10</v>
      </c>
      <c r="C14" s="12" t="s">
        <v>49</v>
      </c>
      <c r="D14" s="12" t="s">
        <v>758</v>
      </c>
      <c r="E14" s="12">
        <v>2</v>
      </c>
      <c r="F14" s="12">
        <v>13</v>
      </c>
    </row>
    <row r="15" spans="1:6" ht="15.95" customHeight="1">
      <c r="A15" s="60" t="s">
        <v>656</v>
      </c>
      <c r="B15" s="59" t="s">
        <v>10</v>
      </c>
      <c r="C15" s="59" t="s">
        <v>13</v>
      </c>
      <c r="D15" s="59" t="s">
        <v>651</v>
      </c>
      <c r="E15" s="59">
        <v>2</v>
      </c>
      <c r="F15" s="59">
        <v>14</v>
      </c>
    </row>
    <row r="16" spans="1:6" ht="15.95" customHeight="1">
      <c r="A16" s="60" t="s">
        <v>647</v>
      </c>
      <c r="B16" s="59" t="s">
        <v>27</v>
      </c>
      <c r="C16" s="59" t="s">
        <v>627</v>
      </c>
      <c r="D16" s="59" t="s">
        <v>655</v>
      </c>
      <c r="E16" s="59">
        <v>2</v>
      </c>
      <c r="F16" s="59">
        <v>15</v>
      </c>
    </row>
    <row r="17" spans="1:6" ht="15.95" customHeight="1">
      <c r="A17" s="60" t="s">
        <v>462</v>
      </c>
      <c r="B17" s="59" t="s">
        <v>2</v>
      </c>
      <c r="C17" s="59" t="s">
        <v>120</v>
      </c>
      <c r="D17" s="59" t="s">
        <v>661</v>
      </c>
      <c r="E17" s="59">
        <v>2</v>
      </c>
      <c r="F17" s="59">
        <v>16</v>
      </c>
    </row>
    <row r="18" spans="1:6" ht="15.95" customHeight="1">
      <c r="A18" s="60" t="s">
        <v>115</v>
      </c>
      <c r="B18" s="59" t="s">
        <v>2</v>
      </c>
      <c r="C18" s="59" t="s">
        <v>43</v>
      </c>
      <c r="D18" s="59" t="s">
        <v>654</v>
      </c>
      <c r="E18" s="59">
        <v>2</v>
      </c>
      <c r="F18" s="59">
        <v>17</v>
      </c>
    </row>
    <row r="19" spans="1:6" ht="15.95" customHeight="1">
      <c r="A19" s="60" t="s">
        <v>580</v>
      </c>
      <c r="B19" s="59" t="s">
        <v>10</v>
      </c>
      <c r="C19" s="59" t="s">
        <v>107</v>
      </c>
      <c r="D19" s="59" t="s">
        <v>653</v>
      </c>
      <c r="E19" s="59">
        <v>2</v>
      </c>
      <c r="F19" s="59">
        <v>18</v>
      </c>
    </row>
    <row r="20" spans="1:6" ht="15.95" customHeight="1">
      <c r="A20" s="60" t="s">
        <v>150</v>
      </c>
      <c r="B20" s="59" t="s">
        <v>2</v>
      </c>
      <c r="C20" s="59" t="s">
        <v>15</v>
      </c>
      <c r="D20" s="59" t="s">
        <v>659</v>
      </c>
      <c r="E20" s="59">
        <v>2</v>
      </c>
      <c r="F20" s="59">
        <v>19</v>
      </c>
    </row>
    <row r="21" spans="1:6" ht="15.95" customHeight="1">
      <c r="A21" s="60" t="s">
        <v>689</v>
      </c>
      <c r="B21" s="59" t="s">
        <v>10</v>
      </c>
      <c r="C21" s="59" t="s">
        <v>63</v>
      </c>
      <c r="D21" s="59" t="s">
        <v>652</v>
      </c>
      <c r="E21" s="59">
        <v>2</v>
      </c>
      <c r="F21" s="59">
        <v>20</v>
      </c>
    </row>
    <row r="22" spans="1:6" ht="15.95" customHeight="1">
      <c r="A22" s="60" t="s">
        <v>411</v>
      </c>
      <c r="B22" s="59" t="s">
        <v>2</v>
      </c>
      <c r="C22" s="59" t="s">
        <v>73</v>
      </c>
      <c r="D22" s="59" t="s">
        <v>652</v>
      </c>
      <c r="E22" s="59">
        <v>3</v>
      </c>
      <c r="F22" s="59">
        <v>21</v>
      </c>
    </row>
    <row r="23" spans="1:6" ht="15.95" customHeight="1">
      <c r="A23" s="60" t="s">
        <v>621</v>
      </c>
      <c r="B23" s="59" t="s">
        <v>2</v>
      </c>
      <c r="C23" s="59" t="s">
        <v>3</v>
      </c>
      <c r="D23" s="59" t="s">
        <v>659</v>
      </c>
      <c r="E23" s="59">
        <v>3</v>
      </c>
      <c r="F23" s="59">
        <v>22</v>
      </c>
    </row>
    <row r="24" spans="1:6" ht="15.95" customHeight="1">
      <c r="A24" s="60" t="s">
        <v>695</v>
      </c>
      <c r="B24" s="59" t="s">
        <v>10</v>
      </c>
      <c r="C24" s="59" t="s">
        <v>28</v>
      </c>
      <c r="D24" s="59" t="s">
        <v>653</v>
      </c>
      <c r="E24" s="59">
        <v>3</v>
      </c>
      <c r="F24" s="59">
        <v>23</v>
      </c>
    </row>
    <row r="25" spans="1:6" ht="15.95" customHeight="1">
      <c r="A25" s="60" t="s">
        <v>433</v>
      </c>
      <c r="B25" s="59" t="s">
        <v>10</v>
      </c>
      <c r="C25" s="59" t="s">
        <v>73</v>
      </c>
      <c r="D25" s="59" t="s">
        <v>654</v>
      </c>
      <c r="E25" s="59">
        <v>3</v>
      </c>
      <c r="F25" s="59">
        <v>24</v>
      </c>
    </row>
    <row r="26" spans="1:6" ht="15.95" customHeight="1">
      <c r="A26" s="60" t="s">
        <v>634</v>
      </c>
      <c r="B26" s="59" t="s">
        <v>5</v>
      </c>
      <c r="C26" s="59" t="s">
        <v>56</v>
      </c>
      <c r="D26" s="59" t="s">
        <v>661</v>
      </c>
      <c r="E26" s="59">
        <v>3</v>
      </c>
      <c r="F26" s="59">
        <v>25</v>
      </c>
    </row>
    <row r="27" spans="1:6" ht="15.95" customHeight="1">
      <c r="A27" s="60" t="s">
        <v>425</v>
      </c>
      <c r="B27" s="59" t="s">
        <v>2</v>
      </c>
      <c r="C27" s="59" t="s">
        <v>120</v>
      </c>
      <c r="D27" s="59" t="s">
        <v>655</v>
      </c>
      <c r="E27" s="59">
        <v>3</v>
      </c>
      <c r="F27" s="59">
        <v>26</v>
      </c>
    </row>
    <row r="28" spans="1:6" ht="15.95" customHeight="1">
      <c r="A28" s="61" t="s">
        <v>118</v>
      </c>
      <c r="B28" s="12" t="s">
        <v>2</v>
      </c>
      <c r="C28" s="12" t="s">
        <v>56</v>
      </c>
      <c r="D28" s="12" t="s">
        <v>651</v>
      </c>
      <c r="E28" s="12">
        <v>3</v>
      </c>
      <c r="F28" s="12">
        <v>27</v>
      </c>
    </row>
    <row r="29" spans="1:6" ht="15.95" customHeight="1">
      <c r="A29" s="60" t="s">
        <v>142</v>
      </c>
      <c r="B29" s="59" t="s">
        <v>2</v>
      </c>
      <c r="C29" s="59" t="s">
        <v>41</v>
      </c>
      <c r="D29" s="59" t="s">
        <v>758</v>
      </c>
      <c r="E29" s="59">
        <v>3</v>
      </c>
      <c r="F29" s="59">
        <v>28</v>
      </c>
    </row>
    <row r="30" spans="1:6" ht="15.95" customHeight="1">
      <c r="A30" s="61" t="s">
        <v>694</v>
      </c>
      <c r="B30" s="12" t="s">
        <v>10</v>
      </c>
      <c r="C30" s="12" t="s">
        <v>25</v>
      </c>
      <c r="D30" s="12" t="s">
        <v>657</v>
      </c>
      <c r="E30" s="12">
        <v>3</v>
      </c>
      <c r="F30" s="12">
        <v>29</v>
      </c>
    </row>
    <row r="31" spans="1:6" ht="15.95" customHeight="1">
      <c r="A31" s="60" t="s">
        <v>532</v>
      </c>
      <c r="B31" s="59" t="s">
        <v>10</v>
      </c>
      <c r="C31" s="59" t="s">
        <v>21</v>
      </c>
      <c r="D31" s="59" t="s">
        <v>660</v>
      </c>
      <c r="E31" s="59">
        <v>3</v>
      </c>
      <c r="F31" s="59">
        <v>30</v>
      </c>
    </row>
    <row r="32" spans="1:6" ht="15.95" customHeight="1">
      <c r="A32" s="60" t="s">
        <v>596</v>
      </c>
      <c r="B32" s="59" t="s">
        <v>5</v>
      </c>
      <c r="C32" s="59" t="s">
        <v>137</v>
      </c>
      <c r="D32" s="59" t="s">
        <v>660</v>
      </c>
      <c r="E32" s="59">
        <v>4</v>
      </c>
      <c r="F32" s="59">
        <v>31</v>
      </c>
    </row>
    <row r="33" spans="1:6" ht="15.95" customHeight="1">
      <c r="A33" s="60" t="s">
        <v>59</v>
      </c>
      <c r="B33" s="59" t="s">
        <v>2</v>
      </c>
      <c r="C33" s="59" t="s">
        <v>49</v>
      </c>
      <c r="D33" s="59" t="s">
        <v>657</v>
      </c>
      <c r="E33" s="59">
        <v>4</v>
      </c>
      <c r="F33" s="59">
        <v>32</v>
      </c>
    </row>
    <row r="34" spans="1:6" ht="15.95" customHeight="1">
      <c r="A34" s="60" t="s">
        <v>715</v>
      </c>
      <c r="B34" s="59" t="s">
        <v>2</v>
      </c>
      <c r="C34" s="59" t="s">
        <v>84</v>
      </c>
      <c r="D34" s="59" t="s">
        <v>758</v>
      </c>
      <c r="E34" s="59">
        <v>4</v>
      </c>
      <c r="F34" s="59">
        <v>33</v>
      </c>
    </row>
    <row r="35" spans="1:6" ht="15.95" customHeight="1">
      <c r="A35" s="60" t="s">
        <v>761</v>
      </c>
      <c r="B35" s="59" t="s">
        <v>10</v>
      </c>
      <c r="C35" s="59" t="s">
        <v>34</v>
      </c>
      <c r="D35" s="59" t="s">
        <v>651</v>
      </c>
      <c r="E35" s="59">
        <v>4</v>
      </c>
      <c r="F35" s="59">
        <v>34</v>
      </c>
    </row>
    <row r="36" spans="1:6" ht="15.95" customHeight="1">
      <c r="A36" s="60" t="s">
        <v>823</v>
      </c>
      <c r="B36" s="59" t="s">
        <v>2</v>
      </c>
      <c r="C36" s="59" t="s">
        <v>32</v>
      </c>
      <c r="D36" s="59" t="s">
        <v>655</v>
      </c>
      <c r="E36" s="59">
        <v>4</v>
      </c>
      <c r="F36" s="59">
        <v>35</v>
      </c>
    </row>
    <row r="37" spans="1:6" ht="15.95" customHeight="1">
      <c r="A37" s="62" t="s">
        <v>427</v>
      </c>
      <c r="B37" s="57" t="s">
        <v>10</v>
      </c>
      <c r="C37" s="57" t="s">
        <v>19</v>
      </c>
      <c r="D37" s="57" t="s">
        <v>661</v>
      </c>
      <c r="E37" s="57">
        <v>4</v>
      </c>
      <c r="F37" s="57">
        <v>36</v>
      </c>
    </row>
    <row r="38" spans="1:6" ht="15.95" customHeight="1">
      <c r="A38" s="62" t="s">
        <v>80</v>
      </c>
      <c r="B38" s="57" t="s">
        <v>2</v>
      </c>
      <c r="C38" s="57" t="s">
        <v>19</v>
      </c>
      <c r="D38" s="57" t="s">
        <v>654</v>
      </c>
      <c r="E38" s="57">
        <v>4</v>
      </c>
      <c r="F38" s="57">
        <v>37</v>
      </c>
    </row>
    <row r="39" spans="1:6" ht="15.95" customHeight="1">
      <c r="A39" s="60" t="s">
        <v>583</v>
      </c>
      <c r="B39" s="59" t="s">
        <v>10</v>
      </c>
      <c r="C39" s="59" t="s">
        <v>23</v>
      </c>
      <c r="D39" s="59" t="s">
        <v>653</v>
      </c>
      <c r="E39" s="59">
        <v>4</v>
      </c>
      <c r="F39" s="59">
        <v>38</v>
      </c>
    </row>
    <row r="40" spans="1:6" ht="15.95" customHeight="1">
      <c r="A40" s="60" t="s">
        <v>128</v>
      </c>
      <c r="B40" s="59" t="s">
        <v>2</v>
      </c>
      <c r="C40" s="59" t="s">
        <v>35</v>
      </c>
      <c r="D40" s="59" t="s">
        <v>659</v>
      </c>
      <c r="E40" s="59">
        <v>4</v>
      </c>
      <c r="F40" s="59">
        <v>39</v>
      </c>
    </row>
    <row r="41" spans="1:6" ht="15.95" customHeight="1">
      <c r="A41" s="60" t="s">
        <v>581</v>
      </c>
      <c r="B41" s="59" t="s">
        <v>10</v>
      </c>
      <c r="C41" s="59" t="s">
        <v>627</v>
      </c>
      <c r="D41" s="59" t="s">
        <v>652</v>
      </c>
      <c r="E41" s="59">
        <v>4</v>
      </c>
      <c r="F41" s="59">
        <v>40</v>
      </c>
    </row>
    <row r="42" spans="1:6" ht="15.95" customHeight="1">
      <c r="A42" s="63"/>
    </row>
    <row r="43" spans="1:6" ht="15.95" customHeight="1">
      <c r="A43" s="63"/>
    </row>
    <row r="44" spans="1:6" ht="15.95" customHeight="1">
      <c r="A44" s="63"/>
    </row>
    <row r="45" spans="1:6" ht="15.95" customHeight="1">
      <c r="A45" s="64" t="s">
        <v>703</v>
      </c>
      <c r="B45" s="59" t="s">
        <v>2</v>
      </c>
      <c r="C45" s="59" t="s">
        <v>34</v>
      </c>
      <c r="D45" s="59" t="s">
        <v>652</v>
      </c>
      <c r="E45" s="59">
        <v>5</v>
      </c>
      <c r="F45" s="59">
        <v>41</v>
      </c>
    </row>
    <row r="46" spans="1:6" ht="15.95" customHeight="1">
      <c r="A46" s="60" t="s">
        <v>635</v>
      </c>
      <c r="B46" s="59" t="s">
        <v>27</v>
      </c>
      <c r="C46" s="59" t="s">
        <v>21</v>
      </c>
      <c r="D46" s="59" t="s">
        <v>659</v>
      </c>
      <c r="E46" s="59">
        <v>5</v>
      </c>
      <c r="F46" s="59">
        <v>42</v>
      </c>
    </row>
    <row r="47" spans="1:6" ht="15.95" customHeight="1">
      <c r="A47" s="60" t="s">
        <v>540</v>
      </c>
      <c r="B47" s="59" t="s">
        <v>5</v>
      </c>
      <c r="C47" s="59" t="s">
        <v>21</v>
      </c>
      <c r="D47" s="59" t="s">
        <v>653</v>
      </c>
      <c r="E47" s="59">
        <v>5</v>
      </c>
      <c r="F47" s="59">
        <v>43</v>
      </c>
    </row>
    <row r="48" spans="1:6" ht="15.95" customHeight="1">
      <c r="A48" s="60" t="s">
        <v>762</v>
      </c>
      <c r="B48" s="59" t="s">
        <v>27</v>
      </c>
      <c r="C48" s="59" t="s">
        <v>60</v>
      </c>
      <c r="D48" s="59" t="s">
        <v>654</v>
      </c>
      <c r="E48" s="59">
        <v>5</v>
      </c>
      <c r="F48" s="59">
        <v>44</v>
      </c>
    </row>
    <row r="49" spans="1:6" ht="15.95" customHeight="1">
      <c r="A49" s="60" t="s">
        <v>414</v>
      </c>
      <c r="B49" s="59" t="s">
        <v>10</v>
      </c>
      <c r="C49" s="59" t="s">
        <v>60</v>
      </c>
      <c r="D49" s="59" t="s">
        <v>661</v>
      </c>
      <c r="E49" s="59">
        <v>5</v>
      </c>
      <c r="F49" s="59">
        <v>45</v>
      </c>
    </row>
    <row r="50" spans="1:6" ht="15.95" customHeight="1">
      <c r="A50" s="62" t="s">
        <v>698</v>
      </c>
      <c r="B50" s="57" t="s">
        <v>10</v>
      </c>
      <c r="C50" s="57" t="s">
        <v>91</v>
      </c>
      <c r="D50" s="57" t="s">
        <v>655</v>
      </c>
      <c r="E50" s="57">
        <v>5</v>
      </c>
      <c r="F50" s="57">
        <v>46</v>
      </c>
    </row>
    <row r="51" spans="1:6" ht="15.95" customHeight="1">
      <c r="A51" s="60" t="s">
        <v>731</v>
      </c>
      <c r="B51" s="59" t="s">
        <v>10</v>
      </c>
      <c r="C51" s="59" t="s">
        <v>46</v>
      </c>
      <c r="D51" s="59" t="s">
        <v>651</v>
      </c>
      <c r="E51" s="59">
        <v>5</v>
      </c>
      <c r="F51" s="59">
        <v>47</v>
      </c>
    </row>
    <row r="52" spans="1:6" ht="15.95" customHeight="1">
      <c r="A52" s="60" t="s">
        <v>383</v>
      </c>
      <c r="B52" s="59" t="s">
        <v>2</v>
      </c>
      <c r="C52" s="59" t="s">
        <v>71</v>
      </c>
      <c r="D52" s="59" t="s">
        <v>758</v>
      </c>
      <c r="E52" s="59">
        <v>5</v>
      </c>
      <c r="F52" s="59">
        <v>48</v>
      </c>
    </row>
    <row r="53" spans="1:6" ht="15.95" customHeight="1">
      <c r="A53" s="60" t="s">
        <v>585</v>
      </c>
      <c r="B53" s="59" t="s">
        <v>10</v>
      </c>
      <c r="C53" s="59" t="s">
        <v>120</v>
      </c>
      <c r="D53" s="59" t="s">
        <v>657</v>
      </c>
      <c r="E53" s="59">
        <v>5</v>
      </c>
      <c r="F53" s="59">
        <v>49</v>
      </c>
    </row>
    <row r="54" spans="1:6" ht="15.95" customHeight="1">
      <c r="A54" s="60" t="s">
        <v>599</v>
      </c>
      <c r="B54" s="59" t="s">
        <v>10</v>
      </c>
      <c r="C54" s="59" t="s">
        <v>137</v>
      </c>
      <c r="D54" s="59" t="s">
        <v>660</v>
      </c>
      <c r="E54" s="59">
        <v>5</v>
      </c>
      <c r="F54" s="59">
        <v>50</v>
      </c>
    </row>
    <row r="55" spans="1:6" ht="15.95" customHeight="1">
      <c r="A55" s="60" t="s">
        <v>763</v>
      </c>
      <c r="B55" s="59" t="s">
        <v>10</v>
      </c>
      <c r="C55" s="59" t="s">
        <v>135</v>
      </c>
      <c r="D55" s="59" t="s">
        <v>660</v>
      </c>
      <c r="E55" s="59">
        <v>6</v>
      </c>
      <c r="F55" s="59">
        <v>51</v>
      </c>
    </row>
    <row r="56" spans="1:6" ht="15.95" customHeight="1">
      <c r="A56" s="60" t="s">
        <v>744</v>
      </c>
      <c r="B56" s="59" t="s">
        <v>27</v>
      </c>
      <c r="C56" s="59" t="s">
        <v>28</v>
      </c>
      <c r="D56" s="59" t="s">
        <v>657</v>
      </c>
      <c r="E56" s="59">
        <v>6</v>
      </c>
      <c r="F56" s="59">
        <v>52</v>
      </c>
    </row>
    <row r="57" spans="1:6" ht="15.95" customHeight="1">
      <c r="A57" s="62" t="s">
        <v>454</v>
      </c>
      <c r="B57" s="57" t="s">
        <v>10</v>
      </c>
      <c r="C57" s="57" t="s">
        <v>82</v>
      </c>
      <c r="D57" s="57" t="s">
        <v>758</v>
      </c>
      <c r="E57" s="57">
        <v>6</v>
      </c>
      <c r="F57" s="57">
        <v>53</v>
      </c>
    </row>
    <row r="58" spans="1:6" ht="15.95" customHeight="1">
      <c r="A58" s="60" t="s">
        <v>764</v>
      </c>
      <c r="B58" s="59" t="s">
        <v>2</v>
      </c>
      <c r="C58" s="59" t="s">
        <v>84</v>
      </c>
      <c r="D58" s="59" t="s">
        <v>651</v>
      </c>
      <c r="E58" s="59">
        <v>6</v>
      </c>
      <c r="F58" s="59">
        <v>54</v>
      </c>
    </row>
    <row r="59" spans="1:6" ht="15.95" customHeight="1">
      <c r="A59" s="60" t="s">
        <v>162</v>
      </c>
      <c r="B59" s="59" t="s">
        <v>5</v>
      </c>
      <c r="C59" s="59" t="s">
        <v>15</v>
      </c>
      <c r="D59" s="59" t="s">
        <v>655</v>
      </c>
      <c r="E59" s="59">
        <v>6</v>
      </c>
      <c r="F59" s="59">
        <v>55</v>
      </c>
    </row>
    <row r="60" spans="1:6" ht="15.95" customHeight="1">
      <c r="A60" s="60" t="s">
        <v>451</v>
      </c>
      <c r="B60" s="59" t="s">
        <v>2</v>
      </c>
      <c r="C60" s="59" t="s">
        <v>3</v>
      </c>
      <c r="D60" s="59" t="s">
        <v>661</v>
      </c>
      <c r="E60" s="59">
        <v>6</v>
      </c>
      <c r="F60" s="59">
        <v>56</v>
      </c>
    </row>
    <row r="61" spans="1:6" ht="15.95" customHeight="1">
      <c r="A61" s="60" t="s">
        <v>172</v>
      </c>
      <c r="B61" s="59" t="s">
        <v>5</v>
      </c>
      <c r="C61" s="59" t="s">
        <v>73</v>
      </c>
      <c r="D61" s="59" t="s">
        <v>654</v>
      </c>
      <c r="E61" s="59">
        <v>6</v>
      </c>
      <c r="F61" s="59">
        <v>57</v>
      </c>
    </row>
    <row r="62" spans="1:6" ht="15.95" customHeight="1">
      <c r="A62" s="60" t="s">
        <v>99</v>
      </c>
      <c r="B62" s="59" t="s">
        <v>2</v>
      </c>
      <c r="C62" s="59" t="s">
        <v>17</v>
      </c>
      <c r="D62" s="59" t="s">
        <v>653</v>
      </c>
      <c r="E62" s="59">
        <v>6</v>
      </c>
      <c r="F62" s="59">
        <v>58</v>
      </c>
    </row>
    <row r="63" spans="1:6" ht="15.95" customHeight="1">
      <c r="A63" s="60" t="s">
        <v>545</v>
      </c>
      <c r="B63" s="59" t="s">
        <v>2</v>
      </c>
      <c r="C63" s="59" t="s">
        <v>84</v>
      </c>
      <c r="D63" s="59" t="s">
        <v>659</v>
      </c>
      <c r="E63" s="59">
        <v>6</v>
      </c>
      <c r="F63" s="59">
        <v>59</v>
      </c>
    </row>
    <row r="64" spans="1:6" ht="15.95" customHeight="1">
      <c r="A64" s="60" t="s">
        <v>12</v>
      </c>
      <c r="B64" s="59" t="s">
        <v>10</v>
      </c>
      <c r="C64" s="59" t="s">
        <v>71</v>
      </c>
      <c r="D64" s="59" t="s">
        <v>652</v>
      </c>
      <c r="E64" s="59">
        <v>6</v>
      </c>
      <c r="F64" s="59">
        <v>60</v>
      </c>
    </row>
    <row r="65" spans="1:6" ht="15.95" customHeight="1">
      <c r="A65" s="60" t="s">
        <v>519</v>
      </c>
      <c r="B65" s="59" t="s">
        <v>2</v>
      </c>
      <c r="C65" s="59" t="s">
        <v>34</v>
      </c>
      <c r="D65" s="59" t="s">
        <v>652</v>
      </c>
      <c r="E65" s="59">
        <v>7</v>
      </c>
      <c r="F65" s="59">
        <v>61</v>
      </c>
    </row>
    <row r="66" spans="1:6" ht="15.95" customHeight="1">
      <c r="A66" s="62" t="s">
        <v>570</v>
      </c>
      <c r="B66" s="57" t="s">
        <v>10</v>
      </c>
      <c r="C66" s="57" t="s">
        <v>71</v>
      </c>
      <c r="D66" s="57" t="s">
        <v>659</v>
      </c>
      <c r="E66" s="57">
        <v>7</v>
      </c>
      <c r="F66" s="57">
        <v>62</v>
      </c>
    </row>
    <row r="67" spans="1:6" ht="15.95" customHeight="1">
      <c r="A67" s="60" t="s">
        <v>729</v>
      </c>
      <c r="B67" s="59" t="s">
        <v>27</v>
      </c>
      <c r="C67" s="59" t="s">
        <v>91</v>
      </c>
      <c r="D67" s="59" t="s">
        <v>653</v>
      </c>
      <c r="E67" s="59">
        <v>7</v>
      </c>
      <c r="F67" s="59">
        <v>63</v>
      </c>
    </row>
    <row r="68" spans="1:6" ht="15.95" customHeight="1">
      <c r="A68" s="60" t="s">
        <v>594</v>
      </c>
      <c r="B68" s="59" t="s">
        <v>10</v>
      </c>
      <c r="C68" s="59" t="s">
        <v>30</v>
      </c>
      <c r="D68" s="59" t="s">
        <v>654</v>
      </c>
      <c r="E68" s="59">
        <v>7</v>
      </c>
      <c r="F68" s="59">
        <v>64</v>
      </c>
    </row>
    <row r="69" spans="1:6" ht="15.95" customHeight="1">
      <c r="A69" s="60" t="s">
        <v>629</v>
      </c>
      <c r="B69" s="59" t="s">
        <v>10</v>
      </c>
      <c r="C69" s="59" t="s">
        <v>135</v>
      </c>
      <c r="D69" s="59" t="s">
        <v>661</v>
      </c>
      <c r="E69" s="59">
        <v>7</v>
      </c>
      <c r="F69" s="59">
        <v>65</v>
      </c>
    </row>
    <row r="70" spans="1:6" ht="15.95" customHeight="1">
      <c r="A70" s="60" t="s">
        <v>765</v>
      </c>
      <c r="B70" s="59" t="s">
        <v>10</v>
      </c>
      <c r="C70" s="59" t="s">
        <v>11</v>
      </c>
      <c r="D70" s="59" t="s">
        <v>655</v>
      </c>
      <c r="E70" s="59">
        <v>7</v>
      </c>
      <c r="F70" s="59">
        <v>66</v>
      </c>
    </row>
    <row r="71" spans="1:6" ht="15.95" customHeight="1">
      <c r="A71" s="60" t="s">
        <v>708</v>
      </c>
      <c r="B71" s="59" t="s">
        <v>27</v>
      </c>
      <c r="C71" s="59" t="s">
        <v>34</v>
      </c>
      <c r="D71" s="59" t="s">
        <v>651</v>
      </c>
      <c r="E71" s="59">
        <v>7</v>
      </c>
      <c r="F71" s="59">
        <v>67</v>
      </c>
    </row>
    <row r="72" spans="1:6" ht="15.95" customHeight="1">
      <c r="A72" s="60" t="s">
        <v>766</v>
      </c>
      <c r="B72" s="59" t="s">
        <v>2</v>
      </c>
      <c r="C72" s="59" t="s">
        <v>46</v>
      </c>
      <c r="D72" s="59" t="s">
        <v>758</v>
      </c>
      <c r="E72" s="59">
        <v>7</v>
      </c>
      <c r="F72" s="59">
        <v>68</v>
      </c>
    </row>
    <row r="73" spans="1:6" ht="15.95" customHeight="1">
      <c r="A73" s="60" t="s">
        <v>175</v>
      </c>
      <c r="B73" s="59" t="s">
        <v>2</v>
      </c>
      <c r="C73" s="59" t="s">
        <v>11</v>
      </c>
      <c r="D73" s="59" t="s">
        <v>657</v>
      </c>
      <c r="E73" s="59">
        <v>7</v>
      </c>
      <c r="F73" s="59">
        <v>69</v>
      </c>
    </row>
    <row r="74" spans="1:6" ht="15.95" customHeight="1">
      <c r="A74" s="60" t="s">
        <v>1</v>
      </c>
      <c r="B74" s="59" t="s">
        <v>2</v>
      </c>
      <c r="C74" s="59" t="s">
        <v>43</v>
      </c>
      <c r="D74" s="59" t="s">
        <v>660</v>
      </c>
      <c r="E74" s="59">
        <v>7</v>
      </c>
      <c r="F74" s="59">
        <v>70</v>
      </c>
    </row>
    <row r="75" spans="1:6" ht="15.95" customHeight="1">
      <c r="A75" s="62" t="s">
        <v>736</v>
      </c>
      <c r="B75" s="57" t="s">
        <v>2</v>
      </c>
      <c r="C75" s="57" t="s">
        <v>49</v>
      </c>
      <c r="D75" s="57" t="s">
        <v>660</v>
      </c>
      <c r="E75" s="57">
        <v>8</v>
      </c>
      <c r="F75" s="57">
        <v>71</v>
      </c>
    </row>
    <row r="76" spans="1:6" ht="15.95" customHeight="1">
      <c r="A76" s="60" t="s">
        <v>767</v>
      </c>
      <c r="B76" s="59" t="s">
        <v>2</v>
      </c>
      <c r="C76" s="59" t="s">
        <v>23</v>
      </c>
      <c r="D76" s="59" t="s">
        <v>657</v>
      </c>
      <c r="E76" s="59">
        <v>8</v>
      </c>
      <c r="F76" s="59">
        <v>72</v>
      </c>
    </row>
    <row r="77" spans="1:6" ht="15.95" customHeight="1">
      <c r="A77" s="60" t="s">
        <v>4</v>
      </c>
      <c r="B77" s="59" t="s">
        <v>5</v>
      </c>
      <c r="C77" s="59" t="s">
        <v>6</v>
      </c>
      <c r="D77" s="59" t="s">
        <v>758</v>
      </c>
      <c r="E77" s="59">
        <v>8</v>
      </c>
      <c r="F77" s="59">
        <v>73</v>
      </c>
    </row>
    <row r="78" spans="1:6" ht="15.95" customHeight="1">
      <c r="A78" s="60" t="s">
        <v>624</v>
      </c>
      <c r="B78" s="59" t="s">
        <v>2</v>
      </c>
      <c r="C78" s="59" t="s">
        <v>135</v>
      </c>
      <c r="D78" s="59" t="s">
        <v>651</v>
      </c>
      <c r="E78" s="59">
        <v>8</v>
      </c>
      <c r="F78" s="59">
        <v>74</v>
      </c>
    </row>
    <row r="79" spans="1:6" ht="15.95" customHeight="1">
      <c r="A79" s="60" t="s">
        <v>161</v>
      </c>
      <c r="B79" s="59" t="s">
        <v>2</v>
      </c>
      <c r="C79" s="59" t="s">
        <v>82</v>
      </c>
      <c r="D79" s="59" t="s">
        <v>655</v>
      </c>
      <c r="E79" s="59">
        <v>8</v>
      </c>
      <c r="F79" s="59">
        <v>75</v>
      </c>
    </row>
    <row r="80" spans="1:6" ht="15.95" customHeight="1">
      <c r="A80" s="60" t="s">
        <v>768</v>
      </c>
      <c r="B80" s="59" t="s">
        <v>2</v>
      </c>
      <c r="C80" s="59" t="s">
        <v>63</v>
      </c>
      <c r="D80" s="59" t="s">
        <v>661</v>
      </c>
      <c r="E80" s="59">
        <v>8</v>
      </c>
      <c r="F80" s="59">
        <v>76</v>
      </c>
    </row>
    <row r="81" spans="1:6" ht="15.95" customHeight="1">
      <c r="A81" s="60" t="s">
        <v>184</v>
      </c>
      <c r="B81" s="59" t="s">
        <v>2</v>
      </c>
      <c r="C81" s="59" t="s">
        <v>71</v>
      </c>
      <c r="D81" s="59" t="s">
        <v>654</v>
      </c>
      <c r="E81" s="59">
        <v>8</v>
      </c>
      <c r="F81" s="59">
        <v>77</v>
      </c>
    </row>
    <row r="82" spans="1:6" ht="15.95" customHeight="1">
      <c r="A82" s="60" t="s">
        <v>769</v>
      </c>
      <c r="B82" s="59" t="s">
        <v>2</v>
      </c>
      <c r="C82" s="59" t="s">
        <v>63</v>
      </c>
      <c r="D82" s="59" t="s">
        <v>653</v>
      </c>
      <c r="E82" s="59">
        <v>8</v>
      </c>
      <c r="F82" s="59">
        <v>78</v>
      </c>
    </row>
    <row r="83" spans="1:6" ht="15.95" customHeight="1">
      <c r="A83" s="60" t="s">
        <v>743</v>
      </c>
      <c r="B83" s="59" t="s">
        <v>5</v>
      </c>
      <c r="C83" s="59" t="s">
        <v>19</v>
      </c>
      <c r="D83" s="59" t="s">
        <v>659</v>
      </c>
      <c r="E83" s="59">
        <v>8</v>
      </c>
      <c r="F83" s="59">
        <v>79</v>
      </c>
    </row>
    <row r="84" spans="1:6" ht="15.95" customHeight="1">
      <c r="A84" s="60" t="s">
        <v>726</v>
      </c>
      <c r="B84" s="59" t="s">
        <v>27</v>
      </c>
      <c r="C84" s="59" t="s">
        <v>6</v>
      </c>
      <c r="D84" s="59" t="s">
        <v>652</v>
      </c>
      <c r="E84" s="59">
        <v>8</v>
      </c>
      <c r="F84" s="59">
        <v>80</v>
      </c>
    </row>
    <row r="85" spans="1:6" ht="15.95" customHeight="1">
      <c r="A85" s="63"/>
    </row>
    <row r="86" spans="1:6" ht="15.95" customHeight="1">
      <c r="A86" s="63"/>
    </row>
    <row r="87" spans="1:6" ht="15.95" customHeight="1">
      <c r="A87" s="63"/>
    </row>
    <row r="88" spans="1:6" ht="15.95" customHeight="1">
      <c r="A88" s="63"/>
    </row>
    <row r="89" spans="1:6" ht="15.95" customHeight="1">
      <c r="A89" s="60" t="s">
        <v>770</v>
      </c>
      <c r="B89" s="59" t="s">
        <v>2</v>
      </c>
      <c r="C89" s="59" t="s">
        <v>82</v>
      </c>
      <c r="D89" s="59" t="s">
        <v>652</v>
      </c>
      <c r="E89" s="59">
        <v>9</v>
      </c>
      <c r="F89" s="59">
        <v>81</v>
      </c>
    </row>
    <row r="90" spans="1:6" ht="15.95" customHeight="1">
      <c r="A90" s="62" t="s">
        <v>739</v>
      </c>
      <c r="B90" s="57" t="s">
        <v>2</v>
      </c>
      <c r="C90" s="57" t="s">
        <v>3</v>
      </c>
      <c r="D90" s="57" t="s">
        <v>659</v>
      </c>
      <c r="E90" s="57">
        <v>9</v>
      </c>
      <c r="F90" s="57">
        <v>82</v>
      </c>
    </row>
    <row r="91" spans="1:6" ht="15.95" customHeight="1">
      <c r="A91" s="62" t="s">
        <v>447</v>
      </c>
      <c r="B91" s="57" t="s">
        <v>10</v>
      </c>
      <c r="C91" s="57" t="s">
        <v>6</v>
      </c>
      <c r="D91" s="57" t="s">
        <v>653</v>
      </c>
      <c r="E91" s="57">
        <v>9</v>
      </c>
      <c r="F91" s="57">
        <v>83</v>
      </c>
    </row>
    <row r="92" spans="1:6" ht="15.95" customHeight="1">
      <c r="A92" s="62" t="s">
        <v>52</v>
      </c>
      <c r="B92" s="57" t="s">
        <v>2</v>
      </c>
      <c r="C92" s="57" t="s">
        <v>32</v>
      </c>
      <c r="D92" s="57" t="s">
        <v>654</v>
      </c>
      <c r="E92" s="57">
        <v>9</v>
      </c>
      <c r="F92" s="57">
        <v>84</v>
      </c>
    </row>
    <row r="93" spans="1:6" ht="15.95" customHeight="1">
      <c r="A93" s="62" t="s">
        <v>686</v>
      </c>
      <c r="B93" s="57" t="s">
        <v>2</v>
      </c>
      <c r="C93" s="57" t="s">
        <v>15</v>
      </c>
      <c r="D93" s="57" t="s">
        <v>661</v>
      </c>
      <c r="E93" s="57">
        <v>9</v>
      </c>
      <c r="F93" s="57">
        <v>85</v>
      </c>
    </row>
    <row r="94" spans="1:6" ht="15.95" customHeight="1">
      <c r="A94" s="60" t="s">
        <v>463</v>
      </c>
      <c r="B94" s="59" t="s">
        <v>2</v>
      </c>
      <c r="C94" s="59" t="s">
        <v>46</v>
      </c>
      <c r="D94" s="59" t="s">
        <v>655</v>
      </c>
      <c r="E94" s="59">
        <v>9</v>
      </c>
      <c r="F94" s="59">
        <v>86</v>
      </c>
    </row>
    <row r="95" spans="1:6" ht="15.95" customHeight="1">
      <c r="A95" s="60" t="s">
        <v>732</v>
      </c>
      <c r="B95" s="59" t="s">
        <v>27</v>
      </c>
      <c r="C95" s="59" t="s">
        <v>30</v>
      </c>
      <c r="D95" s="59" t="s">
        <v>651</v>
      </c>
      <c r="E95" s="59">
        <v>9</v>
      </c>
      <c r="F95" s="59">
        <v>87</v>
      </c>
    </row>
    <row r="96" spans="1:6" ht="15.95" customHeight="1">
      <c r="A96" s="60" t="s">
        <v>771</v>
      </c>
      <c r="B96" s="59" t="s">
        <v>2</v>
      </c>
      <c r="C96" s="59" t="s">
        <v>627</v>
      </c>
      <c r="D96" s="59" t="s">
        <v>758</v>
      </c>
      <c r="E96" s="59">
        <v>9</v>
      </c>
      <c r="F96" s="59">
        <v>88</v>
      </c>
    </row>
    <row r="97" spans="1:6" ht="15.95" customHeight="1">
      <c r="A97" s="60" t="s">
        <v>751</v>
      </c>
      <c r="B97" s="59" t="s">
        <v>10</v>
      </c>
      <c r="C97" s="59" t="s">
        <v>6</v>
      </c>
      <c r="D97" s="59" t="s">
        <v>657</v>
      </c>
      <c r="E97" s="59">
        <v>9</v>
      </c>
      <c r="F97" s="59">
        <v>89</v>
      </c>
    </row>
    <row r="98" spans="1:6" ht="15.95" customHeight="1">
      <c r="A98" s="60" t="s">
        <v>586</v>
      </c>
      <c r="B98" s="59" t="s">
        <v>2</v>
      </c>
      <c r="C98" s="59" t="s">
        <v>91</v>
      </c>
      <c r="D98" s="59" t="s">
        <v>660</v>
      </c>
      <c r="E98" s="59">
        <v>9</v>
      </c>
      <c r="F98" s="59">
        <v>90</v>
      </c>
    </row>
    <row r="99" spans="1:6" ht="15.95" customHeight="1">
      <c r="A99" s="60" t="s">
        <v>750</v>
      </c>
      <c r="B99" s="59" t="s">
        <v>10</v>
      </c>
      <c r="C99" s="59" t="s">
        <v>56</v>
      </c>
      <c r="D99" s="59" t="s">
        <v>660</v>
      </c>
      <c r="E99" s="59">
        <v>10</v>
      </c>
      <c r="F99" s="59">
        <v>91</v>
      </c>
    </row>
    <row r="100" spans="1:6" ht="15.95" customHeight="1">
      <c r="A100" s="62" t="s">
        <v>504</v>
      </c>
      <c r="B100" s="57" t="s">
        <v>2</v>
      </c>
      <c r="C100" s="57" t="s">
        <v>60</v>
      </c>
      <c r="D100" s="57" t="s">
        <v>657</v>
      </c>
      <c r="E100" s="57">
        <v>10</v>
      </c>
      <c r="F100" s="57">
        <v>92</v>
      </c>
    </row>
    <row r="101" spans="1:6" ht="15.95" customHeight="1">
      <c r="A101" s="60" t="s">
        <v>484</v>
      </c>
      <c r="B101" s="59" t="s">
        <v>10</v>
      </c>
      <c r="C101" s="59" t="s">
        <v>120</v>
      </c>
      <c r="D101" s="59" t="s">
        <v>758</v>
      </c>
      <c r="E101" s="59">
        <v>10</v>
      </c>
      <c r="F101" s="59">
        <v>93</v>
      </c>
    </row>
    <row r="102" spans="1:6" ht="15.95" customHeight="1">
      <c r="A102" s="62" t="s">
        <v>706</v>
      </c>
      <c r="B102" s="57" t="s">
        <v>2</v>
      </c>
      <c r="C102" s="57" t="s">
        <v>73</v>
      </c>
      <c r="D102" s="57" t="s">
        <v>651</v>
      </c>
      <c r="E102" s="57">
        <v>10</v>
      </c>
      <c r="F102" s="57">
        <v>94</v>
      </c>
    </row>
    <row r="103" spans="1:6" ht="15.95" customHeight="1">
      <c r="A103" s="62" t="s">
        <v>503</v>
      </c>
      <c r="B103" s="57" t="s">
        <v>2</v>
      </c>
      <c r="C103" s="57" t="s">
        <v>43</v>
      </c>
      <c r="D103" s="57" t="s">
        <v>655</v>
      </c>
      <c r="E103" s="57">
        <v>10</v>
      </c>
      <c r="F103" s="57">
        <v>95</v>
      </c>
    </row>
    <row r="104" spans="1:6" ht="15.95" customHeight="1">
      <c r="A104" s="60" t="s">
        <v>772</v>
      </c>
      <c r="B104" s="59" t="s">
        <v>10</v>
      </c>
      <c r="C104" s="59" t="s">
        <v>34</v>
      </c>
      <c r="D104" s="59" t="s">
        <v>661</v>
      </c>
      <c r="E104" s="59">
        <v>10</v>
      </c>
      <c r="F104" s="59">
        <v>96</v>
      </c>
    </row>
    <row r="105" spans="1:6" ht="15.95" customHeight="1">
      <c r="A105" s="60" t="s">
        <v>495</v>
      </c>
      <c r="B105" s="59" t="s">
        <v>2</v>
      </c>
      <c r="C105" s="59"/>
      <c r="D105" s="59" t="s">
        <v>654</v>
      </c>
      <c r="E105" s="59">
        <v>10</v>
      </c>
      <c r="F105" s="59">
        <v>97</v>
      </c>
    </row>
    <row r="106" spans="1:6" ht="15.95" customHeight="1">
      <c r="A106" s="62" t="s">
        <v>707</v>
      </c>
      <c r="B106" s="57" t="s">
        <v>2</v>
      </c>
      <c r="C106" s="57" t="s">
        <v>135</v>
      </c>
      <c r="D106" s="57" t="s">
        <v>653</v>
      </c>
      <c r="E106" s="57">
        <v>10</v>
      </c>
      <c r="F106" s="57">
        <v>98</v>
      </c>
    </row>
    <row r="107" spans="1:6" ht="15.95" customHeight="1">
      <c r="A107" s="60" t="s">
        <v>773</v>
      </c>
      <c r="B107" s="59" t="s">
        <v>2</v>
      </c>
      <c r="C107" s="59" t="s">
        <v>25</v>
      </c>
      <c r="D107" s="59" t="s">
        <v>659</v>
      </c>
      <c r="E107" s="59">
        <v>10</v>
      </c>
      <c r="F107" s="59">
        <v>99</v>
      </c>
    </row>
    <row r="108" spans="1:6" ht="15.95" customHeight="1">
      <c r="A108" s="60" t="s">
        <v>437</v>
      </c>
      <c r="B108" s="59" t="s">
        <v>10</v>
      </c>
      <c r="C108" s="59" t="s">
        <v>627</v>
      </c>
      <c r="D108" s="59" t="s">
        <v>652</v>
      </c>
      <c r="E108" s="59">
        <v>10</v>
      </c>
      <c r="F108" s="59">
        <v>100</v>
      </c>
    </row>
    <row r="109" spans="1:6" ht="15.95" customHeight="1">
      <c r="A109" s="60" t="s">
        <v>593</v>
      </c>
      <c r="B109" s="59" t="s">
        <v>10</v>
      </c>
      <c r="C109" s="59" t="s">
        <v>56</v>
      </c>
      <c r="D109" s="59" t="s">
        <v>652</v>
      </c>
      <c r="E109" s="59">
        <v>11</v>
      </c>
      <c r="F109" s="59">
        <v>101</v>
      </c>
    </row>
    <row r="110" spans="1:6" ht="15.95" customHeight="1">
      <c r="A110" s="60" t="s">
        <v>510</v>
      </c>
      <c r="B110" s="59" t="s">
        <v>10</v>
      </c>
      <c r="C110" s="59" t="s">
        <v>137</v>
      </c>
      <c r="D110" s="59" t="s">
        <v>659</v>
      </c>
      <c r="E110" s="59">
        <v>11</v>
      </c>
      <c r="F110" s="59">
        <v>102</v>
      </c>
    </row>
    <row r="111" spans="1:6" ht="15.95" customHeight="1">
      <c r="A111" s="60" t="s">
        <v>640</v>
      </c>
      <c r="B111" s="59" t="s">
        <v>27</v>
      </c>
      <c r="C111" s="59" t="s">
        <v>120</v>
      </c>
      <c r="D111" s="59" t="s">
        <v>653</v>
      </c>
      <c r="E111" s="59">
        <v>11</v>
      </c>
      <c r="F111" s="59">
        <v>103</v>
      </c>
    </row>
    <row r="112" spans="1:6" ht="15.95" customHeight="1">
      <c r="A112" s="60" t="s">
        <v>62</v>
      </c>
      <c r="B112" s="59" t="s">
        <v>10</v>
      </c>
      <c r="C112" s="59" t="s">
        <v>63</v>
      </c>
      <c r="D112" s="59" t="s">
        <v>654</v>
      </c>
      <c r="E112" s="59">
        <v>11</v>
      </c>
      <c r="F112" s="59">
        <v>104</v>
      </c>
    </row>
    <row r="113" spans="1:6" ht="15.95" customHeight="1">
      <c r="A113" s="60" t="s">
        <v>608</v>
      </c>
      <c r="B113" s="59" t="s">
        <v>27</v>
      </c>
      <c r="C113" s="59" t="s">
        <v>23</v>
      </c>
      <c r="D113" s="59" t="s">
        <v>661</v>
      </c>
      <c r="E113" s="59">
        <v>11</v>
      </c>
      <c r="F113" s="59">
        <v>105</v>
      </c>
    </row>
    <row r="114" spans="1:6" ht="15.95" customHeight="1">
      <c r="A114" s="60" t="s">
        <v>774</v>
      </c>
      <c r="B114" s="59" t="s">
        <v>2</v>
      </c>
      <c r="C114" s="59" t="s">
        <v>107</v>
      </c>
      <c r="D114" s="59" t="s">
        <v>655</v>
      </c>
      <c r="E114" s="59">
        <v>11</v>
      </c>
      <c r="F114" s="59">
        <v>106</v>
      </c>
    </row>
    <row r="115" spans="1:6" ht="15.95" customHeight="1">
      <c r="A115" s="60" t="s">
        <v>51</v>
      </c>
      <c r="B115" s="59" t="s">
        <v>10</v>
      </c>
      <c r="C115" s="59" t="s">
        <v>28</v>
      </c>
      <c r="D115" s="59" t="s">
        <v>651</v>
      </c>
      <c r="E115" s="59">
        <v>11</v>
      </c>
      <c r="F115" s="59">
        <v>107</v>
      </c>
    </row>
    <row r="116" spans="1:6" ht="15.95" customHeight="1">
      <c r="A116" s="60" t="s">
        <v>566</v>
      </c>
      <c r="B116" s="59" t="s">
        <v>10</v>
      </c>
      <c r="C116" s="59" t="s">
        <v>17</v>
      </c>
      <c r="D116" s="59" t="s">
        <v>758</v>
      </c>
      <c r="E116" s="59">
        <v>11</v>
      </c>
      <c r="F116" s="59">
        <v>108</v>
      </c>
    </row>
    <row r="117" spans="1:6" ht="15.95" customHeight="1">
      <c r="A117" s="60" t="s">
        <v>733</v>
      </c>
      <c r="B117" s="59" t="s">
        <v>2</v>
      </c>
      <c r="C117" s="59" t="s">
        <v>30</v>
      </c>
      <c r="D117" s="59" t="s">
        <v>657</v>
      </c>
      <c r="E117" s="59">
        <v>11</v>
      </c>
      <c r="F117" s="59">
        <v>109</v>
      </c>
    </row>
    <row r="118" spans="1:6" ht="15.95" customHeight="1">
      <c r="A118" s="60" t="s">
        <v>606</v>
      </c>
      <c r="B118" s="59" t="s">
        <v>10</v>
      </c>
      <c r="C118" s="59" t="s">
        <v>15</v>
      </c>
      <c r="D118" s="59" t="s">
        <v>660</v>
      </c>
      <c r="E118" s="59">
        <v>11</v>
      </c>
      <c r="F118" s="59">
        <v>110</v>
      </c>
    </row>
    <row r="119" spans="1:6" ht="15.95" customHeight="1">
      <c r="A119" s="62" t="s">
        <v>520</v>
      </c>
      <c r="B119" s="57" t="s">
        <v>27</v>
      </c>
      <c r="C119" s="57" t="s">
        <v>13</v>
      </c>
      <c r="D119" s="57" t="s">
        <v>660</v>
      </c>
      <c r="E119" s="57">
        <v>12</v>
      </c>
      <c r="F119" s="57">
        <v>111</v>
      </c>
    </row>
    <row r="120" spans="1:6" ht="15.95" customHeight="1">
      <c r="A120" s="60" t="s">
        <v>775</v>
      </c>
      <c r="B120" s="59" t="s">
        <v>10</v>
      </c>
      <c r="C120" s="59" t="s">
        <v>30</v>
      </c>
      <c r="D120" s="59" t="s">
        <v>657</v>
      </c>
      <c r="E120" s="59">
        <v>12</v>
      </c>
      <c r="F120" s="59">
        <v>112</v>
      </c>
    </row>
    <row r="121" spans="1:6" ht="15.95" customHeight="1">
      <c r="A121" s="60" t="s">
        <v>501</v>
      </c>
      <c r="B121" s="59" t="s">
        <v>2</v>
      </c>
      <c r="C121" s="59" t="s">
        <v>19</v>
      </c>
      <c r="D121" s="59" t="s">
        <v>758</v>
      </c>
      <c r="E121" s="59">
        <v>12</v>
      </c>
      <c r="F121" s="59">
        <v>113</v>
      </c>
    </row>
    <row r="122" spans="1:6" ht="15.95" customHeight="1">
      <c r="A122" s="60" t="s">
        <v>612</v>
      </c>
      <c r="B122" s="59" t="s">
        <v>41</v>
      </c>
      <c r="C122" s="59" t="s">
        <v>10</v>
      </c>
      <c r="D122" s="59" t="s">
        <v>651</v>
      </c>
      <c r="E122" s="59">
        <v>12</v>
      </c>
      <c r="F122" s="59">
        <v>114</v>
      </c>
    </row>
    <row r="123" spans="1:6" ht="15.95" customHeight="1">
      <c r="A123" s="60" t="s">
        <v>511</v>
      </c>
      <c r="B123" s="59" t="s">
        <v>43</v>
      </c>
      <c r="C123" s="59" t="s">
        <v>10</v>
      </c>
      <c r="D123" s="59" t="s">
        <v>655</v>
      </c>
      <c r="E123" s="59">
        <v>12</v>
      </c>
      <c r="F123" s="59">
        <v>115</v>
      </c>
    </row>
    <row r="124" spans="1:6" ht="15.95" customHeight="1">
      <c r="A124" s="60" t="s">
        <v>455</v>
      </c>
      <c r="B124" s="59" t="s">
        <v>63</v>
      </c>
      <c r="C124" s="59" t="s">
        <v>2</v>
      </c>
      <c r="D124" s="59" t="s">
        <v>661</v>
      </c>
      <c r="E124" s="59">
        <v>12</v>
      </c>
      <c r="F124" s="59">
        <v>116</v>
      </c>
    </row>
    <row r="125" spans="1:6" ht="15.95" customHeight="1">
      <c r="A125" s="60" t="s">
        <v>776</v>
      </c>
      <c r="B125" s="59" t="s">
        <v>137</v>
      </c>
      <c r="C125" s="59" t="s">
        <v>2</v>
      </c>
      <c r="D125" s="59" t="s">
        <v>654</v>
      </c>
      <c r="E125" s="59">
        <v>12</v>
      </c>
      <c r="F125" s="59">
        <v>117</v>
      </c>
    </row>
    <row r="126" spans="1:6" ht="15.95" customHeight="1">
      <c r="A126" s="60" t="s">
        <v>620</v>
      </c>
      <c r="B126" s="59" t="s">
        <v>21</v>
      </c>
      <c r="C126" s="59" t="s">
        <v>2</v>
      </c>
      <c r="D126" s="59" t="s">
        <v>653</v>
      </c>
      <c r="E126" s="59">
        <v>12</v>
      </c>
      <c r="F126" s="59">
        <v>118</v>
      </c>
    </row>
    <row r="127" spans="1:6" ht="15.95" customHeight="1">
      <c r="A127" s="60" t="s">
        <v>488</v>
      </c>
      <c r="B127" s="59" t="s">
        <v>73</v>
      </c>
      <c r="C127" s="59" t="s">
        <v>10</v>
      </c>
      <c r="D127" s="59" t="s">
        <v>659</v>
      </c>
      <c r="E127" s="59">
        <v>12</v>
      </c>
      <c r="F127" s="59">
        <v>119</v>
      </c>
    </row>
    <row r="128" spans="1:6" ht="15.95" customHeight="1">
      <c r="A128" s="62" t="s">
        <v>711</v>
      </c>
      <c r="B128" s="57" t="s">
        <v>2</v>
      </c>
      <c r="C128" s="57" t="s">
        <v>41</v>
      </c>
      <c r="D128" s="57" t="s">
        <v>652</v>
      </c>
      <c r="E128" s="57">
        <v>12</v>
      </c>
      <c r="F128" s="57">
        <v>120</v>
      </c>
    </row>
    <row r="129" spans="1:6" ht="15.95" customHeight="1">
      <c r="A129" s="63"/>
    </row>
    <row r="130" spans="1:6" ht="15.95" customHeight="1">
      <c r="A130" s="63"/>
    </row>
    <row r="131" spans="1:6" ht="15.95" customHeight="1">
      <c r="A131" s="63"/>
    </row>
    <row r="132" spans="1:6" ht="15.95" customHeight="1">
      <c r="A132" s="63"/>
    </row>
    <row r="133" spans="1:6" ht="15.95" customHeight="1">
      <c r="A133" s="62" t="s">
        <v>559</v>
      </c>
      <c r="B133" s="57" t="s">
        <v>5</v>
      </c>
      <c r="C133" s="57" t="s">
        <v>13</v>
      </c>
      <c r="D133" s="57" t="s">
        <v>652</v>
      </c>
      <c r="E133" s="57">
        <v>13</v>
      </c>
      <c r="F133" s="57">
        <v>121</v>
      </c>
    </row>
    <row r="134" spans="1:6" ht="15.95" customHeight="1">
      <c r="A134" s="60" t="s">
        <v>777</v>
      </c>
      <c r="B134" s="59" t="s">
        <v>2</v>
      </c>
      <c r="C134" s="59" t="s">
        <v>60</v>
      </c>
      <c r="D134" s="59" t="s">
        <v>659</v>
      </c>
      <c r="E134" s="59">
        <v>13</v>
      </c>
      <c r="F134" s="59">
        <v>122</v>
      </c>
    </row>
    <row r="135" spans="1:6" ht="15.95" customHeight="1">
      <c r="A135" s="60" t="s">
        <v>174</v>
      </c>
      <c r="B135" s="59" t="s">
        <v>10</v>
      </c>
      <c r="C135" s="59" t="s">
        <v>17</v>
      </c>
      <c r="D135" s="59" t="s">
        <v>653</v>
      </c>
      <c r="E135" s="59">
        <v>13</v>
      </c>
      <c r="F135" s="59">
        <v>123</v>
      </c>
    </row>
    <row r="136" spans="1:6" ht="15.95" customHeight="1">
      <c r="A136" s="60" t="s">
        <v>738</v>
      </c>
      <c r="B136" s="59" t="s">
        <v>2</v>
      </c>
      <c r="C136" s="59" t="s">
        <v>13</v>
      </c>
      <c r="D136" s="59" t="s">
        <v>654</v>
      </c>
      <c r="E136" s="59">
        <v>13</v>
      </c>
      <c r="F136" s="59">
        <v>124</v>
      </c>
    </row>
    <row r="137" spans="1:6" ht="15.95" customHeight="1">
      <c r="A137" s="60" t="s">
        <v>778</v>
      </c>
      <c r="B137" s="59" t="s">
        <v>2</v>
      </c>
      <c r="C137" s="59" t="s">
        <v>11</v>
      </c>
      <c r="D137" s="59" t="s">
        <v>661</v>
      </c>
      <c r="E137" s="59">
        <v>13</v>
      </c>
      <c r="F137" s="59">
        <v>125</v>
      </c>
    </row>
    <row r="138" spans="1:6" ht="15.95" customHeight="1">
      <c r="A138" s="60" t="s">
        <v>779</v>
      </c>
      <c r="B138" s="59" t="s">
        <v>10</v>
      </c>
      <c r="C138" s="59" t="s">
        <v>91</v>
      </c>
      <c r="D138" s="59" t="s">
        <v>655</v>
      </c>
      <c r="E138" s="59">
        <v>13</v>
      </c>
      <c r="F138" s="59">
        <v>126</v>
      </c>
    </row>
    <row r="139" spans="1:6" ht="15.95" customHeight="1">
      <c r="A139" s="60" t="s">
        <v>780</v>
      </c>
      <c r="B139" s="59" t="s">
        <v>36</v>
      </c>
      <c r="C139" s="59" t="s">
        <v>43</v>
      </c>
      <c r="D139" s="59" t="s">
        <v>651</v>
      </c>
      <c r="E139" s="59">
        <v>13</v>
      </c>
      <c r="F139" s="59">
        <v>127</v>
      </c>
    </row>
    <row r="140" spans="1:6" ht="15.95" customHeight="1">
      <c r="A140" s="60" t="s">
        <v>781</v>
      </c>
      <c r="B140" s="59" t="s">
        <v>36</v>
      </c>
      <c r="C140" s="59" t="s">
        <v>3</v>
      </c>
      <c r="D140" s="59" t="s">
        <v>758</v>
      </c>
      <c r="E140" s="59">
        <v>13</v>
      </c>
      <c r="F140" s="59">
        <v>128</v>
      </c>
    </row>
    <row r="141" spans="1:6" ht="15.95" customHeight="1">
      <c r="A141" s="60" t="s">
        <v>633</v>
      </c>
      <c r="B141" s="59" t="s">
        <v>5</v>
      </c>
      <c r="C141" s="59" t="s">
        <v>49</v>
      </c>
      <c r="D141" s="59" t="s">
        <v>657</v>
      </c>
      <c r="E141" s="59">
        <v>13</v>
      </c>
      <c r="F141" s="59">
        <v>129</v>
      </c>
    </row>
    <row r="142" spans="1:6" ht="15.95" customHeight="1">
      <c r="A142" s="60" t="s">
        <v>782</v>
      </c>
      <c r="B142" s="59" t="s">
        <v>36</v>
      </c>
      <c r="C142" s="59" t="s">
        <v>91</v>
      </c>
      <c r="D142" s="59" t="s">
        <v>660</v>
      </c>
      <c r="E142" s="59">
        <v>13</v>
      </c>
      <c r="F142" s="59">
        <v>130</v>
      </c>
    </row>
    <row r="143" spans="1:6" ht="15.95" customHeight="1">
      <c r="A143" s="60" t="s">
        <v>783</v>
      </c>
      <c r="B143" s="59" t="s">
        <v>5</v>
      </c>
      <c r="C143" s="59" t="s">
        <v>135</v>
      </c>
      <c r="D143" s="59" t="s">
        <v>660</v>
      </c>
      <c r="E143" s="59">
        <v>14</v>
      </c>
      <c r="F143" s="59">
        <v>131</v>
      </c>
    </row>
    <row r="144" spans="1:6" ht="15.95" customHeight="1">
      <c r="A144" s="60" t="s">
        <v>521</v>
      </c>
      <c r="B144" s="59" t="s">
        <v>36</v>
      </c>
      <c r="C144" s="59" t="s">
        <v>34</v>
      </c>
      <c r="D144" s="59" t="s">
        <v>657</v>
      </c>
      <c r="E144" s="59">
        <v>14</v>
      </c>
      <c r="F144" s="59">
        <v>132</v>
      </c>
    </row>
    <row r="145" spans="1:6" ht="15.95" customHeight="1">
      <c r="A145" s="60" t="s">
        <v>784</v>
      </c>
      <c r="B145" s="59" t="s">
        <v>27</v>
      </c>
      <c r="C145" s="59" t="s">
        <v>73</v>
      </c>
      <c r="D145" s="59" t="s">
        <v>758</v>
      </c>
      <c r="E145" s="59">
        <v>14</v>
      </c>
      <c r="F145" s="59">
        <v>133</v>
      </c>
    </row>
    <row r="146" spans="1:6" ht="15.95" customHeight="1">
      <c r="A146" s="65" t="s">
        <v>785</v>
      </c>
      <c r="B146" s="59" t="s">
        <v>5</v>
      </c>
      <c r="C146" s="59" t="s">
        <v>46</v>
      </c>
      <c r="D146" s="59" t="s">
        <v>651</v>
      </c>
      <c r="E146" s="59">
        <v>14</v>
      </c>
      <c r="F146" s="59">
        <v>134</v>
      </c>
    </row>
    <row r="147" spans="1:6" ht="15.95" customHeight="1">
      <c r="A147" s="60" t="s">
        <v>786</v>
      </c>
      <c r="B147" s="59" t="s">
        <v>5</v>
      </c>
      <c r="C147" s="59" t="s">
        <v>107</v>
      </c>
      <c r="D147" s="59" t="s">
        <v>655</v>
      </c>
      <c r="E147" s="59">
        <v>14</v>
      </c>
      <c r="F147" s="59">
        <v>135</v>
      </c>
    </row>
    <row r="148" spans="1:6" ht="15.95" customHeight="1">
      <c r="A148" s="60" t="s">
        <v>195</v>
      </c>
      <c r="B148" s="59" t="s">
        <v>10</v>
      </c>
      <c r="C148" s="59" t="s">
        <v>30</v>
      </c>
      <c r="D148" s="59" t="s">
        <v>661</v>
      </c>
      <c r="E148" s="59">
        <v>14</v>
      </c>
      <c r="F148" s="59">
        <v>136</v>
      </c>
    </row>
    <row r="149" spans="1:6" ht="15.95" customHeight="1">
      <c r="A149" s="60" t="s">
        <v>605</v>
      </c>
      <c r="B149" s="59" t="s">
        <v>36</v>
      </c>
      <c r="C149" s="59" t="s">
        <v>21</v>
      </c>
      <c r="D149" s="59" t="s">
        <v>654</v>
      </c>
      <c r="E149" s="59">
        <v>14</v>
      </c>
      <c r="F149" s="59">
        <v>137</v>
      </c>
    </row>
    <row r="150" spans="1:6" ht="15.95" customHeight="1">
      <c r="A150" s="60" t="s">
        <v>787</v>
      </c>
      <c r="B150" s="59" t="s">
        <v>36</v>
      </c>
      <c r="C150" s="59" t="s">
        <v>135</v>
      </c>
      <c r="D150" s="59" t="s">
        <v>653</v>
      </c>
      <c r="E150" s="59">
        <v>14</v>
      </c>
      <c r="F150" s="59">
        <v>138</v>
      </c>
    </row>
    <row r="151" spans="1:6" ht="15.95" customHeight="1">
      <c r="A151" s="60" t="s">
        <v>788</v>
      </c>
      <c r="B151" s="59" t="s">
        <v>2</v>
      </c>
      <c r="C151" s="59" t="s">
        <v>56</v>
      </c>
      <c r="D151" s="59" t="s">
        <v>659</v>
      </c>
      <c r="E151" s="59">
        <v>14</v>
      </c>
      <c r="F151" s="59">
        <v>139</v>
      </c>
    </row>
    <row r="152" spans="1:6" ht="15.95" customHeight="1">
      <c r="A152" s="60" t="s">
        <v>799</v>
      </c>
      <c r="B152" s="59" t="s">
        <v>2</v>
      </c>
      <c r="C152" s="59" t="s">
        <v>28</v>
      </c>
      <c r="D152" s="59" t="s">
        <v>652</v>
      </c>
      <c r="E152" s="59">
        <v>14</v>
      </c>
      <c r="F152" s="59">
        <v>140</v>
      </c>
    </row>
    <row r="153" spans="1:6" ht="15.95" customHeight="1">
      <c r="A153" s="60" t="s">
        <v>789</v>
      </c>
      <c r="B153" s="59" t="s">
        <v>2</v>
      </c>
      <c r="C153" s="59" t="s">
        <v>6</v>
      </c>
      <c r="D153" s="59" t="s">
        <v>652</v>
      </c>
      <c r="E153" s="59">
        <v>15</v>
      </c>
      <c r="F153" s="59">
        <v>141</v>
      </c>
    </row>
    <row r="154" spans="1:6" ht="15.95" customHeight="1">
      <c r="A154" s="60" t="s">
        <v>790</v>
      </c>
      <c r="B154" s="59" t="s">
        <v>36</v>
      </c>
      <c r="C154" s="59" t="s">
        <v>56</v>
      </c>
      <c r="D154" s="59" t="s">
        <v>659</v>
      </c>
      <c r="E154" s="59">
        <v>15</v>
      </c>
      <c r="F154" s="59">
        <v>142</v>
      </c>
    </row>
    <row r="155" spans="1:6" ht="15.95" customHeight="1">
      <c r="A155" s="60" t="s">
        <v>791</v>
      </c>
      <c r="B155" s="59" t="s">
        <v>5</v>
      </c>
      <c r="C155" s="59" t="s">
        <v>63</v>
      </c>
      <c r="D155" s="59" t="s">
        <v>653</v>
      </c>
      <c r="E155" s="59">
        <v>15</v>
      </c>
      <c r="F155" s="59">
        <v>143</v>
      </c>
    </row>
    <row r="156" spans="1:6" ht="15.95" customHeight="1">
      <c r="A156" s="60" t="s">
        <v>798</v>
      </c>
      <c r="B156" s="59" t="s">
        <v>2</v>
      </c>
      <c r="C156" s="59" t="s">
        <v>32</v>
      </c>
      <c r="D156" s="59" t="s">
        <v>654</v>
      </c>
      <c r="E156" s="59">
        <v>15</v>
      </c>
      <c r="F156" s="59">
        <v>144</v>
      </c>
    </row>
    <row r="157" spans="1:6" ht="15.95" customHeight="1">
      <c r="A157" s="60" t="s">
        <v>735</v>
      </c>
      <c r="B157" s="59" t="s">
        <v>5</v>
      </c>
      <c r="C157" s="59" t="s">
        <v>23</v>
      </c>
      <c r="D157" s="59" t="s">
        <v>661</v>
      </c>
      <c r="E157" s="59">
        <v>15</v>
      </c>
      <c r="F157" s="59">
        <v>145</v>
      </c>
    </row>
    <row r="158" spans="1:6" ht="15.95" customHeight="1">
      <c r="A158" s="60" t="s">
        <v>539</v>
      </c>
      <c r="B158" s="59" t="s">
        <v>2</v>
      </c>
      <c r="C158" s="59" t="s">
        <v>82</v>
      </c>
      <c r="D158" s="59" t="s">
        <v>655</v>
      </c>
      <c r="E158" s="59">
        <v>15</v>
      </c>
      <c r="F158" s="59">
        <v>146</v>
      </c>
    </row>
    <row r="159" spans="1:6" ht="15.95" customHeight="1">
      <c r="A159" s="60" t="s">
        <v>792</v>
      </c>
      <c r="B159" s="59" t="s">
        <v>10</v>
      </c>
      <c r="C159" s="59" t="s">
        <v>63</v>
      </c>
      <c r="D159" s="59" t="s">
        <v>651</v>
      </c>
      <c r="E159" s="59">
        <v>15</v>
      </c>
      <c r="F159" s="59">
        <v>147</v>
      </c>
    </row>
    <row r="160" spans="1:6" ht="15.95" customHeight="1">
      <c r="A160" s="60" t="s">
        <v>96</v>
      </c>
      <c r="B160" s="59" t="s">
        <v>5</v>
      </c>
      <c r="C160" s="59" t="s">
        <v>120</v>
      </c>
      <c r="D160" s="59" t="s">
        <v>758</v>
      </c>
      <c r="E160" s="59">
        <v>15</v>
      </c>
      <c r="F160" s="59">
        <v>148</v>
      </c>
    </row>
    <row r="161" spans="1:6" ht="15.95" customHeight="1">
      <c r="A161" s="60" t="s">
        <v>45</v>
      </c>
      <c r="B161" s="59" t="s">
        <v>2</v>
      </c>
      <c r="C161" s="59" t="s">
        <v>46</v>
      </c>
      <c r="D161" s="59" t="s">
        <v>657</v>
      </c>
      <c r="E161" s="59">
        <v>15</v>
      </c>
      <c r="F161" s="59">
        <v>149</v>
      </c>
    </row>
    <row r="162" spans="1:6" ht="15.95" customHeight="1">
      <c r="A162" s="60" t="s">
        <v>631</v>
      </c>
      <c r="B162" s="59" t="s">
        <v>2</v>
      </c>
      <c r="C162" s="59" t="s">
        <v>56</v>
      </c>
      <c r="D162" s="59" t="s">
        <v>660</v>
      </c>
      <c r="E162" s="59">
        <v>15</v>
      </c>
      <c r="F162" s="59">
        <v>150</v>
      </c>
    </row>
    <row r="163" spans="1:6" ht="15.95" customHeight="1">
      <c r="A163" s="63" t="s">
        <v>693</v>
      </c>
      <c r="B163" s="2" t="s">
        <v>10</v>
      </c>
      <c r="C163" s="2" t="s">
        <v>120</v>
      </c>
      <c r="D163" s="59" t="s">
        <v>660</v>
      </c>
      <c r="E163" s="59">
        <v>16</v>
      </c>
      <c r="F163" s="59">
        <v>151</v>
      </c>
    </row>
    <row r="164" spans="1:6" ht="15.95" customHeight="1">
      <c r="A164" s="60" t="s">
        <v>793</v>
      </c>
      <c r="B164" s="59" t="s">
        <v>10</v>
      </c>
      <c r="C164" s="59" t="s">
        <v>23</v>
      </c>
      <c r="D164" s="59" t="s">
        <v>657</v>
      </c>
      <c r="E164" s="59">
        <v>16</v>
      </c>
      <c r="F164" s="59">
        <v>152</v>
      </c>
    </row>
    <row r="165" spans="1:6" ht="15.95" customHeight="1">
      <c r="A165" s="63" t="s">
        <v>794</v>
      </c>
      <c r="B165" s="2" t="s">
        <v>2</v>
      </c>
      <c r="C165" s="2" t="s">
        <v>21</v>
      </c>
      <c r="D165" s="59" t="s">
        <v>758</v>
      </c>
      <c r="E165" s="59">
        <v>16</v>
      </c>
      <c r="F165" s="59">
        <v>153</v>
      </c>
    </row>
    <row r="166" spans="1:6" ht="15.95" customHeight="1">
      <c r="A166" s="60" t="s">
        <v>716</v>
      </c>
      <c r="B166" s="59" t="s">
        <v>5</v>
      </c>
      <c r="C166" s="59" t="s">
        <v>84</v>
      </c>
      <c r="D166" s="59" t="s">
        <v>651</v>
      </c>
      <c r="E166" s="59">
        <v>16</v>
      </c>
      <c r="F166" s="59">
        <v>154</v>
      </c>
    </row>
    <row r="167" spans="1:6" ht="15.95" customHeight="1">
      <c r="A167" s="60" t="s">
        <v>119</v>
      </c>
      <c r="B167" s="59" t="s">
        <v>2</v>
      </c>
      <c r="C167" s="59" t="s">
        <v>21</v>
      </c>
      <c r="D167" s="59" t="s">
        <v>655</v>
      </c>
      <c r="E167" s="59">
        <v>16</v>
      </c>
      <c r="F167" s="59">
        <v>155</v>
      </c>
    </row>
    <row r="168" spans="1:6" ht="15.95" customHeight="1">
      <c r="A168" s="60" t="s">
        <v>795</v>
      </c>
      <c r="B168" s="59" t="s">
        <v>36</v>
      </c>
      <c r="C168" s="59" t="s">
        <v>120</v>
      </c>
      <c r="D168" s="59" t="s">
        <v>661</v>
      </c>
      <c r="E168" s="59">
        <v>16</v>
      </c>
      <c r="F168" s="59">
        <v>156</v>
      </c>
    </row>
    <row r="169" spans="1:6" ht="15.95" customHeight="1">
      <c r="A169" s="60" t="s">
        <v>697</v>
      </c>
      <c r="B169" s="59" t="s">
        <v>10</v>
      </c>
      <c r="C169" s="59" t="s">
        <v>21</v>
      </c>
      <c r="D169" s="59" t="s">
        <v>654</v>
      </c>
      <c r="E169" s="59">
        <v>16</v>
      </c>
      <c r="F169" s="59">
        <v>157</v>
      </c>
    </row>
    <row r="170" spans="1:6" ht="15.95" customHeight="1">
      <c r="A170" s="60" t="s">
        <v>546</v>
      </c>
      <c r="B170" s="59" t="s">
        <v>10</v>
      </c>
      <c r="C170" s="59" t="s">
        <v>25</v>
      </c>
      <c r="D170" s="59" t="s">
        <v>653</v>
      </c>
      <c r="E170" s="59">
        <v>16</v>
      </c>
      <c r="F170" s="59">
        <v>158</v>
      </c>
    </row>
    <row r="171" spans="1:6" ht="15.95" customHeight="1">
      <c r="A171" s="60" t="s">
        <v>796</v>
      </c>
      <c r="B171" s="59" t="s">
        <v>10</v>
      </c>
      <c r="C171" s="59" t="s">
        <v>32</v>
      </c>
      <c r="D171" s="59" t="s">
        <v>659</v>
      </c>
      <c r="E171" s="59">
        <v>16</v>
      </c>
      <c r="F171" s="59">
        <v>159</v>
      </c>
    </row>
    <row r="172" spans="1:6" ht="15.95" customHeight="1">
      <c r="A172" s="60" t="s">
        <v>797</v>
      </c>
      <c r="B172" s="59" t="s">
        <v>27</v>
      </c>
      <c r="C172" s="59" t="s">
        <v>15</v>
      </c>
      <c r="D172" s="59" t="s">
        <v>652</v>
      </c>
      <c r="E172" s="59">
        <v>16</v>
      </c>
      <c r="F172" s="59">
        <v>160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O5138"/>
  <sheetViews>
    <sheetView zoomScale="85" zoomScaleNormal="85" workbookViewId="0">
      <pane ySplit="2" topLeftCell="A64" activePane="bottomLeft" state="frozen"/>
      <selection activeCell="C6" sqref="C6"/>
      <selection pane="bottomLeft" activeCell="C6" sqref="C6"/>
    </sheetView>
  </sheetViews>
  <sheetFormatPr defaultRowHeight="15"/>
  <cols>
    <col min="1" max="2" width="9.140625" style="1"/>
    <col min="3" max="3" width="21.5703125" style="12" customWidth="1"/>
    <col min="4" max="4" width="12.42578125" style="2" bestFit="1" customWidth="1"/>
    <col min="5" max="5" width="15.140625" style="2" bestFit="1" customWidth="1"/>
    <col min="6" max="6" width="5" style="2" customWidth="1"/>
    <col min="8" max="10" width="10.7109375" bestFit="1" customWidth="1"/>
    <col min="11" max="11" width="10.7109375" customWidth="1"/>
    <col min="12" max="12" width="8.7109375" style="2"/>
  </cols>
  <sheetData>
    <row r="1" spans="1:15">
      <c r="A1" s="104" t="s">
        <v>404</v>
      </c>
      <c r="B1" s="104"/>
      <c r="C1" s="104"/>
      <c r="D1" s="104"/>
      <c r="E1" s="104"/>
      <c r="F1" s="21"/>
      <c r="H1" s="106" t="s">
        <v>405</v>
      </c>
      <c r="I1" s="106"/>
      <c r="J1" s="106"/>
      <c r="K1" s="6"/>
      <c r="L1" s="105" t="s">
        <v>406</v>
      </c>
      <c r="M1" s="105"/>
      <c r="N1" s="105"/>
      <c r="O1" s="105"/>
    </row>
    <row r="2" spans="1:15">
      <c r="A2" s="9" t="s">
        <v>374</v>
      </c>
      <c r="B2" s="9" t="s">
        <v>465</v>
      </c>
      <c r="C2" s="10" t="s">
        <v>375</v>
      </c>
      <c r="D2" s="10" t="s">
        <v>376</v>
      </c>
      <c r="E2" s="10" t="s">
        <v>378</v>
      </c>
      <c r="F2" s="6"/>
      <c r="H2" s="10" t="s">
        <v>576</v>
      </c>
      <c r="I2" s="10" t="s">
        <v>623</v>
      </c>
      <c r="J2" s="10" t="s">
        <v>757</v>
      </c>
      <c r="K2" s="6"/>
      <c r="L2" s="6">
        <v>2018</v>
      </c>
      <c r="M2" s="10">
        <v>2019</v>
      </c>
      <c r="N2" s="10">
        <v>2020</v>
      </c>
      <c r="O2" s="46">
        <v>2021</v>
      </c>
    </row>
    <row r="3" spans="1:15" ht="15.75" thickBot="1">
      <c r="A3" s="7">
        <f>VLOOKUP(C3,'2020 Draft'!$C$3:$G$161,5,FALSE)</f>
        <v>70</v>
      </c>
      <c r="B3" s="7">
        <f>VLOOKUP(C3,'2020 Draft'!$C$2:$H$161,6,FALSE)</f>
        <v>7</v>
      </c>
      <c r="C3" s="8" t="s">
        <v>634</v>
      </c>
      <c r="D3" s="8" t="s">
        <v>5</v>
      </c>
      <c r="E3" s="16" t="s">
        <v>469</v>
      </c>
      <c r="F3" s="22"/>
      <c r="H3" s="20" t="s">
        <v>400</v>
      </c>
      <c r="I3" s="15" t="s">
        <v>401</v>
      </c>
      <c r="J3" s="15" t="s">
        <v>402</v>
      </c>
      <c r="K3" s="25"/>
      <c r="L3" s="2" t="s">
        <v>387</v>
      </c>
      <c r="M3" s="2" t="s">
        <v>387</v>
      </c>
      <c r="N3" s="1">
        <f t="shared" ref="N3:N13" si="0">B3</f>
        <v>7</v>
      </c>
      <c r="O3" s="44">
        <f>IF(A3="FA",9,N3-1)</f>
        <v>6</v>
      </c>
    </row>
    <row r="4" spans="1:15" ht="15.75" thickBot="1">
      <c r="A4" s="7">
        <f>VLOOKUP(C4,'2020 Draft'!$C$3:$G$161,5,FALSE)</f>
        <v>50</v>
      </c>
      <c r="B4" s="7">
        <f>VLOOKUP(C4,'2020 Draft'!$C$2:$H$161,6,FALSE)</f>
        <v>5</v>
      </c>
      <c r="C4" s="4" t="s">
        <v>427</v>
      </c>
      <c r="D4" s="4" t="s">
        <v>10</v>
      </c>
      <c r="E4" s="16" t="s">
        <v>469</v>
      </c>
      <c r="F4" s="22"/>
      <c r="H4" s="20" t="s">
        <v>401</v>
      </c>
      <c r="I4" s="15" t="s">
        <v>402</v>
      </c>
      <c r="J4" s="15" t="s">
        <v>387</v>
      </c>
      <c r="K4" s="25"/>
      <c r="L4" s="2" t="s">
        <v>387</v>
      </c>
      <c r="M4" s="2">
        <v>6</v>
      </c>
      <c r="N4" s="1">
        <f t="shared" si="0"/>
        <v>5</v>
      </c>
      <c r="O4" s="44">
        <f>IF(A4="FA",9,N4-1)</f>
        <v>4</v>
      </c>
    </row>
    <row r="5" spans="1:15" ht="15.75" thickBot="1">
      <c r="A5" s="7" t="s">
        <v>390</v>
      </c>
      <c r="B5" s="7" t="s">
        <v>390</v>
      </c>
      <c r="C5" s="4" t="s">
        <v>532</v>
      </c>
      <c r="D5" s="4" t="s">
        <v>10</v>
      </c>
      <c r="E5" s="16" t="s">
        <v>469</v>
      </c>
      <c r="F5" s="22"/>
      <c r="H5" s="20" t="s">
        <v>400</v>
      </c>
      <c r="I5" s="15" t="s">
        <v>401</v>
      </c>
      <c r="J5" s="15" t="s">
        <v>402</v>
      </c>
      <c r="K5" s="25"/>
      <c r="L5" s="2" t="s">
        <v>387</v>
      </c>
      <c r="M5" s="2" t="s">
        <v>387</v>
      </c>
      <c r="N5" s="1" t="str">
        <f t="shared" si="0"/>
        <v>FA</v>
      </c>
      <c r="O5" s="44">
        <f>IF(A5="FA",9,N5-1)</f>
        <v>9</v>
      </c>
    </row>
    <row r="6" spans="1:15" ht="15.75" thickBot="1">
      <c r="A6" s="7">
        <f>VLOOKUP(C6,'2020 Draft'!$C$3:$G$161,5,FALSE)</f>
        <v>31</v>
      </c>
      <c r="B6" s="7">
        <f>VLOOKUP(C6,'2020 Draft'!$C$2:$H$161,6,FALSE)</f>
        <v>4</v>
      </c>
      <c r="C6" s="4" t="s">
        <v>691</v>
      </c>
      <c r="D6" s="4" t="s">
        <v>2</v>
      </c>
      <c r="E6" s="16" t="s">
        <v>469</v>
      </c>
      <c r="F6" s="22"/>
      <c r="H6" s="20" t="s">
        <v>400</v>
      </c>
      <c r="I6" s="15" t="s">
        <v>401</v>
      </c>
      <c r="J6" s="15" t="s">
        <v>402</v>
      </c>
      <c r="K6" s="25"/>
      <c r="L6" s="2" t="s">
        <v>387</v>
      </c>
      <c r="M6" s="2" t="s">
        <v>387</v>
      </c>
      <c r="N6" s="1">
        <f t="shared" si="0"/>
        <v>4</v>
      </c>
      <c r="O6" s="44">
        <f>IF(A6="FA",9,N6-1)</f>
        <v>3</v>
      </c>
    </row>
    <row r="7" spans="1:15" ht="15.75" thickBot="1">
      <c r="A7" s="7">
        <f>VLOOKUP(C7,'2020 Draft'!$C$3:$G$161,5,FALSE)</f>
        <v>51</v>
      </c>
      <c r="B7" s="7">
        <f>VLOOKUP(C7,'2020 Draft'!$C$2:$H$161,6,FALSE)</f>
        <v>6</v>
      </c>
      <c r="C7" s="4" t="s">
        <v>142</v>
      </c>
      <c r="D7" s="4" t="s">
        <v>2</v>
      </c>
      <c r="E7" s="16" t="s">
        <v>469</v>
      </c>
      <c r="F7" s="22"/>
      <c r="H7" s="20" t="s">
        <v>402</v>
      </c>
      <c r="I7" s="15" t="s">
        <v>387</v>
      </c>
      <c r="J7" s="15" t="s">
        <v>387</v>
      </c>
      <c r="K7" s="25"/>
      <c r="L7" s="2">
        <v>8</v>
      </c>
      <c r="M7" s="2">
        <v>7</v>
      </c>
      <c r="N7" s="1">
        <f t="shared" si="0"/>
        <v>6</v>
      </c>
      <c r="O7" s="44" t="s">
        <v>387</v>
      </c>
    </row>
    <row r="8" spans="1:15" ht="15.75" thickBot="1">
      <c r="A8" s="7">
        <f>VLOOKUP(C8,'2020 Draft'!$C$3:$G$161,5,FALSE)</f>
        <v>71</v>
      </c>
      <c r="B8" s="7">
        <f>VLOOKUP(C8,'2020 Draft'!$C$2:$H$161,6,FALSE)</f>
        <v>8</v>
      </c>
      <c r="C8" s="4" t="s">
        <v>102</v>
      </c>
      <c r="D8" s="4" t="s">
        <v>2</v>
      </c>
      <c r="E8" s="16" t="s">
        <v>469</v>
      </c>
      <c r="F8" s="22"/>
      <c r="H8" s="20" t="s">
        <v>400</v>
      </c>
      <c r="I8" s="15" t="s">
        <v>401</v>
      </c>
      <c r="J8" s="15" t="s">
        <v>402</v>
      </c>
      <c r="K8" s="25"/>
      <c r="L8" s="2" t="s">
        <v>387</v>
      </c>
      <c r="M8" s="2" t="s">
        <v>387</v>
      </c>
      <c r="N8" s="1">
        <f t="shared" si="0"/>
        <v>8</v>
      </c>
      <c r="O8" s="44">
        <f t="shared" ref="O8:O19" si="1">IF(A8="FA",9,N8-1)</f>
        <v>7</v>
      </c>
    </row>
    <row r="9" spans="1:15" ht="15.75" thickBot="1">
      <c r="A9" s="7">
        <f>VLOOKUP(C9,'2020 Draft'!$C$3:$G$161,5,FALSE)</f>
        <v>91</v>
      </c>
      <c r="B9" s="7">
        <f>VLOOKUP(C9,'2020 Draft'!$C$2:$H$161,6,FALSE)</f>
        <v>10</v>
      </c>
      <c r="C9" s="4" t="s">
        <v>686</v>
      </c>
      <c r="D9" s="4" t="s">
        <v>2</v>
      </c>
      <c r="E9" s="16" t="s">
        <v>469</v>
      </c>
      <c r="F9" s="22"/>
      <c r="H9" s="20" t="s">
        <v>400</v>
      </c>
      <c r="I9" s="15" t="s">
        <v>401</v>
      </c>
      <c r="J9" s="15" t="s">
        <v>402</v>
      </c>
      <c r="K9" s="25"/>
      <c r="L9" s="2" t="s">
        <v>387</v>
      </c>
      <c r="M9" s="2" t="s">
        <v>387</v>
      </c>
      <c r="N9" s="1">
        <f t="shared" si="0"/>
        <v>10</v>
      </c>
      <c r="O9" s="44">
        <f t="shared" si="1"/>
        <v>9</v>
      </c>
    </row>
    <row r="10" spans="1:15" ht="15.75" thickBot="1">
      <c r="A10" s="7" t="s">
        <v>390</v>
      </c>
      <c r="B10" s="7" t="s">
        <v>390</v>
      </c>
      <c r="C10" s="4" t="s">
        <v>688</v>
      </c>
      <c r="D10" s="4" t="s">
        <v>687</v>
      </c>
      <c r="E10" s="16" t="s">
        <v>469</v>
      </c>
      <c r="F10" s="22"/>
      <c r="H10" s="20" t="s">
        <v>400</v>
      </c>
      <c r="I10" s="15" t="s">
        <v>401</v>
      </c>
      <c r="J10" s="15" t="s">
        <v>402</v>
      </c>
      <c r="K10" s="25"/>
      <c r="L10" s="2" t="s">
        <v>387</v>
      </c>
      <c r="M10" s="2" t="s">
        <v>387</v>
      </c>
      <c r="N10" s="1" t="str">
        <f t="shared" si="0"/>
        <v>FA</v>
      </c>
      <c r="O10" s="44">
        <f t="shared" si="1"/>
        <v>9</v>
      </c>
    </row>
    <row r="11" spans="1:15" ht="15.75" thickBot="1">
      <c r="A11" s="7">
        <f>VLOOKUP(C11,'2020 Draft'!$C$3:$G$161,5,FALSE)</f>
        <v>11</v>
      </c>
      <c r="B11" s="7">
        <f>VLOOKUP(C11,'2020 Draft'!$C$2:$H$161,6,FALSE)</f>
        <v>2</v>
      </c>
      <c r="C11" s="4" t="s">
        <v>59</v>
      </c>
      <c r="D11" s="4" t="s">
        <v>2</v>
      </c>
      <c r="E11" s="16" t="s">
        <v>469</v>
      </c>
      <c r="F11" s="22"/>
      <c r="H11" s="20" t="s">
        <v>400</v>
      </c>
      <c r="I11" s="15" t="s">
        <v>401</v>
      </c>
      <c r="J11" s="15" t="s">
        <v>402</v>
      </c>
      <c r="K11" s="25"/>
      <c r="L11" s="2" t="s">
        <v>387</v>
      </c>
      <c r="M11" s="2" t="s">
        <v>387</v>
      </c>
      <c r="N11" s="1">
        <f t="shared" si="0"/>
        <v>2</v>
      </c>
      <c r="O11" s="44">
        <f t="shared" si="1"/>
        <v>1</v>
      </c>
    </row>
    <row r="12" spans="1:15" ht="15.75" thickBot="1">
      <c r="A12" s="7">
        <f>VLOOKUP(C12,'2020 Draft'!$C$3:$G$161,5,FALSE)</f>
        <v>131</v>
      </c>
      <c r="B12" s="7">
        <f>VLOOKUP(C12,'2020 Draft'!$C$2:$H$161,6,FALSE)</f>
        <v>14</v>
      </c>
      <c r="C12" s="4" t="s">
        <v>178</v>
      </c>
      <c r="D12" s="4" t="s">
        <v>27</v>
      </c>
      <c r="E12" s="16" t="s">
        <v>469</v>
      </c>
      <c r="F12" s="22"/>
      <c r="H12" s="20" t="s">
        <v>400</v>
      </c>
      <c r="I12" s="15" t="s">
        <v>401</v>
      </c>
      <c r="J12" s="15" t="s">
        <v>402</v>
      </c>
      <c r="K12" s="25"/>
      <c r="L12" s="2" t="s">
        <v>387</v>
      </c>
      <c r="M12" s="2" t="s">
        <v>387</v>
      </c>
      <c r="N12" s="1">
        <f t="shared" si="0"/>
        <v>14</v>
      </c>
      <c r="O12" s="44">
        <f t="shared" si="1"/>
        <v>13</v>
      </c>
    </row>
    <row r="13" spans="1:15" ht="15.75" thickBot="1">
      <c r="A13" s="7">
        <f>VLOOKUP(C13,'2020 Draft'!$C$3:$G$161,5,FALSE)</f>
        <v>150</v>
      </c>
      <c r="B13" s="7">
        <f>VLOOKUP(C13,'2020 Draft'!$C$2:$H$161,6,FALSE)</f>
        <v>15</v>
      </c>
      <c r="C13" s="4" t="s">
        <v>47</v>
      </c>
      <c r="D13" s="4" t="s">
        <v>5</v>
      </c>
      <c r="E13" s="16" t="s">
        <v>469</v>
      </c>
      <c r="F13" s="22"/>
      <c r="H13" s="20" t="s">
        <v>400</v>
      </c>
      <c r="I13" s="15" t="s">
        <v>401</v>
      </c>
      <c r="J13" s="15" t="s">
        <v>402</v>
      </c>
      <c r="K13" s="25"/>
      <c r="L13" s="2" t="s">
        <v>387</v>
      </c>
      <c r="M13" s="2" t="s">
        <v>387</v>
      </c>
      <c r="N13" s="1">
        <f t="shared" si="0"/>
        <v>15</v>
      </c>
      <c r="O13" s="44">
        <f t="shared" si="1"/>
        <v>14</v>
      </c>
    </row>
    <row r="14" spans="1:15" ht="15.75" thickBot="1">
      <c r="A14" s="7" t="s">
        <v>390</v>
      </c>
      <c r="B14" s="7" t="s">
        <v>390</v>
      </c>
      <c r="C14" s="4" t="s">
        <v>689</v>
      </c>
      <c r="D14" s="4" t="s">
        <v>10</v>
      </c>
      <c r="E14" s="16" t="s">
        <v>469</v>
      </c>
      <c r="F14" s="22"/>
      <c r="H14" s="20" t="s">
        <v>400</v>
      </c>
      <c r="I14" s="15" t="s">
        <v>401</v>
      </c>
      <c r="J14" s="15" t="s">
        <v>402</v>
      </c>
      <c r="K14" s="25"/>
      <c r="L14" s="2" t="s">
        <v>387</v>
      </c>
      <c r="M14" s="2" t="s">
        <v>387</v>
      </c>
      <c r="N14" s="1" t="str">
        <f t="shared" ref="N14:N19" si="2">B14</f>
        <v>FA</v>
      </c>
      <c r="O14" s="44">
        <f t="shared" si="1"/>
        <v>9</v>
      </c>
    </row>
    <row r="15" spans="1:15" ht="15.75" thickBot="1">
      <c r="A15" s="7" t="s">
        <v>390</v>
      </c>
      <c r="B15" s="7" t="s">
        <v>390</v>
      </c>
      <c r="C15" s="4" t="s">
        <v>130</v>
      </c>
      <c r="D15" s="4" t="s">
        <v>2</v>
      </c>
      <c r="E15" s="16" t="s">
        <v>469</v>
      </c>
      <c r="F15" s="22"/>
      <c r="H15" s="20" t="s">
        <v>400</v>
      </c>
      <c r="I15" s="15" t="s">
        <v>401</v>
      </c>
      <c r="J15" s="15" t="s">
        <v>402</v>
      </c>
      <c r="K15" s="25"/>
      <c r="L15" s="2" t="s">
        <v>387</v>
      </c>
      <c r="M15" s="2" t="s">
        <v>387</v>
      </c>
      <c r="N15" s="1" t="str">
        <f t="shared" si="2"/>
        <v>FA</v>
      </c>
      <c r="O15" s="44">
        <f t="shared" si="1"/>
        <v>9</v>
      </c>
    </row>
    <row r="16" spans="1:15" ht="15.75" thickBot="1">
      <c r="A16" s="7" t="s">
        <v>390</v>
      </c>
      <c r="B16" s="7" t="s">
        <v>390</v>
      </c>
      <c r="C16" s="4" t="s">
        <v>624</v>
      </c>
      <c r="D16" s="4" t="s">
        <v>2</v>
      </c>
      <c r="E16" s="16" t="s">
        <v>469</v>
      </c>
      <c r="F16" s="22"/>
      <c r="H16" s="20" t="s">
        <v>400</v>
      </c>
      <c r="I16" s="15" t="s">
        <v>401</v>
      </c>
      <c r="J16" s="15" t="s">
        <v>402</v>
      </c>
      <c r="K16" s="25"/>
      <c r="L16" s="2" t="s">
        <v>387</v>
      </c>
      <c r="M16" s="2" t="s">
        <v>387</v>
      </c>
      <c r="N16" s="1" t="str">
        <f t="shared" si="2"/>
        <v>FA</v>
      </c>
      <c r="O16" s="44">
        <f t="shared" si="1"/>
        <v>9</v>
      </c>
    </row>
    <row r="17" spans="1:15" ht="15.75" thickBot="1">
      <c r="A17" s="7" t="s">
        <v>390</v>
      </c>
      <c r="B17" s="7" t="s">
        <v>390</v>
      </c>
      <c r="C17" s="4" t="s">
        <v>690</v>
      </c>
      <c r="D17" s="4" t="s">
        <v>687</v>
      </c>
      <c r="E17" s="16" t="s">
        <v>469</v>
      </c>
      <c r="F17" s="22"/>
      <c r="H17" s="20" t="s">
        <v>400</v>
      </c>
      <c r="I17" s="15" t="s">
        <v>401</v>
      </c>
      <c r="J17" s="15" t="s">
        <v>402</v>
      </c>
      <c r="K17" s="25"/>
      <c r="L17" s="2" t="s">
        <v>387</v>
      </c>
      <c r="M17" s="2" t="s">
        <v>387</v>
      </c>
      <c r="N17" s="1" t="str">
        <f t="shared" si="2"/>
        <v>FA</v>
      </c>
      <c r="O17" s="44">
        <f t="shared" si="1"/>
        <v>9</v>
      </c>
    </row>
    <row r="18" spans="1:15" ht="15.75" thickBot="1">
      <c r="A18" s="7" t="s">
        <v>390</v>
      </c>
      <c r="B18" s="7" t="s">
        <v>390</v>
      </c>
      <c r="C18" s="4" t="s">
        <v>54</v>
      </c>
      <c r="D18" s="4" t="s">
        <v>10</v>
      </c>
      <c r="E18" s="16" t="s">
        <v>469</v>
      </c>
      <c r="F18" s="22"/>
      <c r="H18" s="20" t="s">
        <v>400</v>
      </c>
      <c r="I18" s="15" t="s">
        <v>401</v>
      </c>
      <c r="J18" s="15" t="s">
        <v>402</v>
      </c>
      <c r="K18" s="25"/>
      <c r="L18" s="2" t="s">
        <v>387</v>
      </c>
      <c r="M18" s="2" t="s">
        <v>387</v>
      </c>
      <c r="N18" s="1" t="str">
        <f t="shared" si="2"/>
        <v>FA</v>
      </c>
      <c r="O18" s="44">
        <f t="shared" si="1"/>
        <v>9</v>
      </c>
    </row>
    <row r="19" spans="1:15" ht="15.75" thickBot="1">
      <c r="A19" s="7">
        <f>VLOOKUP(C19,'2020 Draft'!$C$3:$G$161,5,FALSE)</f>
        <v>10</v>
      </c>
      <c r="B19" s="7">
        <f>VLOOKUP(C19,'2020 Draft'!$C$2:$H$161,6,FALSE)</f>
        <v>1</v>
      </c>
      <c r="C19" s="4" t="s">
        <v>83</v>
      </c>
      <c r="D19" s="4" t="s">
        <v>10</v>
      </c>
      <c r="E19" s="16" t="s">
        <v>469</v>
      </c>
      <c r="F19" s="22"/>
      <c r="H19" s="20" t="s">
        <v>400</v>
      </c>
      <c r="I19" s="15" t="s">
        <v>401</v>
      </c>
      <c r="J19" s="15" t="s">
        <v>402</v>
      </c>
      <c r="K19" s="25"/>
      <c r="L19" s="2" t="s">
        <v>387</v>
      </c>
      <c r="M19" s="2" t="s">
        <v>387</v>
      </c>
      <c r="N19" s="1">
        <f t="shared" si="2"/>
        <v>1</v>
      </c>
      <c r="O19" s="44">
        <f t="shared" si="1"/>
        <v>0</v>
      </c>
    </row>
    <row r="20" spans="1:15" ht="15.75" thickBot="1">
      <c r="A20" s="14"/>
      <c r="B20" s="14"/>
      <c r="C20" s="14"/>
      <c r="D20" s="14"/>
      <c r="E20" s="18"/>
      <c r="F20" s="18"/>
      <c r="H20" s="18"/>
      <c r="I20" s="18"/>
      <c r="J20" s="18"/>
      <c r="K20" s="18"/>
      <c r="L20" s="18"/>
      <c r="M20" s="18"/>
      <c r="N20" s="18"/>
      <c r="O20" s="18"/>
    </row>
    <row r="21" spans="1:15" ht="15.75" thickBot="1">
      <c r="A21" s="7">
        <f>VLOOKUP(C21,'2020 Draft'!$C$3:$G$161,5,FALSE)</f>
        <v>135</v>
      </c>
      <c r="B21" s="7">
        <f>VLOOKUP(C21,'2020 Draft'!$C$2:$H$161,6,FALSE)</f>
        <v>14</v>
      </c>
      <c r="C21" s="4" t="s">
        <v>559</v>
      </c>
      <c r="D21" s="8" t="s">
        <v>5</v>
      </c>
      <c r="E21" s="17" t="s">
        <v>470</v>
      </c>
      <c r="F21" s="22"/>
      <c r="H21" s="20" t="s">
        <v>400</v>
      </c>
      <c r="I21" s="15" t="s">
        <v>401</v>
      </c>
      <c r="J21" s="15" t="s">
        <v>402</v>
      </c>
      <c r="K21" s="25"/>
      <c r="L21" s="2" t="s">
        <v>387</v>
      </c>
      <c r="M21" s="2">
        <v>15</v>
      </c>
      <c r="N21" s="1">
        <f t="shared" ref="N21:N31" si="3">B21</f>
        <v>14</v>
      </c>
      <c r="O21" s="44">
        <f>IF(A21="FA",9,N21-1)</f>
        <v>13</v>
      </c>
    </row>
    <row r="22" spans="1:15" ht="15.75" thickBot="1">
      <c r="A22" s="7" t="s">
        <v>390</v>
      </c>
      <c r="B22" s="7" t="s">
        <v>390</v>
      </c>
      <c r="C22" s="4" t="s">
        <v>721</v>
      </c>
      <c r="D22" s="4" t="s">
        <v>10</v>
      </c>
      <c r="E22" s="17" t="s">
        <v>470</v>
      </c>
      <c r="F22" s="22"/>
      <c r="H22" s="20" t="s">
        <v>400</v>
      </c>
      <c r="I22" s="15" t="s">
        <v>401</v>
      </c>
      <c r="J22" s="15" t="s">
        <v>402</v>
      </c>
      <c r="K22" s="25"/>
      <c r="L22" s="2" t="s">
        <v>387</v>
      </c>
      <c r="M22" s="2" t="s">
        <v>387</v>
      </c>
      <c r="N22" s="1" t="str">
        <f t="shared" si="3"/>
        <v>FA</v>
      </c>
      <c r="O22" s="44">
        <f>IF(A22="FA",9,N22-1)</f>
        <v>9</v>
      </c>
    </row>
    <row r="23" spans="1:15" ht="15.75" thickBot="1">
      <c r="A23" s="7">
        <f>VLOOKUP(C23,'2020 Draft'!$C$3:$G$161,5,FALSE)</f>
        <v>54</v>
      </c>
      <c r="B23" s="7">
        <f>VLOOKUP(C23,'2020 Draft'!$C$2:$H$161,6,FALSE)</f>
        <v>6</v>
      </c>
      <c r="C23" s="4" t="s">
        <v>580</v>
      </c>
      <c r="D23" s="4" t="s">
        <v>10</v>
      </c>
      <c r="E23" s="17" t="s">
        <v>470</v>
      </c>
      <c r="F23" s="22"/>
      <c r="H23" s="20" t="s">
        <v>400</v>
      </c>
      <c r="I23" s="15" t="s">
        <v>401</v>
      </c>
      <c r="J23" s="15" t="s">
        <v>402</v>
      </c>
      <c r="K23" s="25"/>
      <c r="L23" s="2" t="s">
        <v>387</v>
      </c>
      <c r="M23" s="2" t="s">
        <v>387</v>
      </c>
      <c r="N23" s="1">
        <f t="shared" si="3"/>
        <v>6</v>
      </c>
      <c r="O23" s="44">
        <f>IF(A23="FA",9,N23-1)</f>
        <v>5</v>
      </c>
    </row>
    <row r="24" spans="1:15" ht="15.75" thickBot="1">
      <c r="A24" s="7">
        <f>VLOOKUP(C24,'2020 Draft'!$C$3:$G$161,5,FALSE)</f>
        <v>28</v>
      </c>
      <c r="B24" s="7">
        <f>VLOOKUP(C24,'2020 Draft'!$C$2:$H$161,6,FALSE)</f>
        <v>3</v>
      </c>
      <c r="C24" s="4" t="s">
        <v>411</v>
      </c>
      <c r="D24" s="4" t="s">
        <v>2</v>
      </c>
      <c r="E24" s="17" t="s">
        <v>470</v>
      </c>
      <c r="F24" s="22"/>
      <c r="H24" s="20" t="s">
        <v>400</v>
      </c>
      <c r="I24" s="15" t="s">
        <v>401</v>
      </c>
      <c r="J24" s="15" t="s">
        <v>402</v>
      </c>
      <c r="K24" s="25"/>
      <c r="L24" s="2" t="s">
        <v>387</v>
      </c>
      <c r="M24" s="2" t="s">
        <v>387</v>
      </c>
      <c r="N24" s="1">
        <f t="shared" si="3"/>
        <v>3</v>
      </c>
      <c r="O24" s="44">
        <f t="shared" ref="O24:O28" si="4">IF(A24="FA",9,N24-1)</f>
        <v>2</v>
      </c>
    </row>
    <row r="25" spans="1:15" ht="15.75" thickBot="1">
      <c r="A25" s="7">
        <f>VLOOKUP(C25,'2020 Draft'!$C$3:$G$161,5,FALSE)</f>
        <v>124</v>
      </c>
      <c r="B25" s="7">
        <f>VLOOKUP(C25,'2020 Draft'!$C$2:$H$161,6,FALSE)</f>
        <v>13</v>
      </c>
      <c r="C25" s="4" t="s">
        <v>711</v>
      </c>
      <c r="D25" s="4" t="s">
        <v>2</v>
      </c>
      <c r="E25" s="17" t="s">
        <v>470</v>
      </c>
      <c r="F25" s="22"/>
      <c r="H25" s="20" t="s">
        <v>400</v>
      </c>
      <c r="I25" s="15" t="s">
        <v>401</v>
      </c>
      <c r="J25" s="15" t="s">
        <v>402</v>
      </c>
      <c r="K25" s="25"/>
      <c r="L25" s="2" t="s">
        <v>387</v>
      </c>
      <c r="M25" s="2" t="s">
        <v>387</v>
      </c>
      <c r="N25" s="1">
        <f t="shared" si="3"/>
        <v>13</v>
      </c>
      <c r="O25" s="44">
        <f t="shared" si="4"/>
        <v>12</v>
      </c>
    </row>
    <row r="26" spans="1:15" ht="15.75" thickBot="1">
      <c r="A26" s="7">
        <f>VLOOKUP(C26,'2020 Draft'!$C$3:$G$161,5,FALSE)</f>
        <v>82</v>
      </c>
      <c r="B26" s="7">
        <f>VLOOKUP(C26,'2020 Draft'!$C$2:$H$161,6,FALSE)</f>
        <v>9</v>
      </c>
      <c r="C26" s="4" t="s">
        <v>647</v>
      </c>
      <c r="D26" s="4" t="s">
        <v>27</v>
      </c>
      <c r="E26" s="17" t="s">
        <v>470</v>
      </c>
      <c r="F26" s="22"/>
      <c r="H26" s="20" t="s">
        <v>401</v>
      </c>
      <c r="I26" s="15" t="s">
        <v>402</v>
      </c>
      <c r="J26" s="15" t="s">
        <v>387</v>
      </c>
      <c r="K26" s="25"/>
      <c r="L26" s="2" t="s">
        <v>387</v>
      </c>
      <c r="M26" s="2" t="s">
        <v>387</v>
      </c>
      <c r="N26" s="1">
        <f t="shared" si="3"/>
        <v>9</v>
      </c>
      <c r="O26" s="44">
        <f t="shared" si="4"/>
        <v>8</v>
      </c>
    </row>
    <row r="27" spans="1:15" ht="15.75" thickBot="1">
      <c r="A27" s="7" t="s">
        <v>390</v>
      </c>
      <c r="B27" s="7" t="s">
        <v>390</v>
      </c>
      <c r="C27" s="4" t="s">
        <v>586</v>
      </c>
      <c r="D27" s="4" t="s">
        <v>2</v>
      </c>
      <c r="E27" s="17" t="s">
        <v>470</v>
      </c>
      <c r="F27" s="22"/>
      <c r="H27" s="20" t="s">
        <v>400</v>
      </c>
      <c r="I27" s="15" t="s">
        <v>401</v>
      </c>
      <c r="J27" s="15" t="s">
        <v>402</v>
      </c>
      <c r="K27" s="25"/>
      <c r="L27" s="2" t="s">
        <v>387</v>
      </c>
      <c r="M27" s="2" t="s">
        <v>387</v>
      </c>
      <c r="N27" s="1" t="str">
        <f t="shared" si="3"/>
        <v>FA</v>
      </c>
      <c r="O27" s="44">
        <f t="shared" si="4"/>
        <v>9</v>
      </c>
    </row>
    <row r="28" spans="1:15" ht="15.75" thickBot="1">
      <c r="A28" s="7" t="s">
        <v>390</v>
      </c>
      <c r="B28" s="7" t="s">
        <v>390</v>
      </c>
      <c r="C28" s="4" t="s">
        <v>722</v>
      </c>
      <c r="D28" s="4" t="s">
        <v>2</v>
      </c>
      <c r="E28" s="17" t="s">
        <v>470</v>
      </c>
      <c r="F28" s="22"/>
      <c r="H28" s="20" t="s">
        <v>400</v>
      </c>
      <c r="I28" s="15" t="s">
        <v>401</v>
      </c>
      <c r="J28" s="15" t="s">
        <v>402</v>
      </c>
      <c r="K28" s="25"/>
      <c r="L28" s="2" t="s">
        <v>387</v>
      </c>
      <c r="M28" s="2" t="s">
        <v>387</v>
      </c>
      <c r="N28" s="1" t="str">
        <f t="shared" si="3"/>
        <v>FA</v>
      </c>
      <c r="O28" s="44">
        <f t="shared" si="4"/>
        <v>9</v>
      </c>
    </row>
    <row r="29" spans="1:15" ht="15.75" thickBot="1">
      <c r="A29" s="7">
        <f>VLOOKUP(C29,'2020 Draft'!$C$3:$G$161,5,FALSE)</f>
        <v>122</v>
      </c>
      <c r="B29" s="7">
        <f>VLOOKUP(C29,'2020 Draft'!$C$2:$H$161,6,FALSE)</f>
        <v>13</v>
      </c>
      <c r="C29" s="4" t="s">
        <v>430</v>
      </c>
      <c r="D29" s="4" t="s">
        <v>687</v>
      </c>
      <c r="E29" s="17" t="s">
        <v>470</v>
      </c>
      <c r="F29" s="22"/>
      <c r="H29" s="20" t="s">
        <v>400</v>
      </c>
      <c r="I29" s="15" t="s">
        <v>401</v>
      </c>
      <c r="J29" s="15" t="s">
        <v>402</v>
      </c>
      <c r="K29" s="25"/>
      <c r="L29" s="2" t="s">
        <v>387</v>
      </c>
      <c r="M29" s="2" t="s">
        <v>387</v>
      </c>
      <c r="N29" s="1">
        <f t="shared" si="3"/>
        <v>13</v>
      </c>
      <c r="O29" s="44">
        <f>IF(A29="FA",9,N29-1)</f>
        <v>12</v>
      </c>
    </row>
    <row r="30" spans="1:15" ht="15.75" thickBot="1">
      <c r="A30" s="7">
        <f>VLOOKUP(C30,'2020 Draft'!$C$3:$G$161,5,FALSE)</f>
        <v>39</v>
      </c>
      <c r="B30" s="7">
        <f>VLOOKUP(C30,'2020 Draft'!$C$2:$H$161,6,FALSE)</f>
        <v>4</v>
      </c>
      <c r="C30" s="4" t="s">
        <v>64</v>
      </c>
      <c r="D30" s="4" t="s">
        <v>2</v>
      </c>
      <c r="E30" s="17" t="s">
        <v>470</v>
      </c>
      <c r="F30" s="22"/>
      <c r="H30" s="20" t="s">
        <v>400</v>
      </c>
      <c r="I30" s="15" t="s">
        <v>401</v>
      </c>
      <c r="J30" s="15" t="s">
        <v>402</v>
      </c>
      <c r="K30" s="25"/>
      <c r="L30" s="2" t="s">
        <v>387</v>
      </c>
      <c r="M30" s="2" t="s">
        <v>387</v>
      </c>
      <c r="N30" s="1">
        <f t="shared" si="3"/>
        <v>4</v>
      </c>
      <c r="O30" s="44">
        <f t="shared" ref="O30:O37" si="5">IF(A30="FA",9,N30-1)</f>
        <v>3</v>
      </c>
    </row>
    <row r="31" spans="1:15" ht="15.75" thickBot="1">
      <c r="A31" s="7">
        <f>VLOOKUP(C31,'2020 Draft'!$C$3:$G$161,5,FALSE)</f>
        <v>42</v>
      </c>
      <c r="B31" s="7">
        <f>VLOOKUP(C31,'2020 Draft'!$C$2:$H$161,6,FALSE)</f>
        <v>5</v>
      </c>
      <c r="C31" s="4" t="s">
        <v>593</v>
      </c>
      <c r="D31" s="4" t="s">
        <v>10</v>
      </c>
      <c r="E31" s="17" t="s">
        <v>470</v>
      </c>
      <c r="F31" s="22"/>
      <c r="H31" s="20" t="s">
        <v>400</v>
      </c>
      <c r="I31" s="15" t="s">
        <v>401</v>
      </c>
      <c r="J31" s="15" t="s">
        <v>402</v>
      </c>
      <c r="K31" s="25"/>
      <c r="L31" s="2" t="s">
        <v>387</v>
      </c>
      <c r="M31" s="2" t="s">
        <v>387</v>
      </c>
      <c r="N31" s="1">
        <f t="shared" si="3"/>
        <v>5</v>
      </c>
      <c r="O31" s="44">
        <f t="shared" si="5"/>
        <v>4</v>
      </c>
    </row>
    <row r="32" spans="1:15" ht="15.75" thickBot="1">
      <c r="A32" s="7" t="s">
        <v>390</v>
      </c>
      <c r="B32" s="7" t="s">
        <v>390</v>
      </c>
      <c r="C32" s="4" t="s">
        <v>723</v>
      </c>
      <c r="D32" s="4" t="s">
        <v>2</v>
      </c>
      <c r="E32" s="17" t="s">
        <v>470</v>
      </c>
      <c r="F32" s="22"/>
      <c r="H32" s="20" t="s">
        <v>400</v>
      </c>
      <c r="I32" s="15" t="s">
        <v>401</v>
      </c>
      <c r="J32" s="15" t="s">
        <v>402</v>
      </c>
      <c r="K32" s="25"/>
      <c r="L32" s="2" t="s">
        <v>387</v>
      </c>
      <c r="M32" s="2" t="s">
        <v>387</v>
      </c>
      <c r="N32" s="1" t="str">
        <f t="shared" ref="N32:N37" si="6">B32</f>
        <v>FA</v>
      </c>
      <c r="O32" s="44">
        <f t="shared" si="5"/>
        <v>9</v>
      </c>
    </row>
    <row r="33" spans="1:15" ht="15.75" thickBot="1">
      <c r="A33" s="7" t="s">
        <v>390</v>
      </c>
      <c r="B33" s="7" t="s">
        <v>390</v>
      </c>
      <c r="C33" s="4" t="s">
        <v>171</v>
      </c>
      <c r="D33" s="4" t="s">
        <v>27</v>
      </c>
      <c r="E33" s="17" t="s">
        <v>470</v>
      </c>
      <c r="F33" s="22"/>
      <c r="H33" s="20" t="s">
        <v>400</v>
      </c>
      <c r="I33" s="15" t="s">
        <v>401</v>
      </c>
      <c r="J33" s="15" t="s">
        <v>402</v>
      </c>
      <c r="K33" s="25"/>
      <c r="L33" s="2" t="s">
        <v>387</v>
      </c>
      <c r="M33" s="2" t="s">
        <v>387</v>
      </c>
      <c r="N33" s="1" t="str">
        <f t="shared" si="6"/>
        <v>FA</v>
      </c>
      <c r="O33" s="44">
        <f t="shared" si="5"/>
        <v>9</v>
      </c>
    </row>
    <row r="34" spans="1:15" ht="15.75" thickBot="1">
      <c r="A34" s="7" t="s">
        <v>390</v>
      </c>
      <c r="B34" s="7" t="s">
        <v>390</v>
      </c>
      <c r="C34" s="4" t="s">
        <v>724</v>
      </c>
      <c r="D34" s="4" t="s">
        <v>727</v>
      </c>
      <c r="E34" s="17" t="s">
        <v>470</v>
      </c>
      <c r="F34" s="22"/>
      <c r="H34" s="20" t="s">
        <v>400</v>
      </c>
      <c r="I34" s="15" t="s">
        <v>401</v>
      </c>
      <c r="J34" s="15" t="s">
        <v>402</v>
      </c>
      <c r="K34" s="25"/>
      <c r="L34" s="2" t="s">
        <v>387</v>
      </c>
      <c r="M34" s="2" t="s">
        <v>387</v>
      </c>
      <c r="N34" s="1" t="str">
        <f t="shared" si="6"/>
        <v>FA</v>
      </c>
      <c r="O34" s="44">
        <f t="shared" si="5"/>
        <v>9</v>
      </c>
    </row>
    <row r="35" spans="1:15" ht="15.75" thickBot="1">
      <c r="A35" s="7" t="s">
        <v>390</v>
      </c>
      <c r="B35" s="7" t="s">
        <v>390</v>
      </c>
      <c r="C35" s="4" t="s">
        <v>725</v>
      </c>
      <c r="D35" s="4" t="s">
        <v>2</v>
      </c>
      <c r="E35" s="17" t="s">
        <v>470</v>
      </c>
      <c r="F35" s="22"/>
      <c r="H35" s="20" t="s">
        <v>400</v>
      </c>
      <c r="I35" s="15" t="s">
        <v>401</v>
      </c>
      <c r="J35" s="15" t="s">
        <v>402</v>
      </c>
      <c r="K35" s="25"/>
      <c r="L35" s="2" t="s">
        <v>387</v>
      </c>
      <c r="M35" s="2" t="s">
        <v>387</v>
      </c>
      <c r="N35" s="1" t="str">
        <f t="shared" si="6"/>
        <v>FA</v>
      </c>
      <c r="O35" s="44">
        <f t="shared" si="5"/>
        <v>9</v>
      </c>
    </row>
    <row r="36" spans="1:15" ht="15.75" thickBot="1">
      <c r="A36" s="7" t="s">
        <v>390</v>
      </c>
      <c r="B36" s="7" t="s">
        <v>390</v>
      </c>
      <c r="C36" s="4" t="s">
        <v>726</v>
      </c>
      <c r="D36" s="4" t="s">
        <v>27</v>
      </c>
      <c r="E36" s="17" t="s">
        <v>470</v>
      </c>
      <c r="F36" s="22"/>
      <c r="H36" s="20" t="s">
        <v>400</v>
      </c>
      <c r="I36" s="15" t="s">
        <v>401</v>
      </c>
      <c r="J36" s="15" t="s">
        <v>402</v>
      </c>
      <c r="K36" s="25"/>
      <c r="L36" s="2" t="s">
        <v>387</v>
      </c>
      <c r="M36" s="2" t="s">
        <v>387</v>
      </c>
      <c r="N36" s="1" t="str">
        <f t="shared" si="6"/>
        <v>FA</v>
      </c>
      <c r="O36" s="44">
        <f t="shared" si="5"/>
        <v>9</v>
      </c>
    </row>
    <row r="37" spans="1:15" ht="15.75" thickBot="1">
      <c r="A37" s="7" t="s">
        <v>390</v>
      </c>
      <c r="B37" s="7" t="s">
        <v>390</v>
      </c>
      <c r="C37" s="4" t="s">
        <v>50</v>
      </c>
      <c r="D37" s="4" t="s">
        <v>10</v>
      </c>
      <c r="E37" s="17" t="s">
        <v>470</v>
      </c>
      <c r="F37" s="22"/>
      <c r="H37" s="20" t="s">
        <v>400</v>
      </c>
      <c r="I37" s="15" t="s">
        <v>401</v>
      </c>
      <c r="J37" s="15" t="s">
        <v>402</v>
      </c>
      <c r="K37" s="25"/>
      <c r="L37" s="2" t="s">
        <v>387</v>
      </c>
      <c r="M37" s="2" t="s">
        <v>387</v>
      </c>
      <c r="N37" s="1" t="str">
        <f t="shared" si="6"/>
        <v>FA</v>
      </c>
      <c r="O37" s="44">
        <f t="shared" si="5"/>
        <v>9</v>
      </c>
    </row>
    <row r="38" spans="1:15" ht="15.75" thickBot="1">
      <c r="A38" s="14"/>
      <c r="B38" s="14"/>
      <c r="C38" s="14"/>
      <c r="D38" s="14"/>
      <c r="E38" s="18"/>
      <c r="F38" s="18"/>
      <c r="H38" s="18"/>
      <c r="I38" s="18"/>
      <c r="J38" s="18"/>
      <c r="K38" s="18"/>
      <c r="L38" s="18"/>
      <c r="M38" s="18"/>
      <c r="N38" s="18"/>
      <c r="O38" s="18"/>
    </row>
    <row r="39" spans="1:15" ht="15.75" thickBot="1">
      <c r="A39" s="7" t="s">
        <v>390</v>
      </c>
      <c r="B39" s="7" t="s">
        <v>390</v>
      </c>
      <c r="C39" s="4" t="s">
        <v>189</v>
      </c>
      <c r="D39" s="8" t="s">
        <v>5</v>
      </c>
      <c r="E39" s="19" t="s">
        <v>385</v>
      </c>
      <c r="F39" s="23"/>
      <c r="H39" s="20" t="s">
        <v>400</v>
      </c>
      <c r="I39" s="15" t="s">
        <v>401</v>
      </c>
      <c r="J39" s="15" t="s">
        <v>402</v>
      </c>
      <c r="K39" s="25"/>
      <c r="L39" s="2" t="s">
        <v>387</v>
      </c>
      <c r="M39" s="2" t="s">
        <v>387</v>
      </c>
      <c r="N39" s="1" t="str">
        <f t="shared" ref="N39:N49" si="7">B39</f>
        <v>FA</v>
      </c>
      <c r="O39" s="44">
        <f>IF(A39="FA",9,N39-1)</f>
        <v>9</v>
      </c>
    </row>
    <row r="40" spans="1:15" ht="15.75" thickBot="1">
      <c r="A40" s="7">
        <f>VLOOKUP(C40,'2020 Draft'!$C$3:$G$161,5,FALSE)</f>
        <v>63</v>
      </c>
      <c r="B40" s="7">
        <f>VLOOKUP(C40,'2020 Draft'!$C$2:$H$161,6,FALSE)</f>
        <v>7</v>
      </c>
      <c r="C40" s="4" t="s">
        <v>12</v>
      </c>
      <c r="D40" s="4" t="s">
        <v>10</v>
      </c>
      <c r="E40" s="19" t="s">
        <v>385</v>
      </c>
      <c r="F40" s="23"/>
      <c r="H40" s="20" t="s">
        <v>400</v>
      </c>
      <c r="I40" s="15" t="s">
        <v>401</v>
      </c>
      <c r="J40" s="15" t="s">
        <v>402</v>
      </c>
      <c r="K40" s="25"/>
      <c r="L40" s="2" t="s">
        <v>387</v>
      </c>
      <c r="M40" s="2" t="s">
        <v>387</v>
      </c>
      <c r="N40" s="1">
        <f t="shared" si="7"/>
        <v>7</v>
      </c>
      <c r="O40" s="44">
        <f>IF(A40="FA",9,N40-1)</f>
        <v>6</v>
      </c>
    </row>
    <row r="41" spans="1:15" ht="15.75" thickBot="1">
      <c r="A41" s="7">
        <f>VLOOKUP(C41,'2020 Draft'!$C$3:$G$161,5,FALSE)</f>
        <v>92</v>
      </c>
      <c r="B41" s="7">
        <f>VLOOKUP(C41,'2020 Draft'!$C$2:$H$161,6,FALSE)</f>
        <v>10</v>
      </c>
      <c r="C41" s="4" t="s">
        <v>447</v>
      </c>
      <c r="D41" s="4" t="s">
        <v>10</v>
      </c>
      <c r="E41" s="19" t="s">
        <v>385</v>
      </c>
      <c r="F41" s="23"/>
      <c r="H41" s="20" t="s">
        <v>400</v>
      </c>
      <c r="I41" s="15" t="s">
        <v>401</v>
      </c>
      <c r="J41" s="15" t="s">
        <v>402</v>
      </c>
      <c r="K41" s="25"/>
      <c r="L41" s="2" t="s">
        <v>387</v>
      </c>
      <c r="M41" s="2" t="s">
        <v>387</v>
      </c>
      <c r="N41" s="1">
        <f t="shared" si="7"/>
        <v>10</v>
      </c>
      <c r="O41" s="44">
        <f>IF(A41="FA",9,N41-1)</f>
        <v>9</v>
      </c>
    </row>
    <row r="42" spans="1:15" ht="15.75" thickBot="1">
      <c r="A42" s="7">
        <f>VLOOKUP(C42,'2020 Draft'!$C$3:$G$161,5,FALSE)</f>
        <v>18</v>
      </c>
      <c r="B42" s="7">
        <f>VLOOKUP(C42,'2020 Draft'!$C$2:$H$161,6,FALSE)</f>
        <v>2</v>
      </c>
      <c r="C42" s="4" t="s">
        <v>451</v>
      </c>
      <c r="D42" s="4" t="s">
        <v>2</v>
      </c>
      <c r="E42" s="19" t="s">
        <v>385</v>
      </c>
      <c r="F42" s="23"/>
      <c r="H42" s="20" t="s">
        <v>400</v>
      </c>
      <c r="I42" s="15" t="s">
        <v>401</v>
      </c>
      <c r="J42" s="15" t="s">
        <v>402</v>
      </c>
      <c r="K42" s="25"/>
      <c r="L42" s="2" t="s">
        <v>387</v>
      </c>
      <c r="M42" s="2" t="s">
        <v>387</v>
      </c>
      <c r="N42" s="1">
        <f t="shared" si="7"/>
        <v>2</v>
      </c>
      <c r="O42" s="44">
        <f t="shared" ref="O42:O46" si="8">IF(A42="FA",9,N42-1)</f>
        <v>1</v>
      </c>
    </row>
    <row r="43" spans="1:15" ht="15.75" thickBot="1">
      <c r="A43" s="7">
        <f>VLOOKUP(C43,'2020 Draft'!$C$3:$G$161,5,FALSE)</f>
        <v>103</v>
      </c>
      <c r="B43" s="7">
        <f>VLOOKUP(C43,'2020 Draft'!$C$2:$H$161,6,FALSE)</f>
        <v>11</v>
      </c>
      <c r="C43" s="4" t="s">
        <v>707</v>
      </c>
      <c r="D43" s="4" t="s">
        <v>2</v>
      </c>
      <c r="E43" s="19" t="s">
        <v>385</v>
      </c>
      <c r="F43" s="23"/>
      <c r="H43" s="20" t="s">
        <v>400</v>
      </c>
      <c r="I43" s="15" t="s">
        <v>401</v>
      </c>
      <c r="J43" s="15" t="s">
        <v>402</v>
      </c>
      <c r="K43" s="25"/>
      <c r="L43" s="2" t="s">
        <v>387</v>
      </c>
      <c r="M43" s="2" t="s">
        <v>387</v>
      </c>
      <c r="N43" s="1">
        <f t="shared" si="7"/>
        <v>11</v>
      </c>
      <c r="O43" s="44">
        <f t="shared" si="8"/>
        <v>10</v>
      </c>
    </row>
    <row r="44" spans="1:15" ht="15.75" thickBot="1">
      <c r="A44" s="7" t="s">
        <v>390</v>
      </c>
      <c r="B44" s="7" t="s">
        <v>390</v>
      </c>
      <c r="C44" s="4" t="s">
        <v>729</v>
      </c>
      <c r="D44" s="4" t="s">
        <v>27</v>
      </c>
      <c r="E44" s="19" t="s">
        <v>385</v>
      </c>
      <c r="F44" s="23"/>
      <c r="H44" s="20" t="s">
        <v>400</v>
      </c>
      <c r="I44" s="15" t="s">
        <v>401</v>
      </c>
      <c r="J44" s="15" t="s">
        <v>402</v>
      </c>
      <c r="K44" s="25"/>
      <c r="L44" s="2" t="s">
        <v>387</v>
      </c>
      <c r="M44" s="2" t="s">
        <v>387</v>
      </c>
      <c r="N44" s="1" t="str">
        <f t="shared" si="7"/>
        <v>FA</v>
      </c>
      <c r="O44" s="44">
        <f t="shared" si="8"/>
        <v>9</v>
      </c>
    </row>
    <row r="45" spans="1:15" ht="15.75" thickBot="1">
      <c r="A45" s="7" t="s">
        <v>390</v>
      </c>
      <c r="B45" s="7" t="s">
        <v>390</v>
      </c>
      <c r="C45" s="4" t="s">
        <v>187</v>
      </c>
      <c r="D45" s="4" t="s">
        <v>2</v>
      </c>
      <c r="E45" s="19" t="s">
        <v>385</v>
      </c>
      <c r="F45" s="23"/>
      <c r="H45" s="20" t="s">
        <v>400</v>
      </c>
      <c r="I45" s="15" t="s">
        <v>401</v>
      </c>
      <c r="J45" s="15" t="s">
        <v>402</v>
      </c>
      <c r="K45" s="25"/>
      <c r="L45" s="2" t="s">
        <v>387</v>
      </c>
      <c r="M45" s="2" t="s">
        <v>387</v>
      </c>
      <c r="N45" s="1" t="str">
        <f t="shared" si="7"/>
        <v>FA</v>
      </c>
      <c r="O45" s="44">
        <f t="shared" si="8"/>
        <v>9</v>
      </c>
    </row>
    <row r="46" spans="1:15" ht="15.75" thickBot="1">
      <c r="A46" s="7" t="s">
        <v>390</v>
      </c>
      <c r="B46" s="7" t="s">
        <v>390</v>
      </c>
      <c r="C46" s="4" t="s">
        <v>119</v>
      </c>
      <c r="D46" s="4" t="s">
        <v>2</v>
      </c>
      <c r="E46" s="19" t="s">
        <v>385</v>
      </c>
      <c r="F46" s="23"/>
      <c r="H46" s="20" t="s">
        <v>400</v>
      </c>
      <c r="I46" s="15" t="s">
        <v>401</v>
      </c>
      <c r="J46" s="15" t="s">
        <v>402</v>
      </c>
      <c r="K46" s="25"/>
      <c r="L46" s="2" t="s">
        <v>387</v>
      </c>
      <c r="M46" s="2" t="s">
        <v>387</v>
      </c>
      <c r="N46" s="1" t="str">
        <f t="shared" si="7"/>
        <v>FA</v>
      </c>
      <c r="O46" s="44">
        <f t="shared" si="8"/>
        <v>9</v>
      </c>
    </row>
    <row r="47" spans="1:15" ht="15.75" thickBot="1">
      <c r="A47" s="7" t="s">
        <v>390</v>
      </c>
      <c r="B47" s="7" t="s">
        <v>390</v>
      </c>
      <c r="C47" s="4" t="s">
        <v>730</v>
      </c>
      <c r="D47" s="4" t="s">
        <v>687</v>
      </c>
      <c r="E47" s="19" t="s">
        <v>385</v>
      </c>
      <c r="F47" s="23"/>
      <c r="H47" s="20" t="s">
        <v>400</v>
      </c>
      <c r="I47" s="15" t="s">
        <v>401</v>
      </c>
      <c r="J47" s="15" t="s">
        <v>402</v>
      </c>
      <c r="K47" s="25"/>
      <c r="L47" s="2" t="s">
        <v>387</v>
      </c>
      <c r="M47" s="2" t="s">
        <v>387</v>
      </c>
      <c r="N47" s="1" t="str">
        <f t="shared" si="7"/>
        <v>FA</v>
      </c>
      <c r="O47" s="44">
        <f>IF(A47="FA",9,N47-1)</f>
        <v>9</v>
      </c>
    </row>
    <row r="48" spans="1:15" ht="15.75" thickBot="1">
      <c r="A48" s="7">
        <f>VLOOKUP(C48,'2020 Draft'!$C$3:$G$161,5,FALSE)</f>
        <v>23</v>
      </c>
      <c r="B48" s="7">
        <f>VLOOKUP(C48,'2020 Draft'!$C$2:$H$161,6,FALSE)</f>
        <v>3</v>
      </c>
      <c r="C48" s="4" t="s">
        <v>692</v>
      </c>
      <c r="D48" s="4" t="s">
        <v>2</v>
      </c>
      <c r="E48" s="19" t="s">
        <v>385</v>
      </c>
      <c r="F48" s="23"/>
      <c r="H48" s="20" t="s">
        <v>400</v>
      </c>
      <c r="I48" s="15" t="s">
        <v>401</v>
      </c>
      <c r="J48" s="15" t="s">
        <v>402</v>
      </c>
      <c r="K48" s="25"/>
      <c r="L48" s="2" t="s">
        <v>387</v>
      </c>
      <c r="M48" s="2" t="s">
        <v>387</v>
      </c>
      <c r="N48" s="1">
        <f t="shared" si="7"/>
        <v>3</v>
      </c>
      <c r="O48" s="44">
        <f t="shared" ref="O48:O54" si="9">IF(A48="FA",9,N48-1)</f>
        <v>2</v>
      </c>
    </row>
    <row r="49" spans="1:15" ht="15.75" thickBot="1">
      <c r="A49" s="7">
        <f>VLOOKUP(C49,'2020 Draft'!$C$3:$G$161,5,FALSE)</f>
        <v>38</v>
      </c>
      <c r="B49" s="7">
        <f>VLOOKUP(C49,'2020 Draft'!$C$2:$H$161,6,FALSE)</f>
        <v>4</v>
      </c>
      <c r="C49" s="4" t="s">
        <v>124</v>
      </c>
      <c r="D49" s="4" t="s">
        <v>10</v>
      </c>
      <c r="E49" s="19" t="s">
        <v>385</v>
      </c>
      <c r="F49" s="23"/>
      <c r="H49" s="20" t="s">
        <v>400</v>
      </c>
      <c r="I49" s="15" t="s">
        <v>401</v>
      </c>
      <c r="J49" s="15" t="s">
        <v>402</v>
      </c>
      <c r="K49" s="25"/>
      <c r="L49" s="2" t="s">
        <v>387</v>
      </c>
      <c r="M49" s="2" t="s">
        <v>387</v>
      </c>
      <c r="N49" s="1">
        <f t="shared" si="7"/>
        <v>4</v>
      </c>
      <c r="O49" s="44">
        <f t="shared" si="9"/>
        <v>3</v>
      </c>
    </row>
    <row r="50" spans="1:15" ht="15.75" thickBot="1">
      <c r="A50" s="7" t="s">
        <v>390</v>
      </c>
      <c r="B50" s="7" t="s">
        <v>390</v>
      </c>
      <c r="C50" s="4" t="s">
        <v>731</v>
      </c>
      <c r="D50" s="4" t="s">
        <v>10</v>
      </c>
      <c r="E50" s="19" t="s">
        <v>385</v>
      </c>
      <c r="F50" s="23"/>
      <c r="H50" s="20" t="s">
        <v>400</v>
      </c>
      <c r="I50" s="15" t="s">
        <v>401</v>
      </c>
      <c r="J50" s="15" t="s">
        <v>402</v>
      </c>
      <c r="K50" s="25"/>
      <c r="L50" s="2" t="s">
        <v>387</v>
      </c>
      <c r="M50" s="2" t="s">
        <v>387</v>
      </c>
      <c r="N50" s="1" t="str">
        <f t="shared" ref="N50:N54" si="10">B50</f>
        <v>FA</v>
      </c>
      <c r="O50" s="44">
        <f t="shared" si="9"/>
        <v>9</v>
      </c>
    </row>
    <row r="51" spans="1:15" ht="15.75" thickBot="1">
      <c r="A51" s="7" t="s">
        <v>390</v>
      </c>
      <c r="B51" s="7" t="s">
        <v>390</v>
      </c>
      <c r="C51" s="4" t="s">
        <v>732</v>
      </c>
      <c r="D51" s="4" t="s">
        <v>27</v>
      </c>
      <c r="E51" s="19" t="s">
        <v>385</v>
      </c>
      <c r="F51" s="23"/>
      <c r="H51" s="20" t="s">
        <v>400</v>
      </c>
      <c r="I51" s="15" t="s">
        <v>401</v>
      </c>
      <c r="J51" s="15" t="s">
        <v>402</v>
      </c>
      <c r="K51" s="25"/>
      <c r="L51" s="2" t="s">
        <v>387</v>
      </c>
      <c r="M51" s="2" t="s">
        <v>387</v>
      </c>
      <c r="N51" s="1" t="str">
        <f t="shared" si="10"/>
        <v>FA</v>
      </c>
      <c r="O51" s="44">
        <f t="shared" si="9"/>
        <v>9</v>
      </c>
    </row>
    <row r="52" spans="1:15" ht="15.75" thickBot="1">
      <c r="A52" s="7" t="s">
        <v>390</v>
      </c>
      <c r="B52" s="7" t="s">
        <v>390</v>
      </c>
      <c r="C52" s="4" t="s">
        <v>441</v>
      </c>
      <c r="D52" s="4" t="s">
        <v>10</v>
      </c>
      <c r="E52" s="19" t="s">
        <v>385</v>
      </c>
      <c r="F52" s="23"/>
      <c r="H52" s="20" t="s">
        <v>400</v>
      </c>
      <c r="I52" s="15" t="s">
        <v>401</v>
      </c>
      <c r="J52" s="15" t="s">
        <v>402</v>
      </c>
      <c r="K52" s="25"/>
      <c r="L52" s="2" t="s">
        <v>387</v>
      </c>
      <c r="M52" s="2" t="s">
        <v>387</v>
      </c>
      <c r="N52" s="1" t="str">
        <f t="shared" si="10"/>
        <v>FA</v>
      </c>
      <c r="O52" s="44">
        <f t="shared" si="9"/>
        <v>9</v>
      </c>
    </row>
    <row r="53" spans="1:15" ht="15.75" thickBot="1">
      <c r="A53" s="7" t="s">
        <v>390</v>
      </c>
      <c r="B53" s="7" t="s">
        <v>390</v>
      </c>
      <c r="C53" s="4" t="s">
        <v>733</v>
      </c>
      <c r="D53" s="4" t="s">
        <v>2</v>
      </c>
      <c r="E53" s="19" t="s">
        <v>385</v>
      </c>
      <c r="F53" s="23"/>
      <c r="H53" s="20" t="s">
        <v>400</v>
      </c>
      <c r="I53" s="15" t="s">
        <v>401</v>
      </c>
      <c r="J53" s="15" t="s">
        <v>402</v>
      </c>
      <c r="K53" s="25"/>
      <c r="L53" s="2" t="s">
        <v>387</v>
      </c>
      <c r="M53" s="2" t="s">
        <v>387</v>
      </c>
      <c r="N53" s="1" t="str">
        <f t="shared" si="10"/>
        <v>FA</v>
      </c>
      <c r="O53" s="44">
        <f t="shared" si="9"/>
        <v>9</v>
      </c>
    </row>
    <row r="54" spans="1:15" ht="15.75" thickBot="1">
      <c r="A54" s="7" t="s">
        <v>390</v>
      </c>
      <c r="B54" s="7" t="s">
        <v>390</v>
      </c>
      <c r="C54" s="4" t="s">
        <v>734</v>
      </c>
      <c r="D54" s="4" t="s">
        <v>10</v>
      </c>
      <c r="E54" s="19" t="s">
        <v>385</v>
      </c>
      <c r="F54" s="23"/>
      <c r="H54" s="20" t="s">
        <v>400</v>
      </c>
      <c r="I54" s="15" t="s">
        <v>401</v>
      </c>
      <c r="J54" s="15" t="s">
        <v>402</v>
      </c>
      <c r="K54" s="25"/>
      <c r="L54" s="2" t="s">
        <v>387</v>
      </c>
      <c r="M54" s="2" t="s">
        <v>387</v>
      </c>
      <c r="N54" s="1" t="str">
        <f t="shared" si="10"/>
        <v>FA</v>
      </c>
      <c r="O54" s="44">
        <f t="shared" si="9"/>
        <v>9</v>
      </c>
    </row>
    <row r="55" spans="1:15" ht="15.75" thickBot="1">
      <c r="A55" s="14"/>
      <c r="B55" s="14"/>
      <c r="C55" s="14"/>
      <c r="D55" s="14"/>
      <c r="E55" s="18"/>
      <c r="F55" s="18"/>
      <c r="H55" s="18"/>
      <c r="I55" s="18"/>
      <c r="J55" s="18"/>
      <c r="K55" s="18"/>
      <c r="L55" s="18"/>
      <c r="M55" s="18"/>
      <c r="N55" s="18"/>
      <c r="O55" s="18"/>
    </row>
    <row r="56" spans="1:15" ht="15.75" thickBot="1">
      <c r="A56" s="7" t="s">
        <v>390</v>
      </c>
      <c r="B56" s="7" t="s">
        <v>390</v>
      </c>
      <c r="C56" s="4" t="s">
        <v>735</v>
      </c>
      <c r="D56" s="8" t="s">
        <v>5</v>
      </c>
      <c r="E56" s="17" t="s">
        <v>0</v>
      </c>
      <c r="F56" s="22"/>
      <c r="H56" s="20" t="s">
        <v>400</v>
      </c>
      <c r="I56" s="15" t="s">
        <v>401</v>
      </c>
      <c r="J56" s="15" t="s">
        <v>402</v>
      </c>
      <c r="K56" s="25"/>
      <c r="L56" s="2" t="s">
        <v>387</v>
      </c>
      <c r="M56" s="2" t="s">
        <v>387</v>
      </c>
      <c r="N56" s="1" t="str">
        <f t="shared" ref="N56:N66" si="11">B56</f>
        <v>FA</v>
      </c>
      <c r="O56" s="44">
        <f>IF(A56="FA",9,N56-1)</f>
        <v>9</v>
      </c>
    </row>
    <row r="57" spans="1:15" ht="15.75" thickBot="1">
      <c r="A57" s="7">
        <f>VLOOKUP(C57,'2020 Draft'!$C$3:$G$161,5,FALSE)</f>
        <v>9</v>
      </c>
      <c r="B57" s="7">
        <f>VLOOKUP(C57,'2020 Draft'!$C$2:$H$161,6,FALSE)</f>
        <v>1</v>
      </c>
      <c r="C57" s="4" t="s">
        <v>583</v>
      </c>
      <c r="D57" s="4" t="s">
        <v>10</v>
      </c>
      <c r="E57" s="17" t="s">
        <v>0</v>
      </c>
      <c r="F57" s="22"/>
      <c r="H57" s="20" t="s">
        <v>400</v>
      </c>
      <c r="I57" s="15" t="s">
        <v>401</v>
      </c>
      <c r="J57" s="15" t="s">
        <v>402</v>
      </c>
      <c r="K57" s="25"/>
      <c r="L57" s="2" t="s">
        <v>387</v>
      </c>
      <c r="M57" s="2" t="s">
        <v>387</v>
      </c>
      <c r="N57" s="1">
        <f t="shared" si="11"/>
        <v>1</v>
      </c>
      <c r="O57" s="44">
        <f>IF(A57="FA",9,N57-1)</f>
        <v>0</v>
      </c>
    </row>
    <row r="58" spans="1:15" ht="15.75" thickBot="1">
      <c r="A58" s="7">
        <f>VLOOKUP(C58,'2020 Draft'!$C$3:$G$161,5,FALSE)</f>
        <v>32</v>
      </c>
      <c r="B58" s="7">
        <f>VLOOKUP(C58,'2020 Draft'!$C$2:$H$161,6,FALSE)</f>
        <v>4</v>
      </c>
      <c r="C58" s="4" t="s">
        <v>169</v>
      </c>
      <c r="D58" s="4" t="s">
        <v>10</v>
      </c>
      <c r="E58" s="17" t="s">
        <v>0</v>
      </c>
      <c r="F58" s="22"/>
      <c r="H58" s="20" t="s">
        <v>400</v>
      </c>
      <c r="I58" s="15" t="s">
        <v>401</v>
      </c>
      <c r="J58" s="15" t="s">
        <v>402</v>
      </c>
      <c r="K58" s="25"/>
      <c r="L58" s="2" t="s">
        <v>387</v>
      </c>
      <c r="M58" s="2" t="s">
        <v>387</v>
      </c>
      <c r="N58" s="1">
        <f t="shared" si="11"/>
        <v>4</v>
      </c>
      <c r="O58" s="44">
        <f>IF(A58="FA",9,N58-1)</f>
        <v>3</v>
      </c>
    </row>
    <row r="59" spans="1:15" ht="15.75" thickBot="1">
      <c r="A59" s="7">
        <f>VLOOKUP(C59,'2020 Draft'!$C$3:$G$161,5,FALSE)</f>
        <v>29</v>
      </c>
      <c r="B59" s="7">
        <f>VLOOKUP(C59,'2020 Draft'!$C$2:$H$161,6,FALSE)</f>
        <v>3</v>
      </c>
      <c r="C59" s="4" t="s">
        <v>138</v>
      </c>
      <c r="D59" s="4" t="s">
        <v>2</v>
      </c>
      <c r="E59" s="17" t="s">
        <v>0</v>
      </c>
      <c r="F59" s="22"/>
      <c r="H59" s="20" t="s">
        <v>400</v>
      </c>
      <c r="I59" s="15" t="s">
        <v>401</v>
      </c>
      <c r="J59" s="15" t="s">
        <v>402</v>
      </c>
      <c r="K59" s="25"/>
      <c r="L59" s="2" t="s">
        <v>387</v>
      </c>
      <c r="M59" s="2" t="s">
        <v>387</v>
      </c>
      <c r="N59" s="1">
        <f t="shared" si="11"/>
        <v>3</v>
      </c>
      <c r="O59" s="44">
        <f t="shared" ref="O59:O63" si="12">IF(A59="FA",9,N59-1)</f>
        <v>2</v>
      </c>
    </row>
    <row r="60" spans="1:15" ht="15.75" thickBot="1">
      <c r="A60" s="7">
        <f>VLOOKUP(C60,'2020 Draft'!$C$3:$G$161,5,FALSE)</f>
        <v>89</v>
      </c>
      <c r="B60" s="7">
        <f>VLOOKUP(C60,'2020 Draft'!$C$2:$H$161,6,FALSE)</f>
        <v>9</v>
      </c>
      <c r="C60" s="4" t="s">
        <v>736</v>
      </c>
      <c r="D60" s="4" t="s">
        <v>2</v>
      </c>
      <c r="E60" s="17" t="s">
        <v>0</v>
      </c>
      <c r="F60" s="22"/>
      <c r="H60" s="20" t="s">
        <v>401</v>
      </c>
      <c r="I60" s="15" t="s">
        <v>402</v>
      </c>
      <c r="J60" s="15" t="s">
        <v>387</v>
      </c>
      <c r="K60" s="25"/>
      <c r="L60" s="2" t="s">
        <v>387</v>
      </c>
      <c r="M60" s="2" t="s">
        <v>387</v>
      </c>
      <c r="N60" s="1">
        <f t="shared" si="11"/>
        <v>9</v>
      </c>
      <c r="O60" s="44">
        <f t="shared" si="12"/>
        <v>8</v>
      </c>
    </row>
    <row r="61" spans="1:15" ht="15.75" thickBot="1">
      <c r="A61" s="7">
        <f>VLOOKUP(C61,'2020 Draft'!$C$3:$G$161,5,FALSE)</f>
        <v>12</v>
      </c>
      <c r="B61" s="7">
        <f>VLOOKUP(C61,'2020 Draft'!$C$2:$H$161,6,FALSE)</f>
        <v>2</v>
      </c>
      <c r="C61" s="4" t="s">
        <v>44</v>
      </c>
      <c r="D61" s="4" t="s">
        <v>27</v>
      </c>
      <c r="E61" s="17" t="s">
        <v>0</v>
      </c>
      <c r="F61" s="22"/>
      <c r="H61" s="20" t="s">
        <v>400</v>
      </c>
      <c r="I61" s="15" t="s">
        <v>401</v>
      </c>
      <c r="J61" s="15" t="s">
        <v>402</v>
      </c>
      <c r="K61" s="25"/>
      <c r="L61" s="2" t="s">
        <v>387</v>
      </c>
      <c r="M61" s="2" t="s">
        <v>387</v>
      </c>
      <c r="N61" s="1">
        <f t="shared" si="11"/>
        <v>2</v>
      </c>
      <c r="O61" s="44">
        <f t="shared" si="12"/>
        <v>1</v>
      </c>
    </row>
    <row r="62" spans="1:15" ht="15.75" thickBot="1">
      <c r="A62" s="7">
        <f>VLOOKUP(C62,'2020 Draft'!$C$3:$G$161,5,FALSE)</f>
        <v>72</v>
      </c>
      <c r="B62" s="7">
        <f>VLOOKUP(C62,'2020 Draft'!$C$2:$H$161,6,FALSE)</f>
        <v>8</v>
      </c>
      <c r="C62" s="4" t="s">
        <v>99</v>
      </c>
      <c r="D62" s="4" t="s">
        <v>2</v>
      </c>
      <c r="E62" s="17" t="s">
        <v>0</v>
      </c>
      <c r="F62" s="22"/>
      <c r="H62" s="20" t="s">
        <v>400</v>
      </c>
      <c r="I62" s="15" t="s">
        <v>401</v>
      </c>
      <c r="J62" s="15" t="s">
        <v>402</v>
      </c>
      <c r="K62" s="25"/>
      <c r="L62" s="2" t="s">
        <v>387</v>
      </c>
      <c r="M62" s="2" t="s">
        <v>387</v>
      </c>
      <c r="N62" s="1">
        <f t="shared" si="11"/>
        <v>8</v>
      </c>
      <c r="O62" s="44">
        <f t="shared" si="12"/>
        <v>7</v>
      </c>
    </row>
    <row r="63" spans="1:15" ht="15.75" thickBot="1">
      <c r="A63" s="7">
        <f>VLOOKUP(C63,'2020 Draft'!$C$3:$G$161,5,FALSE)</f>
        <v>123</v>
      </c>
      <c r="B63" s="7">
        <f>VLOOKUP(C63,'2020 Draft'!$C$2:$H$161,6,FALSE)</f>
        <v>13</v>
      </c>
      <c r="C63" s="4" t="s">
        <v>520</v>
      </c>
      <c r="D63" s="4" t="s">
        <v>27</v>
      </c>
      <c r="E63" s="17" t="s">
        <v>0</v>
      </c>
      <c r="F63" s="22"/>
      <c r="H63" s="20" t="s">
        <v>400</v>
      </c>
      <c r="I63" s="15" t="s">
        <v>401</v>
      </c>
      <c r="J63" s="15" t="s">
        <v>402</v>
      </c>
      <c r="K63" s="25"/>
      <c r="L63" s="2" t="s">
        <v>387</v>
      </c>
      <c r="M63" s="2">
        <v>14</v>
      </c>
      <c r="N63" s="1">
        <f t="shared" si="11"/>
        <v>13</v>
      </c>
      <c r="O63" s="44">
        <f t="shared" si="12"/>
        <v>12</v>
      </c>
    </row>
    <row r="64" spans="1:15" ht="15.75" thickBot="1">
      <c r="A64" s="7" t="s">
        <v>390</v>
      </c>
      <c r="B64" s="7" t="s">
        <v>390</v>
      </c>
      <c r="C64" s="4" t="s">
        <v>737</v>
      </c>
      <c r="D64" s="4" t="s">
        <v>687</v>
      </c>
      <c r="E64" s="17" t="s">
        <v>0</v>
      </c>
      <c r="F64" s="22"/>
      <c r="H64" s="20" t="s">
        <v>400</v>
      </c>
      <c r="I64" s="15" t="s">
        <v>401</v>
      </c>
      <c r="J64" s="15" t="s">
        <v>402</v>
      </c>
      <c r="K64" s="25"/>
      <c r="L64" s="2" t="s">
        <v>387</v>
      </c>
      <c r="M64" s="2" t="s">
        <v>387</v>
      </c>
      <c r="N64" s="1" t="str">
        <f t="shared" si="11"/>
        <v>FA</v>
      </c>
      <c r="O64" s="44">
        <f>IF(A64="FA",9,N64-1)</f>
        <v>9</v>
      </c>
    </row>
    <row r="65" spans="1:15" ht="15.75" thickBot="1">
      <c r="A65" s="7">
        <f>VLOOKUP(C65,'2020 Draft'!$C$3:$G$161,5,FALSE)</f>
        <v>49</v>
      </c>
      <c r="B65" s="7">
        <f>VLOOKUP(C65,'2020 Draft'!$C$2:$H$161,6,FALSE)</f>
        <v>5</v>
      </c>
      <c r="C65" s="4" t="s">
        <v>418</v>
      </c>
      <c r="D65" s="4" t="s">
        <v>5</v>
      </c>
      <c r="E65" s="17" t="s">
        <v>0</v>
      </c>
      <c r="F65" s="22"/>
      <c r="H65" s="20" t="s">
        <v>400</v>
      </c>
      <c r="I65" s="15" t="s">
        <v>401</v>
      </c>
      <c r="J65" s="15" t="s">
        <v>402</v>
      </c>
      <c r="K65" s="25"/>
      <c r="L65" s="2" t="s">
        <v>387</v>
      </c>
      <c r="M65" s="2" t="s">
        <v>387</v>
      </c>
      <c r="N65" s="1">
        <f t="shared" si="11"/>
        <v>5</v>
      </c>
      <c r="O65" s="44">
        <f t="shared" ref="O65:O71" si="13">IF(A65="FA",9,N65-1)</f>
        <v>4</v>
      </c>
    </row>
    <row r="66" spans="1:15" ht="15.75" thickBot="1">
      <c r="A66" s="7">
        <f>VLOOKUP(C66,'2020 Draft'!$C$3:$G$161,5,FALSE)</f>
        <v>52</v>
      </c>
      <c r="B66" s="7">
        <f>VLOOKUP(C66,'2020 Draft'!$C$2:$H$161,6,FALSE)</f>
        <v>6</v>
      </c>
      <c r="C66" s="4" t="s">
        <v>545</v>
      </c>
      <c r="D66" s="4" t="s">
        <v>2</v>
      </c>
      <c r="E66" s="17" t="s">
        <v>0</v>
      </c>
      <c r="F66" s="22"/>
      <c r="H66" s="20" t="s">
        <v>400</v>
      </c>
      <c r="I66" s="15" t="s">
        <v>401</v>
      </c>
      <c r="J66" s="15" t="s">
        <v>402</v>
      </c>
      <c r="K66" s="25"/>
      <c r="L66" s="2" t="s">
        <v>387</v>
      </c>
      <c r="M66" s="2" t="s">
        <v>387</v>
      </c>
      <c r="N66" s="1">
        <f t="shared" si="11"/>
        <v>6</v>
      </c>
      <c r="O66" s="44">
        <f t="shared" si="13"/>
        <v>5</v>
      </c>
    </row>
    <row r="67" spans="1:15" ht="15.75" thickBot="1">
      <c r="A67" s="7">
        <f>VLOOKUP(C67,'2020 Draft'!$C$3:$G$161,5,FALSE)</f>
        <v>109</v>
      </c>
      <c r="B67" s="7">
        <f>VLOOKUP(C67,'2020 Draft'!$C$2:$H$161,6,FALSE)</f>
        <v>11</v>
      </c>
      <c r="C67" s="4" t="s">
        <v>599</v>
      </c>
      <c r="D67" s="4" t="s">
        <v>10</v>
      </c>
      <c r="E67" s="17" t="s">
        <v>0</v>
      </c>
      <c r="F67" s="22"/>
      <c r="H67" s="20" t="s">
        <v>400</v>
      </c>
      <c r="I67" s="15" t="s">
        <v>401</v>
      </c>
      <c r="J67" s="15" t="s">
        <v>402</v>
      </c>
      <c r="K67" s="25"/>
      <c r="L67" s="2" t="s">
        <v>387</v>
      </c>
      <c r="M67" s="2" t="s">
        <v>387</v>
      </c>
      <c r="N67" s="1">
        <f t="shared" ref="N67:N71" si="14">B67</f>
        <v>11</v>
      </c>
      <c r="O67" s="44">
        <f t="shared" si="13"/>
        <v>10</v>
      </c>
    </row>
    <row r="68" spans="1:15" ht="15.75" thickBot="1">
      <c r="A68" s="7">
        <f>VLOOKUP(C68,'2020 Draft'!$C$3:$G$161,5,FALSE)</f>
        <v>3</v>
      </c>
      <c r="B68" s="7">
        <f>VLOOKUP(C68,'2020 Draft'!$C$2:$H$161,6,FALSE)</f>
        <v>1</v>
      </c>
      <c r="C68" s="4" t="s">
        <v>167</v>
      </c>
      <c r="D68" s="4" t="s">
        <v>10</v>
      </c>
      <c r="E68" s="17" t="s">
        <v>0</v>
      </c>
      <c r="F68" s="22"/>
      <c r="H68" s="20" t="s">
        <v>400</v>
      </c>
      <c r="I68" s="15" t="s">
        <v>401</v>
      </c>
      <c r="J68" s="15" t="s">
        <v>402</v>
      </c>
      <c r="K68" s="25"/>
      <c r="L68" s="2" t="s">
        <v>387</v>
      </c>
      <c r="M68" s="2" t="s">
        <v>387</v>
      </c>
      <c r="N68" s="1">
        <f t="shared" si="14"/>
        <v>1</v>
      </c>
      <c r="O68" s="44">
        <f t="shared" si="13"/>
        <v>0</v>
      </c>
    </row>
    <row r="69" spans="1:15" ht="15.75" thickBot="1">
      <c r="A69" s="7" t="s">
        <v>390</v>
      </c>
      <c r="B69" s="7" t="s">
        <v>390</v>
      </c>
      <c r="C69" s="4" t="s">
        <v>606</v>
      </c>
      <c r="D69" s="4" t="s">
        <v>10</v>
      </c>
      <c r="E69" s="17" t="s">
        <v>0</v>
      </c>
      <c r="F69" s="22"/>
      <c r="H69" s="20" t="s">
        <v>400</v>
      </c>
      <c r="I69" s="15" t="s">
        <v>401</v>
      </c>
      <c r="J69" s="15" t="s">
        <v>402</v>
      </c>
      <c r="K69" s="25"/>
      <c r="L69" s="2" t="s">
        <v>387</v>
      </c>
      <c r="M69" s="2" t="s">
        <v>387</v>
      </c>
      <c r="N69" s="1" t="str">
        <f t="shared" si="14"/>
        <v>FA</v>
      </c>
      <c r="O69" s="44">
        <f t="shared" si="13"/>
        <v>9</v>
      </c>
    </row>
    <row r="70" spans="1:15" ht="15.75" thickBot="1">
      <c r="A70" s="7" t="s">
        <v>390</v>
      </c>
      <c r="B70" s="7" t="s">
        <v>390</v>
      </c>
      <c r="C70" s="4" t="s">
        <v>488</v>
      </c>
      <c r="D70" s="4" t="s">
        <v>10</v>
      </c>
      <c r="E70" s="17" t="s">
        <v>0</v>
      </c>
      <c r="F70" s="22"/>
      <c r="H70" s="20" t="s">
        <v>400</v>
      </c>
      <c r="I70" s="15" t="s">
        <v>401</v>
      </c>
      <c r="J70" s="15" t="s">
        <v>402</v>
      </c>
      <c r="K70" s="25"/>
      <c r="L70" s="2" t="s">
        <v>387</v>
      </c>
      <c r="M70" s="2" t="s">
        <v>387</v>
      </c>
      <c r="N70" s="1" t="str">
        <f t="shared" si="14"/>
        <v>FA</v>
      </c>
      <c r="O70" s="44">
        <f t="shared" si="13"/>
        <v>9</v>
      </c>
    </row>
    <row r="71" spans="1:15" ht="15.75" thickBot="1">
      <c r="A71" s="7" t="s">
        <v>390</v>
      </c>
      <c r="B71" s="7" t="s">
        <v>390</v>
      </c>
      <c r="C71" s="4" t="s">
        <v>738</v>
      </c>
      <c r="D71" s="4" t="s">
        <v>2</v>
      </c>
      <c r="E71" s="17" t="s">
        <v>0</v>
      </c>
      <c r="F71" s="22"/>
      <c r="H71" s="20" t="s">
        <v>400</v>
      </c>
      <c r="I71" s="15" t="s">
        <v>401</v>
      </c>
      <c r="J71" s="15" t="s">
        <v>402</v>
      </c>
      <c r="K71" s="25"/>
      <c r="L71" s="2" t="s">
        <v>387</v>
      </c>
      <c r="M71" s="2" t="s">
        <v>387</v>
      </c>
      <c r="N71" s="1" t="str">
        <f t="shared" si="14"/>
        <v>FA</v>
      </c>
      <c r="O71" s="44">
        <f t="shared" si="13"/>
        <v>9</v>
      </c>
    </row>
    <row r="72" spans="1:15" ht="15.75" thickBot="1">
      <c r="A72" s="7">
        <f>VLOOKUP(C72,'2020 Draft'!$C$3:$G$161,5,FALSE)</f>
        <v>19</v>
      </c>
      <c r="B72" s="7">
        <f>VLOOKUP(C72,'2020 Draft'!$C$2:$H$161,6,FALSE)</f>
        <v>2</v>
      </c>
      <c r="C72" s="4" t="s">
        <v>128</v>
      </c>
      <c r="D72" s="4" t="s">
        <v>2</v>
      </c>
      <c r="E72" s="17" t="s">
        <v>0</v>
      </c>
      <c r="F72" s="22"/>
      <c r="H72" s="20" t="s">
        <v>400</v>
      </c>
      <c r="I72" s="15" t="s">
        <v>401</v>
      </c>
      <c r="J72" s="15" t="s">
        <v>402</v>
      </c>
      <c r="K72" s="25"/>
      <c r="L72" s="2" t="s">
        <v>387</v>
      </c>
      <c r="M72" s="2" t="s">
        <v>387</v>
      </c>
      <c r="N72" s="1">
        <f t="shared" ref="N72" si="15">B72</f>
        <v>2</v>
      </c>
      <c r="O72" s="44">
        <f t="shared" ref="O72" si="16">IF(A72="FA",9,N72-1)</f>
        <v>1</v>
      </c>
    </row>
    <row r="73" spans="1:15" ht="15.75" thickBot="1">
      <c r="A73" s="14"/>
      <c r="B73" s="14"/>
      <c r="C73" s="14"/>
      <c r="D73" s="14"/>
      <c r="E73" s="18"/>
      <c r="F73" s="18"/>
      <c r="H73" s="18"/>
      <c r="I73" s="18"/>
      <c r="J73" s="18"/>
      <c r="K73" s="18"/>
      <c r="L73" s="18"/>
      <c r="M73" s="18"/>
      <c r="N73" s="18"/>
      <c r="O73" s="18"/>
    </row>
    <row r="74" spans="1:15" ht="15.75" thickBot="1">
      <c r="A74" s="7">
        <f>VLOOKUP(C74,'2020 Draft'!$C$3:$G$161,5,FALSE)</f>
        <v>93</v>
      </c>
      <c r="B74" s="7">
        <f>VLOOKUP(C74,'2020 Draft'!$C$2:$H$161,6,FALSE)</f>
        <v>10</v>
      </c>
      <c r="C74" s="4" t="s">
        <v>540</v>
      </c>
      <c r="D74" s="8" t="s">
        <v>5</v>
      </c>
      <c r="E74" s="17" t="s">
        <v>114</v>
      </c>
      <c r="F74" s="22"/>
      <c r="H74" s="20" t="s">
        <v>401</v>
      </c>
      <c r="I74" s="15" t="s">
        <v>402</v>
      </c>
      <c r="J74" s="15" t="s">
        <v>387</v>
      </c>
      <c r="K74" s="25"/>
      <c r="L74" s="2" t="s">
        <v>387</v>
      </c>
      <c r="M74" s="2">
        <v>11</v>
      </c>
      <c r="N74" s="1">
        <f t="shared" ref="N74:N84" si="17">B74</f>
        <v>10</v>
      </c>
      <c r="O74" s="44">
        <f>IF(A74="FA",9,N74-1)</f>
        <v>9</v>
      </c>
    </row>
    <row r="75" spans="1:15" ht="15.75" thickBot="1">
      <c r="A75" s="7">
        <f>VLOOKUP(C75,'2020 Draft'!$C$3:$G$161,5,FALSE)</f>
        <v>13</v>
      </c>
      <c r="B75" s="7">
        <f>VLOOKUP(C75,'2020 Draft'!$C$2:$H$161,6,FALSE)</f>
        <v>2</v>
      </c>
      <c r="C75" s="4" t="s">
        <v>437</v>
      </c>
      <c r="D75" s="4" t="s">
        <v>10</v>
      </c>
      <c r="E75" s="17" t="s">
        <v>114</v>
      </c>
      <c r="F75" s="22"/>
      <c r="H75" s="20" t="s">
        <v>400</v>
      </c>
      <c r="I75" s="15" t="s">
        <v>401</v>
      </c>
      <c r="J75" s="15" t="s">
        <v>402</v>
      </c>
      <c r="K75" s="25"/>
      <c r="L75" s="2" t="s">
        <v>387</v>
      </c>
      <c r="M75" s="2" t="s">
        <v>387</v>
      </c>
      <c r="N75" s="1">
        <f t="shared" si="17"/>
        <v>2</v>
      </c>
      <c r="O75" s="44">
        <f>IF(A75="FA",9,N75-1)</f>
        <v>1</v>
      </c>
    </row>
    <row r="76" spans="1:15" ht="15.75" thickBot="1">
      <c r="A76" s="7">
        <f>VLOOKUP(C76,'2020 Draft'!$C$3:$G$161,5,FALSE)</f>
        <v>76</v>
      </c>
      <c r="B76" s="7">
        <f>VLOOKUP(C76,'2020 Draft'!$C$2:$H$161,6,FALSE)</f>
        <v>8</v>
      </c>
      <c r="C76" s="4" t="s">
        <v>570</v>
      </c>
      <c r="D76" s="4" t="s">
        <v>10</v>
      </c>
      <c r="E76" s="17" t="s">
        <v>114</v>
      </c>
      <c r="F76" s="22"/>
      <c r="H76" s="20" t="s">
        <v>400</v>
      </c>
      <c r="I76" s="15" t="s">
        <v>401</v>
      </c>
      <c r="J76" s="15" t="s">
        <v>402</v>
      </c>
      <c r="K76" s="25"/>
      <c r="L76" s="2" t="s">
        <v>387</v>
      </c>
      <c r="M76" s="2">
        <v>9</v>
      </c>
      <c r="N76" s="1">
        <f t="shared" si="17"/>
        <v>8</v>
      </c>
      <c r="O76" s="44">
        <f>IF(A76="FA",9,N76-1)</f>
        <v>7</v>
      </c>
    </row>
    <row r="77" spans="1:15" ht="15.75" thickBot="1">
      <c r="A77" s="7" t="s">
        <v>390</v>
      </c>
      <c r="B77" s="7" t="s">
        <v>390</v>
      </c>
      <c r="C77" s="4" t="s">
        <v>739</v>
      </c>
      <c r="D77" s="4" t="s">
        <v>2</v>
      </c>
      <c r="E77" s="17" t="s">
        <v>114</v>
      </c>
      <c r="F77" s="22"/>
      <c r="H77" s="20" t="s">
        <v>400</v>
      </c>
      <c r="I77" s="15" t="s">
        <v>401</v>
      </c>
      <c r="J77" s="15" t="s">
        <v>402</v>
      </c>
      <c r="K77" s="25"/>
      <c r="L77" s="2" t="s">
        <v>387</v>
      </c>
      <c r="M77" s="2" t="s">
        <v>387</v>
      </c>
      <c r="N77" s="1" t="str">
        <f t="shared" si="17"/>
        <v>FA</v>
      </c>
      <c r="O77" s="44">
        <f t="shared" ref="O77:O81" si="18">IF(A77="FA",9,N77-1)</f>
        <v>9</v>
      </c>
    </row>
    <row r="78" spans="1:15" ht="15.75" thickBot="1">
      <c r="A78" s="7">
        <f>VLOOKUP(C78,'2020 Draft'!$C$3:$G$161,5,FALSE)</f>
        <v>25</v>
      </c>
      <c r="B78" s="7">
        <f>VLOOKUP(C78,'2020 Draft'!$C$2:$H$161,6,FALSE)</f>
        <v>3</v>
      </c>
      <c r="C78" s="4" t="s">
        <v>462</v>
      </c>
      <c r="D78" s="4" t="s">
        <v>2</v>
      </c>
      <c r="E78" s="17" t="s">
        <v>114</v>
      </c>
      <c r="F78" s="22"/>
      <c r="H78" s="20" t="s">
        <v>400</v>
      </c>
      <c r="I78" s="15" t="s">
        <v>401</v>
      </c>
      <c r="J78" s="15" t="s">
        <v>402</v>
      </c>
      <c r="K78" s="25"/>
      <c r="L78" s="2" t="s">
        <v>387</v>
      </c>
      <c r="M78" s="2" t="s">
        <v>387</v>
      </c>
      <c r="N78" s="1">
        <f t="shared" si="17"/>
        <v>3</v>
      </c>
      <c r="O78" s="44">
        <f t="shared" si="18"/>
        <v>2</v>
      </c>
    </row>
    <row r="79" spans="1:15" ht="15.75" thickBot="1">
      <c r="A79" s="7" t="s">
        <v>390</v>
      </c>
      <c r="B79" s="7" t="s">
        <v>390</v>
      </c>
      <c r="C79" s="4" t="s">
        <v>740</v>
      </c>
      <c r="D79" s="4" t="s">
        <v>27</v>
      </c>
      <c r="E79" s="17" t="s">
        <v>114</v>
      </c>
      <c r="F79" s="22"/>
      <c r="H79" s="20" t="s">
        <v>400</v>
      </c>
      <c r="I79" s="15" t="s">
        <v>401</v>
      </c>
      <c r="J79" s="15" t="s">
        <v>402</v>
      </c>
      <c r="K79" s="25"/>
      <c r="L79" s="2" t="s">
        <v>387</v>
      </c>
      <c r="M79" s="2" t="s">
        <v>387</v>
      </c>
      <c r="N79" s="1" t="str">
        <f t="shared" si="17"/>
        <v>FA</v>
      </c>
      <c r="O79" s="44">
        <f t="shared" si="18"/>
        <v>9</v>
      </c>
    </row>
    <row r="80" spans="1:15" ht="15.75" thickBot="1">
      <c r="A80" s="7">
        <f>VLOOKUP(C80,'2020 Draft'!$C$3:$G$161,5,FALSE)</f>
        <v>48</v>
      </c>
      <c r="B80" s="7">
        <f>VLOOKUP(C80,'2020 Draft'!$C$2:$H$161,6,FALSE)</f>
        <v>5</v>
      </c>
      <c r="C80" s="4" t="s">
        <v>184</v>
      </c>
      <c r="D80" s="4" t="s">
        <v>2</v>
      </c>
      <c r="E80" s="17" t="s">
        <v>114</v>
      </c>
      <c r="F80" s="22"/>
      <c r="H80" s="20" t="s">
        <v>400</v>
      </c>
      <c r="I80" s="15" t="s">
        <v>401</v>
      </c>
      <c r="J80" s="15" t="s">
        <v>402</v>
      </c>
      <c r="K80" s="25"/>
      <c r="L80" s="2" t="s">
        <v>387</v>
      </c>
      <c r="M80" s="2" t="s">
        <v>387</v>
      </c>
      <c r="N80" s="1">
        <f t="shared" si="17"/>
        <v>5</v>
      </c>
      <c r="O80" s="44">
        <f t="shared" si="18"/>
        <v>4</v>
      </c>
    </row>
    <row r="81" spans="1:15" ht="15.75" thickBot="1">
      <c r="A81" s="7">
        <f>VLOOKUP(C81,'2020 Draft'!$C$3:$G$161,5,FALSE)</f>
        <v>84</v>
      </c>
      <c r="B81" s="7">
        <f>VLOOKUP(C81,'2020 Draft'!$C$2:$H$161,6,FALSE)</f>
        <v>9</v>
      </c>
      <c r="C81" s="4" t="s">
        <v>629</v>
      </c>
      <c r="D81" s="4" t="s">
        <v>10</v>
      </c>
      <c r="E81" s="17" t="s">
        <v>114</v>
      </c>
      <c r="F81" s="22"/>
      <c r="H81" s="20" t="s">
        <v>400</v>
      </c>
      <c r="I81" s="15" t="s">
        <v>401</v>
      </c>
      <c r="J81" s="15" t="s">
        <v>402</v>
      </c>
      <c r="K81" s="25"/>
      <c r="L81" s="2" t="s">
        <v>387</v>
      </c>
      <c r="M81" s="2" t="s">
        <v>387</v>
      </c>
      <c r="N81" s="1">
        <f t="shared" si="17"/>
        <v>9</v>
      </c>
      <c r="O81" s="44">
        <f t="shared" si="18"/>
        <v>8</v>
      </c>
    </row>
    <row r="82" spans="1:15" ht="15.75" thickBot="1">
      <c r="A82" s="7" t="s">
        <v>390</v>
      </c>
      <c r="B82" s="7" t="s">
        <v>390</v>
      </c>
      <c r="C82" s="4" t="s">
        <v>741</v>
      </c>
      <c r="D82" s="4" t="s">
        <v>687</v>
      </c>
      <c r="E82" s="17" t="s">
        <v>114</v>
      </c>
      <c r="F82" s="22"/>
      <c r="H82" s="20" t="s">
        <v>400</v>
      </c>
      <c r="I82" s="15" t="s">
        <v>401</v>
      </c>
      <c r="J82" s="15" t="s">
        <v>402</v>
      </c>
      <c r="K82" s="25"/>
      <c r="L82" s="2" t="s">
        <v>387</v>
      </c>
      <c r="M82" s="2" t="s">
        <v>387</v>
      </c>
      <c r="N82" s="1" t="str">
        <f t="shared" si="17"/>
        <v>FA</v>
      </c>
      <c r="O82" s="44">
        <f>IF(A82="FA",9,N82-1)</f>
        <v>9</v>
      </c>
    </row>
    <row r="83" spans="1:15" ht="15.75" thickBot="1">
      <c r="A83" s="7">
        <f>VLOOKUP(C83,'2020 Draft'!$C$3:$G$161,5,FALSE)</f>
        <v>53</v>
      </c>
      <c r="B83" s="7">
        <f>VLOOKUP(C83,'2020 Draft'!$C$2:$H$161,6,FALSE)</f>
        <v>6</v>
      </c>
      <c r="C83" s="4" t="s">
        <v>697</v>
      </c>
      <c r="D83" s="4" t="s">
        <v>10</v>
      </c>
      <c r="E83" s="17" t="s">
        <v>114</v>
      </c>
      <c r="F83" s="22"/>
      <c r="H83" s="20" t="s">
        <v>400</v>
      </c>
      <c r="I83" s="15" t="s">
        <v>401</v>
      </c>
      <c r="J83" s="15" t="s">
        <v>402</v>
      </c>
      <c r="K83" s="25"/>
      <c r="L83" s="2" t="s">
        <v>387</v>
      </c>
      <c r="M83" s="2" t="s">
        <v>387</v>
      </c>
      <c r="N83" s="1">
        <f t="shared" si="17"/>
        <v>6</v>
      </c>
      <c r="O83" s="44">
        <f t="shared" ref="O83:O89" si="19">IF(A83="FA",9,N83-1)</f>
        <v>5</v>
      </c>
    </row>
    <row r="84" spans="1:15" ht="15.75" thickBot="1">
      <c r="A84" s="7">
        <f>VLOOKUP(C84,'2020 Draft'!$C$3:$G$161,5,FALSE)</f>
        <v>73</v>
      </c>
      <c r="B84" s="7">
        <f>VLOOKUP(C84,'2020 Draft'!$C$2:$H$161,6,FALSE)</f>
        <v>8</v>
      </c>
      <c r="C84" s="4" t="s">
        <v>642</v>
      </c>
      <c r="D84" s="4" t="s">
        <v>2</v>
      </c>
      <c r="E84" s="17" t="s">
        <v>114</v>
      </c>
      <c r="F84" s="22"/>
      <c r="H84" s="20" t="s">
        <v>400</v>
      </c>
      <c r="I84" s="15" t="s">
        <v>401</v>
      </c>
      <c r="J84" s="15" t="s">
        <v>402</v>
      </c>
      <c r="K84" s="25"/>
      <c r="L84" s="2" t="s">
        <v>387</v>
      </c>
      <c r="M84" s="2" t="s">
        <v>387</v>
      </c>
      <c r="N84" s="1">
        <f t="shared" si="17"/>
        <v>8</v>
      </c>
      <c r="O84" s="44">
        <f t="shared" si="19"/>
        <v>7</v>
      </c>
    </row>
    <row r="85" spans="1:15" ht="15.75" thickBot="1">
      <c r="A85" s="7">
        <f>VLOOKUP(C85,'2020 Draft'!$C$3:$G$161,5,FALSE)</f>
        <v>17</v>
      </c>
      <c r="B85" s="7">
        <f>VLOOKUP(C85,'2020 Draft'!$C$2:$H$161,6,FALSE)</f>
        <v>2</v>
      </c>
      <c r="C85" s="4" t="s">
        <v>115</v>
      </c>
      <c r="D85" s="4" t="s">
        <v>2</v>
      </c>
      <c r="E85" s="17" t="s">
        <v>114</v>
      </c>
      <c r="F85" s="22"/>
      <c r="H85" s="20" t="s">
        <v>400</v>
      </c>
      <c r="I85" s="15" t="s">
        <v>401</v>
      </c>
      <c r="J85" s="15" t="s">
        <v>402</v>
      </c>
      <c r="K85" s="25"/>
      <c r="L85" s="2" t="s">
        <v>387</v>
      </c>
      <c r="M85" s="2" t="s">
        <v>387</v>
      </c>
      <c r="N85" s="1">
        <f t="shared" ref="N85:N89" si="20">B85</f>
        <v>2</v>
      </c>
      <c r="O85" s="44">
        <f t="shared" si="19"/>
        <v>1</v>
      </c>
    </row>
    <row r="86" spans="1:15" ht="15.75" thickBot="1">
      <c r="A86" s="7" t="s">
        <v>390</v>
      </c>
      <c r="B86" s="7" t="s">
        <v>390</v>
      </c>
      <c r="C86" s="4" t="s">
        <v>127</v>
      </c>
      <c r="D86" s="4" t="s">
        <v>10</v>
      </c>
      <c r="E86" s="17" t="s">
        <v>114</v>
      </c>
      <c r="F86" s="22"/>
      <c r="H86" s="20" t="s">
        <v>400</v>
      </c>
      <c r="I86" s="15" t="s">
        <v>401</v>
      </c>
      <c r="J86" s="15" t="s">
        <v>402</v>
      </c>
      <c r="K86" s="25"/>
      <c r="L86" s="2" t="s">
        <v>387</v>
      </c>
      <c r="M86" s="2" t="s">
        <v>387</v>
      </c>
      <c r="N86" s="1" t="str">
        <f t="shared" si="20"/>
        <v>FA</v>
      </c>
      <c r="O86" s="44">
        <f t="shared" si="19"/>
        <v>9</v>
      </c>
    </row>
    <row r="87" spans="1:15" ht="15.75" thickBot="1">
      <c r="A87" s="7">
        <f>VLOOKUP(C87,'2020 Draft'!$C$3:$G$161,5,FALSE)</f>
        <v>107</v>
      </c>
      <c r="B87" s="7">
        <f>VLOOKUP(C87,'2020 Draft'!$C$2:$H$161,6,FALSE)</f>
        <v>11</v>
      </c>
      <c r="C87" s="4" t="s">
        <v>501</v>
      </c>
      <c r="D87" s="4" t="s">
        <v>2</v>
      </c>
      <c r="E87" s="17" t="s">
        <v>114</v>
      </c>
      <c r="F87" s="22"/>
      <c r="H87" s="20" t="s">
        <v>400</v>
      </c>
      <c r="I87" s="15" t="s">
        <v>401</v>
      </c>
      <c r="J87" s="15" t="s">
        <v>402</v>
      </c>
      <c r="K87" s="25"/>
      <c r="L87" s="2" t="s">
        <v>387</v>
      </c>
      <c r="M87" s="2" t="s">
        <v>387</v>
      </c>
      <c r="N87" s="1">
        <f t="shared" si="20"/>
        <v>11</v>
      </c>
      <c r="O87" s="44">
        <f t="shared" si="19"/>
        <v>10</v>
      </c>
    </row>
    <row r="88" spans="1:15" ht="15.75" thickBot="1">
      <c r="A88" s="7">
        <f>VLOOKUP(C88,'2020 Draft'!$C$3:$G$161,5,FALSE)</f>
        <v>85</v>
      </c>
      <c r="B88" s="7">
        <f>VLOOKUP(C88,'2020 Draft'!$C$2:$H$161,6,FALSE)</f>
        <v>9</v>
      </c>
      <c r="C88" s="4" t="s">
        <v>511</v>
      </c>
      <c r="D88" s="4" t="s">
        <v>10</v>
      </c>
      <c r="E88" s="17" t="s">
        <v>114</v>
      </c>
      <c r="F88" s="22"/>
      <c r="H88" s="20" t="s">
        <v>400</v>
      </c>
      <c r="I88" s="15" t="s">
        <v>401</v>
      </c>
      <c r="J88" s="15" t="s">
        <v>402</v>
      </c>
      <c r="K88" s="25"/>
      <c r="L88" s="2" t="s">
        <v>387</v>
      </c>
      <c r="M88" s="2" t="s">
        <v>387</v>
      </c>
      <c r="N88" s="1">
        <f t="shared" si="20"/>
        <v>9</v>
      </c>
      <c r="O88" s="44">
        <f t="shared" si="19"/>
        <v>8</v>
      </c>
    </row>
    <row r="89" spans="1:15" ht="15.75" thickBot="1">
      <c r="A89" s="7" t="s">
        <v>390</v>
      </c>
      <c r="B89" s="7" t="s">
        <v>390</v>
      </c>
      <c r="C89" s="4" t="s">
        <v>153</v>
      </c>
      <c r="D89" s="4" t="s">
        <v>5</v>
      </c>
      <c r="E89" s="17" t="s">
        <v>114</v>
      </c>
      <c r="F89" s="22"/>
      <c r="H89" s="20" t="s">
        <v>400</v>
      </c>
      <c r="I89" s="15" t="s">
        <v>401</v>
      </c>
      <c r="J89" s="15" t="s">
        <v>402</v>
      </c>
      <c r="K89" s="25"/>
      <c r="L89" s="2" t="s">
        <v>387</v>
      </c>
      <c r="M89" s="2" t="s">
        <v>387</v>
      </c>
      <c r="N89" s="1" t="str">
        <f t="shared" si="20"/>
        <v>FA</v>
      </c>
      <c r="O89" s="44">
        <f t="shared" si="19"/>
        <v>9</v>
      </c>
    </row>
    <row r="90" spans="1:15" ht="15.75" thickBot="1">
      <c r="A90" s="7">
        <f>VLOOKUP(C90,'2020 Draft'!$C$3:$G$161,5,FALSE)</f>
        <v>148</v>
      </c>
      <c r="B90" s="7">
        <f>VLOOKUP(C90,'2020 Draft'!$C$2:$H$161,6,FALSE)</f>
        <v>15</v>
      </c>
      <c r="C90" s="4" t="s">
        <v>716</v>
      </c>
      <c r="D90" s="4" t="s">
        <v>5</v>
      </c>
      <c r="E90" s="17" t="s">
        <v>114</v>
      </c>
      <c r="F90" s="22"/>
      <c r="H90" s="20" t="s">
        <v>400</v>
      </c>
      <c r="I90" s="15" t="s">
        <v>401</v>
      </c>
      <c r="J90" s="15" t="s">
        <v>402</v>
      </c>
      <c r="K90" s="25"/>
      <c r="L90" s="2" t="s">
        <v>387</v>
      </c>
      <c r="M90" s="2" t="s">
        <v>387</v>
      </c>
      <c r="N90" s="1">
        <f t="shared" ref="N90" si="21">B90</f>
        <v>15</v>
      </c>
      <c r="O90" s="44">
        <f t="shared" ref="O90" si="22">IF(A90="FA",9,N90-1)</f>
        <v>14</v>
      </c>
    </row>
    <row r="91" spans="1:15" ht="15.75" thickBot="1">
      <c r="A91" s="14"/>
      <c r="B91" s="14"/>
      <c r="C91" s="14"/>
      <c r="D91" s="14"/>
      <c r="E91" s="18"/>
      <c r="F91" s="18"/>
      <c r="H91" s="18"/>
      <c r="I91" s="18"/>
      <c r="J91" s="18"/>
      <c r="K91" s="18"/>
      <c r="L91" s="18"/>
      <c r="M91" s="18"/>
      <c r="N91" s="18"/>
      <c r="O91" s="18"/>
    </row>
    <row r="92" spans="1:15" ht="15.75" thickBot="1">
      <c r="A92" s="7">
        <f>VLOOKUP(C92,'2020 Draft'!$C$3:$G$161,5,FALSE)</f>
        <v>120</v>
      </c>
      <c r="B92" s="7">
        <f>VLOOKUP(C92,'2020 Draft'!$C$2:$H$161,6,FALSE)</f>
        <v>12</v>
      </c>
      <c r="C92" s="4" t="s">
        <v>596</v>
      </c>
      <c r="D92" s="8" t="s">
        <v>5</v>
      </c>
      <c r="E92" s="17" t="s">
        <v>471</v>
      </c>
      <c r="F92" s="22"/>
      <c r="H92" s="15" t="s">
        <v>401</v>
      </c>
      <c r="I92" s="15" t="s">
        <v>402</v>
      </c>
      <c r="J92" s="15" t="s">
        <v>387</v>
      </c>
      <c r="K92" s="25"/>
      <c r="L92" s="2" t="s">
        <v>387</v>
      </c>
      <c r="M92" s="2">
        <v>13</v>
      </c>
      <c r="N92" s="1">
        <f t="shared" ref="N92:N102" si="23">B92</f>
        <v>12</v>
      </c>
      <c r="O92" s="44">
        <f>IF(A92="FA",9,N92-1)</f>
        <v>11</v>
      </c>
    </row>
    <row r="93" spans="1:15" ht="15.75" thickBot="1">
      <c r="A93" s="7">
        <f>VLOOKUP(C93,'2020 Draft'!$C$3:$G$161,5,FALSE)</f>
        <v>21</v>
      </c>
      <c r="B93" s="7">
        <f>VLOOKUP(C93,'2020 Draft'!$C$2:$H$161,6,FALSE)</f>
        <v>3</v>
      </c>
      <c r="C93" s="4" t="s">
        <v>174</v>
      </c>
      <c r="D93" s="4" t="s">
        <v>10</v>
      </c>
      <c r="E93" s="17" t="s">
        <v>471</v>
      </c>
      <c r="F93" s="22"/>
      <c r="H93" s="20" t="s">
        <v>400</v>
      </c>
      <c r="I93" s="15" t="s">
        <v>401</v>
      </c>
      <c r="J93" s="15" t="s">
        <v>402</v>
      </c>
      <c r="K93" s="25"/>
      <c r="L93" s="2" t="s">
        <v>387</v>
      </c>
      <c r="M93" s="2" t="s">
        <v>387</v>
      </c>
      <c r="N93" s="1">
        <f t="shared" si="23"/>
        <v>3</v>
      </c>
      <c r="O93" s="44">
        <f>IF(A93="FA",9,N93-1)</f>
        <v>2</v>
      </c>
    </row>
    <row r="94" spans="1:15" ht="15.75" thickBot="1">
      <c r="A94" s="7">
        <f>VLOOKUP(C94,'2020 Draft'!$C$3:$G$161,5,FALSE)</f>
        <v>41</v>
      </c>
      <c r="B94" s="7">
        <f>VLOOKUP(C94,'2020 Draft'!$C$2:$H$161,6,FALSE)</f>
        <v>5</v>
      </c>
      <c r="C94" s="4" t="s">
        <v>695</v>
      </c>
      <c r="D94" s="4" t="s">
        <v>10</v>
      </c>
      <c r="E94" s="17" t="s">
        <v>471</v>
      </c>
      <c r="F94" s="22"/>
      <c r="H94" s="20" t="s">
        <v>400</v>
      </c>
      <c r="I94" s="15" t="s">
        <v>401</v>
      </c>
      <c r="J94" s="15" t="s">
        <v>402</v>
      </c>
      <c r="K94" s="25"/>
      <c r="L94" s="2" t="s">
        <v>387</v>
      </c>
      <c r="M94" s="2" t="s">
        <v>387</v>
      </c>
      <c r="N94" s="1">
        <f t="shared" si="23"/>
        <v>5</v>
      </c>
      <c r="O94" s="44">
        <f>IF(A94="FA",9,N94-1)</f>
        <v>4</v>
      </c>
    </row>
    <row r="95" spans="1:15" ht="15.75" thickBot="1">
      <c r="A95" s="7">
        <f>VLOOKUP(C95,'2020 Draft'!$C$3:$G$161,5,FALSE)</f>
        <v>20</v>
      </c>
      <c r="B95" s="7">
        <f>VLOOKUP(C95,'2020 Draft'!$C$2:$H$161,6,FALSE)</f>
        <v>2</v>
      </c>
      <c r="C95" s="4" t="s">
        <v>150</v>
      </c>
      <c r="D95" s="4" t="s">
        <v>2</v>
      </c>
      <c r="E95" s="17" t="s">
        <v>471</v>
      </c>
      <c r="F95" s="22"/>
      <c r="H95" s="20" t="s">
        <v>400</v>
      </c>
      <c r="I95" s="15" t="s">
        <v>401</v>
      </c>
      <c r="J95" s="15" t="s">
        <v>402</v>
      </c>
      <c r="K95" s="25"/>
      <c r="L95" s="2" t="s">
        <v>387</v>
      </c>
      <c r="M95" s="2" t="s">
        <v>387</v>
      </c>
      <c r="N95" s="1">
        <f t="shared" si="23"/>
        <v>2</v>
      </c>
      <c r="O95" s="44">
        <f t="shared" ref="O95:O99" si="24">IF(A95="FA",9,N95-1)</f>
        <v>1</v>
      </c>
    </row>
    <row r="96" spans="1:15" ht="15.75" thickBot="1">
      <c r="A96" s="7">
        <f>VLOOKUP(C96,'2020 Draft'!$C$3:$G$161,5,FALSE)</f>
        <v>101</v>
      </c>
      <c r="B96" s="7">
        <f>VLOOKUP(C96,'2020 Draft'!$C$2:$H$161,6,FALSE)</f>
        <v>11</v>
      </c>
      <c r="C96" s="4" t="s">
        <v>706</v>
      </c>
      <c r="D96" s="4" t="s">
        <v>2</v>
      </c>
      <c r="E96" s="17" t="s">
        <v>471</v>
      </c>
      <c r="F96" s="22"/>
      <c r="H96" s="15" t="s">
        <v>401</v>
      </c>
      <c r="I96" s="15" t="s">
        <v>402</v>
      </c>
      <c r="J96" s="15" t="s">
        <v>387</v>
      </c>
      <c r="K96" s="25"/>
      <c r="L96" s="2" t="s">
        <v>387</v>
      </c>
      <c r="M96" s="2">
        <v>12</v>
      </c>
      <c r="N96" s="1">
        <f t="shared" si="23"/>
        <v>11</v>
      </c>
      <c r="O96" s="44">
        <f t="shared" si="24"/>
        <v>10</v>
      </c>
    </row>
    <row r="97" spans="1:15" ht="15.75" thickBot="1">
      <c r="A97" s="7">
        <f>VLOOKUP(C97,'2020 Draft'!$C$3:$G$161,5,FALSE)</f>
        <v>80</v>
      </c>
      <c r="B97" s="7">
        <f>VLOOKUP(C97,'2020 Draft'!$C$2:$H$161,6,FALSE)</f>
        <v>8</v>
      </c>
      <c r="C97" s="4" t="s">
        <v>182</v>
      </c>
      <c r="D97" s="4" t="s">
        <v>27</v>
      </c>
      <c r="E97" s="17" t="s">
        <v>471</v>
      </c>
      <c r="F97" s="22"/>
      <c r="H97" s="20" t="s">
        <v>400</v>
      </c>
      <c r="I97" s="15" t="s">
        <v>401</v>
      </c>
      <c r="J97" s="15" t="s">
        <v>402</v>
      </c>
      <c r="K97" s="25"/>
      <c r="L97" s="2" t="s">
        <v>387</v>
      </c>
      <c r="M97" s="2" t="s">
        <v>387</v>
      </c>
      <c r="N97" s="1">
        <f t="shared" si="23"/>
        <v>8</v>
      </c>
      <c r="O97" s="44">
        <f t="shared" si="24"/>
        <v>7</v>
      </c>
    </row>
    <row r="98" spans="1:15" ht="15.75" thickBot="1">
      <c r="A98" s="7">
        <f>VLOOKUP(C98,'2020 Draft'!$C$3:$G$161,5,FALSE)</f>
        <v>40</v>
      </c>
      <c r="B98" s="7">
        <f>VLOOKUP(C98,'2020 Draft'!$C$2:$H$161,6,FALSE)</f>
        <v>4</v>
      </c>
      <c r="C98" s="4" t="s">
        <v>118</v>
      </c>
      <c r="D98" s="4" t="s">
        <v>2</v>
      </c>
      <c r="E98" s="17" t="s">
        <v>471</v>
      </c>
      <c r="F98" s="22"/>
      <c r="H98" s="20" t="s">
        <v>400</v>
      </c>
      <c r="I98" s="15" t="s">
        <v>401</v>
      </c>
      <c r="J98" s="15" t="s">
        <v>402</v>
      </c>
      <c r="K98" s="25"/>
      <c r="L98" s="2" t="s">
        <v>387</v>
      </c>
      <c r="M98" s="2" t="s">
        <v>387</v>
      </c>
      <c r="N98" s="1">
        <f t="shared" si="23"/>
        <v>4</v>
      </c>
      <c r="O98" s="44">
        <f t="shared" si="24"/>
        <v>3</v>
      </c>
    </row>
    <row r="99" spans="1:15" ht="15.75" thickBot="1">
      <c r="A99" s="7" t="s">
        <v>390</v>
      </c>
      <c r="B99" s="7" t="s">
        <v>390</v>
      </c>
      <c r="C99" s="4" t="s">
        <v>414</v>
      </c>
      <c r="D99" s="4" t="s">
        <v>10</v>
      </c>
      <c r="E99" s="17" t="s">
        <v>471</v>
      </c>
      <c r="F99" s="22"/>
      <c r="H99" s="20" t="s">
        <v>400</v>
      </c>
      <c r="I99" s="15" t="s">
        <v>401</v>
      </c>
      <c r="J99" s="15" t="s">
        <v>402</v>
      </c>
      <c r="K99" s="25"/>
      <c r="L99" s="2" t="s">
        <v>387</v>
      </c>
      <c r="M99" s="2" t="s">
        <v>387</v>
      </c>
      <c r="N99" s="1" t="str">
        <f t="shared" si="23"/>
        <v>FA</v>
      </c>
      <c r="O99" s="44">
        <f t="shared" si="24"/>
        <v>9</v>
      </c>
    </row>
    <row r="100" spans="1:15" ht="15.75" thickBot="1">
      <c r="A100" s="7" t="s">
        <v>390</v>
      </c>
      <c r="B100" s="7" t="s">
        <v>390</v>
      </c>
      <c r="C100" s="4" t="s">
        <v>742</v>
      </c>
      <c r="D100" s="4" t="s">
        <v>687</v>
      </c>
      <c r="E100" s="17" t="s">
        <v>471</v>
      </c>
      <c r="F100" s="22"/>
      <c r="H100" s="20" t="s">
        <v>400</v>
      </c>
      <c r="I100" s="15" t="s">
        <v>401</v>
      </c>
      <c r="J100" s="15" t="s">
        <v>402</v>
      </c>
      <c r="K100" s="25"/>
      <c r="L100" s="2" t="s">
        <v>387</v>
      </c>
      <c r="M100" s="2" t="s">
        <v>387</v>
      </c>
      <c r="N100" s="1" t="str">
        <f t="shared" si="23"/>
        <v>FA</v>
      </c>
      <c r="O100" s="44">
        <f>IF(A100="FA",9,N100-1)</f>
        <v>9</v>
      </c>
    </row>
    <row r="101" spans="1:15" ht="15.75" thickBot="1">
      <c r="A101" s="7">
        <f>VLOOKUP(C101,'2020 Draft'!$C$2:$G$161,5,FALSE)</f>
        <v>1</v>
      </c>
      <c r="B101" s="7">
        <f>VLOOKUP(C101,'2020 Draft'!$C$2:$H$161,6,FALSE)</f>
        <v>1</v>
      </c>
      <c r="C101" s="4" t="s">
        <v>61</v>
      </c>
      <c r="D101" s="4" t="s">
        <v>10</v>
      </c>
      <c r="E101" s="17" t="s">
        <v>471</v>
      </c>
      <c r="F101" s="22"/>
      <c r="H101" s="20" t="s">
        <v>400</v>
      </c>
      <c r="I101" s="15" t="s">
        <v>401</v>
      </c>
      <c r="J101" s="15" t="s">
        <v>402</v>
      </c>
      <c r="K101" s="25"/>
      <c r="L101" s="2" t="s">
        <v>387</v>
      </c>
      <c r="M101" s="2" t="s">
        <v>387</v>
      </c>
      <c r="N101" s="1">
        <f t="shared" si="23"/>
        <v>1</v>
      </c>
      <c r="O101" s="44">
        <f t="shared" ref="O101:O107" si="25">IF(A101="FA",9,N101-1)</f>
        <v>0</v>
      </c>
    </row>
    <row r="102" spans="1:15" ht="15.75" thickBot="1">
      <c r="A102" s="7">
        <f>VLOOKUP(C102,'2020 Draft'!$C$3:$G$161,5,FALSE)</f>
        <v>60</v>
      </c>
      <c r="B102" s="7">
        <f>VLOOKUP(C102,'2020 Draft'!$C$2:$H$161,6,FALSE)</f>
        <v>6</v>
      </c>
      <c r="C102" s="4" t="s">
        <v>569</v>
      </c>
      <c r="D102" s="4" t="s">
        <v>2</v>
      </c>
      <c r="E102" s="17" t="s">
        <v>471</v>
      </c>
      <c r="F102" s="22"/>
      <c r="H102" s="20" t="s">
        <v>400</v>
      </c>
      <c r="I102" s="15" t="s">
        <v>401</v>
      </c>
      <c r="J102" s="15" t="s">
        <v>402</v>
      </c>
      <c r="K102" s="25"/>
      <c r="L102" s="2" t="s">
        <v>387</v>
      </c>
      <c r="M102" s="2" t="s">
        <v>387</v>
      </c>
      <c r="N102" s="1">
        <f t="shared" si="23"/>
        <v>6</v>
      </c>
      <c r="O102" s="44">
        <f t="shared" si="25"/>
        <v>5</v>
      </c>
    </row>
    <row r="103" spans="1:15" ht="15.75" thickBot="1">
      <c r="A103" s="7">
        <f>VLOOKUP(C103,'2020 Draft'!$C$3:$G$161,5,FALSE)</f>
        <v>81</v>
      </c>
      <c r="B103" s="7">
        <f>VLOOKUP(C103,'2020 Draft'!$C$2:$H$161,6,FALSE)</f>
        <v>9</v>
      </c>
      <c r="C103" s="4" t="s">
        <v>700</v>
      </c>
      <c r="D103" s="4" t="s">
        <v>2</v>
      </c>
      <c r="E103" s="17" t="s">
        <v>471</v>
      </c>
      <c r="F103" s="22"/>
      <c r="H103" s="20" t="s">
        <v>400</v>
      </c>
      <c r="I103" s="15" t="s">
        <v>401</v>
      </c>
      <c r="J103" s="15" t="s">
        <v>402</v>
      </c>
      <c r="K103" s="25"/>
      <c r="L103" s="2" t="s">
        <v>387</v>
      </c>
      <c r="M103" s="2" t="s">
        <v>387</v>
      </c>
      <c r="N103" s="1">
        <f t="shared" ref="N103:N107" si="26">B103</f>
        <v>9</v>
      </c>
      <c r="O103" s="44">
        <f t="shared" si="25"/>
        <v>8</v>
      </c>
    </row>
    <row r="104" spans="1:15" ht="15.75" thickBot="1">
      <c r="A104" s="7" t="s">
        <v>390</v>
      </c>
      <c r="B104" s="7" t="s">
        <v>390</v>
      </c>
      <c r="C104" s="4" t="s">
        <v>452</v>
      </c>
      <c r="D104" s="4" t="s">
        <v>10</v>
      </c>
      <c r="E104" s="17" t="s">
        <v>471</v>
      </c>
      <c r="F104" s="22"/>
      <c r="H104" s="20" t="s">
        <v>400</v>
      </c>
      <c r="I104" s="15" t="s">
        <v>401</v>
      </c>
      <c r="J104" s="15" t="s">
        <v>402</v>
      </c>
      <c r="K104" s="25"/>
      <c r="L104" s="2" t="s">
        <v>387</v>
      </c>
      <c r="M104" s="2" t="s">
        <v>387</v>
      </c>
      <c r="N104" s="1" t="str">
        <f t="shared" si="26"/>
        <v>FA</v>
      </c>
      <c r="O104" s="44">
        <f t="shared" si="25"/>
        <v>9</v>
      </c>
    </row>
    <row r="105" spans="1:15" ht="15.75" thickBot="1">
      <c r="A105" s="7" t="s">
        <v>390</v>
      </c>
      <c r="B105" s="7" t="s">
        <v>390</v>
      </c>
      <c r="C105" s="4" t="s">
        <v>103</v>
      </c>
      <c r="D105" s="4" t="s">
        <v>10</v>
      </c>
      <c r="E105" s="17" t="s">
        <v>471</v>
      </c>
      <c r="F105" s="22"/>
      <c r="H105" s="20" t="s">
        <v>400</v>
      </c>
      <c r="I105" s="15" t="s">
        <v>401</v>
      </c>
      <c r="J105" s="15" t="s">
        <v>402</v>
      </c>
      <c r="K105" s="25"/>
      <c r="L105" s="2" t="s">
        <v>387</v>
      </c>
      <c r="M105" s="2" t="s">
        <v>387</v>
      </c>
      <c r="N105" s="1" t="str">
        <f t="shared" si="26"/>
        <v>FA</v>
      </c>
      <c r="O105" s="44">
        <f t="shared" si="25"/>
        <v>9</v>
      </c>
    </row>
    <row r="106" spans="1:15" ht="15.75" thickBot="1">
      <c r="A106" s="7" t="s">
        <v>390</v>
      </c>
      <c r="B106" s="7" t="s">
        <v>390</v>
      </c>
      <c r="C106" s="4" t="s">
        <v>563</v>
      </c>
      <c r="D106" s="4" t="s">
        <v>10</v>
      </c>
      <c r="E106" s="17" t="s">
        <v>471</v>
      </c>
      <c r="F106" s="22"/>
      <c r="H106" s="20" t="s">
        <v>400</v>
      </c>
      <c r="I106" s="15" t="s">
        <v>401</v>
      </c>
      <c r="J106" s="15" t="s">
        <v>402</v>
      </c>
      <c r="K106" s="25"/>
      <c r="L106" s="2" t="s">
        <v>387</v>
      </c>
      <c r="M106" s="2" t="s">
        <v>387</v>
      </c>
      <c r="N106" s="1" t="str">
        <f t="shared" si="26"/>
        <v>FA</v>
      </c>
      <c r="O106" s="44">
        <f t="shared" si="25"/>
        <v>9</v>
      </c>
    </row>
    <row r="107" spans="1:15" ht="15.75" thickBot="1">
      <c r="A107" s="7" t="s">
        <v>390</v>
      </c>
      <c r="B107" s="7" t="s">
        <v>390</v>
      </c>
      <c r="C107" s="4" t="s">
        <v>113</v>
      </c>
      <c r="D107" s="4" t="s">
        <v>10</v>
      </c>
      <c r="E107" s="17" t="s">
        <v>471</v>
      </c>
      <c r="F107" s="22"/>
      <c r="H107" s="20" t="s">
        <v>400</v>
      </c>
      <c r="I107" s="15" t="s">
        <v>401</v>
      </c>
      <c r="J107" s="15" t="s">
        <v>402</v>
      </c>
      <c r="K107" s="25"/>
      <c r="L107" s="2" t="s">
        <v>387</v>
      </c>
      <c r="M107" s="2" t="s">
        <v>387</v>
      </c>
      <c r="N107" s="1" t="str">
        <f t="shared" si="26"/>
        <v>FA</v>
      </c>
      <c r="O107" s="44">
        <f t="shared" si="25"/>
        <v>9</v>
      </c>
    </row>
    <row r="108" spans="1:15" ht="15.75" thickBot="1">
      <c r="A108" s="14"/>
      <c r="B108" s="14"/>
      <c r="C108" s="14"/>
      <c r="D108" s="14"/>
      <c r="E108" s="18"/>
      <c r="F108" s="18"/>
      <c r="H108" s="18"/>
      <c r="I108" s="18"/>
      <c r="J108" s="18"/>
      <c r="K108" s="18"/>
      <c r="L108" s="18"/>
      <c r="M108" s="18"/>
      <c r="N108" s="18"/>
      <c r="O108" s="18"/>
    </row>
    <row r="109" spans="1:15" ht="15.75" thickBot="1">
      <c r="A109" s="7" t="s">
        <v>390</v>
      </c>
      <c r="B109" s="7" t="s">
        <v>390</v>
      </c>
      <c r="C109" s="4" t="s">
        <v>743</v>
      </c>
      <c r="D109" s="8" t="s">
        <v>5</v>
      </c>
      <c r="E109" s="17" t="s">
        <v>58</v>
      </c>
      <c r="F109" s="22"/>
      <c r="H109" s="20" t="s">
        <v>400</v>
      </c>
      <c r="I109" s="15" t="s">
        <v>401</v>
      </c>
      <c r="J109" s="15" t="s">
        <v>402</v>
      </c>
      <c r="K109" s="25"/>
      <c r="L109" s="2" t="s">
        <v>387</v>
      </c>
      <c r="M109" s="2" t="s">
        <v>387</v>
      </c>
      <c r="N109" s="1" t="str">
        <f t="shared" ref="N109:N119" si="27">B109</f>
        <v>FA</v>
      </c>
      <c r="O109" s="44">
        <f>IF(A109="FA",9,N109-1)</f>
        <v>9</v>
      </c>
    </row>
    <row r="110" spans="1:15" ht="15.75" thickBot="1">
      <c r="A110" s="7">
        <f>VLOOKUP(C110,'2020 Draft'!$C$3:$G$161,5,FALSE)</f>
        <v>7</v>
      </c>
      <c r="B110" s="7">
        <f>VLOOKUP(C110,'2020 Draft'!$C$2:$H$161,6,FALSE)</f>
        <v>1</v>
      </c>
      <c r="C110" s="4" t="s">
        <v>40</v>
      </c>
      <c r="D110" s="4" t="s">
        <v>10</v>
      </c>
      <c r="E110" s="17" t="s">
        <v>58</v>
      </c>
      <c r="F110" s="22"/>
      <c r="H110" s="20" t="s">
        <v>400</v>
      </c>
      <c r="I110" s="15" t="s">
        <v>401</v>
      </c>
      <c r="J110" s="15" t="s">
        <v>402</v>
      </c>
      <c r="K110" s="25"/>
      <c r="L110" s="2" t="s">
        <v>387</v>
      </c>
      <c r="M110" s="2" t="s">
        <v>387</v>
      </c>
      <c r="N110" s="1">
        <f t="shared" si="27"/>
        <v>1</v>
      </c>
      <c r="O110" s="44">
        <f>IF(A110="FA",9,N110-1)</f>
        <v>0</v>
      </c>
    </row>
    <row r="111" spans="1:15" ht="15.75" thickBot="1">
      <c r="A111" s="7">
        <f>VLOOKUP(C111,'2020 Draft'!$C$3:$G$161,5,FALSE)</f>
        <v>67</v>
      </c>
      <c r="B111" s="7">
        <f>VLOOKUP(C111,'2020 Draft'!$C$2:$H$161,6,FALSE)</f>
        <v>7</v>
      </c>
      <c r="C111" s="4" t="s">
        <v>454</v>
      </c>
      <c r="D111" s="4" t="s">
        <v>10</v>
      </c>
      <c r="E111" s="17" t="s">
        <v>58</v>
      </c>
      <c r="F111" s="22"/>
      <c r="H111" s="15" t="s">
        <v>401</v>
      </c>
      <c r="I111" s="15" t="s">
        <v>402</v>
      </c>
      <c r="J111" s="15" t="s">
        <v>387</v>
      </c>
      <c r="K111" s="25"/>
      <c r="L111" s="2" t="s">
        <v>387</v>
      </c>
      <c r="M111" s="2">
        <v>8</v>
      </c>
      <c r="N111" s="1">
        <f t="shared" si="27"/>
        <v>7</v>
      </c>
      <c r="O111" s="44">
        <f>IF(A111="FA",9,N111-1)</f>
        <v>6</v>
      </c>
    </row>
    <row r="112" spans="1:15" ht="15.75" thickBot="1">
      <c r="A112" s="7" t="s">
        <v>390</v>
      </c>
      <c r="B112" s="7" t="s">
        <v>390</v>
      </c>
      <c r="C112" s="4" t="s">
        <v>175</v>
      </c>
      <c r="D112" s="4" t="s">
        <v>2</v>
      </c>
      <c r="E112" s="17" t="s">
        <v>58</v>
      </c>
      <c r="F112" s="22"/>
      <c r="H112" s="20" t="s">
        <v>400</v>
      </c>
      <c r="I112" s="15" t="s">
        <v>401</v>
      </c>
      <c r="J112" s="15" t="s">
        <v>402</v>
      </c>
      <c r="K112" s="25"/>
      <c r="L112" s="2" t="s">
        <v>387</v>
      </c>
      <c r="M112" s="2" t="s">
        <v>387</v>
      </c>
      <c r="N112" s="1" t="str">
        <f t="shared" si="27"/>
        <v>FA</v>
      </c>
      <c r="O112" s="44">
        <f t="shared" ref="O112:O116" si="28">IF(A112="FA",9,N112-1)</f>
        <v>9</v>
      </c>
    </row>
    <row r="113" spans="1:15" ht="15.75" thickBot="1">
      <c r="A113" s="7" t="s">
        <v>390</v>
      </c>
      <c r="B113" s="7" t="s">
        <v>390</v>
      </c>
      <c r="C113" s="4" t="s">
        <v>620</v>
      </c>
      <c r="D113" s="4" t="s">
        <v>2</v>
      </c>
      <c r="E113" s="17" t="s">
        <v>58</v>
      </c>
      <c r="F113" s="22"/>
      <c r="H113" s="20" t="s">
        <v>400</v>
      </c>
      <c r="I113" s="15" t="s">
        <v>401</v>
      </c>
      <c r="J113" s="15" t="s">
        <v>402</v>
      </c>
      <c r="K113" s="25"/>
      <c r="L113" s="2" t="s">
        <v>387</v>
      </c>
      <c r="M113" s="2" t="s">
        <v>387</v>
      </c>
      <c r="N113" s="1" t="str">
        <f t="shared" si="27"/>
        <v>FA</v>
      </c>
      <c r="O113" s="44">
        <f t="shared" si="28"/>
        <v>9</v>
      </c>
    </row>
    <row r="114" spans="1:15" ht="15.75" thickBot="1">
      <c r="A114" s="7">
        <f>VLOOKUP(C114,'2020 Draft'!$C$3:$G$161,5,FALSE)</f>
        <v>134</v>
      </c>
      <c r="B114" s="7">
        <f>VLOOKUP(C114,'2020 Draft'!$C$2:$H$161,6,FALSE)</f>
        <v>14</v>
      </c>
      <c r="C114" s="4" t="s">
        <v>744</v>
      </c>
      <c r="D114" s="4" t="s">
        <v>27</v>
      </c>
      <c r="E114" s="17" t="s">
        <v>58</v>
      </c>
      <c r="F114" s="22"/>
      <c r="H114" s="20" t="s">
        <v>400</v>
      </c>
      <c r="I114" s="15" t="s">
        <v>401</v>
      </c>
      <c r="J114" s="15" t="s">
        <v>402</v>
      </c>
      <c r="K114" s="25"/>
      <c r="L114" s="2" t="s">
        <v>387</v>
      </c>
      <c r="M114" s="2" t="s">
        <v>387</v>
      </c>
      <c r="N114" s="1">
        <f t="shared" si="27"/>
        <v>14</v>
      </c>
      <c r="O114" s="44">
        <f t="shared" si="28"/>
        <v>13</v>
      </c>
    </row>
    <row r="115" spans="1:15" ht="15.75" thickBot="1">
      <c r="A115" s="7">
        <f>VLOOKUP(C115,'2020 Draft'!$C$3:$G$161,5,FALSE)</f>
        <v>27</v>
      </c>
      <c r="B115" s="7">
        <f>VLOOKUP(C115,'2020 Draft'!$C$2:$H$161,6,FALSE)</f>
        <v>3</v>
      </c>
      <c r="C115" s="4" t="s">
        <v>66</v>
      </c>
      <c r="D115" s="4" t="s">
        <v>10</v>
      </c>
      <c r="E115" s="17" t="s">
        <v>58</v>
      </c>
      <c r="F115" s="22"/>
      <c r="H115" s="15" t="s">
        <v>401</v>
      </c>
      <c r="I115" s="15" t="s">
        <v>402</v>
      </c>
      <c r="J115" s="15" t="s">
        <v>387</v>
      </c>
      <c r="K115" s="25"/>
      <c r="L115" s="2" t="s">
        <v>387</v>
      </c>
      <c r="M115" s="2">
        <v>4</v>
      </c>
      <c r="N115" s="1">
        <f t="shared" si="27"/>
        <v>3</v>
      </c>
      <c r="O115" s="44">
        <f t="shared" si="28"/>
        <v>2</v>
      </c>
    </row>
    <row r="116" spans="1:15" ht="15.75" thickBot="1">
      <c r="A116" s="7" t="s">
        <v>390</v>
      </c>
      <c r="B116" s="7" t="s">
        <v>390</v>
      </c>
      <c r="C116" s="4" t="s">
        <v>745</v>
      </c>
      <c r="D116" s="4" t="s">
        <v>10</v>
      </c>
      <c r="E116" s="17" t="s">
        <v>58</v>
      </c>
      <c r="F116" s="22"/>
      <c r="H116" s="20" t="s">
        <v>400</v>
      </c>
      <c r="I116" s="15" t="s">
        <v>401</v>
      </c>
      <c r="J116" s="15" t="s">
        <v>402</v>
      </c>
      <c r="K116" s="25"/>
      <c r="L116" s="2" t="s">
        <v>387</v>
      </c>
      <c r="M116" s="2" t="s">
        <v>387</v>
      </c>
      <c r="N116" s="1" t="str">
        <f t="shared" si="27"/>
        <v>FA</v>
      </c>
      <c r="O116" s="44">
        <f t="shared" si="28"/>
        <v>9</v>
      </c>
    </row>
    <row r="117" spans="1:15" ht="15.75" thickBot="1">
      <c r="A117" s="7" t="s">
        <v>390</v>
      </c>
      <c r="B117" s="7" t="s">
        <v>390</v>
      </c>
      <c r="C117" s="4" t="s">
        <v>456</v>
      </c>
      <c r="D117" s="4" t="s">
        <v>687</v>
      </c>
      <c r="E117" s="17" t="s">
        <v>58</v>
      </c>
      <c r="F117" s="22"/>
      <c r="H117" s="20" t="s">
        <v>400</v>
      </c>
      <c r="I117" s="15" t="s">
        <v>401</v>
      </c>
      <c r="J117" s="15" t="s">
        <v>402</v>
      </c>
      <c r="K117" s="25"/>
      <c r="L117" s="2" t="s">
        <v>387</v>
      </c>
      <c r="M117" s="2" t="s">
        <v>387</v>
      </c>
      <c r="N117" s="1" t="str">
        <f t="shared" si="27"/>
        <v>FA</v>
      </c>
      <c r="O117" s="44">
        <f>IF(A117="FA",9,N117-1)</f>
        <v>9</v>
      </c>
    </row>
    <row r="118" spans="1:15" ht="15.75" thickBot="1">
      <c r="A118" s="7">
        <f>VLOOKUP(C118,'2020 Draft'!$C$3:$G$161,5,FALSE)</f>
        <v>47</v>
      </c>
      <c r="B118" s="7">
        <f>VLOOKUP(C118,'2020 Draft'!$C$2:$H$161,6,FALSE)</f>
        <v>5</v>
      </c>
      <c r="C118" s="4" t="s">
        <v>45</v>
      </c>
      <c r="D118" s="4" t="s">
        <v>2</v>
      </c>
      <c r="E118" s="17" t="s">
        <v>58</v>
      </c>
      <c r="F118" s="22"/>
      <c r="H118" s="20" t="s">
        <v>400</v>
      </c>
      <c r="I118" s="15" t="s">
        <v>401</v>
      </c>
      <c r="J118" s="15" t="s">
        <v>402</v>
      </c>
      <c r="K118" s="25"/>
      <c r="L118" s="2" t="s">
        <v>387</v>
      </c>
      <c r="M118" s="2" t="s">
        <v>387</v>
      </c>
      <c r="N118" s="1">
        <f t="shared" si="27"/>
        <v>5</v>
      </c>
      <c r="O118" s="44">
        <f t="shared" ref="O118:O124" si="29">IF(A118="FA",9,N118-1)</f>
        <v>4</v>
      </c>
    </row>
    <row r="119" spans="1:15" ht="15.75" thickBot="1">
      <c r="A119" s="7">
        <f>VLOOKUP(C119,'2020 Draft'!$C$3:$G$161,5,FALSE)</f>
        <v>94</v>
      </c>
      <c r="B119" s="7">
        <f>VLOOKUP(C119,'2020 Draft'!$C$2:$H$161,6,FALSE)</f>
        <v>10</v>
      </c>
      <c r="C119" s="4" t="s">
        <v>612</v>
      </c>
      <c r="D119" s="4" t="s">
        <v>10</v>
      </c>
      <c r="E119" s="17" t="s">
        <v>58</v>
      </c>
      <c r="F119" s="22"/>
      <c r="H119" s="20" t="s">
        <v>400</v>
      </c>
      <c r="I119" s="15" t="s">
        <v>401</v>
      </c>
      <c r="J119" s="15" t="s">
        <v>402</v>
      </c>
      <c r="K119" s="25"/>
      <c r="L119" s="2" t="s">
        <v>387</v>
      </c>
      <c r="M119" s="2" t="s">
        <v>387</v>
      </c>
      <c r="N119" s="1">
        <f t="shared" si="27"/>
        <v>10</v>
      </c>
      <c r="O119" s="44">
        <f t="shared" si="29"/>
        <v>9</v>
      </c>
    </row>
    <row r="120" spans="1:15" ht="15.75" thickBot="1">
      <c r="A120" s="7" t="s">
        <v>390</v>
      </c>
      <c r="B120" s="7" t="s">
        <v>390</v>
      </c>
      <c r="C120" s="4" t="s">
        <v>193</v>
      </c>
      <c r="D120" s="4" t="s">
        <v>2</v>
      </c>
      <c r="E120" s="17" t="s">
        <v>58</v>
      </c>
      <c r="F120" s="22"/>
      <c r="H120" s="20" t="s">
        <v>400</v>
      </c>
      <c r="I120" s="15" t="s">
        <v>401</v>
      </c>
      <c r="J120" s="15" t="s">
        <v>402</v>
      </c>
      <c r="K120" s="25"/>
      <c r="L120" s="2" t="s">
        <v>387</v>
      </c>
      <c r="M120" s="2" t="s">
        <v>387</v>
      </c>
      <c r="N120" s="1" t="str">
        <f t="shared" ref="N120:N124" si="30">B120</f>
        <v>FA</v>
      </c>
      <c r="O120" s="44">
        <f t="shared" si="29"/>
        <v>9</v>
      </c>
    </row>
    <row r="121" spans="1:15" ht="15.75" thickBot="1">
      <c r="A121" s="7">
        <f>VLOOKUP(C121,'2020 Draft'!$C$3:$G$161,5,FALSE)</f>
        <v>88</v>
      </c>
      <c r="B121" s="7">
        <f>VLOOKUP(C121,'2020 Draft'!$C$2:$H$161,6,FALSE)</f>
        <v>9</v>
      </c>
      <c r="C121" s="4" t="s">
        <v>164</v>
      </c>
      <c r="D121" s="4" t="s">
        <v>10</v>
      </c>
      <c r="E121" s="17" t="s">
        <v>58</v>
      </c>
      <c r="F121" s="22"/>
      <c r="H121" s="20" t="s">
        <v>400</v>
      </c>
      <c r="I121" s="15" t="s">
        <v>401</v>
      </c>
      <c r="J121" s="15" t="s">
        <v>402</v>
      </c>
      <c r="K121" s="25"/>
      <c r="L121" s="2" t="s">
        <v>387</v>
      </c>
      <c r="M121" s="2" t="s">
        <v>387</v>
      </c>
      <c r="N121" s="1">
        <f t="shared" si="30"/>
        <v>9</v>
      </c>
      <c r="O121" s="44">
        <f t="shared" si="29"/>
        <v>8</v>
      </c>
    </row>
    <row r="122" spans="1:15" ht="15.75" thickBot="1">
      <c r="A122" s="7" t="s">
        <v>390</v>
      </c>
      <c r="B122" s="7" t="s">
        <v>390</v>
      </c>
      <c r="C122" s="4" t="s">
        <v>693</v>
      </c>
      <c r="D122" s="4" t="s">
        <v>10</v>
      </c>
      <c r="E122" s="17" t="s">
        <v>58</v>
      </c>
      <c r="F122" s="22"/>
      <c r="H122" s="20" t="s">
        <v>400</v>
      </c>
      <c r="I122" s="15" t="s">
        <v>401</v>
      </c>
      <c r="J122" s="15" t="s">
        <v>402</v>
      </c>
      <c r="K122" s="25"/>
      <c r="L122" s="2" t="s">
        <v>387</v>
      </c>
      <c r="M122" s="2" t="s">
        <v>387</v>
      </c>
      <c r="N122" s="1" t="str">
        <f t="shared" si="30"/>
        <v>FA</v>
      </c>
      <c r="O122" s="44">
        <f t="shared" si="29"/>
        <v>9</v>
      </c>
    </row>
    <row r="123" spans="1:15" ht="15.75" thickBot="1">
      <c r="A123" s="7" t="s">
        <v>390</v>
      </c>
      <c r="B123" s="7" t="s">
        <v>390</v>
      </c>
      <c r="C123" s="4" t="s">
        <v>746</v>
      </c>
      <c r="D123" s="4" t="s">
        <v>2</v>
      </c>
      <c r="E123" s="17" t="s">
        <v>58</v>
      </c>
      <c r="F123" s="22"/>
      <c r="H123" s="20" t="s">
        <v>400</v>
      </c>
      <c r="I123" s="15" t="s">
        <v>401</v>
      </c>
      <c r="J123" s="15" t="s">
        <v>402</v>
      </c>
      <c r="K123" s="25"/>
      <c r="L123" s="2" t="s">
        <v>387</v>
      </c>
      <c r="M123" s="2" t="s">
        <v>387</v>
      </c>
      <c r="N123" s="1" t="str">
        <f t="shared" si="30"/>
        <v>FA</v>
      </c>
      <c r="O123" s="44">
        <f t="shared" si="29"/>
        <v>9</v>
      </c>
    </row>
    <row r="124" spans="1:15" ht="15.75" thickBot="1">
      <c r="A124" s="7" t="s">
        <v>390</v>
      </c>
      <c r="B124" s="7" t="s">
        <v>390</v>
      </c>
      <c r="C124" s="4" t="s">
        <v>747</v>
      </c>
      <c r="D124" s="4" t="s">
        <v>2</v>
      </c>
      <c r="E124" s="17" t="s">
        <v>58</v>
      </c>
      <c r="F124" s="22"/>
      <c r="H124" s="20" t="s">
        <v>400</v>
      </c>
      <c r="I124" s="15" t="s">
        <v>401</v>
      </c>
      <c r="J124" s="15" t="s">
        <v>402</v>
      </c>
      <c r="K124" s="25"/>
      <c r="L124" s="2" t="s">
        <v>387</v>
      </c>
      <c r="M124" s="2" t="s">
        <v>387</v>
      </c>
      <c r="N124" s="1" t="str">
        <f t="shared" si="30"/>
        <v>FA</v>
      </c>
      <c r="O124" s="44">
        <f t="shared" si="29"/>
        <v>9</v>
      </c>
    </row>
    <row r="125" spans="1:15" ht="15.75" thickBot="1">
      <c r="A125" s="14"/>
      <c r="B125" s="14"/>
      <c r="C125" s="14"/>
      <c r="D125" s="14"/>
      <c r="E125" s="18"/>
      <c r="F125" s="18"/>
      <c r="H125" s="18"/>
      <c r="I125" s="18"/>
      <c r="J125" s="18"/>
      <c r="K125" s="18"/>
      <c r="L125" s="18"/>
      <c r="M125" s="18"/>
      <c r="N125" s="18"/>
      <c r="O125" s="18"/>
    </row>
    <row r="126" spans="1:15" ht="15.75" thickBot="1">
      <c r="A126" s="7" t="s">
        <v>390</v>
      </c>
      <c r="B126" s="7" t="s">
        <v>390</v>
      </c>
      <c r="C126" s="4" t="s">
        <v>633</v>
      </c>
      <c r="D126" s="8" t="s">
        <v>5</v>
      </c>
      <c r="E126" s="17" t="s">
        <v>97</v>
      </c>
      <c r="F126" s="22"/>
      <c r="H126" s="20" t="s">
        <v>400</v>
      </c>
      <c r="I126" s="15" t="s">
        <v>401</v>
      </c>
      <c r="J126" s="15" t="s">
        <v>402</v>
      </c>
      <c r="K126" s="25"/>
      <c r="L126" s="2" t="s">
        <v>387</v>
      </c>
      <c r="M126" s="2" t="s">
        <v>387</v>
      </c>
      <c r="N126" s="1" t="str">
        <f t="shared" ref="N126:N136" si="31">B126</f>
        <v>FA</v>
      </c>
      <c r="O126" s="44">
        <f>IF(A126="FA",9,N126-1)</f>
        <v>9</v>
      </c>
    </row>
    <row r="127" spans="1:15" ht="15.75" thickBot="1">
      <c r="A127" s="7">
        <f>VLOOKUP(C127,'2020 Draft'!$C$3:$G$161,5,FALSE)</f>
        <v>15</v>
      </c>
      <c r="B127" s="7">
        <f>VLOOKUP(C127,'2020 Draft'!$C$2:$H$161,6,FALSE)</f>
        <v>2</v>
      </c>
      <c r="C127" s="4" t="s">
        <v>433</v>
      </c>
      <c r="D127" s="4" t="s">
        <v>10</v>
      </c>
      <c r="E127" s="17" t="s">
        <v>97</v>
      </c>
      <c r="F127" s="22"/>
      <c r="H127" s="20" t="s">
        <v>400</v>
      </c>
      <c r="I127" s="15" t="s">
        <v>401</v>
      </c>
      <c r="J127" s="15" t="s">
        <v>402</v>
      </c>
      <c r="K127" s="25"/>
      <c r="L127" s="2" t="s">
        <v>387</v>
      </c>
      <c r="M127" s="2" t="s">
        <v>387</v>
      </c>
      <c r="N127" s="1">
        <f t="shared" si="31"/>
        <v>2</v>
      </c>
      <c r="O127" s="44">
        <f>IF(A127="FA",9,N127-1)</f>
        <v>1</v>
      </c>
    </row>
    <row r="128" spans="1:15" ht="15.75" thickBot="1">
      <c r="A128" s="7">
        <f>VLOOKUP(C128,'2020 Draft'!$C$3:$G$161,5,FALSE)</f>
        <v>35</v>
      </c>
      <c r="B128" s="7">
        <f>VLOOKUP(C128,'2020 Draft'!$C$2:$H$161,6,FALSE)</f>
        <v>4</v>
      </c>
      <c r="C128" s="4" t="s">
        <v>694</v>
      </c>
      <c r="D128" s="4" t="s">
        <v>10</v>
      </c>
      <c r="E128" s="17" t="s">
        <v>97</v>
      </c>
      <c r="F128" s="22"/>
      <c r="H128" s="20" t="s">
        <v>400</v>
      </c>
      <c r="I128" s="15" t="s">
        <v>401</v>
      </c>
      <c r="J128" s="15" t="s">
        <v>402</v>
      </c>
      <c r="K128" s="25"/>
      <c r="L128" s="2" t="s">
        <v>387</v>
      </c>
      <c r="M128" s="2" t="s">
        <v>387</v>
      </c>
      <c r="N128" s="1">
        <f t="shared" si="31"/>
        <v>4</v>
      </c>
      <c r="O128" s="44">
        <f>IF(A128="FA",9,N128-1)</f>
        <v>3</v>
      </c>
    </row>
    <row r="129" spans="1:15" ht="15.75" thickBot="1">
      <c r="A129" s="7">
        <f>VLOOKUP(C129,'2020 Draft'!$C$3:$G$161,5,FALSE)</f>
        <v>6</v>
      </c>
      <c r="B129" s="7">
        <f>VLOOKUP(C129,'2020 Draft'!$C$2:$H$161,6,FALSE)</f>
        <v>1</v>
      </c>
      <c r="C129" s="4" t="s">
        <v>748</v>
      </c>
      <c r="D129" s="4" t="s">
        <v>2</v>
      </c>
      <c r="E129" s="17" t="s">
        <v>97</v>
      </c>
      <c r="F129" s="22"/>
      <c r="H129" s="20" t="s">
        <v>400</v>
      </c>
      <c r="I129" s="15" t="s">
        <v>401</v>
      </c>
      <c r="J129" s="15" t="s">
        <v>402</v>
      </c>
      <c r="K129" s="25"/>
      <c r="L129" s="2" t="s">
        <v>387</v>
      </c>
      <c r="M129" s="2" t="s">
        <v>387</v>
      </c>
      <c r="N129" s="1">
        <f t="shared" si="31"/>
        <v>1</v>
      </c>
      <c r="O129" s="44">
        <f t="shared" ref="O129:O133" si="32">IF(A129="FA",9,N129-1)</f>
        <v>0</v>
      </c>
    </row>
    <row r="130" spans="1:15" ht="15.75" thickBot="1">
      <c r="A130" s="7">
        <f>VLOOKUP(C130,'2020 Draft'!$C$3:$G$161,5,FALSE)</f>
        <v>102</v>
      </c>
      <c r="B130" s="7">
        <f>VLOOKUP(C130,'2020 Draft'!$C$2:$H$161,6,FALSE)</f>
        <v>11</v>
      </c>
      <c r="C130" s="4" t="s">
        <v>504</v>
      </c>
      <c r="D130" s="4" t="s">
        <v>2</v>
      </c>
      <c r="E130" s="17" t="s">
        <v>97</v>
      </c>
      <c r="F130" s="22"/>
      <c r="H130" s="20" t="s">
        <v>400</v>
      </c>
      <c r="I130" s="15" t="s">
        <v>401</v>
      </c>
      <c r="J130" s="15" t="s">
        <v>402</v>
      </c>
      <c r="K130" s="25"/>
      <c r="L130" s="2">
        <v>13</v>
      </c>
      <c r="M130" s="2">
        <v>12</v>
      </c>
      <c r="N130" s="1">
        <f t="shared" si="31"/>
        <v>11</v>
      </c>
      <c r="O130" s="44">
        <f t="shared" si="32"/>
        <v>10</v>
      </c>
    </row>
    <row r="131" spans="1:15" ht="15.75" thickBot="1">
      <c r="A131" s="7">
        <f>VLOOKUP(C131,'2020 Draft'!$C$3:$G$161,5,FALSE)</f>
        <v>115</v>
      </c>
      <c r="B131" s="7">
        <f>VLOOKUP(C131,'2020 Draft'!$C$2:$H$161,6,FALSE)</f>
        <v>12</v>
      </c>
      <c r="C131" s="4" t="s">
        <v>708</v>
      </c>
      <c r="D131" s="4" t="s">
        <v>27</v>
      </c>
      <c r="E131" s="17" t="s">
        <v>97</v>
      </c>
      <c r="F131" s="22"/>
      <c r="H131" s="20" t="s">
        <v>400</v>
      </c>
      <c r="I131" s="15" t="s">
        <v>401</v>
      </c>
      <c r="J131" s="15" t="s">
        <v>402</v>
      </c>
      <c r="K131" s="25"/>
      <c r="L131" s="2" t="s">
        <v>387</v>
      </c>
      <c r="M131" s="2" t="s">
        <v>387</v>
      </c>
      <c r="N131" s="1">
        <f t="shared" si="31"/>
        <v>12</v>
      </c>
      <c r="O131" s="44">
        <f t="shared" si="32"/>
        <v>11</v>
      </c>
    </row>
    <row r="132" spans="1:15" ht="15.75" thickBot="1">
      <c r="A132" s="7">
        <f>VLOOKUP(C132,'2020 Draft'!$C$3:$G$161,5,FALSE)</f>
        <v>55</v>
      </c>
      <c r="B132" s="7">
        <f>VLOOKUP(C132,'2020 Draft'!$C$2:$H$161,6,FALSE)</f>
        <v>6</v>
      </c>
      <c r="C132" s="4" t="s">
        <v>621</v>
      </c>
      <c r="D132" s="4" t="s">
        <v>2</v>
      </c>
      <c r="E132" s="17" t="s">
        <v>97</v>
      </c>
      <c r="F132" s="22"/>
      <c r="H132" s="20" t="s">
        <v>400</v>
      </c>
      <c r="I132" s="15" t="s">
        <v>401</v>
      </c>
      <c r="J132" s="15" t="s">
        <v>402</v>
      </c>
      <c r="K132" s="25"/>
      <c r="L132" s="2" t="s">
        <v>387</v>
      </c>
      <c r="M132" s="2" t="s">
        <v>387</v>
      </c>
      <c r="N132" s="1">
        <f t="shared" si="31"/>
        <v>6</v>
      </c>
      <c r="O132" s="44">
        <f t="shared" si="32"/>
        <v>5</v>
      </c>
    </row>
    <row r="133" spans="1:15" ht="15.75" thickBot="1">
      <c r="A133" s="7">
        <f>VLOOKUP(C133,'2020 Draft'!$C$3:$G$161,5,FALSE)</f>
        <v>66</v>
      </c>
      <c r="B133" s="7">
        <f>VLOOKUP(C133,'2020 Draft'!$C$2:$H$161,6,FALSE)</f>
        <v>7</v>
      </c>
      <c r="C133" s="4" t="s">
        <v>425</v>
      </c>
      <c r="D133" s="4" t="s">
        <v>2</v>
      </c>
      <c r="E133" s="17" t="s">
        <v>97</v>
      </c>
      <c r="F133" s="22"/>
      <c r="H133" s="20" t="s">
        <v>401</v>
      </c>
      <c r="I133" s="15" t="s">
        <v>402</v>
      </c>
      <c r="J133" s="15" t="s">
        <v>387</v>
      </c>
      <c r="K133" s="25"/>
      <c r="L133" s="2" t="s">
        <v>387</v>
      </c>
      <c r="M133" s="2">
        <v>8</v>
      </c>
      <c r="N133" s="1">
        <f t="shared" si="31"/>
        <v>7</v>
      </c>
      <c r="O133" s="44">
        <f t="shared" si="32"/>
        <v>6</v>
      </c>
    </row>
    <row r="134" spans="1:15" ht="15.75" thickBot="1">
      <c r="A134" s="7" t="s">
        <v>390</v>
      </c>
      <c r="B134" s="7" t="s">
        <v>390</v>
      </c>
      <c r="C134" s="4" t="s">
        <v>749</v>
      </c>
      <c r="D134" s="4" t="s">
        <v>687</v>
      </c>
      <c r="E134" s="17" t="s">
        <v>97</v>
      </c>
      <c r="F134" s="22"/>
      <c r="H134" s="20" t="s">
        <v>400</v>
      </c>
      <c r="I134" s="15" t="s">
        <v>401</v>
      </c>
      <c r="J134" s="15" t="s">
        <v>402</v>
      </c>
      <c r="K134" s="25"/>
      <c r="L134" s="2" t="s">
        <v>387</v>
      </c>
      <c r="M134" s="2" t="s">
        <v>387</v>
      </c>
      <c r="N134" s="1" t="str">
        <f t="shared" si="31"/>
        <v>FA</v>
      </c>
      <c r="O134" s="44">
        <f>IF(A134="FA",9,N134-1)</f>
        <v>9</v>
      </c>
    </row>
    <row r="135" spans="1:15" ht="15.75" thickBot="1">
      <c r="A135" s="7">
        <f>VLOOKUP(C135,'2020 Draft'!$C$3:$G$161,5,FALSE)</f>
        <v>26</v>
      </c>
      <c r="B135" s="7">
        <f>VLOOKUP(C135,'2020 Draft'!$C$2:$H$161,6,FALSE)</f>
        <v>3</v>
      </c>
      <c r="C135" s="4" t="s">
        <v>616</v>
      </c>
      <c r="D135" s="4" t="s">
        <v>2</v>
      </c>
      <c r="E135" s="17" t="s">
        <v>97</v>
      </c>
      <c r="F135" s="22"/>
      <c r="H135" s="20" t="s">
        <v>400</v>
      </c>
      <c r="I135" s="15" t="s">
        <v>401</v>
      </c>
      <c r="J135" s="15" t="s">
        <v>402</v>
      </c>
      <c r="K135" s="25"/>
      <c r="L135" s="2" t="s">
        <v>387</v>
      </c>
      <c r="M135" s="2" t="s">
        <v>387</v>
      </c>
      <c r="N135" s="1">
        <f t="shared" si="31"/>
        <v>3</v>
      </c>
      <c r="O135" s="44">
        <f t="shared" ref="O135:O141" si="33">IF(A135="FA",9,N135-1)</f>
        <v>2</v>
      </c>
    </row>
    <row r="136" spans="1:15" ht="15.75" thickBot="1">
      <c r="A136" s="7" t="s">
        <v>390</v>
      </c>
      <c r="B136" s="7" t="s">
        <v>390</v>
      </c>
      <c r="C136" s="4" t="s">
        <v>546</v>
      </c>
      <c r="D136" s="4" t="s">
        <v>10</v>
      </c>
      <c r="E136" s="17" t="s">
        <v>97</v>
      </c>
      <c r="F136" s="22"/>
      <c r="H136" s="20" t="s">
        <v>400</v>
      </c>
      <c r="I136" s="15" t="s">
        <v>401</v>
      </c>
      <c r="J136" s="15" t="s">
        <v>402</v>
      </c>
      <c r="K136" s="25"/>
      <c r="L136" s="2" t="s">
        <v>387</v>
      </c>
      <c r="M136" s="2" t="s">
        <v>387</v>
      </c>
      <c r="N136" s="1" t="str">
        <f t="shared" si="31"/>
        <v>FA</v>
      </c>
      <c r="O136" s="44">
        <f t="shared" si="33"/>
        <v>9</v>
      </c>
    </row>
    <row r="137" spans="1:15" ht="15.75" thickBot="1">
      <c r="A137" s="7" t="s">
        <v>390</v>
      </c>
      <c r="B137" s="7" t="s">
        <v>390</v>
      </c>
      <c r="C137" s="4" t="s">
        <v>51</v>
      </c>
      <c r="D137" s="4" t="s">
        <v>10</v>
      </c>
      <c r="E137" s="17" t="s">
        <v>97</v>
      </c>
      <c r="F137" s="22"/>
      <c r="H137" s="20" t="s">
        <v>400</v>
      </c>
      <c r="I137" s="15" t="s">
        <v>401</v>
      </c>
      <c r="J137" s="15" t="s">
        <v>402</v>
      </c>
      <c r="K137" s="25"/>
      <c r="L137" s="2" t="s">
        <v>387</v>
      </c>
      <c r="M137" s="2" t="s">
        <v>387</v>
      </c>
      <c r="N137" s="1" t="str">
        <f t="shared" ref="N137:N141" si="34">B137</f>
        <v>FA</v>
      </c>
      <c r="O137" s="44">
        <f t="shared" si="33"/>
        <v>9</v>
      </c>
    </row>
    <row r="138" spans="1:15" ht="15.75" thickBot="1">
      <c r="A138" s="7" t="s">
        <v>390</v>
      </c>
      <c r="B138" s="7" t="s">
        <v>390</v>
      </c>
      <c r="C138" s="4" t="s">
        <v>554</v>
      </c>
      <c r="D138" s="4" t="s">
        <v>2</v>
      </c>
      <c r="E138" s="17" t="s">
        <v>97</v>
      </c>
      <c r="F138" s="22"/>
      <c r="H138" s="20" t="s">
        <v>400</v>
      </c>
      <c r="I138" s="15" t="s">
        <v>401</v>
      </c>
      <c r="J138" s="15" t="s">
        <v>402</v>
      </c>
      <c r="K138" s="25"/>
      <c r="L138" s="2" t="s">
        <v>387</v>
      </c>
      <c r="M138" s="2" t="s">
        <v>387</v>
      </c>
      <c r="N138" s="1" t="str">
        <f t="shared" si="34"/>
        <v>FA</v>
      </c>
      <c r="O138" s="44">
        <f t="shared" si="33"/>
        <v>9</v>
      </c>
    </row>
    <row r="139" spans="1:15" ht="15.75" thickBot="1">
      <c r="A139" s="7" t="s">
        <v>390</v>
      </c>
      <c r="B139" s="7" t="s">
        <v>390</v>
      </c>
      <c r="C139" s="4" t="s">
        <v>750</v>
      </c>
      <c r="D139" s="4" t="s">
        <v>10</v>
      </c>
      <c r="E139" s="17" t="s">
        <v>97</v>
      </c>
      <c r="F139" s="22"/>
      <c r="H139" s="20" t="s">
        <v>400</v>
      </c>
      <c r="I139" s="15" t="s">
        <v>401</v>
      </c>
      <c r="J139" s="15" t="s">
        <v>402</v>
      </c>
      <c r="K139" s="25"/>
      <c r="L139" s="2" t="s">
        <v>387</v>
      </c>
      <c r="M139" s="2" t="s">
        <v>387</v>
      </c>
      <c r="N139" s="1" t="str">
        <f t="shared" si="34"/>
        <v>FA</v>
      </c>
      <c r="O139" s="44">
        <f t="shared" si="33"/>
        <v>9</v>
      </c>
    </row>
    <row r="140" spans="1:15" ht="15.75" thickBot="1">
      <c r="A140" s="7" t="s">
        <v>390</v>
      </c>
      <c r="B140" s="7" t="s">
        <v>390</v>
      </c>
      <c r="C140" s="4" t="s">
        <v>495</v>
      </c>
      <c r="D140" s="4" t="s">
        <v>2</v>
      </c>
      <c r="E140" s="17" t="s">
        <v>97</v>
      </c>
      <c r="F140" s="22"/>
      <c r="H140" s="20" t="s">
        <v>400</v>
      </c>
      <c r="I140" s="15" t="s">
        <v>401</v>
      </c>
      <c r="J140" s="15" t="s">
        <v>402</v>
      </c>
      <c r="K140" s="25"/>
      <c r="L140" s="2" t="s">
        <v>387</v>
      </c>
      <c r="M140" s="2" t="s">
        <v>387</v>
      </c>
      <c r="N140" s="1" t="str">
        <f t="shared" si="34"/>
        <v>FA</v>
      </c>
      <c r="O140" s="44">
        <f t="shared" si="33"/>
        <v>9</v>
      </c>
    </row>
    <row r="141" spans="1:15" ht="15.75" thickBot="1">
      <c r="A141" s="7" t="s">
        <v>390</v>
      </c>
      <c r="B141" s="7" t="s">
        <v>390</v>
      </c>
      <c r="C141" s="4" t="s">
        <v>751</v>
      </c>
      <c r="D141" s="4" t="s">
        <v>10</v>
      </c>
      <c r="E141" s="17" t="s">
        <v>97</v>
      </c>
      <c r="F141" s="22"/>
      <c r="H141" s="20" t="s">
        <v>400</v>
      </c>
      <c r="I141" s="15" t="s">
        <v>401</v>
      </c>
      <c r="J141" s="15" t="s">
        <v>402</v>
      </c>
      <c r="K141" s="25"/>
      <c r="L141" s="2" t="s">
        <v>387</v>
      </c>
      <c r="M141" s="2" t="s">
        <v>387</v>
      </c>
      <c r="N141" s="1" t="str">
        <f t="shared" si="34"/>
        <v>FA</v>
      </c>
      <c r="O141" s="44">
        <f t="shared" si="33"/>
        <v>9</v>
      </c>
    </row>
    <row r="142" spans="1:15" ht="15.75" thickBot="1">
      <c r="A142" s="7" t="s">
        <v>390</v>
      </c>
      <c r="B142" s="7" t="s">
        <v>390</v>
      </c>
      <c r="C142" s="4" t="s">
        <v>542</v>
      </c>
      <c r="D142" s="4" t="s">
        <v>10</v>
      </c>
      <c r="E142" s="17" t="s">
        <v>97</v>
      </c>
      <c r="F142" s="22"/>
      <c r="H142" s="20" t="s">
        <v>400</v>
      </c>
      <c r="I142" s="15" t="s">
        <v>401</v>
      </c>
      <c r="J142" s="15" t="s">
        <v>402</v>
      </c>
      <c r="K142" s="25"/>
      <c r="L142" s="2" t="s">
        <v>387</v>
      </c>
      <c r="M142" s="2" t="s">
        <v>387</v>
      </c>
      <c r="N142" s="1" t="str">
        <f t="shared" ref="N142" si="35">B142</f>
        <v>FA</v>
      </c>
      <c r="O142" s="44">
        <f t="shared" ref="O142" si="36">IF(A142="FA",9,N142-1)</f>
        <v>9</v>
      </c>
    </row>
    <row r="143" spans="1:15" ht="15.75" thickBot="1">
      <c r="A143" s="14"/>
      <c r="B143" s="14"/>
      <c r="C143" s="14"/>
      <c r="D143" s="14"/>
      <c r="E143" s="18"/>
      <c r="F143" s="18"/>
      <c r="H143" s="18"/>
      <c r="I143" s="18"/>
      <c r="J143" s="18"/>
      <c r="K143" s="18"/>
      <c r="L143" s="18"/>
      <c r="M143" s="18"/>
      <c r="N143" s="18"/>
      <c r="O143" s="18"/>
    </row>
    <row r="144" spans="1:15" ht="15.75" thickBot="1">
      <c r="A144" s="7">
        <f>VLOOKUP(C144,'2020 Draft'!$C$3:$G$161,5,FALSE)</f>
        <v>64</v>
      </c>
      <c r="B144" s="7">
        <f>VLOOKUP(C144,'2020 Draft'!$C$2:$H$161,6,FALSE)</f>
        <v>7</v>
      </c>
      <c r="C144" s="4" t="s">
        <v>172</v>
      </c>
      <c r="D144" s="8" t="s">
        <v>5</v>
      </c>
      <c r="E144" s="17" t="s">
        <v>181</v>
      </c>
      <c r="F144" s="22"/>
      <c r="H144" s="20" t="s">
        <v>400</v>
      </c>
      <c r="I144" s="15" t="s">
        <v>401</v>
      </c>
      <c r="J144" s="15" t="s">
        <v>402</v>
      </c>
      <c r="K144" s="25"/>
      <c r="L144" s="2" t="s">
        <v>387</v>
      </c>
      <c r="M144" s="2" t="s">
        <v>387</v>
      </c>
      <c r="N144" s="1">
        <f t="shared" ref="N144:N154" si="37">B144</f>
        <v>7</v>
      </c>
      <c r="O144" s="44">
        <f>IF(A144="FA",9,N144-1)</f>
        <v>6</v>
      </c>
    </row>
    <row r="145" spans="1:15" ht="15.75" thickBot="1">
      <c r="A145" s="7">
        <f>VLOOKUP(C145,'2020 Draft'!$C$3:$G$161,5,FALSE)</f>
        <v>57</v>
      </c>
      <c r="B145" s="7">
        <f>VLOOKUP(C145,'2020 Draft'!$C$2:$H$161,6,FALSE)</f>
        <v>6</v>
      </c>
      <c r="C145" s="4" t="s">
        <v>62</v>
      </c>
      <c r="D145" s="4" t="s">
        <v>10</v>
      </c>
      <c r="E145" s="17" t="s">
        <v>181</v>
      </c>
      <c r="F145" s="22"/>
      <c r="H145" s="20" t="s">
        <v>400</v>
      </c>
      <c r="I145" s="15" t="s">
        <v>401</v>
      </c>
      <c r="J145" s="15" t="s">
        <v>402</v>
      </c>
      <c r="K145" s="25"/>
      <c r="L145" s="2" t="s">
        <v>387</v>
      </c>
      <c r="M145" s="2" t="s">
        <v>387</v>
      </c>
      <c r="N145" s="1">
        <f t="shared" si="37"/>
        <v>6</v>
      </c>
      <c r="O145" s="44">
        <f>IF(A145="FA",9,N145-1)</f>
        <v>5</v>
      </c>
    </row>
    <row r="146" spans="1:15" ht="15.75" thickBot="1">
      <c r="A146" s="7">
        <f>VLOOKUP(C146,'2020 Draft'!$C$3:$G$161,5,FALSE)</f>
        <v>116</v>
      </c>
      <c r="B146" s="7">
        <f>VLOOKUP(C146,'2020 Draft'!$C$2:$H$161,6,FALSE)</f>
        <v>12</v>
      </c>
      <c r="C146" s="4" t="s">
        <v>510</v>
      </c>
      <c r="D146" s="4" t="s">
        <v>10</v>
      </c>
      <c r="E146" s="17" t="s">
        <v>181</v>
      </c>
      <c r="F146" s="22"/>
      <c r="H146" s="20" t="s">
        <v>400</v>
      </c>
      <c r="I146" s="15" t="s">
        <v>401</v>
      </c>
      <c r="J146" s="15" t="s">
        <v>402</v>
      </c>
      <c r="K146" s="25"/>
      <c r="L146" s="2" t="s">
        <v>387</v>
      </c>
      <c r="M146" s="2">
        <v>13</v>
      </c>
      <c r="N146" s="1">
        <f t="shared" si="37"/>
        <v>12</v>
      </c>
      <c r="O146" s="44">
        <f>IF(A146="FA",9,N146-1)</f>
        <v>11</v>
      </c>
    </row>
    <row r="147" spans="1:15" ht="15.75" thickBot="1">
      <c r="A147" s="7">
        <f>VLOOKUP(C147,'2020 Draft'!$C$3:$G$161,5,FALSE)</f>
        <v>37</v>
      </c>
      <c r="B147" s="7">
        <f>VLOOKUP(C147,'2020 Draft'!$C$2:$H$161,6,FALSE)</f>
        <v>4</v>
      </c>
      <c r="C147" s="4" t="s">
        <v>16</v>
      </c>
      <c r="D147" s="4" t="s">
        <v>2</v>
      </c>
      <c r="E147" s="17" t="s">
        <v>181</v>
      </c>
      <c r="F147" s="22"/>
      <c r="H147" s="15" t="s">
        <v>402</v>
      </c>
      <c r="I147" s="15" t="s">
        <v>387</v>
      </c>
      <c r="J147" s="15" t="s">
        <v>387</v>
      </c>
      <c r="K147" s="25"/>
      <c r="L147" s="2">
        <v>6</v>
      </c>
      <c r="M147" s="2">
        <v>5</v>
      </c>
      <c r="N147" s="1">
        <f t="shared" si="37"/>
        <v>4</v>
      </c>
      <c r="O147" s="44" t="s">
        <v>387</v>
      </c>
    </row>
    <row r="148" spans="1:15" ht="15.75" thickBot="1">
      <c r="A148" s="7">
        <f>VLOOKUP(C148,'2020 Draft'!$C$3:$G$161,5,FALSE)</f>
        <v>44</v>
      </c>
      <c r="B148" s="7">
        <f>VLOOKUP(C148,'2020 Draft'!$C$2:$H$161,6,FALSE)</f>
        <v>5</v>
      </c>
      <c r="C148" s="4" t="s">
        <v>80</v>
      </c>
      <c r="D148" s="4" t="s">
        <v>2</v>
      </c>
      <c r="E148" s="17" t="s">
        <v>181</v>
      </c>
      <c r="F148" s="22"/>
      <c r="H148" s="20" t="s">
        <v>400</v>
      </c>
      <c r="I148" s="15" t="s">
        <v>401</v>
      </c>
      <c r="J148" s="15" t="s">
        <v>402</v>
      </c>
      <c r="K148" s="25"/>
      <c r="L148" s="2" t="s">
        <v>387</v>
      </c>
      <c r="M148" s="2" t="s">
        <v>387</v>
      </c>
      <c r="N148" s="1">
        <f t="shared" si="37"/>
        <v>5</v>
      </c>
      <c r="O148" s="44">
        <f t="shared" ref="O148:O151" si="38">IF(A148="FA",9,N148-1)</f>
        <v>4</v>
      </c>
    </row>
    <row r="149" spans="1:15" ht="15.75" thickBot="1">
      <c r="A149" s="7">
        <f>VLOOKUP(C149,'2020 Draft'!$C$3:$G$161,5,FALSE)</f>
        <v>24</v>
      </c>
      <c r="B149" s="7">
        <f>VLOOKUP(C149,'2020 Draft'!$C$2:$H$161,6,FALSE)</f>
        <v>3</v>
      </c>
      <c r="C149" s="4" t="s">
        <v>635</v>
      </c>
      <c r="D149" s="4" t="s">
        <v>27</v>
      </c>
      <c r="E149" s="17" t="s">
        <v>181</v>
      </c>
      <c r="F149" s="22"/>
      <c r="H149" s="20" t="s">
        <v>400</v>
      </c>
      <c r="I149" s="15" t="s">
        <v>401</v>
      </c>
      <c r="J149" s="15" t="s">
        <v>402</v>
      </c>
      <c r="K149" s="25"/>
      <c r="L149" s="2" t="s">
        <v>387</v>
      </c>
      <c r="M149" s="2" t="s">
        <v>387</v>
      </c>
      <c r="N149" s="1">
        <f t="shared" si="37"/>
        <v>3</v>
      </c>
      <c r="O149" s="44">
        <f t="shared" si="38"/>
        <v>2</v>
      </c>
    </row>
    <row r="150" spans="1:15" ht="15.75" thickBot="1">
      <c r="A150" s="7" t="s">
        <v>390</v>
      </c>
      <c r="B150" s="7" t="s">
        <v>390</v>
      </c>
      <c r="C150" s="4" t="s">
        <v>631</v>
      </c>
      <c r="D150" s="4" t="s">
        <v>2</v>
      </c>
      <c r="E150" s="17" t="s">
        <v>181</v>
      </c>
      <c r="F150" s="22"/>
      <c r="H150" s="20" t="s">
        <v>400</v>
      </c>
      <c r="I150" s="15" t="s">
        <v>401</v>
      </c>
      <c r="J150" s="15" t="s">
        <v>402</v>
      </c>
      <c r="K150" s="25"/>
      <c r="L150" s="2" t="s">
        <v>387</v>
      </c>
      <c r="M150" s="2" t="s">
        <v>387</v>
      </c>
      <c r="N150" s="1" t="str">
        <f t="shared" si="37"/>
        <v>FA</v>
      </c>
      <c r="O150" s="44">
        <f t="shared" si="38"/>
        <v>9</v>
      </c>
    </row>
    <row r="151" spans="1:15" ht="15.75" thickBot="1">
      <c r="A151" s="7" t="s">
        <v>390</v>
      </c>
      <c r="B151" s="7" t="s">
        <v>390</v>
      </c>
      <c r="C151" s="4" t="s">
        <v>52</v>
      </c>
      <c r="D151" s="4" t="s">
        <v>2</v>
      </c>
      <c r="E151" s="17" t="s">
        <v>181</v>
      </c>
      <c r="F151" s="22"/>
      <c r="H151" s="20" t="s">
        <v>400</v>
      </c>
      <c r="I151" s="15" t="s">
        <v>401</v>
      </c>
      <c r="J151" s="15" t="s">
        <v>402</v>
      </c>
      <c r="K151" s="25"/>
      <c r="L151" s="2" t="s">
        <v>387</v>
      </c>
      <c r="M151" s="2" t="s">
        <v>387</v>
      </c>
      <c r="N151" s="1" t="str">
        <f t="shared" si="37"/>
        <v>FA</v>
      </c>
      <c r="O151" s="44">
        <f t="shared" si="38"/>
        <v>9</v>
      </c>
    </row>
    <row r="152" spans="1:15" ht="15.75" thickBot="1">
      <c r="A152" s="7" t="s">
        <v>390</v>
      </c>
      <c r="B152" s="7" t="s">
        <v>390</v>
      </c>
      <c r="C152" s="4" t="s">
        <v>752</v>
      </c>
      <c r="D152" s="4" t="s">
        <v>687</v>
      </c>
      <c r="E152" s="17" t="s">
        <v>181</v>
      </c>
      <c r="F152" s="22"/>
      <c r="H152" s="20" t="s">
        <v>400</v>
      </c>
      <c r="I152" s="15" t="s">
        <v>401</v>
      </c>
      <c r="J152" s="15" t="s">
        <v>402</v>
      </c>
      <c r="K152" s="25"/>
      <c r="L152" s="2" t="s">
        <v>387</v>
      </c>
      <c r="M152" s="2" t="s">
        <v>387</v>
      </c>
      <c r="N152" s="1" t="str">
        <f t="shared" si="37"/>
        <v>FA</v>
      </c>
      <c r="O152" s="44">
        <f>IF(A152="FA",9,N152-1)</f>
        <v>9</v>
      </c>
    </row>
    <row r="153" spans="1:15" ht="15.75" thickBot="1">
      <c r="A153" s="7">
        <f>VLOOKUP(C153,'2020 Draft'!$C$3:$G$161,5,FALSE)</f>
        <v>97</v>
      </c>
      <c r="B153" s="7">
        <f>VLOOKUP(C153,'2020 Draft'!$C$2:$H$161,6,FALSE)</f>
        <v>10</v>
      </c>
      <c r="C153" s="4" t="s">
        <v>703</v>
      </c>
      <c r="D153" s="4" t="s">
        <v>2</v>
      </c>
      <c r="E153" s="17" t="s">
        <v>181</v>
      </c>
      <c r="F153" s="22"/>
      <c r="H153" s="20" t="s">
        <v>400</v>
      </c>
      <c r="I153" s="15" t="s">
        <v>401</v>
      </c>
      <c r="J153" s="15" t="s">
        <v>402</v>
      </c>
      <c r="K153" s="25"/>
      <c r="L153" s="2" t="s">
        <v>387</v>
      </c>
      <c r="M153" s="2" t="s">
        <v>387</v>
      </c>
      <c r="N153" s="1">
        <f t="shared" si="37"/>
        <v>10</v>
      </c>
      <c r="O153" s="44">
        <f t="shared" ref="O153:O159" si="39">IF(A153="FA",9,N153-1)</f>
        <v>9</v>
      </c>
    </row>
    <row r="154" spans="1:15" ht="15.75" thickBot="1">
      <c r="A154" s="7">
        <f>VLOOKUP(C154,'2020 Draft'!$C$3:$G$161,5,FALSE)</f>
        <v>22</v>
      </c>
      <c r="B154" s="7">
        <f>VLOOKUP(C154,'2020 Draft'!$C$2:$H$161,6,FALSE)</f>
        <v>3</v>
      </c>
      <c r="C154" s="4" t="s">
        <v>552</v>
      </c>
      <c r="D154" s="4" t="s">
        <v>10</v>
      </c>
      <c r="E154" s="17" t="s">
        <v>181</v>
      </c>
      <c r="F154" s="22"/>
      <c r="H154" s="20" t="s">
        <v>400</v>
      </c>
      <c r="I154" s="15" t="s">
        <v>401</v>
      </c>
      <c r="J154" s="15" t="s">
        <v>402</v>
      </c>
      <c r="K154" s="25"/>
      <c r="L154" s="2" t="s">
        <v>387</v>
      </c>
      <c r="M154" s="2" t="s">
        <v>387</v>
      </c>
      <c r="N154" s="1">
        <f t="shared" si="37"/>
        <v>3</v>
      </c>
      <c r="O154" s="44">
        <f t="shared" si="39"/>
        <v>2</v>
      </c>
    </row>
    <row r="155" spans="1:15" ht="15.75" thickBot="1">
      <c r="A155" s="7" t="s">
        <v>390</v>
      </c>
      <c r="B155" s="7" t="s">
        <v>390</v>
      </c>
      <c r="C155" s="4" t="s">
        <v>638</v>
      </c>
      <c r="D155" s="4" t="s">
        <v>10</v>
      </c>
      <c r="E155" s="17" t="s">
        <v>181</v>
      </c>
      <c r="F155" s="22"/>
      <c r="H155" s="20" t="s">
        <v>400</v>
      </c>
      <c r="I155" s="15" t="s">
        <v>401</v>
      </c>
      <c r="J155" s="15" t="s">
        <v>402</v>
      </c>
      <c r="K155" s="25"/>
      <c r="L155" s="2" t="s">
        <v>387</v>
      </c>
      <c r="M155" s="2" t="s">
        <v>387</v>
      </c>
      <c r="N155" s="1" t="str">
        <f t="shared" ref="N155:N159" si="40">B155</f>
        <v>FA</v>
      </c>
      <c r="O155" s="44">
        <f t="shared" si="39"/>
        <v>9</v>
      </c>
    </row>
    <row r="156" spans="1:15" ht="15.75" thickBot="1">
      <c r="A156" s="7" t="s">
        <v>390</v>
      </c>
      <c r="B156" s="7" t="s">
        <v>390</v>
      </c>
      <c r="C156" s="4" t="s">
        <v>186</v>
      </c>
      <c r="D156" s="4" t="s">
        <v>10</v>
      </c>
      <c r="E156" s="17" t="s">
        <v>181</v>
      </c>
      <c r="F156" s="22"/>
      <c r="H156" s="20" t="s">
        <v>400</v>
      </c>
      <c r="I156" s="15" t="s">
        <v>401</v>
      </c>
      <c r="J156" s="15" t="s">
        <v>402</v>
      </c>
      <c r="K156" s="25"/>
      <c r="L156" s="2" t="s">
        <v>387</v>
      </c>
      <c r="M156" s="2" t="s">
        <v>387</v>
      </c>
      <c r="N156" s="1" t="str">
        <f t="shared" si="40"/>
        <v>FA</v>
      </c>
      <c r="O156" s="44">
        <f t="shared" si="39"/>
        <v>9</v>
      </c>
    </row>
    <row r="157" spans="1:15" ht="15.75" thickBot="1">
      <c r="A157" s="7" t="s">
        <v>390</v>
      </c>
      <c r="B157" s="7" t="s">
        <v>390</v>
      </c>
      <c r="C157" s="4" t="s">
        <v>26</v>
      </c>
      <c r="D157" s="4" t="s">
        <v>27</v>
      </c>
      <c r="E157" s="17" t="s">
        <v>181</v>
      </c>
      <c r="F157" s="22"/>
      <c r="H157" s="20" t="s">
        <v>400</v>
      </c>
      <c r="I157" s="15" t="s">
        <v>401</v>
      </c>
      <c r="J157" s="15" t="s">
        <v>402</v>
      </c>
      <c r="K157" s="25"/>
      <c r="L157" s="2" t="s">
        <v>387</v>
      </c>
      <c r="M157" s="2" t="s">
        <v>387</v>
      </c>
      <c r="N157" s="1" t="str">
        <f t="shared" si="40"/>
        <v>FA</v>
      </c>
      <c r="O157" s="44">
        <f t="shared" si="39"/>
        <v>9</v>
      </c>
    </row>
    <row r="158" spans="1:15" ht="15.75" thickBot="1">
      <c r="A158" s="7" t="s">
        <v>390</v>
      </c>
      <c r="B158" s="7" t="s">
        <v>390</v>
      </c>
      <c r="C158" s="4" t="s">
        <v>555</v>
      </c>
      <c r="D158" s="4" t="s">
        <v>2</v>
      </c>
      <c r="E158" s="17" t="s">
        <v>181</v>
      </c>
      <c r="F158" s="22"/>
      <c r="H158" s="20" t="s">
        <v>400</v>
      </c>
      <c r="I158" s="15" t="s">
        <v>401</v>
      </c>
      <c r="J158" s="15" t="s">
        <v>402</v>
      </c>
      <c r="K158" s="25"/>
      <c r="L158" s="2" t="s">
        <v>387</v>
      </c>
      <c r="M158" s="2" t="s">
        <v>387</v>
      </c>
      <c r="N158" s="1" t="str">
        <f t="shared" si="40"/>
        <v>FA</v>
      </c>
      <c r="O158" s="44">
        <f t="shared" si="39"/>
        <v>9</v>
      </c>
    </row>
    <row r="159" spans="1:15" ht="15.75" thickBot="1">
      <c r="A159" s="7" t="s">
        <v>390</v>
      </c>
      <c r="B159" s="7" t="s">
        <v>390</v>
      </c>
      <c r="C159" s="4" t="s">
        <v>436</v>
      </c>
      <c r="D159" s="4" t="s">
        <v>687</v>
      </c>
      <c r="E159" s="17" t="s">
        <v>181</v>
      </c>
      <c r="F159" s="22"/>
      <c r="H159" s="20" t="s">
        <v>400</v>
      </c>
      <c r="I159" s="15" t="s">
        <v>401</v>
      </c>
      <c r="J159" s="15" t="s">
        <v>402</v>
      </c>
      <c r="K159" s="25"/>
      <c r="L159" s="2" t="s">
        <v>387</v>
      </c>
      <c r="M159" s="2" t="s">
        <v>387</v>
      </c>
      <c r="N159" s="1" t="str">
        <f t="shared" si="40"/>
        <v>FA</v>
      </c>
      <c r="O159" s="44">
        <f t="shared" si="39"/>
        <v>9</v>
      </c>
    </row>
    <row r="160" spans="1:15" ht="15.75" thickBot="1">
      <c r="A160" s="14"/>
      <c r="B160" s="14"/>
      <c r="C160" s="14"/>
      <c r="D160" s="14"/>
      <c r="E160" s="18"/>
      <c r="F160" s="18"/>
      <c r="H160" s="18"/>
      <c r="I160" s="18"/>
      <c r="J160" s="18"/>
      <c r="K160" s="18"/>
      <c r="L160" s="18"/>
      <c r="M160" s="18"/>
      <c r="N160" s="18"/>
      <c r="O160" s="18"/>
    </row>
    <row r="161" spans="1:15" ht="15.75" thickBot="1">
      <c r="A161" s="7">
        <f>VLOOKUP(C161,'2020 Draft'!$C$3:$G$161,5,FALSE)</f>
        <v>105</v>
      </c>
      <c r="B161" s="7">
        <f>VLOOKUP(C161,'2020 Draft'!$C$2:$H$161,6,FALSE)</f>
        <v>11</v>
      </c>
      <c r="C161" s="4" t="s">
        <v>4</v>
      </c>
      <c r="D161" s="8" t="s">
        <v>5</v>
      </c>
      <c r="E161" s="17" t="s">
        <v>37</v>
      </c>
      <c r="F161" s="22"/>
      <c r="H161" s="20" t="s">
        <v>400</v>
      </c>
      <c r="I161" s="15" t="s">
        <v>401</v>
      </c>
      <c r="J161" s="15" t="s">
        <v>402</v>
      </c>
      <c r="K161" s="25"/>
      <c r="L161" s="2" t="s">
        <v>387</v>
      </c>
      <c r="M161" s="2" t="s">
        <v>387</v>
      </c>
      <c r="N161" s="1">
        <f t="shared" ref="N161:N171" si="41">B161</f>
        <v>11</v>
      </c>
      <c r="O161" s="44">
        <f>IF(A161="FA",9,N161-1)</f>
        <v>10</v>
      </c>
    </row>
    <row r="162" spans="1:15" ht="15.75" thickBot="1">
      <c r="A162" s="7">
        <f>VLOOKUP(C162,'2020 Draft'!$C$3:$G$161,5,FALSE)</f>
        <v>5</v>
      </c>
      <c r="B162" s="7">
        <f>VLOOKUP(C162,'2020 Draft'!$C$2:$H$161,6,FALSE)</f>
        <v>1</v>
      </c>
      <c r="C162" s="4" t="s">
        <v>656</v>
      </c>
      <c r="D162" s="4" t="s">
        <v>10</v>
      </c>
      <c r="E162" s="17" t="s">
        <v>37</v>
      </c>
      <c r="F162" s="22"/>
      <c r="H162" s="20" t="s">
        <v>400</v>
      </c>
      <c r="I162" s="15" t="s">
        <v>401</v>
      </c>
      <c r="J162" s="15" t="s">
        <v>402</v>
      </c>
      <c r="K162" s="25"/>
      <c r="L162" s="2" t="s">
        <v>387</v>
      </c>
      <c r="M162" s="2" t="s">
        <v>387</v>
      </c>
      <c r="N162" s="1">
        <f t="shared" si="41"/>
        <v>1</v>
      </c>
      <c r="O162" s="44">
        <f>IF(A162="FA",9,N162-1)</f>
        <v>0</v>
      </c>
    </row>
    <row r="163" spans="1:15" ht="15.75" thickBot="1">
      <c r="A163" s="7">
        <f>VLOOKUP(C163,'2020 Draft'!$C$3:$G$161,5,FALSE)</f>
        <v>8</v>
      </c>
      <c r="B163" s="7">
        <f>VLOOKUP(C163,'2020 Draft'!$C$2:$H$161,6,FALSE)</f>
        <v>1</v>
      </c>
      <c r="C163" s="4" t="s">
        <v>581</v>
      </c>
      <c r="D163" s="4" t="s">
        <v>10</v>
      </c>
      <c r="E163" s="17" t="s">
        <v>37</v>
      </c>
      <c r="F163" s="22"/>
      <c r="H163" s="20" t="s">
        <v>400</v>
      </c>
      <c r="I163" s="15" t="s">
        <v>401</v>
      </c>
      <c r="J163" s="15" t="s">
        <v>402</v>
      </c>
      <c r="K163" s="25"/>
      <c r="L163" s="2" t="s">
        <v>387</v>
      </c>
      <c r="M163" s="2" t="s">
        <v>387</v>
      </c>
      <c r="N163" s="1">
        <f t="shared" si="41"/>
        <v>1</v>
      </c>
      <c r="O163" s="44">
        <f>IF(A163="FA",9,N163-1)</f>
        <v>0</v>
      </c>
    </row>
    <row r="164" spans="1:15" ht="15.75" thickBot="1">
      <c r="A164" s="7">
        <f>VLOOKUP(C164,'2020 Draft'!$C$3:$G$161,5,FALSE)</f>
        <v>16</v>
      </c>
      <c r="B164" s="7">
        <f>VLOOKUP(C164,'2020 Draft'!$C$2:$H$161,6,FALSE)</f>
        <v>2</v>
      </c>
      <c r="C164" s="4" t="s">
        <v>168</v>
      </c>
      <c r="D164" s="4" t="s">
        <v>2</v>
      </c>
      <c r="E164" s="17" t="s">
        <v>37</v>
      </c>
      <c r="F164" s="22"/>
      <c r="H164" s="20" t="s">
        <v>400</v>
      </c>
      <c r="I164" s="15" t="s">
        <v>401</v>
      </c>
      <c r="J164" s="15" t="s">
        <v>402</v>
      </c>
      <c r="K164" s="25"/>
      <c r="L164" s="2" t="s">
        <v>387</v>
      </c>
      <c r="M164" s="2" t="s">
        <v>387</v>
      </c>
      <c r="N164" s="1">
        <f t="shared" si="41"/>
        <v>2</v>
      </c>
      <c r="O164" s="44">
        <f t="shared" ref="O164:O168" si="42">IF(A164="FA",9,N164-1)</f>
        <v>1</v>
      </c>
    </row>
    <row r="165" spans="1:15" ht="15.75" thickBot="1">
      <c r="A165" s="7">
        <f>VLOOKUP(C165,'2020 Draft'!$C$3:$G$161,5,FALSE)</f>
        <v>108</v>
      </c>
      <c r="B165" s="7">
        <f>VLOOKUP(C165,'2020 Draft'!$C$2:$H$161,6,FALSE)</f>
        <v>11</v>
      </c>
      <c r="C165" s="4" t="s">
        <v>503</v>
      </c>
      <c r="D165" s="4" t="s">
        <v>2</v>
      </c>
      <c r="E165" s="17" t="s">
        <v>37</v>
      </c>
      <c r="F165" s="22"/>
      <c r="H165" s="20" t="s">
        <v>400</v>
      </c>
      <c r="I165" s="15" t="s">
        <v>401</v>
      </c>
      <c r="J165" s="15" t="s">
        <v>402</v>
      </c>
      <c r="K165" s="25"/>
      <c r="L165" s="2" t="s">
        <v>387</v>
      </c>
      <c r="M165" s="2">
        <v>12</v>
      </c>
      <c r="N165" s="1">
        <f t="shared" si="41"/>
        <v>11</v>
      </c>
      <c r="O165" s="44">
        <f t="shared" si="42"/>
        <v>10</v>
      </c>
    </row>
    <row r="166" spans="1:15" ht="15.75" thickBot="1">
      <c r="A166" s="7" t="s">
        <v>390</v>
      </c>
      <c r="B166" s="7" t="s">
        <v>390</v>
      </c>
      <c r="C166" s="4" t="s">
        <v>416</v>
      </c>
      <c r="D166" s="4" t="s">
        <v>27</v>
      </c>
      <c r="E166" s="17" t="s">
        <v>37</v>
      </c>
      <c r="F166" s="22"/>
      <c r="H166" s="20" t="s">
        <v>400</v>
      </c>
      <c r="I166" s="15" t="s">
        <v>401</v>
      </c>
      <c r="J166" s="15" t="s">
        <v>402</v>
      </c>
      <c r="K166" s="25"/>
      <c r="L166" s="2" t="s">
        <v>387</v>
      </c>
      <c r="M166" s="2" t="s">
        <v>387</v>
      </c>
      <c r="N166" s="1" t="str">
        <f t="shared" si="41"/>
        <v>FA</v>
      </c>
      <c r="O166" s="44">
        <f t="shared" si="42"/>
        <v>9</v>
      </c>
    </row>
    <row r="167" spans="1:15" ht="15.75" thickBot="1">
      <c r="A167" s="7">
        <f>VLOOKUP(C167,'2020 Draft'!$C$3:$G$161,5,FALSE)</f>
        <v>4</v>
      </c>
      <c r="B167" s="7">
        <f>VLOOKUP(C167,'2020 Draft'!$C$2:$H$161,6,FALSE)</f>
        <v>1</v>
      </c>
      <c r="C167" s="4" t="s">
        <v>161</v>
      </c>
      <c r="D167" s="4" t="s">
        <v>2</v>
      </c>
      <c r="E167" s="17" t="s">
        <v>37</v>
      </c>
      <c r="F167" s="22"/>
      <c r="H167" s="20" t="s">
        <v>400</v>
      </c>
      <c r="I167" s="15" t="s">
        <v>401</v>
      </c>
      <c r="J167" s="15" t="s">
        <v>402</v>
      </c>
      <c r="K167" s="25"/>
      <c r="L167" s="2" t="s">
        <v>387</v>
      </c>
      <c r="M167" s="2" t="s">
        <v>387</v>
      </c>
      <c r="N167" s="1">
        <f t="shared" si="41"/>
        <v>1</v>
      </c>
      <c r="O167" s="44">
        <f t="shared" si="42"/>
        <v>0</v>
      </c>
    </row>
    <row r="168" spans="1:15" ht="15.75" thickBot="1">
      <c r="A168" s="7" t="s">
        <v>390</v>
      </c>
      <c r="B168" s="7" t="s">
        <v>390</v>
      </c>
      <c r="C168" s="4" t="s">
        <v>573</v>
      </c>
      <c r="D168" s="4" t="s">
        <v>2</v>
      </c>
      <c r="E168" s="17" t="s">
        <v>37</v>
      </c>
      <c r="F168" s="22"/>
      <c r="H168" s="20" t="s">
        <v>400</v>
      </c>
      <c r="I168" s="15" t="s">
        <v>401</v>
      </c>
      <c r="J168" s="15" t="s">
        <v>402</v>
      </c>
      <c r="K168" s="25"/>
      <c r="L168" s="2" t="s">
        <v>387</v>
      </c>
      <c r="M168" s="2" t="s">
        <v>387</v>
      </c>
      <c r="N168" s="1" t="str">
        <f t="shared" si="41"/>
        <v>FA</v>
      </c>
      <c r="O168" s="44">
        <f t="shared" si="42"/>
        <v>9</v>
      </c>
    </row>
    <row r="169" spans="1:15" ht="15.75" thickBot="1">
      <c r="A169" s="7" t="s">
        <v>390</v>
      </c>
      <c r="B169" s="7" t="s">
        <v>390</v>
      </c>
      <c r="C169" s="4" t="s">
        <v>753</v>
      </c>
      <c r="D169" s="4" t="s">
        <v>687</v>
      </c>
      <c r="E169" s="17" t="s">
        <v>37</v>
      </c>
      <c r="F169" s="22"/>
      <c r="H169" s="20" t="s">
        <v>400</v>
      </c>
      <c r="I169" s="15" t="s">
        <v>401</v>
      </c>
      <c r="J169" s="15" t="s">
        <v>402</v>
      </c>
      <c r="K169" s="25"/>
      <c r="L169" s="2" t="s">
        <v>387</v>
      </c>
      <c r="M169" s="2" t="s">
        <v>387</v>
      </c>
      <c r="N169" s="1" t="str">
        <f t="shared" si="41"/>
        <v>FA</v>
      </c>
      <c r="O169" s="44">
        <f>IF(A169="FA",9,N169-1)</f>
        <v>9</v>
      </c>
    </row>
    <row r="170" spans="1:15" ht="15.75" thickBot="1">
      <c r="A170" s="7">
        <f>VLOOKUP(C170,'2020 Draft'!$C$3:$G$161,5,FALSE)</f>
        <v>96</v>
      </c>
      <c r="B170" s="7">
        <f>VLOOKUP(C170,'2020 Draft'!$C$2:$H$161,6,FALSE)</f>
        <v>10</v>
      </c>
      <c r="C170" s="4" t="s">
        <v>702</v>
      </c>
      <c r="D170" s="4" t="s">
        <v>2</v>
      </c>
      <c r="E170" s="17" t="s">
        <v>37</v>
      </c>
      <c r="F170" s="22"/>
      <c r="H170" s="20" t="s">
        <v>400</v>
      </c>
      <c r="I170" s="15" t="s">
        <v>401</v>
      </c>
      <c r="J170" s="15" t="s">
        <v>402</v>
      </c>
      <c r="K170" s="25"/>
      <c r="L170" s="2" t="s">
        <v>387</v>
      </c>
      <c r="M170" s="2" t="s">
        <v>387</v>
      </c>
      <c r="N170" s="1">
        <f t="shared" si="41"/>
        <v>10</v>
      </c>
      <c r="O170" s="44">
        <f t="shared" ref="O170:O176" si="43">IF(A170="FA",9,N170-1)</f>
        <v>9</v>
      </c>
    </row>
    <row r="171" spans="1:15" ht="15.75" thickBot="1">
      <c r="A171" s="7" t="s">
        <v>390</v>
      </c>
      <c r="B171" s="7" t="s">
        <v>390</v>
      </c>
      <c r="C171" s="4" t="s">
        <v>715</v>
      </c>
      <c r="D171" s="4" t="s">
        <v>2</v>
      </c>
      <c r="E171" s="17" t="s">
        <v>37</v>
      </c>
      <c r="F171" s="22"/>
      <c r="H171" s="20" t="s">
        <v>400</v>
      </c>
      <c r="I171" s="15" t="s">
        <v>401</v>
      </c>
      <c r="J171" s="15" t="s">
        <v>402</v>
      </c>
      <c r="K171" s="25"/>
      <c r="L171" s="2" t="s">
        <v>387</v>
      </c>
      <c r="M171" s="2" t="s">
        <v>387</v>
      </c>
      <c r="N171" s="1" t="str">
        <f t="shared" si="41"/>
        <v>FA</v>
      </c>
      <c r="O171" s="44">
        <f t="shared" si="43"/>
        <v>9</v>
      </c>
    </row>
    <row r="172" spans="1:15" ht="15.75" thickBot="1">
      <c r="A172" s="7" t="s">
        <v>390</v>
      </c>
      <c r="B172" s="7" t="s">
        <v>390</v>
      </c>
      <c r="C172" s="4" t="s">
        <v>608</v>
      </c>
      <c r="D172" s="4" t="s">
        <v>27</v>
      </c>
      <c r="E172" s="17" t="s">
        <v>37</v>
      </c>
      <c r="F172" s="22"/>
      <c r="H172" s="20" t="s">
        <v>400</v>
      </c>
      <c r="I172" s="15" t="s">
        <v>401</v>
      </c>
      <c r="J172" s="15" t="s">
        <v>402</v>
      </c>
      <c r="K172" s="25"/>
      <c r="L172" s="2" t="s">
        <v>387</v>
      </c>
      <c r="M172" s="2" t="s">
        <v>387</v>
      </c>
      <c r="N172" s="1" t="str">
        <f t="shared" ref="N172:N176" si="44">B172</f>
        <v>FA</v>
      </c>
      <c r="O172" s="44">
        <f t="shared" si="43"/>
        <v>9</v>
      </c>
    </row>
    <row r="173" spans="1:15" ht="15.75" thickBot="1">
      <c r="A173" s="7" t="s">
        <v>390</v>
      </c>
      <c r="B173" s="7" t="s">
        <v>390</v>
      </c>
      <c r="C173" s="4" t="s">
        <v>1</v>
      </c>
      <c r="D173" s="4" t="s">
        <v>2</v>
      </c>
      <c r="E173" s="17" t="s">
        <v>37</v>
      </c>
      <c r="F173" s="22"/>
      <c r="H173" s="20" t="s">
        <v>400</v>
      </c>
      <c r="I173" s="15" t="s">
        <v>401</v>
      </c>
      <c r="J173" s="15" t="s">
        <v>402</v>
      </c>
      <c r="K173" s="25"/>
      <c r="L173" s="2" t="s">
        <v>387</v>
      </c>
      <c r="M173" s="2" t="s">
        <v>387</v>
      </c>
      <c r="N173" s="1" t="str">
        <f t="shared" si="44"/>
        <v>FA</v>
      </c>
      <c r="O173" s="44">
        <f t="shared" si="43"/>
        <v>9</v>
      </c>
    </row>
    <row r="174" spans="1:15" ht="15.75" thickBot="1">
      <c r="A174" s="7" t="s">
        <v>390</v>
      </c>
      <c r="B174" s="7" t="s">
        <v>390</v>
      </c>
      <c r="C174" s="4" t="s">
        <v>754</v>
      </c>
      <c r="D174" s="4" t="s">
        <v>10</v>
      </c>
      <c r="E174" s="17" t="s">
        <v>37</v>
      </c>
      <c r="F174" s="22"/>
      <c r="H174" s="20" t="s">
        <v>400</v>
      </c>
      <c r="I174" s="15" t="s">
        <v>401</v>
      </c>
      <c r="J174" s="15" t="s">
        <v>402</v>
      </c>
      <c r="K174" s="25"/>
      <c r="L174" s="2" t="s">
        <v>387</v>
      </c>
      <c r="M174" s="2" t="s">
        <v>387</v>
      </c>
      <c r="N174" s="1" t="str">
        <f t="shared" si="44"/>
        <v>FA</v>
      </c>
      <c r="O174" s="44">
        <f t="shared" si="43"/>
        <v>9</v>
      </c>
    </row>
    <row r="175" spans="1:15" ht="15.75" thickBot="1">
      <c r="A175" s="7" t="s">
        <v>390</v>
      </c>
      <c r="B175" s="7" t="s">
        <v>390</v>
      </c>
      <c r="C175" s="4" t="s">
        <v>755</v>
      </c>
      <c r="D175" s="4" t="s">
        <v>10</v>
      </c>
      <c r="E175" s="17" t="s">
        <v>37</v>
      </c>
      <c r="F175" s="22"/>
      <c r="H175" s="20" t="s">
        <v>400</v>
      </c>
      <c r="I175" s="15" t="s">
        <v>401</v>
      </c>
      <c r="J175" s="15" t="s">
        <v>402</v>
      </c>
      <c r="K175" s="25"/>
      <c r="L175" s="2" t="s">
        <v>387</v>
      </c>
      <c r="M175" s="2" t="s">
        <v>387</v>
      </c>
      <c r="N175" s="1" t="str">
        <f t="shared" si="44"/>
        <v>FA</v>
      </c>
      <c r="O175" s="44">
        <f t="shared" si="43"/>
        <v>9</v>
      </c>
    </row>
    <row r="176" spans="1:15" ht="15.75" thickBot="1">
      <c r="A176" s="7" t="s">
        <v>390</v>
      </c>
      <c r="B176" s="7" t="s">
        <v>390</v>
      </c>
      <c r="C176" s="4" t="s">
        <v>756</v>
      </c>
      <c r="D176" s="4" t="s">
        <v>687</v>
      </c>
      <c r="E176" s="17" t="s">
        <v>37</v>
      </c>
      <c r="F176" s="22"/>
      <c r="H176" s="20" t="s">
        <v>400</v>
      </c>
      <c r="I176" s="15" t="s">
        <v>401</v>
      </c>
      <c r="J176" s="15" t="s">
        <v>402</v>
      </c>
      <c r="K176" s="25"/>
      <c r="L176" s="2" t="s">
        <v>387</v>
      </c>
      <c r="M176" s="2" t="s">
        <v>387</v>
      </c>
      <c r="N176" s="1" t="str">
        <f t="shared" si="44"/>
        <v>FA</v>
      </c>
      <c r="O176" s="44">
        <f t="shared" si="43"/>
        <v>9</v>
      </c>
    </row>
    <row r="177" spans="1:15" ht="15.75" thickBot="1">
      <c r="A177" s="7">
        <f>VLOOKUP(C177,'2020 Draft'!$C$3:$G$161,5,FALSE)</f>
        <v>56</v>
      </c>
      <c r="B177" s="7">
        <f>VLOOKUP(C177,'2020 Draft'!$C$2:$H$161,6,FALSE)</f>
        <v>6</v>
      </c>
      <c r="C177" s="4" t="s">
        <v>698</v>
      </c>
      <c r="D177" s="4" t="s">
        <v>10</v>
      </c>
      <c r="E177" s="17" t="s">
        <v>37</v>
      </c>
      <c r="F177" s="22"/>
      <c r="H177" s="20" t="s">
        <v>400</v>
      </c>
      <c r="I177" s="15" t="s">
        <v>401</v>
      </c>
      <c r="J177" s="15" t="s">
        <v>402</v>
      </c>
      <c r="K177" s="25"/>
      <c r="L177" s="2" t="s">
        <v>387</v>
      </c>
      <c r="M177" s="2" t="s">
        <v>387</v>
      </c>
      <c r="N177" s="1">
        <f t="shared" ref="N177" si="45">B177</f>
        <v>6</v>
      </c>
      <c r="O177" s="44">
        <f t="shared" ref="O177" si="46">IF(A177="FA",9,N177-1)</f>
        <v>5</v>
      </c>
    </row>
    <row r="178" spans="1:15" ht="15.75" thickBot="1">
      <c r="A178" s="3"/>
      <c r="B178" s="3"/>
      <c r="C178" s="4"/>
      <c r="D178" s="4"/>
      <c r="E178" s="17"/>
      <c r="F178" s="22"/>
    </row>
    <row r="179" spans="1:15" ht="15.75" thickBot="1">
      <c r="A179" s="3"/>
      <c r="B179" s="3"/>
      <c r="C179" s="4"/>
      <c r="D179" s="4"/>
      <c r="E179" s="17"/>
      <c r="F179" s="22"/>
    </row>
    <row r="180" spans="1:15" ht="15.75" thickBot="1">
      <c r="A180" s="3"/>
      <c r="B180" s="3"/>
      <c r="C180" s="4"/>
      <c r="D180" s="4"/>
      <c r="E180" s="17"/>
      <c r="F180" s="22"/>
    </row>
    <row r="181" spans="1:15" ht="15.75" thickBot="1">
      <c r="A181" s="3"/>
      <c r="B181" s="3"/>
      <c r="C181" s="4"/>
      <c r="D181" s="4"/>
      <c r="E181" s="17"/>
      <c r="F181" s="22"/>
    </row>
    <row r="182" spans="1:15" ht="15.75" thickBot="1">
      <c r="A182" s="3"/>
      <c r="B182" s="3"/>
      <c r="C182" s="4"/>
      <c r="D182" s="4"/>
      <c r="E182" s="17"/>
      <c r="F182" s="22"/>
    </row>
    <row r="183" spans="1:15" ht="15.75" thickBot="1">
      <c r="A183" s="3"/>
      <c r="B183" s="3"/>
      <c r="C183" s="4"/>
      <c r="D183" s="4"/>
      <c r="E183" s="17"/>
      <c r="F183" s="22"/>
    </row>
    <row r="184" spans="1:15" ht="15.75" thickBot="1">
      <c r="A184" s="3"/>
      <c r="B184" s="3"/>
      <c r="C184" s="4"/>
      <c r="D184" s="4"/>
      <c r="E184" s="17"/>
      <c r="F184" s="22"/>
    </row>
    <row r="185" spans="1:15" ht="15.75" thickBot="1">
      <c r="A185" s="3"/>
      <c r="B185" s="3"/>
      <c r="C185" s="4"/>
      <c r="D185" s="4"/>
      <c r="E185" s="17"/>
      <c r="F185" s="22"/>
    </row>
    <row r="186" spans="1:15" ht="15.75" thickBot="1">
      <c r="A186" s="3"/>
      <c r="B186" s="3"/>
      <c r="C186" s="4"/>
      <c r="D186" s="4"/>
      <c r="E186" s="17"/>
      <c r="F186" s="22"/>
    </row>
    <row r="187" spans="1:15" ht="15.75" thickBot="1">
      <c r="A187" s="3"/>
      <c r="B187" s="3"/>
      <c r="C187" s="4"/>
      <c r="D187" s="4"/>
      <c r="E187" s="17"/>
      <c r="F187" s="22"/>
    </row>
    <row r="188" spans="1:15" ht="15.75" thickBot="1">
      <c r="A188" s="3"/>
      <c r="B188" s="3"/>
      <c r="C188" s="4"/>
      <c r="D188" s="4"/>
      <c r="E188" s="17"/>
      <c r="F188" s="22"/>
    </row>
    <row r="189" spans="1:15" ht="15.75" thickBot="1">
      <c r="A189" s="3"/>
      <c r="B189" s="3"/>
      <c r="C189" s="4"/>
      <c r="D189" s="4"/>
      <c r="E189" s="17"/>
      <c r="F189" s="22"/>
    </row>
    <row r="190" spans="1:15" ht="15.75" thickBot="1">
      <c r="A190" s="3"/>
      <c r="B190" s="3"/>
      <c r="C190" s="4"/>
      <c r="D190" s="4"/>
      <c r="E190" s="17"/>
      <c r="F190" s="22"/>
    </row>
    <row r="191" spans="1:15" ht="15.75" thickBot="1">
      <c r="A191" s="3"/>
      <c r="B191" s="3"/>
      <c r="C191" s="4"/>
      <c r="D191" s="4"/>
      <c r="E191" s="17"/>
      <c r="F191" s="22"/>
    </row>
    <row r="192" spans="1:15" ht="15.75" thickBot="1">
      <c r="A192" s="3"/>
      <c r="B192" s="3"/>
      <c r="C192" s="4"/>
      <c r="D192" s="4"/>
      <c r="E192" s="17"/>
      <c r="F192" s="22"/>
    </row>
    <row r="193" spans="1:6" ht="15.75" thickBot="1">
      <c r="A193" s="3"/>
      <c r="B193" s="3"/>
      <c r="C193" s="4"/>
      <c r="D193" s="4"/>
      <c r="E193" s="17"/>
      <c r="F193" s="22"/>
    </row>
    <row r="194" spans="1:6" ht="15.75" thickBot="1">
      <c r="A194" s="3"/>
      <c r="B194" s="3"/>
      <c r="C194" s="4"/>
      <c r="D194" s="4"/>
      <c r="E194" s="17"/>
      <c r="F194" s="22"/>
    </row>
    <row r="195" spans="1:6" ht="15.75" thickBot="1">
      <c r="A195" s="3"/>
      <c r="B195" s="3"/>
      <c r="C195" s="4"/>
      <c r="D195" s="4"/>
      <c r="E195" s="17"/>
      <c r="F195" s="22"/>
    </row>
    <row r="196" spans="1:6" ht="15.75" thickBot="1">
      <c r="A196" s="3"/>
      <c r="B196" s="3"/>
      <c r="C196" s="4"/>
      <c r="D196" s="4"/>
      <c r="E196" s="17"/>
      <c r="F196" s="22"/>
    </row>
    <row r="197" spans="1:6" ht="15.75" thickBot="1">
      <c r="A197" s="3"/>
      <c r="B197" s="3"/>
      <c r="C197" s="4"/>
      <c r="D197" s="4"/>
      <c r="E197" s="17"/>
      <c r="F197" s="22"/>
    </row>
    <row r="198" spans="1:6" ht="15.75" thickBot="1">
      <c r="A198" s="3"/>
      <c r="B198" s="3"/>
      <c r="C198" s="4"/>
      <c r="D198" s="4"/>
      <c r="E198" s="17"/>
      <c r="F198" s="22"/>
    </row>
    <row r="199" spans="1:6" ht="15.75" thickBot="1">
      <c r="A199" s="3"/>
      <c r="B199" s="3"/>
      <c r="C199" s="4"/>
      <c r="D199" s="4"/>
      <c r="E199" s="17"/>
      <c r="F199" s="22"/>
    </row>
    <row r="200" spans="1:6" ht="15.75" thickBot="1">
      <c r="A200" s="3"/>
      <c r="B200" s="3"/>
      <c r="C200" s="4"/>
      <c r="D200" s="4"/>
      <c r="E200" s="17"/>
      <c r="F200" s="22"/>
    </row>
    <row r="201" spans="1:6" ht="15.75" thickBot="1">
      <c r="A201" s="3"/>
      <c r="B201" s="3"/>
      <c r="C201" s="4"/>
      <c r="D201" s="4"/>
      <c r="E201" s="17"/>
      <c r="F201" s="22"/>
    </row>
    <row r="202" spans="1:6" ht="15.75" thickBot="1">
      <c r="A202" s="3"/>
      <c r="B202" s="3"/>
      <c r="C202" s="4"/>
      <c r="D202" s="4"/>
      <c r="E202" s="17"/>
      <c r="F202" s="22"/>
    </row>
    <row r="203" spans="1:6" ht="15.75" thickBot="1">
      <c r="A203" s="3"/>
      <c r="B203" s="3"/>
      <c r="C203" s="4"/>
      <c r="D203" s="4"/>
      <c r="E203" s="17"/>
      <c r="F203" s="22"/>
    </row>
    <row r="204" spans="1:6" ht="15.75" thickBot="1">
      <c r="A204" s="3"/>
      <c r="B204" s="3"/>
      <c r="C204" s="4"/>
      <c r="D204" s="4"/>
      <c r="E204" s="17"/>
      <c r="F204" s="22"/>
    </row>
    <row r="205" spans="1:6" ht="15.75" thickBot="1">
      <c r="A205" s="3"/>
      <c r="B205" s="3"/>
      <c r="C205" s="4"/>
      <c r="D205" s="4"/>
      <c r="E205" s="17"/>
      <c r="F205" s="22"/>
    </row>
    <row r="206" spans="1:6" ht="15.75" thickBot="1">
      <c r="A206" s="3"/>
      <c r="B206" s="3"/>
      <c r="C206" s="4"/>
      <c r="D206" s="4"/>
      <c r="E206" s="17"/>
      <c r="F206" s="22"/>
    </row>
    <row r="207" spans="1:6" ht="15.75" thickBot="1">
      <c r="A207" s="3"/>
      <c r="B207" s="3"/>
      <c r="C207" s="4"/>
      <c r="D207" s="4"/>
      <c r="E207" s="17"/>
      <c r="F207" s="22"/>
    </row>
    <row r="208" spans="1:6" ht="15.75" thickBot="1">
      <c r="A208" s="3"/>
      <c r="B208" s="3"/>
      <c r="C208" s="4"/>
      <c r="D208" s="4"/>
      <c r="E208" s="17"/>
      <c r="F208" s="22"/>
    </row>
    <row r="209" spans="1:6" ht="15.75" thickBot="1">
      <c r="A209" s="3"/>
      <c r="B209" s="3"/>
      <c r="C209" s="4"/>
      <c r="D209" s="4"/>
      <c r="E209" s="17"/>
      <c r="F209" s="22"/>
    </row>
    <row r="210" spans="1:6" ht="15.75" thickBot="1">
      <c r="A210" s="3"/>
      <c r="B210" s="3"/>
      <c r="C210" s="4"/>
      <c r="D210" s="4"/>
      <c r="E210" s="17"/>
      <c r="F210" s="22"/>
    </row>
    <row r="211" spans="1:6" ht="15.75" thickBot="1">
      <c r="A211" s="3"/>
      <c r="B211" s="3"/>
      <c r="C211" s="4"/>
      <c r="D211" s="4"/>
      <c r="E211" s="17"/>
      <c r="F211" s="22"/>
    </row>
    <row r="212" spans="1:6" ht="15.75" thickBot="1">
      <c r="A212" s="3"/>
      <c r="B212" s="3"/>
      <c r="C212" s="4"/>
      <c r="D212" s="4"/>
      <c r="E212" s="17"/>
      <c r="F212" s="22"/>
    </row>
    <row r="213" spans="1:6" ht="15.75" thickBot="1">
      <c r="A213" s="3"/>
      <c r="B213" s="3"/>
      <c r="C213" s="4"/>
      <c r="D213" s="4"/>
      <c r="E213" s="17"/>
      <c r="F213" s="22"/>
    </row>
    <row r="214" spans="1:6" ht="15.75" thickBot="1">
      <c r="A214" s="3"/>
      <c r="B214" s="3"/>
      <c r="C214" s="4"/>
      <c r="D214" s="4"/>
      <c r="E214" s="17"/>
      <c r="F214" s="22"/>
    </row>
    <row r="215" spans="1:6" ht="15.75" thickBot="1">
      <c r="A215" s="3"/>
      <c r="B215" s="3"/>
      <c r="C215" s="4"/>
      <c r="D215" s="4"/>
      <c r="E215" s="17"/>
      <c r="F215" s="22"/>
    </row>
    <row r="216" spans="1:6" ht="15.75" thickBot="1">
      <c r="A216" s="3"/>
      <c r="B216" s="3"/>
      <c r="C216" s="4"/>
      <c r="D216" s="4"/>
      <c r="E216" s="17"/>
      <c r="F216" s="22"/>
    </row>
    <row r="217" spans="1:6" ht="15.75" thickBot="1">
      <c r="A217" s="3"/>
      <c r="B217" s="3"/>
      <c r="C217" s="4"/>
      <c r="D217" s="4"/>
      <c r="E217" s="17"/>
      <c r="F217" s="22"/>
    </row>
    <row r="218" spans="1:6" ht="15.75" thickBot="1">
      <c r="A218" s="3"/>
      <c r="B218" s="3"/>
      <c r="C218" s="4"/>
      <c r="D218" s="4"/>
      <c r="E218" s="17"/>
      <c r="F218" s="22"/>
    </row>
    <row r="219" spans="1:6" ht="15.75" thickBot="1">
      <c r="A219" s="3"/>
      <c r="B219" s="3"/>
      <c r="C219" s="4"/>
      <c r="D219" s="4"/>
      <c r="E219" s="17"/>
      <c r="F219" s="22"/>
    </row>
    <row r="220" spans="1:6" ht="15.75" thickBot="1">
      <c r="A220" s="3"/>
      <c r="B220" s="3"/>
      <c r="C220" s="4"/>
      <c r="D220" s="4"/>
      <c r="E220" s="17"/>
      <c r="F220" s="22"/>
    </row>
    <row r="221" spans="1:6" ht="15.75" thickBot="1">
      <c r="A221" s="3"/>
      <c r="B221" s="3"/>
      <c r="C221" s="4"/>
      <c r="D221" s="4"/>
      <c r="E221" s="17"/>
      <c r="F221" s="22"/>
    </row>
    <row r="222" spans="1:6" ht="15.75" thickBot="1">
      <c r="A222" s="3"/>
      <c r="B222" s="3"/>
      <c r="C222" s="4"/>
      <c r="D222" s="4"/>
      <c r="E222" s="17"/>
      <c r="F222" s="22"/>
    </row>
    <row r="223" spans="1:6" ht="15.75" thickBot="1">
      <c r="A223" s="3"/>
      <c r="B223" s="3"/>
      <c r="C223" s="4"/>
      <c r="D223" s="4"/>
      <c r="E223" s="17"/>
      <c r="F223" s="22"/>
    </row>
    <row r="224" spans="1:6" ht="15.75" thickBot="1">
      <c r="A224" s="3"/>
      <c r="B224" s="3"/>
      <c r="C224" s="4"/>
      <c r="D224" s="4"/>
      <c r="E224" s="17"/>
      <c r="F224" s="22"/>
    </row>
    <row r="225" spans="1:6" ht="15.75" thickBot="1">
      <c r="A225" s="3"/>
      <c r="B225" s="3"/>
      <c r="C225" s="4"/>
      <c r="D225" s="4"/>
      <c r="E225" s="17"/>
      <c r="F225" s="22"/>
    </row>
    <row r="226" spans="1:6" ht="15.75" thickBot="1">
      <c r="A226" s="3"/>
      <c r="B226" s="3"/>
      <c r="C226" s="4"/>
      <c r="D226" s="4"/>
      <c r="E226" s="17"/>
      <c r="F226" s="22"/>
    </row>
    <row r="227" spans="1:6" ht="15.75" thickBot="1">
      <c r="A227" s="3"/>
      <c r="B227" s="3"/>
      <c r="C227" s="4"/>
      <c r="D227" s="4"/>
      <c r="E227" s="17"/>
      <c r="F227" s="22"/>
    </row>
    <row r="228" spans="1:6" ht="15.75" thickBot="1">
      <c r="A228" s="3"/>
      <c r="B228" s="3"/>
      <c r="C228" s="4"/>
      <c r="D228" s="4"/>
      <c r="E228" s="17"/>
      <c r="F228" s="22"/>
    </row>
    <row r="229" spans="1:6" ht="15.75" thickBot="1">
      <c r="A229" s="3"/>
      <c r="B229" s="3"/>
      <c r="C229" s="4"/>
      <c r="D229" s="4"/>
      <c r="E229" s="17"/>
      <c r="F229" s="22"/>
    </row>
    <row r="230" spans="1:6" ht="15.75" thickBot="1">
      <c r="A230" s="3"/>
      <c r="B230" s="3"/>
      <c r="C230" s="4"/>
      <c r="D230" s="4"/>
      <c r="E230" s="17"/>
      <c r="F230" s="22"/>
    </row>
    <row r="231" spans="1:6" ht="15.75" thickBot="1">
      <c r="A231" s="3"/>
      <c r="B231" s="3"/>
      <c r="C231" s="4"/>
      <c r="D231" s="4"/>
      <c r="E231" s="17"/>
      <c r="F231" s="22"/>
    </row>
    <row r="232" spans="1:6" ht="15.75" thickBot="1">
      <c r="A232" s="3"/>
      <c r="B232" s="3"/>
      <c r="C232" s="4"/>
      <c r="D232" s="4"/>
      <c r="E232" s="17"/>
      <c r="F232" s="22"/>
    </row>
    <row r="233" spans="1:6" ht="15.75" thickBot="1">
      <c r="A233" s="3"/>
      <c r="B233" s="3"/>
      <c r="C233" s="4"/>
      <c r="D233" s="4"/>
      <c r="E233" s="17"/>
      <c r="F233" s="22"/>
    </row>
    <row r="234" spans="1:6" ht="15.75" thickBot="1">
      <c r="A234" s="3"/>
      <c r="B234" s="3"/>
      <c r="C234" s="4"/>
      <c r="D234" s="4"/>
      <c r="E234" s="17"/>
      <c r="F234" s="22"/>
    </row>
    <row r="235" spans="1:6" ht="15.75" thickBot="1">
      <c r="A235" s="3"/>
      <c r="B235" s="3"/>
      <c r="C235" s="4"/>
      <c r="D235" s="4"/>
      <c r="E235" s="17"/>
      <c r="F235" s="22"/>
    </row>
    <row r="236" spans="1:6" ht="15.75" thickBot="1">
      <c r="A236" s="3"/>
      <c r="B236" s="3"/>
      <c r="C236" s="4"/>
      <c r="D236" s="4"/>
      <c r="E236" s="17"/>
      <c r="F236" s="22"/>
    </row>
    <row r="237" spans="1:6" ht="15.75" thickBot="1">
      <c r="A237" s="3"/>
      <c r="B237" s="3"/>
      <c r="C237" s="4"/>
      <c r="D237" s="4"/>
      <c r="E237" s="17"/>
      <c r="F237" s="22"/>
    </row>
    <row r="238" spans="1:6" ht="15.75" thickBot="1">
      <c r="A238" s="3"/>
      <c r="B238" s="3"/>
      <c r="C238" s="4"/>
      <c r="D238" s="4"/>
      <c r="E238" s="17"/>
      <c r="F238" s="22"/>
    </row>
    <row r="239" spans="1:6" ht="15.75" thickBot="1">
      <c r="A239" s="3"/>
      <c r="B239" s="3"/>
      <c r="C239" s="4"/>
      <c r="D239" s="4"/>
      <c r="E239" s="17"/>
      <c r="F239" s="22"/>
    </row>
    <row r="240" spans="1:6" ht="15.75" thickBot="1">
      <c r="A240" s="3"/>
      <c r="B240" s="3"/>
      <c r="C240" s="4"/>
      <c r="D240" s="4"/>
      <c r="E240" s="17"/>
      <c r="F240" s="22"/>
    </row>
    <row r="241" spans="1:6" ht="15.75" thickBot="1">
      <c r="A241" s="3"/>
      <c r="B241" s="3"/>
      <c r="C241" s="4"/>
      <c r="D241" s="4"/>
      <c r="E241" s="17"/>
      <c r="F241" s="22"/>
    </row>
    <row r="242" spans="1:6" ht="15.75" thickBot="1">
      <c r="A242" s="3"/>
      <c r="B242" s="3"/>
      <c r="C242" s="4"/>
      <c r="D242" s="4"/>
      <c r="E242" s="17"/>
      <c r="F242" s="22"/>
    </row>
    <row r="243" spans="1:6" ht="15.75" thickBot="1">
      <c r="A243" s="3"/>
      <c r="B243" s="3"/>
      <c r="C243" s="4"/>
      <c r="D243" s="4"/>
      <c r="E243" s="17"/>
      <c r="F243" s="22"/>
    </row>
    <row r="244" spans="1:6" ht="15.75" thickBot="1">
      <c r="A244" s="3"/>
      <c r="B244" s="3"/>
      <c r="C244" s="4"/>
      <c r="D244" s="4"/>
      <c r="E244" s="17"/>
      <c r="F244" s="22"/>
    </row>
    <row r="245" spans="1:6" ht="15.75" thickBot="1">
      <c r="A245" s="3"/>
      <c r="B245" s="3"/>
      <c r="C245" s="4"/>
      <c r="D245" s="4"/>
      <c r="E245" s="17"/>
      <c r="F245" s="22"/>
    </row>
    <row r="246" spans="1:6" ht="15.75" thickBot="1">
      <c r="A246" s="3"/>
      <c r="B246" s="3"/>
      <c r="C246" s="4"/>
      <c r="D246" s="4"/>
      <c r="E246" s="17"/>
      <c r="F246" s="22"/>
    </row>
    <row r="247" spans="1:6" ht="15.75" thickBot="1">
      <c r="A247" s="3"/>
      <c r="B247" s="3"/>
      <c r="C247" s="4"/>
      <c r="D247" s="4"/>
      <c r="E247" s="17"/>
      <c r="F247" s="22"/>
    </row>
    <row r="248" spans="1:6" ht="15.75" thickBot="1">
      <c r="A248" s="3"/>
      <c r="B248" s="3"/>
      <c r="C248" s="4"/>
      <c r="D248" s="4"/>
      <c r="E248" s="17"/>
      <c r="F248" s="22"/>
    </row>
    <row r="249" spans="1:6" ht="15.75" thickBot="1">
      <c r="A249" s="3"/>
      <c r="B249" s="3"/>
      <c r="C249" s="4"/>
      <c r="D249" s="4"/>
      <c r="E249" s="17"/>
      <c r="F249" s="22"/>
    </row>
    <row r="250" spans="1:6" ht="15.75" thickBot="1">
      <c r="A250" s="3"/>
      <c r="B250" s="3"/>
      <c r="C250" s="4"/>
      <c r="D250" s="4"/>
      <c r="E250" s="17"/>
      <c r="F250" s="22"/>
    </row>
    <row r="251" spans="1:6" ht="15.75" thickBot="1">
      <c r="A251" s="3"/>
      <c r="B251" s="3"/>
      <c r="C251" s="4"/>
      <c r="D251" s="4"/>
      <c r="E251" s="17"/>
      <c r="F251" s="22"/>
    </row>
    <row r="252" spans="1:6" ht="15.75" thickBot="1">
      <c r="A252" s="3"/>
      <c r="B252" s="3"/>
      <c r="C252" s="4"/>
      <c r="D252" s="4"/>
      <c r="E252" s="17"/>
      <c r="F252" s="22"/>
    </row>
    <row r="253" spans="1:6" ht="15.75" thickBot="1">
      <c r="A253" s="3"/>
      <c r="B253" s="3"/>
      <c r="C253" s="4"/>
      <c r="D253" s="4"/>
      <c r="E253" s="17"/>
      <c r="F253" s="22"/>
    </row>
    <row r="254" spans="1:6" ht="15.75" thickBot="1">
      <c r="A254" s="3"/>
      <c r="B254" s="3"/>
      <c r="C254" s="4"/>
      <c r="D254" s="4"/>
      <c r="E254" s="17"/>
      <c r="F254" s="22"/>
    </row>
    <row r="255" spans="1:6" ht="15.75" thickBot="1">
      <c r="A255" s="3"/>
      <c r="B255" s="3"/>
      <c r="C255" s="4"/>
      <c r="D255" s="4"/>
      <c r="E255" s="17"/>
      <c r="F255" s="22"/>
    </row>
    <row r="256" spans="1:6" ht="15.75" thickBot="1">
      <c r="A256" s="3"/>
      <c r="B256" s="3"/>
      <c r="C256" s="4"/>
      <c r="D256" s="4"/>
      <c r="E256" s="17"/>
      <c r="F256" s="22"/>
    </row>
    <row r="257" spans="1:6" ht="15.75" thickBot="1">
      <c r="A257" s="3"/>
      <c r="B257" s="3"/>
      <c r="C257" s="4"/>
      <c r="D257" s="4"/>
      <c r="E257" s="17"/>
      <c r="F257" s="22"/>
    </row>
    <row r="258" spans="1:6" ht="15.75" thickBot="1">
      <c r="A258" s="3"/>
      <c r="B258" s="3"/>
      <c r="C258" s="4"/>
      <c r="D258" s="4"/>
      <c r="E258" s="17"/>
      <c r="F258" s="22"/>
    </row>
    <row r="259" spans="1:6" ht="15.75" thickBot="1">
      <c r="A259" s="3"/>
      <c r="B259" s="3"/>
      <c r="C259" s="4"/>
      <c r="D259" s="4"/>
      <c r="E259" s="17"/>
      <c r="F259" s="22"/>
    </row>
    <row r="260" spans="1:6" ht="15.75" thickBot="1">
      <c r="A260" s="3"/>
      <c r="B260" s="3"/>
      <c r="C260" s="4"/>
      <c r="D260" s="4"/>
      <c r="E260" s="17"/>
      <c r="F260" s="22"/>
    </row>
    <row r="261" spans="1:6" ht="15.75" thickBot="1">
      <c r="A261" s="3"/>
      <c r="B261" s="3"/>
      <c r="C261" s="4"/>
      <c r="D261" s="4"/>
      <c r="E261" s="17"/>
      <c r="F261" s="22"/>
    </row>
    <row r="262" spans="1:6" ht="15.75" thickBot="1">
      <c r="A262" s="3"/>
      <c r="B262" s="3"/>
      <c r="C262" s="4"/>
      <c r="D262" s="4"/>
      <c r="E262" s="17"/>
      <c r="F262" s="22"/>
    </row>
    <row r="263" spans="1:6" ht="15.75" thickBot="1">
      <c r="A263" s="3"/>
      <c r="B263" s="3"/>
      <c r="C263" s="4"/>
      <c r="D263" s="4"/>
      <c r="E263" s="17"/>
      <c r="F263" s="22"/>
    </row>
    <row r="264" spans="1:6" ht="15.75" thickBot="1">
      <c r="A264" s="3"/>
      <c r="B264" s="3"/>
      <c r="C264" s="4"/>
      <c r="D264" s="4"/>
      <c r="E264" s="17"/>
      <c r="F264" s="22"/>
    </row>
    <row r="265" spans="1:6" ht="15.75" thickBot="1">
      <c r="A265" s="3"/>
      <c r="B265" s="3"/>
      <c r="C265" s="4"/>
      <c r="D265" s="4"/>
      <c r="E265" s="17"/>
      <c r="F265" s="22"/>
    </row>
    <row r="266" spans="1:6" ht="15.75" thickBot="1">
      <c r="A266" s="3"/>
      <c r="B266" s="3"/>
      <c r="C266" s="4"/>
      <c r="D266" s="4"/>
      <c r="E266" s="17"/>
      <c r="F266" s="22"/>
    </row>
    <row r="267" spans="1:6" ht="15.75" thickBot="1">
      <c r="A267" s="3"/>
      <c r="B267" s="3"/>
      <c r="C267" s="4"/>
      <c r="D267" s="4"/>
      <c r="E267" s="17"/>
      <c r="F267" s="22"/>
    </row>
    <row r="268" spans="1:6" ht="15.75" thickBot="1">
      <c r="A268" s="3"/>
      <c r="B268" s="3"/>
      <c r="C268" s="4"/>
      <c r="D268" s="4"/>
      <c r="E268" s="17"/>
      <c r="F268" s="22"/>
    </row>
    <row r="269" spans="1:6" ht="15.75" thickBot="1">
      <c r="A269" s="3"/>
      <c r="B269" s="3"/>
      <c r="C269" s="4"/>
      <c r="D269" s="4"/>
      <c r="E269" s="17"/>
      <c r="F269" s="22"/>
    </row>
    <row r="270" spans="1:6" ht="15.75" thickBot="1">
      <c r="A270" s="3"/>
      <c r="B270" s="3"/>
      <c r="C270" s="4"/>
      <c r="D270" s="4"/>
      <c r="E270" s="17"/>
      <c r="F270" s="22"/>
    </row>
    <row r="271" spans="1:6" ht="15.75" thickBot="1">
      <c r="A271" s="3"/>
      <c r="B271" s="3"/>
      <c r="C271" s="4"/>
      <c r="D271" s="4"/>
      <c r="E271" s="17"/>
      <c r="F271" s="22"/>
    </row>
    <row r="272" spans="1:6" ht="15.75" thickBot="1">
      <c r="A272" s="3"/>
      <c r="B272" s="3"/>
      <c r="C272" s="4"/>
      <c r="D272" s="4"/>
      <c r="E272" s="17"/>
      <c r="F272" s="22"/>
    </row>
    <row r="273" spans="1:6" ht="15.75" thickBot="1">
      <c r="A273" s="3"/>
      <c r="B273" s="3"/>
      <c r="C273" s="4"/>
      <c r="D273" s="4"/>
      <c r="E273" s="17"/>
      <c r="F273" s="22"/>
    </row>
    <row r="274" spans="1:6" ht="15.75" thickBot="1">
      <c r="A274" s="3"/>
      <c r="B274" s="3"/>
      <c r="C274" s="4"/>
      <c r="D274" s="4"/>
      <c r="E274" s="17"/>
      <c r="F274" s="22"/>
    </row>
    <row r="275" spans="1:6" ht="15.75" thickBot="1">
      <c r="A275" s="3"/>
      <c r="B275" s="3"/>
      <c r="C275" s="4"/>
      <c r="D275" s="4"/>
      <c r="E275" s="17"/>
      <c r="F275" s="22"/>
    </row>
    <row r="276" spans="1:6" ht="15.75" thickBot="1">
      <c r="A276" s="3"/>
      <c r="B276" s="3"/>
      <c r="C276" s="4"/>
      <c r="D276" s="4"/>
      <c r="E276" s="17"/>
      <c r="F276" s="22"/>
    </row>
    <row r="277" spans="1:6" ht="15.75" thickBot="1">
      <c r="A277" s="3"/>
      <c r="B277" s="3"/>
      <c r="C277" s="4"/>
      <c r="D277" s="4"/>
      <c r="E277" s="17"/>
      <c r="F277" s="22"/>
    </row>
    <row r="278" spans="1:6" ht="15.75" thickBot="1">
      <c r="A278" s="3"/>
      <c r="B278" s="3"/>
      <c r="C278" s="4"/>
      <c r="D278" s="4"/>
      <c r="E278" s="17"/>
      <c r="F278" s="22"/>
    </row>
    <row r="279" spans="1:6" ht="15.75" thickBot="1">
      <c r="A279" s="3"/>
      <c r="B279" s="3"/>
      <c r="C279" s="4"/>
      <c r="D279" s="4"/>
      <c r="E279" s="17"/>
      <c r="F279" s="22"/>
    </row>
    <row r="280" spans="1:6" ht="15.75" thickBot="1">
      <c r="A280" s="3"/>
      <c r="B280" s="3"/>
      <c r="C280" s="4"/>
      <c r="D280" s="4"/>
      <c r="E280" s="17"/>
      <c r="F280" s="22"/>
    </row>
    <row r="281" spans="1:6" ht="15.75" thickBot="1">
      <c r="A281" s="3"/>
      <c r="B281" s="3"/>
      <c r="C281" s="4"/>
      <c r="D281" s="4"/>
      <c r="E281" s="17"/>
      <c r="F281" s="22"/>
    </row>
    <row r="282" spans="1:6" ht="15.75" thickBot="1">
      <c r="A282" s="3"/>
      <c r="B282" s="3"/>
      <c r="C282" s="4"/>
      <c r="D282" s="4"/>
      <c r="E282" s="17"/>
      <c r="F282" s="22"/>
    </row>
    <row r="283" spans="1:6" ht="15.75" thickBot="1">
      <c r="A283" s="3"/>
      <c r="B283" s="3"/>
      <c r="C283" s="4"/>
      <c r="D283" s="4"/>
      <c r="E283" s="17"/>
      <c r="F283" s="22"/>
    </row>
    <row r="284" spans="1:6" ht="15.75" thickBot="1">
      <c r="A284" s="3"/>
      <c r="B284" s="3"/>
      <c r="C284" s="4"/>
      <c r="D284" s="4"/>
      <c r="E284" s="17"/>
      <c r="F284" s="22"/>
    </row>
    <row r="285" spans="1:6" ht="15.75" thickBot="1">
      <c r="A285" s="3"/>
      <c r="B285" s="3"/>
      <c r="C285" s="4"/>
      <c r="D285" s="4"/>
      <c r="E285" s="17"/>
      <c r="F285" s="22"/>
    </row>
    <row r="286" spans="1:6" ht="15.75" thickBot="1">
      <c r="A286" s="3"/>
      <c r="B286" s="3"/>
      <c r="C286" s="4"/>
      <c r="D286" s="4"/>
      <c r="E286" s="17"/>
      <c r="F286" s="22"/>
    </row>
    <row r="287" spans="1:6" ht="15.75" thickBot="1">
      <c r="A287" s="3"/>
      <c r="B287" s="3"/>
      <c r="C287" s="4"/>
      <c r="D287" s="4"/>
      <c r="E287" s="17"/>
      <c r="F287" s="22"/>
    </row>
    <row r="288" spans="1:6" ht="15.75" thickBot="1">
      <c r="A288" s="3"/>
      <c r="B288" s="3"/>
      <c r="C288" s="4"/>
      <c r="D288" s="4"/>
      <c r="E288" s="17"/>
      <c r="F288" s="22"/>
    </row>
    <row r="289" spans="1:6" ht="15.75" thickBot="1">
      <c r="A289" s="3"/>
      <c r="B289" s="3"/>
      <c r="C289" s="4"/>
      <c r="D289" s="4"/>
      <c r="E289" s="17"/>
      <c r="F289" s="22"/>
    </row>
    <row r="290" spans="1:6" ht="15.75" thickBot="1">
      <c r="A290" s="3"/>
      <c r="B290" s="3"/>
      <c r="C290" s="4"/>
      <c r="D290" s="4"/>
      <c r="E290" s="17"/>
      <c r="F290" s="22"/>
    </row>
    <row r="291" spans="1:6" ht="15.75" thickBot="1">
      <c r="A291" s="3"/>
      <c r="B291" s="3"/>
      <c r="C291" s="4"/>
      <c r="D291" s="4"/>
      <c r="E291" s="17"/>
      <c r="F291" s="22"/>
    </row>
    <row r="292" spans="1:6" ht="15.75" thickBot="1">
      <c r="A292" s="3"/>
      <c r="B292" s="3"/>
      <c r="C292" s="4"/>
      <c r="D292" s="4"/>
      <c r="E292" s="17"/>
      <c r="F292" s="22"/>
    </row>
    <row r="293" spans="1:6" ht="15.75" thickBot="1">
      <c r="A293" s="3"/>
      <c r="B293" s="3"/>
      <c r="C293" s="4"/>
      <c r="D293" s="4"/>
      <c r="E293" s="17"/>
      <c r="F293" s="22"/>
    </row>
    <row r="294" spans="1:6" ht="15.75" thickBot="1">
      <c r="A294" s="3"/>
      <c r="B294" s="3"/>
      <c r="C294" s="4"/>
      <c r="D294" s="4"/>
      <c r="E294" s="17"/>
      <c r="F294" s="22"/>
    </row>
    <row r="295" spans="1:6" ht="15.75" thickBot="1">
      <c r="A295" s="3"/>
      <c r="B295" s="3"/>
      <c r="C295" s="4"/>
      <c r="D295" s="4"/>
      <c r="E295" s="17"/>
      <c r="F295" s="22"/>
    </row>
    <row r="296" spans="1:6" ht="15.75" thickBot="1">
      <c r="A296" s="3"/>
      <c r="B296" s="3"/>
      <c r="C296" s="4"/>
      <c r="D296" s="4"/>
      <c r="E296" s="17"/>
      <c r="F296" s="22"/>
    </row>
    <row r="297" spans="1:6" ht="15.75" thickBot="1">
      <c r="A297" s="3"/>
      <c r="B297" s="3"/>
      <c r="C297" s="4"/>
      <c r="D297" s="4"/>
      <c r="E297" s="17"/>
      <c r="F297" s="22"/>
    </row>
    <row r="298" spans="1:6" ht="15.75" thickBot="1">
      <c r="A298" s="3"/>
      <c r="B298" s="3"/>
      <c r="C298" s="4"/>
      <c r="D298" s="4"/>
      <c r="E298" s="17"/>
      <c r="F298" s="22"/>
    </row>
    <row r="299" spans="1:6" ht="15.75" thickBot="1">
      <c r="A299" s="3"/>
      <c r="B299" s="3"/>
      <c r="C299" s="4"/>
      <c r="D299" s="4"/>
      <c r="E299" s="17"/>
      <c r="F299" s="22"/>
    </row>
    <row r="300" spans="1:6" ht="15.75" thickBot="1">
      <c r="A300" s="3"/>
      <c r="B300" s="3"/>
      <c r="C300" s="4"/>
      <c r="D300" s="4"/>
      <c r="E300" s="17"/>
      <c r="F300" s="22"/>
    </row>
    <row r="301" spans="1:6" ht="15.75" thickBot="1">
      <c r="A301" s="3"/>
      <c r="B301" s="3"/>
      <c r="C301" s="4"/>
      <c r="D301" s="4"/>
      <c r="E301" s="17"/>
      <c r="F301" s="22"/>
    </row>
    <row r="302" spans="1:6" ht="15.75" thickBot="1">
      <c r="A302" s="3"/>
      <c r="B302" s="3"/>
      <c r="C302" s="4"/>
      <c r="D302" s="4"/>
      <c r="E302" s="17"/>
      <c r="F302" s="22"/>
    </row>
    <row r="303" spans="1:6" ht="15.75" thickBot="1">
      <c r="A303" s="3"/>
      <c r="B303" s="3"/>
      <c r="C303" s="4"/>
      <c r="D303" s="4"/>
      <c r="E303" s="17"/>
      <c r="F303" s="22"/>
    </row>
    <row r="304" spans="1:6" ht="15.75" thickBot="1">
      <c r="A304" s="3"/>
      <c r="B304" s="3"/>
      <c r="C304" s="4"/>
      <c r="D304" s="4"/>
      <c r="E304" s="17"/>
      <c r="F304" s="22"/>
    </row>
    <row r="305" spans="1:6" ht="15.75" thickBot="1">
      <c r="A305" s="3"/>
      <c r="B305" s="3"/>
      <c r="C305" s="4"/>
      <c r="D305" s="4"/>
      <c r="E305" s="17"/>
      <c r="F305" s="22"/>
    </row>
    <row r="306" spans="1:6" ht="15.75" thickBot="1">
      <c r="A306" s="3"/>
      <c r="B306" s="3"/>
      <c r="C306" s="4"/>
      <c r="D306" s="4"/>
      <c r="E306" s="17"/>
      <c r="F306" s="22"/>
    </row>
    <row r="307" spans="1:6" ht="15.75" thickBot="1">
      <c r="A307" s="3"/>
      <c r="B307" s="3"/>
      <c r="C307" s="4"/>
      <c r="D307" s="4"/>
      <c r="E307" s="17"/>
      <c r="F307" s="22"/>
    </row>
    <row r="308" spans="1:6" ht="15.75" thickBot="1">
      <c r="A308" s="3"/>
      <c r="B308" s="3"/>
      <c r="C308" s="4"/>
      <c r="D308" s="4"/>
      <c r="E308" s="17"/>
      <c r="F308" s="22"/>
    </row>
    <row r="309" spans="1:6" ht="15.75" thickBot="1">
      <c r="A309" s="3"/>
      <c r="B309" s="3"/>
      <c r="C309" s="4"/>
      <c r="D309" s="4"/>
      <c r="E309" s="17"/>
      <c r="F309" s="22"/>
    </row>
    <row r="310" spans="1:6" ht="15.75" thickBot="1">
      <c r="A310" s="3"/>
      <c r="B310" s="3"/>
      <c r="C310" s="4"/>
      <c r="D310" s="4"/>
      <c r="E310" s="17"/>
      <c r="F310" s="22"/>
    </row>
    <row r="311" spans="1:6" ht="15.75" thickBot="1">
      <c r="A311" s="3"/>
      <c r="B311" s="3"/>
      <c r="C311" s="4"/>
      <c r="D311" s="4"/>
      <c r="E311" s="17"/>
      <c r="F311" s="22"/>
    </row>
    <row r="312" spans="1:6" ht="15.75" thickBot="1">
      <c r="A312" s="3"/>
      <c r="B312" s="3"/>
      <c r="C312" s="4"/>
      <c r="D312" s="4"/>
      <c r="E312" s="17"/>
      <c r="F312" s="22"/>
    </row>
    <row r="313" spans="1:6" ht="15.75" thickBot="1">
      <c r="A313" s="3"/>
      <c r="B313" s="3"/>
      <c r="C313" s="4"/>
      <c r="D313" s="4"/>
      <c r="E313" s="17"/>
      <c r="F313" s="22"/>
    </row>
    <row r="314" spans="1:6" ht="15.75" thickBot="1">
      <c r="A314" s="3"/>
      <c r="B314" s="3"/>
      <c r="C314" s="4"/>
      <c r="D314" s="4"/>
      <c r="E314" s="17"/>
      <c r="F314" s="22"/>
    </row>
    <row r="315" spans="1:6" ht="15.75" thickBot="1">
      <c r="A315" s="3"/>
      <c r="B315" s="3"/>
      <c r="C315" s="4"/>
      <c r="D315" s="4"/>
      <c r="E315" s="17"/>
      <c r="F315" s="22"/>
    </row>
    <row r="316" spans="1:6" ht="15.75" thickBot="1">
      <c r="A316" s="3"/>
      <c r="B316" s="3"/>
      <c r="C316" s="4"/>
      <c r="D316" s="4"/>
      <c r="E316" s="17"/>
      <c r="F316" s="22"/>
    </row>
    <row r="317" spans="1:6" ht="15.75" thickBot="1">
      <c r="A317" s="3"/>
      <c r="B317" s="3"/>
      <c r="C317" s="4"/>
      <c r="D317" s="4"/>
      <c r="E317" s="17"/>
      <c r="F317" s="22"/>
    </row>
    <row r="318" spans="1:6" ht="15.75" thickBot="1">
      <c r="A318" s="3"/>
      <c r="B318" s="3"/>
      <c r="C318" s="4"/>
      <c r="D318" s="4"/>
      <c r="E318" s="17"/>
      <c r="F318" s="22"/>
    </row>
    <row r="319" spans="1:6" ht="15.75" thickBot="1">
      <c r="A319" s="3"/>
      <c r="B319" s="3"/>
      <c r="C319" s="4"/>
      <c r="D319" s="4"/>
      <c r="E319" s="17"/>
      <c r="F319" s="22"/>
    </row>
    <row r="320" spans="1:6" ht="15.75" thickBot="1">
      <c r="A320" s="3"/>
      <c r="B320" s="3"/>
      <c r="C320" s="4"/>
      <c r="D320" s="4"/>
      <c r="E320" s="17"/>
      <c r="F320" s="22"/>
    </row>
    <row r="321" spans="1:6" ht="15.75" thickBot="1">
      <c r="A321" s="3"/>
      <c r="B321" s="3"/>
      <c r="C321" s="4"/>
      <c r="D321" s="4"/>
      <c r="E321" s="17"/>
      <c r="F321" s="22"/>
    </row>
    <row r="322" spans="1:6" ht="15.75" thickBot="1">
      <c r="A322" s="3"/>
      <c r="B322" s="3"/>
      <c r="C322" s="4"/>
      <c r="D322" s="4"/>
      <c r="E322" s="17"/>
      <c r="F322" s="22"/>
    </row>
    <row r="323" spans="1:6" ht="15.75" thickBot="1">
      <c r="A323" s="3"/>
      <c r="B323" s="3"/>
      <c r="C323" s="4"/>
      <c r="D323" s="4"/>
      <c r="E323" s="17"/>
      <c r="F323" s="22"/>
    </row>
    <row r="324" spans="1:6" ht="15.75" thickBot="1">
      <c r="A324" s="3"/>
      <c r="B324" s="3"/>
      <c r="C324" s="4"/>
      <c r="D324" s="4"/>
      <c r="E324" s="17"/>
      <c r="F324" s="22"/>
    </row>
    <row r="325" spans="1:6" ht="15.75" thickBot="1">
      <c r="A325" s="3"/>
      <c r="B325" s="3"/>
      <c r="C325" s="4"/>
      <c r="D325" s="4"/>
      <c r="E325" s="17"/>
      <c r="F325" s="22"/>
    </row>
    <row r="326" spans="1:6" ht="15.75" thickBot="1">
      <c r="A326" s="3"/>
      <c r="B326" s="3"/>
      <c r="C326" s="4"/>
      <c r="D326" s="4"/>
      <c r="E326" s="17"/>
      <c r="F326" s="22"/>
    </row>
    <row r="327" spans="1:6" ht="15.75" thickBot="1">
      <c r="A327" s="3"/>
      <c r="B327" s="3"/>
      <c r="C327" s="4"/>
      <c r="D327" s="4"/>
      <c r="E327" s="17"/>
      <c r="F327" s="22"/>
    </row>
    <row r="328" spans="1:6" ht="15.75" thickBot="1">
      <c r="A328" s="3"/>
      <c r="B328" s="3"/>
      <c r="C328" s="4"/>
      <c r="D328" s="4"/>
      <c r="E328" s="17"/>
      <c r="F328" s="22"/>
    </row>
    <row r="329" spans="1:6" ht="15.75" thickBot="1">
      <c r="A329" s="3"/>
      <c r="B329" s="3"/>
      <c r="C329" s="4"/>
      <c r="D329" s="4"/>
      <c r="E329" s="17"/>
      <c r="F329" s="22"/>
    </row>
    <row r="330" spans="1:6" ht="15.75" thickBot="1">
      <c r="A330" s="3"/>
      <c r="B330" s="3"/>
      <c r="C330" s="4"/>
      <c r="D330" s="4"/>
      <c r="E330" s="17"/>
      <c r="F330" s="22"/>
    </row>
    <row r="331" spans="1:6" ht="15.75" thickBot="1">
      <c r="A331" s="3"/>
      <c r="B331" s="3"/>
      <c r="C331" s="4"/>
      <c r="D331" s="4"/>
      <c r="E331" s="17"/>
      <c r="F331" s="22"/>
    </row>
    <row r="332" spans="1:6" ht="15.75" thickBot="1">
      <c r="A332" s="3"/>
      <c r="B332" s="3"/>
      <c r="C332" s="4"/>
      <c r="D332" s="4"/>
      <c r="E332" s="17"/>
      <c r="F332" s="22"/>
    </row>
    <row r="333" spans="1:6" ht="15.75" thickBot="1">
      <c r="A333" s="3"/>
      <c r="B333" s="3"/>
      <c r="C333" s="4"/>
      <c r="D333" s="4"/>
      <c r="E333" s="17"/>
      <c r="F333" s="22"/>
    </row>
    <row r="334" spans="1:6" ht="15.75" thickBot="1">
      <c r="A334" s="3"/>
      <c r="B334" s="3"/>
      <c r="C334" s="4"/>
      <c r="D334" s="4"/>
      <c r="E334" s="17"/>
      <c r="F334" s="22"/>
    </row>
    <row r="335" spans="1:6" ht="15.75" thickBot="1">
      <c r="A335" s="3"/>
      <c r="B335" s="3"/>
      <c r="C335" s="4"/>
      <c r="D335" s="4"/>
      <c r="E335" s="17"/>
      <c r="F335" s="22"/>
    </row>
    <row r="336" spans="1:6" ht="15.75" thickBot="1">
      <c r="A336" s="3"/>
      <c r="B336" s="3"/>
      <c r="C336" s="4"/>
      <c r="D336" s="4"/>
      <c r="E336" s="17"/>
      <c r="F336" s="22"/>
    </row>
    <row r="337" spans="1:6" ht="15.75" thickBot="1">
      <c r="A337" s="3"/>
      <c r="B337" s="3"/>
      <c r="C337" s="4"/>
      <c r="D337" s="4"/>
      <c r="E337" s="17"/>
      <c r="F337" s="22"/>
    </row>
    <row r="338" spans="1:6" ht="15.75" thickBot="1">
      <c r="A338" s="3"/>
      <c r="B338" s="3"/>
      <c r="C338" s="4"/>
      <c r="D338" s="4"/>
      <c r="E338" s="17"/>
      <c r="F338" s="22"/>
    </row>
    <row r="339" spans="1:6" ht="15.75" thickBot="1">
      <c r="A339" s="3"/>
      <c r="B339" s="3"/>
      <c r="C339" s="4"/>
      <c r="D339" s="4"/>
      <c r="E339" s="17"/>
      <c r="F339" s="22"/>
    </row>
    <row r="340" spans="1:6" ht="15.75" thickBot="1">
      <c r="A340" s="3"/>
      <c r="B340" s="3"/>
      <c r="C340" s="4"/>
      <c r="D340" s="4"/>
      <c r="E340" s="17"/>
      <c r="F340" s="22"/>
    </row>
    <row r="341" spans="1:6" ht="15.75" thickBot="1">
      <c r="A341" s="3"/>
      <c r="B341" s="3"/>
      <c r="C341" s="4"/>
      <c r="D341" s="4"/>
      <c r="E341" s="17"/>
      <c r="F341" s="22"/>
    </row>
    <row r="342" spans="1:6" ht="15.75" thickBot="1">
      <c r="A342" s="3"/>
      <c r="B342" s="3"/>
      <c r="C342" s="4"/>
      <c r="D342" s="4"/>
      <c r="E342" s="17"/>
      <c r="F342" s="22"/>
    </row>
    <row r="343" spans="1:6" ht="15.75" thickBot="1">
      <c r="A343" s="3"/>
      <c r="B343" s="3"/>
      <c r="C343" s="4"/>
      <c r="D343" s="4"/>
      <c r="E343" s="17"/>
      <c r="F343" s="22"/>
    </row>
    <row r="344" spans="1:6" ht="15.75" thickBot="1">
      <c r="A344" s="3"/>
      <c r="B344" s="3"/>
      <c r="C344" s="4"/>
      <c r="D344" s="4"/>
      <c r="E344" s="17"/>
      <c r="F344" s="22"/>
    </row>
    <row r="345" spans="1:6" ht="15.75" thickBot="1">
      <c r="A345" s="3"/>
      <c r="B345" s="3"/>
      <c r="C345" s="4"/>
      <c r="D345" s="4"/>
      <c r="E345" s="17"/>
      <c r="F345" s="22"/>
    </row>
    <row r="346" spans="1:6" ht="15.75" thickBot="1">
      <c r="A346" s="3"/>
      <c r="B346" s="3"/>
      <c r="C346" s="4"/>
      <c r="D346" s="4"/>
      <c r="E346" s="17"/>
      <c r="F346" s="22"/>
    </row>
    <row r="347" spans="1:6" ht="15.75" thickBot="1">
      <c r="A347" s="3"/>
      <c r="B347" s="3"/>
      <c r="C347" s="4"/>
      <c r="D347" s="4"/>
      <c r="E347" s="17"/>
      <c r="F347" s="22"/>
    </row>
    <row r="348" spans="1:6" ht="15.75" thickBot="1">
      <c r="A348" s="3"/>
      <c r="B348" s="3"/>
      <c r="C348" s="4"/>
      <c r="D348" s="4"/>
      <c r="E348" s="17"/>
      <c r="F348" s="22"/>
    </row>
    <row r="349" spans="1:6" ht="15.75" thickBot="1">
      <c r="A349" s="3"/>
      <c r="B349" s="3"/>
      <c r="C349" s="4"/>
      <c r="D349" s="4"/>
      <c r="E349" s="17"/>
      <c r="F349" s="22"/>
    </row>
    <row r="350" spans="1:6" ht="15.75" thickBot="1">
      <c r="A350" s="3"/>
      <c r="B350" s="3"/>
      <c r="C350" s="4"/>
      <c r="D350" s="4"/>
      <c r="E350" s="17"/>
      <c r="F350" s="22"/>
    </row>
    <row r="351" spans="1:6" ht="15.75" thickBot="1">
      <c r="A351" s="3"/>
      <c r="B351" s="3"/>
      <c r="C351" s="4"/>
      <c r="D351" s="4"/>
      <c r="E351" s="17"/>
      <c r="F351" s="22"/>
    </row>
    <row r="352" spans="1:6" ht="15.75" thickBot="1">
      <c r="A352" s="3"/>
      <c r="B352" s="3"/>
      <c r="C352" s="4"/>
      <c r="D352" s="4"/>
      <c r="E352" s="17"/>
      <c r="F352" s="22"/>
    </row>
    <row r="353" spans="1:6" ht="15.75" thickBot="1">
      <c r="A353" s="3"/>
      <c r="B353" s="3"/>
      <c r="C353" s="4"/>
      <c r="D353" s="4"/>
      <c r="E353" s="17"/>
      <c r="F353" s="22"/>
    </row>
    <row r="354" spans="1:6" ht="15.75" thickBot="1">
      <c r="A354" s="3"/>
      <c r="B354" s="3"/>
      <c r="C354" s="4"/>
      <c r="D354" s="4"/>
      <c r="E354" s="17"/>
      <c r="F354" s="22"/>
    </row>
    <row r="355" spans="1:6" ht="15.75" thickBot="1">
      <c r="A355" s="3"/>
      <c r="B355" s="3"/>
      <c r="C355" s="4"/>
      <c r="D355" s="4"/>
      <c r="E355" s="17"/>
      <c r="F355" s="22"/>
    </row>
    <row r="356" spans="1:6" ht="15.75" thickBot="1">
      <c r="A356" s="3"/>
      <c r="B356" s="3"/>
      <c r="C356" s="4"/>
      <c r="D356" s="4"/>
      <c r="E356" s="17"/>
      <c r="F356" s="22"/>
    </row>
    <row r="357" spans="1:6" ht="15.75" thickBot="1">
      <c r="A357" s="3"/>
      <c r="B357" s="3"/>
      <c r="C357" s="4"/>
      <c r="D357" s="4"/>
      <c r="E357" s="17"/>
      <c r="F357" s="22"/>
    </row>
    <row r="358" spans="1:6" ht="15.75" thickBot="1">
      <c r="A358" s="3"/>
      <c r="B358" s="3"/>
      <c r="C358" s="4"/>
      <c r="D358" s="4"/>
      <c r="E358" s="17"/>
      <c r="F358" s="22"/>
    </row>
    <row r="359" spans="1:6" ht="15.75" thickBot="1">
      <c r="A359" s="3"/>
      <c r="B359" s="3"/>
      <c r="C359" s="4"/>
      <c r="D359" s="4"/>
      <c r="E359" s="17"/>
      <c r="F359" s="22"/>
    </row>
    <row r="360" spans="1:6" ht="15.75" thickBot="1">
      <c r="A360" s="3"/>
      <c r="B360" s="3"/>
      <c r="C360" s="4"/>
      <c r="D360" s="4"/>
      <c r="E360" s="17"/>
      <c r="F360" s="22"/>
    </row>
    <row r="361" spans="1:6" ht="15.75" thickBot="1">
      <c r="A361" s="3"/>
      <c r="B361" s="3"/>
      <c r="C361" s="4"/>
      <c r="D361" s="4"/>
      <c r="E361" s="17"/>
      <c r="F361" s="22"/>
    </row>
    <row r="362" spans="1:6" ht="15.75" thickBot="1">
      <c r="A362" s="3"/>
      <c r="B362" s="3"/>
      <c r="C362" s="4"/>
      <c r="D362" s="4"/>
      <c r="E362" s="17"/>
      <c r="F362" s="22"/>
    </row>
    <row r="363" spans="1:6" ht="15.75" thickBot="1">
      <c r="A363" s="3"/>
      <c r="B363" s="3"/>
      <c r="C363" s="4"/>
      <c r="D363" s="4"/>
      <c r="E363" s="17"/>
      <c r="F363" s="22"/>
    </row>
    <row r="364" spans="1:6" ht="15.75" thickBot="1">
      <c r="A364" s="3"/>
      <c r="B364" s="3"/>
      <c r="C364" s="4"/>
      <c r="D364" s="4"/>
      <c r="E364" s="17"/>
      <c r="F364" s="22"/>
    </row>
    <row r="365" spans="1:6" ht="15.75" thickBot="1">
      <c r="A365" s="3"/>
      <c r="B365" s="3"/>
      <c r="C365" s="4"/>
      <c r="D365" s="4"/>
      <c r="E365" s="17"/>
      <c r="F365" s="22"/>
    </row>
    <row r="366" spans="1:6" ht="15.75" thickBot="1">
      <c r="A366" s="3"/>
      <c r="B366" s="3"/>
      <c r="C366" s="4"/>
      <c r="D366" s="4"/>
      <c r="E366" s="17"/>
      <c r="F366" s="22"/>
    </row>
    <row r="367" spans="1:6" ht="15.75" thickBot="1">
      <c r="A367" s="3"/>
      <c r="B367" s="3"/>
      <c r="C367" s="4"/>
      <c r="D367" s="4"/>
      <c r="E367" s="17"/>
      <c r="F367" s="22"/>
    </row>
    <row r="368" spans="1:6" ht="15.75" thickBot="1">
      <c r="A368" s="3"/>
      <c r="B368" s="3"/>
      <c r="C368" s="4"/>
      <c r="D368" s="4"/>
      <c r="E368" s="17"/>
      <c r="F368" s="22"/>
    </row>
    <row r="369" spans="1:6" ht="15.75" thickBot="1">
      <c r="A369" s="3"/>
      <c r="B369" s="3"/>
      <c r="C369" s="4"/>
      <c r="D369" s="4"/>
      <c r="E369" s="17"/>
      <c r="F369" s="22"/>
    </row>
    <row r="370" spans="1:6" ht="15.75" thickBot="1">
      <c r="A370" s="3"/>
      <c r="B370" s="3"/>
      <c r="C370" s="4"/>
      <c r="D370" s="4"/>
      <c r="E370" s="17"/>
      <c r="F370" s="22"/>
    </row>
    <row r="371" spans="1:6" ht="15.75" thickBot="1">
      <c r="A371" s="3"/>
      <c r="B371" s="3"/>
      <c r="C371" s="4"/>
      <c r="D371" s="4"/>
      <c r="E371" s="17"/>
      <c r="F371" s="22"/>
    </row>
    <row r="372" spans="1:6" ht="15.75" thickBot="1">
      <c r="A372" s="3"/>
      <c r="B372" s="3"/>
      <c r="C372" s="4"/>
      <c r="D372" s="4"/>
      <c r="E372" s="17"/>
      <c r="F372" s="22"/>
    </row>
    <row r="373" spans="1:6" ht="15.75" thickBot="1">
      <c r="A373" s="3"/>
      <c r="B373" s="3"/>
      <c r="C373" s="4"/>
      <c r="D373" s="4"/>
      <c r="E373" s="17"/>
      <c r="F373" s="22"/>
    </row>
    <row r="374" spans="1:6" ht="15.75" thickBot="1">
      <c r="A374" s="3"/>
      <c r="B374" s="3"/>
      <c r="C374" s="4"/>
      <c r="D374" s="4"/>
      <c r="E374" s="17"/>
      <c r="F374" s="22"/>
    </row>
    <row r="375" spans="1:6" ht="15.75" thickBot="1">
      <c r="A375" s="3"/>
      <c r="B375" s="3"/>
      <c r="C375" s="4"/>
      <c r="D375" s="4"/>
      <c r="E375" s="17"/>
      <c r="F375" s="22"/>
    </row>
    <row r="376" spans="1:6" ht="15.75" thickBot="1">
      <c r="A376" s="3"/>
      <c r="B376" s="3"/>
      <c r="C376" s="4"/>
      <c r="D376" s="4"/>
      <c r="E376" s="17"/>
      <c r="F376" s="22"/>
    </row>
    <row r="377" spans="1:6" ht="15.75" thickBot="1">
      <c r="A377" s="3"/>
      <c r="B377" s="3"/>
      <c r="C377" s="4"/>
      <c r="D377" s="4"/>
      <c r="E377" s="17"/>
      <c r="F377" s="22"/>
    </row>
    <row r="378" spans="1:6" ht="15.75" thickBot="1">
      <c r="A378" s="3"/>
      <c r="B378" s="3"/>
      <c r="C378" s="4"/>
      <c r="D378" s="4"/>
      <c r="E378" s="17"/>
      <c r="F378" s="22"/>
    </row>
    <row r="379" spans="1:6" ht="15.75" thickBot="1">
      <c r="A379" s="3"/>
      <c r="B379" s="3"/>
      <c r="C379" s="4"/>
      <c r="D379" s="4"/>
      <c r="E379" s="17"/>
      <c r="F379" s="22"/>
    </row>
    <row r="380" spans="1:6" ht="15.75" thickBot="1">
      <c r="A380" s="3"/>
      <c r="B380" s="3"/>
      <c r="C380" s="4"/>
      <c r="D380" s="4"/>
      <c r="E380" s="17"/>
      <c r="F380" s="22"/>
    </row>
    <row r="381" spans="1:6" ht="15.75" thickBot="1">
      <c r="A381" s="3"/>
      <c r="B381" s="3"/>
      <c r="C381" s="4"/>
      <c r="D381" s="4"/>
      <c r="E381" s="17"/>
      <c r="F381" s="22"/>
    </row>
    <row r="382" spans="1:6" ht="15.75" thickBot="1">
      <c r="A382" s="3"/>
      <c r="B382" s="3"/>
      <c r="C382" s="4"/>
      <c r="D382" s="4"/>
      <c r="E382" s="17"/>
      <c r="F382" s="22"/>
    </row>
    <row r="383" spans="1:6" ht="15.75" thickBot="1">
      <c r="A383" s="3"/>
      <c r="B383" s="3"/>
      <c r="C383" s="4"/>
      <c r="D383" s="4"/>
      <c r="E383" s="17"/>
      <c r="F383" s="22"/>
    </row>
    <row r="384" spans="1:6" ht="15.75" thickBot="1">
      <c r="A384" s="3"/>
      <c r="B384" s="3"/>
      <c r="C384" s="4"/>
      <c r="D384" s="4"/>
      <c r="E384" s="17"/>
      <c r="F384" s="22"/>
    </row>
    <row r="385" spans="1:6" ht="15.75" thickBot="1">
      <c r="A385" s="3"/>
      <c r="B385" s="3"/>
      <c r="C385" s="4"/>
      <c r="D385" s="4"/>
      <c r="E385" s="17"/>
      <c r="F385" s="22"/>
    </row>
    <row r="386" spans="1:6" ht="15.75" thickBot="1">
      <c r="A386" s="3"/>
      <c r="B386" s="3"/>
      <c r="C386" s="4"/>
      <c r="D386" s="4"/>
      <c r="E386" s="17"/>
      <c r="F386" s="22"/>
    </row>
    <row r="387" spans="1:6" ht="15.75" thickBot="1">
      <c r="A387" s="3"/>
      <c r="B387" s="3"/>
      <c r="C387" s="4"/>
      <c r="D387" s="4"/>
      <c r="E387" s="17"/>
      <c r="F387" s="22"/>
    </row>
    <row r="388" spans="1:6" ht="15.75" thickBot="1">
      <c r="A388" s="3"/>
      <c r="B388" s="3"/>
      <c r="C388" s="4"/>
      <c r="D388" s="4"/>
      <c r="E388" s="17"/>
      <c r="F388" s="22"/>
    </row>
    <row r="389" spans="1:6" ht="15.75" thickBot="1">
      <c r="A389" s="3"/>
      <c r="B389" s="3"/>
      <c r="C389" s="4"/>
      <c r="D389" s="4"/>
      <c r="E389" s="17"/>
      <c r="F389" s="22"/>
    </row>
    <row r="390" spans="1:6" ht="15.75" thickBot="1">
      <c r="A390" s="3"/>
      <c r="B390" s="3"/>
      <c r="C390" s="4"/>
      <c r="D390" s="4"/>
      <c r="E390" s="17"/>
      <c r="F390" s="22"/>
    </row>
    <row r="391" spans="1:6" ht="15.75" thickBot="1">
      <c r="A391" s="3"/>
      <c r="B391" s="3"/>
      <c r="C391" s="4"/>
      <c r="D391" s="4"/>
      <c r="E391" s="17"/>
      <c r="F391" s="22"/>
    </row>
    <row r="392" spans="1:6" ht="15.75" thickBot="1">
      <c r="A392" s="3"/>
      <c r="B392" s="3"/>
      <c r="C392" s="4"/>
      <c r="D392" s="4"/>
      <c r="E392" s="17"/>
      <c r="F392" s="22"/>
    </row>
    <row r="393" spans="1:6" ht="15.75" thickBot="1">
      <c r="A393" s="3"/>
      <c r="B393" s="3"/>
      <c r="C393" s="4"/>
      <c r="D393" s="4"/>
      <c r="E393" s="17"/>
      <c r="F393" s="22"/>
    </row>
    <row r="394" spans="1:6" ht="15.75" thickBot="1">
      <c r="A394" s="3"/>
      <c r="B394" s="3"/>
      <c r="C394" s="4"/>
      <c r="D394" s="4"/>
      <c r="E394" s="17"/>
      <c r="F394" s="22"/>
    </row>
    <row r="395" spans="1:6" ht="15.75" thickBot="1">
      <c r="A395" s="3"/>
      <c r="B395" s="3"/>
      <c r="C395" s="4"/>
      <c r="D395" s="4"/>
      <c r="E395" s="17"/>
      <c r="F395" s="22"/>
    </row>
    <row r="396" spans="1:6" ht="15.75" thickBot="1">
      <c r="A396" s="3"/>
      <c r="B396" s="3"/>
      <c r="C396" s="4"/>
      <c r="D396" s="4"/>
      <c r="E396" s="17"/>
      <c r="F396" s="22"/>
    </row>
    <row r="397" spans="1:6" ht="15.75" thickBot="1">
      <c r="A397" s="3"/>
      <c r="B397" s="3"/>
      <c r="C397" s="4"/>
      <c r="D397" s="4"/>
      <c r="E397" s="17"/>
      <c r="F397" s="22"/>
    </row>
    <row r="398" spans="1:6" ht="15.75" thickBot="1">
      <c r="A398" s="3"/>
      <c r="B398" s="3"/>
      <c r="C398" s="4"/>
      <c r="D398" s="4"/>
      <c r="E398" s="17"/>
      <c r="F398" s="22"/>
    </row>
    <row r="399" spans="1:6" ht="15.75" thickBot="1">
      <c r="A399" s="3"/>
      <c r="B399" s="3"/>
      <c r="C399" s="4"/>
      <c r="D399" s="4"/>
      <c r="E399" s="17"/>
      <c r="F399" s="22"/>
    </row>
    <row r="400" spans="1:6" ht="15.75" thickBot="1">
      <c r="A400" s="3"/>
      <c r="B400" s="3"/>
      <c r="C400" s="4"/>
      <c r="D400" s="4"/>
      <c r="E400" s="17"/>
      <c r="F400" s="22"/>
    </row>
    <row r="401" spans="1:6" ht="15.75" thickBot="1">
      <c r="A401" s="3"/>
      <c r="B401" s="3"/>
      <c r="C401" s="4"/>
      <c r="D401" s="4"/>
      <c r="E401" s="17"/>
      <c r="F401" s="22"/>
    </row>
    <row r="402" spans="1:6" ht="15.75" thickBot="1">
      <c r="A402" s="3"/>
      <c r="B402" s="3"/>
      <c r="C402" s="4"/>
      <c r="D402" s="4"/>
      <c r="E402" s="17"/>
      <c r="F402" s="22"/>
    </row>
    <row r="403" spans="1:6" ht="15.75" thickBot="1">
      <c r="A403" s="3"/>
      <c r="B403" s="3"/>
      <c r="C403" s="4"/>
      <c r="D403" s="4"/>
      <c r="E403" s="17"/>
      <c r="F403" s="22"/>
    </row>
    <row r="404" spans="1:6" ht="15.75" thickBot="1">
      <c r="A404" s="3"/>
      <c r="B404" s="3"/>
      <c r="C404" s="4"/>
      <c r="D404" s="4"/>
      <c r="E404" s="17"/>
      <c r="F404" s="22"/>
    </row>
    <row r="405" spans="1:6" ht="15.75" thickBot="1">
      <c r="A405" s="3"/>
      <c r="B405" s="3"/>
      <c r="C405" s="4"/>
      <c r="D405" s="4"/>
      <c r="E405" s="17"/>
      <c r="F405" s="22"/>
    </row>
    <row r="406" spans="1:6" ht="15.75" thickBot="1">
      <c r="A406" s="3"/>
      <c r="B406" s="3"/>
      <c r="C406" s="4"/>
      <c r="D406" s="4"/>
      <c r="E406" s="17"/>
      <c r="F406" s="22"/>
    </row>
    <row r="407" spans="1:6" ht="15.75" thickBot="1">
      <c r="A407" s="3"/>
      <c r="B407" s="3"/>
      <c r="C407" s="4"/>
      <c r="D407" s="4"/>
      <c r="E407" s="17"/>
      <c r="F407" s="22"/>
    </row>
    <row r="408" spans="1:6" ht="15.75" thickBot="1">
      <c r="A408" s="3"/>
      <c r="B408" s="3"/>
      <c r="C408" s="4"/>
      <c r="D408" s="4"/>
      <c r="E408" s="17"/>
      <c r="F408" s="22"/>
    </row>
    <row r="409" spans="1:6" ht="15.75" thickBot="1">
      <c r="A409" s="3"/>
      <c r="B409" s="3"/>
      <c r="C409" s="4"/>
      <c r="D409" s="4"/>
      <c r="E409" s="17"/>
      <c r="F409" s="22"/>
    </row>
    <row r="410" spans="1:6" ht="15.75" thickBot="1">
      <c r="A410" s="3"/>
      <c r="B410" s="3"/>
      <c r="C410" s="4"/>
      <c r="D410" s="4"/>
      <c r="E410" s="17"/>
      <c r="F410" s="22"/>
    </row>
    <row r="411" spans="1:6" ht="15.75" thickBot="1">
      <c r="A411" s="3"/>
      <c r="B411" s="3"/>
      <c r="C411" s="4"/>
      <c r="D411" s="4"/>
      <c r="E411" s="17"/>
      <c r="F411" s="22"/>
    </row>
    <row r="412" spans="1:6" ht="15.75" thickBot="1">
      <c r="A412" s="3"/>
      <c r="B412" s="3"/>
      <c r="C412" s="4"/>
      <c r="D412" s="4"/>
      <c r="E412" s="17"/>
      <c r="F412" s="22"/>
    </row>
    <row r="413" spans="1:6" ht="15.75" thickBot="1">
      <c r="A413" s="3"/>
      <c r="B413" s="3"/>
      <c r="C413" s="4"/>
      <c r="D413" s="4"/>
      <c r="E413" s="17"/>
      <c r="F413" s="22"/>
    </row>
    <row r="414" spans="1:6" ht="15.75" thickBot="1">
      <c r="A414" s="3"/>
      <c r="B414" s="3"/>
      <c r="C414" s="4"/>
      <c r="D414" s="4"/>
      <c r="E414" s="17"/>
      <c r="F414" s="22"/>
    </row>
    <row r="415" spans="1:6" ht="15.75" thickBot="1">
      <c r="A415" s="3"/>
      <c r="B415" s="3"/>
      <c r="C415" s="4"/>
      <c r="D415" s="4"/>
      <c r="E415" s="17"/>
      <c r="F415" s="22"/>
    </row>
    <row r="416" spans="1:6" ht="15.75" thickBot="1">
      <c r="A416" s="3"/>
      <c r="B416" s="3"/>
      <c r="C416" s="4"/>
      <c r="D416" s="4"/>
      <c r="E416" s="17"/>
      <c r="F416" s="22"/>
    </row>
    <row r="417" spans="1:6" ht="15.75" thickBot="1">
      <c r="A417" s="3"/>
      <c r="B417" s="3"/>
      <c r="C417" s="4"/>
      <c r="D417" s="4"/>
      <c r="E417" s="17"/>
      <c r="F417" s="22"/>
    </row>
    <row r="418" spans="1:6" ht="15.75" thickBot="1">
      <c r="A418" s="3"/>
      <c r="B418" s="3"/>
      <c r="C418" s="4"/>
      <c r="D418" s="4"/>
      <c r="E418" s="17"/>
      <c r="F418" s="22"/>
    </row>
    <row r="419" spans="1:6" ht="15.75" thickBot="1">
      <c r="A419" s="3"/>
      <c r="B419" s="3"/>
      <c r="C419" s="4"/>
      <c r="D419" s="4"/>
      <c r="E419" s="17"/>
      <c r="F419" s="22"/>
    </row>
    <row r="420" spans="1:6" ht="15.75" thickBot="1">
      <c r="A420" s="3"/>
      <c r="B420" s="3"/>
      <c r="C420" s="4"/>
      <c r="D420" s="4"/>
      <c r="E420" s="17"/>
      <c r="F420" s="22"/>
    </row>
    <row r="421" spans="1:6" ht="15.75" thickBot="1">
      <c r="A421" s="3"/>
      <c r="B421" s="3"/>
      <c r="C421" s="4"/>
      <c r="D421" s="4"/>
      <c r="E421" s="17"/>
      <c r="F421" s="22"/>
    </row>
    <row r="422" spans="1:6" ht="15.75" thickBot="1">
      <c r="A422" s="3"/>
      <c r="B422" s="3"/>
      <c r="C422" s="4"/>
      <c r="D422" s="4"/>
      <c r="E422" s="17"/>
      <c r="F422" s="22"/>
    </row>
    <row r="423" spans="1:6" ht="15.75" thickBot="1">
      <c r="A423" s="3"/>
      <c r="B423" s="3"/>
      <c r="C423" s="4"/>
      <c r="D423" s="4"/>
      <c r="E423" s="17"/>
      <c r="F423" s="22"/>
    </row>
    <row r="424" spans="1:6" ht="15.75" thickBot="1">
      <c r="A424" s="3"/>
      <c r="B424" s="3"/>
      <c r="C424" s="4"/>
      <c r="D424" s="4"/>
      <c r="E424" s="17"/>
      <c r="F424" s="22"/>
    </row>
    <row r="425" spans="1:6" ht="15.75" thickBot="1">
      <c r="A425" s="3"/>
      <c r="B425" s="3"/>
      <c r="C425" s="4"/>
      <c r="D425" s="4"/>
      <c r="E425" s="17"/>
      <c r="F425" s="22"/>
    </row>
    <row r="426" spans="1:6" ht="15.75" thickBot="1">
      <c r="A426" s="3"/>
      <c r="B426" s="3"/>
      <c r="C426" s="4"/>
      <c r="D426" s="4"/>
      <c r="E426" s="17"/>
      <c r="F426" s="22"/>
    </row>
    <row r="427" spans="1:6" ht="15.75" thickBot="1">
      <c r="A427" s="3"/>
      <c r="B427" s="3"/>
      <c r="C427" s="4"/>
      <c r="D427" s="4"/>
      <c r="E427" s="17"/>
      <c r="F427" s="22"/>
    </row>
    <row r="428" spans="1:6" ht="15.75" thickBot="1">
      <c r="A428" s="3"/>
      <c r="B428" s="3"/>
      <c r="C428" s="4"/>
      <c r="D428" s="4"/>
      <c r="E428" s="17"/>
      <c r="F428" s="22"/>
    </row>
    <row r="429" spans="1:6" ht="15.75" thickBot="1">
      <c r="A429" s="3"/>
      <c r="B429" s="3"/>
      <c r="C429" s="4"/>
      <c r="D429" s="4"/>
      <c r="E429" s="17"/>
      <c r="F429" s="22"/>
    </row>
    <row r="430" spans="1:6" ht="15.75" thickBot="1">
      <c r="A430" s="3"/>
      <c r="B430" s="3"/>
      <c r="C430" s="4"/>
      <c r="D430" s="4"/>
      <c r="E430" s="17"/>
      <c r="F430" s="22"/>
    </row>
    <row r="431" spans="1:6" ht="15.75" thickBot="1">
      <c r="A431" s="3"/>
      <c r="B431" s="3"/>
      <c r="C431" s="4"/>
      <c r="D431" s="4"/>
      <c r="E431" s="17"/>
      <c r="F431" s="22"/>
    </row>
    <row r="432" spans="1:6" ht="15.75" thickBot="1">
      <c r="A432" s="3"/>
      <c r="B432" s="3"/>
      <c r="C432" s="4"/>
      <c r="D432" s="4"/>
      <c r="E432" s="17"/>
      <c r="F432" s="22"/>
    </row>
    <row r="433" spans="1:6" ht="15.75" thickBot="1">
      <c r="A433" s="3"/>
      <c r="B433" s="3"/>
      <c r="C433" s="4"/>
      <c r="D433" s="4"/>
      <c r="E433" s="17"/>
      <c r="F433" s="22"/>
    </row>
    <row r="434" spans="1:6" ht="15.75" thickBot="1">
      <c r="A434" s="3"/>
      <c r="B434" s="3"/>
      <c r="C434" s="4"/>
      <c r="D434" s="4"/>
      <c r="E434" s="17"/>
      <c r="F434" s="22"/>
    </row>
    <row r="435" spans="1:6" ht="15.75" thickBot="1">
      <c r="A435" s="3"/>
      <c r="B435" s="3"/>
      <c r="C435" s="4"/>
      <c r="D435" s="4"/>
      <c r="E435" s="17"/>
      <c r="F435" s="22"/>
    </row>
    <row r="436" spans="1:6" ht="15.75" thickBot="1">
      <c r="A436" s="3"/>
      <c r="B436" s="3"/>
      <c r="C436" s="4"/>
      <c r="D436" s="4"/>
      <c r="E436" s="17"/>
      <c r="F436" s="22"/>
    </row>
    <row r="437" spans="1:6" ht="15.75" thickBot="1">
      <c r="A437" s="3"/>
      <c r="B437" s="3"/>
      <c r="C437" s="4"/>
      <c r="D437" s="4"/>
      <c r="E437" s="17"/>
      <c r="F437" s="22"/>
    </row>
    <row r="438" spans="1:6" ht="15.75" thickBot="1">
      <c r="A438" s="3"/>
      <c r="B438" s="3"/>
      <c r="C438" s="4"/>
      <c r="D438" s="4"/>
      <c r="E438" s="17"/>
      <c r="F438" s="22"/>
    </row>
    <row r="439" spans="1:6" ht="15.75" thickBot="1">
      <c r="A439" s="3"/>
      <c r="B439" s="3"/>
      <c r="C439" s="4"/>
      <c r="D439" s="4"/>
      <c r="E439" s="17"/>
      <c r="F439" s="22"/>
    </row>
    <row r="440" spans="1:6" ht="15.75" thickBot="1">
      <c r="A440" s="3"/>
      <c r="B440" s="3"/>
      <c r="C440" s="4"/>
      <c r="D440" s="4"/>
      <c r="E440" s="17"/>
      <c r="F440" s="22"/>
    </row>
    <row r="441" spans="1:6" ht="15.75" thickBot="1">
      <c r="A441" s="3"/>
      <c r="B441" s="3"/>
      <c r="C441" s="4"/>
      <c r="D441" s="4"/>
      <c r="E441" s="17"/>
      <c r="F441" s="22"/>
    </row>
    <row r="442" spans="1:6" ht="15.75" thickBot="1">
      <c r="A442" s="3"/>
      <c r="B442" s="3"/>
      <c r="C442" s="4"/>
      <c r="D442" s="4"/>
      <c r="E442" s="17"/>
      <c r="F442" s="22"/>
    </row>
    <row r="443" spans="1:6" ht="15.75" thickBot="1">
      <c r="A443" s="3"/>
      <c r="B443" s="3"/>
      <c r="C443" s="4"/>
      <c r="D443" s="4"/>
      <c r="E443" s="17"/>
      <c r="F443" s="22"/>
    </row>
    <row r="444" spans="1:6" ht="15.75" thickBot="1">
      <c r="A444" s="3"/>
      <c r="B444" s="3"/>
      <c r="C444" s="4"/>
      <c r="D444" s="4"/>
      <c r="E444" s="17"/>
      <c r="F444" s="22"/>
    </row>
    <row r="445" spans="1:6" ht="15.75" thickBot="1">
      <c r="A445" s="3"/>
      <c r="B445" s="3"/>
      <c r="C445" s="4"/>
      <c r="D445" s="4"/>
      <c r="E445" s="17"/>
      <c r="F445" s="22"/>
    </row>
    <row r="446" spans="1:6" ht="15.75" thickBot="1">
      <c r="A446" s="3"/>
      <c r="B446" s="3"/>
      <c r="C446" s="4"/>
      <c r="D446" s="4"/>
      <c r="E446" s="17"/>
      <c r="F446" s="22"/>
    </row>
    <row r="447" spans="1:6" ht="15.75" thickBot="1">
      <c r="A447" s="3"/>
      <c r="B447" s="3"/>
      <c r="C447" s="4"/>
      <c r="D447" s="4"/>
      <c r="E447" s="17"/>
      <c r="F447" s="22"/>
    </row>
    <row r="448" spans="1:6" ht="15.75" thickBot="1">
      <c r="A448" s="3"/>
      <c r="B448" s="3"/>
      <c r="C448" s="4"/>
      <c r="D448" s="4"/>
      <c r="E448" s="17"/>
      <c r="F448" s="22"/>
    </row>
    <row r="449" spans="1:6" ht="15.75" thickBot="1">
      <c r="A449" s="3"/>
      <c r="B449" s="3"/>
      <c r="C449" s="4"/>
      <c r="D449" s="4"/>
      <c r="E449" s="17"/>
      <c r="F449" s="22"/>
    </row>
    <row r="450" spans="1:6" ht="15.75" thickBot="1">
      <c r="A450" s="3"/>
      <c r="B450" s="3"/>
      <c r="C450" s="4"/>
      <c r="D450" s="4"/>
      <c r="E450" s="17"/>
      <c r="F450" s="22"/>
    </row>
    <row r="451" spans="1:6" ht="15.75" thickBot="1">
      <c r="A451" s="3"/>
      <c r="B451" s="3"/>
      <c r="C451" s="4"/>
      <c r="D451" s="4"/>
      <c r="E451" s="17"/>
      <c r="F451" s="22"/>
    </row>
    <row r="452" spans="1:6" ht="15.75" thickBot="1">
      <c r="A452" s="3"/>
      <c r="B452" s="3"/>
      <c r="C452" s="4"/>
      <c r="D452" s="4"/>
      <c r="E452" s="17"/>
      <c r="F452" s="22"/>
    </row>
    <row r="453" spans="1:6" ht="15.75" thickBot="1">
      <c r="A453" s="3"/>
      <c r="B453" s="3"/>
      <c r="C453" s="4"/>
      <c r="D453" s="4"/>
      <c r="E453" s="17"/>
      <c r="F453" s="22"/>
    </row>
    <row r="454" spans="1:6" ht="15.75" thickBot="1">
      <c r="A454" s="3"/>
      <c r="B454" s="3"/>
      <c r="C454" s="4"/>
      <c r="D454" s="4"/>
      <c r="E454" s="17"/>
      <c r="F454" s="22"/>
    </row>
    <row r="455" spans="1:6" ht="15.75" thickBot="1">
      <c r="A455" s="3"/>
      <c r="B455" s="3"/>
      <c r="C455" s="4"/>
      <c r="D455" s="4"/>
      <c r="E455" s="17"/>
      <c r="F455" s="22"/>
    </row>
    <row r="456" spans="1:6" ht="15.75" thickBot="1">
      <c r="A456" s="3"/>
      <c r="B456" s="3"/>
      <c r="C456" s="4"/>
      <c r="D456" s="4"/>
      <c r="E456" s="17"/>
      <c r="F456" s="22"/>
    </row>
    <row r="457" spans="1:6" ht="15.75" thickBot="1">
      <c r="A457" s="3"/>
      <c r="B457" s="3"/>
      <c r="C457" s="4"/>
      <c r="D457" s="4"/>
      <c r="E457" s="17"/>
      <c r="F457" s="22"/>
    </row>
    <row r="458" spans="1:6" ht="15.75" thickBot="1">
      <c r="A458" s="3"/>
      <c r="B458" s="3"/>
      <c r="C458" s="4"/>
      <c r="D458" s="4"/>
      <c r="E458" s="17"/>
      <c r="F458" s="22"/>
    </row>
    <row r="459" spans="1:6" ht="15.75" thickBot="1">
      <c r="A459" s="3"/>
      <c r="B459" s="3"/>
      <c r="C459" s="4"/>
      <c r="D459" s="4"/>
      <c r="E459" s="17"/>
      <c r="F459" s="22"/>
    </row>
    <row r="460" spans="1:6" ht="15.75" thickBot="1">
      <c r="A460" s="3"/>
      <c r="B460" s="3"/>
      <c r="C460" s="4"/>
      <c r="D460" s="4"/>
      <c r="E460" s="17"/>
      <c r="F460" s="22"/>
    </row>
    <row r="461" spans="1:6" ht="15.75" thickBot="1">
      <c r="A461" s="3"/>
      <c r="B461" s="3"/>
      <c r="C461" s="4"/>
      <c r="D461" s="4"/>
      <c r="E461" s="17"/>
      <c r="F461" s="22"/>
    </row>
    <row r="462" spans="1:6" ht="15.75" thickBot="1">
      <c r="A462" s="3"/>
      <c r="B462" s="3"/>
      <c r="C462" s="4"/>
      <c r="D462" s="4"/>
      <c r="E462" s="17"/>
      <c r="F462" s="22"/>
    </row>
    <row r="463" spans="1:6" ht="15.75" thickBot="1">
      <c r="A463" s="3"/>
      <c r="B463" s="3"/>
      <c r="C463" s="4"/>
      <c r="D463" s="4"/>
      <c r="E463" s="17"/>
      <c r="F463" s="22"/>
    </row>
    <row r="464" spans="1:6" ht="15.75" thickBot="1">
      <c r="A464" s="3"/>
      <c r="B464" s="3"/>
      <c r="C464" s="4"/>
      <c r="D464" s="4"/>
      <c r="E464" s="17"/>
      <c r="F464" s="22"/>
    </row>
    <row r="465" spans="1:6" ht="15.75" thickBot="1">
      <c r="A465" s="3"/>
      <c r="B465" s="3"/>
      <c r="C465" s="4"/>
      <c r="D465" s="4"/>
      <c r="E465" s="17"/>
      <c r="F465" s="22"/>
    </row>
    <row r="466" spans="1:6" ht="15.75" thickBot="1">
      <c r="A466" s="3"/>
      <c r="B466" s="3"/>
      <c r="C466" s="4"/>
      <c r="D466" s="4"/>
      <c r="E466" s="17"/>
      <c r="F466" s="22"/>
    </row>
    <row r="467" spans="1:6" ht="15.75" thickBot="1">
      <c r="A467" s="3"/>
      <c r="B467" s="3"/>
      <c r="C467" s="4"/>
      <c r="D467" s="4"/>
      <c r="E467" s="17"/>
      <c r="F467" s="22"/>
    </row>
    <row r="468" spans="1:6" ht="15.75" thickBot="1">
      <c r="A468" s="3"/>
      <c r="B468" s="3"/>
      <c r="C468" s="4"/>
      <c r="D468" s="4"/>
      <c r="E468" s="17"/>
      <c r="F468" s="22"/>
    </row>
    <row r="469" spans="1:6" ht="15.75" thickBot="1">
      <c r="A469" s="3"/>
      <c r="B469" s="3"/>
      <c r="C469" s="4"/>
      <c r="D469" s="4"/>
      <c r="E469" s="17"/>
      <c r="F469" s="22"/>
    </row>
    <row r="470" spans="1:6" ht="15.75" thickBot="1">
      <c r="A470" s="3"/>
      <c r="B470" s="3"/>
      <c r="C470" s="4"/>
      <c r="D470" s="4"/>
      <c r="E470" s="17"/>
      <c r="F470" s="22"/>
    </row>
    <row r="471" spans="1:6" ht="15.75" thickBot="1">
      <c r="A471" s="3"/>
      <c r="B471" s="3"/>
      <c r="C471" s="4"/>
      <c r="D471" s="4"/>
      <c r="E471" s="17"/>
      <c r="F471" s="22"/>
    </row>
    <row r="472" spans="1:6" ht="15.75" thickBot="1">
      <c r="A472" s="3"/>
      <c r="B472" s="3"/>
      <c r="C472" s="4"/>
      <c r="D472" s="4"/>
      <c r="E472" s="17"/>
      <c r="F472" s="22"/>
    </row>
    <row r="473" spans="1:6" ht="15.75" thickBot="1">
      <c r="A473" s="3"/>
      <c r="B473" s="3"/>
      <c r="C473" s="4"/>
      <c r="D473" s="4"/>
      <c r="E473" s="17"/>
      <c r="F473" s="22"/>
    </row>
    <row r="474" spans="1:6" ht="15.75" thickBot="1">
      <c r="A474" s="3"/>
      <c r="B474" s="3"/>
      <c r="C474" s="4"/>
      <c r="D474" s="4"/>
      <c r="E474" s="17"/>
      <c r="F474" s="22"/>
    </row>
    <row r="475" spans="1:6" ht="15.75" thickBot="1">
      <c r="A475" s="3"/>
      <c r="B475" s="3"/>
      <c r="C475" s="4"/>
      <c r="D475" s="4"/>
      <c r="E475" s="17"/>
      <c r="F475" s="22"/>
    </row>
    <row r="476" spans="1:6" ht="15.75" thickBot="1">
      <c r="A476" s="3"/>
      <c r="B476" s="3"/>
      <c r="C476" s="4"/>
      <c r="D476" s="4"/>
      <c r="E476" s="17"/>
      <c r="F476" s="22"/>
    </row>
    <row r="477" spans="1:6" ht="15.75" thickBot="1">
      <c r="A477" s="3"/>
      <c r="B477" s="3"/>
      <c r="C477" s="4"/>
      <c r="D477" s="4"/>
      <c r="E477" s="17"/>
      <c r="F477" s="22"/>
    </row>
    <row r="478" spans="1:6" ht="15.75" thickBot="1">
      <c r="A478" s="3"/>
      <c r="B478" s="3"/>
      <c r="C478" s="4"/>
      <c r="D478" s="4"/>
      <c r="E478" s="17"/>
      <c r="F478" s="22"/>
    </row>
    <row r="479" spans="1:6" ht="15.75" thickBot="1">
      <c r="A479" s="3"/>
      <c r="B479" s="3"/>
      <c r="C479" s="4"/>
      <c r="D479" s="4"/>
      <c r="E479" s="17"/>
      <c r="F479" s="22"/>
    </row>
    <row r="480" spans="1:6" ht="15.75" thickBot="1">
      <c r="A480" s="3"/>
      <c r="B480" s="3"/>
      <c r="C480" s="4"/>
      <c r="D480" s="4"/>
      <c r="E480" s="17"/>
      <c r="F480" s="22"/>
    </row>
    <row r="481" spans="1:6" ht="15.75" thickBot="1">
      <c r="A481" s="3"/>
      <c r="B481" s="3"/>
      <c r="C481" s="4"/>
      <c r="D481" s="4"/>
      <c r="E481" s="17"/>
      <c r="F481" s="22"/>
    </row>
    <row r="482" spans="1:6" ht="15.75" thickBot="1">
      <c r="A482" s="3"/>
      <c r="B482" s="3"/>
      <c r="C482" s="4"/>
      <c r="D482" s="4"/>
      <c r="E482" s="17"/>
      <c r="F482" s="22"/>
    </row>
    <row r="483" spans="1:6" ht="15.75" thickBot="1">
      <c r="A483" s="3"/>
      <c r="B483" s="3"/>
      <c r="C483" s="4"/>
      <c r="D483" s="4"/>
      <c r="E483" s="17"/>
      <c r="F483" s="22"/>
    </row>
    <row r="484" spans="1:6" ht="15.75" thickBot="1">
      <c r="A484" s="3"/>
      <c r="B484" s="3"/>
      <c r="C484" s="4"/>
      <c r="D484" s="4"/>
      <c r="E484" s="17"/>
      <c r="F484" s="22"/>
    </row>
    <row r="485" spans="1:6" ht="15.75" thickBot="1">
      <c r="A485" s="3"/>
      <c r="B485" s="3"/>
      <c r="C485" s="4"/>
      <c r="D485" s="4"/>
      <c r="E485" s="17"/>
      <c r="F485" s="22"/>
    </row>
    <row r="486" spans="1:6" ht="15.75" thickBot="1">
      <c r="A486" s="3"/>
      <c r="B486" s="3"/>
      <c r="C486" s="4"/>
      <c r="D486" s="4"/>
      <c r="E486" s="17"/>
      <c r="F486" s="22"/>
    </row>
    <row r="487" spans="1:6" ht="15.75" thickBot="1">
      <c r="A487" s="3"/>
      <c r="B487" s="3"/>
      <c r="C487" s="4"/>
      <c r="D487" s="4"/>
      <c r="E487" s="17"/>
      <c r="F487" s="22"/>
    </row>
    <row r="488" spans="1:6" ht="15.75" thickBot="1">
      <c r="A488" s="3"/>
      <c r="B488" s="3"/>
      <c r="C488" s="4"/>
      <c r="D488" s="4"/>
      <c r="E488" s="17"/>
      <c r="F488" s="22"/>
    </row>
    <row r="489" spans="1:6" ht="15.75" thickBot="1">
      <c r="A489" s="3"/>
      <c r="B489" s="3"/>
      <c r="C489" s="4"/>
      <c r="D489" s="4"/>
      <c r="E489" s="17"/>
      <c r="F489" s="22"/>
    </row>
    <row r="490" spans="1:6" ht="15.75" thickBot="1">
      <c r="A490" s="3"/>
      <c r="B490" s="3"/>
      <c r="C490" s="4"/>
      <c r="D490" s="4"/>
      <c r="E490" s="17"/>
      <c r="F490" s="22"/>
    </row>
    <row r="491" spans="1:6" ht="15.75" thickBot="1">
      <c r="A491" s="3"/>
      <c r="B491" s="3"/>
      <c r="C491" s="4"/>
      <c r="D491" s="4"/>
      <c r="E491" s="17"/>
      <c r="F491" s="22"/>
    </row>
    <row r="492" spans="1:6" ht="15.75" thickBot="1">
      <c r="A492" s="3"/>
      <c r="B492" s="3"/>
      <c r="C492" s="4"/>
      <c r="D492" s="4"/>
      <c r="E492" s="17"/>
      <c r="F492" s="22"/>
    </row>
    <row r="493" spans="1:6" ht="15.75" thickBot="1">
      <c r="A493" s="3"/>
      <c r="B493" s="3"/>
      <c r="C493" s="4"/>
      <c r="D493" s="4"/>
      <c r="E493" s="17"/>
      <c r="F493" s="22"/>
    </row>
    <row r="494" spans="1:6" ht="15.75" thickBot="1">
      <c r="A494" s="3"/>
      <c r="B494" s="3"/>
      <c r="C494" s="4"/>
      <c r="D494" s="4"/>
      <c r="E494" s="17"/>
      <c r="F494" s="22"/>
    </row>
    <row r="495" spans="1:6" ht="15.75" thickBot="1">
      <c r="A495" s="3"/>
      <c r="B495" s="3"/>
      <c r="C495" s="4"/>
      <c r="D495" s="4"/>
      <c r="E495" s="17"/>
      <c r="F495" s="22"/>
    </row>
    <row r="496" spans="1:6" ht="15.75" thickBot="1">
      <c r="A496" s="3"/>
      <c r="B496" s="3"/>
      <c r="C496" s="4"/>
      <c r="D496" s="4"/>
      <c r="E496" s="17"/>
      <c r="F496" s="22"/>
    </row>
    <row r="497" spans="1:6" ht="15.75" thickBot="1">
      <c r="A497" s="3"/>
      <c r="B497" s="3"/>
      <c r="C497" s="4"/>
      <c r="D497" s="4"/>
      <c r="E497" s="17"/>
      <c r="F497" s="22"/>
    </row>
    <row r="498" spans="1:6" ht="15.75" thickBot="1">
      <c r="A498" s="3"/>
      <c r="B498" s="3"/>
      <c r="C498" s="4"/>
      <c r="D498" s="4"/>
      <c r="E498" s="17"/>
      <c r="F498" s="22"/>
    </row>
    <row r="499" spans="1:6" ht="15.75" thickBot="1">
      <c r="A499" s="3"/>
      <c r="B499" s="3"/>
      <c r="C499" s="4"/>
      <c r="D499" s="4"/>
      <c r="E499" s="17"/>
      <c r="F499" s="22"/>
    </row>
    <row r="500" spans="1:6" ht="15.75" thickBot="1">
      <c r="A500" s="3"/>
      <c r="B500" s="3"/>
      <c r="C500" s="4"/>
      <c r="D500" s="4"/>
      <c r="E500" s="17"/>
      <c r="F500" s="22"/>
    </row>
    <row r="501" spans="1:6" ht="15.75" thickBot="1">
      <c r="A501" s="3"/>
      <c r="B501" s="3"/>
      <c r="C501" s="4"/>
      <c r="D501" s="4"/>
      <c r="E501" s="17"/>
      <c r="F501" s="22"/>
    </row>
    <row r="502" spans="1:6" ht="15.75" thickBot="1">
      <c r="A502" s="3"/>
      <c r="B502" s="3"/>
      <c r="C502" s="4"/>
      <c r="D502" s="4"/>
      <c r="E502" s="17"/>
      <c r="F502" s="22"/>
    </row>
    <row r="503" spans="1:6" ht="15.75" thickBot="1">
      <c r="A503" s="3"/>
      <c r="B503" s="3"/>
      <c r="C503" s="4"/>
      <c r="D503" s="4"/>
      <c r="E503" s="17"/>
      <c r="F503" s="22"/>
    </row>
    <row r="504" spans="1:6" ht="15.75" thickBot="1">
      <c r="A504" s="3"/>
      <c r="B504" s="3"/>
      <c r="C504" s="4"/>
      <c r="D504" s="4"/>
      <c r="E504" s="17"/>
      <c r="F504" s="22"/>
    </row>
    <row r="505" spans="1:6" ht="15.75" thickBot="1">
      <c r="A505" s="3"/>
      <c r="B505" s="3"/>
      <c r="C505" s="4"/>
      <c r="D505" s="4"/>
      <c r="E505" s="17"/>
      <c r="F505" s="22"/>
    </row>
    <row r="506" spans="1:6" ht="15.75" thickBot="1">
      <c r="A506" s="3"/>
      <c r="B506" s="3"/>
      <c r="C506" s="4"/>
      <c r="D506" s="4"/>
      <c r="E506" s="17"/>
      <c r="F506" s="22"/>
    </row>
    <row r="507" spans="1:6" ht="15.75" thickBot="1">
      <c r="A507" s="3"/>
      <c r="B507" s="3"/>
      <c r="C507" s="4"/>
      <c r="D507" s="4"/>
      <c r="E507" s="17"/>
      <c r="F507" s="22"/>
    </row>
    <row r="508" spans="1:6" ht="15.75" thickBot="1">
      <c r="A508" s="3"/>
      <c r="B508" s="3"/>
      <c r="C508" s="4"/>
      <c r="D508" s="4"/>
      <c r="E508" s="17"/>
      <c r="F508" s="22"/>
    </row>
    <row r="509" spans="1:6" ht="15.75" thickBot="1">
      <c r="A509" s="3"/>
      <c r="B509" s="3"/>
      <c r="C509" s="4"/>
      <c r="D509" s="4"/>
      <c r="E509" s="17"/>
      <c r="F509" s="22"/>
    </row>
    <row r="510" spans="1:6" ht="15.75" thickBot="1">
      <c r="A510" s="3"/>
      <c r="B510" s="3"/>
      <c r="C510" s="4"/>
      <c r="D510" s="4"/>
      <c r="E510" s="17"/>
      <c r="F510" s="22"/>
    </row>
    <row r="511" spans="1:6" ht="15.75" thickBot="1">
      <c r="A511" s="3"/>
      <c r="B511" s="3"/>
      <c r="C511" s="4"/>
      <c r="D511" s="4"/>
      <c r="E511" s="17"/>
      <c r="F511" s="22"/>
    </row>
    <row r="512" spans="1:6" ht="15.75" thickBot="1">
      <c r="A512" s="3"/>
      <c r="B512" s="3"/>
      <c r="C512" s="4"/>
      <c r="D512" s="4"/>
      <c r="E512" s="17"/>
      <c r="F512" s="22"/>
    </row>
    <row r="513" spans="1:6" ht="15.75" thickBot="1">
      <c r="A513" s="3"/>
      <c r="B513" s="3"/>
      <c r="C513" s="4"/>
      <c r="D513" s="4"/>
      <c r="E513" s="17"/>
      <c r="F513" s="22"/>
    </row>
    <row r="514" spans="1:6" ht="15.75" thickBot="1">
      <c r="A514" s="3"/>
      <c r="B514" s="3"/>
      <c r="C514" s="4"/>
      <c r="D514" s="4"/>
      <c r="E514" s="17"/>
      <c r="F514" s="22"/>
    </row>
    <row r="515" spans="1:6" ht="15.75" thickBot="1">
      <c r="A515" s="3"/>
      <c r="B515" s="3"/>
      <c r="C515" s="4"/>
      <c r="D515" s="4"/>
      <c r="E515" s="17"/>
      <c r="F515" s="22"/>
    </row>
    <row r="516" spans="1:6" ht="15.75" thickBot="1">
      <c r="A516" s="3"/>
      <c r="B516" s="3"/>
      <c r="C516" s="4"/>
      <c r="D516" s="4"/>
      <c r="E516" s="17"/>
      <c r="F516" s="22"/>
    </row>
    <row r="517" spans="1:6" ht="15.75" thickBot="1">
      <c r="A517" s="3"/>
      <c r="B517" s="3"/>
      <c r="C517" s="4"/>
      <c r="D517" s="4"/>
      <c r="E517" s="17"/>
      <c r="F517" s="22"/>
    </row>
    <row r="518" spans="1:6" ht="15.75" thickBot="1">
      <c r="A518" s="3"/>
      <c r="B518" s="3"/>
      <c r="C518" s="4"/>
      <c r="D518" s="4"/>
      <c r="E518" s="17"/>
      <c r="F518" s="22"/>
    </row>
    <row r="519" spans="1:6" ht="15.75" thickBot="1">
      <c r="A519" s="3"/>
      <c r="B519" s="3"/>
      <c r="C519" s="4"/>
      <c r="D519" s="4"/>
      <c r="E519" s="17"/>
      <c r="F519" s="22"/>
    </row>
    <row r="520" spans="1:6" ht="15.75" thickBot="1">
      <c r="A520" s="3"/>
      <c r="B520" s="3"/>
      <c r="C520" s="4"/>
      <c r="D520" s="4"/>
      <c r="E520" s="17"/>
      <c r="F520" s="22"/>
    </row>
    <row r="521" spans="1:6" ht="15.75" thickBot="1">
      <c r="A521" s="3"/>
      <c r="B521" s="3"/>
      <c r="C521" s="4"/>
      <c r="D521" s="4"/>
      <c r="E521" s="17"/>
      <c r="F521" s="22"/>
    </row>
    <row r="522" spans="1:6" ht="15.75" thickBot="1">
      <c r="A522" s="3"/>
      <c r="B522" s="3"/>
      <c r="C522" s="4"/>
      <c r="D522" s="4"/>
      <c r="E522" s="17"/>
      <c r="F522" s="22"/>
    </row>
    <row r="523" spans="1:6" ht="15.75" thickBot="1">
      <c r="A523" s="3"/>
      <c r="B523" s="3"/>
      <c r="C523" s="4"/>
      <c r="D523" s="4"/>
      <c r="E523" s="17"/>
      <c r="F523" s="22"/>
    </row>
    <row r="524" spans="1:6" ht="15.75" thickBot="1">
      <c r="A524" s="3"/>
      <c r="B524" s="3"/>
      <c r="C524" s="4"/>
      <c r="D524" s="4"/>
      <c r="E524" s="17"/>
      <c r="F524" s="22"/>
    </row>
    <row r="525" spans="1:6" ht="15.75" thickBot="1">
      <c r="A525" s="3"/>
      <c r="B525" s="3"/>
      <c r="C525" s="4"/>
      <c r="D525" s="4"/>
      <c r="E525" s="17"/>
      <c r="F525" s="22"/>
    </row>
    <row r="526" spans="1:6" ht="15.75" thickBot="1">
      <c r="A526" s="3"/>
      <c r="B526" s="3"/>
      <c r="C526" s="4"/>
      <c r="D526" s="4"/>
      <c r="E526" s="17"/>
      <c r="F526" s="22"/>
    </row>
    <row r="527" spans="1:6" ht="15.75" thickBot="1">
      <c r="A527" s="3"/>
      <c r="B527" s="3"/>
      <c r="C527" s="4"/>
      <c r="D527" s="4"/>
      <c r="E527" s="17"/>
      <c r="F527" s="22"/>
    </row>
    <row r="528" spans="1:6" ht="15.75" thickBot="1">
      <c r="A528" s="3"/>
      <c r="B528" s="3"/>
      <c r="C528" s="4"/>
      <c r="D528" s="4"/>
      <c r="E528" s="17"/>
      <c r="F528" s="22"/>
    </row>
    <row r="529" spans="1:6" ht="15.75" thickBot="1">
      <c r="A529" s="3"/>
      <c r="B529" s="3"/>
      <c r="C529" s="4"/>
      <c r="D529" s="4"/>
      <c r="E529" s="17"/>
      <c r="F529" s="22"/>
    </row>
    <row r="530" spans="1:6" ht="15.75" thickBot="1">
      <c r="A530" s="3"/>
      <c r="B530" s="3"/>
      <c r="C530" s="4"/>
      <c r="D530" s="4"/>
      <c r="E530" s="17"/>
      <c r="F530" s="22"/>
    </row>
    <row r="531" spans="1:6" ht="15.75" thickBot="1">
      <c r="A531" s="3"/>
      <c r="B531" s="3"/>
      <c r="C531" s="4"/>
      <c r="D531" s="4"/>
      <c r="E531" s="17"/>
      <c r="F531" s="22"/>
    </row>
    <row r="532" spans="1:6" ht="15.75" thickBot="1">
      <c r="A532" s="3"/>
      <c r="B532" s="3"/>
      <c r="C532" s="4"/>
      <c r="D532" s="4"/>
      <c r="E532" s="17"/>
      <c r="F532" s="22"/>
    </row>
    <row r="533" spans="1:6" ht="15.75" thickBot="1">
      <c r="A533" s="3"/>
      <c r="B533" s="3"/>
      <c r="C533" s="4"/>
      <c r="D533" s="4"/>
      <c r="E533" s="17"/>
      <c r="F533" s="22"/>
    </row>
    <row r="534" spans="1:6" ht="15.75" thickBot="1">
      <c r="A534" s="3"/>
      <c r="B534" s="3"/>
      <c r="C534" s="4"/>
      <c r="D534" s="4"/>
      <c r="E534" s="17"/>
      <c r="F534" s="22"/>
    </row>
    <row r="535" spans="1:6" ht="15.75" thickBot="1">
      <c r="A535" s="3"/>
      <c r="B535" s="3"/>
      <c r="C535" s="4"/>
      <c r="D535" s="4"/>
      <c r="E535" s="17"/>
      <c r="F535" s="22"/>
    </row>
    <row r="536" spans="1:6" ht="15.75" thickBot="1">
      <c r="A536" s="3"/>
      <c r="B536" s="3"/>
      <c r="C536" s="4"/>
      <c r="D536" s="4"/>
      <c r="E536" s="17"/>
      <c r="F536" s="22"/>
    </row>
    <row r="537" spans="1:6" ht="15.75" thickBot="1">
      <c r="A537" s="3"/>
      <c r="B537" s="3"/>
      <c r="C537" s="4"/>
      <c r="D537" s="4"/>
      <c r="E537" s="17"/>
      <c r="F537" s="22"/>
    </row>
    <row r="538" spans="1:6" ht="15.75" thickBot="1">
      <c r="A538" s="3"/>
      <c r="B538" s="3"/>
      <c r="C538" s="4"/>
      <c r="D538" s="4"/>
      <c r="E538" s="17"/>
      <c r="F538" s="22"/>
    </row>
    <row r="539" spans="1:6" ht="15.75" thickBot="1">
      <c r="A539" s="3"/>
      <c r="B539" s="3"/>
      <c r="C539" s="4"/>
      <c r="D539" s="4"/>
      <c r="E539" s="17"/>
      <c r="F539" s="22"/>
    </row>
    <row r="540" spans="1:6" ht="15.75" thickBot="1">
      <c r="A540" s="3"/>
      <c r="B540" s="3"/>
      <c r="C540" s="4"/>
      <c r="D540" s="4"/>
      <c r="E540" s="17"/>
      <c r="F540" s="22"/>
    </row>
    <row r="541" spans="1:6" ht="15.75" thickBot="1">
      <c r="A541" s="3"/>
      <c r="B541" s="3"/>
      <c r="C541" s="4"/>
      <c r="D541" s="4"/>
      <c r="E541" s="17"/>
      <c r="F541" s="22"/>
    </row>
    <row r="542" spans="1:6" ht="15.75" thickBot="1">
      <c r="A542" s="3"/>
      <c r="B542" s="3"/>
      <c r="C542" s="4"/>
      <c r="D542" s="4"/>
      <c r="E542" s="17"/>
      <c r="F542" s="22"/>
    </row>
    <row r="543" spans="1:6" ht="15.75" thickBot="1">
      <c r="A543" s="3"/>
      <c r="B543" s="3"/>
      <c r="C543" s="4"/>
      <c r="D543" s="4"/>
      <c r="E543" s="17"/>
      <c r="F543" s="22"/>
    </row>
    <row r="544" spans="1:6" ht="15.75" thickBot="1">
      <c r="A544" s="3"/>
      <c r="B544" s="3"/>
      <c r="C544" s="4"/>
      <c r="D544" s="4"/>
      <c r="E544" s="17"/>
      <c r="F544" s="22"/>
    </row>
    <row r="545" spans="1:6" ht="15.75" thickBot="1">
      <c r="A545" s="3"/>
      <c r="B545" s="3"/>
      <c r="C545" s="4"/>
      <c r="D545" s="4"/>
      <c r="E545" s="17"/>
      <c r="F545" s="22"/>
    </row>
    <row r="546" spans="1:6" ht="15.75" thickBot="1">
      <c r="A546" s="3"/>
      <c r="B546" s="3"/>
      <c r="C546" s="4"/>
      <c r="D546" s="4"/>
      <c r="E546" s="17"/>
      <c r="F546" s="22"/>
    </row>
    <row r="547" spans="1:6" ht="15.75" thickBot="1">
      <c r="A547" s="3"/>
      <c r="B547" s="3"/>
      <c r="C547" s="4"/>
      <c r="D547" s="4"/>
      <c r="E547" s="17"/>
      <c r="F547" s="22"/>
    </row>
    <row r="548" spans="1:6" ht="15.75" thickBot="1">
      <c r="A548" s="3"/>
      <c r="B548" s="3"/>
      <c r="C548" s="4"/>
      <c r="D548" s="4"/>
      <c r="E548" s="17"/>
      <c r="F548" s="22"/>
    </row>
    <row r="549" spans="1:6" ht="15.75" thickBot="1">
      <c r="A549" s="3"/>
      <c r="B549" s="3"/>
      <c r="C549" s="4"/>
      <c r="D549" s="4"/>
      <c r="E549" s="17"/>
      <c r="F549" s="22"/>
    </row>
    <row r="550" spans="1:6" ht="15.75" thickBot="1">
      <c r="A550" s="3"/>
      <c r="B550" s="3"/>
      <c r="C550" s="4"/>
      <c r="D550" s="4"/>
      <c r="E550" s="17"/>
      <c r="F550" s="22"/>
    </row>
    <row r="551" spans="1:6" ht="15.75" thickBot="1">
      <c r="A551" s="3"/>
      <c r="B551" s="3"/>
      <c r="C551" s="4"/>
      <c r="D551" s="4"/>
      <c r="E551" s="17"/>
      <c r="F551" s="22"/>
    </row>
    <row r="552" spans="1:6" ht="15.75" thickBot="1">
      <c r="A552" s="3"/>
      <c r="B552" s="3"/>
      <c r="C552" s="4"/>
      <c r="D552" s="4"/>
      <c r="E552" s="17"/>
      <c r="F552" s="22"/>
    </row>
    <row r="553" spans="1:6" ht="15.75" thickBot="1">
      <c r="A553" s="3"/>
      <c r="B553" s="3"/>
      <c r="C553" s="4"/>
      <c r="D553" s="4"/>
      <c r="E553" s="17"/>
      <c r="F553" s="22"/>
    </row>
    <row r="554" spans="1:6" ht="15.75" thickBot="1">
      <c r="A554" s="3"/>
      <c r="B554" s="3"/>
      <c r="C554" s="4"/>
      <c r="D554" s="4"/>
      <c r="E554" s="17"/>
      <c r="F554" s="22"/>
    </row>
    <row r="555" spans="1:6" ht="15.75" thickBot="1">
      <c r="A555" s="3"/>
      <c r="B555" s="3"/>
      <c r="C555" s="4"/>
      <c r="D555" s="4"/>
      <c r="E555" s="17"/>
      <c r="F555" s="22"/>
    </row>
    <row r="556" spans="1:6" ht="15.75" thickBot="1">
      <c r="A556" s="3"/>
      <c r="B556" s="3"/>
      <c r="C556" s="4"/>
      <c r="D556" s="4"/>
      <c r="E556" s="17"/>
      <c r="F556" s="22"/>
    </row>
    <row r="557" spans="1:6" ht="15.75" thickBot="1">
      <c r="A557" s="3"/>
      <c r="B557" s="3"/>
      <c r="C557" s="4"/>
      <c r="D557" s="4"/>
      <c r="E557" s="17"/>
      <c r="F557" s="22"/>
    </row>
    <row r="558" spans="1:6" ht="15.75" thickBot="1">
      <c r="A558" s="3"/>
      <c r="B558" s="3"/>
      <c r="C558" s="4"/>
      <c r="D558" s="4"/>
      <c r="E558" s="17"/>
      <c r="F558" s="22"/>
    </row>
    <row r="559" spans="1:6" ht="15.75" thickBot="1">
      <c r="A559" s="3"/>
      <c r="B559" s="3"/>
      <c r="C559" s="4"/>
      <c r="D559" s="4"/>
      <c r="E559" s="17"/>
      <c r="F559" s="22"/>
    </row>
    <row r="560" spans="1:6" ht="15.75" thickBot="1">
      <c r="A560" s="3"/>
      <c r="B560" s="3"/>
      <c r="C560" s="4"/>
      <c r="D560" s="4"/>
      <c r="E560" s="17"/>
      <c r="F560" s="22"/>
    </row>
    <row r="561" spans="1:6" ht="15.75" thickBot="1">
      <c r="A561" s="3"/>
      <c r="B561" s="3"/>
      <c r="C561" s="4"/>
      <c r="D561" s="4"/>
      <c r="E561" s="17"/>
      <c r="F561" s="22"/>
    </row>
    <row r="562" spans="1:6" ht="15.75" thickBot="1">
      <c r="A562" s="3"/>
      <c r="B562" s="3"/>
      <c r="C562" s="4"/>
      <c r="D562" s="4"/>
      <c r="E562" s="17"/>
      <c r="F562" s="22"/>
    </row>
    <row r="563" spans="1:6" ht="15.75" thickBot="1">
      <c r="A563" s="3"/>
      <c r="B563" s="3"/>
      <c r="C563" s="4"/>
      <c r="D563" s="4"/>
      <c r="E563" s="17"/>
      <c r="F563" s="22"/>
    </row>
    <row r="564" spans="1:6" ht="15.75" thickBot="1">
      <c r="A564" s="3"/>
      <c r="B564" s="3"/>
      <c r="C564" s="4"/>
      <c r="D564" s="4"/>
      <c r="E564" s="17"/>
      <c r="F564" s="22"/>
    </row>
    <row r="565" spans="1:6" ht="15.75" thickBot="1">
      <c r="A565" s="3"/>
      <c r="B565" s="3"/>
      <c r="C565" s="4"/>
      <c r="D565" s="4"/>
      <c r="E565" s="17"/>
      <c r="F565" s="22"/>
    </row>
    <row r="566" spans="1:6" ht="15.75" thickBot="1">
      <c r="A566" s="3"/>
      <c r="B566" s="3"/>
      <c r="C566" s="4"/>
      <c r="D566" s="4"/>
      <c r="E566" s="17"/>
      <c r="F566" s="22"/>
    </row>
    <row r="567" spans="1:6" ht="15.75" thickBot="1">
      <c r="A567" s="3"/>
      <c r="B567" s="3"/>
      <c r="C567" s="4"/>
      <c r="D567" s="4"/>
      <c r="E567" s="17"/>
      <c r="F567" s="22"/>
    </row>
    <row r="568" spans="1:6" ht="15.75" thickBot="1">
      <c r="A568" s="3"/>
      <c r="B568" s="3"/>
      <c r="C568" s="4"/>
      <c r="D568" s="4"/>
      <c r="E568" s="17"/>
      <c r="F568" s="22"/>
    </row>
    <row r="569" spans="1:6" ht="15.75" thickBot="1">
      <c r="A569" s="3"/>
      <c r="B569" s="3"/>
      <c r="C569" s="4"/>
      <c r="D569" s="4"/>
      <c r="E569" s="17"/>
      <c r="F569" s="22"/>
    </row>
    <row r="570" spans="1:6" ht="15.75" thickBot="1">
      <c r="A570" s="3"/>
      <c r="B570" s="3"/>
      <c r="C570" s="4"/>
      <c r="D570" s="4"/>
      <c r="E570" s="17"/>
      <c r="F570" s="22"/>
    </row>
    <row r="571" spans="1:6" ht="15.75" thickBot="1">
      <c r="A571" s="3"/>
      <c r="B571" s="3"/>
      <c r="C571" s="4"/>
      <c r="D571" s="4"/>
      <c r="E571" s="17"/>
      <c r="F571" s="22"/>
    </row>
    <row r="572" spans="1:6" ht="15.75" thickBot="1">
      <c r="A572" s="3"/>
      <c r="B572" s="3"/>
      <c r="C572" s="4"/>
      <c r="D572" s="4"/>
      <c r="E572" s="17"/>
      <c r="F572" s="22"/>
    </row>
    <row r="573" spans="1:6" ht="15.75" thickBot="1">
      <c r="A573" s="3"/>
      <c r="B573" s="3"/>
      <c r="C573" s="4"/>
      <c r="D573" s="4"/>
      <c r="E573" s="17"/>
      <c r="F573" s="22"/>
    </row>
    <row r="574" spans="1:6" ht="15.75" thickBot="1">
      <c r="A574" s="3"/>
      <c r="B574" s="3"/>
      <c r="C574" s="4"/>
      <c r="D574" s="4"/>
      <c r="E574" s="17"/>
      <c r="F574" s="22"/>
    </row>
    <row r="575" spans="1:6" ht="15.75" thickBot="1">
      <c r="A575" s="3"/>
      <c r="B575" s="3"/>
      <c r="C575" s="4"/>
      <c r="D575" s="4"/>
      <c r="E575" s="17"/>
      <c r="F575" s="22"/>
    </row>
    <row r="576" spans="1:6" ht="15.75" thickBot="1">
      <c r="A576" s="3"/>
      <c r="B576" s="3"/>
      <c r="C576" s="4"/>
      <c r="D576" s="4"/>
      <c r="E576" s="17"/>
      <c r="F576" s="22"/>
    </row>
    <row r="577" spans="1:6" ht="15.75" thickBot="1">
      <c r="A577" s="3"/>
      <c r="B577" s="3"/>
      <c r="C577" s="4"/>
      <c r="D577" s="4"/>
      <c r="E577" s="17"/>
      <c r="F577" s="22"/>
    </row>
    <row r="578" spans="1:6" ht="15.75" thickBot="1">
      <c r="A578" s="3"/>
      <c r="B578" s="3"/>
      <c r="C578" s="4"/>
      <c r="D578" s="4"/>
      <c r="E578" s="17"/>
      <c r="F578" s="22"/>
    </row>
    <row r="579" spans="1:6" ht="15.75" thickBot="1">
      <c r="A579" s="3"/>
      <c r="B579" s="3"/>
      <c r="C579" s="4"/>
      <c r="D579" s="4"/>
      <c r="E579" s="17"/>
      <c r="F579" s="22"/>
    </row>
    <row r="580" spans="1:6" ht="15.75" thickBot="1">
      <c r="A580" s="3"/>
      <c r="B580" s="3"/>
      <c r="C580" s="4"/>
      <c r="D580" s="4"/>
      <c r="E580" s="17"/>
      <c r="F580" s="22"/>
    </row>
    <row r="581" spans="1:6" ht="15.75" thickBot="1">
      <c r="A581" s="3"/>
      <c r="B581" s="3"/>
      <c r="C581" s="4"/>
      <c r="D581" s="4"/>
      <c r="E581" s="17"/>
      <c r="F581" s="22"/>
    </row>
    <row r="582" spans="1:6" ht="15.75" thickBot="1">
      <c r="A582" s="3"/>
      <c r="B582" s="3"/>
      <c r="C582" s="4"/>
      <c r="D582" s="4"/>
      <c r="E582" s="17"/>
      <c r="F582" s="22"/>
    </row>
    <row r="583" spans="1:6" ht="15.75" thickBot="1">
      <c r="A583" s="3"/>
      <c r="B583" s="3"/>
      <c r="C583" s="4"/>
      <c r="D583" s="4"/>
      <c r="E583" s="17"/>
      <c r="F583" s="22"/>
    </row>
    <row r="584" spans="1:6" ht="15.75" thickBot="1">
      <c r="A584" s="3"/>
      <c r="B584" s="3"/>
      <c r="C584" s="4"/>
      <c r="D584" s="4"/>
      <c r="E584" s="17"/>
      <c r="F584" s="22"/>
    </row>
    <row r="585" spans="1:6" ht="15.75" thickBot="1">
      <c r="A585" s="3"/>
      <c r="B585" s="3"/>
      <c r="C585" s="4"/>
      <c r="D585" s="4"/>
      <c r="E585" s="17"/>
      <c r="F585" s="22"/>
    </row>
    <row r="586" spans="1:6" ht="15.75" thickBot="1">
      <c r="A586" s="3"/>
      <c r="B586" s="3"/>
      <c r="C586" s="4"/>
      <c r="D586" s="4"/>
      <c r="E586" s="17"/>
      <c r="F586" s="22"/>
    </row>
    <row r="587" spans="1:6" ht="15.75" thickBot="1">
      <c r="A587" s="3"/>
      <c r="B587" s="3"/>
      <c r="C587" s="4"/>
      <c r="D587" s="4"/>
      <c r="E587" s="17"/>
      <c r="F587" s="22"/>
    </row>
    <row r="588" spans="1:6" ht="15.75" thickBot="1">
      <c r="A588" s="3"/>
      <c r="B588" s="3"/>
      <c r="C588" s="4"/>
      <c r="D588" s="4"/>
      <c r="E588" s="17"/>
      <c r="F588" s="22"/>
    </row>
    <row r="589" spans="1:6" ht="15.75" thickBot="1">
      <c r="A589" s="3"/>
      <c r="B589" s="3"/>
      <c r="C589" s="4"/>
      <c r="D589" s="4"/>
      <c r="E589" s="17"/>
      <c r="F589" s="22"/>
    </row>
    <row r="590" spans="1:6" ht="15.75" thickBot="1">
      <c r="A590" s="3"/>
      <c r="B590" s="3"/>
      <c r="C590" s="4"/>
      <c r="D590" s="4"/>
      <c r="E590" s="17"/>
      <c r="F590" s="22"/>
    </row>
    <row r="591" spans="1:6" ht="15.75" thickBot="1">
      <c r="A591" s="3"/>
      <c r="B591" s="3"/>
      <c r="C591" s="4"/>
      <c r="D591" s="4"/>
      <c r="E591" s="17"/>
      <c r="F591" s="22"/>
    </row>
    <row r="592" spans="1:6" ht="15.75" thickBot="1">
      <c r="A592" s="3"/>
      <c r="B592" s="3"/>
      <c r="C592" s="4"/>
      <c r="D592" s="4"/>
      <c r="E592" s="17"/>
      <c r="F592" s="22"/>
    </row>
    <row r="593" spans="1:6" ht="15.75" thickBot="1">
      <c r="A593" s="3"/>
      <c r="B593" s="3"/>
      <c r="C593" s="4"/>
      <c r="D593" s="4"/>
      <c r="E593" s="17"/>
      <c r="F593" s="22"/>
    </row>
    <row r="594" spans="1:6" ht="15.75" thickBot="1">
      <c r="A594" s="3"/>
      <c r="B594" s="3"/>
      <c r="C594" s="4"/>
      <c r="D594" s="4"/>
      <c r="E594" s="17"/>
      <c r="F594" s="22"/>
    </row>
    <row r="595" spans="1:6" ht="15.75" thickBot="1">
      <c r="A595" s="3"/>
      <c r="B595" s="3"/>
      <c r="C595" s="4"/>
      <c r="D595" s="4"/>
      <c r="E595" s="17"/>
      <c r="F595" s="22"/>
    </row>
    <row r="596" spans="1:6" ht="15.75" thickBot="1">
      <c r="A596" s="3"/>
      <c r="B596" s="3"/>
      <c r="C596" s="4"/>
      <c r="D596" s="4"/>
      <c r="E596" s="17"/>
      <c r="F596" s="22"/>
    </row>
    <row r="597" spans="1:6" ht="15.75" thickBot="1">
      <c r="A597" s="3"/>
      <c r="B597" s="3"/>
      <c r="C597" s="4"/>
      <c r="D597" s="4"/>
      <c r="E597" s="17"/>
      <c r="F597" s="22"/>
    </row>
    <row r="598" spans="1:6" ht="15.75" thickBot="1">
      <c r="A598" s="3"/>
      <c r="B598" s="3"/>
      <c r="C598" s="4"/>
      <c r="D598" s="4"/>
      <c r="E598" s="17"/>
      <c r="F598" s="22"/>
    </row>
    <row r="599" spans="1:6" ht="15.75" thickBot="1">
      <c r="A599" s="3"/>
      <c r="B599" s="3"/>
      <c r="C599" s="4"/>
      <c r="D599" s="4"/>
      <c r="E599" s="17"/>
      <c r="F599" s="22"/>
    </row>
    <row r="600" spans="1:6" ht="15.75" thickBot="1">
      <c r="A600" s="3"/>
      <c r="B600" s="3"/>
      <c r="C600" s="4"/>
      <c r="D600" s="4"/>
      <c r="E600" s="17"/>
      <c r="F600" s="22"/>
    </row>
    <row r="601" spans="1:6" ht="15.75" thickBot="1">
      <c r="A601" s="3"/>
      <c r="B601" s="3"/>
      <c r="C601" s="4"/>
      <c r="D601" s="4"/>
      <c r="E601" s="17"/>
      <c r="F601" s="22"/>
    </row>
    <row r="602" spans="1:6" ht="15.75" thickBot="1">
      <c r="A602" s="3"/>
      <c r="B602" s="3"/>
      <c r="C602" s="4"/>
      <c r="D602" s="4"/>
      <c r="E602" s="17"/>
      <c r="F602" s="22"/>
    </row>
    <row r="603" spans="1:6" ht="15.75" thickBot="1">
      <c r="A603" s="3"/>
      <c r="B603" s="3"/>
      <c r="C603" s="4"/>
      <c r="D603" s="4"/>
      <c r="E603" s="17"/>
      <c r="F603" s="22"/>
    </row>
    <row r="604" spans="1:6" ht="15.75" thickBot="1">
      <c r="A604" s="3"/>
      <c r="B604" s="3"/>
      <c r="C604" s="4"/>
      <c r="D604" s="4"/>
      <c r="E604" s="17"/>
      <c r="F604" s="22"/>
    </row>
    <row r="605" spans="1:6" ht="15.75" thickBot="1">
      <c r="A605" s="3"/>
      <c r="B605" s="3"/>
      <c r="C605" s="4"/>
      <c r="D605" s="4"/>
      <c r="E605" s="17"/>
      <c r="F605" s="22"/>
    </row>
    <row r="606" spans="1:6" ht="15.75" thickBot="1">
      <c r="A606" s="3"/>
      <c r="B606" s="3"/>
      <c r="C606" s="4"/>
      <c r="D606" s="4"/>
      <c r="E606" s="17"/>
      <c r="F606" s="22"/>
    </row>
    <row r="607" spans="1:6" ht="15.75" thickBot="1">
      <c r="A607" s="3"/>
      <c r="B607" s="3"/>
      <c r="C607" s="4"/>
      <c r="D607" s="4"/>
      <c r="E607" s="17"/>
      <c r="F607" s="22"/>
    </row>
    <row r="608" spans="1:6" ht="15.75" thickBot="1">
      <c r="A608" s="3"/>
      <c r="B608" s="3"/>
      <c r="C608" s="4"/>
      <c r="D608" s="4"/>
      <c r="E608" s="17"/>
      <c r="F608" s="22"/>
    </row>
    <row r="609" spans="1:6" ht="15.75" thickBot="1">
      <c r="A609" s="3"/>
      <c r="B609" s="3"/>
      <c r="C609" s="4"/>
      <c r="D609" s="4"/>
      <c r="E609" s="17"/>
      <c r="F609" s="22"/>
    </row>
    <row r="610" spans="1:6" ht="15.75" thickBot="1">
      <c r="A610" s="3"/>
      <c r="B610" s="3"/>
      <c r="C610" s="4"/>
      <c r="D610" s="4"/>
      <c r="E610" s="17"/>
      <c r="F610" s="22"/>
    </row>
    <row r="611" spans="1:6" ht="15.75" thickBot="1">
      <c r="A611" s="3"/>
      <c r="B611" s="3"/>
      <c r="C611" s="4"/>
      <c r="D611" s="4"/>
      <c r="E611" s="17"/>
      <c r="F611" s="22"/>
    </row>
    <row r="612" spans="1:6" ht="15.75" thickBot="1">
      <c r="A612" s="3"/>
      <c r="B612" s="3"/>
      <c r="C612" s="4"/>
      <c r="D612" s="4"/>
      <c r="E612" s="17"/>
      <c r="F612" s="22"/>
    </row>
    <row r="613" spans="1:6" ht="15.75" thickBot="1">
      <c r="A613" s="3"/>
      <c r="B613" s="3"/>
      <c r="C613" s="4"/>
      <c r="D613" s="4"/>
      <c r="E613" s="17"/>
      <c r="F613" s="22"/>
    </row>
    <row r="614" spans="1:6" ht="15.75" thickBot="1">
      <c r="A614" s="3"/>
      <c r="B614" s="3"/>
      <c r="C614" s="4"/>
      <c r="D614" s="4"/>
      <c r="E614" s="17"/>
      <c r="F614" s="22"/>
    </row>
    <row r="615" spans="1:6" ht="15.75" thickBot="1">
      <c r="A615" s="3"/>
      <c r="B615" s="3"/>
      <c r="C615" s="4"/>
      <c r="D615" s="4"/>
      <c r="E615" s="17"/>
      <c r="F615" s="22"/>
    </row>
    <row r="616" spans="1:6" ht="15.75" thickBot="1">
      <c r="A616" s="3"/>
      <c r="B616" s="3"/>
      <c r="C616" s="4"/>
      <c r="D616" s="4"/>
      <c r="E616" s="17"/>
      <c r="F616" s="22"/>
    </row>
    <row r="617" spans="1:6" ht="15.75" thickBot="1">
      <c r="A617" s="3"/>
      <c r="B617" s="3"/>
      <c r="C617" s="4"/>
      <c r="D617" s="4"/>
      <c r="E617" s="17"/>
      <c r="F617" s="22"/>
    </row>
    <row r="618" spans="1:6" ht="15.75" thickBot="1">
      <c r="A618" s="3"/>
      <c r="B618" s="3"/>
      <c r="C618" s="4"/>
      <c r="D618" s="4"/>
      <c r="E618" s="17"/>
      <c r="F618" s="22"/>
    </row>
    <row r="619" spans="1:6" ht="15.75" thickBot="1">
      <c r="A619" s="3"/>
      <c r="B619" s="3"/>
      <c r="C619" s="4"/>
      <c r="D619" s="4"/>
      <c r="E619" s="17"/>
      <c r="F619" s="22"/>
    </row>
    <row r="620" spans="1:6" ht="15.75" thickBot="1">
      <c r="A620" s="3"/>
      <c r="B620" s="3"/>
      <c r="C620" s="4"/>
      <c r="D620" s="4"/>
      <c r="E620" s="17"/>
      <c r="F620" s="22"/>
    </row>
    <row r="621" spans="1:6" ht="15.75" thickBot="1">
      <c r="A621" s="3"/>
      <c r="B621" s="3"/>
      <c r="C621" s="4"/>
      <c r="D621" s="4"/>
      <c r="E621" s="17"/>
      <c r="F621" s="22"/>
    </row>
    <row r="622" spans="1:6" ht="15.75" thickBot="1">
      <c r="A622" s="3"/>
      <c r="B622" s="3"/>
      <c r="C622" s="4"/>
      <c r="D622" s="4"/>
      <c r="E622" s="17"/>
      <c r="F622" s="22"/>
    </row>
    <row r="623" spans="1:6" ht="15.75" thickBot="1">
      <c r="A623" s="3"/>
      <c r="B623" s="3"/>
      <c r="C623" s="4"/>
      <c r="D623" s="4"/>
      <c r="E623" s="17"/>
      <c r="F623" s="22"/>
    </row>
    <row r="624" spans="1:6" ht="15.75" thickBot="1">
      <c r="A624" s="3"/>
      <c r="B624" s="3"/>
      <c r="C624" s="4"/>
      <c r="D624" s="4"/>
      <c r="E624" s="17"/>
      <c r="F624" s="22"/>
    </row>
    <row r="625" spans="1:6" ht="15.75" thickBot="1">
      <c r="A625" s="3"/>
      <c r="B625" s="3"/>
      <c r="C625" s="4"/>
      <c r="D625" s="4"/>
      <c r="E625" s="17"/>
      <c r="F625" s="22"/>
    </row>
    <row r="626" spans="1:6" ht="15.75" thickBot="1">
      <c r="A626" s="3"/>
      <c r="B626" s="3"/>
      <c r="C626" s="4"/>
      <c r="D626" s="4"/>
      <c r="E626" s="17"/>
      <c r="F626" s="22"/>
    </row>
    <row r="627" spans="1:6" ht="15.75" thickBot="1">
      <c r="A627" s="3"/>
      <c r="B627" s="3"/>
      <c r="C627" s="4"/>
      <c r="D627" s="4"/>
      <c r="E627" s="17"/>
      <c r="F627" s="22"/>
    </row>
    <row r="628" spans="1:6" ht="15.75" thickBot="1">
      <c r="A628" s="3"/>
      <c r="B628" s="3"/>
      <c r="C628" s="4"/>
      <c r="D628" s="4"/>
      <c r="E628" s="17"/>
      <c r="F628" s="22"/>
    </row>
    <row r="629" spans="1:6" ht="15.75" thickBot="1">
      <c r="A629" s="3"/>
      <c r="B629" s="3"/>
      <c r="C629" s="4"/>
      <c r="D629" s="4"/>
      <c r="E629" s="17"/>
      <c r="F629" s="22"/>
    </row>
    <row r="630" spans="1:6" ht="15.75" thickBot="1">
      <c r="A630" s="3"/>
      <c r="B630" s="3"/>
      <c r="C630" s="4"/>
      <c r="D630" s="4"/>
      <c r="E630" s="17"/>
      <c r="F630" s="22"/>
    </row>
    <row r="631" spans="1:6" ht="15.75" thickBot="1">
      <c r="A631" s="3"/>
      <c r="B631" s="3"/>
      <c r="C631" s="4"/>
      <c r="D631" s="4"/>
      <c r="E631" s="17"/>
      <c r="F631" s="22"/>
    </row>
    <row r="632" spans="1:6" ht="15.75" thickBot="1">
      <c r="A632" s="3"/>
      <c r="B632" s="3"/>
      <c r="C632" s="4"/>
      <c r="D632" s="4"/>
      <c r="E632" s="17"/>
      <c r="F632" s="22"/>
    </row>
    <row r="633" spans="1:6" ht="15.75" thickBot="1">
      <c r="A633" s="3"/>
      <c r="B633" s="3"/>
      <c r="C633" s="4"/>
      <c r="D633" s="4"/>
      <c r="E633" s="17"/>
      <c r="F633" s="22"/>
    </row>
    <row r="634" spans="1:6" ht="15.75" thickBot="1">
      <c r="A634" s="3"/>
      <c r="B634" s="3"/>
      <c r="C634" s="4"/>
      <c r="D634" s="4"/>
      <c r="E634" s="17"/>
      <c r="F634" s="22"/>
    </row>
    <row r="635" spans="1:6" ht="15.75" thickBot="1">
      <c r="A635" s="3"/>
      <c r="B635" s="3"/>
      <c r="C635" s="4"/>
      <c r="D635" s="4"/>
      <c r="E635" s="17"/>
      <c r="F635" s="22"/>
    </row>
    <row r="636" spans="1:6" ht="15.75" thickBot="1">
      <c r="A636" s="3"/>
      <c r="B636" s="3"/>
      <c r="C636" s="4"/>
      <c r="D636" s="4"/>
      <c r="E636" s="17"/>
      <c r="F636" s="22"/>
    </row>
    <row r="637" spans="1:6" ht="15.75" thickBot="1">
      <c r="A637" s="3"/>
      <c r="B637" s="3"/>
      <c r="C637" s="4"/>
      <c r="D637" s="4"/>
      <c r="E637" s="17"/>
      <c r="F637" s="22"/>
    </row>
    <row r="638" spans="1:6" ht="15.75" thickBot="1">
      <c r="A638" s="3"/>
      <c r="B638" s="3"/>
      <c r="C638" s="4"/>
      <c r="D638" s="4"/>
      <c r="E638" s="17"/>
      <c r="F638" s="22"/>
    </row>
    <row r="639" spans="1:6" ht="15.75" thickBot="1">
      <c r="A639" s="3"/>
      <c r="B639" s="3"/>
      <c r="C639" s="4"/>
      <c r="D639" s="4"/>
      <c r="E639" s="17"/>
      <c r="F639" s="22"/>
    </row>
    <row r="640" spans="1:6" ht="15.75" thickBot="1">
      <c r="A640" s="3"/>
      <c r="B640" s="3"/>
      <c r="C640" s="4"/>
      <c r="D640" s="4"/>
      <c r="E640" s="17"/>
      <c r="F640" s="22"/>
    </row>
    <row r="641" spans="1:6" ht="15.75" thickBot="1">
      <c r="A641" s="3"/>
      <c r="B641" s="3"/>
      <c r="C641" s="4"/>
      <c r="D641" s="4"/>
      <c r="E641" s="17"/>
      <c r="F641" s="22"/>
    </row>
    <row r="642" spans="1:6" ht="15.75" thickBot="1">
      <c r="A642" s="3"/>
      <c r="B642" s="3"/>
      <c r="C642" s="4"/>
      <c r="D642" s="4"/>
      <c r="E642" s="17"/>
      <c r="F642" s="22"/>
    </row>
    <row r="643" spans="1:6" ht="15.75" thickBot="1">
      <c r="A643" s="3"/>
      <c r="B643" s="3"/>
      <c r="C643" s="4"/>
      <c r="D643" s="4"/>
      <c r="E643" s="17"/>
      <c r="F643" s="22"/>
    </row>
    <row r="644" spans="1:6" ht="15.75" thickBot="1">
      <c r="A644" s="3"/>
      <c r="B644" s="3"/>
      <c r="C644" s="4"/>
      <c r="D644" s="4"/>
      <c r="E644" s="17"/>
      <c r="F644" s="22"/>
    </row>
    <row r="645" spans="1:6" ht="15.75" thickBot="1">
      <c r="A645" s="3"/>
      <c r="B645" s="3"/>
      <c r="C645" s="4"/>
      <c r="D645" s="4"/>
      <c r="E645" s="17"/>
      <c r="F645" s="22"/>
    </row>
    <row r="646" spans="1:6" ht="15.75" thickBot="1">
      <c r="A646" s="3"/>
      <c r="B646" s="3"/>
      <c r="C646" s="4"/>
      <c r="D646" s="4"/>
      <c r="E646" s="17"/>
      <c r="F646" s="22"/>
    </row>
    <row r="647" spans="1:6" ht="15.75" thickBot="1">
      <c r="A647" s="3"/>
      <c r="B647" s="3"/>
      <c r="C647" s="4"/>
      <c r="D647" s="4"/>
      <c r="E647" s="17"/>
      <c r="F647" s="22"/>
    </row>
    <row r="648" spans="1:6" ht="15.75" thickBot="1">
      <c r="A648" s="3"/>
      <c r="B648" s="3"/>
      <c r="C648" s="4"/>
      <c r="D648" s="4"/>
      <c r="E648" s="17"/>
      <c r="F648" s="22"/>
    </row>
    <row r="649" spans="1:6" ht="15.75" thickBot="1">
      <c r="A649" s="3"/>
      <c r="B649" s="3"/>
      <c r="C649" s="4"/>
      <c r="D649" s="4"/>
      <c r="E649" s="17"/>
      <c r="F649" s="22"/>
    </row>
    <row r="650" spans="1:6" ht="15.75" thickBot="1">
      <c r="A650" s="3"/>
      <c r="B650" s="3"/>
      <c r="C650" s="4"/>
      <c r="D650" s="4"/>
      <c r="E650" s="17"/>
      <c r="F650" s="22"/>
    </row>
    <row r="651" spans="1:6" ht="15.75" thickBot="1">
      <c r="A651" s="3"/>
      <c r="B651" s="3"/>
      <c r="C651" s="4"/>
      <c r="D651" s="4"/>
      <c r="E651" s="17"/>
      <c r="F651" s="22"/>
    </row>
    <row r="652" spans="1:6" ht="15.75" thickBot="1">
      <c r="A652" s="3"/>
      <c r="B652" s="3"/>
      <c r="C652" s="4"/>
      <c r="D652" s="4"/>
      <c r="E652" s="17"/>
      <c r="F652" s="22"/>
    </row>
    <row r="653" spans="1:6" ht="15.75" thickBot="1">
      <c r="A653" s="3"/>
      <c r="B653" s="3"/>
      <c r="C653" s="4"/>
      <c r="D653" s="4"/>
      <c r="E653" s="17"/>
      <c r="F653" s="22"/>
    </row>
    <row r="654" spans="1:6" ht="15.75" thickBot="1">
      <c r="A654" s="3"/>
      <c r="B654" s="3"/>
      <c r="C654" s="4"/>
      <c r="D654" s="4"/>
      <c r="E654" s="17"/>
      <c r="F654" s="22"/>
    </row>
    <row r="655" spans="1:6" ht="15.75" thickBot="1">
      <c r="A655" s="3"/>
      <c r="B655" s="3"/>
      <c r="C655" s="4"/>
      <c r="D655" s="4"/>
      <c r="E655" s="17"/>
      <c r="F655" s="22"/>
    </row>
    <row r="656" spans="1:6" ht="15.75" thickBot="1">
      <c r="A656" s="3"/>
      <c r="B656" s="3"/>
      <c r="C656" s="4"/>
      <c r="D656" s="4"/>
      <c r="E656" s="17"/>
      <c r="F656" s="22"/>
    </row>
    <row r="657" spans="1:6" ht="15.75" thickBot="1">
      <c r="A657" s="3"/>
      <c r="B657" s="3"/>
      <c r="C657" s="4"/>
      <c r="D657" s="4"/>
      <c r="E657" s="17"/>
      <c r="F657" s="22"/>
    </row>
    <row r="658" spans="1:6" ht="15.75" thickBot="1">
      <c r="A658" s="3"/>
      <c r="B658" s="3"/>
      <c r="C658" s="4"/>
      <c r="D658" s="4"/>
      <c r="E658" s="17"/>
      <c r="F658" s="22"/>
    </row>
    <row r="659" spans="1:6" ht="15.75" thickBot="1">
      <c r="A659" s="3"/>
      <c r="B659" s="3"/>
      <c r="C659" s="4"/>
      <c r="D659" s="4"/>
      <c r="E659" s="17"/>
      <c r="F659" s="22"/>
    </row>
    <row r="660" spans="1:6" ht="15.75" thickBot="1">
      <c r="A660" s="3"/>
      <c r="B660" s="3"/>
      <c r="C660" s="4"/>
      <c r="D660" s="4"/>
      <c r="E660" s="17"/>
      <c r="F660" s="22"/>
    </row>
    <row r="661" spans="1:6" ht="15.75" thickBot="1">
      <c r="A661" s="3"/>
      <c r="B661" s="3"/>
      <c r="C661" s="4"/>
      <c r="D661" s="4"/>
      <c r="E661" s="17"/>
      <c r="F661" s="22"/>
    </row>
    <row r="662" spans="1:6" ht="15.75" thickBot="1">
      <c r="A662" s="3"/>
      <c r="B662" s="3"/>
      <c r="C662" s="4"/>
      <c r="D662" s="4"/>
      <c r="E662" s="17"/>
      <c r="F662" s="22"/>
    </row>
    <row r="663" spans="1:6" ht="15.75" thickBot="1">
      <c r="A663" s="3"/>
      <c r="B663" s="3"/>
      <c r="C663" s="4"/>
      <c r="D663" s="4"/>
      <c r="E663" s="17"/>
      <c r="F663" s="22"/>
    </row>
    <row r="664" spans="1:6" ht="15.75" thickBot="1">
      <c r="A664" s="3"/>
      <c r="B664" s="3"/>
      <c r="C664" s="4"/>
      <c r="D664" s="4"/>
      <c r="E664" s="17"/>
      <c r="F664" s="22"/>
    </row>
    <row r="665" spans="1:6" ht="15.75" thickBot="1">
      <c r="A665" s="3"/>
      <c r="B665" s="3"/>
      <c r="C665" s="4"/>
      <c r="D665" s="4"/>
      <c r="E665" s="17"/>
      <c r="F665" s="22"/>
    </row>
    <row r="666" spans="1:6" ht="15.75" thickBot="1">
      <c r="A666" s="3"/>
      <c r="B666" s="3"/>
      <c r="C666" s="4"/>
      <c r="D666" s="4"/>
      <c r="E666" s="17"/>
      <c r="F666" s="22"/>
    </row>
    <row r="667" spans="1:6" ht="15.75" thickBot="1">
      <c r="A667" s="3"/>
      <c r="B667" s="3"/>
      <c r="C667" s="4"/>
      <c r="D667" s="4"/>
      <c r="E667" s="17"/>
      <c r="F667" s="22"/>
    </row>
    <row r="668" spans="1:6" ht="15.75" thickBot="1">
      <c r="A668" s="3"/>
      <c r="B668" s="3"/>
      <c r="C668" s="4"/>
      <c r="D668" s="4"/>
      <c r="E668" s="17"/>
      <c r="F668" s="22"/>
    </row>
    <row r="669" spans="1:6" ht="15.75" thickBot="1">
      <c r="A669" s="3"/>
      <c r="B669" s="3"/>
      <c r="C669" s="4"/>
      <c r="D669" s="4"/>
      <c r="E669" s="17"/>
      <c r="F669" s="22"/>
    </row>
    <row r="670" spans="1:6" ht="15.75" thickBot="1">
      <c r="A670" s="3"/>
      <c r="B670" s="3"/>
      <c r="C670" s="4"/>
      <c r="D670" s="4"/>
      <c r="E670" s="17"/>
      <c r="F670" s="22"/>
    </row>
    <row r="671" spans="1:6" ht="15.75" thickBot="1">
      <c r="A671" s="3"/>
      <c r="B671" s="3"/>
      <c r="C671" s="4"/>
      <c r="D671" s="4"/>
      <c r="E671" s="17"/>
      <c r="F671" s="22"/>
    </row>
    <row r="672" spans="1:6" ht="15.75" thickBot="1">
      <c r="A672" s="3"/>
      <c r="B672" s="3"/>
      <c r="C672" s="4"/>
      <c r="D672" s="4"/>
      <c r="E672" s="17"/>
      <c r="F672" s="22"/>
    </row>
    <row r="673" spans="1:6" ht="15.75" thickBot="1">
      <c r="A673" s="3"/>
      <c r="B673" s="3"/>
      <c r="C673" s="4"/>
      <c r="D673" s="4"/>
      <c r="E673" s="17"/>
      <c r="F673" s="22"/>
    </row>
    <row r="674" spans="1:6" ht="15.75" thickBot="1">
      <c r="A674" s="3"/>
      <c r="B674" s="3"/>
      <c r="C674" s="4"/>
      <c r="D674" s="4"/>
      <c r="E674" s="17"/>
      <c r="F674" s="22"/>
    </row>
    <row r="675" spans="1:6" ht="15.75" thickBot="1">
      <c r="A675" s="3"/>
      <c r="B675" s="3"/>
      <c r="C675" s="4"/>
      <c r="D675" s="4"/>
      <c r="E675" s="17"/>
      <c r="F675" s="22"/>
    </row>
    <row r="676" spans="1:6" ht="15.75" thickBot="1">
      <c r="A676" s="3"/>
      <c r="B676" s="3"/>
      <c r="C676" s="4"/>
      <c r="D676" s="4"/>
      <c r="E676" s="17"/>
      <c r="F676" s="22"/>
    </row>
    <row r="677" spans="1:6" ht="15.75" thickBot="1">
      <c r="A677" s="3"/>
      <c r="B677" s="3"/>
      <c r="C677" s="4"/>
      <c r="D677" s="4"/>
      <c r="E677" s="17"/>
      <c r="F677" s="22"/>
    </row>
    <row r="678" spans="1:6" ht="15.75" thickBot="1">
      <c r="A678" s="3"/>
      <c r="B678" s="3"/>
      <c r="C678" s="4"/>
      <c r="D678" s="4"/>
      <c r="E678" s="17"/>
      <c r="F678" s="22"/>
    </row>
    <row r="679" spans="1:6" ht="15.75" thickBot="1">
      <c r="A679" s="3"/>
      <c r="B679" s="3"/>
      <c r="C679" s="4"/>
      <c r="D679" s="4"/>
      <c r="E679" s="17"/>
      <c r="F679" s="22"/>
    </row>
    <row r="680" spans="1:6" ht="15.75" thickBot="1">
      <c r="A680" s="3"/>
      <c r="B680" s="3"/>
      <c r="C680" s="4"/>
      <c r="D680" s="4"/>
      <c r="E680" s="17"/>
      <c r="F680" s="22"/>
    </row>
    <row r="681" spans="1:6" ht="15.75" thickBot="1">
      <c r="A681" s="3"/>
      <c r="B681" s="3"/>
      <c r="C681" s="4"/>
      <c r="D681" s="4"/>
      <c r="E681" s="17"/>
      <c r="F681" s="22"/>
    </row>
    <row r="682" spans="1:6" ht="15.75" thickBot="1">
      <c r="A682" s="3"/>
      <c r="B682" s="3"/>
      <c r="C682" s="4"/>
      <c r="D682" s="4"/>
      <c r="E682" s="17"/>
      <c r="F682" s="22"/>
    </row>
    <row r="683" spans="1:6" ht="15.75" thickBot="1">
      <c r="A683" s="3"/>
      <c r="B683" s="3"/>
      <c r="C683" s="4"/>
      <c r="D683" s="4"/>
      <c r="E683" s="17"/>
      <c r="F683" s="22"/>
    </row>
    <row r="684" spans="1:6" ht="15.75" thickBot="1">
      <c r="A684" s="3"/>
      <c r="B684" s="3"/>
      <c r="C684" s="4"/>
      <c r="D684" s="4"/>
      <c r="E684" s="17"/>
      <c r="F684" s="22"/>
    </row>
    <row r="685" spans="1:6" ht="15.75" thickBot="1">
      <c r="A685" s="3"/>
      <c r="B685" s="3"/>
      <c r="C685" s="4"/>
      <c r="D685" s="4"/>
      <c r="E685" s="17"/>
      <c r="F685" s="22"/>
    </row>
    <row r="686" spans="1:6" ht="15.75" thickBot="1">
      <c r="A686" s="3"/>
      <c r="B686" s="3"/>
      <c r="C686" s="4"/>
      <c r="D686" s="4"/>
      <c r="E686" s="17"/>
      <c r="F686" s="22"/>
    </row>
    <row r="687" spans="1:6" ht="15.75" thickBot="1">
      <c r="A687" s="3"/>
      <c r="B687" s="3"/>
      <c r="C687" s="4"/>
      <c r="D687" s="4"/>
      <c r="E687" s="17"/>
      <c r="F687" s="22"/>
    </row>
    <row r="688" spans="1:6" ht="15.75" thickBot="1">
      <c r="A688" s="3"/>
      <c r="B688" s="3"/>
      <c r="C688" s="4"/>
      <c r="D688" s="4"/>
      <c r="E688" s="17"/>
      <c r="F688" s="22"/>
    </row>
    <row r="689" spans="1:6" ht="15.75" thickBot="1">
      <c r="A689" s="3"/>
      <c r="B689" s="3"/>
      <c r="C689" s="4"/>
      <c r="D689" s="4"/>
      <c r="E689" s="17"/>
      <c r="F689" s="22"/>
    </row>
    <row r="690" spans="1:6" ht="15.75" thickBot="1">
      <c r="A690" s="3"/>
      <c r="B690" s="3"/>
      <c r="C690" s="4"/>
      <c r="D690" s="4"/>
      <c r="E690" s="17"/>
      <c r="F690" s="22"/>
    </row>
    <row r="691" spans="1:6" ht="15.75" thickBot="1">
      <c r="A691" s="3"/>
      <c r="B691" s="3"/>
      <c r="C691" s="4"/>
      <c r="D691" s="4"/>
      <c r="E691" s="17"/>
      <c r="F691" s="22"/>
    </row>
    <row r="692" spans="1:6" ht="15.75" thickBot="1">
      <c r="A692" s="3"/>
      <c r="B692" s="3"/>
      <c r="C692" s="4"/>
      <c r="D692" s="4"/>
      <c r="E692" s="17"/>
      <c r="F692" s="22"/>
    </row>
    <row r="693" spans="1:6" ht="15.75" thickBot="1">
      <c r="A693" s="3"/>
      <c r="B693" s="3"/>
      <c r="C693" s="4"/>
      <c r="D693" s="4"/>
      <c r="E693" s="17"/>
      <c r="F693" s="22"/>
    </row>
    <row r="694" spans="1:6" ht="15.75" thickBot="1">
      <c r="A694" s="3"/>
      <c r="B694" s="3"/>
      <c r="C694" s="4"/>
      <c r="D694" s="4"/>
      <c r="E694" s="17"/>
      <c r="F694" s="22"/>
    </row>
    <row r="695" spans="1:6" ht="15.75" thickBot="1">
      <c r="A695" s="3"/>
      <c r="B695" s="3"/>
      <c r="C695" s="4"/>
      <c r="D695" s="4"/>
      <c r="E695" s="17"/>
      <c r="F695" s="22"/>
    </row>
    <row r="696" spans="1:6" ht="15.75" thickBot="1">
      <c r="A696" s="3"/>
      <c r="B696" s="3"/>
      <c r="C696" s="4"/>
      <c r="D696" s="4"/>
      <c r="E696" s="17"/>
      <c r="F696" s="22"/>
    </row>
    <row r="697" spans="1:6" ht="15.75" thickBot="1">
      <c r="A697" s="3"/>
      <c r="B697" s="3"/>
      <c r="C697" s="4"/>
      <c r="D697" s="4"/>
      <c r="E697" s="17"/>
      <c r="F697" s="22"/>
    </row>
    <row r="698" spans="1:6" ht="15.75" thickBot="1">
      <c r="A698" s="3"/>
      <c r="B698" s="3"/>
      <c r="C698" s="4"/>
      <c r="D698" s="4"/>
      <c r="E698" s="17"/>
      <c r="F698" s="22"/>
    </row>
    <row r="699" spans="1:6" ht="15.75" thickBot="1">
      <c r="A699" s="3"/>
      <c r="B699" s="3"/>
      <c r="C699" s="4"/>
      <c r="D699" s="4"/>
      <c r="E699" s="17"/>
      <c r="F699" s="22"/>
    </row>
    <row r="700" spans="1:6" ht="15.75" thickBot="1">
      <c r="A700" s="3"/>
      <c r="B700" s="3"/>
      <c r="C700" s="4"/>
      <c r="D700" s="4"/>
      <c r="E700" s="17"/>
      <c r="F700" s="22"/>
    </row>
    <row r="701" spans="1:6" ht="15.75" thickBot="1">
      <c r="A701" s="3"/>
      <c r="B701" s="3"/>
      <c r="C701" s="4"/>
      <c r="D701" s="4"/>
      <c r="E701" s="17"/>
      <c r="F701" s="22"/>
    </row>
    <row r="702" spans="1:6" ht="15.75" thickBot="1">
      <c r="A702" s="3"/>
      <c r="B702" s="3"/>
      <c r="C702" s="4"/>
      <c r="D702" s="4"/>
      <c r="E702" s="17"/>
      <c r="F702" s="22"/>
    </row>
    <row r="703" spans="1:6" ht="15.75" thickBot="1">
      <c r="A703" s="3"/>
      <c r="B703" s="3"/>
      <c r="C703" s="4"/>
      <c r="D703" s="4"/>
      <c r="E703" s="17"/>
      <c r="F703" s="22"/>
    </row>
    <row r="704" spans="1:6" ht="15.75" thickBot="1">
      <c r="A704" s="3"/>
      <c r="B704" s="3"/>
      <c r="C704" s="4"/>
      <c r="D704" s="4"/>
      <c r="E704" s="17"/>
      <c r="F704" s="22"/>
    </row>
    <row r="705" spans="1:6" ht="15.75" thickBot="1">
      <c r="A705" s="3"/>
      <c r="B705" s="3"/>
      <c r="C705" s="4"/>
      <c r="D705" s="4"/>
      <c r="E705" s="17"/>
      <c r="F705" s="22"/>
    </row>
    <row r="706" spans="1:6" ht="15.75" thickBot="1">
      <c r="A706" s="3"/>
      <c r="B706" s="3"/>
      <c r="C706" s="4"/>
      <c r="D706" s="4"/>
      <c r="E706" s="17"/>
      <c r="F706" s="22"/>
    </row>
    <row r="707" spans="1:6" ht="15.75" thickBot="1">
      <c r="A707" s="3"/>
      <c r="B707" s="3"/>
      <c r="C707" s="4"/>
      <c r="D707" s="4"/>
      <c r="E707" s="17"/>
      <c r="F707" s="22"/>
    </row>
    <row r="708" spans="1:6" ht="15.75" thickBot="1">
      <c r="A708" s="3"/>
      <c r="B708" s="3"/>
      <c r="C708" s="4"/>
      <c r="D708" s="4"/>
      <c r="E708" s="17"/>
      <c r="F708" s="22"/>
    </row>
    <row r="709" spans="1:6" ht="15.75" thickBot="1">
      <c r="A709" s="3"/>
      <c r="B709" s="3"/>
      <c r="C709" s="4"/>
      <c r="D709" s="4"/>
      <c r="E709" s="17"/>
      <c r="F709" s="22"/>
    </row>
    <row r="710" spans="1:6" ht="15.75" thickBot="1">
      <c r="A710" s="3"/>
      <c r="B710" s="3"/>
      <c r="C710" s="4"/>
      <c r="D710" s="4"/>
      <c r="E710" s="17"/>
      <c r="F710" s="22"/>
    </row>
    <row r="711" spans="1:6" ht="15.75" thickBot="1">
      <c r="A711" s="3"/>
      <c r="B711" s="3"/>
      <c r="C711" s="4"/>
      <c r="D711" s="4"/>
      <c r="E711" s="17"/>
      <c r="F711" s="22"/>
    </row>
    <row r="712" spans="1:6" ht="15.75" thickBot="1">
      <c r="A712" s="3"/>
      <c r="B712" s="3"/>
      <c r="C712" s="4"/>
      <c r="D712" s="4"/>
      <c r="E712" s="17"/>
      <c r="F712" s="22"/>
    </row>
    <row r="713" spans="1:6" ht="15.75" thickBot="1">
      <c r="A713" s="3"/>
      <c r="B713" s="3"/>
      <c r="C713" s="4"/>
      <c r="D713" s="4"/>
      <c r="E713" s="17"/>
      <c r="F713" s="22"/>
    </row>
    <row r="714" spans="1:6" ht="15.75" thickBot="1">
      <c r="A714" s="3"/>
      <c r="B714" s="3"/>
      <c r="C714" s="4"/>
      <c r="D714" s="4"/>
      <c r="E714" s="17"/>
      <c r="F714" s="22"/>
    </row>
    <row r="715" spans="1:6" ht="15.75" thickBot="1">
      <c r="A715" s="3"/>
      <c r="B715" s="3"/>
      <c r="C715" s="4"/>
      <c r="D715" s="4"/>
      <c r="E715" s="17"/>
      <c r="F715" s="22"/>
    </row>
    <row r="716" spans="1:6" ht="15.75" thickBot="1">
      <c r="A716" s="3"/>
      <c r="B716" s="3"/>
      <c r="C716" s="4"/>
      <c r="D716" s="4"/>
      <c r="E716" s="17"/>
      <c r="F716" s="22"/>
    </row>
    <row r="717" spans="1:6" ht="15.75" thickBot="1">
      <c r="A717" s="3"/>
      <c r="B717" s="3"/>
      <c r="C717" s="4"/>
      <c r="D717" s="4"/>
      <c r="E717" s="17"/>
      <c r="F717" s="22"/>
    </row>
    <row r="718" spans="1:6" ht="15.75" thickBot="1">
      <c r="A718" s="3"/>
      <c r="B718" s="3"/>
      <c r="C718" s="4"/>
      <c r="D718" s="4"/>
      <c r="E718" s="17"/>
      <c r="F718" s="22"/>
    </row>
    <row r="719" spans="1:6" ht="15.75" thickBot="1">
      <c r="A719" s="3"/>
      <c r="B719" s="3"/>
      <c r="C719" s="4"/>
      <c r="D719" s="4"/>
      <c r="E719" s="17"/>
      <c r="F719" s="22"/>
    </row>
    <row r="720" spans="1:6" ht="15.75" thickBot="1">
      <c r="A720" s="3"/>
      <c r="B720" s="3"/>
      <c r="C720" s="4"/>
      <c r="D720" s="4"/>
      <c r="E720" s="17"/>
      <c r="F720" s="22"/>
    </row>
    <row r="721" spans="1:6" ht="15.75" thickBot="1">
      <c r="A721" s="3"/>
      <c r="B721" s="3"/>
      <c r="C721" s="4"/>
      <c r="D721" s="4"/>
      <c r="E721" s="17"/>
      <c r="F721" s="22"/>
    </row>
    <row r="722" spans="1:6" ht="15.75" thickBot="1">
      <c r="A722" s="3"/>
      <c r="B722" s="3"/>
      <c r="C722" s="4"/>
      <c r="D722" s="4"/>
      <c r="E722" s="17"/>
      <c r="F722" s="22"/>
    </row>
    <row r="723" spans="1:6" ht="15.75" thickBot="1">
      <c r="A723" s="3"/>
      <c r="B723" s="3"/>
      <c r="C723" s="4"/>
      <c r="D723" s="4"/>
      <c r="E723" s="17"/>
      <c r="F723" s="22"/>
    </row>
    <row r="724" spans="1:6" ht="15.75" thickBot="1">
      <c r="A724" s="3"/>
      <c r="B724" s="3"/>
      <c r="C724" s="4"/>
      <c r="D724" s="4"/>
      <c r="E724" s="17"/>
      <c r="F724" s="22"/>
    </row>
    <row r="725" spans="1:6" ht="15.75" thickBot="1">
      <c r="A725" s="3"/>
      <c r="B725" s="3"/>
      <c r="C725" s="4"/>
      <c r="D725" s="4"/>
      <c r="E725" s="17"/>
      <c r="F725" s="22"/>
    </row>
    <row r="726" spans="1:6" ht="15.75" thickBot="1">
      <c r="A726" s="3"/>
      <c r="B726" s="3"/>
      <c r="C726" s="4"/>
      <c r="D726" s="4"/>
      <c r="E726" s="17"/>
      <c r="F726" s="22"/>
    </row>
    <row r="727" spans="1:6" ht="15.75" thickBot="1">
      <c r="A727" s="3"/>
      <c r="B727" s="3"/>
      <c r="C727" s="4"/>
      <c r="D727" s="4"/>
      <c r="E727" s="17"/>
      <c r="F727" s="22"/>
    </row>
    <row r="728" spans="1:6" ht="15.75" thickBot="1">
      <c r="A728" s="3"/>
      <c r="B728" s="3"/>
      <c r="C728" s="4"/>
      <c r="D728" s="4"/>
      <c r="E728" s="17"/>
      <c r="F728" s="22"/>
    </row>
    <row r="729" spans="1:6" ht="15.75" thickBot="1">
      <c r="A729" s="3"/>
      <c r="B729" s="3"/>
      <c r="C729" s="4"/>
      <c r="D729" s="4"/>
      <c r="E729" s="17"/>
      <c r="F729" s="22"/>
    </row>
    <row r="730" spans="1:6" ht="15.75" thickBot="1">
      <c r="A730" s="3"/>
      <c r="B730" s="3"/>
      <c r="C730" s="4"/>
      <c r="D730" s="4"/>
      <c r="E730" s="17"/>
      <c r="F730" s="22"/>
    </row>
    <row r="731" spans="1:6" ht="15.75" thickBot="1">
      <c r="A731" s="3"/>
      <c r="B731" s="3"/>
      <c r="C731" s="4"/>
      <c r="D731" s="4"/>
      <c r="E731" s="17"/>
      <c r="F731" s="22"/>
    </row>
    <row r="732" spans="1:6" ht="15.75" thickBot="1">
      <c r="A732" s="3"/>
      <c r="B732" s="3"/>
      <c r="C732" s="4"/>
      <c r="D732" s="4"/>
      <c r="E732" s="17"/>
      <c r="F732" s="22"/>
    </row>
    <row r="733" spans="1:6" ht="15.75" thickBot="1">
      <c r="A733" s="3"/>
      <c r="B733" s="3"/>
      <c r="C733" s="4"/>
      <c r="D733" s="4"/>
      <c r="E733" s="17"/>
      <c r="F733" s="22"/>
    </row>
    <row r="734" spans="1:6" ht="15.75" thickBot="1">
      <c r="A734" s="3"/>
      <c r="B734" s="3"/>
      <c r="C734" s="4"/>
      <c r="D734" s="4"/>
      <c r="E734" s="17"/>
      <c r="F734" s="22"/>
    </row>
    <row r="735" spans="1:6" ht="15.75" thickBot="1">
      <c r="A735" s="3"/>
      <c r="B735" s="3"/>
      <c r="C735" s="4"/>
      <c r="D735" s="4"/>
      <c r="E735" s="17"/>
      <c r="F735" s="22"/>
    </row>
    <row r="736" spans="1:6" ht="15.75" thickBot="1">
      <c r="A736" s="3"/>
      <c r="B736" s="3"/>
      <c r="C736" s="4"/>
      <c r="D736" s="4"/>
      <c r="E736" s="17"/>
      <c r="F736" s="22"/>
    </row>
    <row r="737" spans="1:6" ht="15.75" thickBot="1">
      <c r="A737" s="3"/>
      <c r="B737" s="3"/>
      <c r="C737" s="4"/>
      <c r="D737" s="4"/>
      <c r="E737" s="17"/>
      <c r="F737" s="22"/>
    </row>
    <row r="738" spans="1:6" ht="15.75" thickBot="1">
      <c r="A738" s="3"/>
      <c r="B738" s="3"/>
      <c r="C738" s="4"/>
      <c r="D738" s="4"/>
      <c r="E738" s="17"/>
      <c r="F738" s="22"/>
    </row>
    <row r="739" spans="1:6" ht="15.75" thickBot="1">
      <c r="A739" s="3"/>
      <c r="B739" s="3"/>
      <c r="C739" s="4"/>
      <c r="D739" s="4"/>
      <c r="E739" s="17"/>
      <c r="F739" s="22"/>
    </row>
    <row r="740" spans="1:6" ht="15.75" thickBot="1">
      <c r="A740" s="3"/>
      <c r="B740" s="3"/>
      <c r="C740" s="4"/>
      <c r="D740" s="4"/>
      <c r="E740" s="17"/>
      <c r="F740" s="22"/>
    </row>
    <row r="741" spans="1:6" ht="15.75" thickBot="1">
      <c r="A741" s="3"/>
      <c r="B741" s="3"/>
      <c r="C741" s="4"/>
      <c r="D741" s="4"/>
      <c r="E741" s="17"/>
      <c r="F741" s="22"/>
    </row>
    <row r="742" spans="1:6" ht="15.75" thickBot="1">
      <c r="A742" s="3"/>
      <c r="B742" s="3"/>
      <c r="C742" s="4"/>
      <c r="D742" s="4"/>
      <c r="E742" s="17"/>
      <c r="F742" s="22"/>
    </row>
    <row r="743" spans="1:6" ht="15.75" thickBot="1">
      <c r="A743" s="3"/>
      <c r="B743" s="3"/>
      <c r="C743" s="4"/>
      <c r="D743" s="4"/>
      <c r="E743" s="17"/>
      <c r="F743" s="22"/>
    </row>
    <row r="744" spans="1:6" ht="15.75" thickBot="1">
      <c r="A744" s="3"/>
      <c r="B744" s="3"/>
      <c r="C744" s="4"/>
      <c r="D744" s="4"/>
      <c r="E744" s="17"/>
      <c r="F744" s="22"/>
    </row>
    <row r="745" spans="1:6" ht="15.75" thickBot="1">
      <c r="A745" s="3"/>
      <c r="B745" s="3"/>
      <c r="C745" s="4"/>
      <c r="D745" s="4"/>
      <c r="E745" s="17"/>
      <c r="F745" s="22"/>
    </row>
    <row r="746" spans="1:6" ht="15.75" thickBot="1">
      <c r="A746" s="3"/>
      <c r="B746" s="3"/>
      <c r="C746" s="4"/>
      <c r="D746" s="4"/>
      <c r="E746" s="17"/>
      <c r="F746" s="22"/>
    </row>
    <row r="747" spans="1:6" ht="15.75" thickBot="1">
      <c r="A747" s="3"/>
      <c r="B747" s="3"/>
      <c r="C747" s="4"/>
      <c r="D747" s="4"/>
      <c r="E747" s="17"/>
      <c r="F747" s="22"/>
    </row>
    <row r="748" spans="1:6" ht="15.75" thickBot="1">
      <c r="A748" s="3"/>
      <c r="B748" s="3"/>
      <c r="C748" s="4"/>
      <c r="D748" s="4"/>
      <c r="E748" s="17"/>
      <c r="F748" s="22"/>
    </row>
    <row r="749" spans="1:6" ht="15.75" thickBot="1">
      <c r="A749" s="3"/>
      <c r="B749" s="3"/>
      <c r="C749" s="4"/>
      <c r="D749" s="4"/>
      <c r="E749" s="17"/>
      <c r="F749" s="22"/>
    </row>
    <row r="750" spans="1:6" ht="15.75" thickBot="1">
      <c r="A750" s="3"/>
      <c r="B750" s="3"/>
      <c r="C750" s="4"/>
      <c r="D750" s="4"/>
      <c r="E750" s="17"/>
      <c r="F750" s="22"/>
    </row>
    <row r="751" spans="1:6" ht="15.75" thickBot="1">
      <c r="A751" s="3"/>
      <c r="B751" s="3"/>
      <c r="C751" s="4"/>
      <c r="D751" s="4"/>
      <c r="E751" s="17"/>
      <c r="F751" s="22"/>
    </row>
    <row r="752" spans="1:6" ht="15.75" thickBot="1">
      <c r="A752" s="3"/>
      <c r="B752" s="3"/>
      <c r="C752" s="4"/>
      <c r="D752" s="4"/>
      <c r="E752" s="17"/>
      <c r="F752" s="22"/>
    </row>
    <row r="753" spans="1:6" ht="15.75" thickBot="1">
      <c r="A753" s="3"/>
      <c r="B753" s="3"/>
      <c r="C753" s="4"/>
      <c r="D753" s="4"/>
      <c r="E753" s="17"/>
      <c r="F753" s="22"/>
    </row>
    <row r="754" spans="1:6" ht="15.75" thickBot="1">
      <c r="A754" s="3"/>
      <c r="B754" s="3"/>
      <c r="C754" s="4"/>
      <c r="D754" s="4"/>
      <c r="E754" s="17"/>
      <c r="F754" s="22"/>
    </row>
    <row r="755" spans="1:6" ht="15.75" thickBot="1">
      <c r="A755" s="3"/>
      <c r="B755" s="3"/>
      <c r="C755" s="4"/>
      <c r="D755" s="4"/>
      <c r="E755" s="17"/>
      <c r="F755" s="22"/>
    </row>
    <row r="756" spans="1:6" ht="15.75" thickBot="1">
      <c r="A756" s="3"/>
      <c r="B756" s="3"/>
      <c r="C756" s="4"/>
      <c r="D756" s="4"/>
      <c r="E756" s="17"/>
      <c r="F756" s="22"/>
    </row>
    <row r="757" spans="1:6" ht="15.75" thickBot="1">
      <c r="A757" s="3"/>
      <c r="B757" s="3"/>
      <c r="C757" s="4"/>
      <c r="D757" s="4"/>
      <c r="E757" s="17"/>
      <c r="F757" s="22"/>
    </row>
    <row r="758" spans="1:6" ht="15.75" thickBot="1">
      <c r="A758" s="3"/>
      <c r="B758" s="3"/>
      <c r="C758" s="4"/>
      <c r="D758" s="4"/>
      <c r="E758" s="17"/>
      <c r="F758" s="22"/>
    </row>
    <row r="759" spans="1:6" ht="15.75" thickBot="1">
      <c r="A759" s="3"/>
      <c r="B759" s="3"/>
      <c r="C759" s="4"/>
      <c r="D759" s="4"/>
      <c r="E759" s="17"/>
      <c r="F759" s="22"/>
    </row>
    <row r="760" spans="1:6" ht="15.75" thickBot="1">
      <c r="A760" s="3"/>
      <c r="B760" s="3"/>
      <c r="C760" s="4"/>
      <c r="D760" s="4"/>
      <c r="E760" s="17"/>
      <c r="F760" s="22"/>
    </row>
    <row r="761" spans="1:6" ht="15.75" thickBot="1">
      <c r="A761" s="3"/>
      <c r="B761" s="3"/>
      <c r="C761" s="4"/>
      <c r="D761" s="4"/>
      <c r="E761" s="17"/>
      <c r="F761" s="22"/>
    </row>
    <row r="762" spans="1:6" ht="15.75" thickBot="1">
      <c r="A762" s="3"/>
      <c r="B762" s="3"/>
      <c r="C762" s="4"/>
      <c r="D762" s="4"/>
      <c r="E762" s="17"/>
      <c r="F762" s="22"/>
    </row>
    <row r="763" spans="1:6" ht="15.75" thickBot="1">
      <c r="A763" s="3"/>
      <c r="B763" s="3"/>
      <c r="C763" s="4"/>
      <c r="D763" s="4"/>
      <c r="E763" s="17"/>
      <c r="F763" s="22"/>
    </row>
    <row r="764" spans="1:6" ht="15.75" thickBot="1">
      <c r="A764" s="3"/>
      <c r="B764" s="3"/>
      <c r="C764" s="4"/>
      <c r="D764" s="4"/>
      <c r="E764" s="17"/>
      <c r="F764" s="22"/>
    </row>
    <row r="765" spans="1:6" ht="15.75" thickBot="1">
      <c r="A765" s="3"/>
      <c r="B765" s="3"/>
      <c r="C765" s="4"/>
      <c r="D765" s="4"/>
      <c r="E765" s="17"/>
      <c r="F765" s="22"/>
    </row>
    <row r="766" spans="1:6" ht="15.75" thickBot="1">
      <c r="A766" s="3"/>
      <c r="B766" s="3"/>
      <c r="C766" s="4"/>
      <c r="D766" s="4"/>
      <c r="E766" s="17"/>
      <c r="F766" s="22"/>
    </row>
    <row r="767" spans="1:6" ht="15.75" thickBot="1">
      <c r="A767" s="3"/>
      <c r="B767" s="3"/>
      <c r="C767" s="4"/>
      <c r="D767" s="4"/>
      <c r="E767" s="17"/>
      <c r="F767" s="22"/>
    </row>
    <row r="768" spans="1:6" ht="15.75" thickBot="1">
      <c r="A768" s="3"/>
      <c r="B768" s="3"/>
      <c r="C768" s="4"/>
      <c r="D768" s="4"/>
      <c r="E768" s="17"/>
      <c r="F768" s="22"/>
    </row>
    <row r="769" spans="1:6" ht="15.75" thickBot="1">
      <c r="A769" s="3"/>
      <c r="B769" s="3"/>
      <c r="C769" s="4"/>
      <c r="D769" s="4"/>
      <c r="E769" s="17"/>
      <c r="F769" s="22"/>
    </row>
    <row r="770" spans="1:6" ht="15.75" thickBot="1">
      <c r="A770" s="3"/>
      <c r="B770" s="3"/>
      <c r="C770" s="4"/>
      <c r="D770" s="4"/>
      <c r="E770" s="17"/>
      <c r="F770" s="22"/>
    </row>
    <row r="771" spans="1:6" ht="15.75" thickBot="1">
      <c r="A771" s="3"/>
      <c r="B771" s="3"/>
      <c r="C771" s="4"/>
      <c r="D771" s="4"/>
      <c r="E771" s="17"/>
      <c r="F771" s="22"/>
    </row>
    <row r="772" spans="1:6" ht="15.75" thickBot="1">
      <c r="A772" s="3"/>
      <c r="B772" s="3"/>
      <c r="C772" s="4"/>
      <c r="D772" s="4"/>
      <c r="E772" s="17"/>
      <c r="F772" s="22"/>
    </row>
    <row r="773" spans="1:6" ht="15.75" thickBot="1">
      <c r="A773" s="3"/>
      <c r="B773" s="3"/>
      <c r="C773" s="4"/>
      <c r="D773" s="4"/>
      <c r="E773" s="17"/>
      <c r="F773" s="22"/>
    </row>
    <row r="774" spans="1:6" ht="15.75" thickBot="1">
      <c r="A774" s="3"/>
      <c r="B774" s="3"/>
      <c r="C774" s="4"/>
      <c r="D774" s="4"/>
      <c r="E774" s="17"/>
      <c r="F774" s="22"/>
    </row>
    <row r="775" spans="1:6" ht="15.75" thickBot="1">
      <c r="A775" s="3"/>
      <c r="B775" s="3"/>
      <c r="C775" s="4"/>
      <c r="D775" s="4"/>
      <c r="E775" s="17"/>
      <c r="F775" s="22"/>
    </row>
    <row r="776" spans="1:6" ht="15.75" thickBot="1">
      <c r="A776" s="3"/>
      <c r="B776" s="3"/>
      <c r="C776" s="4"/>
      <c r="D776" s="4"/>
      <c r="E776" s="17"/>
      <c r="F776" s="22"/>
    </row>
    <row r="777" spans="1:6" ht="15.75" thickBot="1">
      <c r="A777" s="3"/>
      <c r="B777" s="3"/>
      <c r="C777" s="4"/>
      <c r="D777" s="4"/>
      <c r="E777" s="17"/>
      <c r="F777" s="22"/>
    </row>
    <row r="778" spans="1:6" ht="15.75" thickBot="1">
      <c r="A778" s="3"/>
      <c r="B778" s="3"/>
      <c r="C778" s="4"/>
      <c r="D778" s="4"/>
      <c r="E778" s="17"/>
      <c r="F778" s="22"/>
    </row>
    <row r="779" spans="1:6" ht="15.75" thickBot="1">
      <c r="A779" s="3"/>
      <c r="B779" s="3"/>
      <c r="C779" s="4"/>
      <c r="D779" s="4"/>
      <c r="E779" s="17"/>
      <c r="F779" s="22"/>
    </row>
    <row r="780" spans="1:6" ht="15.75" thickBot="1">
      <c r="A780" s="3"/>
      <c r="B780" s="3"/>
      <c r="C780" s="4"/>
      <c r="D780" s="4"/>
      <c r="E780" s="17"/>
      <c r="F780" s="22"/>
    </row>
    <row r="781" spans="1:6" ht="15.75" thickBot="1">
      <c r="A781" s="3"/>
      <c r="B781" s="3"/>
      <c r="C781" s="4"/>
      <c r="D781" s="4"/>
      <c r="E781" s="17"/>
      <c r="F781" s="22"/>
    </row>
    <row r="782" spans="1:6" ht="15.75" thickBot="1">
      <c r="A782" s="3"/>
      <c r="B782" s="3"/>
      <c r="C782" s="4"/>
      <c r="D782" s="4"/>
      <c r="E782" s="17"/>
      <c r="F782" s="22"/>
    </row>
    <row r="783" spans="1:6" ht="15.75" thickBot="1">
      <c r="A783" s="3"/>
      <c r="B783" s="3"/>
      <c r="C783" s="4"/>
      <c r="D783" s="4"/>
      <c r="E783" s="17"/>
      <c r="F783" s="22"/>
    </row>
    <row r="784" spans="1:6" ht="15.75" thickBot="1">
      <c r="A784" s="3"/>
      <c r="B784" s="3"/>
      <c r="C784" s="4"/>
      <c r="D784" s="4"/>
      <c r="E784" s="17"/>
      <c r="F784" s="22"/>
    </row>
    <row r="785" spans="1:6" ht="15.75" thickBot="1">
      <c r="A785" s="3"/>
      <c r="B785" s="3"/>
      <c r="C785" s="4"/>
      <c r="D785" s="4"/>
      <c r="E785" s="17"/>
      <c r="F785" s="22"/>
    </row>
    <row r="786" spans="1:6" ht="15.75" thickBot="1">
      <c r="A786" s="3"/>
      <c r="B786" s="3"/>
      <c r="C786" s="4"/>
      <c r="D786" s="4"/>
      <c r="E786" s="17"/>
      <c r="F786" s="22"/>
    </row>
    <row r="787" spans="1:6" ht="15.75" thickBot="1">
      <c r="A787" s="3"/>
      <c r="B787" s="3"/>
      <c r="C787" s="4"/>
      <c r="D787" s="4"/>
      <c r="E787" s="17"/>
      <c r="F787" s="22"/>
    </row>
    <row r="788" spans="1:6" ht="15.75" thickBot="1">
      <c r="A788" s="3"/>
      <c r="B788" s="3"/>
      <c r="C788" s="4"/>
      <c r="D788" s="4"/>
      <c r="E788" s="17"/>
      <c r="F788" s="22"/>
    </row>
    <row r="789" spans="1:6" ht="15.75" thickBot="1">
      <c r="A789" s="3"/>
      <c r="B789" s="3"/>
      <c r="C789" s="4"/>
      <c r="D789" s="4"/>
      <c r="E789" s="17"/>
      <c r="F789" s="22"/>
    </row>
    <row r="790" spans="1:6" ht="15.75" thickBot="1">
      <c r="A790" s="3"/>
      <c r="B790" s="3"/>
      <c r="C790" s="4"/>
      <c r="D790" s="4"/>
      <c r="E790" s="17"/>
      <c r="F790" s="22"/>
    </row>
    <row r="791" spans="1:6" ht="15.75" thickBot="1">
      <c r="A791" s="3"/>
      <c r="B791" s="3"/>
      <c r="C791" s="4"/>
      <c r="D791" s="4"/>
      <c r="E791" s="17"/>
      <c r="F791" s="22"/>
    </row>
    <row r="792" spans="1:6" ht="15.75" thickBot="1">
      <c r="A792" s="3"/>
      <c r="B792" s="3"/>
      <c r="C792" s="4"/>
      <c r="D792" s="4"/>
      <c r="E792" s="17"/>
      <c r="F792" s="22"/>
    </row>
    <row r="793" spans="1:6" ht="15.75" thickBot="1">
      <c r="A793" s="3"/>
      <c r="B793" s="3"/>
      <c r="C793" s="4"/>
      <c r="D793" s="4"/>
      <c r="E793" s="17"/>
      <c r="F793" s="22"/>
    </row>
    <row r="794" spans="1:6" ht="15.75" thickBot="1">
      <c r="A794" s="3"/>
      <c r="B794" s="3"/>
      <c r="C794" s="4"/>
      <c r="D794" s="4"/>
      <c r="E794" s="17"/>
      <c r="F794" s="22"/>
    </row>
    <row r="795" spans="1:6" ht="15.75" thickBot="1">
      <c r="A795" s="3"/>
      <c r="B795" s="3"/>
      <c r="C795" s="4"/>
      <c r="D795" s="4"/>
      <c r="E795" s="17"/>
      <c r="F795" s="22"/>
    </row>
    <row r="796" spans="1:6" ht="15.75" thickBot="1">
      <c r="A796" s="3"/>
      <c r="B796" s="3"/>
      <c r="C796" s="4"/>
      <c r="D796" s="4"/>
      <c r="E796" s="17"/>
      <c r="F796" s="22"/>
    </row>
    <row r="797" spans="1:6" ht="15.75" thickBot="1">
      <c r="A797" s="3"/>
      <c r="B797" s="3"/>
      <c r="C797" s="4"/>
      <c r="D797" s="4"/>
      <c r="E797" s="17"/>
      <c r="F797" s="22"/>
    </row>
    <row r="798" spans="1:6" ht="15.75" thickBot="1">
      <c r="A798" s="3"/>
      <c r="B798" s="3"/>
      <c r="C798" s="4"/>
      <c r="D798" s="4"/>
      <c r="E798" s="17"/>
      <c r="F798" s="22"/>
    </row>
    <row r="799" spans="1:6" ht="15.75" thickBot="1">
      <c r="A799" s="3"/>
      <c r="B799" s="3"/>
      <c r="C799" s="4"/>
      <c r="D799" s="4"/>
      <c r="E799" s="17"/>
      <c r="F799" s="22"/>
    </row>
    <row r="800" spans="1:6" ht="15.75" thickBot="1">
      <c r="A800" s="3"/>
      <c r="B800" s="3"/>
      <c r="C800" s="4"/>
      <c r="D800" s="4"/>
      <c r="E800" s="17"/>
      <c r="F800" s="22"/>
    </row>
    <row r="801" spans="1:6" ht="15.75" thickBot="1">
      <c r="A801" s="3"/>
      <c r="B801" s="3"/>
      <c r="C801" s="4"/>
      <c r="D801" s="4"/>
      <c r="E801" s="17"/>
      <c r="F801" s="22"/>
    </row>
    <row r="802" spans="1:6" ht="15.75" thickBot="1">
      <c r="A802" s="3"/>
      <c r="B802" s="3"/>
      <c r="C802" s="4"/>
      <c r="D802" s="4"/>
      <c r="E802" s="17"/>
      <c r="F802" s="22"/>
    </row>
    <row r="803" spans="1:6" ht="15.75" thickBot="1">
      <c r="A803" s="3"/>
      <c r="B803" s="3"/>
      <c r="C803" s="4"/>
      <c r="D803" s="4"/>
      <c r="E803" s="17"/>
      <c r="F803" s="22"/>
    </row>
    <row r="804" spans="1:6" ht="15.75" thickBot="1">
      <c r="A804" s="3"/>
      <c r="B804" s="3"/>
      <c r="C804" s="4"/>
      <c r="D804" s="4"/>
      <c r="E804" s="17"/>
      <c r="F804" s="22"/>
    </row>
    <row r="805" spans="1:6" ht="15.75" thickBot="1">
      <c r="A805" s="3"/>
      <c r="B805" s="3"/>
      <c r="C805" s="4"/>
      <c r="D805" s="4"/>
      <c r="E805" s="17"/>
      <c r="F805" s="22"/>
    </row>
    <row r="806" spans="1:6" ht="15.75" thickBot="1">
      <c r="A806" s="3"/>
      <c r="B806" s="3"/>
      <c r="C806" s="4"/>
      <c r="D806" s="4"/>
      <c r="E806" s="17"/>
      <c r="F806" s="22"/>
    </row>
    <row r="807" spans="1:6" ht="15.75" thickBot="1">
      <c r="A807" s="3"/>
      <c r="B807" s="3"/>
      <c r="C807" s="4"/>
      <c r="D807" s="4"/>
      <c r="E807" s="17"/>
      <c r="F807" s="22"/>
    </row>
    <row r="808" spans="1:6" ht="15.75" thickBot="1">
      <c r="A808" s="3"/>
      <c r="B808" s="3"/>
      <c r="C808" s="4"/>
      <c r="D808" s="4"/>
      <c r="E808" s="17"/>
      <c r="F808" s="22"/>
    </row>
    <row r="809" spans="1:6" ht="15.75" thickBot="1">
      <c r="A809" s="3"/>
      <c r="B809" s="3"/>
      <c r="C809" s="4"/>
      <c r="D809" s="4"/>
      <c r="E809" s="17"/>
      <c r="F809" s="22"/>
    </row>
    <row r="810" spans="1:6" ht="15.75" thickBot="1">
      <c r="A810" s="3"/>
      <c r="B810" s="3"/>
      <c r="C810" s="4"/>
      <c r="D810" s="4"/>
      <c r="E810" s="17"/>
      <c r="F810" s="22"/>
    </row>
    <row r="811" spans="1:6" ht="15.75" thickBot="1">
      <c r="A811" s="3"/>
      <c r="B811" s="3"/>
      <c r="C811" s="4"/>
      <c r="D811" s="4"/>
      <c r="E811" s="17"/>
      <c r="F811" s="22"/>
    </row>
    <row r="812" spans="1:6" ht="15.75" thickBot="1">
      <c r="A812" s="3"/>
      <c r="B812" s="3"/>
      <c r="C812" s="4"/>
      <c r="D812" s="4"/>
      <c r="E812" s="17"/>
      <c r="F812" s="22"/>
    </row>
    <row r="813" spans="1:6" ht="15.75" thickBot="1">
      <c r="A813" s="3"/>
      <c r="B813" s="3"/>
      <c r="C813" s="4"/>
      <c r="D813" s="4"/>
      <c r="E813" s="17"/>
      <c r="F813" s="22"/>
    </row>
    <row r="814" spans="1:6" ht="15.75" thickBot="1">
      <c r="A814" s="3"/>
      <c r="B814" s="3"/>
      <c r="C814" s="4"/>
      <c r="D814" s="4"/>
      <c r="E814" s="17"/>
      <c r="F814" s="22"/>
    </row>
    <row r="815" spans="1:6" ht="15.75" thickBot="1">
      <c r="A815" s="3"/>
      <c r="B815" s="3"/>
      <c r="C815" s="4"/>
      <c r="D815" s="4"/>
      <c r="E815" s="17"/>
      <c r="F815" s="22"/>
    </row>
    <row r="816" spans="1:6" ht="15.75" thickBot="1">
      <c r="A816" s="3"/>
      <c r="B816" s="3"/>
      <c r="C816" s="4"/>
      <c r="D816" s="4"/>
      <c r="E816" s="17"/>
      <c r="F816" s="22"/>
    </row>
    <row r="817" spans="1:6" ht="15.75" thickBot="1">
      <c r="A817" s="3"/>
      <c r="B817" s="3"/>
      <c r="C817" s="4"/>
      <c r="D817" s="4"/>
      <c r="E817" s="17"/>
      <c r="F817" s="22"/>
    </row>
    <row r="818" spans="1:6" ht="15.75" thickBot="1">
      <c r="A818" s="3"/>
      <c r="B818" s="3"/>
      <c r="C818" s="4"/>
      <c r="D818" s="4"/>
      <c r="E818" s="17"/>
      <c r="F818" s="22"/>
    </row>
    <row r="819" spans="1:6" ht="15.75" thickBot="1">
      <c r="A819" s="3"/>
      <c r="B819" s="3"/>
      <c r="C819" s="4"/>
      <c r="D819" s="4"/>
      <c r="E819" s="17"/>
      <c r="F819" s="22"/>
    </row>
    <row r="820" spans="1:6" ht="15.75" thickBot="1">
      <c r="A820" s="3"/>
      <c r="B820" s="3"/>
      <c r="C820" s="4"/>
      <c r="D820" s="4"/>
      <c r="E820" s="17"/>
      <c r="F820" s="22"/>
    </row>
    <row r="821" spans="1:6" ht="15.75" thickBot="1">
      <c r="A821" s="3"/>
      <c r="B821" s="3"/>
      <c r="C821" s="4"/>
      <c r="D821" s="4"/>
      <c r="E821" s="17"/>
      <c r="F821" s="22"/>
    </row>
    <row r="822" spans="1:6" ht="15.75" thickBot="1">
      <c r="A822" s="3"/>
      <c r="B822" s="3"/>
      <c r="C822" s="4"/>
      <c r="D822" s="4"/>
      <c r="E822" s="17"/>
      <c r="F822" s="22"/>
    </row>
    <row r="823" spans="1:6" ht="15.75" thickBot="1">
      <c r="A823" s="3"/>
      <c r="B823" s="3"/>
      <c r="C823" s="4"/>
      <c r="D823" s="4"/>
      <c r="E823" s="17"/>
      <c r="F823" s="22"/>
    </row>
    <row r="824" spans="1:6" ht="15.75" thickBot="1">
      <c r="A824" s="3"/>
      <c r="B824" s="3"/>
      <c r="C824" s="4"/>
      <c r="D824" s="4"/>
      <c r="E824" s="17"/>
      <c r="F824" s="22"/>
    </row>
    <row r="825" spans="1:6" ht="15.75" thickBot="1">
      <c r="A825" s="3"/>
      <c r="B825" s="3"/>
      <c r="C825" s="4"/>
      <c r="D825" s="4"/>
      <c r="E825" s="17"/>
      <c r="F825" s="22"/>
    </row>
    <row r="826" spans="1:6" ht="15.75" thickBot="1">
      <c r="A826" s="3"/>
      <c r="B826" s="3"/>
      <c r="C826" s="4"/>
      <c r="D826" s="4"/>
      <c r="E826" s="17"/>
      <c r="F826" s="22"/>
    </row>
    <row r="827" spans="1:6" ht="15.75" thickBot="1">
      <c r="A827" s="3"/>
      <c r="B827" s="3"/>
      <c r="C827" s="4"/>
      <c r="D827" s="4"/>
      <c r="E827" s="17"/>
      <c r="F827" s="22"/>
    </row>
    <row r="828" spans="1:6" ht="15.75" thickBot="1">
      <c r="A828" s="3"/>
      <c r="B828" s="3"/>
      <c r="C828" s="4"/>
      <c r="D828" s="4"/>
      <c r="E828" s="17"/>
      <c r="F828" s="22"/>
    </row>
    <row r="829" spans="1:6" ht="15.75" thickBot="1">
      <c r="A829" s="3"/>
      <c r="B829" s="3"/>
      <c r="C829" s="4"/>
      <c r="D829" s="4"/>
      <c r="E829" s="17"/>
      <c r="F829" s="22"/>
    </row>
    <row r="830" spans="1:6" ht="15.75" thickBot="1">
      <c r="A830" s="3"/>
      <c r="B830" s="3"/>
      <c r="C830" s="4"/>
      <c r="D830" s="4"/>
      <c r="E830" s="17"/>
      <c r="F830" s="22"/>
    </row>
    <row r="831" spans="1:6" ht="15.75" thickBot="1">
      <c r="A831" s="3"/>
      <c r="B831" s="3"/>
      <c r="C831" s="4"/>
      <c r="D831" s="4"/>
      <c r="E831" s="17"/>
      <c r="F831" s="22"/>
    </row>
    <row r="832" spans="1:6" ht="15.75" thickBot="1">
      <c r="A832" s="3"/>
      <c r="B832" s="3"/>
      <c r="C832" s="4"/>
      <c r="D832" s="4"/>
      <c r="E832" s="17"/>
      <c r="F832" s="22"/>
    </row>
    <row r="833" spans="1:6" ht="15.75" thickBot="1">
      <c r="A833" s="3"/>
      <c r="B833" s="3"/>
      <c r="C833" s="4"/>
      <c r="D833" s="4"/>
      <c r="E833" s="17"/>
      <c r="F833" s="22"/>
    </row>
    <row r="834" spans="1:6" ht="15.75" thickBot="1">
      <c r="A834" s="3"/>
      <c r="B834" s="3"/>
      <c r="C834" s="4"/>
      <c r="D834" s="4"/>
      <c r="E834" s="17"/>
      <c r="F834" s="22"/>
    </row>
    <row r="835" spans="1:6" ht="15.75" thickBot="1">
      <c r="A835" s="3"/>
      <c r="B835" s="3"/>
      <c r="C835" s="4"/>
      <c r="D835" s="4"/>
      <c r="E835" s="17"/>
      <c r="F835" s="22"/>
    </row>
    <row r="836" spans="1:6" ht="15.75" thickBot="1">
      <c r="A836" s="3"/>
      <c r="B836" s="3"/>
      <c r="C836" s="4"/>
      <c r="D836" s="4"/>
      <c r="E836" s="17"/>
      <c r="F836" s="22"/>
    </row>
    <row r="837" spans="1:6" ht="15.75" thickBot="1">
      <c r="A837" s="3"/>
      <c r="B837" s="3"/>
      <c r="C837" s="4"/>
      <c r="D837" s="4"/>
      <c r="E837" s="17"/>
      <c r="F837" s="22"/>
    </row>
    <row r="838" spans="1:6" ht="15.75" thickBot="1">
      <c r="A838" s="3"/>
      <c r="B838" s="3"/>
      <c r="C838" s="4"/>
      <c r="D838" s="4"/>
      <c r="E838" s="17"/>
      <c r="F838" s="22"/>
    </row>
    <row r="839" spans="1:6" ht="15.75" thickBot="1">
      <c r="A839" s="3"/>
      <c r="B839" s="3"/>
      <c r="C839" s="4"/>
      <c r="D839" s="4"/>
      <c r="E839" s="17"/>
      <c r="F839" s="22"/>
    </row>
    <row r="840" spans="1:6" ht="15.75" thickBot="1">
      <c r="A840" s="3"/>
      <c r="B840" s="3"/>
      <c r="C840" s="4"/>
      <c r="D840" s="4"/>
      <c r="E840" s="17"/>
      <c r="F840" s="22"/>
    </row>
    <row r="841" spans="1:6" ht="15.75" thickBot="1">
      <c r="A841" s="3"/>
      <c r="B841" s="3"/>
      <c r="C841" s="4"/>
      <c r="D841" s="4"/>
      <c r="E841" s="17"/>
      <c r="F841" s="22"/>
    </row>
    <row r="842" spans="1:6" ht="15.75" thickBot="1">
      <c r="A842" s="3"/>
      <c r="B842" s="3"/>
      <c r="C842" s="4"/>
      <c r="D842" s="4"/>
      <c r="E842" s="17"/>
      <c r="F842" s="22"/>
    </row>
    <row r="843" spans="1:6" ht="15.75" thickBot="1">
      <c r="A843" s="3"/>
      <c r="B843" s="3"/>
      <c r="C843" s="4"/>
      <c r="D843" s="4"/>
      <c r="E843" s="17"/>
      <c r="F843" s="22"/>
    </row>
    <row r="844" spans="1:6" ht="15.75" thickBot="1">
      <c r="A844" s="3"/>
      <c r="B844" s="3"/>
      <c r="C844" s="4"/>
      <c r="D844" s="4"/>
      <c r="E844" s="17"/>
      <c r="F844" s="22"/>
    </row>
    <row r="845" spans="1:6" ht="15.75" thickBot="1">
      <c r="A845" s="3"/>
      <c r="B845" s="3"/>
      <c r="C845" s="4"/>
      <c r="D845" s="4"/>
      <c r="E845" s="17"/>
      <c r="F845" s="22"/>
    </row>
    <row r="846" spans="1:6" ht="15.75" thickBot="1">
      <c r="A846" s="3"/>
      <c r="B846" s="3"/>
      <c r="C846" s="4"/>
      <c r="D846" s="4"/>
      <c r="E846" s="17"/>
      <c r="F846" s="22"/>
    </row>
    <row r="847" spans="1:6" ht="15.75" thickBot="1">
      <c r="A847" s="3"/>
      <c r="B847" s="3"/>
      <c r="C847" s="4"/>
      <c r="D847" s="4"/>
      <c r="E847" s="17"/>
      <c r="F847" s="22"/>
    </row>
    <row r="848" spans="1:6" ht="15.75" thickBot="1">
      <c r="A848" s="3"/>
      <c r="B848" s="3"/>
      <c r="C848" s="4"/>
      <c r="D848" s="4"/>
      <c r="E848" s="17"/>
      <c r="F848" s="22"/>
    </row>
    <row r="849" spans="1:6" ht="15.75" thickBot="1">
      <c r="A849" s="3"/>
      <c r="B849" s="3"/>
      <c r="C849" s="4"/>
      <c r="D849" s="4"/>
      <c r="E849" s="17"/>
      <c r="F849" s="22"/>
    </row>
    <row r="850" spans="1:6" ht="15.75" thickBot="1">
      <c r="A850" s="3"/>
      <c r="B850" s="3"/>
      <c r="C850" s="4"/>
      <c r="D850" s="4"/>
      <c r="E850" s="17"/>
      <c r="F850" s="22"/>
    </row>
    <row r="851" spans="1:6">
      <c r="C851" s="2"/>
    </row>
    <row r="852" spans="1:6">
      <c r="C852" s="2"/>
    </row>
    <row r="853" spans="1:6">
      <c r="C853" s="2"/>
    </row>
    <row r="854" spans="1:6">
      <c r="C854" s="2"/>
    </row>
    <row r="855" spans="1:6">
      <c r="C855" s="2"/>
    </row>
    <row r="856" spans="1:6">
      <c r="C856" s="2"/>
    </row>
    <row r="857" spans="1:6">
      <c r="C857" s="2"/>
    </row>
    <row r="858" spans="1:6">
      <c r="C858" s="2"/>
    </row>
    <row r="859" spans="1:6">
      <c r="C859" s="2"/>
    </row>
    <row r="860" spans="1:6">
      <c r="C860" s="2"/>
    </row>
    <row r="861" spans="1:6">
      <c r="C861" s="2"/>
    </row>
    <row r="862" spans="1:6">
      <c r="C862" s="2"/>
    </row>
    <row r="863" spans="1:6">
      <c r="C863" s="2"/>
    </row>
    <row r="864" spans="1:6">
      <c r="C864" s="2"/>
    </row>
    <row r="865" spans="3:3">
      <c r="C865" s="2"/>
    </row>
    <row r="866" spans="3:3">
      <c r="C866" s="2"/>
    </row>
    <row r="867" spans="3:3">
      <c r="C867" s="2"/>
    </row>
    <row r="868" spans="3:3">
      <c r="C868" s="2"/>
    </row>
    <row r="869" spans="3:3">
      <c r="C869" s="2"/>
    </row>
    <row r="870" spans="3:3">
      <c r="C870" s="2"/>
    </row>
    <row r="871" spans="3:3">
      <c r="C871" s="2"/>
    </row>
    <row r="872" spans="3:3">
      <c r="C872" s="2"/>
    </row>
    <row r="873" spans="3:3">
      <c r="C873" s="2"/>
    </row>
    <row r="874" spans="3:3">
      <c r="C874" s="2"/>
    </row>
    <row r="875" spans="3:3">
      <c r="C875" s="2"/>
    </row>
    <row r="876" spans="3:3">
      <c r="C876" s="2"/>
    </row>
    <row r="877" spans="3:3">
      <c r="C877" s="2"/>
    </row>
    <row r="878" spans="3:3">
      <c r="C878" s="2"/>
    </row>
    <row r="879" spans="3:3">
      <c r="C879" s="2"/>
    </row>
    <row r="880" spans="3:3">
      <c r="C880" s="2"/>
    </row>
    <row r="881" spans="3:3">
      <c r="C881" s="2"/>
    </row>
    <row r="882" spans="3:3">
      <c r="C882" s="2"/>
    </row>
    <row r="883" spans="3:3">
      <c r="C883" s="2"/>
    </row>
    <row r="884" spans="3:3">
      <c r="C884" s="2"/>
    </row>
    <row r="885" spans="3:3">
      <c r="C885" s="2"/>
    </row>
    <row r="886" spans="3:3">
      <c r="C886" s="2"/>
    </row>
    <row r="887" spans="3:3">
      <c r="C887" s="2"/>
    </row>
    <row r="888" spans="3:3">
      <c r="C888" s="2"/>
    </row>
    <row r="889" spans="3:3">
      <c r="C889" s="2"/>
    </row>
    <row r="890" spans="3:3">
      <c r="C890" s="2"/>
    </row>
    <row r="891" spans="3:3">
      <c r="C891" s="2"/>
    </row>
    <row r="892" spans="3:3">
      <c r="C892" s="2"/>
    </row>
    <row r="893" spans="3:3">
      <c r="C893" s="2"/>
    </row>
    <row r="894" spans="3:3">
      <c r="C894" s="2"/>
    </row>
    <row r="895" spans="3:3">
      <c r="C895" s="2"/>
    </row>
    <row r="896" spans="3:3">
      <c r="C896" s="2"/>
    </row>
    <row r="897" spans="3:3">
      <c r="C897" s="2"/>
    </row>
    <row r="898" spans="3:3">
      <c r="C898" s="2"/>
    </row>
    <row r="899" spans="3:3">
      <c r="C899" s="2"/>
    </row>
    <row r="900" spans="3:3">
      <c r="C900" s="2"/>
    </row>
    <row r="901" spans="3:3">
      <c r="C901" s="2"/>
    </row>
    <row r="902" spans="3:3">
      <c r="C902" s="2"/>
    </row>
    <row r="903" spans="3:3">
      <c r="C903" s="2"/>
    </row>
    <row r="904" spans="3:3">
      <c r="C904" s="2"/>
    </row>
    <row r="905" spans="3:3">
      <c r="C905" s="2"/>
    </row>
    <row r="906" spans="3:3">
      <c r="C906" s="2"/>
    </row>
    <row r="907" spans="3:3">
      <c r="C907" s="2"/>
    </row>
    <row r="908" spans="3:3">
      <c r="C908" s="2"/>
    </row>
    <row r="909" spans="3:3">
      <c r="C909" s="2"/>
    </row>
    <row r="910" spans="3:3">
      <c r="C910" s="2"/>
    </row>
    <row r="911" spans="3:3">
      <c r="C911" s="2"/>
    </row>
    <row r="912" spans="3:3">
      <c r="C912" s="2"/>
    </row>
    <row r="913" spans="3:3">
      <c r="C913" s="2"/>
    </row>
    <row r="914" spans="3:3">
      <c r="C914" s="2"/>
    </row>
    <row r="915" spans="3:3">
      <c r="C915" s="2"/>
    </row>
    <row r="916" spans="3:3">
      <c r="C916" s="2"/>
    </row>
    <row r="917" spans="3:3">
      <c r="C917" s="2"/>
    </row>
    <row r="918" spans="3:3">
      <c r="C918" s="2"/>
    </row>
    <row r="919" spans="3:3">
      <c r="C919" s="2"/>
    </row>
    <row r="920" spans="3:3">
      <c r="C920" s="2"/>
    </row>
    <row r="921" spans="3:3">
      <c r="C921" s="2"/>
    </row>
    <row r="922" spans="3:3">
      <c r="C922" s="2"/>
    </row>
    <row r="923" spans="3:3">
      <c r="C923" s="2"/>
    </row>
    <row r="924" spans="3:3">
      <c r="C924" s="2"/>
    </row>
    <row r="925" spans="3:3">
      <c r="C925" s="2"/>
    </row>
    <row r="926" spans="3:3">
      <c r="C926" s="2"/>
    </row>
    <row r="927" spans="3:3">
      <c r="C927" s="2"/>
    </row>
    <row r="928" spans="3:3">
      <c r="C928" s="2"/>
    </row>
    <row r="929" spans="3:3">
      <c r="C929" s="2"/>
    </row>
    <row r="930" spans="3:3">
      <c r="C930" s="2"/>
    </row>
    <row r="931" spans="3:3">
      <c r="C931" s="2"/>
    </row>
    <row r="932" spans="3:3">
      <c r="C932" s="2"/>
    </row>
    <row r="933" spans="3:3">
      <c r="C933" s="2"/>
    </row>
    <row r="934" spans="3:3">
      <c r="C934" s="2"/>
    </row>
    <row r="935" spans="3:3">
      <c r="C935" s="2"/>
    </row>
    <row r="936" spans="3:3">
      <c r="C936" s="2"/>
    </row>
    <row r="937" spans="3:3">
      <c r="C937" s="2"/>
    </row>
    <row r="938" spans="3:3">
      <c r="C938" s="2"/>
    </row>
    <row r="939" spans="3:3">
      <c r="C939" s="2"/>
    </row>
    <row r="940" spans="3:3">
      <c r="C940" s="2"/>
    </row>
    <row r="941" spans="3:3">
      <c r="C941" s="2"/>
    </row>
    <row r="942" spans="3:3">
      <c r="C942" s="2"/>
    </row>
    <row r="943" spans="3:3">
      <c r="C943" s="2"/>
    </row>
    <row r="944" spans="3:3">
      <c r="C944" s="2"/>
    </row>
    <row r="945" spans="3:3">
      <c r="C945" s="2"/>
    </row>
    <row r="946" spans="3:3">
      <c r="C946" s="2"/>
    </row>
    <row r="947" spans="3:3">
      <c r="C947" s="2"/>
    </row>
    <row r="948" spans="3:3">
      <c r="C948" s="2"/>
    </row>
    <row r="949" spans="3:3">
      <c r="C949" s="2"/>
    </row>
    <row r="950" spans="3:3">
      <c r="C950" s="2"/>
    </row>
    <row r="951" spans="3:3">
      <c r="C951" s="2"/>
    </row>
    <row r="952" spans="3:3">
      <c r="C952" s="2"/>
    </row>
    <row r="953" spans="3:3">
      <c r="C953" s="2"/>
    </row>
    <row r="954" spans="3:3">
      <c r="C954" s="2"/>
    </row>
    <row r="955" spans="3:3">
      <c r="C955" s="2"/>
    </row>
    <row r="956" spans="3:3">
      <c r="C956" s="2"/>
    </row>
    <row r="957" spans="3:3">
      <c r="C957" s="2"/>
    </row>
    <row r="958" spans="3:3">
      <c r="C958" s="2"/>
    </row>
    <row r="959" spans="3:3">
      <c r="C959" s="2"/>
    </row>
    <row r="960" spans="3:3">
      <c r="C960" s="2"/>
    </row>
    <row r="961" spans="3:3">
      <c r="C961" s="2"/>
    </row>
    <row r="962" spans="3:3">
      <c r="C962" s="2"/>
    </row>
    <row r="963" spans="3:3">
      <c r="C963" s="2"/>
    </row>
    <row r="964" spans="3:3">
      <c r="C964" s="2"/>
    </row>
    <row r="965" spans="3:3">
      <c r="C965" s="2"/>
    </row>
    <row r="966" spans="3:3">
      <c r="C966" s="2"/>
    </row>
    <row r="967" spans="3:3">
      <c r="C967" s="2"/>
    </row>
    <row r="968" spans="3:3">
      <c r="C968" s="2"/>
    </row>
    <row r="969" spans="3:3">
      <c r="C969" s="2"/>
    </row>
    <row r="970" spans="3:3">
      <c r="C970" s="2"/>
    </row>
    <row r="971" spans="3:3">
      <c r="C971" s="2"/>
    </row>
    <row r="972" spans="3:3">
      <c r="C972" s="2"/>
    </row>
    <row r="973" spans="3:3">
      <c r="C973" s="2"/>
    </row>
    <row r="974" spans="3:3">
      <c r="C974" s="2"/>
    </row>
    <row r="975" spans="3:3">
      <c r="C975" s="2"/>
    </row>
    <row r="976" spans="3:3">
      <c r="C976" s="2"/>
    </row>
    <row r="977" spans="3:3">
      <c r="C977" s="2"/>
    </row>
    <row r="978" spans="3:3">
      <c r="C978" s="2"/>
    </row>
    <row r="979" spans="3:3">
      <c r="C979" s="2"/>
    </row>
    <row r="980" spans="3:3">
      <c r="C980" s="2"/>
    </row>
    <row r="981" spans="3:3">
      <c r="C981" s="2"/>
    </row>
    <row r="982" spans="3:3">
      <c r="C982" s="2"/>
    </row>
    <row r="983" spans="3:3">
      <c r="C983" s="2"/>
    </row>
    <row r="984" spans="3:3">
      <c r="C984" s="2"/>
    </row>
    <row r="985" spans="3:3">
      <c r="C985" s="2"/>
    </row>
    <row r="986" spans="3:3">
      <c r="C986" s="2"/>
    </row>
    <row r="987" spans="3:3">
      <c r="C987" s="2"/>
    </row>
    <row r="988" spans="3:3">
      <c r="C988" s="2"/>
    </row>
    <row r="989" spans="3:3">
      <c r="C989" s="2"/>
    </row>
    <row r="990" spans="3:3">
      <c r="C990" s="2"/>
    </row>
    <row r="991" spans="3:3">
      <c r="C991" s="2"/>
    </row>
    <row r="992" spans="3:3">
      <c r="C992" s="2"/>
    </row>
    <row r="993" spans="3:3">
      <c r="C993" s="2"/>
    </row>
    <row r="994" spans="3:3">
      <c r="C994" s="2"/>
    </row>
    <row r="995" spans="3:3">
      <c r="C995" s="2"/>
    </row>
    <row r="996" spans="3:3">
      <c r="C996" s="2"/>
    </row>
    <row r="997" spans="3:3">
      <c r="C997" s="2"/>
    </row>
    <row r="998" spans="3:3">
      <c r="C998" s="2"/>
    </row>
    <row r="999" spans="3:3">
      <c r="C999" s="2"/>
    </row>
    <row r="1000" spans="3:3">
      <c r="C1000" s="2"/>
    </row>
    <row r="1001" spans="3:3">
      <c r="C1001" s="2"/>
    </row>
    <row r="1002" spans="3:3">
      <c r="C1002" s="2"/>
    </row>
    <row r="1003" spans="3:3">
      <c r="C1003" s="2"/>
    </row>
    <row r="1004" spans="3:3">
      <c r="C1004" s="2"/>
    </row>
    <row r="1005" spans="3:3">
      <c r="C1005" s="2"/>
    </row>
    <row r="1006" spans="3:3">
      <c r="C1006" s="2"/>
    </row>
    <row r="1007" spans="3:3">
      <c r="C1007" s="2"/>
    </row>
    <row r="1008" spans="3:3">
      <c r="C1008" s="2"/>
    </row>
    <row r="1009" spans="3:3">
      <c r="C1009" s="2"/>
    </row>
    <row r="1010" spans="3:3">
      <c r="C1010" s="2"/>
    </row>
    <row r="1011" spans="3:3">
      <c r="C1011" s="2"/>
    </row>
    <row r="1012" spans="3:3">
      <c r="C1012" s="2"/>
    </row>
    <row r="1013" spans="3:3">
      <c r="C1013" s="2"/>
    </row>
    <row r="1014" spans="3:3">
      <c r="C1014" s="2"/>
    </row>
    <row r="1015" spans="3:3">
      <c r="C1015" s="2"/>
    </row>
    <row r="1016" spans="3:3">
      <c r="C1016" s="2"/>
    </row>
    <row r="1017" spans="3:3">
      <c r="C1017" s="2"/>
    </row>
    <row r="1018" spans="3:3">
      <c r="C1018" s="2"/>
    </row>
    <row r="1019" spans="3:3">
      <c r="C1019" s="2"/>
    </row>
    <row r="1020" spans="3:3">
      <c r="C1020" s="2"/>
    </row>
    <row r="1021" spans="3:3">
      <c r="C1021" s="2"/>
    </row>
    <row r="1022" spans="3:3">
      <c r="C1022" s="2"/>
    </row>
    <row r="1023" spans="3:3">
      <c r="C1023" s="2"/>
    </row>
    <row r="1024" spans="3:3">
      <c r="C1024" s="2"/>
    </row>
    <row r="1025" spans="3:3">
      <c r="C1025" s="2"/>
    </row>
    <row r="1026" spans="3:3">
      <c r="C1026" s="2"/>
    </row>
    <row r="1027" spans="3:3">
      <c r="C1027" s="2"/>
    </row>
    <row r="1028" spans="3:3">
      <c r="C1028" s="2"/>
    </row>
    <row r="1029" spans="3:3">
      <c r="C1029" s="2"/>
    </row>
    <row r="1030" spans="3:3">
      <c r="C1030" s="2"/>
    </row>
    <row r="1031" spans="3:3">
      <c r="C1031" s="2"/>
    </row>
    <row r="1032" spans="3:3">
      <c r="C1032" s="2"/>
    </row>
    <row r="1033" spans="3:3">
      <c r="C1033" s="2"/>
    </row>
    <row r="1034" spans="3:3">
      <c r="C1034" s="2"/>
    </row>
    <row r="1035" spans="3:3">
      <c r="C1035" s="2"/>
    </row>
    <row r="1036" spans="3:3">
      <c r="C1036" s="2"/>
    </row>
    <row r="1037" spans="3:3">
      <c r="C1037" s="2"/>
    </row>
    <row r="1038" spans="3:3">
      <c r="C1038" s="2"/>
    </row>
    <row r="1039" spans="3:3">
      <c r="C1039" s="2"/>
    </row>
    <row r="1040" spans="3:3">
      <c r="C1040" s="2"/>
    </row>
    <row r="1041" spans="3:3">
      <c r="C1041" s="2"/>
    </row>
    <row r="1042" spans="3:3">
      <c r="C1042" s="2"/>
    </row>
    <row r="1043" spans="3:3">
      <c r="C1043" s="2"/>
    </row>
    <row r="1044" spans="3:3">
      <c r="C1044" s="2"/>
    </row>
    <row r="1045" spans="3:3">
      <c r="C1045" s="2"/>
    </row>
    <row r="1046" spans="3:3">
      <c r="C1046" s="2"/>
    </row>
    <row r="1047" spans="3:3">
      <c r="C1047" s="2"/>
    </row>
    <row r="1048" spans="3:3">
      <c r="C1048" s="2"/>
    </row>
    <row r="1049" spans="3:3">
      <c r="C1049" s="2"/>
    </row>
    <row r="1050" spans="3:3">
      <c r="C1050" s="2"/>
    </row>
    <row r="1051" spans="3:3">
      <c r="C1051" s="2"/>
    </row>
    <row r="1052" spans="3:3">
      <c r="C1052" s="2"/>
    </row>
    <row r="1053" spans="3:3">
      <c r="C1053" s="2"/>
    </row>
    <row r="1054" spans="3:3">
      <c r="C1054" s="2"/>
    </row>
    <row r="1055" spans="3:3">
      <c r="C1055" s="2"/>
    </row>
    <row r="1056" spans="3:3">
      <c r="C1056" s="2"/>
    </row>
    <row r="1057" spans="3:3">
      <c r="C1057" s="2"/>
    </row>
    <row r="1058" spans="3:3">
      <c r="C1058" s="2"/>
    </row>
    <row r="1059" spans="3:3">
      <c r="C1059" s="2"/>
    </row>
    <row r="1060" spans="3:3">
      <c r="C1060" s="2"/>
    </row>
    <row r="1061" spans="3:3">
      <c r="C1061" s="2"/>
    </row>
    <row r="1062" spans="3:3">
      <c r="C1062" s="2"/>
    </row>
    <row r="1063" spans="3:3">
      <c r="C1063" s="2"/>
    </row>
    <row r="1064" spans="3:3">
      <c r="C1064" s="2"/>
    </row>
    <row r="1065" spans="3:3">
      <c r="C1065" s="2"/>
    </row>
    <row r="1066" spans="3:3">
      <c r="C1066" s="2"/>
    </row>
    <row r="1067" spans="3:3">
      <c r="C1067" s="2"/>
    </row>
    <row r="1068" spans="3:3">
      <c r="C1068" s="2"/>
    </row>
    <row r="1069" spans="3:3">
      <c r="C1069" s="2"/>
    </row>
    <row r="1070" spans="3:3">
      <c r="C1070" s="2"/>
    </row>
    <row r="1071" spans="3:3">
      <c r="C1071" s="2"/>
    </row>
    <row r="1072" spans="3:3">
      <c r="C1072" s="2"/>
    </row>
    <row r="1073" spans="3:3">
      <c r="C1073" s="2"/>
    </row>
    <row r="1074" spans="3:3">
      <c r="C1074" s="2"/>
    </row>
    <row r="1075" spans="3:3">
      <c r="C1075" s="2"/>
    </row>
    <row r="1076" spans="3:3">
      <c r="C1076" s="2"/>
    </row>
    <row r="1077" spans="3:3">
      <c r="C1077" s="2"/>
    </row>
    <row r="1078" spans="3:3">
      <c r="C1078" s="2"/>
    </row>
    <row r="1079" spans="3:3">
      <c r="C1079" s="2"/>
    </row>
    <row r="1080" spans="3:3">
      <c r="C1080" s="2"/>
    </row>
    <row r="1081" spans="3:3">
      <c r="C1081" s="2"/>
    </row>
    <row r="1082" spans="3:3">
      <c r="C1082" s="2"/>
    </row>
    <row r="1083" spans="3:3">
      <c r="C1083" s="2"/>
    </row>
    <row r="1084" spans="3:3">
      <c r="C1084" s="2"/>
    </row>
    <row r="1085" spans="3:3">
      <c r="C1085" s="2"/>
    </row>
    <row r="1086" spans="3:3">
      <c r="C1086" s="2"/>
    </row>
    <row r="1087" spans="3:3">
      <c r="C1087" s="2"/>
    </row>
    <row r="1088" spans="3:3">
      <c r="C1088" s="2"/>
    </row>
    <row r="1089" spans="3:3">
      <c r="C1089" s="2"/>
    </row>
    <row r="1090" spans="3:3">
      <c r="C1090" s="2"/>
    </row>
    <row r="1091" spans="3:3">
      <c r="C1091" s="2"/>
    </row>
    <row r="1092" spans="3:3">
      <c r="C1092" s="2"/>
    </row>
    <row r="1093" spans="3:3">
      <c r="C1093" s="2"/>
    </row>
    <row r="1094" spans="3:3">
      <c r="C1094" s="2"/>
    </row>
    <row r="1095" spans="3:3">
      <c r="C1095" s="2"/>
    </row>
    <row r="1096" spans="3:3">
      <c r="C1096" s="2"/>
    </row>
    <row r="1097" spans="3:3">
      <c r="C1097" s="2"/>
    </row>
    <row r="1098" spans="3:3">
      <c r="C1098" s="2"/>
    </row>
    <row r="1099" spans="3:3">
      <c r="C1099" s="2"/>
    </row>
    <row r="1100" spans="3:3">
      <c r="C1100" s="2"/>
    </row>
    <row r="1101" spans="3:3">
      <c r="C1101" s="2"/>
    </row>
    <row r="1102" spans="3:3">
      <c r="C1102" s="2"/>
    </row>
    <row r="1103" spans="3:3">
      <c r="C1103" s="2"/>
    </row>
    <row r="1104" spans="3:3">
      <c r="C1104" s="2"/>
    </row>
    <row r="1105" spans="3:3">
      <c r="C1105" s="2"/>
    </row>
    <row r="1106" spans="3:3">
      <c r="C1106" s="2"/>
    </row>
    <row r="1107" spans="3:3">
      <c r="C1107" s="2"/>
    </row>
    <row r="1108" spans="3:3">
      <c r="C1108" s="2"/>
    </row>
    <row r="1109" spans="3:3">
      <c r="C1109" s="2"/>
    </row>
    <row r="1110" spans="3:3">
      <c r="C1110" s="2"/>
    </row>
    <row r="1111" spans="3:3">
      <c r="C1111" s="2"/>
    </row>
    <row r="1112" spans="3:3">
      <c r="C1112" s="2"/>
    </row>
    <row r="1113" spans="3:3">
      <c r="C1113" s="2"/>
    </row>
    <row r="1114" spans="3:3">
      <c r="C1114" s="2"/>
    </row>
    <row r="1115" spans="3:3">
      <c r="C1115" s="2"/>
    </row>
    <row r="1116" spans="3:3">
      <c r="C1116" s="2"/>
    </row>
    <row r="1117" spans="3:3">
      <c r="C1117" s="2"/>
    </row>
    <row r="1118" spans="3:3">
      <c r="C1118" s="2"/>
    </row>
    <row r="1119" spans="3:3">
      <c r="C1119" s="2"/>
    </row>
    <row r="1120" spans="3:3">
      <c r="C1120" s="2"/>
    </row>
    <row r="1121" spans="3:3">
      <c r="C1121" s="2"/>
    </row>
    <row r="1122" spans="3:3">
      <c r="C1122" s="2"/>
    </row>
    <row r="1123" spans="3:3">
      <c r="C1123" s="2"/>
    </row>
    <row r="1124" spans="3:3">
      <c r="C1124" s="2"/>
    </row>
    <row r="1125" spans="3:3">
      <c r="C1125" s="2"/>
    </row>
    <row r="1126" spans="3:3">
      <c r="C1126" s="2"/>
    </row>
    <row r="1127" spans="3:3">
      <c r="C1127" s="2"/>
    </row>
    <row r="1128" spans="3:3">
      <c r="C1128" s="2"/>
    </row>
    <row r="1129" spans="3:3">
      <c r="C1129" s="2"/>
    </row>
    <row r="1130" spans="3:3">
      <c r="C1130" s="2"/>
    </row>
    <row r="1131" spans="3:3">
      <c r="C1131" s="2"/>
    </row>
    <row r="1132" spans="3:3">
      <c r="C1132" s="2"/>
    </row>
    <row r="1133" spans="3:3">
      <c r="C1133" s="2"/>
    </row>
    <row r="1134" spans="3:3">
      <c r="C1134" s="2"/>
    </row>
    <row r="1135" spans="3:3">
      <c r="C1135" s="2"/>
    </row>
    <row r="1136" spans="3:3">
      <c r="C1136" s="2"/>
    </row>
    <row r="1137" spans="3:3">
      <c r="C1137" s="2"/>
    </row>
    <row r="1138" spans="3:3">
      <c r="C1138" s="2"/>
    </row>
    <row r="1139" spans="3:3">
      <c r="C1139" s="2"/>
    </row>
    <row r="1140" spans="3:3">
      <c r="C1140" s="2"/>
    </row>
    <row r="1141" spans="3:3">
      <c r="C1141" s="2"/>
    </row>
    <row r="1142" spans="3:3">
      <c r="C1142" s="2"/>
    </row>
    <row r="1143" spans="3:3">
      <c r="C1143" s="2"/>
    </row>
    <row r="1144" spans="3:3">
      <c r="C1144" s="2"/>
    </row>
    <row r="1145" spans="3:3">
      <c r="C1145" s="2"/>
    </row>
    <row r="1146" spans="3:3">
      <c r="C1146" s="2"/>
    </row>
    <row r="1147" spans="3:3">
      <c r="C1147" s="2"/>
    </row>
    <row r="1148" spans="3:3">
      <c r="C1148" s="2"/>
    </row>
    <row r="1149" spans="3:3">
      <c r="C1149" s="2"/>
    </row>
    <row r="1150" spans="3:3">
      <c r="C1150" s="2"/>
    </row>
    <row r="1151" spans="3:3">
      <c r="C1151" s="2"/>
    </row>
    <row r="1152" spans="3:3">
      <c r="C1152" s="2"/>
    </row>
    <row r="1153" spans="3:3">
      <c r="C1153" s="2"/>
    </row>
    <row r="1154" spans="3:3">
      <c r="C1154" s="2"/>
    </row>
    <row r="1155" spans="3:3">
      <c r="C1155" s="2"/>
    </row>
    <row r="1156" spans="3:3">
      <c r="C1156" s="2"/>
    </row>
    <row r="1157" spans="3:3">
      <c r="C1157" s="2"/>
    </row>
    <row r="1158" spans="3:3">
      <c r="C1158" s="2"/>
    </row>
    <row r="1159" spans="3:3">
      <c r="C1159" s="2"/>
    </row>
    <row r="1160" spans="3:3">
      <c r="C1160" s="2"/>
    </row>
    <row r="1161" spans="3:3">
      <c r="C1161" s="2"/>
    </row>
    <row r="1162" spans="3:3">
      <c r="C1162" s="2"/>
    </row>
    <row r="1163" spans="3:3">
      <c r="C1163" s="2"/>
    </row>
    <row r="1164" spans="3:3">
      <c r="C1164" s="2"/>
    </row>
    <row r="1165" spans="3:3">
      <c r="C1165" s="2"/>
    </row>
    <row r="1166" spans="3:3">
      <c r="C1166" s="2"/>
    </row>
    <row r="1167" spans="3:3">
      <c r="C1167" s="2"/>
    </row>
    <row r="1168" spans="3:3">
      <c r="C1168" s="2"/>
    </row>
    <row r="1169" spans="3:3">
      <c r="C1169" s="2"/>
    </row>
    <row r="1170" spans="3:3">
      <c r="C1170" s="2"/>
    </row>
    <row r="1171" spans="3:3">
      <c r="C1171" s="2"/>
    </row>
    <row r="1172" spans="3:3">
      <c r="C1172" s="2"/>
    </row>
    <row r="1173" spans="3:3">
      <c r="C1173" s="2"/>
    </row>
    <row r="1174" spans="3:3">
      <c r="C1174" s="2"/>
    </row>
    <row r="1175" spans="3:3">
      <c r="C1175" s="2"/>
    </row>
    <row r="1176" spans="3:3">
      <c r="C1176" s="2"/>
    </row>
    <row r="1177" spans="3:3">
      <c r="C1177" s="2"/>
    </row>
    <row r="1178" spans="3:3">
      <c r="C1178" s="2"/>
    </row>
    <row r="1179" spans="3:3">
      <c r="C1179" s="2"/>
    </row>
    <row r="1180" spans="3:3">
      <c r="C1180" s="2"/>
    </row>
    <row r="1181" spans="3:3">
      <c r="C1181" s="2"/>
    </row>
    <row r="1182" spans="3:3">
      <c r="C1182" s="2"/>
    </row>
    <row r="1183" spans="3:3">
      <c r="C1183" s="2"/>
    </row>
    <row r="1184" spans="3:3">
      <c r="C1184" s="2"/>
    </row>
    <row r="1185" spans="3:3">
      <c r="C1185" s="2"/>
    </row>
    <row r="1186" spans="3:3">
      <c r="C1186" s="2"/>
    </row>
    <row r="1187" spans="3:3">
      <c r="C1187" s="2"/>
    </row>
    <row r="1188" spans="3:3">
      <c r="C1188" s="2"/>
    </row>
    <row r="1189" spans="3:3">
      <c r="C1189" s="2"/>
    </row>
    <row r="1190" spans="3:3">
      <c r="C1190" s="2"/>
    </row>
    <row r="1191" spans="3:3">
      <c r="C1191" s="2"/>
    </row>
    <row r="1192" spans="3:3">
      <c r="C1192" s="2"/>
    </row>
    <row r="1193" spans="3:3">
      <c r="C1193" s="2"/>
    </row>
    <row r="1194" spans="3:3">
      <c r="C1194" s="2"/>
    </row>
    <row r="1195" spans="3:3">
      <c r="C1195" s="2"/>
    </row>
    <row r="1196" spans="3:3">
      <c r="C1196" s="2"/>
    </row>
    <row r="1197" spans="3:3">
      <c r="C1197" s="2"/>
    </row>
    <row r="1198" spans="3:3">
      <c r="C1198" s="2"/>
    </row>
    <row r="1199" spans="3:3">
      <c r="C1199" s="2"/>
    </row>
    <row r="1200" spans="3:3">
      <c r="C1200" s="2"/>
    </row>
    <row r="1201" spans="3:3">
      <c r="C1201" s="2"/>
    </row>
    <row r="1202" spans="3:3">
      <c r="C1202" s="2"/>
    </row>
    <row r="1203" spans="3:3">
      <c r="C1203" s="2"/>
    </row>
    <row r="1204" spans="3:3">
      <c r="C1204" s="2"/>
    </row>
    <row r="1205" spans="3:3">
      <c r="C1205" s="2"/>
    </row>
    <row r="1206" spans="3:3">
      <c r="C1206" s="2"/>
    </row>
    <row r="1207" spans="3:3">
      <c r="C1207" s="2"/>
    </row>
    <row r="1208" spans="3:3">
      <c r="C1208" s="2"/>
    </row>
    <row r="1209" spans="3:3">
      <c r="C1209" s="2"/>
    </row>
    <row r="1210" spans="3:3">
      <c r="C1210" s="2"/>
    </row>
    <row r="1211" spans="3:3">
      <c r="C1211" s="2"/>
    </row>
    <row r="1212" spans="3:3">
      <c r="C1212" s="2"/>
    </row>
    <row r="1213" spans="3:3">
      <c r="C1213" s="2"/>
    </row>
    <row r="1214" spans="3:3">
      <c r="C1214" s="2"/>
    </row>
    <row r="1215" spans="3:3">
      <c r="C1215" s="2"/>
    </row>
    <row r="1216" spans="3:3">
      <c r="C1216" s="2"/>
    </row>
    <row r="1217" spans="3:3">
      <c r="C1217" s="2"/>
    </row>
    <row r="1218" spans="3:3">
      <c r="C1218" s="2"/>
    </row>
    <row r="1219" spans="3:3">
      <c r="C1219" s="2"/>
    </row>
    <row r="1220" spans="3:3">
      <c r="C1220" s="2"/>
    </row>
    <row r="1221" spans="3:3">
      <c r="C1221" s="2"/>
    </row>
    <row r="1222" spans="3:3">
      <c r="C1222" s="2"/>
    </row>
    <row r="1223" spans="3:3">
      <c r="C1223" s="2"/>
    </row>
    <row r="1224" spans="3:3">
      <c r="C1224" s="2"/>
    </row>
    <row r="1225" spans="3:3">
      <c r="C1225" s="2"/>
    </row>
    <row r="1226" spans="3:3">
      <c r="C1226" s="2"/>
    </row>
    <row r="1227" spans="3:3">
      <c r="C1227" s="2"/>
    </row>
    <row r="1228" spans="3:3">
      <c r="C1228" s="2"/>
    </row>
    <row r="1229" spans="3:3">
      <c r="C1229" s="2"/>
    </row>
    <row r="1230" spans="3:3">
      <c r="C1230" s="2"/>
    </row>
    <row r="1231" spans="3:3">
      <c r="C1231" s="2"/>
    </row>
    <row r="1232" spans="3:3">
      <c r="C1232" s="2"/>
    </row>
    <row r="1233" spans="3:3">
      <c r="C1233" s="2"/>
    </row>
    <row r="1234" spans="3:3">
      <c r="C1234" s="2"/>
    </row>
    <row r="1235" spans="3:3">
      <c r="C1235" s="2"/>
    </row>
    <row r="1236" spans="3:3">
      <c r="C1236" s="2"/>
    </row>
    <row r="1237" spans="3:3">
      <c r="C1237" s="2"/>
    </row>
    <row r="1238" spans="3:3">
      <c r="C1238" s="2"/>
    </row>
    <row r="1239" spans="3:3">
      <c r="C1239" s="2"/>
    </row>
    <row r="1240" spans="3:3">
      <c r="C1240" s="2"/>
    </row>
    <row r="1241" spans="3:3">
      <c r="C1241" s="2"/>
    </row>
    <row r="1242" spans="3:3">
      <c r="C1242" s="2"/>
    </row>
    <row r="1243" spans="3:3">
      <c r="C1243" s="2"/>
    </row>
    <row r="1244" spans="3:3">
      <c r="C1244" s="2"/>
    </row>
    <row r="1245" spans="3:3">
      <c r="C1245" s="2"/>
    </row>
    <row r="1246" spans="3:3">
      <c r="C1246" s="2"/>
    </row>
    <row r="1247" spans="3:3">
      <c r="C1247" s="2"/>
    </row>
    <row r="1248" spans="3:3">
      <c r="C1248" s="2"/>
    </row>
    <row r="1249" spans="3:3">
      <c r="C1249" s="2"/>
    </row>
    <row r="1250" spans="3:3">
      <c r="C1250" s="2"/>
    </row>
    <row r="1251" spans="3:3">
      <c r="C1251" s="2"/>
    </row>
    <row r="1252" spans="3:3">
      <c r="C1252" s="2"/>
    </row>
    <row r="1253" spans="3:3">
      <c r="C1253" s="2"/>
    </row>
    <row r="1254" spans="3:3">
      <c r="C1254" s="2"/>
    </row>
    <row r="1255" spans="3:3">
      <c r="C1255" s="2"/>
    </row>
    <row r="1256" spans="3:3">
      <c r="C1256" s="2"/>
    </row>
    <row r="1257" spans="3:3">
      <c r="C1257" s="2"/>
    </row>
    <row r="1258" spans="3:3">
      <c r="C1258" s="2"/>
    </row>
    <row r="1259" spans="3:3">
      <c r="C1259" s="2"/>
    </row>
    <row r="1260" spans="3:3">
      <c r="C1260" s="2"/>
    </row>
    <row r="1261" spans="3:3">
      <c r="C1261" s="2"/>
    </row>
    <row r="1262" spans="3:3">
      <c r="C1262" s="2"/>
    </row>
    <row r="1263" spans="3:3">
      <c r="C1263" s="2"/>
    </row>
    <row r="1264" spans="3:3">
      <c r="C1264" s="2"/>
    </row>
    <row r="1265" spans="3:3">
      <c r="C1265" s="2"/>
    </row>
    <row r="1266" spans="3:3">
      <c r="C1266" s="2"/>
    </row>
    <row r="1267" spans="3:3">
      <c r="C1267" s="2"/>
    </row>
    <row r="1268" spans="3:3">
      <c r="C1268" s="2"/>
    </row>
    <row r="1269" spans="3:3">
      <c r="C1269" s="2"/>
    </row>
    <row r="1270" spans="3:3">
      <c r="C1270" s="2"/>
    </row>
    <row r="1271" spans="3:3">
      <c r="C1271" s="2"/>
    </row>
    <row r="1272" spans="3:3">
      <c r="C1272" s="2"/>
    </row>
    <row r="1273" spans="3:3">
      <c r="C1273" s="2"/>
    </row>
    <row r="1274" spans="3:3">
      <c r="C1274" s="2"/>
    </row>
    <row r="1275" spans="3:3">
      <c r="C1275" s="2"/>
    </row>
    <row r="1276" spans="3:3">
      <c r="C1276" s="2"/>
    </row>
    <row r="1277" spans="3:3">
      <c r="C1277" s="2"/>
    </row>
    <row r="1278" spans="3:3">
      <c r="C1278" s="2"/>
    </row>
    <row r="1279" spans="3:3">
      <c r="C1279" s="2"/>
    </row>
    <row r="1280" spans="3:3">
      <c r="C1280" s="2"/>
    </row>
    <row r="1281" spans="3:3">
      <c r="C1281" s="2"/>
    </row>
    <row r="1282" spans="3:3">
      <c r="C1282" s="2"/>
    </row>
    <row r="1283" spans="3:3">
      <c r="C1283" s="2"/>
    </row>
    <row r="1284" spans="3:3">
      <c r="C1284" s="2"/>
    </row>
    <row r="1285" spans="3:3">
      <c r="C1285" s="2"/>
    </row>
    <row r="1286" spans="3:3">
      <c r="C1286" s="2"/>
    </row>
    <row r="1287" spans="3:3">
      <c r="C1287" s="2"/>
    </row>
    <row r="1288" spans="3:3">
      <c r="C1288" s="2"/>
    </row>
    <row r="1289" spans="3:3">
      <c r="C1289" s="2"/>
    </row>
    <row r="1290" spans="3:3">
      <c r="C1290" s="2"/>
    </row>
    <row r="1291" spans="3:3">
      <c r="C1291" s="2"/>
    </row>
    <row r="1292" spans="3:3">
      <c r="C1292" s="2"/>
    </row>
    <row r="1293" spans="3:3">
      <c r="C1293" s="2"/>
    </row>
    <row r="1294" spans="3:3">
      <c r="C1294" s="2"/>
    </row>
    <row r="1295" spans="3:3">
      <c r="C1295" s="2"/>
    </row>
    <row r="1296" spans="3:3">
      <c r="C1296" s="2"/>
    </row>
    <row r="1297" spans="3:3">
      <c r="C1297" s="2"/>
    </row>
    <row r="1298" spans="3:3">
      <c r="C1298" s="2"/>
    </row>
    <row r="1299" spans="3:3">
      <c r="C1299" s="2"/>
    </row>
    <row r="1300" spans="3:3">
      <c r="C1300" s="2"/>
    </row>
    <row r="1301" spans="3:3">
      <c r="C1301" s="2"/>
    </row>
    <row r="1302" spans="3:3">
      <c r="C1302" s="2"/>
    </row>
    <row r="1303" spans="3:3">
      <c r="C1303" s="2"/>
    </row>
    <row r="1304" spans="3:3">
      <c r="C1304" s="2"/>
    </row>
    <row r="1305" spans="3:3">
      <c r="C1305" s="2"/>
    </row>
    <row r="1306" spans="3:3">
      <c r="C1306" s="2"/>
    </row>
    <row r="1307" spans="3:3">
      <c r="C1307" s="2"/>
    </row>
    <row r="1308" spans="3:3">
      <c r="C1308" s="2"/>
    </row>
    <row r="1309" spans="3:3">
      <c r="C1309" s="2"/>
    </row>
    <row r="1310" spans="3:3">
      <c r="C1310" s="2"/>
    </row>
    <row r="1311" spans="3:3">
      <c r="C1311" s="2"/>
    </row>
    <row r="1312" spans="3:3">
      <c r="C1312" s="2"/>
    </row>
    <row r="1313" spans="3:3">
      <c r="C1313" s="2"/>
    </row>
    <row r="1314" spans="3:3">
      <c r="C1314" s="2"/>
    </row>
    <row r="1315" spans="3:3">
      <c r="C1315" s="2"/>
    </row>
    <row r="1316" spans="3:3">
      <c r="C1316" s="2"/>
    </row>
    <row r="1317" spans="3:3">
      <c r="C1317" s="2"/>
    </row>
    <row r="1318" spans="3:3">
      <c r="C1318" s="2"/>
    </row>
    <row r="1319" spans="3:3">
      <c r="C1319" s="2"/>
    </row>
    <row r="1320" spans="3:3">
      <c r="C1320" s="2"/>
    </row>
    <row r="1321" spans="3:3">
      <c r="C1321" s="2"/>
    </row>
    <row r="1322" spans="3:3">
      <c r="C1322" s="2"/>
    </row>
    <row r="1323" spans="3:3">
      <c r="C1323" s="2"/>
    </row>
    <row r="1324" spans="3:3">
      <c r="C1324" s="2"/>
    </row>
    <row r="1325" spans="3:3">
      <c r="C1325" s="2"/>
    </row>
    <row r="1326" spans="3:3">
      <c r="C1326" s="2"/>
    </row>
    <row r="1327" spans="3:3">
      <c r="C1327" s="2"/>
    </row>
    <row r="1328" spans="3:3">
      <c r="C1328" s="2"/>
    </row>
    <row r="1329" spans="3:3">
      <c r="C1329" s="2"/>
    </row>
    <row r="1330" spans="3:3">
      <c r="C1330" s="2"/>
    </row>
    <row r="1331" spans="3:3">
      <c r="C1331" s="2"/>
    </row>
    <row r="1332" spans="3:3">
      <c r="C1332" s="2"/>
    </row>
    <row r="1333" spans="3:3">
      <c r="C1333" s="2"/>
    </row>
    <row r="1334" spans="3:3">
      <c r="C1334" s="2"/>
    </row>
    <row r="1335" spans="3:3">
      <c r="C1335" s="2"/>
    </row>
    <row r="1336" spans="3:3">
      <c r="C1336" s="2"/>
    </row>
    <row r="1337" spans="3:3">
      <c r="C1337" s="2"/>
    </row>
    <row r="1338" spans="3:3">
      <c r="C1338" s="2"/>
    </row>
    <row r="1339" spans="3:3">
      <c r="C1339" s="2"/>
    </row>
    <row r="1340" spans="3:3">
      <c r="C1340" s="2"/>
    </row>
    <row r="1341" spans="3:3">
      <c r="C1341" s="2"/>
    </row>
    <row r="1342" spans="3:3">
      <c r="C1342" s="2"/>
    </row>
    <row r="1343" spans="3:3">
      <c r="C1343" s="2"/>
    </row>
    <row r="1344" spans="3:3">
      <c r="C1344" s="2"/>
    </row>
    <row r="1345" spans="3:3">
      <c r="C1345" s="2"/>
    </row>
    <row r="1346" spans="3:3">
      <c r="C1346" s="2"/>
    </row>
    <row r="1347" spans="3:3">
      <c r="C1347" s="2"/>
    </row>
    <row r="1348" spans="3:3">
      <c r="C1348" s="2"/>
    </row>
    <row r="1349" spans="3:3">
      <c r="C1349" s="2"/>
    </row>
    <row r="1350" spans="3:3">
      <c r="C1350" s="2"/>
    </row>
    <row r="1351" spans="3:3">
      <c r="C1351" s="2"/>
    </row>
    <row r="1352" spans="3:3">
      <c r="C1352" s="2"/>
    </row>
    <row r="1353" spans="3:3">
      <c r="C1353" s="2"/>
    </row>
    <row r="1354" spans="3:3">
      <c r="C1354" s="2"/>
    </row>
    <row r="1355" spans="3:3">
      <c r="C1355" s="2"/>
    </row>
    <row r="1356" spans="3:3">
      <c r="C1356" s="2"/>
    </row>
    <row r="1357" spans="3:3">
      <c r="C1357" s="2"/>
    </row>
    <row r="1358" spans="3:3">
      <c r="C1358" s="2"/>
    </row>
    <row r="1359" spans="3:3">
      <c r="C1359" s="2"/>
    </row>
    <row r="1360" spans="3:3">
      <c r="C1360" s="2"/>
    </row>
    <row r="1361" spans="3:3">
      <c r="C1361" s="2"/>
    </row>
    <row r="1362" spans="3:3">
      <c r="C1362" s="2"/>
    </row>
    <row r="1363" spans="3:3">
      <c r="C1363" s="2"/>
    </row>
    <row r="1364" spans="3:3">
      <c r="C1364" s="2"/>
    </row>
    <row r="1365" spans="3:3">
      <c r="C1365" s="2"/>
    </row>
    <row r="1366" spans="3:3">
      <c r="C1366" s="2"/>
    </row>
    <row r="1367" spans="3:3">
      <c r="C1367" s="2"/>
    </row>
    <row r="1368" spans="3:3">
      <c r="C1368" s="2"/>
    </row>
    <row r="1369" spans="3:3">
      <c r="C1369" s="2"/>
    </row>
    <row r="1370" spans="3:3">
      <c r="C1370" s="2"/>
    </row>
    <row r="1371" spans="3:3">
      <c r="C1371" s="2"/>
    </row>
    <row r="1372" spans="3:3">
      <c r="C1372" s="2"/>
    </row>
    <row r="1373" spans="3:3">
      <c r="C1373" s="2"/>
    </row>
    <row r="1374" spans="3:3">
      <c r="C1374" s="2"/>
    </row>
    <row r="1375" spans="3:3">
      <c r="C1375" s="2"/>
    </row>
    <row r="1376" spans="3:3">
      <c r="C1376" s="2"/>
    </row>
    <row r="1377" spans="3:3">
      <c r="C1377" s="2"/>
    </row>
    <row r="1378" spans="3:3">
      <c r="C1378" s="2"/>
    </row>
    <row r="1379" spans="3:3">
      <c r="C1379" s="2"/>
    </row>
    <row r="1380" spans="3:3">
      <c r="C1380" s="2"/>
    </row>
    <row r="1381" spans="3:3">
      <c r="C1381" s="2"/>
    </row>
    <row r="1382" spans="3:3">
      <c r="C1382" s="2"/>
    </row>
    <row r="1383" spans="3:3">
      <c r="C1383" s="2"/>
    </row>
    <row r="1384" spans="3:3">
      <c r="C1384" s="2"/>
    </row>
    <row r="1385" spans="3:3">
      <c r="C1385" s="2"/>
    </row>
    <row r="1386" spans="3:3">
      <c r="C1386" s="2"/>
    </row>
    <row r="1387" spans="3:3">
      <c r="C1387" s="2"/>
    </row>
    <row r="1388" spans="3:3">
      <c r="C1388" s="2"/>
    </row>
    <row r="1389" spans="3:3">
      <c r="C1389" s="2"/>
    </row>
    <row r="1390" spans="3:3">
      <c r="C1390" s="2"/>
    </row>
    <row r="1391" spans="3:3">
      <c r="C1391" s="2"/>
    </row>
    <row r="1392" spans="3:3">
      <c r="C1392" s="2"/>
    </row>
    <row r="1393" spans="3:3">
      <c r="C1393" s="2"/>
    </row>
    <row r="1394" spans="3:3">
      <c r="C1394" s="2"/>
    </row>
    <row r="1395" spans="3:3">
      <c r="C1395" s="2"/>
    </row>
    <row r="1396" spans="3:3">
      <c r="C1396" s="2"/>
    </row>
    <row r="1397" spans="3:3">
      <c r="C1397" s="2"/>
    </row>
    <row r="1398" spans="3:3">
      <c r="C1398" s="2"/>
    </row>
    <row r="1399" spans="3:3">
      <c r="C1399" s="2"/>
    </row>
    <row r="1400" spans="3:3">
      <c r="C1400" s="2"/>
    </row>
    <row r="1401" spans="3:3">
      <c r="C1401" s="2"/>
    </row>
    <row r="1402" spans="3:3">
      <c r="C1402" s="2"/>
    </row>
    <row r="1403" spans="3:3">
      <c r="C1403" s="2"/>
    </row>
    <row r="1404" spans="3:3">
      <c r="C1404" s="2"/>
    </row>
    <row r="1405" spans="3:3">
      <c r="C1405" s="2"/>
    </row>
    <row r="1406" spans="3:3">
      <c r="C1406" s="2"/>
    </row>
    <row r="1407" spans="3:3">
      <c r="C1407" s="2"/>
    </row>
    <row r="1408" spans="3:3">
      <c r="C1408" s="2"/>
    </row>
    <row r="1409" spans="3:3">
      <c r="C1409" s="2"/>
    </row>
    <row r="1410" spans="3:3">
      <c r="C1410" s="2"/>
    </row>
    <row r="1411" spans="3:3">
      <c r="C1411" s="2"/>
    </row>
    <row r="1412" spans="3:3">
      <c r="C1412" s="2"/>
    </row>
    <row r="1413" spans="3:3">
      <c r="C1413" s="2"/>
    </row>
    <row r="1414" spans="3:3">
      <c r="C1414" s="2"/>
    </row>
    <row r="1415" spans="3:3">
      <c r="C1415" s="2"/>
    </row>
    <row r="1416" spans="3:3">
      <c r="C1416" s="2"/>
    </row>
    <row r="1417" spans="3:3">
      <c r="C1417" s="2"/>
    </row>
    <row r="1418" spans="3:3">
      <c r="C1418" s="2"/>
    </row>
    <row r="1419" spans="3:3">
      <c r="C1419" s="2"/>
    </row>
    <row r="1420" spans="3:3">
      <c r="C1420" s="2"/>
    </row>
    <row r="1421" spans="3:3">
      <c r="C1421" s="2"/>
    </row>
    <row r="1422" spans="3:3">
      <c r="C1422" s="2"/>
    </row>
    <row r="1423" spans="3:3">
      <c r="C1423" s="2"/>
    </row>
    <row r="1424" spans="3:3">
      <c r="C1424" s="2"/>
    </row>
    <row r="1425" spans="3:3">
      <c r="C1425" s="2"/>
    </row>
    <row r="1426" spans="3:3">
      <c r="C1426" s="2"/>
    </row>
    <row r="1427" spans="3:3">
      <c r="C1427" s="2"/>
    </row>
    <row r="1428" spans="3:3">
      <c r="C1428" s="2"/>
    </row>
    <row r="1429" spans="3:3">
      <c r="C1429" s="2"/>
    </row>
    <row r="1430" spans="3:3">
      <c r="C1430" s="2"/>
    </row>
    <row r="1431" spans="3:3">
      <c r="C1431" s="2"/>
    </row>
    <row r="1432" spans="3:3">
      <c r="C1432" s="2"/>
    </row>
    <row r="1433" spans="3:3">
      <c r="C1433" s="2"/>
    </row>
    <row r="1434" spans="3:3">
      <c r="C1434" s="2"/>
    </row>
    <row r="1435" spans="3:3">
      <c r="C1435" s="2"/>
    </row>
    <row r="1436" spans="3:3">
      <c r="C1436" s="2"/>
    </row>
    <row r="1437" spans="3:3">
      <c r="C1437" s="2"/>
    </row>
    <row r="1438" spans="3:3">
      <c r="C1438" s="2"/>
    </row>
    <row r="1439" spans="3:3">
      <c r="C1439" s="2"/>
    </row>
    <row r="1440" spans="3:3">
      <c r="C1440" s="2"/>
    </row>
    <row r="1441" spans="3:3">
      <c r="C1441" s="2"/>
    </row>
    <row r="1442" spans="3:3">
      <c r="C1442" s="2"/>
    </row>
    <row r="1443" spans="3:3">
      <c r="C1443" s="2"/>
    </row>
    <row r="1444" spans="3:3">
      <c r="C1444" s="2"/>
    </row>
    <row r="1445" spans="3:3">
      <c r="C1445" s="2"/>
    </row>
    <row r="1446" spans="3:3">
      <c r="C1446" s="2"/>
    </row>
    <row r="1447" spans="3:3">
      <c r="C1447" s="2"/>
    </row>
    <row r="1448" spans="3:3">
      <c r="C1448" s="2"/>
    </row>
    <row r="1449" spans="3:3">
      <c r="C1449" s="2"/>
    </row>
    <row r="1450" spans="3:3">
      <c r="C1450" s="2"/>
    </row>
    <row r="1451" spans="3:3">
      <c r="C1451" s="2"/>
    </row>
    <row r="1452" spans="3:3">
      <c r="C1452" s="2"/>
    </row>
    <row r="1453" spans="3:3">
      <c r="C1453" s="2"/>
    </row>
    <row r="1454" spans="3:3">
      <c r="C1454" s="2"/>
    </row>
    <row r="1455" spans="3:3">
      <c r="C1455" s="2"/>
    </row>
    <row r="1456" spans="3:3">
      <c r="C1456" s="2"/>
    </row>
    <row r="1457" spans="3:3">
      <c r="C1457" s="2"/>
    </row>
    <row r="1458" spans="3:3">
      <c r="C1458" s="2"/>
    </row>
    <row r="1459" spans="3:3">
      <c r="C1459" s="2"/>
    </row>
    <row r="1460" spans="3:3">
      <c r="C1460" s="2"/>
    </row>
    <row r="1461" spans="3:3">
      <c r="C1461" s="2"/>
    </row>
    <row r="1462" spans="3:3">
      <c r="C1462" s="2"/>
    </row>
    <row r="1463" spans="3:3">
      <c r="C1463" s="2"/>
    </row>
    <row r="1464" spans="3:3">
      <c r="C1464" s="2"/>
    </row>
    <row r="1465" spans="3:3">
      <c r="C1465" s="2"/>
    </row>
    <row r="1466" spans="3:3">
      <c r="C1466" s="2"/>
    </row>
    <row r="1467" spans="3:3">
      <c r="C1467" s="2"/>
    </row>
    <row r="1468" spans="3:3">
      <c r="C1468" s="2"/>
    </row>
    <row r="1469" spans="3:3">
      <c r="C1469" s="2"/>
    </row>
    <row r="1470" spans="3:3">
      <c r="C1470" s="2"/>
    </row>
    <row r="1471" spans="3:3">
      <c r="C1471" s="2"/>
    </row>
    <row r="1472" spans="3:3">
      <c r="C1472" s="2"/>
    </row>
    <row r="1473" spans="3:3">
      <c r="C1473" s="2"/>
    </row>
    <row r="1474" spans="3:3">
      <c r="C1474" s="2"/>
    </row>
    <row r="1475" spans="3:3">
      <c r="C1475" s="2"/>
    </row>
    <row r="1476" spans="3:3">
      <c r="C1476" s="2"/>
    </row>
    <row r="1477" spans="3:3">
      <c r="C1477" s="2"/>
    </row>
    <row r="1478" spans="3:3">
      <c r="C1478" s="2"/>
    </row>
    <row r="1479" spans="3:3">
      <c r="C1479" s="2"/>
    </row>
    <row r="1480" spans="3:3">
      <c r="C1480" s="2"/>
    </row>
    <row r="1481" spans="3:3">
      <c r="C1481" s="2"/>
    </row>
    <row r="1482" spans="3:3">
      <c r="C1482" s="2"/>
    </row>
    <row r="1483" spans="3:3">
      <c r="C1483" s="2"/>
    </row>
    <row r="1484" spans="3:3">
      <c r="C1484" s="2"/>
    </row>
    <row r="1485" spans="3:3">
      <c r="C1485" s="2"/>
    </row>
    <row r="1486" spans="3:3">
      <c r="C1486" s="2"/>
    </row>
    <row r="1487" spans="3:3">
      <c r="C1487" s="2"/>
    </row>
    <row r="1488" spans="3:3">
      <c r="C1488" s="2"/>
    </row>
    <row r="1489" spans="3:3">
      <c r="C1489" s="2"/>
    </row>
    <row r="1490" spans="3:3">
      <c r="C1490" s="2"/>
    </row>
    <row r="1491" spans="3:3">
      <c r="C1491" s="2"/>
    </row>
    <row r="1492" spans="3:3">
      <c r="C1492" s="2"/>
    </row>
    <row r="1493" spans="3:3">
      <c r="C1493" s="2"/>
    </row>
    <row r="1494" spans="3:3">
      <c r="C1494" s="2"/>
    </row>
    <row r="1495" spans="3:3">
      <c r="C1495" s="2"/>
    </row>
    <row r="1496" spans="3:3">
      <c r="C1496" s="2"/>
    </row>
    <row r="1497" spans="3:3">
      <c r="C1497" s="2"/>
    </row>
    <row r="1498" spans="3:3">
      <c r="C1498" s="2"/>
    </row>
    <row r="1499" spans="3:3">
      <c r="C1499" s="2"/>
    </row>
    <row r="1500" spans="3:3">
      <c r="C1500" s="2"/>
    </row>
    <row r="1501" spans="3:3">
      <c r="C1501" s="2"/>
    </row>
    <row r="1502" spans="3:3">
      <c r="C1502" s="2"/>
    </row>
    <row r="1503" spans="3:3">
      <c r="C1503" s="2"/>
    </row>
    <row r="1504" spans="3:3">
      <c r="C1504" s="2"/>
    </row>
    <row r="1505" spans="3:3">
      <c r="C1505" s="2"/>
    </row>
    <row r="1506" spans="3:3">
      <c r="C1506" s="2"/>
    </row>
    <row r="1507" spans="3:3">
      <c r="C1507" s="2"/>
    </row>
    <row r="1508" spans="3:3">
      <c r="C1508" s="2"/>
    </row>
    <row r="1509" spans="3:3">
      <c r="C1509" s="2"/>
    </row>
    <row r="1510" spans="3:3">
      <c r="C1510" s="2"/>
    </row>
    <row r="1511" spans="3:3">
      <c r="C1511" s="2"/>
    </row>
    <row r="1512" spans="3:3">
      <c r="C1512" s="2"/>
    </row>
    <row r="1513" spans="3:3">
      <c r="C1513" s="2"/>
    </row>
    <row r="1514" spans="3:3">
      <c r="C1514" s="2"/>
    </row>
    <row r="1515" spans="3:3">
      <c r="C1515" s="2"/>
    </row>
    <row r="1516" spans="3:3">
      <c r="C1516" s="2"/>
    </row>
    <row r="1517" spans="3:3">
      <c r="C1517" s="2"/>
    </row>
    <row r="1518" spans="3:3">
      <c r="C1518" s="2"/>
    </row>
    <row r="1519" spans="3:3">
      <c r="C1519" s="2"/>
    </row>
    <row r="1520" spans="3:3">
      <c r="C1520" s="2"/>
    </row>
    <row r="1521" spans="3:3">
      <c r="C1521" s="2"/>
    </row>
    <row r="1522" spans="3:3">
      <c r="C1522" s="2"/>
    </row>
    <row r="1523" spans="3:3">
      <c r="C1523" s="2"/>
    </row>
    <row r="1524" spans="3:3">
      <c r="C1524" s="2"/>
    </row>
    <row r="1525" spans="3:3">
      <c r="C1525" s="2"/>
    </row>
    <row r="1526" spans="3:3">
      <c r="C1526" s="2"/>
    </row>
    <row r="1527" spans="3:3">
      <c r="C1527" s="2"/>
    </row>
    <row r="1528" spans="3:3">
      <c r="C1528" s="2"/>
    </row>
    <row r="1529" spans="3:3">
      <c r="C1529" s="2"/>
    </row>
    <row r="1530" spans="3:3">
      <c r="C1530" s="2"/>
    </row>
    <row r="1531" spans="3:3">
      <c r="C1531" s="2"/>
    </row>
    <row r="1532" spans="3:3">
      <c r="C1532" s="2"/>
    </row>
    <row r="1533" spans="3:3">
      <c r="C1533" s="2"/>
    </row>
    <row r="1534" spans="3:3">
      <c r="C1534" s="2"/>
    </row>
    <row r="1535" spans="3:3">
      <c r="C1535" s="2"/>
    </row>
    <row r="1536" spans="3:3">
      <c r="C1536" s="2"/>
    </row>
    <row r="1537" spans="3:3">
      <c r="C1537" s="2"/>
    </row>
    <row r="1538" spans="3:3">
      <c r="C1538" s="2"/>
    </row>
    <row r="1539" spans="3:3">
      <c r="C1539" s="2"/>
    </row>
    <row r="1540" spans="3:3">
      <c r="C1540" s="2"/>
    </row>
    <row r="1541" spans="3:3">
      <c r="C1541" s="2"/>
    </row>
    <row r="1542" spans="3:3">
      <c r="C1542" s="2"/>
    </row>
    <row r="1543" spans="3:3">
      <c r="C1543" s="2"/>
    </row>
    <row r="1544" spans="3:3">
      <c r="C1544" s="2"/>
    </row>
    <row r="1545" spans="3:3">
      <c r="C1545" s="2"/>
    </row>
    <row r="1546" spans="3:3">
      <c r="C1546" s="2"/>
    </row>
    <row r="1547" spans="3:3">
      <c r="C1547" s="2"/>
    </row>
    <row r="1548" spans="3:3">
      <c r="C1548" s="2"/>
    </row>
    <row r="1549" spans="3:3">
      <c r="C1549" s="2"/>
    </row>
    <row r="1550" spans="3:3">
      <c r="C1550" s="2"/>
    </row>
    <row r="1551" spans="3:3">
      <c r="C1551" s="2"/>
    </row>
    <row r="1552" spans="3:3">
      <c r="C1552" s="2"/>
    </row>
    <row r="1553" spans="3:3">
      <c r="C1553" s="2"/>
    </row>
    <row r="1554" spans="3:3">
      <c r="C1554" s="2"/>
    </row>
    <row r="1555" spans="3:3">
      <c r="C1555" s="2"/>
    </row>
    <row r="1556" spans="3:3">
      <c r="C1556" s="2"/>
    </row>
    <row r="1557" spans="3:3">
      <c r="C1557" s="2"/>
    </row>
    <row r="1558" spans="3:3">
      <c r="C1558" s="2"/>
    </row>
    <row r="1559" spans="3:3">
      <c r="C1559" s="2"/>
    </row>
    <row r="1560" spans="3:3">
      <c r="C1560" s="2"/>
    </row>
    <row r="1561" spans="3:3">
      <c r="C1561" s="2"/>
    </row>
    <row r="1562" spans="3:3">
      <c r="C1562" s="2"/>
    </row>
    <row r="1563" spans="3:3">
      <c r="C1563" s="2"/>
    </row>
    <row r="1564" spans="3:3">
      <c r="C1564" s="2"/>
    </row>
    <row r="1565" spans="3:3">
      <c r="C1565" s="2"/>
    </row>
    <row r="1566" spans="3:3">
      <c r="C1566" s="2"/>
    </row>
    <row r="1567" spans="3:3">
      <c r="C1567" s="2"/>
    </row>
    <row r="1568" spans="3:3">
      <c r="C1568" s="2"/>
    </row>
    <row r="1569" spans="3:3">
      <c r="C1569" s="2"/>
    </row>
    <row r="1570" spans="3:3">
      <c r="C1570" s="2"/>
    </row>
    <row r="1571" spans="3:3">
      <c r="C1571" s="2"/>
    </row>
    <row r="1572" spans="3:3">
      <c r="C1572" s="2"/>
    </row>
    <row r="1573" spans="3:3">
      <c r="C1573" s="2"/>
    </row>
    <row r="1574" spans="3:3">
      <c r="C1574" s="2"/>
    </row>
    <row r="1575" spans="3:3">
      <c r="C1575" s="2"/>
    </row>
    <row r="1576" spans="3:3">
      <c r="C1576" s="2"/>
    </row>
    <row r="1577" spans="3:3">
      <c r="C1577" s="2"/>
    </row>
    <row r="1578" spans="3:3">
      <c r="C1578" s="2"/>
    </row>
    <row r="1579" spans="3:3">
      <c r="C1579" s="2"/>
    </row>
    <row r="1580" spans="3:3">
      <c r="C1580" s="2"/>
    </row>
    <row r="1581" spans="3:3">
      <c r="C1581" s="2"/>
    </row>
    <row r="1582" spans="3:3">
      <c r="C1582" s="2"/>
    </row>
    <row r="1583" spans="3:3">
      <c r="C1583" s="2"/>
    </row>
    <row r="1584" spans="3:3">
      <c r="C1584" s="2"/>
    </row>
    <row r="1585" spans="3:3">
      <c r="C1585" s="2"/>
    </row>
    <row r="1586" spans="3:3">
      <c r="C1586" s="2"/>
    </row>
    <row r="1587" spans="3:3">
      <c r="C1587" s="2"/>
    </row>
    <row r="1588" spans="3:3">
      <c r="C1588" s="2"/>
    </row>
    <row r="1589" spans="3:3">
      <c r="C1589" s="2"/>
    </row>
    <row r="1590" spans="3:3">
      <c r="C1590" s="2"/>
    </row>
    <row r="1591" spans="3:3">
      <c r="C1591" s="2"/>
    </row>
    <row r="1592" spans="3:3">
      <c r="C1592" s="2"/>
    </row>
    <row r="1593" spans="3:3">
      <c r="C1593" s="2"/>
    </row>
    <row r="1594" spans="3:3">
      <c r="C1594" s="2"/>
    </row>
    <row r="1595" spans="3:3">
      <c r="C1595" s="2"/>
    </row>
    <row r="1596" spans="3:3">
      <c r="C1596" s="2"/>
    </row>
    <row r="1597" spans="3:3">
      <c r="C1597" s="2"/>
    </row>
    <row r="1598" spans="3:3">
      <c r="C1598" s="2"/>
    </row>
    <row r="1599" spans="3:3">
      <c r="C1599" s="2"/>
    </row>
    <row r="1600" spans="3:3">
      <c r="C1600" s="2"/>
    </row>
    <row r="1601" spans="3:3">
      <c r="C1601" s="2"/>
    </row>
    <row r="1602" spans="3:3">
      <c r="C1602" s="2"/>
    </row>
    <row r="1603" spans="3:3">
      <c r="C1603" s="2"/>
    </row>
    <row r="1604" spans="3:3">
      <c r="C1604" s="2"/>
    </row>
    <row r="1605" spans="3:3">
      <c r="C1605" s="2"/>
    </row>
    <row r="1606" spans="3:3">
      <c r="C1606" s="2"/>
    </row>
    <row r="1607" spans="3:3">
      <c r="C1607" s="2"/>
    </row>
    <row r="1608" spans="3:3">
      <c r="C1608" s="2"/>
    </row>
    <row r="1609" spans="3:3">
      <c r="C1609" s="2"/>
    </row>
    <row r="1610" spans="3:3">
      <c r="C1610" s="2"/>
    </row>
    <row r="1611" spans="3:3">
      <c r="C1611" s="2"/>
    </row>
    <row r="1612" spans="3:3">
      <c r="C1612" s="2"/>
    </row>
    <row r="1613" spans="3:3">
      <c r="C1613" s="2"/>
    </row>
    <row r="1614" spans="3:3">
      <c r="C1614" s="2"/>
    </row>
    <row r="1615" spans="3:3">
      <c r="C1615" s="2"/>
    </row>
    <row r="1616" spans="3:3">
      <c r="C1616" s="2"/>
    </row>
    <row r="1617" spans="3:3">
      <c r="C1617" s="2"/>
    </row>
    <row r="1618" spans="3:3">
      <c r="C1618" s="2"/>
    </row>
    <row r="1619" spans="3:3">
      <c r="C1619" s="2"/>
    </row>
    <row r="1620" spans="3:3">
      <c r="C1620" s="2"/>
    </row>
    <row r="1621" spans="3:3">
      <c r="C1621" s="2"/>
    </row>
    <row r="1622" spans="3:3">
      <c r="C1622" s="2"/>
    </row>
    <row r="1623" spans="3:3">
      <c r="C1623" s="2"/>
    </row>
    <row r="1624" spans="3:3">
      <c r="C1624" s="2"/>
    </row>
    <row r="1625" spans="3:3">
      <c r="C1625" s="2"/>
    </row>
    <row r="1626" spans="3:3">
      <c r="C1626" s="2"/>
    </row>
    <row r="1627" spans="3:3">
      <c r="C1627" s="2"/>
    </row>
    <row r="1628" spans="3:3">
      <c r="C1628" s="2"/>
    </row>
    <row r="1629" spans="3:3">
      <c r="C1629" s="2"/>
    </row>
    <row r="1630" spans="3:3">
      <c r="C1630" s="2"/>
    </row>
    <row r="1631" spans="3:3">
      <c r="C1631" s="2"/>
    </row>
    <row r="1632" spans="3:3">
      <c r="C1632" s="2"/>
    </row>
    <row r="1633" spans="3:3">
      <c r="C1633" s="2"/>
    </row>
    <row r="1634" spans="3:3">
      <c r="C1634" s="2"/>
    </row>
    <row r="1635" spans="3:3">
      <c r="C1635" s="2"/>
    </row>
    <row r="1636" spans="3:3">
      <c r="C1636" s="2"/>
    </row>
    <row r="1637" spans="3:3">
      <c r="C1637" s="2"/>
    </row>
    <row r="1638" spans="3:3">
      <c r="C1638" s="2"/>
    </row>
    <row r="1639" spans="3:3">
      <c r="C1639" s="2"/>
    </row>
    <row r="1640" spans="3:3">
      <c r="C1640" s="2"/>
    </row>
    <row r="1641" spans="3:3">
      <c r="C1641" s="2"/>
    </row>
    <row r="1642" spans="3:3">
      <c r="C1642" s="2"/>
    </row>
    <row r="1643" spans="3:3">
      <c r="C1643" s="2"/>
    </row>
    <row r="1644" spans="3:3">
      <c r="C1644" s="2"/>
    </row>
    <row r="1645" spans="3:3">
      <c r="C1645" s="2"/>
    </row>
    <row r="1646" spans="3:3">
      <c r="C1646" s="2"/>
    </row>
    <row r="1647" spans="3:3">
      <c r="C1647" s="2"/>
    </row>
    <row r="1648" spans="3:3">
      <c r="C1648" s="2"/>
    </row>
    <row r="1649" spans="3:3">
      <c r="C1649" s="2"/>
    </row>
    <row r="1650" spans="3:3">
      <c r="C1650" s="2"/>
    </row>
    <row r="1651" spans="3:3">
      <c r="C1651" s="2"/>
    </row>
    <row r="1652" spans="3:3">
      <c r="C1652" s="2"/>
    </row>
    <row r="1653" spans="3:3">
      <c r="C1653" s="2"/>
    </row>
    <row r="1654" spans="3:3">
      <c r="C1654" s="2"/>
    </row>
    <row r="1655" spans="3:3">
      <c r="C1655" s="2"/>
    </row>
    <row r="1656" spans="3:3">
      <c r="C1656" s="2"/>
    </row>
    <row r="1657" spans="3:3">
      <c r="C1657" s="2"/>
    </row>
    <row r="1658" spans="3:3">
      <c r="C1658" s="2"/>
    </row>
    <row r="1659" spans="3:3">
      <c r="C1659" s="2"/>
    </row>
    <row r="1660" spans="3:3">
      <c r="C1660" s="2"/>
    </row>
    <row r="1661" spans="3:3">
      <c r="C1661" s="2"/>
    </row>
    <row r="1662" spans="3:3">
      <c r="C1662" s="2"/>
    </row>
    <row r="1663" spans="3:3">
      <c r="C1663" s="2"/>
    </row>
    <row r="1664" spans="3:3">
      <c r="C1664" s="2"/>
    </row>
    <row r="1665" spans="3:3">
      <c r="C1665" s="2"/>
    </row>
    <row r="1666" spans="3:3">
      <c r="C1666" s="2"/>
    </row>
    <row r="1667" spans="3:3">
      <c r="C1667" s="2"/>
    </row>
    <row r="1668" spans="3:3">
      <c r="C1668" s="2"/>
    </row>
    <row r="1669" spans="3:3">
      <c r="C1669" s="2"/>
    </row>
    <row r="1670" spans="3:3">
      <c r="C1670" s="2"/>
    </row>
    <row r="1671" spans="3:3">
      <c r="C1671" s="2"/>
    </row>
    <row r="1672" spans="3:3">
      <c r="C1672" s="2"/>
    </row>
    <row r="1673" spans="3:3">
      <c r="C1673" s="2"/>
    </row>
    <row r="1674" spans="3:3">
      <c r="C1674" s="2"/>
    </row>
    <row r="1675" spans="3:3">
      <c r="C1675" s="2"/>
    </row>
    <row r="1676" spans="3:3">
      <c r="C1676" s="2"/>
    </row>
    <row r="1677" spans="3:3">
      <c r="C1677" s="2"/>
    </row>
    <row r="1678" spans="3:3">
      <c r="C1678" s="2"/>
    </row>
    <row r="1679" spans="3:3">
      <c r="C1679" s="2"/>
    </row>
    <row r="1680" spans="3:3">
      <c r="C1680" s="2"/>
    </row>
    <row r="1681" spans="3:3">
      <c r="C1681" s="2"/>
    </row>
    <row r="1682" spans="3:3">
      <c r="C1682" s="2"/>
    </row>
    <row r="1683" spans="3:3">
      <c r="C1683" s="2"/>
    </row>
    <row r="1684" spans="3:3">
      <c r="C1684" s="2"/>
    </row>
    <row r="1685" spans="3:3">
      <c r="C1685" s="2"/>
    </row>
    <row r="1686" spans="3:3">
      <c r="C1686" s="2"/>
    </row>
    <row r="1687" spans="3:3">
      <c r="C1687" s="2"/>
    </row>
    <row r="1688" spans="3:3">
      <c r="C1688" s="2"/>
    </row>
    <row r="1689" spans="3:3">
      <c r="C1689" s="2"/>
    </row>
    <row r="1690" spans="3:3">
      <c r="C1690" s="2"/>
    </row>
    <row r="1691" spans="3:3">
      <c r="C1691" s="2"/>
    </row>
    <row r="1692" spans="3:3">
      <c r="C1692" s="2"/>
    </row>
    <row r="1693" spans="3:3">
      <c r="C1693" s="2"/>
    </row>
    <row r="1694" spans="3:3">
      <c r="C1694" s="2"/>
    </row>
    <row r="1695" spans="3:3">
      <c r="C1695" s="2"/>
    </row>
    <row r="1696" spans="3:3">
      <c r="C1696" s="2"/>
    </row>
    <row r="1697" spans="3:3">
      <c r="C1697" s="2"/>
    </row>
    <row r="1698" spans="3:3">
      <c r="C1698" s="2"/>
    </row>
    <row r="1699" spans="3:3">
      <c r="C1699" s="2"/>
    </row>
    <row r="1700" spans="3:3">
      <c r="C1700" s="2"/>
    </row>
    <row r="1701" spans="3:3">
      <c r="C1701" s="2"/>
    </row>
    <row r="1702" spans="3:3">
      <c r="C1702" s="2"/>
    </row>
    <row r="1703" spans="3:3">
      <c r="C1703" s="2"/>
    </row>
    <row r="1704" spans="3:3">
      <c r="C1704" s="2"/>
    </row>
    <row r="1705" spans="3:3">
      <c r="C1705" s="2"/>
    </row>
    <row r="1706" spans="3:3">
      <c r="C1706" s="2"/>
    </row>
    <row r="1707" spans="3:3">
      <c r="C1707" s="2"/>
    </row>
    <row r="1708" spans="3:3">
      <c r="C1708" s="2"/>
    </row>
    <row r="1709" spans="3:3">
      <c r="C1709" s="2"/>
    </row>
    <row r="1710" spans="3:3">
      <c r="C1710" s="2"/>
    </row>
    <row r="1711" spans="3:3">
      <c r="C1711" s="2"/>
    </row>
    <row r="1712" spans="3:3">
      <c r="C1712" s="2"/>
    </row>
    <row r="1713" spans="3:3">
      <c r="C1713" s="2"/>
    </row>
    <row r="1714" spans="3:3">
      <c r="C1714" s="2"/>
    </row>
    <row r="1715" spans="3:3">
      <c r="C1715" s="2"/>
    </row>
    <row r="1716" spans="3:3">
      <c r="C1716" s="2"/>
    </row>
    <row r="1717" spans="3:3">
      <c r="C1717" s="2"/>
    </row>
    <row r="1718" spans="3:3">
      <c r="C1718" s="2"/>
    </row>
    <row r="1719" spans="3:3">
      <c r="C1719" s="2"/>
    </row>
    <row r="1720" spans="3:3">
      <c r="C1720" s="2"/>
    </row>
    <row r="1721" spans="3:3">
      <c r="C1721" s="2"/>
    </row>
    <row r="1722" spans="3:3">
      <c r="C1722" s="2"/>
    </row>
    <row r="1723" spans="3:3">
      <c r="C1723" s="2"/>
    </row>
    <row r="1724" spans="3:3">
      <c r="C1724" s="2"/>
    </row>
    <row r="1725" spans="3:3">
      <c r="C1725" s="2"/>
    </row>
    <row r="1726" spans="3:3">
      <c r="C1726" s="2"/>
    </row>
    <row r="1727" spans="3:3">
      <c r="C1727" s="2"/>
    </row>
    <row r="1728" spans="3:3">
      <c r="C1728" s="2"/>
    </row>
    <row r="1729" spans="3:3">
      <c r="C1729" s="2"/>
    </row>
    <row r="1730" spans="3:3">
      <c r="C1730" s="2"/>
    </row>
    <row r="1731" spans="3:3">
      <c r="C1731" s="2"/>
    </row>
    <row r="1732" spans="3:3">
      <c r="C1732" s="2"/>
    </row>
    <row r="1733" spans="3:3">
      <c r="C1733" s="2"/>
    </row>
    <row r="1734" spans="3:3">
      <c r="C1734" s="2"/>
    </row>
    <row r="1735" spans="3:3">
      <c r="C1735" s="2"/>
    </row>
    <row r="1736" spans="3:3">
      <c r="C1736" s="2"/>
    </row>
    <row r="1737" spans="3:3">
      <c r="C1737" s="2"/>
    </row>
    <row r="1738" spans="3:3">
      <c r="C1738" s="2"/>
    </row>
    <row r="1739" spans="3:3">
      <c r="C1739" s="2"/>
    </row>
    <row r="1740" spans="3:3">
      <c r="C1740" s="2"/>
    </row>
    <row r="1741" spans="3:3">
      <c r="C1741" s="2"/>
    </row>
    <row r="1742" spans="3:3">
      <c r="C1742" s="2"/>
    </row>
    <row r="1743" spans="3:3">
      <c r="C1743" s="2"/>
    </row>
    <row r="1744" spans="3:3">
      <c r="C1744" s="2"/>
    </row>
    <row r="1745" spans="3:3">
      <c r="C1745" s="2"/>
    </row>
    <row r="1746" spans="3:3">
      <c r="C1746" s="2"/>
    </row>
    <row r="1747" spans="3:3">
      <c r="C1747" s="2"/>
    </row>
    <row r="1748" spans="3:3">
      <c r="C1748" s="2"/>
    </row>
    <row r="1749" spans="3:3">
      <c r="C1749" s="2"/>
    </row>
    <row r="1750" spans="3:3">
      <c r="C1750" s="2"/>
    </row>
    <row r="1751" spans="3:3">
      <c r="C1751" s="2"/>
    </row>
    <row r="1752" spans="3:3">
      <c r="C1752" s="2"/>
    </row>
    <row r="1753" spans="3:3">
      <c r="C1753" s="2"/>
    </row>
    <row r="1754" spans="3:3">
      <c r="C1754" s="2"/>
    </row>
    <row r="1755" spans="3:3">
      <c r="C1755" s="2"/>
    </row>
    <row r="1756" spans="3:3">
      <c r="C1756" s="2"/>
    </row>
    <row r="1757" spans="3:3">
      <c r="C1757" s="2"/>
    </row>
    <row r="1758" spans="3:3">
      <c r="C1758" s="2"/>
    </row>
    <row r="1759" spans="3:3">
      <c r="C1759" s="2"/>
    </row>
    <row r="1760" spans="3:3">
      <c r="C1760" s="2"/>
    </row>
    <row r="1761" spans="3:3">
      <c r="C1761" s="2"/>
    </row>
    <row r="1762" spans="3:3">
      <c r="C1762" s="2"/>
    </row>
    <row r="1763" spans="3:3">
      <c r="C1763" s="2"/>
    </row>
    <row r="1764" spans="3:3">
      <c r="C1764" s="2"/>
    </row>
    <row r="1765" spans="3:3">
      <c r="C1765" s="2"/>
    </row>
    <row r="1766" spans="3:3">
      <c r="C1766" s="2"/>
    </row>
    <row r="1767" spans="3:3">
      <c r="C1767" s="2"/>
    </row>
    <row r="1768" spans="3:3">
      <c r="C1768" s="2"/>
    </row>
    <row r="1769" spans="3:3">
      <c r="C1769" s="2"/>
    </row>
    <row r="1770" spans="3:3">
      <c r="C1770" s="2"/>
    </row>
    <row r="1771" spans="3:3">
      <c r="C1771" s="2"/>
    </row>
    <row r="1772" spans="3:3">
      <c r="C1772" s="2"/>
    </row>
    <row r="1773" spans="3:3">
      <c r="C1773" s="2"/>
    </row>
    <row r="1774" spans="3:3">
      <c r="C1774" s="2"/>
    </row>
    <row r="1775" spans="3:3">
      <c r="C1775" s="2"/>
    </row>
    <row r="1776" spans="3:3">
      <c r="C1776" s="2"/>
    </row>
    <row r="1777" spans="3:3">
      <c r="C1777" s="2"/>
    </row>
    <row r="1778" spans="3:3">
      <c r="C1778" s="2"/>
    </row>
    <row r="1779" spans="3:3">
      <c r="C1779" s="2"/>
    </row>
    <row r="1780" spans="3:3">
      <c r="C1780" s="2"/>
    </row>
    <row r="1781" spans="3:3">
      <c r="C1781" s="2"/>
    </row>
    <row r="1782" spans="3:3">
      <c r="C1782" s="2"/>
    </row>
    <row r="1783" spans="3:3">
      <c r="C1783" s="2"/>
    </row>
    <row r="1784" spans="3:3">
      <c r="C1784" s="2"/>
    </row>
    <row r="1785" spans="3:3">
      <c r="C1785" s="2"/>
    </row>
    <row r="1786" spans="3:3">
      <c r="C1786" s="2"/>
    </row>
    <row r="1787" spans="3:3">
      <c r="C1787" s="2"/>
    </row>
    <row r="1788" spans="3:3">
      <c r="C1788" s="2"/>
    </row>
    <row r="1789" spans="3:3">
      <c r="C1789" s="2"/>
    </row>
    <row r="1790" spans="3:3">
      <c r="C1790" s="2"/>
    </row>
    <row r="1791" spans="3:3">
      <c r="C1791" s="2"/>
    </row>
    <row r="1792" spans="3:3">
      <c r="C1792" s="2"/>
    </row>
    <row r="1793" spans="3:3">
      <c r="C1793" s="2"/>
    </row>
    <row r="1794" spans="3:3">
      <c r="C1794" s="2"/>
    </row>
    <row r="1795" spans="3:3">
      <c r="C1795" s="2"/>
    </row>
    <row r="1796" spans="3:3">
      <c r="C1796" s="2"/>
    </row>
    <row r="1797" spans="3:3">
      <c r="C1797" s="2"/>
    </row>
    <row r="1798" spans="3:3">
      <c r="C1798" s="2"/>
    </row>
    <row r="1799" spans="3:3">
      <c r="C1799" s="2"/>
    </row>
    <row r="1800" spans="3:3">
      <c r="C1800" s="2"/>
    </row>
    <row r="1801" spans="3:3">
      <c r="C1801" s="2"/>
    </row>
    <row r="1802" spans="3:3">
      <c r="C1802" s="2"/>
    </row>
    <row r="1803" spans="3:3">
      <c r="C1803" s="2"/>
    </row>
    <row r="1804" spans="3:3">
      <c r="C1804" s="2"/>
    </row>
    <row r="1805" spans="3:3">
      <c r="C1805" s="2"/>
    </row>
    <row r="1806" spans="3:3">
      <c r="C1806" s="2"/>
    </row>
    <row r="1807" spans="3:3">
      <c r="C1807" s="2"/>
    </row>
    <row r="1808" spans="3:3">
      <c r="C1808" s="2"/>
    </row>
    <row r="1809" spans="3:3">
      <c r="C1809" s="2"/>
    </row>
    <row r="1810" spans="3:3">
      <c r="C1810" s="2"/>
    </row>
    <row r="1811" spans="3:3">
      <c r="C1811" s="2"/>
    </row>
    <row r="1812" spans="3:3">
      <c r="C1812" s="2"/>
    </row>
    <row r="1813" spans="3:3">
      <c r="C1813" s="2"/>
    </row>
    <row r="1814" spans="3:3">
      <c r="C1814" s="2"/>
    </row>
    <row r="1815" spans="3:3">
      <c r="C1815" s="2"/>
    </row>
    <row r="1816" spans="3:3">
      <c r="C1816" s="2"/>
    </row>
    <row r="1817" spans="3:3">
      <c r="C1817" s="2"/>
    </row>
    <row r="1818" spans="3:3">
      <c r="C1818" s="2"/>
    </row>
    <row r="1819" spans="3:3">
      <c r="C1819" s="2"/>
    </row>
    <row r="1820" spans="3:3">
      <c r="C1820" s="2"/>
    </row>
    <row r="1821" spans="3:3">
      <c r="C1821" s="2"/>
    </row>
    <row r="1822" spans="3:3">
      <c r="C1822" s="2"/>
    </row>
    <row r="1823" spans="3:3">
      <c r="C1823" s="2"/>
    </row>
    <row r="1824" spans="3:3">
      <c r="C1824" s="2"/>
    </row>
    <row r="1825" spans="3:3">
      <c r="C1825" s="2"/>
    </row>
    <row r="1826" spans="3:3">
      <c r="C1826" s="2"/>
    </row>
    <row r="1827" spans="3:3">
      <c r="C1827" s="2"/>
    </row>
    <row r="1828" spans="3:3">
      <c r="C1828" s="2"/>
    </row>
    <row r="1829" spans="3:3">
      <c r="C1829" s="2"/>
    </row>
    <row r="1830" spans="3:3">
      <c r="C1830" s="2"/>
    </row>
    <row r="1831" spans="3:3">
      <c r="C1831" s="2"/>
    </row>
    <row r="1832" spans="3:3">
      <c r="C1832" s="2"/>
    </row>
    <row r="1833" spans="3:3">
      <c r="C1833" s="2"/>
    </row>
    <row r="1834" spans="3:3">
      <c r="C1834" s="2"/>
    </row>
    <row r="1835" spans="3:3">
      <c r="C1835" s="2"/>
    </row>
    <row r="1836" spans="3:3">
      <c r="C1836" s="2"/>
    </row>
    <row r="1837" spans="3:3">
      <c r="C1837" s="2"/>
    </row>
    <row r="1838" spans="3:3">
      <c r="C1838" s="2"/>
    </row>
    <row r="1839" spans="3:3">
      <c r="C1839" s="2"/>
    </row>
    <row r="1840" spans="3:3">
      <c r="C1840" s="2"/>
    </row>
    <row r="1841" spans="3:3">
      <c r="C1841" s="2"/>
    </row>
    <row r="1842" spans="3:3">
      <c r="C1842" s="2"/>
    </row>
    <row r="1843" spans="3:3">
      <c r="C1843" s="2"/>
    </row>
    <row r="1844" spans="3:3">
      <c r="C1844" s="2"/>
    </row>
    <row r="1845" spans="3:3">
      <c r="C1845" s="2"/>
    </row>
    <row r="1846" spans="3:3">
      <c r="C1846" s="2"/>
    </row>
    <row r="1847" spans="3:3">
      <c r="C1847" s="2"/>
    </row>
    <row r="1848" spans="3:3">
      <c r="C1848" s="2"/>
    </row>
    <row r="1849" spans="3:3">
      <c r="C1849" s="2"/>
    </row>
    <row r="1850" spans="3:3">
      <c r="C1850" s="2"/>
    </row>
    <row r="1851" spans="3:3">
      <c r="C1851" s="2"/>
    </row>
    <row r="1852" spans="3:3">
      <c r="C1852" s="2"/>
    </row>
    <row r="1853" spans="3:3">
      <c r="C1853" s="2"/>
    </row>
    <row r="1854" spans="3:3">
      <c r="C1854" s="2"/>
    </row>
    <row r="1855" spans="3:3">
      <c r="C1855" s="2"/>
    </row>
    <row r="1856" spans="3:3">
      <c r="C1856" s="2"/>
    </row>
    <row r="1857" spans="3:3">
      <c r="C1857" s="2"/>
    </row>
    <row r="1858" spans="3:3">
      <c r="C1858" s="2"/>
    </row>
    <row r="1859" spans="3:3">
      <c r="C1859" s="2"/>
    </row>
    <row r="1860" spans="3:3">
      <c r="C1860" s="2"/>
    </row>
    <row r="1861" spans="3:3">
      <c r="C1861" s="2"/>
    </row>
    <row r="1862" spans="3:3">
      <c r="C1862" s="2"/>
    </row>
    <row r="1863" spans="3:3">
      <c r="C1863" s="2"/>
    </row>
    <row r="1864" spans="3:3">
      <c r="C1864" s="2"/>
    </row>
    <row r="1865" spans="3:3">
      <c r="C1865" s="2"/>
    </row>
    <row r="1866" spans="3:3">
      <c r="C1866" s="2"/>
    </row>
    <row r="1867" spans="3:3">
      <c r="C1867" s="2"/>
    </row>
    <row r="1868" spans="3:3">
      <c r="C1868" s="2"/>
    </row>
    <row r="1869" spans="3:3">
      <c r="C1869" s="2"/>
    </row>
    <row r="1870" spans="3:3">
      <c r="C1870" s="2"/>
    </row>
    <row r="1871" spans="3:3">
      <c r="C1871" s="2"/>
    </row>
    <row r="1872" spans="3:3">
      <c r="C1872" s="2"/>
    </row>
    <row r="1873" spans="3:3">
      <c r="C1873" s="2"/>
    </row>
    <row r="1874" spans="3:3">
      <c r="C1874" s="2"/>
    </row>
    <row r="1875" spans="3:3">
      <c r="C1875" s="2"/>
    </row>
    <row r="1876" spans="3:3">
      <c r="C1876" s="2"/>
    </row>
    <row r="1877" spans="3:3">
      <c r="C1877" s="2"/>
    </row>
    <row r="1878" spans="3:3">
      <c r="C1878" s="2"/>
    </row>
    <row r="1879" spans="3:3">
      <c r="C1879" s="2"/>
    </row>
    <row r="1880" spans="3:3">
      <c r="C1880" s="2"/>
    </row>
    <row r="1881" spans="3:3">
      <c r="C1881" s="2"/>
    </row>
    <row r="1882" spans="3:3">
      <c r="C1882" s="2"/>
    </row>
    <row r="1883" spans="3:3">
      <c r="C1883" s="2"/>
    </row>
    <row r="1884" spans="3:3">
      <c r="C1884" s="2"/>
    </row>
    <row r="1885" spans="3:3">
      <c r="C1885" s="2"/>
    </row>
    <row r="1886" spans="3:3">
      <c r="C1886" s="2"/>
    </row>
    <row r="1887" spans="3:3">
      <c r="C1887" s="2"/>
    </row>
    <row r="1888" spans="3:3">
      <c r="C1888" s="2"/>
    </row>
    <row r="1889" spans="3:3">
      <c r="C1889" s="2"/>
    </row>
    <row r="1890" spans="3:3">
      <c r="C1890" s="2"/>
    </row>
    <row r="1891" spans="3:3">
      <c r="C1891" s="2"/>
    </row>
    <row r="1892" spans="3:3">
      <c r="C1892" s="2"/>
    </row>
    <row r="1893" spans="3:3">
      <c r="C1893" s="2"/>
    </row>
    <row r="1894" spans="3:3">
      <c r="C1894" s="2"/>
    </row>
    <row r="1895" spans="3:3">
      <c r="C1895" s="2"/>
    </row>
    <row r="1896" spans="3:3">
      <c r="C1896" s="2"/>
    </row>
    <row r="1897" spans="3:3">
      <c r="C1897" s="2"/>
    </row>
    <row r="1898" spans="3:3">
      <c r="C1898" s="2"/>
    </row>
    <row r="1899" spans="3:3">
      <c r="C1899" s="2"/>
    </row>
    <row r="1900" spans="3:3">
      <c r="C1900" s="2"/>
    </row>
    <row r="1901" spans="3:3">
      <c r="C1901" s="2"/>
    </row>
    <row r="1902" spans="3:3">
      <c r="C1902" s="2"/>
    </row>
    <row r="1903" spans="3:3">
      <c r="C1903" s="2"/>
    </row>
    <row r="1904" spans="3:3">
      <c r="C1904" s="2"/>
    </row>
    <row r="1905" spans="3:3">
      <c r="C1905" s="2"/>
    </row>
    <row r="1906" spans="3:3">
      <c r="C1906" s="2"/>
    </row>
    <row r="1907" spans="3:3">
      <c r="C1907" s="2"/>
    </row>
    <row r="1908" spans="3:3">
      <c r="C1908" s="2"/>
    </row>
    <row r="1909" spans="3:3">
      <c r="C1909" s="2"/>
    </row>
    <row r="1910" spans="3:3">
      <c r="C1910" s="2"/>
    </row>
    <row r="1911" spans="3:3">
      <c r="C1911" s="2"/>
    </row>
    <row r="1912" spans="3:3">
      <c r="C1912" s="2"/>
    </row>
    <row r="1913" spans="3:3">
      <c r="C1913" s="2"/>
    </row>
    <row r="1914" spans="3:3">
      <c r="C1914" s="2"/>
    </row>
    <row r="1915" spans="3:3">
      <c r="C1915" s="2"/>
    </row>
    <row r="1916" spans="3:3">
      <c r="C1916" s="2"/>
    </row>
    <row r="1917" spans="3:3">
      <c r="C1917" s="2"/>
    </row>
    <row r="1918" spans="3:3">
      <c r="C1918" s="2"/>
    </row>
    <row r="1919" spans="3:3">
      <c r="C1919" s="2"/>
    </row>
    <row r="1920" spans="3:3">
      <c r="C1920" s="2"/>
    </row>
    <row r="1921" spans="3:3">
      <c r="C1921" s="2"/>
    </row>
    <row r="1922" spans="3:3">
      <c r="C1922" s="2"/>
    </row>
    <row r="1923" spans="3:3">
      <c r="C1923" s="2"/>
    </row>
    <row r="1924" spans="3:3">
      <c r="C1924" s="2"/>
    </row>
    <row r="1925" spans="3:3">
      <c r="C1925" s="2"/>
    </row>
    <row r="1926" spans="3:3">
      <c r="C1926" s="2"/>
    </row>
    <row r="1927" spans="3:3">
      <c r="C1927" s="2"/>
    </row>
    <row r="1928" spans="3:3">
      <c r="C1928" s="2"/>
    </row>
    <row r="1929" spans="3:3">
      <c r="C1929" s="2"/>
    </row>
    <row r="1930" spans="3:3">
      <c r="C1930" s="2"/>
    </row>
    <row r="1931" spans="3:3">
      <c r="C1931" s="2"/>
    </row>
    <row r="1932" spans="3:3">
      <c r="C1932" s="2"/>
    </row>
    <row r="1933" spans="3:3">
      <c r="C1933" s="2"/>
    </row>
    <row r="1934" spans="3:3">
      <c r="C1934" s="2"/>
    </row>
    <row r="1935" spans="3:3">
      <c r="C1935" s="2"/>
    </row>
    <row r="1936" spans="3:3">
      <c r="C1936" s="2"/>
    </row>
    <row r="1937" spans="3:3">
      <c r="C1937" s="2"/>
    </row>
    <row r="1938" spans="3:3">
      <c r="C1938" s="2"/>
    </row>
    <row r="1939" spans="3:3">
      <c r="C1939" s="2"/>
    </row>
    <row r="1940" spans="3:3">
      <c r="C1940" s="2"/>
    </row>
    <row r="1941" spans="3:3">
      <c r="C1941" s="2"/>
    </row>
    <row r="1942" spans="3:3">
      <c r="C1942" s="2"/>
    </row>
    <row r="1943" spans="3:3">
      <c r="C1943" s="2"/>
    </row>
    <row r="1944" spans="3:3">
      <c r="C1944" s="2"/>
    </row>
    <row r="1945" spans="3:3">
      <c r="C1945" s="2"/>
    </row>
    <row r="1946" spans="3:3">
      <c r="C1946" s="2"/>
    </row>
    <row r="1947" spans="3:3">
      <c r="C1947" s="2"/>
    </row>
    <row r="1948" spans="3:3">
      <c r="C1948" s="2"/>
    </row>
    <row r="1949" spans="3:3">
      <c r="C1949" s="2"/>
    </row>
    <row r="1950" spans="3:3">
      <c r="C1950" s="2"/>
    </row>
    <row r="1951" spans="3:3">
      <c r="C1951" s="2"/>
    </row>
    <row r="1952" spans="3:3">
      <c r="C1952" s="2"/>
    </row>
    <row r="1953" spans="3:3">
      <c r="C1953" s="2"/>
    </row>
    <row r="1954" spans="3:3">
      <c r="C1954" s="2"/>
    </row>
    <row r="1955" spans="3:3">
      <c r="C1955" s="2"/>
    </row>
    <row r="1956" spans="3:3">
      <c r="C1956" s="2"/>
    </row>
    <row r="1957" spans="3:3">
      <c r="C1957" s="2"/>
    </row>
    <row r="1958" spans="3:3">
      <c r="C1958" s="2"/>
    </row>
    <row r="1959" spans="3:3">
      <c r="C1959" s="2"/>
    </row>
    <row r="1960" spans="3:3">
      <c r="C1960" s="2"/>
    </row>
    <row r="1961" spans="3:3">
      <c r="C1961" s="2"/>
    </row>
    <row r="1962" spans="3:3">
      <c r="C1962" s="2"/>
    </row>
    <row r="1963" spans="3:3">
      <c r="C1963" s="2"/>
    </row>
    <row r="1964" spans="3:3">
      <c r="C1964" s="2"/>
    </row>
    <row r="1965" spans="3:3">
      <c r="C1965" s="2"/>
    </row>
    <row r="1966" spans="3:3">
      <c r="C1966" s="2"/>
    </row>
    <row r="1967" spans="3:3">
      <c r="C1967" s="2"/>
    </row>
    <row r="1968" spans="3:3">
      <c r="C1968" s="2"/>
    </row>
    <row r="1969" spans="3:3">
      <c r="C1969" s="2"/>
    </row>
    <row r="1970" spans="3:3">
      <c r="C1970" s="2"/>
    </row>
    <row r="1971" spans="3:3">
      <c r="C1971" s="2"/>
    </row>
    <row r="1972" spans="3:3">
      <c r="C1972" s="2"/>
    </row>
    <row r="1973" spans="3:3">
      <c r="C1973" s="2"/>
    </row>
    <row r="1974" spans="3:3">
      <c r="C1974" s="2"/>
    </row>
    <row r="1975" spans="3:3">
      <c r="C1975" s="2"/>
    </row>
    <row r="1976" spans="3:3">
      <c r="C1976" s="2"/>
    </row>
    <row r="1977" spans="3:3">
      <c r="C1977" s="2"/>
    </row>
    <row r="1978" spans="3:3">
      <c r="C1978" s="2"/>
    </row>
    <row r="1979" spans="3:3">
      <c r="C1979" s="2"/>
    </row>
    <row r="1980" spans="3:3">
      <c r="C1980" s="2"/>
    </row>
    <row r="1981" spans="3:3">
      <c r="C1981" s="2"/>
    </row>
    <row r="1982" spans="3:3">
      <c r="C1982" s="2"/>
    </row>
    <row r="1983" spans="3:3">
      <c r="C1983" s="2"/>
    </row>
    <row r="1984" spans="3:3">
      <c r="C1984" s="2"/>
    </row>
    <row r="1985" spans="3:3">
      <c r="C1985" s="2"/>
    </row>
    <row r="1986" spans="3:3">
      <c r="C1986" s="2"/>
    </row>
    <row r="1987" spans="3:3">
      <c r="C1987" s="2"/>
    </row>
    <row r="1988" spans="3:3">
      <c r="C1988" s="2"/>
    </row>
    <row r="1989" spans="3:3">
      <c r="C1989" s="2"/>
    </row>
    <row r="1990" spans="3:3">
      <c r="C1990" s="2"/>
    </row>
    <row r="1991" spans="3:3">
      <c r="C1991" s="2"/>
    </row>
    <row r="1992" spans="3:3">
      <c r="C1992" s="2"/>
    </row>
    <row r="1993" spans="3:3">
      <c r="C1993" s="2"/>
    </row>
    <row r="1994" spans="3:3">
      <c r="C1994" s="2"/>
    </row>
    <row r="1995" spans="3:3">
      <c r="C1995" s="2"/>
    </row>
    <row r="1996" spans="3:3">
      <c r="C1996" s="2"/>
    </row>
    <row r="1997" spans="3:3">
      <c r="C1997" s="2"/>
    </row>
    <row r="1998" spans="3:3">
      <c r="C1998" s="2"/>
    </row>
    <row r="1999" spans="3:3">
      <c r="C1999" s="2"/>
    </row>
    <row r="2000" spans="3:3">
      <c r="C2000" s="2"/>
    </row>
    <row r="2001" spans="3:3">
      <c r="C2001" s="2"/>
    </row>
    <row r="2002" spans="3:3">
      <c r="C2002" s="2"/>
    </row>
    <row r="2003" spans="3:3">
      <c r="C2003" s="2"/>
    </row>
    <row r="2004" spans="3:3">
      <c r="C2004" s="2"/>
    </row>
    <row r="2005" spans="3:3">
      <c r="C2005" s="2"/>
    </row>
    <row r="2006" spans="3:3">
      <c r="C2006" s="2"/>
    </row>
    <row r="2007" spans="3:3">
      <c r="C2007" s="2"/>
    </row>
    <row r="2008" spans="3:3">
      <c r="C2008" s="2"/>
    </row>
    <row r="2009" spans="3:3">
      <c r="C2009" s="2"/>
    </row>
    <row r="2010" spans="3:3">
      <c r="C2010" s="2"/>
    </row>
    <row r="2011" spans="3:3">
      <c r="C2011" s="2"/>
    </row>
    <row r="2012" spans="3:3">
      <c r="C2012" s="2"/>
    </row>
    <row r="2013" spans="3:3">
      <c r="C2013" s="2"/>
    </row>
    <row r="2014" spans="3:3">
      <c r="C2014" s="2"/>
    </row>
    <row r="2015" spans="3:3">
      <c r="C2015" s="2"/>
    </row>
    <row r="2016" spans="3:3">
      <c r="C2016" s="2"/>
    </row>
    <row r="2017" spans="3:3">
      <c r="C2017" s="2"/>
    </row>
    <row r="2018" spans="3:3">
      <c r="C2018" s="2"/>
    </row>
    <row r="2019" spans="3:3">
      <c r="C2019" s="2"/>
    </row>
    <row r="2020" spans="3:3">
      <c r="C2020" s="2"/>
    </row>
    <row r="2021" spans="3:3">
      <c r="C2021" s="2"/>
    </row>
    <row r="2022" spans="3:3">
      <c r="C2022" s="2"/>
    </row>
    <row r="2023" spans="3:3">
      <c r="C2023" s="2"/>
    </row>
    <row r="2024" spans="3:3">
      <c r="C2024" s="2"/>
    </row>
    <row r="2025" spans="3:3">
      <c r="C2025" s="2"/>
    </row>
    <row r="2026" spans="3:3">
      <c r="C2026" s="2"/>
    </row>
    <row r="2027" spans="3:3">
      <c r="C2027" s="2"/>
    </row>
    <row r="2028" spans="3:3">
      <c r="C2028" s="2"/>
    </row>
    <row r="2029" spans="3:3">
      <c r="C2029" s="2"/>
    </row>
    <row r="2030" spans="3:3">
      <c r="C2030" s="2"/>
    </row>
    <row r="2031" spans="3:3">
      <c r="C2031" s="2"/>
    </row>
    <row r="2032" spans="3:3">
      <c r="C2032" s="2"/>
    </row>
    <row r="2033" spans="3:3">
      <c r="C2033" s="2"/>
    </row>
    <row r="2034" spans="3:3">
      <c r="C2034" s="2"/>
    </row>
    <row r="2035" spans="3:3">
      <c r="C2035" s="2"/>
    </row>
    <row r="2036" spans="3:3">
      <c r="C2036" s="2"/>
    </row>
    <row r="2037" spans="3:3">
      <c r="C2037" s="2"/>
    </row>
    <row r="2038" spans="3:3">
      <c r="C2038" s="2"/>
    </row>
    <row r="2039" spans="3:3">
      <c r="C2039" s="2"/>
    </row>
    <row r="2040" spans="3:3">
      <c r="C2040" s="2"/>
    </row>
    <row r="2041" spans="3:3">
      <c r="C2041" s="2"/>
    </row>
    <row r="2042" spans="3:3">
      <c r="C2042" s="2"/>
    </row>
    <row r="2043" spans="3:3">
      <c r="C2043" s="2"/>
    </row>
    <row r="2044" spans="3:3">
      <c r="C2044" s="2"/>
    </row>
    <row r="2045" spans="3:3">
      <c r="C2045" s="2"/>
    </row>
    <row r="2046" spans="3:3">
      <c r="C2046" s="2"/>
    </row>
    <row r="2047" spans="3:3">
      <c r="C2047" s="2"/>
    </row>
    <row r="2048" spans="3:3">
      <c r="C2048" s="2"/>
    </row>
    <row r="2049" spans="3:3">
      <c r="C2049" s="2"/>
    </row>
    <row r="2050" spans="3:3">
      <c r="C2050" s="2"/>
    </row>
    <row r="2051" spans="3:3">
      <c r="C2051" s="2"/>
    </row>
    <row r="2052" spans="3:3">
      <c r="C2052" s="2"/>
    </row>
    <row r="2053" spans="3:3">
      <c r="C2053" s="2"/>
    </row>
    <row r="2054" spans="3:3">
      <c r="C2054" s="2"/>
    </row>
    <row r="2055" spans="3:3">
      <c r="C2055" s="2"/>
    </row>
    <row r="2056" spans="3:3">
      <c r="C2056" s="2"/>
    </row>
    <row r="2057" spans="3:3">
      <c r="C2057" s="2"/>
    </row>
    <row r="2058" spans="3:3">
      <c r="C2058" s="2"/>
    </row>
    <row r="2059" spans="3:3">
      <c r="C2059" s="2"/>
    </row>
    <row r="2060" spans="3:3">
      <c r="C2060" s="2"/>
    </row>
    <row r="2061" spans="3:3">
      <c r="C2061" s="2"/>
    </row>
    <row r="2062" spans="3:3">
      <c r="C2062" s="2"/>
    </row>
    <row r="2063" spans="3:3">
      <c r="C2063" s="2"/>
    </row>
    <row r="2064" spans="3:3">
      <c r="C2064" s="2"/>
    </row>
    <row r="2065" spans="3:3">
      <c r="C2065" s="2"/>
    </row>
    <row r="2066" spans="3:3">
      <c r="C2066" s="2"/>
    </row>
    <row r="2067" spans="3:3">
      <c r="C2067" s="2"/>
    </row>
    <row r="2068" spans="3:3">
      <c r="C2068" s="2"/>
    </row>
    <row r="2069" spans="3:3">
      <c r="C2069" s="2"/>
    </row>
    <row r="2070" spans="3:3">
      <c r="C2070" s="2"/>
    </row>
    <row r="2071" spans="3:3">
      <c r="C2071" s="2"/>
    </row>
    <row r="2072" spans="3:3">
      <c r="C2072" s="2"/>
    </row>
    <row r="2073" spans="3:3">
      <c r="C2073" s="2"/>
    </row>
    <row r="2074" spans="3:3">
      <c r="C2074" s="2"/>
    </row>
    <row r="2075" spans="3:3">
      <c r="C2075" s="2"/>
    </row>
    <row r="2076" spans="3:3">
      <c r="C2076" s="2"/>
    </row>
    <row r="2077" spans="3:3">
      <c r="C2077" s="2"/>
    </row>
    <row r="2078" spans="3:3">
      <c r="C2078" s="2"/>
    </row>
    <row r="2079" spans="3:3">
      <c r="C2079" s="2"/>
    </row>
    <row r="2080" spans="3:3">
      <c r="C2080" s="2"/>
    </row>
    <row r="2081" spans="3:3">
      <c r="C2081" s="2"/>
    </row>
    <row r="2082" spans="3:3">
      <c r="C2082" s="2"/>
    </row>
    <row r="2083" spans="3:3">
      <c r="C2083" s="2"/>
    </row>
    <row r="2084" spans="3:3">
      <c r="C2084" s="2"/>
    </row>
    <row r="2085" spans="3:3">
      <c r="C2085" s="2"/>
    </row>
    <row r="2086" spans="3:3">
      <c r="C2086" s="2"/>
    </row>
    <row r="2087" spans="3:3">
      <c r="C2087" s="2"/>
    </row>
    <row r="2088" spans="3:3">
      <c r="C2088" s="2"/>
    </row>
    <row r="2089" spans="3:3">
      <c r="C2089" s="2"/>
    </row>
    <row r="2090" spans="3:3">
      <c r="C2090" s="2"/>
    </row>
    <row r="2091" spans="3:3">
      <c r="C2091" s="2"/>
    </row>
    <row r="2092" spans="3:3">
      <c r="C2092" s="2"/>
    </row>
    <row r="2093" spans="3:3">
      <c r="C2093" s="2"/>
    </row>
    <row r="2094" spans="3:3">
      <c r="C2094" s="2"/>
    </row>
    <row r="2095" spans="3:3">
      <c r="C2095" s="2"/>
    </row>
    <row r="2096" spans="3:3">
      <c r="C2096" s="2"/>
    </row>
    <row r="2097" spans="3:3">
      <c r="C2097" s="2"/>
    </row>
    <row r="2098" spans="3:3">
      <c r="C2098" s="2"/>
    </row>
    <row r="2099" spans="3:3">
      <c r="C2099" s="2"/>
    </row>
    <row r="2100" spans="3:3">
      <c r="C2100" s="2"/>
    </row>
    <row r="2101" spans="3:3">
      <c r="C2101" s="2"/>
    </row>
    <row r="2102" spans="3:3">
      <c r="C2102" s="2"/>
    </row>
    <row r="2103" spans="3:3">
      <c r="C2103" s="2"/>
    </row>
    <row r="2104" spans="3:3">
      <c r="C2104" s="2"/>
    </row>
    <row r="2105" spans="3:3">
      <c r="C2105" s="2"/>
    </row>
    <row r="2106" spans="3:3">
      <c r="C2106" s="2"/>
    </row>
    <row r="2107" spans="3:3">
      <c r="C2107" s="2"/>
    </row>
    <row r="2108" spans="3:3">
      <c r="C2108" s="2"/>
    </row>
    <row r="2109" spans="3:3">
      <c r="C2109" s="2"/>
    </row>
    <row r="2110" spans="3:3">
      <c r="C2110" s="2"/>
    </row>
    <row r="2111" spans="3:3">
      <c r="C2111" s="2"/>
    </row>
    <row r="2112" spans="3:3">
      <c r="C2112" s="2"/>
    </row>
    <row r="2113" spans="3:3">
      <c r="C2113" s="2"/>
    </row>
    <row r="2114" spans="3:3">
      <c r="C2114" s="2"/>
    </row>
    <row r="2115" spans="3:3">
      <c r="C2115" s="2"/>
    </row>
    <row r="2116" spans="3:3">
      <c r="C2116" s="2"/>
    </row>
    <row r="2117" spans="3:3">
      <c r="C2117" s="2"/>
    </row>
    <row r="2118" spans="3:3">
      <c r="C2118" s="2"/>
    </row>
    <row r="2119" spans="3:3">
      <c r="C2119" s="2"/>
    </row>
    <row r="2120" spans="3:3">
      <c r="C2120" s="2"/>
    </row>
    <row r="2121" spans="3:3">
      <c r="C2121" s="2"/>
    </row>
    <row r="2122" spans="3:3">
      <c r="C2122" s="2"/>
    </row>
    <row r="2123" spans="3:3">
      <c r="C2123" s="2"/>
    </row>
    <row r="2124" spans="3:3">
      <c r="C2124" s="2"/>
    </row>
    <row r="2125" spans="3:3">
      <c r="C2125" s="2"/>
    </row>
    <row r="2126" spans="3:3">
      <c r="C2126" s="2"/>
    </row>
    <row r="2127" spans="3:3">
      <c r="C2127" s="2"/>
    </row>
    <row r="2128" spans="3:3">
      <c r="C2128" s="2"/>
    </row>
    <row r="2129" spans="3:3">
      <c r="C2129" s="2"/>
    </row>
    <row r="2130" spans="3:3">
      <c r="C2130" s="2"/>
    </row>
    <row r="2131" spans="3:3">
      <c r="C2131" s="2"/>
    </row>
    <row r="2132" spans="3:3">
      <c r="C2132" s="2"/>
    </row>
    <row r="2133" spans="3:3">
      <c r="C2133" s="2"/>
    </row>
    <row r="2134" spans="3:3">
      <c r="C2134" s="2"/>
    </row>
    <row r="2135" spans="3:3">
      <c r="C2135" s="2"/>
    </row>
    <row r="2136" spans="3:3">
      <c r="C2136" s="2"/>
    </row>
    <row r="2137" spans="3:3">
      <c r="C2137" s="2"/>
    </row>
    <row r="2138" spans="3:3">
      <c r="C2138" s="2"/>
    </row>
    <row r="2139" spans="3:3">
      <c r="C2139" s="2"/>
    </row>
    <row r="2140" spans="3:3">
      <c r="C2140" s="2"/>
    </row>
    <row r="2141" spans="3:3">
      <c r="C2141" s="2"/>
    </row>
    <row r="2142" spans="3:3">
      <c r="C2142" s="2"/>
    </row>
    <row r="2143" spans="3:3">
      <c r="C2143" s="2"/>
    </row>
    <row r="2144" spans="3:3">
      <c r="C2144" s="2"/>
    </row>
    <row r="2145" spans="3:3">
      <c r="C2145" s="2"/>
    </row>
    <row r="2146" spans="3:3">
      <c r="C2146" s="2"/>
    </row>
    <row r="2147" spans="3:3">
      <c r="C2147" s="2"/>
    </row>
    <row r="2148" spans="3:3">
      <c r="C2148" s="2"/>
    </row>
    <row r="2149" spans="3:3">
      <c r="C2149" s="2"/>
    </row>
    <row r="2150" spans="3:3">
      <c r="C2150" s="2"/>
    </row>
    <row r="2151" spans="3:3">
      <c r="C2151" s="2"/>
    </row>
    <row r="2152" spans="3:3">
      <c r="C2152" s="2"/>
    </row>
    <row r="2153" spans="3:3">
      <c r="C2153" s="2"/>
    </row>
    <row r="2154" spans="3:3">
      <c r="C2154" s="2"/>
    </row>
    <row r="2155" spans="3:3">
      <c r="C2155" s="2"/>
    </row>
    <row r="2156" spans="3:3">
      <c r="C2156" s="2"/>
    </row>
    <row r="2157" spans="3:3">
      <c r="C2157" s="2"/>
    </row>
    <row r="2158" spans="3:3">
      <c r="C2158" s="2"/>
    </row>
    <row r="2159" spans="3:3">
      <c r="C2159" s="2"/>
    </row>
    <row r="2160" spans="3:3">
      <c r="C2160" s="2"/>
    </row>
    <row r="2161" spans="3:3">
      <c r="C2161" s="2"/>
    </row>
    <row r="2162" spans="3:3">
      <c r="C2162" s="2"/>
    </row>
    <row r="2163" spans="3:3">
      <c r="C2163" s="2"/>
    </row>
    <row r="2164" spans="3:3">
      <c r="C2164" s="2"/>
    </row>
    <row r="2165" spans="3:3">
      <c r="C2165" s="2"/>
    </row>
    <row r="2166" spans="3:3">
      <c r="C2166" s="2"/>
    </row>
    <row r="2167" spans="3:3">
      <c r="C2167" s="2"/>
    </row>
    <row r="2168" spans="3:3">
      <c r="C2168" s="2"/>
    </row>
    <row r="2169" spans="3:3">
      <c r="C2169" s="2"/>
    </row>
    <row r="2170" spans="3:3">
      <c r="C2170" s="2"/>
    </row>
    <row r="2171" spans="3:3">
      <c r="C2171" s="2"/>
    </row>
    <row r="2172" spans="3:3">
      <c r="C2172" s="2"/>
    </row>
    <row r="2173" spans="3:3">
      <c r="C2173" s="2"/>
    </row>
    <row r="2174" spans="3:3">
      <c r="C2174" s="2"/>
    </row>
    <row r="2175" spans="3:3">
      <c r="C2175" s="2"/>
    </row>
    <row r="2176" spans="3:3">
      <c r="C2176" s="2"/>
    </row>
    <row r="2177" spans="3:3">
      <c r="C2177" s="2"/>
    </row>
    <row r="2178" spans="3:3">
      <c r="C2178" s="2"/>
    </row>
    <row r="2179" spans="3:3">
      <c r="C2179" s="2"/>
    </row>
    <row r="2180" spans="3:3">
      <c r="C2180" s="2"/>
    </row>
    <row r="2181" spans="3:3">
      <c r="C2181" s="2"/>
    </row>
    <row r="2182" spans="3:3">
      <c r="C2182" s="2"/>
    </row>
    <row r="2183" spans="3:3">
      <c r="C2183" s="2"/>
    </row>
    <row r="2184" spans="3:3">
      <c r="C2184" s="2"/>
    </row>
    <row r="2185" spans="3:3">
      <c r="C2185" s="2"/>
    </row>
    <row r="2186" spans="3:3">
      <c r="C2186" s="2"/>
    </row>
    <row r="2187" spans="3:3">
      <c r="C2187" s="2"/>
    </row>
    <row r="2188" spans="3:3">
      <c r="C2188" s="2"/>
    </row>
    <row r="2189" spans="3:3">
      <c r="C2189" s="2"/>
    </row>
    <row r="2190" spans="3:3">
      <c r="C2190" s="2"/>
    </row>
    <row r="2191" spans="3:3">
      <c r="C2191" s="2"/>
    </row>
    <row r="2192" spans="3:3">
      <c r="C2192" s="2"/>
    </row>
    <row r="2193" spans="3:3">
      <c r="C2193" s="2"/>
    </row>
    <row r="2194" spans="3:3">
      <c r="C2194" s="2"/>
    </row>
    <row r="2195" spans="3:3">
      <c r="C2195" s="2"/>
    </row>
    <row r="2196" spans="3:3">
      <c r="C2196" s="2"/>
    </row>
    <row r="2197" spans="3:3">
      <c r="C2197" s="2"/>
    </row>
    <row r="2198" spans="3:3">
      <c r="C2198" s="2"/>
    </row>
    <row r="2199" spans="3:3">
      <c r="C2199" s="2"/>
    </row>
    <row r="2200" spans="3:3">
      <c r="C2200" s="2"/>
    </row>
    <row r="2201" spans="3:3">
      <c r="C2201" s="2"/>
    </row>
    <row r="2202" spans="3:3">
      <c r="C2202" s="2"/>
    </row>
    <row r="2203" spans="3:3">
      <c r="C2203" s="2"/>
    </row>
    <row r="2204" spans="3:3">
      <c r="C2204" s="2"/>
    </row>
    <row r="2205" spans="3:3">
      <c r="C2205" s="2"/>
    </row>
    <row r="2206" spans="3:3">
      <c r="C2206" s="2"/>
    </row>
    <row r="2207" spans="3:3">
      <c r="C2207" s="2"/>
    </row>
    <row r="2208" spans="3:3">
      <c r="C2208" s="2"/>
    </row>
    <row r="2209" spans="3:3">
      <c r="C2209" s="2"/>
    </row>
    <row r="2210" spans="3:3">
      <c r="C2210" s="2"/>
    </row>
    <row r="2211" spans="3:3">
      <c r="C2211" s="2"/>
    </row>
    <row r="2212" spans="3:3">
      <c r="C2212" s="2"/>
    </row>
    <row r="2213" spans="3:3">
      <c r="C2213" s="2"/>
    </row>
    <row r="2214" spans="3:3">
      <c r="C2214" s="2"/>
    </row>
    <row r="2215" spans="3:3">
      <c r="C2215" s="2"/>
    </row>
    <row r="2216" spans="3:3">
      <c r="C2216" s="2"/>
    </row>
    <row r="2217" spans="3:3">
      <c r="C2217" s="2"/>
    </row>
    <row r="2218" spans="3:3">
      <c r="C2218" s="2"/>
    </row>
    <row r="2219" spans="3:3">
      <c r="C2219" s="2"/>
    </row>
    <row r="2220" spans="3:3">
      <c r="C2220" s="2"/>
    </row>
    <row r="2221" spans="3:3">
      <c r="C2221" s="2"/>
    </row>
    <row r="2222" spans="3:3">
      <c r="C2222" s="2"/>
    </row>
    <row r="2223" spans="3:3">
      <c r="C2223" s="2"/>
    </row>
    <row r="2224" spans="3:3">
      <c r="C2224" s="2"/>
    </row>
    <row r="2225" spans="3:3">
      <c r="C2225" s="2"/>
    </row>
    <row r="2226" spans="3:3">
      <c r="C2226" s="2"/>
    </row>
    <row r="2227" spans="3:3">
      <c r="C2227" s="2"/>
    </row>
    <row r="2228" spans="3:3">
      <c r="C2228" s="2"/>
    </row>
    <row r="2229" spans="3:3">
      <c r="C2229" s="2"/>
    </row>
    <row r="2230" spans="3:3">
      <c r="C2230" s="2"/>
    </row>
    <row r="2231" spans="3:3">
      <c r="C2231" s="2"/>
    </row>
    <row r="2232" spans="3:3">
      <c r="C2232" s="2"/>
    </row>
    <row r="2233" spans="3:3">
      <c r="C2233" s="2"/>
    </row>
    <row r="2234" spans="3:3">
      <c r="C2234" s="2"/>
    </row>
    <row r="2235" spans="3:3">
      <c r="C2235" s="2"/>
    </row>
    <row r="2236" spans="3:3">
      <c r="C2236" s="2"/>
    </row>
    <row r="2237" spans="3:3">
      <c r="C2237" s="2"/>
    </row>
    <row r="2238" spans="3:3">
      <c r="C2238" s="2"/>
    </row>
    <row r="2239" spans="3:3">
      <c r="C2239" s="2"/>
    </row>
    <row r="2240" spans="3:3">
      <c r="C2240" s="2"/>
    </row>
    <row r="2241" spans="3:3">
      <c r="C2241" s="2"/>
    </row>
    <row r="2242" spans="3:3">
      <c r="C2242" s="2"/>
    </row>
    <row r="2243" spans="3:3">
      <c r="C2243" s="2"/>
    </row>
    <row r="2244" spans="3:3">
      <c r="C2244" s="2"/>
    </row>
    <row r="2245" spans="3:3">
      <c r="C2245" s="2"/>
    </row>
    <row r="2246" spans="3:3">
      <c r="C2246" s="2"/>
    </row>
    <row r="2247" spans="3:3">
      <c r="C2247" s="2"/>
    </row>
    <row r="2248" spans="3:3">
      <c r="C2248" s="2"/>
    </row>
    <row r="2249" spans="3:3">
      <c r="C2249" s="2"/>
    </row>
    <row r="2250" spans="3:3">
      <c r="C2250" s="2"/>
    </row>
    <row r="2251" spans="3:3">
      <c r="C2251" s="2"/>
    </row>
    <row r="2252" spans="3:3">
      <c r="C2252" s="2"/>
    </row>
    <row r="2253" spans="3:3">
      <c r="C2253" s="2"/>
    </row>
    <row r="2254" spans="3:3">
      <c r="C2254" s="2"/>
    </row>
    <row r="2255" spans="3:3">
      <c r="C2255" s="2"/>
    </row>
    <row r="2256" spans="3:3">
      <c r="C2256" s="2"/>
    </row>
    <row r="2257" spans="3:3">
      <c r="C2257" s="2"/>
    </row>
    <row r="2258" spans="3:3">
      <c r="C2258" s="2"/>
    </row>
    <row r="2259" spans="3:3">
      <c r="C2259" s="2"/>
    </row>
    <row r="2260" spans="3:3">
      <c r="C2260" s="2"/>
    </row>
    <row r="2261" spans="3:3">
      <c r="C2261" s="2"/>
    </row>
    <row r="2262" spans="3:3">
      <c r="C2262" s="2"/>
    </row>
    <row r="2263" spans="3:3">
      <c r="C2263" s="2"/>
    </row>
    <row r="2264" spans="3:3">
      <c r="C2264" s="2"/>
    </row>
    <row r="2265" spans="3:3">
      <c r="C2265" s="2"/>
    </row>
    <row r="2266" spans="3:3">
      <c r="C2266" s="2"/>
    </row>
    <row r="2267" spans="3:3">
      <c r="C2267" s="2"/>
    </row>
    <row r="2268" spans="3:3">
      <c r="C2268" s="2"/>
    </row>
    <row r="2269" spans="3:3">
      <c r="C2269" s="2"/>
    </row>
    <row r="2270" spans="3:3">
      <c r="C2270" s="2"/>
    </row>
    <row r="2271" spans="3:3">
      <c r="C2271" s="2"/>
    </row>
    <row r="2272" spans="3:3">
      <c r="C2272" s="2"/>
    </row>
    <row r="2273" spans="3:3">
      <c r="C2273" s="2"/>
    </row>
    <row r="2274" spans="3:3">
      <c r="C2274" s="2"/>
    </row>
    <row r="2275" spans="3:3">
      <c r="C2275" s="2"/>
    </row>
    <row r="2276" spans="3:3">
      <c r="C2276" s="2"/>
    </row>
    <row r="2277" spans="3:3">
      <c r="C2277" s="2"/>
    </row>
    <row r="2278" spans="3:3">
      <c r="C2278" s="2"/>
    </row>
    <row r="2279" spans="3:3">
      <c r="C2279" s="2"/>
    </row>
    <row r="2280" spans="3:3">
      <c r="C2280" s="2"/>
    </row>
    <row r="2281" spans="3:3">
      <c r="C2281" s="2"/>
    </row>
    <row r="2282" spans="3:3">
      <c r="C2282" s="2"/>
    </row>
    <row r="2283" spans="3:3">
      <c r="C2283" s="2"/>
    </row>
    <row r="2284" spans="3:3">
      <c r="C2284" s="2"/>
    </row>
    <row r="2285" spans="3:3">
      <c r="C2285" s="2"/>
    </row>
    <row r="2286" spans="3:3">
      <c r="C2286" s="2"/>
    </row>
    <row r="2287" spans="3:3">
      <c r="C2287" s="2"/>
    </row>
    <row r="2288" spans="3:3">
      <c r="C2288" s="2"/>
    </row>
    <row r="2289" spans="3:3">
      <c r="C2289" s="2"/>
    </row>
    <row r="2290" spans="3:3">
      <c r="C2290" s="2"/>
    </row>
    <row r="2291" spans="3:3">
      <c r="C2291" s="2"/>
    </row>
    <row r="2292" spans="3:3">
      <c r="C2292" s="2"/>
    </row>
    <row r="2293" spans="3:3">
      <c r="C2293" s="2"/>
    </row>
    <row r="2294" spans="3:3">
      <c r="C2294" s="2"/>
    </row>
    <row r="2295" spans="3:3">
      <c r="C2295" s="2"/>
    </row>
    <row r="2296" spans="3:3">
      <c r="C2296" s="2"/>
    </row>
    <row r="2297" spans="3:3">
      <c r="C2297" s="2"/>
    </row>
    <row r="2298" spans="3:3">
      <c r="C2298" s="2"/>
    </row>
    <row r="2299" spans="3:3">
      <c r="C2299" s="2"/>
    </row>
    <row r="2300" spans="3:3">
      <c r="C2300" s="2"/>
    </row>
    <row r="2301" spans="3:3">
      <c r="C2301" s="2"/>
    </row>
    <row r="2302" spans="3:3">
      <c r="C2302" s="2"/>
    </row>
    <row r="2303" spans="3:3">
      <c r="C2303" s="2"/>
    </row>
    <row r="2304" spans="3:3">
      <c r="C2304" s="2"/>
    </row>
    <row r="2305" spans="3:3">
      <c r="C2305" s="2"/>
    </row>
    <row r="2306" spans="3:3">
      <c r="C2306" s="2"/>
    </row>
    <row r="2307" spans="3:3">
      <c r="C2307" s="2"/>
    </row>
    <row r="2308" spans="3:3">
      <c r="C2308" s="2"/>
    </row>
    <row r="2309" spans="3:3">
      <c r="C2309" s="2"/>
    </row>
    <row r="2310" spans="3:3">
      <c r="C2310" s="2"/>
    </row>
    <row r="2311" spans="3:3">
      <c r="C2311" s="2"/>
    </row>
    <row r="2312" spans="3:3">
      <c r="C2312" s="2"/>
    </row>
    <row r="2313" spans="3:3">
      <c r="C2313" s="2"/>
    </row>
    <row r="2314" spans="3:3">
      <c r="C2314" s="2"/>
    </row>
    <row r="2315" spans="3:3">
      <c r="C2315" s="2"/>
    </row>
    <row r="2316" spans="3:3">
      <c r="C2316" s="2"/>
    </row>
    <row r="2317" spans="3:3">
      <c r="C2317" s="2"/>
    </row>
    <row r="2318" spans="3:3">
      <c r="C2318" s="2"/>
    </row>
    <row r="2319" spans="3:3">
      <c r="C2319" s="2"/>
    </row>
    <row r="2320" spans="3:3">
      <c r="C2320" s="2"/>
    </row>
    <row r="2321" spans="3:3">
      <c r="C2321" s="2"/>
    </row>
    <row r="2322" spans="3:3">
      <c r="C2322" s="2"/>
    </row>
    <row r="2323" spans="3:3">
      <c r="C2323" s="2"/>
    </row>
    <row r="2324" spans="3:3">
      <c r="C2324" s="2"/>
    </row>
    <row r="2325" spans="3:3">
      <c r="C2325" s="2"/>
    </row>
    <row r="2326" spans="3:3">
      <c r="C2326" s="2"/>
    </row>
    <row r="2327" spans="3:3">
      <c r="C2327" s="2"/>
    </row>
    <row r="2328" spans="3:3">
      <c r="C2328" s="2"/>
    </row>
    <row r="2329" spans="3:3">
      <c r="C2329" s="2"/>
    </row>
    <row r="2330" spans="3:3">
      <c r="C2330" s="2"/>
    </row>
    <row r="2331" spans="3:3">
      <c r="C2331" s="2"/>
    </row>
    <row r="2332" spans="3:3">
      <c r="C2332" s="2"/>
    </row>
    <row r="2333" spans="3:3">
      <c r="C2333" s="2"/>
    </row>
    <row r="2334" spans="3:3">
      <c r="C2334" s="2"/>
    </row>
    <row r="2335" spans="3:3">
      <c r="C2335" s="2"/>
    </row>
    <row r="2336" spans="3:3">
      <c r="C2336" s="2"/>
    </row>
    <row r="2337" spans="3:3">
      <c r="C2337" s="2"/>
    </row>
    <row r="2338" spans="3:3">
      <c r="C2338" s="2"/>
    </row>
    <row r="2339" spans="3:3">
      <c r="C2339" s="2"/>
    </row>
    <row r="2340" spans="3:3">
      <c r="C2340" s="2"/>
    </row>
    <row r="2341" spans="3:3">
      <c r="C2341" s="2"/>
    </row>
    <row r="2342" spans="3:3">
      <c r="C2342" s="2"/>
    </row>
    <row r="2343" spans="3:3">
      <c r="C2343" s="2"/>
    </row>
    <row r="2344" spans="3:3">
      <c r="C2344" s="2"/>
    </row>
    <row r="2345" spans="3:3">
      <c r="C2345" s="2"/>
    </row>
    <row r="2346" spans="3:3">
      <c r="C2346" s="2"/>
    </row>
    <row r="2347" spans="3:3">
      <c r="C2347" s="2"/>
    </row>
    <row r="2348" spans="3:3">
      <c r="C2348" s="2"/>
    </row>
    <row r="2349" spans="3:3">
      <c r="C2349" s="2"/>
    </row>
    <row r="2350" spans="3:3">
      <c r="C2350" s="2"/>
    </row>
    <row r="2351" spans="3:3">
      <c r="C2351" s="2"/>
    </row>
    <row r="2352" spans="3:3">
      <c r="C2352" s="2"/>
    </row>
    <row r="2353" spans="3:3">
      <c r="C2353" s="2"/>
    </row>
    <row r="2354" spans="3:3">
      <c r="C2354" s="2"/>
    </row>
    <row r="2355" spans="3:3">
      <c r="C2355" s="2"/>
    </row>
    <row r="2356" spans="3:3">
      <c r="C2356" s="2"/>
    </row>
    <row r="2357" spans="3:3">
      <c r="C2357" s="2"/>
    </row>
    <row r="2358" spans="3:3">
      <c r="C2358" s="2"/>
    </row>
    <row r="2359" spans="3:3">
      <c r="C2359" s="2"/>
    </row>
    <row r="2360" spans="3:3">
      <c r="C2360" s="2"/>
    </row>
    <row r="2361" spans="3:3">
      <c r="C2361" s="2"/>
    </row>
    <row r="2362" spans="3:3">
      <c r="C2362" s="2"/>
    </row>
    <row r="2363" spans="3:3">
      <c r="C2363" s="2"/>
    </row>
    <row r="2364" spans="3:3">
      <c r="C2364" s="2"/>
    </row>
    <row r="2365" spans="3:3">
      <c r="C2365" s="2"/>
    </row>
    <row r="2366" spans="3:3">
      <c r="C2366" s="2"/>
    </row>
    <row r="2367" spans="3:3">
      <c r="C2367" s="2"/>
    </row>
    <row r="2368" spans="3:3">
      <c r="C2368" s="2"/>
    </row>
    <row r="2369" spans="3:3">
      <c r="C2369" s="2"/>
    </row>
    <row r="2370" spans="3:3">
      <c r="C2370" s="2"/>
    </row>
    <row r="2371" spans="3:3">
      <c r="C2371" s="2"/>
    </row>
    <row r="2372" spans="3:3">
      <c r="C2372" s="2"/>
    </row>
    <row r="2373" spans="3:3">
      <c r="C2373" s="2"/>
    </row>
    <row r="2374" spans="3:3">
      <c r="C2374" s="2"/>
    </row>
    <row r="2375" spans="3:3">
      <c r="C2375" s="2"/>
    </row>
    <row r="2376" spans="3:3">
      <c r="C2376" s="2"/>
    </row>
    <row r="2377" spans="3:3">
      <c r="C2377" s="2"/>
    </row>
    <row r="2378" spans="3:3">
      <c r="C2378" s="2"/>
    </row>
    <row r="2379" spans="3:3">
      <c r="C2379" s="2"/>
    </row>
    <row r="2380" spans="3:3">
      <c r="C2380" s="2"/>
    </row>
    <row r="2381" spans="3:3">
      <c r="C2381" s="2"/>
    </row>
    <row r="2382" spans="3:3">
      <c r="C2382" s="2"/>
    </row>
    <row r="2383" spans="3:3">
      <c r="C2383" s="2"/>
    </row>
    <row r="2384" spans="3:3">
      <c r="C2384" s="2"/>
    </row>
    <row r="2385" spans="3:3">
      <c r="C2385" s="2"/>
    </row>
    <row r="2386" spans="3:3">
      <c r="C2386" s="2"/>
    </row>
    <row r="2387" spans="3:3">
      <c r="C2387" s="2"/>
    </row>
    <row r="2388" spans="3:3">
      <c r="C2388" s="2"/>
    </row>
    <row r="2389" spans="3:3">
      <c r="C2389" s="2"/>
    </row>
    <row r="2390" spans="3:3">
      <c r="C2390" s="2"/>
    </row>
    <row r="2391" spans="3:3">
      <c r="C2391" s="2"/>
    </row>
    <row r="2392" spans="3:3">
      <c r="C2392" s="2"/>
    </row>
    <row r="2393" spans="3:3">
      <c r="C2393" s="2"/>
    </row>
    <row r="2394" spans="3:3">
      <c r="C2394" s="2"/>
    </row>
    <row r="2395" spans="3:3">
      <c r="C2395" s="2"/>
    </row>
    <row r="2396" spans="3:3">
      <c r="C2396" s="2"/>
    </row>
    <row r="2397" spans="3:3">
      <c r="C2397" s="2"/>
    </row>
    <row r="2398" spans="3:3">
      <c r="C2398" s="2"/>
    </row>
    <row r="2399" spans="3:3">
      <c r="C2399" s="2"/>
    </row>
    <row r="2400" spans="3:3">
      <c r="C2400" s="2"/>
    </row>
    <row r="2401" spans="3:3">
      <c r="C2401" s="2"/>
    </row>
    <row r="2402" spans="3:3">
      <c r="C2402" s="2"/>
    </row>
    <row r="2403" spans="3:3">
      <c r="C2403" s="2"/>
    </row>
    <row r="2404" spans="3:3">
      <c r="C2404" s="2"/>
    </row>
    <row r="2405" spans="3:3">
      <c r="C2405" s="2"/>
    </row>
    <row r="2406" spans="3:3">
      <c r="C2406" s="2"/>
    </row>
    <row r="2407" spans="3:3">
      <c r="C2407" s="2"/>
    </row>
    <row r="2408" spans="3:3">
      <c r="C2408" s="2"/>
    </row>
    <row r="2409" spans="3:3">
      <c r="C2409" s="2"/>
    </row>
    <row r="2410" spans="3:3">
      <c r="C2410" s="2"/>
    </row>
    <row r="2411" spans="3:3">
      <c r="C2411" s="2"/>
    </row>
    <row r="2412" spans="3:3">
      <c r="C2412" s="2"/>
    </row>
    <row r="2413" spans="3:3">
      <c r="C2413" s="2"/>
    </row>
    <row r="2414" spans="3:3">
      <c r="C2414" s="2"/>
    </row>
    <row r="2415" spans="3:3">
      <c r="C2415" s="2"/>
    </row>
    <row r="2416" spans="3:3">
      <c r="C2416" s="2"/>
    </row>
    <row r="2417" spans="3:3">
      <c r="C2417" s="2"/>
    </row>
    <row r="2418" spans="3:3">
      <c r="C2418" s="2"/>
    </row>
    <row r="2419" spans="3:3">
      <c r="C2419" s="2"/>
    </row>
    <row r="2420" spans="3:3">
      <c r="C2420" s="2"/>
    </row>
    <row r="2421" spans="3:3">
      <c r="C2421" s="2"/>
    </row>
    <row r="2422" spans="3:3">
      <c r="C2422" s="2"/>
    </row>
    <row r="2423" spans="3:3">
      <c r="C2423" s="2"/>
    </row>
    <row r="2424" spans="3:3">
      <c r="C2424" s="2"/>
    </row>
    <row r="2425" spans="3:3">
      <c r="C2425" s="2"/>
    </row>
    <row r="2426" spans="3:3">
      <c r="C2426" s="2"/>
    </row>
    <row r="2427" spans="3:3">
      <c r="C2427" s="2"/>
    </row>
    <row r="2428" spans="3:3">
      <c r="C2428" s="2"/>
    </row>
    <row r="2429" spans="3:3">
      <c r="C2429" s="2"/>
    </row>
    <row r="2430" spans="3:3">
      <c r="C2430" s="2"/>
    </row>
    <row r="2431" spans="3:3">
      <c r="C2431" s="2"/>
    </row>
    <row r="2432" spans="3:3">
      <c r="C2432" s="2"/>
    </row>
    <row r="2433" spans="3:3">
      <c r="C2433" s="2"/>
    </row>
    <row r="2434" spans="3:3">
      <c r="C2434" s="2"/>
    </row>
    <row r="2435" spans="3:3">
      <c r="C2435" s="2"/>
    </row>
    <row r="2436" spans="3:3">
      <c r="C2436" s="2"/>
    </row>
    <row r="2437" spans="3:3">
      <c r="C2437" s="2"/>
    </row>
    <row r="2438" spans="3:3">
      <c r="C2438" s="2"/>
    </row>
    <row r="2439" spans="3:3">
      <c r="C2439" s="2"/>
    </row>
    <row r="2440" spans="3:3">
      <c r="C2440" s="2"/>
    </row>
    <row r="2441" spans="3:3">
      <c r="C2441" s="2"/>
    </row>
    <row r="2442" spans="3:3">
      <c r="C2442" s="2"/>
    </row>
    <row r="2443" spans="3:3">
      <c r="C2443" s="2"/>
    </row>
    <row r="2444" spans="3:3">
      <c r="C2444" s="2"/>
    </row>
    <row r="2445" spans="3:3">
      <c r="C2445" s="2"/>
    </row>
    <row r="2446" spans="3:3">
      <c r="C2446" s="2"/>
    </row>
    <row r="2447" spans="3:3">
      <c r="C2447" s="2"/>
    </row>
    <row r="2448" spans="3:3">
      <c r="C2448" s="2"/>
    </row>
    <row r="2449" spans="3:3">
      <c r="C2449" s="2"/>
    </row>
    <row r="2450" spans="3:3">
      <c r="C2450" s="2"/>
    </row>
    <row r="2451" spans="3:3">
      <c r="C2451" s="2"/>
    </row>
    <row r="2452" spans="3:3">
      <c r="C2452" s="2"/>
    </row>
    <row r="2453" spans="3:3">
      <c r="C2453" s="2"/>
    </row>
    <row r="2454" spans="3:3">
      <c r="C2454" s="2"/>
    </row>
    <row r="2455" spans="3:3">
      <c r="C2455" s="2"/>
    </row>
    <row r="2456" spans="3:3">
      <c r="C2456" s="2"/>
    </row>
    <row r="2457" spans="3:3">
      <c r="C2457" s="2"/>
    </row>
    <row r="2458" spans="3:3">
      <c r="C2458" s="2"/>
    </row>
    <row r="2459" spans="3:3">
      <c r="C2459" s="2"/>
    </row>
    <row r="2460" spans="3:3">
      <c r="C2460" s="2"/>
    </row>
    <row r="2461" spans="3:3">
      <c r="C2461" s="2"/>
    </row>
    <row r="2462" spans="3:3">
      <c r="C2462" s="2"/>
    </row>
    <row r="2463" spans="3:3">
      <c r="C2463" s="2"/>
    </row>
    <row r="2464" spans="3:3">
      <c r="C2464" s="2"/>
    </row>
    <row r="2465" spans="3:3">
      <c r="C2465" s="2"/>
    </row>
    <row r="2466" spans="3:3">
      <c r="C2466" s="2"/>
    </row>
    <row r="2467" spans="3:3">
      <c r="C2467" s="2"/>
    </row>
    <row r="2468" spans="3:3">
      <c r="C2468" s="2"/>
    </row>
    <row r="2469" spans="3:3">
      <c r="C2469" s="2"/>
    </row>
    <row r="2470" spans="3:3">
      <c r="C2470" s="2"/>
    </row>
    <row r="2471" spans="3:3">
      <c r="C2471" s="2"/>
    </row>
    <row r="2472" spans="3:3">
      <c r="C2472" s="2"/>
    </row>
    <row r="2473" spans="3:3">
      <c r="C2473" s="2"/>
    </row>
    <row r="2474" spans="3:3">
      <c r="C2474" s="2"/>
    </row>
    <row r="2475" spans="3:3">
      <c r="C2475" s="2"/>
    </row>
    <row r="2476" spans="3:3">
      <c r="C2476" s="2"/>
    </row>
    <row r="2477" spans="3:3">
      <c r="C2477" s="2"/>
    </row>
    <row r="2478" spans="3:3">
      <c r="C2478" s="2"/>
    </row>
    <row r="2479" spans="3:3">
      <c r="C2479" s="2"/>
    </row>
    <row r="2480" spans="3:3">
      <c r="C2480" s="2"/>
    </row>
    <row r="2481" spans="3:3">
      <c r="C2481" s="2"/>
    </row>
    <row r="2482" spans="3:3">
      <c r="C2482" s="2"/>
    </row>
    <row r="2483" spans="3:3">
      <c r="C2483" s="2"/>
    </row>
    <row r="2484" spans="3:3">
      <c r="C2484" s="2"/>
    </row>
    <row r="2485" spans="3:3">
      <c r="C2485" s="2"/>
    </row>
    <row r="2486" spans="3:3">
      <c r="C2486" s="2"/>
    </row>
    <row r="2487" spans="3:3">
      <c r="C2487" s="2"/>
    </row>
    <row r="2488" spans="3:3">
      <c r="C2488" s="2"/>
    </row>
    <row r="2489" spans="3:3">
      <c r="C2489" s="2"/>
    </row>
    <row r="2490" spans="3:3">
      <c r="C2490" s="2"/>
    </row>
    <row r="2491" spans="3:3">
      <c r="C2491" s="2"/>
    </row>
    <row r="2492" spans="3:3">
      <c r="C2492" s="2"/>
    </row>
    <row r="2493" spans="3:3">
      <c r="C2493" s="2"/>
    </row>
    <row r="2494" spans="3:3">
      <c r="C2494" s="2"/>
    </row>
    <row r="2495" spans="3:3">
      <c r="C2495" s="2"/>
    </row>
    <row r="2496" spans="3:3">
      <c r="C2496" s="2"/>
    </row>
    <row r="2497" spans="3:3">
      <c r="C2497" s="2"/>
    </row>
    <row r="2498" spans="3:3">
      <c r="C2498" s="2"/>
    </row>
    <row r="2499" spans="3:3">
      <c r="C2499" s="2"/>
    </row>
    <row r="2500" spans="3:3">
      <c r="C2500" s="2"/>
    </row>
    <row r="2501" spans="3:3">
      <c r="C2501" s="2"/>
    </row>
    <row r="2502" spans="3:3">
      <c r="C2502" s="2"/>
    </row>
    <row r="2503" spans="3:3">
      <c r="C2503" s="2"/>
    </row>
    <row r="2504" spans="3:3">
      <c r="C2504" s="2"/>
    </row>
    <row r="2505" spans="3:3">
      <c r="C2505" s="2"/>
    </row>
    <row r="2506" spans="3:3">
      <c r="C2506" s="2"/>
    </row>
    <row r="2507" spans="3:3">
      <c r="C2507" s="2"/>
    </row>
    <row r="2508" spans="3:3">
      <c r="C2508" s="2"/>
    </row>
    <row r="2509" spans="3:3">
      <c r="C2509" s="2"/>
    </row>
    <row r="2510" spans="3:3">
      <c r="C2510" s="2"/>
    </row>
    <row r="2511" spans="3:3">
      <c r="C2511" s="2"/>
    </row>
    <row r="2512" spans="3:3">
      <c r="C2512" s="2"/>
    </row>
    <row r="2513" spans="3:3">
      <c r="C2513" s="2"/>
    </row>
    <row r="2514" spans="3:3">
      <c r="C2514" s="2"/>
    </row>
    <row r="2515" spans="3:3">
      <c r="C2515" s="2"/>
    </row>
    <row r="2516" spans="3:3">
      <c r="C2516" s="2"/>
    </row>
    <row r="2517" spans="3:3">
      <c r="C2517" s="2"/>
    </row>
    <row r="2518" spans="3:3">
      <c r="C2518" s="2"/>
    </row>
    <row r="2519" spans="3:3">
      <c r="C2519" s="2"/>
    </row>
    <row r="2520" spans="3:3">
      <c r="C2520" s="2"/>
    </row>
    <row r="2521" spans="3:3">
      <c r="C2521" s="2"/>
    </row>
    <row r="2522" spans="3:3">
      <c r="C2522" s="2"/>
    </row>
    <row r="2523" spans="3:3">
      <c r="C2523" s="2"/>
    </row>
    <row r="2524" spans="3:3">
      <c r="C2524" s="2"/>
    </row>
    <row r="2525" spans="3:3">
      <c r="C2525" s="2"/>
    </row>
    <row r="2526" spans="3:3">
      <c r="C2526" s="2"/>
    </row>
    <row r="2527" spans="3:3">
      <c r="C2527" s="2"/>
    </row>
    <row r="2528" spans="3:3">
      <c r="C2528" s="2"/>
    </row>
    <row r="2529" spans="3:3">
      <c r="C2529" s="2"/>
    </row>
    <row r="2530" spans="3:3">
      <c r="C2530" s="2"/>
    </row>
    <row r="2531" spans="3:3">
      <c r="C2531" s="2"/>
    </row>
    <row r="2532" spans="3:3">
      <c r="C2532" s="2"/>
    </row>
    <row r="2533" spans="3:3">
      <c r="C2533" s="2"/>
    </row>
    <row r="2534" spans="3:3">
      <c r="C2534" s="2"/>
    </row>
    <row r="2535" spans="3:3">
      <c r="C2535" s="2"/>
    </row>
    <row r="2536" spans="3:3">
      <c r="C2536" s="2"/>
    </row>
    <row r="2537" spans="3:3">
      <c r="C2537" s="2"/>
    </row>
    <row r="2538" spans="3:3">
      <c r="C2538" s="2"/>
    </row>
    <row r="2539" spans="3:3">
      <c r="C2539" s="2"/>
    </row>
    <row r="2540" spans="3:3">
      <c r="C2540" s="2"/>
    </row>
    <row r="2541" spans="3:3">
      <c r="C2541" s="2"/>
    </row>
    <row r="2542" spans="3:3">
      <c r="C2542" s="2"/>
    </row>
    <row r="2543" spans="3:3">
      <c r="C2543" s="2"/>
    </row>
    <row r="2544" spans="3:3">
      <c r="C2544" s="2"/>
    </row>
    <row r="2545" spans="3:3">
      <c r="C2545" s="2"/>
    </row>
    <row r="2546" spans="3:3">
      <c r="C2546" s="2"/>
    </row>
    <row r="2547" spans="3:3">
      <c r="C2547" s="2"/>
    </row>
    <row r="2548" spans="3:3">
      <c r="C2548" s="2"/>
    </row>
    <row r="2549" spans="3:3">
      <c r="C2549" s="2"/>
    </row>
    <row r="2550" spans="3:3">
      <c r="C2550" s="2"/>
    </row>
    <row r="2551" spans="3:3">
      <c r="C2551" s="2"/>
    </row>
    <row r="2552" spans="3:3">
      <c r="C2552" s="2"/>
    </row>
    <row r="2553" spans="3:3">
      <c r="C2553" s="2"/>
    </row>
    <row r="2554" spans="3:3">
      <c r="C2554" s="2"/>
    </row>
    <row r="2555" spans="3:3">
      <c r="C2555" s="2"/>
    </row>
    <row r="2556" spans="3:3">
      <c r="C2556" s="2"/>
    </row>
    <row r="2557" spans="3:3">
      <c r="C2557" s="2"/>
    </row>
    <row r="2558" spans="3:3">
      <c r="C2558" s="2"/>
    </row>
    <row r="2559" spans="3:3">
      <c r="C2559" s="2"/>
    </row>
    <row r="2560" spans="3:3">
      <c r="C2560" s="2"/>
    </row>
    <row r="2561" spans="3:3">
      <c r="C2561" s="2"/>
    </row>
    <row r="2562" spans="3:3">
      <c r="C2562" s="2"/>
    </row>
    <row r="2563" spans="3:3">
      <c r="C2563" s="2"/>
    </row>
    <row r="2564" spans="3:3">
      <c r="C2564" s="2"/>
    </row>
    <row r="2565" spans="3:3">
      <c r="C2565" s="2"/>
    </row>
    <row r="2566" spans="3:3">
      <c r="C2566" s="2"/>
    </row>
    <row r="2567" spans="3:3">
      <c r="C2567" s="2"/>
    </row>
    <row r="2568" spans="3:3">
      <c r="C2568" s="2"/>
    </row>
    <row r="2569" spans="3:3">
      <c r="C2569" s="2"/>
    </row>
    <row r="2570" spans="3:3">
      <c r="C2570" s="2"/>
    </row>
    <row r="2571" spans="3:3">
      <c r="C2571" s="2"/>
    </row>
    <row r="2572" spans="3:3">
      <c r="C2572" s="2"/>
    </row>
    <row r="2573" spans="3:3">
      <c r="C2573" s="2"/>
    </row>
    <row r="2574" spans="3:3">
      <c r="C2574" s="2"/>
    </row>
    <row r="2575" spans="3:3">
      <c r="C2575" s="2"/>
    </row>
    <row r="2576" spans="3:3">
      <c r="C2576" s="2"/>
    </row>
    <row r="2577" spans="3:3">
      <c r="C2577" s="2"/>
    </row>
    <row r="2578" spans="3:3">
      <c r="C2578" s="2"/>
    </row>
    <row r="2579" spans="3:3">
      <c r="C2579" s="2"/>
    </row>
    <row r="2580" spans="3:3">
      <c r="C2580" s="2"/>
    </row>
    <row r="2581" spans="3:3">
      <c r="C2581" s="2"/>
    </row>
    <row r="2582" spans="3:3">
      <c r="C2582" s="2"/>
    </row>
    <row r="2583" spans="3:3">
      <c r="C2583" s="2"/>
    </row>
    <row r="2584" spans="3:3">
      <c r="C2584" s="2"/>
    </row>
    <row r="2585" spans="3:3">
      <c r="C2585" s="2"/>
    </row>
    <row r="2586" spans="3:3">
      <c r="C2586" s="2"/>
    </row>
    <row r="2587" spans="3:3">
      <c r="C2587" s="2"/>
    </row>
    <row r="2588" spans="3:3">
      <c r="C2588" s="2"/>
    </row>
    <row r="2589" spans="3:3">
      <c r="C2589" s="2"/>
    </row>
    <row r="2590" spans="3:3">
      <c r="C2590" s="2"/>
    </row>
    <row r="2591" spans="3:3">
      <c r="C2591" s="2"/>
    </row>
    <row r="2592" spans="3:3">
      <c r="C2592" s="2"/>
    </row>
    <row r="2593" spans="3:3">
      <c r="C2593" s="2"/>
    </row>
    <row r="2594" spans="3:3">
      <c r="C2594" s="2"/>
    </row>
    <row r="2595" spans="3:3">
      <c r="C2595" s="2"/>
    </row>
    <row r="2596" spans="3:3">
      <c r="C2596" s="2"/>
    </row>
    <row r="2597" spans="3:3">
      <c r="C2597" s="2"/>
    </row>
    <row r="2598" spans="3:3">
      <c r="C2598" s="2"/>
    </row>
    <row r="2599" spans="3:3">
      <c r="C2599" s="2"/>
    </row>
    <row r="2600" spans="3:3">
      <c r="C2600" s="2"/>
    </row>
    <row r="2601" spans="3:3">
      <c r="C2601" s="2"/>
    </row>
    <row r="2602" spans="3:3">
      <c r="C2602" s="2"/>
    </row>
    <row r="2603" spans="3:3">
      <c r="C2603" s="2"/>
    </row>
    <row r="2604" spans="3:3">
      <c r="C2604" s="2"/>
    </row>
    <row r="2605" spans="3:3">
      <c r="C2605" s="2"/>
    </row>
    <row r="2606" spans="3:3">
      <c r="C2606" s="2"/>
    </row>
    <row r="2607" spans="3:3">
      <c r="C2607" s="2"/>
    </row>
    <row r="2608" spans="3:3">
      <c r="C2608" s="2"/>
    </row>
    <row r="2609" spans="3:3">
      <c r="C2609" s="2"/>
    </row>
    <row r="2610" spans="3:3">
      <c r="C2610" s="2"/>
    </row>
    <row r="2611" spans="3:3">
      <c r="C2611" s="2"/>
    </row>
    <row r="2612" spans="3:3">
      <c r="C2612" s="2"/>
    </row>
    <row r="2613" spans="3:3">
      <c r="C2613" s="2"/>
    </row>
    <row r="2614" spans="3:3">
      <c r="C2614" s="2"/>
    </row>
    <row r="2615" spans="3:3">
      <c r="C2615" s="2"/>
    </row>
    <row r="2616" spans="3:3">
      <c r="C2616" s="2"/>
    </row>
    <row r="2617" spans="3:3">
      <c r="C2617" s="2"/>
    </row>
    <row r="2618" spans="3:3">
      <c r="C2618" s="2"/>
    </row>
    <row r="2619" spans="3:3">
      <c r="C2619" s="2"/>
    </row>
    <row r="2620" spans="3:3">
      <c r="C2620" s="2"/>
    </row>
    <row r="2621" spans="3:3">
      <c r="C2621" s="2"/>
    </row>
    <row r="2622" spans="3:3">
      <c r="C2622" s="2"/>
    </row>
    <row r="2623" spans="3:3">
      <c r="C2623" s="2"/>
    </row>
    <row r="2624" spans="3:3">
      <c r="C2624" s="2"/>
    </row>
    <row r="2625" spans="3:3">
      <c r="C2625" s="2"/>
    </row>
    <row r="2626" spans="3:3">
      <c r="C2626" s="2"/>
    </row>
    <row r="2627" spans="3:3">
      <c r="C2627" s="2"/>
    </row>
    <row r="2628" spans="3:3">
      <c r="C2628" s="2"/>
    </row>
    <row r="2629" spans="3:3">
      <c r="C2629" s="2"/>
    </row>
    <row r="2630" spans="3:3">
      <c r="C2630" s="2"/>
    </row>
    <row r="2631" spans="3:3">
      <c r="C2631" s="2"/>
    </row>
    <row r="2632" spans="3:3">
      <c r="C2632" s="2"/>
    </row>
    <row r="2633" spans="3:3">
      <c r="C2633" s="2"/>
    </row>
    <row r="2634" spans="3:3">
      <c r="C2634" s="2"/>
    </row>
    <row r="2635" spans="3:3">
      <c r="C2635" s="2"/>
    </row>
    <row r="2636" spans="3:3">
      <c r="C2636" s="2"/>
    </row>
    <row r="2637" spans="3:3">
      <c r="C2637" s="2"/>
    </row>
    <row r="2638" spans="3:3">
      <c r="C2638" s="2"/>
    </row>
    <row r="2639" spans="3:3">
      <c r="C2639" s="2"/>
    </row>
    <row r="2640" spans="3:3">
      <c r="C2640" s="2"/>
    </row>
    <row r="2641" spans="3:3">
      <c r="C2641" s="2"/>
    </row>
    <row r="2642" spans="3:3">
      <c r="C2642" s="2"/>
    </row>
    <row r="2643" spans="3:3">
      <c r="C2643" s="2"/>
    </row>
    <row r="2644" spans="3:3">
      <c r="C2644" s="2"/>
    </row>
    <row r="2645" spans="3:3">
      <c r="C2645" s="2"/>
    </row>
    <row r="2646" spans="3:3">
      <c r="C2646" s="2"/>
    </row>
    <row r="2647" spans="3:3">
      <c r="C2647" s="2"/>
    </row>
    <row r="2648" spans="3:3">
      <c r="C2648" s="2"/>
    </row>
    <row r="2649" spans="3:3">
      <c r="C2649" s="2"/>
    </row>
    <row r="2650" spans="3:3">
      <c r="C2650" s="2"/>
    </row>
    <row r="2651" spans="3:3">
      <c r="C2651" s="2"/>
    </row>
    <row r="2652" spans="3:3">
      <c r="C2652" s="2"/>
    </row>
    <row r="2653" spans="3:3">
      <c r="C2653" s="2"/>
    </row>
    <row r="2654" spans="3:3">
      <c r="C2654" s="2"/>
    </row>
    <row r="2655" spans="3:3">
      <c r="C2655" s="2"/>
    </row>
    <row r="2656" spans="3:3">
      <c r="C2656" s="2"/>
    </row>
    <row r="2657" spans="3:3">
      <c r="C2657" s="2"/>
    </row>
    <row r="2658" spans="3:3">
      <c r="C2658" s="2"/>
    </row>
    <row r="2659" spans="3:3">
      <c r="C2659" s="2"/>
    </row>
    <row r="2660" spans="3:3">
      <c r="C2660" s="2"/>
    </row>
    <row r="2661" spans="3:3">
      <c r="C2661" s="2"/>
    </row>
    <row r="2662" spans="3:3">
      <c r="C2662" s="2"/>
    </row>
    <row r="2663" spans="3:3">
      <c r="C2663" s="2"/>
    </row>
    <row r="2664" spans="3:3">
      <c r="C2664" s="2"/>
    </row>
    <row r="2665" spans="3:3">
      <c r="C2665" s="2"/>
    </row>
    <row r="2666" spans="3:3">
      <c r="C2666" s="2"/>
    </row>
    <row r="2667" spans="3:3">
      <c r="C2667" s="2"/>
    </row>
    <row r="2668" spans="3:3">
      <c r="C2668" s="2"/>
    </row>
    <row r="2669" spans="3:3">
      <c r="C2669" s="2"/>
    </row>
    <row r="2670" spans="3:3">
      <c r="C2670" s="2"/>
    </row>
    <row r="2671" spans="3:3">
      <c r="C2671" s="2"/>
    </row>
    <row r="2672" spans="3:3">
      <c r="C2672" s="2"/>
    </row>
    <row r="2673" spans="3:3">
      <c r="C2673" s="2"/>
    </row>
    <row r="2674" spans="3:3">
      <c r="C2674" s="2"/>
    </row>
    <row r="2675" spans="3:3">
      <c r="C2675" s="2"/>
    </row>
    <row r="2676" spans="3:3">
      <c r="C2676" s="2"/>
    </row>
    <row r="2677" spans="3:3">
      <c r="C2677" s="2"/>
    </row>
    <row r="2678" spans="3:3">
      <c r="C2678" s="2"/>
    </row>
    <row r="2679" spans="3:3">
      <c r="C2679" s="2"/>
    </row>
    <row r="2680" spans="3:3">
      <c r="C2680" s="2"/>
    </row>
    <row r="2681" spans="3:3">
      <c r="C2681" s="2"/>
    </row>
    <row r="2682" spans="3:3">
      <c r="C2682" s="2"/>
    </row>
    <row r="2683" spans="3:3">
      <c r="C2683" s="2"/>
    </row>
    <row r="2684" spans="3:3">
      <c r="C2684" s="2"/>
    </row>
    <row r="2685" spans="3:3">
      <c r="C2685" s="2"/>
    </row>
    <row r="2686" spans="3:3">
      <c r="C2686" s="2"/>
    </row>
    <row r="2687" spans="3:3">
      <c r="C2687" s="2"/>
    </row>
    <row r="2688" spans="3:3">
      <c r="C2688" s="2"/>
    </row>
    <row r="2689" spans="3:3">
      <c r="C2689" s="2"/>
    </row>
    <row r="2690" spans="3:3">
      <c r="C2690" s="2"/>
    </row>
    <row r="2691" spans="3:3">
      <c r="C2691" s="2"/>
    </row>
    <row r="2692" spans="3:3">
      <c r="C2692" s="2"/>
    </row>
    <row r="2693" spans="3:3">
      <c r="C2693" s="2"/>
    </row>
    <row r="2694" spans="3:3">
      <c r="C2694" s="2"/>
    </row>
    <row r="2695" spans="3:3">
      <c r="C2695" s="2"/>
    </row>
    <row r="2696" spans="3:3">
      <c r="C2696" s="2"/>
    </row>
    <row r="2697" spans="3:3">
      <c r="C2697" s="2"/>
    </row>
    <row r="2698" spans="3:3">
      <c r="C2698" s="2"/>
    </row>
    <row r="2699" spans="3:3">
      <c r="C2699" s="2"/>
    </row>
    <row r="2700" spans="3:3">
      <c r="C2700" s="2"/>
    </row>
    <row r="2701" spans="3:3">
      <c r="C2701" s="2"/>
    </row>
    <row r="2702" spans="3:3">
      <c r="C2702" s="2"/>
    </row>
    <row r="2703" spans="3:3">
      <c r="C2703" s="2"/>
    </row>
    <row r="2704" spans="3:3">
      <c r="C2704" s="2"/>
    </row>
    <row r="2705" spans="3:3">
      <c r="C2705" s="2"/>
    </row>
    <row r="2706" spans="3:3">
      <c r="C2706" s="2"/>
    </row>
    <row r="2707" spans="3:3">
      <c r="C2707" s="2"/>
    </row>
    <row r="2708" spans="3:3">
      <c r="C2708" s="2"/>
    </row>
    <row r="2709" spans="3:3">
      <c r="C2709" s="2"/>
    </row>
    <row r="2710" spans="3:3">
      <c r="C2710" s="2"/>
    </row>
    <row r="2711" spans="3:3">
      <c r="C2711" s="2"/>
    </row>
    <row r="2712" spans="3:3">
      <c r="C2712" s="2"/>
    </row>
    <row r="2713" spans="3:3">
      <c r="C2713" s="2"/>
    </row>
    <row r="2714" spans="3:3">
      <c r="C2714" s="2"/>
    </row>
    <row r="2715" spans="3:3">
      <c r="C2715" s="2"/>
    </row>
    <row r="2716" spans="3:3">
      <c r="C2716" s="2"/>
    </row>
    <row r="2717" spans="3:3">
      <c r="C2717" s="2"/>
    </row>
    <row r="2718" spans="3:3">
      <c r="C2718" s="2"/>
    </row>
    <row r="2719" spans="3:3">
      <c r="C2719" s="2"/>
    </row>
    <row r="2720" spans="3:3">
      <c r="C2720" s="2"/>
    </row>
    <row r="2721" spans="3:3">
      <c r="C2721" s="2"/>
    </row>
    <row r="2722" spans="3:3">
      <c r="C2722" s="2"/>
    </row>
    <row r="2723" spans="3:3">
      <c r="C2723" s="2"/>
    </row>
    <row r="2724" spans="3:3">
      <c r="C2724" s="2"/>
    </row>
    <row r="2725" spans="3:3">
      <c r="C2725" s="2"/>
    </row>
    <row r="2726" spans="3:3">
      <c r="C2726" s="2"/>
    </row>
    <row r="2727" spans="3:3">
      <c r="C2727" s="2"/>
    </row>
    <row r="2728" spans="3:3">
      <c r="C2728" s="2"/>
    </row>
    <row r="2729" spans="3:3">
      <c r="C2729" s="2"/>
    </row>
    <row r="2730" spans="3:3">
      <c r="C2730" s="2"/>
    </row>
    <row r="2731" spans="3:3">
      <c r="C2731" s="2"/>
    </row>
    <row r="2732" spans="3:3">
      <c r="C2732" s="2"/>
    </row>
    <row r="2733" spans="3:3">
      <c r="C2733" s="2"/>
    </row>
    <row r="2734" spans="3:3">
      <c r="C2734" s="2"/>
    </row>
    <row r="2735" spans="3:3">
      <c r="C2735" s="2"/>
    </row>
    <row r="2736" spans="3:3">
      <c r="C2736" s="2"/>
    </row>
    <row r="2737" spans="3:3">
      <c r="C2737" s="2"/>
    </row>
    <row r="2738" spans="3:3">
      <c r="C2738" s="2"/>
    </row>
    <row r="2739" spans="3:3">
      <c r="C2739" s="2"/>
    </row>
    <row r="2740" spans="3:3">
      <c r="C2740" s="2"/>
    </row>
    <row r="2741" spans="3:3">
      <c r="C2741" s="2"/>
    </row>
    <row r="2742" spans="3:3">
      <c r="C2742" s="2"/>
    </row>
    <row r="2743" spans="3:3">
      <c r="C2743" s="2"/>
    </row>
    <row r="2744" spans="3:3">
      <c r="C2744" s="2"/>
    </row>
    <row r="2745" spans="3:3">
      <c r="C2745" s="2"/>
    </row>
    <row r="2746" spans="3:3">
      <c r="C2746" s="2"/>
    </row>
    <row r="2747" spans="3:3">
      <c r="C2747" s="2"/>
    </row>
    <row r="2748" spans="3:3">
      <c r="C2748" s="2"/>
    </row>
    <row r="2749" spans="3:3">
      <c r="C2749" s="2"/>
    </row>
    <row r="2750" spans="3:3">
      <c r="C2750" s="2"/>
    </row>
    <row r="2751" spans="3:3">
      <c r="C2751" s="2"/>
    </row>
    <row r="2752" spans="3:3">
      <c r="C2752" s="2"/>
    </row>
    <row r="2753" spans="3:3">
      <c r="C2753" s="2"/>
    </row>
    <row r="2754" spans="3:3">
      <c r="C2754" s="2"/>
    </row>
    <row r="2755" spans="3:3">
      <c r="C2755" s="2"/>
    </row>
    <row r="2756" spans="3:3">
      <c r="C2756" s="2"/>
    </row>
    <row r="2757" spans="3:3">
      <c r="C2757" s="2"/>
    </row>
    <row r="2758" spans="3:3">
      <c r="C2758" s="2"/>
    </row>
    <row r="2759" spans="3:3">
      <c r="C2759" s="2"/>
    </row>
    <row r="2760" spans="3:3">
      <c r="C2760" s="2"/>
    </row>
    <row r="2761" spans="3:3">
      <c r="C2761" s="2"/>
    </row>
    <row r="2762" spans="3:3">
      <c r="C2762" s="2"/>
    </row>
    <row r="2763" spans="3:3">
      <c r="C2763" s="2"/>
    </row>
    <row r="2764" spans="3:3">
      <c r="C2764" s="2"/>
    </row>
    <row r="2765" spans="3:3">
      <c r="C2765" s="2"/>
    </row>
    <row r="2766" spans="3:3">
      <c r="C2766" s="2"/>
    </row>
    <row r="2767" spans="3:3">
      <c r="C2767" s="2"/>
    </row>
    <row r="2768" spans="3:3">
      <c r="C2768" s="2"/>
    </row>
    <row r="2769" spans="3:3">
      <c r="C2769" s="2"/>
    </row>
    <row r="2770" spans="3:3">
      <c r="C2770" s="2"/>
    </row>
    <row r="2771" spans="3:3">
      <c r="C2771" s="2"/>
    </row>
    <row r="2772" spans="3:3">
      <c r="C2772" s="2"/>
    </row>
    <row r="2773" spans="3:3">
      <c r="C2773" s="2"/>
    </row>
    <row r="2774" spans="3:3">
      <c r="C2774" s="2"/>
    </row>
    <row r="2775" spans="3:3">
      <c r="C2775" s="2"/>
    </row>
    <row r="2776" spans="3:3">
      <c r="C2776" s="2"/>
    </row>
    <row r="2777" spans="3:3">
      <c r="C2777" s="2"/>
    </row>
    <row r="2778" spans="3:3">
      <c r="C2778" s="2"/>
    </row>
    <row r="2779" spans="3:3">
      <c r="C2779" s="2"/>
    </row>
    <row r="2780" spans="3:3">
      <c r="C2780" s="2"/>
    </row>
    <row r="2781" spans="3:3">
      <c r="C2781" s="2"/>
    </row>
    <row r="2782" spans="3:3">
      <c r="C2782" s="2"/>
    </row>
    <row r="2783" spans="3:3">
      <c r="C2783" s="2"/>
    </row>
    <row r="2784" spans="3:3">
      <c r="C2784" s="2"/>
    </row>
    <row r="2785" spans="3:3">
      <c r="C2785" s="2"/>
    </row>
    <row r="2786" spans="3:3">
      <c r="C2786" s="2"/>
    </row>
    <row r="2787" spans="3:3">
      <c r="C2787" s="2"/>
    </row>
    <row r="2788" spans="3:3">
      <c r="C2788" s="2"/>
    </row>
    <row r="2789" spans="3:3">
      <c r="C2789" s="2"/>
    </row>
    <row r="2790" spans="3:3">
      <c r="C2790" s="2"/>
    </row>
    <row r="2791" spans="3:3">
      <c r="C2791" s="2"/>
    </row>
    <row r="2792" spans="3:3">
      <c r="C2792" s="2"/>
    </row>
    <row r="2793" spans="3:3">
      <c r="C2793" s="2"/>
    </row>
    <row r="2794" spans="3:3">
      <c r="C2794" s="2"/>
    </row>
    <row r="2795" spans="3:3">
      <c r="C2795" s="2"/>
    </row>
    <row r="2796" spans="3:3">
      <c r="C2796" s="2"/>
    </row>
    <row r="2797" spans="3:3">
      <c r="C2797" s="2"/>
    </row>
    <row r="2798" spans="3:3">
      <c r="C2798" s="2"/>
    </row>
    <row r="2799" spans="3:3">
      <c r="C2799" s="2"/>
    </row>
    <row r="2800" spans="3:3">
      <c r="C2800" s="2"/>
    </row>
    <row r="2801" spans="3:3">
      <c r="C2801" s="2"/>
    </row>
    <row r="2802" spans="3:3">
      <c r="C2802" s="2"/>
    </row>
    <row r="2803" spans="3:3">
      <c r="C2803" s="2"/>
    </row>
    <row r="2804" spans="3:3">
      <c r="C2804" s="2"/>
    </row>
    <row r="2805" spans="3:3">
      <c r="C2805" s="2"/>
    </row>
    <row r="2806" spans="3:3">
      <c r="C2806" s="2"/>
    </row>
    <row r="2807" spans="3:3">
      <c r="C2807" s="2"/>
    </row>
    <row r="2808" spans="3:3">
      <c r="C2808" s="2"/>
    </row>
    <row r="2809" spans="3:3">
      <c r="C2809" s="2"/>
    </row>
    <row r="2810" spans="3:3">
      <c r="C2810" s="2"/>
    </row>
    <row r="2811" spans="3:3">
      <c r="C2811" s="2"/>
    </row>
    <row r="2812" spans="3:3">
      <c r="C2812" s="2"/>
    </row>
    <row r="2813" spans="3:3">
      <c r="C2813" s="2"/>
    </row>
    <row r="2814" spans="3:3">
      <c r="C2814" s="2"/>
    </row>
    <row r="2815" spans="3:3">
      <c r="C2815" s="2"/>
    </row>
    <row r="2816" spans="3:3">
      <c r="C2816" s="2"/>
    </row>
    <row r="2817" spans="3:3">
      <c r="C2817" s="2"/>
    </row>
    <row r="2818" spans="3:3">
      <c r="C2818" s="2"/>
    </row>
    <row r="2819" spans="3:3">
      <c r="C2819" s="2"/>
    </row>
    <row r="2820" spans="3:3">
      <c r="C2820" s="2"/>
    </row>
    <row r="2821" spans="3:3">
      <c r="C2821" s="2"/>
    </row>
    <row r="2822" spans="3:3">
      <c r="C2822" s="2"/>
    </row>
    <row r="2823" spans="3:3">
      <c r="C2823" s="2"/>
    </row>
    <row r="2824" spans="3:3">
      <c r="C2824" s="2"/>
    </row>
    <row r="2825" spans="3:3">
      <c r="C2825" s="2"/>
    </row>
    <row r="2826" spans="3:3">
      <c r="C2826" s="2"/>
    </row>
    <row r="2827" spans="3:3">
      <c r="C2827" s="2"/>
    </row>
    <row r="2828" spans="3:3">
      <c r="C2828" s="2"/>
    </row>
    <row r="2829" spans="3:3">
      <c r="C2829" s="2"/>
    </row>
    <row r="2830" spans="3:3">
      <c r="C2830" s="2"/>
    </row>
    <row r="2831" spans="3:3">
      <c r="C2831" s="2"/>
    </row>
    <row r="2832" spans="3:3">
      <c r="C2832" s="2"/>
    </row>
    <row r="2833" spans="3:3">
      <c r="C2833" s="2"/>
    </row>
    <row r="2834" spans="3:3">
      <c r="C2834" s="2"/>
    </row>
    <row r="2835" spans="3:3">
      <c r="C2835" s="2"/>
    </row>
    <row r="2836" spans="3:3">
      <c r="C2836" s="2"/>
    </row>
    <row r="2837" spans="3:3">
      <c r="C2837" s="2"/>
    </row>
    <row r="2838" spans="3:3">
      <c r="C2838" s="2"/>
    </row>
    <row r="2839" spans="3:3">
      <c r="C2839" s="2"/>
    </row>
    <row r="2840" spans="3:3">
      <c r="C2840" s="2"/>
    </row>
    <row r="2841" spans="3:3">
      <c r="C2841" s="2"/>
    </row>
    <row r="2842" spans="3:3">
      <c r="C2842" s="2"/>
    </row>
    <row r="2843" spans="3:3">
      <c r="C2843" s="2"/>
    </row>
    <row r="2844" spans="3:3">
      <c r="C2844" s="2"/>
    </row>
    <row r="2845" spans="3:3">
      <c r="C2845" s="2"/>
    </row>
    <row r="2846" spans="3:3">
      <c r="C2846" s="2"/>
    </row>
    <row r="2847" spans="3:3">
      <c r="C2847" s="2"/>
    </row>
    <row r="2848" spans="3:3">
      <c r="C2848" s="2"/>
    </row>
    <row r="2849" spans="3:3">
      <c r="C2849" s="2"/>
    </row>
    <row r="2850" spans="3:3">
      <c r="C2850" s="2"/>
    </row>
    <row r="2851" spans="3:3">
      <c r="C2851" s="2"/>
    </row>
    <row r="2852" spans="3:3">
      <c r="C2852" s="2"/>
    </row>
    <row r="2853" spans="3:3">
      <c r="C2853" s="2"/>
    </row>
    <row r="2854" spans="3:3">
      <c r="C2854" s="2"/>
    </row>
    <row r="2855" spans="3:3">
      <c r="C2855" s="2"/>
    </row>
    <row r="2856" spans="3:3">
      <c r="C2856" s="2"/>
    </row>
    <row r="2857" spans="3:3">
      <c r="C2857" s="2"/>
    </row>
    <row r="2858" spans="3:3">
      <c r="C2858" s="2"/>
    </row>
    <row r="2859" spans="3:3">
      <c r="C2859" s="2"/>
    </row>
    <row r="2860" spans="3:3">
      <c r="C2860" s="2"/>
    </row>
    <row r="2861" spans="3:3">
      <c r="C2861" s="2"/>
    </row>
    <row r="2862" spans="3:3">
      <c r="C2862" s="2"/>
    </row>
    <row r="2863" spans="3:3">
      <c r="C2863" s="2"/>
    </row>
    <row r="2864" spans="3:3">
      <c r="C2864" s="2"/>
    </row>
    <row r="2865" spans="3:3">
      <c r="C2865" s="2"/>
    </row>
    <row r="2866" spans="3:3">
      <c r="C2866" s="2"/>
    </row>
    <row r="2867" spans="3:3">
      <c r="C2867" s="2"/>
    </row>
    <row r="2868" spans="3:3">
      <c r="C2868" s="2"/>
    </row>
    <row r="2869" spans="3:3">
      <c r="C2869" s="2"/>
    </row>
    <row r="2870" spans="3:3">
      <c r="C2870" s="2"/>
    </row>
    <row r="2871" spans="3:3">
      <c r="C2871" s="2"/>
    </row>
    <row r="2872" spans="3:3">
      <c r="C2872" s="2"/>
    </row>
    <row r="2873" spans="3:3">
      <c r="C2873" s="2"/>
    </row>
    <row r="2874" spans="3:3">
      <c r="C2874" s="2"/>
    </row>
    <row r="2875" spans="3:3">
      <c r="C2875" s="2"/>
    </row>
    <row r="2876" spans="3:3">
      <c r="C2876" s="2"/>
    </row>
    <row r="2877" spans="3:3">
      <c r="C2877" s="2"/>
    </row>
    <row r="2878" spans="3:3">
      <c r="C2878" s="2"/>
    </row>
    <row r="2879" spans="3:3">
      <c r="C2879" s="2"/>
    </row>
    <row r="2880" spans="3:3">
      <c r="C2880" s="2"/>
    </row>
    <row r="2881" spans="3:3">
      <c r="C2881" s="2"/>
    </row>
    <row r="2882" spans="3:3">
      <c r="C2882" s="2"/>
    </row>
    <row r="2883" spans="3:3">
      <c r="C2883" s="2"/>
    </row>
    <row r="2884" spans="3:3">
      <c r="C2884" s="2"/>
    </row>
    <row r="2885" spans="3:3">
      <c r="C2885" s="2"/>
    </row>
    <row r="2886" spans="3:3">
      <c r="C2886" s="2"/>
    </row>
    <row r="2887" spans="3:3">
      <c r="C2887" s="2"/>
    </row>
    <row r="2888" spans="3:3">
      <c r="C2888" s="2"/>
    </row>
    <row r="2889" spans="3:3">
      <c r="C2889" s="2"/>
    </row>
    <row r="2890" spans="3:3">
      <c r="C2890" s="2"/>
    </row>
    <row r="2891" spans="3:3">
      <c r="C2891" s="2"/>
    </row>
    <row r="2892" spans="3:3">
      <c r="C2892" s="2"/>
    </row>
    <row r="2893" spans="3:3">
      <c r="C2893" s="2"/>
    </row>
    <row r="2894" spans="3:3">
      <c r="C2894" s="2"/>
    </row>
    <row r="2895" spans="3:3">
      <c r="C2895" s="2"/>
    </row>
    <row r="2896" spans="3:3">
      <c r="C2896" s="2"/>
    </row>
    <row r="2897" spans="3:3">
      <c r="C2897" s="2"/>
    </row>
    <row r="2898" spans="3:3">
      <c r="C2898" s="2"/>
    </row>
    <row r="2899" spans="3:3">
      <c r="C2899" s="2"/>
    </row>
    <row r="2900" spans="3:3">
      <c r="C2900" s="2"/>
    </row>
    <row r="2901" spans="3:3">
      <c r="C2901" s="2"/>
    </row>
    <row r="2902" spans="3:3">
      <c r="C2902" s="2"/>
    </row>
    <row r="2903" spans="3:3">
      <c r="C2903" s="2"/>
    </row>
    <row r="2904" spans="3:3">
      <c r="C2904" s="2"/>
    </row>
    <row r="2905" spans="3:3">
      <c r="C2905" s="2"/>
    </row>
    <row r="2906" spans="3:3">
      <c r="C2906" s="2"/>
    </row>
    <row r="2907" spans="3:3">
      <c r="C2907" s="2"/>
    </row>
    <row r="2908" spans="3:3">
      <c r="C2908" s="2"/>
    </row>
    <row r="2909" spans="3:3">
      <c r="C2909" s="2"/>
    </row>
    <row r="2910" spans="3:3">
      <c r="C2910" s="2"/>
    </row>
    <row r="2911" spans="3:3">
      <c r="C2911" s="2"/>
    </row>
    <row r="2912" spans="3:3">
      <c r="C2912" s="2"/>
    </row>
    <row r="2913" spans="3:3">
      <c r="C2913" s="2"/>
    </row>
    <row r="2914" spans="3:3">
      <c r="C2914" s="2"/>
    </row>
    <row r="2915" spans="3:3">
      <c r="C2915" s="2"/>
    </row>
    <row r="2916" spans="3:3">
      <c r="C2916" s="2"/>
    </row>
    <row r="2917" spans="3:3">
      <c r="C2917" s="2"/>
    </row>
    <row r="2918" spans="3:3">
      <c r="C2918" s="2"/>
    </row>
    <row r="2919" spans="3:3">
      <c r="C2919" s="2"/>
    </row>
    <row r="2920" spans="3:3">
      <c r="C2920" s="2"/>
    </row>
    <row r="2921" spans="3:3">
      <c r="C2921" s="2"/>
    </row>
    <row r="2922" spans="3:3">
      <c r="C2922" s="2"/>
    </row>
    <row r="2923" spans="3:3">
      <c r="C2923" s="2"/>
    </row>
    <row r="2924" spans="3:3">
      <c r="C2924" s="2"/>
    </row>
    <row r="2925" spans="3:3">
      <c r="C2925" s="2"/>
    </row>
    <row r="2926" spans="3:3">
      <c r="C2926" s="2"/>
    </row>
    <row r="2927" spans="3:3">
      <c r="C2927" s="2"/>
    </row>
    <row r="2928" spans="3:3">
      <c r="C2928" s="2"/>
    </row>
    <row r="2929" spans="3:3">
      <c r="C2929" s="2"/>
    </row>
    <row r="2930" spans="3:3">
      <c r="C2930" s="2"/>
    </row>
    <row r="2931" spans="3:3">
      <c r="C2931" s="2"/>
    </row>
    <row r="2932" spans="3:3">
      <c r="C2932" s="2"/>
    </row>
    <row r="2933" spans="3:3">
      <c r="C2933" s="2"/>
    </row>
    <row r="2934" spans="3:3">
      <c r="C2934" s="2"/>
    </row>
    <row r="2935" spans="3:3">
      <c r="C2935" s="2"/>
    </row>
    <row r="2936" spans="3:3">
      <c r="C2936" s="2"/>
    </row>
    <row r="2937" spans="3:3">
      <c r="C2937" s="2"/>
    </row>
    <row r="2938" spans="3:3">
      <c r="C2938" s="2"/>
    </row>
    <row r="2939" spans="3:3">
      <c r="C2939" s="2"/>
    </row>
    <row r="2940" spans="3:3">
      <c r="C2940" s="2"/>
    </row>
    <row r="2941" spans="3:3">
      <c r="C2941" s="2"/>
    </row>
    <row r="2942" spans="3:3">
      <c r="C2942" s="2"/>
    </row>
    <row r="2943" spans="3:3">
      <c r="C2943" s="2"/>
    </row>
    <row r="2944" spans="3:3">
      <c r="C2944" s="2"/>
    </row>
    <row r="2945" spans="3:3">
      <c r="C2945" s="2"/>
    </row>
    <row r="2946" spans="3:3">
      <c r="C2946" s="2"/>
    </row>
    <row r="2947" spans="3:3">
      <c r="C2947" s="2"/>
    </row>
    <row r="2948" spans="3:3">
      <c r="C2948" s="2"/>
    </row>
    <row r="2949" spans="3:3">
      <c r="C2949" s="2"/>
    </row>
    <row r="2950" spans="3:3">
      <c r="C2950" s="2"/>
    </row>
    <row r="2951" spans="3:3">
      <c r="C2951" s="2"/>
    </row>
    <row r="2952" spans="3:3">
      <c r="C2952" s="2"/>
    </row>
    <row r="2953" spans="3:3">
      <c r="C2953" s="2"/>
    </row>
    <row r="2954" spans="3:3">
      <c r="C2954" s="2"/>
    </row>
    <row r="2955" spans="3:3">
      <c r="C2955" s="2"/>
    </row>
    <row r="2956" spans="3:3">
      <c r="C2956" s="2"/>
    </row>
    <row r="2957" spans="3:3">
      <c r="C2957" s="2"/>
    </row>
    <row r="2958" spans="3:3">
      <c r="C2958" s="2"/>
    </row>
    <row r="2959" spans="3:3">
      <c r="C2959" s="2"/>
    </row>
    <row r="2960" spans="3:3">
      <c r="C2960" s="2"/>
    </row>
    <row r="2961" spans="3:3">
      <c r="C2961" s="2"/>
    </row>
    <row r="2962" spans="3:3">
      <c r="C2962" s="2"/>
    </row>
    <row r="2963" spans="3:3">
      <c r="C2963" s="2"/>
    </row>
    <row r="2964" spans="3:3">
      <c r="C2964" s="2"/>
    </row>
    <row r="2965" spans="3:3">
      <c r="C2965" s="2"/>
    </row>
    <row r="2966" spans="3:3">
      <c r="C2966" s="2"/>
    </row>
    <row r="2967" spans="3:3">
      <c r="C2967" s="2"/>
    </row>
    <row r="2968" spans="3:3">
      <c r="C2968" s="2"/>
    </row>
    <row r="2969" spans="3:3">
      <c r="C2969" s="2"/>
    </row>
    <row r="2970" spans="3:3">
      <c r="C2970" s="2"/>
    </row>
    <row r="2971" spans="3:3">
      <c r="C2971" s="2"/>
    </row>
    <row r="2972" spans="3:3">
      <c r="C2972" s="2"/>
    </row>
    <row r="2973" spans="3:3">
      <c r="C2973" s="2"/>
    </row>
    <row r="2974" spans="3:3">
      <c r="C2974" s="2"/>
    </row>
    <row r="2975" spans="3:3">
      <c r="C2975" s="2"/>
    </row>
    <row r="2976" spans="3:3">
      <c r="C2976" s="2"/>
    </row>
    <row r="2977" spans="3:3">
      <c r="C2977" s="2"/>
    </row>
    <row r="2978" spans="3:3">
      <c r="C2978" s="2"/>
    </row>
    <row r="2979" spans="3:3">
      <c r="C2979" s="2"/>
    </row>
    <row r="2980" spans="3:3">
      <c r="C2980" s="2"/>
    </row>
    <row r="2981" spans="3:3">
      <c r="C2981" s="2"/>
    </row>
    <row r="2982" spans="3:3">
      <c r="C2982" s="2"/>
    </row>
    <row r="2983" spans="3:3">
      <c r="C2983" s="2"/>
    </row>
    <row r="2984" spans="3:3">
      <c r="C2984" s="2"/>
    </row>
    <row r="2985" spans="3:3">
      <c r="C2985" s="2"/>
    </row>
    <row r="2986" spans="3:3">
      <c r="C2986" s="2"/>
    </row>
    <row r="2987" spans="3:3">
      <c r="C2987" s="2"/>
    </row>
    <row r="2988" spans="3:3">
      <c r="C2988" s="2"/>
    </row>
    <row r="2989" spans="3:3">
      <c r="C2989" s="2"/>
    </row>
    <row r="2990" spans="3:3">
      <c r="C2990" s="2"/>
    </row>
    <row r="2991" spans="3:3">
      <c r="C2991" s="2"/>
    </row>
    <row r="2992" spans="3:3">
      <c r="C2992" s="2"/>
    </row>
    <row r="2993" spans="3:3">
      <c r="C2993" s="2"/>
    </row>
    <row r="2994" spans="3:3">
      <c r="C2994" s="2"/>
    </row>
    <row r="2995" spans="3:3">
      <c r="C2995" s="2"/>
    </row>
    <row r="2996" spans="3:3">
      <c r="C2996" s="2"/>
    </row>
    <row r="2997" spans="3:3">
      <c r="C2997" s="2"/>
    </row>
    <row r="2998" spans="3:3">
      <c r="C2998" s="2"/>
    </row>
    <row r="2999" spans="3:3">
      <c r="C2999" s="2"/>
    </row>
    <row r="3000" spans="3:3">
      <c r="C3000" s="2"/>
    </row>
    <row r="3001" spans="3:3">
      <c r="C3001" s="2"/>
    </row>
    <row r="3002" spans="3:3">
      <c r="C3002" s="2"/>
    </row>
    <row r="3003" spans="3:3">
      <c r="C3003" s="2"/>
    </row>
    <row r="3004" spans="3:3">
      <c r="C3004" s="2"/>
    </row>
    <row r="3005" spans="3:3">
      <c r="C3005" s="2"/>
    </row>
    <row r="3006" spans="3:3">
      <c r="C3006" s="2"/>
    </row>
    <row r="3007" spans="3:3">
      <c r="C3007" s="2"/>
    </row>
    <row r="3008" spans="3:3">
      <c r="C3008" s="2"/>
    </row>
    <row r="3009" spans="3:3">
      <c r="C3009" s="2"/>
    </row>
    <row r="3010" spans="3:3">
      <c r="C3010" s="2"/>
    </row>
    <row r="3011" spans="3:3">
      <c r="C3011" s="2"/>
    </row>
    <row r="3012" spans="3:3">
      <c r="C3012" s="2"/>
    </row>
    <row r="3013" spans="3:3">
      <c r="C3013" s="2"/>
    </row>
    <row r="3014" spans="3:3">
      <c r="C3014" s="2"/>
    </row>
    <row r="3015" spans="3:3">
      <c r="C3015" s="2"/>
    </row>
    <row r="3016" spans="3:3">
      <c r="C3016" s="2"/>
    </row>
    <row r="3017" spans="3:3">
      <c r="C3017" s="2"/>
    </row>
    <row r="3018" spans="3:3">
      <c r="C3018" s="2"/>
    </row>
    <row r="3019" spans="3:3">
      <c r="C3019" s="2"/>
    </row>
    <row r="3020" spans="3:3">
      <c r="C3020" s="2"/>
    </row>
    <row r="3021" spans="3:3">
      <c r="C3021" s="2"/>
    </row>
    <row r="3022" spans="3:3">
      <c r="C3022" s="2"/>
    </row>
    <row r="3023" spans="3:3">
      <c r="C3023" s="2"/>
    </row>
    <row r="3024" spans="3:3">
      <c r="C3024" s="2"/>
    </row>
    <row r="3025" spans="3:3">
      <c r="C3025" s="2"/>
    </row>
    <row r="3026" spans="3:3">
      <c r="C3026" s="2"/>
    </row>
    <row r="3027" spans="3:3">
      <c r="C3027" s="2"/>
    </row>
    <row r="3028" spans="3:3">
      <c r="C3028" s="2"/>
    </row>
    <row r="3029" spans="3:3">
      <c r="C3029" s="2"/>
    </row>
    <row r="3030" spans="3:3">
      <c r="C3030" s="2"/>
    </row>
    <row r="3031" spans="3:3">
      <c r="C3031" s="2"/>
    </row>
    <row r="3032" spans="3:3">
      <c r="C3032" s="2"/>
    </row>
    <row r="3033" spans="3:3">
      <c r="C3033" s="2"/>
    </row>
    <row r="3034" spans="3:3">
      <c r="C3034" s="2"/>
    </row>
    <row r="3035" spans="3:3">
      <c r="C3035" s="2"/>
    </row>
    <row r="3036" spans="3:3">
      <c r="C3036" s="2"/>
    </row>
    <row r="3037" spans="3:3">
      <c r="C3037" s="2"/>
    </row>
    <row r="3038" spans="3:3">
      <c r="C3038" s="2"/>
    </row>
    <row r="3039" spans="3:3">
      <c r="C3039" s="2"/>
    </row>
    <row r="3040" spans="3:3">
      <c r="C3040" s="2"/>
    </row>
    <row r="3041" spans="3:3">
      <c r="C3041" s="2"/>
    </row>
    <row r="3042" spans="3:3">
      <c r="C3042" s="2"/>
    </row>
    <row r="3043" spans="3:3">
      <c r="C3043" s="2"/>
    </row>
    <row r="3044" spans="3:3">
      <c r="C3044" s="2"/>
    </row>
    <row r="3045" spans="3:3">
      <c r="C3045" s="2"/>
    </row>
    <row r="3046" spans="3:3">
      <c r="C3046" s="2"/>
    </row>
    <row r="3047" spans="3:3">
      <c r="C3047" s="2"/>
    </row>
    <row r="3048" spans="3:3">
      <c r="C3048" s="2"/>
    </row>
    <row r="3049" spans="3:3">
      <c r="C3049" s="2"/>
    </row>
    <row r="3050" spans="3:3">
      <c r="C3050" s="2"/>
    </row>
    <row r="3051" spans="3:3">
      <c r="C3051" s="2"/>
    </row>
    <row r="3052" spans="3:3">
      <c r="C3052" s="2"/>
    </row>
    <row r="3053" spans="3:3">
      <c r="C3053" s="2"/>
    </row>
    <row r="3054" spans="3:3">
      <c r="C3054" s="2"/>
    </row>
    <row r="3055" spans="3:3">
      <c r="C3055" s="2"/>
    </row>
    <row r="3056" spans="3:3">
      <c r="C3056" s="2"/>
    </row>
    <row r="3057" spans="3:3">
      <c r="C3057" s="2"/>
    </row>
    <row r="3058" spans="3:3">
      <c r="C3058" s="2"/>
    </row>
    <row r="3059" spans="3:3">
      <c r="C3059" s="2"/>
    </row>
    <row r="3060" spans="3:3">
      <c r="C3060" s="2"/>
    </row>
    <row r="3061" spans="3:3">
      <c r="C3061" s="2"/>
    </row>
    <row r="3062" spans="3:3">
      <c r="C3062" s="2"/>
    </row>
    <row r="3063" spans="3:3">
      <c r="C3063" s="2"/>
    </row>
    <row r="3064" spans="3:3">
      <c r="C3064" s="2"/>
    </row>
    <row r="3065" spans="3:3">
      <c r="C3065" s="2"/>
    </row>
    <row r="3066" spans="3:3">
      <c r="C3066" s="2"/>
    </row>
    <row r="3067" spans="3:3">
      <c r="C3067" s="2"/>
    </row>
    <row r="3068" spans="3:3">
      <c r="C3068" s="2"/>
    </row>
    <row r="3069" spans="3:3">
      <c r="C3069" s="2"/>
    </row>
    <row r="3070" spans="3:3">
      <c r="C3070" s="2"/>
    </row>
    <row r="3071" spans="3:3">
      <c r="C3071" s="2"/>
    </row>
    <row r="3072" spans="3:3">
      <c r="C3072" s="2"/>
    </row>
    <row r="3073" spans="3:3">
      <c r="C3073" s="2"/>
    </row>
    <row r="3074" spans="3:3">
      <c r="C3074" s="2"/>
    </row>
    <row r="3075" spans="3:3">
      <c r="C3075" s="2"/>
    </row>
    <row r="3076" spans="3:3">
      <c r="C3076" s="2"/>
    </row>
    <row r="3077" spans="3:3">
      <c r="C3077" s="2"/>
    </row>
    <row r="3078" spans="3:3">
      <c r="C3078" s="2"/>
    </row>
    <row r="3079" spans="3:3">
      <c r="C3079" s="2"/>
    </row>
    <row r="3080" spans="3:3">
      <c r="C3080" s="2"/>
    </row>
    <row r="3081" spans="3:3">
      <c r="C3081" s="2"/>
    </row>
    <row r="3082" spans="3:3">
      <c r="C3082" s="2"/>
    </row>
    <row r="3083" spans="3:3">
      <c r="C3083" s="2"/>
    </row>
    <row r="3084" spans="3:3">
      <c r="C3084" s="2"/>
    </row>
    <row r="3085" spans="3:3">
      <c r="C3085" s="2"/>
    </row>
    <row r="3086" spans="3:3">
      <c r="C3086" s="2"/>
    </row>
    <row r="3087" spans="3:3">
      <c r="C3087" s="2"/>
    </row>
    <row r="3088" spans="3:3">
      <c r="C3088" s="2"/>
    </row>
    <row r="3089" spans="3:3">
      <c r="C3089" s="2"/>
    </row>
    <row r="3090" spans="3:3">
      <c r="C3090" s="2"/>
    </row>
    <row r="3091" spans="3:3">
      <c r="C3091" s="2"/>
    </row>
    <row r="3092" spans="3:3">
      <c r="C3092" s="2"/>
    </row>
    <row r="3093" spans="3:3">
      <c r="C3093" s="2"/>
    </row>
    <row r="3094" spans="3:3">
      <c r="C3094" s="2"/>
    </row>
    <row r="3095" spans="3:3">
      <c r="C3095" s="2"/>
    </row>
    <row r="3096" spans="3:3">
      <c r="C3096" s="2"/>
    </row>
    <row r="3097" spans="3:3">
      <c r="C3097" s="2"/>
    </row>
    <row r="3098" spans="3:3">
      <c r="C3098" s="2"/>
    </row>
    <row r="3099" spans="3:3">
      <c r="C3099" s="2"/>
    </row>
    <row r="3100" spans="3:3">
      <c r="C3100" s="2"/>
    </row>
    <row r="3101" spans="3:3">
      <c r="C3101" s="2"/>
    </row>
    <row r="3102" spans="3:3">
      <c r="C3102" s="2"/>
    </row>
    <row r="3103" spans="3:3">
      <c r="C3103" s="2"/>
    </row>
    <row r="3104" spans="3:3">
      <c r="C3104" s="2"/>
    </row>
    <row r="3105" spans="3:3">
      <c r="C3105" s="2"/>
    </row>
    <row r="3106" spans="3:3">
      <c r="C3106" s="2"/>
    </row>
    <row r="3107" spans="3:3">
      <c r="C3107" s="2"/>
    </row>
    <row r="3108" spans="3:3">
      <c r="C3108" s="2"/>
    </row>
    <row r="3109" spans="3:3">
      <c r="C3109" s="2"/>
    </row>
    <row r="3110" spans="3:3">
      <c r="C3110" s="2"/>
    </row>
    <row r="3111" spans="3:3">
      <c r="C3111" s="2"/>
    </row>
    <row r="3112" spans="3:3">
      <c r="C3112" s="2"/>
    </row>
    <row r="3113" spans="3:3">
      <c r="C3113" s="2"/>
    </row>
    <row r="3114" spans="3:3">
      <c r="C3114" s="2"/>
    </row>
    <row r="3115" spans="3:3">
      <c r="C3115" s="2"/>
    </row>
    <row r="3116" spans="3:3">
      <c r="C3116" s="2"/>
    </row>
    <row r="3117" spans="3:3">
      <c r="C3117" s="2"/>
    </row>
    <row r="3118" spans="3:3">
      <c r="C3118" s="2"/>
    </row>
    <row r="3119" spans="3:3">
      <c r="C3119" s="2"/>
    </row>
    <row r="3120" spans="3:3">
      <c r="C3120" s="2"/>
    </row>
    <row r="3121" spans="3:3">
      <c r="C3121" s="2"/>
    </row>
    <row r="3122" spans="3:3">
      <c r="C3122" s="2"/>
    </row>
    <row r="3123" spans="3:3">
      <c r="C3123" s="2"/>
    </row>
    <row r="3124" spans="3:3">
      <c r="C3124" s="2"/>
    </row>
    <row r="3125" spans="3:3">
      <c r="C3125" s="2"/>
    </row>
    <row r="3126" spans="3:3">
      <c r="C3126" s="2"/>
    </row>
    <row r="3127" spans="3:3">
      <c r="C3127" s="2"/>
    </row>
    <row r="3128" spans="3:3">
      <c r="C3128" s="2"/>
    </row>
    <row r="3129" spans="3:3">
      <c r="C3129" s="2"/>
    </row>
    <row r="3130" spans="3:3">
      <c r="C3130" s="2"/>
    </row>
    <row r="3131" spans="3:3">
      <c r="C3131" s="2"/>
    </row>
    <row r="3132" spans="3:3">
      <c r="C3132" s="2"/>
    </row>
    <row r="3133" spans="3:3">
      <c r="C3133" s="2"/>
    </row>
    <row r="3134" spans="3:3">
      <c r="C3134" s="2"/>
    </row>
    <row r="3135" spans="3:3">
      <c r="C3135" s="2"/>
    </row>
    <row r="3136" spans="3:3">
      <c r="C3136" s="2"/>
    </row>
    <row r="3137" spans="3:3">
      <c r="C3137" s="2"/>
    </row>
    <row r="3138" spans="3:3">
      <c r="C3138" s="2"/>
    </row>
    <row r="3139" spans="3:3">
      <c r="C3139" s="2"/>
    </row>
    <row r="3140" spans="3:3">
      <c r="C3140" s="2"/>
    </row>
    <row r="3141" spans="3:3">
      <c r="C3141" s="2"/>
    </row>
    <row r="3142" spans="3:3">
      <c r="C3142" s="2"/>
    </row>
    <row r="3143" spans="3:3">
      <c r="C3143" s="2"/>
    </row>
    <row r="3144" spans="3:3">
      <c r="C3144" s="2"/>
    </row>
    <row r="3145" spans="3:3">
      <c r="C3145" s="2"/>
    </row>
    <row r="3146" spans="3:3">
      <c r="C3146" s="2"/>
    </row>
    <row r="3147" spans="3:3">
      <c r="C3147" s="2"/>
    </row>
    <row r="3148" spans="3:3">
      <c r="C3148" s="2"/>
    </row>
    <row r="3149" spans="3:3">
      <c r="C3149" s="2"/>
    </row>
    <row r="3150" spans="3:3">
      <c r="C3150" s="2"/>
    </row>
    <row r="3151" spans="3:3">
      <c r="C3151" s="2"/>
    </row>
    <row r="3152" spans="3:3">
      <c r="C3152" s="2"/>
    </row>
    <row r="3153" spans="3:3">
      <c r="C3153" s="2"/>
    </row>
    <row r="3154" spans="3:3">
      <c r="C3154" s="2"/>
    </row>
    <row r="3155" spans="3:3">
      <c r="C3155" s="2"/>
    </row>
    <row r="3156" spans="3:3">
      <c r="C3156" s="2"/>
    </row>
    <row r="3157" spans="3:3">
      <c r="C3157" s="2"/>
    </row>
    <row r="3158" spans="3:3">
      <c r="C3158" s="2"/>
    </row>
    <row r="3159" spans="3:3">
      <c r="C3159" s="2"/>
    </row>
    <row r="3160" spans="3:3">
      <c r="C3160" s="2"/>
    </row>
    <row r="3161" spans="3:3">
      <c r="C3161" s="2"/>
    </row>
    <row r="3162" spans="3:3">
      <c r="C3162" s="2"/>
    </row>
    <row r="3163" spans="3:3">
      <c r="C3163" s="2"/>
    </row>
    <row r="3164" spans="3:3">
      <c r="C3164" s="2"/>
    </row>
    <row r="3165" spans="3:3">
      <c r="C3165" s="2"/>
    </row>
    <row r="3166" spans="3:3">
      <c r="C3166" s="2"/>
    </row>
    <row r="3167" spans="3:3">
      <c r="C3167" s="2"/>
    </row>
    <row r="3168" spans="3:3">
      <c r="C3168" s="2"/>
    </row>
    <row r="3169" spans="3:3">
      <c r="C3169" s="2"/>
    </row>
    <row r="3170" spans="3:3">
      <c r="C3170" s="2"/>
    </row>
    <row r="3171" spans="3:3">
      <c r="C3171" s="2"/>
    </row>
    <row r="3172" spans="3:3">
      <c r="C3172" s="2"/>
    </row>
    <row r="3173" spans="3:3">
      <c r="C3173" s="2"/>
    </row>
    <row r="3174" spans="3:3">
      <c r="C3174" s="2"/>
    </row>
    <row r="3175" spans="3:3">
      <c r="C3175" s="2"/>
    </row>
    <row r="3176" spans="3:3">
      <c r="C3176" s="2"/>
    </row>
    <row r="3177" spans="3:3">
      <c r="C3177" s="2"/>
    </row>
    <row r="3178" spans="3:3">
      <c r="C3178" s="2"/>
    </row>
    <row r="3179" spans="3:3">
      <c r="C3179" s="2"/>
    </row>
    <row r="3180" spans="3:3">
      <c r="C3180" s="2"/>
    </row>
    <row r="3181" spans="3:3">
      <c r="C3181" s="2"/>
    </row>
    <row r="3182" spans="3:3">
      <c r="C3182" s="2"/>
    </row>
    <row r="3183" spans="3:3">
      <c r="C3183" s="2"/>
    </row>
    <row r="3184" spans="3:3">
      <c r="C3184" s="2"/>
    </row>
    <row r="3185" spans="3:3">
      <c r="C3185" s="2"/>
    </row>
    <row r="3186" spans="3:3">
      <c r="C3186" s="2"/>
    </row>
    <row r="3187" spans="3:3">
      <c r="C3187" s="2"/>
    </row>
    <row r="3188" spans="3:3">
      <c r="C3188" s="2"/>
    </row>
    <row r="3189" spans="3:3">
      <c r="C3189" s="2"/>
    </row>
    <row r="3190" spans="3:3">
      <c r="C3190" s="2"/>
    </row>
    <row r="3191" spans="3:3">
      <c r="C3191" s="2"/>
    </row>
    <row r="3192" spans="3:3">
      <c r="C3192" s="2"/>
    </row>
    <row r="3193" spans="3:3">
      <c r="C3193" s="2"/>
    </row>
    <row r="3194" spans="3:3">
      <c r="C3194" s="2"/>
    </row>
    <row r="3195" spans="3:3">
      <c r="C3195" s="2"/>
    </row>
    <row r="3196" spans="3:3">
      <c r="C3196" s="2"/>
    </row>
    <row r="3197" spans="3:3">
      <c r="C3197" s="2"/>
    </row>
    <row r="3198" spans="3:3">
      <c r="C3198" s="2"/>
    </row>
    <row r="3199" spans="3:3">
      <c r="C3199" s="2"/>
    </row>
    <row r="3200" spans="3:3">
      <c r="C3200" s="2"/>
    </row>
    <row r="3201" spans="3:3">
      <c r="C3201" s="2"/>
    </row>
    <row r="3202" spans="3:3">
      <c r="C3202" s="2"/>
    </row>
    <row r="3203" spans="3:3">
      <c r="C3203" s="2"/>
    </row>
    <row r="3204" spans="3:3">
      <c r="C3204" s="2"/>
    </row>
    <row r="3205" spans="3:3">
      <c r="C3205" s="2"/>
    </row>
    <row r="3206" spans="3:3">
      <c r="C3206" s="2"/>
    </row>
    <row r="3207" spans="3:3">
      <c r="C3207" s="2"/>
    </row>
    <row r="3208" spans="3:3">
      <c r="C3208" s="2"/>
    </row>
    <row r="3209" spans="3:3">
      <c r="C3209" s="2"/>
    </row>
    <row r="3210" spans="3:3">
      <c r="C3210" s="2"/>
    </row>
    <row r="3211" spans="3:3">
      <c r="C3211" s="2"/>
    </row>
    <row r="3212" spans="3:3">
      <c r="C3212" s="2"/>
    </row>
    <row r="3213" spans="3:3">
      <c r="C3213" s="2"/>
    </row>
    <row r="3214" spans="3:3">
      <c r="C3214" s="2"/>
    </row>
    <row r="3215" spans="3:3">
      <c r="C3215" s="2"/>
    </row>
    <row r="3216" spans="3:3">
      <c r="C3216" s="2"/>
    </row>
    <row r="3217" spans="3:3">
      <c r="C3217" s="2"/>
    </row>
    <row r="3218" spans="3:3">
      <c r="C3218" s="2"/>
    </row>
    <row r="3219" spans="3:3">
      <c r="C3219" s="2"/>
    </row>
    <row r="3220" spans="3:3">
      <c r="C3220" s="2"/>
    </row>
    <row r="3221" spans="3:3">
      <c r="C3221" s="2"/>
    </row>
    <row r="3222" spans="3:3">
      <c r="C3222" s="2"/>
    </row>
    <row r="3223" spans="3:3">
      <c r="C3223" s="2"/>
    </row>
    <row r="3224" spans="3:3">
      <c r="C3224" s="2"/>
    </row>
    <row r="3225" spans="3:3">
      <c r="C3225" s="2"/>
    </row>
    <row r="3226" spans="3:3">
      <c r="C3226" s="2"/>
    </row>
    <row r="3227" spans="3:3">
      <c r="C3227" s="2"/>
    </row>
    <row r="3228" spans="3:3">
      <c r="C3228" s="2"/>
    </row>
    <row r="3229" spans="3:3">
      <c r="C3229" s="2"/>
    </row>
    <row r="3230" spans="3:3">
      <c r="C3230" s="2"/>
    </row>
    <row r="3231" spans="3:3">
      <c r="C3231" s="2"/>
    </row>
    <row r="3232" spans="3:3">
      <c r="C3232" s="2"/>
    </row>
    <row r="3233" spans="3:3">
      <c r="C3233" s="2"/>
    </row>
    <row r="3234" spans="3:3">
      <c r="C3234" s="2"/>
    </row>
    <row r="3235" spans="3:3">
      <c r="C3235" s="2"/>
    </row>
    <row r="3236" spans="3:3">
      <c r="C3236" s="2"/>
    </row>
    <row r="3237" spans="3:3">
      <c r="C3237" s="2"/>
    </row>
    <row r="3238" spans="3:3">
      <c r="C3238" s="2"/>
    </row>
    <row r="3239" spans="3:3">
      <c r="C3239" s="2"/>
    </row>
    <row r="3240" spans="3:3">
      <c r="C3240" s="2"/>
    </row>
    <row r="3241" spans="3:3">
      <c r="C3241" s="2"/>
    </row>
    <row r="3242" spans="3:3">
      <c r="C3242" s="2"/>
    </row>
    <row r="3243" spans="3:3">
      <c r="C3243" s="2"/>
    </row>
    <row r="3244" spans="3:3">
      <c r="C3244" s="2"/>
    </row>
    <row r="3245" spans="3:3">
      <c r="C3245" s="2"/>
    </row>
    <row r="3246" spans="3:3">
      <c r="C3246" s="2"/>
    </row>
    <row r="3247" spans="3:3">
      <c r="C3247" s="2"/>
    </row>
    <row r="3248" spans="3:3">
      <c r="C3248" s="2"/>
    </row>
    <row r="3249" spans="3:3">
      <c r="C3249" s="2"/>
    </row>
    <row r="3250" spans="3:3">
      <c r="C3250" s="2"/>
    </row>
    <row r="3251" spans="3:3">
      <c r="C3251" s="2"/>
    </row>
    <row r="3252" spans="3:3">
      <c r="C3252" s="2"/>
    </row>
    <row r="3253" spans="3:3">
      <c r="C3253" s="2"/>
    </row>
    <row r="3254" spans="3:3">
      <c r="C3254" s="2"/>
    </row>
    <row r="3255" spans="3:3">
      <c r="C3255" s="2"/>
    </row>
    <row r="3256" spans="3:3">
      <c r="C3256" s="2"/>
    </row>
    <row r="3257" spans="3:3">
      <c r="C3257" s="2"/>
    </row>
    <row r="3258" spans="3:3">
      <c r="C3258" s="2"/>
    </row>
    <row r="3259" spans="3:3">
      <c r="C3259" s="2"/>
    </row>
    <row r="3260" spans="3:3">
      <c r="C3260" s="2"/>
    </row>
    <row r="3261" spans="3:3">
      <c r="C3261" s="2"/>
    </row>
    <row r="3262" spans="3:3">
      <c r="C3262" s="2"/>
    </row>
    <row r="3263" spans="3:3">
      <c r="C3263" s="2"/>
    </row>
    <row r="3264" spans="3:3">
      <c r="C3264" s="2"/>
    </row>
    <row r="3265" spans="3:3">
      <c r="C3265" s="2"/>
    </row>
    <row r="3266" spans="3:3">
      <c r="C3266" s="2"/>
    </row>
    <row r="3267" spans="3:3">
      <c r="C3267" s="2"/>
    </row>
    <row r="3268" spans="3:3">
      <c r="C3268" s="2"/>
    </row>
    <row r="3269" spans="3:3">
      <c r="C3269" s="2"/>
    </row>
    <row r="3270" spans="3:3">
      <c r="C3270" s="2"/>
    </row>
    <row r="3271" spans="3:3">
      <c r="C3271" s="2"/>
    </row>
    <row r="3272" spans="3:3">
      <c r="C3272" s="2"/>
    </row>
    <row r="3273" spans="3:3">
      <c r="C3273" s="2"/>
    </row>
    <row r="3274" spans="3:3">
      <c r="C3274" s="2"/>
    </row>
    <row r="3275" spans="3:3">
      <c r="C3275" s="2"/>
    </row>
    <row r="3276" spans="3:3">
      <c r="C3276" s="2"/>
    </row>
    <row r="3277" spans="3:3">
      <c r="C3277" s="2"/>
    </row>
    <row r="3278" spans="3:3">
      <c r="C3278" s="2"/>
    </row>
    <row r="3279" spans="3:3">
      <c r="C3279" s="2"/>
    </row>
    <row r="3280" spans="3:3">
      <c r="C3280" s="2"/>
    </row>
    <row r="3281" spans="3:3">
      <c r="C3281" s="2"/>
    </row>
    <row r="3282" spans="3:3">
      <c r="C3282" s="2"/>
    </row>
    <row r="3283" spans="3:3">
      <c r="C3283" s="2"/>
    </row>
    <row r="3284" spans="3:3">
      <c r="C3284" s="2"/>
    </row>
    <row r="3285" spans="3:3">
      <c r="C3285" s="2"/>
    </row>
    <row r="3286" spans="3:3">
      <c r="C3286" s="2"/>
    </row>
    <row r="3287" spans="3:3">
      <c r="C3287" s="2"/>
    </row>
    <row r="3288" spans="3:3">
      <c r="C3288" s="2"/>
    </row>
    <row r="3289" spans="3:3">
      <c r="C3289" s="2"/>
    </row>
    <row r="3290" spans="3:3">
      <c r="C3290" s="2"/>
    </row>
    <row r="3291" spans="3:3">
      <c r="C3291" s="2"/>
    </row>
    <row r="3292" spans="3:3">
      <c r="C3292" s="2"/>
    </row>
    <row r="3293" spans="3:3">
      <c r="C3293" s="2"/>
    </row>
    <row r="3294" spans="3:3">
      <c r="C3294" s="2"/>
    </row>
    <row r="3295" spans="3:3">
      <c r="C3295" s="2"/>
    </row>
    <row r="3296" spans="3:3">
      <c r="C3296" s="2"/>
    </row>
    <row r="3297" spans="3:3">
      <c r="C3297" s="2"/>
    </row>
    <row r="3298" spans="3:3">
      <c r="C3298" s="2"/>
    </row>
    <row r="3299" spans="3:3">
      <c r="C3299" s="2"/>
    </row>
    <row r="3300" spans="3:3">
      <c r="C3300" s="2"/>
    </row>
    <row r="3301" spans="3:3">
      <c r="C3301" s="2"/>
    </row>
    <row r="3302" spans="3:3">
      <c r="C3302" s="2"/>
    </row>
    <row r="3303" spans="3:3">
      <c r="C3303" s="2"/>
    </row>
    <row r="3304" spans="3:3">
      <c r="C3304" s="2"/>
    </row>
    <row r="3305" spans="3:3">
      <c r="C3305" s="2"/>
    </row>
    <row r="3306" spans="3:3">
      <c r="C3306" s="2"/>
    </row>
    <row r="3307" spans="3:3">
      <c r="C3307" s="2"/>
    </row>
    <row r="3308" spans="3:3">
      <c r="C3308" s="2"/>
    </row>
    <row r="3309" spans="3:3">
      <c r="C3309" s="2"/>
    </row>
    <row r="3310" spans="3:3">
      <c r="C3310" s="2"/>
    </row>
    <row r="3311" spans="3:3">
      <c r="C3311" s="2"/>
    </row>
    <row r="3312" spans="3:3">
      <c r="C3312" s="2"/>
    </row>
    <row r="3313" spans="3:3">
      <c r="C3313" s="2"/>
    </row>
    <row r="3314" spans="3:3">
      <c r="C3314" s="2"/>
    </row>
    <row r="3315" spans="3:3">
      <c r="C3315" s="2"/>
    </row>
    <row r="3316" spans="3:3">
      <c r="C3316" s="2"/>
    </row>
    <row r="3317" spans="3:3">
      <c r="C3317" s="2"/>
    </row>
    <row r="3318" spans="3:3">
      <c r="C3318" s="2"/>
    </row>
    <row r="3319" spans="3:3">
      <c r="C3319" s="2"/>
    </row>
    <row r="3320" spans="3:3">
      <c r="C3320" s="2"/>
    </row>
    <row r="3321" spans="3:3">
      <c r="C3321" s="2"/>
    </row>
    <row r="3322" spans="3:3">
      <c r="C3322" s="2"/>
    </row>
    <row r="3323" spans="3:3">
      <c r="C3323" s="2"/>
    </row>
    <row r="3324" spans="3:3">
      <c r="C3324" s="2"/>
    </row>
    <row r="3325" spans="3:3">
      <c r="C3325" s="2"/>
    </row>
    <row r="3326" spans="3:3">
      <c r="C3326" s="2"/>
    </row>
    <row r="3327" spans="3:3">
      <c r="C3327" s="2"/>
    </row>
    <row r="3328" spans="3:3">
      <c r="C3328" s="2"/>
    </row>
    <row r="3329" spans="3:3">
      <c r="C3329" s="2"/>
    </row>
    <row r="3330" spans="3:3">
      <c r="C3330" s="2"/>
    </row>
    <row r="3331" spans="3:3">
      <c r="C3331" s="2"/>
    </row>
    <row r="3332" spans="3:3">
      <c r="C3332" s="2"/>
    </row>
    <row r="3333" spans="3:3">
      <c r="C3333" s="2"/>
    </row>
    <row r="3334" spans="3:3">
      <c r="C3334" s="2"/>
    </row>
    <row r="3335" spans="3:3">
      <c r="C3335" s="2"/>
    </row>
    <row r="3336" spans="3:3">
      <c r="C3336" s="2"/>
    </row>
    <row r="3337" spans="3:3">
      <c r="C3337" s="2"/>
    </row>
    <row r="3338" spans="3:3">
      <c r="C3338" s="2"/>
    </row>
    <row r="3339" spans="3:3">
      <c r="C3339" s="2"/>
    </row>
    <row r="3340" spans="3:3">
      <c r="C3340" s="2"/>
    </row>
    <row r="3341" spans="3:3">
      <c r="C3341" s="2"/>
    </row>
    <row r="3342" spans="3:3">
      <c r="C3342" s="2"/>
    </row>
    <row r="3343" spans="3:3">
      <c r="C3343" s="2"/>
    </row>
    <row r="3344" spans="3:3">
      <c r="C3344" s="2"/>
    </row>
    <row r="3345" spans="3:3">
      <c r="C3345" s="2"/>
    </row>
    <row r="3346" spans="3:3">
      <c r="C3346" s="2"/>
    </row>
    <row r="3347" spans="3:3">
      <c r="C3347" s="2"/>
    </row>
    <row r="3348" spans="3:3">
      <c r="C3348" s="2"/>
    </row>
    <row r="3349" spans="3:3">
      <c r="C3349" s="2"/>
    </row>
    <row r="3350" spans="3:3">
      <c r="C3350" s="2"/>
    </row>
    <row r="3351" spans="3:3">
      <c r="C3351" s="2"/>
    </row>
    <row r="3352" spans="3:3">
      <c r="C3352" s="2"/>
    </row>
    <row r="3353" spans="3:3">
      <c r="C3353" s="2"/>
    </row>
    <row r="3354" spans="3:3">
      <c r="C3354" s="2"/>
    </row>
    <row r="3355" spans="3:3">
      <c r="C3355" s="2"/>
    </row>
    <row r="3356" spans="3:3">
      <c r="C3356" s="2"/>
    </row>
    <row r="3357" spans="3:3">
      <c r="C3357" s="2"/>
    </row>
    <row r="3358" spans="3:3">
      <c r="C3358" s="2"/>
    </row>
    <row r="3359" spans="3:3">
      <c r="C3359" s="2"/>
    </row>
    <row r="3360" spans="3:3">
      <c r="C3360" s="2"/>
    </row>
    <row r="3361" spans="3:3">
      <c r="C3361" s="2"/>
    </row>
    <row r="3362" spans="3:3">
      <c r="C3362" s="2"/>
    </row>
    <row r="3363" spans="3:3">
      <c r="C3363" s="2"/>
    </row>
    <row r="3364" spans="3:3">
      <c r="C3364" s="2"/>
    </row>
    <row r="3365" spans="3:3">
      <c r="C3365" s="2"/>
    </row>
    <row r="3366" spans="3:3">
      <c r="C3366" s="2"/>
    </row>
    <row r="3367" spans="3:3">
      <c r="C3367" s="2"/>
    </row>
    <row r="3368" spans="3:3">
      <c r="C3368" s="2"/>
    </row>
    <row r="3369" spans="3:3">
      <c r="C3369" s="2"/>
    </row>
    <row r="3370" spans="3:3">
      <c r="C3370" s="2"/>
    </row>
    <row r="3371" spans="3:3">
      <c r="C3371" s="2"/>
    </row>
    <row r="3372" spans="3:3">
      <c r="C3372" s="2"/>
    </row>
    <row r="3373" spans="3:3">
      <c r="C3373" s="2"/>
    </row>
    <row r="3374" spans="3:3">
      <c r="C3374" s="2"/>
    </row>
    <row r="3375" spans="3:3">
      <c r="C3375" s="2"/>
    </row>
    <row r="3376" spans="3:3">
      <c r="C3376" s="2"/>
    </row>
    <row r="3377" spans="3:3">
      <c r="C3377" s="2"/>
    </row>
    <row r="3378" spans="3:3">
      <c r="C3378" s="2"/>
    </row>
    <row r="3379" spans="3:3">
      <c r="C3379" s="2"/>
    </row>
    <row r="3380" spans="3:3">
      <c r="C3380" s="2"/>
    </row>
    <row r="3381" spans="3:3">
      <c r="C3381" s="2"/>
    </row>
    <row r="3382" spans="3:3">
      <c r="C3382" s="2"/>
    </row>
    <row r="3383" spans="3:3">
      <c r="C3383" s="2"/>
    </row>
    <row r="3384" spans="3:3">
      <c r="C3384" s="2"/>
    </row>
    <row r="3385" spans="3:3">
      <c r="C3385" s="2"/>
    </row>
    <row r="3386" spans="3:3">
      <c r="C3386" s="2"/>
    </row>
    <row r="3387" spans="3:3">
      <c r="C3387" s="2"/>
    </row>
    <row r="3388" spans="3:3">
      <c r="C3388" s="2"/>
    </row>
    <row r="3389" spans="3:3">
      <c r="C3389" s="2"/>
    </row>
    <row r="3390" spans="3:3">
      <c r="C3390" s="2"/>
    </row>
    <row r="3391" spans="3:3">
      <c r="C3391" s="2"/>
    </row>
    <row r="3392" spans="3:3">
      <c r="C3392" s="2"/>
    </row>
    <row r="3393" spans="3:3">
      <c r="C3393" s="2"/>
    </row>
    <row r="3394" spans="3:3">
      <c r="C3394" s="2"/>
    </row>
    <row r="3395" spans="3:3">
      <c r="C3395" s="2"/>
    </row>
    <row r="3396" spans="3:3">
      <c r="C3396" s="2"/>
    </row>
    <row r="3397" spans="3:3">
      <c r="C3397" s="2"/>
    </row>
    <row r="3398" spans="3:3">
      <c r="C3398" s="2"/>
    </row>
    <row r="3399" spans="3:3">
      <c r="C3399" s="2"/>
    </row>
    <row r="3400" spans="3:3">
      <c r="C3400" s="2"/>
    </row>
    <row r="3401" spans="3:3">
      <c r="C3401" s="2"/>
    </row>
    <row r="3402" spans="3:3">
      <c r="C3402" s="2"/>
    </row>
    <row r="3403" spans="3:3">
      <c r="C3403" s="2"/>
    </row>
    <row r="3404" spans="3:3">
      <c r="C3404" s="2"/>
    </row>
    <row r="3405" spans="3:3">
      <c r="C3405" s="2"/>
    </row>
    <row r="3406" spans="3:3">
      <c r="C3406" s="2"/>
    </row>
    <row r="3407" spans="3:3">
      <c r="C3407" s="2"/>
    </row>
    <row r="3408" spans="3:3">
      <c r="C3408" s="2"/>
    </row>
    <row r="3409" spans="3:3">
      <c r="C3409" s="2"/>
    </row>
    <row r="3410" spans="3:3">
      <c r="C3410" s="2"/>
    </row>
    <row r="3411" spans="3:3">
      <c r="C3411" s="2"/>
    </row>
    <row r="3412" spans="3:3">
      <c r="C3412" s="2"/>
    </row>
    <row r="3413" spans="3:3">
      <c r="C3413" s="2"/>
    </row>
    <row r="3414" spans="3:3">
      <c r="C3414" s="2"/>
    </row>
    <row r="3415" spans="3:3">
      <c r="C3415" s="2"/>
    </row>
    <row r="3416" spans="3:3">
      <c r="C3416" s="2"/>
    </row>
    <row r="3417" spans="3:3">
      <c r="C3417" s="2"/>
    </row>
    <row r="3418" spans="3:3">
      <c r="C3418" s="2"/>
    </row>
    <row r="3419" spans="3:3">
      <c r="C3419" s="2"/>
    </row>
    <row r="3420" spans="3:3">
      <c r="C3420" s="2"/>
    </row>
    <row r="3421" spans="3:3">
      <c r="C3421" s="2"/>
    </row>
    <row r="3422" spans="3:3">
      <c r="C3422" s="2"/>
    </row>
    <row r="3423" spans="3:3">
      <c r="C3423" s="2"/>
    </row>
    <row r="3424" spans="3:3">
      <c r="C3424" s="2"/>
    </row>
    <row r="3425" spans="3:3">
      <c r="C3425" s="2"/>
    </row>
    <row r="3426" spans="3:3">
      <c r="C3426" s="2"/>
    </row>
    <row r="3427" spans="3:3">
      <c r="C3427" s="2"/>
    </row>
    <row r="3428" spans="3:3">
      <c r="C3428" s="2"/>
    </row>
    <row r="3429" spans="3:3">
      <c r="C3429" s="2"/>
    </row>
    <row r="3430" spans="3:3">
      <c r="C3430" s="2"/>
    </row>
    <row r="3431" spans="3:3">
      <c r="C3431" s="2"/>
    </row>
    <row r="3432" spans="3:3">
      <c r="C3432" s="2"/>
    </row>
    <row r="3433" spans="3:3">
      <c r="C3433" s="2"/>
    </row>
    <row r="3434" spans="3:3">
      <c r="C3434" s="2"/>
    </row>
    <row r="3435" spans="3:3">
      <c r="C3435" s="2"/>
    </row>
    <row r="3436" spans="3:3">
      <c r="C3436" s="2"/>
    </row>
    <row r="3437" spans="3:3">
      <c r="C3437" s="2"/>
    </row>
    <row r="3438" spans="3:3">
      <c r="C3438" s="2"/>
    </row>
    <row r="3439" spans="3:3">
      <c r="C3439" s="2"/>
    </row>
    <row r="3440" spans="3:3">
      <c r="C3440" s="2"/>
    </row>
    <row r="3441" spans="3:3">
      <c r="C3441" s="2"/>
    </row>
    <row r="3442" spans="3:3">
      <c r="C3442" s="2"/>
    </row>
    <row r="3443" spans="3:3">
      <c r="C3443" s="2"/>
    </row>
    <row r="3444" spans="3:3">
      <c r="C3444" s="2"/>
    </row>
    <row r="3445" spans="3:3">
      <c r="C3445" s="2"/>
    </row>
    <row r="3446" spans="3:3">
      <c r="C3446" s="2"/>
    </row>
    <row r="3447" spans="3:3">
      <c r="C3447" s="2"/>
    </row>
    <row r="3448" spans="3:3">
      <c r="C3448" s="2"/>
    </row>
    <row r="3449" spans="3:3">
      <c r="C3449" s="2"/>
    </row>
    <row r="3450" spans="3:3">
      <c r="C3450" s="2"/>
    </row>
    <row r="3451" spans="3:3">
      <c r="C3451" s="2"/>
    </row>
    <row r="3452" spans="3:3">
      <c r="C3452" s="2"/>
    </row>
    <row r="3453" spans="3:3">
      <c r="C3453" s="2"/>
    </row>
    <row r="3454" spans="3:3">
      <c r="C3454" s="2"/>
    </row>
    <row r="3455" spans="3:3">
      <c r="C3455" s="2"/>
    </row>
    <row r="3456" spans="3:3">
      <c r="C3456" s="2"/>
    </row>
    <row r="3457" spans="3:3">
      <c r="C3457" s="2"/>
    </row>
    <row r="3458" spans="3:3">
      <c r="C3458" s="2"/>
    </row>
    <row r="3459" spans="3:3">
      <c r="C3459" s="2"/>
    </row>
    <row r="3460" spans="3:3">
      <c r="C3460" s="2"/>
    </row>
    <row r="3461" spans="3:3">
      <c r="C3461" s="2"/>
    </row>
    <row r="3462" spans="3:3">
      <c r="C3462" s="2"/>
    </row>
    <row r="3463" spans="3:3">
      <c r="C3463" s="2"/>
    </row>
    <row r="3464" spans="3:3">
      <c r="C3464" s="2"/>
    </row>
    <row r="3465" spans="3:3">
      <c r="C3465" s="2"/>
    </row>
    <row r="3466" spans="3:3">
      <c r="C3466" s="2"/>
    </row>
    <row r="3467" spans="3:3">
      <c r="C3467" s="2"/>
    </row>
    <row r="3468" spans="3:3">
      <c r="C3468" s="2"/>
    </row>
    <row r="3469" spans="3:3">
      <c r="C3469" s="2"/>
    </row>
    <row r="3470" spans="3:3">
      <c r="C3470" s="2"/>
    </row>
    <row r="3471" spans="3:3">
      <c r="C3471" s="2"/>
    </row>
    <row r="3472" spans="3:3">
      <c r="C3472" s="2"/>
    </row>
    <row r="3473" spans="3:3">
      <c r="C3473" s="2"/>
    </row>
    <row r="3474" spans="3:3">
      <c r="C3474" s="2"/>
    </row>
    <row r="3475" spans="3:3">
      <c r="C3475" s="2"/>
    </row>
    <row r="3476" spans="3:3">
      <c r="C3476" s="2"/>
    </row>
    <row r="3477" spans="3:3">
      <c r="C3477" s="2"/>
    </row>
    <row r="3478" spans="3:3">
      <c r="C3478" s="2"/>
    </row>
    <row r="3479" spans="3:3">
      <c r="C3479" s="2"/>
    </row>
    <row r="3480" spans="3:3">
      <c r="C3480" s="2"/>
    </row>
    <row r="3481" spans="3:3">
      <c r="C3481" s="2"/>
    </row>
    <row r="3482" spans="3:3">
      <c r="C3482" s="2"/>
    </row>
    <row r="3483" spans="3:3">
      <c r="C3483" s="2"/>
    </row>
    <row r="3484" spans="3:3">
      <c r="C3484" s="2"/>
    </row>
    <row r="3485" spans="3:3">
      <c r="C3485" s="2"/>
    </row>
    <row r="3486" spans="3:3">
      <c r="C3486" s="2"/>
    </row>
    <row r="3487" spans="3:3">
      <c r="C3487" s="2"/>
    </row>
    <row r="3488" spans="3:3">
      <c r="C3488" s="2"/>
    </row>
    <row r="3489" spans="3:3">
      <c r="C3489" s="2"/>
    </row>
    <row r="3490" spans="3:3">
      <c r="C3490" s="2"/>
    </row>
    <row r="3491" spans="3:3">
      <c r="C3491" s="2"/>
    </row>
    <row r="3492" spans="3:3">
      <c r="C3492" s="2"/>
    </row>
    <row r="3493" spans="3:3">
      <c r="C3493" s="2"/>
    </row>
    <row r="3494" spans="3:3">
      <c r="C3494" s="2"/>
    </row>
    <row r="3495" spans="3:3">
      <c r="C3495" s="2"/>
    </row>
    <row r="3496" spans="3:3">
      <c r="C3496" s="2"/>
    </row>
    <row r="3497" spans="3:3">
      <c r="C3497" s="2"/>
    </row>
    <row r="3498" spans="3:3">
      <c r="C3498" s="2"/>
    </row>
    <row r="3499" spans="3:3">
      <c r="C3499" s="2"/>
    </row>
    <row r="3500" spans="3:3">
      <c r="C3500" s="2"/>
    </row>
    <row r="3501" spans="3:3">
      <c r="C3501" s="2"/>
    </row>
    <row r="3502" spans="3:3">
      <c r="C3502" s="2"/>
    </row>
    <row r="3503" spans="3:3">
      <c r="C3503" s="2"/>
    </row>
    <row r="3504" spans="3:3">
      <c r="C3504" s="2"/>
    </row>
    <row r="3505" spans="3:3">
      <c r="C3505" s="2"/>
    </row>
    <row r="3506" spans="3:3">
      <c r="C3506" s="2"/>
    </row>
    <row r="3507" spans="3:3">
      <c r="C3507" s="2"/>
    </row>
    <row r="3508" spans="3:3">
      <c r="C3508" s="2"/>
    </row>
    <row r="3509" spans="3:3">
      <c r="C3509" s="2"/>
    </row>
    <row r="3510" spans="3:3">
      <c r="C3510" s="2"/>
    </row>
    <row r="3511" spans="3:3">
      <c r="C3511" s="2"/>
    </row>
    <row r="3512" spans="3:3">
      <c r="C3512" s="2"/>
    </row>
    <row r="3513" spans="3:3">
      <c r="C3513" s="2"/>
    </row>
    <row r="3514" spans="3:3">
      <c r="C3514" s="2"/>
    </row>
    <row r="3515" spans="3:3">
      <c r="C3515" s="2"/>
    </row>
    <row r="3516" spans="3:3">
      <c r="C3516" s="2"/>
    </row>
    <row r="3517" spans="3:3">
      <c r="C3517" s="2"/>
    </row>
    <row r="3518" spans="3:3">
      <c r="C3518" s="2"/>
    </row>
    <row r="3519" spans="3:3">
      <c r="C3519" s="2"/>
    </row>
    <row r="3520" spans="3:3">
      <c r="C3520" s="2"/>
    </row>
    <row r="3521" spans="3:3">
      <c r="C3521" s="2"/>
    </row>
    <row r="3522" spans="3:3">
      <c r="C3522" s="2"/>
    </row>
    <row r="3523" spans="3:3">
      <c r="C3523" s="2"/>
    </row>
    <row r="3524" spans="3:3">
      <c r="C3524" s="2"/>
    </row>
    <row r="3525" spans="3:3">
      <c r="C3525" s="2"/>
    </row>
    <row r="3526" spans="3:3">
      <c r="C3526" s="2"/>
    </row>
    <row r="3527" spans="3:3">
      <c r="C3527" s="2"/>
    </row>
    <row r="3528" spans="3:3">
      <c r="C3528" s="2"/>
    </row>
    <row r="3529" spans="3:3">
      <c r="C3529" s="2"/>
    </row>
    <row r="3530" spans="3:3">
      <c r="C3530" s="2"/>
    </row>
    <row r="3531" spans="3:3">
      <c r="C3531" s="2"/>
    </row>
    <row r="3532" spans="3:3">
      <c r="C3532" s="2"/>
    </row>
    <row r="3533" spans="3:3">
      <c r="C3533" s="2"/>
    </row>
    <row r="3534" spans="3:3">
      <c r="C3534" s="2"/>
    </row>
    <row r="3535" spans="3:3">
      <c r="C3535" s="2"/>
    </row>
    <row r="3536" spans="3:3">
      <c r="C3536" s="2"/>
    </row>
    <row r="3537" spans="3:3">
      <c r="C3537" s="2"/>
    </row>
    <row r="3538" spans="3:3">
      <c r="C3538" s="2"/>
    </row>
    <row r="3539" spans="3:3">
      <c r="C3539" s="2"/>
    </row>
    <row r="3540" spans="3:3">
      <c r="C3540" s="2"/>
    </row>
    <row r="3541" spans="3:3">
      <c r="C3541" s="2"/>
    </row>
    <row r="3542" spans="3:3">
      <c r="C3542" s="2"/>
    </row>
    <row r="3543" spans="3:3">
      <c r="C3543" s="2"/>
    </row>
    <row r="3544" spans="3:3">
      <c r="C3544" s="2"/>
    </row>
    <row r="3545" spans="3:3">
      <c r="C3545" s="2"/>
    </row>
    <row r="3546" spans="3:3">
      <c r="C3546" s="2"/>
    </row>
    <row r="3547" spans="3:3">
      <c r="C3547" s="2"/>
    </row>
    <row r="3548" spans="3:3">
      <c r="C3548" s="2"/>
    </row>
    <row r="3549" spans="3:3">
      <c r="C3549" s="2"/>
    </row>
    <row r="3550" spans="3:3">
      <c r="C3550" s="2"/>
    </row>
    <row r="3551" spans="3:3">
      <c r="C3551" s="2"/>
    </row>
    <row r="3552" spans="3:3">
      <c r="C3552" s="2"/>
    </row>
    <row r="3553" spans="3:3">
      <c r="C3553" s="2"/>
    </row>
    <row r="3554" spans="3:3">
      <c r="C3554" s="2"/>
    </row>
    <row r="3555" spans="3:3">
      <c r="C3555" s="2"/>
    </row>
    <row r="3556" spans="3:3">
      <c r="C3556" s="2"/>
    </row>
    <row r="3557" spans="3:3">
      <c r="C3557" s="2"/>
    </row>
    <row r="3558" spans="3:3">
      <c r="C3558" s="2"/>
    </row>
    <row r="3559" spans="3:3">
      <c r="C3559" s="2"/>
    </row>
    <row r="3560" spans="3:3">
      <c r="C3560" s="2"/>
    </row>
    <row r="3561" spans="3:3">
      <c r="C3561" s="2"/>
    </row>
    <row r="3562" spans="3:3">
      <c r="C3562" s="2"/>
    </row>
    <row r="3563" spans="3:3">
      <c r="C3563" s="2"/>
    </row>
    <row r="3564" spans="3:3">
      <c r="C3564" s="2"/>
    </row>
    <row r="3565" spans="3:3">
      <c r="C3565" s="2"/>
    </row>
    <row r="3566" spans="3:3">
      <c r="C3566" s="2"/>
    </row>
    <row r="3567" spans="3:3">
      <c r="C3567" s="2"/>
    </row>
    <row r="3568" spans="3:3">
      <c r="C3568" s="2"/>
    </row>
    <row r="3569" spans="3:3">
      <c r="C3569" s="2"/>
    </row>
    <row r="3570" spans="3:3">
      <c r="C3570" s="2"/>
    </row>
    <row r="3571" spans="3:3">
      <c r="C3571" s="2"/>
    </row>
    <row r="3572" spans="3:3">
      <c r="C3572" s="2"/>
    </row>
    <row r="3573" spans="3:3">
      <c r="C3573" s="2"/>
    </row>
    <row r="3574" spans="3:3">
      <c r="C3574" s="2"/>
    </row>
    <row r="3575" spans="3:3">
      <c r="C3575" s="2"/>
    </row>
    <row r="3576" spans="3:3">
      <c r="C3576" s="2"/>
    </row>
    <row r="3577" spans="3:3">
      <c r="C3577" s="2"/>
    </row>
    <row r="3578" spans="3:3">
      <c r="C3578" s="2"/>
    </row>
    <row r="3579" spans="3:3">
      <c r="C3579" s="2"/>
    </row>
    <row r="3580" spans="3:3">
      <c r="C3580" s="2"/>
    </row>
    <row r="3581" spans="3:3">
      <c r="C3581" s="2"/>
    </row>
    <row r="3582" spans="3:3">
      <c r="C3582" s="2"/>
    </row>
    <row r="3583" spans="3:3">
      <c r="C3583" s="2"/>
    </row>
    <row r="3584" spans="3:3">
      <c r="C3584" s="2"/>
    </row>
    <row r="3585" spans="3:3">
      <c r="C3585" s="2"/>
    </row>
    <row r="3586" spans="3:3">
      <c r="C3586" s="2"/>
    </row>
    <row r="3587" spans="3:3">
      <c r="C3587" s="2"/>
    </row>
    <row r="3588" spans="3:3">
      <c r="C3588" s="2"/>
    </row>
    <row r="3589" spans="3:3">
      <c r="C3589" s="2"/>
    </row>
    <row r="3590" spans="3:3">
      <c r="C3590" s="2"/>
    </row>
    <row r="3591" spans="3:3">
      <c r="C3591" s="2"/>
    </row>
    <row r="3592" spans="3:3">
      <c r="C3592" s="2"/>
    </row>
    <row r="3593" spans="3:3">
      <c r="C3593" s="2"/>
    </row>
    <row r="3594" spans="3:3">
      <c r="C3594" s="2"/>
    </row>
    <row r="3595" spans="3:3">
      <c r="C3595" s="2"/>
    </row>
    <row r="3596" spans="3:3">
      <c r="C3596" s="2"/>
    </row>
    <row r="3597" spans="3:3">
      <c r="C3597" s="2"/>
    </row>
    <row r="3598" spans="3:3">
      <c r="C3598" s="2"/>
    </row>
    <row r="3599" spans="3:3">
      <c r="C3599" s="2"/>
    </row>
    <row r="3600" spans="3:3">
      <c r="C3600" s="2"/>
    </row>
    <row r="3601" spans="3:3">
      <c r="C3601" s="2"/>
    </row>
    <row r="3602" spans="3:3">
      <c r="C3602" s="2"/>
    </row>
    <row r="3603" spans="3:3">
      <c r="C3603" s="2"/>
    </row>
    <row r="3604" spans="3:3">
      <c r="C3604" s="2"/>
    </row>
    <row r="3605" spans="3:3">
      <c r="C3605" s="2"/>
    </row>
    <row r="3606" spans="3:3">
      <c r="C3606" s="2"/>
    </row>
    <row r="3607" spans="3:3">
      <c r="C3607" s="2"/>
    </row>
    <row r="3608" spans="3:3">
      <c r="C3608" s="2"/>
    </row>
    <row r="3609" spans="3:3">
      <c r="C3609" s="2"/>
    </row>
    <row r="3610" spans="3:3">
      <c r="C3610" s="2"/>
    </row>
    <row r="3611" spans="3:3">
      <c r="C3611" s="2"/>
    </row>
    <row r="3612" spans="3:3">
      <c r="C3612" s="2"/>
    </row>
    <row r="3613" spans="3:3">
      <c r="C3613" s="2"/>
    </row>
    <row r="3614" spans="3:3">
      <c r="C3614" s="2"/>
    </row>
    <row r="3615" spans="3:3">
      <c r="C3615" s="2"/>
    </row>
    <row r="3616" spans="3:3">
      <c r="C3616" s="2"/>
    </row>
    <row r="3617" spans="3:3">
      <c r="C3617" s="2"/>
    </row>
    <row r="3618" spans="3:3">
      <c r="C3618" s="2"/>
    </row>
    <row r="3619" spans="3:3">
      <c r="C3619" s="2"/>
    </row>
    <row r="3620" spans="3:3">
      <c r="C3620" s="2"/>
    </row>
    <row r="3621" spans="3:3">
      <c r="C3621" s="2"/>
    </row>
    <row r="3622" spans="3:3">
      <c r="C3622" s="2"/>
    </row>
    <row r="3623" spans="3:3">
      <c r="C3623" s="2"/>
    </row>
    <row r="3624" spans="3:3">
      <c r="C3624" s="2"/>
    </row>
    <row r="3625" spans="3:3">
      <c r="C3625" s="2"/>
    </row>
    <row r="3626" spans="3:3">
      <c r="C3626" s="2"/>
    </row>
    <row r="3627" spans="3:3">
      <c r="C3627" s="2"/>
    </row>
    <row r="3628" spans="3:3">
      <c r="C3628" s="2"/>
    </row>
    <row r="3629" spans="3:3">
      <c r="C3629" s="2"/>
    </row>
    <row r="3630" spans="3:3">
      <c r="C3630" s="2"/>
    </row>
    <row r="3631" spans="3:3">
      <c r="C3631" s="2"/>
    </row>
    <row r="3632" spans="3:3">
      <c r="C3632" s="2"/>
    </row>
    <row r="3633" spans="3:3">
      <c r="C3633" s="2"/>
    </row>
    <row r="3634" spans="3:3">
      <c r="C3634" s="2"/>
    </row>
    <row r="3635" spans="3:3">
      <c r="C3635" s="2"/>
    </row>
    <row r="3636" spans="3:3">
      <c r="C3636" s="2"/>
    </row>
    <row r="3637" spans="3:3">
      <c r="C3637" s="2"/>
    </row>
    <row r="3638" spans="3:3">
      <c r="C3638" s="2"/>
    </row>
    <row r="3639" spans="3:3">
      <c r="C3639" s="2"/>
    </row>
    <row r="3640" spans="3:3">
      <c r="C3640" s="2"/>
    </row>
    <row r="3641" spans="3:3">
      <c r="C3641" s="2"/>
    </row>
    <row r="3642" spans="3:3">
      <c r="C3642" s="2"/>
    </row>
    <row r="3643" spans="3:3">
      <c r="C3643" s="2"/>
    </row>
    <row r="3644" spans="3:3">
      <c r="C3644" s="2"/>
    </row>
    <row r="3645" spans="3:3">
      <c r="C3645" s="2"/>
    </row>
    <row r="3646" spans="3:3">
      <c r="C3646" s="2"/>
    </row>
    <row r="3647" spans="3:3">
      <c r="C3647" s="2"/>
    </row>
    <row r="3648" spans="3:3">
      <c r="C3648" s="2"/>
    </row>
    <row r="3649" spans="3:3">
      <c r="C3649" s="2"/>
    </row>
    <row r="3650" spans="3:3">
      <c r="C3650" s="2"/>
    </row>
    <row r="3651" spans="3:3">
      <c r="C3651" s="2"/>
    </row>
    <row r="3652" spans="3:3">
      <c r="C3652" s="2"/>
    </row>
    <row r="3653" spans="3:3">
      <c r="C3653" s="2"/>
    </row>
    <row r="3654" spans="3:3">
      <c r="C3654" s="2"/>
    </row>
    <row r="3655" spans="3:3">
      <c r="C3655" s="2"/>
    </row>
    <row r="3656" spans="3:3">
      <c r="C3656" s="2"/>
    </row>
    <row r="3657" spans="3:3">
      <c r="C3657" s="2"/>
    </row>
    <row r="3658" spans="3:3">
      <c r="C3658" s="2"/>
    </row>
    <row r="3659" spans="3:3">
      <c r="C3659" s="2"/>
    </row>
    <row r="3660" spans="3:3">
      <c r="C3660" s="2"/>
    </row>
    <row r="3661" spans="3:3">
      <c r="C3661" s="2"/>
    </row>
    <row r="3662" spans="3:3">
      <c r="C3662" s="2"/>
    </row>
    <row r="3663" spans="3:3">
      <c r="C3663" s="2"/>
    </row>
    <row r="3664" spans="3:3">
      <c r="C3664" s="2"/>
    </row>
    <row r="3665" spans="3:3">
      <c r="C3665" s="2"/>
    </row>
    <row r="3666" spans="3:3">
      <c r="C3666" s="2"/>
    </row>
    <row r="3667" spans="3:3">
      <c r="C3667" s="2"/>
    </row>
    <row r="3668" spans="3:3">
      <c r="C3668" s="2"/>
    </row>
    <row r="3669" spans="3:3">
      <c r="C3669" s="2"/>
    </row>
    <row r="3670" spans="3:3">
      <c r="C3670" s="2"/>
    </row>
    <row r="3671" spans="3:3">
      <c r="C3671" s="2"/>
    </row>
    <row r="3672" spans="3:3">
      <c r="C3672" s="2"/>
    </row>
    <row r="3673" spans="3:3">
      <c r="C3673" s="2"/>
    </row>
    <row r="3674" spans="3:3">
      <c r="C3674" s="2"/>
    </row>
    <row r="3675" spans="3:3">
      <c r="C3675" s="2"/>
    </row>
    <row r="3676" spans="3:3">
      <c r="C3676" s="2"/>
    </row>
    <row r="3677" spans="3:3">
      <c r="C3677" s="2"/>
    </row>
    <row r="3678" spans="3:3">
      <c r="C3678" s="2"/>
    </row>
    <row r="3679" spans="3:3">
      <c r="C3679" s="2"/>
    </row>
    <row r="3680" spans="3:3">
      <c r="C3680" s="2"/>
    </row>
    <row r="3681" spans="3:3">
      <c r="C3681" s="2"/>
    </row>
    <row r="3682" spans="3:3">
      <c r="C3682" s="2"/>
    </row>
    <row r="3683" spans="3:3">
      <c r="C3683" s="2"/>
    </row>
    <row r="3684" spans="3:3">
      <c r="C3684" s="2"/>
    </row>
    <row r="3685" spans="3:3">
      <c r="C3685" s="2"/>
    </row>
    <row r="3686" spans="3:3">
      <c r="C3686" s="2"/>
    </row>
    <row r="3687" spans="3:3">
      <c r="C3687" s="2"/>
    </row>
    <row r="3688" spans="3:3">
      <c r="C3688" s="2"/>
    </row>
    <row r="3689" spans="3:3">
      <c r="C3689" s="2"/>
    </row>
    <row r="3690" spans="3:3">
      <c r="C3690" s="2"/>
    </row>
    <row r="3691" spans="3:3">
      <c r="C3691" s="2"/>
    </row>
    <row r="3692" spans="3:3">
      <c r="C3692" s="2"/>
    </row>
    <row r="3693" spans="3:3">
      <c r="C3693" s="2"/>
    </row>
    <row r="3694" spans="3:3">
      <c r="C3694" s="2"/>
    </row>
    <row r="3695" spans="3:3">
      <c r="C3695" s="2"/>
    </row>
    <row r="3696" spans="3:3">
      <c r="C3696" s="2"/>
    </row>
    <row r="3697" spans="3:3">
      <c r="C3697" s="2"/>
    </row>
    <row r="3698" spans="3:3">
      <c r="C3698" s="2"/>
    </row>
    <row r="3699" spans="3:3">
      <c r="C3699" s="2"/>
    </row>
    <row r="3700" spans="3:3">
      <c r="C3700" s="2"/>
    </row>
    <row r="3701" spans="3:3">
      <c r="C3701" s="2"/>
    </row>
    <row r="3702" spans="3:3">
      <c r="C3702" s="2"/>
    </row>
    <row r="3703" spans="3:3">
      <c r="C3703" s="2"/>
    </row>
    <row r="3704" spans="3:3">
      <c r="C3704" s="2"/>
    </row>
    <row r="3705" spans="3:3">
      <c r="C3705" s="2"/>
    </row>
    <row r="3706" spans="3:3">
      <c r="C3706" s="2"/>
    </row>
    <row r="3707" spans="3:3">
      <c r="C3707" s="2"/>
    </row>
    <row r="3708" spans="3:3">
      <c r="C3708" s="2"/>
    </row>
    <row r="3709" spans="3:3">
      <c r="C3709" s="2"/>
    </row>
    <row r="3710" spans="3:3">
      <c r="C3710" s="2"/>
    </row>
    <row r="3711" spans="3:3">
      <c r="C3711" s="2"/>
    </row>
    <row r="3712" spans="3:3">
      <c r="C3712" s="2"/>
    </row>
    <row r="3713" spans="3:3">
      <c r="C3713" s="2"/>
    </row>
    <row r="3714" spans="3:3">
      <c r="C3714" s="2"/>
    </row>
    <row r="3715" spans="3:3">
      <c r="C3715" s="2"/>
    </row>
    <row r="3716" spans="3:3">
      <c r="C3716" s="2"/>
    </row>
    <row r="3717" spans="3:3">
      <c r="C3717" s="2"/>
    </row>
    <row r="3718" spans="3:3">
      <c r="C3718" s="2"/>
    </row>
    <row r="3719" spans="3:3">
      <c r="C3719" s="2"/>
    </row>
    <row r="3720" spans="3:3">
      <c r="C3720" s="2"/>
    </row>
    <row r="3721" spans="3:3">
      <c r="C3721" s="2"/>
    </row>
    <row r="3722" spans="3:3">
      <c r="C3722" s="2"/>
    </row>
    <row r="3723" spans="3:3">
      <c r="C3723" s="2"/>
    </row>
    <row r="3724" spans="3:3">
      <c r="C3724" s="2"/>
    </row>
    <row r="3725" spans="3:3">
      <c r="C3725" s="2"/>
    </row>
    <row r="3726" spans="3:3">
      <c r="C3726" s="2"/>
    </row>
    <row r="3727" spans="3:3">
      <c r="C3727" s="2"/>
    </row>
    <row r="3728" spans="3:3">
      <c r="C3728" s="2"/>
    </row>
    <row r="3729" spans="3:3">
      <c r="C3729" s="2"/>
    </row>
    <row r="3730" spans="3:3">
      <c r="C3730" s="2"/>
    </row>
    <row r="3731" spans="3:3">
      <c r="C3731" s="2"/>
    </row>
    <row r="3732" spans="3:3">
      <c r="C3732" s="2"/>
    </row>
    <row r="3733" spans="3:3">
      <c r="C3733" s="2"/>
    </row>
    <row r="3734" spans="3:3">
      <c r="C3734" s="2"/>
    </row>
    <row r="3735" spans="3:3">
      <c r="C3735" s="2"/>
    </row>
    <row r="3736" spans="3:3">
      <c r="C3736" s="2"/>
    </row>
    <row r="3737" spans="3:3">
      <c r="C3737" s="2"/>
    </row>
    <row r="3738" spans="3:3">
      <c r="C3738" s="2"/>
    </row>
    <row r="3739" spans="3:3">
      <c r="C3739" s="2"/>
    </row>
    <row r="3740" spans="3:3">
      <c r="C3740" s="2"/>
    </row>
    <row r="3741" spans="3:3">
      <c r="C3741" s="2"/>
    </row>
    <row r="3742" spans="3:3">
      <c r="C3742" s="2"/>
    </row>
    <row r="3743" spans="3:3">
      <c r="C3743" s="2"/>
    </row>
    <row r="3744" spans="3:3">
      <c r="C3744" s="2"/>
    </row>
    <row r="3745" spans="3:3">
      <c r="C3745" s="2"/>
    </row>
    <row r="3746" spans="3:3">
      <c r="C3746" s="2"/>
    </row>
    <row r="3747" spans="3:3">
      <c r="C3747" s="2"/>
    </row>
    <row r="3748" spans="3:3">
      <c r="C3748" s="2"/>
    </row>
    <row r="3749" spans="3:3">
      <c r="C3749" s="2"/>
    </row>
    <row r="3750" spans="3:3">
      <c r="C3750" s="2"/>
    </row>
    <row r="3751" spans="3:3">
      <c r="C3751" s="2"/>
    </row>
    <row r="3752" spans="3:3">
      <c r="C3752" s="2"/>
    </row>
    <row r="3753" spans="3:3">
      <c r="C3753" s="2"/>
    </row>
    <row r="3754" spans="3:3">
      <c r="C3754" s="2"/>
    </row>
    <row r="3755" spans="3:3">
      <c r="C3755" s="2"/>
    </row>
    <row r="3756" spans="3:3">
      <c r="C3756" s="2"/>
    </row>
    <row r="3757" spans="3:3">
      <c r="C3757" s="2"/>
    </row>
    <row r="3758" spans="3:3">
      <c r="C3758" s="2"/>
    </row>
    <row r="3759" spans="3:3">
      <c r="C3759" s="2"/>
    </row>
    <row r="3760" spans="3:3">
      <c r="C3760" s="2"/>
    </row>
    <row r="3761" spans="3:3">
      <c r="C3761" s="2"/>
    </row>
    <row r="3762" spans="3:3">
      <c r="C3762" s="2"/>
    </row>
    <row r="3763" spans="3:3">
      <c r="C3763" s="2"/>
    </row>
    <row r="3764" spans="3:3">
      <c r="C3764" s="2"/>
    </row>
    <row r="3765" spans="3:3">
      <c r="C3765" s="2"/>
    </row>
    <row r="3766" spans="3:3">
      <c r="C3766" s="2"/>
    </row>
    <row r="3767" spans="3:3">
      <c r="C3767" s="2"/>
    </row>
    <row r="3768" spans="3:3">
      <c r="C3768" s="2"/>
    </row>
    <row r="3769" spans="3:3">
      <c r="C3769" s="2"/>
    </row>
    <row r="3770" spans="3:3">
      <c r="C3770" s="2"/>
    </row>
    <row r="3771" spans="3:3">
      <c r="C3771" s="2"/>
    </row>
    <row r="3772" spans="3:3">
      <c r="C3772" s="2"/>
    </row>
    <row r="3773" spans="3:3">
      <c r="C3773" s="2"/>
    </row>
    <row r="3774" spans="3:3">
      <c r="C3774" s="2"/>
    </row>
    <row r="3775" spans="3:3">
      <c r="C3775" s="2"/>
    </row>
    <row r="3776" spans="3:3">
      <c r="C3776" s="2"/>
    </row>
    <row r="3777" spans="3:3">
      <c r="C3777" s="2"/>
    </row>
    <row r="3778" spans="3:3">
      <c r="C3778" s="2"/>
    </row>
    <row r="3779" spans="3:3">
      <c r="C3779" s="2"/>
    </row>
    <row r="3780" spans="3:3">
      <c r="C3780" s="2"/>
    </row>
    <row r="3781" spans="3:3">
      <c r="C3781" s="2"/>
    </row>
    <row r="3782" spans="3:3">
      <c r="C3782" s="2"/>
    </row>
    <row r="3783" spans="3:3">
      <c r="C3783" s="2"/>
    </row>
    <row r="3784" spans="3:3">
      <c r="C3784" s="2"/>
    </row>
    <row r="3785" spans="3:3">
      <c r="C3785" s="2"/>
    </row>
    <row r="3786" spans="3:3">
      <c r="C3786" s="2"/>
    </row>
    <row r="3787" spans="3:3">
      <c r="C3787" s="2"/>
    </row>
    <row r="3788" spans="3:3">
      <c r="C3788" s="2"/>
    </row>
    <row r="3789" spans="3:3">
      <c r="C3789" s="2"/>
    </row>
    <row r="3790" spans="3:3">
      <c r="C3790" s="2"/>
    </row>
    <row r="3791" spans="3:3">
      <c r="C3791" s="2"/>
    </row>
    <row r="3792" spans="3:3">
      <c r="C3792" s="2"/>
    </row>
    <row r="3793" spans="3:3">
      <c r="C3793" s="2"/>
    </row>
    <row r="3794" spans="3:3">
      <c r="C3794" s="2"/>
    </row>
    <row r="3795" spans="3:3">
      <c r="C3795" s="2"/>
    </row>
    <row r="3796" spans="3:3">
      <c r="C3796" s="2"/>
    </row>
    <row r="3797" spans="3:3">
      <c r="C3797" s="2"/>
    </row>
    <row r="3798" spans="3:3">
      <c r="C3798" s="2"/>
    </row>
    <row r="3799" spans="3:3">
      <c r="C3799" s="2"/>
    </row>
    <row r="3800" spans="3:3">
      <c r="C3800" s="2"/>
    </row>
    <row r="3801" spans="3:3">
      <c r="C3801" s="2"/>
    </row>
    <row r="3802" spans="3:3">
      <c r="C3802" s="2"/>
    </row>
    <row r="3803" spans="3:3">
      <c r="C3803" s="2"/>
    </row>
    <row r="3804" spans="3:3">
      <c r="C3804" s="2"/>
    </row>
    <row r="3805" spans="3:3">
      <c r="C3805" s="2"/>
    </row>
    <row r="3806" spans="3:3">
      <c r="C3806" s="2"/>
    </row>
    <row r="3807" spans="3:3">
      <c r="C3807" s="2"/>
    </row>
    <row r="3808" spans="3:3">
      <c r="C3808" s="2"/>
    </row>
    <row r="3809" spans="3:3">
      <c r="C3809" s="2"/>
    </row>
    <row r="3810" spans="3:3">
      <c r="C3810" s="2"/>
    </row>
    <row r="3811" spans="3:3">
      <c r="C3811" s="2"/>
    </row>
    <row r="3812" spans="3:3">
      <c r="C3812" s="2"/>
    </row>
    <row r="3813" spans="3:3">
      <c r="C3813" s="2"/>
    </row>
    <row r="3814" spans="3:3">
      <c r="C3814" s="2"/>
    </row>
    <row r="3815" spans="3:3">
      <c r="C3815" s="2"/>
    </row>
    <row r="3816" spans="3:3">
      <c r="C3816" s="2"/>
    </row>
    <row r="3817" spans="3:3">
      <c r="C3817" s="2"/>
    </row>
    <row r="3818" spans="3:3">
      <c r="C3818" s="2"/>
    </row>
    <row r="3819" spans="3:3">
      <c r="C3819" s="2"/>
    </row>
    <row r="3820" spans="3:3">
      <c r="C3820" s="2"/>
    </row>
    <row r="3821" spans="3:3">
      <c r="C3821" s="2"/>
    </row>
    <row r="3822" spans="3:3">
      <c r="C3822" s="2"/>
    </row>
    <row r="3823" spans="3:3">
      <c r="C3823" s="2"/>
    </row>
    <row r="3824" spans="3:3">
      <c r="C3824" s="2"/>
    </row>
    <row r="3825" spans="3:3">
      <c r="C3825" s="2"/>
    </row>
    <row r="3826" spans="3:3">
      <c r="C3826" s="2"/>
    </row>
    <row r="3827" spans="3:3">
      <c r="C3827" s="2"/>
    </row>
    <row r="3828" spans="3:3">
      <c r="C3828" s="2"/>
    </row>
    <row r="3829" spans="3:3">
      <c r="C3829" s="2"/>
    </row>
    <row r="3830" spans="3:3">
      <c r="C3830" s="2"/>
    </row>
    <row r="3831" spans="3:3">
      <c r="C3831" s="2"/>
    </row>
    <row r="3832" spans="3:3">
      <c r="C3832" s="2"/>
    </row>
    <row r="3833" spans="3:3">
      <c r="C3833" s="2"/>
    </row>
    <row r="3834" spans="3:3">
      <c r="C3834" s="2"/>
    </row>
    <row r="3835" spans="3:3">
      <c r="C3835" s="2"/>
    </row>
    <row r="3836" spans="3:3">
      <c r="C3836" s="2"/>
    </row>
    <row r="3837" spans="3:3">
      <c r="C3837" s="2"/>
    </row>
    <row r="3838" spans="3:3">
      <c r="C3838" s="2"/>
    </row>
    <row r="3839" spans="3:3">
      <c r="C3839" s="2"/>
    </row>
    <row r="3840" spans="3:3">
      <c r="C3840" s="2"/>
    </row>
    <row r="3841" spans="3:3">
      <c r="C3841" s="2"/>
    </row>
    <row r="3842" spans="3:3">
      <c r="C3842" s="2"/>
    </row>
    <row r="3843" spans="3:3">
      <c r="C3843" s="2"/>
    </row>
    <row r="3844" spans="3:3">
      <c r="C3844" s="2"/>
    </row>
    <row r="3845" spans="3:3">
      <c r="C3845" s="2"/>
    </row>
    <row r="3846" spans="3:3">
      <c r="C3846" s="2"/>
    </row>
    <row r="3847" spans="3:3">
      <c r="C3847" s="2"/>
    </row>
    <row r="3848" spans="3:3">
      <c r="C3848" s="2"/>
    </row>
    <row r="3849" spans="3:3">
      <c r="C3849" s="2"/>
    </row>
    <row r="3850" spans="3:3">
      <c r="C3850" s="2"/>
    </row>
    <row r="3851" spans="3:3">
      <c r="C3851" s="2"/>
    </row>
    <row r="3852" spans="3:3">
      <c r="C3852" s="2"/>
    </row>
    <row r="3853" spans="3:3">
      <c r="C3853" s="2"/>
    </row>
    <row r="3854" spans="3:3">
      <c r="C3854" s="2"/>
    </row>
    <row r="3855" spans="3:3">
      <c r="C3855" s="2"/>
    </row>
    <row r="3856" spans="3:3">
      <c r="C3856" s="2"/>
    </row>
    <row r="3857" spans="3:3">
      <c r="C3857" s="2"/>
    </row>
    <row r="3858" spans="3:3">
      <c r="C3858" s="2"/>
    </row>
    <row r="3859" spans="3:3">
      <c r="C3859" s="2"/>
    </row>
    <row r="3860" spans="3:3">
      <c r="C3860" s="2"/>
    </row>
    <row r="3861" spans="3:3">
      <c r="C3861" s="2"/>
    </row>
    <row r="3862" spans="3:3">
      <c r="C3862" s="2"/>
    </row>
    <row r="3863" spans="3:3">
      <c r="C3863" s="2"/>
    </row>
    <row r="3864" spans="3:3">
      <c r="C3864" s="2"/>
    </row>
    <row r="3865" spans="3:3">
      <c r="C3865" s="2"/>
    </row>
    <row r="3866" spans="3:3">
      <c r="C3866" s="2"/>
    </row>
    <row r="3867" spans="3:3">
      <c r="C3867" s="2"/>
    </row>
    <row r="3868" spans="3:3">
      <c r="C3868" s="2"/>
    </row>
    <row r="3869" spans="3:3">
      <c r="C3869" s="2"/>
    </row>
    <row r="3870" spans="3:3">
      <c r="C3870" s="2"/>
    </row>
    <row r="3871" spans="3:3">
      <c r="C3871" s="2"/>
    </row>
    <row r="3872" spans="3:3">
      <c r="C3872" s="2"/>
    </row>
    <row r="3873" spans="3:3">
      <c r="C3873" s="2"/>
    </row>
    <row r="3874" spans="3:3">
      <c r="C3874" s="2"/>
    </row>
    <row r="3875" spans="3:3">
      <c r="C3875" s="2"/>
    </row>
    <row r="3876" spans="3:3">
      <c r="C3876" s="2"/>
    </row>
    <row r="3877" spans="3:3">
      <c r="C3877" s="2"/>
    </row>
    <row r="3878" spans="3:3">
      <c r="C3878" s="2"/>
    </row>
    <row r="3879" spans="3:3">
      <c r="C3879" s="2"/>
    </row>
    <row r="3880" spans="3:3">
      <c r="C3880" s="2"/>
    </row>
    <row r="3881" spans="3:3">
      <c r="C3881" s="2"/>
    </row>
    <row r="3882" spans="3:3">
      <c r="C3882" s="2"/>
    </row>
    <row r="3883" spans="3:3">
      <c r="C3883" s="2"/>
    </row>
    <row r="3884" spans="3:3">
      <c r="C3884" s="2"/>
    </row>
    <row r="3885" spans="3:3">
      <c r="C3885" s="2"/>
    </row>
    <row r="3886" spans="3:3">
      <c r="C3886" s="2"/>
    </row>
    <row r="3887" spans="3:3">
      <c r="C3887" s="2"/>
    </row>
    <row r="3888" spans="3:3">
      <c r="C3888" s="2"/>
    </row>
    <row r="3889" spans="3:3">
      <c r="C3889" s="2"/>
    </row>
    <row r="3890" spans="3:3">
      <c r="C3890" s="2"/>
    </row>
    <row r="3891" spans="3:3">
      <c r="C3891" s="2"/>
    </row>
    <row r="3892" spans="3:3">
      <c r="C3892" s="2"/>
    </row>
    <row r="3893" spans="3:3">
      <c r="C3893" s="2"/>
    </row>
    <row r="3894" spans="3:3">
      <c r="C3894" s="2"/>
    </row>
    <row r="3895" spans="3:3">
      <c r="C3895" s="2"/>
    </row>
    <row r="3896" spans="3:3">
      <c r="C3896" s="2"/>
    </row>
    <row r="3897" spans="3:3">
      <c r="C3897" s="2"/>
    </row>
    <row r="3898" spans="3:3">
      <c r="C3898" s="2"/>
    </row>
    <row r="3899" spans="3:3">
      <c r="C3899" s="2"/>
    </row>
    <row r="3900" spans="3:3">
      <c r="C3900" s="2"/>
    </row>
    <row r="3901" spans="3:3">
      <c r="C3901" s="2"/>
    </row>
    <row r="3902" spans="3:3">
      <c r="C3902" s="2"/>
    </row>
    <row r="3903" spans="3:3">
      <c r="C3903" s="2"/>
    </row>
    <row r="3904" spans="3:3">
      <c r="C3904" s="2"/>
    </row>
    <row r="3905" spans="3:3">
      <c r="C3905" s="2"/>
    </row>
    <row r="3906" spans="3:3">
      <c r="C3906" s="2"/>
    </row>
    <row r="3907" spans="3:3">
      <c r="C3907" s="2"/>
    </row>
    <row r="3908" spans="3:3">
      <c r="C3908" s="2"/>
    </row>
    <row r="3909" spans="3:3">
      <c r="C3909" s="2"/>
    </row>
    <row r="3910" spans="3:3">
      <c r="C3910" s="2"/>
    </row>
    <row r="3911" spans="3:3">
      <c r="C3911" s="2"/>
    </row>
    <row r="3912" spans="3:3">
      <c r="C3912" s="2"/>
    </row>
    <row r="3913" spans="3:3">
      <c r="C3913" s="2"/>
    </row>
    <row r="3914" spans="3:3">
      <c r="C3914" s="2"/>
    </row>
    <row r="3915" spans="3:3">
      <c r="C3915" s="2"/>
    </row>
    <row r="3916" spans="3:3">
      <c r="C3916" s="2"/>
    </row>
    <row r="3917" spans="3:3">
      <c r="C3917" s="2"/>
    </row>
    <row r="3918" spans="3:3">
      <c r="C3918" s="2"/>
    </row>
    <row r="3919" spans="3:3">
      <c r="C3919" s="2"/>
    </row>
    <row r="3920" spans="3:3">
      <c r="C3920" s="2"/>
    </row>
    <row r="3921" spans="3:3">
      <c r="C3921" s="2"/>
    </row>
    <row r="3922" spans="3:3">
      <c r="C3922" s="2"/>
    </row>
    <row r="3923" spans="3:3">
      <c r="C3923" s="2"/>
    </row>
    <row r="3924" spans="3:3">
      <c r="C3924" s="2"/>
    </row>
    <row r="3925" spans="3:3">
      <c r="C3925" s="2"/>
    </row>
    <row r="3926" spans="3:3">
      <c r="C3926" s="2"/>
    </row>
    <row r="3927" spans="3:3">
      <c r="C3927" s="2"/>
    </row>
    <row r="3928" spans="3:3">
      <c r="C3928" s="2"/>
    </row>
    <row r="3929" spans="3:3">
      <c r="C3929" s="2"/>
    </row>
    <row r="3930" spans="3:3">
      <c r="C3930" s="2"/>
    </row>
    <row r="3931" spans="3:3">
      <c r="C3931" s="2"/>
    </row>
    <row r="3932" spans="3:3">
      <c r="C3932" s="2"/>
    </row>
    <row r="3933" spans="3:3">
      <c r="C3933" s="2"/>
    </row>
    <row r="3934" spans="3:3">
      <c r="C3934" s="2"/>
    </row>
    <row r="3935" spans="3:3">
      <c r="C3935" s="2"/>
    </row>
    <row r="3936" spans="3:3">
      <c r="C3936" s="2"/>
    </row>
    <row r="3937" spans="3:3">
      <c r="C3937" s="2"/>
    </row>
    <row r="3938" spans="3:3">
      <c r="C3938" s="2"/>
    </row>
    <row r="3939" spans="3:3">
      <c r="C3939" s="2"/>
    </row>
    <row r="3940" spans="3:3">
      <c r="C3940" s="2"/>
    </row>
    <row r="3941" spans="3:3">
      <c r="C3941" s="2"/>
    </row>
    <row r="3942" spans="3:3">
      <c r="C3942" s="2"/>
    </row>
    <row r="3943" spans="3:3">
      <c r="C3943" s="2"/>
    </row>
    <row r="3944" spans="3:3">
      <c r="C3944" s="2"/>
    </row>
    <row r="3945" spans="3:3">
      <c r="C3945" s="2"/>
    </row>
    <row r="3946" spans="3:3">
      <c r="C3946" s="2"/>
    </row>
    <row r="3947" spans="3:3">
      <c r="C3947" s="2"/>
    </row>
    <row r="3948" spans="3:3">
      <c r="C3948" s="2"/>
    </row>
    <row r="3949" spans="3:3">
      <c r="C3949" s="2"/>
    </row>
    <row r="3950" spans="3:3">
      <c r="C3950" s="2"/>
    </row>
    <row r="3951" spans="3:3">
      <c r="C3951" s="2"/>
    </row>
    <row r="3952" spans="3:3">
      <c r="C3952" s="2"/>
    </row>
    <row r="3953" spans="3:3">
      <c r="C3953" s="2"/>
    </row>
    <row r="3954" spans="3:3">
      <c r="C3954" s="2"/>
    </row>
    <row r="3955" spans="3:3">
      <c r="C3955" s="2"/>
    </row>
    <row r="3956" spans="3:3">
      <c r="C3956" s="2"/>
    </row>
    <row r="3957" spans="3:3">
      <c r="C3957" s="2"/>
    </row>
    <row r="3958" spans="3:3">
      <c r="C3958" s="2"/>
    </row>
    <row r="3959" spans="3:3">
      <c r="C3959" s="2"/>
    </row>
    <row r="3960" spans="3:3">
      <c r="C3960" s="2"/>
    </row>
    <row r="3961" spans="3:3">
      <c r="C3961" s="2"/>
    </row>
    <row r="3962" spans="3:3">
      <c r="C3962" s="2"/>
    </row>
    <row r="3963" spans="3:3">
      <c r="C3963" s="2"/>
    </row>
    <row r="3964" spans="3:3">
      <c r="C3964" s="2"/>
    </row>
    <row r="3965" spans="3:3">
      <c r="C3965" s="2"/>
    </row>
    <row r="3966" spans="3:3">
      <c r="C3966" s="2"/>
    </row>
    <row r="3967" spans="3:3">
      <c r="C3967" s="2"/>
    </row>
    <row r="3968" spans="3:3">
      <c r="C3968" s="2"/>
    </row>
    <row r="3969" spans="3:3">
      <c r="C3969" s="2"/>
    </row>
    <row r="3970" spans="3:3">
      <c r="C3970" s="2"/>
    </row>
    <row r="3971" spans="3:3">
      <c r="C3971" s="2"/>
    </row>
    <row r="3972" spans="3:3">
      <c r="C3972" s="2"/>
    </row>
    <row r="3973" spans="3:3">
      <c r="C3973" s="2"/>
    </row>
    <row r="3974" spans="3:3">
      <c r="C3974" s="2"/>
    </row>
    <row r="3975" spans="3:3">
      <c r="C3975" s="2"/>
    </row>
    <row r="3976" spans="3:3">
      <c r="C3976" s="2"/>
    </row>
    <row r="3977" spans="3:3">
      <c r="C3977" s="2"/>
    </row>
    <row r="3978" spans="3:3">
      <c r="C3978" s="2"/>
    </row>
    <row r="3979" spans="3:3">
      <c r="C3979" s="2"/>
    </row>
    <row r="3980" spans="3:3">
      <c r="C3980" s="2"/>
    </row>
    <row r="3981" spans="3:3">
      <c r="C3981" s="2"/>
    </row>
    <row r="3982" spans="3:3">
      <c r="C3982" s="2"/>
    </row>
    <row r="3983" spans="3:3">
      <c r="C3983" s="2"/>
    </row>
    <row r="3984" spans="3:3">
      <c r="C3984" s="2"/>
    </row>
    <row r="3985" spans="3:3">
      <c r="C3985" s="2"/>
    </row>
    <row r="3986" spans="3:3">
      <c r="C3986" s="2"/>
    </row>
    <row r="3987" spans="3:3">
      <c r="C3987" s="2"/>
    </row>
    <row r="3988" spans="3:3">
      <c r="C3988" s="2"/>
    </row>
    <row r="3989" spans="3:3">
      <c r="C3989" s="2"/>
    </row>
    <row r="3990" spans="3:3">
      <c r="C3990" s="2"/>
    </row>
    <row r="3991" spans="3:3">
      <c r="C3991" s="2"/>
    </row>
    <row r="3992" spans="3:3">
      <c r="C3992" s="2"/>
    </row>
    <row r="3993" spans="3:3">
      <c r="C3993" s="2"/>
    </row>
    <row r="3994" spans="3:3">
      <c r="C3994" s="2"/>
    </row>
    <row r="3995" spans="3:3">
      <c r="C3995" s="2"/>
    </row>
    <row r="3996" spans="3:3">
      <c r="C3996" s="2"/>
    </row>
    <row r="3997" spans="3:3">
      <c r="C3997" s="2"/>
    </row>
    <row r="3998" spans="3:3">
      <c r="C3998" s="2"/>
    </row>
    <row r="3999" spans="3:3">
      <c r="C3999" s="2"/>
    </row>
    <row r="4000" spans="3:3">
      <c r="C4000" s="2"/>
    </row>
    <row r="4001" spans="3:3">
      <c r="C4001" s="2"/>
    </row>
    <row r="4002" spans="3:3">
      <c r="C4002" s="2"/>
    </row>
    <row r="4003" spans="3:3">
      <c r="C4003" s="2"/>
    </row>
    <row r="4004" spans="3:3">
      <c r="C4004" s="2"/>
    </row>
    <row r="4005" spans="3:3">
      <c r="C4005" s="2"/>
    </row>
    <row r="4006" spans="3:3">
      <c r="C4006" s="2"/>
    </row>
    <row r="4007" spans="3:3">
      <c r="C4007" s="2"/>
    </row>
    <row r="4008" spans="3:3">
      <c r="C4008" s="2"/>
    </row>
    <row r="4009" spans="3:3">
      <c r="C4009" s="2"/>
    </row>
    <row r="4010" spans="3:3">
      <c r="C4010" s="2"/>
    </row>
    <row r="4011" spans="3:3">
      <c r="C4011" s="2"/>
    </row>
    <row r="4012" spans="3:3">
      <c r="C4012" s="2"/>
    </row>
    <row r="4013" spans="3:3">
      <c r="C4013" s="2"/>
    </row>
    <row r="4014" spans="3:3">
      <c r="C4014" s="2"/>
    </row>
    <row r="4015" spans="3:3">
      <c r="C4015" s="2"/>
    </row>
    <row r="4016" spans="3:3">
      <c r="C4016" s="2"/>
    </row>
    <row r="4017" spans="3:3">
      <c r="C4017" s="2"/>
    </row>
    <row r="4018" spans="3:3">
      <c r="C4018" s="2"/>
    </row>
    <row r="4019" spans="3:3">
      <c r="C4019" s="2"/>
    </row>
    <row r="4020" spans="3:3">
      <c r="C4020" s="2"/>
    </row>
    <row r="4021" spans="3:3">
      <c r="C4021" s="2"/>
    </row>
    <row r="4022" spans="3:3">
      <c r="C4022" s="2"/>
    </row>
    <row r="4023" spans="3:3">
      <c r="C4023" s="2"/>
    </row>
    <row r="4024" spans="3:3">
      <c r="C4024" s="2"/>
    </row>
    <row r="4025" spans="3:3">
      <c r="C4025" s="2"/>
    </row>
    <row r="4026" spans="3:3">
      <c r="C4026" s="2"/>
    </row>
    <row r="4027" spans="3:3">
      <c r="C4027" s="2"/>
    </row>
    <row r="4028" spans="3:3">
      <c r="C4028" s="2"/>
    </row>
    <row r="4029" spans="3:3">
      <c r="C4029" s="2"/>
    </row>
    <row r="4030" spans="3:3">
      <c r="C4030" s="2"/>
    </row>
    <row r="4031" spans="3:3">
      <c r="C4031" s="2"/>
    </row>
    <row r="4032" spans="3:3">
      <c r="C4032" s="2"/>
    </row>
    <row r="4033" spans="3:3">
      <c r="C4033" s="2"/>
    </row>
    <row r="4034" spans="3:3">
      <c r="C4034" s="2"/>
    </row>
    <row r="4035" spans="3:3">
      <c r="C4035" s="2"/>
    </row>
    <row r="4036" spans="3:3">
      <c r="C4036" s="2"/>
    </row>
    <row r="4037" spans="3:3">
      <c r="C4037" s="2"/>
    </row>
    <row r="4038" spans="3:3">
      <c r="C4038" s="2"/>
    </row>
    <row r="4039" spans="3:3">
      <c r="C4039" s="2"/>
    </row>
    <row r="4040" spans="3:3">
      <c r="C4040" s="2"/>
    </row>
    <row r="4041" spans="3:3">
      <c r="C4041" s="2"/>
    </row>
    <row r="4042" spans="3:3">
      <c r="C4042" s="2"/>
    </row>
    <row r="4043" spans="3:3">
      <c r="C4043" s="2"/>
    </row>
    <row r="4044" spans="3:3">
      <c r="C4044" s="2"/>
    </row>
    <row r="4045" spans="3:3">
      <c r="C4045" s="2"/>
    </row>
    <row r="4046" spans="3:3">
      <c r="C4046" s="2"/>
    </row>
    <row r="4047" spans="3:3">
      <c r="C4047" s="2"/>
    </row>
    <row r="4048" spans="3:3">
      <c r="C4048" s="2"/>
    </row>
    <row r="4049" spans="3:3">
      <c r="C4049" s="2"/>
    </row>
    <row r="4050" spans="3:3">
      <c r="C4050" s="2"/>
    </row>
    <row r="4051" spans="3:3">
      <c r="C4051" s="2"/>
    </row>
    <row r="4052" spans="3:3">
      <c r="C4052" s="2"/>
    </row>
    <row r="4053" spans="3:3">
      <c r="C4053" s="2"/>
    </row>
    <row r="4054" spans="3:3">
      <c r="C4054" s="2"/>
    </row>
    <row r="4055" spans="3:3">
      <c r="C4055" s="2"/>
    </row>
    <row r="4056" spans="3:3">
      <c r="C4056" s="2"/>
    </row>
    <row r="4057" spans="3:3">
      <c r="C4057" s="2"/>
    </row>
    <row r="4058" spans="3:3">
      <c r="C4058" s="2"/>
    </row>
    <row r="4059" spans="3:3">
      <c r="C4059" s="2"/>
    </row>
    <row r="4060" spans="3:3">
      <c r="C4060" s="2"/>
    </row>
    <row r="4061" spans="3:3">
      <c r="C4061" s="2"/>
    </row>
    <row r="4062" spans="3:3">
      <c r="C4062" s="2"/>
    </row>
    <row r="4063" spans="3:3">
      <c r="C4063" s="2"/>
    </row>
    <row r="4064" spans="3:3">
      <c r="C4064" s="2"/>
    </row>
    <row r="4065" spans="3:3">
      <c r="C4065" s="2"/>
    </row>
    <row r="4066" spans="3:3">
      <c r="C4066" s="2"/>
    </row>
    <row r="4067" spans="3:3">
      <c r="C4067" s="2"/>
    </row>
    <row r="4068" spans="3:3">
      <c r="C4068" s="2"/>
    </row>
    <row r="4069" spans="3:3">
      <c r="C4069" s="2"/>
    </row>
    <row r="4070" spans="3:3">
      <c r="C4070" s="2"/>
    </row>
    <row r="4071" spans="3:3">
      <c r="C4071" s="2"/>
    </row>
    <row r="4072" spans="3:3">
      <c r="C4072" s="2"/>
    </row>
    <row r="4073" spans="3:3">
      <c r="C4073" s="2"/>
    </row>
    <row r="4074" spans="3:3">
      <c r="C4074" s="2"/>
    </row>
    <row r="4075" spans="3:3">
      <c r="C4075" s="2"/>
    </row>
    <row r="4076" spans="3:3">
      <c r="C4076" s="2"/>
    </row>
    <row r="4077" spans="3:3">
      <c r="C4077" s="2"/>
    </row>
    <row r="4078" spans="3:3">
      <c r="C4078" s="2"/>
    </row>
    <row r="4079" spans="3:3">
      <c r="C4079" s="2"/>
    </row>
    <row r="4080" spans="3:3">
      <c r="C4080" s="2"/>
    </row>
    <row r="4081" spans="3:3">
      <c r="C4081" s="2"/>
    </row>
    <row r="4082" spans="3:3">
      <c r="C4082" s="2"/>
    </row>
    <row r="4083" spans="3:3">
      <c r="C4083" s="2"/>
    </row>
    <row r="4084" spans="3:3">
      <c r="C4084" s="2"/>
    </row>
    <row r="4085" spans="3:3">
      <c r="C4085" s="2"/>
    </row>
    <row r="4086" spans="3:3">
      <c r="C4086" s="2"/>
    </row>
    <row r="4087" spans="3:3">
      <c r="C4087" s="2"/>
    </row>
    <row r="4088" spans="3:3">
      <c r="C4088" s="2"/>
    </row>
    <row r="4089" spans="3:3">
      <c r="C4089" s="2"/>
    </row>
    <row r="4090" spans="3:3">
      <c r="C4090" s="2"/>
    </row>
    <row r="4091" spans="3:3">
      <c r="C4091" s="2"/>
    </row>
    <row r="4092" spans="3:3">
      <c r="C4092" s="2"/>
    </row>
    <row r="4093" spans="3:3">
      <c r="C4093" s="2"/>
    </row>
    <row r="4094" spans="3:3">
      <c r="C4094" s="2"/>
    </row>
    <row r="4095" spans="3:3">
      <c r="C4095" s="2"/>
    </row>
    <row r="4096" spans="3:3">
      <c r="C4096" s="2"/>
    </row>
    <row r="4097" spans="3:3">
      <c r="C4097" s="2"/>
    </row>
    <row r="4098" spans="3:3">
      <c r="C4098" s="2"/>
    </row>
    <row r="4099" spans="3:3">
      <c r="C4099" s="2"/>
    </row>
    <row r="4100" spans="3:3">
      <c r="C4100" s="2"/>
    </row>
    <row r="4101" spans="3:3">
      <c r="C4101" s="2"/>
    </row>
    <row r="4102" spans="3:3">
      <c r="C4102" s="2"/>
    </row>
    <row r="4103" spans="3:3">
      <c r="C4103" s="2"/>
    </row>
    <row r="4104" spans="3:3">
      <c r="C4104" s="2"/>
    </row>
    <row r="4105" spans="3:3">
      <c r="C4105" s="2"/>
    </row>
    <row r="4106" spans="3:3">
      <c r="C4106" s="2"/>
    </row>
    <row r="4107" spans="3:3">
      <c r="C4107" s="2"/>
    </row>
    <row r="4108" spans="3:3">
      <c r="C4108" s="2"/>
    </row>
    <row r="4109" spans="3:3">
      <c r="C4109" s="2"/>
    </row>
    <row r="4110" spans="3:3">
      <c r="C4110" s="2"/>
    </row>
    <row r="4111" spans="3:3">
      <c r="C4111" s="2"/>
    </row>
    <row r="4112" spans="3:3">
      <c r="C4112" s="2"/>
    </row>
    <row r="4113" spans="3:3">
      <c r="C4113" s="2"/>
    </row>
    <row r="4114" spans="3:3">
      <c r="C4114" s="2"/>
    </row>
    <row r="4115" spans="3:3">
      <c r="C4115" s="2"/>
    </row>
    <row r="4116" spans="3:3">
      <c r="C4116" s="2"/>
    </row>
    <row r="4117" spans="3:3">
      <c r="C4117" s="2"/>
    </row>
    <row r="4118" spans="3:3">
      <c r="C4118" s="2"/>
    </row>
    <row r="4119" spans="3:3">
      <c r="C4119" s="2"/>
    </row>
    <row r="4120" spans="3:3">
      <c r="C4120" s="2"/>
    </row>
    <row r="4121" spans="3:3">
      <c r="C4121" s="2"/>
    </row>
    <row r="4122" spans="3:3">
      <c r="C4122" s="2"/>
    </row>
    <row r="4123" spans="3:3">
      <c r="C4123" s="2"/>
    </row>
    <row r="4124" spans="3:3">
      <c r="C4124" s="2"/>
    </row>
    <row r="4125" spans="3:3">
      <c r="C4125" s="2"/>
    </row>
    <row r="4126" spans="3:3">
      <c r="C4126" s="2"/>
    </row>
    <row r="4127" spans="3:3">
      <c r="C4127" s="2"/>
    </row>
    <row r="4128" spans="3:3">
      <c r="C4128" s="2"/>
    </row>
    <row r="4129" spans="3:3">
      <c r="C4129" s="2"/>
    </row>
    <row r="4130" spans="3:3">
      <c r="C4130" s="2"/>
    </row>
    <row r="4131" spans="3:3">
      <c r="C4131" s="2"/>
    </row>
    <row r="4132" spans="3:3">
      <c r="C4132" s="2"/>
    </row>
    <row r="4133" spans="3:3">
      <c r="C4133" s="2"/>
    </row>
    <row r="4134" spans="3:3">
      <c r="C4134" s="2"/>
    </row>
    <row r="4135" spans="3:3">
      <c r="C4135" s="2"/>
    </row>
    <row r="4136" spans="3:3">
      <c r="C4136" s="2"/>
    </row>
    <row r="4137" spans="3:3">
      <c r="C4137" s="2"/>
    </row>
    <row r="4138" spans="3:3">
      <c r="C4138" s="2"/>
    </row>
    <row r="4139" spans="3:3">
      <c r="C4139" s="2"/>
    </row>
    <row r="4140" spans="3:3">
      <c r="C4140" s="2"/>
    </row>
    <row r="4141" spans="3:3">
      <c r="C4141" s="2"/>
    </row>
    <row r="4142" spans="3:3">
      <c r="C4142" s="2"/>
    </row>
    <row r="4143" spans="3:3">
      <c r="C4143" s="2"/>
    </row>
    <row r="4144" spans="3:3">
      <c r="C4144" s="2"/>
    </row>
    <row r="4145" spans="3:3">
      <c r="C4145" s="2"/>
    </row>
    <row r="4146" spans="3:3">
      <c r="C4146" s="2"/>
    </row>
    <row r="4147" spans="3:3">
      <c r="C4147" s="2"/>
    </row>
    <row r="4148" spans="3:3">
      <c r="C4148" s="2"/>
    </row>
    <row r="4149" spans="3:3">
      <c r="C4149" s="2"/>
    </row>
    <row r="4150" spans="3:3">
      <c r="C4150" s="2"/>
    </row>
    <row r="4151" spans="3:3">
      <c r="C4151" s="2"/>
    </row>
    <row r="4152" spans="3:3">
      <c r="C4152" s="2"/>
    </row>
    <row r="4153" spans="3:3">
      <c r="C4153" s="2"/>
    </row>
    <row r="4154" spans="3:3">
      <c r="C4154" s="2"/>
    </row>
    <row r="4155" spans="3:3">
      <c r="C4155" s="2"/>
    </row>
    <row r="4156" spans="3:3">
      <c r="C4156" s="2"/>
    </row>
    <row r="4157" spans="3:3">
      <c r="C4157" s="2"/>
    </row>
    <row r="4158" spans="3:3">
      <c r="C4158" s="2"/>
    </row>
    <row r="4159" spans="3:3">
      <c r="C4159" s="2"/>
    </row>
    <row r="4160" spans="3:3">
      <c r="C4160" s="2"/>
    </row>
    <row r="4161" spans="3:3">
      <c r="C4161" s="2"/>
    </row>
    <row r="4162" spans="3:3">
      <c r="C4162" s="2"/>
    </row>
    <row r="4163" spans="3:3">
      <c r="C4163" s="2"/>
    </row>
    <row r="4164" spans="3:3">
      <c r="C4164" s="2"/>
    </row>
    <row r="4165" spans="3:3">
      <c r="C4165" s="2"/>
    </row>
    <row r="4166" spans="3:3">
      <c r="C4166" s="2"/>
    </row>
    <row r="4167" spans="3:3">
      <c r="C4167" s="2"/>
    </row>
    <row r="4168" spans="3:3">
      <c r="C4168" s="2"/>
    </row>
    <row r="4169" spans="3:3">
      <c r="C4169" s="2"/>
    </row>
    <row r="4170" spans="3:3">
      <c r="C4170" s="2"/>
    </row>
    <row r="4171" spans="3:3">
      <c r="C4171" s="2"/>
    </row>
    <row r="4172" spans="3:3">
      <c r="C4172" s="2"/>
    </row>
    <row r="4173" spans="3:3">
      <c r="C4173" s="2"/>
    </row>
    <row r="4174" spans="3:3">
      <c r="C4174" s="2"/>
    </row>
    <row r="4175" spans="3:3">
      <c r="C4175" s="2"/>
    </row>
    <row r="4176" spans="3:3">
      <c r="C4176" s="2"/>
    </row>
    <row r="4177" spans="3:3">
      <c r="C4177" s="2"/>
    </row>
    <row r="4178" spans="3:3">
      <c r="C4178" s="2"/>
    </row>
    <row r="4179" spans="3:3">
      <c r="C4179" s="2"/>
    </row>
    <row r="4180" spans="3:3">
      <c r="C4180" s="2"/>
    </row>
    <row r="4181" spans="3:3">
      <c r="C4181" s="2"/>
    </row>
    <row r="4182" spans="3:3">
      <c r="C4182" s="2"/>
    </row>
    <row r="4183" spans="3:3">
      <c r="C4183" s="2"/>
    </row>
    <row r="4184" spans="3:3">
      <c r="C4184" s="2"/>
    </row>
    <row r="4185" spans="3:3">
      <c r="C4185" s="2"/>
    </row>
    <row r="4186" spans="3:3">
      <c r="C4186" s="2"/>
    </row>
    <row r="4187" spans="3:3">
      <c r="C4187" s="2"/>
    </row>
    <row r="4188" spans="3:3">
      <c r="C4188" s="2"/>
    </row>
    <row r="4189" spans="3:3">
      <c r="C4189" s="2"/>
    </row>
    <row r="4190" spans="3:3">
      <c r="C4190" s="2"/>
    </row>
    <row r="4191" spans="3:3">
      <c r="C4191" s="2"/>
    </row>
    <row r="4192" spans="3:3">
      <c r="C4192" s="2"/>
    </row>
    <row r="4193" spans="3:3">
      <c r="C4193" s="2"/>
    </row>
    <row r="4194" spans="3:3">
      <c r="C4194" s="2"/>
    </row>
    <row r="4195" spans="3:3">
      <c r="C4195" s="2"/>
    </row>
    <row r="4196" spans="3:3">
      <c r="C4196" s="2"/>
    </row>
    <row r="4197" spans="3:3">
      <c r="C4197" s="2"/>
    </row>
    <row r="4198" spans="3:3">
      <c r="C4198" s="2"/>
    </row>
    <row r="4199" spans="3:3">
      <c r="C4199" s="2"/>
    </row>
    <row r="4200" spans="3:3">
      <c r="C4200" s="2"/>
    </row>
    <row r="4201" spans="3:3">
      <c r="C4201" s="2"/>
    </row>
    <row r="4202" spans="3:3">
      <c r="C4202" s="2"/>
    </row>
    <row r="4203" spans="3:3">
      <c r="C4203" s="2"/>
    </row>
    <row r="4204" spans="3:3">
      <c r="C4204" s="2"/>
    </row>
    <row r="4205" spans="3:3">
      <c r="C4205" s="2"/>
    </row>
    <row r="4206" spans="3:3">
      <c r="C4206" s="2"/>
    </row>
    <row r="4207" spans="3:3">
      <c r="C4207" s="2"/>
    </row>
    <row r="4208" spans="3:3">
      <c r="C4208" s="2"/>
    </row>
    <row r="4209" spans="3:3">
      <c r="C4209" s="2"/>
    </row>
    <row r="4210" spans="3:3">
      <c r="C4210" s="2"/>
    </row>
    <row r="4211" spans="3:3">
      <c r="C4211" s="2"/>
    </row>
    <row r="4212" spans="3:3">
      <c r="C4212" s="2"/>
    </row>
    <row r="4213" spans="3:3">
      <c r="C4213" s="2"/>
    </row>
    <row r="4214" spans="3:3">
      <c r="C4214" s="2"/>
    </row>
    <row r="4215" spans="3:3">
      <c r="C4215" s="2"/>
    </row>
    <row r="4216" spans="3:3">
      <c r="C4216" s="2"/>
    </row>
    <row r="4217" spans="3:3">
      <c r="C4217" s="2"/>
    </row>
    <row r="4218" spans="3:3">
      <c r="C4218" s="2"/>
    </row>
    <row r="4219" spans="3:3">
      <c r="C4219" s="2"/>
    </row>
    <row r="4220" spans="3:3">
      <c r="C4220" s="2"/>
    </row>
    <row r="4221" spans="3:3">
      <c r="C4221" s="2"/>
    </row>
    <row r="4222" spans="3:3">
      <c r="C4222" s="2"/>
    </row>
    <row r="4223" spans="3:3">
      <c r="C4223" s="2"/>
    </row>
    <row r="4224" spans="3:3">
      <c r="C4224" s="2"/>
    </row>
    <row r="4225" spans="3:3">
      <c r="C4225" s="2"/>
    </row>
    <row r="4226" spans="3:3">
      <c r="C4226" s="2"/>
    </row>
    <row r="4227" spans="3:3">
      <c r="C4227" s="2"/>
    </row>
    <row r="4228" spans="3:3">
      <c r="C4228" s="2"/>
    </row>
    <row r="4229" spans="3:3">
      <c r="C4229" s="2"/>
    </row>
    <row r="4230" spans="3:3">
      <c r="C4230" s="2"/>
    </row>
    <row r="4231" spans="3:3">
      <c r="C4231" s="2"/>
    </row>
    <row r="4232" spans="3:3">
      <c r="C4232" s="2"/>
    </row>
    <row r="4233" spans="3:3">
      <c r="C4233" s="2"/>
    </row>
    <row r="4234" spans="3:3">
      <c r="C4234" s="2"/>
    </row>
    <row r="4235" spans="3:3">
      <c r="C4235" s="2"/>
    </row>
    <row r="4236" spans="3:3">
      <c r="C4236" s="2"/>
    </row>
    <row r="4237" spans="3:3">
      <c r="C4237" s="2"/>
    </row>
    <row r="4238" spans="3:3">
      <c r="C4238" s="2"/>
    </row>
    <row r="4239" spans="3:3">
      <c r="C4239" s="2"/>
    </row>
    <row r="4240" spans="3:3">
      <c r="C4240" s="2"/>
    </row>
    <row r="4241" spans="3:3">
      <c r="C4241" s="2"/>
    </row>
    <row r="4242" spans="3:3">
      <c r="C4242" s="2"/>
    </row>
    <row r="4243" spans="3:3">
      <c r="C4243" s="2"/>
    </row>
    <row r="4244" spans="3:3">
      <c r="C4244" s="2"/>
    </row>
    <row r="4245" spans="3:3">
      <c r="C4245" s="2"/>
    </row>
    <row r="4246" spans="3:3">
      <c r="C4246" s="2"/>
    </row>
    <row r="4247" spans="3:3">
      <c r="C4247" s="2"/>
    </row>
    <row r="4248" spans="3:3">
      <c r="C4248" s="2"/>
    </row>
    <row r="4249" spans="3:3">
      <c r="C4249" s="2"/>
    </row>
    <row r="4250" spans="3:3">
      <c r="C4250" s="2"/>
    </row>
    <row r="4251" spans="3:3">
      <c r="C4251" s="2"/>
    </row>
    <row r="4252" spans="3:3">
      <c r="C4252" s="2"/>
    </row>
    <row r="4253" spans="3:3">
      <c r="C4253" s="2"/>
    </row>
    <row r="4254" spans="3:3">
      <c r="C4254" s="2"/>
    </row>
    <row r="4255" spans="3:3">
      <c r="C4255" s="2"/>
    </row>
    <row r="4256" spans="3:3">
      <c r="C4256" s="2"/>
    </row>
    <row r="4257" spans="3:3">
      <c r="C4257" s="2"/>
    </row>
    <row r="4258" spans="3:3">
      <c r="C4258" s="2"/>
    </row>
    <row r="4259" spans="3:3">
      <c r="C4259" s="2"/>
    </row>
    <row r="4260" spans="3:3">
      <c r="C4260" s="2"/>
    </row>
    <row r="4261" spans="3:3">
      <c r="C4261" s="2"/>
    </row>
    <row r="4262" spans="3:3">
      <c r="C4262" s="2"/>
    </row>
    <row r="4263" spans="3:3">
      <c r="C4263" s="2"/>
    </row>
    <row r="4264" spans="3:3">
      <c r="C4264" s="2"/>
    </row>
    <row r="4265" spans="3:3">
      <c r="C4265" s="2"/>
    </row>
    <row r="4266" spans="3:3">
      <c r="C4266" s="2"/>
    </row>
    <row r="4267" spans="3:3">
      <c r="C4267" s="2"/>
    </row>
    <row r="4268" spans="3:3">
      <c r="C4268" s="2"/>
    </row>
    <row r="4269" spans="3:3">
      <c r="C4269" s="2"/>
    </row>
    <row r="4270" spans="3:3">
      <c r="C4270" s="2"/>
    </row>
    <row r="4271" spans="3:3">
      <c r="C4271" s="2"/>
    </row>
    <row r="4272" spans="3:3">
      <c r="C4272" s="2"/>
    </row>
    <row r="4273" spans="3:3">
      <c r="C4273" s="2"/>
    </row>
    <row r="4274" spans="3:3">
      <c r="C4274" s="2"/>
    </row>
    <row r="4275" spans="3:3">
      <c r="C4275" s="2"/>
    </row>
    <row r="4276" spans="3:3">
      <c r="C4276" s="2"/>
    </row>
    <row r="4277" spans="3:3">
      <c r="C4277" s="2"/>
    </row>
    <row r="4278" spans="3:3">
      <c r="C4278" s="2"/>
    </row>
    <row r="4279" spans="3:3">
      <c r="C4279" s="2"/>
    </row>
    <row r="4280" spans="3:3">
      <c r="C4280" s="2"/>
    </row>
    <row r="4281" spans="3:3">
      <c r="C4281" s="2"/>
    </row>
    <row r="4282" spans="3:3">
      <c r="C4282" s="2"/>
    </row>
    <row r="4283" spans="3:3">
      <c r="C4283" s="2"/>
    </row>
    <row r="4284" spans="3:3">
      <c r="C4284" s="2"/>
    </row>
    <row r="4285" spans="3:3">
      <c r="C4285" s="2"/>
    </row>
    <row r="4286" spans="3:3">
      <c r="C4286" s="2"/>
    </row>
    <row r="4287" spans="3:3">
      <c r="C4287" s="2"/>
    </row>
    <row r="4288" spans="3:3">
      <c r="C4288" s="2"/>
    </row>
    <row r="4289" spans="3:3">
      <c r="C4289" s="2"/>
    </row>
    <row r="4290" spans="3:3">
      <c r="C4290" s="2"/>
    </row>
    <row r="4291" spans="3:3">
      <c r="C4291" s="2"/>
    </row>
    <row r="4292" spans="3:3">
      <c r="C4292" s="2"/>
    </row>
    <row r="4293" spans="3:3">
      <c r="C4293" s="2"/>
    </row>
    <row r="4294" spans="3:3">
      <c r="C4294" s="2"/>
    </row>
    <row r="4295" spans="3:3">
      <c r="C4295" s="2"/>
    </row>
    <row r="4296" spans="3:3">
      <c r="C4296" s="2"/>
    </row>
    <row r="4297" spans="3:3">
      <c r="C4297" s="2"/>
    </row>
    <row r="4298" spans="3:3">
      <c r="C4298" s="2"/>
    </row>
    <row r="4299" spans="3:3">
      <c r="C4299" s="2"/>
    </row>
    <row r="4300" spans="3:3">
      <c r="C4300" s="2"/>
    </row>
    <row r="4301" spans="3:3">
      <c r="C4301" s="2"/>
    </row>
    <row r="4302" spans="3:3">
      <c r="C4302" s="2"/>
    </row>
    <row r="4303" spans="3:3">
      <c r="C4303" s="2"/>
    </row>
    <row r="4304" spans="3:3">
      <c r="C4304" s="2"/>
    </row>
    <row r="4305" spans="3:3">
      <c r="C4305" s="2"/>
    </row>
    <row r="4306" spans="3:3">
      <c r="C4306" s="2"/>
    </row>
    <row r="4307" spans="3:3">
      <c r="C4307" s="2"/>
    </row>
    <row r="4308" spans="3:3">
      <c r="C4308" s="2"/>
    </row>
    <row r="4309" spans="3:3">
      <c r="C4309" s="2"/>
    </row>
    <row r="4310" spans="3:3">
      <c r="C4310" s="2"/>
    </row>
    <row r="4311" spans="3:3">
      <c r="C4311" s="2"/>
    </row>
    <row r="4312" spans="3:3">
      <c r="C4312" s="2"/>
    </row>
    <row r="4313" spans="3:3">
      <c r="C4313" s="2"/>
    </row>
    <row r="4314" spans="3:3">
      <c r="C4314" s="2"/>
    </row>
    <row r="4315" spans="3:3">
      <c r="C4315" s="2"/>
    </row>
    <row r="4316" spans="3:3">
      <c r="C4316" s="2"/>
    </row>
    <row r="4317" spans="3:3">
      <c r="C4317" s="2"/>
    </row>
    <row r="4318" spans="3:3">
      <c r="C4318" s="2"/>
    </row>
    <row r="4319" spans="3:3">
      <c r="C4319" s="2"/>
    </row>
    <row r="4320" spans="3:3">
      <c r="C4320" s="2"/>
    </row>
    <row r="4321" spans="3:3">
      <c r="C4321" s="2"/>
    </row>
    <row r="4322" spans="3:3">
      <c r="C4322" s="2"/>
    </row>
    <row r="4323" spans="3:3">
      <c r="C4323" s="2"/>
    </row>
    <row r="4324" spans="3:3">
      <c r="C4324" s="2"/>
    </row>
    <row r="4325" spans="3:3">
      <c r="C4325" s="2"/>
    </row>
    <row r="4326" spans="3:3">
      <c r="C4326" s="2"/>
    </row>
    <row r="4327" spans="3:3">
      <c r="C4327" s="2"/>
    </row>
    <row r="4328" spans="3:3">
      <c r="C4328" s="2"/>
    </row>
    <row r="4329" spans="3:3">
      <c r="C4329" s="2"/>
    </row>
    <row r="4330" spans="3:3">
      <c r="C4330" s="2"/>
    </row>
    <row r="4331" spans="3:3">
      <c r="C4331" s="2"/>
    </row>
    <row r="4332" spans="3:3">
      <c r="C4332" s="2"/>
    </row>
    <row r="4333" spans="3:3">
      <c r="C4333" s="2"/>
    </row>
    <row r="4334" spans="3:3">
      <c r="C4334" s="2"/>
    </row>
    <row r="4335" spans="3:3">
      <c r="C4335" s="2"/>
    </row>
    <row r="4336" spans="3:3">
      <c r="C4336" s="2"/>
    </row>
    <row r="4337" spans="3:3">
      <c r="C4337" s="2"/>
    </row>
    <row r="4338" spans="3:3">
      <c r="C4338" s="2"/>
    </row>
    <row r="4339" spans="3:3">
      <c r="C4339" s="2"/>
    </row>
    <row r="4340" spans="3:3">
      <c r="C4340" s="2"/>
    </row>
    <row r="4341" spans="3:3">
      <c r="C4341" s="2"/>
    </row>
    <row r="4342" spans="3:3">
      <c r="C4342" s="2"/>
    </row>
    <row r="4343" spans="3:3">
      <c r="C4343" s="2"/>
    </row>
    <row r="4344" spans="3:3">
      <c r="C4344" s="2"/>
    </row>
    <row r="4345" spans="3:3">
      <c r="C4345" s="2"/>
    </row>
    <row r="4346" spans="3:3">
      <c r="C4346" s="2"/>
    </row>
    <row r="4347" spans="3:3">
      <c r="C4347" s="2"/>
    </row>
    <row r="4348" spans="3:3">
      <c r="C4348" s="2"/>
    </row>
    <row r="4349" spans="3:3">
      <c r="C4349" s="2"/>
    </row>
    <row r="4350" spans="3:3">
      <c r="C4350" s="2"/>
    </row>
    <row r="4351" spans="3:3">
      <c r="C4351" s="2"/>
    </row>
    <row r="4352" spans="3:3">
      <c r="C4352" s="2"/>
    </row>
    <row r="4353" spans="3:3">
      <c r="C4353" s="2"/>
    </row>
    <row r="4354" spans="3:3">
      <c r="C4354" s="2"/>
    </row>
    <row r="4355" spans="3:3">
      <c r="C4355" s="2"/>
    </row>
    <row r="4356" spans="3:3">
      <c r="C4356" s="2"/>
    </row>
    <row r="4357" spans="3:3">
      <c r="C4357" s="2"/>
    </row>
    <row r="4358" spans="3:3">
      <c r="C4358" s="2"/>
    </row>
    <row r="4359" spans="3:3">
      <c r="C4359" s="2"/>
    </row>
    <row r="4360" spans="3:3">
      <c r="C4360" s="2"/>
    </row>
    <row r="4361" spans="3:3">
      <c r="C4361" s="2"/>
    </row>
    <row r="4362" spans="3:3">
      <c r="C4362" s="2"/>
    </row>
    <row r="4363" spans="3:3">
      <c r="C4363" s="2"/>
    </row>
    <row r="4364" spans="3:3">
      <c r="C4364" s="2"/>
    </row>
    <row r="4365" spans="3:3">
      <c r="C4365" s="2"/>
    </row>
    <row r="4366" spans="3:3">
      <c r="C4366" s="2"/>
    </row>
    <row r="4367" spans="3:3">
      <c r="C4367" s="2"/>
    </row>
    <row r="4368" spans="3:3">
      <c r="C4368" s="2"/>
    </row>
    <row r="4369" spans="3:3">
      <c r="C4369" s="2"/>
    </row>
    <row r="4370" spans="3:3">
      <c r="C4370" s="2"/>
    </row>
    <row r="4371" spans="3:3">
      <c r="C4371" s="2"/>
    </row>
    <row r="4372" spans="3:3">
      <c r="C4372" s="2"/>
    </row>
    <row r="4373" spans="3:3">
      <c r="C4373" s="2"/>
    </row>
    <row r="4374" spans="3:3">
      <c r="C4374" s="2"/>
    </row>
    <row r="4375" spans="3:3">
      <c r="C4375" s="2"/>
    </row>
    <row r="4376" spans="3:3">
      <c r="C4376" s="2"/>
    </row>
    <row r="4377" spans="3:3">
      <c r="C4377" s="2"/>
    </row>
    <row r="4378" spans="3:3">
      <c r="C4378" s="2"/>
    </row>
    <row r="4379" spans="3:3">
      <c r="C4379" s="2"/>
    </row>
    <row r="4380" spans="3:3">
      <c r="C4380" s="2"/>
    </row>
    <row r="4381" spans="3:3">
      <c r="C4381" s="2"/>
    </row>
    <row r="4382" spans="3:3">
      <c r="C4382" s="2"/>
    </row>
    <row r="4383" spans="3:3">
      <c r="C4383" s="2"/>
    </row>
    <row r="4384" spans="3:3">
      <c r="C4384" s="2"/>
    </row>
    <row r="4385" spans="3:3">
      <c r="C4385" s="2"/>
    </row>
    <row r="4386" spans="3:3">
      <c r="C4386" s="2"/>
    </row>
    <row r="4387" spans="3:3">
      <c r="C4387" s="2"/>
    </row>
    <row r="4388" spans="3:3">
      <c r="C4388" s="2"/>
    </row>
    <row r="4389" spans="3:3">
      <c r="C4389" s="2"/>
    </row>
    <row r="4390" spans="3:3">
      <c r="C4390" s="2"/>
    </row>
    <row r="4391" spans="3:3">
      <c r="C4391" s="2"/>
    </row>
    <row r="4392" spans="3:3">
      <c r="C4392" s="2"/>
    </row>
    <row r="4393" spans="3:3">
      <c r="C4393" s="2"/>
    </row>
    <row r="4394" spans="3:3">
      <c r="C4394" s="2"/>
    </row>
    <row r="4395" spans="3:3">
      <c r="C4395" s="2"/>
    </row>
    <row r="4396" spans="3:3">
      <c r="C4396" s="2"/>
    </row>
    <row r="4397" spans="3:3">
      <c r="C4397" s="2"/>
    </row>
    <row r="4398" spans="3:3">
      <c r="C4398" s="2"/>
    </row>
    <row r="4399" spans="3:3">
      <c r="C4399" s="2"/>
    </row>
    <row r="4400" spans="3:3">
      <c r="C4400" s="2"/>
    </row>
    <row r="4401" spans="3:3">
      <c r="C4401" s="2"/>
    </row>
    <row r="4402" spans="3:3">
      <c r="C4402" s="2"/>
    </row>
    <row r="4403" spans="3:3">
      <c r="C4403" s="2"/>
    </row>
    <row r="4404" spans="3:3">
      <c r="C4404" s="2"/>
    </row>
    <row r="4405" spans="3:3">
      <c r="C4405" s="2"/>
    </row>
    <row r="4406" spans="3:3">
      <c r="C4406" s="2"/>
    </row>
    <row r="4407" spans="3:3">
      <c r="C4407" s="2"/>
    </row>
    <row r="4408" spans="3:3">
      <c r="C4408" s="2"/>
    </row>
    <row r="4409" spans="3:3">
      <c r="C4409" s="2"/>
    </row>
    <row r="4410" spans="3:3">
      <c r="C4410" s="2"/>
    </row>
    <row r="4411" spans="3:3">
      <c r="C4411" s="2"/>
    </row>
    <row r="4412" spans="3:3">
      <c r="C4412" s="2"/>
    </row>
    <row r="4413" spans="3:3">
      <c r="C4413" s="2"/>
    </row>
    <row r="4414" spans="3:3">
      <c r="C4414" s="2"/>
    </row>
    <row r="4415" spans="3:3">
      <c r="C4415" s="2"/>
    </row>
    <row r="4416" spans="3:3">
      <c r="C4416" s="2"/>
    </row>
    <row r="4417" spans="3:3">
      <c r="C4417" s="2"/>
    </row>
    <row r="4418" spans="3:3">
      <c r="C4418" s="2"/>
    </row>
    <row r="4419" spans="3:3">
      <c r="C4419" s="2"/>
    </row>
    <row r="4420" spans="3:3">
      <c r="C4420" s="2"/>
    </row>
    <row r="4421" spans="3:3">
      <c r="C4421" s="2"/>
    </row>
    <row r="4422" spans="3:3">
      <c r="C4422" s="2"/>
    </row>
    <row r="4423" spans="3:3">
      <c r="C4423" s="2"/>
    </row>
    <row r="4424" spans="3:3">
      <c r="C4424" s="2"/>
    </row>
    <row r="4425" spans="3:3">
      <c r="C4425" s="2"/>
    </row>
    <row r="4426" spans="3:3">
      <c r="C4426" s="2"/>
    </row>
    <row r="4427" spans="3:3">
      <c r="C4427" s="2"/>
    </row>
    <row r="4428" spans="3:3">
      <c r="C4428" s="2"/>
    </row>
    <row r="4429" spans="3:3">
      <c r="C4429" s="2"/>
    </row>
    <row r="4430" spans="3:3">
      <c r="C4430" s="2"/>
    </row>
    <row r="4431" spans="3:3">
      <c r="C4431" s="2"/>
    </row>
    <row r="4432" spans="3:3">
      <c r="C4432" s="2"/>
    </row>
    <row r="4433" spans="3:3">
      <c r="C4433" s="2"/>
    </row>
    <row r="4434" spans="3:3">
      <c r="C4434" s="2"/>
    </row>
    <row r="4435" spans="3:3">
      <c r="C4435" s="2"/>
    </row>
    <row r="4436" spans="3:3">
      <c r="C4436" s="2"/>
    </row>
    <row r="4437" spans="3:3">
      <c r="C4437" s="2"/>
    </row>
    <row r="4438" spans="3:3">
      <c r="C4438" s="2"/>
    </row>
    <row r="4439" spans="3:3">
      <c r="C4439" s="2"/>
    </row>
    <row r="4440" spans="3:3">
      <c r="C4440" s="2"/>
    </row>
    <row r="4441" spans="3:3">
      <c r="C4441" s="2"/>
    </row>
    <row r="4442" spans="3:3">
      <c r="C4442" s="2"/>
    </row>
    <row r="4443" spans="3:3">
      <c r="C4443" s="2"/>
    </row>
    <row r="4444" spans="3:3">
      <c r="C4444" s="2"/>
    </row>
    <row r="4445" spans="3:3">
      <c r="C4445" s="2"/>
    </row>
    <row r="4446" spans="3:3">
      <c r="C4446" s="2"/>
    </row>
    <row r="4447" spans="3:3">
      <c r="C4447" s="2"/>
    </row>
    <row r="4448" spans="3:3">
      <c r="C4448" s="2"/>
    </row>
    <row r="4449" spans="3:3">
      <c r="C4449" s="2"/>
    </row>
    <row r="4450" spans="3:3">
      <c r="C4450" s="2"/>
    </row>
    <row r="4451" spans="3:3">
      <c r="C4451" s="2"/>
    </row>
    <row r="4452" spans="3:3">
      <c r="C4452" s="2"/>
    </row>
    <row r="4453" spans="3:3">
      <c r="C4453" s="2"/>
    </row>
    <row r="4454" spans="3:3">
      <c r="C4454" s="2"/>
    </row>
    <row r="4455" spans="3:3">
      <c r="C4455" s="2"/>
    </row>
    <row r="4456" spans="3:3">
      <c r="C4456" s="2"/>
    </row>
    <row r="4457" spans="3:3">
      <c r="C4457" s="2"/>
    </row>
    <row r="4458" spans="3:3">
      <c r="C4458" s="2"/>
    </row>
    <row r="4459" spans="3:3">
      <c r="C4459" s="2"/>
    </row>
    <row r="4460" spans="3:3">
      <c r="C4460" s="2"/>
    </row>
    <row r="4461" spans="3:3">
      <c r="C4461" s="2"/>
    </row>
    <row r="4462" spans="3:3">
      <c r="C4462" s="2"/>
    </row>
    <row r="4463" spans="3:3">
      <c r="C4463" s="2"/>
    </row>
    <row r="4464" spans="3:3">
      <c r="C4464" s="2"/>
    </row>
    <row r="4465" spans="3:3">
      <c r="C4465" s="2"/>
    </row>
    <row r="4466" spans="3:3">
      <c r="C4466" s="2"/>
    </row>
    <row r="4467" spans="3:3">
      <c r="C4467" s="2"/>
    </row>
    <row r="4468" spans="3:3">
      <c r="C4468" s="2"/>
    </row>
    <row r="4469" spans="3:3">
      <c r="C4469" s="2"/>
    </row>
    <row r="4470" spans="3:3">
      <c r="C4470" s="2"/>
    </row>
    <row r="4471" spans="3:3">
      <c r="C4471" s="2"/>
    </row>
    <row r="4472" spans="3:3">
      <c r="C4472" s="2"/>
    </row>
    <row r="4473" spans="3:3">
      <c r="C4473" s="2"/>
    </row>
    <row r="4474" spans="3:3">
      <c r="C4474" s="2"/>
    </row>
    <row r="4475" spans="3:3">
      <c r="C4475" s="2"/>
    </row>
    <row r="4476" spans="3:3">
      <c r="C4476" s="2"/>
    </row>
    <row r="4477" spans="3:3">
      <c r="C4477" s="2"/>
    </row>
    <row r="4478" spans="3:3">
      <c r="C4478" s="2"/>
    </row>
    <row r="4479" spans="3:3">
      <c r="C4479" s="2"/>
    </row>
    <row r="4480" spans="3:3">
      <c r="C4480" s="2"/>
    </row>
    <row r="4481" spans="3:3">
      <c r="C4481" s="2"/>
    </row>
    <row r="4482" spans="3:3">
      <c r="C4482" s="2"/>
    </row>
    <row r="4483" spans="3:3">
      <c r="C4483" s="2"/>
    </row>
    <row r="4484" spans="3:3">
      <c r="C4484" s="2"/>
    </row>
    <row r="4485" spans="3:3">
      <c r="C4485" s="2"/>
    </row>
    <row r="4486" spans="3:3">
      <c r="C4486" s="2"/>
    </row>
    <row r="4487" spans="3:3">
      <c r="C4487" s="2"/>
    </row>
    <row r="4488" spans="3:3">
      <c r="C4488" s="2"/>
    </row>
    <row r="4489" spans="3:3">
      <c r="C4489" s="2"/>
    </row>
    <row r="4490" spans="3:3">
      <c r="C4490" s="2"/>
    </row>
    <row r="4491" spans="3:3">
      <c r="C4491" s="2"/>
    </row>
    <row r="4492" spans="3:3">
      <c r="C4492" s="2"/>
    </row>
    <row r="4493" spans="3:3">
      <c r="C4493" s="2"/>
    </row>
    <row r="4494" spans="3:3">
      <c r="C4494" s="2"/>
    </row>
    <row r="4495" spans="3:3">
      <c r="C4495" s="2"/>
    </row>
    <row r="4496" spans="3:3">
      <c r="C4496" s="2"/>
    </row>
    <row r="4497" spans="3:3">
      <c r="C4497" s="2"/>
    </row>
    <row r="4498" spans="3:3">
      <c r="C4498" s="2"/>
    </row>
    <row r="4499" spans="3:3">
      <c r="C4499" s="2"/>
    </row>
    <row r="4500" spans="3:3">
      <c r="C4500" s="2"/>
    </row>
    <row r="4501" spans="3:3">
      <c r="C4501" s="2"/>
    </row>
    <row r="4502" spans="3:3">
      <c r="C4502" s="2"/>
    </row>
    <row r="4503" spans="3:3">
      <c r="C4503" s="2"/>
    </row>
    <row r="4504" spans="3:3">
      <c r="C4504" s="2"/>
    </row>
    <row r="4505" spans="3:3">
      <c r="C4505" s="2"/>
    </row>
    <row r="4506" spans="3:3">
      <c r="C4506" s="2"/>
    </row>
    <row r="4507" spans="3:3">
      <c r="C4507" s="2"/>
    </row>
    <row r="4508" spans="3:3">
      <c r="C4508" s="2"/>
    </row>
    <row r="4509" spans="3:3">
      <c r="C4509" s="2"/>
    </row>
    <row r="4510" spans="3:3">
      <c r="C4510" s="2"/>
    </row>
    <row r="4511" spans="3:3">
      <c r="C4511" s="2"/>
    </row>
    <row r="4512" spans="3:3">
      <c r="C4512" s="2"/>
    </row>
    <row r="4513" spans="3:3">
      <c r="C4513" s="2"/>
    </row>
    <row r="4514" spans="3:3">
      <c r="C4514" s="2"/>
    </row>
    <row r="4515" spans="3:3">
      <c r="C4515" s="2"/>
    </row>
    <row r="4516" spans="3:3">
      <c r="C4516" s="2"/>
    </row>
    <row r="4517" spans="3:3">
      <c r="C4517" s="2"/>
    </row>
    <row r="4518" spans="3:3">
      <c r="C4518" s="2"/>
    </row>
    <row r="4519" spans="3:3">
      <c r="C4519" s="2"/>
    </row>
    <row r="4520" spans="3:3">
      <c r="C4520" s="2"/>
    </row>
    <row r="4521" spans="3:3">
      <c r="C4521" s="2"/>
    </row>
    <row r="4522" spans="3:3">
      <c r="C4522" s="2"/>
    </row>
    <row r="4523" spans="3:3">
      <c r="C4523" s="2"/>
    </row>
    <row r="4524" spans="3:3">
      <c r="C4524" s="2"/>
    </row>
    <row r="4525" spans="3:3">
      <c r="C4525" s="2"/>
    </row>
    <row r="4526" spans="3:3">
      <c r="C4526" s="2"/>
    </row>
    <row r="4527" spans="3:3">
      <c r="C4527" s="2"/>
    </row>
    <row r="4528" spans="3:3">
      <c r="C4528" s="2"/>
    </row>
    <row r="4529" spans="3:3">
      <c r="C4529" s="2"/>
    </row>
    <row r="4530" spans="3:3">
      <c r="C4530" s="2"/>
    </row>
    <row r="4531" spans="3:3">
      <c r="C4531" s="2"/>
    </row>
    <row r="4532" spans="3:3">
      <c r="C4532" s="2"/>
    </row>
    <row r="4533" spans="3:3">
      <c r="C4533" s="2"/>
    </row>
    <row r="4534" spans="3:3">
      <c r="C4534" s="2"/>
    </row>
    <row r="4535" spans="3:3">
      <c r="C4535" s="2"/>
    </row>
    <row r="4536" spans="3:3">
      <c r="C4536" s="2"/>
    </row>
    <row r="4537" spans="3:3">
      <c r="C4537" s="2"/>
    </row>
    <row r="4538" spans="3:3">
      <c r="C4538" s="2"/>
    </row>
    <row r="4539" spans="3:3">
      <c r="C4539" s="2"/>
    </row>
    <row r="4540" spans="3:3">
      <c r="C4540" s="2"/>
    </row>
    <row r="4541" spans="3:3">
      <c r="C4541" s="2"/>
    </row>
    <row r="4542" spans="3:3">
      <c r="C4542" s="2"/>
    </row>
    <row r="4543" spans="3:3">
      <c r="C4543" s="2"/>
    </row>
    <row r="4544" spans="3:3">
      <c r="C4544" s="2"/>
    </row>
    <row r="4545" spans="3:3">
      <c r="C4545" s="2"/>
    </row>
    <row r="4546" spans="3:3">
      <c r="C4546" s="2"/>
    </row>
    <row r="4547" spans="3:3">
      <c r="C4547" s="2"/>
    </row>
    <row r="4548" spans="3:3">
      <c r="C4548" s="2"/>
    </row>
    <row r="4549" spans="3:3">
      <c r="C4549" s="2"/>
    </row>
    <row r="4550" spans="3:3">
      <c r="C4550" s="2"/>
    </row>
    <row r="4551" spans="3:3">
      <c r="C4551" s="2"/>
    </row>
    <row r="4552" spans="3:3">
      <c r="C4552" s="2"/>
    </row>
    <row r="4553" spans="3:3">
      <c r="C4553" s="2"/>
    </row>
    <row r="4554" spans="3:3">
      <c r="C4554" s="2"/>
    </row>
    <row r="4555" spans="3:3">
      <c r="C4555" s="2"/>
    </row>
    <row r="4556" spans="3:3">
      <c r="C4556" s="2"/>
    </row>
    <row r="4557" spans="3:3">
      <c r="C4557" s="2"/>
    </row>
    <row r="4558" spans="3:3">
      <c r="C4558" s="2"/>
    </row>
    <row r="4559" spans="3:3">
      <c r="C4559" s="2"/>
    </row>
    <row r="4560" spans="3:3">
      <c r="C4560" s="2"/>
    </row>
    <row r="4561" spans="3:3">
      <c r="C4561" s="2"/>
    </row>
    <row r="4562" spans="3:3">
      <c r="C4562" s="2"/>
    </row>
    <row r="4563" spans="3:3">
      <c r="C4563" s="2"/>
    </row>
    <row r="4564" spans="3:3">
      <c r="C4564" s="2"/>
    </row>
    <row r="4565" spans="3:3">
      <c r="C4565" s="2"/>
    </row>
    <row r="4566" spans="3:3">
      <c r="C4566" s="2"/>
    </row>
    <row r="4567" spans="3:3">
      <c r="C4567" s="2"/>
    </row>
    <row r="4568" spans="3:3">
      <c r="C4568" s="2"/>
    </row>
    <row r="4569" spans="3:3">
      <c r="C4569" s="2"/>
    </row>
    <row r="4570" spans="3:3">
      <c r="C4570" s="2"/>
    </row>
    <row r="4571" spans="3:3">
      <c r="C4571" s="2"/>
    </row>
    <row r="4572" spans="3:3">
      <c r="C4572" s="2"/>
    </row>
    <row r="4573" spans="3:3">
      <c r="C4573" s="2"/>
    </row>
    <row r="4574" spans="3:3">
      <c r="C4574" s="2"/>
    </row>
    <row r="4575" spans="3:3">
      <c r="C4575" s="2"/>
    </row>
    <row r="4576" spans="3:3">
      <c r="C4576" s="2"/>
    </row>
    <row r="4577" spans="3:3">
      <c r="C4577" s="2"/>
    </row>
    <row r="4578" spans="3:3">
      <c r="C4578" s="2"/>
    </row>
    <row r="4579" spans="3:3">
      <c r="C4579" s="2"/>
    </row>
    <row r="4580" spans="3:3">
      <c r="C4580" s="2"/>
    </row>
    <row r="4581" spans="3:3">
      <c r="C4581" s="2"/>
    </row>
    <row r="4582" spans="3:3">
      <c r="C4582" s="2"/>
    </row>
    <row r="4583" spans="3:3">
      <c r="C4583" s="2"/>
    </row>
    <row r="4584" spans="3:3">
      <c r="C4584" s="2"/>
    </row>
    <row r="4585" spans="3:3">
      <c r="C4585" s="2"/>
    </row>
    <row r="4586" spans="3:3">
      <c r="C4586" s="2"/>
    </row>
    <row r="4587" spans="3:3">
      <c r="C4587" s="2"/>
    </row>
    <row r="4588" spans="3:3">
      <c r="C4588" s="2"/>
    </row>
    <row r="4589" spans="3:3">
      <c r="C4589" s="2"/>
    </row>
    <row r="4590" spans="3:3">
      <c r="C4590" s="2"/>
    </row>
    <row r="4591" spans="3:3">
      <c r="C4591" s="2"/>
    </row>
    <row r="4592" spans="3:3">
      <c r="C4592" s="2"/>
    </row>
    <row r="4593" spans="3:3">
      <c r="C4593" s="2"/>
    </row>
    <row r="4594" spans="3:3">
      <c r="C4594" s="2"/>
    </row>
    <row r="4595" spans="3:3">
      <c r="C4595" s="2"/>
    </row>
    <row r="4596" spans="3:3">
      <c r="C4596" s="2"/>
    </row>
    <row r="4597" spans="3:3">
      <c r="C4597" s="2"/>
    </row>
    <row r="4598" spans="3:3">
      <c r="C4598" s="2"/>
    </row>
    <row r="4599" spans="3:3">
      <c r="C4599" s="2"/>
    </row>
    <row r="4600" spans="3:3">
      <c r="C4600" s="2"/>
    </row>
    <row r="4601" spans="3:3">
      <c r="C4601" s="2"/>
    </row>
    <row r="4602" spans="3:3">
      <c r="C4602" s="2"/>
    </row>
    <row r="4603" spans="3:3">
      <c r="C4603" s="2"/>
    </row>
    <row r="4604" spans="3:3">
      <c r="C4604" s="2"/>
    </row>
    <row r="4605" spans="3:3">
      <c r="C4605" s="2"/>
    </row>
    <row r="4606" spans="3:3">
      <c r="C4606" s="2"/>
    </row>
    <row r="4607" spans="3:3">
      <c r="C4607" s="2"/>
    </row>
    <row r="4608" spans="3:3">
      <c r="C4608" s="2"/>
    </row>
    <row r="4609" spans="3:3">
      <c r="C4609" s="2"/>
    </row>
    <row r="4610" spans="3:3">
      <c r="C4610" s="2"/>
    </row>
    <row r="4611" spans="3:3">
      <c r="C4611" s="2"/>
    </row>
    <row r="4612" spans="3:3">
      <c r="C4612" s="2"/>
    </row>
    <row r="4613" spans="3:3">
      <c r="C4613" s="2"/>
    </row>
    <row r="4614" spans="3:3">
      <c r="C4614" s="2"/>
    </row>
    <row r="4615" spans="3:3">
      <c r="C4615" s="2"/>
    </row>
    <row r="4616" spans="3:3">
      <c r="C4616" s="2"/>
    </row>
    <row r="4617" spans="3:3">
      <c r="C4617" s="2"/>
    </row>
    <row r="4618" spans="3:3">
      <c r="C4618" s="2"/>
    </row>
    <row r="4619" spans="3:3">
      <c r="C4619" s="2"/>
    </row>
    <row r="4620" spans="3:3">
      <c r="C4620" s="2"/>
    </row>
    <row r="4621" spans="3:3">
      <c r="C4621" s="2"/>
    </row>
    <row r="4622" spans="3:3">
      <c r="C4622" s="2"/>
    </row>
    <row r="4623" spans="3:3">
      <c r="C4623" s="2"/>
    </row>
    <row r="4624" spans="3:3">
      <c r="C4624" s="2"/>
    </row>
    <row r="4625" spans="3:3">
      <c r="C4625" s="2"/>
    </row>
    <row r="4626" spans="3:3">
      <c r="C4626" s="2"/>
    </row>
    <row r="4627" spans="3:3">
      <c r="C4627" s="2"/>
    </row>
    <row r="4628" spans="3:3">
      <c r="C4628" s="2"/>
    </row>
    <row r="4629" spans="3:3">
      <c r="C4629" s="2"/>
    </row>
    <row r="4630" spans="3:3">
      <c r="C4630" s="2"/>
    </row>
    <row r="4631" spans="3:3">
      <c r="C4631" s="2"/>
    </row>
    <row r="4632" spans="3:3">
      <c r="C4632" s="2"/>
    </row>
    <row r="4633" spans="3:3">
      <c r="C4633" s="2"/>
    </row>
    <row r="4634" spans="3:3">
      <c r="C4634" s="2"/>
    </row>
    <row r="4635" spans="3:3">
      <c r="C4635" s="2"/>
    </row>
    <row r="4636" spans="3:3">
      <c r="C4636" s="2"/>
    </row>
    <row r="4637" spans="3:3">
      <c r="C4637" s="2"/>
    </row>
    <row r="4638" spans="3:3">
      <c r="C4638" s="2"/>
    </row>
    <row r="4639" spans="3:3">
      <c r="C4639" s="2"/>
    </row>
    <row r="4640" spans="3:3">
      <c r="C4640" s="2"/>
    </row>
    <row r="4641" spans="3:3">
      <c r="C4641" s="2"/>
    </row>
    <row r="4642" spans="3:3">
      <c r="C4642" s="2"/>
    </row>
    <row r="4643" spans="3:3">
      <c r="C4643" s="2"/>
    </row>
    <row r="4644" spans="3:3">
      <c r="C4644" s="2"/>
    </row>
    <row r="4645" spans="3:3">
      <c r="C4645" s="2"/>
    </row>
    <row r="4646" spans="3:3">
      <c r="C4646" s="2"/>
    </row>
    <row r="4647" spans="3:3">
      <c r="C4647" s="2"/>
    </row>
    <row r="4648" spans="3:3">
      <c r="C4648" s="2"/>
    </row>
    <row r="4649" spans="3:3">
      <c r="C4649" s="2"/>
    </row>
    <row r="4650" spans="3:3">
      <c r="C4650" s="2"/>
    </row>
    <row r="4651" spans="3:3">
      <c r="C4651" s="2"/>
    </row>
    <row r="4652" spans="3:3">
      <c r="C4652" s="2"/>
    </row>
    <row r="4653" spans="3:3">
      <c r="C4653" s="2"/>
    </row>
    <row r="4654" spans="3:3">
      <c r="C4654" s="2"/>
    </row>
    <row r="4655" spans="3:3">
      <c r="C4655" s="2"/>
    </row>
    <row r="4656" spans="3:3">
      <c r="C4656" s="2"/>
    </row>
    <row r="4657" spans="3:3">
      <c r="C4657" s="2"/>
    </row>
    <row r="4658" spans="3:3">
      <c r="C4658" s="2"/>
    </row>
    <row r="4659" spans="3:3">
      <c r="C4659" s="2"/>
    </row>
    <row r="4660" spans="3:3">
      <c r="C4660" s="2"/>
    </row>
    <row r="4661" spans="3:3">
      <c r="C4661" s="2"/>
    </row>
    <row r="4662" spans="3:3">
      <c r="C4662" s="2"/>
    </row>
    <row r="4663" spans="3:3">
      <c r="C4663" s="2"/>
    </row>
    <row r="4664" spans="3:3">
      <c r="C4664" s="2"/>
    </row>
    <row r="4665" spans="3:3">
      <c r="C4665" s="2"/>
    </row>
    <row r="4666" spans="3:3">
      <c r="C4666" s="2"/>
    </row>
    <row r="4667" spans="3:3">
      <c r="C4667" s="2"/>
    </row>
    <row r="4668" spans="3:3">
      <c r="C4668" s="2"/>
    </row>
    <row r="4669" spans="3:3">
      <c r="C4669" s="2"/>
    </row>
    <row r="4670" spans="3:3">
      <c r="C4670" s="2"/>
    </row>
    <row r="4671" spans="3:3">
      <c r="C4671" s="2"/>
    </row>
    <row r="4672" spans="3:3">
      <c r="C4672" s="2"/>
    </row>
    <row r="4673" spans="3:3">
      <c r="C4673" s="2"/>
    </row>
    <row r="4674" spans="3:3">
      <c r="C4674" s="2"/>
    </row>
    <row r="4675" spans="3:3">
      <c r="C4675" s="2"/>
    </row>
    <row r="4676" spans="3:3">
      <c r="C4676" s="2"/>
    </row>
    <row r="4677" spans="3:3">
      <c r="C4677" s="2"/>
    </row>
    <row r="4678" spans="3:3">
      <c r="C4678" s="2"/>
    </row>
    <row r="4679" spans="3:3">
      <c r="C4679" s="2"/>
    </row>
    <row r="4680" spans="3:3">
      <c r="C4680" s="2"/>
    </row>
    <row r="4681" spans="3:3">
      <c r="C4681" s="2"/>
    </row>
    <row r="4682" spans="3:3">
      <c r="C4682" s="2"/>
    </row>
    <row r="4683" spans="3:3">
      <c r="C4683" s="2"/>
    </row>
    <row r="4684" spans="3:3">
      <c r="C4684" s="2"/>
    </row>
    <row r="4685" spans="3:3">
      <c r="C4685" s="2"/>
    </row>
    <row r="4686" spans="3:3">
      <c r="C4686" s="2"/>
    </row>
    <row r="4687" spans="3:3">
      <c r="C4687" s="2"/>
    </row>
    <row r="4688" spans="3:3">
      <c r="C4688" s="2"/>
    </row>
    <row r="4689" spans="3:3">
      <c r="C4689" s="2"/>
    </row>
    <row r="4690" spans="3:3">
      <c r="C4690" s="2"/>
    </row>
    <row r="4691" spans="3:3">
      <c r="C4691" s="2"/>
    </row>
    <row r="4692" spans="3:3">
      <c r="C4692" s="2"/>
    </row>
    <row r="4693" spans="3:3">
      <c r="C4693" s="2"/>
    </row>
    <row r="4694" spans="3:3">
      <c r="C4694" s="2"/>
    </row>
    <row r="4695" spans="3:3">
      <c r="C4695" s="2"/>
    </row>
    <row r="4696" spans="3:3">
      <c r="C4696" s="2"/>
    </row>
    <row r="4697" spans="3:3">
      <c r="C4697" s="2"/>
    </row>
    <row r="4698" spans="3:3">
      <c r="C4698" s="2"/>
    </row>
    <row r="4699" spans="3:3">
      <c r="C4699" s="2"/>
    </row>
    <row r="4700" spans="3:3">
      <c r="C4700" s="2"/>
    </row>
    <row r="4701" spans="3:3">
      <c r="C4701" s="2"/>
    </row>
    <row r="4702" spans="3:3">
      <c r="C4702" s="2"/>
    </row>
    <row r="4703" spans="3:3">
      <c r="C4703" s="2"/>
    </row>
    <row r="4704" spans="3:3">
      <c r="C4704" s="2"/>
    </row>
    <row r="4705" spans="3:3">
      <c r="C4705" s="2"/>
    </row>
    <row r="4706" spans="3:3">
      <c r="C4706" s="2"/>
    </row>
    <row r="4707" spans="3:3">
      <c r="C4707" s="2"/>
    </row>
    <row r="4708" spans="3:3">
      <c r="C4708" s="2"/>
    </row>
    <row r="4709" spans="3:3">
      <c r="C4709" s="2"/>
    </row>
    <row r="4710" spans="3:3">
      <c r="C4710" s="2"/>
    </row>
    <row r="4711" spans="3:3">
      <c r="C4711" s="2"/>
    </row>
    <row r="4712" spans="3:3">
      <c r="C4712" s="2"/>
    </row>
    <row r="4713" spans="3:3">
      <c r="C4713" s="2"/>
    </row>
    <row r="4714" spans="3:3">
      <c r="C4714" s="2"/>
    </row>
    <row r="4715" spans="3:3">
      <c r="C4715" s="2"/>
    </row>
    <row r="4716" spans="3:3">
      <c r="C4716" s="2"/>
    </row>
    <row r="4717" spans="3:3">
      <c r="C4717" s="2"/>
    </row>
    <row r="4718" spans="3:3">
      <c r="C4718" s="2"/>
    </row>
    <row r="4719" spans="3:3">
      <c r="C4719" s="2"/>
    </row>
    <row r="4720" spans="3:3">
      <c r="C4720" s="2"/>
    </row>
    <row r="4721" spans="3:3">
      <c r="C4721" s="2"/>
    </row>
    <row r="4722" spans="3:3">
      <c r="C4722" s="2"/>
    </row>
    <row r="4723" spans="3:3">
      <c r="C4723" s="2"/>
    </row>
    <row r="4724" spans="3:3">
      <c r="C4724" s="2"/>
    </row>
    <row r="4725" spans="3:3">
      <c r="C4725" s="2"/>
    </row>
    <row r="4726" spans="3:3">
      <c r="C4726" s="2"/>
    </row>
    <row r="4727" spans="3:3">
      <c r="C4727" s="2"/>
    </row>
    <row r="4728" spans="3:3">
      <c r="C4728" s="2"/>
    </row>
    <row r="4729" spans="3:3">
      <c r="C4729" s="2"/>
    </row>
    <row r="4730" spans="3:3">
      <c r="C4730" s="2"/>
    </row>
    <row r="4731" spans="3:3">
      <c r="C4731" s="2"/>
    </row>
    <row r="4732" spans="3:3">
      <c r="C4732" s="2"/>
    </row>
    <row r="4733" spans="3:3">
      <c r="C4733" s="2"/>
    </row>
    <row r="4734" spans="3:3">
      <c r="C4734" s="2"/>
    </row>
    <row r="4735" spans="3:3">
      <c r="C4735" s="2"/>
    </row>
    <row r="4736" spans="3:3">
      <c r="C4736" s="2"/>
    </row>
    <row r="4737" spans="3:3">
      <c r="C4737" s="2"/>
    </row>
    <row r="4738" spans="3:3">
      <c r="C4738" s="2"/>
    </row>
    <row r="4739" spans="3:3">
      <c r="C4739" s="2"/>
    </row>
    <row r="4740" spans="3:3">
      <c r="C4740" s="2"/>
    </row>
    <row r="4741" spans="3:3">
      <c r="C4741" s="2"/>
    </row>
    <row r="4742" spans="3:3">
      <c r="C4742" s="2"/>
    </row>
    <row r="4743" spans="3:3">
      <c r="C4743" s="2"/>
    </row>
    <row r="4744" spans="3:3">
      <c r="C4744" s="2"/>
    </row>
    <row r="4745" spans="3:3">
      <c r="C4745" s="2"/>
    </row>
    <row r="4746" spans="3:3">
      <c r="C4746" s="2"/>
    </row>
    <row r="4747" spans="3:3">
      <c r="C4747" s="2"/>
    </row>
    <row r="4748" spans="3:3">
      <c r="C4748" s="2"/>
    </row>
    <row r="4749" spans="3:3">
      <c r="C4749" s="2"/>
    </row>
    <row r="4750" spans="3:3">
      <c r="C4750" s="2"/>
    </row>
    <row r="4751" spans="3:3">
      <c r="C4751" s="2"/>
    </row>
    <row r="4752" spans="3:3">
      <c r="C4752" s="2"/>
    </row>
    <row r="4753" spans="3:3">
      <c r="C4753" s="2"/>
    </row>
    <row r="4754" spans="3:3">
      <c r="C4754" s="2"/>
    </row>
    <row r="4755" spans="3:3">
      <c r="C4755" s="2"/>
    </row>
    <row r="4756" spans="3:3">
      <c r="C4756" s="2"/>
    </row>
    <row r="4757" spans="3:3">
      <c r="C4757" s="2"/>
    </row>
    <row r="4758" spans="3:3">
      <c r="C4758" s="2"/>
    </row>
    <row r="4759" spans="3:3">
      <c r="C4759" s="2"/>
    </row>
    <row r="4760" spans="3:3">
      <c r="C4760" s="2"/>
    </row>
    <row r="4761" spans="3:3">
      <c r="C4761" s="2"/>
    </row>
    <row r="4762" spans="3:3">
      <c r="C4762" s="2"/>
    </row>
    <row r="4763" spans="3:3">
      <c r="C4763" s="2"/>
    </row>
    <row r="4764" spans="3:3">
      <c r="C4764" s="2"/>
    </row>
    <row r="4765" spans="3:3">
      <c r="C4765" s="2"/>
    </row>
    <row r="4766" spans="3:3">
      <c r="C4766" s="2"/>
    </row>
    <row r="4767" spans="3:3">
      <c r="C4767" s="2"/>
    </row>
    <row r="4768" spans="3:3">
      <c r="C4768" s="2"/>
    </row>
    <row r="4769" spans="3:3">
      <c r="C4769" s="2"/>
    </row>
    <row r="4770" spans="3:3">
      <c r="C4770" s="2"/>
    </row>
    <row r="4771" spans="3:3">
      <c r="C4771" s="2"/>
    </row>
    <row r="4772" spans="3:3">
      <c r="C4772" s="2"/>
    </row>
    <row r="4773" spans="3:3">
      <c r="C4773" s="2"/>
    </row>
    <row r="4774" spans="3:3">
      <c r="C4774" s="2"/>
    </row>
    <row r="4775" spans="3:3">
      <c r="C4775" s="2"/>
    </row>
    <row r="4776" spans="3:3">
      <c r="C4776" s="2"/>
    </row>
    <row r="4777" spans="3:3">
      <c r="C4777" s="2"/>
    </row>
    <row r="4778" spans="3:3">
      <c r="C4778" s="2"/>
    </row>
    <row r="4779" spans="3:3">
      <c r="C4779" s="2"/>
    </row>
    <row r="4780" spans="3:3">
      <c r="C4780" s="2"/>
    </row>
    <row r="4781" spans="3:3">
      <c r="C4781" s="2"/>
    </row>
    <row r="4782" spans="3:3">
      <c r="C4782" s="2"/>
    </row>
    <row r="4783" spans="3:3">
      <c r="C4783" s="2"/>
    </row>
    <row r="4784" spans="3:3">
      <c r="C4784" s="2"/>
    </row>
    <row r="4785" spans="3:3">
      <c r="C4785" s="2"/>
    </row>
    <row r="4786" spans="3:3">
      <c r="C4786" s="2"/>
    </row>
    <row r="4787" spans="3:3">
      <c r="C4787" s="2"/>
    </row>
    <row r="4788" spans="3:3">
      <c r="C4788" s="2"/>
    </row>
    <row r="4789" spans="3:3">
      <c r="C4789" s="2"/>
    </row>
    <row r="4790" spans="3:3">
      <c r="C4790" s="2"/>
    </row>
    <row r="4791" spans="3:3">
      <c r="C4791" s="2"/>
    </row>
    <row r="4792" spans="3:3">
      <c r="C4792" s="2"/>
    </row>
    <row r="4793" spans="3:3">
      <c r="C4793" s="2"/>
    </row>
    <row r="4794" spans="3:3">
      <c r="C4794" s="2"/>
    </row>
    <row r="4795" spans="3:3">
      <c r="C4795" s="2"/>
    </row>
    <row r="4796" spans="3:3">
      <c r="C4796" s="2"/>
    </row>
    <row r="4797" spans="3:3">
      <c r="C4797" s="2"/>
    </row>
    <row r="4798" spans="3:3">
      <c r="C4798" s="2"/>
    </row>
    <row r="4799" spans="3:3">
      <c r="C4799" s="2"/>
    </row>
    <row r="4800" spans="3:3">
      <c r="C4800" s="2"/>
    </row>
    <row r="4801" spans="3:3">
      <c r="C4801" s="2"/>
    </row>
    <row r="4802" spans="3:3">
      <c r="C4802" s="2"/>
    </row>
    <row r="4803" spans="3:3">
      <c r="C4803" s="2"/>
    </row>
    <row r="4804" spans="3:3">
      <c r="C4804" s="2"/>
    </row>
    <row r="4805" spans="3:3">
      <c r="C4805" s="2"/>
    </row>
    <row r="4806" spans="3:3">
      <c r="C4806" s="2"/>
    </row>
    <row r="4807" spans="3:3">
      <c r="C4807" s="2"/>
    </row>
    <row r="4808" spans="3:3">
      <c r="C4808" s="2"/>
    </row>
    <row r="4809" spans="3:3">
      <c r="C4809" s="2"/>
    </row>
    <row r="4810" spans="3:3">
      <c r="C4810" s="2"/>
    </row>
    <row r="4811" spans="3:3">
      <c r="C4811" s="2"/>
    </row>
    <row r="4812" spans="3:3">
      <c r="C4812" s="2"/>
    </row>
    <row r="4813" spans="3:3">
      <c r="C4813" s="2"/>
    </row>
    <row r="4814" spans="3:3">
      <c r="C4814" s="2"/>
    </row>
    <row r="4815" spans="3:3">
      <c r="C4815" s="2"/>
    </row>
    <row r="4816" spans="3:3">
      <c r="C4816" s="2"/>
    </row>
    <row r="4817" spans="3:3">
      <c r="C4817" s="2"/>
    </row>
    <row r="4818" spans="3:3">
      <c r="C4818" s="2"/>
    </row>
    <row r="4819" spans="3:3">
      <c r="C4819" s="2"/>
    </row>
    <row r="4820" spans="3:3">
      <c r="C4820" s="2"/>
    </row>
    <row r="4821" spans="3:3">
      <c r="C4821" s="2"/>
    </row>
    <row r="4822" spans="3:3">
      <c r="C4822" s="2"/>
    </row>
    <row r="4823" spans="3:3">
      <c r="C4823" s="2"/>
    </row>
    <row r="4824" spans="3:3">
      <c r="C4824" s="2"/>
    </row>
    <row r="4825" spans="3:3">
      <c r="C4825" s="2"/>
    </row>
    <row r="4826" spans="3:3">
      <c r="C4826" s="2"/>
    </row>
    <row r="4827" spans="3:3">
      <c r="C4827" s="2"/>
    </row>
    <row r="4828" spans="3:3">
      <c r="C4828" s="2"/>
    </row>
    <row r="4829" spans="3:3">
      <c r="C4829" s="2"/>
    </row>
    <row r="4830" spans="3:3">
      <c r="C4830" s="2"/>
    </row>
    <row r="4831" spans="3:3">
      <c r="C4831" s="2"/>
    </row>
    <row r="4832" spans="3:3">
      <c r="C4832" s="2"/>
    </row>
    <row r="4833" spans="3:3">
      <c r="C4833" s="2"/>
    </row>
    <row r="4834" spans="3:3">
      <c r="C4834" s="2"/>
    </row>
    <row r="4835" spans="3:3">
      <c r="C4835" s="2"/>
    </row>
    <row r="4836" spans="3:3">
      <c r="C4836" s="2"/>
    </row>
    <row r="4837" spans="3:3">
      <c r="C4837" s="2"/>
    </row>
    <row r="4838" spans="3:3">
      <c r="C4838" s="2"/>
    </row>
    <row r="4839" spans="3:3">
      <c r="C4839" s="2"/>
    </row>
    <row r="4840" spans="3:3">
      <c r="C4840" s="2"/>
    </row>
    <row r="4841" spans="3:3">
      <c r="C4841" s="2"/>
    </row>
    <row r="4842" spans="3:3">
      <c r="C4842" s="2"/>
    </row>
    <row r="4843" spans="3:3">
      <c r="C4843" s="2"/>
    </row>
    <row r="4844" spans="3:3">
      <c r="C4844" s="2"/>
    </row>
    <row r="4845" spans="3:3">
      <c r="C4845" s="2"/>
    </row>
    <row r="4846" spans="3:3">
      <c r="C4846" s="2"/>
    </row>
    <row r="4847" spans="3:3">
      <c r="C4847" s="2"/>
    </row>
    <row r="4848" spans="3:3">
      <c r="C4848" s="2"/>
    </row>
    <row r="4849" spans="3:3">
      <c r="C4849" s="2"/>
    </row>
    <row r="4850" spans="3:3">
      <c r="C4850" s="2"/>
    </row>
    <row r="4851" spans="3:3">
      <c r="C4851" s="2"/>
    </row>
    <row r="4852" spans="3:3">
      <c r="C4852" s="2"/>
    </row>
    <row r="4853" spans="3:3">
      <c r="C4853" s="2"/>
    </row>
    <row r="4854" spans="3:3">
      <c r="C4854" s="2"/>
    </row>
    <row r="4855" spans="3:3">
      <c r="C4855" s="2"/>
    </row>
    <row r="4856" spans="3:3">
      <c r="C4856" s="2"/>
    </row>
    <row r="4857" spans="3:3">
      <c r="C4857" s="2"/>
    </row>
    <row r="4858" spans="3:3">
      <c r="C4858" s="2"/>
    </row>
    <row r="4859" spans="3:3">
      <c r="C4859" s="2"/>
    </row>
    <row r="4860" spans="3:3">
      <c r="C4860" s="2"/>
    </row>
    <row r="4861" spans="3:3">
      <c r="C4861" s="2"/>
    </row>
    <row r="4862" spans="3:3">
      <c r="C4862" s="2"/>
    </row>
    <row r="4863" spans="3:3">
      <c r="C4863" s="2"/>
    </row>
    <row r="4864" spans="3:3">
      <c r="C4864" s="2"/>
    </row>
    <row r="4865" spans="3:3">
      <c r="C4865" s="2"/>
    </row>
    <row r="4866" spans="3:3">
      <c r="C4866" s="2"/>
    </row>
    <row r="4867" spans="3:3">
      <c r="C4867" s="2"/>
    </row>
    <row r="4868" spans="3:3">
      <c r="C4868" s="2"/>
    </row>
    <row r="4869" spans="3:3">
      <c r="C4869" s="2"/>
    </row>
    <row r="4870" spans="3:3">
      <c r="C4870" s="2"/>
    </row>
    <row r="4871" spans="3:3">
      <c r="C4871" s="2"/>
    </row>
    <row r="4872" spans="3:3">
      <c r="C4872" s="2"/>
    </row>
    <row r="4873" spans="3:3">
      <c r="C4873" s="2"/>
    </row>
    <row r="4874" spans="3:3">
      <c r="C4874" s="2"/>
    </row>
    <row r="4875" spans="3:3">
      <c r="C4875" s="2"/>
    </row>
    <row r="4876" spans="3:3">
      <c r="C4876" s="2"/>
    </row>
    <row r="4877" spans="3:3">
      <c r="C4877" s="2"/>
    </row>
    <row r="4878" spans="3:3">
      <c r="C4878" s="2"/>
    </row>
    <row r="4879" spans="3:3">
      <c r="C4879" s="2"/>
    </row>
    <row r="4880" spans="3:3">
      <c r="C4880" s="2"/>
    </row>
    <row r="4881" spans="3:3">
      <c r="C4881" s="2"/>
    </row>
    <row r="4882" spans="3:3">
      <c r="C4882" s="2"/>
    </row>
    <row r="4883" spans="3:3">
      <c r="C4883" s="2"/>
    </row>
    <row r="4884" spans="3:3">
      <c r="C4884" s="2"/>
    </row>
    <row r="4885" spans="3:3">
      <c r="C4885" s="2"/>
    </row>
    <row r="4886" spans="3:3">
      <c r="C4886" s="2"/>
    </row>
    <row r="4887" spans="3:3">
      <c r="C4887" s="2"/>
    </row>
    <row r="4888" spans="3:3">
      <c r="C4888" s="2"/>
    </row>
    <row r="4889" spans="3:3">
      <c r="C4889" s="2"/>
    </row>
    <row r="4890" spans="3:3">
      <c r="C4890" s="2"/>
    </row>
    <row r="4891" spans="3:3">
      <c r="C4891" s="2"/>
    </row>
    <row r="4892" spans="3:3">
      <c r="C4892" s="2"/>
    </row>
    <row r="4893" spans="3:3">
      <c r="C4893" s="2"/>
    </row>
    <row r="4894" spans="3:3">
      <c r="C4894" s="2"/>
    </row>
    <row r="4895" spans="3:3">
      <c r="C4895" s="2"/>
    </row>
    <row r="4896" spans="3:3">
      <c r="C4896" s="2"/>
    </row>
    <row r="4897" spans="3:3">
      <c r="C4897" s="2"/>
    </row>
    <row r="4898" spans="3:3">
      <c r="C4898" s="2"/>
    </row>
    <row r="4899" spans="3:3">
      <c r="C4899" s="2"/>
    </row>
    <row r="4900" spans="3:3">
      <c r="C4900" s="2"/>
    </row>
    <row r="4901" spans="3:3">
      <c r="C4901" s="2"/>
    </row>
    <row r="4902" spans="3:3">
      <c r="C4902" s="2"/>
    </row>
    <row r="4903" spans="3:3">
      <c r="C4903" s="2"/>
    </row>
    <row r="4904" spans="3:3">
      <c r="C4904" s="2"/>
    </row>
    <row r="4905" spans="3:3">
      <c r="C4905" s="2"/>
    </row>
    <row r="4906" spans="3:3">
      <c r="C4906" s="2"/>
    </row>
    <row r="4907" spans="3:3">
      <c r="C4907" s="2"/>
    </row>
    <row r="4908" spans="3:3">
      <c r="C4908" s="2"/>
    </row>
    <row r="4909" spans="3:3">
      <c r="C4909" s="2"/>
    </row>
    <row r="4910" spans="3:3">
      <c r="C4910" s="2"/>
    </row>
    <row r="4911" spans="3:3">
      <c r="C4911" s="2"/>
    </row>
    <row r="4912" spans="3:3">
      <c r="C4912" s="2"/>
    </row>
    <row r="4913" spans="3:3">
      <c r="C4913" s="2"/>
    </row>
    <row r="4914" spans="3:3">
      <c r="C4914" s="2"/>
    </row>
    <row r="4915" spans="3:3">
      <c r="C4915" s="2"/>
    </row>
    <row r="4916" spans="3:3">
      <c r="C4916" s="2"/>
    </row>
    <row r="4917" spans="3:3">
      <c r="C4917" s="2"/>
    </row>
    <row r="4918" spans="3:3">
      <c r="C4918" s="2"/>
    </row>
    <row r="4919" spans="3:3">
      <c r="C4919" s="2"/>
    </row>
    <row r="4920" spans="3:3">
      <c r="C4920" s="2"/>
    </row>
    <row r="4921" spans="3:3">
      <c r="C4921" s="2"/>
    </row>
    <row r="4922" spans="3:3">
      <c r="C4922" s="2"/>
    </row>
    <row r="4923" spans="3:3">
      <c r="C4923" s="2"/>
    </row>
    <row r="4924" spans="3:3">
      <c r="C4924" s="2"/>
    </row>
    <row r="4925" spans="3:3">
      <c r="C4925" s="2"/>
    </row>
    <row r="4926" spans="3:3">
      <c r="C4926" s="2"/>
    </row>
    <row r="4927" spans="3:3">
      <c r="C4927" s="2"/>
    </row>
    <row r="4928" spans="3:3">
      <c r="C4928" s="2"/>
    </row>
    <row r="4929" spans="3:3">
      <c r="C4929" s="2"/>
    </row>
    <row r="4930" spans="3:3">
      <c r="C4930" s="2"/>
    </row>
    <row r="4931" spans="3:3">
      <c r="C4931" s="2"/>
    </row>
    <row r="4932" spans="3:3">
      <c r="C4932" s="2"/>
    </row>
    <row r="4933" spans="3:3">
      <c r="C4933" s="2"/>
    </row>
    <row r="4934" spans="3:3">
      <c r="C4934" s="2"/>
    </row>
    <row r="4935" spans="3:3">
      <c r="C4935" s="2"/>
    </row>
    <row r="4936" spans="3:3">
      <c r="C4936" s="2"/>
    </row>
    <row r="4937" spans="3:3">
      <c r="C4937" s="2"/>
    </row>
    <row r="4938" spans="3:3">
      <c r="C4938" s="2"/>
    </row>
    <row r="4939" spans="3:3">
      <c r="C4939" s="2"/>
    </row>
    <row r="4940" spans="3:3">
      <c r="C4940" s="2"/>
    </row>
    <row r="4941" spans="3:3">
      <c r="C4941" s="2"/>
    </row>
    <row r="4942" spans="3:3">
      <c r="C4942" s="2"/>
    </row>
    <row r="4943" spans="3:3">
      <c r="C4943" s="2"/>
    </row>
    <row r="4944" spans="3:3">
      <c r="C4944" s="2"/>
    </row>
    <row r="4945" spans="3:3">
      <c r="C4945" s="2"/>
    </row>
    <row r="4946" spans="3:3">
      <c r="C4946" s="2"/>
    </row>
    <row r="4947" spans="3:3">
      <c r="C4947" s="2"/>
    </row>
    <row r="4948" spans="3:3">
      <c r="C4948" s="2"/>
    </row>
    <row r="4949" spans="3:3">
      <c r="C4949" s="2"/>
    </row>
    <row r="4950" spans="3:3">
      <c r="C4950" s="2"/>
    </row>
    <row r="4951" spans="3:3">
      <c r="C4951" s="2"/>
    </row>
    <row r="4952" spans="3:3">
      <c r="C4952" s="2"/>
    </row>
    <row r="4953" spans="3:3">
      <c r="C4953" s="2"/>
    </row>
    <row r="4954" spans="3:3">
      <c r="C4954" s="2"/>
    </row>
    <row r="4955" spans="3:3">
      <c r="C4955" s="2"/>
    </row>
    <row r="4956" spans="3:3">
      <c r="C4956" s="2"/>
    </row>
    <row r="4957" spans="3:3">
      <c r="C4957" s="2"/>
    </row>
    <row r="4958" spans="3:3">
      <c r="C4958" s="2"/>
    </row>
    <row r="4959" spans="3:3">
      <c r="C4959" s="2"/>
    </row>
    <row r="4960" spans="3:3">
      <c r="C4960" s="2"/>
    </row>
    <row r="4961" spans="3:3">
      <c r="C4961" s="2"/>
    </row>
    <row r="4962" spans="3:3">
      <c r="C4962" s="2"/>
    </row>
    <row r="4963" spans="3:3">
      <c r="C4963" s="2"/>
    </row>
    <row r="4964" spans="3:3">
      <c r="C4964" s="2"/>
    </row>
    <row r="4965" spans="3:3">
      <c r="C4965" s="2"/>
    </row>
    <row r="4966" spans="3:3">
      <c r="C4966" s="2"/>
    </row>
    <row r="4967" spans="3:3">
      <c r="C4967" s="2"/>
    </row>
    <row r="4968" spans="3:3">
      <c r="C4968" s="2"/>
    </row>
    <row r="4969" spans="3:3">
      <c r="C4969" s="2"/>
    </row>
    <row r="4970" spans="3:3">
      <c r="C4970" s="2"/>
    </row>
    <row r="4971" spans="3:3">
      <c r="C4971" s="2"/>
    </row>
    <row r="4972" spans="3:3">
      <c r="C4972" s="2"/>
    </row>
    <row r="4973" spans="3:3">
      <c r="C4973" s="2"/>
    </row>
    <row r="4974" spans="3:3">
      <c r="C4974" s="2"/>
    </row>
    <row r="4975" spans="3:3">
      <c r="C4975" s="2"/>
    </row>
    <row r="4976" spans="3:3">
      <c r="C4976" s="2"/>
    </row>
    <row r="4977" spans="3:3">
      <c r="C4977" s="2"/>
    </row>
    <row r="4978" spans="3:3">
      <c r="C4978" s="2"/>
    </row>
    <row r="4979" spans="3:3">
      <c r="C4979" s="2"/>
    </row>
    <row r="4980" spans="3:3">
      <c r="C4980" s="2"/>
    </row>
    <row r="4981" spans="3:3">
      <c r="C4981" s="2"/>
    </row>
    <row r="4982" spans="3:3">
      <c r="C4982" s="2"/>
    </row>
    <row r="4983" spans="3:3">
      <c r="C4983" s="2"/>
    </row>
    <row r="4984" spans="3:3">
      <c r="C4984" s="2"/>
    </row>
    <row r="4985" spans="3:3">
      <c r="C4985" s="2"/>
    </row>
    <row r="4986" spans="3:3">
      <c r="C4986" s="2"/>
    </row>
    <row r="4987" spans="3:3">
      <c r="C4987" s="2"/>
    </row>
    <row r="4988" spans="3:3">
      <c r="C4988" s="2"/>
    </row>
    <row r="4989" spans="3:3">
      <c r="C4989" s="2"/>
    </row>
    <row r="4990" spans="3:3">
      <c r="C4990" s="2"/>
    </row>
    <row r="4991" spans="3:3">
      <c r="C4991" s="2"/>
    </row>
    <row r="4992" spans="3:3">
      <c r="C4992" s="2"/>
    </row>
    <row r="4993" spans="3:3">
      <c r="C4993" s="2"/>
    </row>
    <row r="4994" spans="3:3">
      <c r="C4994" s="2"/>
    </row>
    <row r="4995" spans="3:3">
      <c r="C4995" s="2"/>
    </row>
    <row r="4996" spans="3:3">
      <c r="C4996" s="2"/>
    </row>
    <row r="4997" spans="3:3">
      <c r="C4997" s="2"/>
    </row>
    <row r="4998" spans="3:3">
      <c r="C4998" s="2"/>
    </row>
    <row r="4999" spans="3:3">
      <c r="C4999" s="2"/>
    </row>
    <row r="5000" spans="3:3">
      <c r="C5000" s="2"/>
    </row>
    <row r="5001" spans="3:3">
      <c r="C5001" s="2"/>
    </row>
    <row r="5002" spans="3:3">
      <c r="C5002" s="2"/>
    </row>
    <row r="5003" spans="3:3">
      <c r="C5003" s="2"/>
    </row>
    <row r="5004" spans="3:3">
      <c r="C5004" s="2"/>
    </row>
    <row r="5005" spans="3:3">
      <c r="C5005" s="2"/>
    </row>
    <row r="5006" spans="3:3">
      <c r="C5006" s="2"/>
    </row>
    <row r="5007" spans="3:3">
      <c r="C5007" s="2"/>
    </row>
    <row r="5008" spans="3:3">
      <c r="C5008" s="2"/>
    </row>
    <row r="5009" spans="3:3">
      <c r="C5009" s="2"/>
    </row>
    <row r="5010" spans="3:3">
      <c r="C5010" s="2"/>
    </row>
    <row r="5011" spans="3:3">
      <c r="C5011" s="2"/>
    </row>
    <row r="5012" spans="3:3">
      <c r="C5012" s="2"/>
    </row>
    <row r="5013" spans="3:3">
      <c r="C5013" s="2"/>
    </row>
    <row r="5014" spans="3:3">
      <c r="C5014" s="2"/>
    </row>
    <row r="5015" spans="3:3">
      <c r="C5015" s="2"/>
    </row>
    <row r="5016" spans="3:3">
      <c r="C5016" s="2"/>
    </row>
    <row r="5017" spans="3:3">
      <c r="C5017" s="2"/>
    </row>
    <row r="5018" spans="3:3">
      <c r="C5018" s="2"/>
    </row>
    <row r="5019" spans="3:3">
      <c r="C5019" s="2"/>
    </row>
    <row r="5020" spans="3:3">
      <c r="C5020" s="2"/>
    </row>
    <row r="5021" spans="3:3">
      <c r="C5021" s="2"/>
    </row>
    <row r="5022" spans="3:3">
      <c r="C5022" s="2"/>
    </row>
    <row r="5023" spans="3:3">
      <c r="C5023" s="2"/>
    </row>
    <row r="5024" spans="3:3">
      <c r="C5024" s="2"/>
    </row>
    <row r="5025" spans="3:3">
      <c r="C5025" s="2"/>
    </row>
    <row r="5026" spans="3:3">
      <c r="C5026" s="2"/>
    </row>
    <row r="5027" spans="3:3">
      <c r="C5027" s="2"/>
    </row>
    <row r="5028" spans="3:3">
      <c r="C5028" s="2"/>
    </row>
    <row r="5029" spans="3:3">
      <c r="C5029" s="2"/>
    </row>
    <row r="5030" spans="3:3">
      <c r="C5030" s="2"/>
    </row>
    <row r="5031" spans="3:3">
      <c r="C5031" s="2"/>
    </row>
    <row r="5032" spans="3:3">
      <c r="C5032" s="2"/>
    </row>
    <row r="5033" spans="3:3">
      <c r="C5033" s="2"/>
    </row>
    <row r="5034" spans="3:3">
      <c r="C5034" s="2"/>
    </row>
    <row r="5035" spans="3:3">
      <c r="C5035" s="2"/>
    </row>
    <row r="5036" spans="3:3">
      <c r="C5036" s="2"/>
    </row>
    <row r="5037" spans="3:3">
      <c r="C5037" s="2"/>
    </row>
    <row r="5038" spans="3:3">
      <c r="C5038" s="2"/>
    </row>
    <row r="5039" spans="3:3">
      <c r="C5039" s="2"/>
    </row>
    <row r="5040" spans="3:3">
      <c r="C5040" s="2"/>
    </row>
    <row r="5041" spans="3:3">
      <c r="C5041" s="2"/>
    </row>
    <row r="5042" spans="3:3">
      <c r="C5042" s="2"/>
    </row>
    <row r="5043" spans="3:3">
      <c r="C5043" s="2"/>
    </row>
    <row r="5044" spans="3:3">
      <c r="C5044" s="2"/>
    </row>
    <row r="5045" spans="3:3">
      <c r="C5045" s="2"/>
    </row>
    <row r="5046" spans="3:3">
      <c r="C5046" s="2"/>
    </row>
    <row r="5047" spans="3:3">
      <c r="C5047" s="2"/>
    </row>
    <row r="5048" spans="3:3">
      <c r="C5048" s="2"/>
    </row>
    <row r="5049" spans="3:3">
      <c r="C5049" s="2"/>
    </row>
    <row r="5050" spans="3:3">
      <c r="C5050" s="2"/>
    </row>
    <row r="5051" spans="3:3">
      <c r="C5051" s="2"/>
    </row>
    <row r="5052" spans="3:3">
      <c r="C5052" s="2"/>
    </row>
    <row r="5053" spans="3:3">
      <c r="C5053" s="2"/>
    </row>
    <row r="5054" spans="3:3">
      <c r="C5054" s="2"/>
    </row>
    <row r="5055" spans="3:3">
      <c r="C5055" s="2"/>
    </row>
    <row r="5056" spans="3:3">
      <c r="C5056" s="2"/>
    </row>
    <row r="5057" spans="3:3">
      <c r="C5057" s="2"/>
    </row>
    <row r="5058" spans="3:3">
      <c r="C5058" s="2"/>
    </row>
    <row r="5059" spans="3:3">
      <c r="C5059" s="2"/>
    </row>
    <row r="5060" spans="3:3">
      <c r="C5060" s="2"/>
    </row>
    <row r="5061" spans="3:3">
      <c r="C5061" s="2"/>
    </row>
    <row r="5062" spans="3:3">
      <c r="C5062" s="2"/>
    </row>
    <row r="5063" spans="3:3">
      <c r="C5063" s="2"/>
    </row>
    <row r="5064" spans="3:3">
      <c r="C5064" s="2"/>
    </row>
    <row r="5065" spans="3:3">
      <c r="C5065" s="2"/>
    </row>
    <row r="5066" spans="3:3">
      <c r="C5066" s="2"/>
    </row>
    <row r="5067" spans="3:3">
      <c r="C5067" s="2"/>
    </row>
    <row r="5068" spans="3:3">
      <c r="C5068" s="2"/>
    </row>
    <row r="5069" spans="3:3">
      <c r="C5069" s="2"/>
    </row>
    <row r="5070" spans="3:3">
      <c r="C5070" s="2"/>
    </row>
    <row r="5071" spans="3:3">
      <c r="C5071" s="2"/>
    </row>
    <row r="5072" spans="3:3">
      <c r="C5072" s="2"/>
    </row>
    <row r="5073" spans="3:3">
      <c r="C5073" s="2"/>
    </row>
    <row r="5074" spans="3:3">
      <c r="C5074" s="2"/>
    </row>
    <row r="5075" spans="3:3">
      <c r="C5075" s="2"/>
    </row>
    <row r="5076" spans="3:3">
      <c r="C5076" s="2"/>
    </row>
    <row r="5077" spans="3:3">
      <c r="C5077" s="2"/>
    </row>
    <row r="5078" spans="3:3">
      <c r="C5078" s="2"/>
    </row>
    <row r="5079" spans="3:3">
      <c r="C5079" s="2"/>
    </row>
    <row r="5080" spans="3:3">
      <c r="C5080" s="2"/>
    </row>
    <row r="5081" spans="3:3">
      <c r="C5081" s="2"/>
    </row>
    <row r="5082" spans="3:3">
      <c r="C5082" s="2"/>
    </row>
    <row r="5083" spans="3:3">
      <c r="C5083" s="2"/>
    </row>
    <row r="5084" spans="3:3">
      <c r="C5084" s="2"/>
    </row>
    <row r="5085" spans="3:3">
      <c r="C5085" s="2"/>
    </row>
    <row r="5086" spans="3:3">
      <c r="C5086" s="2"/>
    </row>
    <row r="5087" spans="3:3">
      <c r="C5087" s="2"/>
    </row>
    <row r="5088" spans="3:3">
      <c r="C5088" s="2"/>
    </row>
    <row r="5089" spans="3:3">
      <c r="C5089" s="2"/>
    </row>
    <row r="5090" spans="3:3">
      <c r="C5090" s="2"/>
    </row>
    <row r="5091" spans="3:3">
      <c r="C5091" s="2"/>
    </row>
    <row r="5092" spans="3:3">
      <c r="C5092" s="2"/>
    </row>
    <row r="5093" spans="3:3">
      <c r="C5093" s="2"/>
    </row>
    <row r="5094" spans="3:3">
      <c r="C5094" s="2"/>
    </row>
    <row r="5095" spans="3:3">
      <c r="C5095" s="2"/>
    </row>
    <row r="5096" spans="3:3">
      <c r="C5096" s="2"/>
    </row>
    <row r="5097" spans="3:3">
      <c r="C5097" s="2"/>
    </row>
    <row r="5098" spans="3:3">
      <c r="C5098" s="2"/>
    </row>
    <row r="5099" spans="3:3">
      <c r="C5099" s="2"/>
    </row>
    <row r="5100" spans="3:3">
      <c r="C5100" s="2"/>
    </row>
    <row r="5101" spans="3:3">
      <c r="C5101" s="2"/>
    </row>
    <row r="5102" spans="3:3">
      <c r="C5102" s="2"/>
    </row>
    <row r="5103" spans="3:3">
      <c r="C5103" s="2"/>
    </row>
    <row r="5104" spans="3:3">
      <c r="C5104" s="2"/>
    </row>
    <row r="5105" spans="3:3">
      <c r="C5105" s="2"/>
    </row>
    <row r="5106" spans="3:3">
      <c r="C5106" s="2"/>
    </row>
    <row r="5107" spans="3:3">
      <c r="C5107" s="2"/>
    </row>
    <row r="5108" spans="3:3">
      <c r="C5108" s="2"/>
    </row>
    <row r="5109" spans="3:3">
      <c r="C5109" s="2"/>
    </row>
    <row r="5110" spans="3:3">
      <c r="C5110" s="2"/>
    </row>
    <row r="5111" spans="3:3">
      <c r="C5111" s="2"/>
    </row>
    <row r="5112" spans="3:3">
      <c r="C5112" s="2"/>
    </row>
    <row r="5113" spans="3:3">
      <c r="C5113" s="2"/>
    </row>
    <row r="5114" spans="3:3">
      <c r="C5114" s="2"/>
    </row>
    <row r="5115" spans="3:3">
      <c r="C5115" s="2"/>
    </row>
    <row r="5116" spans="3:3">
      <c r="C5116" s="2"/>
    </row>
    <row r="5117" spans="3:3">
      <c r="C5117" s="2"/>
    </row>
    <row r="5118" spans="3:3">
      <c r="C5118" s="2"/>
    </row>
    <row r="5119" spans="3:3">
      <c r="C5119" s="2"/>
    </row>
    <row r="5120" spans="3:3">
      <c r="C5120" s="2"/>
    </row>
    <row r="5121" spans="3:3">
      <c r="C5121" s="2"/>
    </row>
    <row r="5122" spans="3:3">
      <c r="C5122" s="2"/>
    </row>
    <row r="5123" spans="3:3">
      <c r="C5123" s="2"/>
    </row>
    <row r="5124" spans="3:3">
      <c r="C5124" s="2"/>
    </row>
    <row r="5125" spans="3:3">
      <c r="C5125" s="2"/>
    </row>
    <row r="5126" spans="3:3">
      <c r="C5126" s="2"/>
    </row>
    <row r="5127" spans="3:3">
      <c r="C5127" s="2"/>
    </row>
    <row r="5128" spans="3:3">
      <c r="C5128" s="2"/>
    </row>
    <row r="5129" spans="3:3">
      <c r="C5129" s="2"/>
    </row>
    <row r="5130" spans="3:3">
      <c r="C5130" s="2"/>
    </row>
    <row r="5131" spans="3:3">
      <c r="C5131" s="2"/>
    </row>
    <row r="5132" spans="3:3">
      <c r="C5132" s="2"/>
    </row>
    <row r="5133" spans="3:3">
      <c r="C5133" s="2"/>
    </row>
    <row r="5134" spans="3:3">
      <c r="C5134" s="2"/>
    </row>
    <row r="5135" spans="3:3">
      <c r="C5135" s="2"/>
    </row>
    <row r="5136" spans="3:3">
      <c r="C5136" s="2"/>
    </row>
    <row r="5137" spans="3:3">
      <c r="C5137" s="2"/>
    </row>
    <row r="5138" spans="3:3">
      <c r="C5138" s="2"/>
    </row>
  </sheetData>
  <mergeCells count="3">
    <mergeCell ref="A1:E1"/>
    <mergeCell ref="H1:J1"/>
    <mergeCell ref="L1:O1"/>
  </mergeCells>
  <phoneticPr fontId="4" type="noConversion"/>
  <pageMargins left="0.7" right="0.7" top="0.75" bottom="0.75" header="0.3" footer="0.3"/>
  <pageSetup scale="56" fitToHeight="0"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P5295"/>
  <sheetViews>
    <sheetView zoomScale="80" zoomScaleNormal="80" workbookViewId="0">
      <pane ySplit="2" topLeftCell="A148" activePane="bottomLeft" state="frozen"/>
      <selection activeCell="O43" sqref="O43"/>
      <selection pane="bottomLeft" activeCell="J149" sqref="J149"/>
    </sheetView>
  </sheetViews>
  <sheetFormatPr defaultRowHeight="15"/>
  <cols>
    <col min="1" max="2" width="8.85546875" style="1"/>
    <col min="3" max="3" width="21.5703125" style="12" customWidth="1"/>
    <col min="4" max="4" width="12.42578125" style="2" bestFit="1" customWidth="1"/>
    <col min="5" max="5" width="10.140625" style="2" bestFit="1" customWidth="1"/>
    <col min="6" max="6" width="15.140625" style="2" bestFit="1" customWidth="1"/>
    <col min="7" max="7" width="5" style="2" customWidth="1"/>
    <col min="9" max="11" width="10.7109375" bestFit="1" customWidth="1"/>
  </cols>
  <sheetData>
    <row r="1" spans="1:16">
      <c r="A1" s="104" t="s">
        <v>404</v>
      </c>
      <c r="B1" s="104"/>
      <c r="C1" s="104"/>
      <c r="D1" s="104"/>
      <c r="E1" s="104"/>
      <c r="F1" s="104"/>
      <c r="G1" s="21"/>
      <c r="I1" s="106" t="s">
        <v>405</v>
      </c>
      <c r="J1" s="106"/>
      <c r="K1" s="106"/>
      <c r="M1" s="106" t="s">
        <v>406</v>
      </c>
      <c r="N1" s="106"/>
      <c r="O1" s="106"/>
      <c r="P1" s="106"/>
    </row>
    <row r="2" spans="1:16">
      <c r="A2" s="9" t="s">
        <v>374</v>
      </c>
      <c r="B2" s="9" t="s">
        <v>465</v>
      </c>
      <c r="C2" s="10" t="s">
        <v>375</v>
      </c>
      <c r="D2" s="10" t="s">
        <v>376</v>
      </c>
      <c r="E2" s="10" t="s">
        <v>377</v>
      </c>
      <c r="F2" s="10" t="s">
        <v>378</v>
      </c>
      <c r="G2" s="6"/>
      <c r="I2" s="10" t="s">
        <v>399</v>
      </c>
      <c r="J2" s="10" t="s">
        <v>576</v>
      </c>
      <c r="K2" s="10" t="s">
        <v>623</v>
      </c>
      <c r="M2" s="10">
        <v>2018</v>
      </c>
      <c r="N2" s="10">
        <v>2019</v>
      </c>
      <c r="O2" s="46">
        <v>2020</v>
      </c>
      <c r="P2" s="6">
        <v>2021</v>
      </c>
    </row>
    <row r="3" spans="1:16" ht="15.75" thickBot="1">
      <c r="A3" s="7">
        <f>VLOOKUP(C3,'2019 Draft by Round'!$C$2:$G$161,5,FALSE)</f>
        <v>45</v>
      </c>
      <c r="B3" s="7">
        <f>VLOOKUP(C3,'2019 Draft by Round'!$C$2:$H$161,6,FALSE)</f>
        <v>5</v>
      </c>
      <c r="C3" s="8" t="s">
        <v>418</v>
      </c>
      <c r="D3" s="8" t="s">
        <v>5</v>
      </c>
      <c r="E3" s="8" t="s">
        <v>17</v>
      </c>
      <c r="F3" s="16" t="s">
        <v>469</v>
      </c>
      <c r="G3" s="22"/>
      <c r="I3" s="20" t="s">
        <v>400</v>
      </c>
      <c r="J3" s="15" t="s">
        <v>401</v>
      </c>
      <c r="K3" s="15" t="s">
        <v>402</v>
      </c>
      <c r="M3" s="2">
        <v>14</v>
      </c>
      <c r="N3" s="1">
        <f t="shared" ref="N3" si="0">B3</f>
        <v>5</v>
      </c>
      <c r="O3" s="44">
        <f t="shared" ref="O3:P5" si="1">N3-1</f>
        <v>4</v>
      </c>
      <c r="P3" s="1">
        <f t="shared" si="1"/>
        <v>3</v>
      </c>
    </row>
    <row r="4" spans="1:16" ht="15.75" thickBot="1">
      <c r="A4" s="7">
        <f>VLOOKUP(C4,'2019 Draft by Round'!$C$2:$G$161,5,FALSE)</f>
        <v>36</v>
      </c>
      <c r="B4" s="7">
        <f>VLOOKUP(C4,'2019 Draft by Round'!$C$2:$H$161,6,FALSE)</f>
        <v>4</v>
      </c>
      <c r="C4" s="4" t="s">
        <v>582</v>
      </c>
      <c r="D4" s="4" t="s">
        <v>10</v>
      </c>
      <c r="E4" s="4" t="s">
        <v>21</v>
      </c>
      <c r="F4" s="16" t="s">
        <v>469</v>
      </c>
      <c r="G4" s="22"/>
      <c r="I4" s="20" t="s">
        <v>400</v>
      </c>
      <c r="J4" s="15" t="s">
        <v>401</v>
      </c>
      <c r="K4" s="15" t="s">
        <v>402</v>
      </c>
      <c r="M4" s="2" t="s">
        <v>387</v>
      </c>
      <c r="N4" s="1">
        <f t="shared" ref="N4" si="2">B4</f>
        <v>4</v>
      </c>
      <c r="O4" s="44">
        <f t="shared" si="1"/>
        <v>3</v>
      </c>
      <c r="P4" s="1">
        <f t="shared" si="1"/>
        <v>2</v>
      </c>
    </row>
    <row r="5" spans="1:16" ht="15.75" thickBot="1">
      <c r="A5" s="48">
        <f>VLOOKUP(C5,'2019 Draft by Round'!$C$2:$G$161,5,FALSE)</f>
        <v>69</v>
      </c>
      <c r="B5" s="48">
        <f>VLOOKUP(C5,'2019 Draft by Round'!$C$2:$H$161,6,FALSE)</f>
        <v>7</v>
      </c>
      <c r="C5" s="49" t="s">
        <v>427</v>
      </c>
      <c r="D5" s="49" t="s">
        <v>10</v>
      </c>
      <c r="E5" s="49" t="s">
        <v>19</v>
      </c>
      <c r="F5" s="50" t="s">
        <v>469</v>
      </c>
      <c r="G5" s="51"/>
      <c r="H5" s="52"/>
      <c r="I5" s="53" t="s">
        <v>400</v>
      </c>
      <c r="J5" s="54" t="s">
        <v>401</v>
      </c>
      <c r="K5" s="54" t="s">
        <v>402</v>
      </c>
      <c r="L5" s="52"/>
      <c r="M5" s="55" t="s">
        <v>387</v>
      </c>
      <c r="N5" s="56">
        <f t="shared" ref="N5:N10" si="3">B5</f>
        <v>7</v>
      </c>
      <c r="O5" s="56">
        <f t="shared" si="1"/>
        <v>6</v>
      </c>
      <c r="P5" s="56">
        <f t="shared" si="1"/>
        <v>5</v>
      </c>
    </row>
    <row r="6" spans="1:16" ht="15.75" thickBot="1">
      <c r="A6" s="7">
        <f>VLOOKUP(C6,'2019 Draft by Round'!$C$2:$G$161,5,FALSE)</f>
        <v>5</v>
      </c>
      <c r="B6" s="7">
        <f>VLOOKUP(C6,'2019 Draft by Round'!$C$2:$H$161,6,FALSE)</f>
        <v>1</v>
      </c>
      <c r="C6" s="4" t="s">
        <v>125</v>
      </c>
      <c r="D6" s="4" t="s">
        <v>2</v>
      </c>
      <c r="E6" s="4" t="s">
        <v>6</v>
      </c>
      <c r="F6" s="16" t="s">
        <v>469</v>
      </c>
      <c r="G6" s="22"/>
      <c r="I6" s="20" t="s">
        <v>400</v>
      </c>
      <c r="J6" s="15" t="s">
        <v>401</v>
      </c>
      <c r="K6" s="15" t="s">
        <v>402</v>
      </c>
      <c r="M6" s="2">
        <v>9</v>
      </c>
      <c r="N6" s="1">
        <f t="shared" si="3"/>
        <v>1</v>
      </c>
      <c r="O6" s="44" t="s">
        <v>387</v>
      </c>
      <c r="P6" s="1" t="s">
        <v>387</v>
      </c>
    </row>
    <row r="7" spans="1:16" ht="15.75" thickBot="1">
      <c r="A7" s="48">
        <f>VLOOKUP(C7,'2019 Draft by Round'!$C$2:$G$161,5,FALSE)</f>
        <v>65</v>
      </c>
      <c r="B7" s="48">
        <f>VLOOKUP(C7,'2019 Draft by Round'!$C$2:$H$161,6,FALSE)</f>
        <v>7</v>
      </c>
      <c r="C7" s="49" t="s">
        <v>142</v>
      </c>
      <c r="D7" s="49" t="s">
        <v>2</v>
      </c>
      <c r="E7" s="49" t="s">
        <v>41</v>
      </c>
      <c r="F7" s="50" t="s">
        <v>469</v>
      </c>
      <c r="G7" s="51"/>
      <c r="H7" s="52"/>
      <c r="I7" s="53" t="s">
        <v>401</v>
      </c>
      <c r="J7" s="54" t="s">
        <v>402</v>
      </c>
      <c r="K7" s="54" t="s">
        <v>387</v>
      </c>
      <c r="L7" s="52"/>
      <c r="M7" s="55" t="s">
        <v>387</v>
      </c>
      <c r="N7" s="56">
        <f t="shared" si="3"/>
        <v>7</v>
      </c>
      <c r="O7" s="56">
        <f>N7-1</f>
        <v>6</v>
      </c>
      <c r="P7" s="56" t="s">
        <v>387</v>
      </c>
    </row>
    <row r="8" spans="1:16" ht="15.75" thickBot="1">
      <c r="A8" s="7">
        <f>VLOOKUP(C8,'2019 Draft by Round'!$C$2:$G$161,5,FALSE)</f>
        <v>25</v>
      </c>
      <c r="B8" s="7">
        <f>VLOOKUP(C8,'2019 Draft by Round'!$C$2:$H$161,6,FALSE)</f>
        <v>3</v>
      </c>
      <c r="C8" s="4" t="s">
        <v>105</v>
      </c>
      <c r="D8" s="4" t="s">
        <v>27</v>
      </c>
      <c r="E8" s="4" t="s">
        <v>23</v>
      </c>
      <c r="F8" s="16" t="s">
        <v>469</v>
      </c>
      <c r="G8" s="22"/>
      <c r="I8" s="20" t="s">
        <v>400</v>
      </c>
      <c r="J8" s="15" t="s">
        <v>401</v>
      </c>
      <c r="K8" s="15" t="s">
        <v>402</v>
      </c>
      <c r="M8" s="2" t="s">
        <v>387</v>
      </c>
      <c r="N8" s="1">
        <f t="shared" si="3"/>
        <v>3</v>
      </c>
      <c r="O8" s="44">
        <f>N8-1</f>
        <v>2</v>
      </c>
      <c r="P8" s="1">
        <f>O8-1</f>
        <v>1</v>
      </c>
    </row>
    <row r="9" spans="1:16" ht="15.75" thickBot="1">
      <c r="A9" s="7">
        <f>VLOOKUP(C9,'2019 Draft by Round'!$C$2:$G$161,5,FALSE)</f>
        <v>16</v>
      </c>
      <c r="B9" s="7">
        <f>VLOOKUP(C9,'2019 Draft by Round'!$C$2:$H$161,6,FALSE)</f>
        <v>2</v>
      </c>
      <c r="C9" s="4" t="s">
        <v>169</v>
      </c>
      <c r="D9" s="4" t="s">
        <v>2</v>
      </c>
      <c r="E9" s="4" t="s">
        <v>19</v>
      </c>
      <c r="F9" s="16" t="s">
        <v>469</v>
      </c>
      <c r="G9" s="22"/>
      <c r="I9" s="20" t="s">
        <v>400</v>
      </c>
      <c r="J9" s="15" t="s">
        <v>401</v>
      </c>
      <c r="K9" s="15" t="s">
        <v>402</v>
      </c>
      <c r="M9" s="2" t="s">
        <v>387</v>
      </c>
      <c r="N9" s="1">
        <f t="shared" si="3"/>
        <v>2</v>
      </c>
      <c r="O9" s="44">
        <f>N9-1</f>
        <v>1</v>
      </c>
      <c r="P9" s="1" t="s">
        <v>387</v>
      </c>
    </row>
    <row r="10" spans="1:16" ht="15.75" thickBot="1">
      <c r="A10" s="7">
        <f>VLOOKUP(C10,'2019 Draft by Round'!$C$2:$G$161,5,FALSE)</f>
        <v>85</v>
      </c>
      <c r="B10" s="7">
        <f>VLOOKUP(C10,'2019 Draft by Round'!$C$2:$H$161,6,FALSE)</f>
        <v>9</v>
      </c>
      <c r="C10" s="4" t="s">
        <v>462</v>
      </c>
      <c r="D10" s="4" t="s">
        <v>2</v>
      </c>
      <c r="E10" s="4" t="s">
        <v>120</v>
      </c>
      <c r="F10" s="16" t="s">
        <v>469</v>
      </c>
      <c r="G10" s="22"/>
      <c r="I10" s="20" t="s">
        <v>401</v>
      </c>
      <c r="J10" s="15" t="s">
        <v>402</v>
      </c>
      <c r="K10" s="15" t="s">
        <v>387</v>
      </c>
      <c r="M10" s="2" t="s">
        <v>387</v>
      </c>
      <c r="N10" s="1">
        <f t="shared" si="3"/>
        <v>9</v>
      </c>
      <c r="O10" s="44">
        <f>N10-1</f>
        <v>8</v>
      </c>
      <c r="P10" s="1" t="s">
        <v>387</v>
      </c>
    </row>
    <row r="11" spans="1:16" ht="15.75" thickBot="1">
      <c r="A11" s="7" t="e">
        <f>VLOOKUP(C11,'2019 Draft by Round'!$C$2:$G$161,5,FALSE)</f>
        <v>#N/A</v>
      </c>
      <c r="B11" s="7" t="e">
        <f>VLOOKUP(C11,'2019 Draft by Round'!$C$2:$H$161,6,FALSE)</f>
        <v>#N/A</v>
      </c>
      <c r="C11" s="4" t="s">
        <v>643</v>
      </c>
      <c r="D11" s="4" t="s">
        <v>534</v>
      </c>
      <c r="E11" s="4" t="s">
        <v>11</v>
      </c>
      <c r="F11" s="16" t="s">
        <v>469</v>
      </c>
      <c r="G11" s="22"/>
      <c r="I11" s="20" t="s">
        <v>400</v>
      </c>
      <c r="J11" s="15" t="s">
        <v>401</v>
      </c>
      <c r="K11" s="15" t="s">
        <v>402</v>
      </c>
      <c r="M11" s="2" t="s">
        <v>387</v>
      </c>
      <c r="N11" s="1" t="s">
        <v>387</v>
      </c>
      <c r="O11" s="44">
        <v>9</v>
      </c>
      <c r="P11" s="1">
        <f t="shared" ref="P11" si="4">O11-1</f>
        <v>8</v>
      </c>
    </row>
    <row r="12" spans="1:16" ht="15.75" thickBot="1">
      <c r="A12" s="7">
        <f>VLOOKUP(C12,'2019 Draft by Round'!$C$2:$G$161,5,FALSE)</f>
        <v>76</v>
      </c>
      <c r="B12" s="7">
        <f>VLOOKUP(C12,'2019 Draft by Round'!$C$2:$H$161,6,FALSE)</f>
        <v>8</v>
      </c>
      <c r="C12" s="4" t="s">
        <v>164</v>
      </c>
      <c r="D12" s="4" t="s">
        <v>10</v>
      </c>
      <c r="E12" s="4" t="s">
        <v>82</v>
      </c>
      <c r="F12" s="16" t="s">
        <v>469</v>
      </c>
      <c r="G12" s="22"/>
      <c r="I12" s="20" t="s">
        <v>400</v>
      </c>
      <c r="J12" s="15" t="s">
        <v>401</v>
      </c>
      <c r="K12" s="15" t="s">
        <v>402</v>
      </c>
      <c r="M12" s="2" t="s">
        <v>387</v>
      </c>
      <c r="N12" s="1">
        <f t="shared" ref="N12:N13" si="5">B12</f>
        <v>8</v>
      </c>
      <c r="O12" s="44">
        <f>N12-1</f>
        <v>7</v>
      </c>
      <c r="P12" s="1">
        <f>O12-1</f>
        <v>6</v>
      </c>
    </row>
    <row r="13" spans="1:16" ht="15.75" thickBot="1">
      <c r="A13" s="7">
        <f>VLOOKUP(C13,'2019 Draft by Round'!$C$2:$G$161,5,FALSE)</f>
        <v>116</v>
      </c>
      <c r="B13" s="7">
        <f>VLOOKUP(C13,'2019 Draft by Round'!$C$2:$H$161,6,FALSE)</f>
        <v>12</v>
      </c>
      <c r="C13" s="4" t="s">
        <v>187</v>
      </c>
      <c r="D13" s="4" t="s">
        <v>2</v>
      </c>
      <c r="E13" s="4" t="s">
        <v>135</v>
      </c>
      <c r="F13" s="16" t="s">
        <v>469</v>
      </c>
      <c r="G13" s="22"/>
      <c r="I13" s="20" t="s">
        <v>400</v>
      </c>
      <c r="J13" s="15" t="s">
        <v>401</v>
      </c>
      <c r="K13" s="15" t="s">
        <v>402</v>
      </c>
      <c r="M13" s="2" t="s">
        <v>387</v>
      </c>
      <c r="N13" s="1">
        <f t="shared" si="5"/>
        <v>12</v>
      </c>
      <c r="O13" s="44">
        <f>N13-1</f>
        <v>11</v>
      </c>
      <c r="P13" s="1">
        <f>O13-1</f>
        <v>10</v>
      </c>
    </row>
    <row r="14" spans="1:16" ht="15.75" thickBot="1">
      <c r="A14" s="7" t="e">
        <f>VLOOKUP(C14,'2019 Draft by Round'!$C$2:$G$161,5,FALSE)</f>
        <v>#N/A</v>
      </c>
      <c r="B14" s="7" t="e">
        <f>VLOOKUP(C14,'2019 Draft by Round'!$C$2:$H$161,6,FALSE)</f>
        <v>#N/A</v>
      </c>
      <c r="C14" s="4" t="s">
        <v>644</v>
      </c>
      <c r="D14" s="4" t="s">
        <v>10</v>
      </c>
      <c r="E14" s="4" t="s">
        <v>28</v>
      </c>
      <c r="F14" s="16" t="s">
        <v>469</v>
      </c>
      <c r="G14" s="22"/>
      <c r="I14" s="20" t="s">
        <v>400</v>
      </c>
      <c r="J14" s="15" t="s">
        <v>401</v>
      </c>
      <c r="K14" s="15" t="s">
        <v>402</v>
      </c>
      <c r="M14" s="2" t="s">
        <v>387</v>
      </c>
      <c r="N14" s="1" t="s">
        <v>387</v>
      </c>
      <c r="O14" s="44">
        <v>9</v>
      </c>
      <c r="P14" s="1">
        <f t="shared" ref="P14" si="6">O14-1</f>
        <v>8</v>
      </c>
    </row>
    <row r="15" spans="1:16" ht="15.75" thickBot="1">
      <c r="A15" s="7" t="e">
        <f>VLOOKUP(C15,'2019 Draft by Round'!$C$2:$G$161,5,FALSE)</f>
        <v>#N/A</v>
      </c>
      <c r="B15" s="7" t="e">
        <f>VLOOKUP(C15,'2019 Draft by Round'!$C$2:$H$161,6,FALSE)</f>
        <v>#N/A</v>
      </c>
      <c r="C15" s="4" t="s">
        <v>193</v>
      </c>
      <c r="D15" s="4" t="s">
        <v>2</v>
      </c>
      <c r="E15" s="4" t="s">
        <v>107</v>
      </c>
      <c r="F15" s="16" t="s">
        <v>469</v>
      </c>
      <c r="G15" s="22"/>
      <c r="I15" s="20" t="s">
        <v>400</v>
      </c>
      <c r="J15" s="15" t="s">
        <v>401</v>
      </c>
      <c r="K15" s="15" t="s">
        <v>402</v>
      </c>
      <c r="M15" s="2" t="s">
        <v>387</v>
      </c>
      <c r="N15" s="1" t="s">
        <v>387</v>
      </c>
      <c r="O15" s="44">
        <v>9</v>
      </c>
      <c r="P15" s="1">
        <f t="shared" ref="P15" si="7">O15-1</f>
        <v>8</v>
      </c>
    </row>
    <row r="16" spans="1:16" ht="15.75" thickBot="1">
      <c r="A16" s="7">
        <f>VLOOKUP(C16,'2019 Draft by Round'!$C$2:$G$161,5,FALSE)</f>
        <v>109</v>
      </c>
      <c r="B16" s="7">
        <f>VLOOKUP(C16,'2019 Draft by Round'!$C$2:$H$161,6,FALSE)</f>
        <v>11</v>
      </c>
      <c r="C16" s="4" t="s">
        <v>514</v>
      </c>
      <c r="D16" s="4" t="s">
        <v>534</v>
      </c>
      <c r="E16" s="4" t="s">
        <v>17</v>
      </c>
      <c r="F16" s="16" t="s">
        <v>469</v>
      </c>
      <c r="G16" s="22"/>
      <c r="I16" s="20" t="s">
        <v>400</v>
      </c>
      <c r="J16" s="15" t="s">
        <v>401</v>
      </c>
      <c r="K16" s="15" t="s">
        <v>402</v>
      </c>
      <c r="M16" s="2" t="s">
        <v>387</v>
      </c>
      <c r="N16" s="1" t="s">
        <v>387</v>
      </c>
      <c r="O16" s="44">
        <v>9</v>
      </c>
      <c r="P16" s="1">
        <f t="shared" ref="P16" si="8">O16-1</f>
        <v>8</v>
      </c>
    </row>
    <row r="17" spans="1:16" ht="15.75" thickBot="1">
      <c r="A17" s="7" t="e">
        <f>VLOOKUP(C17,'2019 Draft by Round'!$C$2:$G$161,5,FALSE)</f>
        <v>#N/A</v>
      </c>
      <c r="B17" s="7" t="e">
        <f>VLOOKUP(C17,'2019 Draft by Round'!$C$2:$H$161,6,FALSE)</f>
        <v>#N/A</v>
      </c>
      <c r="C17" s="4" t="s">
        <v>530</v>
      </c>
      <c r="D17" s="4" t="s">
        <v>534</v>
      </c>
      <c r="E17" s="4" t="s">
        <v>120</v>
      </c>
      <c r="F17" s="16" t="s">
        <v>469</v>
      </c>
      <c r="G17" s="22"/>
      <c r="I17" s="20" t="s">
        <v>400</v>
      </c>
      <c r="J17" s="15" t="s">
        <v>401</v>
      </c>
      <c r="K17" s="15" t="s">
        <v>402</v>
      </c>
      <c r="M17" s="2" t="s">
        <v>387</v>
      </c>
      <c r="N17" s="1" t="s">
        <v>387</v>
      </c>
      <c r="O17" s="44">
        <v>9</v>
      </c>
      <c r="P17" s="1">
        <f t="shared" ref="P17" si="9">O17-1</f>
        <v>8</v>
      </c>
    </row>
    <row r="18" spans="1:16" ht="15.75" thickBot="1">
      <c r="A18" s="7" t="e">
        <f>VLOOKUP(C18,'2019 Draft by Round'!$C$2:$G$161,5,FALSE)</f>
        <v>#N/A</v>
      </c>
      <c r="B18" s="7" t="e">
        <f>VLOOKUP(C18,'2019 Draft by Round'!$C$2:$H$161,6,FALSE)</f>
        <v>#N/A</v>
      </c>
      <c r="C18" s="4" t="s">
        <v>645</v>
      </c>
      <c r="D18" s="4" t="s">
        <v>10</v>
      </c>
      <c r="E18" s="4" t="s">
        <v>46</v>
      </c>
      <c r="F18" s="16" t="s">
        <v>469</v>
      </c>
      <c r="G18" s="22"/>
      <c r="I18" s="20" t="s">
        <v>400</v>
      </c>
      <c r="J18" s="15" t="s">
        <v>401</v>
      </c>
      <c r="K18" s="15" t="s">
        <v>402</v>
      </c>
      <c r="M18" s="2" t="s">
        <v>387</v>
      </c>
      <c r="N18" s="1" t="s">
        <v>387</v>
      </c>
      <c r="O18" s="44">
        <v>9</v>
      </c>
      <c r="P18" s="1">
        <f t="shared" ref="P18" si="10">O18-1</f>
        <v>8</v>
      </c>
    </row>
    <row r="19" spans="1:16" ht="15.75" thickBot="1">
      <c r="A19" s="14"/>
      <c r="B19" s="14"/>
      <c r="C19" s="14"/>
      <c r="D19" s="14"/>
      <c r="E19" s="14"/>
      <c r="F19" s="18"/>
      <c r="G19" s="18"/>
      <c r="I19" s="18"/>
      <c r="J19" s="18"/>
      <c r="K19" s="18"/>
      <c r="L19" s="18"/>
      <c r="M19" s="18"/>
      <c r="N19" s="18"/>
      <c r="O19" s="18"/>
      <c r="P19" s="18"/>
    </row>
    <row r="20" spans="1:16" ht="15.75" thickBot="1">
      <c r="A20" s="7" t="e">
        <f>VLOOKUP(C20,'2019 Draft by Round'!$C$2:$G$161,5,FALSE)</f>
        <v>#N/A</v>
      </c>
      <c r="B20" s="7" t="e">
        <f>VLOOKUP(C20,'2019 Draft by Round'!$C$2:$H$161,6,FALSE)</f>
        <v>#N/A</v>
      </c>
      <c r="C20" s="4" t="s">
        <v>646</v>
      </c>
      <c r="D20" s="8" t="s">
        <v>5</v>
      </c>
      <c r="E20" s="4" t="s">
        <v>135</v>
      </c>
      <c r="F20" s="17" t="s">
        <v>470</v>
      </c>
      <c r="G20" s="22"/>
      <c r="I20" s="20" t="s">
        <v>400</v>
      </c>
      <c r="J20" s="15" t="s">
        <v>401</v>
      </c>
      <c r="K20" s="15" t="s">
        <v>402</v>
      </c>
      <c r="M20" s="2">
        <v>6</v>
      </c>
      <c r="N20" s="1" t="s">
        <v>387</v>
      </c>
      <c r="O20" s="44">
        <v>9</v>
      </c>
      <c r="P20" s="1">
        <f t="shared" ref="P20" si="11">O20-1</f>
        <v>8</v>
      </c>
    </row>
    <row r="21" spans="1:16" ht="15.75" thickBot="1">
      <c r="A21" s="7">
        <f>VLOOKUP(C21,'2019 Draft by Round'!$C$2:$G$161,5,FALSE)</f>
        <v>13</v>
      </c>
      <c r="B21" s="7">
        <f>VLOOKUP(C21,'2019 Draft by Round'!$C$2:$H$161,6,FALSE)</f>
        <v>2</v>
      </c>
      <c r="C21" s="4" t="s">
        <v>83</v>
      </c>
      <c r="D21" s="4" t="s">
        <v>10</v>
      </c>
      <c r="E21" s="4" t="s">
        <v>84</v>
      </c>
      <c r="F21" s="17" t="s">
        <v>470</v>
      </c>
      <c r="G21" s="22"/>
      <c r="I21" s="20" t="s">
        <v>400</v>
      </c>
      <c r="J21" s="15" t="s">
        <v>401</v>
      </c>
      <c r="K21" s="15" t="s">
        <v>402</v>
      </c>
      <c r="M21" s="2">
        <v>2</v>
      </c>
      <c r="N21" s="1">
        <f t="shared" ref="N21" si="12">B21</f>
        <v>2</v>
      </c>
      <c r="O21" s="44">
        <f>N21-1</f>
        <v>1</v>
      </c>
      <c r="P21" s="1" t="s">
        <v>387</v>
      </c>
    </row>
    <row r="22" spans="1:16" ht="15.75" thickBot="1">
      <c r="A22" s="7">
        <f>VLOOKUP(C22,'2019 Draft by Round'!$C$2:$G$161,5,FALSE)</f>
        <v>22</v>
      </c>
      <c r="B22" s="7">
        <f>VLOOKUP(C22,'2019 Draft by Round'!$C$2:$H$161,6,FALSE)</f>
        <v>3</v>
      </c>
      <c r="C22" s="4" t="s">
        <v>154</v>
      </c>
      <c r="D22" s="4" t="s">
        <v>10</v>
      </c>
      <c r="E22" s="45" t="s">
        <v>60</v>
      </c>
      <c r="F22" s="17" t="s">
        <v>470</v>
      </c>
      <c r="G22" s="22"/>
      <c r="I22" s="20" t="s">
        <v>400</v>
      </c>
      <c r="J22" s="15" t="s">
        <v>401</v>
      </c>
      <c r="K22" s="15" t="s">
        <v>402</v>
      </c>
      <c r="M22" s="2" t="s">
        <v>387</v>
      </c>
      <c r="N22" s="1">
        <f t="shared" ref="N22:N36" si="13">B22</f>
        <v>3</v>
      </c>
      <c r="O22" s="44">
        <f>N22-1</f>
        <v>2</v>
      </c>
      <c r="P22" s="1">
        <f>O22-1</f>
        <v>1</v>
      </c>
    </row>
    <row r="23" spans="1:16" ht="15.75" thickBot="1">
      <c r="A23" s="7">
        <f>VLOOKUP(C23,'2019 Draft by Round'!$C$2:$G$161,5,FALSE)</f>
        <v>33</v>
      </c>
      <c r="B23" s="7">
        <f>VLOOKUP(C23,'2019 Draft by Round'!$C$2:$H$161,6,FALSE)</f>
        <v>4</v>
      </c>
      <c r="C23" s="4" t="s">
        <v>545</v>
      </c>
      <c r="D23" s="4" t="s">
        <v>2</v>
      </c>
      <c r="E23" s="4" t="s">
        <v>84</v>
      </c>
      <c r="F23" s="17" t="s">
        <v>470</v>
      </c>
      <c r="G23" s="22"/>
      <c r="I23" s="20" t="s">
        <v>400</v>
      </c>
      <c r="J23" s="15" t="s">
        <v>401</v>
      </c>
      <c r="K23" s="15" t="s">
        <v>402</v>
      </c>
      <c r="M23" s="2" t="s">
        <v>387</v>
      </c>
      <c r="N23" s="1">
        <f t="shared" ref="N23:N24" si="14">B23</f>
        <v>4</v>
      </c>
      <c r="O23" s="44">
        <f>N23-1</f>
        <v>3</v>
      </c>
      <c r="P23" s="1">
        <f>O23-1</f>
        <v>2</v>
      </c>
    </row>
    <row r="24" spans="1:16" ht="15.75" thickBot="1">
      <c r="A24" s="7">
        <f>VLOOKUP(C24,'2019 Draft by Round'!$C$2:$G$161,5,FALSE)</f>
        <v>93</v>
      </c>
      <c r="B24" s="7">
        <f>VLOOKUP(C24,'2019 Draft by Round'!$C$2:$H$161,6,FALSE)</f>
        <v>10</v>
      </c>
      <c r="C24" s="4" t="s">
        <v>519</v>
      </c>
      <c r="D24" s="4" t="s">
        <v>2</v>
      </c>
      <c r="E24" s="4" t="s">
        <v>34</v>
      </c>
      <c r="F24" s="17" t="s">
        <v>470</v>
      </c>
      <c r="G24" s="22"/>
      <c r="I24" s="20" t="s">
        <v>400</v>
      </c>
      <c r="J24" s="15" t="s">
        <v>401</v>
      </c>
      <c r="K24" s="15" t="s">
        <v>402</v>
      </c>
      <c r="M24" s="2" t="s">
        <v>387</v>
      </c>
      <c r="N24" s="1">
        <f t="shared" si="14"/>
        <v>10</v>
      </c>
      <c r="O24" s="44">
        <f>N24-1</f>
        <v>9</v>
      </c>
      <c r="P24" s="1">
        <f>O24-1</f>
        <v>8</v>
      </c>
    </row>
    <row r="25" spans="1:16" ht="15.75" thickBot="1">
      <c r="A25" s="48" t="e">
        <f>VLOOKUP(C25,'2019 Draft by Round'!$C$2:$G$161,5,FALSE)</f>
        <v>#N/A</v>
      </c>
      <c r="B25" s="48" t="e">
        <f>VLOOKUP(C25,'2019 Draft by Round'!$C$2:$H$161,6,FALSE)</f>
        <v>#N/A</v>
      </c>
      <c r="C25" s="49" t="s">
        <v>647</v>
      </c>
      <c r="D25" s="49" t="s">
        <v>27</v>
      </c>
      <c r="E25" s="49" t="s">
        <v>627</v>
      </c>
      <c r="F25" s="50" t="s">
        <v>470</v>
      </c>
      <c r="G25" s="51"/>
      <c r="H25" s="52"/>
      <c r="I25" s="53" t="s">
        <v>400</v>
      </c>
      <c r="J25" s="54" t="s">
        <v>401</v>
      </c>
      <c r="K25" s="54" t="s">
        <v>402</v>
      </c>
      <c r="L25" s="52"/>
      <c r="M25" s="55" t="s">
        <v>387</v>
      </c>
      <c r="N25" s="56" t="s">
        <v>387</v>
      </c>
      <c r="O25" s="56">
        <v>9</v>
      </c>
      <c r="P25" s="56">
        <f t="shared" ref="P25" si="15">O25-1</f>
        <v>8</v>
      </c>
    </row>
    <row r="26" spans="1:16" ht="15.75" thickBot="1">
      <c r="A26" s="7">
        <f>VLOOKUP(C26,'2019 Draft by Round'!$C$2:$G$161,5,FALSE)</f>
        <v>53</v>
      </c>
      <c r="B26" s="7">
        <f>VLOOKUP(C26,'2019 Draft by Round'!$C$2:$H$161,6,FALSE)</f>
        <v>6</v>
      </c>
      <c r="C26" s="4" t="s">
        <v>138</v>
      </c>
      <c r="D26" s="4" t="s">
        <v>2</v>
      </c>
      <c r="E26" s="4" t="s">
        <v>107</v>
      </c>
      <c r="F26" s="17" t="s">
        <v>470</v>
      </c>
      <c r="G26" s="22"/>
      <c r="I26" s="20" t="s">
        <v>400</v>
      </c>
      <c r="J26" s="15" t="s">
        <v>401</v>
      </c>
      <c r="K26" s="15" t="s">
        <v>402</v>
      </c>
      <c r="M26" s="2" t="s">
        <v>387</v>
      </c>
      <c r="N26" s="1">
        <f t="shared" ref="N26:N27" si="16">B26</f>
        <v>6</v>
      </c>
      <c r="O26" s="44">
        <f>N26-1</f>
        <v>5</v>
      </c>
      <c r="P26" s="1">
        <f>O26-1</f>
        <v>4</v>
      </c>
    </row>
    <row r="27" spans="1:16" ht="15.75" thickBot="1">
      <c r="A27" s="7">
        <f>VLOOKUP(C27,'2019 Draft by Round'!$C$2:$G$161,5,FALSE)</f>
        <v>133</v>
      </c>
      <c r="B27" s="7">
        <f>VLOOKUP(C27,'2019 Draft by Round'!$C$2:$H$161,6,FALSE)</f>
        <v>14</v>
      </c>
      <c r="C27" s="4" t="s">
        <v>461</v>
      </c>
      <c r="D27" s="4" t="s">
        <v>27</v>
      </c>
      <c r="E27" s="4" t="s">
        <v>60</v>
      </c>
      <c r="F27" s="17" t="s">
        <v>470</v>
      </c>
      <c r="G27" s="22"/>
      <c r="I27" s="20" t="s">
        <v>400</v>
      </c>
      <c r="J27" s="15" t="s">
        <v>401</v>
      </c>
      <c r="K27" s="15" t="s">
        <v>402</v>
      </c>
      <c r="M27" s="2" t="s">
        <v>387</v>
      </c>
      <c r="N27" s="1">
        <f t="shared" si="16"/>
        <v>14</v>
      </c>
      <c r="O27" s="44">
        <f>N27-1</f>
        <v>13</v>
      </c>
      <c r="P27" s="1">
        <f>O27-1</f>
        <v>12</v>
      </c>
    </row>
    <row r="28" spans="1:16" ht="15.75" thickBot="1">
      <c r="A28" s="7" t="e">
        <f>VLOOKUP(C28,'2019 Draft by Round'!$C$2:$G$161,5,FALSE)</f>
        <v>#N/A</v>
      </c>
      <c r="B28" s="7" t="e">
        <f>VLOOKUP(C28,'2019 Draft by Round'!$C$2:$H$161,6,FALSE)</f>
        <v>#N/A</v>
      </c>
      <c r="C28" s="4" t="s">
        <v>648</v>
      </c>
      <c r="D28" s="4" t="s">
        <v>534</v>
      </c>
      <c r="E28" s="4" t="s">
        <v>135</v>
      </c>
      <c r="F28" s="17" t="s">
        <v>470</v>
      </c>
      <c r="G28" s="22"/>
      <c r="I28" s="20" t="s">
        <v>400</v>
      </c>
      <c r="J28" s="15" t="s">
        <v>401</v>
      </c>
      <c r="K28" s="15" t="s">
        <v>402</v>
      </c>
      <c r="M28" s="2" t="s">
        <v>387</v>
      </c>
      <c r="N28" s="1" t="s">
        <v>387</v>
      </c>
      <c r="O28" s="44">
        <v>9</v>
      </c>
      <c r="P28" s="1">
        <f t="shared" ref="P28" si="17">O28-1</f>
        <v>8</v>
      </c>
    </row>
    <row r="29" spans="1:16" ht="15.75" thickBot="1">
      <c r="A29" s="7">
        <f>VLOOKUP(C29,'2019 Draft by Round'!$C$2:$G$161,5,FALSE)</f>
        <v>28</v>
      </c>
      <c r="B29" s="7">
        <f>VLOOKUP(C29,'2019 Draft by Round'!$C$2:$H$161,6,FALSE)</f>
        <v>3</v>
      </c>
      <c r="C29" s="4" t="s">
        <v>384</v>
      </c>
      <c r="D29" s="4" t="s">
        <v>2</v>
      </c>
      <c r="E29" s="4" t="s">
        <v>23</v>
      </c>
      <c r="F29" s="17" t="s">
        <v>470</v>
      </c>
      <c r="G29" s="22"/>
      <c r="I29" s="20" t="s">
        <v>400</v>
      </c>
      <c r="J29" s="15" t="s">
        <v>401</v>
      </c>
      <c r="K29" s="15" t="s">
        <v>402</v>
      </c>
      <c r="M29" s="2" t="s">
        <v>387</v>
      </c>
      <c r="N29" s="1">
        <f t="shared" ref="N29:N32" si="18">B29</f>
        <v>3</v>
      </c>
      <c r="O29" s="44">
        <f t="shared" ref="O29:P32" si="19">N29-1</f>
        <v>2</v>
      </c>
      <c r="P29" s="1">
        <f t="shared" si="19"/>
        <v>1</v>
      </c>
    </row>
    <row r="30" spans="1:16" ht="15.75" thickBot="1">
      <c r="A30" s="48">
        <f>VLOOKUP(C30,'2019 Draft by Round'!$C$2:$G$161,5,FALSE)</f>
        <v>113</v>
      </c>
      <c r="B30" s="48">
        <f>VLOOKUP(C30,'2019 Draft by Round'!$C$2:$H$161,6,FALSE)</f>
        <v>12</v>
      </c>
      <c r="C30" s="49" t="s">
        <v>504</v>
      </c>
      <c r="D30" s="49" t="s">
        <v>2</v>
      </c>
      <c r="E30" s="49" t="s">
        <v>60</v>
      </c>
      <c r="F30" s="50" t="s">
        <v>470</v>
      </c>
      <c r="G30" s="51"/>
      <c r="H30" s="52"/>
      <c r="I30" s="53" t="s">
        <v>401</v>
      </c>
      <c r="J30" s="54" t="s">
        <v>402</v>
      </c>
      <c r="K30" s="54" t="s">
        <v>387</v>
      </c>
      <c r="L30" s="52"/>
      <c r="M30" s="55" t="s">
        <v>387</v>
      </c>
      <c r="N30" s="56">
        <f t="shared" si="18"/>
        <v>12</v>
      </c>
      <c r="O30" s="56">
        <f t="shared" si="19"/>
        <v>11</v>
      </c>
      <c r="P30" s="56">
        <f t="shared" si="19"/>
        <v>10</v>
      </c>
    </row>
    <row r="31" spans="1:16" ht="15.75" thickBot="1">
      <c r="A31" s="7">
        <f>VLOOKUP(C31,'2019 Draft by Round'!$C$2:$G$161,5,FALSE)</f>
        <v>128</v>
      </c>
      <c r="B31" s="7">
        <f>VLOOKUP(C31,'2019 Draft by Round'!$C$2:$H$161,6,FALSE)</f>
        <v>13</v>
      </c>
      <c r="C31" s="4" t="s">
        <v>18</v>
      </c>
      <c r="D31" s="4" t="s">
        <v>2</v>
      </c>
      <c r="E31" s="4" t="s">
        <v>627</v>
      </c>
      <c r="F31" s="17" t="s">
        <v>470</v>
      </c>
      <c r="G31" s="22"/>
      <c r="I31" s="20" t="s">
        <v>400</v>
      </c>
      <c r="J31" s="15" t="s">
        <v>401</v>
      </c>
      <c r="K31" s="15" t="s">
        <v>402</v>
      </c>
      <c r="M31" s="2" t="s">
        <v>387</v>
      </c>
      <c r="N31" s="1">
        <f t="shared" si="18"/>
        <v>13</v>
      </c>
      <c r="O31" s="44">
        <f t="shared" si="19"/>
        <v>12</v>
      </c>
      <c r="P31" s="1">
        <f t="shared" si="19"/>
        <v>11</v>
      </c>
    </row>
    <row r="32" spans="1:16" ht="15.75" thickBot="1">
      <c r="A32" s="7">
        <f>VLOOKUP(C32,'2019 Draft by Round'!$C$2:$G$161,5,FALSE)</f>
        <v>153</v>
      </c>
      <c r="B32" s="7">
        <f>VLOOKUP(C32,'2019 Draft by Round'!$C$2:$H$161,6,FALSE)</f>
        <v>16</v>
      </c>
      <c r="C32" s="4" t="s">
        <v>450</v>
      </c>
      <c r="D32" s="4" t="s">
        <v>2</v>
      </c>
      <c r="E32" s="4" t="s">
        <v>30</v>
      </c>
      <c r="F32" s="17" t="s">
        <v>470</v>
      </c>
      <c r="G32" s="22"/>
      <c r="I32" s="20" t="s">
        <v>400</v>
      </c>
      <c r="J32" s="15" t="s">
        <v>401</v>
      </c>
      <c r="K32" s="15" t="s">
        <v>402</v>
      </c>
      <c r="M32" s="2" t="s">
        <v>387</v>
      </c>
      <c r="N32" s="1">
        <f t="shared" si="18"/>
        <v>16</v>
      </c>
      <c r="O32" s="44">
        <f t="shared" si="19"/>
        <v>15</v>
      </c>
      <c r="P32" s="1">
        <f t="shared" si="19"/>
        <v>14</v>
      </c>
    </row>
    <row r="33" spans="1:16" ht="15.75" thickBot="1">
      <c r="A33" s="7" t="e">
        <f>VLOOKUP(C33,'2019 Draft by Round'!$C$2:$G$161,5,FALSE)</f>
        <v>#N/A</v>
      </c>
      <c r="B33" s="7" t="e">
        <f>VLOOKUP(C33,'2019 Draft by Round'!$C$2:$H$161,6,FALSE)</f>
        <v>#N/A</v>
      </c>
      <c r="C33" s="4" t="s">
        <v>96</v>
      </c>
      <c r="D33" s="4" t="s">
        <v>5</v>
      </c>
      <c r="E33" s="4" t="s">
        <v>28</v>
      </c>
      <c r="F33" s="17" t="s">
        <v>470</v>
      </c>
      <c r="G33" s="22"/>
      <c r="I33" s="20" t="s">
        <v>400</v>
      </c>
      <c r="J33" s="15" t="s">
        <v>401</v>
      </c>
      <c r="K33" s="15" t="s">
        <v>402</v>
      </c>
      <c r="M33" s="2" t="s">
        <v>387</v>
      </c>
      <c r="N33" s="1" t="s">
        <v>387</v>
      </c>
      <c r="O33" s="44">
        <v>9</v>
      </c>
      <c r="P33" s="1">
        <f t="shared" ref="P33" si="20">O33-1</f>
        <v>8</v>
      </c>
    </row>
    <row r="34" spans="1:16" ht="15.75" thickBot="1">
      <c r="A34" s="7" t="e">
        <f>VLOOKUP(C34,'2019 Draft by Round'!$C$2:$G$161,5,FALSE)</f>
        <v>#N/A</v>
      </c>
      <c r="B34" s="7" t="e">
        <f>VLOOKUP(C34,'2019 Draft by Round'!$C$2:$H$161,6,FALSE)</f>
        <v>#N/A</v>
      </c>
      <c r="C34" s="4" t="s">
        <v>103</v>
      </c>
      <c r="D34" s="4" t="s">
        <v>10</v>
      </c>
      <c r="E34" s="4" t="s">
        <v>91</v>
      </c>
      <c r="F34" s="17" t="s">
        <v>470</v>
      </c>
      <c r="G34" s="22"/>
      <c r="I34" s="20" t="s">
        <v>400</v>
      </c>
      <c r="J34" s="15" t="s">
        <v>401</v>
      </c>
      <c r="K34" s="15" t="s">
        <v>402</v>
      </c>
      <c r="M34" s="2" t="s">
        <v>387</v>
      </c>
      <c r="N34" s="1" t="s">
        <v>387</v>
      </c>
      <c r="O34" s="44">
        <v>9</v>
      </c>
      <c r="P34" s="1">
        <f t="shared" ref="P34" si="21">O34-1</f>
        <v>8</v>
      </c>
    </row>
    <row r="35" spans="1:16" ht="15.75" thickBot="1">
      <c r="A35" s="7" t="e">
        <f>VLOOKUP(C35,'2019 Draft by Round'!$C$2:$G$161,5,FALSE)</f>
        <v>#N/A</v>
      </c>
      <c r="B35" s="7" t="e">
        <f>VLOOKUP(C35,'2019 Draft by Round'!$C$2:$H$161,6,FALSE)</f>
        <v>#N/A</v>
      </c>
      <c r="C35" s="4" t="s">
        <v>649</v>
      </c>
      <c r="D35" s="4" t="s">
        <v>2</v>
      </c>
      <c r="E35" s="4" t="s">
        <v>25</v>
      </c>
      <c r="F35" s="17" t="s">
        <v>470</v>
      </c>
      <c r="G35" s="22"/>
      <c r="I35" s="20" t="s">
        <v>400</v>
      </c>
      <c r="J35" s="15" t="s">
        <v>401</v>
      </c>
      <c r="K35" s="15" t="s">
        <v>402</v>
      </c>
      <c r="M35" s="2" t="s">
        <v>387</v>
      </c>
      <c r="N35" s="1" t="s">
        <v>387</v>
      </c>
      <c r="O35" s="44">
        <v>9</v>
      </c>
      <c r="P35" s="1">
        <f t="shared" ref="P35:P36" si="22">O35-1</f>
        <v>8</v>
      </c>
    </row>
    <row r="36" spans="1:16" ht="15.75" thickBot="1">
      <c r="A36" s="7">
        <f>VLOOKUP(C36,'2019 Draft by Round'!$C$2:$G$161,5,FALSE)</f>
        <v>68</v>
      </c>
      <c r="B36" s="7">
        <f>VLOOKUP(C36,'2019 Draft by Round'!$C$2:$H$161,6,FALSE)</f>
        <v>7</v>
      </c>
      <c r="C36" s="4" t="s">
        <v>76</v>
      </c>
      <c r="D36" s="4" t="s">
        <v>2</v>
      </c>
      <c r="E36" s="4" t="s">
        <v>28</v>
      </c>
      <c r="F36" s="17" t="s">
        <v>470</v>
      </c>
      <c r="G36" s="22"/>
      <c r="I36" s="20" t="s">
        <v>400</v>
      </c>
      <c r="J36" s="15" t="s">
        <v>401</v>
      </c>
      <c r="K36" s="15" t="s">
        <v>402</v>
      </c>
      <c r="M36" s="2" t="s">
        <v>387</v>
      </c>
      <c r="N36" s="1">
        <f t="shared" si="13"/>
        <v>7</v>
      </c>
      <c r="O36" s="44">
        <f t="shared" ref="O36" si="23">N36-1</f>
        <v>6</v>
      </c>
      <c r="P36" s="1">
        <f t="shared" si="22"/>
        <v>5</v>
      </c>
    </row>
    <row r="37" spans="1:16" ht="15.75" thickBot="1">
      <c r="A37" s="14"/>
      <c r="B37" s="14"/>
      <c r="C37" s="14"/>
      <c r="D37" s="14"/>
      <c r="E37" s="14"/>
      <c r="F37" s="18"/>
      <c r="G37" s="18"/>
      <c r="I37" s="18"/>
      <c r="J37" s="18"/>
      <c r="K37" s="18"/>
      <c r="L37" s="18"/>
      <c r="M37" s="18"/>
      <c r="N37" s="18"/>
      <c r="O37" s="18"/>
      <c r="P37" s="18"/>
    </row>
    <row r="38" spans="1:16" ht="15.75" thickBot="1">
      <c r="A38" s="48" t="e">
        <f>VLOOKUP(C38,'2019 Draft by Round'!$C$2:$G$161,5,FALSE)</f>
        <v>#N/A</v>
      </c>
      <c r="B38" s="48" t="e">
        <f>VLOOKUP(C38,'2019 Draft by Round'!$C$2:$H$161,6,FALSE)</f>
        <v>#N/A</v>
      </c>
      <c r="C38" s="49" t="s">
        <v>162</v>
      </c>
      <c r="D38" s="49" t="s">
        <v>5</v>
      </c>
      <c r="E38" s="49" t="s">
        <v>15</v>
      </c>
      <c r="F38" s="50" t="s">
        <v>385</v>
      </c>
      <c r="G38" s="51"/>
      <c r="H38" s="52"/>
      <c r="I38" s="53" t="s">
        <v>400</v>
      </c>
      <c r="J38" s="54" t="s">
        <v>401</v>
      </c>
      <c r="K38" s="54" t="s">
        <v>402</v>
      </c>
      <c r="L38" s="52"/>
      <c r="M38" s="55" t="s">
        <v>387</v>
      </c>
      <c r="N38" s="56" t="e">
        <f t="shared" ref="N38:N48" si="24">B38</f>
        <v>#N/A</v>
      </c>
      <c r="O38" s="56">
        <v>9</v>
      </c>
      <c r="P38" s="56">
        <f t="shared" ref="P38" si="25">O38-1</f>
        <v>8</v>
      </c>
    </row>
    <row r="39" spans="1:16" ht="15.75" thickBot="1">
      <c r="A39" s="7">
        <f>VLOOKUP(C39,'2019 Draft by Round'!$C$2:$G$161,5,FALSE)</f>
        <v>3</v>
      </c>
      <c r="B39" s="7">
        <f>VLOOKUP(C39,'2019 Draft by Round'!$C$2:$H$161,6,FALSE)</f>
        <v>1</v>
      </c>
      <c r="C39" s="4" t="s">
        <v>167</v>
      </c>
      <c r="D39" s="4" t="s">
        <v>10</v>
      </c>
      <c r="E39" s="4" t="s">
        <v>15</v>
      </c>
      <c r="F39" s="19" t="s">
        <v>385</v>
      </c>
      <c r="G39" s="23"/>
      <c r="I39" s="20" t="s">
        <v>400</v>
      </c>
      <c r="J39" s="15" t="s">
        <v>401</v>
      </c>
      <c r="K39" s="15" t="s">
        <v>402</v>
      </c>
      <c r="M39" s="2" t="s">
        <v>387</v>
      </c>
      <c r="N39" s="1">
        <f t="shared" si="24"/>
        <v>1</v>
      </c>
      <c r="O39" s="12" t="s">
        <v>387</v>
      </c>
      <c r="P39" s="2" t="s">
        <v>387</v>
      </c>
    </row>
    <row r="40" spans="1:16" ht="15.75" thickBot="1">
      <c r="A40" s="7">
        <f>VLOOKUP(C40,'2019 Draft by Round'!$C$2:$G$161,5,FALSE)</f>
        <v>38</v>
      </c>
      <c r="B40" s="7">
        <f>VLOOKUP(C40,'2019 Draft by Round'!$C$2:$H$161,6,FALSE)</f>
        <v>4</v>
      </c>
      <c r="C40" s="4" t="s">
        <v>566</v>
      </c>
      <c r="D40" s="4" t="s">
        <v>10</v>
      </c>
      <c r="E40" s="4" t="s">
        <v>34</v>
      </c>
      <c r="F40" s="19" t="s">
        <v>385</v>
      </c>
      <c r="G40" s="23"/>
      <c r="I40" s="20" t="s">
        <v>400</v>
      </c>
      <c r="J40" s="15" t="s">
        <v>401</v>
      </c>
      <c r="K40" s="15" t="s">
        <v>402</v>
      </c>
      <c r="M40" s="2" t="s">
        <v>390</v>
      </c>
      <c r="N40" s="1">
        <f t="shared" si="24"/>
        <v>4</v>
      </c>
      <c r="O40" s="44">
        <f>N40-1</f>
        <v>3</v>
      </c>
      <c r="P40" s="2" t="s">
        <v>387</v>
      </c>
    </row>
    <row r="41" spans="1:16" ht="15.75" thickBot="1">
      <c r="A41" s="7">
        <f>VLOOKUP(C41,'2019 Draft by Round'!$C$2:$G$161,5,FALSE)</f>
        <v>23</v>
      </c>
      <c r="B41" s="7">
        <f>VLOOKUP(C41,'2019 Draft by Round'!$C$2:$H$161,6,FALSE)</f>
        <v>3</v>
      </c>
      <c r="C41" s="4" t="s">
        <v>150</v>
      </c>
      <c r="D41" s="4" t="s">
        <v>2</v>
      </c>
      <c r="E41" s="4" t="s">
        <v>627</v>
      </c>
      <c r="F41" s="19" t="s">
        <v>385</v>
      </c>
      <c r="G41" s="23"/>
      <c r="I41" s="20" t="s">
        <v>400</v>
      </c>
      <c r="J41" s="15" t="s">
        <v>401</v>
      </c>
      <c r="K41" s="15" t="s">
        <v>402</v>
      </c>
      <c r="M41" s="2" t="s">
        <v>387</v>
      </c>
      <c r="N41" s="1">
        <f t="shared" si="24"/>
        <v>3</v>
      </c>
      <c r="O41" s="44">
        <f t="shared" ref="O41:O45" si="26">N41-1</f>
        <v>2</v>
      </c>
      <c r="P41" s="1">
        <f t="shared" ref="P41:P48" si="27">O41-1</f>
        <v>1</v>
      </c>
    </row>
    <row r="42" spans="1:16" ht="15.75" thickBot="1">
      <c r="A42" s="7">
        <f>VLOOKUP(C42,'2019 Draft by Round'!$C$2:$G$161,5,FALSE)</f>
        <v>43</v>
      </c>
      <c r="B42" s="7">
        <f>VLOOKUP(C42,'2019 Draft by Round'!$C$2:$H$161,6,FALSE)</f>
        <v>5</v>
      </c>
      <c r="C42" s="4" t="s">
        <v>184</v>
      </c>
      <c r="D42" s="4" t="s">
        <v>2</v>
      </c>
      <c r="E42" s="4" t="s">
        <v>71</v>
      </c>
      <c r="F42" s="19" t="s">
        <v>385</v>
      </c>
      <c r="G42" s="23"/>
      <c r="I42" s="20" t="s">
        <v>400</v>
      </c>
      <c r="J42" s="15" t="s">
        <v>401</v>
      </c>
      <c r="K42" s="15" t="s">
        <v>402</v>
      </c>
      <c r="M42" s="2" t="s">
        <v>387</v>
      </c>
      <c r="N42" s="1">
        <f t="shared" si="24"/>
        <v>5</v>
      </c>
      <c r="O42" s="44">
        <f t="shared" si="26"/>
        <v>4</v>
      </c>
      <c r="P42" s="1">
        <f t="shared" si="27"/>
        <v>3</v>
      </c>
    </row>
    <row r="43" spans="1:16" ht="15.75" thickBot="1">
      <c r="A43" s="48">
        <f>VLOOKUP(C43,'2019 Draft by Round'!$C$2:$G$161,5,FALSE)</f>
        <v>138</v>
      </c>
      <c r="B43" s="48">
        <f>VLOOKUP(C43,'2019 Draft by Round'!$C$2:$H$161,6,FALSE)</f>
        <v>14</v>
      </c>
      <c r="C43" s="49" t="s">
        <v>520</v>
      </c>
      <c r="D43" s="49" t="s">
        <v>27</v>
      </c>
      <c r="E43" s="49" t="s">
        <v>135</v>
      </c>
      <c r="F43" s="50" t="s">
        <v>385</v>
      </c>
      <c r="G43" s="51"/>
      <c r="H43" s="52"/>
      <c r="I43" s="53" t="s">
        <v>401</v>
      </c>
      <c r="J43" s="54" t="s">
        <v>402</v>
      </c>
      <c r="K43" s="54" t="s">
        <v>387</v>
      </c>
      <c r="L43" s="52"/>
      <c r="M43" s="55" t="s">
        <v>387</v>
      </c>
      <c r="N43" s="56">
        <f t="shared" si="24"/>
        <v>14</v>
      </c>
      <c r="O43" s="56">
        <f t="shared" si="26"/>
        <v>13</v>
      </c>
      <c r="P43" s="56" t="s">
        <v>626</v>
      </c>
    </row>
    <row r="44" spans="1:16" ht="15.75" thickBot="1">
      <c r="A44" s="7">
        <f>VLOOKUP(C44,'2019 Draft by Round'!$C$2:$G$161,5,FALSE)</f>
        <v>18</v>
      </c>
      <c r="B44" s="7">
        <f>VLOOKUP(C44,'2019 Draft by Round'!$C$2:$H$161,6,FALSE)</f>
        <v>2</v>
      </c>
      <c r="C44" s="4" t="s">
        <v>80</v>
      </c>
      <c r="D44" s="4" t="s">
        <v>2</v>
      </c>
      <c r="E44" s="4" t="s">
        <v>19</v>
      </c>
      <c r="F44" s="19" t="s">
        <v>385</v>
      </c>
      <c r="G44" s="23"/>
      <c r="I44" s="20" t="s">
        <v>400</v>
      </c>
      <c r="J44" s="15" t="s">
        <v>401</v>
      </c>
      <c r="K44" s="15" t="s">
        <v>402</v>
      </c>
      <c r="M44" s="2" t="s">
        <v>390</v>
      </c>
      <c r="N44" s="1">
        <f t="shared" si="24"/>
        <v>2</v>
      </c>
      <c r="O44" s="44">
        <f t="shared" si="26"/>
        <v>1</v>
      </c>
      <c r="P44" s="1">
        <f t="shared" si="27"/>
        <v>0</v>
      </c>
    </row>
    <row r="45" spans="1:16" ht="15.75" thickBot="1">
      <c r="A45" s="7">
        <f>VLOOKUP(C45,'2019 Draft by Round'!$C$2:$G$161,5,FALSE)</f>
        <v>103</v>
      </c>
      <c r="B45" s="7">
        <f>VLOOKUP(C45,'2019 Draft by Round'!$C$2:$H$161,6,FALSE)</f>
        <v>11</v>
      </c>
      <c r="C45" s="4" t="s">
        <v>102</v>
      </c>
      <c r="D45" s="4" t="s">
        <v>10</v>
      </c>
      <c r="E45" s="4" t="s">
        <v>11</v>
      </c>
      <c r="F45" s="19" t="s">
        <v>385</v>
      </c>
      <c r="G45" s="23"/>
      <c r="I45" s="20" t="s">
        <v>400</v>
      </c>
      <c r="J45" s="15" t="s">
        <v>401</v>
      </c>
      <c r="K45" s="15" t="s">
        <v>402</v>
      </c>
      <c r="M45" s="2" t="s">
        <v>387</v>
      </c>
      <c r="N45" s="1">
        <f t="shared" si="24"/>
        <v>11</v>
      </c>
      <c r="O45" s="44">
        <f t="shared" si="26"/>
        <v>10</v>
      </c>
      <c r="P45" s="1">
        <f t="shared" si="27"/>
        <v>9</v>
      </c>
    </row>
    <row r="46" spans="1:16" ht="15.75" thickBot="1">
      <c r="A46" s="7" t="e">
        <f>VLOOKUP(C46,'2019 Draft by Round'!$C$2:$G$161,5,FALSE)</f>
        <v>#N/A</v>
      </c>
      <c r="B46" s="7" t="e">
        <f>VLOOKUP(C46,'2019 Draft by Round'!$C$2:$H$161,6,FALSE)</f>
        <v>#N/A</v>
      </c>
      <c r="C46" s="4" t="s">
        <v>619</v>
      </c>
      <c r="D46" s="4" t="s">
        <v>534</v>
      </c>
      <c r="E46" s="4" t="s">
        <v>6</v>
      </c>
      <c r="F46" s="19" t="s">
        <v>385</v>
      </c>
      <c r="G46" s="23"/>
      <c r="I46" s="20" t="s">
        <v>400</v>
      </c>
      <c r="J46" s="15" t="s">
        <v>401</v>
      </c>
      <c r="K46" s="15" t="s">
        <v>402</v>
      </c>
      <c r="M46" s="2" t="s">
        <v>387</v>
      </c>
      <c r="N46" s="1" t="e">
        <f t="shared" si="24"/>
        <v>#N/A</v>
      </c>
      <c r="O46" s="44">
        <v>9</v>
      </c>
      <c r="P46" s="1">
        <f t="shared" si="27"/>
        <v>8</v>
      </c>
    </row>
    <row r="47" spans="1:16" ht="15.75" thickBot="1">
      <c r="A47" s="7" t="e">
        <f>VLOOKUP(C47,'2019 Draft by Round'!$C$2:$G$161,5,FALSE)</f>
        <v>#N/A</v>
      </c>
      <c r="B47" s="7" t="e">
        <f>VLOOKUP(C47,'2019 Draft by Round'!$C$2:$H$161,6,FALSE)</f>
        <v>#N/A</v>
      </c>
      <c r="C47" s="4" t="s">
        <v>620</v>
      </c>
      <c r="D47" s="4" t="s">
        <v>2</v>
      </c>
      <c r="E47" s="4" t="s">
        <v>21</v>
      </c>
      <c r="F47" s="19" t="s">
        <v>385</v>
      </c>
      <c r="G47" s="23"/>
      <c r="I47" s="20" t="s">
        <v>400</v>
      </c>
      <c r="J47" s="15" t="s">
        <v>401</v>
      </c>
      <c r="K47" s="15" t="s">
        <v>402</v>
      </c>
      <c r="M47" s="2" t="s">
        <v>387</v>
      </c>
      <c r="N47" s="1" t="e">
        <f t="shared" si="24"/>
        <v>#N/A</v>
      </c>
      <c r="O47" s="44">
        <v>9</v>
      </c>
      <c r="P47" s="1">
        <f t="shared" si="27"/>
        <v>8</v>
      </c>
    </row>
    <row r="48" spans="1:16" ht="15.75" thickBot="1">
      <c r="A48" s="7" t="e">
        <f>VLOOKUP(C48,'2019 Draft by Round'!$C$2:$G$161,5,FALSE)</f>
        <v>#N/A</v>
      </c>
      <c r="B48" s="7" t="e">
        <f>VLOOKUP(C48,'2019 Draft by Round'!$C$2:$H$161,6,FALSE)</f>
        <v>#N/A</v>
      </c>
      <c r="C48" s="4" t="s">
        <v>621</v>
      </c>
      <c r="D48" s="4" t="s">
        <v>5</v>
      </c>
      <c r="E48" s="4" t="s">
        <v>3</v>
      </c>
      <c r="F48" s="19" t="s">
        <v>385</v>
      </c>
      <c r="G48" s="23"/>
      <c r="I48" s="20" t="s">
        <v>400</v>
      </c>
      <c r="J48" s="15" t="s">
        <v>401</v>
      </c>
      <c r="K48" s="15" t="s">
        <v>402</v>
      </c>
      <c r="M48" s="2" t="s">
        <v>387</v>
      </c>
      <c r="N48" s="1" t="e">
        <f t="shared" si="24"/>
        <v>#N/A</v>
      </c>
      <c r="O48" s="44">
        <v>9</v>
      </c>
      <c r="P48" s="1">
        <f t="shared" si="27"/>
        <v>8</v>
      </c>
    </row>
    <row r="49" spans="1:16" ht="15.75" thickBot="1">
      <c r="A49" s="7">
        <f>VLOOKUP(C49,'2019 Draft by Round'!$C$2:$G$161,5,FALSE)</f>
        <v>131</v>
      </c>
      <c r="B49" s="7">
        <f>VLOOKUP(C49,'2019 Draft by Round'!$C$2:$H$161,6,FALSE)</f>
        <v>14</v>
      </c>
      <c r="C49" s="4" t="s">
        <v>547</v>
      </c>
      <c r="D49" s="4" t="s">
        <v>2</v>
      </c>
      <c r="E49" s="4" t="s">
        <v>3</v>
      </c>
      <c r="F49" s="19" t="s">
        <v>385</v>
      </c>
      <c r="G49" s="23"/>
      <c r="I49" s="20" t="s">
        <v>400</v>
      </c>
      <c r="J49" s="15" t="s">
        <v>401</v>
      </c>
      <c r="K49" s="15" t="s">
        <v>402</v>
      </c>
      <c r="M49" s="2" t="s">
        <v>390</v>
      </c>
      <c r="N49" s="1" t="e">
        <v>#N/A</v>
      </c>
      <c r="O49" s="44">
        <v>9</v>
      </c>
      <c r="P49" s="1">
        <v>8</v>
      </c>
    </row>
    <row r="50" spans="1:16" ht="15.75" thickBot="1">
      <c r="A50" s="7" t="e">
        <f>VLOOKUP(C50,'2019 Draft by Round'!$C$2:$G$161,5,FALSE)</f>
        <v>#N/A</v>
      </c>
      <c r="B50" s="7" t="e">
        <f>VLOOKUP(C50,'2019 Draft by Round'!$C$2:$H$161,6,FALSE)</f>
        <v>#N/A</v>
      </c>
      <c r="C50" s="4" t="s">
        <v>163</v>
      </c>
      <c r="D50" s="4" t="s">
        <v>2</v>
      </c>
      <c r="E50" s="4" t="s">
        <v>627</v>
      </c>
      <c r="F50" s="19" t="s">
        <v>385</v>
      </c>
      <c r="G50" s="23"/>
      <c r="I50" s="20" t="s">
        <v>400</v>
      </c>
      <c r="J50" s="15" t="s">
        <v>401</v>
      </c>
      <c r="K50" s="15" t="s">
        <v>402</v>
      </c>
      <c r="M50" s="2" t="s">
        <v>387</v>
      </c>
      <c r="N50" s="1" t="e">
        <f>B50</f>
        <v>#N/A</v>
      </c>
      <c r="O50" s="44">
        <v>9</v>
      </c>
      <c r="P50" s="1">
        <v>8</v>
      </c>
    </row>
    <row r="51" spans="1:16" ht="15.75" thickBot="1">
      <c r="A51" s="7" t="e">
        <f>VLOOKUP(C51,'2019 Draft by Round'!$C$2:$G$161,5,FALSE)</f>
        <v>#N/A</v>
      </c>
      <c r="B51" s="7" t="e">
        <f>VLOOKUP(C51,'2019 Draft by Round'!$C$2:$H$161,6,FALSE)</f>
        <v>#N/A</v>
      </c>
      <c r="C51" s="4" t="s">
        <v>147</v>
      </c>
      <c r="D51" s="4" t="s">
        <v>10</v>
      </c>
      <c r="E51" s="4" t="s">
        <v>41</v>
      </c>
      <c r="F51" s="19" t="s">
        <v>385</v>
      </c>
      <c r="G51" s="23"/>
      <c r="I51" s="20" t="s">
        <v>400</v>
      </c>
      <c r="J51" s="15" t="s">
        <v>401</v>
      </c>
      <c r="K51" s="15" t="s">
        <v>402</v>
      </c>
      <c r="M51" s="2" t="s">
        <v>387</v>
      </c>
      <c r="N51" s="1" t="e">
        <f>B51</f>
        <v>#N/A</v>
      </c>
      <c r="O51" s="44">
        <v>9</v>
      </c>
      <c r="P51" s="1">
        <f>O51-1</f>
        <v>8</v>
      </c>
    </row>
    <row r="52" spans="1:16" ht="15.75" thickBot="1">
      <c r="A52" s="7" t="e">
        <f>VLOOKUP(C52,'2019 Draft by Round'!$C$2:$G$161,5,FALSE)</f>
        <v>#N/A</v>
      </c>
      <c r="B52" s="7" t="e">
        <f>VLOOKUP(C52,'2019 Draft by Round'!$C$2:$H$161,6,FALSE)</f>
        <v>#N/A</v>
      </c>
      <c r="C52" s="4" t="s">
        <v>140</v>
      </c>
      <c r="D52" s="4" t="s">
        <v>27</v>
      </c>
      <c r="E52" s="4" t="s">
        <v>41</v>
      </c>
      <c r="F52" s="19" t="s">
        <v>385</v>
      </c>
      <c r="G52" s="23"/>
      <c r="I52" s="20" t="s">
        <v>400</v>
      </c>
      <c r="J52" s="15" t="s">
        <v>401</v>
      </c>
      <c r="K52" s="15" t="s">
        <v>402</v>
      </c>
      <c r="M52" s="2" t="s">
        <v>387</v>
      </c>
      <c r="N52" s="1" t="e">
        <f>B52</f>
        <v>#N/A</v>
      </c>
      <c r="O52" s="44">
        <v>9</v>
      </c>
      <c r="P52" s="1">
        <v>8</v>
      </c>
    </row>
    <row r="53" spans="1:16" ht="15.75" thickBot="1">
      <c r="A53" s="7" t="e">
        <f>VLOOKUP(C53,'2019 Draft by Round'!$C$2:$G$161,5,FALSE)</f>
        <v>#N/A</v>
      </c>
      <c r="B53" s="7" t="e">
        <f>VLOOKUP(C53,'2019 Draft by Round'!$C$2:$H$161,6,FALSE)</f>
        <v>#N/A</v>
      </c>
      <c r="C53" s="4" t="s">
        <v>622</v>
      </c>
      <c r="D53" s="4" t="s">
        <v>5</v>
      </c>
      <c r="E53" s="4" t="s">
        <v>73</v>
      </c>
      <c r="F53" s="19" t="s">
        <v>385</v>
      </c>
      <c r="G53" s="23"/>
      <c r="I53" s="20" t="s">
        <v>400</v>
      </c>
      <c r="J53" s="15" t="s">
        <v>401</v>
      </c>
      <c r="K53" s="15" t="s">
        <v>402</v>
      </c>
      <c r="M53" s="2" t="s">
        <v>387</v>
      </c>
      <c r="N53" s="1" t="e">
        <f>B53</f>
        <v>#N/A</v>
      </c>
      <c r="O53" s="44">
        <v>9</v>
      </c>
      <c r="P53" s="1">
        <f t="shared" ref="P53" si="28">O53-1</f>
        <v>8</v>
      </c>
    </row>
    <row r="54" spans="1:16" ht="15.75" thickBot="1">
      <c r="A54" s="7">
        <f>VLOOKUP(C54,'2019 Draft by Round'!$C$2:$G$161,5,FALSE)</f>
        <v>58</v>
      </c>
      <c r="B54" s="7">
        <f>VLOOKUP(C54,'2019 Draft by Round'!$C$2:$H$161,6,FALSE)</f>
        <v>6</v>
      </c>
      <c r="C54" s="4" t="s">
        <v>481</v>
      </c>
      <c r="D54" s="4" t="s">
        <v>10</v>
      </c>
      <c r="E54" s="4" t="s">
        <v>28</v>
      </c>
      <c r="F54" s="19" t="s">
        <v>385</v>
      </c>
      <c r="G54" s="23"/>
      <c r="I54" s="20" t="s">
        <v>401</v>
      </c>
      <c r="J54" s="15" t="s">
        <v>402</v>
      </c>
      <c r="K54" s="15" t="s">
        <v>387</v>
      </c>
      <c r="M54" s="2">
        <v>11</v>
      </c>
      <c r="N54" s="1">
        <f>B54</f>
        <v>6</v>
      </c>
      <c r="O54" s="12">
        <v>5</v>
      </c>
      <c r="P54" s="2" t="s">
        <v>387</v>
      </c>
    </row>
    <row r="55" spans="1:16" ht="15.75" thickBot="1">
      <c r="A55" s="14"/>
      <c r="B55" s="14"/>
      <c r="C55" s="14"/>
      <c r="D55" s="14"/>
      <c r="E55" s="14"/>
      <c r="F55" s="18"/>
      <c r="G55" s="18"/>
      <c r="I55" s="18"/>
      <c r="J55" s="18"/>
      <c r="K55" s="18"/>
      <c r="L55" s="18"/>
      <c r="M55" s="18"/>
      <c r="N55" s="18"/>
      <c r="O55" s="18"/>
      <c r="P55" s="18"/>
    </row>
    <row r="56" spans="1:16" ht="15.75" thickBot="1">
      <c r="A56" s="7">
        <f>VLOOKUP(C56,'2019 Draft by Round'!$C$2:$G$161,5,FALSE)</f>
        <v>121</v>
      </c>
      <c r="B56" s="7">
        <f>VLOOKUP(C56,'2019 Draft by Round'!$C$2:$H$161,6,FALSE)</f>
        <v>13</v>
      </c>
      <c r="C56" s="4" t="s">
        <v>460</v>
      </c>
      <c r="D56" s="8" t="s">
        <v>5</v>
      </c>
      <c r="E56" s="4" t="s">
        <v>23</v>
      </c>
      <c r="F56" s="17" t="s">
        <v>0</v>
      </c>
      <c r="G56" s="22"/>
      <c r="I56" s="20" t="s">
        <v>400</v>
      </c>
      <c r="J56" s="15" t="s">
        <v>401</v>
      </c>
      <c r="K56" s="15" t="s">
        <v>402</v>
      </c>
      <c r="M56" s="2" t="s">
        <v>387</v>
      </c>
      <c r="N56" s="1">
        <f>B56</f>
        <v>13</v>
      </c>
      <c r="O56" s="44">
        <f>N56-1</f>
        <v>12</v>
      </c>
      <c r="P56" s="1">
        <v>8</v>
      </c>
    </row>
    <row r="57" spans="1:16" ht="15.75" thickBot="1">
      <c r="A57" s="7">
        <f>VLOOKUP(C57,'2019 Draft by Round'!$C$2:$G$161,5,FALSE)</f>
        <v>1</v>
      </c>
      <c r="B57" s="7">
        <f>VLOOKUP(C57,'2019 Draft by Round'!$C$2:$H$161,6,FALSE)</f>
        <v>1</v>
      </c>
      <c r="C57" s="4" t="s">
        <v>468</v>
      </c>
      <c r="D57" s="4" t="s">
        <v>10</v>
      </c>
      <c r="E57" s="4" t="s">
        <v>35</v>
      </c>
      <c r="F57" s="17" t="s">
        <v>0</v>
      </c>
      <c r="G57" s="22"/>
      <c r="I57" s="20" t="s">
        <v>400</v>
      </c>
      <c r="J57" s="15" t="s">
        <v>401</v>
      </c>
      <c r="K57" s="15" t="s">
        <v>402</v>
      </c>
      <c r="M57" s="2" t="s">
        <v>387</v>
      </c>
      <c r="N57" s="1">
        <f>B57</f>
        <v>1</v>
      </c>
      <c r="O57" s="44" t="s">
        <v>387</v>
      </c>
      <c r="P57" s="2" t="s">
        <v>387</v>
      </c>
    </row>
    <row r="58" spans="1:16" ht="15.75" thickBot="1">
      <c r="A58" s="48">
        <f>VLOOKUP(C58,'2019 Draft by Round'!$C$2:$G$161,5,FALSE)</f>
        <v>100</v>
      </c>
      <c r="B58" s="48">
        <f>VLOOKUP(C58,'2019 Draft by Round'!$C$2:$H$161,6,FALSE)</f>
        <v>10</v>
      </c>
      <c r="C58" s="49" t="s">
        <v>447</v>
      </c>
      <c r="D58" s="49" t="s">
        <v>10</v>
      </c>
      <c r="E58" s="49" t="s">
        <v>6</v>
      </c>
      <c r="F58" s="50" t="s">
        <v>0</v>
      </c>
      <c r="G58" s="51"/>
      <c r="H58" s="52"/>
      <c r="I58" s="53" t="s">
        <v>401</v>
      </c>
      <c r="J58" s="54" t="s">
        <v>402</v>
      </c>
      <c r="K58" s="54" t="s">
        <v>387</v>
      </c>
      <c r="L58" s="52"/>
      <c r="M58" s="55" t="s">
        <v>387</v>
      </c>
      <c r="N58" s="56">
        <f>B58</f>
        <v>10</v>
      </c>
      <c r="O58" s="56">
        <f>N58-1</f>
        <v>9</v>
      </c>
      <c r="P58" s="56" t="s">
        <v>387</v>
      </c>
    </row>
    <row r="59" spans="1:16" ht="15.75" thickBot="1">
      <c r="A59" s="7">
        <f>VLOOKUP(C59,'2019 Draft by Round'!$C$2:$G$161,5,FALSE)</f>
        <v>21</v>
      </c>
      <c r="B59" s="7">
        <f>VLOOKUP(C59,'2019 Draft by Round'!$C$2:$H$161,6,FALSE)</f>
        <v>3</v>
      </c>
      <c r="C59" s="4" t="s">
        <v>118</v>
      </c>
      <c r="D59" s="4" t="s">
        <v>2</v>
      </c>
      <c r="E59" s="4" t="s">
        <v>56</v>
      </c>
      <c r="F59" s="17" t="s">
        <v>0</v>
      </c>
      <c r="G59" s="22"/>
      <c r="I59" s="20" t="s">
        <v>400</v>
      </c>
      <c r="J59" s="15" t="s">
        <v>401</v>
      </c>
      <c r="K59" s="15" t="s">
        <v>402</v>
      </c>
      <c r="M59" s="2" t="s">
        <v>387</v>
      </c>
      <c r="N59" s="1">
        <f>B59</f>
        <v>3</v>
      </c>
      <c r="O59" s="44">
        <f>N59-1</f>
        <v>2</v>
      </c>
      <c r="P59" s="1">
        <f>O59-1</f>
        <v>1</v>
      </c>
    </row>
    <row r="60" spans="1:16" ht="15.75" thickBot="1">
      <c r="A60" s="7" t="e">
        <f>VLOOKUP(C60,'2019 Draft by Round'!$C$2:$G$161,5,FALSE)</f>
        <v>#N/A</v>
      </c>
      <c r="B60" s="7" t="e">
        <f>VLOOKUP(C60,'2019 Draft by Round'!$C$2:$H$161,6,FALSE)</f>
        <v>#N/A</v>
      </c>
      <c r="C60" s="4" t="s">
        <v>45</v>
      </c>
      <c r="D60" s="4" t="s">
        <v>2</v>
      </c>
      <c r="E60" s="4" t="s">
        <v>46</v>
      </c>
      <c r="F60" s="17" t="s">
        <v>0</v>
      </c>
      <c r="G60" s="22"/>
      <c r="I60" s="20" t="s">
        <v>400</v>
      </c>
      <c r="J60" s="15" t="s">
        <v>401</v>
      </c>
      <c r="K60" s="15" t="s">
        <v>402</v>
      </c>
      <c r="M60" s="2" t="s">
        <v>387</v>
      </c>
      <c r="N60" s="1" t="e">
        <v>#N/A</v>
      </c>
      <c r="O60" s="44">
        <v>9</v>
      </c>
      <c r="P60" s="1">
        <f t="shared" ref="P60" si="29">O60-1</f>
        <v>8</v>
      </c>
    </row>
    <row r="61" spans="1:16" ht="15.75" thickBot="1">
      <c r="A61" s="7">
        <f>VLOOKUP(C61,'2019 Draft by Round'!$C$2:$G$161,5,FALSE)</f>
        <v>40</v>
      </c>
      <c r="B61" s="7">
        <f>VLOOKUP(C61,'2019 Draft by Round'!$C$2:$H$161,6,FALSE)</f>
        <v>4</v>
      </c>
      <c r="C61" s="4" t="s">
        <v>178</v>
      </c>
      <c r="D61" s="4" t="s">
        <v>27</v>
      </c>
      <c r="E61" s="4" t="s">
        <v>19</v>
      </c>
      <c r="F61" s="17" t="s">
        <v>0</v>
      </c>
      <c r="G61" s="22"/>
      <c r="I61" s="20" t="s">
        <v>400</v>
      </c>
      <c r="J61" s="15" t="s">
        <v>401</v>
      </c>
      <c r="K61" s="15" t="s">
        <v>402</v>
      </c>
      <c r="M61" s="2" t="s">
        <v>387</v>
      </c>
      <c r="N61" s="1">
        <f>B61</f>
        <v>4</v>
      </c>
      <c r="O61" s="44">
        <f>N61-1</f>
        <v>3</v>
      </c>
      <c r="P61" s="1">
        <f t="shared" ref="P61:P64" si="30">O61-1</f>
        <v>2</v>
      </c>
    </row>
    <row r="62" spans="1:16" ht="15.75" thickBot="1">
      <c r="A62" s="7" t="e">
        <f>VLOOKUP(C62,'2019 Draft by Round'!$C$2:$G$161,5,FALSE)</f>
        <v>#N/A</v>
      </c>
      <c r="B62" s="7" t="e">
        <f>VLOOKUP(C62,'2019 Draft by Round'!$C$2:$H$161,6,FALSE)</f>
        <v>#N/A</v>
      </c>
      <c r="C62" s="4" t="s">
        <v>624</v>
      </c>
      <c r="D62" s="4" t="s">
        <v>10</v>
      </c>
      <c r="E62" s="4" t="s">
        <v>135</v>
      </c>
      <c r="F62" s="17" t="s">
        <v>0</v>
      </c>
      <c r="G62" s="22"/>
      <c r="I62" s="20" t="s">
        <v>400</v>
      </c>
      <c r="J62" s="15" t="s">
        <v>401</v>
      </c>
      <c r="K62" s="15" t="s">
        <v>402</v>
      </c>
      <c r="M62" s="2" t="s">
        <v>387</v>
      </c>
      <c r="N62" s="1" t="e">
        <v>#N/A</v>
      </c>
      <c r="O62" s="44">
        <v>9</v>
      </c>
      <c r="P62" s="1">
        <f t="shared" si="30"/>
        <v>8</v>
      </c>
    </row>
    <row r="63" spans="1:16" ht="15.75" thickBot="1">
      <c r="A63" s="48">
        <f>VLOOKUP(C63,'2019 Draft by Round'!$C$2:$G$161,5,FALSE)</f>
        <v>156</v>
      </c>
      <c r="B63" s="48">
        <f>VLOOKUP(C63,'2019 Draft by Round'!$C$2:$H$161,6,FALSE)</f>
        <v>16</v>
      </c>
      <c r="C63" s="49" t="s">
        <v>611</v>
      </c>
      <c r="D63" s="49" t="s">
        <v>625</v>
      </c>
      <c r="E63" s="49" t="s">
        <v>49</v>
      </c>
      <c r="F63" s="50" t="s">
        <v>0</v>
      </c>
      <c r="G63" s="51"/>
      <c r="H63" s="52"/>
      <c r="I63" s="53" t="s">
        <v>400</v>
      </c>
      <c r="J63" s="54" t="s">
        <v>401</v>
      </c>
      <c r="K63" s="54" t="s">
        <v>402</v>
      </c>
      <c r="L63" s="52"/>
      <c r="M63" s="55" t="s">
        <v>387</v>
      </c>
      <c r="N63" s="56" t="e">
        <v>#N/A</v>
      </c>
      <c r="O63" s="56">
        <v>9</v>
      </c>
      <c r="P63" s="56">
        <f t="shared" si="30"/>
        <v>8</v>
      </c>
    </row>
    <row r="64" spans="1:16" ht="15.75" thickBot="1">
      <c r="A64" s="7" t="e">
        <f>VLOOKUP(C64,'2019 Draft by Round'!$C$2:$G$161,5,FALSE)</f>
        <v>#N/A</v>
      </c>
      <c r="B64" s="7" t="e">
        <f>VLOOKUP(C64,'2019 Draft by Round'!$C$2:$H$161,6,FALSE)</f>
        <v>#N/A</v>
      </c>
      <c r="C64" s="4" t="s">
        <v>557</v>
      </c>
      <c r="D64" s="4" t="s">
        <v>534</v>
      </c>
      <c r="E64" s="4" t="s">
        <v>30</v>
      </c>
      <c r="F64" s="17" t="s">
        <v>0</v>
      </c>
      <c r="G64" s="22"/>
      <c r="I64" s="20" t="s">
        <v>400</v>
      </c>
      <c r="J64" s="15" t="s">
        <v>401</v>
      </c>
      <c r="K64" s="15" t="s">
        <v>402</v>
      </c>
      <c r="M64" s="2" t="s">
        <v>387</v>
      </c>
      <c r="N64" s="1" t="e">
        <v>#N/A</v>
      </c>
      <c r="O64" s="44">
        <v>9</v>
      </c>
      <c r="P64" s="1">
        <f t="shared" si="30"/>
        <v>8</v>
      </c>
    </row>
    <row r="65" spans="1:16" ht="15.75" thickBot="1">
      <c r="A65" s="7">
        <f>VLOOKUP(C65,'2019 Draft by Round'!$C$2:$G$161,5,FALSE)</f>
        <v>20</v>
      </c>
      <c r="B65" s="7">
        <f>VLOOKUP(C65,'2019 Draft by Round'!$C$2:$H$161,6,FALSE)</f>
        <v>2</v>
      </c>
      <c r="C65" s="4" t="s">
        <v>99</v>
      </c>
      <c r="D65" s="4" t="s">
        <v>2</v>
      </c>
      <c r="E65" s="4" t="s">
        <v>17</v>
      </c>
      <c r="F65" s="17" t="s">
        <v>0</v>
      </c>
      <c r="G65" s="22"/>
      <c r="I65" s="20" t="s">
        <v>400</v>
      </c>
      <c r="J65" s="15" t="s">
        <v>401</v>
      </c>
      <c r="K65" s="15" t="s">
        <v>402</v>
      </c>
      <c r="M65" s="2">
        <v>5</v>
      </c>
      <c r="N65" s="1">
        <f>B65</f>
        <v>2</v>
      </c>
      <c r="O65" s="44">
        <f>N65-1</f>
        <v>1</v>
      </c>
      <c r="P65" s="2" t="s">
        <v>387</v>
      </c>
    </row>
    <row r="66" spans="1:16" ht="15.75" thickBot="1">
      <c r="A66" s="7">
        <f>VLOOKUP(C66,'2019 Draft by Round'!$C$2:$G$161,5,FALSE)</f>
        <v>61</v>
      </c>
      <c r="B66" s="7">
        <f>VLOOKUP(C66,'2019 Draft by Round'!$C$2:$H$161,6,FALSE)</f>
        <v>7</v>
      </c>
      <c r="C66" s="4" t="s">
        <v>480</v>
      </c>
      <c r="D66" s="4" t="s">
        <v>10</v>
      </c>
      <c r="E66" s="4" t="s">
        <v>17</v>
      </c>
      <c r="F66" s="17" t="s">
        <v>0</v>
      </c>
      <c r="G66" s="22"/>
      <c r="I66" s="20" t="s">
        <v>400</v>
      </c>
      <c r="J66" s="15" t="s">
        <v>401</v>
      </c>
      <c r="K66" s="15" t="s">
        <v>402</v>
      </c>
      <c r="M66" s="2" t="s">
        <v>387</v>
      </c>
      <c r="N66" s="1">
        <f>B66</f>
        <v>7</v>
      </c>
      <c r="O66" s="44">
        <f>N66-1</f>
        <v>6</v>
      </c>
      <c r="P66" s="1">
        <f>O66-1</f>
        <v>5</v>
      </c>
    </row>
    <row r="67" spans="1:16" ht="15.75" thickBot="1">
      <c r="A67" s="7">
        <f>VLOOKUP(C67,'2019 Draft by Round'!$C$2:$G$161,5,FALSE)</f>
        <v>81</v>
      </c>
      <c r="B67" s="7">
        <f>VLOOKUP(C67,'2019 Draft by Round'!$C$2:$H$161,6,FALSE)</f>
        <v>9</v>
      </c>
      <c r="C67" s="4" t="s">
        <v>542</v>
      </c>
      <c r="D67" s="4" t="s">
        <v>10</v>
      </c>
      <c r="E67" s="4" t="s">
        <v>13</v>
      </c>
      <c r="F67" s="17" t="s">
        <v>0</v>
      </c>
      <c r="G67" s="22"/>
      <c r="I67" s="20" t="s">
        <v>401</v>
      </c>
      <c r="J67" s="15" t="s">
        <v>402</v>
      </c>
      <c r="K67" s="15" t="s">
        <v>387</v>
      </c>
      <c r="M67" s="2" t="s">
        <v>387</v>
      </c>
      <c r="N67" s="1">
        <f>B67</f>
        <v>9</v>
      </c>
      <c r="O67" s="44">
        <f>N67-1</f>
        <v>8</v>
      </c>
      <c r="P67" s="2" t="s">
        <v>387</v>
      </c>
    </row>
    <row r="68" spans="1:16" ht="15.75" thickBot="1">
      <c r="A68" s="7">
        <f>VLOOKUP(C68,'2019 Draft by Round'!$C$2:$G$161,5,FALSE)</f>
        <v>132</v>
      </c>
      <c r="B68" s="7">
        <f>VLOOKUP(C68,'2019 Draft by Round'!$C$2:$H$161,6,FALSE)</f>
        <v>14</v>
      </c>
      <c r="C68" s="4" t="s">
        <v>599</v>
      </c>
      <c r="D68" s="4" t="s">
        <v>10</v>
      </c>
      <c r="E68" s="4" t="s">
        <v>137</v>
      </c>
      <c r="F68" s="17" t="s">
        <v>0</v>
      </c>
      <c r="G68" s="22"/>
      <c r="I68" s="20" t="s">
        <v>400</v>
      </c>
      <c r="J68" s="15" t="s">
        <v>401</v>
      </c>
      <c r="K68" s="15" t="s">
        <v>402</v>
      </c>
      <c r="M68" s="2" t="s">
        <v>387</v>
      </c>
      <c r="N68" s="1" t="e">
        <v>#N/A</v>
      </c>
      <c r="O68" s="44">
        <v>9</v>
      </c>
      <c r="P68" s="1">
        <f t="shared" ref="P68:P71" si="31">O68-1</f>
        <v>8</v>
      </c>
    </row>
    <row r="69" spans="1:16" ht="15.75" thickBot="1">
      <c r="A69" s="7">
        <f>VLOOKUP(C69,'2019 Draft by Round'!$C$2:$G$161,5,FALSE)</f>
        <v>102</v>
      </c>
      <c r="B69" s="7">
        <f>VLOOKUP(C69,'2019 Draft by Round'!$C$2:$H$161,6,FALSE)</f>
        <v>11</v>
      </c>
      <c r="C69" s="4" t="s">
        <v>592</v>
      </c>
      <c r="D69" s="4" t="s">
        <v>2</v>
      </c>
      <c r="E69" s="4" t="s">
        <v>30</v>
      </c>
      <c r="F69" s="17" t="s">
        <v>0</v>
      </c>
      <c r="G69" s="22"/>
      <c r="I69" s="20" t="s">
        <v>400</v>
      </c>
      <c r="J69" s="15" t="s">
        <v>401</v>
      </c>
      <c r="K69" s="15" t="s">
        <v>402</v>
      </c>
      <c r="M69" s="2" t="s">
        <v>387</v>
      </c>
      <c r="N69" s="1" t="e">
        <v>#N/A</v>
      </c>
      <c r="O69" s="44">
        <v>9</v>
      </c>
      <c r="P69" s="1">
        <f t="shared" si="31"/>
        <v>8</v>
      </c>
    </row>
    <row r="70" spans="1:16" ht="15.75" thickBot="1">
      <c r="A70" s="7">
        <f>VLOOKUP(C70,'2019 Draft by Round'!$C$2:$G$161,5,FALSE)</f>
        <v>101</v>
      </c>
      <c r="B70" s="7">
        <f>VLOOKUP(C70,'2019 Draft by Round'!$C$2:$H$161,6,FALSE)</f>
        <v>11</v>
      </c>
      <c r="C70" s="4" t="s">
        <v>591</v>
      </c>
      <c r="D70" s="4" t="s">
        <v>10</v>
      </c>
      <c r="E70" s="4" t="s">
        <v>21</v>
      </c>
      <c r="F70" s="17" t="s">
        <v>0</v>
      </c>
      <c r="G70" s="22"/>
      <c r="I70" s="20" t="s">
        <v>400</v>
      </c>
      <c r="J70" s="15" t="s">
        <v>401</v>
      </c>
      <c r="K70" s="15" t="s">
        <v>402</v>
      </c>
      <c r="M70" s="2" t="s">
        <v>387</v>
      </c>
      <c r="N70" s="1" t="e">
        <v>#N/A</v>
      </c>
      <c r="O70" s="44">
        <v>9</v>
      </c>
      <c r="P70" s="1">
        <f t="shared" si="31"/>
        <v>8</v>
      </c>
    </row>
    <row r="71" spans="1:16" ht="15.75" thickBot="1">
      <c r="A71" s="7">
        <f>VLOOKUP(C71,'2019 Draft by Round'!$C$2:$G$161,5,FALSE)</f>
        <v>149</v>
      </c>
      <c r="B71" s="7">
        <f>VLOOKUP(C71,'2019 Draft by Round'!$C$2:$H$161,6,FALSE)</f>
        <v>15</v>
      </c>
      <c r="C71" s="4" t="s">
        <v>606</v>
      </c>
      <c r="D71" s="4" t="s">
        <v>10</v>
      </c>
      <c r="E71" s="4" t="s">
        <v>15</v>
      </c>
      <c r="F71" s="17" t="s">
        <v>0</v>
      </c>
      <c r="G71" s="22"/>
      <c r="I71" s="20" t="s">
        <v>400</v>
      </c>
      <c r="J71" s="15" t="s">
        <v>401</v>
      </c>
      <c r="K71" s="15" t="s">
        <v>402</v>
      </c>
      <c r="M71" s="2" t="s">
        <v>387</v>
      </c>
      <c r="N71" s="1" t="e">
        <v>#N/A</v>
      </c>
      <c r="O71" s="44">
        <v>9</v>
      </c>
      <c r="P71" s="1">
        <f t="shared" si="31"/>
        <v>8</v>
      </c>
    </row>
    <row r="72" spans="1:16" ht="15.75" thickBot="1">
      <c r="A72" s="14"/>
      <c r="B72" s="14"/>
      <c r="C72" s="14"/>
      <c r="D72" s="14"/>
      <c r="E72" s="14"/>
      <c r="F72" s="18"/>
      <c r="G72" s="18"/>
      <c r="I72" s="18"/>
      <c r="J72" s="18"/>
      <c r="K72" s="18"/>
      <c r="L72" s="18"/>
      <c r="M72" s="18"/>
      <c r="N72" s="18"/>
      <c r="O72" s="18"/>
      <c r="P72" s="18"/>
    </row>
    <row r="73" spans="1:16" ht="15.75" thickBot="1">
      <c r="A73" s="48">
        <f>VLOOKUP(C73,'2019 Draft by Round'!$C$2:$G$161,5,FALSE)</f>
        <v>107</v>
      </c>
      <c r="B73" s="48">
        <f>VLOOKUP(C73,'2019 Draft by Round'!$C$2:$H$161,6,FALSE)</f>
        <v>11</v>
      </c>
      <c r="C73" s="49" t="s">
        <v>540</v>
      </c>
      <c r="D73" s="49" t="s">
        <v>5</v>
      </c>
      <c r="E73" s="49" t="s">
        <v>3</v>
      </c>
      <c r="F73" s="50" t="s">
        <v>114</v>
      </c>
      <c r="G73" s="51"/>
      <c r="H73" s="52"/>
      <c r="I73" s="53" t="s">
        <v>400</v>
      </c>
      <c r="J73" s="54" t="s">
        <v>401</v>
      </c>
      <c r="K73" s="54" t="s">
        <v>402</v>
      </c>
      <c r="L73" s="52"/>
      <c r="M73" s="55" t="s">
        <v>387</v>
      </c>
      <c r="N73" s="56">
        <f t="shared" ref="N73:N88" si="32">B73</f>
        <v>11</v>
      </c>
      <c r="O73" s="56">
        <f t="shared" ref="O73:P75" si="33">N73-1</f>
        <v>10</v>
      </c>
      <c r="P73" s="56">
        <f t="shared" si="33"/>
        <v>9</v>
      </c>
    </row>
    <row r="74" spans="1:16" ht="15.75" thickBot="1">
      <c r="A74" s="7">
        <f>VLOOKUP(C74,'2019 Draft by Round'!$C$2:$G$161,5,FALSE)</f>
        <v>27</v>
      </c>
      <c r="B74" s="7">
        <f>VLOOKUP(C74,'2019 Draft by Round'!$C$2:$H$161,6,FALSE)</f>
        <v>3</v>
      </c>
      <c r="C74" s="4" t="s">
        <v>433</v>
      </c>
      <c r="D74" s="4" t="s">
        <v>10</v>
      </c>
      <c r="E74" s="4" t="s">
        <v>73</v>
      </c>
      <c r="F74" s="17" t="s">
        <v>114</v>
      </c>
      <c r="G74" s="22"/>
      <c r="I74" s="20" t="s">
        <v>400</v>
      </c>
      <c r="J74" s="15" t="s">
        <v>401</v>
      </c>
      <c r="K74" s="15" t="s">
        <v>402</v>
      </c>
      <c r="M74" s="2" t="s">
        <v>387</v>
      </c>
      <c r="N74" s="1">
        <f t="shared" si="32"/>
        <v>3</v>
      </c>
      <c r="O74" s="44">
        <f t="shared" si="33"/>
        <v>2</v>
      </c>
      <c r="P74" s="1">
        <f t="shared" si="33"/>
        <v>1</v>
      </c>
    </row>
    <row r="75" spans="1:16" ht="15.75" thickBot="1">
      <c r="A75" s="7">
        <f>VLOOKUP(C75,'2019 Draft by Round'!$C$2:$G$161,5,FALSE)</f>
        <v>47</v>
      </c>
      <c r="B75" s="7">
        <f>VLOOKUP(C75,'2019 Draft by Round'!$C$2:$H$161,6,FALSE)</f>
        <v>5</v>
      </c>
      <c r="C75" s="4" t="s">
        <v>457</v>
      </c>
      <c r="D75" s="4" t="s">
        <v>10</v>
      </c>
      <c r="E75" s="4" t="s">
        <v>107</v>
      </c>
      <c r="F75" s="17" t="s">
        <v>114</v>
      </c>
      <c r="G75" s="22"/>
      <c r="I75" s="20" t="s">
        <v>400</v>
      </c>
      <c r="J75" s="15" t="s">
        <v>401</v>
      </c>
      <c r="K75" s="15" t="s">
        <v>402</v>
      </c>
      <c r="M75" s="2" t="s">
        <v>387</v>
      </c>
      <c r="N75" s="1">
        <f t="shared" si="32"/>
        <v>5</v>
      </c>
      <c r="O75" s="44">
        <f t="shared" si="33"/>
        <v>4</v>
      </c>
      <c r="P75" s="1">
        <f t="shared" si="33"/>
        <v>3</v>
      </c>
    </row>
    <row r="76" spans="1:16" ht="15.75" thickBot="1">
      <c r="A76" s="7">
        <f>VLOOKUP(C76,'2019 Draft by Round'!$C$2:$G$161,5,FALSE)</f>
        <v>7</v>
      </c>
      <c r="B76" s="7">
        <f>VLOOKUP(C76,'2019 Draft by Round'!$C$2:$H$161,6,FALSE)</f>
        <v>1</v>
      </c>
      <c r="C76" s="4" t="s">
        <v>161</v>
      </c>
      <c r="D76" s="4" t="s">
        <v>2</v>
      </c>
      <c r="E76" s="4" t="s">
        <v>82</v>
      </c>
      <c r="F76" s="17" t="s">
        <v>114</v>
      </c>
      <c r="G76" s="22"/>
      <c r="I76" s="20" t="s">
        <v>400</v>
      </c>
      <c r="J76" s="15" t="s">
        <v>401</v>
      </c>
      <c r="K76" s="15" t="s">
        <v>402</v>
      </c>
      <c r="M76" s="2" t="s">
        <v>387</v>
      </c>
      <c r="N76" s="1">
        <f t="shared" si="32"/>
        <v>1</v>
      </c>
      <c r="O76" s="12" t="s">
        <v>387</v>
      </c>
      <c r="P76" s="2" t="s">
        <v>387</v>
      </c>
    </row>
    <row r="77" spans="1:16" ht="15.75" thickBot="1">
      <c r="A77" s="7">
        <f>VLOOKUP(C77,'2019 Draft by Round'!$C$2:$G$161,5,FALSE)</f>
        <v>94</v>
      </c>
      <c r="B77" s="7">
        <f>VLOOKUP(C77,'2019 Draft by Round'!$C$2:$H$161,6,FALSE)</f>
        <v>10</v>
      </c>
      <c r="C77" s="4" t="s">
        <v>495</v>
      </c>
      <c r="D77" s="4" t="s">
        <v>2</v>
      </c>
      <c r="E77" s="4" t="s">
        <v>15</v>
      </c>
      <c r="F77" s="17" t="s">
        <v>114</v>
      </c>
      <c r="G77" s="22"/>
      <c r="I77" s="20" t="s">
        <v>400</v>
      </c>
      <c r="J77" s="15" t="s">
        <v>401</v>
      </c>
      <c r="K77" s="15" t="s">
        <v>402</v>
      </c>
      <c r="M77" s="2">
        <v>10</v>
      </c>
      <c r="N77" s="1">
        <f t="shared" si="32"/>
        <v>10</v>
      </c>
      <c r="O77" s="12">
        <v>9</v>
      </c>
      <c r="P77" s="2">
        <v>8</v>
      </c>
    </row>
    <row r="78" spans="1:16" ht="15.75" thickBot="1">
      <c r="A78" s="7" t="e">
        <f>VLOOKUP(C78,'2019 Draft by Round'!$C$2:$G$161,5,FALSE)</f>
        <v>#N/A</v>
      </c>
      <c r="B78" s="7" t="e">
        <f>VLOOKUP(C78,'2019 Draft by Round'!$C$2:$H$161,6,FALSE)</f>
        <v>#N/A</v>
      </c>
      <c r="C78" s="4" t="s">
        <v>640</v>
      </c>
      <c r="D78" s="4" t="s">
        <v>27</v>
      </c>
      <c r="E78" s="4" t="s">
        <v>120</v>
      </c>
      <c r="F78" s="17" t="s">
        <v>114</v>
      </c>
      <c r="G78" s="22"/>
      <c r="I78" s="20" t="s">
        <v>400</v>
      </c>
      <c r="J78" s="15" t="s">
        <v>401</v>
      </c>
      <c r="K78" s="15" t="s">
        <v>402</v>
      </c>
      <c r="M78" s="2" t="s">
        <v>387</v>
      </c>
      <c r="N78" s="1" t="e">
        <f t="shared" si="32"/>
        <v>#N/A</v>
      </c>
      <c r="O78" s="44">
        <v>9</v>
      </c>
      <c r="P78" s="1">
        <f t="shared" ref="P78" si="34">O78-1</f>
        <v>8</v>
      </c>
    </row>
    <row r="79" spans="1:16" ht="15.75" thickBot="1">
      <c r="A79" s="7">
        <f>VLOOKUP(C79,'2019 Draft by Round'!$C$2:$G$161,5,FALSE)</f>
        <v>34</v>
      </c>
      <c r="B79" s="7">
        <f>VLOOKUP(C79,'2019 Draft by Round'!$C$2:$H$161,6,FALSE)</f>
        <v>4</v>
      </c>
      <c r="C79" s="4" t="s">
        <v>499</v>
      </c>
      <c r="D79" s="4" t="s">
        <v>2</v>
      </c>
      <c r="E79" s="4" t="s">
        <v>32</v>
      </c>
      <c r="F79" s="17" t="s">
        <v>114</v>
      </c>
      <c r="G79" s="22"/>
      <c r="I79" s="20" t="s">
        <v>400</v>
      </c>
      <c r="J79" s="15" t="s">
        <v>401</v>
      </c>
      <c r="K79" s="15" t="s">
        <v>402</v>
      </c>
      <c r="M79" s="2" t="s">
        <v>387</v>
      </c>
      <c r="N79" s="1">
        <f t="shared" si="32"/>
        <v>4</v>
      </c>
      <c r="O79" s="44">
        <f>N79-1</f>
        <v>3</v>
      </c>
      <c r="P79" s="1">
        <f>O79-1</f>
        <v>2</v>
      </c>
    </row>
    <row r="80" spans="1:16" ht="15.75" thickBot="1">
      <c r="A80" s="7" t="e">
        <f>VLOOKUP(C80,'2019 Draft by Round'!$C$2:$G$161,5,FALSE)</f>
        <v>#N/A</v>
      </c>
      <c r="B80" s="7" t="e">
        <f>VLOOKUP(C80,'2019 Draft by Round'!$C$2:$H$161,6,FALSE)</f>
        <v>#N/A</v>
      </c>
      <c r="C80" s="4" t="s">
        <v>641</v>
      </c>
      <c r="D80" s="4" t="s">
        <v>2</v>
      </c>
      <c r="E80" s="4" t="s">
        <v>11</v>
      </c>
      <c r="F80" s="17" t="s">
        <v>114</v>
      </c>
      <c r="G80" s="22"/>
      <c r="I80" s="20" t="s">
        <v>400</v>
      </c>
      <c r="J80" s="15" t="s">
        <v>401</v>
      </c>
      <c r="K80" s="15" t="s">
        <v>402</v>
      </c>
      <c r="M80" s="25" t="s">
        <v>390</v>
      </c>
      <c r="N80" s="1" t="e">
        <f t="shared" si="32"/>
        <v>#N/A</v>
      </c>
      <c r="O80" s="44">
        <v>9</v>
      </c>
      <c r="P80" s="1">
        <f t="shared" ref="P80" si="35">O80-1</f>
        <v>8</v>
      </c>
    </row>
    <row r="81" spans="1:16" ht="15.75" thickBot="1">
      <c r="A81" s="7" t="e">
        <f>VLOOKUP(C81,'2019 Draft by Round'!$C$2:$G$161,5,FALSE)</f>
        <v>#N/A</v>
      </c>
      <c r="B81" s="7" t="e">
        <f>VLOOKUP(C81,'2019 Draft by Round'!$C$2:$H$161,6,FALSE)</f>
        <v>#N/A</v>
      </c>
      <c r="C81" s="4" t="s">
        <v>536</v>
      </c>
      <c r="D81" s="4" t="s">
        <v>534</v>
      </c>
      <c r="E81" s="4" t="s">
        <v>3</v>
      </c>
      <c r="F81" s="17" t="s">
        <v>114</v>
      </c>
      <c r="G81" s="22"/>
      <c r="I81" s="20" t="s">
        <v>400</v>
      </c>
      <c r="J81" s="15" t="s">
        <v>401</v>
      </c>
      <c r="K81" s="15" t="s">
        <v>402</v>
      </c>
      <c r="M81" s="2" t="s">
        <v>387</v>
      </c>
      <c r="N81" s="1" t="e">
        <f t="shared" si="32"/>
        <v>#N/A</v>
      </c>
      <c r="O81" s="44">
        <v>9</v>
      </c>
      <c r="P81" s="1">
        <f t="shared" ref="P81" si="36">O81-1</f>
        <v>8</v>
      </c>
    </row>
    <row r="82" spans="1:16" ht="15.75" thickBot="1">
      <c r="A82" s="7">
        <f>VLOOKUP(C82,'2019 Draft by Round'!$C$2:$G$161,5,FALSE)</f>
        <v>14</v>
      </c>
      <c r="B82" s="7">
        <f>VLOOKUP(C82,'2019 Draft by Round'!$C$2:$H$161,6,FALSE)</f>
        <v>2</v>
      </c>
      <c r="C82" s="4" t="s">
        <v>40</v>
      </c>
      <c r="D82" s="4" t="s">
        <v>10</v>
      </c>
      <c r="E82" s="4" t="s">
        <v>41</v>
      </c>
      <c r="F82" s="17" t="s">
        <v>114</v>
      </c>
      <c r="G82" s="22"/>
      <c r="I82" s="20" t="s">
        <v>400</v>
      </c>
      <c r="J82" s="15" t="s">
        <v>401</v>
      </c>
      <c r="K82" s="15" t="s">
        <v>402</v>
      </c>
      <c r="M82" s="2" t="s">
        <v>387</v>
      </c>
      <c r="N82" s="1">
        <f t="shared" si="32"/>
        <v>2</v>
      </c>
      <c r="O82" s="44">
        <f>N82-1</f>
        <v>1</v>
      </c>
      <c r="P82" s="1" t="s">
        <v>387</v>
      </c>
    </row>
    <row r="83" spans="1:16" ht="15.75" thickBot="1">
      <c r="A83" s="7">
        <f>VLOOKUP(C83,'2019 Draft by Round'!$C$2:$G$161,5,FALSE)</f>
        <v>54</v>
      </c>
      <c r="B83" s="7">
        <f>VLOOKUP(C83,'2019 Draft by Round'!$C$2:$H$161,6,FALSE)</f>
        <v>6</v>
      </c>
      <c r="C83" s="4" t="s">
        <v>119</v>
      </c>
      <c r="D83" s="4" t="s">
        <v>2</v>
      </c>
      <c r="E83" s="4" t="s">
        <v>13</v>
      </c>
      <c r="F83" s="17" t="s">
        <v>114</v>
      </c>
      <c r="G83" s="22"/>
      <c r="I83" s="20" t="s">
        <v>400</v>
      </c>
      <c r="J83" s="15" t="s">
        <v>401</v>
      </c>
      <c r="K83" s="15" t="s">
        <v>402</v>
      </c>
      <c r="M83" s="2" t="s">
        <v>387</v>
      </c>
      <c r="N83" s="1">
        <f t="shared" si="32"/>
        <v>6</v>
      </c>
      <c r="O83" s="44">
        <f>N83-1</f>
        <v>5</v>
      </c>
      <c r="P83" s="1">
        <f>O83-1</f>
        <v>4</v>
      </c>
    </row>
    <row r="84" spans="1:16" ht="15.75" thickBot="1">
      <c r="A84" s="7">
        <f>VLOOKUP(C84,'2019 Draft by Round'!$C$2:$G$161,5,FALSE)</f>
        <v>74</v>
      </c>
      <c r="B84" s="7">
        <f>VLOOKUP(C84,'2019 Draft by Round'!$C$2:$H$161,6,FALSE)</f>
        <v>8</v>
      </c>
      <c r="C84" s="4" t="s">
        <v>451</v>
      </c>
      <c r="D84" s="4" t="s">
        <v>2</v>
      </c>
      <c r="E84" s="4" t="s">
        <v>3</v>
      </c>
      <c r="F84" s="17" t="s">
        <v>114</v>
      </c>
      <c r="G84" s="22"/>
      <c r="I84" s="20" t="s">
        <v>401</v>
      </c>
      <c r="J84" s="15" t="s">
        <v>402</v>
      </c>
      <c r="K84" s="15" t="s">
        <v>387</v>
      </c>
      <c r="M84" s="2" t="s">
        <v>387</v>
      </c>
      <c r="N84" s="1">
        <f t="shared" si="32"/>
        <v>8</v>
      </c>
      <c r="O84" s="44">
        <f>N84-1</f>
        <v>7</v>
      </c>
      <c r="P84" s="1" t="s">
        <v>387</v>
      </c>
    </row>
    <row r="85" spans="1:16" ht="15.75" thickBot="1">
      <c r="A85" s="48">
        <f>VLOOKUP(C85,'2019 Draft by Round'!$C$2:$G$161,5,FALSE)</f>
        <v>114</v>
      </c>
      <c r="B85" s="48">
        <f>VLOOKUP(C85,'2019 Draft by Round'!$C$2:$H$161,6,FALSE)</f>
        <v>12</v>
      </c>
      <c r="C85" s="49" t="s">
        <v>503</v>
      </c>
      <c r="D85" s="49" t="s">
        <v>2</v>
      </c>
      <c r="E85" s="49" t="s">
        <v>43</v>
      </c>
      <c r="F85" s="50" t="s">
        <v>114</v>
      </c>
      <c r="G85" s="51"/>
      <c r="H85" s="52"/>
      <c r="I85" s="53" t="s">
        <v>401</v>
      </c>
      <c r="J85" s="54" t="s">
        <v>402</v>
      </c>
      <c r="K85" s="54" t="s">
        <v>387</v>
      </c>
      <c r="L85" s="52"/>
      <c r="M85" s="55" t="s">
        <v>387</v>
      </c>
      <c r="N85" s="56">
        <f t="shared" si="32"/>
        <v>12</v>
      </c>
      <c r="O85" s="56">
        <f>N85-1</f>
        <v>11</v>
      </c>
      <c r="P85" s="56" t="s">
        <v>387</v>
      </c>
    </row>
    <row r="86" spans="1:16" ht="15.75" thickBot="1">
      <c r="A86" s="7">
        <f>VLOOKUP(C86,'2019 Draft by Round'!$C$2:$G$161,5,FALSE)</f>
        <v>134</v>
      </c>
      <c r="B86" s="7">
        <f>VLOOKUP(C86,'2019 Draft by Round'!$C$2:$H$161,6,FALSE)</f>
        <v>14</v>
      </c>
      <c r="C86" s="4" t="s">
        <v>81</v>
      </c>
      <c r="D86" s="4" t="s">
        <v>5</v>
      </c>
      <c r="E86" s="4" t="s">
        <v>82</v>
      </c>
      <c r="F86" s="17" t="s">
        <v>114</v>
      </c>
      <c r="G86" s="22"/>
      <c r="I86" s="20" t="s">
        <v>400</v>
      </c>
      <c r="J86" s="15" t="s">
        <v>401</v>
      </c>
      <c r="K86" s="15" t="s">
        <v>402</v>
      </c>
      <c r="M86" s="2" t="s">
        <v>387</v>
      </c>
      <c r="N86" s="1">
        <f t="shared" si="32"/>
        <v>14</v>
      </c>
      <c r="O86" s="44">
        <f>N86-1</f>
        <v>13</v>
      </c>
      <c r="P86" s="1">
        <f>O86-1</f>
        <v>12</v>
      </c>
    </row>
    <row r="87" spans="1:16" ht="15.75" thickBot="1">
      <c r="A87" s="7" t="e">
        <f>VLOOKUP(C87,'2019 Draft by Round'!$C$2:$G$161,5,FALSE)</f>
        <v>#N/A</v>
      </c>
      <c r="B87" s="7" t="e">
        <f>VLOOKUP(C87,'2019 Draft by Round'!$C$2:$H$161,6,FALSE)</f>
        <v>#N/A</v>
      </c>
      <c r="C87" s="4" t="s">
        <v>152</v>
      </c>
      <c r="D87" s="4" t="s">
        <v>27</v>
      </c>
      <c r="E87" s="4" t="s">
        <v>32</v>
      </c>
      <c r="F87" s="17" t="s">
        <v>114</v>
      </c>
      <c r="G87" s="22"/>
      <c r="I87" s="20" t="s">
        <v>400</v>
      </c>
      <c r="J87" s="15" t="s">
        <v>401</v>
      </c>
      <c r="K87" s="15" t="s">
        <v>402</v>
      </c>
      <c r="M87" s="2" t="s">
        <v>387</v>
      </c>
      <c r="N87" s="1" t="e">
        <f t="shared" si="32"/>
        <v>#N/A</v>
      </c>
      <c r="O87" s="44">
        <v>9</v>
      </c>
      <c r="P87" s="1">
        <f t="shared" ref="P87" si="37">O87-1</f>
        <v>8</v>
      </c>
    </row>
    <row r="88" spans="1:16" ht="15.75" thickBot="1">
      <c r="A88" s="7" t="e">
        <f>VLOOKUP(C88,'2019 Draft by Round'!$C$2:$G$161,5,FALSE)</f>
        <v>#N/A</v>
      </c>
      <c r="B88" s="7" t="e">
        <f>VLOOKUP(C88,'2019 Draft by Round'!$C$2:$H$161,6,FALSE)</f>
        <v>#N/A</v>
      </c>
      <c r="C88" s="4" t="s">
        <v>642</v>
      </c>
      <c r="D88" s="4" t="s">
        <v>2</v>
      </c>
      <c r="E88" s="4" t="s">
        <v>35</v>
      </c>
      <c r="F88" s="17" t="s">
        <v>114</v>
      </c>
      <c r="G88" s="22"/>
      <c r="I88" s="20" t="s">
        <v>400</v>
      </c>
      <c r="J88" s="15" t="s">
        <v>401</v>
      </c>
      <c r="K88" s="15" t="s">
        <v>402</v>
      </c>
      <c r="M88" s="2" t="s">
        <v>387</v>
      </c>
      <c r="N88" s="1" t="e">
        <f t="shared" si="32"/>
        <v>#N/A</v>
      </c>
      <c r="O88" s="44">
        <v>9</v>
      </c>
      <c r="P88" s="1">
        <f t="shared" ref="P88" si="38">O88-1</f>
        <v>8</v>
      </c>
    </row>
    <row r="89" spans="1:16" ht="15.75" thickBot="1">
      <c r="A89" s="14"/>
      <c r="B89" s="14"/>
      <c r="C89" s="14"/>
      <c r="D89" s="14"/>
      <c r="E89" s="14"/>
      <c r="F89" s="18"/>
      <c r="G89" s="18"/>
      <c r="I89" s="18"/>
      <c r="J89" s="18"/>
      <c r="K89" s="18"/>
      <c r="L89" s="18"/>
      <c r="M89" s="18"/>
      <c r="N89" s="18"/>
      <c r="O89" s="18"/>
      <c r="P89" s="18"/>
    </row>
    <row r="90" spans="1:16" ht="15.75" thickBot="1">
      <c r="A90" s="7">
        <f>VLOOKUP(C90,'2019 Draft by Round'!$C$2:$G$161,5,FALSE)</f>
        <v>77</v>
      </c>
      <c r="B90" s="7">
        <f>VLOOKUP(C90,'2019 Draft by Round'!$C$2:$H$161,6,FALSE)</f>
        <v>8</v>
      </c>
      <c r="C90" s="4" t="s">
        <v>47</v>
      </c>
      <c r="D90" s="8" t="s">
        <v>5</v>
      </c>
      <c r="E90" s="4" t="s">
        <v>43</v>
      </c>
      <c r="F90" s="17" t="s">
        <v>471</v>
      </c>
      <c r="G90" s="22"/>
      <c r="I90" s="20" t="s">
        <v>400</v>
      </c>
      <c r="J90" s="15" t="s">
        <v>401</v>
      </c>
      <c r="K90" s="15" t="s">
        <v>402</v>
      </c>
      <c r="M90" s="2" t="s">
        <v>387</v>
      </c>
      <c r="N90" s="1">
        <f t="shared" ref="N90:N91" si="39">B90</f>
        <v>8</v>
      </c>
      <c r="O90" s="44">
        <f t="shared" ref="O90:P95" si="40">N90-1</f>
        <v>7</v>
      </c>
      <c r="P90" s="1">
        <f t="shared" si="40"/>
        <v>6</v>
      </c>
    </row>
    <row r="91" spans="1:16" ht="15.75" thickBot="1">
      <c r="A91" s="7">
        <f>VLOOKUP(C91,'2019 Draft by Round'!$C$2:$G$161,5,FALSE)</f>
        <v>37</v>
      </c>
      <c r="B91" s="7">
        <f>VLOOKUP(C91,'2019 Draft by Round'!$C$2:$H$161,6,FALSE)</f>
        <v>4</v>
      </c>
      <c r="C91" s="4" t="s">
        <v>437</v>
      </c>
      <c r="D91" s="4" t="s">
        <v>10</v>
      </c>
      <c r="E91" s="4" t="s">
        <v>137</v>
      </c>
      <c r="F91" s="17" t="s">
        <v>471</v>
      </c>
      <c r="G91" s="22"/>
      <c r="I91" s="20" t="s">
        <v>400</v>
      </c>
      <c r="J91" s="15" t="s">
        <v>401</v>
      </c>
      <c r="K91" s="15" t="s">
        <v>402</v>
      </c>
      <c r="M91" s="2">
        <v>2</v>
      </c>
      <c r="N91" s="1">
        <f t="shared" si="39"/>
        <v>4</v>
      </c>
      <c r="O91" s="44">
        <f t="shared" si="40"/>
        <v>3</v>
      </c>
      <c r="P91" s="1">
        <f t="shared" si="40"/>
        <v>2</v>
      </c>
    </row>
    <row r="92" spans="1:16" ht="15.75" thickBot="1">
      <c r="A92" s="7">
        <f>VLOOKUP(C92,'2019 Draft by Round'!$C$2:$G$161,5,FALSE)</f>
        <v>44</v>
      </c>
      <c r="B92" s="7">
        <f>VLOOKUP(C92,'2019 Draft by Round'!$C$2:$H$161,6,FALSE)</f>
        <v>5</v>
      </c>
      <c r="C92" s="4" t="s">
        <v>575</v>
      </c>
      <c r="D92" s="4" t="s">
        <v>10</v>
      </c>
      <c r="E92" s="4" t="s">
        <v>396</v>
      </c>
      <c r="F92" s="17" t="s">
        <v>471</v>
      </c>
      <c r="G92" s="22"/>
      <c r="I92" s="20" t="s">
        <v>400</v>
      </c>
      <c r="J92" s="15" t="s">
        <v>401</v>
      </c>
      <c r="K92" s="15" t="s">
        <v>402</v>
      </c>
      <c r="M92" s="2" t="s">
        <v>387</v>
      </c>
      <c r="N92" s="1">
        <f t="shared" ref="N92" si="41">B92</f>
        <v>5</v>
      </c>
      <c r="O92" s="44">
        <f t="shared" si="40"/>
        <v>4</v>
      </c>
      <c r="P92" s="1">
        <f t="shared" si="40"/>
        <v>3</v>
      </c>
    </row>
    <row r="93" spans="1:16" ht="15.75" thickBot="1">
      <c r="A93" s="7">
        <f>VLOOKUP(C93,'2019 Draft by Round'!$C$2:$G$161,5,FALSE)</f>
        <v>24</v>
      </c>
      <c r="B93" s="7">
        <f>VLOOKUP(C93,'2019 Draft by Round'!$C$2:$H$161,6,FALSE)</f>
        <v>3</v>
      </c>
      <c r="C93" s="4" t="s">
        <v>128</v>
      </c>
      <c r="D93" s="4" t="s">
        <v>2</v>
      </c>
      <c r="E93" s="4" t="s">
        <v>28</v>
      </c>
      <c r="F93" s="17" t="s">
        <v>471</v>
      </c>
      <c r="G93" s="22"/>
      <c r="I93" s="20" t="s">
        <v>400</v>
      </c>
      <c r="J93" s="15" t="s">
        <v>401</v>
      </c>
      <c r="K93" s="15" t="s">
        <v>402</v>
      </c>
      <c r="M93" s="2" t="s">
        <v>387</v>
      </c>
      <c r="N93" s="1">
        <f t="shared" ref="N93:N97" si="42">B93</f>
        <v>3</v>
      </c>
      <c r="O93" s="44">
        <f t="shared" si="40"/>
        <v>2</v>
      </c>
      <c r="P93" s="1">
        <f t="shared" si="40"/>
        <v>1</v>
      </c>
    </row>
    <row r="94" spans="1:16" ht="15.75" thickBot="1">
      <c r="A94" s="7">
        <f>VLOOKUP(C94,'2019 Draft by Round'!$C$2:$G$161,5,FALSE)</f>
        <v>57</v>
      </c>
      <c r="B94" s="7">
        <f>VLOOKUP(C94,'2019 Draft by Round'!$C$2:$H$161,6,FALSE)</f>
        <v>6</v>
      </c>
      <c r="C94" s="4" t="s">
        <v>569</v>
      </c>
      <c r="D94" s="4" t="s">
        <v>2</v>
      </c>
      <c r="E94" s="4" t="s">
        <v>137</v>
      </c>
      <c r="F94" s="17" t="s">
        <v>471</v>
      </c>
      <c r="G94" s="22"/>
      <c r="I94" s="20" t="s">
        <v>400</v>
      </c>
      <c r="J94" s="15" t="s">
        <v>401</v>
      </c>
      <c r="K94" s="15" t="s">
        <v>402</v>
      </c>
      <c r="M94" s="2">
        <v>12</v>
      </c>
      <c r="N94" s="1">
        <f t="shared" si="42"/>
        <v>6</v>
      </c>
      <c r="O94" s="44">
        <f t="shared" si="40"/>
        <v>5</v>
      </c>
      <c r="P94" s="1">
        <f t="shared" si="40"/>
        <v>4</v>
      </c>
    </row>
    <row r="95" spans="1:16" ht="15.75" thickBot="1">
      <c r="A95" s="7">
        <f>VLOOKUP(C95,'2019 Draft by Round'!$C$2:$G$161,5,FALSE)</f>
        <v>64</v>
      </c>
      <c r="B95" s="7">
        <f>VLOOKUP(C95,'2019 Draft by Round'!$C$2:$H$161,6,FALSE)</f>
        <v>7</v>
      </c>
      <c r="C95" s="4" t="s">
        <v>409</v>
      </c>
      <c r="D95" s="4" t="s">
        <v>27</v>
      </c>
      <c r="E95" s="4" t="s">
        <v>82</v>
      </c>
      <c r="F95" s="17" t="s">
        <v>471</v>
      </c>
      <c r="G95" s="22"/>
      <c r="I95" s="20" t="s">
        <v>400</v>
      </c>
      <c r="J95" s="15" t="s">
        <v>401</v>
      </c>
      <c r="K95" s="15" t="s">
        <v>402</v>
      </c>
      <c r="M95" s="2" t="s">
        <v>387</v>
      </c>
      <c r="N95" s="1">
        <f t="shared" si="42"/>
        <v>7</v>
      </c>
      <c r="O95" s="44">
        <f t="shared" si="40"/>
        <v>6</v>
      </c>
      <c r="P95" s="1">
        <f t="shared" si="40"/>
        <v>5</v>
      </c>
    </row>
    <row r="96" spans="1:16" ht="15.75" thickBot="1">
      <c r="A96" s="7">
        <f>VLOOKUP(C96,'2019 Draft by Round'!$C$2:$G$161,5,FALSE)</f>
        <v>17</v>
      </c>
      <c r="B96" s="7">
        <f>VLOOKUP(C96,'2019 Draft by Round'!$C$2:$H$161,6,FALSE)</f>
        <v>2</v>
      </c>
      <c r="C96" s="4" t="s">
        <v>57</v>
      </c>
      <c r="D96" s="4" t="s">
        <v>2</v>
      </c>
      <c r="E96" s="4" t="s">
        <v>30</v>
      </c>
      <c r="F96" s="17" t="s">
        <v>471</v>
      </c>
      <c r="G96" s="22"/>
      <c r="I96" s="20" t="s">
        <v>400</v>
      </c>
      <c r="J96" s="15" t="s">
        <v>401</v>
      </c>
      <c r="K96" s="15" t="s">
        <v>402</v>
      </c>
      <c r="M96" s="2" t="s">
        <v>387</v>
      </c>
      <c r="N96" s="1">
        <f t="shared" si="42"/>
        <v>2</v>
      </c>
      <c r="O96" s="44">
        <f>N96-1</f>
        <v>1</v>
      </c>
      <c r="P96" s="1" t="s">
        <v>387</v>
      </c>
    </row>
    <row r="97" spans="1:16" ht="15.75" thickBot="1">
      <c r="A97" s="7">
        <f>VLOOKUP(C97,'2019 Draft by Round'!$C$2:$G$161,5,FALSE)</f>
        <v>115</v>
      </c>
      <c r="B97" s="7">
        <f>VLOOKUP(C97,'2019 Draft by Round'!$C$2:$H$161,6,FALSE)</f>
        <v>12</v>
      </c>
      <c r="C97" s="4" t="s">
        <v>12</v>
      </c>
      <c r="D97" s="4" t="s">
        <v>10</v>
      </c>
      <c r="E97" s="4" t="s">
        <v>71</v>
      </c>
      <c r="F97" s="17" t="s">
        <v>471</v>
      </c>
      <c r="G97" s="22"/>
      <c r="I97" s="20" t="s">
        <v>400</v>
      </c>
      <c r="J97" s="15" t="s">
        <v>401</v>
      </c>
      <c r="K97" s="15" t="s">
        <v>402</v>
      </c>
      <c r="M97" s="2" t="s">
        <v>387</v>
      </c>
      <c r="N97" s="1">
        <f t="shared" si="42"/>
        <v>12</v>
      </c>
      <c r="O97" s="44">
        <f>N97-1</f>
        <v>11</v>
      </c>
      <c r="P97" s="1">
        <f>O97-1</f>
        <v>10</v>
      </c>
    </row>
    <row r="98" spans="1:16" ht="15.75" thickBot="1">
      <c r="A98" s="7" t="e">
        <f>VLOOKUP(C98,'2019 Draft by Round'!$C$2:$G$161,5,FALSE)</f>
        <v>#N/A</v>
      </c>
      <c r="B98" s="7" t="e">
        <f>VLOOKUP(C98,'2019 Draft by Round'!$C$2:$H$161,6,FALSE)</f>
        <v>#N/A</v>
      </c>
      <c r="C98" s="4" t="s">
        <v>574</v>
      </c>
      <c r="D98" s="4" t="s">
        <v>534</v>
      </c>
      <c r="E98" s="4" t="s">
        <v>63</v>
      </c>
      <c r="F98" s="17" t="s">
        <v>471</v>
      </c>
      <c r="G98" s="22"/>
      <c r="I98" s="20" t="s">
        <v>400</v>
      </c>
      <c r="J98" s="15" t="s">
        <v>401</v>
      </c>
      <c r="K98" s="15" t="s">
        <v>402</v>
      </c>
      <c r="M98" s="2" t="s">
        <v>387</v>
      </c>
      <c r="N98" s="1" t="s">
        <v>387</v>
      </c>
      <c r="O98" s="44">
        <v>9</v>
      </c>
      <c r="P98" s="1">
        <v>8</v>
      </c>
    </row>
    <row r="99" spans="1:16" ht="15.75" thickBot="1">
      <c r="A99" s="7">
        <f>VLOOKUP(C99,'2019 Draft by Round'!$C$2:$G$161,5,FALSE)</f>
        <v>84</v>
      </c>
      <c r="B99" s="7">
        <f>VLOOKUP(C99,'2019 Draft by Round'!$C$2:$H$161,6,FALSE)</f>
        <v>9</v>
      </c>
      <c r="C99" s="4" t="s">
        <v>113</v>
      </c>
      <c r="D99" s="4" t="s">
        <v>10</v>
      </c>
      <c r="E99" s="4" t="s">
        <v>25</v>
      </c>
      <c r="F99" s="17" t="s">
        <v>471</v>
      </c>
      <c r="G99" s="22"/>
      <c r="I99" s="15" t="s">
        <v>401</v>
      </c>
      <c r="J99" s="15" t="s">
        <v>402</v>
      </c>
      <c r="K99" s="15" t="s">
        <v>387</v>
      </c>
      <c r="M99" s="2" t="s">
        <v>387</v>
      </c>
      <c r="N99" s="1">
        <f t="shared" ref="N99:N104" si="43">B99</f>
        <v>9</v>
      </c>
      <c r="O99" s="44">
        <f t="shared" ref="O99:O104" si="44">N99-1</f>
        <v>8</v>
      </c>
      <c r="P99" s="1" t="s">
        <v>387</v>
      </c>
    </row>
    <row r="100" spans="1:16" ht="15.75" thickBot="1">
      <c r="A100" s="7">
        <f>VLOOKUP(C100,'2019 Draft by Round'!$C$2:$G$161,5,FALSE)</f>
        <v>97</v>
      </c>
      <c r="B100" s="7">
        <f>VLOOKUP(C100,'2019 Draft by Round'!$C$2:$H$161,6,FALSE)</f>
        <v>10</v>
      </c>
      <c r="C100" s="4" t="s">
        <v>191</v>
      </c>
      <c r="D100" s="4" t="s">
        <v>10</v>
      </c>
      <c r="E100" s="4" t="s">
        <v>23</v>
      </c>
      <c r="F100" s="17" t="s">
        <v>471</v>
      </c>
      <c r="G100" s="22"/>
      <c r="I100" s="20" t="s">
        <v>400</v>
      </c>
      <c r="J100" s="15" t="s">
        <v>401</v>
      </c>
      <c r="K100" s="15" t="s">
        <v>402</v>
      </c>
      <c r="M100" s="2" t="s">
        <v>387</v>
      </c>
      <c r="N100" s="1">
        <f t="shared" si="43"/>
        <v>10</v>
      </c>
      <c r="O100" s="44">
        <f t="shared" si="44"/>
        <v>9</v>
      </c>
      <c r="P100" s="1">
        <f>O100-1</f>
        <v>8</v>
      </c>
    </row>
    <row r="101" spans="1:16" ht="15.75" thickBot="1">
      <c r="A101" s="7">
        <f>VLOOKUP(C101,'2019 Draft by Round'!$C$2:$G$161,5,FALSE)</f>
        <v>104</v>
      </c>
      <c r="B101" s="7">
        <f>VLOOKUP(C101,'2019 Draft by Round'!$C$2:$H$161,6,FALSE)</f>
        <v>11</v>
      </c>
      <c r="C101" s="4" t="s">
        <v>100</v>
      </c>
      <c r="D101" s="4" t="s">
        <v>2</v>
      </c>
      <c r="E101" s="4" t="s">
        <v>28</v>
      </c>
      <c r="F101" s="17" t="s">
        <v>471</v>
      </c>
      <c r="G101" s="22"/>
      <c r="I101" s="20" t="s">
        <v>400</v>
      </c>
      <c r="J101" s="15" t="s">
        <v>401</v>
      </c>
      <c r="K101" s="15" t="s">
        <v>402</v>
      </c>
      <c r="M101" s="2" t="s">
        <v>387</v>
      </c>
      <c r="N101" s="1">
        <f t="shared" si="43"/>
        <v>11</v>
      </c>
      <c r="O101" s="44">
        <f t="shared" si="44"/>
        <v>10</v>
      </c>
      <c r="P101" s="1">
        <f>O101-1</f>
        <v>9</v>
      </c>
    </row>
    <row r="102" spans="1:16" ht="15.75" thickBot="1">
      <c r="A102" s="48">
        <f>VLOOKUP(C102,'2019 Draft by Round'!$C$2:$G$161,5,FALSE)</f>
        <v>117</v>
      </c>
      <c r="B102" s="48">
        <f>VLOOKUP(C102,'2019 Draft by Round'!$C$2:$H$161,6,FALSE)</f>
        <v>12</v>
      </c>
      <c r="C102" s="49" t="s">
        <v>650</v>
      </c>
      <c r="D102" s="49" t="s">
        <v>2</v>
      </c>
      <c r="E102" s="49" t="s">
        <v>73</v>
      </c>
      <c r="F102" s="50" t="s">
        <v>471</v>
      </c>
      <c r="G102" s="51"/>
      <c r="H102" s="52"/>
      <c r="I102" s="53" t="s">
        <v>400</v>
      </c>
      <c r="J102" s="54" t="s">
        <v>401</v>
      </c>
      <c r="K102" s="54" t="s">
        <v>402</v>
      </c>
      <c r="L102" s="52"/>
      <c r="M102" s="55" t="s">
        <v>387</v>
      </c>
      <c r="N102" s="56">
        <f t="shared" si="43"/>
        <v>12</v>
      </c>
      <c r="O102" s="56">
        <f t="shared" si="44"/>
        <v>11</v>
      </c>
      <c r="P102" s="56">
        <f>O102-1</f>
        <v>10</v>
      </c>
    </row>
    <row r="103" spans="1:16" ht="15.75" thickBot="1">
      <c r="A103" s="48">
        <f>VLOOKUP(C103,'2019 Draft by Round'!$C$2:$G$161,5,FALSE)</f>
        <v>124</v>
      </c>
      <c r="B103" s="48">
        <f>VLOOKUP(C103,'2019 Draft by Round'!$C$2:$H$161,6,FALSE)</f>
        <v>13</v>
      </c>
      <c r="C103" s="49" t="s">
        <v>596</v>
      </c>
      <c r="D103" s="49" t="s">
        <v>5</v>
      </c>
      <c r="E103" s="49" t="s">
        <v>137</v>
      </c>
      <c r="F103" s="50" t="s">
        <v>471</v>
      </c>
      <c r="G103" s="51"/>
      <c r="H103" s="52"/>
      <c r="I103" s="53" t="s">
        <v>400</v>
      </c>
      <c r="J103" s="54" t="s">
        <v>401</v>
      </c>
      <c r="K103" s="54" t="s">
        <v>402</v>
      </c>
      <c r="L103" s="52"/>
      <c r="M103" s="55" t="s">
        <v>387</v>
      </c>
      <c r="N103" s="56">
        <f t="shared" si="43"/>
        <v>13</v>
      </c>
      <c r="O103" s="56">
        <f t="shared" si="44"/>
        <v>12</v>
      </c>
      <c r="P103" s="56">
        <f>O103-1</f>
        <v>11</v>
      </c>
    </row>
    <row r="104" spans="1:16" ht="15.75" thickBot="1">
      <c r="A104" s="7">
        <f>VLOOKUP(C104,'2019 Draft by Round'!$C$2:$G$161,5,FALSE)</f>
        <v>157</v>
      </c>
      <c r="B104" s="7">
        <f>VLOOKUP(C104,'2019 Draft by Round'!$C$2:$H$161,6,FALSE)</f>
        <v>16</v>
      </c>
      <c r="C104" s="4" t="s">
        <v>612</v>
      </c>
      <c r="D104" s="4" t="s">
        <v>10</v>
      </c>
      <c r="E104" s="4" t="s">
        <v>41</v>
      </c>
      <c r="F104" s="17" t="s">
        <v>471</v>
      </c>
      <c r="G104" s="22"/>
      <c r="I104" s="20" t="s">
        <v>400</v>
      </c>
      <c r="J104" s="15" t="s">
        <v>401</v>
      </c>
      <c r="K104" s="15" t="s">
        <v>402</v>
      </c>
      <c r="M104" s="2" t="s">
        <v>387</v>
      </c>
      <c r="N104" s="1">
        <f t="shared" si="43"/>
        <v>16</v>
      </c>
      <c r="O104" s="44">
        <f t="shared" si="44"/>
        <v>15</v>
      </c>
      <c r="P104" s="1">
        <f>O104-1</f>
        <v>14</v>
      </c>
    </row>
    <row r="105" spans="1:16" ht="15.75" thickBot="1">
      <c r="A105" s="7" t="e">
        <f>VLOOKUP(C105,'2019 Draft by Round'!$C$2:$G$161,5,FALSE)</f>
        <v>#N/A</v>
      </c>
      <c r="B105" s="7" t="e">
        <f>VLOOKUP(C105,'2019 Draft by Round'!$C$2:$H$161,6,FALSE)</f>
        <v>#N/A</v>
      </c>
      <c r="C105" s="4" t="s">
        <v>171</v>
      </c>
      <c r="D105" s="4" t="s">
        <v>27</v>
      </c>
      <c r="E105" s="4" t="s">
        <v>6</v>
      </c>
      <c r="F105" s="17" t="s">
        <v>471</v>
      </c>
      <c r="G105" s="22"/>
      <c r="I105" s="20" t="s">
        <v>400</v>
      </c>
      <c r="J105" s="15" t="s">
        <v>401</v>
      </c>
      <c r="K105" s="15" t="s">
        <v>402</v>
      </c>
      <c r="M105" s="2" t="s">
        <v>387</v>
      </c>
      <c r="N105" s="1" t="s">
        <v>387</v>
      </c>
      <c r="O105" s="44">
        <v>9</v>
      </c>
      <c r="P105" s="1">
        <v>8</v>
      </c>
    </row>
    <row r="106" spans="1:16" ht="15.75" thickBot="1">
      <c r="A106" s="14"/>
      <c r="B106" s="14"/>
      <c r="C106" s="14"/>
      <c r="D106" s="14"/>
      <c r="E106" s="14"/>
      <c r="F106" s="18"/>
      <c r="G106" s="18"/>
      <c r="I106" s="18"/>
      <c r="J106" s="18"/>
      <c r="K106" s="18"/>
      <c r="L106" s="18"/>
      <c r="M106" s="18"/>
      <c r="N106" s="18"/>
      <c r="O106" s="18"/>
      <c r="P106" s="18"/>
    </row>
    <row r="107" spans="1:16" ht="15.75" thickBot="1">
      <c r="A107" s="7">
        <f>VLOOKUP(C107,'2019 Draft by Round'!$C$2:$G$161,5,FALSE)</f>
        <v>136</v>
      </c>
      <c r="B107" s="7">
        <f>VLOOKUP(C107,'2019 Draft by Round'!$C$2:$H$161,6,FALSE)</f>
        <v>14</v>
      </c>
      <c r="C107" s="4" t="s">
        <v>172</v>
      </c>
      <c r="D107" s="8" t="s">
        <v>5</v>
      </c>
      <c r="E107" s="4" t="s">
        <v>73</v>
      </c>
      <c r="F107" s="17" t="s">
        <v>58</v>
      </c>
      <c r="G107" s="22"/>
      <c r="I107" s="20" t="s">
        <v>400</v>
      </c>
      <c r="J107" s="15" t="s">
        <v>401</v>
      </c>
      <c r="K107" s="15" t="s">
        <v>402</v>
      </c>
      <c r="M107" s="2" t="s">
        <v>387</v>
      </c>
      <c r="N107" s="1">
        <f t="shared" ref="N107:N122" si="45">B107</f>
        <v>14</v>
      </c>
      <c r="O107" s="44">
        <f>N107-1</f>
        <v>13</v>
      </c>
      <c r="P107" s="1">
        <f>O107-1</f>
        <v>12</v>
      </c>
    </row>
    <row r="108" spans="1:16" ht="15.75" thickBot="1">
      <c r="A108" s="48">
        <f>VLOOKUP(C108,'2019 Draft by Round'!$C$2:$G$161,5,FALSE)</f>
        <v>71</v>
      </c>
      <c r="B108" s="48">
        <f>VLOOKUP(C108,'2019 Draft by Round'!$C$2:$H$161,6,FALSE)</f>
        <v>8</v>
      </c>
      <c r="C108" s="49" t="s">
        <v>454</v>
      </c>
      <c r="D108" s="49" t="s">
        <v>10</v>
      </c>
      <c r="E108" s="49" t="s">
        <v>82</v>
      </c>
      <c r="F108" s="50" t="s">
        <v>58</v>
      </c>
      <c r="G108" s="51"/>
      <c r="H108" s="52"/>
      <c r="I108" s="53" t="s">
        <v>400</v>
      </c>
      <c r="J108" s="54" t="s">
        <v>401</v>
      </c>
      <c r="K108" s="54" t="s">
        <v>402</v>
      </c>
      <c r="L108" s="52"/>
      <c r="M108" s="55" t="s">
        <v>387</v>
      </c>
      <c r="N108" s="56">
        <f t="shared" si="45"/>
        <v>8</v>
      </c>
      <c r="O108" s="56">
        <f t="shared" ref="O108" si="46">N108-1</f>
        <v>7</v>
      </c>
      <c r="P108" s="56">
        <v>6</v>
      </c>
    </row>
    <row r="109" spans="1:16" ht="15.75" thickBot="1">
      <c r="A109" s="7" t="e">
        <f>VLOOKUP(C109,'2019 Draft by Round'!$C$2:$G$161,5,FALSE)</f>
        <v>#N/A</v>
      </c>
      <c r="B109" s="7" t="e">
        <f>VLOOKUP(C109,'2019 Draft by Round'!$C$2:$H$161,6,FALSE)</f>
        <v>#N/A</v>
      </c>
      <c r="C109" s="4" t="s">
        <v>615</v>
      </c>
      <c r="D109" s="4" t="s">
        <v>10</v>
      </c>
      <c r="E109" s="4" t="s">
        <v>41</v>
      </c>
      <c r="F109" s="17" t="s">
        <v>58</v>
      </c>
      <c r="G109" s="22"/>
      <c r="I109" s="20" t="s">
        <v>400</v>
      </c>
      <c r="J109" s="15" t="s">
        <v>401</v>
      </c>
      <c r="K109" s="15" t="s">
        <v>402</v>
      </c>
      <c r="M109" s="2" t="s">
        <v>387</v>
      </c>
      <c r="N109" s="1" t="e">
        <f t="shared" si="45"/>
        <v>#N/A</v>
      </c>
      <c r="O109" s="12">
        <v>9</v>
      </c>
      <c r="P109" s="2">
        <v>8</v>
      </c>
    </row>
    <row r="110" spans="1:16" ht="15.75" thickBot="1">
      <c r="A110" s="7">
        <f>VLOOKUP(C110,'2019 Draft by Round'!$C$2:$G$161,5,FALSE)</f>
        <v>89</v>
      </c>
      <c r="B110" s="7">
        <f>VLOOKUP(C110,'2019 Draft by Round'!$C$2:$H$161,6,FALSE)</f>
        <v>9</v>
      </c>
      <c r="C110" s="4" t="s">
        <v>501</v>
      </c>
      <c r="D110" s="4" t="s">
        <v>2</v>
      </c>
      <c r="E110" s="4" t="s">
        <v>19</v>
      </c>
      <c r="F110" s="17" t="s">
        <v>58</v>
      </c>
      <c r="G110" s="22"/>
      <c r="I110" s="20" t="s">
        <v>400</v>
      </c>
      <c r="J110" s="15" t="s">
        <v>401</v>
      </c>
      <c r="K110" s="15" t="s">
        <v>402</v>
      </c>
      <c r="M110" s="2" t="s">
        <v>387</v>
      </c>
      <c r="N110" s="1">
        <f t="shared" si="45"/>
        <v>9</v>
      </c>
      <c r="O110" s="12" t="s">
        <v>387</v>
      </c>
      <c r="P110" s="2" t="s">
        <v>387</v>
      </c>
    </row>
    <row r="111" spans="1:16" ht="15.75" thickBot="1">
      <c r="A111" s="7" t="e">
        <f>VLOOKUP(C111,'2019 Draft by Round'!$C$2:$G$161,5,FALSE)</f>
        <v>#N/A</v>
      </c>
      <c r="B111" s="7" t="e">
        <f>VLOOKUP(C111,'2019 Draft by Round'!$C$2:$H$161,6,FALSE)</f>
        <v>#N/A</v>
      </c>
      <c r="C111" s="4" t="s">
        <v>616</v>
      </c>
      <c r="D111" s="4" t="s">
        <v>2</v>
      </c>
      <c r="E111" s="4" t="s">
        <v>396</v>
      </c>
      <c r="F111" s="17" t="s">
        <v>58</v>
      </c>
      <c r="G111" s="22"/>
      <c r="I111" s="20" t="s">
        <v>400</v>
      </c>
      <c r="J111" s="15" t="s">
        <v>401</v>
      </c>
      <c r="K111" s="15" t="s">
        <v>402</v>
      </c>
      <c r="M111" s="2" t="s">
        <v>387</v>
      </c>
      <c r="N111" s="1" t="e">
        <f t="shared" si="45"/>
        <v>#N/A</v>
      </c>
      <c r="O111" s="12">
        <v>9</v>
      </c>
      <c r="P111" s="2">
        <v>8</v>
      </c>
    </row>
    <row r="112" spans="1:16" ht="15.75" thickBot="1">
      <c r="A112" s="7">
        <f>VLOOKUP(C112,'2019 Draft by Round'!$C$2:$G$161,5,FALSE)</f>
        <v>46</v>
      </c>
      <c r="B112" s="7">
        <f>VLOOKUP(C112,'2019 Draft by Round'!$C$2:$H$161,6,FALSE)</f>
        <v>5</v>
      </c>
      <c r="C112" s="4" t="s">
        <v>129</v>
      </c>
      <c r="D112" s="4" t="s">
        <v>27</v>
      </c>
      <c r="E112" s="4" t="s">
        <v>43</v>
      </c>
      <c r="F112" s="17" t="s">
        <v>58</v>
      </c>
      <c r="G112" s="22"/>
      <c r="I112" s="20" t="s">
        <v>400</v>
      </c>
      <c r="J112" s="15" t="s">
        <v>401</v>
      </c>
      <c r="K112" s="15" t="s">
        <v>402</v>
      </c>
      <c r="M112" s="2" t="s">
        <v>387</v>
      </c>
      <c r="N112" s="1">
        <f t="shared" si="45"/>
        <v>5</v>
      </c>
      <c r="O112" s="12">
        <v>9</v>
      </c>
      <c r="P112" s="2">
        <v>8</v>
      </c>
    </row>
    <row r="113" spans="1:16" ht="15.75" thickBot="1">
      <c r="A113" s="7">
        <f>VLOOKUP(C113,'2019 Draft by Round'!$C$2:$G$161,5,FALSE)</f>
        <v>111</v>
      </c>
      <c r="B113" s="7">
        <f>VLOOKUP(C113,'2019 Draft by Round'!$C$2:$H$161,6,FALSE)</f>
        <v>12</v>
      </c>
      <c r="C113" s="4" t="s">
        <v>593</v>
      </c>
      <c r="D113" s="4" t="s">
        <v>10</v>
      </c>
      <c r="E113" s="4" t="s">
        <v>56</v>
      </c>
      <c r="F113" s="17" t="s">
        <v>58</v>
      </c>
      <c r="G113" s="22"/>
      <c r="I113" s="20" t="s">
        <v>400</v>
      </c>
      <c r="J113" s="15" t="s">
        <v>401</v>
      </c>
      <c r="K113" s="15" t="s">
        <v>402</v>
      </c>
      <c r="M113" s="2" t="s">
        <v>387</v>
      </c>
      <c r="N113" s="1">
        <f t="shared" si="45"/>
        <v>12</v>
      </c>
      <c r="O113" s="44">
        <f t="shared" ref="O113" si="47">N113-1</f>
        <v>11</v>
      </c>
      <c r="P113" s="1">
        <f t="shared" ref="P113:P118" si="48">O113-1</f>
        <v>10</v>
      </c>
    </row>
    <row r="114" spans="1:16" ht="15.75" thickBot="1">
      <c r="A114" s="7" t="e">
        <f>VLOOKUP(C114,'2019 Draft by Round'!$C$2:$G$161,5,FALSE)</f>
        <v>#N/A</v>
      </c>
      <c r="B114" s="7" t="e">
        <f>VLOOKUP(C114,'2019 Draft by Round'!$C$2:$H$161,6,FALSE)</f>
        <v>#N/A</v>
      </c>
      <c r="C114" s="4" t="s">
        <v>617</v>
      </c>
      <c r="D114" s="4" t="s">
        <v>2</v>
      </c>
      <c r="E114" s="4" t="s">
        <v>63</v>
      </c>
      <c r="F114" s="17" t="s">
        <v>58</v>
      </c>
      <c r="G114" s="22"/>
      <c r="I114" s="20" t="s">
        <v>400</v>
      </c>
      <c r="J114" s="15" t="s">
        <v>401</v>
      </c>
      <c r="K114" s="15" t="s">
        <v>402</v>
      </c>
      <c r="M114" s="2" t="s">
        <v>387</v>
      </c>
      <c r="N114" s="1" t="e">
        <f t="shared" si="45"/>
        <v>#N/A</v>
      </c>
      <c r="O114" s="12">
        <v>9</v>
      </c>
      <c r="P114" s="2">
        <v>8</v>
      </c>
    </row>
    <row r="115" spans="1:16" ht="15.75" thickBot="1">
      <c r="A115" s="7" t="e">
        <f>VLOOKUP(C115,'2019 Draft by Round'!$C$2:$G$161,5,FALSE)</f>
        <v>#N/A</v>
      </c>
      <c r="B115" s="7" t="e">
        <f>VLOOKUP(C115,'2019 Draft by Round'!$C$2:$H$161,6,FALSE)</f>
        <v>#N/A</v>
      </c>
      <c r="C115" s="4" t="s">
        <v>618</v>
      </c>
      <c r="D115" s="4" t="s">
        <v>534</v>
      </c>
      <c r="E115" s="4" t="s">
        <v>34</v>
      </c>
      <c r="F115" s="17" t="s">
        <v>58</v>
      </c>
      <c r="G115" s="22"/>
      <c r="I115" s="20" t="s">
        <v>400</v>
      </c>
      <c r="J115" s="15" t="s">
        <v>401</v>
      </c>
      <c r="K115" s="15" t="s">
        <v>402</v>
      </c>
      <c r="M115" s="2" t="s">
        <v>387</v>
      </c>
      <c r="N115" s="1" t="e">
        <f t="shared" si="45"/>
        <v>#N/A</v>
      </c>
      <c r="O115" s="44">
        <v>9</v>
      </c>
      <c r="P115" s="1">
        <f t="shared" si="48"/>
        <v>8</v>
      </c>
    </row>
    <row r="116" spans="1:16" ht="15.75" thickBot="1">
      <c r="A116" s="48">
        <f>VLOOKUP(C116,'2019 Draft by Round'!$C$2:$G$161,5,FALSE)</f>
        <v>32</v>
      </c>
      <c r="B116" s="48">
        <f>VLOOKUP(C116,'2019 Draft by Round'!$C$2:$H$161,6,FALSE)</f>
        <v>4</v>
      </c>
      <c r="C116" s="49" t="s">
        <v>66</v>
      </c>
      <c r="D116" s="49" t="s">
        <v>10</v>
      </c>
      <c r="E116" s="49" t="s">
        <v>49</v>
      </c>
      <c r="F116" s="50" t="s">
        <v>58</v>
      </c>
      <c r="G116" s="51"/>
      <c r="H116" s="52"/>
      <c r="I116" s="53" t="s">
        <v>400</v>
      </c>
      <c r="J116" s="54" t="s">
        <v>401</v>
      </c>
      <c r="K116" s="54" t="s">
        <v>402</v>
      </c>
      <c r="L116" s="52"/>
      <c r="M116" s="55" t="s">
        <v>387</v>
      </c>
      <c r="N116" s="56">
        <f t="shared" si="45"/>
        <v>4</v>
      </c>
      <c r="O116" s="56">
        <f t="shared" ref="O116" si="49">N116-1</f>
        <v>3</v>
      </c>
      <c r="P116" s="56">
        <f t="shared" si="48"/>
        <v>2</v>
      </c>
    </row>
    <row r="117" spans="1:16" ht="15.75" thickBot="1">
      <c r="A117" s="7" t="e">
        <f>VLOOKUP(C117,'2019 Draft by Round'!$C$2:$G$161,5,FALSE)</f>
        <v>#N/A</v>
      </c>
      <c r="B117" s="7" t="e">
        <f>VLOOKUP(C117,'2019 Draft by Round'!$C$2:$H$161,6,FALSE)</f>
        <v>#N/A</v>
      </c>
      <c r="C117" s="4" t="s">
        <v>176</v>
      </c>
      <c r="D117" s="4" t="s">
        <v>10</v>
      </c>
      <c r="E117" s="4" t="s">
        <v>56</v>
      </c>
      <c r="F117" s="17" t="s">
        <v>58</v>
      </c>
      <c r="G117" s="22"/>
      <c r="I117" s="20" t="s">
        <v>400</v>
      </c>
      <c r="J117" s="15" t="s">
        <v>401</v>
      </c>
      <c r="K117" s="15" t="s">
        <v>402</v>
      </c>
      <c r="M117" s="2" t="s">
        <v>387</v>
      </c>
      <c r="N117" s="1" t="e">
        <f t="shared" si="45"/>
        <v>#N/A</v>
      </c>
      <c r="O117" s="12">
        <v>9</v>
      </c>
      <c r="P117" s="2">
        <v>8</v>
      </c>
    </row>
    <row r="118" spans="1:16" ht="15.75" thickBot="1">
      <c r="A118" s="7">
        <f>VLOOKUP(C118,'2019 Draft by Round'!$C$2:$G$161,5,FALSE)</f>
        <v>31</v>
      </c>
      <c r="B118" s="7">
        <f>VLOOKUP(C118,'2019 Draft by Round'!$C$2:$H$161,6,FALSE)</f>
        <v>4</v>
      </c>
      <c r="C118" s="4" t="s">
        <v>581</v>
      </c>
      <c r="D118" s="4" t="s">
        <v>10</v>
      </c>
      <c r="E118" s="4" t="s">
        <v>627</v>
      </c>
      <c r="F118" s="17" t="s">
        <v>58</v>
      </c>
      <c r="G118" s="22"/>
      <c r="I118" s="20" t="s">
        <v>400</v>
      </c>
      <c r="J118" s="15" t="s">
        <v>401</v>
      </c>
      <c r="K118" s="15" t="s">
        <v>402</v>
      </c>
      <c r="M118" s="2" t="s">
        <v>387</v>
      </c>
      <c r="N118" s="1">
        <f t="shared" si="45"/>
        <v>4</v>
      </c>
      <c r="O118" s="44">
        <v>9</v>
      </c>
      <c r="P118" s="1">
        <f t="shared" si="48"/>
        <v>8</v>
      </c>
    </row>
    <row r="119" spans="1:16" ht="15.75" thickBot="1">
      <c r="A119" s="7" t="e">
        <f>VLOOKUP(C119,'2019 Draft by Round'!$C$2:$G$161,5,FALSE)</f>
        <v>#N/A</v>
      </c>
      <c r="B119" s="7" t="e">
        <f>VLOOKUP(C119,'2019 Draft by Round'!$C$2:$H$161,6,FALSE)</f>
        <v>#N/A</v>
      </c>
      <c r="C119" s="4" t="s">
        <v>54</v>
      </c>
      <c r="D119" s="4" t="s">
        <v>2</v>
      </c>
      <c r="E119" s="4" t="s">
        <v>8</v>
      </c>
      <c r="F119" s="17" t="s">
        <v>58</v>
      </c>
      <c r="G119" s="22"/>
      <c r="I119" s="20" t="s">
        <v>400</v>
      </c>
      <c r="J119" s="15" t="s">
        <v>401</v>
      </c>
      <c r="K119" s="15" t="s">
        <v>402</v>
      </c>
      <c r="M119" s="2" t="s">
        <v>387</v>
      </c>
      <c r="N119" s="1" t="e">
        <f t="shared" si="45"/>
        <v>#N/A</v>
      </c>
      <c r="O119" s="12">
        <v>9</v>
      </c>
      <c r="P119" s="2">
        <v>8</v>
      </c>
    </row>
    <row r="120" spans="1:16" ht="15.75" thickBot="1">
      <c r="A120" s="7" t="e">
        <f>VLOOKUP(C120,'2019 Draft by Round'!$C$2:$G$161,5,FALSE)</f>
        <v>#N/A</v>
      </c>
      <c r="B120" s="7" t="e">
        <f>VLOOKUP(C120,'2019 Draft by Round'!$C$2:$H$161,6,FALSE)</f>
        <v>#N/A</v>
      </c>
      <c r="C120" s="4" t="s">
        <v>148</v>
      </c>
      <c r="D120" s="4" t="s">
        <v>10</v>
      </c>
      <c r="E120" s="4" t="s">
        <v>63</v>
      </c>
      <c r="F120" s="17" t="s">
        <v>58</v>
      </c>
      <c r="G120" s="22"/>
      <c r="I120" s="20" t="s">
        <v>400</v>
      </c>
      <c r="J120" s="15" t="s">
        <v>401</v>
      </c>
      <c r="K120" s="15" t="s">
        <v>402</v>
      </c>
      <c r="M120" s="2" t="s">
        <v>387</v>
      </c>
      <c r="N120" s="1" t="e">
        <f t="shared" si="45"/>
        <v>#N/A</v>
      </c>
      <c r="O120" s="12">
        <v>9</v>
      </c>
      <c r="P120" s="2">
        <v>8</v>
      </c>
    </row>
    <row r="121" spans="1:16" ht="15.75" thickBot="1">
      <c r="A121" s="7">
        <f>VLOOKUP(C121,'2019 Draft by Round'!$C$2:$G$161,5,FALSE)</f>
        <v>118</v>
      </c>
      <c r="B121" s="7">
        <f>VLOOKUP(C121,'2019 Draft by Round'!$C$2:$H$161,6,FALSE)</f>
        <v>12</v>
      </c>
      <c r="C121" s="4" t="s">
        <v>134</v>
      </c>
      <c r="D121" s="4" t="s">
        <v>10</v>
      </c>
      <c r="E121" s="4" t="s">
        <v>17</v>
      </c>
      <c r="F121" s="17" t="s">
        <v>58</v>
      </c>
      <c r="G121" s="22"/>
      <c r="I121" s="20" t="s">
        <v>400</v>
      </c>
      <c r="J121" s="15" t="s">
        <v>401</v>
      </c>
      <c r="K121" s="15" t="s">
        <v>402</v>
      </c>
      <c r="M121" s="2" t="s">
        <v>387</v>
      </c>
      <c r="N121" s="1">
        <f t="shared" si="45"/>
        <v>12</v>
      </c>
      <c r="O121" s="12">
        <v>9</v>
      </c>
      <c r="P121" s="2">
        <v>8</v>
      </c>
    </row>
    <row r="122" spans="1:16" ht="15.75" thickBot="1">
      <c r="A122" s="7">
        <f>VLOOKUP(C122,'2019 Draft by Round'!$C$2:$G$161,5,FALSE)</f>
        <v>125</v>
      </c>
      <c r="B122" s="7">
        <f>VLOOKUP(C122,'2019 Draft by Round'!$C$2:$H$161,6,FALSE)</f>
        <v>13</v>
      </c>
      <c r="C122" s="4" t="s">
        <v>109</v>
      </c>
      <c r="D122" s="4" t="s">
        <v>2</v>
      </c>
      <c r="E122" s="4" t="s">
        <v>49</v>
      </c>
      <c r="F122" s="17" t="s">
        <v>58</v>
      </c>
      <c r="G122" s="22"/>
      <c r="I122" s="20" t="s">
        <v>400</v>
      </c>
      <c r="J122" s="15" t="s">
        <v>401</v>
      </c>
      <c r="K122" s="15" t="s">
        <v>402</v>
      </c>
      <c r="M122" s="2" t="s">
        <v>387</v>
      </c>
      <c r="N122" s="1">
        <f t="shared" si="45"/>
        <v>13</v>
      </c>
      <c r="O122" s="12">
        <v>9</v>
      </c>
      <c r="P122" s="2">
        <v>8</v>
      </c>
    </row>
    <row r="123" spans="1:16" ht="15.75" thickBot="1">
      <c r="A123" s="7"/>
      <c r="B123" s="7"/>
      <c r="C123" s="4"/>
      <c r="D123" s="4"/>
      <c r="E123" s="4"/>
      <c r="F123" s="17"/>
      <c r="G123" s="22"/>
      <c r="I123" s="20"/>
      <c r="J123" s="15"/>
      <c r="K123" s="15"/>
      <c r="M123" s="2"/>
      <c r="N123" s="1"/>
      <c r="O123" s="44"/>
      <c r="P123" s="1"/>
    </row>
    <row r="124" spans="1:16" ht="15.75" thickBot="1">
      <c r="A124" s="14"/>
      <c r="B124" s="14"/>
      <c r="C124" s="14"/>
      <c r="D124" s="14"/>
      <c r="E124" s="14"/>
      <c r="F124" s="18"/>
      <c r="G124" s="18"/>
      <c r="I124" s="18"/>
      <c r="J124" s="18"/>
      <c r="K124" s="18"/>
      <c r="L124" s="18"/>
      <c r="M124" s="18"/>
      <c r="N124" s="18"/>
      <c r="O124" s="18"/>
      <c r="P124" s="18"/>
    </row>
    <row r="125" spans="1:16" ht="15.75" thickBot="1">
      <c r="A125" s="48">
        <f>VLOOKUP(C125,'2019 Draft by Round'!$C$2:$G$161,5,FALSE)</f>
        <v>150</v>
      </c>
      <c r="B125" s="48">
        <f>VLOOKUP(C125,'2019 Draft by Round'!$C$2:$H$161,6,FALSE)</f>
        <v>15</v>
      </c>
      <c r="C125" s="49" t="s">
        <v>559</v>
      </c>
      <c r="D125" s="49" t="s">
        <v>5</v>
      </c>
      <c r="E125" s="49" t="s">
        <v>13</v>
      </c>
      <c r="F125" s="50" t="s">
        <v>97</v>
      </c>
      <c r="G125" s="51"/>
      <c r="H125" s="52"/>
      <c r="I125" s="53" t="s">
        <v>401</v>
      </c>
      <c r="J125" s="54" t="s">
        <v>402</v>
      </c>
      <c r="K125" s="54" t="s">
        <v>387</v>
      </c>
      <c r="L125" s="52"/>
      <c r="M125" s="55" t="s">
        <v>387</v>
      </c>
      <c r="N125" s="56">
        <f t="shared" ref="N125:N135" si="50">B125</f>
        <v>15</v>
      </c>
      <c r="O125" s="56">
        <f>N125-1</f>
        <v>14</v>
      </c>
      <c r="P125" s="56" t="s">
        <v>387</v>
      </c>
    </row>
    <row r="126" spans="1:16" ht="15.75" thickBot="1">
      <c r="A126" s="7">
        <f>VLOOKUP(C126,'2019 Draft by Round'!$C$2:$G$161,5,FALSE)</f>
        <v>51</v>
      </c>
      <c r="B126" s="7">
        <f>VLOOKUP(C126,'2019 Draft by Round'!$C$2:$H$161,6,FALSE)</f>
        <v>6</v>
      </c>
      <c r="C126" s="4" t="s">
        <v>583</v>
      </c>
      <c r="D126" s="4" t="s">
        <v>10</v>
      </c>
      <c r="E126" s="4" t="s">
        <v>23</v>
      </c>
      <c r="F126" s="17" t="s">
        <v>97</v>
      </c>
      <c r="G126" s="22"/>
      <c r="I126" s="20" t="s">
        <v>400</v>
      </c>
      <c r="J126" s="15" t="s">
        <v>401</v>
      </c>
      <c r="K126" s="15" t="s">
        <v>402</v>
      </c>
      <c r="M126" s="25" t="s">
        <v>577</v>
      </c>
      <c r="N126" s="1">
        <f t="shared" si="50"/>
        <v>6</v>
      </c>
      <c r="O126" s="44">
        <f>N126-1</f>
        <v>5</v>
      </c>
      <c r="P126" s="1">
        <f>O126-1</f>
        <v>4</v>
      </c>
    </row>
    <row r="127" spans="1:16" ht="15.75" thickBot="1">
      <c r="A127" s="7">
        <f>VLOOKUP(C127,'2019 Draft by Round'!$C$2:$G$161,5,FALSE)</f>
        <v>29</v>
      </c>
      <c r="B127" s="7">
        <f>VLOOKUP(C127,'2019 Draft by Round'!$C$2:$H$161,6,FALSE)</f>
        <v>3</v>
      </c>
      <c r="C127" s="4" t="s">
        <v>580</v>
      </c>
      <c r="D127" s="4" t="s">
        <v>10</v>
      </c>
      <c r="E127" s="4" t="s">
        <v>107</v>
      </c>
      <c r="F127" s="17" t="s">
        <v>97</v>
      </c>
      <c r="G127" s="22"/>
      <c r="I127" s="20" t="s">
        <v>400</v>
      </c>
      <c r="J127" s="15" t="s">
        <v>401</v>
      </c>
      <c r="K127" s="15" t="s">
        <v>402</v>
      </c>
      <c r="M127" s="2" t="s">
        <v>387</v>
      </c>
      <c r="N127" s="1">
        <f t="shared" si="50"/>
        <v>3</v>
      </c>
      <c r="O127" s="44">
        <f>N127-1</f>
        <v>2</v>
      </c>
      <c r="P127" s="1">
        <f>O127-1</f>
        <v>1</v>
      </c>
    </row>
    <row r="128" spans="1:16" ht="15.75" thickBot="1">
      <c r="A128" s="7">
        <f>VLOOKUP(C128,'2019 Draft by Round'!$C$2:$G$161,5,FALSE)</f>
        <v>10</v>
      </c>
      <c r="B128" s="7">
        <f>VLOOKUP(C128,'2019 Draft by Round'!$C$2:$H$161,6,FALSE)</f>
        <v>1</v>
      </c>
      <c r="C128" s="4" t="s">
        <v>168</v>
      </c>
      <c r="D128" s="4" t="s">
        <v>2</v>
      </c>
      <c r="E128" s="4" t="s">
        <v>13</v>
      </c>
      <c r="F128" s="17" t="s">
        <v>97</v>
      </c>
      <c r="G128" s="22"/>
      <c r="I128" s="20" t="s">
        <v>400</v>
      </c>
      <c r="J128" s="15" t="s">
        <v>401</v>
      </c>
      <c r="K128" s="15" t="s">
        <v>402</v>
      </c>
      <c r="M128" s="2" t="s">
        <v>387</v>
      </c>
      <c r="N128" s="1">
        <f t="shared" si="50"/>
        <v>1</v>
      </c>
      <c r="O128" s="44" t="s">
        <v>387</v>
      </c>
      <c r="P128" s="2" t="s">
        <v>387</v>
      </c>
    </row>
    <row r="129" spans="1:16" ht="15.75" thickBot="1">
      <c r="A129" s="7">
        <f>VLOOKUP(C129,'2019 Draft by Round'!$C$2:$G$161,5,FALSE)</f>
        <v>9</v>
      </c>
      <c r="B129" s="7">
        <f>VLOOKUP(C129,'2019 Draft by Round'!$C$2:$H$161,6,FALSE)</f>
        <v>1</v>
      </c>
      <c r="C129" s="4" t="s">
        <v>59</v>
      </c>
      <c r="D129" s="4" t="s">
        <v>2</v>
      </c>
      <c r="E129" s="4" t="s">
        <v>60</v>
      </c>
      <c r="F129" s="17" t="s">
        <v>97</v>
      </c>
      <c r="G129" s="22"/>
      <c r="I129" s="20" t="s">
        <v>400</v>
      </c>
      <c r="J129" s="15" t="s">
        <v>401</v>
      </c>
      <c r="K129" s="15" t="s">
        <v>402</v>
      </c>
      <c r="M129" s="2" t="s">
        <v>387</v>
      </c>
      <c r="N129" s="1">
        <f t="shared" si="50"/>
        <v>1</v>
      </c>
      <c r="O129" s="44" t="s">
        <v>387</v>
      </c>
      <c r="P129" s="1" t="s">
        <v>387</v>
      </c>
    </row>
    <row r="130" spans="1:16" ht="15.75" thickBot="1">
      <c r="A130" s="7">
        <f>VLOOKUP(C130,'2019 Draft by Round'!$C$2:$G$161,5,FALSE)</f>
        <v>11</v>
      </c>
      <c r="B130" s="7">
        <f>VLOOKUP(C130,'2019 Draft by Round'!$C$2:$H$161,6,FALSE)</f>
        <v>2</v>
      </c>
      <c r="C130" s="4" t="s">
        <v>44</v>
      </c>
      <c r="D130" s="4" t="s">
        <v>27</v>
      </c>
      <c r="E130" s="4" t="s">
        <v>13</v>
      </c>
      <c r="F130" s="17" t="s">
        <v>97</v>
      </c>
      <c r="G130" s="22"/>
      <c r="I130" s="20" t="s">
        <v>400</v>
      </c>
      <c r="J130" s="15" t="s">
        <v>401</v>
      </c>
      <c r="K130" s="15" t="s">
        <v>402</v>
      </c>
      <c r="M130" s="2" t="s">
        <v>387</v>
      </c>
      <c r="N130" s="1">
        <f t="shared" si="50"/>
        <v>2</v>
      </c>
      <c r="O130" s="44">
        <f>N130-1</f>
        <v>1</v>
      </c>
      <c r="P130" s="2" t="s">
        <v>387</v>
      </c>
    </row>
    <row r="131" spans="1:16" ht="15.75" thickBot="1">
      <c r="A131" s="7">
        <f>VLOOKUP(C131,'2019 Draft by Round'!$C$2:$G$161,5,FALSE)</f>
        <v>50</v>
      </c>
      <c r="B131" s="7">
        <f>VLOOKUP(C131,'2019 Draft by Round'!$C$2:$H$161,6,FALSE)</f>
        <v>5</v>
      </c>
      <c r="C131" s="4" t="s">
        <v>411</v>
      </c>
      <c r="D131" s="4" t="s">
        <v>2</v>
      </c>
      <c r="E131" s="4" t="s">
        <v>73</v>
      </c>
      <c r="F131" s="17" t="s">
        <v>97</v>
      </c>
      <c r="G131" s="22"/>
      <c r="I131" s="20" t="s">
        <v>400</v>
      </c>
      <c r="J131" s="15" t="s">
        <v>401</v>
      </c>
      <c r="K131" s="15" t="s">
        <v>402</v>
      </c>
      <c r="M131" s="2" t="s">
        <v>387</v>
      </c>
      <c r="N131" s="1">
        <f t="shared" si="50"/>
        <v>5</v>
      </c>
      <c r="O131" s="44">
        <f>N131-1</f>
        <v>4</v>
      </c>
      <c r="P131" s="1">
        <f>O131-1</f>
        <v>3</v>
      </c>
    </row>
    <row r="132" spans="1:16" ht="15.75" thickBot="1">
      <c r="A132" s="48">
        <f>VLOOKUP(C132,'2019 Draft by Round'!$C$2:$G$161,5,FALSE)</f>
        <v>72</v>
      </c>
      <c r="B132" s="48">
        <f>VLOOKUP(C132,'2019 Draft by Round'!$C$2:$H$161,6,FALSE)</f>
        <v>8</v>
      </c>
      <c r="C132" s="49" t="s">
        <v>425</v>
      </c>
      <c r="D132" s="49" t="s">
        <v>10</v>
      </c>
      <c r="E132" s="49" t="s">
        <v>120</v>
      </c>
      <c r="F132" s="50" t="s">
        <v>97</v>
      </c>
      <c r="G132" s="51"/>
      <c r="H132" s="52"/>
      <c r="I132" s="53" t="s">
        <v>400</v>
      </c>
      <c r="J132" s="54" t="s">
        <v>401</v>
      </c>
      <c r="K132" s="54" t="s">
        <v>402</v>
      </c>
      <c r="L132" s="52"/>
      <c r="M132" s="55" t="s">
        <v>387</v>
      </c>
      <c r="N132" s="56">
        <f t="shared" si="50"/>
        <v>8</v>
      </c>
      <c r="O132" s="56">
        <f>N132-1</f>
        <v>7</v>
      </c>
      <c r="P132" s="56">
        <f>O132-1</f>
        <v>6</v>
      </c>
    </row>
    <row r="133" spans="1:16" ht="15.75" thickBot="1">
      <c r="A133" s="7" t="e">
        <f>VLOOKUP(C133,'2019 Draft by Round'!$C$2:$G$161,5,FALSE)</f>
        <v>#N/A</v>
      </c>
      <c r="B133" s="7" t="e">
        <f>VLOOKUP(C133,'2019 Draft by Round'!$C$2:$H$161,6,FALSE)</f>
        <v>#N/A</v>
      </c>
      <c r="C133" s="4" t="s">
        <v>561</v>
      </c>
      <c r="D133" s="4" t="s">
        <v>534</v>
      </c>
      <c r="E133" s="4" t="s">
        <v>82</v>
      </c>
      <c r="F133" s="17" t="s">
        <v>97</v>
      </c>
      <c r="G133" s="22"/>
      <c r="I133" s="20" t="s">
        <v>400</v>
      </c>
      <c r="J133" s="15" t="s">
        <v>401</v>
      </c>
      <c r="K133" s="15" t="s">
        <v>402</v>
      </c>
      <c r="M133" s="2" t="s">
        <v>387</v>
      </c>
      <c r="N133" s="1" t="e">
        <f t="shared" si="50"/>
        <v>#N/A</v>
      </c>
      <c r="O133" s="44">
        <v>9</v>
      </c>
      <c r="P133" s="1">
        <v>8</v>
      </c>
    </row>
    <row r="134" spans="1:16" ht="15.75" thickBot="1">
      <c r="A134" s="7">
        <f>VLOOKUP(C134,'2019 Draft by Round'!$C$2:$G$161,5,FALSE)</f>
        <v>30</v>
      </c>
      <c r="B134" s="7">
        <f>VLOOKUP(C134,'2019 Draft by Round'!$C$2:$H$161,6,FALSE)</f>
        <v>3</v>
      </c>
      <c r="C134" s="4" t="s">
        <v>484</v>
      </c>
      <c r="D134" s="4" t="s">
        <v>10</v>
      </c>
      <c r="E134" s="4" t="s">
        <v>30</v>
      </c>
      <c r="F134" s="17" t="s">
        <v>97</v>
      </c>
      <c r="G134" s="22"/>
      <c r="I134" s="20" t="s">
        <v>400</v>
      </c>
      <c r="J134" s="15" t="s">
        <v>401</v>
      </c>
      <c r="K134" s="15" t="s">
        <v>402</v>
      </c>
      <c r="M134" s="2" t="s">
        <v>387</v>
      </c>
      <c r="N134" s="1">
        <f t="shared" si="50"/>
        <v>3</v>
      </c>
      <c r="O134" s="44">
        <f>N134-1</f>
        <v>2</v>
      </c>
      <c r="P134" s="1">
        <f>O134-1</f>
        <v>1</v>
      </c>
    </row>
    <row r="135" spans="1:16" ht="15.75" thickBot="1">
      <c r="A135" s="7">
        <f>VLOOKUP(C135,'2019 Draft by Round'!$C$2:$G$161,5,FALSE)</f>
        <v>70</v>
      </c>
      <c r="B135" s="7">
        <f>VLOOKUP(C135,'2019 Draft by Round'!$C$2:$H$161,6,FALSE)</f>
        <v>7</v>
      </c>
      <c r="C135" s="4" t="s">
        <v>586</v>
      </c>
      <c r="D135" s="4" t="s">
        <v>2</v>
      </c>
      <c r="E135" s="4" t="s">
        <v>32</v>
      </c>
      <c r="F135" s="17" t="s">
        <v>97</v>
      </c>
      <c r="G135" s="22"/>
      <c r="I135" s="20" t="s">
        <v>400</v>
      </c>
      <c r="J135" s="15" t="s">
        <v>401</v>
      </c>
      <c r="K135" s="15" t="s">
        <v>402</v>
      </c>
      <c r="M135" s="2" t="s">
        <v>387</v>
      </c>
      <c r="N135" s="1">
        <f t="shared" si="50"/>
        <v>7</v>
      </c>
      <c r="O135" s="44">
        <f>N135-1</f>
        <v>6</v>
      </c>
      <c r="P135" s="1">
        <f>O135-1</f>
        <v>5</v>
      </c>
    </row>
    <row r="136" spans="1:16" ht="15.75" thickBot="1">
      <c r="A136" s="7">
        <f>VLOOKUP(C136,'2019 Draft by Round'!$C$2:$G$161,5,FALSE)</f>
        <v>80</v>
      </c>
      <c r="B136" s="7">
        <f>VLOOKUP(C136,'2019 Draft by Round'!$C$2:$H$161,6,FALSE)</f>
        <v>8</v>
      </c>
      <c r="C136" s="4" t="s">
        <v>442</v>
      </c>
      <c r="D136" s="4" t="s">
        <v>2</v>
      </c>
      <c r="E136" s="4" t="s">
        <v>63</v>
      </c>
      <c r="F136" s="17" t="s">
        <v>97</v>
      </c>
      <c r="G136" s="22"/>
      <c r="I136" s="20" t="s">
        <v>400</v>
      </c>
      <c r="J136" s="15" t="s">
        <v>401</v>
      </c>
      <c r="K136" s="15" t="s">
        <v>402</v>
      </c>
      <c r="M136" s="2" t="s">
        <v>387</v>
      </c>
      <c r="N136" s="1" t="s">
        <v>387</v>
      </c>
      <c r="O136" s="44">
        <v>9</v>
      </c>
      <c r="P136" s="1">
        <v>8</v>
      </c>
    </row>
    <row r="137" spans="1:16" ht="15.75" thickBot="1">
      <c r="A137" s="7" t="e">
        <f>VLOOKUP(C137,'2019 Draft by Round'!$C$2:$G$161,5,FALSE)</f>
        <v>#N/A</v>
      </c>
      <c r="B137" s="7" t="e">
        <f>VLOOKUP(C137,'2019 Draft by Round'!$C$2:$H$161,6,FALSE)</f>
        <v>#N/A</v>
      </c>
      <c r="C137" s="4" t="s">
        <v>188</v>
      </c>
      <c r="D137" s="4" t="s">
        <v>10</v>
      </c>
      <c r="E137" s="4" t="s">
        <v>135</v>
      </c>
      <c r="F137" s="17" t="s">
        <v>97</v>
      </c>
      <c r="G137" s="22"/>
      <c r="I137" s="20" t="s">
        <v>400</v>
      </c>
      <c r="J137" s="15" t="s">
        <v>401</v>
      </c>
      <c r="K137" s="15" t="s">
        <v>402</v>
      </c>
      <c r="M137" s="2" t="s">
        <v>387</v>
      </c>
      <c r="N137" s="1" t="s">
        <v>387</v>
      </c>
      <c r="O137" s="44">
        <v>9</v>
      </c>
      <c r="P137" s="1">
        <v>8</v>
      </c>
    </row>
    <row r="138" spans="1:16" ht="15.75" thickBot="1">
      <c r="A138" s="7" t="e">
        <f>VLOOKUP(C138,'2019 Draft by Round'!$C$2:$G$161,5,FALSE)</f>
        <v>#N/A</v>
      </c>
      <c r="B138" s="7" t="e">
        <f>VLOOKUP(C138,'2019 Draft by Round'!$C$2:$H$161,6,FALSE)</f>
        <v>#N/A</v>
      </c>
      <c r="C138" s="4" t="s">
        <v>51</v>
      </c>
      <c r="D138" s="4" t="s">
        <v>10</v>
      </c>
      <c r="E138" s="4" t="s">
        <v>6</v>
      </c>
      <c r="F138" s="17" t="s">
        <v>97</v>
      </c>
      <c r="G138" s="22"/>
      <c r="I138" s="20" t="s">
        <v>400</v>
      </c>
      <c r="J138" s="15" t="s">
        <v>401</v>
      </c>
      <c r="K138" s="15" t="s">
        <v>402</v>
      </c>
      <c r="M138" s="2" t="s">
        <v>387</v>
      </c>
      <c r="N138" s="1" t="s">
        <v>387</v>
      </c>
      <c r="O138" s="44">
        <v>9</v>
      </c>
      <c r="P138" s="1">
        <v>8</v>
      </c>
    </row>
    <row r="139" spans="1:16" ht="15.75" thickBot="1">
      <c r="A139" s="7" t="e">
        <f>VLOOKUP(C139,'2019 Draft by Round'!$C$2:$G$161,5,FALSE)</f>
        <v>#N/A</v>
      </c>
      <c r="B139" s="7" t="e">
        <f>VLOOKUP(C139,'2019 Draft by Round'!$C$2:$H$161,6,FALSE)</f>
        <v>#N/A</v>
      </c>
      <c r="C139" s="4" t="s">
        <v>638</v>
      </c>
      <c r="D139" s="4" t="s">
        <v>10</v>
      </c>
      <c r="E139" s="4" t="s">
        <v>3</v>
      </c>
      <c r="F139" s="17" t="s">
        <v>97</v>
      </c>
      <c r="G139" s="22"/>
      <c r="I139" s="20" t="s">
        <v>400</v>
      </c>
      <c r="J139" s="15" t="s">
        <v>401</v>
      </c>
      <c r="K139" s="15" t="s">
        <v>402</v>
      </c>
      <c r="M139" s="2" t="s">
        <v>387</v>
      </c>
      <c r="N139" s="1" t="s">
        <v>387</v>
      </c>
      <c r="O139" s="44">
        <v>9</v>
      </c>
      <c r="P139" s="1">
        <v>8</v>
      </c>
    </row>
    <row r="140" spans="1:16" ht="15.75" thickBot="1">
      <c r="A140" s="7" t="e">
        <f>VLOOKUP(C140,'2019 Draft by Round'!$C$2:$G$161,5,FALSE)</f>
        <v>#N/A</v>
      </c>
      <c r="B140" s="7" t="e">
        <f>VLOOKUP(C140,'2019 Draft by Round'!$C$2:$H$161,6,FALSE)</f>
        <v>#N/A</v>
      </c>
      <c r="C140" s="4" t="s">
        <v>639</v>
      </c>
      <c r="D140" s="4" t="s">
        <v>10</v>
      </c>
      <c r="E140" s="4" t="s">
        <v>23</v>
      </c>
      <c r="F140" s="17" t="s">
        <v>97</v>
      </c>
      <c r="G140" s="22"/>
      <c r="I140" s="20" t="s">
        <v>400</v>
      </c>
      <c r="J140" s="15" t="s">
        <v>401</v>
      </c>
      <c r="K140" s="15" t="s">
        <v>402</v>
      </c>
      <c r="M140" s="2" t="s">
        <v>387</v>
      </c>
      <c r="N140" s="1" t="s">
        <v>387</v>
      </c>
      <c r="O140" s="44">
        <v>9</v>
      </c>
      <c r="P140" s="1">
        <v>8</v>
      </c>
    </row>
    <row r="141" spans="1:16" ht="15.75" thickBot="1">
      <c r="A141" s="14"/>
      <c r="B141" s="14"/>
      <c r="C141" s="14"/>
      <c r="D141" s="14"/>
      <c r="E141" s="14"/>
      <c r="F141" s="18"/>
      <c r="G141" s="18"/>
      <c r="I141" s="18"/>
      <c r="J141" s="18"/>
      <c r="K141" s="18"/>
      <c r="L141" s="18"/>
      <c r="M141" s="18"/>
      <c r="N141" s="18"/>
      <c r="O141" s="18"/>
      <c r="P141" s="18"/>
    </row>
    <row r="142" spans="1:16" ht="15.75" thickBot="1">
      <c r="A142" s="7">
        <f>VLOOKUP(C142,'2019 Draft by Round'!$C$2:$G$161,5,FALSE)</f>
        <v>82</v>
      </c>
      <c r="B142" s="7">
        <f>VLOOKUP(C142,'2019 Draft by Round'!$C$2:$H$161,6,FALSE)</f>
        <v>9</v>
      </c>
      <c r="C142" s="4" t="s">
        <v>153</v>
      </c>
      <c r="D142" s="8" t="s">
        <v>5</v>
      </c>
      <c r="E142" s="4" t="s">
        <v>60</v>
      </c>
      <c r="F142" s="17" t="s">
        <v>181</v>
      </c>
      <c r="G142" s="22"/>
      <c r="I142" s="20" t="s">
        <v>400</v>
      </c>
      <c r="J142" s="15" t="s">
        <v>401</v>
      </c>
      <c r="K142" s="15" t="s">
        <v>402</v>
      </c>
      <c r="M142" s="2" t="s">
        <v>387</v>
      </c>
      <c r="N142" s="1">
        <f t="shared" ref="N142:N175" si="51">B142</f>
        <v>9</v>
      </c>
      <c r="O142" s="44">
        <f>N142-1</f>
        <v>8</v>
      </c>
      <c r="P142" s="1">
        <f>O142-1</f>
        <v>7</v>
      </c>
    </row>
    <row r="143" spans="1:16" ht="15.75" thickBot="1">
      <c r="A143" s="7">
        <f>VLOOKUP(C143,'2019 Draft by Round'!$C$2:$G$161,5,FALSE)</f>
        <v>2</v>
      </c>
      <c r="B143" s="7">
        <f>VLOOKUP(C143,'2019 Draft by Round'!$C$2:$H$161,6,FALSE)</f>
        <v>1</v>
      </c>
      <c r="C143" s="4" t="s">
        <v>61</v>
      </c>
      <c r="D143" s="4" t="s">
        <v>10</v>
      </c>
      <c r="E143" s="4" t="s">
        <v>32</v>
      </c>
      <c r="F143" s="17" t="s">
        <v>181</v>
      </c>
      <c r="G143" s="22"/>
      <c r="I143" s="20" t="s">
        <v>400</v>
      </c>
      <c r="J143" s="15" t="s">
        <v>401</v>
      </c>
      <c r="K143" s="15" t="s">
        <v>402</v>
      </c>
      <c r="M143" s="2" t="s">
        <v>387</v>
      </c>
      <c r="N143" s="1">
        <f t="shared" si="51"/>
        <v>1</v>
      </c>
      <c r="O143" s="44" t="s">
        <v>387</v>
      </c>
      <c r="P143" s="1" t="s">
        <v>387</v>
      </c>
    </row>
    <row r="144" spans="1:16" ht="15.75" thickBot="1">
      <c r="A144" s="7">
        <f>VLOOKUP(C144,'2019 Draft by Round'!$C$2:$G$161,5,FALSE)</f>
        <v>8</v>
      </c>
      <c r="B144" s="7">
        <f>VLOOKUP(C144,'2019 Draft by Round'!$C$2:$H$161,6,FALSE)</f>
        <v>1</v>
      </c>
      <c r="C144" s="4" t="s">
        <v>151</v>
      </c>
      <c r="D144" s="4" t="s">
        <v>10</v>
      </c>
      <c r="E144" s="4" t="s">
        <v>120</v>
      </c>
      <c r="F144" s="17" t="s">
        <v>181</v>
      </c>
      <c r="G144" s="22"/>
      <c r="I144" s="20" t="s">
        <v>401</v>
      </c>
      <c r="J144" s="15" t="s">
        <v>402</v>
      </c>
      <c r="K144" s="15" t="s">
        <v>387</v>
      </c>
      <c r="M144" s="2" t="s">
        <v>387</v>
      </c>
      <c r="N144" s="1">
        <f t="shared" si="51"/>
        <v>1</v>
      </c>
      <c r="O144" s="44" t="s">
        <v>387</v>
      </c>
      <c r="P144" s="1" t="s">
        <v>387</v>
      </c>
    </row>
    <row r="145" spans="1:16" ht="15.75" thickBot="1">
      <c r="A145" s="7">
        <f>VLOOKUP(C145,'2019 Draft by Round'!$C$2:$G$161,5,FALSE)</f>
        <v>19</v>
      </c>
      <c r="B145" s="7">
        <f>VLOOKUP(C145,'2019 Draft by Round'!$C$2:$H$161,6,FALSE)</f>
        <v>2</v>
      </c>
      <c r="C145" s="4" t="s">
        <v>64</v>
      </c>
      <c r="D145" s="4" t="s">
        <v>2</v>
      </c>
      <c r="E145" s="4" t="s">
        <v>25</v>
      </c>
      <c r="F145" s="17" t="s">
        <v>181</v>
      </c>
      <c r="G145" s="22"/>
      <c r="I145" s="20" t="s">
        <v>401</v>
      </c>
      <c r="J145" s="15" t="s">
        <v>402</v>
      </c>
      <c r="K145" s="15" t="s">
        <v>387</v>
      </c>
      <c r="M145" s="2">
        <v>4</v>
      </c>
      <c r="N145" s="1">
        <f t="shared" si="51"/>
        <v>2</v>
      </c>
      <c r="O145" s="12" t="s">
        <v>387</v>
      </c>
      <c r="P145" s="2" t="s">
        <v>387</v>
      </c>
    </row>
    <row r="146" spans="1:16" ht="15.75" thickBot="1">
      <c r="A146" s="48">
        <f>VLOOKUP(C146,'2019 Draft by Round'!$C$2:$G$161,5,FALSE)</f>
        <v>42</v>
      </c>
      <c r="B146" s="48">
        <f>VLOOKUP(C146,'2019 Draft by Round'!$C$2:$H$161,6,FALSE)</f>
        <v>5</v>
      </c>
      <c r="C146" s="49" t="s">
        <v>16</v>
      </c>
      <c r="D146" s="49" t="s">
        <v>2</v>
      </c>
      <c r="E146" s="49" t="s">
        <v>137</v>
      </c>
      <c r="F146" s="50" t="s">
        <v>181</v>
      </c>
      <c r="G146" s="51"/>
      <c r="H146" s="52"/>
      <c r="I146" s="53" t="s">
        <v>401</v>
      </c>
      <c r="J146" s="54" t="s">
        <v>402</v>
      </c>
      <c r="K146" s="54" t="s">
        <v>387</v>
      </c>
      <c r="L146" s="52"/>
      <c r="M146" s="55">
        <v>6</v>
      </c>
      <c r="N146" s="56">
        <f t="shared" si="51"/>
        <v>5</v>
      </c>
      <c r="O146" s="56">
        <f>N146-1</f>
        <v>4</v>
      </c>
      <c r="P146" s="56" t="s">
        <v>387</v>
      </c>
    </row>
    <row r="147" spans="1:16" ht="15.75" thickBot="1">
      <c r="A147" s="7" t="e">
        <f>VLOOKUP(C147,'2019 Draft by Round'!$C$2:$G$161,5,FALSE)</f>
        <v>#N/A</v>
      </c>
      <c r="B147" s="7" t="e">
        <f>VLOOKUP(C147,'2019 Draft by Round'!$C$2:$H$161,6,FALSE)</f>
        <v>#N/A</v>
      </c>
      <c r="C147" s="4" t="s">
        <v>628</v>
      </c>
      <c r="D147" s="4" t="s">
        <v>27</v>
      </c>
      <c r="E147" s="4" t="s">
        <v>73</v>
      </c>
      <c r="F147" s="17" t="s">
        <v>181</v>
      </c>
      <c r="G147" s="22"/>
      <c r="I147" s="20" t="s">
        <v>400</v>
      </c>
      <c r="J147" s="15" t="s">
        <v>401</v>
      </c>
      <c r="K147" s="15" t="s">
        <v>402</v>
      </c>
      <c r="M147" s="2" t="s">
        <v>387</v>
      </c>
      <c r="N147" s="1" t="e">
        <f t="shared" si="51"/>
        <v>#N/A</v>
      </c>
      <c r="O147" s="44">
        <v>9</v>
      </c>
      <c r="P147" s="1">
        <f t="shared" ref="P147:P148" si="52">O147-1</f>
        <v>8</v>
      </c>
    </row>
    <row r="148" spans="1:16" ht="15.75" thickBot="1">
      <c r="A148" s="7">
        <f>VLOOKUP(C148,'2019 Draft by Round'!$C$2:$G$161,5,FALSE)</f>
        <v>39</v>
      </c>
      <c r="B148" s="7">
        <f>VLOOKUP(C148,'2019 Draft by Round'!$C$2:$H$161,6,FALSE)</f>
        <v>4</v>
      </c>
      <c r="C148" s="4" t="s">
        <v>195</v>
      </c>
      <c r="D148" s="4" t="s">
        <v>2</v>
      </c>
      <c r="E148" s="4" t="s">
        <v>30</v>
      </c>
      <c r="F148" s="17" t="s">
        <v>181</v>
      </c>
      <c r="G148" s="22"/>
      <c r="I148" s="20" t="s">
        <v>400</v>
      </c>
      <c r="J148" s="15" t="s">
        <v>401</v>
      </c>
      <c r="K148" s="15" t="s">
        <v>402</v>
      </c>
      <c r="M148" s="2" t="s">
        <v>387</v>
      </c>
      <c r="N148" s="1">
        <f t="shared" si="51"/>
        <v>4</v>
      </c>
      <c r="O148" s="44">
        <f>N148-1</f>
        <v>3</v>
      </c>
      <c r="P148" s="1">
        <f t="shared" si="52"/>
        <v>2</v>
      </c>
    </row>
    <row r="149" spans="1:16" ht="15.75" thickBot="1">
      <c r="A149" s="48" t="e">
        <f>VLOOKUP(C149,'2019 Draft by Round'!$C$2:$G$161,5,FALSE)</f>
        <v>#N/A</v>
      </c>
      <c r="B149" s="48" t="e">
        <f>VLOOKUP(C149,'2019 Draft by Round'!$C$2:$H$161,6,FALSE)</f>
        <v>#N/A</v>
      </c>
      <c r="C149" s="49" t="s">
        <v>629</v>
      </c>
      <c r="D149" s="49" t="s">
        <v>10</v>
      </c>
      <c r="E149" s="49" t="s">
        <v>135</v>
      </c>
      <c r="F149" s="50" t="s">
        <v>181</v>
      </c>
      <c r="G149" s="51"/>
      <c r="H149" s="52"/>
      <c r="I149" s="53" t="s">
        <v>400</v>
      </c>
      <c r="J149" s="54" t="s">
        <v>401</v>
      </c>
      <c r="K149" s="54" t="s">
        <v>402</v>
      </c>
      <c r="L149" s="52"/>
      <c r="M149" s="55" t="s">
        <v>387</v>
      </c>
      <c r="N149" s="56" t="e">
        <f t="shared" si="51"/>
        <v>#N/A</v>
      </c>
      <c r="O149" s="56">
        <v>9</v>
      </c>
      <c r="P149" s="56">
        <v>8</v>
      </c>
    </row>
    <row r="150" spans="1:16" ht="15.75" thickBot="1">
      <c r="A150" s="7" t="e">
        <f>VLOOKUP(C150,'2019 Draft by Round'!$C$2:$G$161,5,FALSE)</f>
        <v>#N/A</v>
      </c>
      <c r="B150" s="7" t="e">
        <f>VLOOKUP(C150,'2019 Draft by Round'!$C$2:$H$161,6,FALSE)</f>
        <v>#N/A</v>
      </c>
      <c r="C150" s="4" t="s">
        <v>630</v>
      </c>
      <c r="D150" s="4" t="s">
        <v>534</v>
      </c>
      <c r="E150" s="4" t="s">
        <v>13</v>
      </c>
      <c r="F150" s="17" t="s">
        <v>181</v>
      </c>
      <c r="G150" s="22"/>
      <c r="I150" s="20" t="s">
        <v>400</v>
      </c>
      <c r="J150" s="15" t="s">
        <v>401</v>
      </c>
      <c r="K150" s="15" t="s">
        <v>402</v>
      </c>
      <c r="M150" s="2" t="s">
        <v>387</v>
      </c>
      <c r="N150" s="1" t="e">
        <f t="shared" si="51"/>
        <v>#N/A</v>
      </c>
      <c r="O150" s="44">
        <v>9</v>
      </c>
      <c r="P150" s="1">
        <f t="shared" ref="P150" si="53">O150-1</f>
        <v>8</v>
      </c>
    </row>
    <row r="151" spans="1:16" ht="15.75" thickBot="1">
      <c r="A151" s="7">
        <f>VLOOKUP(C151,'2019 Draft by Round'!$C$2:$G$161,5,FALSE)</f>
        <v>62</v>
      </c>
      <c r="B151" s="7">
        <f>VLOOKUP(C151,'2019 Draft by Round'!$C$2:$H$161,6,FALSE)</f>
        <v>7</v>
      </c>
      <c r="C151" s="4" t="s">
        <v>174</v>
      </c>
      <c r="D151" s="4" t="s">
        <v>10</v>
      </c>
      <c r="E151" s="4" t="s">
        <v>17</v>
      </c>
      <c r="F151" s="17" t="s">
        <v>181</v>
      </c>
      <c r="G151" s="22"/>
      <c r="I151" s="20" t="s">
        <v>401</v>
      </c>
      <c r="J151" s="15" t="s">
        <v>402</v>
      </c>
      <c r="K151" s="15" t="s">
        <v>387</v>
      </c>
      <c r="M151" s="2" t="s">
        <v>387</v>
      </c>
      <c r="N151" s="1">
        <f t="shared" si="51"/>
        <v>7</v>
      </c>
      <c r="O151" s="44">
        <f>N151-1</f>
        <v>6</v>
      </c>
      <c r="P151" s="1" t="s">
        <v>387</v>
      </c>
    </row>
    <row r="152" spans="1:16" ht="15.75" thickBot="1">
      <c r="A152" s="7">
        <f>VLOOKUP(C152,'2019 Draft by Round'!$C$2:$G$161,5,FALSE)</f>
        <v>122</v>
      </c>
      <c r="B152" s="7">
        <f>VLOOKUP(C152,'2019 Draft by Round'!$C$2:$H$161,6,FALSE)</f>
        <v>13</v>
      </c>
      <c r="C152" s="4" t="s">
        <v>548</v>
      </c>
      <c r="D152" s="4" t="s">
        <v>534</v>
      </c>
      <c r="E152" s="4" t="s">
        <v>107</v>
      </c>
      <c r="F152" s="17" t="s">
        <v>181</v>
      </c>
      <c r="G152" s="22"/>
      <c r="I152" s="20" t="s">
        <v>401</v>
      </c>
      <c r="J152" s="15" t="s">
        <v>402</v>
      </c>
      <c r="K152" s="15" t="s">
        <v>387</v>
      </c>
      <c r="M152" s="2">
        <v>10</v>
      </c>
      <c r="N152" s="1">
        <f t="shared" si="51"/>
        <v>13</v>
      </c>
      <c r="O152" s="44">
        <f>N152-1</f>
        <v>12</v>
      </c>
      <c r="P152" s="2" t="s">
        <v>387</v>
      </c>
    </row>
    <row r="153" spans="1:16" ht="15.75" thickBot="1">
      <c r="A153" s="7">
        <f>VLOOKUP(C153,'2019 Draft by Round'!$C$2:$G$161,5,FALSE)</f>
        <v>48</v>
      </c>
      <c r="B153" s="7">
        <f>VLOOKUP(C153,'2019 Draft by Round'!$C$2:$H$161,6,FALSE)</f>
        <v>5</v>
      </c>
      <c r="C153" s="4" t="s">
        <v>4</v>
      </c>
      <c r="D153" s="4" t="s">
        <v>5</v>
      </c>
      <c r="E153" s="4" t="s">
        <v>6</v>
      </c>
      <c r="F153" s="17" t="s">
        <v>181</v>
      </c>
      <c r="G153" s="22"/>
      <c r="I153" s="20" t="s">
        <v>400</v>
      </c>
      <c r="J153" s="15" t="s">
        <v>401</v>
      </c>
      <c r="K153" s="15" t="s">
        <v>402</v>
      </c>
      <c r="M153" s="2" t="s">
        <v>387</v>
      </c>
      <c r="N153" s="1">
        <f t="shared" si="51"/>
        <v>5</v>
      </c>
      <c r="O153" s="44">
        <f>N153-1</f>
        <v>4</v>
      </c>
      <c r="P153" s="1">
        <f t="shared" ref="P153" si="54">O153-1</f>
        <v>3</v>
      </c>
    </row>
    <row r="154" spans="1:16" ht="15.75" thickBot="1">
      <c r="A154" s="7" t="e">
        <f>VLOOKUP(C154,'2019 Draft by Round'!$C$2:$G$161,5,FALSE)</f>
        <v>#N/A</v>
      </c>
      <c r="B154" s="7" t="e">
        <f>VLOOKUP(C154,'2019 Draft by Round'!$C$2:$H$161,6,FALSE)</f>
        <v>#N/A</v>
      </c>
      <c r="C154" s="4" t="s">
        <v>631</v>
      </c>
      <c r="D154" s="4" t="s">
        <v>2</v>
      </c>
      <c r="E154" s="4" t="s">
        <v>56</v>
      </c>
      <c r="F154" s="17" t="s">
        <v>181</v>
      </c>
      <c r="G154" s="22"/>
      <c r="I154" s="20" t="s">
        <v>400</v>
      </c>
      <c r="J154" s="15" t="s">
        <v>401</v>
      </c>
      <c r="K154" s="15" t="s">
        <v>402</v>
      </c>
      <c r="M154" s="2" t="s">
        <v>387</v>
      </c>
      <c r="N154" s="1" t="e">
        <f t="shared" si="51"/>
        <v>#N/A</v>
      </c>
      <c r="O154" s="44">
        <v>9</v>
      </c>
      <c r="P154" s="1">
        <v>8</v>
      </c>
    </row>
    <row r="155" spans="1:16" ht="15.75" thickBot="1">
      <c r="A155" s="7" t="e">
        <f>VLOOKUP(C155,'2019 Draft by Round'!$C$2:$G$161,5,FALSE)</f>
        <v>#N/A</v>
      </c>
      <c r="B155" s="7" t="e">
        <f>VLOOKUP(C155,'2019 Draft by Round'!$C$2:$H$161,6,FALSE)</f>
        <v>#N/A</v>
      </c>
      <c r="C155" s="4" t="s">
        <v>632</v>
      </c>
      <c r="D155" s="4" t="s">
        <v>2</v>
      </c>
      <c r="E155" s="4" t="s">
        <v>25</v>
      </c>
      <c r="F155" s="17" t="s">
        <v>181</v>
      </c>
      <c r="G155" s="22"/>
      <c r="I155" s="20" t="s">
        <v>400</v>
      </c>
      <c r="J155" s="15" t="s">
        <v>401</v>
      </c>
      <c r="K155" s="15" t="s">
        <v>402</v>
      </c>
      <c r="M155" s="2" t="s">
        <v>387</v>
      </c>
      <c r="N155" s="1" t="e">
        <f t="shared" si="51"/>
        <v>#N/A</v>
      </c>
      <c r="O155" s="44">
        <v>9</v>
      </c>
      <c r="P155" s="1">
        <f t="shared" ref="P155" si="55">O155-1</f>
        <v>8</v>
      </c>
    </row>
    <row r="156" spans="1:16" ht="15.75" thickBot="1">
      <c r="A156" s="7" t="e">
        <f>VLOOKUP(C156,'2019 Draft by Round'!$C$2:$G$161,5,FALSE)</f>
        <v>#N/A</v>
      </c>
      <c r="B156" s="7" t="e">
        <f>VLOOKUP(C156,'2019 Draft by Round'!$C$2:$H$161,6,FALSE)</f>
        <v>#N/A</v>
      </c>
      <c r="C156" s="4" t="s">
        <v>438</v>
      </c>
      <c r="D156" s="4" t="s">
        <v>27</v>
      </c>
      <c r="E156" s="4" t="s">
        <v>25</v>
      </c>
      <c r="F156" s="17" t="s">
        <v>181</v>
      </c>
      <c r="G156" s="22"/>
      <c r="I156" s="20" t="s">
        <v>400</v>
      </c>
      <c r="J156" s="15" t="s">
        <v>401</v>
      </c>
      <c r="K156" s="15" t="s">
        <v>402</v>
      </c>
      <c r="M156" s="2" t="s">
        <v>387</v>
      </c>
      <c r="N156" s="1" t="e">
        <f t="shared" si="51"/>
        <v>#N/A</v>
      </c>
      <c r="O156" s="44">
        <v>9</v>
      </c>
      <c r="P156" s="1">
        <v>8</v>
      </c>
    </row>
    <row r="157" spans="1:16" ht="15.75" thickBot="1">
      <c r="A157" s="7" t="e">
        <f>VLOOKUP(C157,'2019 Draft by Round'!$C$2:$G$161,5,FALSE)</f>
        <v>#N/A</v>
      </c>
      <c r="B157" s="7" t="e">
        <f>VLOOKUP(C157,'2019 Draft by Round'!$C$2:$H$161,6,FALSE)</f>
        <v>#N/A</v>
      </c>
      <c r="C157" s="4" t="s">
        <v>633</v>
      </c>
      <c r="D157" s="4" t="s">
        <v>5</v>
      </c>
      <c r="E157" s="4" t="s">
        <v>49</v>
      </c>
      <c r="F157" s="17" t="s">
        <v>181</v>
      </c>
      <c r="G157" s="22"/>
      <c r="I157" s="20" t="s">
        <v>400</v>
      </c>
      <c r="J157" s="15" t="s">
        <v>401</v>
      </c>
      <c r="K157" s="15" t="s">
        <v>402</v>
      </c>
      <c r="M157" s="2" t="s">
        <v>387</v>
      </c>
      <c r="N157" s="1" t="e">
        <f t="shared" si="51"/>
        <v>#N/A</v>
      </c>
      <c r="O157" s="44">
        <v>9</v>
      </c>
      <c r="P157" s="1">
        <f t="shared" ref="P157" si="56">O157-1</f>
        <v>8</v>
      </c>
    </row>
    <row r="158" spans="1:16" ht="15.75" thickBot="1">
      <c r="A158" s="14"/>
      <c r="B158" s="14"/>
      <c r="C158" s="14"/>
      <c r="D158" s="14"/>
      <c r="E158" s="14"/>
      <c r="F158" s="18"/>
      <c r="G158" s="18"/>
      <c r="I158" s="18"/>
      <c r="J158" s="18"/>
      <c r="K158" s="18"/>
      <c r="L158" s="18"/>
      <c r="M158" s="18"/>
      <c r="N158" s="18"/>
      <c r="O158" s="18"/>
      <c r="P158" s="18"/>
    </row>
    <row r="159" spans="1:16" ht="15.75" thickBot="1">
      <c r="A159" s="7" t="e">
        <f>VLOOKUP(C159,'2019 Draft by Round'!$C$2:$G$161,5,FALSE)</f>
        <v>#N/A</v>
      </c>
      <c r="B159" s="7" t="e">
        <f>VLOOKUP(C159,'2019 Draft by Round'!$C$2:$H$161,6,FALSE)</f>
        <v>#N/A</v>
      </c>
      <c r="C159" s="4" t="s">
        <v>634</v>
      </c>
      <c r="D159" s="8" t="s">
        <v>5</v>
      </c>
      <c r="E159" s="4" t="s">
        <v>56</v>
      </c>
      <c r="F159" s="17" t="s">
        <v>37</v>
      </c>
      <c r="G159" s="22"/>
      <c r="I159" s="20" t="s">
        <v>400</v>
      </c>
      <c r="J159" s="15" t="s">
        <v>401</v>
      </c>
      <c r="K159" s="15" t="s">
        <v>402</v>
      </c>
      <c r="M159" s="2" t="s">
        <v>387</v>
      </c>
      <c r="N159" s="1" t="e">
        <f t="shared" si="51"/>
        <v>#N/A</v>
      </c>
      <c r="O159" s="44">
        <v>9</v>
      </c>
      <c r="P159" s="1">
        <f>O159-1</f>
        <v>8</v>
      </c>
    </row>
    <row r="160" spans="1:16" ht="15.75" thickBot="1">
      <c r="A160" s="7">
        <f>VLOOKUP(C160,'2019 Draft by Round'!$C$2:$G$161,5,FALSE)</f>
        <v>26</v>
      </c>
      <c r="B160" s="7">
        <f>VLOOKUP(C160,'2019 Draft by Round'!$C$2:$H$161,6,FALSE)</f>
        <v>3</v>
      </c>
      <c r="C160" s="4" t="s">
        <v>62</v>
      </c>
      <c r="D160" s="4" t="s">
        <v>10</v>
      </c>
      <c r="E160" s="4" t="s">
        <v>63</v>
      </c>
      <c r="F160" s="17" t="s">
        <v>37</v>
      </c>
      <c r="G160" s="22"/>
      <c r="I160" s="20" t="s">
        <v>400</v>
      </c>
      <c r="J160" s="15" t="s">
        <v>401</v>
      </c>
      <c r="K160" s="15" t="s">
        <v>402</v>
      </c>
      <c r="M160" s="2" t="s">
        <v>387</v>
      </c>
      <c r="N160" s="1">
        <f t="shared" si="51"/>
        <v>3</v>
      </c>
      <c r="O160" s="44">
        <f>N160-1</f>
        <v>2</v>
      </c>
      <c r="P160" s="1">
        <f>O160-1</f>
        <v>1</v>
      </c>
    </row>
    <row r="161" spans="1:16" ht="15.75" thickBot="1">
      <c r="A161" s="48">
        <f>VLOOKUP(C161,'2019 Draft by Round'!$C$2:$G$161,5,FALSE)</f>
        <v>86</v>
      </c>
      <c r="B161" s="48">
        <f>VLOOKUP(C161,'2019 Draft by Round'!$C$2:$H$161,6,FALSE)</f>
        <v>9</v>
      </c>
      <c r="C161" s="49" t="s">
        <v>570</v>
      </c>
      <c r="D161" s="49" t="s">
        <v>10</v>
      </c>
      <c r="E161" s="49" t="s">
        <v>71</v>
      </c>
      <c r="F161" s="50" t="s">
        <v>37</v>
      </c>
      <c r="G161" s="51"/>
      <c r="H161" s="52"/>
      <c r="I161" s="53" t="s">
        <v>401</v>
      </c>
      <c r="J161" s="54" t="s">
        <v>402</v>
      </c>
      <c r="K161" s="54" t="s">
        <v>387</v>
      </c>
      <c r="L161" s="52"/>
      <c r="M161" s="55" t="s">
        <v>387</v>
      </c>
      <c r="N161" s="56">
        <f t="shared" si="51"/>
        <v>9</v>
      </c>
      <c r="O161" s="56">
        <f>N161-1</f>
        <v>8</v>
      </c>
      <c r="P161" s="56" t="s">
        <v>387</v>
      </c>
    </row>
    <row r="162" spans="1:16" ht="15.75" thickBot="1">
      <c r="A162" s="7">
        <f>VLOOKUP(C162,'2019 Draft by Round'!$C$2:$G$161,5,FALSE)</f>
        <v>6</v>
      </c>
      <c r="B162" s="7">
        <f>VLOOKUP(C162,'2019 Draft by Round'!$C$2:$H$161,6,FALSE)</f>
        <v>1</v>
      </c>
      <c r="C162" s="4" t="s">
        <v>528</v>
      </c>
      <c r="D162" s="4" t="s">
        <v>2</v>
      </c>
      <c r="E162" s="4" t="s">
        <v>71</v>
      </c>
      <c r="F162" s="17" t="s">
        <v>37</v>
      </c>
      <c r="G162" s="22"/>
      <c r="I162" s="20" t="s">
        <v>400</v>
      </c>
      <c r="J162" s="15" t="s">
        <v>401</v>
      </c>
      <c r="K162" s="15" t="s">
        <v>402</v>
      </c>
      <c r="M162" s="2" t="s">
        <v>387</v>
      </c>
      <c r="N162" s="1">
        <f t="shared" si="51"/>
        <v>1</v>
      </c>
      <c r="O162" s="12" t="s">
        <v>387</v>
      </c>
      <c r="P162" s="2" t="s">
        <v>387</v>
      </c>
    </row>
    <row r="163" spans="1:16" ht="15.75" thickBot="1">
      <c r="A163" s="7">
        <f>VLOOKUP(C163,'2019 Draft by Round'!$C$2:$G$161,5,FALSE)</f>
        <v>15</v>
      </c>
      <c r="B163" s="7">
        <f>VLOOKUP(C163,'2019 Draft by Round'!$C$2:$H$161,6,FALSE)</f>
        <v>2</v>
      </c>
      <c r="C163" s="4" t="s">
        <v>115</v>
      </c>
      <c r="D163" s="4" t="s">
        <v>2</v>
      </c>
      <c r="E163" s="4" t="s">
        <v>43</v>
      </c>
      <c r="F163" s="17" t="s">
        <v>37</v>
      </c>
      <c r="G163" s="22"/>
      <c r="I163" s="20" t="s">
        <v>400</v>
      </c>
      <c r="J163" s="15" t="s">
        <v>401</v>
      </c>
      <c r="K163" s="15" t="s">
        <v>402</v>
      </c>
      <c r="M163" s="2" t="s">
        <v>387</v>
      </c>
      <c r="N163" s="1">
        <f t="shared" si="51"/>
        <v>2</v>
      </c>
      <c r="O163" s="44">
        <f>N163-1</f>
        <v>1</v>
      </c>
      <c r="P163" s="2" t="s">
        <v>387</v>
      </c>
    </row>
    <row r="164" spans="1:16" ht="15.75" thickBot="1">
      <c r="A164" s="7" t="e">
        <f>VLOOKUP(C164,'2019 Draft by Round'!$C$2:$G$161,5,FALSE)</f>
        <v>#N/A</v>
      </c>
      <c r="B164" s="7" t="e">
        <f>VLOOKUP(C164,'2019 Draft by Round'!$C$2:$H$161,6,FALSE)</f>
        <v>#N/A</v>
      </c>
      <c r="C164" s="4" t="s">
        <v>635</v>
      </c>
      <c r="D164" s="4" t="s">
        <v>27</v>
      </c>
      <c r="E164" s="4" t="s">
        <v>21</v>
      </c>
      <c r="F164" s="17" t="s">
        <v>37</v>
      </c>
      <c r="G164" s="22"/>
      <c r="I164" s="20" t="s">
        <v>400</v>
      </c>
      <c r="J164" s="15" t="s">
        <v>401</v>
      </c>
      <c r="K164" s="15" t="s">
        <v>402</v>
      </c>
      <c r="M164" s="2">
        <v>5</v>
      </c>
      <c r="N164" s="1" t="e">
        <v>#N/A</v>
      </c>
      <c r="O164" s="44">
        <v>9</v>
      </c>
      <c r="P164" s="1">
        <v>8</v>
      </c>
    </row>
    <row r="165" spans="1:16" ht="15.75" thickBot="1">
      <c r="A165" s="7">
        <f>VLOOKUP(C165,'2019 Draft by Round'!$C$2:$G$161,5,FALSE)</f>
        <v>55</v>
      </c>
      <c r="B165" s="7">
        <f>VLOOKUP(C165,'2019 Draft by Round'!$C$2:$H$161,6,FALSE)</f>
        <v>6</v>
      </c>
      <c r="C165" s="4" t="s">
        <v>52</v>
      </c>
      <c r="D165" s="4" t="s">
        <v>2</v>
      </c>
      <c r="E165" s="4" t="s">
        <v>32</v>
      </c>
      <c r="F165" s="17" t="s">
        <v>37</v>
      </c>
      <c r="G165" s="22"/>
      <c r="I165" s="20" t="s">
        <v>400</v>
      </c>
      <c r="J165" s="15" t="s">
        <v>401</v>
      </c>
      <c r="K165" s="15" t="s">
        <v>402</v>
      </c>
      <c r="M165" s="2" t="s">
        <v>387</v>
      </c>
      <c r="N165" s="1">
        <f t="shared" si="51"/>
        <v>6</v>
      </c>
      <c r="O165" s="44">
        <f>N165-1</f>
        <v>5</v>
      </c>
      <c r="P165" s="1">
        <f>O165-1</f>
        <v>4</v>
      </c>
    </row>
    <row r="166" spans="1:16" ht="15.75" thickBot="1">
      <c r="A166" s="7">
        <f>VLOOKUP(C166,'2019 Draft by Round'!$C$2:$G$161,5,FALSE)</f>
        <v>142</v>
      </c>
      <c r="B166" s="7">
        <f>VLOOKUP(C166,'2019 Draft by Round'!$C$2:$H$161,6,FALSE)</f>
        <v>15</v>
      </c>
      <c r="C166" s="4" t="s">
        <v>603</v>
      </c>
      <c r="D166" s="4" t="s">
        <v>10</v>
      </c>
      <c r="E166" s="4" t="s">
        <v>43</v>
      </c>
      <c r="F166" s="17" t="s">
        <v>37</v>
      </c>
      <c r="G166" s="22"/>
      <c r="I166" s="20" t="s">
        <v>400</v>
      </c>
      <c r="J166" s="15" t="s">
        <v>401</v>
      </c>
      <c r="K166" s="15" t="s">
        <v>402</v>
      </c>
      <c r="M166" s="2" t="s">
        <v>387</v>
      </c>
      <c r="N166" s="1" t="e">
        <v>#N/A</v>
      </c>
      <c r="O166" s="44">
        <v>9</v>
      </c>
      <c r="P166" s="1">
        <v>8</v>
      </c>
    </row>
    <row r="167" spans="1:16" ht="15.75" thickBot="1">
      <c r="A167" s="7" t="e">
        <f>VLOOKUP(C167,'2019 Draft by Round'!$C$2:$G$161,5,FALSE)</f>
        <v>#N/A</v>
      </c>
      <c r="B167" s="7" t="e">
        <f>VLOOKUP(C167,'2019 Draft by Round'!$C$2:$H$161,6,FALSE)</f>
        <v>#N/A</v>
      </c>
      <c r="C167" s="4" t="s">
        <v>568</v>
      </c>
      <c r="D167" s="4" t="s">
        <v>534</v>
      </c>
      <c r="E167" s="4" t="s">
        <v>41</v>
      </c>
      <c r="F167" s="17" t="s">
        <v>37</v>
      </c>
      <c r="G167" s="22"/>
      <c r="I167" s="20" t="s">
        <v>400</v>
      </c>
      <c r="J167" s="15" t="s">
        <v>401</v>
      </c>
      <c r="K167" s="15" t="s">
        <v>402</v>
      </c>
      <c r="M167" s="2" t="s">
        <v>387</v>
      </c>
      <c r="N167" s="1" t="e">
        <v>#N/A</v>
      </c>
      <c r="O167" s="44">
        <v>9</v>
      </c>
      <c r="P167" s="1">
        <v>8</v>
      </c>
    </row>
    <row r="168" spans="1:16" ht="15.75" thickBot="1">
      <c r="A168" s="7">
        <f>VLOOKUP(C168,'2019 Draft by Round'!$C$2:$G$161,5,FALSE)</f>
        <v>75</v>
      </c>
      <c r="B168" s="7">
        <f>VLOOKUP(C168,'2019 Draft by Round'!$C$2:$H$161,6,FALSE)</f>
        <v>8</v>
      </c>
      <c r="C168" s="4" t="s">
        <v>463</v>
      </c>
      <c r="D168" s="4" t="s">
        <v>2</v>
      </c>
      <c r="E168" s="4" t="s">
        <v>17</v>
      </c>
      <c r="F168" s="17" t="s">
        <v>37</v>
      </c>
      <c r="G168" s="22"/>
      <c r="I168" s="20" t="s">
        <v>400</v>
      </c>
      <c r="J168" s="15" t="s">
        <v>401</v>
      </c>
      <c r="K168" s="15" t="s">
        <v>402</v>
      </c>
      <c r="M168" s="2" t="s">
        <v>387</v>
      </c>
      <c r="N168" s="1">
        <f t="shared" si="51"/>
        <v>8</v>
      </c>
      <c r="O168" s="44">
        <f>N168-1</f>
        <v>7</v>
      </c>
      <c r="P168" s="1">
        <f>O168-1</f>
        <v>6</v>
      </c>
    </row>
    <row r="169" spans="1:16" ht="15.75" thickBot="1">
      <c r="A169" s="7">
        <f>VLOOKUP(C169,'2019 Draft by Round'!$C$2:$G$161,5,FALSE)</f>
        <v>106</v>
      </c>
      <c r="B169" s="7">
        <f>VLOOKUP(C169,'2019 Draft by Round'!$C$2:$H$161,6,FALSE)</f>
        <v>11</v>
      </c>
      <c r="C169" s="4" t="s">
        <v>571</v>
      </c>
      <c r="D169" s="4" t="s">
        <v>10</v>
      </c>
      <c r="E169" s="4" t="s">
        <v>135</v>
      </c>
      <c r="F169" s="17" t="s">
        <v>37</v>
      </c>
      <c r="G169" s="22"/>
      <c r="I169" s="20" t="s">
        <v>400</v>
      </c>
      <c r="J169" s="15" t="s">
        <v>401</v>
      </c>
      <c r="K169" s="15" t="s">
        <v>402</v>
      </c>
      <c r="M169" s="2" t="s">
        <v>387</v>
      </c>
      <c r="N169" s="1">
        <f t="shared" si="51"/>
        <v>11</v>
      </c>
      <c r="O169" s="44">
        <f>N169-1</f>
        <v>10</v>
      </c>
      <c r="P169" s="1">
        <f>O169-1</f>
        <v>9</v>
      </c>
    </row>
    <row r="170" spans="1:16" ht="15.75" thickBot="1">
      <c r="A170" s="48">
        <f>VLOOKUP(C170,'2019 Draft by Round'!$C$2:$G$161,5,FALSE)</f>
        <v>126</v>
      </c>
      <c r="B170" s="48">
        <f>VLOOKUP(C170,'2019 Draft by Round'!$C$2:$H$161,6,FALSE)</f>
        <v>13</v>
      </c>
      <c r="C170" s="49" t="s">
        <v>510</v>
      </c>
      <c r="D170" s="49" t="s">
        <v>10</v>
      </c>
      <c r="E170" s="49" t="s">
        <v>3</v>
      </c>
      <c r="F170" s="50" t="s">
        <v>37</v>
      </c>
      <c r="G170" s="51"/>
      <c r="H170" s="52"/>
      <c r="I170" s="53" t="s">
        <v>401</v>
      </c>
      <c r="J170" s="54" t="s">
        <v>402</v>
      </c>
      <c r="K170" s="54" t="s">
        <v>387</v>
      </c>
      <c r="L170" s="52"/>
      <c r="M170" s="55" t="s">
        <v>387</v>
      </c>
      <c r="N170" s="56">
        <f t="shared" si="51"/>
        <v>13</v>
      </c>
      <c r="O170" s="56">
        <f>N170-1</f>
        <v>12</v>
      </c>
      <c r="P170" s="56" t="s">
        <v>387</v>
      </c>
    </row>
    <row r="171" spans="1:16" ht="15.75" thickBot="1">
      <c r="A171" s="7">
        <f>VLOOKUP(C171,'2019 Draft by Round'!$C$2:$G$161,5,FALSE)</f>
        <v>155</v>
      </c>
      <c r="B171" s="7">
        <f>VLOOKUP(C171,'2019 Draft by Round'!$C$2:$H$161,6,FALSE)</f>
        <v>16</v>
      </c>
      <c r="C171" s="4" t="s">
        <v>68</v>
      </c>
      <c r="D171" s="4" t="s">
        <v>5</v>
      </c>
      <c r="E171" s="4" t="s">
        <v>82</v>
      </c>
      <c r="F171" s="17" t="s">
        <v>37</v>
      </c>
      <c r="G171" s="22"/>
      <c r="I171" s="20" t="s">
        <v>400</v>
      </c>
      <c r="J171" s="15" t="s">
        <v>401</v>
      </c>
      <c r="K171" s="15" t="s">
        <v>402</v>
      </c>
      <c r="M171" s="2" t="s">
        <v>387</v>
      </c>
      <c r="N171" s="1" t="e">
        <v>#N/A</v>
      </c>
      <c r="O171" s="44">
        <v>9</v>
      </c>
      <c r="P171" s="1">
        <v>8</v>
      </c>
    </row>
    <row r="172" spans="1:16" ht="15.75" thickBot="1">
      <c r="A172" s="7" t="e">
        <f>VLOOKUP(C172,'2019 Draft by Round'!$C$2:$G$161,5,FALSE)</f>
        <v>#N/A</v>
      </c>
      <c r="B172" s="7" t="e">
        <f>VLOOKUP(C172,'2019 Draft by Round'!$C$2:$H$161,6,FALSE)</f>
        <v>#N/A</v>
      </c>
      <c r="C172" s="4" t="s">
        <v>636</v>
      </c>
      <c r="D172" s="4" t="s">
        <v>534</v>
      </c>
      <c r="E172" s="4" t="s">
        <v>21</v>
      </c>
      <c r="F172" s="17" t="s">
        <v>37</v>
      </c>
      <c r="G172" s="22"/>
      <c r="I172" s="20" t="s">
        <v>400</v>
      </c>
      <c r="J172" s="15" t="s">
        <v>401</v>
      </c>
      <c r="K172" s="15" t="s">
        <v>402</v>
      </c>
      <c r="M172" s="2" t="s">
        <v>387</v>
      </c>
      <c r="N172" s="1" t="e">
        <v>#N/A</v>
      </c>
      <c r="O172" s="44">
        <v>9</v>
      </c>
      <c r="P172" s="1">
        <v>8</v>
      </c>
    </row>
    <row r="173" spans="1:16" ht="15.75" thickBot="1">
      <c r="A173" s="7">
        <f>VLOOKUP(C173,'2019 Draft by Round'!$C$2:$G$161,5,FALSE)</f>
        <v>4</v>
      </c>
      <c r="B173" s="7">
        <f>VLOOKUP(C173,'2019 Draft by Round'!$C$2:$H$161,6,FALSE)</f>
        <v>1</v>
      </c>
      <c r="C173" s="4" t="s">
        <v>637</v>
      </c>
      <c r="D173" s="4" t="s">
        <v>10</v>
      </c>
      <c r="E173" s="4" t="s">
        <v>11</v>
      </c>
      <c r="F173" s="17" t="s">
        <v>37</v>
      </c>
      <c r="G173" s="22"/>
      <c r="I173" s="20" t="s">
        <v>400</v>
      </c>
      <c r="J173" s="15" t="s">
        <v>401</v>
      </c>
      <c r="K173" s="15" t="s">
        <v>402</v>
      </c>
      <c r="M173" s="2" t="s">
        <v>387</v>
      </c>
      <c r="N173" s="1">
        <f t="shared" si="51"/>
        <v>1</v>
      </c>
      <c r="O173" s="44" t="s">
        <v>387</v>
      </c>
      <c r="P173" s="1" t="s">
        <v>387</v>
      </c>
    </row>
    <row r="174" spans="1:16" ht="15.75" thickBot="1">
      <c r="A174" s="7">
        <f>VLOOKUP(C174,'2019 Draft by Round'!$C$2:$G$161,5,FALSE)</f>
        <v>67</v>
      </c>
      <c r="B174" s="7">
        <f>VLOOKUP(C174,'2019 Draft by Round'!$C$2:$H$161,6,FALSE)</f>
        <v>7</v>
      </c>
      <c r="C174" s="4" t="s">
        <v>585</v>
      </c>
      <c r="D174" s="4" t="s">
        <v>2</v>
      </c>
      <c r="E174" s="4" t="s">
        <v>120</v>
      </c>
      <c r="F174" s="17" t="s">
        <v>37</v>
      </c>
      <c r="G174" s="22"/>
      <c r="I174" s="20" t="s">
        <v>400</v>
      </c>
      <c r="J174" s="15" t="s">
        <v>401</v>
      </c>
      <c r="K174" s="15" t="s">
        <v>402</v>
      </c>
      <c r="M174" s="2" t="s">
        <v>387</v>
      </c>
      <c r="N174" s="1" t="e">
        <v>#N/A</v>
      </c>
      <c r="O174" s="44">
        <v>9</v>
      </c>
      <c r="P174" s="1">
        <v>8</v>
      </c>
    </row>
    <row r="175" spans="1:16" ht="15.75" thickBot="1">
      <c r="A175" s="7">
        <f>VLOOKUP(C175,'2019 Draft by Round'!$C$2:$G$161,5,FALSE)</f>
        <v>35</v>
      </c>
      <c r="B175" s="7">
        <f>VLOOKUP(C175,'2019 Draft by Round'!$C$2:$H$161,6,FALSE)</f>
        <v>4</v>
      </c>
      <c r="C175" s="4" t="s">
        <v>415</v>
      </c>
      <c r="D175" s="4" t="s">
        <v>2</v>
      </c>
      <c r="E175" s="4" t="s">
        <v>84</v>
      </c>
      <c r="F175" s="17" t="s">
        <v>37</v>
      </c>
      <c r="G175" s="22"/>
      <c r="I175" s="20" t="s">
        <v>400</v>
      </c>
      <c r="J175" s="15" t="s">
        <v>401</v>
      </c>
      <c r="K175" s="15" t="s">
        <v>402</v>
      </c>
      <c r="M175" s="2" t="s">
        <v>387</v>
      </c>
      <c r="N175" s="1">
        <f t="shared" si="51"/>
        <v>4</v>
      </c>
      <c r="O175" s="44">
        <f>N175-1</f>
        <v>3</v>
      </c>
      <c r="P175" s="1">
        <f t="shared" ref="P175" si="57">O175-1</f>
        <v>2</v>
      </c>
    </row>
    <row r="176" spans="1:16" ht="15.75" thickBot="1">
      <c r="A176" s="3"/>
      <c r="B176" s="3"/>
      <c r="C176" s="4"/>
      <c r="D176" s="4"/>
      <c r="E176" s="4"/>
      <c r="F176" s="17"/>
      <c r="G176" s="22"/>
    </row>
    <row r="177" spans="1:7" ht="15.75" thickBot="1">
      <c r="A177" s="3"/>
      <c r="B177" s="3"/>
      <c r="C177" s="4"/>
      <c r="D177" s="4"/>
      <c r="E177" s="4"/>
      <c r="F177" s="17"/>
      <c r="G177" s="22"/>
    </row>
    <row r="178" spans="1:7" ht="15.75" thickBot="1">
      <c r="A178" s="3"/>
      <c r="B178" s="3"/>
      <c r="C178" s="4"/>
      <c r="D178" s="4"/>
      <c r="E178" s="4"/>
      <c r="F178" s="17"/>
      <c r="G178" s="22"/>
    </row>
    <row r="179" spans="1:7" ht="15.75" thickBot="1">
      <c r="A179" s="3"/>
      <c r="B179" s="3"/>
      <c r="C179" s="4"/>
      <c r="D179" s="4"/>
      <c r="E179" s="4"/>
      <c r="F179" s="17"/>
      <c r="G179" s="22"/>
    </row>
    <row r="180" spans="1:7" ht="15.75" thickBot="1">
      <c r="A180" s="3"/>
      <c r="B180" s="3"/>
      <c r="C180" s="4"/>
      <c r="D180" s="4"/>
      <c r="E180" s="4"/>
      <c r="F180" s="17"/>
      <c r="G180" s="22"/>
    </row>
    <row r="181" spans="1:7" ht="15.75" thickBot="1">
      <c r="A181" s="3"/>
      <c r="B181" s="3"/>
      <c r="C181" s="4"/>
      <c r="D181" s="4"/>
      <c r="E181" s="4"/>
      <c r="F181" s="17"/>
      <c r="G181" s="22"/>
    </row>
    <row r="182" spans="1:7" ht="15.75" thickBot="1">
      <c r="A182" s="3"/>
      <c r="B182" s="3"/>
      <c r="C182" s="4"/>
      <c r="D182" s="4"/>
      <c r="E182" s="4"/>
      <c r="F182" s="17"/>
      <c r="G182" s="22"/>
    </row>
    <row r="183" spans="1:7" ht="15.75" thickBot="1">
      <c r="A183" s="3"/>
      <c r="B183" s="3"/>
      <c r="C183" s="4"/>
      <c r="D183" s="4"/>
      <c r="E183" s="4"/>
      <c r="F183" s="17"/>
      <c r="G183" s="22"/>
    </row>
    <row r="184" spans="1:7" ht="15.75" thickBot="1">
      <c r="A184" s="3"/>
      <c r="B184" s="3"/>
      <c r="C184" s="4"/>
      <c r="D184" s="4"/>
      <c r="E184" s="4"/>
      <c r="F184" s="17"/>
      <c r="G184" s="22"/>
    </row>
    <row r="185" spans="1:7" ht="15.75" thickBot="1">
      <c r="A185" s="3"/>
      <c r="B185" s="3"/>
      <c r="C185" s="4"/>
      <c r="D185" s="4"/>
      <c r="E185" s="4"/>
      <c r="F185" s="17"/>
      <c r="G185" s="22"/>
    </row>
    <row r="186" spans="1:7" ht="15.75" thickBot="1">
      <c r="A186" s="3"/>
      <c r="B186" s="3"/>
      <c r="C186" s="4"/>
      <c r="D186" s="4"/>
      <c r="E186" s="4"/>
      <c r="F186" s="17"/>
      <c r="G186" s="22"/>
    </row>
    <row r="187" spans="1:7" ht="15.75" thickBot="1">
      <c r="A187" s="3"/>
      <c r="B187" s="3"/>
      <c r="C187" s="4"/>
      <c r="D187" s="4"/>
      <c r="E187" s="4"/>
      <c r="F187" s="17"/>
      <c r="G187" s="22"/>
    </row>
    <row r="188" spans="1:7" ht="15.75" thickBot="1">
      <c r="A188" s="3"/>
      <c r="B188" s="3"/>
      <c r="C188" s="4"/>
      <c r="D188" s="4"/>
      <c r="E188" s="4"/>
      <c r="F188" s="17"/>
      <c r="G188" s="22"/>
    </row>
    <row r="189" spans="1:7" ht="15.75" thickBot="1">
      <c r="A189" s="3"/>
      <c r="B189" s="3"/>
      <c r="C189" s="4"/>
      <c r="D189" s="4"/>
      <c r="E189" s="4"/>
      <c r="F189" s="17"/>
      <c r="G189" s="22"/>
    </row>
    <row r="190" spans="1:7" ht="15.75" thickBot="1">
      <c r="A190" s="3"/>
      <c r="B190" s="3"/>
      <c r="C190" s="4"/>
      <c r="D190" s="4"/>
      <c r="E190" s="4"/>
      <c r="F190" s="17"/>
      <c r="G190" s="22"/>
    </row>
    <row r="191" spans="1:7" ht="15.75" thickBot="1">
      <c r="A191" s="3"/>
      <c r="B191" s="3"/>
      <c r="C191" s="4"/>
      <c r="D191" s="4"/>
      <c r="E191" s="4"/>
      <c r="F191" s="17"/>
      <c r="G191" s="22"/>
    </row>
    <row r="192" spans="1:7" ht="15.75" thickBot="1">
      <c r="A192" s="3"/>
      <c r="B192" s="3"/>
      <c r="C192" s="4"/>
      <c r="D192" s="4"/>
      <c r="E192" s="4"/>
      <c r="F192" s="17"/>
      <c r="G192" s="22"/>
    </row>
    <row r="193" spans="1:7" ht="15.75" thickBot="1">
      <c r="A193" s="3"/>
      <c r="B193" s="3"/>
      <c r="C193" s="4"/>
      <c r="D193" s="4"/>
      <c r="E193" s="4"/>
      <c r="F193" s="17"/>
      <c r="G193" s="22"/>
    </row>
    <row r="194" spans="1:7" ht="15.75" thickBot="1">
      <c r="A194" s="3"/>
      <c r="B194" s="3"/>
      <c r="C194" s="4"/>
      <c r="D194" s="4"/>
      <c r="E194" s="4"/>
      <c r="F194" s="17"/>
      <c r="G194" s="22"/>
    </row>
    <row r="195" spans="1:7" ht="15.75" thickBot="1">
      <c r="A195" s="3"/>
      <c r="B195" s="3"/>
      <c r="C195" s="4"/>
      <c r="D195" s="4"/>
      <c r="E195" s="4"/>
      <c r="F195" s="17"/>
      <c r="G195" s="22"/>
    </row>
    <row r="196" spans="1:7" ht="15.75" thickBot="1">
      <c r="A196" s="3"/>
      <c r="B196" s="3"/>
      <c r="C196" s="4"/>
      <c r="D196" s="4"/>
      <c r="E196" s="4"/>
      <c r="F196" s="17"/>
      <c r="G196" s="22"/>
    </row>
    <row r="197" spans="1:7" ht="15.75" thickBot="1">
      <c r="A197" s="3"/>
      <c r="B197" s="3"/>
      <c r="C197" s="4"/>
      <c r="D197" s="4"/>
      <c r="E197" s="4"/>
      <c r="F197" s="17"/>
      <c r="G197" s="22"/>
    </row>
    <row r="198" spans="1:7" ht="15.75" thickBot="1">
      <c r="A198" s="3"/>
      <c r="B198" s="3"/>
      <c r="C198" s="4"/>
      <c r="D198" s="4"/>
      <c r="E198" s="4"/>
      <c r="F198" s="17"/>
      <c r="G198" s="22"/>
    </row>
    <row r="199" spans="1:7" ht="15.75" thickBot="1">
      <c r="A199" s="3"/>
      <c r="B199" s="3"/>
      <c r="C199" s="4"/>
      <c r="D199" s="4"/>
      <c r="E199" s="4"/>
      <c r="F199" s="17"/>
      <c r="G199" s="22"/>
    </row>
    <row r="200" spans="1:7" ht="15.75" thickBot="1">
      <c r="A200" s="3"/>
      <c r="B200" s="3"/>
      <c r="C200" s="4"/>
      <c r="D200" s="4"/>
      <c r="E200" s="4"/>
      <c r="F200" s="17"/>
      <c r="G200" s="22"/>
    </row>
    <row r="201" spans="1:7" ht="15.75" thickBot="1">
      <c r="A201" s="3"/>
      <c r="B201" s="3"/>
      <c r="C201" s="4"/>
      <c r="D201" s="4"/>
      <c r="E201" s="4"/>
      <c r="F201" s="17"/>
      <c r="G201" s="22"/>
    </row>
    <row r="202" spans="1:7" ht="15.75" thickBot="1">
      <c r="A202" s="3"/>
      <c r="B202" s="3"/>
      <c r="C202" s="4"/>
      <c r="D202" s="4"/>
      <c r="E202" s="4"/>
      <c r="F202" s="17"/>
      <c r="G202" s="22"/>
    </row>
    <row r="203" spans="1:7" ht="15.75" thickBot="1">
      <c r="A203" s="3"/>
      <c r="B203" s="3"/>
      <c r="C203" s="4"/>
      <c r="D203" s="4"/>
      <c r="E203" s="4"/>
      <c r="F203" s="17"/>
      <c r="G203" s="22"/>
    </row>
    <row r="204" spans="1:7" ht="15.75" thickBot="1">
      <c r="A204" s="3"/>
      <c r="B204" s="3"/>
      <c r="C204" s="4"/>
      <c r="D204" s="4"/>
      <c r="E204" s="4"/>
      <c r="F204" s="17"/>
      <c r="G204" s="22"/>
    </row>
    <row r="205" spans="1:7" ht="15.75" thickBot="1">
      <c r="A205" s="3"/>
      <c r="B205" s="3"/>
      <c r="C205" s="4"/>
      <c r="D205" s="4"/>
      <c r="E205" s="4"/>
      <c r="F205" s="17"/>
      <c r="G205" s="22"/>
    </row>
    <row r="206" spans="1:7" ht="15.75" thickBot="1">
      <c r="A206" s="3"/>
      <c r="B206" s="3"/>
      <c r="C206" s="4"/>
      <c r="D206" s="4"/>
      <c r="E206" s="4"/>
      <c r="F206" s="17"/>
      <c r="G206" s="22"/>
    </row>
    <row r="207" spans="1:7" ht="15.75" thickBot="1">
      <c r="A207" s="3"/>
      <c r="B207" s="3"/>
      <c r="C207" s="4"/>
      <c r="D207" s="4"/>
      <c r="E207" s="4"/>
      <c r="F207" s="17"/>
      <c r="G207" s="22"/>
    </row>
    <row r="208" spans="1:7" ht="15.75" thickBot="1">
      <c r="A208" s="3"/>
      <c r="B208" s="3"/>
      <c r="C208" s="4"/>
      <c r="D208" s="4"/>
      <c r="E208" s="4"/>
      <c r="F208" s="17"/>
      <c r="G208" s="22"/>
    </row>
    <row r="209" spans="1:7" ht="15.75" thickBot="1">
      <c r="A209" s="3"/>
      <c r="B209" s="3"/>
      <c r="C209" s="4"/>
      <c r="D209" s="4"/>
      <c r="E209" s="4"/>
      <c r="F209" s="17"/>
      <c r="G209" s="22"/>
    </row>
    <row r="210" spans="1:7" ht="15.75" thickBot="1">
      <c r="A210" s="3"/>
      <c r="B210" s="3"/>
      <c r="C210" s="4"/>
      <c r="D210" s="4"/>
      <c r="E210" s="4"/>
      <c r="F210" s="17"/>
      <c r="G210" s="22"/>
    </row>
    <row r="211" spans="1:7" ht="15.75" thickBot="1">
      <c r="A211" s="3"/>
      <c r="B211" s="3"/>
      <c r="C211" s="4"/>
      <c r="D211" s="4"/>
      <c r="E211" s="4"/>
      <c r="F211" s="17"/>
      <c r="G211" s="22"/>
    </row>
    <row r="212" spans="1:7" ht="15.75" thickBot="1">
      <c r="A212" s="3"/>
      <c r="B212" s="3"/>
      <c r="C212" s="4"/>
      <c r="D212" s="4"/>
      <c r="E212" s="4"/>
      <c r="F212" s="17"/>
      <c r="G212" s="22"/>
    </row>
    <row r="213" spans="1:7" ht="15.75" thickBot="1">
      <c r="A213" s="3"/>
      <c r="B213" s="3"/>
      <c r="C213" s="4"/>
      <c r="D213" s="4"/>
      <c r="E213" s="4"/>
      <c r="F213" s="17"/>
      <c r="G213" s="22"/>
    </row>
    <row r="214" spans="1:7" ht="15.75" thickBot="1">
      <c r="A214" s="3"/>
      <c r="B214" s="3"/>
      <c r="C214" s="4"/>
      <c r="D214" s="4"/>
      <c r="E214" s="4"/>
      <c r="F214" s="17"/>
      <c r="G214" s="22"/>
    </row>
    <row r="215" spans="1:7" ht="15.75" thickBot="1">
      <c r="A215" s="3"/>
      <c r="B215" s="3"/>
      <c r="C215" s="4"/>
      <c r="D215" s="4"/>
      <c r="E215" s="4"/>
      <c r="F215" s="17"/>
      <c r="G215" s="22"/>
    </row>
    <row r="216" spans="1:7" ht="15.75" thickBot="1">
      <c r="A216" s="3"/>
      <c r="B216" s="3"/>
      <c r="C216" s="4"/>
      <c r="D216" s="4"/>
      <c r="E216" s="4"/>
      <c r="F216" s="17"/>
      <c r="G216" s="22"/>
    </row>
    <row r="217" spans="1:7" ht="15.75" thickBot="1">
      <c r="A217" s="3"/>
      <c r="B217" s="3"/>
      <c r="C217" s="4"/>
      <c r="D217" s="4"/>
      <c r="E217" s="4"/>
      <c r="F217" s="17"/>
      <c r="G217" s="22"/>
    </row>
    <row r="218" spans="1:7" ht="15.75" thickBot="1">
      <c r="A218" s="3"/>
      <c r="B218" s="3"/>
      <c r="C218" s="4"/>
      <c r="D218" s="4"/>
      <c r="E218" s="4"/>
      <c r="F218" s="17"/>
      <c r="G218" s="22"/>
    </row>
    <row r="219" spans="1:7" ht="15.75" thickBot="1">
      <c r="A219" s="3"/>
      <c r="B219" s="3"/>
      <c r="C219" s="4"/>
      <c r="D219" s="4"/>
      <c r="E219" s="4"/>
      <c r="F219" s="17"/>
      <c r="G219" s="22"/>
    </row>
    <row r="220" spans="1:7" ht="15.75" thickBot="1">
      <c r="A220" s="3"/>
      <c r="B220" s="3"/>
      <c r="C220" s="4"/>
      <c r="D220" s="4"/>
      <c r="E220" s="4"/>
      <c r="F220" s="17"/>
      <c r="G220" s="22"/>
    </row>
    <row r="221" spans="1:7" ht="15.75" thickBot="1">
      <c r="A221" s="3"/>
      <c r="B221" s="3"/>
      <c r="C221" s="4"/>
      <c r="D221" s="4"/>
      <c r="E221" s="4"/>
      <c r="F221" s="17"/>
      <c r="G221" s="22"/>
    </row>
    <row r="222" spans="1:7" ht="15.75" thickBot="1">
      <c r="A222" s="3"/>
      <c r="B222" s="3"/>
      <c r="C222" s="4"/>
      <c r="D222" s="4"/>
      <c r="E222" s="4"/>
      <c r="F222" s="17"/>
      <c r="G222" s="22"/>
    </row>
    <row r="223" spans="1:7" ht="15.75" thickBot="1">
      <c r="A223" s="3"/>
      <c r="B223" s="3"/>
      <c r="C223" s="4"/>
      <c r="D223" s="4"/>
      <c r="E223" s="4"/>
      <c r="F223" s="17"/>
      <c r="G223" s="22"/>
    </row>
    <row r="224" spans="1:7" ht="15.75" thickBot="1">
      <c r="A224" s="3"/>
      <c r="B224" s="3"/>
      <c r="C224" s="4"/>
      <c r="D224" s="4"/>
      <c r="E224" s="4"/>
      <c r="F224" s="17"/>
      <c r="G224" s="22"/>
    </row>
    <row r="225" spans="1:7" ht="15.75" thickBot="1">
      <c r="A225" s="3"/>
      <c r="B225" s="3"/>
      <c r="C225" s="4"/>
      <c r="D225" s="4"/>
      <c r="E225" s="4"/>
      <c r="F225" s="17"/>
      <c r="G225" s="22"/>
    </row>
    <row r="226" spans="1:7" ht="15.75" thickBot="1">
      <c r="A226" s="3"/>
      <c r="B226" s="3"/>
      <c r="C226" s="4"/>
      <c r="D226" s="4"/>
      <c r="E226" s="4"/>
      <c r="F226" s="17"/>
      <c r="G226" s="22"/>
    </row>
    <row r="227" spans="1:7" ht="15.75" thickBot="1">
      <c r="A227" s="3"/>
      <c r="B227" s="3"/>
      <c r="C227" s="4"/>
      <c r="D227" s="4"/>
      <c r="E227" s="4"/>
      <c r="F227" s="17"/>
      <c r="G227" s="22"/>
    </row>
    <row r="228" spans="1:7" ht="15.75" thickBot="1">
      <c r="A228" s="3"/>
      <c r="B228" s="3"/>
      <c r="C228" s="4"/>
      <c r="D228" s="4"/>
      <c r="E228" s="4"/>
      <c r="F228" s="17"/>
      <c r="G228" s="22"/>
    </row>
    <row r="229" spans="1:7" ht="15.75" thickBot="1">
      <c r="A229" s="3"/>
      <c r="B229" s="3"/>
      <c r="C229" s="4"/>
      <c r="D229" s="4"/>
      <c r="E229" s="4"/>
      <c r="F229" s="17"/>
      <c r="G229" s="22"/>
    </row>
    <row r="230" spans="1:7" ht="15.75" thickBot="1">
      <c r="A230" s="3"/>
      <c r="B230" s="3"/>
      <c r="C230" s="4"/>
      <c r="D230" s="4"/>
      <c r="E230" s="4"/>
      <c r="F230" s="17"/>
      <c r="G230" s="22"/>
    </row>
    <row r="231" spans="1:7" ht="15.75" thickBot="1">
      <c r="A231" s="3"/>
      <c r="B231" s="3"/>
      <c r="C231" s="4"/>
      <c r="D231" s="4"/>
      <c r="E231" s="4"/>
      <c r="F231" s="17"/>
      <c r="G231" s="22"/>
    </row>
    <row r="232" spans="1:7" ht="15.75" thickBot="1">
      <c r="A232" s="3"/>
      <c r="B232" s="3"/>
      <c r="C232" s="4"/>
      <c r="D232" s="4"/>
      <c r="E232" s="4"/>
      <c r="F232" s="17"/>
      <c r="G232" s="22"/>
    </row>
    <row r="233" spans="1:7" ht="15.75" thickBot="1">
      <c r="A233" s="3"/>
      <c r="B233" s="3"/>
      <c r="C233" s="4"/>
      <c r="D233" s="4"/>
      <c r="E233" s="4"/>
      <c r="F233" s="17"/>
      <c r="G233" s="22"/>
    </row>
    <row r="234" spans="1:7" ht="15.75" thickBot="1">
      <c r="A234" s="3"/>
      <c r="B234" s="3"/>
      <c r="C234" s="4"/>
      <c r="D234" s="4"/>
      <c r="E234" s="4"/>
      <c r="F234" s="17"/>
      <c r="G234" s="22"/>
    </row>
    <row r="235" spans="1:7" ht="15.75" thickBot="1">
      <c r="A235" s="3"/>
      <c r="B235" s="3"/>
      <c r="C235" s="4"/>
      <c r="D235" s="4"/>
      <c r="E235" s="4"/>
      <c r="F235" s="17"/>
      <c r="G235" s="22"/>
    </row>
    <row r="236" spans="1:7" ht="15.75" thickBot="1">
      <c r="A236" s="3"/>
      <c r="B236" s="3"/>
      <c r="C236" s="4"/>
      <c r="D236" s="4"/>
      <c r="E236" s="4"/>
      <c r="F236" s="17"/>
      <c r="G236" s="22"/>
    </row>
    <row r="237" spans="1:7" ht="15.75" thickBot="1">
      <c r="A237" s="3"/>
      <c r="B237" s="3"/>
      <c r="C237" s="4"/>
      <c r="D237" s="4"/>
      <c r="E237" s="4"/>
      <c r="F237" s="17"/>
      <c r="G237" s="22"/>
    </row>
    <row r="238" spans="1:7" ht="15.75" thickBot="1">
      <c r="A238" s="3"/>
      <c r="B238" s="3"/>
      <c r="C238" s="4"/>
      <c r="D238" s="4"/>
      <c r="E238" s="4"/>
      <c r="F238" s="17"/>
      <c r="G238" s="22"/>
    </row>
    <row r="239" spans="1:7" ht="15.75" thickBot="1">
      <c r="A239" s="3"/>
      <c r="B239" s="3"/>
      <c r="C239" s="4"/>
      <c r="D239" s="4"/>
      <c r="E239" s="4"/>
      <c r="F239" s="17"/>
      <c r="G239" s="22"/>
    </row>
    <row r="240" spans="1:7" ht="15.75" thickBot="1">
      <c r="A240" s="3"/>
      <c r="B240" s="3"/>
      <c r="C240" s="4"/>
      <c r="D240" s="4"/>
      <c r="E240" s="4"/>
      <c r="F240" s="17"/>
      <c r="G240" s="22"/>
    </row>
    <row r="241" spans="1:7" ht="15.75" thickBot="1">
      <c r="A241" s="3"/>
      <c r="B241" s="3"/>
      <c r="C241" s="4"/>
      <c r="D241" s="4"/>
      <c r="E241" s="4"/>
      <c r="F241" s="17"/>
      <c r="G241" s="22"/>
    </row>
    <row r="242" spans="1:7" ht="15.75" thickBot="1">
      <c r="A242" s="3"/>
      <c r="B242" s="3"/>
      <c r="C242" s="4"/>
      <c r="D242" s="4"/>
      <c r="E242" s="4"/>
      <c r="F242" s="17"/>
      <c r="G242" s="22"/>
    </row>
    <row r="243" spans="1:7" ht="15.75" thickBot="1">
      <c r="A243" s="3"/>
      <c r="B243" s="3"/>
      <c r="C243" s="4"/>
      <c r="D243" s="4"/>
      <c r="E243" s="4"/>
      <c r="F243" s="17"/>
      <c r="G243" s="22"/>
    </row>
    <row r="244" spans="1:7" ht="15.75" thickBot="1">
      <c r="A244" s="3"/>
      <c r="B244" s="3"/>
      <c r="C244" s="4"/>
      <c r="D244" s="4"/>
      <c r="E244" s="4"/>
      <c r="F244" s="17"/>
      <c r="G244" s="22"/>
    </row>
    <row r="245" spans="1:7" ht="15.75" thickBot="1">
      <c r="A245" s="3"/>
      <c r="B245" s="3"/>
      <c r="C245" s="4"/>
      <c r="D245" s="4"/>
      <c r="E245" s="4"/>
      <c r="F245" s="17"/>
      <c r="G245" s="22"/>
    </row>
    <row r="246" spans="1:7" ht="15.75" thickBot="1">
      <c r="A246" s="3"/>
      <c r="B246" s="3"/>
      <c r="C246" s="4"/>
      <c r="D246" s="4"/>
      <c r="E246" s="4"/>
      <c r="F246" s="17"/>
      <c r="G246" s="22"/>
    </row>
    <row r="247" spans="1:7" ht="15.75" thickBot="1">
      <c r="A247" s="3"/>
      <c r="B247" s="3"/>
      <c r="C247" s="4"/>
      <c r="D247" s="4"/>
      <c r="E247" s="4"/>
      <c r="F247" s="17"/>
      <c r="G247" s="22"/>
    </row>
    <row r="248" spans="1:7" ht="15.75" thickBot="1">
      <c r="A248" s="3"/>
      <c r="B248" s="3"/>
      <c r="C248" s="4"/>
      <c r="D248" s="4"/>
      <c r="E248" s="4"/>
      <c r="F248" s="17"/>
      <c r="G248" s="22"/>
    </row>
    <row r="249" spans="1:7" ht="15.75" thickBot="1">
      <c r="A249" s="3"/>
      <c r="B249" s="3"/>
      <c r="C249" s="4"/>
      <c r="D249" s="4"/>
      <c r="E249" s="4"/>
      <c r="F249" s="17"/>
      <c r="G249" s="22"/>
    </row>
    <row r="250" spans="1:7" ht="15.75" thickBot="1">
      <c r="A250" s="3"/>
      <c r="B250" s="3"/>
      <c r="C250" s="4"/>
      <c r="D250" s="4"/>
      <c r="E250" s="4"/>
      <c r="F250" s="17"/>
      <c r="G250" s="22"/>
    </row>
    <row r="251" spans="1:7" ht="15.75" thickBot="1">
      <c r="A251" s="3"/>
      <c r="B251" s="3"/>
      <c r="C251" s="4"/>
      <c r="D251" s="4"/>
      <c r="E251" s="4"/>
      <c r="F251" s="17"/>
      <c r="G251" s="22"/>
    </row>
    <row r="252" spans="1:7" ht="15.75" thickBot="1">
      <c r="A252" s="3"/>
      <c r="B252" s="3"/>
      <c r="C252" s="4"/>
      <c r="D252" s="4"/>
      <c r="E252" s="4"/>
      <c r="F252" s="17"/>
      <c r="G252" s="22"/>
    </row>
    <row r="253" spans="1:7" ht="15.75" thickBot="1">
      <c r="A253" s="3"/>
      <c r="B253" s="3"/>
      <c r="C253" s="4"/>
      <c r="D253" s="4"/>
      <c r="E253" s="4"/>
      <c r="F253" s="17"/>
      <c r="G253" s="22"/>
    </row>
    <row r="254" spans="1:7" ht="15.75" thickBot="1">
      <c r="A254" s="3"/>
      <c r="B254" s="3"/>
      <c r="C254" s="4"/>
      <c r="D254" s="4"/>
      <c r="E254" s="4"/>
      <c r="F254" s="17"/>
      <c r="G254" s="22"/>
    </row>
    <row r="255" spans="1:7" ht="15.75" thickBot="1">
      <c r="A255" s="3"/>
      <c r="B255" s="3"/>
      <c r="C255" s="4"/>
      <c r="D255" s="4"/>
      <c r="E255" s="4"/>
      <c r="F255" s="17"/>
      <c r="G255" s="22"/>
    </row>
    <row r="256" spans="1:7" ht="15.75" thickBot="1">
      <c r="A256" s="3"/>
      <c r="B256" s="3"/>
      <c r="C256" s="4"/>
      <c r="D256" s="4"/>
      <c r="E256" s="4"/>
      <c r="F256" s="17"/>
      <c r="G256" s="22"/>
    </row>
    <row r="257" spans="1:7" ht="15.75" thickBot="1">
      <c r="A257" s="3"/>
      <c r="B257" s="3"/>
      <c r="C257" s="4"/>
      <c r="D257" s="4"/>
      <c r="E257" s="4"/>
      <c r="F257" s="17"/>
      <c r="G257" s="22"/>
    </row>
    <row r="258" spans="1:7" ht="15.75" thickBot="1">
      <c r="A258" s="3"/>
      <c r="B258" s="3"/>
      <c r="C258" s="4"/>
      <c r="D258" s="4"/>
      <c r="E258" s="4"/>
      <c r="F258" s="17"/>
      <c r="G258" s="22"/>
    </row>
    <row r="259" spans="1:7" ht="15.75" thickBot="1">
      <c r="A259" s="3"/>
      <c r="B259" s="3"/>
      <c r="C259" s="4"/>
      <c r="D259" s="4"/>
      <c r="E259" s="4"/>
      <c r="F259" s="17"/>
      <c r="G259" s="22"/>
    </row>
    <row r="260" spans="1:7" ht="15.75" thickBot="1">
      <c r="A260" s="3"/>
      <c r="B260" s="3"/>
      <c r="C260" s="4"/>
      <c r="D260" s="4"/>
      <c r="E260" s="4"/>
      <c r="F260" s="17"/>
      <c r="G260" s="22"/>
    </row>
    <row r="261" spans="1:7" ht="15.75" thickBot="1">
      <c r="A261" s="3"/>
      <c r="B261" s="3"/>
      <c r="C261" s="4"/>
      <c r="D261" s="4"/>
      <c r="E261" s="4"/>
      <c r="F261" s="17"/>
      <c r="G261" s="22"/>
    </row>
    <row r="262" spans="1:7" ht="15.75" thickBot="1">
      <c r="A262" s="3"/>
      <c r="B262" s="3"/>
      <c r="C262" s="4"/>
      <c r="D262" s="4"/>
      <c r="E262" s="4"/>
      <c r="F262" s="17"/>
      <c r="G262" s="22"/>
    </row>
    <row r="263" spans="1:7" ht="15.75" thickBot="1">
      <c r="A263" s="3"/>
      <c r="B263" s="3"/>
      <c r="C263" s="4"/>
      <c r="D263" s="4"/>
      <c r="E263" s="4"/>
      <c r="F263" s="17"/>
      <c r="G263" s="22"/>
    </row>
    <row r="264" spans="1:7" ht="15.75" thickBot="1">
      <c r="A264" s="3"/>
      <c r="B264" s="3"/>
      <c r="C264" s="4"/>
      <c r="D264" s="4"/>
      <c r="E264" s="4"/>
      <c r="F264" s="17"/>
      <c r="G264" s="22"/>
    </row>
    <row r="265" spans="1:7" ht="15.75" thickBot="1">
      <c r="A265" s="3"/>
      <c r="B265" s="3"/>
      <c r="C265" s="4"/>
      <c r="D265" s="4"/>
      <c r="E265" s="4"/>
      <c r="F265" s="17"/>
      <c r="G265" s="22"/>
    </row>
    <row r="266" spans="1:7" ht="15.75" thickBot="1">
      <c r="A266" s="3"/>
      <c r="B266" s="3"/>
      <c r="C266" s="4"/>
      <c r="D266" s="4"/>
      <c r="E266" s="4"/>
      <c r="F266" s="17"/>
      <c r="G266" s="22"/>
    </row>
    <row r="267" spans="1:7" ht="15.75" thickBot="1">
      <c r="A267" s="3"/>
      <c r="B267" s="3"/>
      <c r="C267" s="4"/>
      <c r="D267" s="4"/>
      <c r="E267" s="4"/>
      <c r="F267" s="17"/>
      <c r="G267" s="22"/>
    </row>
    <row r="268" spans="1:7" ht="15.75" thickBot="1">
      <c r="A268" s="3"/>
      <c r="B268" s="3"/>
      <c r="C268" s="4"/>
      <c r="D268" s="4"/>
      <c r="E268" s="4"/>
      <c r="F268" s="17"/>
      <c r="G268" s="22"/>
    </row>
    <row r="269" spans="1:7" ht="15.75" thickBot="1">
      <c r="A269" s="3"/>
      <c r="B269" s="3"/>
      <c r="C269" s="4"/>
      <c r="D269" s="4"/>
      <c r="E269" s="4"/>
      <c r="F269" s="17"/>
      <c r="G269" s="22"/>
    </row>
    <row r="270" spans="1:7" ht="15.75" thickBot="1">
      <c r="A270" s="3"/>
      <c r="B270" s="3"/>
      <c r="C270" s="4"/>
      <c r="D270" s="4"/>
      <c r="E270" s="4"/>
      <c r="F270" s="17"/>
      <c r="G270" s="22"/>
    </row>
    <row r="271" spans="1:7" ht="15.75" thickBot="1">
      <c r="A271" s="3"/>
      <c r="B271" s="3"/>
      <c r="C271" s="4"/>
      <c r="D271" s="4"/>
      <c r="E271" s="4"/>
      <c r="F271" s="17"/>
      <c r="G271" s="22"/>
    </row>
    <row r="272" spans="1:7" ht="15.75" thickBot="1">
      <c r="A272" s="3"/>
      <c r="B272" s="3"/>
      <c r="C272" s="4"/>
      <c r="D272" s="4"/>
      <c r="E272" s="4"/>
      <c r="F272" s="17"/>
      <c r="G272" s="22"/>
    </row>
    <row r="273" spans="1:7" ht="15.75" thickBot="1">
      <c r="A273" s="3"/>
      <c r="B273" s="3"/>
      <c r="C273" s="4"/>
      <c r="D273" s="4"/>
      <c r="E273" s="4"/>
      <c r="F273" s="17"/>
      <c r="G273" s="22"/>
    </row>
    <row r="274" spans="1:7" ht="15.75" thickBot="1">
      <c r="A274" s="3"/>
      <c r="B274" s="3"/>
      <c r="C274" s="4"/>
      <c r="D274" s="4"/>
      <c r="E274" s="4"/>
      <c r="F274" s="17"/>
      <c r="G274" s="22"/>
    </row>
    <row r="275" spans="1:7" ht="15.75" thickBot="1">
      <c r="A275" s="3"/>
      <c r="B275" s="3"/>
      <c r="C275" s="4"/>
      <c r="D275" s="4"/>
      <c r="E275" s="4"/>
      <c r="F275" s="17"/>
      <c r="G275" s="22"/>
    </row>
    <row r="276" spans="1:7" ht="15.75" thickBot="1">
      <c r="A276" s="3"/>
      <c r="B276" s="3"/>
      <c r="C276" s="4"/>
      <c r="D276" s="4"/>
      <c r="E276" s="4"/>
      <c r="F276" s="17"/>
      <c r="G276" s="22"/>
    </row>
    <row r="277" spans="1:7" ht="15.75" thickBot="1">
      <c r="A277" s="3"/>
      <c r="B277" s="3"/>
      <c r="C277" s="4"/>
      <c r="D277" s="4"/>
      <c r="E277" s="4"/>
      <c r="F277" s="17"/>
      <c r="G277" s="22"/>
    </row>
    <row r="278" spans="1:7" ht="15.75" thickBot="1">
      <c r="A278" s="3"/>
      <c r="B278" s="3"/>
      <c r="C278" s="4"/>
      <c r="D278" s="4"/>
      <c r="E278" s="4"/>
      <c r="F278" s="17"/>
      <c r="G278" s="22"/>
    </row>
    <row r="279" spans="1:7" ht="15.75" thickBot="1">
      <c r="A279" s="3"/>
      <c r="B279" s="3"/>
      <c r="C279" s="4"/>
      <c r="D279" s="4"/>
      <c r="E279" s="4"/>
      <c r="F279" s="17"/>
      <c r="G279" s="22"/>
    </row>
    <row r="280" spans="1:7" ht="15.75" thickBot="1">
      <c r="A280" s="3"/>
      <c r="B280" s="3"/>
      <c r="C280" s="4"/>
      <c r="D280" s="4"/>
      <c r="E280" s="4"/>
      <c r="F280" s="17"/>
      <c r="G280" s="22"/>
    </row>
    <row r="281" spans="1:7" ht="15.75" thickBot="1">
      <c r="A281" s="3"/>
      <c r="B281" s="3"/>
      <c r="C281" s="4"/>
      <c r="D281" s="4"/>
      <c r="E281" s="4"/>
      <c r="F281" s="17"/>
      <c r="G281" s="22"/>
    </row>
    <row r="282" spans="1:7" ht="15.75" thickBot="1">
      <c r="A282" s="3"/>
      <c r="B282" s="3"/>
      <c r="C282" s="4"/>
      <c r="D282" s="4"/>
      <c r="E282" s="4"/>
      <c r="F282" s="17"/>
      <c r="G282" s="22"/>
    </row>
    <row r="283" spans="1:7" ht="15.75" thickBot="1">
      <c r="A283" s="3"/>
      <c r="B283" s="3"/>
      <c r="C283" s="4"/>
      <c r="D283" s="4"/>
      <c r="E283" s="4"/>
      <c r="F283" s="17"/>
      <c r="G283" s="22"/>
    </row>
    <row r="284" spans="1:7" ht="15.75" thickBot="1">
      <c r="A284" s="3"/>
      <c r="B284" s="3"/>
      <c r="C284" s="4"/>
      <c r="D284" s="4"/>
      <c r="E284" s="4"/>
      <c r="F284" s="17"/>
      <c r="G284" s="22"/>
    </row>
    <row r="285" spans="1:7" ht="15.75" thickBot="1">
      <c r="A285" s="3"/>
      <c r="B285" s="3"/>
      <c r="C285" s="4"/>
      <c r="D285" s="4"/>
      <c r="E285" s="4"/>
      <c r="F285" s="17"/>
      <c r="G285" s="22"/>
    </row>
    <row r="286" spans="1:7" ht="15.75" thickBot="1">
      <c r="A286" s="3"/>
      <c r="B286" s="3"/>
      <c r="C286" s="4"/>
      <c r="D286" s="4"/>
      <c r="E286" s="4"/>
      <c r="F286" s="17"/>
      <c r="G286" s="22"/>
    </row>
    <row r="287" spans="1:7" ht="15.75" thickBot="1">
      <c r="A287" s="3"/>
      <c r="B287" s="3"/>
      <c r="C287" s="4"/>
      <c r="D287" s="4"/>
      <c r="E287" s="4"/>
      <c r="F287" s="17"/>
      <c r="G287" s="22"/>
    </row>
    <row r="288" spans="1:7" ht="15.75" thickBot="1">
      <c r="A288" s="3"/>
      <c r="B288" s="3"/>
      <c r="C288" s="4"/>
      <c r="D288" s="4"/>
      <c r="E288" s="4"/>
      <c r="F288" s="17"/>
      <c r="G288" s="22"/>
    </row>
    <row r="289" spans="1:7" ht="15.75" thickBot="1">
      <c r="A289" s="3"/>
      <c r="B289" s="3"/>
      <c r="C289" s="4"/>
      <c r="D289" s="4"/>
      <c r="E289" s="4"/>
      <c r="F289" s="17"/>
      <c r="G289" s="22"/>
    </row>
    <row r="290" spans="1:7" ht="15.75" thickBot="1">
      <c r="A290" s="3"/>
      <c r="B290" s="3"/>
      <c r="C290" s="4"/>
      <c r="D290" s="4"/>
      <c r="E290" s="4"/>
      <c r="F290" s="17"/>
      <c r="G290" s="22"/>
    </row>
    <row r="291" spans="1:7" ht="15.75" thickBot="1">
      <c r="A291" s="3"/>
      <c r="B291" s="3"/>
      <c r="C291" s="4"/>
      <c r="D291" s="4"/>
      <c r="E291" s="4"/>
      <c r="F291" s="17"/>
      <c r="G291" s="22"/>
    </row>
    <row r="292" spans="1:7" ht="15.75" thickBot="1">
      <c r="A292" s="3"/>
      <c r="B292" s="3"/>
      <c r="C292" s="4"/>
      <c r="D292" s="4"/>
      <c r="E292" s="4"/>
      <c r="F292" s="17"/>
      <c r="G292" s="22"/>
    </row>
    <row r="293" spans="1:7" ht="15.75" thickBot="1">
      <c r="A293" s="3"/>
      <c r="B293" s="3"/>
      <c r="C293" s="4"/>
      <c r="D293" s="4"/>
      <c r="E293" s="4"/>
      <c r="F293" s="17"/>
      <c r="G293" s="22"/>
    </row>
    <row r="294" spans="1:7" ht="15.75" thickBot="1">
      <c r="A294" s="3"/>
      <c r="B294" s="3"/>
      <c r="C294" s="4"/>
      <c r="D294" s="4"/>
      <c r="E294" s="4"/>
      <c r="F294" s="17"/>
      <c r="G294" s="22"/>
    </row>
    <row r="295" spans="1:7" ht="15.75" thickBot="1">
      <c r="A295" s="3"/>
      <c r="B295" s="3"/>
      <c r="C295" s="4"/>
      <c r="D295" s="4"/>
      <c r="E295" s="4"/>
      <c r="F295" s="17"/>
      <c r="G295" s="22"/>
    </row>
    <row r="296" spans="1:7" ht="15.75" thickBot="1">
      <c r="A296" s="3"/>
      <c r="B296" s="3"/>
      <c r="C296" s="4"/>
      <c r="D296" s="4"/>
      <c r="E296" s="4"/>
      <c r="F296" s="17"/>
      <c r="G296" s="22"/>
    </row>
    <row r="297" spans="1:7" ht="15.75" thickBot="1">
      <c r="A297" s="3"/>
      <c r="B297" s="3"/>
      <c r="C297" s="4"/>
      <c r="D297" s="4"/>
      <c r="E297" s="4"/>
      <c r="F297" s="17"/>
      <c r="G297" s="22"/>
    </row>
    <row r="298" spans="1:7" ht="15.75" thickBot="1">
      <c r="A298" s="3"/>
      <c r="B298" s="3"/>
      <c r="C298" s="4"/>
      <c r="D298" s="4"/>
      <c r="E298" s="4"/>
      <c r="F298" s="17"/>
      <c r="G298" s="22"/>
    </row>
    <row r="299" spans="1:7" ht="15.75" thickBot="1">
      <c r="A299" s="3"/>
      <c r="B299" s="3"/>
      <c r="C299" s="4"/>
      <c r="D299" s="4"/>
      <c r="E299" s="4"/>
      <c r="F299" s="17"/>
      <c r="G299" s="22"/>
    </row>
    <row r="300" spans="1:7" ht="15.75" thickBot="1">
      <c r="A300" s="3"/>
      <c r="B300" s="3"/>
      <c r="C300" s="4"/>
      <c r="D300" s="4"/>
      <c r="E300" s="4"/>
      <c r="F300" s="17"/>
      <c r="G300" s="22"/>
    </row>
    <row r="301" spans="1:7" ht="15.75" thickBot="1">
      <c r="A301" s="3"/>
      <c r="B301" s="3"/>
      <c r="C301" s="4"/>
      <c r="D301" s="4"/>
      <c r="E301" s="4"/>
      <c r="F301" s="17"/>
      <c r="G301" s="22"/>
    </row>
    <row r="302" spans="1:7" ht="15.75" thickBot="1">
      <c r="A302" s="3"/>
      <c r="B302" s="3"/>
      <c r="C302" s="4"/>
      <c r="D302" s="4"/>
      <c r="E302" s="4"/>
      <c r="F302" s="17"/>
      <c r="G302" s="22"/>
    </row>
    <row r="303" spans="1:7" ht="15.75" thickBot="1">
      <c r="A303" s="3"/>
      <c r="B303" s="3"/>
      <c r="C303" s="4"/>
      <c r="D303" s="4"/>
      <c r="E303" s="4"/>
      <c r="F303" s="17"/>
      <c r="G303" s="22"/>
    </row>
    <row r="304" spans="1:7" ht="15.75" thickBot="1">
      <c r="A304" s="3"/>
      <c r="B304" s="3"/>
      <c r="C304" s="4"/>
      <c r="D304" s="4"/>
      <c r="E304" s="4"/>
      <c r="F304" s="17"/>
      <c r="G304" s="22"/>
    </row>
    <row r="305" spans="1:7" ht="15.75" thickBot="1">
      <c r="A305" s="3"/>
      <c r="B305" s="3"/>
      <c r="C305" s="4"/>
      <c r="D305" s="4"/>
      <c r="E305" s="4"/>
      <c r="F305" s="17"/>
      <c r="G305" s="22"/>
    </row>
    <row r="306" spans="1:7" ht="15.75" thickBot="1">
      <c r="A306" s="3"/>
      <c r="B306" s="3"/>
      <c r="C306" s="4"/>
      <c r="D306" s="4"/>
      <c r="E306" s="4"/>
      <c r="F306" s="17"/>
      <c r="G306" s="22"/>
    </row>
    <row r="307" spans="1:7" ht="15.75" thickBot="1">
      <c r="A307" s="3"/>
      <c r="B307" s="3"/>
      <c r="C307" s="4"/>
      <c r="D307" s="4"/>
      <c r="E307" s="4"/>
      <c r="F307" s="17"/>
      <c r="G307" s="22"/>
    </row>
    <row r="308" spans="1:7" ht="15.75" thickBot="1">
      <c r="A308" s="3"/>
      <c r="B308" s="3"/>
      <c r="C308" s="4"/>
      <c r="D308" s="4"/>
      <c r="E308" s="4"/>
      <c r="F308" s="17"/>
      <c r="G308" s="22"/>
    </row>
    <row r="309" spans="1:7" ht="15.75" thickBot="1">
      <c r="A309" s="3"/>
      <c r="B309" s="3"/>
      <c r="C309" s="4"/>
      <c r="D309" s="4"/>
      <c r="E309" s="4"/>
      <c r="F309" s="17"/>
      <c r="G309" s="22"/>
    </row>
    <row r="310" spans="1:7" ht="15.75" thickBot="1">
      <c r="A310" s="3"/>
      <c r="B310" s="3"/>
      <c r="C310" s="4"/>
      <c r="D310" s="4"/>
      <c r="E310" s="4"/>
      <c r="F310" s="17"/>
      <c r="G310" s="22"/>
    </row>
    <row r="311" spans="1:7" ht="15.75" thickBot="1">
      <c r="A311" s="3"/>
      <c r="B311" s="3"/>
      <c r="C311" s="4"/>
      <c r="D311" s="4"/>
      <c r="E311" s="4"/>
      <c r="F311" s="17"/>
      <c r="G311" s="22"/>
    </row>
    <row r="312" spans="1:7" ht="15.75" thickBot="1">
      <c r="A312" s="3"/>
      <c r="B312" s="3"/>
      <c r="C312" s="4"/>
      <c r="D312" s="4"/>
      <c r="E312" s="4"/>
      <c r="F312" s="17"/>
      <c r="G312" s="22"/>
    </row>
    <row r="313" spans="1:7" ht="15.75" thickBot="1">
      <c r="A313" s="3"/>
      <c r="B313" s="3"/>
      <c r="C313" s="4"/>
      <c r="D313" s="4"/>
      <c r="E313" s="4"/>
      <c r="F313" s="17"/>
      <c r="G313" s="22"/>
    </row>
    <row r="314" spans="1:7" ht="15.75" thickBot="1">
      <c r="A314" s="3"/>
      <c r="B314" s="3"/>
      <c r="C314" s="4"/>
      <c r="D314" s="4"/>
      <c r="E314" s="4"/>
      <c r="F314" s="17"/>
      <c r="G314" s="22"/>
    </row>
    <row r="315" spans="1:7" ht="15.75" thickBot="1">
      <c r="A315" s="3"/>
      <c r="B315" s="3"/>
      <c r="C315" s="4"/>
      <c r="D315" s="4"/>
      <c r="E315" s="4"/>
      <c r="F315" s="17"/>
      <c r="G315" s="22"/>
    </row>
    <row r="316" spans="1:7" ht="15.75" thickBot="1">
      <c r="A316" s="3"/>
      <c r="B316" s="3"/>
      <c r="C316" s="4"/>
      <c r="D316" s="4"/>
      <c r="E316" s="4"/>
      <c r="F316" s="17"/>
      <c r="G316" s="22"/>
    </row>
    <row r="317" spans="1:7" ht="15.75" thickBot="1">
      <c r="A317" s="3"/>
      <c r="B317" s="3"/>
      <c r="C317" s="4"/>
      <c r="D317" s="4"/>
      <c r="E317" s="4"/>
      <c r="F317" s="17"/>
      <c r="G317" s="22"/>
    </row>
    <row r="318" spans="1:7" ht="15.75" thickBot="1">
      <c r="A318" s="3"/>
      <c r="B318" s="3"/>
      <c r="C318" s="4"/>
      <c r="D318" s="4"/>
      <c r="E318" s="4"/>
      <c r="F318" s="17"/>
      <c r="G318" s="22"/>
    </row>
    <row r="319" spans="1:7" ht="15.75" thickBot="1">
      <c r="A319" s="3"/>
      <c r="B319" s="3"/>
      <c r="C319" s="4"/>
      <c r="D319" s="4"/>
      <c r="E319" s="4"/>
      <c r="F319" s="17"/>
      <c r="G319" s="22"/>
    </row>
    <row r="320" spans="1:7" ht="15.75" thickBot="1">
      <c r="A320" s="3"/>
      <c r="B320" s="3"/>
      <c r="C320" s="4"/>
      <c r="D320" s="4"/>
      <c r="E320" s="4"/>
      <c r="F320" s="17"/>
      <c r="G320" s="22"/>
    </row>
    <row r="321" spans="1:7" ht="15.75" thickBot="1">
      <c r="A321" s="3"/>
      <c r="B321" s="3"/>
      <c r="C321" s="4"/>
      <c r="D321" s="4"/>
      <c r="E321" s="4"/>
      <c r="F321" s="17"/>
      <c r="G321" s="22"/>
    </row>
    <row r="322" spans="1:7" ht="15.75" thickBot="1">
      <c r="A322" s="3"/>
      <c r="B322" s="3"/>
      <c r="C322" s="4"/>
      <c r="D322" s="4"/>
      <c r="E322" s="4"/>
      <c r="F322" s="17"/>
      <c r="G322" s="22"/>
    </row>
    <row r="323" spans="1:7" ht="15.75" thickBot="1">
      <c r="A323" s="3"/>
      <c r="B323" s="3"/>
      <c r="C323" s="4"/>
      <c r="D323" s="4"/>
      <c r="E323" s="4"/>
      <c r="F323" s="17"/>
      <c r="G323" s="22"/>
    </row>
    <row r="324" spans="1:7" ht="15.75" thickBot="1">
      <c r="A324" s="3"/>
      <c r="B324" s="3"/>
      <c r="C324" s="4"/>
      <c r="D324" s="4"/>
      <c r="E324" s="4"/>
      <c r="F324" s="17"/>
      <c r="G324" s="22"/>
    </row>
    <row r="325" spans="1:7" ht="15.75" thickBot="1">
      <c r="A325" s="3"/>
      <c r="B325" s="3"/>
      <c r="C325" s="4"/>
      <c r="D325" s="4"/>
      <c r="E325" s="4"/>
      <c r="F325" s="17"/>
      <c r="G325" s="22"/>
    </row>
    <row r="326" spans="1:7" ht="15.75" thickBot="1">
      <c r="A326" s="3"/>
      <c r="B326" s="3"/>
      <c r="C326" s="4"/>
      <c r="D326" s="4"/>
      <c r="E326" s="4"/>
      <c r="F326" s="17"/>
      <c r="G326" s="22"/>
    </row>
    <row r="327" spans="1:7" ht="15.75" thickBot="1">
      <c r="A327" s="3"/>
      <c r="B327" s="3"/>
      <c r="C327" s="4"/>
      <c r="D327" s="4"/>
      <c r="E327" s="4"/>
      <c r="F327" s="17"/>
      <c r="G327" s="22"/>
    </row>
    <row r="328" spans="1:7" ht="15.75" thickBot="1">
      <c r="A328" s="3"/>
      <c r="B328" s="3"/>
      <c r="C328" s="4"/>
      <c r="D328" s="4"/>
      <c r="E328" s="4"/>
      <c r="F328" s="17"/>
      <c r="G328" s="22"/>
    </row>
    <row r="329" spans="1:7" ht="15.75" thickBot="1">
      <c r="A329" s="3"/>
      <c r="B329" s="3"/>
      <c r="C329" s="4"/>
      <c r="D329" s="4"/>
      <c r="E329" s="4"/>
      <c r="F329" s="17"/>
      <c r="G329" s="22"/>
    </row>
    <row r="330" spans="1:7" ht="15.75" thickBot="1">
      <c r="A330" s="3"/>
      <c r="B330" s="3"/>
      <c r="C330" s="4"/>
      <c r="D330" s="4"/>
      <c r="E330" s="4"/>
      <c r="F330" s="17"/>
      <c r="G330" s="22"/>
    </row>
    <row r="331" spans="1:7" ht="15.75" thickBot="1">
      <c r="A331" s="3"/>
      <c r="B331" s="3"/>
      <c r="C331" s="4"/>
      <c r="D331" s="4"/>
      <c r="E331" s="4"/>
      <c r="F331" s="17"/>
      <c r="G331" s="22"/>
    </row>
    <row r="332" spans="1:7" ht="15.75" thickBot="1">
      <c r="A332" s="3"/>
      <c r="B332" s="3"/>
      <c r="C332" s="4"/>
      <c r="D332" s="4"/>
      <c r="E332" s="4"/>
      <c r="F332" s="17"/>
      <c r="G332" s="22"/>
    </row>
    <row r="333" spans="1:7" ht="15.75" thickBot="1">
      <c r="A333" s="3"/>
      <c r="B333" s="3"/>
      <c r="C333" s="4"/>
      <c r="D333" s="4"/>
      <c r="E333" s="4"/>
      <c r="F333" s="17"/>
      <c r="G333" s="22"/>
    </row>
    <row r="334" spans="1:7" ht="15.75" thickBot="1">
      <c r="A334" s="3"/>
      <c r="B334" s="3"/>
      <c r="C334" s="4"/>
      <c r="D334" s="4"/>
      <c r="E334" s="4"/>
      <c r="F334" s="17"/>
      <c r="G334" s="22"/>
    </row>
    <row r="335" spans="1:7" ht="15.75" thickBot="1">
      <c r="A335" s="3"/>
      <c r="B335" s="3"/>
      <c r="C335" s="4"/>
      <c r="D335" s="4"/>
      <c r="E335" s="4"/>
      <c r="F335" s="17"/>
      <c r="G335" s="22"/>
    </row>
    <row r="336" spans="1:7" ht="15.75" thickBot="1">
      <c r="A336" s="3"/>
      <c r="B336" s="3"/>
      <c r="C336" s="4"/>
      <c r="D336" s="4"/>
      <c r="E336" s="4"/>
      <c r="F336" s="17"/>
      <c r="G336" s="22"/>
    </row>
    <row r="337" spans="1:7" ht="15.75" thickBot="1">
      <c r="A337" s="3"/>
      <c r="B337" s="3"/>
      <c r="C337" s="4"/>
      <c r="D337" s="4"/>
      <c r="E337" s="4"/>
      <c r="F337" s="17"/>
      <c r="G337" s="22"/>
    </row>
    <row r="338" spans="1:7" ht="15.75" thickBot="1">
      <c r="A338" s="3"/>
      <c r="B338" s="3"/>
      <c r="C338" s="4"/>
      <c r="D338" s="4"/>
      <c r="E338" s="4"/>
      <c r="F338" s="17"/>
      <c r="G338" s="22"/>
    </row>
    <row r="339" spans="1:7" ht="15.75" thickBot="1">
      <c r="A339" s="3"/>
      <c r="B339" s="3"/>
      <c r="C339" s="4"/>
      <c r="D339" s="4"/>
      <c r="E339" s="4"/>
      <c r="F339" s="17"/>
      <c r="G339" s="22"/>
    </row>
    <row r="340" spans="1:7" ht="15.75" thickBot="1">
      <c r="A340" s="3"/>
      <c r="B340" s="3"/>
      <c r="C340" s="4"/>
      <c r="D340" s="4"/>
      <c r="E340" s="4"/>
      <c r="F340" s="17"/>
      <c r="G340" s="22"/>
    </row>
    <row r="341" spans="1:7" ht="15.75" thickBot="1">
      <c r="A341" s="3"/>
      <c r="B341" s="3"/>
      <c r="C341" s="4"/>
      <c r="D341" s="4"/>
      <c r="E341" s="4"/>
      <c r="F341" s="17"/>
      <c r="G341" s="22"/>
    </row>
    <row r="342" spans="1:7" ht="15.75" thickBot="1">
      <c r="A342" s="3"/>
      <c r="B342" s="3"/>
      <c r="C342" s="4"/>
      <c r="D342" s="4"/>
      <c r="E342" s="4"/>
      <c r="F342" s="17"/>
      <c r="G342" s="22"/>
    </row>
    <row r="343" spans="1:7" ht="15.75" thickBot="1">
      <c r="A343" s="3"/>
      <c r="B343" s="3"/>
      <c r="C343" s="4"/>
      <c r="D343" s="4"/>
      <c r="E343" s="4"/>
      <c r="F343" s="17"/>
      <c r="G343" s="22"/>
    </row>
    <row r="344" spans="1:7" ht="15.75" thickBot="1">
      <c r="A344" s="3"/>
      <c r="B344" s="3"/>
      <c r="C344" s="4"/>
      <c r="D344" s="4"/>
      <c r="E344" s="4"/>
      <c r="F344" s="17"/>
      <c r="G344" s="22"/>
    </row>
    <row r="345" spans="1:7" ht="15.75" thickBot="1">
      <c r="A345" s="3"/>
      <c r="B345" s="3"/>
      <c r="C345" s="4"/>
      <c r="D345" s="4"/>
      <c r="E345" s="4"/>
      <c r="F345" s="17"/>
      <c r="G345" s="22"/>
    </row>
    <row r="346" spans="1:7" ht="15.75" thickBot="1">
      <c r="A346" s="3"/>
      <c r="B346" s="3"/>
      <c r="C346" s="4"/>
      <c r="D346" s="4"/>
      <c r="E346" s="4"/>
      <c r="F346" s="17"/>
      <c r="G346" s="22"/>
    </row>
    <row r="347" spans="1:7" ht="15.75" thickBot="1">
      <c r="A347" s="3"/>
      <c r="B347" s="3"/>
      <c r="C347" s="4"/>
      <c r="D347" s="4"/>
      <c r="E347" s="4"/>
      <c r="F347" s="17"/>
      <c r="G347" s="22"/>
    </row>
    <row r="348" spans="1:7" ht="15.75" thickBot="1">
      <c r="A348" s="3"/>
      <c r="B348" s="3"/>
      <c r="C348" s="4"/>
      <c r="D348" s="4"/>
      <c r="E348" s="4"/>
      <c r="F348" s="17"/>
      <c r="G348" s="22"/>
    </row>
    <row r="349" spans="1:7" ht="15.75" thickBot="1">
      <c r="A349" s="3"/>
      <c r="B349" s="3"/>
      <c r="C349" s="4"/>
      <c r="D349" s="4"/>
      <c r="E349" s="4"/>
      <c r="F349" s="17"/>
      <c r="G349" s="22"/>
    </row>
    <row r="350" spans="1:7" ht="15.75" thickBot="1">
      <c r="A350" s="3"/>
      <c r="B350" s="3"/>
      <c r="C350" s="4"/>
      <c r="D350" s="4"/>
      <c r="E350" s="4"/>
      <c r="F350" s="17"/>
      <c r="G350" s="22"/>
    </row>
    <row r="351" spans="1:7" ht="15.75" thickBot="1">
      <c r="A351" s="3"/>
      <c r="B351" s="3"/>
      <c r="C351" s="4"/>
      <c r="D351" s="4"/>
      <c r="E351" s="4"/>
      <c r="F351" s="17"/>
      <c r="G351" s="22"/>
    </row>
    <row r="352" spans="1:7" ht="15.75" thickBot="1">
      <c r="A352" s="3"/>
      <c r="B352" s="3"/>
      <c r="C352" s="4"/>
      <c r="D352" s="4"/>
      <c r="E352" s="4"/>
      <c r="F352" s="17"/>
      <c r="G352" s="22"/>
    </row>
    <row r="353" spans="1:7" ht="15.75" thickBot="1">
      <c r="A353" s="3"/>
      <c r="B353" s="3"/>
      <c r="C353" s="4"/>
      <c r="D353" s="4"/>
      <c r="E353" s="4"/>
      <c r="F353" s="17"/>
      <c r="G353" s="22"/>
    </row>
    <row r="354" spans="1:7" ht="15.75" thickBot="1">
      <c r="A354" s="3"/>
      <c r="B354" s="3"/>
      <c r="C354" s="4"/>
      <c r="D354" s="4"/>
      <c r="E354" s="4"/>
      <c r="F354" s="17"/>
      <c r="G354" s="22"/>
    </row>
    <row r="355" spans="1:7" ht="15.75" thickBot="1">
      <c r="A355" s="3"/>
      <c r="B355" s="3"/>
      <c r="C355" s="4"/>
      <c r="D355" s="4"/>
      <c r="E355" s="4"/>
      <c r="F355" s="17"/>
      <c r="G355" s="22"/>
    </row>
    <row r="356" spans="1:7" ht="15.75" thickBot="1">
      <c r="A356" s="3"/>
      <c r="B356" s="3"/>
      <c r="C356" s="4"/>
      <c r="D356" s="4"/>
      <c r="E356" s="4"/>
      <c r="F356" s="17"/>
      <c r="G356" s="22"/>
    </row>
    <row r="357" spans="1:7" ht="15.75" thickBot="1">
      <c r="A357" s="3"/>
      <c r="B357" s="3"/>
      <c r="C357" s="4"/>
      <c r="D357" s="4"/>
      <c r="E357" s="4"/>
      <c r="F357" s="17"/>
      <c r="G357" s="22"/>
    </row>
    <row r="358" spans="1:7" ht="15.75" thickBot="1">
      <c r="A358" s="3"/>
      <c r="B358" s="3"/>
      <c r="C358" s="4"/>
      <c r="D358" s="4"/>
      <c r="E358" s="4"/>
      <c r="F358" s="17"/>
      <c r="G358" s="22"/>
    </row>
    <row r="359" spans="1:7" ht="15.75" thickBot="1">
      <c r="A359" s="3"/>
      <c r="B359" s="3"/>
      <c r="C359" s="4"/>
      <c r="D359" s="4"/>
      <c r="E359" s="4"/>
      <c r="F359" s="17"/>
      <c r="G359" s="22"/>
    </row>
    <row r="360" spans="1:7" ht="15.75" thickBot="1">
      <c r="A360" s="3"/>
      <c r="B360" s="3"/>
      <c r="C360" s="4"/>
      <c r="D360" s="4"/>
      <c r="E360" s="4"/>
      <c r="F360" s="17"/>
      <c r="G360" s="22"/>
    </row>
    <row r="361" spans="1:7" ht="15.75" thickBot="1">
      <c r="A361" s="3"/>
      <c r="B361" s="3"/>
      <c r="C361" s="4"/>
      <c r="D361" s="4"/>
      <c r="E361" s="4"/>
      <c r="F361" s="17"/>
      <c r="G361" s="22"/>
    </row>
    <row r="362" spans="1:7" ht="15.75" thickBot="1">
      <c r="A362" s="3"/>
      <c r="B362" s="3"/>
      <c r="C362" s="4"/>
      <c r="D362" s="4"/>
      <c r="E362" s="4"/>
      <c r="F362" s="17"/>
      <c r="G362" s="22"/>
    </row>
    <row r="363" spans="1:7" ht="15.75" thickBot="1">
      <c r="A363" s="3"/>
      <c r="B363" s="3"/>
      <c r="C363" s="4"/>
      <c r="D363" s="4"/>
      <c r="E363" s="4"/>
      <c r="F363" s="17"/>
      <c r="G363" s="22"/>
    </row>
    <row r="364" spans="1:7" ht="15.75" thickBot="1">
      <c r="A364" s="3"/>
      <c r="B364" s="3"/>
      <c r="C364" s="4"/>
      <c r="D364" s="4"/>
      <c r="E364" s="4"/>
      <c r="F364" s="17"/>
      <c r="G364" s="22"/>
    </row>
    <row r="365" spans="1:7" ht="15.75" thickBot="1">
      <c r="A365" s="3"/>
      <c r="B365" s="3"/>
      <c r="C365" s="4"/>
      <c r="D365" s="4"/>
      <c r="E365" s="4"/>
      <c r="F365" s="17"/>
      <c r="G365" s="22"/>
    </row>
    <row r="366" spans="1:7" ht="15.75" thickBot="1">
      <c r="A366" s="3"/>
      <c r="B366" s="3"/>
      <c r="C366" s="4"/>
      <c r="D366" s="4"/>
      <c r="E366" s="4"/>
      <c r="F366" s="17"/>
      <c r="G366" s="22"/>
    </row>
    <row r="367" spans="1:7" ht="15.75" thickBot="1">
      <c r="A367" s="3"/>
      <c r="B367" s="3"/>
      <c r="C367" s="4"/>
      <c r="D367" s="4"/>
      <c r="E367" s="4"/>
      <c r="F367" s="17"/>
      <c r="G367" s="22"/>
    </row>
    <row r="368" spans="1:7" ht="15.75" thickBot="1">
      <c r="A368" s="3"/>
      <c r="B368" s="3"/>
      <c r="C368" s="4"/>
      <c r="D368" s="4"/>
      <c r="E368" s="4"/>
      <c r="F368" s="17"/>
      <c r="G368" s="22"/>
    </row>
    <row r="369" spans="1:7" ht="15.75" thickBot="1">
      <c r="A369" s="3"/>
      <c r="B369" s="3"/>
      <c r="C369" s="4"/>
      <c r="D369" s="4"/>
      <c r="E369" s="4"/>
      <c r="F369" s="17"/>
      <c r="G369" s="22"/>
    </row>
    <row r="370" spans="1:7" ht="15.75" thickBot="1">
      <c r="A370" s="3"/>
      <c r="B370" s="3"/>
      <c r="C370" s="4"/>
      <c r="D370" s="4"/>
      <c r="E370" s="4"/>
      <c r="F370" s="17"/>
      <c r="G370" s="22"/>
    </row>
    <row r="371" spans="1:7" ht="15.75" thickBot="1">
      <c r="A371" s="3"/>
      <c r="B371" s="3"/>
      <c r="C371" s="4"/>
      <c r="D371" s="4"/>
      <c r="E371" s="4"/>
      <c r="F371" s="17"/>
      <c r="G371" s="22"/>
    </row>
    <row r="372" spans="1:7" ht="15.75" thickBot="1">
      <c r="A372" s="3"/>
      <c r="B372" s="3"/>
      <c r="C372" s="4"/>
      <c r="D372" s="4"/>
      <c r="E372" s="4"/>
      <c r="F372" s="17"/>
      <c r="G372" s="22"/>
    </row>
    <row r="373" spans="1:7" ht="15.75" thickBot="1">
      <c r="A373" s="3"/>
      <c r="B373" s="3"/>
      <c r="C373" s="4"/>
      <c r="D373" s="4"/>
      <c r="E373" s="4"/>
      <c r="F373" s="17"/>
      <c r="G373" s="22"/>
    </row>
    <row r="374" spans="1:7" ht="15.75" thickBot="1">
      <c r="A374" s="3"/>
      <c r="B374" s="3"/>
      <c r="C374" s="4"/>
      <c r="D374" s="4"/>
      <c r="E374" s="4"/>
      <c r="F374" s="17"/>
      <c r="G374" s="22"/>
    </row>
    <row r="375" spans="1:7" ht="15.75" thickBot="1">
      <c r="A375" s="3"/>
      <c r="B375" s="3"/>
      <c r="C375" s="4"/>
      <c r="D375" s="4"/>
      <c r="E375" s="4"/>
      <c r="F375" s="17"/>
      <c r="G375" s="22"/>
    </row>
    <row r="376" spans="1:7" ht="15.75" thickBot="1">
      <c r="A376" s="3"/>
      <c r="B376" s="3"/>
      <c r="C376" s="4"/>
      <c r="D376" s="4"/>
      <c r="E376" s="4"/>
      <c r="F376" s="17"/>
      <c r="G376" s="22"/>
    </row>
    <row r="377" spans="1:7" ht="15.75" thickBot="1">
      <c r="A377" s="3"/>
      <c r="B377" s="3"/>
      <c r="C377" s="4"/>
      <c r="D377" s="4"/>
      <c r="E377" s="4"/>
      <c r="F377" s="17"/>
      <c r="G377" s="22"/>
    </row>
    <row r="378" spans="1:7" ht="15.75" thickBot="1">
      <c r="A378" s="3"/>
      <c r="B378" s="3"/>
      <c r="C378" s="4"/>
      <c r="D378" s="4"/>
      <c r="E378" s="4"/>
      <c r="F378" s="17"/>
      <c r="G378" s="22"/>
    </row>
    <row r="379" spans="1:7" ht="15.75" thickBot="1">
      <c r="A379" s="3"/>
      <c r="B379" s="3"/>
      <c r="C379" s="4"/>
      <c r="D379" s="4"/>
      <c r="E379" s="4"/>
      <c r="F379" s="17"/>
      <c r="G379" s="22"/>
    </row>
    <row r="380" spans="1:7" ht="15.75" thickBot="1">
      <c r="A380" s="3"/>
      <c r="B380" s="3"/>
      <c r="C380" s="4"/>
      <c r="D380" s="4"/>
      <c r="E380" s="4"/>
      <c r="F380" s="17"/>
      <c r="G380" s="22"/>
    </row>
    <row r="381" spans="1:7" ht="15.75" thickBot="1">
      <c r="A381" s="3"/>
      <c r="B381" s="3"/>
      <c r="C381" s="4"/>
      <c r="D381" s="4"/>
      <c r="E381" s="4"/>
      <c r="F381" s="17"/>
      <c r="G381" s="22"/>
    </row>
    <row r="382" spans="1:7" ht="15.75" thickBot="1">
      <c r="A382" s="3"/>
      <c r="B382" s="3"/>
      <c r="C382" s="4"/>
      <c r="D382" s="4"/>
      <c r="E382" s="4"/>
      <c r="F382" s="17"/>
      <c r="G382" s="22"/>
    </row>
    <row r="383" spans="1:7" ht="15.75" thickBot="1">
      <c r="A383" s="3"/>
      <c r="B383" s="3"/>
      <c r="C383" s="4"/>
      <c r="D383" s="4"/>
      <c r="E383" s="4"/>
      <c r="F383" s="17"/>
      <c r="G383" s="22"/>
    </row>
    <row r="384" spans="1:7" ht="15.75" thickBot="1">
      <c r="A384" s="3"/>
      <c r="B384" s="3"/>
      <c r="C384" s="4"/>
      <c r="D384" s="4"/>
      <c r="E384" s="4"/>
      <c r="F384" s="17"/>
      <c r="G384" s="22"/>
    </row>
    <row r="385" spans="1:7" ht="15.75" thickBot="1">
      <c r="A385" s="3"/>
      <c r="B385" s="3"/>
      <c r="C385" s="4"/>
      <c r="D385" s="4"/>
      <c r="E385" s="4"/>
      <c r="F385" s="17"/>
      <c r="G385" s="22"/>
    </row>
    <row r="386" spans="1:7" ht="15.75" thickBot="1">
      <c r="A386" s="3"/>
      <c r="B386" s="3"/>
      <c r="C386" s="4"/>
      <c r="D386" s="4"/>
      <c r="E386" s="4"/>
      <c r="F386" s="17"/>
      <c r="G386" s="22"/>
    </row>
    <row r="387" spans="1:7" ht="15.75" thickBot="1">
      <c r="A387" s="3"/>
      <c r="B387" s="3"/>
      <c r="C387" s="4"/>
      <c r="D387" s="4"/>
      <c r="E387" s="4"/>
      <c r="F387" s="17"/>
      <c r="G387" s="22"/>
    </row>
    <row r="388" spans="1:7" ht="15.75" thickBot="1">
      <c r="A388" s="3"/>
      <c r="B388" s="3"/>
      <c r="C388" s="4"/>
      <c r="D388" s="4"/>
      <c r="E388" s="4"/>
      <c r="F388" s="17"/>
      <c r="G388" s="22"/>
    </row>
    <row r="389" spans="1:7" ht="15.75" thickBot="1">
      <c r="A389" s="3"/>
      <c r="B389" s="3"/>
      <c r="C389" s="4"/>
      <c r="D389" s="4"/>
      <c r="E389" s="4"/>
      <c r="F389" s="17"/>
      <c r="G389" s="22"/>
    </row>
    <row r="390" spans="1:7" ht="15.75" thickBot="1">
      <c r="A390" s="3"/>
      <c r="B390" s="3"/>
      <c r="C390" s="4"/>
      <c r="D390" s="4"/>
      <c r="E390" s="4"/>
      <c r="F390" s="17"/>
      <c r="G390" s="22"/>
    </row>
    <row r="391" spans="1:7" ht="15.75" thickBot="1">
      <c r="A391" s="3"/>
      <c r="B391" s="3"/>
      <c r="C391" s="4"/>
      <c r="D391" s="4"/>
      <c r="E391" s="4"/>
      <c r="F391" s="17"/>
      <c r="G391" s="22"/>
    </row>
    <row r="392" spans="1:7" ht="15.75" thickBot="1">
      <c r="A392" s="3"/>
      <c r="B392" s="3"/>
      <c r="C392" s="4"/>
      <c r="D392" s="4"/>
      <c r="E392" s="4"/>
      <c r="F392" s="17"/>
      <c r="G392" s="22"/>
    </row>
    <row r="393" spans="1:7" ht="15.75" thickBot="1">
      <c r="A393" s="3"/>
      <c r="B393" s="3"/>
      <c r="C393" s="4"/>
      <c r="D393" s="4"/>
      <c r="E393" s="4"/>
      <c r="F393" s="17"/>
      <c r="G393" s="22"/>
    </row>
    <row r="394" spans="1:7" ht="15.75" thickBot="1">
      <c r="A394" s="3"/>
      <c r="B394" s="3"/>
      <c r="C394" s="4"/>
      <c r="D394" s="4"/>
      <c r="E394" s="4"/>
      <c r="F394" s="17"/>
      <c r="G394" s="22"/>
    </row>
    <row r="395" spans="1:7" ht="15.75" thickBot="1">
      <c r="A395" s="3"/>
      <c r="B395" s="3"/>
      <c r="C395" s="4"/>
      <c r="D395" s="4"/>
      <c r="E395" s="4"/>
      <c r="F395" s="17"/>
      <c r="G395" s="22"/>
    </row>
    <row r="396" spans="1:7" ht="15.75" thickBot="1">
      <c r="A396" s="3"/>
      <c r="B396" s="3"/>
      <c r="C396" s="4"/>
      <c r="D396" s="4"/>
      <c r="E396" s="4"/>
      <c r="F396" s="17"/>
      <c r="G396" s="22"/>
    </row>
    <row r="397" spans="1:7" ht="15.75" thickBot="1">
      <c r="A397" s="3"/>
      <c r="B397" s="3"/>
      <c r="C397" s="4"/>
      <c r="D397" s="4"/>
      <c r="E397" s="4"/>
      <c r="F397" s="17"/>
      <c r="G397" s="22"/>
    </row>
    <row r="398" spans="1:7" ht="15.75" thickBot="1">
      <c r="A398" s="3"/>
      <c r="B398" s="3"/>
      <c r="C398" s="4"/>
      <c r="D398" s="4"/>
      <c r="E398" s="4"/>
      <c r="F398" s="17"/>
      <c r="G398" s="22"/>
    </row>
    <row r="399" spans="1:7" ht="15.75" thickBot="1">
      <c r="A399" s="3"/>
      <c r="B399" s="3"/>
      <c r="C399" s="4"/>
      <c r="D399" s="4"/>
      <c r="E399" s="4"/>
      <c r="F399" s="17"/>
      <c r="G399" s="22"/>
    </row>
    <row r="400" spans="1:7" ht="15.75" thickBot="1">
      <c r="A400" s="3"/>
      <c r="B400" s="3"/>
      <c r="C400" s="4"/>
      <c r="D400" s="4"/>
      <c r="E400" s="4"/>
      <c r="F400" s="17"/>
      <c r="G400" s="22"/>
    </row>
    <row r="401" spans="1:7" ht="15.75" thickBot="1">
      <c r="A401" s="3"/>
      <c r="B401" s="3"/>
      <c r="C401" s="4"/>
      <c r="D401" s="4"/>
      <c r="E401" s="4"/>
      <c r="F401" s="17"/>
      <c r="G401" s="22"/>
    </row>
    <row r="402" spans="1:7" ht="15.75" thickBot="1">
      <c r="A402" s="3"/>
      <c r="B402" s="3"/>
      <c r="C402" s="4"/>
      <c r="D402" s="4"/>
      <c r="E402" s="4"/>
      <c r="F402" s="17"/>
      <c r="G402" s="22"/>
    </row>
    <row r="403" spans="1:7" ht="15.75" thickBot="1">
      <c r="A403" s="3"/>
      <c r="B403" s="3"/>
      <c r="C403" s="4"/>
      <c r="D403" s="4"/>
      <c r="E403" s="4"/>
      <c r="F403" s="17"/>
      <c r="G403" s="22"/>
    </row>
    <row r="404" spans="1:7" ht="15.75" thickBot="1">
      <c r="A404" s="3"/>
      <c r="B404" s="3"/>
      <c r="C404" s="4"/>
      <c r="D404" s="4"/>
      <c r="E404" s="4"/>
      <c r="F404" s="17"/>
      <c r="G404" s="22"/>
    </row>
    <row r="405" spans="1:7" ht="15.75" thickBot="1">
      <c r="A405" s="3"/>
      <c r="B405" s="3"/>
      <c r="C405" s="4"/>
      <c r="D405" s="4"/>
      <c r="E405" s="4"/>
      <c r="F405" s="17"/>
      <c r="G405" s="22"/>
    </row>
    <row r="406" spans="1:7" ht="15.75" thickBot="1">
      <c r="A406" s="3"/>
      <c r="B406" s="3"/>
      <c r="C406" s="4"/>
      <c r="D406" s="4"/>
      <c r="E406" s="4"/>
      <c r="F406" s="17"/>
      <c r="G406" s="22"/>
    </row>
    <row r="407" spans="1:7" ht="15.75" thickBot="1">
      <c r="A407" s="3"/>
      <c r="B407" s="3"/>
      <c r="C407" s="4"/>
      <c r="D407" s="4"/>
      <c r="E407" s="4"/>
      <c r="F407" s="17"/>
      <c r="G407" s="22"/>
    </row>
    <row r="408" spans="1:7" ht="15.75" thickBot="1">
      <c r="A408" s="3"/>
      <c r="B408" s="3"/>
      <c r="C408" s="4"/>
      <c r="D408" s="4"/>
      <c r="E408" s="4"/>
      <c r="F408" s="17"/>
      <c r="G408" s="22"/>
    </row>
    <row r="409" spans="1:7" ht="15.75" thickBot="1">
      <c r="A409" s="3"/>
      <c r="B409" s="3"/>
      <c r="C409" s="4"/>
      <c r="D409" s="4"/>
      <c r="E409" s="4"/>
      <c r="F409" s="17"/>
      <c r="G409" s="22"/>
    </row>
    <row r="410" spans="1:7" ht="15.75" thickBot="1">
      <c r="A410" s="3"/>
      <c r="B410" s="3"/>
      <c r="C410" s="4"/>
      <c r="D410" s="4"/>
      <c r="E410" s="4"/>
      <c r="F410" s="17"/>
      <c r="G410" s="22"/>
    </row>
    <row r="411" spans="1:7" ht="15.75" thickBot="1">
      <c r="A411" s="3"/>
      <c r="B411" s="3"/>
      <c r="C411" s="4"/>
      <c r="D411" s="4"/>
      <c r="E411" s="4"/>
      <c r="F411" s="17"/>
      <c r="G411" s="22"/>
    </row>
    <row r="412" spans="1:7" ht="15.75" thickBot="1">
      <c r="A412" s="3"/>
      <c r="B412" s="3"/>
      <c r="C412" s="4"/>
      <c r="D412" s="4"/>
      <c r="E412" s="4"/>
      <c r="F412" s="17"/>
      <c r="G412" s="22"/>
    </row>
    <row r="413" spans="1:7" ht="15.75" thickBot="1">
      <c r="A413" s="3"/>
      <c r="B413" s="3"/>
      <c r="C413" s="4"/>
      <c r="D413" s="4"/>
      <c r="E413" s="4"/>
      <c r="F413" s="17"/>
      <c r="G413" s="22"/>
    </row>
    <row r="414" spans="1:7" ht="15.75" thickBot="1">
      <c r="A414" s="3"/>
      <c r="B414" s="3"/>
      <c r="C414" s="4"/>
      <c r="D414" s="4"/>
      <c r="E414" s="4"/>
      <c r="F414" s="17"/>
      <c r="G414" s="22"/>
    </row>
    <row r="415" spans="1:7" ht="15.75" thickBot="1">
      <c r="A415" s="3"/>
      <c r="B415" s="3"/>
      <c r="C415" s="4"/>
      <c r="D415" s="4"/>
      <c r="E415" s="4"/>
      <c r="F415" s="17"/>
      <c r="G415" s="22"/>
    </row>
    <row r="416" spans="1:7" ht="15.75" thickBot="1">
      <c r="A416" s="3"/>
      <c r="B416" s="3"/>
      <c r="C416" s="4"/>
      <c r="D416" s="4"/>
      <c r="E416" s="4"/>
      <c r="F416" s="17"/>
      <c r="G416" s="22"/>
    </row>
    <row r="417" spans="1:7" ht="15.75" thickBot="1">
      <c r="A417" s="3"/>
      <c r="B417" s="3"/>
      <c r="C417" s="4"/>
      <c r="D417" s="4"/>
      <c r="E417" s="4"/>
      <c r="F417" s="17"/>
      <c r="G417" s="22"/>
    </row>
    <row r="418" spans="1:7" ht="15.75" thickBot="1">
      <c r="A418" s="3"/>
      <c r="B418" s="3"/>
      <c r="C418" s="4"/>
      <c r="D418" s="4"/>
      <c r="E418" s="4"/>
      <c r="F418" s="17"/>
      <c r="G418" s="22"/>
    </row>
    <row r="419" spans="1:7" ht="15.75" thickBot="1">
      <c r="A419" s="3"/>
      <c r="B419" s="3"/>
      <c r="C419" s="4"/>
      <c r="D419" s="4"/>
      <c r="E419" s="4"/>
      <c r="F419" s="17"/>
      <c r="G419" s="22"/>
    </row>
    <row r="420" spans="1:7" ht="15.75" thickBot="1">
      <c r="A420" s="3"/>
      <c r="B420" s="3"/>
      <c r="C420" s="4"/>
      <c r="D420" s="4"/>
      <c r="E420" s="4"/>
      <c r="F420" s="17"/>
      <c r="G420" s="22"/>
    </row>
    <row r="421" spans="1:7" ht="15.75" thickBot="1">
      <c r="A421" s="3"/>
      <c r="B421" s="3"/>
      <c r="C421" s="4"/>
      <c r="D421" s="4"/>
      <c r="E421" s="4"/>
      <c r="F421" s="17"/>
      <c r="G421" s="22"/>
    </row>
    <row r="422" spans="1:7" ht="15.75" thickBot="1">
      <c r="A422" s="3"/>
      <c r="B422" s="3"/>
      <c r="C422" s="4"/>
      <c r="D422" s="4"/>
      <c r="E422" s="4"/>
      <c r="F422" s="17"/>
      <c r="G422" s="22"/>
    </row>
    <row r="423" spans="1:7" ht="15.75" thickBot="1">
      <c r="A423" s="3"/>
      <c r="B423" s="3"/>
      <c r="C423" s="4"/>
      <c r="D423" s="4"/>
      <c r="E423" s="4"/>
      <c r="F423" s="17"/>
      <c r="G423" s="22"/>
    </row>
    <row r="424" spans="1:7" ht="15.75" thickBot="1">
      <c r="A424" s="3"/>
      <c r="B424" s="3"/>
      <c r="C424" s="4"/>
      <c r="D424" s="4"/>
      <c r="E424" s="4"/>
      <c r="F424" s="17"/>
      <c r="G424" s="22"/>
    </row>
    <row r="425" spans="1:7" ht="15.75" thickBot="1">
      <c r="A425" s="3"/>
      <c r="B425" s="3"/>
      <c r="C425" s="4"/>
      <c r="D425" s="4"/>
      <c r="E425" s="4"/>
      <c r="F425" s="17"/>
      <c r="G425" s="22"/>
    </row>
    <row r="426" spans="1:7" ht="15.75" thickBot="1">
      <c r="A426" s="3"/>
      <c r="B426" s="3"/>
      <c r="C426" s="4"/>
      <c r="D426" s="4"/>
      <c r="E426" s="4"/>
      <c r="F426" s="17"/>
      <c r="G426" s="22"/>
    </row>
    <row r="427" spans="1:7" ht="15.75" thickBot="1">
      <c r="A427" s="3"/>
      <c r="B427" s="3"/>
      <c r="C427" s="4"/>
      <c r="D427" s="4"/>
      <c r="E427" s="4"/>
      <c r="F427" s="17"/>
      <c r="G427" s="22"/>
    </row>
    <row r="428" spans="1:7" ht="15.75" thickBot="1">
      <c r="A428" s="3"/>
      <c r="B428" s="3"/>
      <c r="C428" s="4"/>
      <c r="D428" s="4"/>
      <c r="E428" s="4"/>
      <c r="F428" s="17"/>
      <c r="G428" s="22"/>
    </row>
    <row r="429" spans="1:7" ht="15.75" thickBot="1">
      <c r="A429" s="3"/>
      <c r="B429" s="3"/>
      <c r="C429" s="4"/>
      <c r="D429" s="4"/>
      <c r="E429" s="4"/>
      <c r="F429" s="17"/>
      <c r="G429" s="22"/>
    </row>
    <row r="430" spans="1:7" ht="15.75" thickBot="1">
      <c r="A430" s="3"/>
      <c r="B430" s="3"/>
      <c r="C430" s="4"/>
      <c r="D430" s="4"/>
      <c r="E430" s="4"/>
      <c r="F430" s="17"/>
      <c r="G430" s="22"/>
    </row>
    <row r="431" spans="1:7" ht="15.75" thickBot="1">
      <c r="A431" s="3"/>
      <c r="B431" s="3"/>
      <c r="C431" s="4"/>
      <c r="D431" s="4"/>
      <c r="E431" s="4"/>
      <c r="F431" s="17"/>
      <c r="G431" s="22"/>
    </row>
    <row r="432" spans="1:7" ht="15.75" thickBot="1">
      <c r="A432" s="3"/>
      <c r="B432" s="3"/>
      <c r="C432" s="4"/>
      <c r="D432" s="4"/>
      <c r="E432" s="4"/>
      <c r="F432" s="17"/>
      <c r="G432" s="22"/>
    </row>
    <row r="433" spans="1:7" ht="15.75" thickBot="1">
      <c r="A433" s="3"/>
      <c r="B433" s="3"/>
      <c r="C433" s="4"/>
      <c r="D433" s="4"/>
      <c r="E433" s="4"/>
      <c r="F433" s="17"/>
      <c r="G433" s="22"/>
    </row>
    <row r="434" spans="1:7" ht="15.75" thickBot="1">
      <c r="A434" s="3"/>
      <c r="B434" s="3"/>
      <c r="C434" s="4"/>
      <c r="D434" s="4"/>
      <c r="E434" s="4"/>
      <c r="F434" s="17"/>
      <c r="G434" s="22"/>
    </row>
    <row r="435" spans="1:7" ht="15.75" thickBot="1">
      <c r="A435" s="3"/>
      <c r="B435" s="3"/>
      <c r="C435" s="4"/>
      <c r="D435" s="4"/>
      <c r="E435" s="4"/>
      <c r="F435" s="17"/>
      <c r="G435" s="22"/>
    </row>
    <row r="436" spans="1:7" ht="15.75" thickBot="1">
      <c r="A436" s="3"/>
      <c r="B436" s="3"/>
      <c r="C436" s="4"/>
      <c r="D436" s="4"/>
      <c r="E436" s="4"/>
      <c r="F436" s="17"/>
      <c r="G436" s="22"/>
    </row>
    <row r="437" spans="1:7" ht="15.75" thickBot="1">
      <c r="A437" s="3"/>
      <c r="B437" s="3"/>
      <c r="C437" s="4"/>
      <c r="D437" s="4"/>
      <c r="E437" s="4"/>
      <c r="F437" s="17"/>
      <c r="G437" s="22"/>
    </row>
    <row r="438" spans="1:7" ht="15.75" thickBot="1">
      <c r="A438" s="3"/>
      <c r="B438" s="3"/>
      <c r="C438" s="4"/>
      <c r="D438" s="4"/>
      <c r="E438" s="4"/>
      <c r="F438" s="17"/>
      <c r="G438" s="22"/>
    </row>
    <row r="439" spans="1:7" ht="15.75" thickBot="1">
      <c r="A439" s="3"/>
      <c r="B439" s="3"/>
      <c r="C439" s="4"/>
      <c r="D439" s="4"/>
      <c r="E439" s="4"/>
      <c r="F439" s="17"/>
      <c r="G439" s="22"/>
    </row>
    <row r="440" spans="1:7" ht="15.75" thickBot="1">
      <c r="A440" s="3"/>
      <c r="B440" s="3"/>
      <c r="C440" s="4"/>
      <c r="D440" s="4"/>
      <c r="E440" s="4"/>
      <c r="F440" s="17"/>
      <c r="G440" s="22"/>
    </row>
    <row r="441" spans="1:7" ht="15.75" thickBot="1">
      <c r="A441" s="3"/>
      <c r="B441" s="3"/>
      <c r="C441" s="4"/>
      <c r="D441" s="4"/>
      <c r="E441" s="4"/>
      <c r="F441" s="17"/>
      <c r="G441" s="22"/>
    </row>
    <row r="442" spans="1:7" ht="15.75" thickBot="1">
      <c r="A442" s="3"/>
      <c r="B442" s="3"/>
      <c r="C442" s="4"/>
      <c r="D442" s="4"/>
      <c r="E442" s="4"/>
      <c r="F442" s="17"/>
      <c r="G442" s="22"/>
    </row>
    <row r="443" spans="1:7" ht="15.75" thickBot="1">
      <c r="A443" s="3"/>
      <c r="B443" s="3"/>
      <c r="C443" s="4"/>
      <c r="D443" s="4"/>
      <c r="E443" s="4"/>
      <c r="F443" s="17"/>
      <c r="G443" s="22"/>
    </row>
    <row r="444" spans="1:7" ht="15.75" thickBot="1">
      <c r="A444" s="3"/>
      <c r="B444" s="3"/>
      <c r="C444" s="4"/>
      <c r="D444" s="4"/>
      <c r="E444" s="4"/>
      <c r="F444" s="17"/>
      <c r="G444" s="22"/>
    </row>
    <row r="445" spans="1:7" ht="15.75" thickBot="1">
      <c r="A445" s="3"/>
      <c r="B445" s="3"/>
      <c r="C445" s="4"/>
      <c r="D445" s="4"/>
      <c r="E445" s="4"/>
      <c r="F445" s="17"/>
      <c r="G445" s="22"/>
    </row>
    <row r="446" spans="1:7" ht="15.75" thickBot="1">
      <c r="A446" s="3"/>
      <c r="B446" s="3"/>
      <c r="C446" s="4"/>
      <c r="D446" s="4"/>
      <c r="E446" s="4"/>
      <c r="F446" s="17"/>
      <c r="G446" s="22"/>
    </row>
    <row r="447" spans="1:7" ht="15.75" thickBot="1">
      <c r="A447" s="3"/>
      <c r="B447" s="3"/>
      <c r="C447" s="4"/>
      <c r="D447" s="4"/>
      <c r="E447" s="4"/>
      <c r="F447" s="17"/>
      <c r="G447" s="22"/>
    </row>
    <row r="448" spans="1:7" ht="15.75" thickBot="1">
      <c r="A448" s="3"/>
      <c r="B448" s="3"/>
      <c r="C448" s="4"/>
      <c r="D448" s="4"/>
      <c r="E448" s="4"/>
      <c r="F448" s="17"/>
      <c r="G448" s="22"/>
    </row>
    <row r="449" spans="1:7" ht="15.75" thickBot="1">
      <c r="A449" s="3"/>
      <c r="B449" s="3"/>
      <c r="C449" s="4"/>
      <c r="D449" s="4"/>
      <c r="E449" s="4"/>
      <c r="F449" s="17"/>
      <c r="G449" s="22"/>
    </row>
    <row r="450" spans="1:7" ht="15.75" thickBot="1">
      <c r="A450" s="3"/>
      <c r="B450" s="3"/>
      <c r="C450" s="4"/>
      <c r="D450" s="4"/>
      <c r="E450" s="4"/>
      <c r="F450" s="17"/>
      <c r="G450" s="22"/>
    </row>
    <row r="451" spans="1:7" ht="15.75" thickBot="1">
      <c r="A451" s="3"/>
      <c r="B451" s="3"/>
      <c r="C451" s="4"/>
      <c r="D451" s="4"/>
      <c r="E451" s="4"/>
      <c r="F451" s="17"/>
      <c r="G451" s="22"/>
    </row>
    <row r="452" spans="1:7" ht="15.75" thickBot="1">
      <c r="A452" s="3"/>
      <c r="B452" s="3"/>
      <c r="C452" s="4"/>
      <c r="D452" s="4"/>
      <c r="E452" s="4"/>
      <c r="F452" s="17"/>
      <c r="G452" s="22"/>
    </row>
    <row r="453" spans="1:7" ht="15.75" thickBot="1">
      <c r="A453" s="3"/>
      <c r="B453" s="3"/>
      <c r="C453" s="4"/>
      <c r="D453" s="4"/>
      <c r="E453" s="4"/>
      <c r="F453" s="17"/>
      <c r="G453" s="22"/>
    </row>
    <row r="454" spans="1:7" ht="15.75" thickBot="1">
      <c r="A454" s="3"/>
      <c r="B454" s="3"/>
      <c r="C454" s="4"/>
      <c r="D454" s="4"/>
      <c r="E454" s="4"/>
      <c r="F454" s="17"/>
      <c r="G454" s="22"/>
    </row>
    <row r="455" spans="1:7" ht="15.75" thickBot="1">
      <c r="A455" s="3"/>
      <c r="B455" s="3"/>
      <c r="C455" s="4"/>
      <c r="D455" s="4"/>
      <c r="E455" s="4"/>
      <c r="F455" s="17"/>
      <c r="G455" s="22"/>
    </row>
    <row r="456" spans="1:7" ht="15.75" thickBot="1">
      <c r="A456" s="3"/>
      <c r="B456" s="3"/>
      <c r="C456" s="4"/>
      <c r="D456" s="4"/>
      <c r="E456" s="4"/>
      <c r="F456" s="17"/>
      <c r="G456" s="22"/>
    </row>
    <row r="457" spans="1:7" ht="15.75" thickBot="1">
      <c r="A457" s="3"/>
      <c r="B457" s="3"/>
      <c r="C457" s="4"/>
      <c r="D457" s="4"/>
      <c r="E457" s="4"/>
      <c r="F457" s="17"/>
      <c r="G457" s="22"/>
    </row>
    <row r="458" spans="1:7" ht="15.75" thickBot="1">
      <c r="A458" s="3"/>
      <c r="B458" s="3"/>
      <c r="C458" s="4"/>
      <c r="D458" s="4"/>
      <c r="E458" s="4"/>
      <c r="F458" s="17"/>
      <c r="G458" s="22"/>
    </row>
    <row r="459" spans="1:7" ht="15.75" thickBot="1">
      <c r="A459" s="3"/>
      <c r="B459" s="3"/>
      <c r="C459" s="4"/>
      <c r="D459" s="4"/>
      <c r="E459" s="4"/>
      <c r="F459" s="17"/>
      <c r="G459" s="22"/>
    </row>
    <row r="460" spans="1:7" ht="15.75" thickBot="1">
      <c r="A460" s="3"/>
      <c r="B460" s="3"/>
      <c r="C460" s="4"/>
      <c r="D460" s="4"/>
      <c r="E460" s="4"/>
      <c r="F460" s="17"/>
      <c r="G460" s="22"/>
    </row>
    <row r="461" spans="1:7" ht="15.75" thickBot="1">
      <c r="A461" s="3"/>
      <c r="B461" s="3"/>
      <c r="C461" s="4"/>
      <c r="D461" s="4"/>
      <c r="E461" s="4"/>
      <c r="F461" s="17"/>
      <c r="G461" s="22"/>
    </row>
    <row r="462" spans="1:7" ht="15.75" thickBot="1">
      <c r="A462" s="3"/>
      <c r="B462" s="3"/>
      <c r="C462" s="4"/>
      <c r="D462" s="4"/>
      <c r="E462" s="4"/>
      <c r="F462" s="17"/>
      <c r="G462" s="22"/>
    </row>
    <row r="463" spans="1:7" ht="15.75" thickBot="1">
      <c r="A463" s="3"/>
      <c r="B463" s="3"/>
      <c r="C463" s="4"/>
      <c r="D463" s="4"/>
      <c r="E463" s="4"/>
      <c r="F463" s="17"/>
      <c r="G463" s="22"/>
    </row>
    <row r="464" spans="1:7" ht="15.75" thickBot="1">
      <c r="A464" s="3"/>
      <c r="B464" s="3"/>
      <c r="C464" s="4"/>
      <c r="D464" s="4"/>
      <c r="E464" s="4"/>
      <c r="F464" s="17"/>
      <c r="G464" s="22"/>
    </row>
    <row r="465" spans="1:7" ht="15.75" thickBot="1">
      <c r="A465" s="3"/>
      <c r="B465" s="3"/>
      <c r="C465" s="4"/>
      <c r="D465" s="4"/>
      <c r="E465" s="4"/>
      <c r="F465" s="17"/>
      <c r="G465" s="22"/>
    </row>
    <row r="466" spans="1:7" ht="15.75" thickBot="1">
      <c r="A466" s="3"/>
      <c r="B466" s="3"/>
      <c r="C466" s="4"/>
      <c r="D466" s="4"/>
      <c r="E466" s="4"/>
      <c r="F466" s="17"/>
      <c r="G466" s="22"/>
    </row>
    <row r="467" spans="1:7" ht="15.75" thickBot="1">
      <c r="A467" s="3"/>
      <c r="B467" s="3"/>
      <c r="C467" s="4"/>
      <c r="D467" s="4"/>
      <c r="E467" s="4"/>
      <c r="F467" s="17"/>
      <c r="G467" s="22"/>
    </row>
    <row r="468" spans="1:7" ht="15.75" thickBot="1">
      <c r="A468" s="3"/>
      <c r="B468" s="3"/>
      <c r="C468" s="4"/>
      <c r="D468" s="4"/>
      <c r="E468" s="4"/>
      <c r="F468" s="17"/>
      <c r="G468" s="22"/>
    </row>
    <row r="469" spans="1:7" ht="15.75" thickBot="1">
      <c r="A469" s="3"/>
      <c r="B469" s="3"/>
      <c r="C469" s="4"/>
      <c r="D469" s="4"/>
      <c r="E469" s="4"/>
      <c r="F469" s="17"/>
      <c r="G469" s="22"/>
    </row>
    <row r="470" spans="1:7" ht="15.75" thickBot="1">
      <c r="A470" s="3"/>
      <c r="B470" s="3"/>
      <c r="C470" s="4"/>
      <c r="D470" s="4"/>
      <c r="E470" s="4"/>
      <c r="F470" s="17"/>
      <c r="G470" s="22"/>
    </row>
    <row r="471" spans="1:7" ht="15.75" thickBot="1">
      <c r="A471" s="3"/>
      <c r="B471" s="3"/>
      <c r="C471" s="4"/>
      <c r="D471" s="4"/>
      <c r="E471" s="4"/>
      <c r="F471" s="17"/>
      <c r="G471" s="22"/>
    </row>
    <row r="472" spans="1:7" ht="15.75" thickBot="1">
      <c r="A472" s="3"/>
      <c r="B472" s="3"/>
      <c r="C472" s="4"/>
      <c r="D472" s="4"/>
      <c r="E472" s="4"/>
      <c r="F472" s="17"/>
      <c r="G472" s="22"/>
    </row>
    <row r="473" spans="1:7" ht="15.75" thickBot="1">
      <c r="A473" s="3"/>
      <c r="B473" s="3"/>
      <c r="C473" s="4"/>
      <c r="D473" s="4"/>
      <c r="E473" s="4"/>
      <c r="F473" s="17"/>
      <c r="G473" s="22"/>
    </row>
    <row r="474" spans="1:7" ht="15.75" thickBot="1">
      <c r="A474" s="3"/>
      <c r="B474" s="3"/>
      <c r="C474" s="4"/>
      <c r="D474" s="4"/>
      <c r="E474" s="4"/>
      <c r="F474" s="17"/>
      <c r="G474" s="22"/>
    </row>
    <row r="475" spans="1:7" ht="15.75" thickBot="1">
      <c r="A475" s="3"/>
      <c r="B475" s="3"/>
      <c r="C475" s="4"/>
      <c r="D475" s="4"/>
      <c r="E475" s="4"/>
      <c r="F475" s="17"/>
      <c r="G475" s="22"/>
    </row>
    <row r="476" spans="1:7" ht="15.75" thickBot="1">
      <c r="A476" s="3"/>
      <c r="B476" s="3"/>
      <c r="C476" s="4"/>
      <c r="D476" s="4"/>
      <c r="E476" s="4"/>
      <c r="F476" s="17"/>
      <c r="G476" s="22"/>
    </row>
    <row r="477" spans="1:7" ht="15.75" thickBot="1">
      <c r="A477" s="3"/>
      <c r="B477" s="3"/>
      <c r="C477" s="4"/>
      <c r="D477" s="4"/>
      <c r="E477" s="4"/>
      <c r="F477" s="17"/>
      <c r="G477" s="22"/>
    </row>
    <row r="478" spans="1:7" ht="15.75" thickBot="1">
      <c r="A478" s="3"/>
      <c r="B478" s="3"/>
      <c r="C478" s="4"/>
      <c r="D478" s="4"/>
      <c r="E478" s="4"/>
      <c r="F478" s="17"/>
      <c r="G478" s="22"/>
    </row>
    <row r="479" spans="1:7" ht="15.75" thickBot="1">
      <c r="A479" s="3"/>
      <c r="B479" s="3"/>
      <c r="C479" s="4"/>
      <c r="D479" s="4"/>
      <c r="E479" s="4"/>
      <c r="F479" s="17"/>
      <c r="G479" s="22"/>
    </row>
    <row r="480" spans="1:7" ht="15.75" thickBot="1">
      <c r="A480" s="3"/>
      <c r="B480" s="3"/>
      <c r="C480" s="4"/>
      <c r="D480" s="4"/>
      <c r="E480" s="4"/>
      <c r="F480" s="17"/>
      <c r="G480" s="22"/>
    </row>
    <row r="481" spans="1:7" ht="15.75" thickBot="1">
      <c r="A481" s="3"/>
      <c r="B481" s="3"/>
      <c r="C481" s="4"/>
      <c r="D481" s="4"/>
      <c r="E481" s="4"/>
      <c r="F481" s="17"/>
      <c r="G481" s="22"/>
    </row>
    <row r="482" spans="1:7" ht="15.75" thickBot="1">
      <c r="A482" s="3"/>
      <c r="B482" s="3"/>
      <c r="C482" s="4"/>
      <c r="D482" s="4"/>
      <c r="E482" s="4"/>
      <c r="F482" s="17"/>
      <c r="G482" s="22"/>
    </row>
    <row r="483" spans="1:7" ht="15.75" thickBot="1">
      <c r="A483" s="3"/>
      <c r="B483" s="3"/>
      <c r="C483" s="4"/>
      <c r="D483" s="4"/>
      <c r="E483" s="4"/>
      <c r="F483" s="17"/>
      <c r="G483" s="22"/>
    </row>
    <row r="484" spans="1:7" ht="15.75" thickBot="1">
      <c r="A484" s="3"/>
      <c r="B484" s="3"/>
      <c r="C484" s="4"/>
      <c r="D484" s="4"/>
      <c r="E484" s="4"/>
      <c r="F484" s="17"/>
      <c r="G484" s="22"/>
    </row>
    <row r="485" spans="1:7" ht="15.75" thickBot="1">
      <c r="A485" s="3"/>
      <c r="B485" s="3"/>
      <c r="C485" s="4"/>
      <c r="D485" s="4"/>
      <c r="E485" s="4"/>
      <c r="F485" s="17"/>
      <c r="G485" s="22"/>
    </row>
    <row r="486" spans="1:7" ht="15.75" thickBot="1">
      <c r="A486" s="3"/>
      <c r="B486" s="3"/>
      <c r="C486" s="4"/>
      <c r="D486" s="4"/>
      <c r="E486" s="4"/>
      <c r="F486" s="17"/>
      <c r="G486" s="22"/>
    </row>
    <row r="487" spans="1:7" ht="15.75" thickBot="1">
      <c r="A487" s="3"/>
      <c r="B487" s="3"/>
      <c r="C487" s="4"/>
      <c r="D487" s="4"/>
      <c r="E487" s="4"/>
      <c r="F487" s="17"/>
      <c r="G487" s="22"/>
    </row>
    <row r="488" spans="1:7" ht="15.75" thickBot="1">
      <c r="A488" s="3"/>
      <c r="B488" s="3"/>
      <c r="C488" s="4"/>
      <c r="D488" s="4"/>
      <c r="E488" s="4"/>
      <c r="F488" s="17"/>
      <c r="G488" s="22"/>
    </row>
    <row r="489" spans="1:7" ht="15.75" thickBot="1">
      <c r="A489" s="3"/>
      <c r="B489" s="3"/>
      <c r="C489" s="4"/>
      <c r="D489" s="4"/>
      <c r="E489" s="4"/>
      <c r="F489" s="17"/>
      <c r="G489" s="22"/>
    </row>
    <row r="490" spans="1:7" ht="15.75" thickBot="1">
      <c r="A490" s="3"/>
      <c r="B490" s="3"/>
      <c r="C490" s="4"/>
      <c r="D490" s="4"/>
      <c r="E490" s="4"/>
      <c r="F490" s="17"/>
      <c r="G490" s="22"/>
    </row>
    <row r="491" spans="1:7" ht="15.75" thickBot="1">
      <c r="A491" s="3"/>
      <c r="B491" s="3"/>
      <c r="C491" s="4"/>
      <c r="D491" s="4"/>
      <c r="E491" s="4"/>
      <c r="F491" s="17"/>
      <c r="G491" s="22"/>
    </row>
    <row r="492" spans="1:7" ht="15.75" thickBot="1">
      <c r="A492" s="3"/>
      <c r="B492" s="3"/>
      <c r="C492" s="4"/>
      <c r="D492" s="4"/>
      <c r="E492" s="4"/>
      <c r="F492" s="17"/>
      <c r="G492" s="22"/>
    </row>
    <row r="493" spans="1:7" ht="15.75" thickBot="1">
      <c r="A493" s="3"/>
      <c r="B493" s="3"/>
      <c r="C493" s="4"/>
      <c r="D493" s="4"/>
      <c r="E493" s="4"/>
      <c r="F493" s="17"/>
      <c r="G493" s="22"/>
    </row>
    <row r="494" spans="1:7" ht="15.75" thickBot="1">
      <c r="A494" s="3"/>
      <c r="B494" s="3"/>
      <c r="C494" s="4"/>
      <c r="D494" s="4"/>
      <c r="E494" s="4"/>
      <c r="F494" s="17"/>
      <c r="G494" s="22"/>
    </row>
    <row r="495" spans="1:7" ht="15.75" thickBot="1">
      <c r="A495" s="3"/>
      <c r="B495" s="3"/>
      <c r="C495" s="4"/>
      <c r="D495" s="4"/>
      <c r="E495" s="4"/>
      <c r="F495" s="17"/>
      <c r="G495" s="22"/>
    </row>
    <row r="496" spans="1:7" ht="15.75" thickBot="1">
      <c r="A496" s="3"/>
      <c r="B496" s="3"/>
      <c r="C496" s="4"/>
      <c r="D496" s="4"/>
      <c r="E496" s="4"/>
      <c r="F496" s="17"/>
      <c r="G496" s="22"/>
    </row>
    <row r="497" spans="1:7" ht="15.75" thickBot="1">
      <c r="A497" s="3"/>
      <c r="B497" s="3"/>
      <c r="C497" s="4"/>
      <c r="D497" s="4"/>
      <c r="E497" s="4"/>
      <c r="F497" s="17"/>
      <c r="G497" s="22"/>
    </row>
    <row r="498" spans="1:7" ht="15.75" thickBot="1">
      <c r="A498" s="3"/>
      <c r="B498" s="3"/>
      <c r="C498" s="4"/>
      <c r="D498" s="4"/>
      <c r="E498" s="4"/>
      <c r="F498" s="17"/>
      <c r="G498" s="22"/>
    </row>
    <row r="499" spans="1:7" ht="15.75" thickBot="1">
      <c r="A499" s="3"/>
      <c r="B499" s="3"/>
      <c r="C499" s="4"/>
      <c r="D499" s="4"/>
      <c r="E499" s="4"/>
      <c r="F499" s="17"/>
      <c r="G499" s="22"/>
    </row>
    <row r="500" spans="1:7" ht="15.75" thickBot="1">
      <c r="A500" s="3"/>
      <c r="B500" s="3"/>
      <c r="C500" s="4"/>
      <c r="D500" s="4"/>
      <c r="E500" s="4"/>
      <c r="F500" s="17"/>
      <c r="G500" s="22"/>
    </row>
    <row r="501" spans="1:7" ht="15.75" thickBot="1">
      <c r="A501" s="3"/>
      <c r="B501" s="3"/>
      <c r="C501" s="4"/>
      <c r="D501" s="4"/>
      <c r="E501" s="4"/>
      <c r="F501" s="17"/>
      <c r="G501" s="22"/>
    </row>
    <row r="502" spans="1:7" ht="15.75" thickBot="1">
      <c r="A502" s="3"/>
      <c r="B502" s="3"/>
      <c r="C502" s="4"/>
      <c r="D502" s="4"/>
      <c r="E502" s="4"/>
      <c r="F502" s="17"/>
      <c r="G502" s="22"/>
    </row>
    <row r="503" spans="1:7" ht="15.75" thickBot="1">
      <c r="A503" s="3"/>
      <c r="B503" s="3"/>
      <c r="C503" s="4"/>
      <c r="D503" s="4"/>
      <c r="E503" s="4"/>
      <c r="F503" s="17"/>
      <c r="G503" s="22"/>
    </row>
    <row r="504" spans="1:7" ht="15.75" thickBot="1">
      <c r="A504" s="3"/>
      <c r="B504" s="3"/>
      <c r="C504" s="4"/>
      <c r="D504" s="4"/>
      <c r="E504" s="4"/>
      <c r="F504" s="17"/>
      <c r="G504" s="22"/>
    </row>
    <row r="505" spans="1:7" ht="15.75" thickBot="1">
      <c r="A505" s="3"/>
      <c r="B505" s="3"/>
      <c r="C505" s="4"/>
      <c r="D505" s="4"/>
      <c r="E505" s="4"/>
      <c r="F505" s="17"/>
      <c r="G505" s="22"/>
    </row>
    <row r="506" spans="1:7" ht="15.75" thickBot="1">
      <c r="A506" s="3"/>
      <c r="B506" s="3"/>
      <c r="C506" s="4"/>
      <c r="D506" s="4"/>
      <c r="E506" s="4"/>
      <c r="F506" s="17"/>
      <c r="G506" s="22"/>
    </row>
    <row r="507" spans="1:7" ht="15.75" thickBot="1">
      <c r="A507" s="3"/>
      <c r="B507" s="3"/>
      <c r="C507" s="4"/>
      <c r="D507" s="4"/>
      <c r="E507" s="4"/>
      <c r="F507" s="17"/>
      <c r="G507" s="22"/>
    </row>
    <row r="508" spans="1:7" ht="15.75" thickBot="1">
      <c r="A508" s="3"/>
      <c r="B508" s="3"/>
      <c r="C508" s="4"/>
      <c r="D508" s="4"/>
      <c r="E508" s="4"/>
      <c r="F508" s="17"/>
      <c r="G508" s="22"/>
    </row>
    <row r="509" spans="1:7" ht="15.75" thickBot="1">
      <c r="A509" s="3"/>
      <c r="B509" s="3"/>
      <c r="C509" s="4"/>
      <c r="D509" s="4"/>
      <c r="E509" s="4"/>
      <c r="F509" s="17"/>
      <c r="G509" s="22"/>
    </row>
    <row r="510" spans="1:7" ht="15.75" thickBot="1">
      <c r="A510" s="3"/>
      <c r="B510" s="3"/>
      <c r="C510" s="4"/>
      <c r="D510" s="4"/>
      <c r="E510" s="4"/>
      <c r="F510" s="17"/>
      <c r="G510" s="22"/>
    </row>
    <row r="511" spans="1:7" ht="15.75" thickBot="1">
      <c r="A511" s="3"/>
      <c r="B511" s="3"/>
      <c r="C511" s="4"/>
      <c r="D511" s="4"/>
      <c r="E511" s="4"/>
      <c r="F511" s="17"/>
      <c r="G511" s="22"/>
    </row>
    <row r="512" spans="1:7" ht="15.75" thickBot="1">
      <c r="A512" s="3"/>
      <c r="B512" s="3"/>
      <c r="C512" s="4"/>
      <c r="D512" s="4"/>
      <c r="E512" s="4"/>
      <c r="F512" s="17"/>
      <c r="G512" s="22"/>
    </row>
    <row r="513" spans="1:7" ht="15.75" thickBot="1">
      <c r="A513" s="3"/>
      <c r="B513" s="3"/>
      <c r="C513" s="4"/>
      <c r="D513" s="4"/>
      <c r="E513" s="4"/>
      <c r="F513" s="17"/>
      <c r="G513" s="22"/>
    </row>
    <row r="514" spans="1:7" ht="15.75" thickBot="1">
      <c r="A514" s="3"/>
      <c r="B514" s="3"/>
      <c r="C514" s="4"/>
      <c r="D514" s="4"/>
      <c r="E514" s="4"/>
      <c r="F514" s="17"/>
      <c r="G514" s="22"/>
    </row>
    <row r="515" spans="1:7" ht="15.75" thickBot="1">
      <c r="A515" s="3"/>
      <c r="B515" s="3"/>
      <c r="C515" s="4"/>
      <c r="D515" s="4"/>
      <c r="E515" s="4"/>
      <c r="F515" s="17"/>
      <c r="G515" s="22"/>
    </row>
    <row r="516" spans="1:7" ht="15.75" thickBot="1">
      <c r="A516" s="3"/>
      <c r="B516" s="3"/>
      <c r="C516" s="4"/>
      <c r="D516" s="4"/>
      <c r="E516" s="4"/>
      <c r="F516" s="17"/>
      <c r="G516" s="22"/>
    </row>
    <row r="517" spans="1:7" ht="15.75" thickBot="1">
      <c r="A517" s="3"/>
      <c r="B517" s="3"/>
      <c r="C517" s="4"/>
      <c r="D517" s="4"/>
      <c r="E517" s="4"/>
      <c r="F517" s="17"/>
      <c r="G517" s="22"/>
    </row>
    <row r="518" spans="1:7" ht="15.75" thickBot="1">
      <c r="A518" s="3"/>
      <c r="B518" s="3"/>
      <c r="C518" s="4"/>
      <c r="D518" s="4"/>
      <c r="E518" s="4"/>
      <c r="F518" s="17"/>
      <c r="G518" s="22"/>
    </row>
    <row r="519" spans="1:7" ht="15.75" thickBot="1">
      <c r="A519" s="3"/>
      <c r="B519" s="3"/>
      <c r="C519" s="4"/>
      <c r="D519" s="4"/>
      <c r="E519" s="4"/>
      <c r="F519" s="17"/>
      <c r="G519" s="22"/>
    </row>
    <row r="520" spans="1:7" ht="15.75" thickBot="1">
      <c r="A520" s="3"/>
      <c r="B520" s="3"/>
      <c r="C520" s="4"/>
      <c r="D520" s="4"/>
      <c r="E520" s="4"/>
      <c r="F520" s="17"/>
      <c r="G520" s="22"/>
    </row>
    <row r="521" spans="1:7" ht="15.75" thickBot="1">
      <c r="A521" s="3"/>
      <c r="B521" s="3"/>
      <c r="C521" s="4"/>
      <c r="D521" s="4"/>
      <c r="E521" s="4"/>
      <c r="F521" s="17"/>
      <c r="G521" s="22"/>
    </row>
    <row r="522" spans="1:7" ht="15.75" thickBot="1">
      <c r="A522" s="3"/>
      <c r="B522" s="3"/>
      <c r="C522" s="4"/>
      <c r="D522" s="4"/>
      <c r="E522" s="4"/>
      <c r="F522" s="17"/>
      <c r="G522" s="22"/>
    </row>
    <row r="523" spans="1:7" ht="15.75" thickBot="1">
      <c r="A523" s="3"/>
      <c r="B523" s="3"/>
      <c r="C523" s="4"/>
      <c r="D523" s="4"/>
      <c r="E523" s="4"/>
      <c r="F523" s="17"/>
      <c r="G523" s="22"/>
    </row>
    <row r="524" spans="1:7" ht="15.75" thickBot="1">
      <c r="A524" s="3"/>
      <c r="B524" s="3"/>
      <c r="C524" s="4"/>
      <c r="D524" s="4"/>
      <c r="E524" s="4"/>
      <c r="F524" s="17"/>
      <c r="G524" s="22"/>
    </row>
    <row r="525" spans="1:7" ht="15.75" thickBot="1">
      <c r="A525" s="3"/>
      <c r="B525" s="3"/>
      <c r="C525" s="4"/>
      <c r="D525" s="4"/>
      <c r="E525" s="4"/>
      <c r="F525" s="17"/>
      <c r="G525" s="22"/>
    </row>
    <row r="526" spans="1:7" ht="15.75" thickBot="1">
      <c r="A526" s="3"/>
      <c r="B526" s="3"/>
      <c r="C526" s="4"/>
      <c r="D526" s="4"/>
      <c r="E526" s="4"/>
      <c r="F526" s="17"/>
      <c r="G526" s="22"/>
    </row>
    <row r="527" spans="1:7" ht="15.75" thickBot="1">
      <c r="A527" s="3"/>
      <c r="B527" s="3"/>
      <c r="C527" s="4"/>
      <c r="D527" s="4"/>
      <c r="E527" s="4"/>
      <c r="F527" s="17"/>
      <c r="G527" s="22"/>
    </row>
    <row r="528" spans="1:7" ht="15.75" thickBot="1">
      <c r="A528" s="3"/>
      <c r="B528" s="3"/>
      <c r="C528" s="4"/>
      <c r="D528" s="4"/>
      <c r="E528" s="4"/>
      <c r="F528" s="17"/>
      <c r="G528" s="22"/>
    </row>
    <row r="529" spans="1:7" ht="15.75" thickBot="1">
      <c r="A529" s="3"/>
      <c r="B529" s="3"/>
      <c r="C529" s="4"/>
      <c r="D529" s="4"/>
      <c r="E529" s="4"/>
      <c r="F529" s="17"/>
      <c r="G529" s="22"/>
    </row>
    <row r="530" spans="1:7" ht="15.75" thickBot="1">
      <c r="A530" s="3"/>
      <c r="B530" s="3"/>
      <c r="C530" s="4"/>
      <c r="D530" s="4"/>
      <c r="E530" s="4"/>
      <c r="F530" s="17"/>
      <c r="G530" s="22"/>
    </row>
    <row r="531" spans="1:7" ht="15.75" thickBot="1">
      <c r="A531" s="3"/>
      <c r="B531" s="3"/>
      <c r="C531" s="4"/>
      <c r="D531" s="4"/>
      <c r="E531" s="4"/>
      <c r="F531" s="17"/>
      <c r="G531" s="22"/>
    </row>
    <row r="532" spans="1:7" ht="15.75" thickBot="1">
      <c r="A532" s="3"/>
      <c r="B532" s="3"/>
      <c r="C532" s="4"/>
      <c r="D532" s="4"/>
      <c r="E532" s="4"/>
      <c r="F532" s="17"/>
      <c r="G532" s="22"/>
    </row>
    <row r="533" spans="1:7" ht="15.75" thickBot="1">
      <c r="A533" s="3"/>
      <c r="B533" s="3"/>
      <c r="C533" s="4"/>
      <c r="D533" s="4"/>
      <c r="E533" s="4"/>
      <c r="F533" s="17"/>
      <c r="G533" s="22"/>
    </row>
    <row r="534" spans="1:7" ht="15.75" thickBot="1">
      <c r="A534" s="3"/>
      <c r="B534" s="3"/>
      <c r="C534" s="4"/>
      <c r="D534" s="4"/>
      <c r="E534" s="4"/>
      <c r="F534" s="17"/>
      <c r="G534" s="22"/>
    </row>
    <row r="535" spans="1:7" ht="15.75" thickBot="1">
      <c r="A535" s="3"/>
      <c r="B535" s="3"/>
      <c r="C535" s="4"/>
      <c r="D535" s="4"/>
      <c r="E535" s="4"/>
      <c r="F535" s="17"/>
      <c r="G535" s="22"/>
    </row>
    <row r="536" spans="1:7" ht="15.75" thickBot="1">
      <c r="A536" s="3"/>
      <c r="B536" s="3"/>
      <c r="C536" s="4"/>
      <c r="D536" s="4"/>
      <c r="E536" s="4"/>
      <c r="F536" s="17"/>
      <c r="G536" s="22"/>
    </row>
    <row r="537" spans="1:7" ht="15.75" thickBot="1">
      <c r="A537" s="3"/>
      <c r="B537" s="3"/>
      <c r="C537" s="4"/>
      <c r="D537" s="4"/>
      <c r="E537" s="4"/>
      <c r="F537" s="17"/>
      <c r="G537" s="22"/>
    </row>
    <row r="538" spans="1:7" ht="15.75" thickBot="1">
      <c r="A538" s="3"/>
      <c r="B538" s="3"/>
      <c r="C538" s="4"/>
      <c r="D538" s="4"/>
      <c r="E538" s="4"/>
      <c r="F538" s="17"/>
      <c r="G538" s="22"/>
    </row>
    <row r="539" spans="1:7" ht="15.75" thickBot="1">
      <c r="A539" s="3"/>
      <c r="B539" s="3"/>
      <c r="C539" s="4"/>
      <c r="D539" s="4"/>
      <c r="E539" s="4"/>
      <c r="F539" s="17"/>
      <c r="G539" s="22"/>
    </row>
    <row r="540" spans="1:7" ht="15.75" thickBot="1">
      <c r="A540" s="3"/>
      <c r="B540" s="3"/>
      <c r="C540" s="4"/>
      <c r="D540" s="4"/>
      <c r="E540" s="4"/>
      <c r="F540" s="17"/>
      <c r="G540" s="22"/>
    </row>
    <row r="541" spans="1:7" ht="15.75" thickBot="1">
      <c r="A541" s="3"/>
      <c r="B541" s="3"/>
      <c r="C541" s="4"/>
      <c r="D541" s="4"/>
      <c r="E541" s="4"/>
      <c r="F541" s="17"/>
      <c r="G541" s="22"/>
    </row>
    <row r="542" spans="1:7" ht="15.75" thickBot="1">
      <c r="A542" s="3"/>
      <c r="B542" s="3"/>
      <c r="C542" s="4"/>
      <c r="D542" s="4"/>
      <c r="E542" s="4"/>
      <c r="F542" s="17"/>
      <c r="G542" s="22"/>
    </row>
    <row r="543" spans="1:7" ht="15.75" thickBot="1">
      <c r="A543" s="3"/>
      <c r="B543" s="3"/>
      <c r="C543" s="4"/>
      <c r="D543" s="4"/>
      <c r="E543" s="4"/>
      <c r="F543" s="17"/>
      <c r="G543" s="22"/>
    </row>
    <row r="544" spans="1:7" ht="15.75" thickBot="1">
      <c r="A544" s="3"/>
      <c r="B544" s="3"/>
      <c r="C544" s="4"/>
      <c r="D544" s="4"/>
      <c r="E544" s="4"/>
      <c r="F544" s="17"/>
      <c r="G544" s="22"/>
    </row>
    <row r="545" spans="1:7" ht="15.75" thickBot="1">
      <c r="A545" s="3"/>
      <c r="B545" s="3"/>
      <c r="C545" s="4"/>
      <c r="D545" s="4"/>
      <c r="E545" s="4"/>
      <c r="F545" s="17"/>
      <c r="G545" s="22"/>
    </row>
    <row r="546" spans="1:7" ht="15.75" thickBot="1">
      <c r="A546" s="3"/>
      <c r="B546" s="3"/>
      <c r="C546" s="4"/>
      <c r="D546" s="4"/>
      <c r="E546" s="4"/>
      <c r="F546" s="17"/>
      <c r="G546" s="22"/>
    </row>
    <row r="547" spans="1:7" ht="15.75" thickBot="1">
      <c r="A547" s="3"/>
      <c r="B547" s="3"/>
      <c r="C547" s="4"/>
      <c r="D547" s="4"/>
      <c r="E547" s="4"/>
      <c r="F547" s="17"/>
      <c r="G547" s="22"/>
    </row>
    <row r="548" spans="1:7" ht="15.75" thickBot="1">
      <c r="A548" s="3"/>
      <c r="B548" s="3"/>
      <c r="C548" s="4"/>
      <c r="D548" s="4"/>
      <c r="E548" s="4"/>
      <c r="F548" s="17"/>
      <c r="G548" s="22"/>
    </row>
    <row r="549" spans="1:7" ht="15.75" thickBot="1">
      <c r="A549" s="3"/>
      <c r="B549" s="3"/>
      <c r="C549" s="4"/>
      <c r="D549" s="4"/>
      <c r="E549" s="4"/>
      <c r="F549" s="17"/>
      <c r="G549" s="22"/>
    </row>
    <row r="550" spans="1:7" ht="15.75" thickBot="1">
      <c r="A550" s="3"/>
      <c r="B550" s="3"/>
      <c r="C550" s="4"/>
      <c r="D550" s="4"/>
      <c r="E550" s="4"/>
      <c r="F550" s="17"/>
      <c r="G550" s="22"/>
    </row>
    <row r="551" spans="1:7" ht="15.75" thickBot="1">
      <c r="A551" s="3"/>
      <c r="B551" s="3"/>
      <c r="C551" s="4"/>
      <c r="D551" s="4"/>
      <c r="E551" s="4"/>
      <c r="F551" s="17"/>
      <c r="G551" s="22"/>
    </row>
    <row r="552" spans="1:7" ht="15.75" thickBot="1">
      <c r="A552" s="3"/>
      <c r="B552" s="3"/>
      <c r="C552" s="4"/>
      <c r="D552" s="4"/>
      <c r="E552" s="4"/>
      <c r="F552" s="17"/>
      <c r="G552" s="22"/>
    </row>
    <row r="553" spans="1:7" ht="15.75" thickBot="1">
      <c r="A553" s="3"/>
      <c r="B553" s="3"/>
      <c r="C553" s="4"/>
      <c r="D553" s="4"/>
      <c r="E553" s="4"/>
      <c r="F553" s="17"/>
      <c r="G553" s="22"/>
    </row>
    <row r="554" spans="1:7" ht="15.75" thickBot="1">
      <c r="A554" s="3"/>
      <c r="B554" s="3"/>
      <c r="C554" s="4"/>
      <c r="D554" s="4"/>
      <c r="E554" s="4"/>
      <c r="F554" s="17"/>
      <c r="G554" s="22"/>
    </row>
    <row r="555" spans="1:7" ht="15.75" thickBot="1">
      <c r="A555" s="3"/>
      <c r="B555" s="3"/>
      <c r="C555" s="4"/>
      <c r="D555" s="4"/>
      <c r="E555" s="4"/>
      <c r="F555" s="17"/>
      <c r="G555" s="22"/>
    </row>
    <row r="556" spans="1:7" ht="15.75" thickBot="1">
      <c r="A556" s="3"/>
      <c r="B556" s="3"/>
      <c r="C556" s="4"/>
      <c r="D556" s="4"/>
      <c r="E556" s="4"/>
      <c r="F556" s="17"/>
      <c r="G556" s="22"/>
    </row>
    <row r="557" spans="1:7" ht="15.75" thickBot="1">
      <c r="A557" s="3"/>
      <c r="B557" s="3"/>
      <c r="C557" s="4"/>
      <c r="D557" s="4"/>
      <c r="E557" s="4"/>
      <c r="F557" s="17"/>
      <c r="G557" s="22"/>
    </row>
    <row r="558" spans="1:7" ht="15.75" thickBot="1">
      <c r="A558" s="3"/>
      <c r="B558" s="3"/>
      <c r="C558" s="4"/>
      <c r="D558" s="4"/>
      <c r="E558" s="4"/>
      <c r="F558" s="17"/>
      <c r="G558" s="22"/>
    </row>
    <row r="559" spans="1:7" ht="15.75" thickBot="1">
      <c r="A559" s="3"/>
      <c r="B559" s="3"/>
      <c r="C559" s="4"/>
      <c r="D559" s="4"/>
      <c r="E559" s="4"/>
      <c r="F559" s="17"/>
      <c r="G559" s="22"/>
    </row>
    <row r="560" spans="1:7" ht="15.75" thickBot="1">
      <c r="A560" s="3"/>
      <c r="B560" s="3"/>
      <c r="C560" s="4"/>
      <c r="D560" s="4"/>
      <c r="E560" s="4"/>
      <c r="F560" s="17"/>
      <c r="G560" s="22"/>
    </row>
    <row r="561" spans="1:7" ht="15.75" thickBot="1">
      <c r="A561" s="3"/>
      <c r="B561" s="3"/>
      <c r="C561" s="4"/>
      <c r="D561" s="4"/>
      <c r="E561" s="4"/>
      <c r="F561" s="17"/>
      <c r="G561" s="22"/>
    </row>
    <row r="562" spans="1:7" ht="15.75" thickBot="1">
      <c r="A562" s="3"/>
      <c r="B562" s="3"/>
      <c r="C562" s="4"/>
      <c r="D562" s="4"/>
      <c r="E562" s="4"/>
      <c r="F562" s="17"/>
      <c r="G562" s="22"/>
    </row>
    <row r="563" spans="1:7" ht="15.75" thickBot="1">
      <c r="A563" s="3"/>
      <c r="B563" s="3"/>
      <c r="C563" s="4"/>
      <c r="D563" s="4"/>
      <c r="E563" s="4"/>
      <c r="F563" s="17"/>
      <c r="G563" s="22"/>
    </row>
    <row r="564" spans="1:7" ht="15.75" thickBot="1">
      <c r="A564" s="3"/>
      <c r="B564" s="3"/>
      <c r="C564" s="4"/>
      <c r="D564" s="4"/>
      <c r="E564" s="4"/>
      <c r="F564" s="17"/>
      <c r="G564" s="22"/>
    </row>
    <row r="565" spans="1:7" ht="15.75" thickBot="1">
      <c r="A565" s="3"/>
      <c r="B565" s="3"/>
      <c r="C565" s="4"/>
      <c r="D565" s="4"/>
      <c r="E565" s="4"/>
      <c r="F565" s="17"/>
      <c r="G565" s="22"/>
    </row>
    <row r="566" spans="1:7" ht="15.75" thickBot="1">
      <c r="A566" s="3"/>
      <c r="B566" s="3"/>
      <c r="C566" s="4"/>
      <c r="D566" s="4"/>
      <c r="E566" s="4"/>
      <c r="F566" s="17"/>
      <c r="G566" s="22"/>
    </row>
    <row r="567" spans="1:7" ht="15.75" thickBot="1">
      <c r="A567" s="3"/>
      <c r="B567" s="3"/>
      <c r="C567" s="4"/>
      <c r="D567" s="4"/>
      <c r="E567" s="4"/>
      <c r="F567" s="17"/>
      <c r="G567" s="22"/>
    </row>
    <row r="568" spans="1:7" ht="15.75" thickBot="1">
      <c r="A568" s="3"/>
      <c r="B568" s="3"/>
      <c r="C568" s="4"/>
      <c r="D568" s="4"/>
      <c r="E568" s="4"/>
      <c r="F568" s="17"/>
      <c r="G568" s="22"/>
    </row>
    <row r="569" spans="1:7" ht="15.75" thickBot="1">
      <c r="A569" s="3"/>
      <c r="B569" s="3"/>
      <c r="C569" s="4"/>
      <c r="D569" s="4"/>
      <c r="E569" s="4"/>
      <c r="F569" s="17"/>
      <c r="G569" s="22"/>
    </row>
    <row r="570" spans="1:7" ht="15.75" thickBot="1">
      <c r="A570" s="3"/>
      <c r="B570" s="3"/>
      <c r="C570" s="4"/>
      <c r="D570" s="4"/>
      <c r="E570" s="4"/>
      <c r="F570" s="17"/>
      <c r="G570" s="22"/>
    </row>
    <row r="571" spans="1:7" ht="15.75" thickBot="1">
      <c r="A571" s="3"/>
      <c r="B571" s="3"/>
      <c r="C571" s="4"/>
      <c r="D571" s="4"/>
      <c r="E571" s="4"/>
      <c r="F571" s="17"/>
      <c r="G571" s="22"/>
    </row>
    <row r="572" spans="1:7" ht="15.75" thickBot="1">
      <c r="A572" s="3"/>
      <c r="B572" s="3"/>
      <c r="C572" s="4"/>
      <c r="D572" s="4"/>
      <c r="E572" s="4"/>
      <c r="F572" s="17"/>
      <c r="G572" s="22"/>
    </row>
    <row r="573" spans="1:7" ht="15.75" thickBot="1">
      <c r="A573" s="3"/>
      <c r="B573" s="3"/>
      <c r="C573" s="4"/>
      <c r="D573" s="4"/>
      <c r="E573" s="4"/>
      <c r="F573" s="17"/>
      <c r="G573" s="22"/>
    </row>
    <row r="574" spans="1:7" ht="15.75" thickBot="1">
      <c r="A574" s="3"/>
      <c r="B574" s="3"/>
      <c r="C574" s="4"/>
      <c r="D574" s="4"/>
      <c r="E574" s="4"/>
      <c r="F574" s="17"/>
      <c r="G574" s="22"/>
    </row>
    <row r="575" spans="1:7" ht="15.75" thickBot="1">
      <c r="A575" s="3"/>
      <c r="B575" s="3"/>
      <c r="C575" s="4"/>
      <c r="D575" s="4"/>
      <c r="E575" s="4"/>
      <c r="F575" s="17"/>
      <c r="G575" s="22"/>
    </row>
    <row r="576" spans="1:7" ht="15.75" thickBot="1">
      <c r="A576" s="3"/>
      <c r="B576" s="3"/>
      <c r="C576" s="4"/>
      <c r="D576" s="4"/>
      <c r="E576" s="4"/>
      <c r="F576" s="17"/>
      <c r="G576" s="22"/>
    </row>
    <row r="577" spans="1:7" ht="15.75" thickBot="1">
      <c r="A577" s="3"/>
      <c r="B577" s="3"/>
      <c r="C577" s="4"/>
      <c r="D577" s="4"/>
      <c r="E577" s="4"/>
      <c r="F577" s="17"/>
      <c r="G577" s="22"/>
    </row>
    <row r="578" spans="1:7" ht="15.75" thickBot="1">
      <c r="A578" s="3"/>
      <c r="B578" s="3"/>
      <c r="C578" s="4"/>
      <c r="D578" s="4"/>
      <c r="E578" s="4"/>
      <c r="F578" s="17"/>
      <c r="G578" s="22"/>
    </row>
    <row r="579" spans="1:7" ht="15.75" thickBot="1">
      <c r="A579" s="3"/>
      <c r="B579" s="3"/>
      <c r="C579" s="4"/>
      <c r="D579" s="4"/>
      <c r="E579" s="4"/>
      <c r="F579" s="17"/>
      <c r="G579" s="22"/>
    </row>
    <row r="580" spans="1:7" ht="15.75" thickBot="1">
      <c r="A580" s="3"/>
      <c r="B580" s="3"/>
      <c r="C580" s="4"/>
      <c r="D580" s="4"/>
      <c r="E580" s="4"/>
      <c r="F580" s="17"/>
      <c r="G580" s="22"/>
    </row>
    <row r="581" spans="1:7" ht="15.75" thickBot="1">
      <c r="A581" s="3"/>
      <c r="B581" s="3"/>
      <c r="C581" s="4"/>
      <c r="D581" s="4"/>
      <c r="E581" s="4"/>
      <c r="F581" s="17"/>
      <c r="G581" s="22"/>
    </row>
    <row r="582" spans="1:7" ht="15.75" thickBot="1">
      <c r="A582" s="3"/>
      <c r="B582" s="3"/>
      <c r="C582" s="4"/>
      <c r="D582" s="4"/>
      <c r="E582" s="4"/>
      <c r="F582" s="17"/>
      <c r="G582" s="22"/>
    </row>
    <row r="583" spans="1:7" ht="15.75" thickBot="1">
      <c r="A583" s="3"/>
      <c r="B583" s="3"/>
      <c r="C583" s="4"/>
      <c r="D583" s="4"/>
      <c r="E583" s="4"/>
      <c r="F583" s="17"/>
      <c r="G583" s="22"/>
    </row>
    <row r="584" spans="1:7" ht="15.75" thickBot="1">
      <c r="A584" s="3"/>
      <c r="B584" s="3"/>
      <c r="C584" s="4"/>
      <c r="D584" s="4"/>
      <c r="E584" s="4"/>
      <c r="F584" s="17"/>
      <c r="G584" s="22"/>
    </row>
    <row r="585" spans="1:7" ht="15.75" thickBot="1">
      <c r="A585" s="3"/>
      <c r="B585" s="3"/>
      <c r="C585" s="4"/>
      <c r="D585" s="4"/>
      <c r="E585" s="4"/>
      <c r="F585" s="17"/>
      <c r="G585" s="22"/>
    </row>
    <row r="586" spans="1:7" ht="15.75" thickBot="1">
      <c r="A586" s="3"/>
      <c r="B586" s="3"/>
      <c r="C586" s="4"/>
      <c r="D586" s="4"/>
      <c r="E586" s="4"/>
      <c r="F586" s="17"/>
      <c r="G586" s="22"/>
    </row>
    <row r="587" spans="1:7" ht="15.75" thickBot="1">
      <c r="A587" s="3"/>
      <c r="B587" s="3"/>
      <c r="C587" s="4"/>
      <c r="D587" s="4"/>
      <c r="E587" s="4"/>
      <c r="F587" s="17"/>
      <c r="G587" s="22"/>
    </row>
    <row r="588" spans="1:7" ht="15.75" thickBot="1">
      <c r="A588" s="3"/>
      <c r="B588" s="3"/>
      <c r="C588" s="4"/>
      <c r="D588" s="4"/>
      <c r="E588" s="4"/>
      <c r="F588" s="17"/>
      <c r="G588" s="22"/>
    </row>
    <row r="589" spans="1:7" ht="15.75" thickBot="1">
      <c r="A589" s="3"/>
      <c r="B589" s="3"/>
      <c r="C589" s="4"/>
      <c r="D589" s="4"/>
      <c r="E589" s="4"/>
      <c r="F589" s="17"/>
      <c r="G589" s="22"/>
    </row>
    <row r="590" spans="1:7" ht="15.75" thickBot="1">
      <c r="A590" s="3"/>
      <c r="B590" s="3"/>
      <c r="C590" s="4"/>
      <c r="D590" s="4"/>
      <c r="E590" s="4"/>
      <c r="F590" s="17"/>
      <c r="G590" s="22"/>
    </row>
    <row r="591" spans="1:7" ht="15.75" thickBot="1">
      <c r="A591" s="3"/>
      <c r="B591" s="3"/>
      <c r="C591" s="4"/>
      <c r="D591" s="4"/>
      <c r="E591" s="4"/>
      <c r="F591" s="17"/>
      <c r="G591" s="22"/>
    </row>
    <row r="592" spans="1:7" ht="15.75" thickBot="1">
      <c r="A592" s="3"/>
      <c r="B592" s="3"/>
      <c r="C592" s="4"/>
      <c r="D592" s="4"/>
      <c r="E592" s="4"/>
      <c r="F592" s="17"/>
      <c r="G592" s="22"/>
    </row>
    <row r="593" spans="1:7" ht="15.75" thickBot="1">
      <c r="A593" s="3"/>
      <c r="B593" s="3"/>
      <c r="C593" s="4"/>
      <c r="D593" s="4"/>
      <c r="E593" s="4"/>
      <c r="F593" s="17"/>
      <c r="G593" s="22"/>
    </row>
    <row r="594" spans="1:7" ht="15.75" thickBot="1">
      <c r="A594" s="3"/>
      <c r="B594" s="3"/>
      <c r="C594" s="4"/>
      <c r="D594" s="4"/>
      <c r="E594" s="4"/>
      <c r="F594" s="17"/>
      <c r="G594" s="22"/>
    </row>
    <row r="595" spans="1:7" ht="15.75" thickBot="1">
      <c r="A595" s="3"/>
      <c r="B595" s="3"/>
      <c r="C595" s="4"/>
      <c r="D595" s="4"/>
      <c r="E595" s="4"/>
      <c r="F595" s="17"/>
      <c r="G595" s="22"/>
    </row>
    <row r="596" spans="1:7" ht="15.75" thickBot="1">
      <c r="A596" s="3"/>
      <c r="B596" s="3"/>
      <c r="C596" s="4"/>
      <c r="D596" s="4"/>
      <c r="E596" s="4"/>
      <c r="F596" s="17"/>
      <c r="G596" s="22"/>
    </row>
    <row r="597" spans="1:7" ht="15.75" thickBot="1">
      <c r="A597" s="3"/>
      <c r="B597" s="3"/>
      <c r="C597" s="4"/>
      <c r="D597" s="4"/>
      <c r="E597" s="4"/>
      <c r="F597" s="17"/>
      <c r="G597" s="22"/>
    </row>
    <row r="598" spans="1:7" ht="15.75" thickBot="1">
      <c r="A598" s="3"/>
      <c r="B598" s="3"/>
      <c r="C598" s="4"/>
      <c r="D598" s="4"/>
      <c r="E598" s="4"/>
      <c r="F598" s="17"/>
      <c r="G598" s="22"/>
    </row>
    <row r="599" spans="1:7" ht="15.75" thickBot="1">
      <c r="A599" s="3"/>
      <c r="B599" s="3"/>
      <c r="C599" s="4"/>
      <c r="D599" s="4"/>
      <c r="E599" s="4"/>
      <c r="F599" s="17"/>
      <c r="G599" s="22"/>
    </row>
    <row r="600" spans="1:7" ht="15.75" thickBot="1">
      <c r="A600" s="3"/>
      <c r="B600" s="3"/>
      <c r="C600" s="4"/>
      <c r="D600" s="4"/>
      <c r="E600" s="4"/>
      <c r="F600" s="17"/>
      <c r="G600" s="22"/>
    </row>
    <row r="601" spans="1:7" ht="15.75" thickBot="1">
      <c r="A601" s="3"/>
      <c r="B601" s="3"/>
      <c r="C601" s="4"/>
      <c r="D601" s="4"/>
      <c r="E601" s="4"/>
      <c r="F601" s="17"/>
      <c r="G601" s="22"/>
    </row>
    <row r="602" spans="1:7" ht="15.75" thickBot="1">
      <c r="A602" s="3"/>
      <c r="B602" s="3"/>
      <c r="C602" s="4"/>
      <c r="D602" s="4"/>
      <c r="E602" s="4"/>
      <c r="F602" s="17"/>
      <c r="G602" s="22"/>
    </row>
    <row r="603" spans="1:7" ht="15.75" thickBot="1">
      <c r="A603" s="3"/>
      <c r="B603" s="3"/>
      <c r="C603" s="4"/>
      <c r="D603" s="4"/>
      <c r="E603" s="4"/>
      <c r="F603" s="17"/>
      <c r="G603" s="22"/>
    </row>
    <row r="604" spans="1:7" ht="15.75" thickBot="1">
      <c r="A604" s="3"/>
      <c r="B604" s="3"/>
      <c r="C604" s="4"/>
      <c r="D604" s="4"/>
      <c r="E604" s="4"/>
      <c r="F604" s="17"/>
      <c r="G604" s="22"/>
    </row>
    <row r="605" spans="1:7" ht="15.75" thickBot="1">
      <c r="A605" s="3"/>
      <c r="B605" s="3"/>
      <c r="C605" s="4"/>
      <c r="D605" s="4"/>
      <c r="E605" s="4"/>
      <c r="F605" s="17"/>
      <c r="G605" s="22"/>
    </row>
    <row r="606" spans="1:7" ht="15.75" thickBot="1">
      <c r="A606" s="3"/>
      <c r="B606" s="3"/>
      <c r="C606" s="4"/>
      <c r="D606" s="4"/>
      <c r="E606" s="4"/>
      <c r="F606" s="17"/>
      <c r="G606" s="22"/>
    </row>
    <row r="607" spans="1:7" ht="15.75" thickBot="1">
      <c r="A607" s="3"/>
      <c r="B607" s="3"/>
      <c r="C607" s="4"/>
      <c r="D607" s="4"/>
      <c r="E607" s="4"/>
      <c r="F607" s="17"/>
      <c r="G607" s="22"/>
    </row>
    <row r="608" spans="1:7" ht="15.75" thickBot="1">
      <c r="A608" s="3"/>
      <c r="B608" s="3"/>
      <c r="C608" s="4"/>
      <c r="D608" s="4"/>
      <c r="E608" s="4"/>
      <c r="F608" s="17"/>
      <c r="G608" s="22"/>
    </row>
    <row r="609" spans="1:7" ht="15.75" thickBot="1">
      <c r="A609" s="3"/>
      <c r="B609" s="3"/>
      <c r="C609" s="4"/>
      <c r="D609" s="4"/>
      <c r="E609" s="4"/>
      <c r="F609" s="17"/>
      <c r="G609" s="22"/>
    </row>
    <row r="610" spans="1:7" ht="15.75" thickBot="1">
      <c r="A610" s="3"/>
      <c r="B610" s="3"/>
      <c r="C610" s="4"/>
      <c r="D610" s="4"/>
      <c r="E610" s="4"/>
      <c r="F610" s="17"/>
      <c r="G610" s="22"/>
    </row>
    <row r="611" spans="1:7" ht="15.75" thickBot="1">
      <c r="A611" s="3"/>
      <c r="B611" s="3"/>
      <c r="C611" s="4"/>
      <c r="D611" s="4"/>
      <c r="E611" s="4"/>
      <c r="F611" s="17"/>
      <c r="G611" s="22"/>
    </row>
    <row r="612" spans="1:7" ht="15.75" thickBot="1">
      <c r="A612" s="3"/>
      <c r="B612" s="3"/>
      <c r="C612" s="4"/>
      <c r="D612" s="4"/>
      <c r="E612" s="4"/>
      <c r="F612" s="17"/>
      <c r="G612" s="22"/>
    </row>
    <row r="613" spans="1:7" ht="15.75" thickBot="1">
      <c r="A613" s="3"/>
      <c r="B613" s="3"/>
      <c r="C613" s="4"/>
      <c r="D613" s="4"/>
      <c r="E613" s="4"/>
      <c r="F613" s="17"/>
      <c r="G613" s="22"/>
    </row>
    <row r="614" spans="1:7" ht="15.75" thickBot="1">
      <c r="A614" s="3"/>
      <c r="B614" s="3"/>
      <c r="C614" s="4"/>
      <c r="D614" s="4"/>
      <c r="E614" s="4"/>
      <c r="F614" s="17"/>
      <c r="G614" s="22"/>
    </row>
    <row r="615" spans="1:7" ht="15.75" thickBot="1">
      <c r="A615" s="3"/>
      <c r="B615" s="3"/>
      <c r="C615" s="4"/>
      <c r="D615" s="4"/>
      <c r="E615" s="4"/>
      <c r="F615" s="17"/>
      <c r="G615" s="22"/>
    </row>
    <row r="616" spans="1:7" ht="15.75" thickBot="1">
      <c r="A616" s="3"/>
      <c r="B616" s="3"/>
      <c r="C616" s="4"/>
      <c r="D616" s="4"/>
      <c r="E616" s="4"/>
      <c r="F616" s="17"/>
      <c r="G616" s="22"/>
    </row>
    <row r="617" spans="1:7" ht="15.75" thickBot="1">
      <c r="A617" s="3"/>
      <c r="B617" s="3"/>
      <c r="C617" s="4"/>
      <c r="D617" s="4"/>
      <c r="E617" s="4"/>
      <c r="F617" s="17"/>
      <c r="G617" s="22"/>
    </row>
    <row r="618" spans="1:7" ht="15.75" thickBot="1">
      <c r="A618" s="3"/>
      <c r="B618" s="3"/>
      <c r="C618" s="4"/>
      <c r="D618" s="4"/>
      <c r="E618" s="4"/>
      <c r="F618" s="17"/>
      <c r="G618" s="22"/>
    </row>
    <row r="619" spans="1:7" ht="15.75" thickBot="1">
      <c r="A619" s="3"/>
      <c r="B619" s="3"/>
      <c r="C619" s="4"/>
      <c r="D619" s="4"/>
      <c r="E619" s="4"/>
      <c r="F619" s="17"/>
      <c r="G619" s="22"/>
    </row>
    <row r="620" spans="1:7" ht="15.75" thickBot="1">
      <c r="A620" s="3"/>
      <c r="B620" s="3"/>
      <c r="C620" s="4"/>
      <c r="D620" s="4"/>
      <c r="E620" s="4"/>
      <c r="F620" s="17"/>
      <c r="G620" s="22"/>
    </row>
    <row r="621" spans="1:7" ht="15.75" thickBot="1">
      <c r="A621" s="3"/>
      <c r="B621" s="3"/>
      <c r="C621" s="4"/>
      <c r="D621" s="4"/>
      <c r="E621" s="4"/>
      <c r="F621" s="17"/>
      <c r="G621" s="22"/>
    </row>
    <row r="622" spans="1:7" ht="15.75" thickBot="1">
      <c r="A622" s="3"/>
      <c r="B622" s="3"/>
      <c r="C622" s="4"/>
      <c r="D622" s="4"/>
      <c r="E622" s="4"/>
      <c r="F622" s="17"/>
      <c r="G622" s="22"/>
    </row>
    <row r="623" spans="1:7" ht="15.75" thickBot="1">
      <c r="A623" s="3"/>
      <c r="B623" s="3"/>
      <c r="C623" s="4"/>
      <c r="D623" s="4"/>
      <c r="E623" s="4"/>
      <c r="F623" s="17"/>
      <c r="G623" s="22"/>
    </row>
    <row r="624" spans="1:7" ht="15.75" thickBot="1">
      <c r="A624" s="3"/>
      <c r="B624" s="3"/>
      <c r="C624" s="4"/>
      <c r="D624" s="4"/>
      <c r="E624" s="4"/>
      <c r="F624" s="17"/>
      <c r="G624" s="22"/>
    </row>
    <row r="625" spans="1:7" ht="15.75" thickBot="1">
      <c r="A625" s="3"/>
      <c r="B625" s="3"/>
      <c r="C625" s="4"/>
      <c r="D625" s="4"/>
      <c r="E625" s="4"/>
      <c r="F625" s="17"/>
      <c r="G625" s="22"/>
    </row>
    <row r="626" spans="1:7" ht="15.75" thickBot="1">
      <c r="A626" s="3"/>
      <c r="B626" s="3"/>
      <c r="C626" s="4"/>
      <c r="D626" s="4"/>
      <c r="E626" s="4"/>
      <c r="F626" s="17"/>
      <c r="G626" s="22"/>
    </row>
    <row r="627" spans="1:7" ht="15.75" thickBot="1">
      <c r="A627" s="3"/>
      <c r="B627" s="3"/>
      <c r="C627" s="4"/>
      <c r="D627" s="4"/>
      <c r="E627" s="4"/>
      <c r="F627" s="17"/>
      <c r="G627" s="22"/>
    </row>
    <row r="628" spans="1:7" ht="15.75" thickBot="1">
      <c r="A628" s="3"/>
      <c r="B628" s="3"/>
      <c r="C628" s="4"/>
      <c r="D628" s="4"/>
      <c r="E628" s="4"/>
      <c r="F628" s="17"/>
      <c r="G628" s="22"/>
    </row>
    <row r="629" spans="1:7" ht="15.75" thickBot="1">
      <c r="A629" s="3"/>
      <c r="B629" s="3"/>
      <c r="C629" s="4"/>
      <c r="D629" s="4"/>
      <c r="E629" s="4"/>
      <c r="F629" s="17"/>
      <c r="G629" s="22"/>
    </row>
    <row r="630" spans="1:7" ht="15.75" thickBot="1">
      <c r="A630" s="3"/>
      <c r="B630" s="3"/>
      <c r="C630" s="4"/>
      <c r="D630" s="4"/>
      <c r="E630" s="4"/>
      <c r="F630" s="17"/>
      <c r="G630" s="22"/>
    </row>
    <row r="631" spans="1:7" ht="15.75" thickBot="1">
      <c r="A631" s="3"/>
      <c r="B631" s="3"/>
      <c r="C631" s="4"/>
      <c r="D631" s="4"/>
      <c r="E631" s="4"/>
      <c r="F631" s="17"/>
      <c r="G631" s="22"/>
    </row>
    <row r="632" spans="1:7" ht="15.75" thickBot="1">
      <c r="A632" s="3"/>
      <c r="B632" s="3"/>
      <c r="C632" s="4"/>
      <c r="D632" s="4"/>
      <c r="E632" s="4"/>
      <c r="F632" s="17"/>
      <c r="G632" s="22"/>
    </row>
    <row r="633" spans="1:7" ht="15.75" thickBot="1">
      <c r="A633" s="3"/>
      <c r="B633" s="3"/>
      <c r="C633" s="4"/>
      <c r="D633" s="4"/>
      <c r="E633" s="4"/>
      <c r="F633" s="17"/>
      <c r="G633" s="22"/>
    </row>
    <row r="634" spans="1:7" ht="15.75" thickBot="1">
      <c r="A634" s="3"/>
      <c r="B634" s="3"/>
      <c r="C634" s="4"/>
      <c r="D634" s="4"/>
      <c r="E634" s="4"/>
      <c r="F634" s="17"/>
      <c r="G634" s="22"/>
    </row>
    <row r="635" spans="1:7" ht="15.75" thickBot="1">
      <c r="A635" s="3"/>
      <c r="B635" s="3"/>
      <c r="C635" s="4"/>
      <c r="D635" s="4"/>
      <c r="E635" s="4"/>
      <c r="F635" s="17"/>
      <c r="G635" s="22"/>
    </row>
    <row r="636" spans="1:7" ht="15.75" thickBot="1">
      <c r="A636" s="3"/>
      <c r="B636" s="3"/>
      <c r="C636" s="4"/>
      <c r="D636" s="4"/>
      <c r="E636" s="4"/>
      <c r="F636" s="17"/>
      <c r="G636" s="22"/>
    </row>
    <row r="637" spans="1:7" ht="15.75" thickBot="1">
      <c r="A637" s="3"/>
      <c r="B637" s="3"/>
      <c r="C637" s="4"/>
      <c r="D637" s="4"/>
      <c r="E637" s="4"/>
      <c r="F637" s="17"/>
      <c r="G637" s="22"/>
    </row>
    <row r="638" spans="1:7" ht="15.75" thickBot="1">
      <c r="A638" s="3"/>
      <c r="B638" s="3"/>
      <c r="C638" s="4"/>
      <c r="D638" s="4"/>
      <c r="E638" s="4"/>
      <c r="F638" s="17"/>
      <c r="G638" s="22"/>
    </row>
    <row r="639" spans="1:7" ht="15.75" thickBot="1">
      <c r="A639" s="3"/>
      <c r="B639" s="3"/>
      <c r="C639" s="4"/>
      <c r="D639" s="4"/>
      <c r="E639" s="4"/>
      <c r="F639" s="17"/>
      <c r="G639" s="22"/>
    </row>
    <row r="640" spans="1:7" ht="15.75" thickBot="1">
      <c r="A640" s="3"/>
      <c r="B640" s="3"/>
      <c r="C640" s="4"/>
      <c r="D640" s="4"/>
      <c r="E640" s="4"/>
      <c r="F640" s="17"/>
      <c r="G640" s="22"/>
    </row>
    <row r="641" spans="1:7" ht="15.75" thickBot="1">
      <c r="A641" s="3"/>
      <c r="B641" s="3"/>
      <c r="C641" s="4"/>
      <c r="D641" s="4"/>
      <c r="E641" s="4"/>
      <c r="F641" s="17"/>
      <c r="G641" s="22"/>
    </row>
    <row r="642" spans="1:7" ht="15.75" thickBot="1">
      <c r="A642" s="3"/>
      <c r="B642" s="3"/>
      <c r="C642" s="4"/>
      <c r="D642" s="4"/>
      <c r="E642" s="4"/>
      <c r="F642" s="17"/>
      <c r="G642" s="22"/>
    </row>
    <row r="643" spans="1:7" ht="15.75" thickBot="1">
      <c r="A643" s="3"/>
      <c r="B643" s="3"/>
      <c r="C643" s="4"/>
      <c r="D643" s="4"/>
      <c r="E643" s="4"/>
      <c r="F643" s="17"/>
      <c r="G643" s="22"/>
    </row>
    <row r="644" spans="1:7" ht="15.75" thickBot="1">
      <c r="A644" s="3"/>
      <c r="B644" s="3"/>
      <c r="C644" s="4"/>
      <c r="D644" s="4"/>
      <c r="E644" s="4"/>
      <c r="F644" s="17"/>
      <c r="G644" s="22"/>
    </row>
    <row r="645" spans="1:7" ht="15.75" thickBot="1">
      <c r="A645" s="3"/>
      <c r="B645" s="3"/>
      <c r="C645" s="4"/>
      <c r="D645" s="4"/>
      <c r="E645" s="4"/>
      <c r="F645" s="17"/>
      <c r="G645" s="22"/>
    </row>
    <row r="646" spans="1:7" ht="15.75" thickBot="1">
      <c r="A646" s="3"/>
      <c r="B646" s="3"/>
      <c r="C646" s="4"/>
      <c r="D646" s="4"/>
      <c r="E646" s="4"/>
      <c r="F646" s="17"/>
      <c r="G646" s="22"/>
    </row>
    <row r="647" spans="1:7" ht="15.75" thickBot="1">
      <c r="A647" s="3"/>
      <c r="B647" s="3"/>
      <c r="C647" s="4"/>
      <c r="D647" s="4"/>
      <c r="E647" s="4"/>
      <c r="F647" s="17"/>
      <c r="G647" s="22"/>
    </row>
    <row r="648" spans="1:7" ht="15.75" thickBot="1">
      <c r="A648" s="3"/>
      <c r="B648" s="3"/>
      <c r="C648" s="4"/>
      <c r="D648" s="4"/>
      <c r="E648" s="4"/>
      <c r="F648" s="17"/>
      <c r="G648" s="22"/>
    </row>
    <row r="649" spans="1:7" ht="15.75" thickBot="1">
      <c r="A649" s="3"/>
      <c r="B649" s="3"/>
      <c r="C649" s="4"/>
      <c r="D649" s="4"/>
      <c r="E649" s="4"/>
      <c r="F649" s="17"/>
      <c r="G649" s="22"/>
    </row>
    <row r="650" spans="1:7" ht="15.75" thickBot="1">
      <c r="A650" s="3"/>
      <c r="B650" s="3"/>
      <c r="C650" s="4"/>
      <c r="D650" s="4"/>
      <c r="E650" s="4"/>
      <c r="F650" s="17"/>
      <c r="G650" s="22"/>
    </row>
    <row r="651" spans="1:7" ht="15.75" thickBot="1">
      <c r="A651" s="3"/>
      <c r="B651" s="3"/>
      <c r="C651" s="4"/>
      <c r="D651" s="4"/>
      <c r="E651" s="4"/>
      <c r="F651" s="17"/>
      <c r="G651" s="22"/>
    </row>
    <row r="652" spans="1:7" ht="15.75" thickBot="1">
      <c r="A652" s="3"/>
      <c r="B652" s="3"/>
      <c r="C652" s="4"/>
      <c r="D652" s="4"/>
      <c r="E652" s="4"/>
      <c r="F652" s="17"/>
      <c r="G652" s="22"/>
    </row>
    <row r="653" spans="1:7" ht="15.75" thickBot="1">
      <c r="A653" s="3"/>
      <c r="B653" s="3"/>
      <c r="C653" s="4"/>
      <c r="D653" s="4"/>
      <c r="E653" s="4"/>
      <c r="F653" s="17"/>
      <c r="G653" s="22"/>
    </row>
    <row r="654" spans="1:7" ht="15.75" thickBot="1">
      <c r="A654" s="3"/>
      <c r="B654" s="3"/>
      <c r="C654" s="4"/>
      <c r="D654" s="4"/>
      <c r="E654" s="4"/>
      <c r="F654" s="17"/>
      <c r="G654" s="22"/>
    </row>
    <row r="655" spans="1:7" ht="15.75" thickBot="1">
      <c r="A655" s="3"/>
      <c r="B655" s="3"/>
      <c r="C655" s="4"/>
      <c r="D655" s="4"/>
      <c r="E655" s="4"/>
      <c r="F655" s="17"/>
      <c r="G655" s="22"/>
    </row>
    <row r="656" spans="1:7" ht="15.75" thickBot="1">
      <c r="A656" s="3"/>
      <c r="B656" s="3"/>
      <c r="C656" s="4"/>
      <c r="D656" s="4"/>
      <c r="E656" s="4"/>
      <c r="F656" s="17"/>
      <c r="G656" s="22"/>
    </row>
    <row r="657" spans="1:7" ht="15.75" thickBot="1">
      <c r="A657" s="3"/>
      <c r="B657" s="3"/>
      <c r="C657" s="4"/>
      <c r="D657" s="4"/>
      <c r="E657" s="4"/>
      <c r="F657" s="17"/>
      <c r="G657" s="22"/>
    </row>
    <row r="658" spans="1:7" ht="15.75" thickBot="1">
      <c r="A658" s="3"/>
      <c r="B658" s="3"/>
      <c r="C658" s="4"/>
      <c r="D658" s="4"/>
      <c r="E658" s="4"/>
      <c r="F658" s="17"/>
      <c r="G658" s="22"/>
    </row>
    <row r="659" spans="1:7" ht="15.75" thickBot="1">
      <c r="A659" s="3"/>
      <c r="B659" s="3"/>
      <c r="C659" s="4"/>
      <c r="D659" s="4"/>
      <c r="E659" s="4"/>
      <c r="F659" s="17"/>
      <c r="G659" s="22"/>
    </row>
    <row r="660" spans="1:7" ht="15.75" thickBot="1">
      <c r="A660" s="3"/>
      <c r="B660" s="3"/>
      <c r="C660" s="4"/>
      <c r="D660" s="4"/>
      <c r="E660" s="4"/>
      <c r="F660" s="17"/>
      <c r="G660" s="22"/>
    </row>
    <row r="661" spans="1:7" ht="15.75" thickBot="1">
      <c r="A661" s="3"/>
      <c r="B661" s="3"/>
      <c r="C661" s="4"/>
      <c r="D661" s="4"/>
      <c r="E661" s="4"/>
      <c r="F661" s="17"/>
      <c r="G661" s="22"/>
    </row>
    <row r="662" spans="1:7" ht="15.75" thickBot="1">
      <c r="A662" s="3"/>
      <c r="B662" s="3"/>
      <c r="C662" s="4"/>
      <c r="D662" s="4"/>
      <c r="E662" s="4"/>
      <c r="F662" s="17"/>
      <c r="G662" s="22"/>
    </row>
    <row r="663" spans="1:7" ht="15.75" thickBot="1">
      <c r="A663" s="3"/>
      <c r="B663" s="3"/>
      <c r="C663" s="4"/>
      <c r="D663" s="4"/>
      <c r="E663" s="4"/>
      <c r="F663" s="17"/>
      <c r="G663" s="22"/>
    </row>
    <row r="664" spans="1:7" ht="15.75" thickBot="1">
      <c r="A664" s="3"/>
      <c r="B664" s="3"/>
      <c r="C664" s="4"/>
      <c r="D664" s="4"/>
      <c r="E664" s="4"/>
      <c r="F664" s="17"/>
      <c r="G664" s="22"/>
    </row>
    <row r="665" spans="1:7" ht="15.75" thickBot="1">
      <c r="A665" s="3"/>
      <c r="B665" s="3"/>
      <c r="C665" s="4"/>
      <c r="D665" s="4"/>
      <c r="E665" s="4"/>
      <c r="F665" s="17"/>
      <c r="G665" s="22"/>
    </row>
    <row r="666" spans="1:7" ht="15.75" thickBot="1">
      <c r="A666" s="3"/>
      <c r="B666" s="3"/>
      <c r="C666" s="4"/>
      <c r="D666" s="4"/>
      <c r="E666" s="4"/>
      <c r="F666" s="17"/>
      <c r="G666" s="22"/>
    </row>
    <row r="667" spans="1:7" ht="15.75" thickBot="1">
      <c r="A667" s="3"/>
      <c r="B667" s="3"/>
      <c r="C667" s="4"/>
      <c r="D667" s="4"/>
      <c r="E667" s="4"/>
      <c r="F667" s="17"/>
      <c r="G667" s="22"/>
    </row>
    <row r="668" spans="1:7" ht="15.75" thickBot="1">
      <c r="A668" s="3"/>
      <c r="B668" s="3"/>
      <c r="C668" s="4"/>
      <c r="D668" s="4"/>
      <c r="E668" s="4"/>
      <c r="F668" s="17"/>
      <c r="G668" s="22"/>
    </row>
    <row r="669" spans="1:7" ht="15.75" thickBot="1">
      <c r="A669" s="3"/>
      <c r="B669" s="3"/>
      <c r="C669" s="4"/>
      <c r="D669" s="4"/>
      <c r="E669" s="4"/>
      <c r="F669" s="17"/>
      <c r="G669" s="22"/>
    </row>
    <row r="670" spans="1:7" ht="15.75" thickBot="1">
      <c r="A670" s="3"/>
      <c r="B670" s="3"/>
      <c r="C670" s="4"/>
      <c r="D670" s="4"/>
      <c r="E670" s="4"/>
      <c r="F670" s="17"/>
      <c r="G670" s="22"/>
    </row>
    <row r="671" spans="1:7" ht="15.75" thickBot="1">
      <c r="A671" s="3"/>
      <c r="B671" s="3"/>
      <c r="C671" s="4"/>
      <c r="D671" s="4"/>
      <c r="E671" s="4"/>
      <c r="F671" s="17"/>
      <c r="G671" s="22"/>
    </row>
    <row r="672" spans="1:7" ht="15.75" thickBot="1">
      <c r="A672" s="3"/>
      <c r="B672" s="3"/>
      <c r="C672" s="4"/>
      <c r="D672" s="4"/>
      <c r="E672" s="4"/>
      <c r="F672" s="17"/>
      <c r="G672" s="22"/>
    </row>
    <row r="673" spans="1:7" ht="15.75" thickBot="1">
      <c r="A673" s="3"/>
      <c r="B673" s="3"/>
      <c r="C673" s="4"/>
      <c r="D673" s="4"/>
      <c r="E673" s="4"/>
      <c r="F673" s="17"/>
      <c r="G673" s="22"/>
    </row>
    <row r="674" spans="1:7" ht="15.75" thickBot="1">
      <c r="A674" s="3"/>
      <c r="B674" s="3"/>
      <c r="C674" s="4"/>
      <c r="D674" s="4"/>
      <c r="E674" s="4"/>
      <c r="F674" s="17"/>
      <c r="G674" s="22"/>
    </row>
    <row r="675" spans="1:7" ht="15.75" thickBot="1">
      <c r="A675" s="3"/>
      <c r="B675" s="3"/>
      <c r="C675" s="4"/>
      <c r="D675" s="4"/>
      <c r="E675" s="4"/>
      <c r="F675" s="17"/>
      <c r="G675" s="22"/>
    </row>
    <row r="676" spans="1:7" ht="15.75" thickBot="1">
      <c r="A676" s="3"/>
      <c r="B676" s="3"/>
      <c r="C676" s="4"/>
      <c r="D676" s="4"/>
      <c r="E676" s="4"/>
      <c r="F676" s="17"/>
      <c r="G676" s="22"/>
    </row>
    <row r="677" spans="1:7" ht="15.75" thickBot="1">
      <c r="A677" s="3"/>
      <c r="B677" s="3"/>
      <c r="C677" s="4"/>
      <c r="D677" s="4"/>
      <c r="E677" s="4"/>
      <c r="F677" s="17"/>
      <c r="G677" s="22"/>
    </row>
    <row r="678" spans="1:7" ht="15.75" thickBot="1">
      <c r="A678" s="3"/>
      <c r="B678" s="3"/>
      <c r="C678" s="4"/>
      <c r="D678" s="4"/>
      <c r="E678" s="4"/>
      <c r="F678" s="17"/>
      <c r="G678" s="22"/>
    </row>
    <row r="679" spans="1:7" ht="15.75" thickBot="1">
      <c r="A679" s="3"/>
      <c r="B679" s="3"/>
      <c r="C679" s="4"/>
      <c r="D679" s="4"/>
      <c r="E679" s="4"/>
      <c r="F679" s="17"/>
      <c r="G679" s="22"/>
    </row>
    <row r="680" spans="1:7" ht="15.75" thickBot="1">
      <c r="A680" s="3"/>
      <c r="B680" s="3"/>
      <c r="C680" s="4"/>
      <c r="D680" s="4"/>
      <c r="E680" s="4"/>
      <c r="F680" s="17"/>
      <c r="G680" s="22"/>
    </row>
    <row r="681" spans="1:7" ht="15.75" thickBot="1">
      <c r="A681" s="3"/>
      <c r="B681" s="3"/>
      <c r="C681" s="4"/>
      <c r="D681" s="4"/>
      <c r="E681" s="4"/>
      <c r="F681" s="17"/>
      <c r="G681" s="22"/>
    </row>
    <row r="682" spans="1:7" ht="15.75" thickBot="1">
      <c r="A682" s="3"/>
      <c r="B682" s="3"/>
      <c r="C682" s="4"/>
      <c r="D682" s="4"/>
      <c r="E682" s="4"/>
      <c r="F682" s="17"/>
      <c r="G682" s="22"/>
    </row>
    <row r="683" spans="1:7" ht="15.75" thickBot="1">
      <c r="A683" s="3"/>
      <c r="B683" s="3"/>
      <c r="C683" s="4"/>
      <c r="D683" s="4"/>
      <c r="E683" s="4"/>
      <c r="F683" s="17"/>
      <c r="G683" s="22"/>
    </row>
    <row r="684" spans="1:7" ht="15.75" thickBot="1">
      <c r="A684" s="3"/>
      <c r="B684" s="3"/>
      <c r="C684" s="4"/>
      <c r="D684" s="4"/>
      <c r="E684" s="4"/>
      <c r="F684" s="17"/>
      <c r="G684" s="22"/>
    </row>
    <row r="685" spans="1:7" ht="15.75" thickBot="1">
      <c r="A685" s="3"/>
      <c r="B685" s="3"/>
      <c r="C685" s="4"/>
      <c r="D685" s="4"/>
      <c r="E685" s="4"/>
      <c r="F685" s="17"/>
      <c r="G685" s="22"/>
    </row>
    <row r="686" spans="1:7" ht="15.75" thickBot="1">
      <c r="A686" s="3"/>
      <c r="B686" s="3"/>
      <c r="C686" s="4"/>
      <c r="D686" s="4"/>
      <c r="E686" s="4"/>
      <c r="F686" s="17"/>
      <c r="G686" s="22"/>
    </row>
    <row r="687" spans="1:7" ht="15.75" thickBot="1">
      <c r="A687" s="3"/>
      <c r="B687" s="3"/>
      <c r="C687" s="4"/>
      <c r="D687" s="4"/>
      <c r="E687" s="4"/>
      <c r="F687" s="17"/>
      <c r="G687" s="22"/>
    </row>
    <row r="688" spans="1:7" ht="15.75" thickBot="1">
      <c r="A688" s="3"/>
      <c r="B688" s="3"/>
      <c r="C688" s="4"/>
      <c r="D688" s="4"/>
      <c r="E688" s="4"/>
      <c r="F688" s="17"/>
      <c r="G688" s="22"/>
    </row>
    <row r="689" spans="1:7" ht="15.75" thickBot="1">
      <c r="A689" s="3"/>
      <c r="B689" s="3"/>
      <c r="C689" s="4"/>
      <c r="D689" s="4"/>
      <c r="E689" s="4"/>
      <c r="F689" s="17"/>
      <c r="G689" s="22"/>
    </row>
    <row r="690" spans="1:7" ht="15.75" thickBot="1">
      <c r="A690" s="3"/>
      <c r="B690" s="3"/>
      <c r="C690" s="4"/>
      <c r="D690" s="4"/>
      <c r="E690" s="4"/>
      <c r="F690" s="17"/>
      <c r="G690" s="22"/>
    </row>
    <row r="691" spans="1:7" ht="15.75" thickBot="1">
      <c r="A691" s="3"/>
      <c r="B691" s="3"/>
      <c r="C691" s="4"/>
      <c r="D691" s="4"/>
      <c r="E691" s="4"/>
      <c r="F691" s="17"/>
      <c r="G691" s="22"/>
    </row>
    <row r="692" spans="1:7" ht="15.75" thickBot="1">
      <c r="A692" s="3"/>
      <c r="B692" s="3"/>
      <c r="C692" s="4"/>
      <c r="D692" s="4"/>
      <c r="E692" s="4"/>
      <c r="F692" s="17"/>
      <c r="G692" s="22"/>
    </row>
    <row r="693" spans="1:7" ht="15.75" thickBot="1">
      <c r="A693" s="3"/>
      <c r="B693" s="3"/>
      <c r="C693" s="4"/>
      <c r="D693" s="4"/>
      <c r="E693" s="4"/>
      <c r="F693" s="17"/>
      <c r="G693" s="22"/>
    </row>
    <row r="694" spans="1:7" ht="15.75" thickBot="1">
      <c r="A694" s="3"/>
      <c r="B694" s="3"/>
      <c r="C694" s="4"/>
      <c r="D694" s="4"/>
      <c r="E694" s="4"/>
      <c r="F694" s="17"/>
      <c r="G694" s="22"/>
    </row>
    <row r="695" spans="1:7" ht="15.75" thickBot="1">
      <c r="A695" s="3"/>
      <c r="B695" s="3"/>
      <c r="C695" s="4"/>
      <c r="D695" s="4"/>
      <c r="E695" s="4"/>
      <c r="F695" s="17"/>
      <c r="G695" s="22"/>
    </row>
    <row r="696" spans="1:7" ht="15.75" thickBot="1">
      <c r="A696" s="3"/>
      <c r="B696" s="3"/>
      <c r="C696" s="4"/>
      <c r="D696" s="4"/>
      <c r="E696" s="4"/>
      <c r="F696" s="17"/>
      <c r="G696" s="22"/>
    </row>
    <row r="697" spans="1:7" ht="15.75" thickBot="1">
      <c r="A697" s="3"/>
      <c r="B697" s="3"/>
      <c r="C697" s="4"/>
      <c r="D697" s="4"/>
      <c r="E697" s="4"/>
      <c r="F697" s="17"/>
      <c r="G697" s="22"/>
    </row>
    <row r="698" spans="1:7" ht="15.75" thickBot="1">
      <c r="A698" s="3"/>
      <c r="B698" s="3"/>
      <c r="C698" s="4"/>
      <c r="D698" s="4"/>
      <c r="E698" s="4"/>
      <c r="F698" s="17"/>
      <c r="G698" s="22"/>
    </row>
    <row r="699" spans="1:7" ht="15.75" thickBot="1">
      <c r="A699" s="3"/>
      <c r="B699" s="3"/>
      <c r="C699" s="4"/>
      <c r="D699" s="4"/>
      <c r="E699" s="4"/>
      <c r="F699" s="17"/>
      <c r="G699" s="22"/>
    </row>
    <row r="700" spans="1:7" ht="15.75" thickBot="1">
      <c r="A700" s="3"/>
      <c r="B700" s="3"/>
      <c r="C700" s="4"/>
      <c r="D700" s="4"/>
      <c r="E700" s="4"/>
      <c r="F700" s="17"/>
      <c r="G700" s="22"/>
    </row>
    <row r="701" spans="1:7" ht="15.75" thickBot="1">
      <c r="A701" s="3"/>
      <c r="B701" s="3"/>
      <c r="C701" s="4"/>
      <c r="D701" s="4"/>
      <c r="E701" s="4"/>
      <c r="F701" s="17"/>
      <c r="G701" s="22"/>
    </row>
    <row r="702" spans="1:7" ht="15.75" thickBot="1">
      <c r="A702" s="3"/>
      <c r="B702" s="3"/>
      <c r="C702" s="4"/>
      <c r="D702" s="4"/>
      <c r="E702" s="4"/>
      <c r="F702" s="17"/>
      <c r="G702" s="22"/>
    </row>
    <row r="703" spans="1:7" ht="15.75" thickBot="1">
      <c r="A703" s="3"/>
      <c r="B703" s="3"/>
      <c r="C703" s="4"/>
      <c r="D703" s="4"/>
      <c r="E703" s="4"/>
      <c r="F703" s="17"/>
      <c r="G703" s="22"/>
    </row>
    <row r="704" spans="1:7" ht="15.75" thickBot="1">
      <c r="A704" s="3"/>
      <c r="B704" s="3"/>
      <c r="C704" s="4"/>
      <c r="D704" s="4"/>
      <c r="E704" s="4"/>
      <c r="F704" s="17"/>
      <c r="G704" s="22"/>
    </row>
    <row r="705" spans="1:7" ht="15.75" thickBot="1">
      <c r="A705" s="3"/>
      <c r="B705" s="3"/>
      <c r="C705" s="4"/>
      <c r="D705" s="4"/>
      <c r="E705" s="4"/>
      <c r="F705" s="17"/>
      <c r="G705" s="22"/>
    </row>
    <row r="706" spans="1:7" ht="15.75" thickBot="1">
      <c r="A706" s="3"/>
      <c r="B706" s="3"/>
      <c r="C706" s="4"/>
      <c r="D706" s="4"/>
      <c r="E706" s="4"/>
      <c r="F706" s="17"/>
      <c r="G706" s="22"/>
    </row>
    <row r="707" spans="1:7" ht="15.75" thickBot="1">
      <c r="A707" s="3"/>
      <c r="B707" s="3"/>
      <c r="C707" s="4"/>
      <c r="D707" s="4"/>
      <c r="E707" s="4"/>
      <c r="F707" s="17"/>
      <c r="G707" s="22"/>
    </row>
    <row r="708" spans="1:7" ht="15.75" thickBot="1">
      <c r="A708" s="3"/>
      <c r="B708" s="3"/>
      <c r="C708" s="4"/>
      <c r="D708" s="4"/>
      <c r="E708" s="4"/>
      <c r="F708" s="17"/>
      <c r="G708" s="22"/>
    </row>
    <row r="709" spans="1:7" ht="15.75" thickBot="1">
      <c r="A709" s="3"/>
      <c r="B709" s="3"/>
      <c r="C709" s="4"/>
      <c r="D709" s="4"/>
      <c r="E709" s="4"/>
      <c r="F709" s="17"/>
      <c r="G709" s="22"/>
    </row>
    <row r="710" spans="1:7" ht="15.75" thickBot="1">
      <c r="A710" s="3"/>
      <c r="B710" s="3"/>
      <c r="C710" s="4"/>
      <c r="D710" s="4"/>
      <c r="E710" s="4"/>
      <c r="F710" s="17"/>
      <c r="G710" s="22"/>
    </row>
    <row r="711" spans="1:7" ht="15.75" thickBot="1">
      <c r="A711" s="3"/>
      <c r="B711" s="3"/>
      <c r="C711" s="4"/>
      <c r="D711" s="4"/>
      <c r="E711" s="4"/>
      <c r="F711" s="17"/>
      <c r="G711" s="22"/>
    </row>
    <row r="712" spans="1:7" ht="15.75" thickBot="1">
      <c r="A712" s="3"/>
      <c r="B712" s="3"/>
      <c r="C712" s="4"/>
      <c r="D712" s="4"/>
      <c r="E712" s="4"/>
      <c r="F712" s="17"/>
      <c r="G712" s="22"/>
    </row>
    <row r="713" spans="1:7" ht="15.75" thickBot="1">
      <c r="A713" s="3"/>
      <c r="B713" s="3"/>
      <c r="C713" s="4"/>
      <c r="D713" s="4"/>
      <c r="E713" s="4"/>
      <c r="F713" s="17"/>
      <c r="G713" s="22"/>
    </row>
    <row r="714" spans="1:7" ht="15.75" thickBot="1">
      <c r="A714" s="3"/>
      <c r="B714" s="3"/>
      <c r="C714" s="4"/>
      <c r="D714" s="4"/>
      <c r="E714" s="4"/>
      <c r="F714" s="17"/>
      <c r="G714" s="22"/>
    </row>
    <row r="715" spans="1:7" ht="15.75" thickBot="1">
      <c r="A715" s="3"/>
      <c r="B715" s="3"/>
      <c r="C715" s="4"/>
      <c r="D715" s="4"/>
      <c r="E715" s="4"/>
      <c r="F715" s="17"/>
      <c r="G715" s="22"/>
    </row>
    <row r="716" spans="1:7" ht="15.75" thickBot="1">
      <c r="A716" s="3"/>
      <c r="B716" s="3"/>
      <c r="C716" s="4"/>
      <c r="D716" s="4"/>
      <c r="E716" s="4"/>
      <c r="F716" s="17"/>
      <c r="G716" s="22"/>
    </row>
    <row r="717" spans="1:7" ht="15.75" thickBot="1">
      <c r="A717" s="3"/>
      <c r="B717" s="3"/>
      <c r="C717" s="4"/>
      <c r="D717" s="4"/>
      <c r="E717" s="4"/>
      <c r="F717" s="17"/>
      <c r="G717" s="22"/>
    </row>
    <row r="718" spans="1:7" ht="15.75" thickBot="1">
      <c r="A718" s="3"/>
      <c r="B718" s="3"/>
      <c r="C718" s="4"/>
      <c r="D718" s="4"/>
      <c r="E718" s="4"/>
      <c r="F718" s="17"/>
      <c r="G718" s="22"/>
    </row>
    <row r="719" spans="1:7" ht="15.75" thickBot="1">
      <c r="A719" s="3"/>
      <c r="B719" s="3"/>
      <c r="C719" s="4"/>
      <c r="D719" s="4"/>
      <c r="E719" s="4"/>
      <c r="F719" s="17"/>
      <c r="G719" s="22"/>
    </row>
    <row r="720" spans="1:7" ht="15.75" thickBot="1">
      <c r="A720" s="3"/>
      <c r="B720" s="3"/>
      <c r="C720" s="4"/>
      <c r="D720" s="4"/>
      <c r="E720" s="4"/>
      <c r="F720" s="17"/>
      <c r="G720" s="22"/>
    </row>
    <row r="721" spans="1:7" ht="15.75" thickBot="1">
      <c r="A721" s="3"/>
      <c r="B721" s="3"/>
      <c r="C721" s="4"/>
      <c r="D721" s="4"/>
      <c r="E721" s="4"/>
      <c r="F721" s="17"/>
      <c r="G721" s="22"/>
    </row>
    <row r="722" spans="1:7" ht="15.75" thickBot="1">
      <c r="A722" s="3"/>
      <c r="B722" s="3"/>
      <c r="C722" s="4"/>
      <c r="D722" s="4"/>
      <c r="E722" s="4"/>
      <c r="F722" s="17"/>
      <c r="G722" s="22"/>
    </row>
    <row r="723" spans="1:7" ht="15.75" thickBot="1">
      <c r="A723" s="3"/>
      <c r="B723" s="3"/>
      <c r="C723" s="4"/>
      <c r="D723" s="4"/>
      <c r="E723" s="4"/>
      <c r="F723" s="17"/>
      <c r="G723" s="22"/>
    </row>
    <row r="724" spans="1:7" ht="15.75" thickBot="1">
      <c r="A724" s="3"/>
      <c r="B724" s="3"/>
      <c r="C724" s="4"/>
      <c r="D724" s="4"/>
      <c r="E724" s="4"/>
      <c r="F724" s="17"/>
      <c r="G724" s="22"/>
    </row>
    <row r="725" spans="1:7" ht="15.75" thickBot="1">
      <c r="A725" s="3"/>
      <c r="B725" s="3"/>
      <c r="C725" s="4"/>
      <c r="D725" s="4"/>
      <c r="E725" s="4"/>
      <c r="F725" s="17"/>
      <c r="G725" s="22"/>
    </row>
    <row r="726" spans="1:7" ht="15.75" thickBot="1">
      <c r="A726" s="3"/>
      <c r="B726" s="3"/>
      <c r="C726" s="4"/>
      <c r="D726" s="4"/>
      <c r="E726" s="4"/>
      <c r="F726" s="17"/>
      <c r="G726" s="22"/>
    </row>
    <row r="727" spans="1:7" ht="15.75" thickBot="1">
      <c r="A727" s="3"/>
      <c r="B727" s="3"/>
      <c r="C727" s="4"/>
      <c r="D727" s="4"/>
      <c r="E727" s="4"/>
      <c r="F727" s="17"/>
      <c r="G727" s="22"/>
    </row>
    <row r="728" spans="1:7" ht="15.75" thickBot="1">
      <c r="A728" s="3"/>
      <c r="B728" s="3"/>
      <c r="C728" s="4"/>
      <c r="D728" s="4"/>
      <c r="E728" s="4"/>
      <c r="F728" s="17"/>
      <c r="G728" s="22"/>
    </row>
    <row r="729" spans="1:7" ht="15.75" thickBot="1">
      <c r="A729" s="3"/>
      <c r="B729" s="3"/>
      <c r="C729" s="4"/>
      <c r="D729" s="4"/>
      <c r="E729" s="4"/>
      <c r="F729" s="17"/>
      <c r="G729" s="22"/>
    </row>
    <row r="730" spans="1:7" ht="15.75" thickBot="1">
      <c r="A730" s="3"/>
      <c r="B730" s="3"/>
      <c r="C730" s="4"/>
      <c r="D730" s="4"/>
      <c r="E730" s="4"/>
      <c r="F730" s="17"/>
      <c r="G730" s="22"/>
    </row>
    <row r="731" spans="1:7" ht="15.75" thickBot="1">
      <c r="A731" s="3"/>
      <c r="B731" s="3"/>
      <c r="C731" s="4"/>
      <c r="D731" s="4"/>
      <c r="E731" s="4"/>
      <c r="F731" s="17"/>
      <c r="G731" s="22"/>
    </row>
    <row r="732" spans="1:7" ht="15.75" thickBot="1">
      <c r="A732" s="3"/>
      <c r="B732" s="3"/>
      <c r="C732" s="4"/>
      <c r="D732" s="4"/>
      <c r="E732" s="4"/>
      <c r="F732" s="17"/>
      <c r="G732" s="22"/>
    </row>
    <row r="733" spans="1:7" ht="15.75" thickBot="1">
      <c r="A733" s="3"/>
      <c r="B733" s="3"/>
      <c r="C733" s="4"/>
      <c r="D733" s="4"/>
      <c r="E733" s="4"/>
      <c r="F733" s="17"/>
      <c r="G733" s="22"/>
    </row>
    <row r="734" spans="1:7" ht="15.75" thickBot="1">
      <c r="A734" s="3"/>
      <c r="B734" s="3"/>
      <c r="C734" s="4"/>
      <c r="D734" s="4"/>
      <c r="E734" s="4"/>
      <c r="F734" s="17"/>
      <c r="G734" s="22"/>
    </row>
    <row r="735" spans="1:7" ht="15.75" thickBot="1">
      <c r="A735" s="3"/>
      <c r="B735" s="3"/>
      <c r="C735" s="4"/>
      <c r="D735" s="4"/>
      <c r="E735" s="4"/>
      <c r="F735" s="17"/>
      <c r="G735" s="22"/>
    </row>
    <row r="736" spans="1:7" ht="15.75" thickBot="1">
      <c r="A736" s="3"/>
      <c r="B736" s="3"/>
      <c r="C736" s="4"/>
      <c r="D736" s="4"/>
      <c r="E736" s="4"/>
      <c r="F736" s="17"/>
      <c r="G736" s="22"/>
    </row>
    <row r="737" spans="1:7" ht="15.75" thickBot="1">
      <c r="A737" s="3"/>
      <c r="B737" s="3"/>
      <c r="C737" s="4"/>
      <c r="D737" s="4"/>
      <c r="E737" s="4"/>
      <c r="F737" s="17"/>
      <c r="G737" s="22"/>
    </row>
    <row r="738" spans="1:7" ht="15.75" thickBot="1">
      <c r="A738" s="3"/>
      <c r="B738" s="3"/>
      <c r="C738" s="4"/>
      <c r="D738" s="4"/>
      <c r="E738" s="4"/>
      <c r="F738" s="17"/>
      <c r="G738" s="22"/>
    </row>
    <row r="739" spans="1:7" ht="15.75" thickBot="1">
      <c r="A739" s="3"/>
      <c r="B739" s="3"/>
      <c r="C739" s="4"/>
      <c r="D739" s="4"/>
      <c r="E739" s="4"/>
      <c r="F739" s="17"/>
      <c r="G739" s="22"/>
    </row>
    <row r="740" spans="1:7" ht="15.75" thickBot="1">
      <c r="A740" s="3"/>
      <c r="B740" s="3"/>
      <c r="C740" s="4"/>
      <c r="D740" s="4"/>
      <c r="E740" s="4"/>
      <c r="F740" s="17"/>
      <c r="G740" s="22"/>
    </row>
    <row r="741" spans="1:7" ht="15.75" thickBot="1">
      <c r="A741" s="3"/>
      <c r="B741" s="3"/>
      <c r="C741" s="4"/>
      <c r="D741" s="4"/>
      <c r="E741" s="4"/>
      <c r="F741" s="17"/>
      <c r="G741" s="22"/>
    </row>
    <row r="742" spans="1:7" ht="15.75" thickBot="1">
      <c r="A742" s="3"/>
      <c r="B742" s="3"/>
      <c r="C742" s="4"/>
      <c r="D742" s="4"/>
      <c r="E742" s="4"/>
      <c r="F742" s="17"/>
      <c r="G742" s="22"/>
    </row>
    <row r="743" spans="1:7" ht="15.75" thickBot="1">
      <c r="A743" s="3"/>
      <c r="B743" s="3"/>
      <c r="C743" s="4"/>
      <c r="D743" s="4"/>
      <c r="E743" s="4"/>
      <c r="F743" s="17"/>
      <c r="G743" s="22"/>
    </row>
    <row r="744" spans="1:7" ht="15.75" thickBot="1">
      <c r="A744" s="3"/>
      <c r="B744" s="3"/>
      <c r="C744" s="4"/>
      <c r="D744" s="4"/>
      <c r="E744" s="4"/>
      <c r="F744" s="17"/>
      <c r="G744" s="22"/>
    </row>
    <row r="745" spans="1:7" ht="15.75" thickBot="1">
      <c r="A745" s="3"/>
      <c r="B745" s="3"/>
      <c r="C745" s="4"/>
      <c r="D745" s="4"/>
      <c r="E745" s="4"/>
      <c r="F745" s="17"/>
      <c r="G745" s="22"/>
    </row>
    <row r="746" spans="1:7" ht="15.75" thickBot="1">
      <c r="A746" s="3"/>
      <c r="B746" s="3"/>
      <c r="C746" s="4"/>
      <c r="D746" s="4"/>
      <c r="E746" s="4"/>
      <c r="F746" s="17"/>
      <c r="G746" s="22"/>
    </row>
    <row r="747" spans="1:7" ht="15.75" thickBot="1">
      <c r="A747" s="3"/>
      <c r="B747" s="3"/>
      <c r="C747" s="4"/>
      <c r="D747" s="4"/>
      <c r="E747" s="4"/>
      <c r="F747" s="17"/>
      <c r="G747" s="22"/>
    </row>
    <row r="748" spans="1:7" ht="15.75" thickBot="1">
      <c r="A748" s="3"/>
      <c r="B748" s="3"/>
      <c r="C748" s="4"/>
      <c r="D748" s="4"/>
      <c r="E748" s="4"/>
      <c r="F748" s="17"/>
      <c r="G748" s="22"/>
    </row>
    <row r="749" spans="1:7" ht="15.75" thickBot="1">
      <c r="A749" s="3"/>
      <c r="B749" s="3"/>
      <c r="C749" s="4"/>
      <c r="D749" s="4"/>
      <c r="E749" s="4"/>
      <c r="F749" s="17"/>
      <c r="G749" s="22"/>
    </row>
    <row r="750" spans="1:7" ht="15.75" thickBot="1">
      <c r="A750" s="3"/>
      <c r="B750" s="3"/>
      <c r="C750" s="4"/>
      <c r="D750" s="4"/>
      <c r="E750" s="4"/>
      <c r="F750" s="17"/>
      <c r="G750" s="22"/>
    </row>
    <row r="751" spans="1:7" ht="15.75" thickBot="1">
      <c r="A751" s="3"/>
      <c r="B751" s="3"/>
      <c r="C751" s="4"/>
      <c r="D751" s="4"/>
      <c r="E751" s="4"/>
      <c r="F751" s="17"/>
      <c r="G751" s="22"/>
    </row>
    <row r="752" spans="1:7" ht="15.75" thickBot="1">
      <c r="A752" s="3"/>
      <c r="B752" s="3"/>
      <c r="C752" s="4"/>
      <c r="D752" s="4"/>
      <c r="E752" s="4"/>
      <c r="F752" s="17"/>
      <c r="G752" s="22"/>
    </row>
    <row r="753" spans="1:7" ht="15.75" thickBot="1">
      <c r="A753" s="3"/>
      <c r="B753" s="3"/>
      <c r="C753" s="4"/>
      <c r="D753" s="4"/>
      <c r="E753" s="4"/>
      <c r="F753" s="17"/>
      <c r="G753" s="22"/>
    </row>
    <row r="754" spans="1:7" ht="15.75" thickBot="1">
      <c r="A754" s="3"/>
      <c r="B754" s="3"/>
      <c r="C754" s="4"/>
      <c r="D754" s="4"/>
      <c r="E754" s="4"/>
      <c r="F754" s="17"/>
      <c r="G754" s="22"/>
    </row>
    <row r="755" spans="1:7" ht="15.75" thickBot="1">
      <c r="A755" s="3"/>
      <c r="B755" s="3"/>
      <c r="C755" s="4"/>
      <c r="D755" s="4"/>
      <c r="E755" s="4"/>
      <c r="F755" s="17"/>
      <c r="G755" s="22"/>
    </row>
    <row r="756" spans="1:7" ht="15.75" thickBot="1">
      <c r="A756" s="3"/>
      <c r="B756" s="3"/>
      <c r="C756" s="4"/>
      <c r="D756" s="4"/>
      <c r="E756" s="4"/>
      <c r="F756" s="17"/>
      <c r="G756" s="22"/>
    </row>
    <row r="757" spans="1:7" ht="15.75" thickBot="1">
      <c r="A757" s="3"/>
      <c r="B757" s="3"/>
      <c r="C757" s="4"/>
      <c r="D757" s="4"/>
      <c r="E757" s="4"/>
      <c r="F757" s="17"/>
      <c r="G757" s="22"/>
    </row>
    <row r="758" spans="1:7" ht="15.75" thickBot="1">
      <c r="A758" s="3"/>
      <c r="B758" s="3"/>
      <c r="C758" s="4"/>
      <c r="D758" s="4"/>
      <c r="E758" s="4"/>
      <c r="F758" s="17"/>
      <c r="G758" s="22"/>
    </row>
    <row r="759" spans="1:7" ht="15.75" thickBot="1">
      <c r="A759" s="3"/>
      <c r="B759" s="3"/>
      <c r="C759" s="4"/>
      <c r="D759" s="4"/>
      <c r="E759" s="4"/>
      <c r="F759" s="17"/>
      <c r="G759" s="22"/>
    </row>
    <row r="760" spans="1:7" ht="15.75" thickBot="1">
      <c r="A760" s="3"/>
      <c r="B760" s="3"/>
      <c r="C760" s="4"/>
      <c r="D760" s="4"/>
      <c r="E760" s="4"/>
      <c r="F760" s="17"/>
      <c r="G760" s="22"/>
    </row>
    <row r="761" spans="1:7" ht="15.75" thickBot="1">
      <c r="A761" s="3"/>
      <c r="B761" s="3"/>
      <c r="C761" s="4"/>
      <c r="D761" s="4"/>
      <c r="E761" s="4"/>
      <c r="F761" s="17"/>
      <c r="G761" s="22"/>
    </row>
    <row r="762" spans="1:7" ht="15.75" thickBot="1">
      <c r="A762" s="3"/>
      <c r="B762" s="3"/>
      <c r="C762" s="4"/>
      <c r="D762" s="4"/>
      <c r="E762" s="4"/>
      <c r="F762" s="17"/>
      <c r="G762" s="22"/>
    </row>
    <row r="763" spans="1:7" ht="15.75" thickBot="1">
      <c r="A763" s="3"/>
      <c r="B763" s="3"/>
      <c r="C763" s="4"/>
      <c r="D763" s="4"/>
      <c r="E763" s="4"/>
      <c r="F763" s="17"/>
      <c r="G763" s="22"/>
    </row>
    <row r="764" spans="1:7" ht="15.75" thickBot="1">
      <c r="A764" s="3"/>
      <c r="B764" s="3"/>
      <c r="C764" s="4"/>
      <c r="D764" s="4"/>
      <c r="E764" s="4"/>
      <c r="F764" s="17"/>
      <c r="G764" s="22"/>
    </row>
    <row r="765" spans="1:7" ht="15.75" thickBot="1">
      <c r="A765" s="3"/>
      <c r="B765" s="3"/>
      <c r="C765" s="4"/>
      <c r="D765" s="4"/>
      <c r="E765" s="4"/>
      <c r="F765" s="17"/>
      <c r="G765" s="22"/>
    </row>
    <row r="766" spans="1:7" ht="15.75" thickBot="1">
      <c r="A766" s="3"/>
      <c r="B766" s="3"/>
      <c r="C766" s="4"/>
      <c r="D766" s="4"/>
      <c r="E766" s="4"/>
      <c r="F766" s="17"/>
      <c r="G766" s="22"/>
    </row>
    <row r="767" spans="1:7" ht="15.75" thickBot="1">
      <c r="A767" s="3"/>
      <c r="B767" s="3"/>
      <c r="C767" s="4"/>
      <c r="D767" s="4"/>
      <c r="E767" s="4"/>
      <c r="F767" s="17"/>
      <c r="G767" s="22"/>
    </row>
    <row r="768" spans="1:7" ht="15.75" thickBot="1">
      <c r="A768" s="3"/>
      <c r="B768" s="3"/>
      <c r="C768" s="4"/>
      <c r="D768" s="4"/>
      <c r="E768" s="4"/>
      <c r="F768" s="17"/>
      <c r="G768" s="22"/>
    </row>
    <row r="769" spans="1:7" ht="15.75" thickBot="1">
      <c r="A769" s="3"/>
      <c r="B769" s="3"/>
      <c r="C769" s="4"/>
      <c r="D769" s="4"/>
      <c r="E769" s="4"/>
      <c r="F769" s="17"/>
      <c r="G769" s="22"/>
    </row>
    <row r="770" spans="1:7" ht="15.75" thickBot="1">
      <c r="A770" s="3"/>
      <c r="B770" s="3"/>
      <c r="C770" s="4"/>
      <c r="D770" s="4"/>
      <c r="E770" s="4"/>
      <c r="F770" s="17"/>
      <c r="G770" s="22"/>
    </row>
    <row r="771" spans="1:7" ht="15.75" thickBot="1">
      <c r="A771" s="3"/>
      <c r="B771" s="3"/>
      <c r="C771" s="4"/>
      <c r="D771" s="4"/>
      <c r="E771" s="4"/>
      <c r="F771" s="17"/>
      <c r="G771" s="22"/>
    </row>
    <row r="772" spans="1:7" ht="15.75" thickBot="1">
      <c r="A772" s="3"/>
      <c r="B772" s="3"/>
      <c r="C772" s="4"/>
      <c r="D772" s="4"/>
      <c r="E772" s="4"/>
      <c r="F772" s="17"/>
      <c r="G772" s="22"/>
    </row>
    <row r="773" spans="1:7" ht="15.75" thickBot="1">
      <c r="A773" s="3"/>
      <c r="B773" s="3"/>
      <c r="C773" s="4"/>
      <c r="D773" s="4"/>
      <c r="E773" s="4"/>
      <c r="F773" s="17"/>
      <c r="G773" s="22"/>
    </row>
    <row r="774" spans="1:7" ht="15.75" thickBot="1">
      <c r="A774" s="3"/>
      <c r="B774" s="3"/>
      <c r="C774" s="4"/>
      <c r="D774" s="4"/>
      <c r="E774" s="4"/>
      <c r="F774" s="17"/>
      <c r="G774" s="22"/>
    </row>
    <row r="775" spans="1:7" ht="15.75" thickBot="1">
      <c r="A775" s="3"/>
      <c r="B775" s="3"/>
      <c r="C775" s="4"/>
      <c r="D775" s="4"/>
      <c r="E775" s="4"/>
      <c r="F775" s="17"/>
      <c r="G775" s="22"/>
    </row>
    <row r="776" spans="1:7" ht="15.75" thickBot="1">
      <c r="A776" s="3"/>
      <c r="B776" s="3"/>
      <c r="C776" s="4"/>
      <c r="D776" s="4"/>
      <c r="E776" s="4"/>
      <c r="F776" s="17"/>
      <c r="G776" s="22"/>
    </row>
    <row r="777" spans="1:7" ht="15.75" thickBot="1">
      <c r="A777" s="3"/>
      <c r="B777" s="3"/>
      <c r="C777" s="4"/>
      <c r="D777" s="4"/>
      <c r="E777" s="4"/>
      <c r="F777" s="17"/>
      <c r="G777" s="22"/>
    </row>
    <row r="778" spans="1:7" ht="15.75" thickBot="1">
      <c r="A778" s="3"/>
      <c r="B778" s="3"/>
      <c r="C778" s="4"/>
      <c r="D778" s="4"/>
      <c r="E778" s="4"/>
      <c r="F778" s="17"/>
      <c r="G778" s="22"/>
    </row>
    <row r="779" spans="1:7" ht="15.75" thickBot="1">
      <c r="A779" s="3"/>
      <c r="B779" s="3"/>
      <c r="C779" s="4"/>
      <c r="D779" s="4"/>
      <c r="E779" s="4"/>
      <c r="F779" s="17"/>
      <c r="G779" s="22"/>
    </row>
    <row r="780" spans="1:7" ht="15.75" thickBot="1">
      <c r="A780" s="3"/>
      <c r="B780" s="3"/>
      <c r="C780" s="4"/>
      <c r="D780" s="4"/>
      <c r="E780" s="4"/>
      <c r="F780" s="17"/>
      <c r="G780" s="22"/>
    </row>
    <row r="781" spans="1:7" ht="15.75" thickBot="1">
      <c r="A781" s="3"/>
      <c r="B781" s="3"/>
      <c r="C781" s="4"/>
      <c r="D781" s="4"/>
      <c r="E781" s="4"/>
      <c r="F781" s="17"/>
      <c r="G781" s="22"/>
    </row>
    <row r="782" spans="1:7" ht="15.75" thickBot="1">
      <c r="A782" s="3"/>
      <c r="B782" s="3"/>
      <c r="C782" s="4"/>
      <c r="D782" s="4"/>
      <c r="E782" s="4"/>
      <c r="F782" s="17"/>
      <c r="G782" s="22"/>
    </row>
    <row r="783" spans="1:7" ht="15.75" thickBot="1">
      <c r="A783" s="3"/>
      <c r="B783" s="3"/>
      <c r="C783" s="4"/>
      <c r="D783" s="4"/>
      <c r="E783" s="4"/>
      <c r="F783" s="17"/>
      <c r="G783" s="22"/>
    </row>
    <row r="784" spans="1:7" ht="15.75" thickBot="1">
      <c r="A784" s="3"/>
      <c r="B784" s="3"/>
      <c r="C784" s="4"/>
      <c r="D784" s="4"/>
      <c r="E784" s="4"/>
      <c r="F784" s="17"/>
      <c r="G784" s="22"/>
    </row>
    <row r="785" spans="1:7" ht="15.75" thickBot="1">
      <c r="A785" s="3"/>
      <c r="B785" s="3"/>
      <c r="C785" s="4"/>
      <c r="D785" s="4"/>
      <c r="E785" s="4"/>
      <c r="F785" s="17"/>
      <c r="G785" s="22"/>
    </row>
    <row r="786" spans="1:7" ht="15.75" thickBot="1">
      <c r="A786" s="3"/>
      <c r="B786" s="3"/>
      <c r="C786" s="4"/>
      <c r="D786" s="4"/>
      <c r="E786" s="4"/>
      <c r="F786" s="17"/>
      <c r="G786" s="22"/>
    </row>
    <row r="787" spans="1:7" ht="15.75" thickBot="1">
      <c r="A787" s="3"/>
      <c r="B787" s="3"/>
      <c r="C787" s="4"/>
      <c r="D787" s="4"/>
      <c r="E787" s="4"/>
      <c r="F787" s="17"/>
      <c r="G787" s="22"/>
    </row>
    <row r="788" spans="1:7" ht="15.75" thickBot="1">
      <c r="A788" s="3"/>
      <c r="B788" s="3"/>
      <c r="C788" s="4"/>
      <c r="D788" s="4"/>
      <c r="E788" s="4"/>
      <c r="F788" s="17"/>
      <c r="G788" s="22"/>
    </row>
    <row r="789" spans="1:7" ht="15.75" thickBot="1">
      <c r="A789" s="3"/>
      <c r="B789" s="3"/>
      <c r="C789" s="4"/>
      <c r="D789" s="4"/>
      <c r="E789" s="4"/>
      <c r="F789" s="17"/>
      <c r="G789" s="22"/>
    </row>
    <row r="790" spans="1:7" ht="15.75" thickBot="1">
      <c r="A790" s="3"/>
      <c r="B790" s="3"/>
      <c r="C790" s="4"/>
      <c r="D790" s="4"/>
      <c r="E790" s="4"/>
      <c r="F790" s="17"/>
      <c r="G790" s="22"/>
    </row>
    <row r="791" spans="1:7" ht="15.75" thickBot="1">
      <c r="A791" s="3"/>
      <c r="B791" s="3"/>
      <c r="C791" s="4"/>
      <c r="D791" s="4"/>
      <c r="E791" s="4"/>
      <c r="F791" s="17"/>
      <c r="G791" s="22"/>
    </row>
    <row r="792" spans="1:7" ht="15.75" thickBot="1">
      <c r="A792" s="3"/>
      <c r="B792" s="3"/>
      <c r="C792" s="4"/>
      <c r="D792" s="4"/>
      <c r="E792" s="4"/>
      <c r="F792" s="17"/>
      <c r="G792" s="22"/>
    </row>
    <row r="793" spans="1:7" ht="15.75" thickBot="1">
      <c r="A793" s="3"/>
      <c r="B793" s="3"/>
      <c r="C793" s="4"/>
      <c r="D793" s="4"/>
      <c r="E793" s="4"/>
      <c r="F793" s="17"/>
      <c r="G793" s="22"/>
    </row>
    <row r="794" spans="1:7" ht="15.75" thickBot="1">
      <c r="A794" s="3"/>
      <c r="B794" s="3"/>
      <c r="C794" s="4"/>
      <c r="D794" s="4"/>
      <c r="E794" s="4"/>
      <c r="F794" s="17"/>
      <c r="G794" s="22"/>
    </row>
    <row r="795" spans="1:7" ht="15.75" thickBot="1">
      <c r="A795" s="3"/>
      <c r="B795" s="3"/>
      <c r="C795" s="4"/>
      <c r="D795" s="4"/>
      <c r="E795" s="4"/>
      <c r="F795" s="17"/>
      <c r="G795" s="22"/>
    </row>
    <row r="796" spans="1:7" ht="15.75" thickBot="1">
      <c r="A796" s="3"/>
      <c r="B796" s="3"/>
      <c r="C796" s="4"/>
      <c r="D796" s="4"/>
      <c r="E796" s="4"/>
      <c r="F796" s="17"/>
      <c r="G796" s="22"/>
    </row>
    <row r="797" spans="1:7" ht="15.75" thickBot="1">
      <c r="A797" s="3"/>
      <c r="B797" s="3"/>
      <c r="C797" s="4"/>
      <c r="D797" s="4"/>
      <c r="E797" s="4"/>
      <c r="F797" s="17"/>
      <c r="G797" s="22"/>
    </row>
    <row r="798" spans="1:7" ht="15.75" thickBot="1">
      <c r="A798" s="3"/>
      <c r="B798" s="3"/>
      <c r="C798" s="4"/>
      <c r="D798" s="4"/>
      <c r="E798" s="4"/>
      <c r="F798" s="17"/>
      <c r="G798" s="22"/>
    </row>
    <row r="799" spans="1:7" ht="15.75" thickBot="1">
      <c r="A799" s="3"/>
      <c r="B799" s="3"/>
      <c r="C799" s="4"/>
      <c r="D799" s="4"/>
      <c r="E799" s="4"/>
      <c r="F799" s="17"/>
      <c r="G799" s="22"/>
    </row>
    <row r="800" spans="1:7" ht="15.75" thickBot="1">
      <c r="A800" s="3"/>
      <c r="B800" s="3"/>
      <c r="C800" s="4"/>
      <c r="D800" s="4"/>
      <c r="E800" s="4"/>
      <c r="F800" s="17"/>
      <c r="G800" s="22"/>
    </row>
    <row r="801" spans="1:7" ht="15.75" thickBot="1">
      <c r="A801" s="3"/>
      <c r="B801" s="3"/>
      <c r="C801" s="4"/>
      <c r="D801" s="4"/>
      <c r="E801" s="4"/>
      <c r="F801" s="17"/>
      <c r="G801" s="22"/>
    </row>
    <row r="802" spans="1:7" ht="15.75" thickBot="1">
      <c r="A802" s="3"/>
      <c r="B802" s="3"/>
      <c r="C802" s="4"/>
      <c r="D802" s="4"/>
      <c r="E802" s="4"/>
      <c r="F802" s="17"/>
      <c r="G802" s="22"/>
    </row>
    <row r="803" spans="1:7" ht="15.75" thickBot="1">
      <c r="A803" s="3"/>
      <c r="B803" s="3"/>
      <c r="C803" s="4"/>
      <c r="D803" s="4"/>
      <c r="E803" s="4"/>
      <c r="F803" s="17"/>
      <c r="G803" s="22"/>
    </row>
    <row r="804" spans="1:7" ht="15.75" thickBot="1">
      <c r="A804" s="3"/>
      <c r="B804" s="3"/>
      <c r="C804" s="4"/>
      <c r="D804" s="4"/>
      <c r="E804" s="4"/>
      <c r="F804" s="17"/>
      <c r="G804" s="22"/>
    </row>
    <row r="805" spans="1:7" ht="15.75" thickBot="1">
      <c r="A805" s="3"/>
      <c r="B805" s="3"/>
      <c r="C805" s="4"/>
      <c r="D805" s="4"/>
      <c r="E805" s="4"/>
      <c r="F805" s="17"/>
      <c r="G805" s="22"/>
    </row>
    <row r="806" spans="1:7" ht="15.75" thickBot="1">
      <c r="A806" s="3"/>
      <c r="B806" s="3"/>
      <c r="C806" s="4"/>
      <c r="D806" s="4"/>
      <c r="E806" s="4"/>
      <c r="F806" s="17"/>
      <c r="G806" s="22"/>
    </row>
    <row r="807" spans="1:7" ht="15.75" thickBot="1">
      <c r="A807" s="3"/>
      <c r="B807" s="3"/>
      <c r="C807" s="4"/>
      <c r="D807" s="4"/>
      <c r="E807" s="4"/>
      <c r="F807" s="17"/>
      <c r="G807" s="22"/>
    </row>
    <row r="808" spans="1:7" ht="15.75" thickBot="1">
      <c r="A808" s="3"/>
      <c r="B808" s="3"/>
      <c r="C808" s="4"/>
      <c r="D808" s="4"/>
      <c r="E808" s="4"/>
      <c r="F808" s="17"/>
      <c r="G808" s="22"/>
    </row>
    <row r="809" spans="1:7" ht="15.75" thickBot="1">
      <c r="A809" s="3"/>
      <c r="B809" s="3"/>
      <c r="C809" s="4"/>
      <c r="D809" s="4"/>
      <c r="E809" s="4"/>
      <c r="F809" s="17"/>
      <c r="G809" s="22"/>
    </row>
    <row r="810" spans="1:7" ht="15.75" thickBot="1">
      <c r="A810" s="3"/>
      <c r="B810" s="3"/>
      <c r="C810" s="4"/>
      <c r="D810" s="4"/>
      <c r="E810" s="4"/>
      <c r="F810" s="17"/>
      <c r="G810" s="22"/>
    </row>
    <row r="811" spans="1:7" ht="15.75" thickBot="1">
      <c r="A811" s="3"/>
      <c r="B811" s="3"/>
      <c r="C811" s="4"/>
      <c r="D811" s="4"/>
      <c r="E811" s="4"/>
      <c r="F811" s="17"/>
      <c r="G811" s="22"/>
    </row>
    <row r="812" spans="1:7" ht="15.75" thickBot="1">
      <c r="A812" s="3"/>
      <c r="B812" s="3"/>
      <c r="C812" s="4"/>
      <c r="D812" s="4"/>
      <c r="E812" s="4"/>
      <c r="F812" s="17"/>
      <c r="G812" s="22"/>
    </row>
    <row r="813" spans="1:7" ht="15.75" thickBot="1">
      <c r="A813" s="3"/>
      <c r="B813" s="3"/>
      <c r="C813" s="4"/>
      <c r="D813" s="4"/>
      <c r="E813" s="4"/>
      <c r="F813" s="17"/>
      <c r="G813" s="22"/>
    </row>
    <row r="814" spans="1:7" ht="15.75" thickBot="1">
      <c r="A814" s="3"/>
      <c r="B814" s="3"/>
      <c r="C814" s="4"/>
      <c r="D814" s="4"/>
      <c r="E814" s="4"/>
      <c r="F814" s="17"/>
      <c r="G814" s="22"/>
    </row>
    <row r="815" spans="1:7" ht="15.75" thickBot="1">
      <c r="A815" s="3"/>
      <c r="B815" s="3"/>
      <c r="C815" s="4"/>
      <c r="D815" s="4"/>
      <c r="E815" s="4"/>
      <c r="F815" s="17"/>
      <c r="G815" s="22"/>
    </row>
    <row r="816" spans="1:7" ht="15.75" thickBot="1">
      <c r="A816" s="3"/>
      <c r="B816" s="3"/>
      <c r="C816" s="4"/>
      <c r="D816" s="4"/>
      <c r="E816" s="4"/>
      <c r="F816" s="17"/>
      <c r="G816" s="22"/>
    </row>
    <row r="817" spans="1:7" ht="15.75" thickBot="1">
      <c r="A817" s="3"/>
      <c r="B817" s="3"/>
      <c r="C817" s="4"/>
      <c r="D817" s="4"/>
      <c r="E817" s="4"/>
      <c r="F817" s="17"/>
      <c r="G817" s="22"/>
    </row>
    <row r="818" spans="1:7" ht="15.75" thickBot="1">
      <c r="A818" s="3"/>
      <c r="B818" s="3"/>
      <c r="C818" s="4"/>
      <c r="D818" s="4"/>
      <c r="E818" s="4"/>
      <c r="F818" s="17"/>
      <c r="G818" s="22"/>
    </row>
    <row r="819" spans="1:7" ht="15.75" thickBot="1">
      <c r="A819" s="3"/>
      <c r="B819" s="3"/>
      <c r="C819" s="4"/>
      <c r="D819" s="4"/>
      <c r="E819" s="4"/>
      <c r="F819" s="17"/>
      <c r="G819" s="22"/>
    </row>
    <row r="820" spans="1:7" ht="15.75" thickBot="1">
      <c r="A820" s="3"/>
      <c r="B820" s="3"/>
      <c r="C820" s="4"/>
      <c r="D820" s="4"/>
      <c r="E820" s="4"/>
      <c r="F820" s="17"/>
      <c r="G820" s="22"/>
    </row>
    <row r="821" spans="1:7" ht="15.75" thickBot="1">
      <c r="A821" s="3"/>
      <c r="B821" s="3"/>
      <c r="C821" s="4"/>
      <c r="D821" s="4"/>
      <c r="E821" s="4"/>
      <c r="F821" s="17"/>
      <c r="G821" s="22"/>
    </row>
    <row r="822" spans="1:7" ht="15.75" thickBot="1">
      <c r="A822" s="3"/>
      <c r="B822" s="3"/>
      <c r="C822" s="4"/>
      <c r="D822" s="4"/>
      <c r="E822" s="4"/>
      <c r="F822" s="17"/>
      <c r="G822" s="22"/>
    </row>
    <row r="823" spans="1:7" ht="15.75" thickBot="1">
      <c r="A823" s="3"/>
      <c r="B823" s="3"/>
      <c r="C823" s="4"/>
      <c r="D823" s="4"/>
      <c r="E823" s="4"/>
      <c r="F823" s="17"/>
      <c r="G823" s="22"/>
    </row>
    <row r="824" spans="1:7" ht="15.75" thickBot="1">
      <c r="A824" s="3"/>
      <c r="B824" s="3"/>
      <c r="C824" s="4"/>
      <c r="D824" s="4"/>
      <c r="E824" s="4"/>
      <c r="F824" s="17"/>
      <c r="G824" s="22"/>
    </row>
    <row r="825" spans="1:7" ht="15.75" thickBot="1">
      <c r="A825" s="3"/>
      <c r="B825" s="3"/>
      <c r="C825" s="4"/>
      <c r="D825" s="4"/>
      <c r="E825" s="4"/>
      <c r="F825" s="17"/>
      <c r="G825" s="22"/>
    </row>
    <row r="826" spans="1:7" ht="15.75" thickBot="1">
      <c r="A826" s="3"/>
      <c r="B826" s="3"/>
      <c r="C826" s="4"/>
      <c r="D826" s="4"/>
      <c r="E826" s="4"/>
      <c r="F826" s="17"/>
      <c r="G826" s="22"/>
    </row>
    <row r="827" spans="1:7" ht="15.75" thickBot="1">
      <c r="A827" s="3"/>
      <c r="B827" s="3"/>
      <c r="C827" s="4"/>
      <c r="D827" s="4"/>
      <c r="E827" s="4"/>
      <c r="F827" s="17"/>
      <c r="G827" s="22"/>
    </row>
    <row r="828" spans="1:7" ht="15.75" thickBot="1">
      <c r="A828" s="3"/>
      <c r="B828" s="3"/>
      <c r="C828" s="4"/>
      <c r="D828" s="4"/>
      <c r="E828" s="4"/>
      <c r="F828" s="17"/>
      <c r="G828" s="22"/>
    </row>
    <row r="829" spans="1:7" ht="15.75" thickBot="1">
      <c r="A829" s="3"/>
      <c r="B829" s="3"/>
      <c r="C829" s="4"/>
      <c r="D829" s="4"/>
      <c r="E829" s="4"/>
      <c r="F829" s="17"/>
      <c r="G829" s="22"/>
    </row>
    <row r="830" spans="1:7" ht="15.75" thickBot="1">
      <c r="A830" s="3"/>
      <c r="B830" s="3"/>
      <c r="C830" s="4"/>
      <c r="D830" s="4"/>
      <c r="E830" s="4"/>
      <c r="F830" s="17"/>
      <c r="G830" s="22"/>
    </row>
    <row r="831" spans="1:7" ht="15.75" thickBot="1">
      <c r="A831" s="3"/>
      <c r="B831" s="3"/>
      <c r="C831" s="4"/>
      <c r="D831" s="4"/>
      <c r="E831" s="4"/>
      <c r="F831" s="17"/>
      <c r="G831" s="22"/>
    </row>
    <row r="832" spans="1:7" ht="15.75" thickBot="1">
      <c r="A832" s="3"/>
      <c r="B832" s="3"/>
      <c r="C832" s="4"/>
      <c r="D832" s="4"/>
      <c r="E832" s="4"/>
      <c r="F832" s="17"/>
      <c r="G832" s="22"/>
    </row>
    <row r="833" spans="1:7" ht="15.75" thickBot="1">
      <c r="A833" s="3"/>
      <c r="B833" s="3"/>
      <c r="C833" s="4"/>
      <c r="D833" s="4"/>
      <c r="E833" s="4"/>
      <c r="F833" s="17"/>
      <c r="G833" s="22"/>
    </row>
    <row r="834" spans="1:7" ht="15.75" thickBot="1">
      <c r="A834" s="3"/>
      <c r="B834" s="3"/>
      <c r="C834" s="4"/>
      <c r="D834" s="4"/>
      <c r="E834" s="4"/>
      <c r="F834" s="17"/>
      <c r="G834" s="22"/>
    </row>
    <row r="835" spans="1:7" ht="15.75" thickBot="1">
      <c r="A835" s="3"/>
      <c r="B835" s="3"/>
      <c r="C835" s="4"/>
      <c r="D835" s="4"/>
      <c r="E835" s="4"/>
      <c r="F835" s="17"/>
      <c r="G835" s="22"/>
    </row>
    <row r="836" spans="1:7" ht="15.75" thickBot="1">
      <c r="A836" s="3"/>
      <c r="B836" s="3"/>
      <c r="C836" s="4"/>
      <c r="D836" s="4"/>
      <c r="E836" s="4"/>
      <c r="F836" s="17"/>
      <c r="G836" s="22"/>
    </row>
    <row r="837" spans="1:7" ht="15.75" thickBot="1">
      <c r="A837" s="3"/>
      <c r="B837" s="3"/>
      <c r="C837" s="4"/>
      <c r="D837" s="4"/>
      <c r="E837" s="4"/>
      <c r="F837" s="17"/>
      <c r="G837" s="22"/>
    </row>
    <row r="838" spans="1:7" ht="15.75" thickBot="1">
      <c r="A838" s="3"/>
      <c r="B838" s="3"/>
      <c r="C838" s="4"/>
      <c r="D838" s="4"/>
      <c r="E838" s="4"/>
      <c r="F838" s="17"/>
      <c r="G838" s="22"/>
    </row>
    <row r="839" spans="1:7" ht="15.75" thickBot="1">
      <c r="A839" s="3"/>
      <c r="B839" s="3"/>
      <c r="C839" s="4"/>
      <c r="D839" s="4"/>
      <c r="E839" s="4"/>
      <c r="F839" s="17"/>
      <c r="G839" s="22"/>
    </row>
    <row r="840" spans="1:7" ht="15.75" thickBot="1">
      <c r="A840" s="3"/>
      <c r="B840" s="3"/>
      <c r="C840" s="4"/>
      <c r="D840" s="4"/>
      <c r="E840" s="4"/>
      <c r="F840" s="17"/>
      <c r="G840" s="22"/>
    </row>
    <row r="841" spans="1:7" ht="15.75" thickBot="1">
      <c r="A841" s="3"/>
      <c r="B841" s="3"/>
      <c r="C841" s="4"/>
      <c r="D841" s="4"/>
      <c r="E841" s="4"/>
      <c r="F841" s="17"/>
      <c r="G841" s="22"/>
    </row>
    <row r="842" spans="1:7" ht="15.75" thickBot="1">
      <c r="A842" s="3"/>
      <c r="B842" s="3"/>
      <c r="C842" s="4"/>
      <c r="D842" s="4"/>
      <c r="E842" s="4"/>
      <c r="F842" s="17"/>
      <c r="G842" s="22"/>
    </row>
    <row r="843" spans="1:7" ht="15.75" thickBot="1">
      <c r="A843" s="3"/>
      <c r="B843" s="3"/>
      <c r="C843" s="4"/>
      <c r="D843" s="4"/>
      <c r="E843" s="4"/>
      <c r="F843" s="17"/>
      <c r="G843" s="22"/>
    </row>
    <row r="844" spans="1:7" ht="15.75" thickBot="1">
      <c r="A844" s="3"/>
      <c r="B844" s="3"/>
      <c r="C844" s="4"/>
      <c r="D844" s="4"/>
      <c r="E844" s="4"/>
      <c r="F844" s="17"/>
      <c r="G844" s="22"/>
    </row>
    <row r="845" spans="1:7" ht="15.75" thickBot="1">
      <c r="A845" s="3"/>
      <c r="B845" s="3"/>
      <c r="C845" s="4"/>
      <c r="D845" s="4"/>
      <c r="E845" s="4"/>
      <c r="F845" s="17"/>
      <c r="G845" s="22"/>
    </row>
    <row r="846" spans="1:7" ht="15.75" thickBot="1">
      <c r="A846" s="3"/>
      <c r="B846" s="3"/>
      <c r="C846" s="4"/>
      <c r="D846" s="4"/>
      <c r="E846" s="4"/>
      <c r="F846" s="17"/>
      <c r="G846" s="22"/>
    </row>
    <row r="847" spans="1:7" ht="15.75" thickBot="1">
      <c r="A847" s="3"/>
      <c r="B847" s="3"/>
      <c r="C847" s="4"/>
      <c r="D847" s="4"/>
      <c r="E847" s="4"/>
      <c r="F847" s="17"/>
      <c r="G847" s="22"/>
    </row>
    <row r="848" spans="1:7" ht="15.75" thickBot="1">
      <c r="A848" s="3"/>
      <c r="B848" s="3"/>
      <c r="C848" s="4"/>
      <c r="D848" s="4"/>
      <c r="E848" s="4"/>
      <c r="F848" s="17"/>
      <c r="G848" s="22"/>
    </row>
    <row r="849" spans="1:7" ht="15.75" thickBot="1">
      <c r="A849" s="3"/>
      <c r="B849" s="3"/>
      <c r="C849" s="4"/>
      <c r="D849" s="4"/>
      <c r="E849" s="4"/>
      <c r="F849" s="17"/>
      <c r="G849" s="22"/>
    </row>
    <row r="850" spans="1:7" ht="15.75" thickBot="1">
      <c r="A850" s="3"/>
      <c r="B850" s="3"/>
      <c r="C850" s="4"/>
      <c r="D850" s="4"/>
      <c r="E850" s="4"/>
      <c r="F850" s="17"/>
      <c r="G850" s="22"/>
    </row>
    <row r="851" spans="1:7" ht="15.75" thickBot="1">
      <c r="A851" s="3"/>
      <c r="B851" s="3"/>
      <c r="C851" s="4"/>
      <c r="D851" s="4"/>
      <c r="E851" s="4"/>
      <c r="F851" s="17"/>
      <c r="G851" s="22"/>
    </row>
    <row r="852" spans="1:7" ht="15.75" thickBot="1">
      <c r="A852" s="3"/>
      <c r="B852" s="3"/>
      <c r="C852" s="4"/>
      <c r="D852" s="4"/>
      <c r="E852" s="4"/>
      <c r="F852" s="17"/>
      <c r="G852" s="22"/>
    </row>
    <row r="853" spans="1:7" ht="15.75" thickBot="1">
      <c r="A853" s="3"/>
      <c r="B853" s="3"/>
      <c r="C853" s="4"/>
      <c r="D853" s="4"/>
      <c r="E853" s="4"/>
      <c r="F853" s="17"/>
      <c r="G853" s="22"/>
    </row>
    <row r="854" spans="1:7" ht="15.75" thickBot="1">
      <c r="A854" s="3"/>
      <c r="B854" s="3"/>
      <c r="C854" s="4"/>
      <c r="D854" s="4"/>
      <c r="E854" s="4"/>
      <c r="F854" s="17"/>
      <c r="G854" s="22"/>
    </row>
    <row r="855" spans="1:7" ht="15.75" thickBot="1">
      <c r="A855" s="3"/>
      <c r="B855" s="3"/>
      <c r="C855" s="4"/>
      <c r="D855" s="4"/>
      <c r="E855" s="4"/>
      <c r="F855" s="17"/>
      <c r="G855" s="22"/>
    </row>
    <row r="856" spans="1:7" ht="15.75" thickBot="1">
      <c r="A856" s="3"/>
      <c r="B856" s="3"/>
      <c r="C856" s="4"/>
      <c r="D856" s="4"/>
      <c r="E856" s="4"/>
      <c r="F856" s="17"/>
      <c r="G856" s="22"/>
    </row>
    <row r="857" spans="1:7" ht="15.75" thickBot="1">
      <c r="A857" s="3"/>
      <c r="B857" s="3"/>
      <c r="C857" s="4"/>
      <c r="D857" s="4"/>
      <c r="E857" s="4"/>
      <c r="F857" s="17"/>
      <c r="G857" s="22"/>
    </row>
    <row r="858" spans="1:7" ht="15.75" thickBot="1">
      <c r="A858" s="3"/>
      <c r="B858" s="3"/>
      <c r="C858" s="4"/>
      <c r="D858" s="4"/>
      <c r="E858" s="4"/>
      <c r="F858" s="17"/>
      <c r="G858" s="22"/>
    </row>
    <row r="859" spans="1:7" ht="15.75" thickBot="1">
      <c r="A859" s="3"/>
      <c r="B859" s="3"/>
      <c r="C859" s="4"/>
      <c r="D859" s="4"/>
      <c r="E859" s="4"/>
      <c r="F859" s="17"/>
      <c r="G859" s="22"/>
    </row>
    <row r="860" spans="1:7" ht="15.75" thickBot="1">
      <c r="A860" s="3"/>
      <c r="B860" s="3"/>
      <c r="C860" s="4"/>
      <c r="D860" s="4"/>
      <c r="E860" s="4"/>
      <c r="F860" s="17"/>
      <c r="G860" s="22"/>
    </row>
    <row r="861" spans="1:7" ht="15.75" thickBot="1">
      <c r="A861" s="3"/>
      <c r="B861" s="3"/>
      <c r="C861" s="4"/>
      <c r="D861" s="4"/>
      <c r="E861" s="4"/>
      <c r="F861" s="17"/>
      <c r="G861" s="22"/>
    </row>
    <row r="862" spans="1:7" ht="15.75" thickBot="1">
      <c r="A862" s="3"/>
      <c r="B862" s="3"/>
      <c r="C862" s="4"/>
      <c r="D862" s="4"/>
      <c r="E862" s="4"/>
      <c r="F862" s="17"/>
      <c r="G862" s="22"/>
    </row>
    <row r="863" spans="1:7" ht="15.75" thickBot="1">
      <c r="A863" s="3"/>
      <c r="B863" s="3"/>
      <c r="C863" s="4"/>
      <c r="D863" s="4"/>
      <c r="E863" s="4"/>
      <c r="F863" s="17"/>
      <c r="G863" s="22"/>
    </row>
    <row r="864" spans="1:7" ht="15.75" thickBot="1">
      <c r="A864" s="3"/>
      <c r="B864" s="3"/>
      <c r="C864" s="4"/>
      <c r="D864" s="4"/>
      <c r="E864" s="4"/>
      <c r="F864" s="17"/>
      <c r="G864" s="22"/>
    </row>
    <row r="865" spans="1:7" ht="15.75" thickBot="1">
      <c r="A865" s="3"/>
      <c r="B865" s="3"/>
      <c r="C865" s="4"/>
      <c r="D865" s="4"/>
      <c r="E865" s="4"/>
      <c r="F865" s="17"/>
      <c r="G865" s="22"/>
    </row>
    <row r="866" spans="1:7" ht="15.75" thickBot="1">
      <c r="A866" s="3"/>
      <c r="B866" s="3"/>
      <c r="C866" s="4"/>
      <c r="D866" s="4"/>
      <c r="E866" s="4"/>
      <c r="F866" s="17"/>
      <c r="G866" s="22"/>
    </row>
    <row r="867" spans="1:7" ht="15.75" thickBot="1">
      <c r="A867" s="3"/>
      <c r="B867" s="3"/>
      <c r="C867" s="4"/>
      <c r="D867" s="4"/>
      <c r="E867" s="4"/>
      <c r="F867" s="17"/>
      <c r="G867" s="22"/>
    </row>
    <row r="868" spans="1:7" ht="15.75" thickBot="1">
      <c r="A868" s="3"/>
      <c r="B868" s="3"/>
      <c r="C868" s="4"/>
      <c r="D868" s="4"/>
      <c r="E868" s="4"/>
      <c r="F868" s="17"/>
      <c r="G868" s="22"/>
    </row>
    <row r="869" spans="1:7" ht="15.75" thickBot="1">
      <c r="A869" s="3"/>
      <c r="B869" s="3"/>
      <c r="C869" s="4"/>
      <c r="D869" s="4"/>
      <c r="E869" s="4"/>
      <c r="F869" s="17"/>
      <c r="G869" s="22"/>
    </row>
    <row r="870" spans="1:7" ht="15.75" thickBot="1">
      <c r="A870" s="3"/>
      <c r="B870" s="3"/>
      <c r="C870" s="4"/>
      <c r="D870" s="4"/>
      <c r="E870" s="4"/>
      <c r="F870" s="17"/>
      <c r="G870" s="22"/>
    </row>
    <row r="871" spans="1:7" ht="15.75" thickBot="1">
      <c r="A871" s="3"/>
      <c r="B871" s="3"/>
      <c r="C871" s="4"/>
      <c r="D871" s="4"/>
      <c r="E871" s="4"/>
      <c r="F871" s="17"/>
      <c r="G871" s="22"/>
    </row>
    <row r="872" spans="1:7" ht="15.75" thickBot="1">
      <c r="A872" s="3"/>
      <c r="B872" s="3"/>
      <c r="C872" s="4"/>
      <c r="D872" s="4"/>
      <c r="E872" s="4"/>
      <c r="F872" s="17"/>
      <c r="G872" s="22"/>
    </row>
    <row r="873" spans="1:7" ht="15.75" thickBot="1">
      <c r="A873" s="3"/>
      <c r="B873" s="3"/>
      <c r="C873" s="4"/>
      <c r="D873" s="4"/>
      <c r="E873" s="4"/>
      <c r="F873" s="17"/>
      <c r="G873" s="22"/>
    </row>
    <row r="874" spans="1:7" ht="15.75" thickBot="1">
      <c r="A874" s="3"/>
      <c r="B874" s="3"/>
      <c r="C874" s="4"/>
      <c r="D874" s="4"/>
      <c r="E874" s="4"/>
      <c r="F874" s="17"/>
      <c r="G874" s="22"/>
    </row>
    <row r="875" spans="1:7" ht="15.75" thickBot="1">
      <c r="A875" s="3"/>
      <c r="B875" s="3"/>
      <c r="C875" s="4"/>
      <c r="D875" s="4"/>
      <c r="E875" s="4"/>
      <c r="F875" s="17"/>
      <c r="G875" s="22"/>
    </row>
    <row r="876" spans="1:7" ht="15.75" thickBot="1">
      <c r="A876" s="3"/>
      <c r="B876" s="3"/>
      <c r="C876" s="4"/>
      <c r="D876" s="4"/>
      <c r="E876" s="4"/>
      <c r="F876" s="17"/>
      <c r="G876" s="22"/>
    </row>
    <row r="877" spans="1:7" ht="15.75" thickBot="1">
      <c r="A877" s="3"/>
      <c r="B877" s="3"/>
      <c r="C877" s="4"/>
      <c r="D877" s="4"/>
      <c r="E877" s="4"/>
      <c r="F877" s="17"/>
      <c r="G877" s="22"/>
    </row>
    <row r="878" spans="1:7" ht="15.75" thickBot="1">
      <c r="A878" s="3"/>
      <c r="B878" s="3"/>
      <c r="C878" s="4"/>
      <c r="D878" s="4"/>
      <c r="E878" s="4"/>
      <c r="F878" s="17"/>
      <c r="G878" s="22"/>
    </row>
    <row r="879" spans="1:7" ht="15.75" thickBot="1">
      <c r="A879" s="3"/>
      <c r="B879" s="3"/>
      <c r="C879" s="4"/>
      <c r="D879" s="4"/>
      <c r="E879" s="4"/>
      <c r="F879" s="17"/>
      <c r="G879" s="22"/>
    </row>
    <row r="880" spans="1:7" ht="15.75" thickBot="1">
      <c r="A880" s="3"/>
      <c r="B880" s="3"/>
      <c r="C880" s="4"/>
      <c r="D880" s="4"/>
      <c r="E880" s="4"/>
      <c r="F880" s="17"/>
      <c r="G880" s="22"/>
    </row>
    <row r="881" spans="1:7" ht="15.75" thickBot="1">
      <c r="A881" s="3"/>
      <c r="B881" s="3"/>
      <c r="C881" s="4"/>
      <c r="D881" s="4"/>
      <c r="E881" s="4"/>
      <c r="F881" s="17"/>
      <c r="G881" s="22"/>
    </row>
    <row r="882" spans="1:7" ht="15.75" thickBot="1">
      <c r="A882" s="3"/>
      <c r="B882" s="3"/>
      <c r="C882" s="4"/>
      <c r="D882" s="4"/>
      <c r="E882" s="4"/>
      <c r="F882" s="17"/>
      <c r="G882" s="22"/>
    </row>
    <row r="883" spans="1:7" ht="15.75" thickBot="1">
      <c r="A883" s="3"/>
      <c r="B883" s="3"/>
      <c r="C883" s="4"/>
      <c r="D883" s="4"/>
      <c r="E883" s="4"/>
      <c r="F883" s="17"/>
      <c r="G883" s="22"/>
    </row>
    <row r="884" spans="1:7" ht="15.75" thickBot="1">
      <c r="A884" s="3"/>
      <c r="B884" s="3"/>
      <c r="C884" s="4"/>
      <c r="D884" s="4"/>
      <c r="E884" s="4"/>
      <c r="F884" s="17"/>
      <c r="G884" s="22"/>
    </row>
    <row r="885" spans="1:7" ht="15.75" thickBot="1">
      <c r="A885" s="3"/>
      <c r="B885" s="3"/>
      <c r="C885" s="4"/>
      <c r="D885" s="4"/>
      <c r="E885" s="4"/>
      <c r="F885" s="17"/>
      <c r="G885" s="22"/>
    </row>
    <row r="886" spans="1:7" ht="15.75" thickBot="1">
      <c r="A886" s="3"/>
      <c r="B886" s="3"/>
      <c r="C886" s="4"/>
      <c r="D886" s="4"/>
      <c r="E886" s="4"/>
      <c r="F886" s="17"/>
      <c r="G886" s="22"/>
    </row>
    <row r="887" spans="1:7" ht="15.75" thickBot="1">
      <c r="A887" s="3"/>
      <c r="B887" s="3"/>
      <c r="C887" s="4"/>
      <c r="D887" s="4"/>
      <c r="E887" s="4"/>
      <c r="F887" s="17"/>
      <c r="G887" s="22"/>
    </row>
    <row r="888" spans="1:7" ht="15.75" thickBot="1">
      <c r="A888" s="3"/>
      <c r="B888" s="3"/>
      <c r="C888" s="4"/>
      <c r="D888" s="4"/>
      <c r="E888" s="4"/>
      <c r="F888" s="17"/>
      <c r="G888" s="22"/>
    </row>
    <row r="889" spans="1:7" ht="15.75" thickBot="1">
      <c r="A889" s="3"/>
      <c r="B889" s="3"/>
      <c r="C889" s="4"/>
      <c r="D889" s="4"/>
      <c r="E889" s="4"/>
      <c r="F889" s="17"/>
      <c r="G889" s="22"/>
    </row>
    <row r="890" spans="1:7" ht="15.75" thickBot="1">
      <c r="A890" s="3"/>
      <c r="B890" s="3"/>
      <c r="C890" s="4"/>
      <c r="D890" s="4"/>
      <c r="E890" s="4"/>
      <c r="F890" s="17"/>
      <c r="G890" s="22"/>
    </row>
    <row r="891" spans="1:7" ht="15.75" thickBot="1">
      <c r="A891" s="3"/>
      <c r="B891" s="3"/>
      <c r="C891" s="4"/>
      <c r="D891" s="4"/>
      <c r="E891" s="4"/>
      <c r="F891" s="17"/>
      <c r="G891" s="22"/>
    </row>
    <row r="892" spans="1:7" ht="15.75" thickBot="1">
      <c r="A892" s="3"/>
      <c r="B892" s="3"/>
      <c r="C892" s="4"/>
      <c r="D892" s="4"/>
      <c r="E892" s="4"/>
      <c r="F892" s="17"/>
      <c r="G892" s="22"/>
    </row>
    <row r="893" spans="1:7" ht="15.75" thickBot="1">
      <c r="A893" s="3"/>
      <c r="B893" s="3"/>
      <c r="C893" s="4"/>
      <c r="D893" s="4"/>
      <c r="E893" s="4"/>
      <c r="F893" s="17"/>
      <c r="G893" s="22"/>
    </row>
    <row r="894" spans="1:7" ht="15.75" thickBot="1">
      <c r="A894" s="3"/>
      <c r="B894" s="3"/>
      <c r="C894" s="4"/>
      <c r="D894" s="4"/>
      <c r="E894" s="4"/>
      <c r="F894" s="17"/>
      <c r="G894" s="22"/>
    </row>
    <row r="895" spans="1:7" ht="15.75" thickBot="1">
      <c r="A895" s="3"/>
      <c r="B895" s="3"/>
      <c r="C895" s="4"/>
      <c r="D895" s="4"/>
      <c r="E895" s="4"/>
      <c r="F895" s="17"/>
      <c r="G895" s="22"/>
    </row>
    <row r="896" spans="1:7" ht="15.75" thickBot="1">
      <c r="A896" s="3"/>
      <c r="B896" s="3"/>
      <c r="C896" s="4"/>
      <c r="D896" s="4"/>
      <c r="E896" s="4"/>
      <c r="F896" s="17"/>
      <c r="G896" s="22"/>
    </row>
    <row r="897" spans="1:7" ht="15.75" thickBot="1">
      <c r="A897" s="3"/>
      <c r="B897" s="3"/>
      <c r="C897" s="4"/>
      <c r="D897" s="4"/>
      <c r="E897" s="4"/>
      <c r="F897" s="17"/>
      <c r="G897" s="22"/>
    </row>
    <row r="898" spans="1:7" ht="15.75" thickBot="1">
      <c r="A898" s="3"/>
      <c r="B898" s="3"/>
      <c r="C898" s="4"/>
      <c r="D898" s="4"/>
      <c r="E898" s="4"/>
      <c r="F898" s="17"/>
      <c r="G898" s="22"/>
    </row>
    <row r="899" spans="1:7" ht="15.75" thickBot="1">
      <c r="A899" s="3"/>
      <c r="B899" s="3"/>
      <c r="C899" s="4"/>
      <c r="D899" s="4"/>
      <c r="E899" s="4"/>
      <c r="F899" s="17"/>
      <c r="G899" s="22"/>
    </row>
    <row r="900" spans="1:7" ht="15.75" thickBot="1">
      <c r="A900" s="3"/>
      <c r="B900" s="3"/>
      <c r="C900" s="4"/>
      <c r="D900" s="4"/>
      <c r="E900" s="4"/>
      <c r="F900" s="17"/>
      <c r="G900" s="22"/>
    </row>
    <row r="901" spans="1:7" ht="15.75" thickBot="1">
      <c r="A901" s="3"/>
      <c r="B901" s="3"/>
      <c r="C901" s="4"/>
      <c r="D901" s="4"/>
      <c r="E901" s="4"/>
      <c r="F901" s="17"/>
      <c r="G901" s="22"/>
    </row>
    <row r="902" spans="1:7" ht="15.75" thickBot="1">
      <c r="A902" s="3"/>
      <c r="B902" s="3"/>
      <c r="C902" s="4"/>
      <c r="D902" s="4"/>
      <c r="E902" s="4"/>
      <c r="F902" s="17"/>
      <c r="G902" s="22"/>
    </row>
    <row r="903" spans="1:7" ht="15.75" thickBot="1">
      <c r="A903" s="3"/>
      <c r="B903" s="3"/>
      <c r="C903" s="4"/>
      <c r="D903" s="4"/>
      <c r="E903" s="4"/>
      <c r="F903" s="17"/>
      <c r="G903" s="22"/>
    </row>
    <row r="904" spans="1:7" ht="15.75" thickBot="1">
      <c r="A904" s="3"/>
      <c r="B904" s="3"/>
      <c r="C904" s="4"/>
      <c r="D904" s="4"/>
      <c r="E904" s="4"/>
      <c r="F904" s="17"/>
      <c r="G904" s="22"/>
    </row>
    <row r="905" spans="1:7" ht="15.75" thickBot="1">
      <c r="A905" s="3"/>
      <c r="B905" s="3"/>
      <c r="C905" s="4"/>
      <c r="D905" s="4"/>
      <c r="E905" s="4"/>
      <c r="F905" s="17"/>
      <c r="G905" s="22"/>
    </row>
    <row r="906" spans="1:7" ht="15.75" thickBot="1">
      <c r="A906" s="3"/>
      <c r="B906" s="3"/>
      <c r="C906" s="4"/>
      <c r="D906" s="4"/>
      <c r="E906" s="4"/>
      <c r="F906" s="17"/>
      <c r="G906" s="22"/>
    </row>
    <row r="907" spans="1:7" ht="15.75" thickBot="1">
      <c r="A907" s="3"/>
      <c r="B907" s="3"/>
      <c r="C907" s="4"/>
      <c r="D907" s="4"/>
      <c r="E907" s="4"/>
      <c r="F907" s="17"/>
      <c r="G907" s="22"/>
    </row>
    <row r="908" spans="1:7" ht="15.75" thickBot="1">
      <c r="A908" s="3"/>
      <c r="B908" s="3"/>
      <c r="C908" s="4"/>
      <c r="D908" s="4"/>
      <c r="E908" s="4"/>
      <c r="F908" s="17"/>
      <c r="G908" s="22"/>
    </row>
    <row r="909" spans="1:7" ht="15.75" thickBot="1">
      <c r="A909" s="3"/>
      <c r="B909" s="3"/>
      <c r="C909" s="4"/>
      <c r="D909" s="4"/>
      <c r="E909" s="4"/>
      <c r="F909" s="17"/>
      <c r="G909" s="22"/>
    </row>
    <row r="910" spans="1:7" ht="15.75" thickBot="1">
      <c r="A910" s="3"/>
      <c r="B910" s="3"/>
      <c r="C910" s="4"/>
      <c r="D910" s="4"/>
      <c r="E910" s="4"/>
      <c r="F910" s="17"/>
      <c r="G910" s="22"/>
    </row>
    <row r="911" spans="1:7" ht="15.75" thickBot="1">
      <c r="A911" s="3"/>
      <c r="B911" s="3"/>
      <c r="C911" s="4"/>
      <c r="D911" s="4"/>
      <c r="E911" s="4"/>
      <c r="F911" s="17"/>
      <c r="G911" s="22"/>
    </row>
    <row r="912" spans="1:7" ht="15.75" thickBot="1">
      <c r="A912" s="3"/>
      <c r="B912" s="3"/>
      <c r="C912" s="4"/>
      <c r="D912" s="4"/>
      <c r="E912" s="4"/>
      <c r="F912" s="17"/>
      <c r="G912" s="22"/>
    </row>
    <row r="913" spans="1:7" ht="15.75" thickBot="1">
      <c r="A913" s="3"/>
      <c r="B913" s="3"/>
      <c r="C913" s="4"/>
      <c r="D913" s="4"/>
      <c r="E913" s="4"/>
      <c r="F913" s="17"/>
      <c r="G913" s="22"/>
    </row>
    <row r="914" spans="1:7" ht="15.75" thickBot="1">
      <c r="A914" s="3"/>
      <c r="B914" s="3"/>
      <c r="C914" s="4"/>
      <c r="D914" s="4"/>
      <c r="E914" s="4"/>
      <c r="F914" s="17"/>
      <c r="G914" s="22"/>
    </row>
    <row r="915" spans="1:7" ht="15.75" thickBot="1">
      <c r="A915" s="3"/>
      <c r="B915" s="3"/>
      <c r="C915" s="4"/>
      <c r="D915" s="4"/>
      <c r="E915" s="4"/>
      <c r="F915" s="17"/>
      <c r="G915" s="22"/>
    </row>
    <row r="916" spans="1:7" ht="15.75" thickBot="1">
      <c r="A916" s="3"/>
      <c r="B916" s="3"/>
      <c r="C916" s="4"/>
      <c r="D916" s="4"/>
      <c r="E916" s="4"/>
      <c r="F916" s="17"/>
      <c r="G916" s="22"/>
    </row>
    <row r="917" spans="1:7" ht="15.75" thickBot="1">
      <c r="A917" s="3"/>
      <c r="B917" s="3"/>
      <c r="C917" s="4"/>
      <c r="D917" s="4"/>
      <c r="E917" s="4"/>
      <c r="F917" s="17"/>
      <c r="G917" s="22"/>
    </row>
    <row r="918" spans="1:7" ht="15.75" thickBot="1">
      <c r="A918" s="3"/>
      <c r="B918" s="3"/>
      <c r="C918" s="4"/>
      <c r="D918" s="4"/>
      <c r="E918" s="4"/>
      <c r="F918" s="17"/>
      <c r="G918" s="22"/>
    </row>
    <row r="919" spans="1:7" ht="15.75" thickBot="1">
      <c r="A919" s="3"/>
      <c r="B919" s="3"/>
      <c r="C919" s="4"/>
      <c r="D919" s="4"/>
      <c r="E919" s="4"/>
      <c r="F919" s="17"/>
      <c r="G919" s="22"/>
    </row>
    <row r="920" spans="1:7" ht="15.75" thickBot="1">
      <c r="A920" s="3"/>
      <c r="B920" s="3"/>
      <c r="C920" s="4"/>
      <c r="D920" s="4"/>
      <c r="E920" s="4"/>
      <c r="F920" s="17"/>
      <c r="G920" s="22"/>
    </row>
    <row r="921" spans="1:7" ht="15.75" thickBot="1">
      <c r="A921" s="3"/>
      <c r="B921" s="3"/>
      <c r="C921" s="4"/>
      <c r="D921" s="4"/>
      <c r="E921" s="4"/>
      <c r="F921" s="17"/>
      <c r="G921" s="22"/>
    </row>
    <row r="922" spans="1:7" ht="15.75" thickBot="1">
      <c r="A922" s="3"/>
      <c r="B922" s="3"/>
      <c r="C922" s="4"/>
      <c r="D922" s="4"/>
      <c r="E922" s="4"/>
      <c r="F922" s="17"/>
      <c r="G922" s="22"/>
    </row>
    <row r="923" spans="1:7" ht="15.75" thickBot="1">
      <c r="A923" s="3"/>
      <c r="B923" s="3"/>
      <c r="C923" s="4"/>
      <c r="D923" s="4"/>
      <c r="E923" s="4"/>
      <c r="F923" s="17"/>
      <c r="G923" s="22"/>
    </row>
    <row r="924" spans="1:7" ht="15.75" thickBot="1">
      <c r="A924" s="3"/>
      <c r="B924" s="3"/>
      <c r="C924" s="4"/>
      <c r="D924" s="4"/>
      <c r="E924" s="4"/>
      <c r="F924" s="17"/>
      <c r="G924" s="22"/>
    </row>
    <row r="925" spans="1:7" ht="15.75" thickBot="1">
      <c r="A925" s="3"/>
      <c r="B925" s="3"/>
      <c r="C925" s="4"/>
      <c r="D925" s="4"/>
      <c r="E925" s="4"/>
      <c r="F925" s="17"/>
      <c r="G925" s="22"/>
    </row>
    <row r="926" spans="1:7" ht="15.75" thickBot="1">
      <c r="A926" s="3"/>
      <c r="B926" s="3"/>
      <c r="C926" s="4"/>
      <c r="D926" s="4"/>
      <c r="E926" s="4"/>
      <c r="F926" s="17"/>
      <c r="G926" s="22"/>
    </row>
    <row r="927" spans="1:7" ht="15.75" thickBot="1">
      <c r="A927" s="3"/>
      <c r="B927" s="3"/>
      <c r="C927" s="4"/>
      <c r="D927" s="4"/>
      <c r="E927" s="4"/>
      <c r="F927" s="17"/>
      <c r="G927" s="22"/>
    </row>
    <row r="928" spans="1:7" ht="15.75" thickBot="1">
      <c r="A928" s="3"/>
      <c r="B928" s="3"/>
      <c r="C928" s="4"/>
      <c r="D928" s="4"/>
      <c r="E928" s="4"/>
      <c r="F928" s="17"/>
      <c r="G928" s="22"/>
    </row>
    <row r="929" spans="1:7" ht="15.75" thickBot="1">
      <c r="A929" s="3"/>
      <c r="B929" s="3"/>
      <c r="C929" s="4"/>
      <c r="D929" s="4"/>
      <c r="E929" s="4"/>
      <c r="F929" s="17"/>
      <c r="G929" s="22"/>
    </row>
    <row r="930" spans="1:7" ht="15.75" thickBot="1">
      <c r="A930" s="3"/>
      <c r="B930" s="3"/>
      <c r="C930" s="4"/>
      <c r="D930" s="4"/>
      <c r="E930" s="4"/>
      <c r="F930" s="17"/>
      <c r="G930" s="22"/>
    </row>
    <row r="931" spans="1:7" ht="15.75" thickBot="1">
      <c r="A931" s="3"/>
      <c r="B931" s="3"/>
      <c r="C931" s="4"/>
      <c r="D931" s="4"/>
      <c r="E931" s="4"/>
      <c r="F931" s="17"/>
      <c r="G931" s="22"/>
    </row>
    <row r="932" spans="1:7" ht="15.75" thickBot="1">
      <c r="A932" s="3"/>
      <c r="B932" s="3"/>
      <c r="C932" s="4"/>
      <c r="D932" s="4"/>
      <c r="E932" s="4"/>
      <c r="F932" s="17"/>
      <c r="G932" s="22"/>
    </row>
    <row r="933" spans="1:7" ht="15.75" thickBot="1">
      <c r="A933" s="3"/>
      <c r="B933" s="3"/>
      <c r="C933" s="4"/>
      <c r="D933" s="4"/>
      <c r="E933" s="4"/>
      <c r="F933" s="17"/>
      <c r="G933" s="22"/>
    </row>
    <row r="934" spans="1:7" ht="15.75" thickBot="1">
      <c r="A934" s="3"/>
      <c r="B934" s="3"/>
      <c r="C934" s="4"/>
      <c r="D934" s="4"/>
      <c r="E934" s="4"/>
      <c r="F934" s="17"/>
      <c r="G934" s="22"/>
    </row>
    <row r="935" spans="1:7" ht="15.75" thickBot="1">
      <c r="A935" s="3"/>
      <c r="B935" s="3"/>
      <c r="C935" s="4"/>
      <c r="D935" s="4"/>
      <c r="E935" s="4"/>
      <c r="F935" s="17"/>
      <c r="G935" s="22"/>
    </row>
    <row r="936" spans="1:7" ht="15.75" thickBot="1">
      <c r="A936" s="3"/>
      <c r="B936" s="3"/>
      <c r="C936" s="4"/>
      <c r="D936" s="4"/>
      <c r="E936" s="4"/>
      <c r="F936" s="17"/>
      <c r="G936" s="22"/>
    </row>
    <row r="937" spans="1:7" ht="15.75" thickBot="1">
      <c r="A937" s="3"/>
      <c r="B937" s="3"/>
      <c r="C937" s="4"/>
      <c r="D937" s="4"/>
      <c r="E937" s="4"/>
      <c r="F937" s="17"/>
      <c r="G937" s="22"/>
    </row>
    <row r="938" spans="1:7" ht="15.75" thickBot="1">
      <c r="A938" s="3"/>
      <c r="B938" s="3"/>
      <c r="C938" s="4"/>
      <c r="D938" s="4"/>
      <c r="E938" s="4"/>
      <c r="F938" s="17"/>
      <c r="G938" s="22"/>
    </row>
    <row r="939" spans="1:7" ht="15.75" thickBot="1">
      <c r="A939" s="3"/>
      <c r="B939" s="3"/>
      <c r="C939" s="4"/>
      <c r="D939" s="4"/>
      <c r="E939" s="4"/>
      <c r="F939" s="17"/>
      <c r="G939" s="22"/>
    </row>
    <row r="940" spans="1:7" ht="15.75" thickBot="1">
      <c r="A940" s="3"/>
      <c r="B940" s="3"/>
      <c r="C940" s="4"/>
      <c r="D940" s="4"/>
      <c r="E940" s="4"/>
      <c r="F940" s="17"/>
      <c r="G940" s="22"/>
    </row>
    <row r="941" spans="1:7" ht="15.75" thickBot="1">
      <c r="A941" s="3"/>
      <c r="B941" s="3"/>
      <c r="C941" s="4"/>
      <c r="D941" s="4"/>
      <c r="E941" s="4"/>
      <c r="F941" s="17"/>
      <c r="G941" s="22"/>
    </row>
    <row r="942" spans="1:7" ht="15.75" thickBot="1">
      <c r="A942" s="3"/>
      <c r="B942" s="3"/>
      <c r="C942" s="4"/>
      <c r="D942" s="4"/>
      <c r="E942" s="4"/>
      <c r="F942" s="17"/>
      <c r="G942" s="22"/>
    </row>
    <row r="943" spans="1:7" ht="15.75" thickBot="1">
      <c r="A943" s="3"/>
      <c r="B943" s="3"/>
      <c r="C943" s="4"/>
      <c r="D943" s="4"/>
      <c r="E943" s="4"/>
      <c r="F943" s="17"/>
      <c r="G943" s="22"/>
    </row>
    <row r="944" spans="1:7" ht="15.75" thickBot="1">
      <c r="A944" s="3"/>
      <c r="B944" s="3"/>
      <c r="C944" s="4"/>
      <c r="D944" s="4"/>
      <c r="E944" s="4"/>
      <c r="F944" s="17"/>
      <c r="G944" s="22"/>
    </row>
    <row r="945" spans="1:7" ht="15.75" thickBot="1">
      <c r="A945" s="3"/>
      <c r="B945" s="3"/>
      <c r="C945" s="4"/>
      <c r="D945" s="4"/>
      <c r="E945" s="4"/>
      <c r="F945" s="17"/>
      <c r="G945" s="22"/>
    </row>
    <row r="946" spans="1:7" ht="15.75" thickBot="1">
      <c r="A946" s="3"/>
      <c r="B946" s="3"/>
      <c r="C946" s="4"/>
      <c r="D946" s="4"/>
      <c r="E946" s="4"/>
      <c r="F946" s="17"/>
      <c r="G946" s="22"/>
    </row>
    <row r="947" spans="1:7" ht="15.75" thickBot="1">
      <c r="A947" s="3"/>
      <c r="B947" s="3"/>
      <c r="C947" s="4"/>
      <c r="D947" s="4"/>
      <c r="E947" s="4"/>
      <c r="F947" s="17"/>
      <c r="G947" s="22"/>
    </row>
    <row r="948" spans="1:7" ht="15.75" thickBot="1">
      <c r="A948" s="3"/>
      <c r="B948" s="3"/>
      <c r="C948" s="4"/>
      <c r="D948" s="4"/>
      <c r="E948" s="4"/>
      <c r="F948" s="17"/>
      <c r="G948" s="22"/>
    </row>
    <row r="949" spans="1:7" ht="15.75" thickBot="1">
      <c r="A949" s="3"/>
      <c r="B949" s="3"/>
      <c r="C949" s="4"/>
      <c r="D949" s="4"/>
      <c r="E949" s="4"/>
      <c r="F949" s="17"/>
      <c r="G949" s="22"/>
    </row>
    <row r="950" spans="1:7" ht="15.75" thickBot="1">
      <c r="A950" s="3"/>
      <c r="B950" s="3"/>
      <c r="C950" s="4"/>
      <c r="D950" s="4"/>
      <c r="E950" s="4"/>
      <c r="F950" s="17"/>
      <c r="G950" s="22"/>
    </row>
    <row r="951" spans="1:7" ht="15.75" thickBot="1">
      <c r="A951" s="3"/>
      <c r="B951" s="3"/>
      <c r="C951" s="4"/>
      <c r="D951" s="4"/>
      <c r="E951" s="4"/>
      <c r="F951" s="17"/>
      <c r="G951" s="22"/>
    </row>
    <row r="952" spans="1:7" ht="15.75" thickBot="1">
      <c r="A952" s="3"/>
      <c r="B952" s="3"/>
      <c r="C952" s="4"/>
      <c r="D952" s="4"/>
      <c r="E952" s="4"/>
      <c r="F952" s="17"/>
      <c r="G952" s="22"/>
    </row>
    <row r="953" spans="1:7" ht="15.75" thickBot="1">
      <c r="A953" s="3"/>
      <c r="B953" s="3"/>
      <c r="C953" s="4"/>
      <c r="D953" s="4"/>
      <c r="E953" s="4"/>
      <c r="F953" s="17"/>
      <c r="G953" s="22"/>
    </row>
    <row r="954" spans="1:7" ht="15.75" thickBot="1">
      <c r="A954" s="3"/>
      <c r="B954" s="3"/>
      <c r="C954" s="4"/>
      <c r="D954" s="4"/>
      <c r="E954" s="4"/>
      <c r="F954" s="17"/>
      <c r="G954" s="22"/>
    </row>
    <row r="955" spans="1:7" ht="15.75" thickBot="1">
      <c r="A955" s="3"/>
      <c r="B955" s="3"/>
      <c r="C955" s="4"/>
      <c r="D955" s="4"/>
      <c r="E955" s="4"/>
      <c r="F955" s="17"/>
      <c r="G955" s="22"/>
    </row>
    <row r="956" spans="1:7" ht="15.75" thickBot="1">
      <c r="A956" s="3"/>
      <c r="B956" s="3"/>
      <c r="C956" s="4"/>
      <c r="D956" s="4"/>
      <c r="E956" s="4"/>
      <c r="F956" s="17"/>
      <c r="G956" s="22"/>
    </row>
    <row r="957" spans="1:7" ht="15.75" thickBot="1">
      <c r="A957" s="3"/>
      <c r="B957" s="3"/>
      <c r="C957" s="4"/>
      <c r="D957" s="4"/>
      <c r="E957" s="4"/>
      <c r="F957" s="17"/>
      <c r="G957" s="22"/>
    </row>
    <row r="958" spans="1:7" ht="15.75" thickBot="1">
      <c r="A958" s="3"/>
      <c r="B958" s="3"/>
      <c r="C958" s="4"/>
      <c r="D958" s="4"/>
      <c r="E958" s="4"/>
      <c r="F958" s="17"/>
      <c r="G958" s="22"/>
    </row>
    <row r="959" spans="1:7" ht="15.75" thickBot="1">
      <c r="A959" s="3"/>
      <c r="B959" s="3"/>
      <c r="C959" s="4"/>
      <c r="D959" s="4"/>
      <c r="E959" s="4"/>
      <c r="F959" s="17"/>
      <c r="G959" s="22"/>
    </row>
    <row r="960" spans="1:7" ht="15.75" thickBot="1">
      <c r="A960" s="3"/>
      <c r="B960" s="3"/>
      <c r="C960" s="4"/>
      <c r="D960" s="4"/>
      <c r="E960" s="4"/>
      <c r="F960" s="17"/>
      <c r="G960" s="22"/>
    </row>
    <row r="961" spans="1:7" ht="15.75" thickBot="1">
      <c r="A961" s="3"/>
      <c r="B961" s="3"/>
      <c r="C961" s="4"/>
      <c r="D961" s="4"/>
      <c r="E961" s="4"/>
      <c r="F961" s="17"/>
      <c r="G961" s="22"/>
    </row>
    <row r="962" spans="1:7" ht="15.75" thickBot="1">
      <c r="A962" s="3"/>
      <c r="B962" s="3"/>
      <c r="C962" s="4"/>
      <c r="D962" s="4"/>
      <c r="E962" s="4"/>
      <c r="F962" s="17"/>
      <c r="G962" s="22"/>
    </row>
    <row r="963" spans="1:7" ht="15.75" thickBot="1">
      <c r="A963" s="3"/>
      <c r="B963" s="3"/>
      <c r="C963" s="4"/>
      <c r="D963" s="4"/>
      <c r="E963" s="4"/>
      <c r="F963" s="17"/>
      <c r="G963" s="22"/>
    </row>
    <row r="964" spans="1:7" ht="15.75" thickBot="1">
      <c r="A964" s="3"/>
      <c r="B964" s="3"/>
      <c r="C964" s="4"/>
      <c r="D964" s="4"/>
      <c r="E964" s="4"/>
      <c r="F964" s="17"/>
      <c r="G964" s="22"/>
    </row>
    <row r="965" spans="1:7" ht="15.75" thickBot="1">
      <c r="A965" s="3"/>
      <c r="B965" s="3"/>
      <c r="C965" s="4"/>
      <c r="D965" s="4"/>
      <c r="E965" s="4"/>
      <c r="F965" s="17"/>
      <c r="G965" s="22"/>
    </row>
    <row r="966" spans="1:7" ht="15.75" thickBot="1">
      <c r="A966" s="3"/>
      <c r="B966" s="3"/>
      <c r="C966" s="4"/>
      <c r="D966" s="4"/>
      <c r="E966" s="4"/>
      <c r="F966" s="17"/>
      <c r="G966" s="22"/>
    </row>
    <row r="967" spans="1:7" ht="15.75" thickBot="1">
      <c r="A967" s="3"/>
      <c r="B967" s="3"/>
      <c r="C967" s="4"/>
      <c r="D967" s="4"/>
      <c r="E967" s="4"/>
      <c r="F967" s="17"/>
      <c r="G967" s="22"/>
    </row>
    <row r="968" spans="1:7" ht="15.75" thickBot="1">
      <c r="A968" s="3"/>
      <c r="B968" s="3"/>
      <c r="C968" s="4"/>
      <c r="D968" s="4"/>
      <c r="E968" s="4"/>
      <c r="F968" s="17"/>
      <c r="G968" s="22"/>
    </row>
    <row r="969" spans="1:7" ht="15.75" thickBot="1">
      <c r="A969" s="3"/>
      <c r="B969" s="3"/>
      <c r="C969" s="4"/>
      <c r="D969" s="4"/>
      <c r="E969" s="4"/>
      <c r="F969" s="17"/>
      <c r="G969" s="22"/>
    </row>
    <row r="970" spans="1:7" ht="15.75" thickBot="1">
      <c r="A970" s="3"/>
      <c r="B970" s="3"/>
      <c r="C970" s="4"/>
      <c r="D970" s="4"/>
      <c r="E970" s="4"/>
      <c r="F970" s="17"/>
      <c r="G970" s="22"/>
    </row>
    <row r="971" spans="1:7" ht="15.75" thickBot="1">
      <c r="A971" s="3"/>
      <c r="B971" s="3"/>
      <c r="C971" s="4"/>
      <c r="D971" s="4"/>
      <c r="E971" s="4"/>
      <c r="F971" s="17"/>
      <c r="G971" s="22"/>
    </row>
    <row r="972" spans="1:7" ht="15.75" thickBot="1">
      <c r="A972" s="3"/>
      <c r="B972" s="3"/>
      <c r="C972" s="4"/>
      <c r="D972" s="4"/>
      <c r="E972" s="4"/>
      <c r="F972" s="17"/>
      <c r="G972" s="22"/>
    </row>
    <row r="973" spans="1:7" ht="15.75" thickBot="1">
      <c r="A973" s="3"/>
      <c r="B973" s="3"/>
      <c r="C973" s="4"/>
      <c r="D973" s="4"/>
      <c r="E973" s="4"/>
      <c r="F973" s="17"/>
      <c r="G973" s="22"/>
    </row>
    <row r="974" spans="1:7" ht="15.75" thickBot="1">
      <c r="A974" s="3"/>
      <c r="B974" s="3"/>
      <c r="C974" s="4"/>
      <c r="D974" s="4"/>
      <c r="E974" s="4"/>
      <c r="F974" s="17"/>
      <c r="G974" s="22"/>
    </row>
    <row r="975" spans="1:7" ht="15.75" thickBot="1">
      <c r="A975" s="3"/>
      <c r="B975" s="3"/>
      <c r="C975" s="4"/>
      <c r="D975" s="4"/>
      <c r="E975" s="4"/>
      <c r="F975" s="17"/>
      <c r="G975" s="22"/>
    </row>
    <row r="976" spans="1:7" ht="15.75" thickBot="1">
      <c r="A976" s="3"/>
      <c r="B976" s="3"/>
      <c r="C976" s="4"/>
      <c r="D976" s="4"/>
      <c r="E976" s="4"/>
      <c r="F976" s="17"/>
      <c r="G976" s="22"/>
    </row>
    <row r="977" spans="1:7" ht="15.75" thickBot="1">
      <c r="A977" s="3"/>
      <c r="B977" s="3"/>
      <c r="C977" s="4"/>
      <c r="D977" s="4"/>
      <c r="E977" s="4"/>
      <c r="F977" s="17"/>
      <c r="G977" s="22"/>
    </row>
    <row r="978" spans="1:7" ht="15.75" thickBot="1">
      <c r="A978" s="3"/>
      <c r="B978" s="3"/>
      <c r="C978" s="4"/>
      <c r="D978" s="4"/>
      <c r="E978" s="4"/>
      <c r="F978" s="17"/>
      <c r="G978" s="22"/>
    </row>
    <row r="979" spans="1:7" ht="15.75" thickBot="1">
      <c r="A979" s="3"/>
      <c r="B979" s="3"/>
      <c r="C979" s="4"/>
      <c r="D979" s="4"/>
      <c r="E979" s="4"/>
      <c r="F979" s="17"/>
      <c r="G979" s="22"/>
    </row>
    <row r="980" spans="1:7" ht="15.75" thickBot="1">
      <c r="A980" s="3"/>
      <c r="B980" s="3"/>
      <c r="C980" s="4"/>
      <c r="D980" s="4"/>
      <c r="E980" s="4"/>
      <c r="F980" s="17"/>
      <c r="G980" s="22"/>
    </row>
    <row r="981" spans="1:7" ht="15.75" thickBot="1">
      <c r="A981" s="3"/>
      <c r="B981" s="3"/>
      <c r="C981" s="4"/>
      <c r="D981" s="4"/>
      <c r="E981" s="4"/>
      <c r="F981" s="17"/>
      <c r="G981" s="22"/>
    </row>
    <row r="982" spans="1:7" ht="15.75" thickBot="1">
      <c r="A982" s="3"/>
      <c r="B982" s="3"/>
      <c r="C982" s="4"/>
      <c r="D982" s="4"/>
      <c r="E982" s="4"/>
      <c r="F982" s="17"/>
      <c r="G982" s="22"/>
    </row>
    <row r="983" spans="1:7" ht="15.75" thickBot="1">
      <c r="A983" s="3"/>
      <c r="B983" s="3"/>
      <c r="C983" s="4"/>
      <c r="D983" s="4"/>
      <c r="E983" s="4"/>
      <c r="F983" s="17"/>
      <c r="G983" s="22"/>
    </row>
    <row r="984" spans="1:7" ht="15.75" thickBot="1">
      <c r="A984" s="3"/>
      <c r="B984" s="3"/>
      <c r="C984" s="4"/>
      <c r="D984" s="4"/>
      <c r="E984" s="4"/>
      <c r="F984" s="17"/>
      <c r="G984" s="22"/>
    </row>
    <row r="985" spans="1:7" ht="15.75" thickBot="1">
      <c r="A985" s="3"/>
      <c r="B985" s="3"/>
      <c r="C985" s="4"/>
      <c r="D985" s="4"/>
      <c r="E985" s="4"/>
      <c r="F985" s="17"/>
      <c r="G985" s="22"/>
    </row>
    <row r="986" spans="1:7" ht="15.75" thickBot="1">
      <c r="A986" s="3"/>
      <c r="B986" s="3"/>
      <c r="C986" s="4"/>
      <c r="D986" s="4"/>
      <c r="E986" s="4"/>
      <c r="F986" s="17"/>
      <c r="G986" s="22"/>
    </row>
    <row r="987" spans="1:7" ht="15.75" thickBot="1">
      <c r="A987" s="3"/>
      <c r="B987" s="3"/>
      <c r="C987" s="4"/>
      <c r="D987" s="4"/>
      <c r="E987" s="4"/>
      <c r="F987" s="17"/>
      <c r="G987" s="22"/>
    </row>
    <row r="988" spans="1:7" ht="15.75" thickBot="1">
      <c r="A988" s="3"/>
      <c r="B988" s="3"/>
      <c r="C988" s="4"/>
      <c r="D988" s="4"/>
      <c r="E988" s="4"/>
      <c r="F988" s="17"/>
      <c r="G988" s="22"/>
    </row>
    <row r="989" spans="1:7" ht="15.75" thickBot="1">
      <c r="A989" s="3"/>
      <c r="B989" s="3"/>
      <c r="C989" s="4"/>
      <c r="D989" s="4"/>
      <c r="E989" s="4"/>
      <c r="F989" s="17"/>
      <c r="G989" s="22"/>
    </row>
    <row r="990" spans="1:7" ht="15.75" thickBot="1">
      <c r="A990" s="3"/>
      <c r="B990" s="3"/>
      <c r="C990" s="4"/>
      <c r="D990" s="4"/>
      <c r="E990" s="4"/>
      <c r="F990" s="17"/>
      <c r="G990" s="22"/>
    </row>
    <row r="991" spans="1:7" ht="15.75" thickBot="1">
      <c r="A991" s="3"/>
      <c r="B991" s="3"/>
      <c r="C991" s="4"/>
      <c r="D991" s="4"/>
      <c r="E991" s="4"/>
      <c r="F991" s="17"/>
      <c r="G991" s="22"/>
    </row>
    <row r="992" spans="1:7" ht="15.75" thickBot="1">
      <c r="A992" s="3"/>
      <c r="B992" s="3"/>
      <c r="C992" s="4"/>
      <c r="D992" s="4"/>
      <c r="E992" s="4"/>
      <c r="F992" s="17"/>
      <c r="G992" s="22"/>
    </row>
    <row r="993" spans="1:7" ht="15.75" thickBot="1">
      <c r="A993" s="3"/>
      <c r="B993" s="3"/>
      <c r="C993" s="4"/>
      <c r="D993" s="4"/>
      <c r="E993" s="4"/>
      <c r="F993" s="17"/>
      <c r="G993" s="22"/>
    </row>
    <row r="994" spans="1:7" ht="15.75" thickBot="1">
      <c r="A994" s="3"/>
      <c r="B994" s="3"/>
      <c r="C994" s="4"/>
      <c r="D994" s="4"/>
      <c r="E994" s="4"/>
      <c r="F994" s="17"/>
      <c r="G994" s="22"/>
    </row>
    <row r="995" spans="1:7" ht="15.75" thickBot="1">
      <c r="A995" s="3"/>
      <c r="B995" s="3"/>
      <c r="C995" s="4"/>
      <c r="D995" s="4"/>
      <c r="E995" s="4"/>
      <c r="F995" s="17"/>
      <c r="G995" s="22"/>
    </row>
    <row r="996" spans="1:7" ht="15.75" thickBot="1">
      <c r="A996" s="3"/>
      <c r="B996" s="3"/>
      <c r="C996" s="4"/>
      <c r="D996" s="4"/>
      <c r="E996" s="4"/>
      <c r="F996" s="17"/>
      <c r="G996" s="22"/>
    </row>
    <row r="997" spans="1:7" ht="15.75" thickBot="1">
      <c r="A997" s="3"/>
      <c r="B997" s="3"/>
      <c r="C997" s="4"/>
      <c r="D997" s="4"/>
      <c r="E997" s="4"/>
      <c r="F997" s="17"/>
      <c r="G997" s="22"/>
    </row>
    <row r="998" spans="1:7" ht="15.75" thickBot="1">
      <c r="A998" s="3"/>
      <c r="B998" s="3"/>
      <c r="C998" s="4"/>
      <c r="D998" s="4"/>
      <c r="E998" s="4"/>
      <c r="F998" s="17"/>
      <c r="G998" s="22"/>
    </row>
    <row r="999" spans="1:7" ht="15.75" thickBot="1">
      <c r="A999" s="3"/>
      <c r="B999" s="3"/>
      <c r="C999" s="4"/>
      <c r="D999" s="4"/>
      <c r="E999" s="4"/>
      <c r="F999" s="17"/>
      <c r="G999" s="22"/>
    </row>
    <row r="1000" spans="1:7" ht="15.75" thickBot="1">
      <c r="A1000" s="3"/>
      <c r="B1000" s="3"/>
      <c r="C1000" s="4"/>
      <c r="D1000" s="4"/>
      <c r="E1000" s="4"/>
      <c r="F1000" s="17"/>
      <c r="G1000" s="22"/>
    </row>
    <row r="1001" spans="1:7" ht="15.75" thickBot="1">
      <c r="A1001" s="3"/>
      <c r="B1001" s="3"/>
      <c r="C1001" s="4"/>
      <c r="D1001" s="4"/>
      <c r="E1001" s="4"/>
      <c r="F1001" s="17"/>
      <c r="G1001" s="22"/>
    </row>
    <row r="1002" spans="1:7" ht="15.75" thickBot="1">
      <c r="A1002" s="3"/>
      <c r="B1002" s="3"/>
      <c r="C1002" s="4"/>
      <c r="D1002" s="4"/>
      <c r="E1002" s="4"/>
      <c r="F1002" s="17"/>
      <c r="G1002" s="22"/>
    </row>
    <row r="1003" spans="1:7" ht="15.75" thickBot="1">
      <c r="A1003" s="3"/>
      <c r="B1003" s="3"/>
      <c r="C1003" s="4"/>
      <c r="D1003" s="4"/>
      <c r="E1003" s="4"/>
      <c r="F1003" s="17"/>
      <c r="G1003" s="22"/>
    </row>
    <row r="1004" spans="1:7" ht="15.75" thickBot="1">
      <c r="A1004" s="3"/>
      <c r="B1004" s="3"/>
      <c r="C1004" s="4"/>
      <c r="D1004" s="4"/>
      <c r="E1004" s="4"/>
      <c r="F1004" s="17"/>
      <c r="G1004" s="22"/>
    </row>
    <row r="1005" spans="1:7" ht="15.75" thickBot="1">
      <c r="A1005" s="3"/>
      <c r="B1005" s="3"/>
      <c r="C1005" s="4"/>
      <c r="D1005" s="4"/>
      <c r="E1005" s="4"/>
      <c r="F1005" s="17"/>
      <c r="G1005" s="22"/>
    </row>
    <row r="1006" spans="1:7" ht="15.75" thickBot="1">
      <c r="A1006" s="3"/>
      <c r="B1006" s="3"/>
      <c r="C1006" s="4"/>
      <c r="D1006" s="4"/>
      <c r="E1006" s="4"/>
      <c r="F1006" s="17"/>
      <c r="G1006" s="22"/>
    </row>
    <row r="1007" spans="1:7" ht="15.75" thickBot="1">
      <c r="A1007" s="3"/>
      <c r="B1007" s="3"/>
      <c r="C1007" s="4"/>
      <c r="D1007" s="4"/>
      <c r="E1007" s="4"/>
      <c r="F1007" s="17"/>
      <c r="G1007" s="22"/>
    </row>
    <row r="1008" spans="1:7">
      <c r="C1008" s="2"/>
    </row>
    <row r="1009" spans="3:3">
      <c r="C1009" s="2"/>
    </row>
    <row r="1010" spans="3:3">
      <c r="C1010" s="2"/>
    </row>
    <row r="1011" spans="3:3">
      <c r="C1011" s="2"/>
    </row>
    <row r="1012" spans="3:3">
      <c r="C1012" s="2"/>
    </row>
    <row r="1013" spans="3:3">
      <c r="C1013" s="2"/>
    </row>
    <row r="1014" spans="3:3">
      <c r="C1014" s="2"/>
    </row>
    <row r="1015" spans="3:3">
      <c r="C1015" s="2"/>
    </row>
    <row r="1016" spans="3:3">
      <c r="C1016" s="2"/>
    </row>
    <row r="1017" spans="3:3">
      <c r="C1017" s="2"/>
    </row>
    <row r="1018" spans="3:3">
      <c r="C1018" s="2"/>
    </row>
    <row r="1019" spans="3:3">
      <c r="C1019" s="2"/>
    </row>
    <row r="1020" spans="3:3">
      <c r="C1020" s="2"/>
    </row>
    <row r="1021" spans="3:3">
      <c r="C1021" s="2"/>
    </row>
    <row r="1022" spans="3:3">
      <c r="C1022" s="2"/>
    </row>
    <row r="1023" spans="3:3">
      <c r="C1023" s="2"/>
    </row>
    <row r="1024" spans="3:3">
      <c r="C1024" s="2"/>
    </row>
    <row r="1025" spans="3:3">
      <c r="C1025" s="2"/>
    </row>
    <row r="1026" spans="3:3">
      <c r="C1026" s="2"/>
    </row>
    <row r="1027" spans="3:3">
      <c r="C1027" s="2"/>
    </row>
    <row r="1028" spans="3:3">
      <c r="C1028" s="2"/>
    </row>
    <row r="1029" spans="3:3">
      <c r="C1029" s="2"/>
    </row>
    <row r="1030" spans="3:3">
      <c r="C1030" s="2"/>
    </row>
    <row r="1031" spans="3:3">
      <c r="C1031" s="2"/>
    </row>
    <row r="1032" spans="3:3">
      <c r="C1032" s="2"/>
    </row>
    <row r="1033" spans="3:3">
      <c r="C1033" s="2"/>
    </row>
    <row r="1034" spans="3:3">
      <c r="C1034" s="2"/>
    </row>
    <row r="1035" spans="3:3">
      <c r="C1035" s="2"/>
    </row>
    <row r="1036" spans="3:3">
      <c r="C1036" s="2"/>
    </row>
    <row r="1037" spans="3:3">
      <c r="C1037" s="2"/>
    </row>
    <row r="1038" spans="3:3">
      <c r="C1038" s="2"/>
    </row>
    <row r="1039" spans="3:3">
      <c r="C1039" s="2"/>
    </row>
    <row r="1040" spans="3:3">
      <c r="C1040" s="2"/>
    </row>
    <row r="1041" spans="3:3">
      <c r="C1041" s="2"/>
    </row>
    <row r="1042" spans="3:3">
      <c r="C1042" s="2"/>
    </row>
    <row r="1043" spans="3:3">
      <c r="C1043" s="2"/>
    </row>
    <row r="1044" spans="3:3">
      <c r="C1044" s="2"/>
    </row>
    <row r="1045" spans="3:3">
      <c r="C1045" s="2"/>
    </row>
    <row r="1046" spans="3:3">
      <c r="C1046" s="2"/>
    </row>
    <row r="1047" spans="3:3">
      <c r="C1047" s="2"/>
    </row>
    <row r="1048" spans="3:3">
      <c r="C1048" s="2"/>
    </row>
    <row r="1049" spans="3:3">
      <c r="C1049" s="2"/>
    </row>
    <row r="1050" spans="3:3">
      <c r="C1050" s="2"/>
    </row>
    <row r="1051" spans="3:3">
      <c r="C1051" s="2"/>
    </row>
    <row r="1052" spans="3:3">
      <c r="C1052" s="2"/>
    </row>
    <row r="1053" spans="3:3">
      <c r="C1053" s="2"/>
    </row>
    <row r="1054" spans="3:3">
      <c r="C1054" s="2"/>
    </row>
    <row r="1055" spans="3:3">
      <c r="C1055" s="2"/>
    </row>
    <row r="1056" spans="3:3">
      <c r="C1056" s="2"/>
    </row>
    <row r="1057" spans="3:3">
      <c r="C1057" s="2"/>
    </row>
    <row r="1058" spans="3:3">
      <c r="C1058" s="2"/>
    </row>
    <row r="1059" spans="3:3">
      <c r="C1059" s="2"/>
    </row>
    <row r="1060" spans="3:3">
      <c r="C1060" s="2"/>
    </row>
    <row r="1061" spans="3:3">
      <c r="C1061" s="2"/>
    </row>
    <row r="1062" spans="3:3">
      <c r="C1062" s="2"/>
    </row>
    <row r="1063" spans="3:3">
      <c r="C1063" s="2"/>
    </row>
    <row r="1064" spans="3:3">
      <c r="C1064" s="2"/>
    </row>
    <row r="1065" spans="3:3">
      <c r="C1065" s="2"/>
    </row>
    <row r="1066" spans="3:3">
      <c r="C1066" s="2"/>
    </row>
    <row r="1067" spans="3:3">
      <c r="C1067" s="2"/>
    </row>
    <row r="1068" spans="3:3">
      <c r="C1068" s="2"/>
    </row>
    <row r="1069" spans="3:3">
      <c r="C1069" s="2"/>
    </row>
    <row r="1070" spans="3:3">
      <c r="C1070" s="2"/>
    </row>
    <row r="1071" spans="3:3">
      <c r="C1071" s="2"/>
    </row>
    <row r="1072" spans="3:3">
      <c r="C1072" s="2"/>
    </row>
    <row r="1073" spans="3:3">
      <c r="C1073" s="2"/>
    </row>
    <row r="1074" spans="3:3">
      <c r="C1074" s="2"/>
    </row>
    <row r="1075" spans="3:3">
      <c r="C1075" s="2"/>
    </row>
    <row r="1076" spans="3:3">
      <c r="C1076" s="2"/>
    </row>
    <row r="1077" spans="3:3">
      <c r="C1077" s="2"/>
    </row>
    <row r="1078" spans="3:3">
      <c r="C1078" s="2"/>
    </row>
    <row r="1079" spans="3:3">
      <c r="C1079" s="2"/>
    </row>
    <row r="1080" spans="3:3">
      <c r="C1080" s="2"/>
    </row>
    <row r="1081" spans="3:3">
      <c r="C1081" s="2"/>
    </row>
    <row r="1082" spans="3:3">
      <c r="C1082" s="2"/>
    </row>
    <row r="1083" spans="3:3">
      <c r="C1083" s="2"/>
    </row>
    <row r="1084" spans="3:3">
      <c r="C1084" s="2"/>
    </row>
    <row r="1085" spans="3:3">
      <c r="C1085" s="2"/>
    </row>
    <row r="1086" spans="3:3">
      <c r="C1086" s="2"/>
    </row>
    <row r="1087" spans="3:3">
      <c r="C1087" s="2"/>
    </row>
    <row r="1088" spans="3:3">
      <c r="C1088" s="2"/>
    </row>
    <row r="1089" spans="3:3">
      <c r="C1089" s="2"/>
    </row>
    <row r="1090" spans="3:3">
      <c r="C1090" s="2"/>
    </row>
    <row r="1091" spans="3:3">
      <c r="C1091" s="2"/>
    </row>
    <row r="1092" spans="3:3">
      <c r="C1092" s="2"/>
    </row>
    <row r="1093" spans="3:3">
      <c r="C1093" s="2"/>
    </row>
    <row r="1094" spans="3:3">
      <c r="C1094" s="2"/>
    </row>
    <row r="1095" spans="3:3">
      <c r="C1095" s="2"/>
    </row>
    <row r="1096" spans="3:3">
      <c r="C1096" s="2"/>
    </row>
    <row r="1097" spans="3:3">
      <c r="C1097" s="2"/>
    </row>
    <row r="1098" spans="3:3">
      <c r="C1098" s="2"/>
    </row>
    <row r="1099" spans="3:3">
      <c r="C1099" s="2"/>
    </row>
    <row r="1100" spans="3:3">
      <c r="C1100" s="2"/>
    </row>
    <row r="1101" spans="3:3">
      <c r="C1101" s="2"/>
    </row>
    <row r="1102" spans="3:3">
      <c r="C1102" s="2"/>
    </row>
    <row r="1103" spans="3:3">
      <c r="C1103" s="2"/>
    </row>
    <row r="1104" spans="3:3">
      <c r="C1104" s="2"/>
    </row>
    <row r="1105" spans="3:3">
      <c r="C1105" s="2"/>
    </row>
    <row r="1106" spans="3:3">
      <c r="C1106" s="2"/>
    </row>
    <row r="1107" spans="3:3">
      <c r="C1107" s="2"/>
    </row>
    <row r="1108" spans="3:3">
      <c r="C1108" s="2"/>
    </row>
    <row r="1109" spans="3:3">
      <c r="C1109" s="2"/>
    </row>
    <row r="1110" spans="3:3">
      <c r="C1110" s="2"/>
    </row>
    <row r="1111" spans="3:3">
      <c r="C1111" s="2"/>
    </row>
    <row r="1112" spans="3:3">
      <c r="C1112" s="2"/>
    </row>
    <row r="1113" spans="3:3">
      <c r="C1113" s="2"/>
    </row>
    <row r="1114" spans="3:3">
      <c r="C1114" s="2"/>
    </row>
    <row r="1115" spans="3:3">
      <c r="C1115" s="2"/>
    </row>
    <row r="1116" spans="3:3">
      <c r="C1116" s="2"/>
    </row>
    <row r="1117" spans="3:3">
      <c r="C1117" s="2"/>
    </row>
    <row r="1118" spans="3:3">
      <c r="C1118" s="2"/>
    </row>
    <row r="1119" spans="3:3">
      <c r="C1119" s="2"/>
    </row>
    <row r="1120" spans="3:3">
      <c r="C1120" s="2"/>
    </row>
    <row r="1121" spans="3:3">
      <c r="C1121" s="2"/>
    </row>
    <row r="1122" spans="3:3">
      <c r="C1122" s="2"/>
    </row>
    <row r="1123" spans="3:3">
      <c r="C1123" s="2"/>
    </row>
    <row r="1124" spans="3:3">
      <c r="C1124" s="2"/>
    </row>
    <row r="1125" spans="3:3">
      <c r="C1125" s="2"/>
    </row>
    <row r="1126" spans="3:3">
      <c r="C1126" s="2"/>
    </row>
    <row r="1127" spans="3:3">
      <c r="C1127" s="2"/>
    </row>
    <row r="1128" spans="3:3">
      <c r="C1128" s="2"/>
    </row>
    <row r="1129" spans="3:3">
      <c r="C1129" s="2"/>
    </row>
    <row r="1130" spans="3:3">
      <c r="C1130" s="2"/>
    </row>
    <row r="1131" spans="3:3">
      <c r="C1131" s="2"/>
    </row>
    <row r="1132" spans="3:3">
      <c r="C1132" s="2"/>
    </row>
    <row r="1133" spans="3:3">
      <c r="C1133" s="2"/>
    </row>
    <row r="1134" spans="3:3">
      <c r="C1134" s="2"/>
    </row>
    <row r="1135" spans="3:3">
      <c r="C1135" s="2"/>
    </row>
    <row r="1136" spans="3:3">
      <c r="C1136" s="2"/>
    </row>
    <row r="1137" spans="3:3">
      <c r="C1137" s="2"/>
    </row>
    <row r="1138" spans="3:3">
      <c r="C1138" s="2"/>
    </row>
    <row r="1139" spans="3:3">
      <c r="C1139" s="2"/>
    </row>
    <row r="1140" spans="3:3">
      <c r="C1140" s="2"/>
    </row>
    <row r="1141" spans="3:3">
      <c r="C1141" s="2"/>
    </row>
    <row r="1142" spans="3:3">
      <c r="C1142" s="2"/>
    </row>
    <row r="1143" spans="3:3">
      <c r="C1143" s="2"/>
    </row>
    <row r="1144" spans="3:3">
      <c r="C1144" s="2"/>
    </row>
    <row r="1145" spans="3:3">
      <c r="C1145" s="2"/>
    </row>
    <row r="1146" spans="3:3">
      <c r="C1146" s="2"/>
    </row>
    <row r="1147" spans="3:3">
      <c r="C1147" s="2"/>
    </row>
    <row r="1148" spans="3:3">
      <c r="C1148" s="2"/>
    </row>
    <row r="1149" spans="3:3">
      <c r="C1149" s="2"/>
    </row>
    <row r="1150" spans="3:3">
      <c r="C1150" s="2"/>
    </row>
    <row r="1151" spans="3:3">
      <c r="C1151" s="2"/>
    </row>
    <row r="1152" spans="3:3">
      <c r="C1152" s="2"/>
    </row>
    <row r="1153" spans="3:3">
      <c r="C1153" s="2"/>
    </row>
    <row r="1154" spans="3:3">
      <c r="C1154" s="2"/>
    </row>
    <row r="1155" spans="3:3">
      <c r="C1155" s="2"/>
    </row>
    <row r="1156" spans="3:3">
      <c r="C1156" s="2"/>
    </row>
    <row r="1157" spans="3:3">
      <c r="C1157" s="2"/>
    </row>
    <row r="1158" spans="3:3">
      <c r="C1158" s="2"/>
    </row>
    <row r="1159" spans="3:3">
      <c r="C1159" s="2"/>
    </row>
    <row r="1160" spans="3:3">
      <c r="C1160" s="2"/>
    </row>
    <row r="1161" spans="3:3">
      <c r="C1161" s="2"/>
    </row>
    <row r="1162" spans="3:3">
      <c r="C1162" s="2"/>
    </row>
    <row r="1163" spans="3:3">
      <c r="C1163" s="2"/>
    </row>
    <row r="1164" spans="3:3">
      <c r="C1164" s="2"/>
    </row>
    <row r="1165" spans="3:3">
      <c r="C1165" s="2"/>
    </row>
    <row r="1166" spans="3:3">
      <c r="C1166" s="2"/>
    </row>
    <row r="1167" spans="3:3">
      <c r="C1167" s="2"/>
    </row>
    <row r="1168" spans="3:3">
      <c r="C1168" s="2"/>
    </row>
    <row r="1169" spans="3:3">
      <c r="C1169" s="2"/>
    </row>
    <row r="1170" spans="3:3">
      <c r="C1170" s="2"/>
    </row>
    <row r="1171" spans="3:3">
      <c r="C1171" s="2"/>
    </row>
    <row r="1172" spans="3:3">
      <c r="C1172" s="2"/>
    </row>
    <row r="1173" spans="3:3">
      <c r="C1173" s="2"/>
    </row>
    <row r="1174" spans="3:3">
      <c r="C1174" s="2"/>
    </row>
    <row r="1175" spans="3:3">
      <c r="C1175" s="2"/>
    </row>
    <row r="1176" spans="3:3">
      <c r="C1176" s="2"/>
    </row>
    <row r="1177" spans="3:3">
      <c r="C1177" s="2"/>
    </row>
    <row r="1178" spans="3:3">
      <c r="C1178" s="2"/>
    </row>
    <row r="1179" spans="3:3">
      <c r="C1179" s="2"/>
    </row>
    <row r="1180" spans="3:3">
      <c r="C1180" s="2"/>
    </row>
    <row r="1181" spans="3:3">
      <c r="C1181" s="2"/>
    </row>
    <row r="1182" spans="3:3">
      <c r="C1182" s="2"/>
    </row>
    <row r="1183" spans="3:3">
      <c r="C1183" s="2"/>
    </row>
    <row r="1184" spans="3:3">
      <c r="C1184" s="2"/>
    </row>
    <row r="1185" spans="3:3">
      <c r="C1185" s="2"/>
    </row>
    <row r="1186" spans="3:3">
      <c r="C1186" s="2"/>
    </row>
    <row r="1187" spans="3:3">
      <c r="C1187" s="2"/>
    </row>
    <row r="1188" spans="3:3">
      <c r="C1188" s="2"/>
    </row>
    <row r="1189" spans="3:3">
      <c r="C1189" s="2"/>
    </row>
    <row r="1190" spans="3:3">
      <c r="C1190" s="2"/>
    </row>
    <row r="1191" spans="3:3">
      <c r="C1191" s="2"/>
    </row>
    <row r="1192" spans="3:3">
      <c r="C1192" s="2"/>
    </row>
    <row r="1193" spans="3:3">
      <c r="C1193" s="2"/>
    </row>
    <row r="1194" spans="3:3">
      <c r="C1194" s="2"/>
    </row>
    <row r="1195" spans="3:3">
      <c r="C1195" s="2"/>
    </row>
    <row r="1196" spans="3:3">
      <c r="C1196" s="2"/>
    </row>
    <row r="1197" spans="3:3">
      <c r="C1197" s="2"/>
    </row>
    <row r="1198" spans="3:3">
      <c r="C1198" s="2"/>
    </row>
    <row r="1199" spans="3:3">
      <c r="C1199" s="2"/>
    </row>
    <row r="1200" spans="3:3">
      <c r="C1200" s="2"/>
    </row>
    <row r="1201" spans="3:3">
      <c r="C1201" s="2"/>
    </row>
    <row r="1202" spans="3:3">
      <c r="C1202" s="2"/>
    </row>
    <row r="1203" spans="3:3">
      <c r="C1203" s="2"/>
    </row>
    <row r="1204" spans="3:3">
      <c r="C1204" s="2"/>
    </row>
    <row r="1205" spans="3:3">
      <c r="C1205" s="2"/>
    </row>
    <row r="1206" spans="3:3">
      <c r="C1206" s="2"/>
    </row>
    <row r="1207" spans="3:3">
      <c r="C1207" s="2"/>
    </row>
    <row r="1208" spans="3:3">
      <c r="C1208" s="2"/>
    </row>
    <row r="1209" spans="3:3">
      <c r="C1209" s="2"/>
    </row>
    <row r="1210" spans="3:3">
      <c r="C1210" s="2"/>
    </row>
    <row r="1211" spans="3:3">
      <c r="C1211" s="2"/>
    </row>
    <row r="1212" spans="3:3">
      <c r="C1212" s="2"/>
    </row>
    <row r="1213" spans="3:3">
      <c r="C1213" s="2"/>
    </row>
    <row r="1214" spans="3:3">
      <c r="C1214" s="2"/>
    </row>
    <row r="1215" spans="3:3">
      <c r="C1215" s="2"/>
    </row>
    <row r="1216" spans="3:3">
      <c r="C1216" s="2"/>
    </row>
    <row r="1217" spans="3:3">
      <c r="C1217" s="2"/>
    </row>
    <row r="1218" spans="3:3">
      <c r="C1218" s="2"/>
    </row>
    <row r="1219" spans="3:3">
      <c r="C1219" s="2"/>
    </row>
    <row r="1220" spans="3:3">
      <c r="C1220" s="2"/>
    </row>
    <row r="1221" spans="3:3">
      <c r="C1221" s="2"/>
    </row>
    <row r="1222" spans="3:3">
      <c r="C1222" s="2"/>
    </row>
    <row r="1223" spans="3:3">
      <c r="C1223" s="2"/>
    </row>
    <row r="1224" spans="3:3">
      <c r="C1224" s="2"/>
    </row>
    <row r="1225" spans="3:3">
      <c r="C1225" s="2"/>
    </row>
    <row r="1226" spans="3:3">
      <c r="C1226" s="2"/>
    </row>
    <row r="1227" spans="3:3">
      <c r="C1227" s="2"/>
    </row>
    <row r="1228" spans="3:3">
      <c r="C1228" s="2"/>
    </row>
    <row r="1229" spans="3:3">
      <c r="C1229" s="2"/>
    </row>
    <row r="1230" spans="3:3">
      <c r="C1230" s="2"/>
    </row>
    <row r="1231" spans="3:3">
      <c r="C1231" s="2"/>
    </row>
    <row r="1232" spans="3:3">
      <c r="C1232" s="2"/>
    </row>
    <row r="1233" spans="3:3">
      <c r="C1233" s="2"/>
    </row>
    <row r="1234" spans="3:3">
      <c r="C1234" s="2"/>
    </row>
    <row r="1235" spans="3:3">
      <c r="C1235" s="2"/>
    </row>
    <row r="1236" spans="3:3">
      <c r="C1236" s="2"/>
    </row>
    <row r="1237" spans="3:3">
      <c r="C1237" s="2"/>
    </row>
    <row r="1238" spans="3:3">
      <c r="C1238" s="2"/>
    </row>
    <row r="1239" spans="3:3">
      <c r="C1239" s="2"/>
    </row>
    <row r="1240" spans="3:3">
      <c r="C1240" s="2"/>
    </row>
    <row r="1241" spans="3:3">
      <c r="C1241" s="2"/>
    </row>
    <row r="1242" spans="3:3">
      <c r="C1242" s="2"/>
    </row>
    <row r="1243" spans="3:3">
      <c r="C1243" s="2"/>
    </row>
    <row r="1244" spans="3:3">
      <c r="C1244" s="2"/>
    </row>
    <row r="1245" spans="3:3">
      <c r="C1245" s="2"/>
    </row>
    <row r="1246" spans="3:3">
      <c r="C1246" s="2"/>
    </row>
    <row r="1247" spans="3:3">
      <c r="C1247" s="2"/>
    </row>
    <row r="1248" spans="3:3">
      <c r="C1248" s="2"/>
    </row>
    <row r="1249" spans="3:3">
      <c r="C1249" s="2"/>
    </row>
    <row r="1250" spans="3:3">
      <c r="C1250" s="2"/>
    </row>
    <row r="1251" spans="3:3">
      <c r="C1251" s="2"/>
    </row>
    <row r="1252" spans="3:3">
      <c r="C1252" s="2"/>
    </row>
    <row r="1253" spans="3:3">
      <c r="C1253" s="2"/>
    </row>
    <row r="1254" spans="3:3">
      <c r="C1254" s="2"/>
    </row>
    <row r="1255" spans="3:3">
      <c r="C1255" s="2"/>
    </row>
    <row r="1256" spans="3:3">
      <c r="C1256" s="2"/>
    </row>
    <row r="1257" spans="3:3">
      <c r="C1257" s="2"/>
    </row>
    <row r="1258" spans="3:3">
      <c r="C1258" s="2"/>
    </row>
    <row r="1259" spans="3:3">
      <c r="C1259" s="2"/>
    </row>
    <row r="1260" spans="3:3">
      <c r="C1260" s="2"/>
    </row>
    <row r="1261" spans="3:3">
      <c r="C1261" s="2"/>
    </row>
    <row r="1262" spans="3:3">
      <c r="C1262" s="2"/>
    </row>
    <row r="1263" spans="3:3">
      <c r="C1263" s="2"/>
    </row>
    <row r="1264" spans="3:3">
      <c r="C1264" s="2"/>
    </row>
    <row r="1265" spans="3:3">
      <c r="C1265" s="2"/>
    </row>
    <row r="1266" spans="3:3">
      <c r="C1266" s="2"/>
    </row>
    <row r="1267" spans="3:3">
      <c r="C1267" s="2"/>
    </row>
    <row r="1268" spans="3:3">
      <c r="C1268" s="2"/>
    </row>
    <row r="1269" spans="3:3">
      <c r="C1269" s="2"/>
    </row>
    <row r="1270" spans="3:3">
      <c r="C1270" s="2"/>
    </row>
    <row r="1271" spans="3:3">
      <c r="C1271" s="2"/>
    </row>
    <row r="1272" spans="3:3">
      <c r="C1272" s="2"/>
    </row>
    <row r="1273" spans="3:3">
      <c r="C1273" s="2"/>
    </row>
    <row r="1274" spans="3:3">
      <c r="C1274" s="2"/>
    </row>
    <row r="1275" spans="3:3">
      <c r="C1275" s="2"/>
    </row>
    <row r="1276" spans="3:3">
      <c r="C1276" s="2"/>
    </row>
    <row r="1277" spans="3:3">
      <c r="C1277" s="2"/>
    </row>
    <row r="1278" spans="3:3">
      <c r="C1278" s="2"/>
    </row>
    <row r="1279" spans="3:3">
      <c r="C1279" s="2"/>
    </row>
    <row r="1280" spans="3:3">
      <c r="C1280" s="2"/>
    </row>
    <row r="1281" spans="3:3">
      <c r="C1281" s="2"/>
    </row>
    <row r="1282" spans="3:3">
      <c r="C1282" s="2"/>
    </row>
    <row r="1283" spans="3:3">
      <c r="C1283" s="2"/>
    </row>
    <row r="1284" spans="3:3">
      <c r="C1284" s="2"/>
    </row>
    <row r="1285" spans="3:3">
      <c r="C1285" s="2"/>
    </row>
    <row r="1286" spans="3:3">
      <c r="C1286" s="2"/>
    </row>
    <row r="1287" spans="3:3">
      <c r="C1287" s="2"/>
    </row>
    <row r="1288" spans="3:3">
      <c r="C1288" s="2"/>
    </row>
    <row r="1289" spans="3:3">
      <c r="C1289" s="2"/>
    </row>
    <row r="1290" spans="3:3">
      <c r="C1290" s="2"/>
    </row>
    <row r="1291" spans="3:3">
      <c r="C1291" s="2"/>
    </row>
    <row r="1292" spans="3:3">
      <c r="C1292" s="2"/>
    </row>
    <row r="1293" spans="3:3">
      <c r="C1293" s="2"/>
    </row>
    <row r="1294" spans="3:3">
      <c r="C1294" s="2"/>
    </row>
    <row r="1295" spans="3:3">
      <c r="C1295" s="2"/>
    </row>
    <row r="1296" spans="3:3">
      <c r="C1296" s="2"/>
    </row>
    <row r="1297" spans="3:3">
      <c r="C1297" s="2"/>
    </row>
    <row r="1298" spans="3:3">
      <c r="C1298" s="2"/>
    </row>
    <row r="1299" spans="3:3">
      <c r="C1299" s="2"/>
    </row>
    <row r="1300" spans="3:3">
      <c r="C1300" s="2"/>
    </row>
    <row r="1301" spans="3:3">
      <c r="C1301" s="2"/>
    </row>
    <row r="1302" spans="3:3">
      <c r="C1302" s="2"/>
    </row>
    <row r="1303" spans="3:3">
      <c r="C1303" s="2"/>
    </row>
    <row r="1304" spans="3:3">
      <c r="C1304" s="2"/>
    </row>
    <row r="1305" spans="3:3">
      <c r="C1305" s="2"/>
    </row>
    <row r="1306" spans="3:3">
      <c r="C1306" s="2"/>
    </row>
    <row r="1307" spans="3:3">
      <c r="C1307" s="2"/>
    </row>
    <row r="1308" spans="3:3">
      <c r="C1308" s="2"/>
    </row>
    <row r="1309" spans="3:3">
      <c r="C1309" s="2"/>
    </row>
    <row r="1310" spans="3:3">
      <c r="C1310" s="2"/>
    </row>
    <row r="1311" spans="3:3">
      <c r="C1311" s="2"/>
    </row>
    <row r="1312" spans="3:3">
      <c r="C1312" s="2"/>
    </row>
    <row r="1313" spans="3:3">
      <c r="C1313" s="2"/>
    </row>
    <row r="1314" spans="3:3">
      <c r="C1314" s="2"/>
    </row>
    <row r="1315" spans="3:3">
      <c r="C1315" s="2"/>
    </row>
    <row r="1316" spans="3:3">
      <c r="C1316" s="2"/>
    </row>
    <row r="1317" spans="3:3">
      <c r="C1317" s="2"/>
    </row>
    <row r="1318" spans="3:3">
      <c r="C1318" s="2"/>
    </row>
    <row r="1319" spans="3:3">
      <c r="C1319" s="2"/>
    </row>
    <row r="1320" spans="3:3">
      <c r="C1320" s="2"/>
    </row>
    <row r="1321" spans="3:3">
      <c r="C1321" s="2"/>
    </row>
    <row r="1322" spans="3:3">
      <c r="C1322" s="2"/>
    </row>
    <row r="1323" spans="3:3">
      <c r="C1323" s="2"/>
    </row>
    <row r="1324" spans="3:3">
      <c r="C1324" s="2"/>
    </row>
    <row r="1325" spans="3:3">
      <c r="C1325" s="2"/>
    </row>
    <row r="1326" spans="3:3">
      <c r="C1326" s="2"/>
    </row>
    <row r="1327" spans="3:3">
      <c r="C1327" s="2"/>
    </row>
    <row r="1328" spans="3:3">
      <c r="C1328" s="2"/>
    </row>
    <row r="1329" spans="3:3">
      <c r="C1329" s="2"/>
    </row>
    <row r="1330" spans="3:3">
      <c r="C1330" s="2"/>
    </row>
    <row r="1331" spans="3:3">
      <c r="C1331" s="2"/>
    </row>
    <row r="1332" spans="3:3">
      <c r="C1332" s="2"/>
    </row>
    <row r="1333" spans="3:3">
      <c r="C1333" s="2"/>
    </row>
    <row r="1334" spans="3:3">
      <c r="C1334" s="2"/>
    </row>
    <row r="1335" spans="3:3">
      <c r="C1335" s="2"/>
    </row>
    <row r="1336" spans="3:3">
      <c r="C1336" s="2"/>
    </row>
    <row r="1337" spans="3:3">
      <c r="C1337" s="2"/>
    </row>
    <row r="1338" spans="3:3">
      <c r="C1338" s="2"/>
    </row>
    <row r="1339" spans="3:3">
      <c r="C1339" s="2"/>
    </row>
    <row r="1340" spans="3:3">
      <c r="C1340" s="2"/>
    </row>
    <row r="1341" spans="3:3">
      <c r="C1341" s="2"/>
    </row>
    <row r="1342" spans="3:3">
      <c r="C1342" s="2"/>
    </row>
    <row r="1343" spans="3:3">
      <c r="C1343" s="2"/>
    </row>
    <row r="1344" spans="3:3">
      <c r="C1344" s="2"/>
    </row>
    <row r="1345" spans="3:3">
      <c r="C1345" s="2"/>
    </row>
    <row r="1346" spans="3:3">
      <c r="C1346" s="2"/>
    </row>
    <row r="1347" spans="3:3">
      <c r="C1347" s="2"/>
    </row>
    <row r="1348" spans="3:3">
      <c r="C1348" s="2"/>
    </row>
    <row r="1349" spans="3:3">
      <c r="C1349" s="2"/>
    </row>
    <row r="1350" spans="3:3">
      <c r="C1350" s="2"/>
    </row>
    <row r="1351" spans="3:3">
      <c r="C1351" s="2"/>
    </row>
    <row r="1352" spans="3:3">
      <c r="C1352" s="2"/>
    </row>
    <row r="1353" spans="3:3">
      <c r="C1353" s="2"/>
    </row>
    <row r="1354" spans="3:3">
      <c r="C1354" s="2"/>
    </row>
    <row r="1355" spans="3:3">
      <c r="C1355" s="2"/>
    </row>
    <row r="1356" spans="3:3">
      <c r="C1356" s="2"/>
    </row>
    <row r="1357" spans="3:3">
      <c r="C1357" s="2"/>
    </row>
    <row r="1358" spans="3:3">
      <c r="C1358" s="2"/>
    </row>
    <row r="1359" spans="3:3">
      <c r="C1359" s="2"/>
    </row>
    <row r="1360" spans="3:3">
      <c r="C1360" s="2"/>
    </row>
    <row r="1361" spans="3:3">
      <c r="C1361" s="2"/>
    </row>
    <row r="1362" spans="3:3">
      <c r="C1362" s="2"/>
    </row>
    <row r="1363" spans="3:3">
      <c r="C1363" s="2"/>
    </row>
    <row r="1364" spans="3:3">
      <c r="C1364" s="2"/>
    </row>
    <row r="1365" spans="3:3">
      <c r="C1365" s="2"/>
    </row>
    <row r="1366" spans="3:3">
      <c r="C1366" s="2"/>
    </row>
    <row r="1367" spans="3:3">
      <c r="C1367" s="2"/>
    </row>
    <row r="1368" spans="3:3">
      <c r="C1368" s="2"/>
    </row>
    <row r="1369" spans="3:3">
      <c r="C1369" s="2"/>
    </row>
    <row r="1370" spans="3:3">
      <c r="C1370" s="2"/>
    </row>
    <row r="1371" spans="3:3">
      <c r="C1371" s="2"/>
    </row>
    <row r="1372" spans="3:3">
      <c r="C1372" s="2"/>
    </row>
    <row r="1373" spans="3:3">
      <c r="C1373" s="2"/>
    </row>
    <row r="1374" spans="3:3">
      <c r="C1374" s="2"/>
    </row>
    <row r="1375" spans="3:3">
      <c r="C1375" s="2"/>
    </row>
    <row r="1376" spans="3:3">
      <c r="C1376" s="2"/>
    </row>
    <row r="1377" spans="3:3">
      <c r="C1377" s="2"/>
    </row>
    <row r="1378" spans="3:3">
      <c r="C1378" s="2"/>
    </row>
    <row r="1379" spans="3:3">
      <c r="C1379" s="2"/>
    </row>
    <row r="1380" spans="3:3">
      <c r="C1380" s="2"/>
    </row>
    <row r="1381" spans="3:3">
      <c r="C1381" s="2"/>
    </row>
    <row r="1382" spans="3:3">
      <c r="C1382" s="2"/>
    </row>
    <row r="1383" spans="3:3">
      <c r="C1383" s="2"/>
    </row>
    <row r="1384" spans="3:3">
      <c r="C1384" s="2"/>
    </row>
    <row r="1385" spans="3:3">
      <c r="C1385" s="2"/>
    </row>
    <row r="1386" spans="3:3">
      <c r="C1386" s="2"/>
    </row>
    <row r="1387" spans="3:3">
      <c r="C1387" s="2"/>
    </row>
    <row r="1388" spans="3:3">
      <c r="C1388" s="2"/>
    </row>
    <row r="1389" spans="3:3">
      <c r="C1389" s="2"/>
    </row>
    <row r="1390" spans="3:3">
      <c r="C1390" s="2"/>
    </row>
    <row r="1391" spans="3:3">
      <c r="C1391" s="2"/>
    </row>
    <row r="1392" spans="3:3">
      <c r="C1392" s="2"/>
    </row>
    <row r="1393" spans="3:3">
      <c r="C1393" s="2"/>
    </row>
    <row r="1394" spans="3:3">
      <c r="C1394" s="2"/>
    </row>
    <row r="1395" spans="3:3">
      <c r="C1395" s="2"/>
    </row>
    <row r="1396" spans="3:3">
      <c r="C1396" s="2"/>
    </row>
    <row r="1397" spans="3:3">
      <c r="C1397" s="2"/>
    </row>
    <row r="1398" spans="3:3">
      <c r="C1398" s="2"/>
    </row>
    <row r="1399" spans="3:3">
      <c r="C1399" s="2"/>
    </row>
    <row r="1400" spans="3:3">
      <c r="C1400" s="2"/>
    </row>
    <row r="1401" spans="3:3">
      <c r="C1401" s="2"/>
    </row>
    <row r="1402" spans="3:3">
      <c r="C1402" s="2"/>
    </row>
    <row r="1403" spans="3:3">
      <c r="C1403" s="2"/>
    </row>
    <row r="1404" spans="3:3">
      <c r="C1404" s="2"/>
    </row>
    <row r="1405" spans="3:3">
      <c r="C1405" s="2"/>
    </row>
    <row r="1406" spans="3:3">
      <c r="C1406" s="2"/>
    </row>
    <row r="1407" spans="3:3">
      <c r="C1407" s="2"/>
    </row>
    <row r="1408" spans="3:3">
      <c r="C1408" s="2"/>
    </row>
    <row r="1409" spans="3:3">
      <c r="C1409" s="2"/>
    </row>
    <row r="1410" spans="3:3">
      <c r="C1410" s="2"/>
    </row>
    <row r="1411" spans="3:3">
      <c r="C1411" s="2"/>
    </row>
    <row r="1412" spans="3:3">
      <c r="C1412" s="2"/>
    </row>
    <row r="1413" spans="3:3">
      <c r="C1413" s="2"/>
    </row>
    <row r="1414" spans="3:3">
      <c r="C1414" s="2"/>
    </row>
    <row r="1415" spans="3:3">
      <c r="C1415" s="2"/>
    </row>
    <row r="1416" spans="3:3">
      <c r="C1416" s="2"/>
    </row>
    <row r="1417" spans="3:3">
      <c r="C1417" s="2"/>
    </row>
    <row r="1418" spans="3:3">
      <c r="C1418" s="2"/>
    </row>
    <row r="1419" spans="3:3">
      <c r="C1419" s="2"/>
    </row>
    <row r="1420" spans="3:3">
      <c r="C1420" s="2"/>
    </row>
    <row r="1421" spans="3:3">
      <c r="C1421" s="2"/>
    </row>
    <row r="1422" spans="3:3">
      <c r="C1422" s="2"/>
    </row>
    <row r="1423" spans="3:3">
      <c r="C1423" s="2"/>
    </row>
    <row r="1424" spans="3:3">
      <c r="C1424" s="2"/>
    </row>
    <row r="1425" spans="3:3">
      <c r="C1425" s="2"/>
    </row>
    <row r="1426" spans="3:3">
      <c r="C1426" s="2"/>
    </row>
    <row r="1427" spans="3:3">
      <c r="C1427" s="2"/>
    </row>
    <row r="1428" spans="3:3">
      <c r="C1428" s="2"/>
    </row>
    <row r="1429" spans="3:3">
      <c r="C1429" s="2"/>
    </row>
    <row r="1430" spans="3:3">
      <c r="C1430" s="2"/>
    </row>
    <row r="1431" spans="3:3">
      <c r="C1431" s="2"/>
    </row>
    <row r="1432" spans="3:3">
      <c r="C1432" s="2"/>
    </row>
    <row r="1433" spans="3:3">
      <c r="C1433" s="2"/>
    </row>
    <row r="1434" spans="3:3">
      <c r="C1434" s="2"/>
    </row>
    <row r="1435" spans="3:3">
      <c r="C1435" s="2"/>
    </row>
    <row r="1436" spans="3:3">
      <c r="C1436" s="2"/>
    </row>
    <row r="1437" spans="3:3">
      <c r="C1437" s="2"/>
    </row>
    <row r="1438" spans="3:3">
      <c r="C1438" s="2"/>
    </row>
    <row r="1439" spans="3:3">
      <c r="C1439" s="2"/>
    </row>
    <row r="1440" spans="3:3">
      <c r="C1440" s="2"/>
    </row>
    <row r="1441" spans="3:3">
      <c r="C1441" s="2"/>
    </row>
    <row r="1442" spans="3:3">
      <c r="C1442" s="2"/>
    </row>
    <row r="1443" spans="3:3">
      <c r="C1443" s="2"/>
    </row>
    <row r="1444" spans="3:3">
      <c r="C1444" s="2"/>
    </row>
    <row r="1445" spans="3:3">
      <c r="C1445" s="2"/>
    </row>
    <row r="1446" spans="3:3">
      <c r="C1446" s="2"/>
    </row>
    <row r="1447" spans="3:3">
      <c r="C1447" s="2"/>
    </row>
    <row r="1448" spans="3:3">
      <c r="C1448" s="2"/>
    </row>
    <row r="1449" spans="3:3">
      <c r="C1449" s="2"/>
    </row>
    <row r="1450" spans="3:3">
      <c r="C1450" s="2"/>
    </row>
    <row r="1451" spans="3:3">
      <c r="C1451" s="2"/>
    </row>
    <row r="1452" spans="3:3">
      <c r="C1452" s="2"/>
    </row>
    <row r="1453" spans="3:3">
      <c r="C1453" s="2"/>
    </row>
    <row r="1454" spans="3:3">
      <c r="C1454" s="2"/>
    </row>
    <row r="1455" spans="3:3">
      <c r="C1455" s="2"/>
    </row>
    <row r="1456" spans="3:3">
      <c r="C1456" s="2"/>
    </row>
    <row r="1457" spans="3:3">
      <c r="C1457" s="2"/>
    </row>
    <row r="1458" spans="3:3">
      <c r="C1458" s="2"/>
    </row>
    <row r="1459" spans="3:3">
      <c r="C1459" s="2"/>
    </row>
    <row r="1460" spans="3:3">
      <c r="C1460" s="2"/>
    </row>
    <row r="1461" spans="3:3">
      <c r="C1461" s="2"/>
    </row>
    <row r="1462" spans="3:3">
      <c r="C1462" s="2"/>
    </row>
    <row r="1463" spans="3:3">
      <c r="C1463" s="2"/>
    </row>
    <row r="1464" spans="3:3">
      <c r="C1464" s="2"/>
    </row>
    <row r="1465" spans="3:3">
      <c r="C1465" s="2"/>
    </row>
    <row r="1466" spans="3:3">
      <c r="C1466" s="2"/>
    </row>
    <row r="1467" spans="3:3">
      <c r="C1467" s="2"/>
    </row>
    <row r="1468" spans="3:3">
      <c r="C1468" s="2"/>
    </row>
    <row r="1469" spans="3:3">
      <c r="C1469" s="2"/>
    </row>
    <row r="1470" spans="3:3">
      <c r="C1470" s="2"/>
    </row>
    <row r="1471" spans="3:3">
      <c r="C1471" s="2"/>
    </row>
    <row r="1472" spans="3:3">
      <c r="C1472" s="2"/>
    </row>
    <row r="1473" spans="3:3">
      <c r="C1473" s="2"/>
    </row>
    <row r="1474" spans="3:3">
      <c r="C1474" s="2"/>
    </row>
    <row r="1475" spans="3:3">
      <c r="C1475" s="2"/>
    </row>
    <row r="1476" spans="3:3">
      <c r="C1476" s="2"/>
    </row>
    <row r="1477" spans="3:3">
      <c r="C1477" s="2"/>
    </row>
    <row r="1478" spans="3:3">
      <c r="C1478" s="2"/>
    </row>
    <row r="1479" spans="3:3">
      <c r="C1479" s="2"/>
    </row>
    <row r="1480" spans="3:3">
      <c r="C1480" s="2"/>
    </row>
    <row r="1481" spans="3:3">
      <c r="C1481" s="2"/>
    </row>
    <row r="1482" spans="3:3">
      <c r="C1482" s="2"/>
    </row>
    <row r="1483" spans="3:3">
      <c r="C1483" s="2"/>
    </row>
    <row r="1484" spans="3:3">
      <c r="C1484" s="2"/>
    </row>
    <row r="1485" spans="3:3">
      <c r="C1485" s="2"/>
    </row>
    <row r="1486" spans="3:3">
      <c r="C1486" s="2"/>
    </row>
    <row r="1487" spans="3:3">
      <c r="C1487" s="2"/>
    </row>
    <row r="1488" spans="3:3">
      <c r="C1488" s="2"/>
    </row>
    <row r="1489" spans="3:3">
      <c r="C1489" s="2"/>
    </row>
    <row r="1490" spans="3:3">
      <c r="C1490" s="2"/>
    </row>
    <row r="1491" spans="3:3">
      <c r="C1491" s="2"/>
    </row>
    <row r="1492" spans="3:3">
      <c r="C1492" s="2"/>
    </row>
    <row r="1493" spans="3:3">
      <c r="C1493" s="2"/>
    </row>
    <row r="1494" spans="3:3">
      <c r="C1494" s="2"/>
    </row>
    <row r="1495" spans="3:3">
      <c r="C1495" s="2"/>
    </row>
    <row r="1496" spans="3:3">
      <c r="C1496" s="2"/>
    </row>
    <row r="1497" spans="3:3">
      <c r="C1497" s="2"/>
    </row>
    <row r="1498" spans="3:3">
      <c r="C1498" s="2"/>
    </row>
    <row r="1499" spans="3:3">
      <c r="C1499" s="2"/>
    </row>
    <row r="1500" spans="3:3">
      <c r="C1500" s="2"/>
    </row>
    <row r="1501" spans="3:3">
      <c r="C1501" s="2"/>
    </row>
    <row r="1502" spans="3:3">
      <c r="C1502" s="2"/>
    </row>
    <row r="1503" spans="3:3">
      <c r="C1503" s="2"/>
    </row>
    <row r="1504" spans="3:3">
      <c r="C1504" s="2"/>
    </row>
    <row r="1505" spans="3:3">
      <c r="C1505" s="2"/>
    </row>
    <row r="1506" spans="3:3">
      <c r="C1506" s="2"/>
    </row>
    <row r="1507" spans="3:3">
      <c r="C1507" s="2"/>
    </row>
    <row r="1508" spans="3:3">
      <c r="C1508" s="2"/>
    </row>
    <row r="1509" spans="3:3">
      <c r="C1509" s="2"/>
    </row>
    <row r="1510" spans="3:3">
      <c r="C1510" s="2"/>
    </row>
    <row r="1511" spans="3:3">
      <c r="C1511" s="2"/>
    </row>
    <row r="1512" spans="3:3">
      <c r="C1512" s="2"/>
    </row>
    <row r="1513" spans="3:3">
      <c r="C1513" s="2"/>
    </row>
    <row r="1514" spans="3:3">
      <c r="C1514" s="2"/>
    </row>
    <row r="1515" spans="3:3">
      <c r="C1515" s="2"/>
    </row>
    <row r="1516" spans="3:3">
      <c r="C1516" s="2"/>
    </row>
    <row r="1517" spans="3:3">
      <c r="C1517" s="2"/>
    </row>
    <row r="1518" spans="3:3">
      <c r="C1518" s="2"/>
    </row>
    <row r="1519" spans="3:3">
      <c r="C1519" s="2"/>
    </row>
    <row r="1520" spans="3:3">
      <c r="C1520" s="2"/>
    </row>
    <row r="1521" spans="3:3">
      <c r="C1521" s="2"/>
    </row>
    <row r="1522" spans="3:3">
      <c r="C1522" s="2"/>
    </row>
    <row r="1523" spans="3:3">
      <c r="C1523" s="2"/>
    </row>
    <row r="1524" spans="3:3">
      <c r="C1524" s="2"/>
    </row>
    <row r="1525" spans="3:3">
      <c r="C1525" s="2"/>
    </row>
    <row r="1526" spans="3:3">
      <c r="C1526" s="2"/>
    </row>
    <row r="1527" spans="3:3">
      <c r="C1527" s="2"/>
    </row>
    <row r="1528" spans="3:3">
      <c r="C1528" s="2"/>
    </row>
    <row r="1529" spans="3:3">
      <c r="C1529" s="2"/>
    </row>
    <row r="1530" spans="3:3">
      <c r="C1530" s="2"/>
    </row>
    <row r="1531" spans="3:3">
      <c r="C1531" s="2"/>
    </row>
    <row r="1532" spans="3:3">
      <c r="C1532" s="2"/>
    </row>
    <row r="1533" spans="3:3">
      <c r="C1533" s="2"/>
    </row>
    <row r="1534" spans="3:3">
      <c r="C1534" s="2"/>
    </row>
    <row r="1535" spans="3:3">
      <c r="C1535" s="2"/>
    </row>
    <row r="1536" spans="3:3">
      <c r="C1536" s="2"/>
    </row>
    <row r="1537" spans="3:3">
      <c r="C1537" s="2"/>
    </row>
    <row r="1538" spans="3:3">
      <c r="C1538" s="2"/>
    </row>
    <row r="1539" spans="3:3">
      <c r="C1539" s="2"/>
    </row>
    <row r="1540" spans="3:3">
      <c r="C1540" s="2"/>
    </row>
    <row r="1541" spans="3:3">
      <c r="C1541" s="2"/>
    </row>
    <row r="1542" spans="3:3">
      <c r="C1542" s="2"/>
    </row>
    <row r="1543" spans="3:3">
      <c r="C1543" s="2"/>
    </row>
    <row r="1544" spans="3:3">
      <c r="C1544" s="2"/>
    </row>
    <row r="1545" spans="3:3">
      <c r="C1545" s="2"/>
    </row>
    <row r="1546" spans="3:3">
      <c r="C1546" s="2"/>
    </row>
    <row r="1547" spans="3:3">
      <c r="C1547" s="2"/>
    </row>
    <row r="1548" spans="3:3">
      <c r="C1548" s="2"/>
    </row>
    <row r="1549" spans="3:3">
      <c r="C1549" s="2"/>
    </row>
    <row r="1550" spans="3:3">
      <c r="C1550" s="2"/>
    </row>
    <row r="1551" spans="3:3">
      <c r="C1551" s="2"/>
    </row>
    <row r="1552" spans="3:3">
      <c r="C1552" s="2"/>
    </row>
    <row r="1553" spans="3:3">
      <c r="C1553" s="2"/>
    </row>
    <row r="1554" spans="3:3">
      <c r="C1554" s="2"/>
    </row>
    <row r="1555" spans="3:3">
      <c r="C1555" s="2"/>
    </row>
    <row r="1556" spans="3:3">
      <c r="C1556" s="2"/>
    </row>
    <row r="1557" spans="3:3">
      <c r="C1557" s="2"/>
    </row>
    <row r="1558" spans="3:3">
      <c r="C1558" s="2"/>
    </row>
    <row r="1559" spans="3:3">
      <c r="C1559" s="2"/>
    </row>
    <row r="1560" spans="3:3">
      <c r="C1560" s="2"/>
    </row>
    <row r="1561" spans="3:3">
      <c r="C1561" s="2"/>
    </row>
    <row r="1562" spans="3:3">
      <c r="C1562" s="2"/>
    </row>
    <row r="1563" spans="3:3">
      <c r="C1563" s="2"/>
    </row>
    <row r="1564" spans="3:3">
      <c r="C1564" s="2"/>
    </row>
    <row r="1565" spans="3:3">
      <c r="C1565" s="2"/>
    </row>
    <row r="1566" spans="3:3">
      <c r="C1566" s="2"/>
    </row>
    <row r="1567" spans="3:3">
      <c r="C1567" s="2"/>
    </row>
    <row r="1568" spans="3:3">
      <c r="C1568" s="2"/>
    </row>
    <row r="1569" spans="3:3">
      <c r="C1569" s="2"/>
    </row>
    <row r="1570" spans="3:3">
      <c r="C1570" s="2"/>
    </row>
    <row r="1571" spans="3:3">
      <c r="C1571" s="2"/>
    </row>
    <row r="1572" spans="3:3">
      <c r="C1572" s="2"/>
    </row>
    <row r="1573" spans="3:3">
      <c r="C1573" s="2"/>
    </row>
    <row r="1574" spans="3:3">
      <c r="C1574" s="2"/>
    </row>
    <row r="1575" spans="3:3">
      <c r="C1575" s="2"/>
    </row>
    <row r="1576" spans="3:3">
      <c r="C1576" s="2"/>
    </row>
    <row r="1577" spans="3:3">
      <c r="C1577" s="2"/>
    </row>
    <row r="1578" spans="3:3">
      <c r="C1578" s="2"/>
    </row>
    <row r="1579" spans="3:3">
      <c r="C1579" s="2"/>
    </row>
    <row r="1580" spans="3:3">
      <c r="C1580" s="2"/>
    </row>
    <row r="1581" spans="3:3">
      <c r="C1581" s="2"/>
    </row>
    <row r="1582" spans="3:3">
      <c r="C1582" s="2"/>
    </row>
    <row r="1583" spans="3:3">
      <c r="C1583" s="2"/>
    </row>
    <row r="1584" spans="3:3">
      <c r="C1584" s="2"/>
    </row>
    <row r="1585" spans="3:3">
      <c r="C1585" s="2"/>
    </row>
    <row r="1586" spans="3:3">
      <c r="C1586" s="2"/>
    </row>
    <row r="1587" spans="3:3">
      <c r="C1587" s="2"/>
    </row>
    <row r="1588" spans="3:3">
      <c r="C1588" s="2"/>
    </row>
    <row r="1589" spans="3:3">
      <c r="C1589" s="2"/>
    </row>
    <row r="1590" spans="3:3">
      <c r="C1590" s="2"/>
    </row>
    <row r="1591" spans="3:3">
      <c r="C1591" s="2"/>
    </row>
    <row r="1592" spans="3:3">
      <c r="C1592" s="2"/>
    </row>
    <row r="1593" spans="3:3">
      <c r="C1593" s="2"/>
    </row>
    <row r="1594" spans="3:3">
      <c r="C1594" s="2"/>
    </row>
    <row r="1595" spans="3:3">
      <c r="C1595" s="2"/>
    </row>
    <row r="1596" spans="3:3">
      <c r="C1596" s="2"/>
    </row>
    <row r="1597" spans="3:3">
      <c r="C1597" s="2"/>
    </row>
    <row r="1598" spans="3:3">
      <c r="C1598" s="2"/>
    </row>
    <row r="1599" spans="3:3">
      <c r="C1599" s="2"/>
    </row>
    <row r="1600" spans="3:3">
      <c r="C1600" s="2"/>
    </row>
    <row r="1601" spans="3:3">
      <c r="C1601" s="2"/>
    </row>
    <row r="1602" spans="3:3">
      <c r="C1602" s="2"/>
    </row>
    <row r="1603" spans="3:3">
      <c r="C1603" s="2"/>
    </row>
    <row r="1604" spans="3:3">
      <c r="C1604" s="2"/>
    </row>
    <row r="1605" spans="3:3">
      <c r="C1605" s="2"/>
    </row>
    <row r="1606" spans="3:3">
      <c r="C1606" s="2"/>
    </row>
    <row r="1607" spans="3:3">
      <c r="C1607" s="2"/>
    </row>
    <row r="1608" spans="3:3">
      <c r="C1608" s="2"/>
    </row>
    <row r="1609" spans="3:3">
      <c r="C1609" s="2"/>
    </row>
    <row r="1610" spans="3:3">
      <c r="C1610" s="2"/>
    </row>
    <row r="1611" spans="3:3">
      <c r="C1611" s="2"/>
    </row>
    <row r="1612" spans="3:3">
      <c r="C1612" s="2"/>
    </row>
    <row r="1613" spans="3:3">
      <c r="C1613" s="2"/>
    </row>
    <row r="1614" spans="3:3">
      <c r="C1614" s="2"/>
    </row>
    <row r="1615" spans="3:3">
      <c r="C1615" s="2"/>
    </row>
    <row r="1616" spans="3:3">
      <c r="C1616" s="2"/>
    </row>
    <row r="1617" spans="3:3">
      <c r="C1617" s="2"/>
    </row>
    <row r="1618" spans="3:3">
      <c r="C1618" s="2"/>
    </row>
    <row r="1619" spans="3:3">
      <c r="C1619" s="2"/>
    </row>
    <row r="1620" spans="3:3">
      <c r="C1620" s="2"/>
    </row>
    <row r="1621" spans="3:3">
      <c r="C1621" s="2"/>
    </row>
    <row r="1622" spans="3:3">
      <c r="C1622" s="2"/>
    </row>
    <row r="1623" spans="3:3">
      <c r="C1623" s="2"/>
    </row>
    <row r="1624" spans="3:3">
      <c r="C1624" s="2"/>
    </row>
    <row r="1625" spans="3:3">
      <c r="C1625" s="2"/>
    </row>
    <row r="1626" spans="3:3">
      <c r="C1626" s="2"/>
    </row>
    <row r="1627" spans="3:3">
      <c r="C1627" s="2"/>
    </row>
    <row r="1628" spans="3:3">
      <c r="C1628" s="2"/>
    </row>
    <row r="1629" spans="3:3">
      <c r="C1629" s="2"/>
    </row>
    <row r="1630" spans="3:3">
      <c r="C1630" s="2"/>
    </row>
    <row r="1631" spans="3:3">
      <c r="C1631" s="2"/>
    </row>
    <row r="1632" spans="3:3">
      <c r="C1632" s="2"/>
    </row>
    <row r="1633" spans="3:3">
      <c r="C1633" s="2"/>
    </row>
    <row r="1634" spans="3:3">
      <c r="C1634" s="2"/>
    </row>
    <row r="1635" spans="3:3">
      <c r="C1635" s="2"/>
    </row>
    <row r="1636" spans="3:3">
      <c r="C1636" s="2"/>
    </row>
    <row r="1637" spans="3:3">
      <c r="C1637" s="2"/>
    </row>
    <row r="1638" spans="3:3">
      <c r="C1638" s="2"/>
    </row>
    <row r="1639" spans="3:3">
      <c r="C1639" s="2"/>
    </row>
    <row r="1640" spans="3:3">
      <c r="C1640" s="2"/>
    </row>
    <row r="1641" spans="3:3">
      <c r="C1641" s="2"/>
    </row>
    <row r="1642" spans="3:3">
      <c r="C1642" s="2"/>
    </row>
    <row r="1643" spans="3:3">
      <c r="C1643" s="2"/>
    </row>
    <row r="1644" spans="3:3">
      <c r="C1644" s="2"/>
    </row>
    <row r="1645" spans="3:3">
      <c r="C1645" s="2"/>
    </row>
    <row r="1646" spans="3:3">
      <c r="C1646" s="2"/>
    </row>
    <row r="1647" spans="3:3">
      <c r="C1647" s="2"/>
    </row>
    <row r="1648" spans="3:3">
      <c r="C1648" s="2"/>
    </row>
    <row r="1649" spans="3:3">
      <c r="C1649" s="2"/>
    </row>
    <row r="1650" spans="3:3">
      <c r="C1650" s="2"/>
    </row>
    <row r="1651" spans="3:3">
      <c r="C1651" s="2"/>
    </row>
    <row r="1652" spans="3:3">
      <c r="C1652" s="2"/>
    </row>
    <row r="1653" spans="3:3">
      <c r="C1653" s="2"/>
    </row>
    <row r="1654" spans="3:3">
      <c r="C1654" s="2"/>
    </row>
    <row r="1655" spans="3:3">
      <c r="C1655" s="2"/>
    </row>
    <row r="1656" spans="3:3">
      <c r="C1656" s="2"/>
    </row>
    <row r="1657" spans="3:3">
      <c r="C1657" s="2"/>
    </row>
    <row r="1658" spans="3:3">
      <c r="C1658" s="2"/>
    </row>
    <row r="1659" spans="3:3">
      <c r="C1659" s="2"/>
    </row>
    <row r="1660" spans="3:3">
      <c r="C1660" s="2"/>
    </row>
    <row r="1661" spans="3:3">
      <c r="C1661" s="2"/>
    </row>
    <row r="1662" spans="3:3">
      <c r="C1662" s="2"/>
    </row>
    <row r="1663" spans="3:3">
      <c r="C1663" s="2"/>
    </row>
    <row r="1664" spans="3:3">
      <c r="C1664" s="2"/>
    </row>
    <row r="1665" spans="3:3">
      <c r="C1665" s="2"/>
    </row>
    <row r="1666" spans="3:3">
      <c r="C1666" s="2"/>
    </row>
    <row r="1667" spans="3:3">
      <c r="C1667" s="2"/>
    </row>
    <row r="1668" spans="3:3">
      <c r="C1668" s="2"/>
    </row>
    <row r="1669" spans="3:3">
      <c r="C1669" s="2"/>
    </row>
    <row r="1670" spans="3:3">
      <c r="C1670" s="2"/>
    </row>
    <row r="1671" spans="3:3">
      <c r="C1671" s="2"/>
    </row>
    <row r="1672" spans="3:3">
      <c r="C1672" s="2"/>
    </row>
    <row r="1673" spans="3:3">
      <c r="C1673" s="2"/>
    </row>
    <row r="1674" spans="3:3">
      <c r="C1674" s="2"/>
    </row>
    <row r="1675" spans="3:3">
      <c r="C1675" s="2"/>
    </row>
    <row r="1676" spans="3:3">
      <c r="C1676" s="2"/>
    </row>
    <row r="1677" spans="3:3">
      <c r="C1677" s="2"/>
    </row>
    <row r="1678" spans="3:3">
      <c r="C1678" s="2"/>
    </row>
    <row r="1679" spans="3:3">
      <c r="C1679" s="2"/>
    </row>
    <row r="1680" spans="3:3">
      <c r="C1680" s="2"/>
    </row>
    <row r="1681" spans="3:3">
      <c r="C1681" s="2"/>
    </row>
    <row r="1682" spans="3:3">
      <c r="C1682" s="2"/>
    </row>
    <row r="1683" spans="3:3">
      <c r="C1683" s="2"/>
    </row>
    <row r="1684" spans="3:3">
      <c r="C1684" s="2"/>
    </row>
    <row r="1685" spans="3:3">
      <c r="C1685" s="2"/>
    </row>
    <row r="1686" spans="3:3">
      <c r="C1686" s="2"/>
    </row>
    <row r="1687" spans="3:3">
      <c r="C1687" s="2"/>
    </row>
    <row r="1688" spans="3:3">
      <c r="C1688" s="2"/>
    </row>
    <row r="1689" spans="3:3">
      <c r="C1689" s="2"/>
    </row>
    <row r="1690" spans="3:3">
      <c r="C1690" s="2"/>
    </row>
    <row r="1691" spans="3:3">
      <c r="C1691" s="2"/>
    </row>
    <row r="1692" spans="3:3">
      <c r="C1692" s="2"/>
    </row>
    <row r="1693" spans="3:3">
      <c r="C1693" s="2"/>
    </row>
    <row r="1694" spans="3:3">
      <c r="C1694" s="2"/>
    </row>
    <row r="1695" spans="3:3">
      <c r="C1695" s="2"/>
    </row>
    <row r="1696" spans="3:3">
      <c r="C1696" s="2"/>
    </row>
    <row r="1697" spans="3:3">
      <c r="C1697" s="2"/>
    </row>
    <row r="1698" spans="3:3">
      <c r="C1698" s="2"/>
    </row>
    <row r="1699" spans="3:3">
      <c r="C1699" s="2"/>
    </row>
    <row r="1700" spans="3:3">
      <c r="C1700" s="2"/>
    </row>
    <row r="1701" spans="3:3">
      <c r="C1701" s="2"/>
    </row>
    <row r="1702" spans="3:3">
      <c r="C1702" s="2"/>
    </row>
    <row r="1703" spans="3:3">
      <c r="C1703" s="2"/>
    </row>
    <row r="1704" spans="3:3">
      <c r="C1704" s="2"/>
    </row>
    <row r="1705" spans="3:3">
      <c r="C1705" s="2"/>
    </row>
    <row r="1706" spans="3:3">
      <c r="C1706" s="2"/>
    </row>
    <row r="1707" spans="3:3">
      <c r="C1707" s="2"/>
    </row>
    <row r="1708" spans="3:3">
      <c r="C1708" s="2"/>
    </row>
    <row r="1709" spans="3:3">
      <c r="C1709" s="2"/>
    </row>
    <row r="1710" spans="3:3">
      <c r="C1710" s="2"/>
    </row>
    <row r="1711" spans="3:3">
      <c r="C1711" s="2"/>
    </row>
    <row r="1712" spans="3:3">
      <c r="C1712" s="2"/>
    </row>
    <row r="1713" spans="3:3">
      <c r="C1713" s="2"/>
    </row>
    <row r="1714" spans="3:3">
      <c r="C1714" s="2"/>
    </row>
    <row r="1715" spans="3:3">
      <c r="C1715" s="2"/>
    </row>
    <row r="1716" spans="3:3">
      <c r="C1716" s="2"/>
    </row>
    <row r="1717" spans="3:3">
      <c r="C1717" s="2"/>
    </row>
    <row r="1718" spans="3:3">
      <c r="C1718" s="2"/>
    </row>
    <row r="1719" spans="3:3">
      <c r="C1719" s="2"/>
    </row>
    <row r="1720" spans="3:3">
      <c r="C1720" s="2"/>
    </row>
    <row r="1721" spans="3:3">
      <c r="C1721" s="2"/>
    </row>
    <row r="1722" spans="3:3">
      <c r="C1722" s="2"/>
    </row>
    <row r="1723" spans="3:3">
      <c r="C1723" s="2"/>
    </row>
    <row r="1724" spans="3:3">
      <c r="C1724" s="2"/>
    </row>
    <row r="1725" spans="3:3">
      <c r="C1725" s="2"/>
    </row>
    <row r="1726" spans="3:3">
      <c r="C1726" s="2"/>
    </row>
    <row r="1727" spans="3:3">
      <c r="C1727" s="2"/>
    </row>
    <row r="1728" spans="3:3">
      <c r="C1728" s="2"/>
    </row>
    <row r="1729" spans="3:3">
      <c r="C1729" s="2"/>
    </row>
    <row r="1730" spans="3:3">
      <c r="C1730" s="2"/>
    </row>
    <row r="1731" spans="3:3">
      <c r="C1731" s="2"/>
    </row>
    <row r="1732" spans="3:3">
      <c r="C1732" s="2"/>
    </row>
    <row r="1733" spans="3:3">
      <c r="C1733" s="2"/>
    </row>
    <row r="1734" spans="3:3">
      <c r="C1734" s="2"/>
    </row>
    <row r="1735" spans="3:3">
      <c r="C1735" s="2"/>
    </row>
    <row r="1736" spans="3:3">
      <c r="C1736" s="2"/>
    </row>
    <row r="1737" spans="3:3">
      <c r="C1737" s="2"/>
    </row>
    <row r="1738" spans="3:3">
      <c r="C1738" s="2"/>
    </row>
    <row r="1739" spans="3:3">
      <c r="C1739" s="2"/>
    </row>
    <row r="1740" spans="3:3">
      <c r="C1740" s="2"/>
    </row>
    <row r="1741" spans="3:3">
      <c r="C1741" s="2"/>
    </row>
    <row r="1742" spans="3:3">
      <c r="C1742" s="2"/>
    </row>
    <row r="1743" spans="3:3">
      <c r="C1743" s="2"/>
    </row>
    <row r="1744" spans="3:3">
      <c r="C1744" s="2"/>
    </row>
    <row r="1745" spans="3:3">
      <c r="C1745" s="2"/>
    </row>
    <row r="1746" spans="3:3">
      <c r="C1746" s="2"/>
    </row>
    <row r="1747" spans="3:3">
      <c r="C1747" s="2"/>
    </row>
    <row r="1748" spans="3:3">
      <c r="C1748" s="2"/>
    </row>
    <row r="1749" spans="3:3">
      <c r="C1749" s="2"/>
    </row>
    <row r="1750" spans="3:3">
      <c r="C1750" s="2"/>
    </row>
    <row r="1751" spans="3:3">
      <c r="C1751" s="2"/>
    </row>
    <row r="1752" spans="3:3">
      <c r="C1752" s="2"/>
    </row>
    <row r="1753" spans="3:3">
      <c r="C1753" s="2"/>
    </row>
    <row r="1754" spans="3:3">
      <c r="C1754" s="2"/>
    </row>
    <row r="1755" spans="3:3">
      <c r="C1755" s="2"/>
    </row>
    <row r="1756" spans="3:3">
      <c r="C1756" s="2"/>
    </row>
    <row r="1757" spans="3:3">
      <c r="C1757" s="2"/>
    </row>
    <row r="1758" spans="3:3">
      <c r="C1758" s="2"/>
    </row>
    <row r="1759" spans="3:3">
      <c r="C1759" s="2"/>
    </row>
    <row r="1760" spans="3:3">
      <c r="C1760" s="2"/>
    </row>
    <row r="1761" spans="3:3">
      <c r="C1761" s="2"/>
    </row>
    <row r="1762" spans="3:3">
      <c r="C1762" s="2"/>
    </row>
    <row r="1763" spans="3:3">
      <c r="C1763" s="2"/>
    </row>
    <row r="1764" spans="3:3">
      <c r="C1764" s="2"/>
    </row>
    <row r="1765" spans="3:3">
      <c r="C1765" s="2"/>
    </row>
    <row r="1766" spans="3:3">
      <c r="C1766" s="2"/>
    </row>
    <row r="1767" spans="3:3">
      <c r="C1767" s="2"/>
    </row>
    <row r="1768" spans="3:3">
      <c r="C1768" s="2"/>
    </row>
    <row r="1769" spans="3:3">
      <c r="C1769" s="2"/>
    </row>
    <row r="1770" spans="3:3">
      <c r="C1770" s="2"/>
    </row>
    <row r="1771" spans="3:3">
      <c r="C1771" s="2"/>
    </row>
    <row r="1772" spans="3:3">
      <c r="C1772" s="2"/>
    </row>
    <row r="1773" spans="3:3">
      <c r="C1773" s="2"/>
    </row>
    <row r="1774" spans="3:3">
      <c r="C1774" s="2"/>
    </row>
    <row r="1775" spans="3:3">
      <c r="C1775" s="2"/>
    </row>
    <row r="1776" spans="3:3">
      <c r="C1776" s="2"/>
    </row>
    <row r="1777" spans="3:3">
      <c r="C1777" s="2"/>
    </row>
    <row r="1778" spans="3:3">
      <c r="C1778" s="2"/>
    </row>
    <row r="1779" spans="3:3">
      <c r="C1779" s="2"/>
    </row>
    <row r="1780" spans="3:3">
      <c r="C1780" s="2"/>
    </row>
    <row r="1781" spans="3:3">
      <c r="C1781" s="2"/>
    </row>
    <row r="1782" spans="3:3">
      <c r="C1782" s="2"/>
    </row>
    <row r="1783" spans="3:3">
      <c r="C1783" s="2"/>
    </row>
    <row r="1784" spans="3:3">
      <c r="C1784" s="2"/>
    </row>
    <row r="1785" spans="3:3">
      <c r="C1785" s="2"/>
    </row>
    <row r="1786" spans="3:3">
      <c r="C1786" s="2"/>
    </row>
    <row r="1787" spans="3:3">
      <c r="C1787" s="2"/>
    </row>
    <row r="1788" spans="3:3">
      <c r="C1788" s="2"/>
    </row>
    <row r="1789" spans="3:3">
      <c r="C1789" s="2"/>
    </row>
    <row r="1790" spans="3:3">
      <c r="C1790" s="2"/>
    </row>
    <row r="1791" spans="3:3">
      <c r="C1791" s="2"/>
    </row>
    <row r="1792" spans="3:3">
      <c r="C1792" s="2"/>
    </row>
    <row r="1793" spans="3:3">
      <c r="C1793" s="2"/>
    </row>
    <row r="1794" spans="3:3">
      <c r="C1794" s="2"/>
    </row>
    <row r="1795" spans="3:3">
      <c r="C1795" s="2"/>
    </row>
    <row r="1796" spans="3:3">
      <c r="C1796" s="2"/>
    </row>
    <row r="1797" spans="3:3">
      <c r="C1797" s="2"/>
    </row>
    <row r="1798" spans="3:3">
      <c r="C1798" s="2"/>
    </row>
    <row r="1799" spans="3:3">
      <c r="C1799" s="2"/>
    </row>
    <row r="1800" spans="3:3">
      <c r="C1800" s="2"/>
    </row>
    <row r="1801" spans="3:3">
      <c r="C1801" s="2"/>
    </row>
    <row r="1802" spans="3:3">
      <c r="C1802" s="2"/>
    </row>
    <row r="1803" spans="3:3">
      <c r="C1803" s="2"/>
    </row>
    <row r="1804" spans="3:3">
      <c r="C1804" s="2"/>
    </row>
    <row r="1805" spans="3:3">
      <c r="C1805" s="2"/>
    </row>
    <row r="1806" spans="3:3">
      <c r="C1806" s="2"/>
    </row>
    <row r="1807" spans="3:3">
      <c r="C1807" s="2"/>
    </row>
    <row r="1808" spans="3:3">
      <c r="C1808" s="2"/>
    </row>
    <row r="1809" spans="3:3">
      <c r="C1809" s="2"/>
    </row>
    <row r="1810" spans="3:3">
      <c r="C1810" s="2"/>
    </row>
    <row r="1811" spans="3:3">
      <c r="C1811" s="2"/>
    </row>
    <row r="1812" spans="3:3">
      <c r="C1812" s="2"/>
    </row>
    <row r="1813" spans="3:3">
      <c r="C1813" s="2"/>
    </row>
    <row r="1814" spans="3:3">
      <c r="C1814" s="2"/>
    </row>
    <row r="1815" spans="3:3">
      <c r="C1815" s="2"/>
    </row>
    <row r="1816" spans="3:3">
      <c r="C1816" s="2"/>
    </row>
    <row r="1817" spans="3:3">
      <c r="C1817" s="2"/>
    </row>
    <row r="1818" spans="3:3">
      <c r="C1818" s="2"/>
    </row>
    <row r="1819" spans="3:3">
      <c r="C1819" s="2"/>
    </row>
    <row r="1820" spans="3:3">
      <c r="C1820" s="2"/>
    </row>
    <row r="1821" spans="3:3">
      <c r="C1821" s="2"/>
    </row>
    <row r="1822" spans="3:3">
      <c r="C1822" s="2"/>
    </row>
    <row r="1823" spans="3:3">
      <c r="C1823" s="2"/>
    </row>
    <row r="1824" spans="3:3">
      <c r="C1824" s="2"/>
    </row>
    <row r="1825" spans="3:3">
      <c r="C1825" s="2"/>
    </row>
    <row r="1826" spans="3:3">
      <c r="C1826" s="2"/>
    </row>
    <row r="1827" spans="3:3">
      <c r="C1827" s="2"/>
    </row>
    <row r="1828" spans="3:3">
      <c r="C1828" s="2"/>
    </row>
    <row r="1829" spans="3:3">
      <c r="C1829" s="2"/>
    </row>
    <row r="1830" spans="3:3">
      <c r="C1830" s="2"/>
    </row>
    <row r="1831" spans="3:3">
      <c r="C1831" s="2"/>
    </row>
    <row r="1832" spans="3:3">
      <c r="C1832" s="2"/>
    </row>
    <row r="1833" spans="3:3">
      <c r="C1833" s="2"/>
    </row>
    <row r="1834" spans="3:3">
      <c r="C1834" s="2"/>
    </row>
    <row r="1835" spans="3:3">
      <c r="C1835" s="2"/>
    </row>
    <row r="1836" spans="3:3">
      <c r="C1836" s="2"/>
    </row>
    <row r="1837" spans="3:3">
      <c r="C1837" s="2"/>
    </row>
    <row r="1838" spans="3:3">
      <c r="C1838" s="2"/>
    </row>
    <row r="1839" spans="3:3">
      <c r="C1839" s="2"/>
    </row>
    <row r="1840" spans="3:3">
      <c r="C1840" s="2"/>
    </row>
    <row r="1841" spans="3:3">
      <c r="C1841" s="2"/>
    </row>
    <row r="1842" spans="3:3">
      <c r="C1842" s="2"/>
    </row>
    <row r="1843" spans="3:3">
      <c r="C1843" s="2"/>
    </row>
    <row r="1844" spans="3:3">
      <c r="C1844" s="2"/>
    </row>
    <row r="1845" spans="3:3">
      <c r="C1845" s="2"/>
    </row>
    <row r="1846" spans="3:3">
      <c r="C1846" s="2"/>
    </row>
    <row r="1847" spans="3:3">
      <c r="C1847" s="2"/>
    </row>
    <row r="1848" spans="3:3">
      <c r="C1848" s="2"/>
    </row>
    <row r="1849" spans="3:3">
      <c r="C1849" s="2"/>
    </row>
    <row r="1850" spans="3:3">
      <c r="C1850" s="2"/>
    </row>
    <row r="1851" spans="3:3">
      <c r="C1851" s="2"/>
    </row>
    <row r="1852" spans="3:3">
      <c r="C1852" s="2"/>
    </row>
    <row r="1853" spans="3:3">
      <c r="C1853" s="2"/>
    </row>
    <row r="1854" spans="3:3">
      <c r="C1854" s="2"/>
    </row>
    <row r="1855" spans="3:3">
      <c r="C1855" s="2"/>
    </row>
    <row r="1856" spans="3:3">
      <c r="C1856" s="2"/>
    </row>
    <row r="1857" spans="3:3">
      <c r="C1857" s="2"/>
    </row>
    <row r="1858" spans="3:3">
      <c r="C1858" s="2"/>
    </row>
    <row r="1859" spans="3:3">
      <c r="C1859" s="2"/>
    </row>
    <row r="1860" spans="3:3">
      <c r="C1860" s="2"/>
    </row>
    <row r="1861" spans="3:3">
      <c r="C1861" s="2"/>
    </row>
    <row r="1862" spans="3:3">
      <c r="C1862" s="2"/>
    </row>
    <row r="1863" spans="3:3">
      <c r="C1863" s="2"/>
    </row>
    <row r="1864" spans="3:3">
      <c r="C1864" s="2"/>
    </row>
    <row r="1865" spans="3:3">
      <c r="C1865" s="2"/>
    </row>
    <row r="1866" spans="3:3">
      <c r="C1866" s="2"/>
    </row>
    <row r="1867" spans="3:3">
      <c r="C1867" s="2"/>
    </row>
    <row r="1868" spans="3:3">
      <c r="C1868" s="2"/>
    </row>
    <row r="1869" spans="3:3">
      <c r="C1869" s="2"/>
    </row>
    <row r="1870" spans="3:3">
      <c r="C1870" s="2"/>
    </row>
    <row r="1871" spans="3:3">
      <c r="C1871" s="2"/>
    </row>
    <row r="1872" spans="3:3">
      <c r="C1872" s="2"/>
    </row>
    <row r="1873" spans="3:3">
      <c r="C1873" s="2"/>
    </row>
    <row r="1874" spans="3:3">
      <c r="C1874" s="2"/>
    </row>
    <row r="1875" spans="3:3">
      <c r="C1875" s="2"/>
    </row>
    <row r="1876" spans="3:3">
      <c r="C1876" s="2"/>
    </row>
    <row r="1877" spans="3:3">
      <c r="C1877" s="2"/>
    </row>
    <row r="1878" spans="3:3">
      <c r="C1878" s="2"/>
    </row>
    <row r="1879" spans="3:3">
      <c r="C1879" s="2"/>
    </row>
    <row r="1880" spans="3:3">
      <c r="C1880" s="2"/>
    </row>
    <row r="1881" spans="3:3">
      <c r="C1881" s="2"/>
    </row>
    <row r="1882" spans="3:3">
      <c r="C1882" s="2"/>
    </row>
    <row r="1883" spans="3:3">
      <c r="C1883" s="2"/>
    </row>
    <row r="1884" spans="3:3">
      <c r="C1884" s="2"/>
    </row>
    <row r="1885" spans="3:3">
      <c r="C1885" s="2"/>
    </row>
    <row r="1886" spans="3:3">
      <c r="C1886" s="2"/>
    </row>
    <row r="1887" spans="3:3">
      <c r="C1887" s="2"/>
    </row>
    <row r="1888" spans="3:3">
      <c r="C1888" s="2"/>
    </row>
    <row r="1889" spans="3:3">
      <c r="C1889" s="2"/>
    </row>
    <row r="1890" spans="3:3">
      <c r="C1890" s="2"/>
    </row>
    <row r="1891" spans="3:3">
      <c r="C1891" s="2"/>
    </row>
    <row r="1892" spans="3:3">
      <c r="C1892" s="2"/>
    </row>
    <row r="1893" spans="3:3">
      <c r="C1893" s="2"/>
    </row>
    <row r="1894" spans="3:3">
      <c r="C1894" s="2"/>
    </row>
    <row r="1895" spans="3:3">
      <c r="C1895" s="2"/>
    </row>
    <row r="1896" spans="3:3">
      <c r="C1896" s="2"/>
    </row>
    <row r="1897" spans="3:3">
      <c r="C1897" s="2"/>
    </row>
    <row r="1898" spans="3:3">
      <c r="C1898" s="2"/>
    </row>
    <row r="1899" spans="3:3">
      <c r="C1899" s="2"/>
    </row>
    <row r="1900" spans="3:3">
      <c r="C1900" s="2"/>
    </row>
    <row r="1901" spans="3:3">
      <c r="C1901" s="2"/>
    </row>
    <row r="1902" spans="3:3">
      <c r="C1902" s="2"/>
    </row>
    <row r="1903" spans="3:3">
      <c r="C1903" s="2"/>
    </row>
    <row r="1904" spans="3:3">
      <c r="C1904" s="2"/>
    </row>
    <row r="1905" spans="3:3">
      <c r="C1905" s="2"/>
    </row>
    <row r="1906" spans="3:3">
      <c r="C1906" s="2"/>
    </row>
    <row r="1907" spans="3:3">
      <c r="C1907" s="2"/>
    </row>
    <row r="1908" spans="3:3">
      <c r="C1908" s="2"/>
    </row>
    <row r="1909" spans="3:3">
      <c r="C1909" s="2"/>
    </row>
    <row r="1910" spans="3:3">
      <c r="C1910" s="2"/>
    </row>
    <row r="1911" spans="3:3">
      <c r="C1911" s="2"/>
    </row>
    <row r="1912" spans="3:3">
      <c r="C1912" s="2"/>
    </row>
    <row r="1913" spans="3:3">
      <c r="C1913" s="2"/>
    </row>
    <row r="1914" spans="3:3">
      <c r="C1914" s="2"/>
    </row>
    <row r="1915" spans="3:3">
      <c r="C1915" s="2"/>
    </row>
    <row r="1916" spans="3:3">
      <c r="C1916" s="2"/>
    </row>
    <row r="1917" spans="3:3">
      <c r="C1917" s="2"/>
    </row>
    <row r="1918" spans="3:3">
      <c r="C1918" s="2"/>
    </row>
    <row r="1919" spans="3:3">
      <c r="C1919" s="2"/>
    </row>
    <row r="1920" spans="3:3">
      <c r="C1920" s="2"/>
    </row>
    <row r="1921" spans="3:3">
      <c r="C1921" s="2"/>
    </row>
    <row r="1922" spans="3:3">
      <c r="C1922" s="2"/>
    </row>
    <row r="1923" spans="3:3">
      <c r="C1923" s="2"/>
    </row>
    <row r="1924" spans="3:3">
      <c r="C1924" s="2"/>
    </row>
    <row r="1925" spans="3:3">
      <c r="C1925" s="2"/>
    </row>
    <row r="1926" spans="3:3">
      <c r="C1926" s="2"/>
    </row>
    <row r="1927" spans="3:3">
      <c r="C1927" s="2"/>
    </row>
    <row r="1928" spans="3:3">
      <c r="C1928" s="2"/>
    </row>
    <row r="1929" spans="3:3">
      <c r="C1929" s="2"/>
    </row>
    <row r="1930" spans="3:3">
      <c r="C1930" s="2"/>
    </row>
    <row r="1931" spans="3:3">
      <c r="C1931" s="2"/>
    </row>
    <row r="1932" spans="3:3">
      <c r="C1932" s="2"/>
    </row>
    <row r="1933" spans="3:3">
      <c r="C1933" s="2"/>
    </row>
    <row r="1934" spans="3:3">
      <c r="C1934" s="2"/>
    </row>
    <row r="1935" spans="3:3">
      <c r="C1935" s="2"/>
    </row>
    <row r="1936" spans="3:3">
      <c r="C1936" s="2"/>
    </row>
    <row r="1937" spans="3:3">
      <c r="C1937" s="2"/>
    </row>
    <row r="1938" spans="3:3">
      <c r="C1938" s="2"/>
    </row>
    <row r="1939" spans="3:3">
      <c r="C1939" s="2"/>
    </row>
    <row r="1940" spans="3:3">
      <c r="C1940" s="2"/>
    </row>
    <row r="1941" spans="3:3">
      <c r="C1941" s="2"/>
    </row>
    <row r="1942" spans="3:3">
      <c r="C1942" s="2"/>
    </row>
    <row r="1943" spans="3:3">
      <c r="C1943" s="2"/>
    </row>
    <row r="1944" spans="3:3">
      <c r="C1944" s="2"/>
    </row>
    <row r="1945" spans="3:3">
      <c r="C1945" s="2"/>
    </row>
    <row r="1946" spans="3:3">
      <c r="C1946" s="2"/>
    </row>
    <row r="1947" spans="3:3">
      <c r="C1947" s="2"/>
    </row>
    <row r="1948" spans="3:3">
      <c r="C1948" s="2"/>
    </row>
    <row r="1949" spans="3:3">
      <c r="C1949" s="2"/>
    </row>
    <row r="1950" spans="3:3">
      <c r="C1950" s="2"/>
    </row>
    <row r="1951" spans="3:3">
      <c r="C1951" s="2"/>
    </row>
    <row r="1952" spans="3:3">
      <c r="C1952" s="2"/>
    </row>
    <row r="1953" spans="3:3">
      <c r="C1953" s="2"/>
    </row>
    <row r="1954" spans="3:3">
      <c r="C1954" s="2"/>
    </row>
    <row r="1955" spans="3:3">
      <c r="C1955" s="2"/>
    </row>
    <row r="1956" spans="3:3">
      <c r="C1956" s="2"/>
    </row>
    <row r="1957" spans="3:3">
      <c r="C1957" s="2"/>
    </row>
    <row r="1958" spans="3:3">
      <c r="C1958" s="2"/>
    </row>
    <row r="1959" spans="3:3">
      <c r="C1959" s="2"/>
    </row>
    <row r="1960" spans="3:3">
      <c r="C1960" s="2"/>
    </row>
    <row r="1961" spans="3:3">
      <c r="C1961" s="2"/>
    </row>
    <row r="1962" spans="3:3">
      <c r="C1962" s="2"/>
    </row>
    <row r="1963" spans="3:3">
      <c r="C1963" s="2"/>
    </row>
    <row r="1964" spans="3:3">
      <c r="C1964" s="2"/>
    </row>
    <row r="1965" spans="3:3">
      <c r="C1965" s="2"/>
    </row>
    <row r="1966" spans="3:3">
      <c r="C1966" s="2"/>
    </row>
    <row r="1967" spans="3:3">
      <c r="C1967" s="2"/>
    </row>
    <row r="1968" spans="3:3">
      <c r="C1968" s="2"/>
    </row>
    <row r="1969" spans="3:3">
      <c r="C1969" s="2"/>
    </row>
    <row r="1970" spans="3:3">
      <c r="C1970" s="2"/>
    </row>
    <row r="1971" spans="3:3">
      <c r="C1971" s="2"/>
    </row>
    <row r="1972" spans="3:3">
      <c r="C1972" s="2"/>
    </row>
    <row r="1973" spans="3:3">
      <c r="C1973" s="2"/>
    </row>
    <row r="1974" spans="3:3">
      <c r="C1974" s="2"/>
    </row>
    <row r="1975" spans="3:3">
      <c r="C1975" s="2"/>
    </row>
    <row r="1976" spans="3:3">
      <c r="C1976" s="2"/>
    </row>
    <row r="1977" spans="3:3">
      <c r="C1977" s="2"/>
    </row>
    <row r="1978" spans="3:3">
      <c r="C1978" s="2"/>
    </row>
    <row r="1979" spans="3:3">
      <c r="C1979" s="2"/>
    </row>
    <row r="1980" spans="3:3">
      <c r="C1980" s="2"/>
    </row>
    <row r="1981" spans="3:3">
      <c r="C1981" s="2"/>
    </row>
    <row r="1982" spans="3:3">
      <c r="C1982" s="2"/>
    </row>
    <row r="1983" spans="3:3">
      <c r="C1983" s="2"/>
    </row>
    <row r="1984" spans="3:3">
      <c r="C1984" s="2"/>
    </row>
    <row r="1985" spans="3:3">
      <c r="C1985" s="2"/>
    </row>
    <row r="1986" spans="3:3">
      <c r="C1986" s="2"/>
    </row>
    <row r="1987" spans="3:3">
      <c r="C1987" s="2"/>
    </row>
    <row r="1988" spans="3:3">
      <c r="C1988" s="2"/>
    </row>
    <row r="1989" spans="3:3">
      <c r="C1989" s="2"/>
    </row>
    <row r="1990" spans="3:3">
      <c r="C1990" s="2"/>
    </row>
    <row r="1991" spans="3:3">
      <c r="C1991" s="2"/>
    </row>
    <row r="1992" spans="3:3">
      <c r="C1992" s="2"/>
    </row>
    <row r="1993" spans="3:3">
      <c r="C1993" s="2"/>
    </row>
    <row r="1994" spans="3:3">
      <c r="C1994" s="2"/>
    </row>
    <row r="1995" spans="3:3">
      <c r="C1995" s="2"/>
    </row>
    <row r="1996" spans="3:3">
      <c r="C1996" s="2"/>
    </row>
    <row r="1997" spans="3:3">
      <c r="C1997" s="2"/>
    </row>
    <row r="1998" spans="3:3">
      <c r="C1998" s="2"/>
    </row>
    <row r="1999" spans="3:3">
      <c r="C1999" s="2"/>
    </row>
    <row r="2000" spans="3:3">
      <c r="C2000" s="2"/>
    </row>
    <row r="2001" spans="3:3">
      <c r="C2001" s="2"/>
    </row>
    <row r="2002" spans="3:3">
      <c r="C2002" s="2"/>
    </row>
    <row r="2003" spans="3:3">
      <c r="C2003" s="2"/>
    </row>
    <row r="2004" spans="3:3">
      <c r="C2004" s="2"/>
    </row>
    <row r="2005" spans="3:3">
      <c r="C2005" s="2"/>
    </row>
    <row r="2006" spans="3:3">
      <c r="C2006" s="2"/>
    </row>
    <row r="2007" spans="3:3">
      <c r="C2007" s="2"/>
    </row>
    <row r="2008" spans="3:3">
      <c r="C2008" s="2"/>
    </row>
    <row r="2009" spans="3:3">
      <c r="C2009" s="2"/>
    </row>
    <row r="2010" spans="3:3">
      <c r="C2010" s="2"/>
    </row>
    <row r="2011" spans="3:3">
      <c r="C2011" s="2"/>
    </row>
    <row r="2012" spans="3:3">
      <c r="C2012" s="2"/>
    </row>
    <row r="2013" spans="3:3">
      <c r="C2013" s="2"/>
    </row>
    <row r="2014" spans="3:3">
      <c r="C2014" s="2"/>
    </row>
    <row r="2015" spans="3:3">
      <c r="C2015" s="2"/>
    </row>
    <row r="2016" spans="3:3">
      <c r="C2016" s="2"/>
    </row>
    <row r="2017" spans="3:3">
      <c r="C2017" s="2"/>
    </row>
    <row r="2018" spans="3:3">
      <c r="C2018" s="2"/>
    </row>
    <row r="2019" spans="3:3">
      <c r="C2019" s="2"/>
    </row>
    <row r="2020" spans="3:3">
      <c r="C2020" s="2"/>
    </row>
    <row r="2021" spans="3:3">
      <c r="C2021" s="2"/>
    </row>
    <row r="2022" spans="3:3">
      <c r="C2022" s="2"/>
    </row>
    <row r="2023" spans="3:3">
      <c r="C2023" s="2"/>
    </row>
    <row r="2024" spans="3:3">
      <c r="C2024" s="2"/>
    </row>
    <row r="2025" spans="3:3">
      <c r="C2025" s="2"/>
    </row>
    <row r="2026" spans="3:3">
      <c r="C2026" s="2"/>
    </row>
    <row r="2027" spans="3:3">
      <c r="C2027" s="2"/>
    </row>
    <row r="2028" spans="3:3">
      <c r="C2028" s="2"/>
    </row>
    <row r="2029" spans="3:3">
      <c r="C2029" s="2"/>
    </row>
    <row r="2030" spans="3:3">
      <c r="C2030" s="2"/>
    </row>
    <row r="2031" spans="3:3">
      <c r="C2031" s="2"/>
    </row>
    <row r="2032" spans="3:3">
      <c r="C2032" s="2"/>
    </row>
    <row r="2033" spans="3:3">
      <c r="C2033" s="2"/>
    </row>
    <row r="2034" spans="3:3">
      <c r="C2034" s="2"/>
    </row>
    <row r="2035" spans="3:3">
      <c r="C2035" s="2"/>
    </row>
    <row r="2036" spans="3:3">
      <c r="C2036" s="2"/>
    </row>
    <row r="2037" spans="3:3">
      <c r="C2037" s="2"/>
    </row>
    <row r="2038" spans="3:3">
      <c r="C2038" s="2"/>
    </row>
    <row r="2039" spans="3:3">
      <c r="C2039" s="2"/>
    </row>
    <row r="2040" spans="3:3">
      <c r="C2040" s="2"/>
    </row>
    <row r="2041" spans="3:3">
      <c r="C2041" s="2"/>
    </row>
    <row r="2042" spans="3:3">
      <c r="C2042" s="2"/>
    </row>
    <row r="2043" spans="3:3">
      <c r="C2043" s="2"/>
    </row>
    <row r="2044" spans="3:3">
      <c r="C2044" s="2"/>
    </row>
    <row r="2045" spans="3:3">
      <c r="C2045" s="2"/>
    </row>
    <row r="2046" spans="3:3">
      <c r="C2046" s="2"/>
    </row>
    <row r="2047" spans="3:3">
      <c r="C2047" s="2"/>
    </row>
    <row r="2048" spans="3:3">
      <c r="C2048" s="2"/>
    </row>
    <row r="2049" spans="3:3">
      <c r="C2049" s="2"/>
    </row>
    <row r="2050" spans="3:3">
      <c r="C2050" s="2"/>
    </row>
    <row r="2051" spans="3:3">
      <c r="C2051" s="2"/>
    </row>
    <row r="2052" spans="3:3">
      <c r="C2052" s="2"/>
    </row>
    <row r="2053" spans="3:3">
      <c r="C2053" s="2"/>
    </row>
    <row r="2054" spans="3:3">
      <c r="C2054" s="2"/>
    </row>
    <row r="2055" spans="3:3">
      <c r="C2055" s="2"/>
    </row>
    <row r="2056" spans="3:3">
      <c r="C2056" s="2"/>
    </row>
    <row r="2057" spans="3:3">
      <c r="C2057" s="2"/>
    </row>
    <row r="2058" spans="3:3">
      <c r="C2058" s="2"/>
    </row>
    <row r="2059" spans="3:3">
      <c r="C2059" s="2"/>
    </row>
    <row r="2060" spans="3:3">
      <c r="C2060" s="2"/>
    </row>
    <row r="2061" spans="3:3">
      <c r="C2061" s="2"/>
    </row>
    <row r="2062" spans="3:3">
      <c r="C2062" s="2"/>
    </row>
    <row r="2063" spans="3:3">
      <c r="C2063" s="2"/>
    </row>
    <row r="2064" spans="3:3">
      <c r="C2064" s="2"/>
    </row>
    <row r="2065" spans="3:3">
      <c r="C2065" s="2"/>
    </row>
    <row r="2066" spans="3:3">
      <c r="C2066" s="2"/>
    </row>
    <row r="2067" spans="3:3">
      <c r="C2067" s="2"/>
    </row>
    <row r="2068" spans="3:3">
      <c r="C2068" s="2"/>
    </row>
    <row r="2069" spans="3:3">
      <c r="C2069" s="2"/>
    </row>
    <row r="2070" spans="3:3">
      <c r="C2070" s="2"/>
    </row>
    <row r="2071" spans="3:3">
      <c r="C2071" s="2"/>
    </row>
    <row r="2072" spans="3:3">
      <c r="C2072" s="2"/>
    </row>
    <row r="2073" spans="3:3">
      <c r="C2073" s="2"/>
    </row>
    <row r="2074" spans="3:3">
      <c r="C2074" s="2"/>
    </row>
    <row r="2075" spans="3:3">
      <c r="C2075" s="2"/>
    </row>
    <row r="2076" spans="3:3">
      <c r="C2076" s="2"/>
    </row>
    <row r="2077" spans="3:3">
      <c r="C2077" s="2"/>
    </row>
    <row r="2078" spans="3:3">
      <c r="C2078" s="2"/>
    </row>
    <row r="2079" spans="3:3">
      <c r="C2079" s="2"/>
    </row>
    <row r="2080" spans="3:3">
      <c r="C2080" s="2"/>
    </row>
    <row r="2081" spans="3:3">
      <c r="C2081" s="2"/>
    </row>
    <row r="2082" spans="3:3">
      <c r="C2082" s="2"/>
    </row>
    <row r="2083" spans="3:3">
      <c r="C2083" s="2"/>
    </row>
    <row r="2084" spans="3:3">
      <c r="C2084" s="2"/>
    </row>
    <row r="2085" spans="3:3">
      <c r="C2085" s="2"/>
    </row>
    <row r="2086" spans="3:3">
      <c r="C2086" s="2"/>
    </row>
    <row r="2087" spans="3:3">
      <c r="C2087" s="2"/>
    </row>
    <row r="2088" spans="3:3">
      <c r="C2088" s="2"/>
    </row>
    <row r="2089" spans="3:3">
      <c r="C2089" s="2"/>
    </row>
    <row r="2090" spans="3:3">
      <c r="C2090" s="2"/>
    </row>
    <row r="2091" spans="3:3">
      <c r="C2091" s="2"/>
    </row>
    <row r="2092" spans="3:3">
      <c r="C2092" s="2"/>
    </row>
    <row r="2093" spans="3:3">
      <c r="C2093" s="2"/>
    </row>
    <row r="2094" spans="3:3">
      <c r="C2094" s="2"/>
    </row>
    <row r="2095" spans="3:3">
      <c r="C2095" s="2"/>
    </row>
    <row r="2096" spans="3:3">
      <c r="C2096" s="2"/>
    </row>
    <row r="2097" spans="3:3">
      <c r="C2097" s="2"/>
    </row>
    <row r="2098" spans="3:3">
      <c r="C2098" s="2"/>
    </row>
    <row r="2099" spans="3:3">
      <c r="C2099" s="2"/>
    </row>
    <row r="2100" spans="3:3">
      <c r="C2100" s="2"/>
    </row>
    <row r="2101" spans="3:3">
      <c r="C2101" s="2"/>
    </row>
    <row r="2102" spans="3:3">
      <c r="C2102" s="2"/>
    </row>
    <row r="2103" spans="3:3">
      <c r="C2103" s="2"/>
    </row>
    <row r="2104" spans="3:3">
      <c r="C2104" s="2"/>
    </row>
    <row r="2105" spans="3:3">
      <c r="C2105" s="2"/>
    </row>
    <row r="2106" spans="3:3">
      <c r="C2106" s="2"/>
    </row>
    <row r="2107" spans="3:3">
      <c r="C2107" s="2"/>
    </row>
    <row r="2108" spans="3:3">
      <c r="C2108" s="2"/>
    </row>
    <row r="2109" spans="3:3">
      <c r="C2109" s="2"/>
    </row>
    <row r="2110" spans="3:3">
      <c r="C2110" s="2"/>
    </row>
    <row r="2111" spans="3:3">
      <c r="C2111" s="2"/>
    </row>
    <row r="2112" spans="3:3">
      <c r="C2112" s="2"/>
    </row>
    <row r="2113" spans="3:3">
      <c r="C2113" s="2"/>
    </row>
    <row r="2114" spans="3:3">
      <c r="C2114" s="2"/>
    </row>
    <row r="2115" spans="3:3">
      <c r="C2115" s="2"/>
    </row>
    <row r="2116" spans="3:3">
      <c r="C2116" s="2"/>
    </row>
    <row r="2117" spans="3:3">
      <c r="C2117" s="2"/>
    </row>
    <row r="2118" spans="3:3">
      <c r="C2118" s="2"/>
    </row>
    <row r="2119" spans="3:3">
      <c r="C2119" s="2"/>
    </row>
    <row r="2120" spans="3:3">
      <c r="C2120" s="2"/>
    </row>
    <row r="2121" spans="3:3">
      <c r="C2121" s="2"/>
    </row>
    <row r="2122" spans="3:3">
      <c r="C2122" s="2"/>
    </row>
    <row r="2123" spans="3:3">
      <c r="C2123" s="2"/>
    </row>
    <row r="2124" spans="3:3">
      <c r="C2124" s="2"/>
    </row>
    <row r="2125" spans="3:3">
      <c r="C2125" s="2"/>
    </row>
    <row r="2126" spans="3:3">
      <c r="C2126" s="2"/>
    </row>
    <row r="2127" spans="3:3">
      <c r="C2127" s="2"/>
    </row>
    <row r="2128" spans="3:3">
      <c r="C2128" s="2"/>
    </row>
    <row r="2129" spans="3:3">
      <c r="C2129" s="2"/>
    </row>
    <row r="2130" spans="3:3">
      <c r="C2130" s="2"/>
    </row>
    <row r="2131" spans="3:3">
      <c r="C2131" s="2"/>
    </row>
    <row r="2132" spans="3:3">
      <c r="C2132" s="2"/>
    </row>
    <row r="2133" spans="3:3">
      <c r="C2133" s="2"/>
    </row>
    <row r="2134" spans="3:3">
      <c r="C2134" s="2"/>
    </row>
    <row r="2135" spans="3:3">
      <c r="C2135" s="2"/>
    </row>
    <row r="2136" spans="3:3">
      <c r="C2136" s="2"/>
    </row>
    <row r="2137" spans="3:3">
      <c r="C2137" s="2"/>
    </row>
    <row r="2138" spans="3:3">
      <c r="C2138" s="2"/>
    </row>
    <row r="2139" spans="3:3">
      <c r="C2139" s="2"/>
    </row>
    <row r="2140" spans="3:3">
      <c r="C2140" s="2"/>
    </row>
    <row r="2141" spans="3:3">
      <c r="C2141" s="2"/>
    </row>
    <row r="2142" spans="3:3">
      <c r="C2142" s="2"/>
    </row>
    <row r="2143" spans="3:3">
      <c r="C2143" s="2"/>
    </row>
    <row r="2144" spans="3:3">
      <c r="C2144" s="2"/>
    </row>
    <row r="2145" spans="3:3">
      <c r="C2145" s="2"/>
    </row>
    <row r="2146" spans="3:3">
      <c r="C2146" s="2"/>
    </row>
    <row r="2147" spans="3:3">
      <c r="C2147" s="2"/>
    </row>
    <row r="2148" spans="3:3">
      <c r="C2148" s="2"/>
    </row>
    <row r="2149" spans="3:3">
      <c r="C2149" s="2"/>
    </row>
    <row r="2150" spans="3:3">
      <c r="C2150" s="2"/>
    </row>
    <row r="2151" spans="3:3">
      <c r="C2151" s="2"/>
    </row>
    <row r="2152" spans="3:3">
      <c r="C2152" s="2"/>
    </row>
    <row r="2153" spans="3:3">
      <c r="C2153" s="2"/>
    </row>
    <row r="2154" spans="3:3">
      <c r="C2154" s="2"/>
    </row>
    <row r="2155" spans="3:3">
      <c r="C2155" s="2"/>
    </row>
    <row r="2156" spans="3:3">
      <c r="C2156" s="2"/>
    </row>
    <row r="2157" spans="3:3">
      <c r="C2157" s="2"/>
    </row>
    <row r="2158" spans="3:3">
      <c r="C2158" s="2"/>
    </row>
    <row r="2159" spans="3:3">
      <c r="C2159" s="2"/>
    </row>
    <row r="2160" spans="3:3">
      <c r="C2160" s="2"/>
    </row>
    <row r="2161" spans="3:3">
      <c r="C2161" s="2"/>
    </row>
    <row r="2162" spans="3:3">
      <c r="C2162" s="2"/>
    </row>
    <row r="2163" spans="3:3">
      <c r="C2163" s="2"/>
    </row>
    <row r="2164" spans="3:3">
      <c r="C2164" s="2"/>
    </row>
    <row r="2165" spans="3:3">
      <c r="C2165" s="2"/>
    </row>
    <row r="2166" spans="3:3">
      <c r="C2166" s="2"/>
    </row>
    <row r="2167" spans="3:3">
      <c r="C2167" s="2"/>
    </row>
    <row r="2168" spans="3:3">
      <c r="C2168" s="2"/>
    </row>
    <row r="2169" spans="3:3">
      <c r="C2169" s="2"/>
    </row>
    <row r="2170" spans="3:3">
      <c r="C2170" s="2"/>
    </row>
    <row r="2171" spans="3:3">
      <c r="C2171" s="2"/>
    </row>
    <row r="2172" spans="3:3">
      <c r="C2172" s="2"/>
    </row>
    <row r="2173" spans="3:3">
      <c r="C2173" s="2"/>
    </row>
    <row r="2174" spans="3:3">
      <c r="C2174" s="2"/>
    </row>
    <row r="2175" spans="3:3">
      <c r="C2175" s="2"/>
    </row>
    <row r="2176" spans="3:3">
      <c r="C2176" s="2"/>
    </row>
    <row r="2177" spans="3:3">
      <c r="C2177" s="2"/>
    </row>
    <row r="2178" spans="3:3">
      <c r="C2178" s="2"/>
    </row>
    <row r="2179" spans="3:3">
      <c r="C2179" s="2"/>
    </row>
    <row r="2180" spans="3:3">
      <c r="C2180" s="2"/>
    </row>
    <row r="2181" spans="3:3">
      <c r="C2181" s="2"/>
    </row>
    <row r="2182" spans="3:3">
      <c r="C2182" s="2"/>
    </row>
    <row r="2183" spans="3:3">
      <c r="C2183" s="2"/>
    </row>
    <row r="2184" spans="3:3">
      <c r="C2184" s="2"/>
    </row>
    <row r="2185" spans="3:3">
      <c r="C2185" s="2"/>
    </row>
    <row r="2186" spans="3:3">
      <c r="C2186" s="2"/>
    </row>
    <row r="2187" spans="3:3">
      <c r="C2187" s="2"/>
    </row>
    <row r="2188" spans="3:3">
      <c r="C2188" s="2"/>
    </row>
    <row r="2189" spans="3:3">
      <c r="C2189" s="2"/>
    </row>
    <row r="2190" spans="3:3">
      <c r="C2190" s="2"/>
    </row>
    <row r="2191" spans="3:3">
      <c r="C2191" s="2"/>
    </row>
    <row r="2192" spans="3:3">
      <c r="C2192" s="2"/>
    </row>
    <row r="2193" spans="3:3">
      <c r="C2193" s="2"/>
    </row>
    <row r="2194" spans="3:3">
      <c r="C2194" s="2"/>
    </row>
    <row r="2195" spans="3:3">
      <c r="C2195" s="2"/>
    </row>
    <row r="2196" spans="3:3">
      <c r="C2196" s="2"/>
    </row>
    <row r="2197" spans="3:3">
      <c r="C2197" s="2"/>
    </row>
    <row r="2198" spans="3:3">
      <c r="C2198" s="2"/>
    </row>
    <row r="2199" spans="3:3">
      <c r="C2199" s="2"/>
    </row>
    <row r="2200" spans="3:3">
      <c r="C2200" s="2"/>
    </row>
    <row r="2201" spans="3:3">
      <c r="C2201" s="2"/>
    </row>
    <row r="2202" spans="3:3">
      <c r="C2202" s="2"/>
    </row>
    <row r="2203" spans="3:3">
      <c r="C2203" s="2"/>
    </row>
    <row r="2204" spans="3:3">
      <c r="C2204" s="2"/>
    </row>
    <row r="2205" spans="3:3">
      <c r="C2205" s="2"/>
    </row>
    <row r="2206" spans="3:3">
      <c r="C2206" s="2"/>
    </row>
    <row r="2207" spans="3:3">
      <c r="C2207" s="2"/>
    </row>
    <row r="2208" spans="3:3">
      <c r="C2208" s="2"/>
    </row>
    <row r="2209" spans="3:3">
      <c r="C2209" s="2"/>
    </row>
    <row r="2210" spans="3:3">
      <c r="C2210" s="2"/>
    </row>
    <row r="2211" spans="3:3">
      <c r="C2211" s="2"/>
    </row>
    <row r="2212" spans="3:3">
      <c r="C2212" s="2"/>
    </row>
    <row r="2213" spans="3:3">
      <c r="C2213" s="2"/>
    </row>
    <row r="2214" spans="3:3">
      <c r="C2214" s="2"/>
    </row>
    <row r="2215" spans="3:3">
      <c r="C2215" s="2"/>
    </row>
    <row r="2216" spans="3:3">
      <c r="C2216" s="2"/>
    </row>
    <row r="2217" spans="3:3">
      <c r="C2217" s="2"/>
    </row>
    <row r="2218" spans="3:3">
      <c r="C2218" s="2"/>
    </row>
    <row r="2219" spans="3:3">
      <c r="C2219" s="2"/>
    </row>
    <row r="2220" spans="3:3">
      <c r="C2220" s="2"/>
    </row>
    <row r="2221" spans="3:3">
      <c r="C2221" s="2"/>
    </row>
    <row r="2222" spans="3:3">
      <c r="C2222" s="2"/>
    </row>
    <row r="2223" spans="3:3">
      <c r="C2223" s="2"/>
    </row>
    <row r="2224" spans="3:3">
      <c r="C2224" s="2"/>
    </row>
    <row r="2225" spans="3:3">
      <c r="C2225" s="2"/>
    </row>
    <row r="2226" spans="3:3">
      <c r="C2226" s="2"/>
    </row>
    <row r="2227" spans="3:3">
      <c r="C2227" s="2"/>
    </row>
    <row r="2228" spans="3:3">
      <c r="C2228" s="2"/>
    </row>
    <row r="2229" spans="3:3">
      <c r="C2229" s="2"/>
    </row>
    <row r="2230" spans="3:3">
      <c r="C2230" s="2"/>
    </row>
    <row r="2231" spans="3:3">
      <c r="C2231" s="2"/>
    </row>
    <row r="2232" spans="3:3">
      <c r="C2232" s="2"/>
    </row>
    <row r="2233" spans="3:3">
      <c r="C2233" s="2"/>
    </row>
    <row r="2234" spans="3:3">
      <c r="C2234" s="2"/>
    </row>
    <row r="2235" spans="3:3">
      <c r="C2235" s="2"/>
    </row>
    <row r="2236" spans="3:3">
      <c r="C2236" s="2"/>
    </row>
    <row r="2237" spans="3:3">
      <c r="C2237" s="2"/>
    </row>
    <row r="2238" spans="3:3">
      <c r="C2238" s="2"/>
    </row>
    <row r="2239" spans="3:3">
      <c r="C2239" s="2"/>
    </row>
    <row r="2240" spans="3:3">
      <c r="C2240" s="2"/>
    </row>
    <row r="2241" spans="3:3">
      <c r="C2241" s="2"/>
    </row>
    <row r="2242" spans="3:3">
      <c r="C2242" s="2"/>
    </row>
    <row r="2243" spans="3:3">
      <c r="C2243" s="2"/>
    </row>
    <row r="2244" spans="3:3">
      <c r="C2244" s="2"/>
    </row>
    <row r="2245" spans="3:3">
      <c r="C2245" s="2"/>
    </row>
    <row r="2246" spans="3:3">
      <c r="C2246" s="2"/>
    </row>
    <row r="2247" spans="3:3">
      <c r="C2247" s="2"/>
    </row>
    <row r="2248" spans="3:3">
      <c r="C2248" s="2"/>
    </row>
    <row r="2249" spans="3:3">
      <c r="C2249" s="2"/>
    </row>
    <row r="2250" spans="3:3">
      <c r="C2250" s="2"/>
    </row>
    <row r="2251" spans="3:3">
      <c r="C2251" s="2"/>
    </row>
    <row r="2252" spans="3:3">
      <c r="C2252" s="2"/>
    </row>
    <row r="2253" spans="3:3">
      <c r="C2253" s="2"/>
    </row>
    <row r="2254" spans="3:3">
      <c r="C2254" s="2"/>
    </row>
    <row r="2255" spans="3:3">
      <c r="C2255" s="2"/>
    </row>
    <row r="2256" spans="3:3">
      <c r="C2256" s="2"/>
    </row>
    <row r="2257" spans="3:3">
      <c r="C2257" s="2"/>
    </row>
    <row r="2258" spans="3:3">
      <c r="C2258" s="2"/>
    </row>
    <row r="2259" spans="3:3">
      <c r="C2259" s="2"/>
    </row>
    <row r="2260" spans="3:3">
      <c r="C2260" s="2"/>
    </row>
    <row r="2261" spans="3:3">
      <c r="C2261" s="2"/>
    </row>
    <row r="2262" spans="3:3">
      <c r="C2262" s="2"/>
    </row>
    <row r="2263" spans="3:3">
      <c r="C2263" s="2"/>
    </row>
    <row r="2264" spans="3:3">
      <c r="C2264" s="2"/>
    </row>
    <row r="2265" spans="3:3">
      <c r="C2265" s="2"/>
    </row>
    <row r="2266" spans="3:3">
      <c r="C2266" s="2"/>
    </row>
    <row r="2267" spans="3:3">
      <c r="C2267" s="2"/>
    </row>
    <row r="2268" spans="3:3">
      <c r="C2268" s="2"/>
    </row>
    <row r="2269" spans="3:3">
      <c r="C2269" s="2"/>
    </row>
    <row r="2270" spans="3:3">
      <c r="C2270" s="2"/>
    </row>
    <row r="2271" spans="3:3">
      <c r="C2271" s="2"/>
    </row>
    <row r="2272" spans="3:3">
      <c r="C2272" s="2"/>
    </row>
    <row r="2273" spans="3:3">
      <c r="C2273" s="2"/>
    </row>
    <row r="2274" spans="3:3">
      <c r="C2274" s="2"/>
    </row>
    <row r="2275" spans="3:3">
      <c r="C2275" s="2"/>
    </row>
    <row r="2276" spans="3:3">
      <c r="C2276" s="2"/>
    </row>
    <row r="2277" spans="3:3">
      <c r="C2277" s="2"/>
    </row>
    <row r="2278" spans="3:3">
      <c r="C2278" s="2"/>
    </row>
    <row r="2279" spans="3:3">
      <c r="C2279" s="2"/>
    </row>
    <row r="2280" spans="3:3">
      <c r="C2280" s="2"/>
    </row>
    <row r="2281" spans="3:3">
      <c r="C2281" s="2"/>
    </row>
    <row r="2282" spans="3:3">
      <c r="C2282" s="2"/>
    </row>
    <row r="2283" spans="3:3">
      <c r="C2283" s="2"/>
    </row>
    <row r="2284" spans="3:3">
      <c r="C2284" s="2"/>
    </row>
    <row r="2285" spans="3:3">
      <c r="C2285" s="2"/>
    </row>
    <row r="2286" spans="3:3">
      <c r="C2286" s="2"/>
    </row>
    <row r="2287" spans="3:3">
      <c r="C2287" s="2"/>
    </row>
    <row r="2288" spans="3:3">
      <c r="C2288" s="2"/>
    </row>
    <row r="2289" spans="3:3">
      <c r="C2289" s="2"/>
    </row>
    <row r="2290" spans="3:3">
      <c r="C2290" s="2"/>
    </row>
    <row r="2291" spans="3:3">
      <c r="C2291" s="2"/>
    </row>
    <row r="2292" spans="3:3">
      <c r="C2292" s="2"/>
    </row>
    <row r="2293" spans="3:3">
      <c r="C2293" s="2"/>
    </row>
    <row r="2294" spans="3:3">
      <c r="C2294" s="2"/>
    </row>
    <row r="2295" spans="3:3">
      <c r="C2295" s="2"/>
    </row>
    <row r="2296" spans="3:3">
      <c r="C2296" s="2"/>
    </row>
    <row r="2297" spans="3:3">
      <c r="C2297" s="2"/>
    </row>
    <row r="2298" spans="3:3">
      <c r="C2298" s="2"/>
    </row>
    <row r="2299" spans="3:3">
      <c r="C2299" s="2"/>
    </row>
    <row r="2300" spans="3:3">
      <c r="C2300" s="2"/>
    </row>
    <row r="2301" spans="3:3">
      <c r="C2301" s="2"/>
    </row>
    <row r="2302" spans="3:3">
      <c r="C2302" s="2"/>
    </row>
    <row r="2303" spans="3:3">
      <c r="C2303" s="2"/>
    </row>
    <row r="2304" spans="3:3">
      <c r="C2304" s="2"/>
    </row>
    <row r="2305" spans="3:3">
      <c r="C2305" s="2"/>
    </row>
    <row r="2306" spans="3:3">
      <c r="C2306" s="2"/>
    </row>
    <row r="2307" spans="3:3">
      <c r="C2307" s="2"/>
    </row>
    <row r="2308" spans="3:3">
      <c r="C2308" s="2"/>
    </row>
    <row r="2309" spans="3:3">
      <c r="C2309" s="2"/>
    </row>
    <row r="2310" spans="3:3">
      <c r="C2310" s="2"/>
    </row>
    <row r="2311" spans="3:3">
      <c r="C2311" s="2"/>
    </row>
    <row r="2312" spans="3:3">
      <c r="C2312" s="2"/>
    </row>
    <row r="2313" spans="3:3">
      <c r="C2313" s="2"/>
    </row>
    <row r="2314" spans="3:3">
      <c r="C2314" s="2"/>
    </row>
    <row r="2315" spans="3:3">
      <c r="C2315" s="2"/>
    </row>
    <row r="2316" spans="3:3">
      <c r="C2316" s="2"/>
    </row>
    <row r="2317" spans="3:3">
      <c r="C2317" s="2"/>
    </row>
    <row r="2318" spans="3:3">
      <c r="C2318" s="2"/>
    </row>
    <row r="2319" spans="3:3">
      <c r="C2319" s="2"/>
    </row>
    <row r="2320" spans="3:3">
      <c r="C2320" s="2"/>
    </row>
    <row r="2321" spans="3:3">
      <c r="C2321" s="2"/>
    </row>
    <row r="2322" spans="3:3">
      <c r="C2322" s="2"/>
    </row>
    <row r="2323" spans="3:3">
      <c r="C2323" s="2"/>
    </row>
    <row r="2324" spans="3:3">
      <c r="C2324" s="2"/>
    </row>
    <row r="2325" spans="3:3">
      <c r="C2325" s="2"/>
    </row>
    <row r="2326" spans="3:3">
      <c r="C2326" s="2"/>
    </row>
    <row r="2327" spans="3:3">
      <c r="C2327" s="2"/>
    </row>
    <row r="2328" spans="3:3">
      <c r="C2328" s="2"/>
    </row>
    <row r="2329" spans="3:3">
      <c r="C2329" s="2"/>
    </row>
    <row r="2330" spans="3:3">
      <c r="C2330" s="2"/>
    </row>
    <row r="2331" spans="3:3">
      <c r="C2331" s="2"/>
    </row>
    <row r="2332" spans="3:3">
      <c r="C2332" s="2"/>
    </row>
    <row r="2333" spans="3:3">
      <c r="C2333" s="2"/>
    </row>
    <row r="2334" spans="3:3">
      <c r="C2334" s="2"/>
    </row>
    <row r="2335" spans="3:3">
      <c r="C2335" s="2"/>
    </row>
    <row r="2336" spans="3:3">
      <c r="C2336" s="2"/>
    </row>
    <row r="2337" spans="3:3">
      <c r="C2337" s="2"/>
    </row>
    <row r="2338" spans="3:3">
      <c r="C2338" s="2"/>
    </row>
    <row r="2339" spans="3:3">
      <c r="C2339" s="2"/>
    </row>
    <row r="2340" spans="3:3">
      <c r="C2340" s="2"/>
    </row>
    <row r="2341" spans="3:3">
      <c r="C2341" s="2"/>
    </row>
    <row r="2342" spans="3:3">
      <c r="C2342" s="2"/>
    </row>
    <row r="2343" spans="3:3">
      <c r="C2343" s="2"/>
    </row>
    <row r="2344" spans="3:3">
      <c r="C2344" s="2"/>
    </row>
    <row r="2345" spans="3:3">
      <c r="C2345" s="2"/>
    </row>
    <row r="2346" spans="3:3">
      <c r="C2346" s="2"/>
    </row>
    <row r="2347" spans="3:3">
      <c r="C2347" s="2"/>
    </row>
    <row r="2348" spans="3:3">
      <c r="C2348" s="2"/>
    </row>
    <row r="2349" spans="3:3">
      <c r="C2349" s="2"/>
    </row>
    <row r="2350" spans="3:3">
      <c r="C2350" s="2"/>
    </row>
    <row r="2351" spans="3:3">
      <c r="C2351" s="2"/>
    </row>
    <row r="2352" spans="3:3">
      <c r="C2352" s="2"/>
    </row>
    <row r="2353" spans="3:3">
      <c r="C2353" s="2"/>
    </row>
    <row r="2354" spans="3:3">
      <c r="C2354" s="2"/>
    </row>
    <row r="2355" spans="3:3">
      <c r="C2355" s="2"/>
    </row>
    <row r="2356" spans="3:3">
      <c r="C2356" s="2"/>
    </row>
    <row r="2357" spans="3:3">
      <c r="C2357" s="2"/>
    </row>
    <row r="2358" spans="3:3">
      <c r="C2358" s="2"/>
    </row>
    <row r="2359" spans="3:3">
      <c r="C2359" s="2"/>
    </row>
    <row r="2360" spans="3:3">
      <c r="C2360" s="2"/>
    </row>
    <row r="2361" spans="3:3">
      <c r="C2361" s="2"/>
    </row>
    <row r="2362" spans="3:3">
      <c r="C2362" s="2"/>
    </row>
    <row r="2363" spans="3:3">
      <c r="C2363" s="2"/>
    </row>
    <row r="2364" spans="3:3">
      <c r="C2364" s="2"/>
    </row>
    <row r="2365" spans="3:3">
      <c r="C2365" s="2"/>
    </row>
    <row r="2366" spans="3:3">
      <c r="C2366" s="2"/>
    </row>
    <row r="2367" spans="3:3">
      <c r="C2367" s="2"/>
    </row>
    <row r="2368" spans="3:3">
      <c r="C2368" s="2"/>
    </row>
    <row r="2369" spans="3:3">
      <c r="C2369" s="2"/>
    </row>
    <row r="2370" spans="3:3">
      <c r="C2370" s="2"/>
    </row>
    <row r="2371" spans="3:3">
      <c r="C2371" s="2"/>
    </row>
    <row r="2372" spans="3:3">
      <c r="C2372" s="2"/>
    </row>
    <row r="2373" spans="3:3">
      <c r="C2373" s="2"/>
    </row>
    <row r="2374" spans="3:3">
      <c r="C2374" s="2"/>
    </row>
    <row r="2375" spans="3:3">
      <c r="C2375" s="2"/>
    </row>
    <row r="2376" spans="3:3">
      <c r="C2376" s="2"/>
    </row>
    <row r="2377" spans="3:3">
      <c r="C2377" s="2"/>
    </row>
    <row r="2378" spans="3:3">
      <c r="C2378" s="2"/>
    </row>
    <row r="2379" spans="3:3">
      <c r="C2379" s="2"/>
    </row>
    <row r="2380" spans="3:3">
      <c r="C2380" s="2"/>
    </row>
    <row r="2381" spans="3:3">
      <c r="C2381" s="2"/>
    </row>
    <row r="2382" spans="3:3">
      <c r="C2382" s="2"/>
    </row>
    <row r="2383" spans="3:3">
      <c r="C2383" s="2"/>
    </row>
    <row r="2384" spans="3:3">
      <c r="C2384" s="2"/>
    </row>
    <row r="2385" spans="3:3">
      <c r="C2385" s="2"/>
    </row>
    <row r="2386" spans="3:3">
      <c r="C2386" s="2"/>
    </row>
    <row r="2387" spans="3:3">
      <c r="C2387" s="2"/>
    </row>
    <row r="2388" spans="3:3">
      <c r="C2388" s="2"/>
    </row>
    <row r="2389" spans="3:3">
      <c r="C2389" s="2"/>
    </row>
    <row r="2390" spans="3:3">
      <c r="C2390" s="2"/>
    </row>
    <row r="2391" spans="3:3">
      <c r="C2391" s="2"/>
    </row>
    <row r="2392" spans="3:3">
      <c r="C2392" s="2"/>
    </row>
    <row r="2393" spans="3:3">
      <c r="C2393" s="2"/>
    </row>
    <row r="2394" spans="3:3">
      <c r="C2394" s="2"/>
    </row>
    <row r="2395" spans="3:3">
      <c r="C2395" s="2"/>
    </row>
    <row r="2396" spans="3:3">
      <c r="C2396" s="2"/>
    </row>
    <row r="2397" spans="3:3">
      <c r="C2397" s="2"/>
    </row>
    <row r="2398" spans="3:3">
      <c r="C2398" s="2"/>
    </row>
    <row r="2399" spans="3:3">
      <c r="C2399" s="2"/>
    </row>
    <row r="2400" spans="3:3">
      <c r="C2400" s="2"/>
    </row>
    <row r="2401" spans="3:3">
      <c r="C2401" s="2"/>
    </row>
    <row r="2402" spans="3:3">
      <c r="C2402" s="2"/>
    </row>
    <row r="2403" spans="3:3">
      <c r="C2403" s="2"/>
    </row>
    <row r="2404" spans="3:3">
      <c r="C2404" s="2"/>
    </row>
    <row r="2405" spans="3:3">
      <c r="C2405" s="2"/>
    </row>
    <row r="2406" spans="3:3">
      <c r="C2406" s="2"/>
    </row>
    <row r="2407" spans="3:3">
      <c r="C2407" s="2"/>
    </row>
    <row r="2408" spans="3:3">
      <c r="C2408" s="2"/>
    </row>
    <row r="2409" spans="3:3">
      <c r="C2409" s="2"/>
    </row>
    <row r="2410" spans="3:3">
      <c r="C2410" s="2"/>
    </row>
    <row r="2411" spans="3:3">
      <c r="C2411" s="2"/>
    </row>
    <row r="2412" spans="3:3">
      <c r="C2412" s="2"/>
    </row>
    <row r="2413" spans="3:3">
      <c r="C2413" s="2"/>
    </row>
    <row r="2414" spans="3:3">
      <c r="C2414" s="2"/>
    </row>
    <row r="2415" spans="3:3">
      <c r="C2415" s="2"/>
    </row>
    <row r="2416" spans="3:3">
      <c r="C2416" s="2"/>
    </row>
    <row r="2417" spans="3:3">
      <c r="C2417" s="2"/>
    </row>
    <row r="2418" spans="3:3">
      <c r="C2418" s="2"/>
    </row>
    <row r="2419" spans="3:3">
      <c r="C2419" s="2"/>
    </row>
    <row r="2420" spans="3:3">
      <c r="C2420" s="2"/>
    </row>
    <row r="2421" spans="3:3">
      <c r="C2421" s="2"/>
    </row>
    <row r="2422" spans="3:3">
      <c r="C2422" s="2"/>
    </row>
    <row r="2423" spans="3:3">
      <c r="C2423" s="2"/>
    </row>
    <row r="2424" spans="3:3">
      <c r="C2424" s="2"/>
    </row>
    <row r="2425" spans="3:3">
      <c r="C2425" s="2"/>
    </row>
    <row r="2426" spans="3:3">
      <c r="C2426" s="2"/>
    </row>
    <row r="2427" spans="3:3">
      <c r="C2427" s="2"/>
    </row>
    <row r="2428" spans="3:3">
      <c r="C2428" s="2"/>
    </row>
    <row r="2429" spans="3:3">
      <c r="C2429" s="2"/>
    </row>
    <row r="2430" spans="3:3">
      <c r="C2430" s="2"/>
    </row>
    <row r="2431" spans="3:3">
      <c r="C2431" s="2"/>
    </row>
    <row r="2432" spans="3:3">
      <c r="C2432" s="2"/>
    </row>
    <row r="2433" spans="3:3">
      <c r="C2433" s="2"/>
    </row>
    <row r="2434" spans="3:3">
      <c r="C2434" s="2"/>
    </row>
    <row r="2435" spans="3:3">
      <c r="C2435" s="2"/>
    </row>
    <row r="2436" spans="3:3">
      <c r="C2436" s="2"/>
    </row>
    <row r="2437" spans="3:3">
      <c r="C2437" s="2"/>
    </row>
    <row r="2438" spans="3:3">
      <c r="C2438" s="2"/>
    </row>
    <row r="2439" spans="3:3">
      <c r="C2439" s="2"/>
    </row>
    <row r="2440" spans="3:3">
      <c r="C2440" s="2"/>
    </row>
    <row r="2441" spans="3:3">
      <c r="C2441" s="2"/>
    </row>
    <row r="2442" spans="3:3">
      <c r="C2442" s="2"/>
    </row>
    <row r="2443" spans="3:3">
      <c r="C2443" s="2"/>
    </row>
    <row r="2444" spans="3:3">
      <c r="C2444" s="2"/>
    </row>
    <row r="2445" spans="3:3">
      <c r="C2445" s="2"/>
    </row>
    <row r="2446" spans="3:3">
      <c r="C2446" s="2"/>
    </row>
    <row r="2447" spans="3:3">
      <c r="C2447" s="2"/>
    </row>
    <row r="2448" spans="3:3">
      <c r="C2448" s="2"/>
    </row>
    <row r="2449" spans="3:3">
      <c r="C2449" s="2"/>
    </row>
    <row r="2450" spans="3:3">
      <c r="C2450" s="2"/>
    </row>
    <row r="2451" spans="3:3">
      <c r="C2451" s="2"/>
    </row>
    <row r="2452" spans="3:3">
      <c r="C2452" s="2"/>
    </row>
    <row r="2453" spans="3:3">
      <c r="C2453" s="2"/>
    </row>
    <row r="2454" spans="3:3">
      <c r="C2454" s="2"/>
    </row>
    <row r="2455" spans="3:3">
      <c r="C2455" s="2"/>
    </row>
    <row r="2456" spans="3:3">
      <c r="C2456" s="2"/>
    </row>
    <row r="2457" spans="3:3">
      <c r="C2457" s="2"/>
    </row>
    <row r="2458" spans="3:3">
      <c r="C2458" s="2"/>
    </row>
    <row r="2459" spans="3:3">
      <c r="C2459" s="2"/>
    </row>
    <row r="2460" spans="3:3">
      <c r="C2460" s="2"/>
    </row>
    <row r="2461" spans="3:3">
      <c r="C2461" s="2"/>
    </row>
    <row r="2462" spans="3:3">
      <c r="C2462" s="2"/>
    </row>
    <row r="2463" spans="3:3">
      <c r="C2463" s="2"/>
    </row>
    <row r="2464" spans="3:3">
      <c r="C2464" s="2"/>
    </row>
    <row r="2465" spans="3:3">
      <c r="C2465" s="2"/>
    </row>
    <row r="2466" spans="3:3">
      <c r="C2466" s="2"/>
    </row>
    <row r="2467" spans="3:3">
      <c r="C2467" s="2"/>
    </row>
    <row r="2468" spans="3:3">
      <c r="C2468" s="2"/>
    </row>
    <row r="2469" spans="3:3">
      <c r="C2469" s="2"/>
    </row>
    <row r="2470" spans="3:3">
      <c r="C2470" s="2"/>
    </row>
    <row r="2471" spans="3:3">
      <c r="C2471" s="2"/>
    </row>
    <row r="2472" spans="3:3">
      <c r="C2472" s="2"/>
    </row>
    <row r="2473" spans="3:3">
      <c r="C2473" s="2"/>
    </row>
    <row r="2474" spans="3:3">
      <c r="C2474" s="2"/>
    </row>
    <row r="2475" spans="3:3">
      <c r="C2475" s="2"/>
    </row>
    <row r="2476" spans="3:3">
      <c r="C2476" s="2"/>
    </row>
    <row r="2477" spans="3:3">
      <c r="C2477" s="2"/>
    </row>
    <row r="2478" spans="3:3">
      <c r="C2478" s="2"/>
    </row>
    <row r="2479" spans="3:3">
      <c r="C2479" s="2"/>
    </row>
    <row r="2480" spans="3:3">
      <c r="C2480" s="2"/>
    </row>
    <row r="2481" spans="3:3">
      <c r="C2481" s="2"/>
    </row>
    <row r="2482" spans="3:3">
      <c r="C2482" s="2"/>
    </row>
    <row r="2483" spans="3:3">
      <c r="C2483" s="2"/>
    </row>
    <row r="2484" spans="3:3">
      <c r="C2484" s="2"/>
    </row>
    <row r="2485" spans="3:3">
      <c r="C2485" s="2"/>
    </row>
    <row r="2486" spans="3:3">
      <c r="C2486" s="2"/>
    </row>
    <row r="2487" spans="3:3">
      <c r="C2487" s="2"/>
    </row>
    <row r="2488" spans="3:3">
      <c r="C2488" s="2"/>
    </row>
    <row r="2489" spans="3:3">
      <c r="C2489" s="2"/>
    </row>
    <row r="2490" spans="3:3">
      <c r="C2490" s="2"/>
    </row>
    <row r="2491" spans="3:3">
      <c r="C2491" s="2"/>
    </row>
    <row r="2492" spans="3:3">
      <c r="C2492" s="2"/>
    </row>
    <row r="2493" spans="3:3">
      <c r="C2493" s="2"/>
    </row>
    <row r="2494" spans="3:3">
      <c r="C2494" s="2"/>
    </row>
    <row r="2495" spans="3:3">
      <c r="C2495" s="2"/>
    </row>
    <row r="2496" spans="3:3">
      <c r="C2496" s="2"/>
    </row>
    <row r="2497" spans="3:3">
      <c r="C2497" s="2"/>
    </row>
    <row r="2498" spans="3:3">
      <c r="C2498" s="2"/>
    </row>
    <row r="2499" spans="3:3">
      <c r="C2499" s="2"/>
    </row>
    <row r="2500" spans="3:3">
      <c r="C2500" s="2"/>
    </row>
    <row r="2501" spans="3:3">
      <c r="C2501" s="2"/>
    </row>
    <row r="2502" spans="3:3">
      <c r="C2502" s="2"/>
    </row>
    <row r="2503" spans="3:3">
      <c r="C2503" s="2"/>
    </row>
    <row r="2504" spans="3:3">
      <c r="C2504" s="2"/>
    </row>
    <row r="2505" spans="3:3">
      <c r="C2505" s="2"/>
    </row>
    <row r="2506" spans="3:3">
      <c r="C2506" s="2"/>
    </row>
    <row r="2507" spans="3:3">
      <c r="C2507" s="2"/>
    </row>
    <row r="2508" spans="3:3">
      <c r="C2508" s="2"/>
    </row>
    <row r="2509" spans="3:3">
      <c r="C2509" s="2"/>
    </row>
    <row r="2510" spans="3:3">
      <c r="C2510" s="2"/>
    </row>
    <row r="2511" spans="3:3">
      <c r="C2511" s="2"/>
    </row>
    <row r="2512" spans="3:3">
      <c r="C2512" s="2"/>
    </row>
    <row r="2513" spans="3:3">
      <c r="C2513" s="2"/>
    </row>
    <row r="2514" spans="3:3">
      <c r="C2514" s="2"/>
    </row>
    <row r="2515" spans="3:3">
      <c r="C2515" s="2"/>
    </row>
    <row r="2516" spans="3:3">
      <c r="C2516" s="2"/>
    </row>
    <row r="2517" spans="3:3">
      <c r="C2517" s="2"/>
    </row>
    <row r="2518" spans="3:3">
      <c r="C2518" s="2"/>
    </row>
    <row r="2519" spans="3:3">
      <c r="C2519" s="2"/>
    </row>
    <row r="2520" spans="3:3">
      <c r="C2520" s="2"/>
    </row>
    <row r="2521" spans="3:3">
      <c r="C2521" s="2"/>
    </row>
    <row r="2522" spans="3:3">
      <c r="C2522" s="2"/>
    </row>
    <row r="2523" spans="3:3">
      <c r="C2523" s="2"/>
    </row>
    <row r="2524" spans="3:3">
      <c r="C2524" s="2"/>
    </row>
    <row r="2525" spans="3:3">
      <c r="C2525" s="2"/>
    </row>
    <row r="2526" spans="3:3">
      <c r="C2526" s="2"/>
    </row>
    <row r="2527" spans="3:3">
      <c r="C2527" s="2"/>
    </row>
    <row r="2528" spans="3:3">
      <c r="C2528" s="2"/>
    </row>
    <row r="2529" spans="3:3">
      <c r="C2529" s="2"/>
    </row>
    <row r="2530" spans="3:3">
      <c r="C2530" s="2"/>
    </row>
    <row r="2531" spans="3:3">
      <c r="C2531" s="2"/>
    </row>
    <row r="2532" spans="3:3">
      <c r="C2532" s="2"/>
    </row>
    <row r="2533" spans="3:3">
      <c r="C2533" s="2"/>
    </row>
    <row r="2534" spans="3:3">
      <c r="C2534" s="2"/>
    </row>
    <row r="2535" spans="3:3">
      <c r="C2535" s="2"/>
    </row>
    <row r="2536" spans="3:3">
      <c r="C2536" s="2"/>
    </row>
    <row r="2537" spans="3:3">
      <c r="C2537" s="2"/>
    </row>
    <row r="2538" spans="3:3">
      <c r="C2538" s="2"/>
    </row>
    <row r="2539" spans="3:3">
      <c r="C2539" s="2"/>
    </row>
    <row r="2540" spans="3:3">
      <c r="C2540" s="2"/>
    </row>
    <row r="2541" spans="3:3">
      <c r="C2541" s="2"/>
    </row>
    <row r="2542" spans="3:3">
      <c r="C2542" s="2"/>
    </row>
    <row r="2543" spans="3:3">
      <c r="C2543" s="2"/>
    </row>
    <row r="2544" spans="3:3">
      <c r="C2544" s="2"/>
    </row>
    <row r="2545" spans="3:3">
      <c r="C2545" s="2"/>
    </row>
    <row r="2546" spans="3:3">
      <c r="C2546" s="2"/>
    </row>
    <row r="2547" spans="3:3">
      <c r="C2547" s="2"/>
    </row>
    <row r="2548" spans="3:3">
      <c r="C2548" s="2"/>
    </row>
    <row r="2549" spans="3:3">
      <c r="C2549" s="2"/>
    </row>
    <row r="2550" spans="3:3">
      <c r="C2550" s="2"/>
    </row>
    <row r="2551" spans="3:3">
      <c r="C2551" s="2"/>
    </row>
    <row r="2552" spans="3:3">
      <c r="C2552" s="2"/>
    </row>
    <row r="2553" spans="3:3">
      <c r="C2553" s="2"/>
    </row>
    <row r="2554" spans="3:3">
      <c r="C2554" s="2"/>
    </row>
    <row r="2555" spans="3:3">
      <c r="C2555" s="2"/>
    </row>
    <row r="2556" spans="3:3">
      <c r="C2556" s="2"/>
    </row>
    <row r="2557" spans="3:3">
      <c r="C2557" s="2"/>
    </row>
    <row r="2558" spans="3:3">
      <c r="C2558" s="2"/>
    </row>
    <row r="2559" spans="3:3">
      <c r="C2559" s="2"/>
    </row>
    <row r="2560" spans="3:3">
      <c r="C2560" s="2"/>
    </row>
    <row r="2561" spans="3:3">
      <c r="C2561" s="2"/>
    </row>
    <row r="2562" spans="3:3">
      <c r="C2562" s="2"/>
    </row>
    <row r="2563" spans="3:3">
      <c r="C2563" s="2"/>
    </row>
    <row r="2564" spans="3:3">
      <c r="C2564" s="2"/>
    </row>
    <row r="2565" spans="3:3">
      <c r="C2565" s="2"/>
    </row>
    <row r="2566" spans="3:3">
      <c r="C2566" s="2"/>
    </row>
    <row r="2567" spans="3:3">
      <c r="C2567" s="2"/>
    </row>
    <row r="2568" spans="3:3">
      <c r="C2568" s="2"/>
    </row>
    <row r="2569" spans="3:3">
      <c r="C2569" s="2"/>
    </row>
    <row r="2570" spans="3:3">
      <c r="C2570" s="2"/>
    </row>
    <row r="2571" spans="3:3">
      <c r="C2571" s="2"/>
    </row>
    <row r="2572" spans="3:3">
      <c r="C2572" s="2"/>
    </row>
    <row r="2573" spans="3:3">
      <c r="C2573" s="2"/>
    </row>
    <row r="2574" spans="3:3">
      <c r="C2574" s="2"/>
    </row>
    <row r="2575" spans="3:3">
      <c r="C2575" s="2"/>
    </row>
    <row r="2576" spans="3:3">
      <c r="C2576" s="2"/>
    </row>
    <row r="2577" spans="3:3">
      <c r="C2577" s="2"/>
    </row>
    <row r="2578" spans="3:3">
      <c r="C2578" s="2"/>
    </row>
    <row r="2579" spans="3:3">
      <c r="C2579" s="2"/>
    </row>
    <row r="2580" spans="3:3">
      <c r="C2580" s="2"/>
    </row>
    <row r="2581" spans="3:3">
      <c r="C2581" s="2"/>
    </row>
    <row r="2582" spans="3:3">
      <c r="C2582" s="2"/>
    </row>
    <row r="2583" spans="3:3">
      <c r="C2583" s="2"/>
    </row>
    <row r="2584" spans="3:3">
      <c r="C2584" s="2"/>
    </row>
    <row r="2585" spans="3:3">
      <c r="C2585" s="2"/>
    </row>
    <row r="2586" spans="3:3">
      <c r="C2586" s="2"/>
    </row>
    <row r="2587" spans="3:3">
      <c r="C2587" s="2"/>
    </row>
    <row r="2588" spans="3:3">
      <c r="C2588" s="2"/>
    </row>
    <row r="2589" spans="3:3">
      <c r="C2589" s="2"/>
    </row>
    <row r="2590" spans="3:3">
      <c r="C2590" s="2"/>
    </row>
    <row r="2591" spans="3:3">
      <c r="C2591" s="2"/>
    </row>
    <row r="2592" spans="3:3">
      <c r="C2592" s="2"/>
    </row>
    <row r="2593" spans="3:3">
      <c r="C2593" s="2"/>
    </row>
    <row r="2594" spans="3:3">
      <c r="C2594" s="2"/>
    </row>
    <row r="2595" spans="3:3">
      <c r="C2595" s="2"/>
    </row>
    <row r="2596" spans="3:3">
      <c r="C2596" s="2"/>
    </row>
    <row r="2597" spans="3:3">
      <c r="C2597" s="2"/>
    </row>
    <row r="2598" spans="3:3">
      <c r="C2598" s="2"/>
    </row>
    <row r="2599" spans="3:3">
      <c r="C2599" s="2"/>
    </row>
    <row r="2600" spans="3:3">
      <c r="C2600" s="2"/>
    </row>
    <row r="2601" spans="3:3">
      <c r="C2601" s="2"/>
    </row>
    <row r="2602" spans="3:3">
      <c r="C2602" s="2"/>
    </row>
    <row r="2603" spans="3:3">
      <c r="C2603" s="2"/>
    </row>
    <row r="2604" spans="3:3">
      <c r="C2604" s="2"/>
    </row>
    <row r="2605" spans="3:3">
      <c r="C2605" s="2"/>
    </row>
    <row r="2606" spans="3:3">
      <c r="C2606" s="2"/>
    </row>
    <row r="2607" spans="3:3">
      <c r="C2607" s="2"/>
    </row>
    <row r="2608" spans="3:3">
      <c r="C2608" s="2"/>
    </row>
    <row r="2609" spans="3:3">
      <c r="C2609" s="2"/>
    </row>
    <row r="2610" spans="3:3">
      <c r="C2610" s="2"/>
    </row>
    <row r="2611" spans="3:3">
      <c r="C2611" s="2"/>
    </row>
    <row r="2612" spans="3:3">
      <c r="C2612" s="2"/>
    </row>
    <row r="2613" spans="3:3">
      <c r="C2613" s="2"/>
    </row>
    <row r="2614" spans="3:3">
      <c r="C2614" s="2"/>
    </row>
    <row r="2615" spans="3:3">
      <c r="C2615" s="2"/>
    </row>
    <row r="2616" spans="3:3">
      <c r="C2616" s="2"/>
    </row>
    <row r="2617" spans="3:3">
      <c r="C2617" s="2"/>
    </row>
    <row r="2618" spans="3:3">
      <c r="C2618" s="2"/>
    </row>
    <row r="2619" spans="3:3">
      <c r="C2619" s="2"/>
    </row>
    <row r="2620" spans="3:3">
      <c r="C2620" s="2"/>
    </row>
    <row r="2621" spans="3:3">
      <c r="C2621" s="2"/>
    </row>
    <row r="2622" spans="3:3">
      <c r="C2622" s="2"/>
    </row>
    <row r="2623" spans="3:3">
      <c r="C2623" s="2"/>
    </row>
    <row r="2624" spans="3:3">
      <c r="C2624" s="2"/>
    </row>
    <row r="2625" spans="3:3">
      <c r="C2625" s="2"/>
    </row>
    <row r="2626" spans="3:3">
      <c r="C2626" s="2"/>
    </row>
    <row r="2627" spans="3:3">
      <c r="C2627" s="2"/>
    </row>
    <row r="2628" spans="3:3">
      <c r="C2628" s="2"/>
    </row>
    <row r="2629" spans="3:3">
      <c r="C2629" s="2"/>
    </row>
    <row r="2630" spans="3:3">
      <c r="C2630" s="2"/>
    </row>
    <row r="2631" spans="3:3">
      <c r="C2631" s="2"/>
    </row>
    <row r="2632" spans="3:3">
      <c r="C2632" s="2"/>
    </row>
    <row r="2633" spans="3:3">
      <c r="C2633" s="2"/>
    </row>
    <row r="2634" spans="3:3">
      <c r="C2634" s="2"/>
    </row>
    <row r="2635" spans="3:3">
      <c r="C2635" s="2"/>
    </row>
    <row r="2636" spans="3:3">
      <c r="C2636" s="2"/>
    </row>
    <row r="2637" spans="3:3">
      <c r="C2637" s="2"/>
    </row>
    <row r="2638" spans="3:3">
      <c r="C2638" s="2"/>
    </row>
    <row r="2639" spans="3:3">
      <c r="C2639" s="2"/>
    </row>
    <row r="2640" spans="3:3">
      <c r="C2640" s="2"/>
    </row>
    <row r="2641" spans="3:3">
      <c r="C2641" s="2"/>
    </row>
    <row r="2642" spans="3:3">
      <c r="C2642" s="2"/>
    </row>
    <row r="2643" spans="3:3">
      <c r="C2643" s="2"/>
    </row>
    <row r="2644" spans="3:3">
      <c r="C2644" s="2"/>
    </row>
    <row r="2645" spans="3:3">
      <c r="C2645" s="2"/>
    </row>
    <row r="2646" spans="3:3">
      <c r="C2646" s="2"/>
    </row>
    <row r="2647" spans="3:3">
      <c r="C2647" s="2"/>
    </row>
    <row r="2648" spans="3:3">
      <c r="C2648" s="2"/>
    </row>
    <row r="2649" spans="3:3">
      <c r="C2649" s="2"/>
    </row>
    <row r="2650" spans="3:3">
      <c r="C2650" s="2"/>
    </row>
    <row r="2651" spans="3:3">
      <c r="C2651" s="2"/>
    </row>
    <row r="2652" spans="3:3">
      <c r="C2652" s="2"/>
    </row>
    <row r="2653" spans="3:3">
      <c r="C2653" s="2"/>
    </row>
    <row r="2654" spans="3:3">
      <c r="C2654" s="2"/>
    </row>
    <row r="2655" spans="3:3">
      <c r="C2655" s="2"/>
    </row>
    <row r="2656" spans="3:3">
      <c r="C2656" s="2"/>
    </row>
    <row r="2657" spans="3:3">
      <c r="C2657" s="2"/>
    </row>
    <row r="2658" spans="3:3">
      <c r="C2658" s="2"/>
    </row>
    <row r="2659" spans="3:3">
      <c r="C2659" s="2"/>
    </row>
    <row r="2660" spans="3:3">
      <c r="C2660" s="2"/>
    </row>
    <row r="2661" spans="3:3">
      <c r="C2661" s="2"/>
    </row>
    <row r="2662" spans="3:3">
      <c r="C2662" s="2"/>
    </row>
    <row r="2663" spans="3:3">
      <c r="C2663" s="2"/>
    </row>
    <row r="2664" spans="3:3">
      <c r="C2664" s="2"/>
    </row>
    <row r="2665" spans="3:3">
      <c r="C2665" s="2"/>
    </row>
    <row r="2666" spans="3:3">
      <c r="C2666" s="2"/>
    </row>
    <row r="2667" spans="3:3">
      <c r="C2667" s="2"/>
    </row>
    <row r="2668" spans="3:3">
      <c r="C2668" s="2"/>
    </row>
    <row r="2669" spans="3:3">
      <c r="C2669" s="2"/>
    </row>
    <row r="2670" spans="3:3">
      <c r="C2670" s="2"/>
    </row>
    <row r="2671" spans="3:3">
      <c r="C2671" s="2"/>
    </row>
    <row r="2672" spans="3:3">
      <c r="C2672" s="2"/>
    </row>
    <row r="2673" spans="3:3">
      <c r="C2673" s="2"/>
    </row>
    <row r="2674" spans="3:3">
      <c r="C2674" s="2"/>
    </row>
    <row r="2675" spans="3:3">
      <c r="C2675" s="2"/>
    </row>
    <row r="2676" spans="3:3">
      <c r="C2676" s="2"/>
    </row>
    <row r="2677" spans="3:3">
      <c r="C2677" s="2"/>
    </row>
    <row r="2678" spans="3:3">
      <c r="C2678" s="2"/>
    </row>
    <row r="2679" spans="3:3">
      <c r="C2679" s="2"/>
    </row>
    <row r="2680" spans="3:3">
      <c r="C2680" s="2"/>
    </row>
    <row r="2681" spans="3:3">
      <c r="C2681" s="2"/>
    </row>
    <row r="2682" spans="3:3">
      <c r="C2682" s="2"/>
    </row>
    <row r="2683" spans="3:3">
      <c r="C2683" s="2"/>
    </row>
    <row r="2684" spans="3:3">
      <c r="C2684" s="2"/>
    </row>
    <row r="2685" spans="3:3">
      <c r="C2685" s="2"/>
    </row>
    <row r="2686" spans="3:3">
      <c r="C2686" s="2"/>
    </row>
    <row r="2687" spans="3:3">
      <c r="C2687" s="2"/>
    </row>
    <row r="2688" spans="3:3">
      <c r="C2688" s="2"/>
    </row>
    <row r="2689" spans="3:3">
      <c r="C2689" s="2"/>
    </row>
    <row r="2690" spans="3:3">
      <c r="C2690" s="2"/>
    </row>
    <row r="2691" spans="3:3">
      <c r="C2691" s="2"/>
    </row>
    <row r="2692" spans="3:3">
      <c r="C2692" s="2"/>
    </row>
    <row r="2693" spans="3:3">
      <c r="C2693" s="2"/>
    </row>
    <row r="2694" spans="3:3">
      <c r="C2694" s="2"/>
    </row>
    <row r="2695" spans="3:3">
      <c r="C2695" s="2"/>
    </row>
    <row r="2696" spans="3:3">
      <c r="C2696" s="2"/>
    </row>
    <row r="2697" spans="3:3">
      <c r="C2697" s="2"/>
    </row>
    <row r="2698" spans="3:3">
      <c r="C2698" s="2"/>
    </row>
    <row r="2699" spans="3:3">
      <c r="C2699" s="2"/>
    </row>
    <row r="2700" spans="3:3">
      <c r="C2700" s="2"/>
    </row>
    <row r="2701" spans="3:3">
      <c r="C2701" s="2"/>
    </row>
    <row r="2702" spans="3:3">
      <c r="C2702" s="2"/>
    </row>
    <row r="2703" spans="3:3">
      <c r="C2703" s="2"/>
    </row>
    <row r="2704" spans="3:3">
      <c r="C2704" s="2"/>
    </row>
    <row r="2705" spans="3:3">
      <c r="C2705" s="2"/>
    </row>
    <row r="2706" spans="3:3">
      <c r="C2706" s="2"/>
    </row>
    <row r="2707" spans="3:3">
      <c r="C2707" s="2"/>
    </row>
    <row r="2708" spans="3:3">
      <c r="C2708" s="2"/>
    </row>
    <row r="2709" spans="3:3">
      <c r="C2709" s="2"/>
    </row>
    <row r="2710" spans="3:3">
      <c r="C2710" s="2"/>
    </row>
    <row r="2711" spans="3:3">
      <c r="C2711" s="2"/>
    </row>
    <row r="2712" spans="3:3">
      <c r="C2712" s="2"/>
    </row>
    <row r="2713" spans="3:3">
      <c r="C2713" s="2"/>
    </row>
    <row r="2714" spans="3:3">
      <c r="C2714" s="2"/>
    </row>
    <row r="2715" spans="3:3">
      <c r="C2715" s="2"/>
    </row>
    <row r="2716" spans="3:3">
      <c r="C2716" s="2"/>
    </row>
    <row r="2717" spans="3:3">
      <c r="C2717" s="2"/>
    </row>
    <row r="2718" spans="3:3">
      <c r="C2718" s="2"/>
    </row>
    <row r="2719" spans="3:3">
      <c r="C2719" s="2"/>
    </row>
    <row r="2720" spans="3:3">
      <c r="C2720" s="2"/>
    </row>
    <row r="2721" spans="3:3">
      <c r="C2721" s="2"/>
    </row>
    <row r="2722" spans="3:3">
      <c r="C2722" s="2"/>
    </row>
    <row r="2723" spans="3:3">
      <c r="C2723" s="2"/>
    </row>
    <row r="2724" spans="3:3">
      <c r="C2724" s="2"/>
    </row>
    <row r="2725" spans="3:3">
      <c r="C2725" s="2"/>
    </row>
    <row r="2726" spans="3:3">
      <c r="C2726" s="2"/>
    </row>
    <row r="2727" spans="3:3">
      <c r="C2727" s="2"/>
    </row>
    <row r="2728" spans="3:3">
      <c r="C2728" s="2"/>
    </row>
    <row r="2729" spans="3:3">
      <c r="C2729" s="2"/>
    </row>
    <row r="2730" spans="3:3">
      <c r="C2730" s="2"/>
    </row>
    <row r="2731" spans="3:3">
      <c r="C2731" s="2"/>
    </row>
    <row r="2732" spans="3:3">
      <c r="C2732" s="2"/>
    </row>
    <row r="2733" spans="3:3">
      <c r="C2733" s="2"/>
    </row>
    <row r="2734" spans="3:3">
      <c r="C2734" s="2"/>
    </row>
    <row r="2735" spans="3:3">
      <c r="C2735" s="2"/>
    </row>
    <row r="2736" spans="3:3">
      <c r="C2736" s="2"/>
    </row>
    <row r="2737" spans="3:3">
      <c r="C2737" s="2"/>
    </row>
    <row r="2738" spans="3:3">
      <c r="C2738" s="2"/>
    </row>
    <row r="2739" spans="3:3">
      <c r="C2739" s="2"/>
    </row>
    <row r="2740" spans="3:3">
      <c r="C2740" s="2"/>
    </row>
    <row r="2741" spans="3:3">
      <c r="C2741" s="2"/>
    </row>
    <row r="2742" spans="3:3">
      <c r="C2742" s="2"/>
    </row>
    <row r="2743" spans="3:3">
      <c r="C2743" s="2"/>
    </row>
    <row r="2744" spans="3:3">
      <c r="C2744" s="2"/>
    </row>
    <row r="2745" spans="3:3">
      <c r="C2745" s="2"/>
    </row>
    <row r="2746" spans="3:3">
      <c r="C2746" s="2"/>
    </row>
    <row r="2747" spans="3:3">
      <c r="C2747" s="2"/>
    </row>
    <row r="2748" spans="3:3">
      <c r="C2748" s="2"/>
    </row>
    <row r="2749" spans="3:3">
      <c r="C2749" s="2"/>
    </row>
    <row r="2750" spans="3:3">
      <c r="C2750" s="2"/>
    </row>
    <row r="2751" spans="3:3">
      <c r="C2751" s="2"/>
    </row>
    <row r="2752" spans="3:3">
      <c r="C2752" s="2"/>
    </row>
    <row r="2753" spans="3:3">
      <c r="C2753" s="2"/>
    </row>
    <row r="2754" spans="3:3">
      <c r="C2754" s="2"/>
    </row>
    <row r="2755" spans="3:3">
      <c r="C2755" s="2"/>
    </row>
    <row r="2756" spans="3:3">
      <c r="C2756" s="2"/>
    </row>
    <row r="2757" spans="3:3">
      <c r="C2757" s="2"/>
    </row>
    <row r="2758" spans="3:3">
      <c r="C2758" s="2"/>
    </row>
    <row r="2759" spans="3:3">
      <c r="C2759" s="2"/>
    </row>
    <row r="2760" spans="3:3">
      <c r="C2760" s="2"/>
    </row>
    <row r="2761" spans="3:3">
      <c r="C2761" s="2"/>
    </row>
    <row r="2762" spans="3:3">
      <c r="C2762" s="2"/>
    </row>
    <row r="2763" spans="3:3">
      <c r="C2763" s="2"/>
    </row>
    <row r="2764" spans="3:3">
      <c r="C2764" s="2"/>
    </row>
    <row r="2765" spans="3:3">
      <c r="C2765" s="2"/>
    </row>
    <row r="2766" spans="3:3">
      <c r="C2766" s="2"/>
    </row>
    <row r="2767" spans="3:3">
      <c r="C2767" s="2"/>
    </row>
    <row r="2768" spans="3:3">
      <c r="C2768" s="2"/>
    </row>
    <row r="2769" spans="3:3">
      <c r="C2769" s="2"/>
    </row>
    <row r="2770" spans="3:3">
      <c r="C2770" s="2"/>
    </row>
    <row r="2771" spans="3:3">
      <c r="C2771" s="2"/>
    </row>
    <row r="2772" spans="3:3">
      <c r="C2772" s="2"/>
    </row>
    <row r="2773" spans="3:3">
      <c r="C2773" s="2"/>
    </row>
    <row r="2774" spans="3:3">
      <c r="C2774" s="2"/>
    </row>
    <row r="2775" spans="3:3">
      <c r="C2775" s="2"/>
    </row>
    <row r="2776" spans="3:3">
      <c r="C2776" s="2"/>
    </row>
    <row r="2777" spans="3:3">
      <c r="C2777" s="2"/>
    </row>
    <row r="2778" spans="3:3">
      <c r="C2778" s="2"/>
    </row>
    <row r="2779" spans="3:3">
      <c r="C2779" s="2"/>
    </row>
    <row r="2780" spans="3:3">
      <c r="C2780" s="2"/>
    </row>
    <row r="2781" spans="3:3">
      <c r="C2781" s="2"/>
    </row>
    <row r="2782" spans="3:3">
      <c r="C2782" s="2"/>
    </row>
    <row r="2783" spans="3:3">
      <c r="C2783" s="2"/>
    </row>
    <row r="2784" spans="3:3">
      <c r="C2784" s="2"/>
    </row>
    <row r="2785" spans="3:3">
      <c r="C2785" s="2"/>
    </row>
    <row r="2786" spans="3:3">
      <c r="C2786" s="2"/>
    </row>
    <row r="2787" spans="3:3">
      <c r="C2787" s="2"/>
    </row>
    <row r="2788" spans="3:3">
      <c r="C2788" s="2"/>
    </row>
    <row r="2789" spans="3:3">
      <c r="C2789" s="2"/>
    </row>
    <row r="2790" spans="3:3">
      <c r="C2790" s="2"/>
    </row>
    <row r="2791" spans="3:3">
      <c r="C2791" s="2"/>
    </row>
    <row r="2792" spans="3:3">
      <c r="C2792" s="2"/>
    </row>
    <row r="2793" spans="3:3">
      <c r="C2793" s="2"/>
    </row>
    <row r="2794" spans="3:3">
      <c r="C2794" s="2"/>
    </row>
    <row r="2795" spans="3:3">
      <c r="C2795" s="2"/>
    </row>
    <row r="2796" spans="3:3">
      <c r="C2796" s="2"/>
    </row>
    <row r="2797" spans="3:3">
      <c r="C2797" s="2"/>
    </row>
    <row r="2798" spans="3:3">
      <c r="C2798" s="2"/>
    </row>
    <row r="2799" spans="3:3">
      <c r="C2799" s="2"/>
    </row>
    <row r="2800" spans="3:3">
      <c r="C2800" s="2"/>
    </row>
    <row r="2801" spans="3:3">
      <c r="C2801" s="2"/>
    </row>
    <row r="2802" spans="3:3">
      <c r="C2802" s="2"/>
    </row>
    <row r="2803" spans="3:3">
      <c r="C2803" s="2"/>
    </row>
    <row r="2804" spans="3:3">
      <c r="C2804" s="2"/>
    </row>
    <row r="2805" spans="3:3">
      <c r="C2805" s="2"/>
    </row>
    <row r="2806" spans="3:3">
      <c r="C2806" s="2"/>
    </row>
    <row r="2807" spans="3:3">
      <c r="C2807" s="2"/>
    </row>
    <row r="2808" spans="3:3">
      <c r="C2808" s="2"/>
    </row>
    <row r="2809" spans="3:3">
      <c r="C2809" s="2"/>
    </row>
    <row r="2810" spans="3:3">
      <c r="C2810" s="2"/>
    </row>
    <row r="2811" spans="3:3">
      <c r="C2811" s="2"/>
    </row>
    <row r="2812" spans="3:3">
      <c r="C2812" s="2"/>
    </row>
    <row r="2813" spans="3:3">
      <c r="C2813" s="2"/>
    </row>
    <row r="2814" spans="3:3">
      <c r="C2814" s="2"/>
    </row>
    <row r="2815" spans="3:3">
      <c r="C2815" s="2"/>
    </row>
    <row r="2816" spans="3:3">
      <c r="C2816" s="2"/>
    </row>
    <row r="2817" spans="3:3">
      <c r="C2817" s="2"/>
    </row>
    <row r="2818" spans="3:3">
      <c r="C2818" s="2"/>
    </row>
    <row r="2819" spans="3:3">
      <c r="C2819" s="2"/>
    </row>
    <row r="2820" spans="3:3">
      <c r="C2820" s="2"/>
    </row>
    <row r="2821" spans="3:3">
      <c r="C2821" s="2"/>
    </row>
    <row r="2822" spans="3:3">
      <c r="C2822" s="2"/>
    </row>
    <row r="2823" spans="3:3">
      <c r="C2823" s="2"/>
    </row>
    <row r="2824" spans="3:3">
      <c r="C2824" s="2"/>
    </row>
    <row r="2825" spans="3:3">
      <c r="C2825" s="2"/>
    </row>
    <row r="2826" spans="3:3">
      <c r="C2826" s="2"/>
    </row>
    <row r="2827" spans="3:3">
      <c r="C2827" s="2"/>
    </row>
    <row r="2828" spans="3:3">
      <c r="C2828" s="2"/>
    </row>
    <row r="2829" spans="3:3">
      <c r="C2829" s="2"/>
    </row>
    <row r="2830" spans="3:3">
      <c r="C2830" s="2"/>
    </row>
    <row r="2831" spans="3:3">
      <c r="C2831" s="2"/>
    </row>
    <row r="2832" spans="3:3">
      <c r="C2832" s="2"/>
    </row>
    <row r="2833" spans="3:3">
      <c r="C2833" s="2"/>
    </row>
    <row r="2834" spans="3:3">
      <c r="C2834" s="2"/>
    </row>
    <row r="2835" spans="3:3">
      <c r="C2835" s="2"/>
    </row>
    <row r="2836" spans="3:3">
      <c r="C2836" s="2"/>
    </row>
    <row r="2837" spans="3:3">
      <c r="C2837" s="2"/>
    </row>
    <row r="2838" spans="3:3">
      <c r="C2838" s="2"/>
    </row>
    <row r="2839" spans="3:3">
      <c r="C2839" s="2"/>
    </row>
    <row r="2840" spans="3:3">
      <c r="C2840" s="2"/>
    </row>
    <row r="2841" spans="3:3">
      <c r="C2841" s="2"/>
    </row>
    <row r="2842" spans="3:3">
      <c r="C2842" s="2"/>
    </row>
    <row r="2843" spans="3:3">
      <c r="C2843" s="2"/>
    </row>
    <row r="2844" spans="3:3">
      <c r="C2844" s="2"/>
    </row>
    <row r="2845" spans="3:3">
      <c r="C2845" s="2"/>
    </row>
    <row r="2846" spans="3:3">
      <c r="C2846" s="2"/>
    </row>
    <row r="2847" spans="3:3">
      <c r="C2847" s="2"/>
    </row>
    <row r="2848" spans="3:3">
      <c r="C2848" s="2"/>
    </row>
    <row r="2849" spans="3:3">
      <c r="C2849" s="2"/>
    </row>
    <row r="2850" spans="3:3">
      <c r="C2850" s="2"/>
    </row>
    <row r="2851" spans="3:3">
      <c r="C2851" s="2"/>
    </row>
    <row r="2852" spans="3:3">
      <c r="C2852" s="2"/>
    </row>
    <row r="2853" spans="3:3">
      <c r="C2853" s="2"/>
    </row>
    <row r="2854" spans="3:3">
      <c r="C2854" s="2"/>
    </row>
    <row r="2855" spans="3:3">
      <c r="C2855" s="2"/>
    </row>
    <row r="2856" spans="3:3">
      <c r="C2856" s="2"/>
    </row>
    <row r="2857" spans="3:3">
      <c r="C2857" s="2"/>
    </row>
    <row r="2858" spans="3:3">
      <c r="C2858" s="2"/>
    </row>
    <row r="2859" spans="3:3">
      <c r="C2859" s="2"/>
    </row>
    <row r="2860" spans="3:3">
      <c r="C2860" s="2"/>
    </row>
    <row r="2861" spans="3:3">
      <c r="C2861" s="2"/>
    </row>
    <row r="2862" spans="3:3">
      <c r="C2862" s="2"/>
    </row>
    <row r="2863" spans="3:3">
      <c r="C2863" s="2"/>
    </row>
    <row r="2864" spans="3:3">
      <c r="C2864" s="2"/>
    </row>
    <row r="2865" spans="3:3">
      <c r="C2865" s="2"/>
    </row>
    <row r="2866" spans="3:3">
      <c r="C2866" s="2"/>
    </row>
    <row r="2867" spans="3:3">
      <c r="C2867" s="2"/>
    </row>
    <row r="2868" spans="3:3">
      <c r="C2868" s="2"/>
    </row>
    <row r="2869" spans="3:3">
      <c r="C2869" s="2"/>
    </row>
    <row r="2870" spans="3:3">
      <c r="C2870" s="2"/>
    </row>
    <row r="2871" spans="3:3">
      <c r="C2871" s="2"/>
    </row>
    <row r="2872" spans="3:3">
      <c r="C2872" s="2"/>
    </row>
    <row r="2873" spans="3:3">
      <c r="C2873" s="2"/>
    </row>
    <row r="2874" spans="3:3">
      <c r="C2874" s="2"/>
    </row>
    <row r="2875" spans="3:3">
      <c r="C2875" s="2"/>
    </row>
    <row r="2876" spans="3:3">
      <c r="C2876" s="2"/>
    </row>
    <row r="2877" spans="3:3">
      <c r="C2877" s="2"/>
    </row>
    <row r="2878" spans="3:3">
      <c r="C2878" s="2"/>
    </row>
    <row r="2879" spans="3:3">
      <c r="C2879" s="2"/>
    </row>
    <row r="2880" spans="3:3">
      <c r="C2880" s="2"/>
    </row>
    <row r="2881" spans="3:3">
      <c r="C2881" s="2"/>
    </row>
    <row r="2882" spans="3:3">
      <c r="C2882" s="2"/>
    </row>
    <row r="2883" spans="3:3">
      <c r="C2883" s="2"/>
    </row>
    <row r="2884" spans="3:3">
      <c r="C2884" s="2"/>
    </row>
    <row r="2885" spans="3:3">
      <c r="C2885" s="2"/>
    </row>
    <row r="2886" spans="3:3">
      <c r="C2886" s="2"/>
    </row>
    <row r="2887" spans="3:3">
      <c r="C2887" s="2"/>
    </row>
    <row r="2888" spans="3:3">
      <c r="C2888" s="2"/>
    </row>
    <row r="2889" spans="3:3">
      <c r="C2889" s="2"/>
    </row>
    <row r="2890" spans="3:3">
      <c r="C2890" s="2"/>
    </row>
    <row r="2891" spans="3:3">
      <c r="C2891" s="2"/>
    </row>
    <row r="2892" spans="3:3">
      <c r="C2892" s="2"/>
    </row>
    <row r="2893" spans="3:3">
      <c r="C2893" s="2"/>
    </row>
    <row r="2894" spans="3:3">
      <c r="C2894" s="2"/>
    </row>
    <row r="2895" spans="3:3">
      <c r="C2895" s="2"/>
    </row>
    <row r="2896" spans="3:3">
      <c r="C2896" s="2"/>
    </row>
    <row r="2897" spans="3:3">
      <c r="C2897" s="2"/>
    </row>
    <row r="2898" spans="3:3">
      <c r="C2898" s="2"/>
    </row>
    <row r="2899" spans="3:3">
      <c r="C2899" s="2"/>
    </row>
    <row r="2900" spans="3:3">
      <c r="C2900" s="2"/>
    </row>
    <row r="2901" spans="3:3">
      <c r="C2901" s="2"/>
    </row>
    <row r="2902" spans="3:3">
      <c r="C2902" s="2"/>
    </row>
    <row r="2903" spans="3:3">
      <c r="C2903" s="2"/>
    </row>
    <row r="2904" spans="3:3">
      <c r="C2904" s="2"/>
    </row>
    <row r="2905" spans="3:3">
      <c r="C2905" s="2"/>
    </row>
    <row r="2906" spans="3:3">
      <c r="C2906" s="2"/>
    </row>
    <row r="2907" spans="3:3">
      <c r="C2907" s="2"/>
    </row>
    <row r="2908" spans="3:3">
      <c r="C2908" s="2"/>
    </row>
    <row r="2909" spans="3:3">
      <c r="C2909" s="2"/>
    </row>
    <row r="2910" spans="3:3">
      <c r="C2910" s="2"/>
    </row>
    <row r="2911" spans="3:3">
      <c r="C2911" s="2"/>
    </row>
    <row r="2912" spans="3:3">
      <c r="C2912" s="2"/>
    </row>
    <row r="2913" spans="3:3">
      <c r="C2913" s="2"/>
    </row>
    <row r="2914" spans="3:3">
      <c r="C2914" s="2"/>
    </row>
    <row r="2915" spans="3:3">
      <c r="C2915" s="2"/>
    </row>
    <row r="2916" spans="3:3">
      <c r="C2916" s="2"/>
    </row>
    <row r="2917" spans="3:3">
      <c r="C2917" s="2"/>
    </row>
    <row r="2918" spans="3:3">
      <c r="C2918" s="2"/>
    </row>
    <row r="2919" spans="3:3">
      <c r="C2919" s="2"/>
    </row>
    <row r="2920" spans="3:3">
      <c r="C2920" s="2"/>
    </row>
    <row r="2921" spans="3:3">
      <c r="C2921" s="2"/>
    </row>
    <row r="2922" spans="3:3">
      <c r="C2922" s="2"/>
    </row>
    <row r="2923" spans="3:3">
      <c r="C2923" s="2"/>
    </row>
    <row r="2924" spans="3:3">
      <c r="C2924" s="2"/>
    </row>
    <row r="2925" spans="3:3">
      <c r="C2925" s="2"/>
    </row>
    <row r="2926" spans="3:3">
      <c r="C2926" s="2"/>
    </row>
    <row r="2927" spans="3:3">
      <c r="C2927" s="2"/>
    </row>
    <row r="2928" spans="3:3">
      <c r="C2928" s="2"/>
    </row>
    <row r="2929" spans="3:3">
      <c r="C2929" s="2"/>
    </row>
    <row r="2930" spans="3:3">
      <c r="C2930" s="2"/>
    </row>
    <row r="2931" spans="3:3">
      <c r="C2931" s="2"/>
    </row>
    <row r="2932" spans="3:3">
      <c r="C2932" s="2"/>
    </row>
    <row r="2933" spans="3:3">
      <c r="C2933" s="2"/>
    </row>
    <row r="2934" spans="3:3">
      <c r="C2934" s="2"/>
    </row>
    <row r="2935" spans="3:3">
      <c r="C2935" s="2"/>
    </row>
    <row r="2936" spans="3:3">
      <c r="C2936" s="2"/>
    </row>
    <row r="2937" spans="3:3">
      <c r="C2937" s="2"/>
    </row>
    <row r="2938" spans="3:3">
      <c r="C2938" s="2"/>
    </row>
    <row r="2939" spans="3:3">
      <c r="C2939" s="2"/>
    </row>
    <row r="2940" spans="3:3">
      <c r="C2940" s="2"/>
    </row>
    <row r="2941" spans="3:3">
      <c r="C2941" s="2"/>
    </row>
    <row r="2942" spans="3:3">
      <c r="C2942" s="2"/>
    </row>
    <row r="2943" spans="3:3">
      <c r="C2943" s="2"/>
    </row>
    <row r="2944" spans="3:3">
      <c r="C2944" s="2"/>
    </row>
    <row r="2945" spans="3:3">
      <c r="C2945" s="2"/>
    </row>
    <row r="2946" spans="3:3">
      <c r="C2946" s="2"/>
    </row>
    <row r="2947" spans="3:3">
      <c r="C2947" s="2"/>
    </row>
    <row r="2948" spans="3:3">
      <c r="C2948" s="2"/>
    </row>
    <row r="2949" spans="3:3">
      <c r="C2949" s="2"/>
    </row>
    <row r="2950" spans="3:3">
      <c r="C2950" s="2"/>
    </row>
    <row r="2951" spans="3:3">
      <c r="C2951" s="2"/>
    </row>
    <row r="2952" spans="3:3">
      <c r="C2952" s="2"/>
    </row>
    <row r="2953" spans="3:3">
      <c r="C2953" s="2"/>
    </row>
    <row r="2954" spans="3:3">
      <c r="C2954" s="2"/>
    </row>
    <row r="2955" spans="3:3">
      <c r="C2955" s="2"/>
    </row>
    <row r="2956" spans="3:3">
      <c r="C2956" s="2"/>
    </row>
    <row r="2957" spans="3:3">
      <c r="C2957" s="2"/>
    </row>
    <row r="2958" spans="3:3">
      <c r="C2958" s="2"/>
    </row>
    <row r="2959" spans="3:3">
      <c r="C2959" s="2"/>
    </row>
    <row r="2960" spans="3:3">
      <c r="C2960" s="2"/>
    </row>
    <row r="2961" spans="3:3">
      <c r="C2961" s="2"/>
    </row>
    <row r="2962" spans="3:3">
      <c r="C2962" s="2"/>
    </row>
    <row r="2963" spans="3:3">
      <c r="C2963" s="2"/>
    </row>
    <row r="2964" spans="3:3">
      <c r="C2964" s="2"/>
    </row>
    <row r="2965" spans="3:3">
      <c r="C2965" s="2"/>
    </row>
    <row r="2966" spans="3:3">
      <c r="C2966" s="2"/>
    </row>
    <row r="2967" spans="3:3">
      <c r="C2967" s="2"/>
    </row>
    <row r="2968" spans="3:3">
      <c r="C2968" s="2"/>
    </row>
    <row r="2969" spans="3:3">
      <c r="C2969" s="2"/>
    </row>
    <row r="2970" spans="3:3">
      <c r="C2970" s="2"/>
    </row>
    <row r="2971" spans="3:3">
      <c r="C2971" s="2"/>
    </row>
    <row r="2972" spans="3:3">
      <c r="C2972" s="2"/>
    </row>
    <row r="2973" spans="3:3">
      <c r="C2973" s="2"/>
    </row>
    <row r="2974" spans="3:3">
      <c r="C2974" s="2"/>
    </row>
    <row r="2975" spans="3:3">
      <c r="C2975" s="2"/>
    </row>
    <row r="2976" spans="3:3">
      <c r="C2976" s="2"/>
    </row>
    <row r="2977" spans="3:3">
      <c r="C2977" s="2"/>
    </row>
    <row r="2978" spans="3:3">
      <c r="C2978" s="2"/>
    </row>
    <row r="2979" spans="3:3">
      <c r="C2979" s="2"/>
    </row>
    <row r="2980" spans="3:3">
      <c r="C2980" s="2"/>
    </row>
    <row r="2981" spans="3:3">
      <c r="C2981" s="2"/>
    </row>
    <row r="2982" spans="3:3">
      <c r="C2982" s="2"/>
    </row>
    <row r="2983" spans="3:3">
      <c r="C2983" s="2"/>
    </row>
    <row r="2984" spans="3:3">
      <c r="C2984" s="2"/>
    </row>
    <row r="2985" spans="3:3">
      <c r="C2985" s="2"/>
    </row>
    <row r="2986" spans="3:3">
      <c r="C2986" s="2"/>
    </row>
    <row r="2987" spans="3:3">
      <c r="C2987" s="2"/>
    </row>
    <row r="2988" spans="3:3">
      <c r="C2988" s="2"/>
    </row>
    <row r="2989" spans="3:3">
      <c r="C2989" s="2"/>
    </row>
    <row r="2990" spans="3:3">
      <c r="C2990" s="2"/>
    </row>
    <row r="2991" spans="3:3">
      <c r="C2991" s="2"/>
    </row>
    <row r="2992" spans="3:3">
      <c r="C2992" s="2"/>
    </row>
    <row r="2993" spans="3:3">
      <c r="C2993" s="2"/>
    </row>
    <row r="2994" spans="3:3">
      <c r="C2994" s="2"/>
    </row>
    <row r="2995" spans="3:3">
      <c r="C2995" s="2"/>
    </row>
    <row r="2996" spans="3:3">
      <c r="C2996" s="2"/>
    </row>
    <row r="2997" spans="3:3">
      <c r="C2997" s="2"/>
    </row>
    <row r="2998" spans="3:3">
      <c r="C2998" s="2"/>
    </row>
    <row r="2999" spans="3:3">
      <c r="C2999" s="2"/>
    </row>
    <row r="3000" spans="3:3">
      <c r="C3000" s="2"/>
    </row>
    <row r="3001" spans="3:3">
      <c r="C3001" s="2"/>
    </row>
    <row r="3002" spans="3:3">
      <c r="C3002" s="2"/>
    </row>
    <row r="3003" spans="3:3">
      <c r="C3003" s="2"/>
    </row>
    <row r="3004" spans="3:3">
      <c r="C3004" s="2"/>
    </row>
    <row r="3005" spans="3:3">
      <c r="C3005" s="2"/>
    </row>
    <row r="3006" spans="3:3">
      <c r="C3006" s="2"/>
    </row>
    <row r="3007" spans="3:3">
      <c r="C3007" s="2"/>
    </row>
    <row r="3008" spans="3:3">
      <c r="C3008" s="2"/>
    </row>
    <row r="3009" spans="3:3">
      <c r="C3009" s="2"/>
    </row>
    <row r="3010" spans="3:3">
      <c r="C3010" s="2"/>
    </row>
    <row r="3011" spans="3:3">
      <c r="C3011" s="2"/>
    </row>
    <row r="3012" spans="3:3">
      <c r="C3012" s="2"/>
    </row>
    <row r="3013" spans="3:3">
      <c r="C3013" s="2"/>
    </row>
    <row r="3014" spans="3:3">
      <c r="C3014" s="2"/>
    </row>
    <row r="3015" spans="3:3">
      <c r="C3015" s="2"/>
    </row>
    <row r="3016" spans="3:3">
      <c r="C3016" s="2"/>
    </row>
    <row r="3017" spans="3:3">
      <c r="C3017" s="2"/>
    </row>
    <row r="3018" spans="3:3">
      <c r="C3018" s="2"/>
    </row>
    <row r="3019" spans="3:3">
      <c r="C3019" s="2"/>
    </row>
    <row r="3020" spans="3:3">
      <c r="C3020" s="2"/>
    </row>
    <row r="3021" spans="3:3">
      <c r="C3021" s="2"/>
    </row>
    <row r="3022" spans="3:3">
      <c r="C3022" s="2"/>
    </row>
    <row r="3023" spans="3:3">
      <c r="C3023" s="2"/>
    </row>
    <row r="3024" spans="3:3">
      <c r="C3024" s="2"/>
    </row>
    <row r="3025" spans="3:3">
      <c r="C3025" s="2"/>
    </row>
    <row r="3026" spans="3:3">
      <c r="C3026" s="2"/>
    </row>
    <row r="3027" spans="3:3">
      <c r="C3027" s="2"/>
    </row>
    <row r="3028" spans="3:3">
      <c r="C3028" s="2"/>
    </row>
    <row r="3029" spans="3:3">
      <c r="C3029" s="2"/>
    </row>
    <row r="3030" spans="3:3">
      <c r="C3030" s="2"/>
    </row>
    <row r="3031" spans="3:3">
      <c r="C3031" s="2"/>
    </row>
    <row r="3032" spans="3:3">
      <c r="C3032" s="2"/>
    </row>
    <row r="3033" spans="3:3">
      <c r="C3033" s="2"/>
    </row>
    <row r="3034" spans="3:3">
      <c r="C3034" s="2"/>
    </row>
    <row r="3035" spans="3:3">
      <c r="C3035" s="2"/>
    </row>
    <row r="3036" spans="3:3">
      <c r="C3036" s="2"/>
    </row>
    <row r="3037" spans="3:3">
      <c r="C3037" s="2"/>
    </row>
    <row r="3038" spans="3:3">
      <c r="C3038" s="2"/>
    </row>
    <row r="3039" spans="3:3">
      <c r="C3039" s="2"/>
    </row>
    <row r="3040" spans="3:3">
      <c r="C3040" s="2"/>
    </row>
    <row r="3041" spans="3:3">
      <c r="C3041" s="2"/>
    </row>
    <row r="3042" spans="3:3">
      <c r="C3042" s="2"/>
    </row>
    <row r="3043" spans="3:3">
      <c r="C3043" s="2"/>
    </row>
    <row r="3044" spans="3:3">
      <c r="C3044" s="2"/>
    </row>
    <row r="3045" spans="3:3">
      <c r="C3045" s="2"/>
    </row>
    <row r="3046" spans="3:3">
      <c r="C3046" s="2"/>
    </row>
    <row r="3047" spans="3:3">
      <c r="C3047" s="2"/>
    </row>
    <row r="3048" spans="3:3">
      <c r="C3048" s="2"/>
    </row>
    <row r="3049" spans="3:3">
      <c r="C3049" s="2"/>
    </row>
    <row r="3050" spans="3:3">
      <c r="C3050" s="2"/>
    </row>
    <row r="3051" spans="3:3">
      <c r="C3051" s="2"/>
    </row>
    <row r="3052" spans="3:3">
      <c r="C3052" s="2"/>
    </row>
    <row r="3053" spans="3:3">
      <c r="C3053" s="2"/>
    </row>
    <row r="3054" spans="3:3">
      <c r="C3054" s="2"/>
    </row>
    <row r="3055" spans="3:3">
      <c r="C3055" s="2"/>
    </row>
    <row r="3056" spans="3:3">
      <c r="C3056" s="2"/>
    </row>
    <row r="3057" spans="3:3">
      <c r="C3057" s="2"/>
    </row>
    <row r="3058" spans="3:3">
      <c r="C3058" s="2"/>
    </row>
    <row r="3059" spans="3:3">
      <c r="C3059" s="2"/>
    </row>
    <row r="3060" spans="3:3">
      <c r="C3060" s="2"/>
    </row>
    <row r="3061" spans="3:3">
      <c r="C3061" s="2"/>
    </row>
    <row r="3062" spans="3:3">
      <c r="C3062" s="2"/>
    </row>
    <row r="3063" spans="3:3">
      <c r="C3063" s="2"/>
    </row>
    <row r="3064" spans="3:3">
      <c r="C3064" s="2"/>
    </row>
    <row r="3065" spans="3:3">
      <c r="C3065" s="2"/>
    </row>
    <row r="3066" spans="3:3">
      <c r="C3066" s="2"/>
    </row>
    <row r="3067" spans="3:3">
      <c r="C3067" s="2"/>
    </row>
    <row r="3068" spans="3:3">
      <c r="C3068" s="2"/>
    </row>
    <row r="3069" spans="3:3">
      <c r="C3069" s="2"/>
    </row>
    <row r="3070" spans="3:3">
      <c r="C3070" s="2"/>
    </row>
    <row r="3071" spans="3:3">
      <c r="C3071" s="2"/>
    </row>
    <row r="3072" spans="3:3">
      <c r="C3072" s="2"/>
    </row>
    <row r="3073" spans="3:3">
      <c r="C3073" s="2"/>
    </row>
    <row r="3074" spans="3:3">
      <c r="C3074" s="2"/>
    </row>
    <row r="3075" spans="3:3">
      <c r="C3075" s="2"/>
    </row>
    <row r="3076" spans="3:3">
      <c r="C3076" s="2"/>
    </row>
    <row r="3077" spans="3:3">
      <c r="C3077" s="2"/>
    </row>
    <row r="3078" spans="3:3">
      <c r="C3078" s="2"/>
    </row>
    <row r="3079" spans="3:3">
      <c r="C3079" s="2"/>
    </row>
    <row r="3080" spans="3:3">
      <c r="C3080" s="2"/>
    </row>
    <row r="3081" spans="3:3">
      <c r="C3081" s="2"/>
    </row>
    <row r="3082" spans="3:3">
      <c r="C3082" s="2"/>
    </row>
    <row r="3083" spans="3:3">
      <c r="C3083" s="2"/>
    </row>
    <row r="3084" spans="3:3">
      <c r="C3084" s="2"/>
    </row>
    <row r="3085" spans="3:3">
      <c r="C3085" s="2"/>
    </row>
    <row r="3086" spans="3:3">
      <c r="C3086" s="2"/>
    </row>
    <row r="3087" spans="3:3">
      <c r="C3087" s="2"/>
    </row>
    <row r="3088" spans="3:3">
      <c r="C3088" s="2"/>
    </row>
    <row r="3089" spans="3:3">
      <c r="C3089" s="2"/>
    </row>
    <row r="3090" spans="3:3">
      <c r="C3090" s="2"/>
    </row>
    <row r="3091" spans="3:3">
      <c r="C3091" s="2"/>
    </row>
    <row r="3092" spans="3:3">
      <c r="C3092" s="2"/>
    </row>
    <row r="3093" spans="3:3">
      <c r="C3093" s="2"/>
    </row>
    <row r="3094" spans="3:3">
      <c r="C3094" s="2"/>
    </row>
    <row r="3095" spans="3:3">
      <c r="C3095" s="2"/>
    </row>
    <row r="3096" spans="3:3">
      <c r="C3096" s="2"/>
    </row>
    <row r="3097" spans="3:3">
      <c r="C3097" s="2"/>
    </row>
    <row r="3098" spans="3:3">
      <c r="C3098" s="2"/>
    </row>
    <row r="3099" spans="3:3">
      <c r="C3099" s="2"/>
    </row>
    <row r="3100" spans="3:3">
      <c r="C3100" s="2"/>
    </row>
    <row r="3101" spans="3:3">
      <c r="C3101" s="2"/>
    </row>
    <row r="3102" spans="3:3">
      <c r="C3102" s="2"/>
    </row>
    <row r="3103" spans="3:3">
      <c r="C3103" s="2"/>
    </row>
    <row r="3104" spans="3:3">
      <c r="C3104" s="2"/>
    </row>
    <row r="3105" spans="3:3">
      <c r="C3105" s="2"/>
    </row>
    <row r="3106" spans="3:3">
      <c r="C3106" s="2"/>
    </row>
    <row r="3107" spans="3:3">
      <c r="C3107" s="2"/>
    </row>
    <row r="3108" spans="3:3">
      <c r="C3108" s="2"/>
    </row>
    <row r="3109" spans="3:3">
      <c r="C3109" s="2"/>
    </row>
    <row r="3110" spans="3:3">
      <c r="C3110" s="2"/>
    </row>
    <row r="3111" spans="3:3">
      <c r="C3111" s="2"/>
    </row>
    <row r="3112" spans="3:3">
      <c r="C3112" s="2"/>
    </row>
    <row r="3113" spans="3:3">
      <c r="C3113" s="2"/>
    </row>
    <row r="3114" spans="3:3">
      <c r="C3114" s="2"/>
    </row>
    <row r="3115" spans="3:3">
      <c r="C3115" s="2"/>
    </row>
    <row r="3116" spans="3:3">
      <c r="C3116" s="2"/>
    </row>
    <row r="3117" spans="3:3">
      <c r="C3117" s="2"/>
    </row>
    <row r="3118" spans="3:3">
      <c r="C3118" s="2"/>
    </row>
    <row r="3119" spans="3:3">
      <c r="C3119" s="2"/>
    </row>
    <row r="3120" spans="3:3">
      <c r="C3120" s="2"/>
    </row>
    <row r="3121" spans="3:3">
      <c r="C3121" s="2"/>
    </row>
    <row r="3122" spans="3:3">
      <c r="C3122" s="2"/>
    </row>
    <row r="3123" spans="3:3">
      <c r="C3123" s="2"/>
    </row>
    <row r="3124" spans="3:3">
      <c r="C3124" s="2"/>
    </row>
    <row r="3125" spans="3:3">
      <c r="C3125" s="2"/>
    </row>
    <row r="3126" spans="3:3">
      <c r="C3126" s="2"/>
    </row>
    <row r="3127" spans="3:3">
      <c r="C3127" s="2"/>
    </row>
    <row r="3128" spans="3:3">
      <c r="C3128" s="2"/>
    </row>
    <row r="3129" spans="3:3">
      <c r="C3129" s="2"/>
    </row>
    <row r="3130" spans="3:3">
      <c r="C3130" s="2"/>
    </row>
    <row r="3131" spans="3:3">
      <c r="C3131" s="2"/>
    </row>
    <row r="3132" spans="3:3">
      <c r="C3132" s="2"/>
    </row>
    <row r="3133" spans="3:3">
      <c r="C3133" s="2"/>
    </row>
    <row r="3134" spans="3:3">
      <c r="C3134" s="2"/>
    </row>
    <row r="3135" spans="3:3">
      <c r="C3135" s="2"/>
    </row>
    <row r="3136" spans="3:3">
      <c r="C3136" s="2"/>
    </row>
    <row r="3137" spans="3:3">
      <c r="C3137" s="2"/>
    </row>
    <row r="3138" spans="3:3">
      <c r="C3138" s="2"/>
    </row>
    <row r="3139" spans="3:3">
      <c r="C3139" s="2"/>
    </row>
    <row r="3140" spans="3:3">
      <c r="C3140" s="2"/>
    </row>
    <row r="3141" spans="3:3">
      <c r="C3141" s="2"/>
    </row>
    <row r="3142" spans="3:3">
      <c r="C3142" s="2"/>
    </row>
    <row r="3143" spans="3:3">
      <c r="C3143" s="2"/>
    </row>
    <row r="3144" spans="3:3">
      <c r="C3144" s="2"/>
    </row>
    <row r="3145" spans="3:3">
      <c r="C3145" s="2"/>
    </row>
    <row r="3146" spans="3:3">
      <c r="C3146" s="2"/>
    </row>
    <row r="3147" spans="3:3">
      <c r="C3147" s="2"/>
    </row>
    <row r="3148" spans="3:3">
      <c r="C3148" s="2"/>
    </row>
    <row r="3149" spans="3:3">
      <c r="C3149" s="2"/>
    </row>
    <row r="3150" spans="3:3">
      <c r="C3150" s="2"/>
    </row>
    <row r="3151" spans="3:3">
      <c r="C3151" s="2"/>
    </row>
    <row r="3152" spans="3:3">
      <c r="C3152" s="2"/>
    </row>
    <row r="3153" spans="3:3">
      <c r="C3153" s="2"/>
    </row>
    <row r="3154" spans="3:3">
      <c r="C3154" s="2"/>
    </row>
    <row r="3155" spans="3:3">
      <c r="C3155" s="2"/>
    </row>
    <row r="3156" spans="3:3">
      <c r="C3156" s="2"/>
    </row>
    <row r="3157" spans="3:3">
      <c r="C3157" s="2"/>
    </row>
    <row r="3158" spans="3:3">
      <c r="C3158" s="2"/>
    </row>
    <row r="3159" spans="3:3">
      <c r="C3159" s="2"/>
    </row>
    <row r="3160" spans="3:3">
      <c r="C3160" s="2"/>
    </row>
    <row r="3161" spans="3:3">
      <c r="C3161" s="2"/>
    </row>
    <row r="3162" spans="3:3">
      <c r="C3162" s="2"/>
    </row>
    <row r="3163" spans="3:3">
      <c r="C3163" s="2"/>
    </row>
    <row r="3164" spans="3:3">
      <c r="C3164" s="2"/>
    </row>
    <row r="3165" spans="3:3">
      <c r="C3165" s="2"/>
    </row>
    <row r="3166" spans="3:3">
      <c r="C3166" s="2"/>
    </row>
    <row r="3167" spans="3:3">
      <c r="C3167" s="2"/>
    </row>
    <row r="3168" spans="3:3">
      <c r="C3168" s="2"/>
    </row>
    <row r="3169" spans="3:3">
      <c r="C3169" s="2"/>
    </row>
    <row r="3170" spans="3:3">
      <c r="C3170" s="2"/>
    </row>
    <row r="3171" spans="3:3">
      <c r="C3171" s="2"/>
    </row>
    <row r="3172" spans="3:3">
      <c r="C3172" s="2"/>
    </row>
    <row r="3173" spans="3:3">
      <c r="C3173" s="2"/>
    </row>
    <row r="3174" spans="3:3">
      <c r="C3174" s="2"/>
    </row>
    <row r="3175" spans="3:3">
      <c r="C3175" s="2"/>
    </row>
    <row r="3176" spans="3:3">
      <c r="C3176" s="2"/>
    </row>
    <row r="3177" spans="3:3">
      <c r="C3177" s="2"/>
    </row>
    <row r="3178" spans="3:3">
      <c r="C3178" s="2"/>
    </row>
    <row r="3179" spans="3:3">
      <c r="C3179" s="2"/>
    </row>
    <row r="3180" spans="3:3">
      <c r="C3180" s="2"/>
    </row>
    <row r="3181" spans="3:3">
      <c r="C3181" s="2"/>
    </row>
    <row r="3182" spans="3:3">
      <c r="C3182" s="2"/>
    </row>
    <row r="3183" spans="3:3">
      <c r="C3183" s="2"/>
    </row>
    <row r="3184" spans="3:3">
      <c r="C3184" s="2"/>
    </row>
    <row r="3185" spans="3:3">
      <c r="C3185" s="2"/>
    </row>
    <row r="3186" spans="3:3">
      <c r="C3186" s="2"/>
    </row>
    <row r="3187" spans="3:3">
      <c r="C3187" s="2"/>
    </row>
    <row r="3188" spans="3:3">
      <c r="C3188" s="2"/>
    </row>
    <row r="3189" spans="3:3">
      <c r="C3189" s="2"/>
    </row>
    <row r="3190" spans="3:3">
      <c r="C3190" s="2"/>
    </row>
    <row r="3191" spans="3:3">
      <c r="C3191" s="2"/>
    </row>
    <row r="3192" spans="3:3">
      <c r="C3192" s="2"/>
    </row>
    <row r="3193" spans="3:3">
      <c r="C3193" s="2"/>
    </row>
    <row r="3194" spans="3:3">
      <c r="C3194" s="2"/>
    </row>
    <row r="3195" spans="3:3">
      <c r="C3195" s="2"/>
    </row>
    <row r="3196" spans="3:3">
      <c r="C3196" s="2"/>
    </row>
    <row r="3197" spans="3:3">
      <c r="C3197" s="2"/>
    </row>
    <row r="3198" spans="3:3">
      <c r="C3198" s="2"/>
    </row>
    <row r="3199" spans="3:3">
      <c r="C3199" s="2"/>
    </row>
    <row r="3200" spans="3:3">
      <c r="C3200" s="2"/>
    </row>
    <row r="3201" spans="3:3">
      <c r="C3201" s="2"/>
    </row>
    <row r="3202" spans="3:3">
      <c r="C3202" s="2"/>
    </row>
    <row r="3203" spans="3:3">
      <c r="C3203" s="2"/>
    </row>
    <row r="3204" spans="3:3">
      <c r="C3204" s="2"/>
    </row>
    <row r="3205" spans="3:3">
      <c r="C3205" s="2"/>
    </row>
    <row r="3206" spans="3:3">
      <c r="C3206" s="2"/>
    </row>
    <row r="3207" spans="3:3">
      <c r="C3207" s="2"/>
    </row>
    <row r="3208" spans="3:3">
      <c r="C3208" s="2"/>
    </row>
    <row r="3209" spans="3:3">
      <c r="C3209" s="2"/>
    </row>
    <row r="3210" spans="3:3">
      <c r="C3210" s="2"/>
    </row>
    <row r="3211" spans="3:3">
      <c r="C3211" s="2"/>
    </row>
    <row r="3212" spans="3:3">
      <c r="C3212" s="2"/>
    </row>
    <row r="3213" spans="3:3">
      <c r="C3213" s="2"/>
    </row>
    <row r="3214" spans="3:3">
      <c r="C3214" s="2"/>
    </row>
    <row r="3215" spans="3:3">
      <c r="C3215" s="2"/>
    </row>
    <row r="3216" spans="3:3">
      <c r="C3216" s="2"/>
    </row>
    <row r="3217" spans="3:3">
      <c r="C3217" s="2"/>
    </row>
    <row r="3218" spans="3:3">
      <c r="C3218" s="2"/>
    </row>
    <row r="3219" spans="3:3">
      <c r="C3219" s="2"/>
    </row>
    <row r="3220" spans="3:3">
      <c r="C3220" s="2"/>
    </row>
    <row r="3221" spans="3:3">
      <c r="C3221" s="2"/>
    </row>
    <row r="3222" spans="3:3">
      <c r="C3222" s="2"/>
    </row>
    <row r="3223" spans="3:3">
      <c r="C3223" s="2"/>
    </row>
    <row r="3224" spans="3:3">
      <c r="C3224" s="2"/>
    </row>
    <row r="3225" spans="3:3">
      <c r="C3225" s="2"/>
    </row>
    <row r="3226" spans="3:3">
      <c r="C3226" s="2"/>
    </row>
    <row r="3227" spans="3:3">
      <c r="C3227" s="2"/>
    </row>
    <row r="3228" spans="3:3">
      <c r="C3228" s="2"/>
    </row>
    <row r="3229" spans="3:3">
      <c r="C3229" s="2"/>
    </row>
    <row r="3230" spans="3:3">
      <c r="C3230" s="2"/>
    </row>
    <row r="3231" spans="3:3">
      <c r="C3231" s="2"/>
    </row>
    <row r="3232" spans="3:3">
      <c r="C3232" s="2"/>
    </row>
    <row r="3233" spans="3:3">
      <c r="C3233" s="2"/>
    </row>
    <row r="3234" spans="3:3">
      <c r="C3234" s="2"/>
    </row>
    <row r="3235" spans="3:3">
      <c r="C3235" s="2"/>
    </row>
    <row r="3236" spans="3:3">
      <c r="C3236" s="2"/>
    </row>
    <row r="3237" spans="3:3">
      <c r="C3237" s="2"/>
    </row>
    <row r="3238" spans="3:3">
      <c r="C3238" s="2"/>
    </row>
    <row r="3239" spans="3:3">
      <c r="C3239" s="2"/>
    </row>
    <row r="3240" spans="3:3">
      <c r="C3240" s="2"/>
    </row>
    <row r="3241" spans="3:3">
      <c r="C3241" s="2"/>
    </row>
    <row r="3242" spans="3:3">
      <c r="C3242" s="2"/>
    </row>
    <row r="3243" spans="3:3">
      <c r="C3243" s="2"/>
    </row>
    <row r="3244" spans="3:3">
      <c r="C3244" s="2"/>
    </row>
    <row r="3245" spans="3:3">
      <c r="C3245" s="2"/>
    </row>
    <row r="3246" spans="3:3">
      <c r="C3246" s="2"/>
    </row>
    <row r="3247" spans="3:3">
      <c r="C3247" s="2"/>
    </row>
    <row r="3248" spans="3:3">
      <c r="C3248" s="2"/>
    </row>
    <row r="3249" spans="3:3">
      <c r="C3249" s="2"/>
    </row>
    <row r="3250" spans="3:3">
      <c r="C3250" s="2"/>
    </row>
    <row r="3251" spans="3:3">
      <c r="C3251" s="2"/>
    </row>
    <row r="3252" spans="3:3">
      <c r="C3252" s="2"/>
    </row>
    <row r="3253" spans="3:3">
      <c r="C3253" s="2"/>
    </row>
    <row r="3254" spans="3:3">
      <c r="C3254" s="2"/>
    </row>
    <row r="3255" spans="3:3">
      <c r="C3255" s="2"/>
    </row>
    <row r="3256" spans="3:3">
      <c r="C3256" s="2"/>
    </row>
    <row r="3257" spans="3:3">
      <c r="C3257" s="2"/>
    </row>
    <row r="3258" spans="3:3">
      <c r="C3258" s="2"/>
    </row>
    <row r="3259" spans="3:3">
      <c r="C3259" s="2"/>
    </row>
    <row r="3260" spans="3:3">
      <c r="C3260" s="2"/>
    </row>
    <row r="3261" spans="3:3">
      <c r="C3261" s="2"/>
    </row>
    <row r="3262" spans="3:3">
      <c r="C3262" s="2"/>
    </row>
    <row r="3263" spans="3:3">
      <c r="C3263" s="2"/>
    </row>
    <row r="3264" spans="3:3">
      <c r="C3264" s="2"/>
    </row>
    <row r="3265" spans="3:3">
      <c r="C3265" s="2"/>
    </row>
    <row r="3266" spans="3:3">
      <c r="C3266" s="2"/>
    </row>
    <row r="3267" spans="3:3">
      <c r="C3267" s="2"/>
    </row>
    <row r="3268" spans="3:3">
      <c r="C3268" s="2"/>
    </row>
    <row r="3269" spans="3:3">
      <c r="C3269" s="2"/>
    </row>
    <row r="3270" spans="3:3">
      <c r="C3270" s="2"/>
    </row>
    <row r="3271" spans="3:3">
      <c r="C3271" s="2"/>
    </row>
    <row r="3272" spans="3:3">
      <c r="C3272" s="2"/>
    </row>
    <row r="3273" spans="3:3">
      <c r="C3273" s="2"/>
    </row>
    <row r="3274" spans="3:3">
      <c r="C3274" s="2"/>
    </row>
    <row r="3275" spans="3:3">
      <c r="C3275" s="2"/>
    </row>
    <row r="3276" spans="3:3">
      <c r="C3276" s="2"/>
    </row>
    <row r="3277" spans="3:3">
      <c r="C3277" s="2"/>
    </row>
    <row r="3278" spans="3:3">
      <c r="C3278" s="2"/>
    </row>
    <row r="3279" spans="3:3">
      <c r="C3279" s="2"/>
    </row>
    <row r="3280" spans="3:3">
      <c r="C3280" s="2"/>
    </row>
    <row r="3281" spans="3:3">
      <c r="C3281" s="2"/>
    </row>
    <row r="3282" spans="3:3">
      <c r="C3282" s="2"/>
    </row>
    <row r="3283" spans="3:3">
      <c r="C3283" s="2"/>
    </row>
    <row r="3284" spans="3:3">
      <c r="C3284" s="2"/>
    </row>
    <row r="3285" spans="3:3">
      <c r="C3285" s="2"/>
    </row>
    <row r="3286" spans="3:3">
      <c r="C3286" s="2"/>
    </row>
    <row r="3287" spans="3:3">
      <c r="C3287" s="2"/>
    </row>
    <row r="3288" spans="3:3">
      <c r="C3288" s="2"/>
    </row>
    <row r="3289" spans="3:3">
      <c r="C3289" s="2"/>
    </row>
    <row r="3290" spans="3:3">
      <c r="C3290" s="2"/>
    </row>
    <row r="3291" spans="3:3">
      <c r="C3291" s="2"/>
    </row>
    <row r="3292" spans="3:3">
      <c r="C3292" s="2"/>
    </row>
    <row r="3293" spans="3:3">
      <c r="C3293" s="2"/>
    </row>
    <row r="3294" spans="3:3">
      <c r="C3294" s="2"/>
    </row>
    <row r="3295" spans="3:3">
      <c r="C3295" s="2"/>
    </row>
    <row r="3296" spans="3:3">
      <c r="C3296" s="2"/>
    </row>
    <row r="3297" spans="3:3">
      <c r="C3297" s="2"/>
    </row>
    <row r="3298" spans="3:3">
      <c r="C3298" s="2"/>
    </row>
    <row r="3299" spans="3:3">
      <c r="C3299" s="2"/>
    </row>
    <row r="3300" spans="3:3">
      <c r="C3300" s="2"/>
    </row>
    <row r="3301" spans="3:3">
      <c r="C3301" s="2"/>
    </row>
    <row r="3302" spans="3:3">
      <c r="C3302" s="2"/>
    </row>
    <row r="3303" spans="3:3">
      <c r="C3303" s="2"/>
    </row>
    <row r="3304" spans="3:3">
      <c r="C3304" s="2"/>
    </row>
    <row r="3305" spans="3:3">
      <c r="C3305" s="2"/>
    </row>
    <row r="3306" spans="3:3">
      <c r="C3306" s="2"/>
    </row>
    <row r="3307" spans="3:3">
      <c r="C3307" s="2"/>
    </row>
    <row r="3308" spans="3:3">
      <c r="C3308" s="2"/>
    </row>
    <row r="3309" spans="3:3">
      <c r="C3309" s="2"/>
    </row>
    <row r="3310" spans="3:3">
      <c r="C3310" s="2"/>
    </row>
    <row r="3311" spans="3:3">
      <c r="C3311" s="2"/>
    </row>
    <row r="3312" spans="3:3">
      <c r="C3312" s="2"/>
    </row>
    <row r="3313" spans="3:3">
      <c r="C3313" s="2"/>
    </row>
    <row r="3314" spans="3:3">
      <c r="C3314" s="2"/>
    </row>
    <row r="3315" spans="3:3">
      <c r="C3315" s="2"/>
    </row>
    <row r="3316" spans="3:3">
      <c r="C3316" s="2"/>
    </row>
    <row r="3317" spans="3:3">
      <c r="C3317" s="2"/>
    </row>
    <row r="3318" spans="3:3">
      <c r="C3318" s="2"/>
    </row>
    <row r="3319" spans="3:3">
      <c r="C3319" s="2"/>
    </row>
    <row r="3320" spans="3:3">
      <c r="C3320" s="2"/>
    </row>
    <row r="3321" spans="3:3">
      <c r="C3321" s="2"/>
    </row>
    <row r="3322" spans="3:3">
      <c r="C3322" s="2"/>
    </row>
    <row r="3323" spans="3:3">
      <c r="C3323" s="2"/>
    </row>
    <row r="3324" spans="3:3">
      <c r="C3324" s="2"/>
    </row>
    <row r="3325" spans="3:3">
      <c r="C3325" s="2"/>
    </row>
    <row r="3326" spans="3:3">
      <c r="C3326" s="2"/>
    </row>
    <row r="3327" spans="3:3">
      <c r="C3327" s="2"/>
    </row>
    <row r="3328" spans="3:3">
      <c r="C3328" s="2"/>
    </row>
    <row r="3329" spans="3:3">
      <c r="C3329" s="2"/>
    </row>
    <row r="3330" spans="3:3">
      <c r="C3330" s="2"/>
    </row>
    <row r="3331" spans="3:3">
      <c r="C3331" s="2"/>
    </row>
    <row r="3332" spans="3:3">
      <c r="C3332" s="2"/>
    </row>
    <row r="3333" spans="3:3">
      <c r="C3333" s="2"/>
    </row>
    <row r="3334" spans="3:3">
      <c r="C3334" s="2"/>
    </row>
    <row r="3335" spans="3:3">
      <c r="C3335" s="2"/>
    </row>
    <row r="3336" spans="3:3">
      <c r="C3336" s="2"/>
    </row>
    <row r="3337" spans="3:3">
      <c r="C3337" s="2"/>
    </row>
    <row r="3338" spans="3:3">
      <c r="C3338" s="2"/>
    </row>
    <row r="3339" spans="3:3">
      <c r="C3339" s="2"/>
    </row>
    <row r="3340" spans="3:3">
      <c r="C3340" s="2"/>
    </row>
    <row r="3341" spans="3:3">
      <c r="C3341" s="2"/>
    </row>
    <row r="3342" spans="3:3">
      <c r="C3342" s="2"/>
    </row>
    <row r="3343" spans="3:3">
      <c r="C3343" s="2"/>
    </row>
    <row r="3344" spans="3:3">
      <c r="C3344" s="2"/>
    </row>
    <row r="3345" spans="3:3">
      <c r="C3345" s="2"/>
    </row>
    <row r="3346" spans="3:3">
      <c r="C3346" s="2"/>
    </row>
    <row r="3347" spans="3:3">
      <c r="C3347" s="2"/>
    </row>
    <row r="3348" spans="3:3">
      <c r="C3348" s="2"/>
    </row>
    <row r="3349" spans="3:3">
      <c r="C3349" s="2"/>
    </row>
    <row r="3350" spans="3:3">
      <c r="C3350" s="2"/>
    </row>
    <row r="3351" spans="3:3">
      <c r="C3351" s="2"/>
    </row>
    <row r="3352" spans="3:3">
      <c r="C3352" s="2"/>
    </row>
    <row r="3353" spans="3:3">
      <c r="C3353" s="2"/>
    </row>
    <row r="3354" spans="3:3">
      <c r="C3354" s="2"/>
    </row>
    <row r="3355" spans="3:3">
      <c r="C3355" s="2"/>
    </row>
    <row r="3356" spans="3:3">
      <c r="C3356" s="2"/>
    </row>
    <row r="3357" spans="3:3">
      <c r="C3357" s="2"/>
    </row>
    <row r="3358" spans="3:3">
      <c r="C3358" s="2"/>
    </row>
    <row r="3359" spans="3:3">
      <c r="C3359" s="2"/>
    </row>
    <row r="3360" spans="3:3">
      <c r="C3360" s="2"/>
    </row>
    <row r="3361" spans="3:3">
      <c r="C3361" s="2"/>
    </row>
    <row r="3362" spans="3:3">
      <c r="C3362" s="2"/>
    </row>
    <row r="3363" spans="3:3">
      <c r="C3363" s="2"/>
    </row>
    <row r="3364" spans="3:3">
      <c r="C3364" s="2"/>
    </row>
    <row r="3365" spans="3:3">
      <c r="C3365" s="2"/>
    </row>
    <row r="3366" spans="3:3">
      <c r="C3366" s="2"/>
    </row>
    <row r="3367" spans="3:3">
      <c r="C3367" s="2"/>
    </row>
    <row r="3368" spans="3:3">
      <c r="C3368" s="2"/>
    </row>
    <row r="3369" spans="3:3">
      <c r="C3369" s="2"/>
    </row>
    <row r="3370" spans="3:3">
      <c r="C3370" s="2"/>
    </row>
    <row r="3371" spans="3:3">
      <c r="C3371" s="2"/>
    </row>
    <row r="3372" spans="3:3">
      <c r="C3372" s="2"/>
    </row>
    <row r="3373" spans="3:3">
      <c r="C3373" s="2"/>
    </row>
    <row r="3374" spans="3:3">
      <c r="C3374" s="2"/>
    </row>
    <row r="3375" spans="3:3">
      <c r="C3375" s="2"/>
    </row>
    <row r="3376" spans="3:3">
      <c r="C3376" s="2"/>
    </row>
    <row r="3377" spans="3:3">
      <c r="C3377" s="2"/>
    </row>
    <row r="3378" spans="3:3">
      <c r="C3378" s="2"/>
    </row>
    <row r="3379" spans="3:3">
      <c r="C3379" s="2"/>
    </row>
    <row r="3380" spans="3:3">
      <c r="C3380" s="2"/>
    </row>
    <row r="3381" spans="3:3">
      <c r="C3381" s="2"/>
    </row>
    <row r="3382" spans="3:3">
      <c r="C3382" s="2"/>
    </row>
    <row r="3383" spans="3:3">
      <c r="C3383" s="2"/>
    </row>
    <row r="3384" spans="3:3">
      <c r="C3384" s="2"/>
    </row>
    <row r="3385" spans="3:3">
      <c r="C3385" s="2"/>
    </row>
    <row r="3386" spans="3:3">
      <c r="C3386" s="2"/>
    </row>
    <row r="3387" spans="3:3">
      <c r="C3387" s="2"/>
    </row>
    <row r="3388" spans="3:3">
      <c r="C3388" s="2"/>
    </row>
    <row r="3389" spans="3:3">
      <c r="C3389" s="2"/>
    </row>
    <row r="3390" spans="3:3">
      <c r="C3390" s="2"/>
    </row>
    <row r="3391" spans="3:3">
      <c r="C3391" s="2"/>
    </row>
    <row r="3392" spans="3:3">
      <c r="C3392" s="2"/>
    </row>
    <row r="3393" spans="3:3">
      <c r="C3393" s="2"/>
    </row>
    <row r="3394" spans="3:3">
      <c r="C3394" s="2"/>
    </row>
    <row r="3395" spans="3:3">
      <c r="C3395" s="2"/>
    </row>
    <row r="3396" spans="3:3">
      <c r="C3396" s="2"/>
    </row>
    <row r="3397" spans="3:3">
      <c r="C3397" s="2"/>
    </row>
    <row r="3398" spans="3:3">
      <c r="C3398" s="2"/>
    </row>
    <row r="3399" spans="3:3">
      <c r="C3399" s="2"/>
    </row>
    <row r="3400" spans="3:3">
      <c r="C3400" s="2"/>
    </row>
    <row r="3401" spans="3:3">
      <c r="C3401" s="2"/>
    </row>
    <row r="3402" spans="3:3">
      <c r="C3402" s="2"/>
    </row>
    <row r="3403" spans="3:3">
      <c r="C3403" s="2"/>
    </row>
    <row r="3404" spans="3:3">
      <c r="C3404" s="2"/>
    </row>
    <row r="3405" spans="3:3">
      <c r="C3405" s="2"/>
    </row>
    <row r="3406" spans="3:3">
      <c r="C3406" s="2"/>
    </row>
    <row r="3407" spans="3:3">
      <c r="C3407" s="2"/>
    </row>
    <row r="3408" spans="3:3">
      <c r="C3408" s="2"/>
    </row>
    <row r="3409" spans="3:3">
      <c r="C3409" s="2"/>
    </row>
    <row r="3410" spans="3:3">
      <c r="C3410" s="2"/>
    </row>
    <row r="3411" spans="3:3">
      <c r="C3411" s="2"/>
    </row>
    <row r="3412" spans="3:3">
      <c r="C3412" s="2"/>
    </row>
    <row r="3413" spans="3:3">
      <c r="C3413" s="2"/>
    </row>
    <row r="3414" spans="3:3">
      <c r="C3414" s="2"/>
    </row>
    <row r="3415" spans="3:3">
      <c r="C3415" s="2"/>
    </row>
    <row r="3416" spans="3:3">
      <c r="C3416" s="2"/>
    </row>
    <row r="3417" spans="3:3">
      <c r="C3417" s="2"/>
    </row>
    <row r="3418" spans="3:3">
      <c r="C3418" s="2"/>
    </row>
    <row r="3419" spans="3:3">
      <c r="C3419" s="2"/>
    </row>
    <row r="3420" spans="3:3">
      <c r="C3420" s="2"/>
    </row>
    <row r="3421" spans="3:3">
      <c r="C3421" s="2"/>
    </row>
    <row r="3422" spans="3:3">
      <c r="C3422" s="2"/>
    </row>
    <row r="3423" spans="3:3">
      <c r="C3423" s="2"/>
    </row>
    <row r="3424" spans="3:3">
      <c r="C3424" s="2"/>
    </row>
    <row r="3425" spans="3:3">
      <c r="C3425" s="2"/>
    </row>
    <row r="3426" spans="3:3">
      <c r="C3426" s="2"/>
    </row>
    <row r="3427" spans="3:3">
      <c r="C3427" s="2"/>
    </row>
    <row r="3428" spans="3:3">
      <c r="C3428" s="2"/>
    </row>
    <row r="3429" spans="3:3">
      <c r="C3429" s="2"/>
    </row>
    <row r="3430" spans="3:3">
      <c r="C3430" s="2"/>
    </row>
    <row r="3431" spans="3:3">
      <c r="C3431" s="2"/>
    </row>
    <row r="3432" spans="3:3">
      <c r="C3432" s="2"/>
    </row>
    <row r="3433" spans="3:3">
      <c r="C3433" s="2"/>
    </row>
    <row r="3434" spans="3:3">
      <c r="C3434" s="2"/>
    </row>
    <row r="3435" spans="3:3">
      <c r="C3435" s="2"/>
    </row>
    <row r="3436" spans="3:3">
      <c r="C3436" s="2"/>
    </row>
    <row r="3437" spans="3:3">
      <c r="C3437" s="2"/>
    </row>
    <row r="3438" spans="3:3">
      <c r="C3438" s="2"/>
    </row>
    <row r="3439" spans="3:3">
      <c r="C3439" s="2"/>
    </row>
    <row r="3440" spans="3:3">
      <c r="C3440" s="2"/>
    </row>
    <row r="3441" spans="3:3">
      <c r="C3441" s="2"/>
    </row>
    <row r="3442" spans="3:3">
      <c r="C3442" s="2"/>
    </row>
    <row r="3443" spans="3:3">
      <c r="C3443" s="2"/>
    </row>
    <row r="3444" spans="3:3">
      <c r="C3444" s="2"/>
    </row>
    <row r="3445" spans="3:3">
      <c r="C3445" s="2"/>
    </row>
    <row r="3446" spans="3:3">
      <c r="C3446" s="2"/>
    </row>
    <row r="3447" spans="3:3">
      <c r="C3447" s="2"/>
    </row>
    <row r="3448" spans="3:3">
      <c r="C3448" s="2"/>
    </row>
    <row r="3449" spans="3:3">
      <c r="C3449" s="2"/>
    </row>
    <row r="3450" spans="3:3">
      <c r="C3450" s="2"/>
    </row>
    <row r="3451" spans="3:3">
      <c r="C3451" s="2"/>
    </row>
    <row r="3452" spans="3:3">
      <c r="C3452" s="2"/>
    </row>
    <row r="3453" spans="3:3">
      <c r="C3453" s="2"/>
    </row>
    <row r="3454" spans="3:3">
      <c r="C3454" s="2"/>
    </row>
    <row r="3455" spans="3:3">
      <c r="C3455" s="2"/>
    </row>
    <row r="3456" spans="3:3">
      <c r="C3456" s="2"/>
    </row>
    <row r="3457" spans="3:3">
      <c r="C3457" s="2"/>
    </row>
    <row r="3458" spans="3:3">
      <c r="C3458" s="2"/>
    </row>
    <row r="3459" spans="3:3">
      <c r="C3459" s="2"/>
    </row>
    <row r="3460" spans="3:3">
      <c r="C3460" s="2"/>
    </row>
    <row r="3461" spans="3:3">
      <c r="C3461" s="2"/>
    </row>
    <row r="3462" spans="3:3">
      <c r="C3462" s="2"/>
    </row>
    <row r="3463" spans="3:3">
      <c r="C3463" s="2"/>
    </row>
    <row r="3464" spans="3:3">
      <c r="C3464" s="2"/>
    </row>
    <row r="3465" spans="3:3">
      <c r="C3465" s="2"/>
    </row>
    <row r="3466" spans="3:3">
      <c r="C3466" s="2"/>
    </row>
    <row r="3467" spans="3:3">
      <c r="C3467" s="2"/>
    </row>
    <row r="3468" spans="3:3">
      <c r="C3468" s="2"/>
    </row>
    <row r="3469" spans="3:3">
      <c r="C3469" s="2"/>
    </row>
    <row r="3470" spans="3:3">
      <c r="C3470" s="2"/>
    </row>
    <row r="3471" spans="3:3">
      <c r="C3471" s="2"/>
    </row>
    <row r="3472" spans="3:3">
      <c r="C3472" s="2"/>
    </row>
    <row r="3473" spans="3:3">
      <c r="C3473" s="2"/>
    </row>
    <row r="3474" spans="3:3">
      <c r="C3474" s="2"/>
    </row>
    <row r="3475" spans="3:3">
      <c r="C3475" s="2"/>
    </row>
    <row r="3476" spans="3:3">
      <c r="C3476" s="2"/>
    </row>
    <row r="3477" spans="3:3">
      <c r="C3477" s="2"/>
    </row>
    <row r="3478" spans="3:3">
      <c r="C3478" s="2"/>
    </row>
    <row r="3479" spans="3:3">
      <c r="C3479" s="2"/>
    </row>
    <row r="3480" spans="3:3">
      <c r="C3480" s="2"/>
    </row>
    <row r="3481" spans="3:3">
      <c r="C3481" s="2"/>
    </row>
    <row r="3482" spans="3:3">
      <c r="C3482" s="2"/>
    </row>
    <row r="3483" spans="3:3">
      <c r="C3483" s="2"/>
    </row>
    <row r="3484" spans="3:3">
      <c r="C3484" s="2"/>
    </row>
    <row r="3485" spans="3:3">
      <c r="C3485" s="2"/>
    </row>
    <row r="3486" spans="3:3">
      <c r="C3486" s="2"/>
    </row>
    <row r="3487" spans="3:3">
      <c r="C3487" s="2"/>
    </row>
    <row r="3488" spans="3:3">
      <c r="C3488" s="2"/>
    </row>
    <row r="3489" spans="3:3">
      <c r="C3489" s="2"/>
    </row>
    <row r="3490" spans="3:3">
      <c r="C3490" s="2"/>
    </row>
    <row r="3491" spans="3:3">
      <c r="C3491" s="2"/>
    </row>
    <row r="3492" spans="3:3">
      <c r="C3492" s="2"/>
    </row>
    <row r="3493" spans="3:3">
      <c r="C3493" s="2"/>
    </row>
    <row r="3494" spans="3:3">
      <c r="C3494" s="2"/>
    </row>
    <row r="3495" spans="3:3">
      <c r="C3495" s="2"/>
    </row>
    <row r="3496" spans="3:3">
      <c r="C3496" s="2"/>
    </row>
    <row r="3497" spans="3:3">
      <c r="C3497" s="2"/>
    </row>
    <row r="3498" spans="3:3">
      <c r="C3498" s="2"/>
    </row>
    <row r="3499" spans="3:3">
      <c r="C3499" s="2"/>
    </row>
    <row r="3500" spans="3:3">
      <c r="C3500" s="2"/>
    </row>
    <row r="3501" spans="3:3">
      <c r="C3501" s="2"/>
    </row>
    <row r="3502" spans="3:3">
      <c r="C3502" s="2"/>
    </row>
    <row r="3503" spans="3:3">
      <c r="C3503" s="2"/>
    </row>
    <row r="3504" spans="3:3">
      <c r="C3504" s="2"/>
    </row>
    <row r="3505" spans="3:3">
      <c r="C3505" s="2"/>
    </row>
    <row r="3506" spans="3:3">
      <c r="C3506" s="2"/>
    </row>
    <row r="3507" spans="3:3">
      <c r="C3507" s="2"/>
    </row>
    <row r="3508" spans="3:3">
      <c r="C3508" s="2"/>
    </row>
    <row r="3509" spans="3:3">
      <c r="C3509" s="2"/>
    </row>
    <row r="3510" spans="3:3">
      <c r="C3510" s="2"/>
    </row>
    <row r="3511" spans="3:3">
      <c r="C3511" s="2"/>
    </row>
    <row r="3512" spans="3:3">
      <c r="C3512" s="2"/>
    </row>
    <row r="3513" spans="3:3">
      <c r="C3513" s="2"/>
    </row>
    <row r="3514" spans="3:3">
      <c r="C3514" s="2"/>
    </row>
    <row r="3515" spans="3:3">
      <c r="C3515" s="2"/>
    </row>
    <row r="3516" spans="3:3">
      <c r="C3516" s="2"/>
    </row>
    <row r="3517" spans="3:3">
      <c r="C3517" s="2"/>
    </row>
    <row r="3518" spans="3:3">
      <c r="C3518" s="2"/>
    </row>
    <row r="3519" spans="3:3">
      <c r="C3519" s="2"/>
    </row>
    <row r="3520" spans="3:3">
      <c r="C3520" s="2"/>
    </row>
    <row r="3521" spans="3:3">
      <c r="C3521" s="2"/>
    </row>
    <row r="3522" spans="3:3">
      <c r="C3522" s="2"/>
    </row>
    <row r="3523" spans="3:3">
      <c r="C3523" s="2"/>
    </row>
    <row r="3524" spans="3:3">
      <c r="C3524" s="2"/>
    </row>
    <row r="3525" spans="3:3">
      <c r="C3525" s="2"/>
    </row>
    <row r="3526" spans="3:3">
      <c r="C3526" s="2"/>
    </row>
    <row r="3527" spans="3:3">
      <c r="C3527" s="2"/>
    </row>
    <row r="3528" spans="3:3">
      <c r="C3528" s="2"/>
    </row>
    <row r="3529" spans="3:3">
      <c r="C3529" s="2"/>
    </row>
    <row r="3530" spans="3:3">
      <c r="C3530" s="2"/>
    </row>
    <row r="3531" spans="3:3">
      <c r="C3531" s="2"/>
    </row>
    <row r="3532" spans="3:3">
      <c r="C3532" s="2"/>
    </row>
    <row r="3533" spans="3:3">
      <c r="C3533" s="2"/>
    </row>
    <row r="3534" spans="3:3">
      <c r="C3534" s="2"/>
    </row>
    <row r="3535" spans="3:3">
      <c r="C3535" s="2"/>
    </row>
    <row r="3536" spans="3:3">
      <c r="C3536" s="2"/>
    </row>
    <row r="3537" spans="3:3">
      <c r="C3537" s="2"/>
    </row>
    <row r="3538" spans="3:3">
      <c r="C3538" s="2"/>
    </row>
    <row r="3539" spans="3:3">
      <c r="C3539" s="2"/>
    </row>
    <row r="3540" spans="3:3">
      <c r="C3540" s="2"/>
    </row>
    <row r="3541" spans="3:3">
      <c r="C3541" s="2"/>
    </row>
    <row r="3542" spans="3:3">
      <c r="C3542" s="2"/>
    </row>
    <row r="3543" spans="3:3">
      <c r="C3543" s="2"/>
    </row>
    <row r="3544" spans="3:3">
      <c r="C3544" s="2"/>
    </row>
    <row r="3545" spans="3:3">
      <c r="C3545" s="2"/>
    </row>
    <row r="3546" spans="3:3">
      <c r="C3546" s="2"/>
    </row>
    <row r="3547" spans="3:3">
      <c r="C3547" s="2"/>
    </row>
    <row r="3548" spans="3:3">
      <c r="C3548" s="2"/>
    </row>
    <row r="3549" spans="3:3">
      <c r="C3549" s="2"/>
    </row>
    <row r="3550" spans="3:3">
      <c r="C3550" s="2"/>
    </row>
    <row r="3551" spans="3:3">
      <c r="C3551" s="2"/>
    </row>
    <row r="3552" spans="3:3">
      <c r="C3552" s="2"/>
    </row>
    <row r="3553" spans="3:3">
      <c r="C3553" s="2"/>
    </row>
    <row r="3554" spans="3:3">
      <c r="C3554" s="2"/>
    </row>
    <row r="3555" spans="3:3">
      <c r="C3555" s="2"/>
    </row>
    <row r="3556" spans="3:3">
      <c r="C3556" s="2"/>
    </row>
    <row r="3557" spans="3:3">
      <c r="C3557" s="2"/>
    </row>
    <row r="3558" spans="3:3">
      <c r="C3558" s="2"/>
    </row>
    <row r="3559" spans="3:3">
      <c r="C3559" s="2"/>
    </row>
    <row r="3560" spans="3:3">
      <c r="C3560" s="2"/>
    </row>
    <row r="3561" spans="3:3">
      <c r="C3561" s="2"/>
    </row>
    <row r="3562" spans="3:3">
      <c r="C3562" s="2"/>
    </row>
    <row r="3563" spans="3:3">
      <c r="C3563" s="2"/>
    </row>
    <row r="3564" spans="3:3">
      <c r="C3564" s="2"/>
    </row>
    <row r="3565" spans="3:3">
      <c r="C3565" s="2"/>
    </row>
    <row r="3566" spans="3:3">
      <c r="C3566" s="2"/>
    </row>
    <row r="3567" spans="3:3">
      <c r="C3567" s="2"/>
    </row>
    <row r="3568" spans="3:3">
      <c r="C3568" s="2"/>
    </row>
    <row r="3569" spans="3:3">
      <c r="C3569" s="2"/>
    </row>
    <row r="3570" spans="3:3">
      <c r="C3570" s="2"/>
    </row>
    <row r="3571" spans="3:3">
      <c r="C3571" s="2"/>
    </row>
    <row r="3572" spans="3:3">
      <c r="C3572" s="2"/>
    </row>
    <row r="3573" spans="3:3">
      <c r="C3573" s="2"/>
    </row>
    <row r="3574" spans="3:3">
      <c r="C3574" s="2"/>
    </row>
    <row r="3575" spans="3:3">
      <c r="C3575" s="2"/>
    </row>
    <row r="3576" spans="3:3">
      <c r="C3576" s="2"/>
    </row>
    <row r="3577" spans="3:3">
      <c r="C3577" s="2"/>
    </row>
    <row r="3578" spans="3:3">
      <c r="C3578" s="2"/>
    </row>
    <row r="3579" spans="3:3">
      <c r="C3579" s="2"/>
    </row>
    <row r="3580" spans="3:3">
      <c r="C3580" s="2"/>
    </row>
    <row r="3581" spans="3:3">
      <c r="C3581" s="2"/>
    </row>
    <row r="3582" spans="3:3">
      <c r="C3582" s="2"/>
    </row>
    <row r="3583" spans="3:3">
      <c r="C3583" s="2"/>
    </row>
    <row r="3584" spans="3:3">
      <c r="C3584" s="2"/>
    </row>
    <row r="3585" spans="3:3">
      <c r="C3585" s="2"/>
    </row>
    <row r="3586" spans="3:3">
      <c r="C3586" s="2"/>
    </row>
    <row r="3587" spans="3:3">
      <c r="C3587" s="2"/>
    </row>
    <row r="3588" spans="3:3">
      <c r="C3588" s="2"/>
    </row>
    <row r="3589" spans="3:3">
      <c r="C3589" s="2"/>
    </row>
    <row r="3590" spans="3:3">
      <c r="C3590" s="2"/>
    </row>
    <row r="3591" spans="3:3">
      <c r="C3591" s="2"/>
    </row>
    <row r="3592" spans="3:3">
      <c r="C3592" s="2"/>
    </row>
    <row r="3593" spans="3:3">
      <c r="C3593" s="2"/>
    </row>
    <row r="3594" spans="3:3">
      <c r="C3594" s="2"/>
    </row>
    <row r="3595" spans="3:3">
      <c r="C3595" s="2"/>
    </row>
    <row r="3596" spans="3:3">
      <c r="C3596" s="2"/>
    </row>
    <row r="3597" spans="3:3">
      <c r="C3597" s="2"/>
    </row>
    <row r="3598" spans="3:3">
      <c r="C3598" s="2"/>
    </row>
    <row r="3599" spans="3:3">
      <c r="C3599" s="2"/>
    </row>
    <row r="3600" spans="3:3">
      <c r="C3600" s="2"/>
    </row>
    <row r="3601" spans="3:3">
      <c r="C3601" s="2"/>
    </row>
    <row r="3602" spans="3:3">
      <c r="C3602" s="2"/>
    </row>
    <row r="3603" spans="3:3">
      <c r="C3603" s="2"/>
    </row>
    <row r="3604" spans="3:3">
      <c r="C3604" s="2"/>
    </row>
    <row r="3605" spans="3:3">
      <c r="C3605" s="2"/>
    </row>
    <row r="3606" spans="3:3">
      <c r="C3606" s="2"/>
    </row>
    <row r="3607" spans="3:3">
      <c r="C3607" s="2"/>
    </row>
    <row r="3608" spans="3:3">
      <c r="C3608" s="2"/>
    </row>
    <row r="3609" spans="3:3">
      <c r="C3609" s="2"/>
    </row>
    <row r="3610" spans="3:3">
      <c r="C3610" s="2"/>
    </row>
    <row r="3611" spans="3:3">
      <c r="C3611" s="2"/>
    </row>
    <row r="3612" spans="3:3">
      <c r="C3612" s="2"/>
    </row>
    <row r="3613" spans="3:3">
      <c r="C3613" s="2"/>
    </row>
    <row r="3614" spans="3:3">
      <c r="C3614" s="2"/>
    </row>
    <row r="3615" spans="3:3">
      <c r="C3615" s="2"/>
    </row>
    <row r="3616" spans="3:3">
      <c r="C3616" s="2"/>
    </row>
    <row r="3617" spans="3:3">
      <c r="C3617" s="2"/>
    </row>
    <row r="3618" spans="3:3">
      <c r="C3618" s="2"/>
    </row>
    <row r="3619" spans="3:3">
      <c r="C3619" s="2"/>
    </row>
    <row r="3620" spans="3:3">
      <c r="C3620" s="2"/>
    </row>
    <row r="3621" spans="3:3">
      <c r="C3621" s="2"/>
    </row>
    <row r="3622" spans="3:3">
      <c r="C3622" s="2"/>
    </row>
    <row r="3623" spans="3:3">
      <c r="C3623" s="2"/>
    </row>
    <row r="3624" spans="3:3">
      <c r="C3624" s="2"/>
    </row>
    <row r="3625" spans="3:3">
      <c r="C3625" s="2"/>
    </row>
    <row r="3626" spans="3:3">
      <c r="C3626" s="2"/>
    </row>
    <row r="3627" spans="3:3">
      <c r="C3627" s="2"/>
    </row>
    <row r="3628" spans="3:3">
      <c r="C3628" s="2"/>
    </row>
    <row r="3629" spans="3:3">
      <c r="C3629" s="2"/>
    </row>
    <row r="3630" spans="3:3">
      <c r="C3630" s="2"/>
    </row>
    <row r="3631" spans="3:3">
      <c r="C3631" s="2"/>
    </row>
    <row r="3632" spans="3:3">
      <c r="C3632" s="2"/>
    </row>
    <row r="3633" spans="3:3">
      <c r="C3633" s="2"/>
    </row>
    <row r="3634" spans="3:3">
      <c r="C3634" s="2"/>
    </row>
    <row r="3635" spans="3:3">
      <c r="C3635" s="2"/>
    </row>
    <row r="3636" spans="3:3">
      <c r="C3636" s="2"/>
    </row>
    <row r="3637" spans="3:3">
      <c r="C3637" s="2"/>
    </row>
    <row r="3638" spans="3:3">
      <c r="C3638" s="2"/>
    </row>
    <row r="3639" spans="3:3">
      <c r="C3639" s="2"/>
    </row>
    <row r="3640" spans="3:3">
      <c r="C3640" s="2"/>
    </row>
    <row r="3641" spans="3:3">
      <c r="C3641" s="2"/>
    </row>
    <row r="3642" spans="3:3">
      <c r="C3642" s="2"/>
    </row>
    <row r="3643" spans="3:3">
      <c r="C3643" s="2"/>
    </row>
    <row r="3644" spans="3:3">
      <c r="C3644" s="2"/>
    </row>
    <row r="3645" spans="3:3">
      <c r="C3645" s="2"/>
    </row>
    <row r="3646" spans="3:3">
      <c r="C3646" s="2"/>
    </row>
    <row r="3647" spans="3:3">
      <c r="C3647" s="2"/>
    </row>
    <row r="3648" spans="3:3">
      <c r="C3648" s="2"/>
    </row>
    <row r="3649" spans="3:3">
      <c r="C3649" s="2"/>
    </row>
    <row r="3650" spans="3:3">
      <c r="C3650" s="2"/>
    </row>
    <row r="3651" spans="3:3">
      <c r="C3651" s="2"/>
    </row>
    <row r="3652" spans="3:3">
      <c r="C3652" s="2"/>
    </row>
    <row r="3653" spans="3:3">
      <c r="C3653" s="2"/>
    </row>
    <row r="3654" spans="3:3">
      <c r="C3654" s="2"/>
    </row>
    <row r="3655" spans="3:3">
      <c r="C3655" s="2"/>
    </row>
    <row r="3656" spans="3:3">
      <c r="C3656" s="2"/>
    </row>
    <row r="3657" spans="3:3">
      <c r="C3657" s="2"/>
    </row>
    <row r="3658" spans="3:3">
      <c r="C3658" s="2"/>
    </row>
    <row r="3659" spans="3:3">
      <c r="C3659" s="2"/>
    </row>
    <row r="3660" spans="3:3">
      <c r="C3660" s="2"/>
    </row>
    <row r="3661" spans="3:3">
      <c r="C3661" s="2"/>
    </row>
    <row r="3662" spans="3:3">
      <c r="C3662" s="2"/>
    </row>
    <row r="3663" spans="3:3">
      <c r="C3663" s="2"/>
    </row>
    <row r="3664" spans="3:3">
      <c r="C3664" s="2"/>
    </row>
    <row r="3665" spans="3:3">
      <c r="C3665" s="2"/>
    </row>
    <row r="3666" spans="3:3">
      <c r="C3666" s="2"/>
    </row>
    <row r="3667" spans="3:3">
      <c r="C3667" s="2"/>
    </row>
    <row r="3668" spans="3:3">
      <c r="C3668" s="2"/>
    </row>
    <row r="3669" spans="3:3">
      <c r="C3669" s="2"/>
    </row>
    <row r="3670" spans="3:3">
      <c r="C3670" s="2"/>
    </row>
    <row r="3671" spans="3:3">
      <c r="C3671" s="2"/>
    </row>
    <row r="3672" spans="3:3">
      <c r="C3672" s="2"/>
    </row>
    <row r="3673" spans="3:3">
      <c r="C3673" s="2"/>
    </row>
    <row r="3674" spans="3:3">
      <c r="C3674" s="2"/>
    </row>
    <row r="3675" spans="3:3">
      <c r="C3675" s="2"/>
    </row>
    <row r="3676" spans="3:3">
      <c r="C3676" s="2"/>
    </row>
    <row r="3677" spans="3:3">
      <c r="C3677" s="2"/>
    </row>
    <row r="3678" spans="3:3">
      <c r="C3678" s="2"/>
    </row>
    <row r="3679" spans="3:3">
      <c r="C3679" s="2"/>
    </row>
    <row r="3680" spans="3:3">
      <c r="C3680" s="2"/>
    </row>
    <row r="3681" spans="3:3">
      <c r="C3681" s="2"/>
    </row>
    <row r="3682" spans="3:3">
      <c r="C3682" s="2"/>
    </row>
    <row r="3683" spans="3:3">
      <c r="C3683" s="2"/>
    </row>
    <row r="3684" spans="3:3">
      <c r="C3684" s="2"/>
    </row>
    <row r="3685" spans="3:3">
      <c r="C3685" s="2"/>
    </row>
    <row r="3686" spans="3:3">
      <c r="C3686" s="2"/>
    </row>
    <row r="3687" spans="3:3">
      <c r="C3687" s="2"/>
    </row>
    <row r="3688" spans="3:3">
      <c r="C3688" s="2"/>
    </row>
    <row r="3689" spans="3:3">
      <c r="C3689" s="2"/>
    </row>
    <row r="3690" spans="3:3">
      <c r="C3690" s="2"/>
    </row>
    <row r="3691" spans="3:3">
      <c r="C3691" s="2"/>
    </row>
    <row r="3692" spans="3:3">
      <c r="C3692" s="2"/>
    </row>
    <row r="3693" spans="3:3">
      <c r="C3693" s="2"/>
    </row>
    <row r="3694" spans="3:3">
      <c r="C3694" s="2"/>
    </row>
    <row r="3695" spans="3:3">
      <c r="C3695" s="2"/>
    </row>
    <row r="3696" spans="3:3">
      <c r="C3696" s="2"/>
    </row>
    <row r="3697" spans="3:3">
      <c r="C3697" s="2"/>
    </row>
    <row r="3698" spans="3:3">
      <c r="C3698" s="2"/>
    </row>
    <row r="3699" spans="3:3">
      <c r="C3699" s="2"/>
    </row>
    <row r="3700" spans="3:3">
      <c r="C3700" s="2"/>
    </row>
    <row r="3701" spans="3:3">
      <c r="C3701" s="2"/>
    </row>
    <row r="3702" spans="3:3">
      <c r="C3702" s="2"/>
    </row>
    <row r="3703" spans="3:3">
      <c r="C3703" s="2"/>
    </row>
    <row r="3704" spans="3:3">
      <c r="C3704" s="2"/>
    </row>
    <row r="3705" spans="3:3">
      <c r="C3705" s="2"/>
    </row>
    <row r="3706" spans="3:3">
      <c r="C3706" s="2"/>
    </row>
    <row r="3707" spans="3:3">
      <c r="C3707" s="2"/>
    </row>
    <row r="3708" spans="3:3">
      <c r="C3708" s="2"/>
    </row>
    <row r="3709" spans="3:3">
      <c r="C3709" s="2"/>
    </row>
    <row r="3710" spans="3:3">
      <c r="C3710" s="2"/>
    </row>
    <row r="3711" spans="3:3">
      <c r="C3711" s="2"/>
    </row>
    <row r="3712" spans="3:3">
      <c r="C3712" s="2"/>
    </row>
    <row r="3713" spans="3:3">
      <c r="C3713" s="2"/>
    </row>
    <row r="3714" spans="3:3">
      <c r="C3714" s="2"/>
    </row>
    <row r="3715" spans="3:3">
      <c r="C3715" s="2"/>
    </row>
    <row r="3716" spans="3:3">
      <c r="C3716" s="2"/>
    </row>
    <row r="3717" spans="3:3">
      <c r="C3717" s="2"/>
    </row>
    <row r="3718" spans="3:3">
      <c r="C3718" s="2"/>
    </row>
    <row r="3719" spans="3:3">
      <c r="C3719" s="2"/>
    </row>
    <row r="3720" spans="3:3">
      <c r="C3720" s="2"/>
    </row>
    <row r="3721" spans="3:3">
      <c r="C3721" s="2"/>
    </row>
    <row r="3722" spans="3:3">
      <c r="C3722" s="2"/>
    </row>
    <row r="3723" spans="3:3">
      <c r="C3723" s="2"/>
    </row>
    <row r="3724" spans="3:3">
      <c r="C3724" s="2"/>
    </row>
    <row r="3725" spans="3:3">
      <c r="C3725" s="2"/>
    </row>
    <row r="3726" spans="3:3">
      <c r="C3726" s="2"/>
    </row>
    <row r="3727" spans="3:3">
      <c r="C3727" s="2"/>
    </row>
    <row r="3728" spans="3:3">
      <c r="C3728" s="2"/>
    </row>
    <row r="3729" spans="3:3">
      <c r="C3729" s="2"/>
    </row>
    <row r="3730" spans="3:3">
      <c r="C3730" s="2"/>
    </row>
    <row r="3731" spans="3:3">
      <c r="C3731" s="2"/>
    </row>
    <row r="3732" spans="3:3">
      <c r="C3732" s="2"/>
    </row>
    <row r="3733" spans="3:3">
      <c r="C3733" s="2"/>
    </row>
    <row r="3734" spans="3:3">
      <c r="C3734" s="2"/>
    </row>
    <row r="3735" spans="3:3">
      <c r="C3735" s="2"/>
    </row>
    <row r="3736" spans="3:3">
      <c r="C3736" s="2"/>
    </row>
    <row r="3737" spans="3:3">
      <c r="C3737" s="2"/>
    </row>
    <row r="3738" spans="3:3">
      <c r="C3738" s="2"/>
    </row>
    <row r="3739" spans="3:3">
      <c r="C3739" s="2"/>
    </row>
    <row r="3740" spans="3:3">
      <c r="C3740" s="2"/>
    </row>
    <row r="3741" spans="3:3">
      <c r="C3741" s="2"/>
    </row>
    <row r="3742" spans="3:3">
      <c r="C3742" s="2"/>
    </row>
    <row r="3743" spans="3:3">
      <c r="C3743" s="2"/>
    </row>
    <row r="3744" spans="3:3">
      <c r="C3744" s="2"/>
    </row>
    <row r="3745" spans="3:3">
      <c r="C3745" s="2"/>
    </row>
    <row r="3746" spans="3:3">
      <c r="C3746" s="2"/>
    </row>
    <row r="3747" spans="3:3">
      <c r="C3747" s="2"/>
    </row>
    <row r="3748" spans="3:3">
      <c r="C3748" s="2"/>
    </row>
    <row r="3749" spans="3:3">
      <c r="C3749" s="2"/>
    </row>
    <row r="3750" spans="3:3">
      <c r="C3750" s="2"/>
    </row>
    <row r="3751" spans="3:3">
      <c r="C3751" s="2"/>
    </row>
    <row r="3752" spans="3:3">
      <c r="C3752" s="2"/>
    </row>
    <row r="3753" spans="3:3">
      <c r="C3753" s="2"/>
    </row>
    <row r="3754" spans="3:3">
      <c r="C3754" s="2"/>
    </row>
    <row r="3755" spans="3:3">
      <c r="C3755" s="2"/>
    </row>
    <row r="3756" spans="3:3">
      <c r="C3756" s="2"/>
    </row>
    <row r="3757" spans="3:3">
      <c r="C3757" s="2"/>
    </row>
    <row r="3758" spans="3:3">
      <c r="C3758" s="2"/>
    </row>
    <row r="3759" spans="3:3">
      <c r="C3759" s="2"/>
    </row>
    <row r="3760" spans="3:3">
      <c r="C3760" s="2"/>
    </row>
    <row r="3761" spans="3:3">
      <c r="C3761" s="2"/>
    </row>
    <row r="3762" spans="3:3">
      <c r="C3762" s="2"/>
    </row>
    <row r="3763" spans="3:3">
      <c r="C3763" s="2"/>
    </row>
    <row r="3764" spans="3:3">
      <c r="C3764" s="2"/>
    </row>
    <row r="3765" spans="3:3">
      <c r="C3765" s="2"/>
    </row>
    <row r="3766" spans="3:3">
      <c r="C3766" s="2"/>
    </row>
    <row r="3767" spans="3:3">
      <c r="C3767" s="2"/>
    </row>
    <row r="3768" spans="3:3">
      <c r="C3768" s="2"/>
    </row>
    <row r="3769" spans="3:3">
      <c r="C3769" s="2"/>
    </row>
    <row r="3770" spans="3:3">
      <c r="C3770" s="2"/>
    </row>
    <row r="3771" spans="3:3">
      <c r="C3771" s="2"/>
    </row>
    <row r="3772" spans="3:3">
      <c r="C3772" s="2"/>
    </row>
    <row r="3773" spans="3:3">
      <c r="C3773" s="2"/>
    </row>
    <row r="3774" spans="3:3">
      <c r="C3774" s="2"/>
    </row>
    <row r="3775" spans="3:3">
      <c r="C3775" s="2"/>
    </row>
    <row r="3776" spans="3:3">
      <c r="C3776" s="2"/>
    </row>
    <row r="3777" spans="3:3">
      <c r="C3777" s="2"/>
    </row>
    <row r="3778" spans="3:3">
      <c r="C3778" s="2"/>
    </row>
    <row r="3779" spans="3:3">
      <c r="C3779" s="2"/>
    </row>
    <row r="3780" spans="3:3">
      <c r="C3780" s="2"/>
    </row>
    <row r="3781" spans="3:3">
      <c r="C3781" s="2"/>
    </row>
    <row r="3782" spans="3:3">
      <c r="C3782" s="2"/>
    </row>
    <row r="3783" spans="3:3">
      <c r="C3783" s="2"/>
    </row>
    <row r="3784" spans="3:3">
      <c r="C3784" s="2"/>
    </row>
    <row r="3785" spans="3:3">
      <c r="C3785" s="2"/>
    </row>
    <row r="3786" spans="3:3">
      <c r="C3786" s="2"/>
    </row>
    <row r="3787" spans="3:3">
      <c r="C3787" s="2"/>
    </row>
    <row r="3788" spans="3:3">
      <c r="C3788" s="2"/>
    </row>
    <row r="3789" spans="3:3">
      <c r="C3789" s="2"/>
    </row>
    <row r="3790" spans="3:3">
      <c r="C3790" s="2"/>
    </row>
    <row r="3791" spans="3:3">
      <c r="C3791" s="2"/>
    </row>
    <row r="3792" spans="3:3">
      <c r="C3792" s="2"/>
    </row>
    <row r="3793" spans="3:3">
      <c r="C3793" s="2"/>
    </row>
    <row r="3794" spans="3:3">
      <c r="C3794" s="2"/>
    </row>
    <row r="3795" spans="3:3">
      <c r="C3795" s="2"/>
    </row>
    <row r="3796" spans="3:3">
      <c r="C3796" s="2"/>
    </row>
    <row r="3797" spans="3:3">
      <c r="C3797" s="2"/>
    </row>
    <row r="3798" spans="3:3">
      <c r="C3798" s="2"/>
    </row>
    <row r="3799" spans="3:3">
      <c r="C3799" s="2"/>
    </row>
    <row r="3800" spans="3:3">
      <c r="C3800" s="2"/>
    </row>
    <row r="3801" spans="3:3">
      <c r="C3801" s="2"/>
    </row>
    <row r="3802" spans="3:3">
      <c r="C3802" s="2"/>
    </row>
    <row r="3803" spans="3:3">
      <c r="C3803" s="2"/>
    </row>
    <row r="3804" spans="3:3">
      <c r="C3804" s="2"/>
    </row>
    <row r="3805" spans="3:3">
      <c r="C3805" s="2"/>
    </row>
    <row r="3806" spans="3:3">
      <c r="C3806" s="2"/>
    </row>
    <row r="3807" spans="3:3">
      <c r="C3807" s="2"/>
    </row>
    <row r="3808" spans="3:3">
      <c r="C3808" s="2"/>
    </row>
    <row r="3809" spans="3:3">
      <c r="C3809" s="2"/>
    </row>
    <row r="3810" spans="3:3">
      <c r="C3810" s="2"/>
    </row>
    <row r="3811" spans="3:3">
      <c r="C3811" s="2"/>
    </row>
    <row r="3812" spans="3:3">
      <c r="C3812" s="2"/>
    </row>
    <row r="3813" spans="3:3">
      <c r="C3813" s="2"/>
    </row>
    <row r="3814" spans="3:3">
      <c r="C3814" s="2"/>
    </row>
    <row r="3815" spans="3:3">
      <c r="C3815" s="2"/>
    </row>
    <row r="3816" spans="3:3">
      <c r="C3816" s="2"/>
    </row>
    <row r="3817" spans="3:3">
      <c r="C3817" s="2"/>
    </row>
    <row r="3818" spans="3:3">
      <c r="C3818" s="2"/>
    </row>
    <row r="3819" spans="3:3">
      <c r="C3819" s="2"/>
    </row>
    <row r="3820" spans="3:3">
      <c r="C3820" s="2"/>
    </row>
    <row r="3821" spans="3:3">
      <c r="C3821" s="2"/>
    </row>
    <row r="3822" spans="3:3">
      <c r="C3822" s="2"/>
    </row>
    <row r="3823" spans="3:3">
      <c r="C3823" s="2"/>
    </row>
    <row r="3824" spans="3:3">
      <c r="C3824" s="2"/>
    </row>
    <row r="3825" spans="3:3">
      <c r="C3825" s="2"/>
    </row>
    <row r="3826" spans="3:3">
      <c r="C3826" s="2"/>
    </row>
    <row r="3827" spans="3:3">
      <c r="C3827" s="2"/>
    </row>
    <row r="3828" spans="3:3">
      <c r="C3828" s="2"/>
    </row>
    <row r="3829" spans="3:3">
      <c r="C3829" s="2"/>
    </row>
    <row r="3830" spans="3:3">
      <c r="C3830" s="2"/>
    </row>
    <row r="3831" spans="3:3">
      <c r="C3831" s="2"/>
    </row>
    <row r="3832" spans="3:3">
      <c r="C3832" s="2"/>
    </row>
    <row r="3833" spans="3:3">
      <c r="C3833" s="2"/>
    </row>
    <row r="3834" spans="3:3">
      <c r="C3834" s="2"/>
    </row>
    <row r="3835" spans="3:3">
      <c r="C3835" s="2"/>
    </row>
    <row r="3836" spans="3:3">
      <c r="C3836" s="2"/>
    </row>
    <row r="3837" spans="3:3">
      <c r="C3837" s="2"/>
    </row>
    <row r="3838" spans="3:3">
      <c r="C3838" s="2"/>
    </row>
    <row r="3839" spans="3:3">
      <c r="C3839" s="2"/>
    </row>
    <row r="3840" spans="3:3">
      <c r="C3840" s="2"/>
    </row>
    <row r="3841" spans="3:3">
      <c r="C3841" s="2"/>
    </row>
    <row r="3842" spans="3:3">
      <c r="C3842" s="2"/>
    </row>
    <row r="3843" spans="3:3">
      <c r="C3843" s="2"/>
    </row>
    <row r="3844" spans="3:3">
      <c r="C3844" s="2"/>
    </row>
    <row r="3845" spans="3:3">
      <c r="C3845" s="2"/>
    </row>
    <row r="3846" spans="3:3">
      <c r="C3846" s="2"/>
    </row>
    <row r="3847" spans="3:3">
      <c r="C3847" s="2"/>
    </row>
    <row r="3848" spans="3:3">
      <c r="C3848" s="2"/>
    </row>
    <row r="3849" spans="3:3">
      <c r="C3849" s="2"/>
    </row>
    <row r="3850" spans="3:3">
      <c r="C3850" s="2"/>
    </row>
    <row r="3851" spans="3:3">
      <c r="C3851" s="2"/>
    </row>
    <row r="3852" spans="3:3">
      <c r="C3852" s="2"/>
    </row>
    <row r="3853" spans="3:3">
      <c r="C3853" s="2"/>
    </row>
    <row r="3854" spans="3:3">
      <c r="C3854" s="2"/>
    </row>
    <row r="3855" spans="3:3">
      <c r="C3855" s="2"/>
    </row>
    <row r="3856" spans="3:3">
      <c r="C3856" s="2"/>
    </row>
    <row r="3857" spans="3:3">
      <c r="C3857" s="2"/>
    </row>
    <row r="3858" spans="3:3">
      <c r="C3858" s="2"/>
    </row>
    <row r="3859" spans="3:3">
      <c r="C3859" s="2"/>
    </row>
    <row r="3860" spans="3:3">
      <c r="C3860" s="2"/>
    </row>
    <row r="3861" spans="3:3">
      <c r="C3861" s="2"/>
    </row>
    <row r="3862" spans="3:3">
      <c r="C3862" s="2"/>
    </row>
    <row r="3863" spans="3:3">
      <c r="C3863" s="2"/>
    </row>
    <row r="3864" spans="3:3">
      <c r="C3864" s="2"/>
    </row>
    <row r="3865" spans="3:3">
      <c r="C3865" s="2"/>
    </row>
    <row r="3866" spans="3:3">
      <c r="C3866" s="2"/>
    </row>
    <row r="3867" spans="3:3">
      <c r="C3867" s="2"/>
    </row>
    <row r="3868" spans="3:3">
      <c r="C3868" s="2"/>
    </row>
    <row r="3869" spans="3:3">
      <c r="C3869" s="2"/>
    </row>
    <row r="3870" spans="3:3">
      <c r="C3870" s="2"/>
    </row>
    <row r="3871" spans="3:3">
      <c r="C3871" s="2"/>
    </row>
    <row r="3872" spans="3:3">
      <c r="C3872" s="2"/>
    </row>
    <row r="3873" spans="3:3">
      <c r="C3873" s="2"/>
    </row>
    <row r="3874" spans="3:3">
      <c r="C3874" s="2"/>
    </row>
    <row r="3875" spans="3:3">
      <c r="C3875" s="2"/>
    </row>
    <row r="3876" spans="3:3">
      <c r="C3876" s="2"/>
    </row>
    <row r="3877" spans="3:3">
      <c r="C3877" s="2"/>
    </row>
    <row r="3878" spans="3:3">
      <c r="C3878" s="2"/>
    </row>
    <row r="3879" spans="3:3">
      <c r="C3879" s="2"/>
    </row>
    <row r="3880" spans="3:3">
      <c r="C3880" s="2"/>
    </row>
    <row r="3881" spans="3:3">
      <c r="C3881" s="2"/>
    </row>
    <row r="3882" spans="3:3">
      <c r="C3882" s="2"/>
    </row>
    <row r="3883" spans="3:3">
      <c r="C3883" s="2"/>
    </row>
    <row r="3884" spans="3:3">
      <c r="C3884" s="2"/>
    </row>
    <row r="3885" spans="3:3">
      <c r="C3885" s="2"/>
    </row>
    <row r="3886" spans="3:3">
      <c r="C3886" s="2"/>
    </row>
    <row r="3887" spans="3:3">
      <c r="C3887" s="2"/>
    </row>
    <row r="3888" spans="3:3">
      <c r="C3888" s="2"/>
    </row>
    <row r="3889" spans="3:3">
      <c r="C3889" s="2"/>
    </row>
    <row r="3890" spans="3:3">
      <c r="C3890" s="2"/>
    </row>
    <row r="3891" spans="3:3">
      <c r="C3891" s="2"/>
    </row>
    <row r="3892" spans="3:3">
      <c r="C3892" s="2"/>
    </row>
    <row r="3893" spans="3:3">
      <c r="C3893" s="2"/>
    </row>
    <row r="3894" spans="3:3">
      <c r="C3894" s="2"/>
    </row>
    <row r="3895" spans="3:3">
      <c r="C3895" s="2"/>
    </row>
    <row r="3896" spans="3:3">
      <c r="C3896" s="2"/>
    </row>
    <row r="3897" spans="3:3">
      <c r="C3897" s="2"/>
    </row>
    <row r="3898" spans="3:3">
      <c r="C3898" s="2"/>
    </row>
    <row r="3899" spans="3:3">
      <c r="C3899" s="2"/>
    </row>
    <row r="3900" spans="3:3">
      <c r="C3900" s="2"/>
    </row>
    <row r="3901" spans="3:3">
      <c r="C3901" s="2"/>
    </row>
    <row r="3902" spans="3:3">
      <c r="C3902" s="2"/>
    </row>
    <row r="3903" spans="3:3">
      <c r="C3903" s="2"/>
    </row>
    <row r="3904" spans="3:3">
      <c r="C3904" s="2"/>
    </row>
    <row r="3905" spans="3:3">
      <c r="C3905" s="2"/>
    </row>
    <row r="3906" spans="3:3">
      <c r="C3906" s="2"/>
    </row>
    <row r="3907" spans="3:3">
      <c r="C3907" s="2"/>
    </row>
    <row r="3908" spans="3:3">
      <c r="C3908" s="2"/>
    </row>
    <row r="3909" spans="3:3">
      <c r="C3909" s="2"/>
    </row>
    <row r="3910" spans="3:3">
      <c r="C3910" s="2"/>
    </row>
    <row r="3911" spans="3:3">
      <c r="C3911" s="2"/>
    </row>
    <row r="3912" spans="3:3">
      <c r="C3912" s="2"/>
    </row>
    <row r="3913" spans="3:3">
      <c r="C3913" s="2"/>
    </row>
    <row r="3914" spans="3:3">
      <c r="C3914" s="2"/>
    </row>
    <row r="3915" spans="3:3">
      <c r="C3915" s="2"/>
    </row>
    <row r="3916" spans="3:3">
      <c r="C3916" s="2"/>
    </row>
    <row r="3917" spans="3:3">
      <c r="C3917" s="2"/>
    </row>
    <row r="3918" spans="3:3">
      <c r="C3918" s="2"/>
    </row>
    <row r="3919" spans="3:3">
      <c r="C3919" s="2"/>
    </row>
    <row r="3920" spans="3:3">
      <c r="C3920" s="2"/>
    </row>
    <row r="3921" spans="3:3">
      <c r="C3921" s="2"/>
    </row>
    <row r="3922" spans="3:3">
      <c r="C3922" s="2"/>
    </row>
    <row r="3923" spans="3:3">
      <c r="C3923" s="2"/>
    </row>
    <row r="3924" spans="3:3">
      <c r="C3924" s="2"/>
    </row>
    <row r="3925" spans="3:3">
      <c r="C3925" s="2"/>
    </row>
    <row r="3926" spans="3:3">
      <c r="C3926" s="2"/>
    </row>
    <row r="3927" spans="3:3">
      <c r="C3927" s="2"/>
    </row>
    <row r="3928" spans="3:3">
      <c r="C3928" s="2"/>
    </row>
    <row r="3929" spans="3:3">
      <c r="C3929" s="2"/>
    </row>
    <row r="3930" spans="3:3">
      <c r="C3930" s="2"/>
    </row>
    <row r="3931" spans="3:3">
      <c r="C3931" s="2"/>
    </row>
    <row r="3932" spans="3:3">
      <c r="C3932" s="2"/>
    </row>
    <row r="3933" spans="3:3">
      <c r="C3933" s="2"/>
    </row>
    <row r="3934" spans="3:3">
      <c r="C3934" s="2"/>
    </row>
    <row r="3935" spans="3:3">
      <c r="C3935" s="2"/>
    </row>
    <row r="3936" spans="3:3">
      <c r="C3936" s="2"/>
    </row>
    <row r="3937" spans="3:3">
      <c r="C3937" s="2"/>
    </row>
    <row r="3938" spans="3:3">
      <c r="C3938" s="2"/>
    </row>
    <row r="3939" spans="3:3">
      <c r="C3939" s="2"/>
    </row>
    <row r="3940" spans="3:3">
      <c r="C3940" s="2"/>
    </row>
    <row r="3941" spans="3:3">
      <c r="C3941" s="2"/>
    </row>
    <row r="3942" spans="3:3">
      <c r="C3942" s="2"/>
    </row>
    <row r="3943" spans="3:3">
      <c r="C3943" s="2"/>
    </row>
    <row r="3944" spans="3:3">
      <c r="C3944" s="2"/>
    </row>
    <row r="3945" spans="3:3">
      <c r="C3945" s="2"/>
    </row>
    <row r="3946" spans="3:3">
      <c r="C3946" s="2"/>
    </row>
    <row r="3947" spans="3:3">
      <c r="C3947" s="2"/>
    </row>
    <row r="3948" spans="3:3">
      <c r="C3948" s="2"/>
    </row>
    <row r="3949" spans="3:3">
      <c r="C3949" s="2"/>
    </row>
    <row r="3950" spans="3:3">
      <c r="C3950" s="2"/>
    </row>
    <row r="3951" spans="3:3">
      <c r="C3951" s="2"/>
    </row>
    <row r="3952" spans="3:3">
      <c r="C3952" s="2"/>
    </row>
    <row r="3953" spans="3:3">
      <c r="C3953" s="2"/>
    </row>
    <row r="3954" spans="3:3">
      <c r="C3954" s="2"/>
    </row>
    <row r="3955" spans="3:3">
      <c r="C3955" s="2"/>
    </row>
    <row r="3956" spans="3:3">
      <c r="C3956" s="2"/>
    </row>
    <row r="3957" spans="3:3">
      <c r="C3957" s="2"/>
    </row>
    <row r="3958" spans="3:3">
      <c r="C3958" s="2"/>
    </row>
    <row r="3959" spans="3:3">
      <c r="C3959" s="2"/>
    </row>
    <row r="3960" spans="3:3">
      <c r="C3960" s="2"/>
    </row>
    <row r="3961" spans="3:3">
      <c r="C3961" s="2"/>
    </row>
    <row r="3962" spans="3:3">
      <c r="C3962" s="2"/>
    </row>
    <row r="3963" spans="3:3">
      <c r="C3963" s="2"/>
    </row>
    <row r="3964" spans="3:3">
      <c r="C3964" s="2"/>
    </row>
    <row r="3965" spans="3:3">
      <c r="C3965" s="2"/>
    </row>
    <row r="3966" spans="3:3">
      <c r="C3966" s="2"/>
    </row>
    <row r="3967" spans="3:3">
      <c r="C3967" s="2"/>
    </row>
    <row r="3968" spans="3:3">
      <c r="C3968" s="2"/>
    </row>
    <row r="3969" spans="3:3">
      <c r="C3969" s="2"/>
    </row>
    <row r="3970" spans="3:3">
      <c r="C3970" s="2"/>
    </row>
    <row r="3971" spans="3:3">
      <c r="C3971" s="2"/>
    </row>
    <row r="3972" spans="3:3">
      <c r="C3972" s="2"/>
    </row>
    <row r="3973" spans="3:3">
      <c r="C3973" s="2"/>
    </row>
    <row r="3974" spans="3:3">
      <c r="C3974" s="2"/>
    </row>
    <row r="3975" spans="3:3">
      <c r="C3975" s="2"/>
    </row>
    <row r="3976" spans="3:3">
      <c r="C3976" s="2"/>
    </row>
    <row r="3977" spans="3:3">
      <c r="C3977" s="2"/>
    </row>
    <row r="3978" spans="3:3">
      <c r="C3978" s="2"/>
    </row>
    <row r="3979" spans="3:3">
      <c r="C3979" s="2"/>
    </row>
    <row r="3980" spans="3:3">
      <c r="C3980" s="2"/>
    </row>
    <row r="3981" spans="3:3">
      <c r="C3981" s="2"/>
    </row>
    <row r="3982" spans="3:3">
      <c r="C3982" s="2"/>
    </row>
    <row r="3983" spans="3:3">
      <c r="C3983" s="2"/>
    </row>
    <row r="3984" spans="3:3">
      <c r="C3984" s="2"/>
    </row>
    <row r="3985" spans="3:3">
      <c r="C3985" s="2"/>
    </row>
    <row r="3986" spans="3:3">
      <c r="C3986" s="2"/>
    </row>
    <row r="3987" spans="3:3">
      <c r="C3987" s="2"/>
    </row>
    <row r="3988" spans="3:3">
      <c r="C3988" s="2"/>
    </row>
    <row r="3989" spans="3:3">
      <c r="C3989" s="2"/>
    </row>
    <row r="3990" spans="3:3">
      <c r="C3990" s="2"/>
    </row>
    <row r="3991" spans="3:3">
      <c r="C3991" s="2"/>
    </row>
    <row r="3992" spans="3:3">
      <c r="C3992" s="2"/>
    </row>
    <row r="3993" spans="3:3">
      <c r="C3993" s="2"/>
    </row>
    <row r="3994" spans="3:3">
      <c r="C3994" s="2"/>
    </row>
    <row r="3995" spans="3:3">
      <c r="C3995" s="2"/>
    </row>
    <row r="3996" spans="3:3">
      <c r="C3996" s="2"/>
    </row>
    <row r="3997" spans="3:3">
      <c r="C3997" s="2"/>
    </row>
    <row r="3998" spans="3:3">
      <c r="C3998" s="2"/>
    </row>
    <row r="3999" spans="3:3">
      <c r="C3999" s="2"/>
    </row>
    <row r="4000" spans="3:3">
      <c r="C4000" s="2"/>
    </row>
    <row r="4001" spans="3:3">
      <c r="C4001" s="2"/>
    </row>
    <row r="4002" spans="3:3">
      <c r="C4002" s="2"/>
    </row>
    <row r="4003" spans="3:3">
      <c r="C4003" s="2"/>
    </row>
    <row r="4004" spans="3:3">
      <c r="C4004" s="2"/>
    </row>
    <row r="4005" spans="3:3">
      <c r="C4005" s="2"/>
    </row>
    <row r="4006" spans="3:3">
      <c r="C4006" s="2"/>
    </row>
    <row r="4007" spans="3:3">
      <c r="C4007" s="2"/>
    </row>
    <row r="4008" spans="3:3">
      <c r="C4008" s="2"/>
    </row>
    <row r="4009" spans="3:3">
      <c r="C4009" s="2"/>
    </row>
    <row r="4010" spans="3:3">
      <c r="C4010" s="2"/>
    </row>
    <row r="4011" spans="3:3">
      <c r="C4011" s="2"/>
    </row>
    <row r="4012" spans="3:3">
      <c r="C4012" s="2"/>
    </row>
    <row r="4013" spans="3:3">
      <c r="C4013" s="2"/>
    </row>
    <row r="4014" spans="3:3">
      <c r="C4014" s="2"/>
    </row>
    <row r="4015" spans="3:3">
      <c r="C4015" s="2"/>
    </row>
    <row r="4016" spans="3:3">
      <c r="C4016" s="2"/>
    </row>
    <row r="4017" spans="3:3">
      <c r="C4017" s="2"/>
    </row>
    <row r="4018" spans="3:3">
      <c r="C4018" s="2"/>
    </row>
    <row r="4019" spans="3:3">
      <c r="C4019" s="2"/>
    </row>
    <row r="4020" spans="3:3">
      <c r="C4020" s="2"/>
    </row>
    <row r="4021" spans="3:3">
      <c r="C4021" s="2"/>
    </row>
    <row r="4022" spans="3:3">
      <c r="C4022" s="2"/>
    </row>
    <row r="4023" spans="3:3">
      <c r="C4023" s="2"/>
    </row>
    <row r="4024" spans="3:3">
      <c r="C4024" s="2"/>
    </row>
    <row r="4025" spans="3:3">
      <c r="C4025" s="2"/>
    </row>
    <row r="4026" spans="3:3">
      <c r="C4026" s="2"/>
    </row>
    <row r="4027" spans="3:3">
      <c r="C4027" s="2"/>
    </row>
    <row r="4028" spans="3:3">
      <c r="C4028" s="2"/>
    </row>
    <row r="4029" spans="3:3">
      <c r="C4029" s="2"/>
    </row>
    <row r="4030" spans="3:3">
      <c r="C4030" s="2"/>
    </row>
    <row r="4031" spans="3:3">
      <c r="C4031" s="2"/>
    </row>
    <row r="4032" spans="3:3">
      <c r="C4032" s="2"/>
    </row>
    <row r="4033" spans="3:3">
      <c r="C4033" s="2"/>
    </row>
    <row r="4034" spans="3:3">
      <c r="C4034" s="2"/>
    </row>
    <row r="4035" spans="3:3">
      <c r="C4035" s="2"/>
    </row>
    <row r="4036" spans="3:3">
      <c r="C4036" s="2"/>
    </row>
    <row r="4037" spans="3:3">
      <c r="C4037" s="2"/>
    </row>
    <row r="4038" spans="3:3">
      <c r="C4038" s="2"/>
    </row>
    <row r="4039" spans="3:3">
      <c r="C4039" s="2"/>
    </row>
    <row r="4040" spans="3:3">
      <c r="C4040" s="2"/>
    </row>
    <row r="4041" spans="3:3">
      <c r="C4041" s="2"/>
    </row>
    <row r="4042" spans="3:3">
      <c r="C4042" s="2"/>
    </row>
    <row r="4043" spans="3:3">
      <c r="C4043" s="2"/>
    </row>
    <row r="4044" spans="3:3">
      <c r="C4044" s="2"/>
    </row>
    <row r="4045" spans="3:3">
      <c r="C4045" s="2"/>
    </row>
    <row r="4046" spans="3:3">
      <c r="C4046" s="2"/>
    </row>
    <row r="4047" spans="3:3">
      <c r="C4047" s="2"/>
    </row>
    <row r="4048" spans="3:3">
      <c r="C4048" s="2"/>
    </row>
    <row r="4049" spans="3:3">
      <c r="C4049" s="2"/>
    </row>
    <row r="4050" spans="3:3">
      <c r="C4050" s="2"/>
    </row>
    <row r="4051" spans="3:3">
      <c r="C4051" s="2"/>
    </row>
    <row r="4052" spans="3:3">
      <c r="C4052" s="2"/>
    </row>
    <row r="4053" spans="3:3">
      <c r="C4053" s="2"/>
    </row>
    <row r="4054" spans="3:3">
      <c r="C4054" s="2"/>
    </row>
    <row r="4055" spans="3:3">
      <c r="C4055" s="2"/>
    </row>
    <row r="4056" spans="3:3">
      <c r="C4056" s="2"/>
    </row>
    <row r="4057" spans="3:3">
      <c r="C4057" s="2"/>
    </row>
    <row r="4058" spans="3:3">
      <c r="C4058" s="2"/>
    </row>
    <row r="4059" spans="3:3">
      <c r="C4059" s="2"/>
    </row>
    <row r="4060" spans="3:3">
      <c r="C4060" s="2"/>
    </row>
    <row r="4061" spans="3:3">
      <c r="C4061" s="2"/>
    </row>
    <row r="4062" spans="3:3">
      <c r="C4062" s="2"/>
    </row>
    <row r="4063" spans="3:3">
      <c r="C4063" s="2"/>
    </row>
    <row r="4064" spans="3:3">
      <c r="C4064" s="2"/>
    </row>
    <row r="4065" spans="3:3">
      <c r="C4065" s="2"/>
    </row>
    <row r="4066" spans="3:3">
      <c r="C4066" s="2"/>
    </row>
    <row r="4067" spans="3:3">
      <c r="C4067" s="2"/>
    </row>
    <row r="4068" spans="3:3">
      <c r="C4068" s="2"/>
    </row>
    <row r="4069" spans="3:3">
      <c r="C4069" s="2"/>
    </row>
    <row r="4070" spans="3:3">
      <c r="C4070" s="2"/>
    </row>
    <row r="4071" spans="3:3">
      <c r="C4071" s="2"/>
    </row>
    <row r="4072" spans="3:3">
      <c r="C4072" s="2"/>
    </row>
    <row r="4073" spans="3:3">
      <c r="C4073" s="2"/>
    </row>
    <row r="4074" spans="3:3">
      <c r="C4074" s="2"/>
    </row>
    <row r="4075" spans="3:3">
      <c r="C4075" s="2"/>
    </row>
    <row r="4076" spans="3:3">
      <c r="C4076" s="2"/>
    </row>
    <row r="4077" spans="3:3">
      <c r="C4077" s="2"/>
    </row>
    <row r="4078" spans="3:3">
      <c r="C4078" s="2"/>
    </row>
    <row r="4079" spans="3:3">
      <c r="C4079" s="2"/>
    </row>
    <row r="4080" spans="3:3">
      <c r="C4080" s="2"/>
    </row>
    <row r="4081" spans="3:3">
      <c r="C4081" s="2"/>
    </row>
    <row r="4082" spans="3:3">
      <c r="C4082" s="2"/>
    </row>
    <row r="4083" spans="3:3">
      <c r="C4083" s="2"/>
    </row>
    <row r="4084" spans="3:3">
      <c r="C4084" s="2"/>
    </row>
    <row r="4085" spans="3:3">
      <c r="C4085" s="2"/>
    </row>
    <row r="4086" spans="3:3">
      <c r="C4086" s="2"/>
    </row>
    <row r="4087" spans="3:3">
      <c r="C4087" s="2"/>
    </row>
    <row r="4088" spans="3:3">
      <c r="C4088" s="2"/>
    </row>
    <row r="4089" spans="3:3">
      <c r="C4089" s="2"/>
    </row>
    <row r="4090" spans="3:3">
      <c r="C4090" s="2"/>
    </row>
    <row r="4091" spans="3:3">
      <c r="C4091" s="2"/>
    </row>
    <row r="4092" spans="3:3">
      <c r="C4092" s="2"/>
    </row>
    <row r="4093" spans="3:3">
      <c r="C4093" s="2"/>
    </row>
    <row r="4094" spans="3:3">
      <c r="C4094" s="2"/>
    </row>
    <row r="4095" spans="3:3">
      <c r="C4095" s="2"/>
    </row>
    <row r="4096" spans="3:3">
      <c r="C4096" s="2"/>
    </row>
    <row r="4097" spans="3:3">
      <c r="C4097" s="2"/>
    </row>
    <row r="4098" spans="3:3">
      <c r="C4098" s="2"/>
    </row>
    <row r="4099" spans="3:3">
      <c r="C4099" s="2"/>
    </row>
    <row r="4100" spans="3:3">
      <c r="C4100" s="2"/>
    </row>
    <row r="4101" spans="3:3">
      <c r="C4101" s="2"/>
    </row>
    <row r="4102" spans="3:3">
      <c r="C4102" s="2"/>
    </row>
    <row r="4103" spans="3:3">
      <c r="C4103" s="2"/>
    </row>
    <row r="4104" spans="3:3">
      <c r="C4104" s="2"/>
    </row>
    <row r="4105" spans="3:3">
      <c r="C4105" s="2"/>
    </row>
    <row r="4106" spans="3:3">
      <c r="C4106" s="2"/>
    </row>
    <row r="4107" spans="3:3">
      <c r="C4107" s="2"/>
    </row>
    <row r="4108" spans="3:3">
      <c r="C4108" s="2"/>
    </row>
    <row r="4109" spans="3:3">
      <c r="C4109" s="2"/>
    </row>
    <row r="4110" spans="3:3">
      <c r="C4110" s="2"/>
    </row>
    <row r="4111" spans="3:3">
      <c r="C4111" s="2"/>
    </row>
    <row r="4112" spans="3:3">
      <c r="C4112" s="2"/>
    </row>
    <row r="4113" spans="3:3">
      <c r="C4113" s="2"/>
    </row>
    <row r="4114" spans="3:3">
      <c r="C4114" s="2"/>
    </row>
    <row r="4115" spans="3:3">
      <c r="C4115" s="2"/>
    </row>
    <row r="4116" spans="3:3">
      <c r="C4116" s="2"/>
    </row>
    <row r="4117" spans="3:3">
      <c r="C4117" s="2"/>
    </row>
    <row r="4118" spans="3:3">
      <c r="C4118" s="2"/>
    </row>
    <row r="4119" spans="3:3">
      <c r="C4119" s="2"/>
    </row>
    <row r="4120" spans="3:3">
      <c r="C4120" s="2"/>
    </row>
    <row r="4121" spans="3:3">
      <c r="C4121" s="2"/>
    </row>
    <row r="4122" spans="3:3">
      <c r="C4122" s="2"/>
    </row>
    <row r="4123" spans="3:3">
      <c r="C4123" s="2"/>
    </row>
    <row r="4124" spans="3:3">
      <c r="C4124" s="2"/>
    </row>
    <row r="4125" spans="3:3">
      <c r="C4125" s="2"/>
    </row>
    <row r="4126" spans="3:3">
      <c r="C4126" s="2"/>
    </row>
    <row r="4127" spans="3:3">
      <c r="C4127" s="2"/>
    </row>
    <row r="4128" spans="3:3">
      <c r="C4128" s="2"/>
    </row>
    <row r="4129" spans="3:3">
      <c r="C4129" s="2"/>
    </row>
    <row r="4130" spans="3:3">
      <c r="C4130" s="2"/>
    </row>
    <row r="4131" spans="3:3">
      <c r="C4131" s="2"/>
    </row>
    <row r="4132" spans="3:3">
      <c r="C4132" s="2"/>
    </row>
    <row r="4133" spans="3:3">
      <c r="C4133" s="2"/>
    </row>
    <row r="4134" spans="3:3">
      <c r="C4134" s="2"/>
    </row>
    <row r="4135" spans="3:3">
      <c r="C4135" s="2"/>
    </row>
    <row r="4136" spans="3:3">
      <c r="C4136" s="2"/>
    </row>
    <row r="4137" spans="3:3">
      <c r="C4137" s="2"/>
    </row>
    <row r="4138" spans="3:3">
      <c r="C4138" s="2"/>
    </row>
    <row r="4139" spans="3:3">
      <c r="C4139" s="2"/>
    </row>
    <row r="4140" spans="3:3">
      <c r="C4140" s="2"/>
    </row>
    <row r="4141" spans="3:3">
      <c r="C4141" s="2"/>
    </row>
    <row r="4142" spans="3:3">
      <c r="C4142" s="2"/>
    </row>
    <row r="4143" spans="3:3">
      <c r="C4143" s="2"/>
    </row>
    <row r="4144" spans="3:3">
      <c r="C4144" s="2"/>
    </row>
    <row r="4145" spans="3:3">
      <c r="C4145" s="2"/>
    </row>
    <row r="4146" spans="3:3">
      <c r="C4146" s="2"/>
    </row>
    <row r="4147" spans="3:3">
      <c r="C4147" s="2"/>
    </row>
    <row r="4148" spans="3:3">
      <c r="C4148" s="2"/>
    </row>
    <row r="4149" spans="3:3">
      <c r="C4149" s="2"/>
    </row>
    <row r="4150" spans="3:3">
      <c r="C4150" s="2"/>
    </row>
    <row r="4151" spans="3:3">
      <c r="C4151" s="2"/>
    </row>
    <row r="4152" spans="3:3">
      <c r="C4152" s="2"/>
    </row>
    <row r="4153" spans="3:3">
      <c r="C4153" s="2"/>
    </row>
    <row r="4154" spans="3:3">
      <c r="C4154" s="2"/>
    </row>
    <row r="4155" spans="3:3">
      <c r="C4155" s="2"/>
    </row>
    <row r="4156" spans="3:3">
      <c r="C4156" s="2"/>
    </row>
    <row r="4157" spans="3:3">
      <c r="C4157" s="2"/>
    </row>
    <row r="4158" spans="3:3">
      <c r="C4158" s="2"/>
    </row>
    <row r="4159" spans="3:3">
      <c r="C4159" s="2"/>
    </row>
    <row r="4160" spans="3:3">
      <c r="C4160" s="2"/>
    </row>
    <row r="4161" spans="3:3">
      <c r="C4161" s="2"/>
    </row>
    <row r="4162" spans="3:3">
      <c r="C4162" s="2"/>
    </row>
    <row r="4163" spans="3:3">
      <c r="C4163" s="2"/>
    </row>
    <row r="4164" spans="3:3">
      <c r="C4164" s="2"/>
    </row>
    <row r="4165" spans="3:3">
      <c r="C4165" s="2"/>
    </row>
    <row r="4166" spans="3:3">
      <c r="C4166" s="2"/>
    </row>
    <row r="4167" spans="3:3">
      <c r="C4167" s="2"/>
    </row>
    <row r="4168" spans="3:3">
      <c r="C4168" s="2"/>
    </row>
    <row r="4169" spans="3:3">
      <c r="C4169" s="2"/>
    </row>
    <row r="4170" spans="3:3">
      <c r="C4170" s="2"/>
    </row>
    <row r="4171" spans="3:3">
      <c r="C4171" s="2"/>
    </row>
    <row r="4172" spans="3:3">
      <c r="C4172" s="2"/>
    </row>
    <row r="4173" spans="3:3">
      <c r="C4173" s="2"/>
    </row>
    <row r="4174" spans="3:3">
      <c r="C4174" s="2"/>
    </row>
    <row r="4175" spans="3:3">
      <c r="C4175" s="2"/>
    </row>
    <row r="4176" spans="3:3">
      <c r="C4176" s="2"/>
    </row>
    <row r="4177" spans="3:3">
      <c r="C4177" s="2"/>
    </row>
    <row r="4178" spans="3:3">
      <c r="C4178" s="2"/>
    </row>
    <row r="4179" spans="3:3">
      <c r="C4179" s="2"/>
    </row>
    <row r="4180" spans="3:3">
      <c r="C4180" s="2"/>
    </row>
    <row r="4181" spans="3:3">
      <c r="C4181" s="2"/>
    </row>
    <row r="4182" spans="3:3">
      <c r="C4182" s="2"/>
    </row>
    <row r="4183" spans="3:3">
      <c r="C4183" s="2"/>
    </row>
    <row r="4184" spans="3:3">
      <c r="C4184" s="2"/>
    </row>
    <row r="4185" spans="3:3">
      <c r="C4185" s="2"/>
    </row>
    <row r="4186" spans="3:3">
      <c r="C4186" s="2"/>
    </row>
    <row r="4187" spans="3:3">
      <c r="C4187" s="2"/>
    </row>
    <row r="4188" spans="3:3">
      <c r="C4188" s="2"/>
    </row>
    <row r="4189" spans="3:3">
      <c r="C4189" s="2"/>
    </row>
    <row r="4190" spans="3:3">
      <c r="C4190" s="2"/>
    </row>
    <row r="4191" spans="3:3">
      <c r="C4191" s="2"/>
    </row>
    <row r="4192" spans="3:3">
      <c r="C4192" s="2"/>
    </row>
    <row r="4193" spans="3:3">
      <c r="C4193" s="2"/>
    </row>
    <row r="4194" spans="3:3">
      <c r="C4194" s="2"/>
    </row>
    <row r="4195" spans="3:3">
      <c r="C4195" s="2"/>
    </row>
    <row r="4196" spans="3:3">
      <c r="C4196" s="2"/>
    </row>
    <row r="4197" spans="3:3">
      <c r="C4197" s="2"/>
    </row>
    <row r="4198" spans="3:3">
      <c r="C4198" s="2"/>
    </row>
    <row r="4199" spans="3:3">
      <c r="C4199" s="2"/>
    </row>
    <row r="4200" spans="3:3">
      <c r="C4200" s="2"/>
    </row>
    <row r="4201" spans="3:3">
      <c r="C4201" s="2"/>
    </row>
    <row r="4202" spans="3:3">
      <c r="C4202" s="2"/>
    </row>
    <row r="4203" spans="3:3">
      <c r="C4203" s="2"/>
    </row>
    <row r="4204" spans="3:3">
      <c r="C4204" s="2"/>
    </row>
    <row r="4205" spans="3:3">
      <c r="C4205" s="2"/>
    </row>
    <row r="4206" spans="3:3">
      <c r="C4206" s="2"/>
    </row>
    <row r="4207" spans="3:3">
      <c r="C4207" s="2"/>
    </row>
    <row r="4208" spans="3:3">
      <c r="C4208" s="2"/>
    </row>
    <row r="4209" spans="3:3">
      <c r="C4209" s="2"/>
    </row>
    <row r="4210" spans="3:3">
      <c r="C4210" s="2"/>
    </row>
    <row r="4211" spans="3:3">
      <c r="C4211" s="2"/>
    </row>
    <row r="4212" spans="3:3">
      <c r="C4212" s="2"/>
    </row>
    <row r="4213" spans="3:3">
      <c r="C4213" s="2"/>
    </row>
    <row r="4214" spans="3:3">
      <c r="C4214" s="2"/>
    </row>
    <row r="4215" spans="3:3">
      <c r="C4215" s="2"/>
    </row>
    <row r="4216" spans="3:3">
      <c r="C4216" s="2"/>
    </row>
    <row r="4217" spans="3:3">
      <c r="C4217" s="2"/>
    </row>
    <row r="4218" spans="3:3">
      <c r="C4218" s="2"/>
    </row>
    <row r="4219" spans="3:3">
      <c r="C4219" s="2"/>
    </row>
    <row r="4220" spans="3:3">
      <c r="C4220" s="2"/>
    </row>
    <row r="4221" spans="3:3">
      <c r="C4221" s="2"/>
    </row>
    <row r="4222" spans="3:3">
      <c r="C4222" s="2"/>
    </row>
    <row r="4223" spans="3:3">
      <c r="C4223" s="2"/>
    </row>
    <row r="4224" spans="3:3">
      <c r="C4224" s="2"/>
    </row>
    <row r="4225" spans="3:3">
      <c r="C4225" s="2"/>
    </row>
    <row r="4226" spans="3:3">
      <c r="C4226" s="2"/>
    </row>
    <row r="4227" spans="3:3">
      <c r="C4227" s="2"/>
    </row>
    <row r="4228" spans="3:3">
      <c r="C4228" s="2"/>
    </row>
    <row r="4229" spans="3:3">
      <c r="C4229" s="2"/>
    </row>
    <row r="4230" spans="3:3">
      <c r="C4230" s="2"/>
    </row>
    <row r="4231" spans="3:3">
      <c r="C4231" s="2"/>
    </row>
    <row r="4232" spans="3:3">
      <c r="C4232" s="2"/>
    </row>
    <row r="4233" spans="3:3">
      <c r="C4233" s="2"/>
    </row>
    <row r="4234" spans="3:3">
      <c r="C4234" s="2"/>
    </row>
    <row r="4235" spans="3:3">
      <c r="C4235" s="2"/>
    </row>
    <row r="4236" spans="3:3">
      <c r="C4236" s="2"/>
    </row>
    <row r="4237" spans="3:3">
      <c r="C4237" s="2"/>
    </row>
    <row r="4238" spans="3:3">
      <c r="C4238" s="2"/>
    </row>
    <row r="4239" spans="3:3">
      <c r="C4239" s="2"/>
    </row>
    <row r="4240" spans="3:3">
      <c r="C4240" s="2"/>
    </row>
    <row r="4241" spans="3:3">
      <c r="C4241" s="2"/>
    </row>
    <row r="4242" spans="3:3">
      <c r="C4242" s="2"/>
    </row>
    <row r="4243" spans="3:3">
      <c r="C4243" s="2"/>
    </row>
    <row r="4244" spans="3:3">
      <c r="C4244" s="2"/>
    </row>
    <row r="4245" spans="3:3">
      <c r="C4245" s="2"/>
    </row>
    <row r="4246" spans="3:3">
      <c r="C4246" s="2"/>
    </row>
    <row r="4247" spans="3:3">
      <c r="C4247" s="2"/>
    </row>
    <row r="4248" spans="3:3">
      <c r="C4248" s="2"/>
    </row>
    <row r="4249" spans="3:3">
      <c r="C4249" s="2"/>
    </row>
    <row r="4250" spans="3:3">
      <c r="C4250" s="2"/>
    </row>
    <row r="4251" spans="3:3">
      <c r="C4251" s="2"/>
    </row>
    <row r="4252" spans="3:3">
      <c r="C4252" s="2"/>
    </row>
    <row r="4253" spans="3:3">
      <c r="C4253" s="2"/>
    </row>
    <row r="4254" spans="3:3">
      <c r="C4254" s="2"/>
    </row>
    <row r="4255" spans="3:3">
      <c r="C4255" s="2"/>
    </row>
    <row r="4256" spans="3:3">
      <c r="C4256" s="2"/>
    </row>
    <row r="4257" spans="3:3">
      <c r="C4257" s="2"/>
    </row>
    <row r="4258" spans="3:3">
      <c r="C4258" s="2"/>
    </row>
    <row r="4259" spans="3:3">
      <c r="C4259" s="2"/>
    </row>
    <row r="4260" spans="3:3">
      <c r="C4260" s="2"/>
    </row>
    <row r="4261" spans="3:3">
      <c r="C4261" s="2"/>
    </row>
    <row r="4262" spans="3:3">
      <c r="C4262" s="2"/>
    </row>
    <row r="4263" spans="3:3">
      <c r="C4263" s="2"/>
    </row>
    <row r="4264" spans="3:3">
      <c r="C4264" s="2"/>
    </row>
    <row r="4265" spans="3:3">
      <c r="C4265" s="2"/>
    </row>
    <row r="4266" spans="3:3">
      <c r="C4266" s="2"/>
    </row>
    <row r="4267" spans="3:3">
      <c r="C4267" s="2"/>
    </row>
    <row r="4268" spans="3:3">
      <c r="C4268" s="2"/>
    </row>
    <row r="4269" spans="3:3">
      <c r="C4269" s="2"/>
    </row>
    <row r="4270" spans="3:3">
      <c r="C4270" s="2"/>
    </row>
    <row r="4271" spans="3:3">
      <c r="C4271" s="2"/>
    </row>
    <row r="4272" spans="3:3">
      <c r="C4272" s="2"/>
    </row>
    <row r="4273" spans="3:3">
      <c r="C4273" s="2"/>
    </row>
    <row r="4274" spans="3:3">
      <c r="C4274" s="2"/>
    </row>
    <row r="4275" spans="3:3">
      <c r="C4275" s="2"/>
    </row>
    <row r="4276" spans="3:3">
      <c r="C4276" s="2"/>
    </row>
    <row r="4277" spans="3:3">
      <c r="C4277" s="2"/>
    </row>
    <row r="4278" spans="3:3">
      <c r="C4278" s="2"/>
    </row>
    <row r="4279" spans="3:3">
      <c r="C4279" s="2"/>
    </row>
    <row r="4280" spans="3:3">
      <c r="C4280" s="2"/>
    </row>
    <row r="4281" spans="3:3">
      <c r="C4281" s="2"/>
    </row>
    <row r="4282" spans="3:3">
      <c r="C4282" s="2"/>
    </row>
    <row r="4283" spans="3:3">
      <c r="C4283" s="2"/>
    </row>
    <row r="4284" spans="3:3">
      <c r="C4284" s="2"/>
    </row>
    <row r="4285" spans="3:3">
      <c r="C4285" s="2"/>
    </row>
    <row r="4286" spans="3:3">
      <c r="C4286" s="2"/>
    </row>
    <row r="4287" spans="3:3">
      <c r="C4287" s="2"/>
    </row>
    <row r="4288" spans="3:3">
      <c r="C4288" s="2"/>
    </row>
    <row r="4289" spans="3:3">
      <c r="C4289" s="2"/>
    </row>
    <row r="4290" spans="3:3">
      <c r="C4290" s="2"/>
    </row>
    <row r="4291" spans="3:3">
      <c r="C4291" s="2"/>
    </row>
    <row r="4292" spans="3:3">
      <c r="C4292" s="2"/>
    </row>
    <row r="4293" spans="3:3">
      <c r="C4293" s="2"/>
    </row>
    <row r="4294" spans="3:3">
      <c r="C4294" s="2"/>
    </row>
    <row r="4295" spans="3:3">
      <c r="C4295" s="2"/>
    </row>
    <row r="4296" spans="3:3">
      <c r="C4296" s="2"/>
    </row>
    <row r="4297" spans="3:3">
      <c r="C4297" s="2"/>
    </row>
    <row r="4298" spans="3:3">
      <c r="C4298" s="2"/>
    </row>
    <row r="4299" spans="3:3">
      <c r="C4299" s="2"/>
    </row>
    <row r="4300" spans="3:3">
      <c r="C4300" s="2"/>
    </row>
    <row r="4301" spans="3:3">
      <c r="C4301" s="2"/>
    </row>
    <row r="4302" spans="3:3">
      <c r="C4302" s="2"/>
    </row>
    <row r="4303" spans="3:3">
      <c r="C4303" s="2"/>
    </row>
    <row r="4304" spans="3:3">
      <c r="C4304" s="2"/>
    </row>
    <row r="4305" spans="3:3">
      <c r="C4305" s="2"/>
    </row>
    <row r="4306" spans="3:3">
      <c r="C4306" s="2"/>
    </row>
    <row r="4307" spans="3:3">
      <c r="C4307" s="2"/>
    </row>
    <row r="4308" spans="3:3">
      <c r="C4308" s="2"/>
    </row>
    <row r="4309" spans="3:3">
      <c r="C4309" s="2"/>
    </row>
    <row r="4310" spans="3:3">
      <c r="C4310" s="2"/>
    </row>
    <row r="4311" spans="3:3">
      <c r="C4311" s="2"/>
    </row>
    <row r="4312" spans="3:3">
      <c r="C4312" s="2"/>
    </row>
    <row r="4313" spans="3:3">
      <c r="C4313" s="2"/>
    </row>
    <row r="4314" spans="3:3">
      <c r="C4314" s="2"/>
    </row>
    <row r="4315" spans="3:3">
      <c r="C4315" s="2"/>
    </row>
    <row r="4316" spans="3:3">
      <c r="C4316" s="2"/>
    </row>
    <row r="4317" spans="3:3">
      <c r="C4317" s="2"/>
    </row>
    <row r="4318" spans="3:3">
      <c r="C4318" s="2"/>
    </row>
    <row r="4319" spans="3:3">
      <c r="C4319" s="2"/>
    </row>
    <row r="4320" spans="3:3">
      <c r="C4320" s="2"/>
    </row>
    <row r="4321" spans="3:3">
      <c r="C4321" s="2"/>
    </row>
    <row r="4322" spans="3:3">
      <c r="C4322" s="2"/>
    </row>
    <row r="4323" spans="3:3">
      <c r="C4323" s="2"/>
    </row>
    <row r="4324" spans="3:3">
      <c r="C4324" s="2"/>
    </row>
    <row r="4325" spans="3:3">
      <c r="C4325" s="2"/>
    </row>
    <row r="4326" spans="3:3">
      <c r="C4326" s="2"/>
    </row>
    <row r="4327" spans="3:3">
      <c r="C4327" s="2"/>
    </row>
    <row r="4328" spans="3:3">
      <c r="C4328" s="2"/>
    </row>
    <row r="4329" spans="3:3">
      <c r="C4329" s="2"/>
    </row>
    <row r="4330" spans="3:3">
      <c r="C4330" s="2"/>
    </row>
    <row r="4331" spans="3:3">
      <c r="C4331" s="2"/>
    </row>
    <row r="4332" spans="3:3">
      <c r="C4332" s="2"/>
    </row>
    <row r="4333" spans="3:3">
      <c r="C4333" s="2"/>
    </row>
    <row r="4334" spans="3:3">
      <c r="C4334" s="2"/>
    </row>
    <row r="4335" spans="3:3">
      <c r="C4335" s="2"/>
    </row>
    <row r="4336" spans="3:3">
      <c r="C4336" s="2"/>
    </row>
    <row r="4337" spans="3:3">
      <c r="C4337" s="2"/>
    </row>
    <row r="4338" spans="3:3">
      <c r="C4338" s="2"/>
    </row>
    <row r="4339" spans="3:3">
      <c r="C4339" s="2"/>
    </row>
    <row r="4340" spans="3:3">
      <c r="C4340" s="2"/>
    </row>
    <row r="4341" spans="3:3">
      <c r="C4341" s="2"/>
    </row>
    <row r="4342" spans="3:3">
      <c r="C4342" s="2"/>
    </row>
    <row r="4343" spans="3:3">
      <c r="C4343" s="2"/>
    </row>
    <row r="4344" spans="3:3">
      <c r="C4344" s="2"/>
    </row>
    <row r="4345" spans="3:3">
      <c r="C4345" s="2"/>
    </row>
    <row r="4346" spans="3:3">
      <c r="C4346" s="2"/>
    </row>
    <row r="4347" spans="3:3">
      <c r="C4347" s="2"/>
    </row>
    <row r="4348" spans="3:3">
      <c r="C4348" s="2"/>
    </row>
    <row r="4349" spans="3:3">
      <c r="C4349" s="2"/>
    </row>
    <row r="4350" spans="3:3">
      <c r="C4350" s="2"/>
    </row>
    <row r="4351" spans="3:3">
      <c r="C4351" s="2"/>
    </row>
    <row r="4352" spans="3:3">
      <c r="C4352" s="2"/>
    </row>
    <row r="4353" spans="3:3">
      <c r="C4353" s="2"/>
    </row>
    <row r="4354" spans="3:3">
      <c r="C4354" s="2"/>
    </row>
    <row r="4355" spans="3:3">
      <c r="C4355" s="2"/>
    </row>
    <row r="4356" spans="3:3">
      <c r="C4356" s="2"/>
    </row>
    <row r="4357" spans="3:3">
      <c r="C4357" s="2"/>
    </row>
    <row r="4358" spans="3:3">
      <c r="C4358" s="2"/>
    </row>
    <row r="4359" spans="3:3">
      <c r="C4359" s="2"/>
    </row>
    <row r="4360" spans="3:3">
      <c r="C4360" s="2"/>
    </row>
    <row r="4361" spans="3:3">
      <c r="C4361" s="2"/>
    </row>
    <row r="4362" spans="3:3">
      <c r="C4362" s="2"/>
    </row>
    <row r="4363" spans="3:3">
      <c r="C4363" s="2"/>
    </row>
    <row r="4364" spans="3:3">
      <c r="C4364" s="2"/>
    </row>
    <row r="4365" spans="3:3">
      <c r="C4365" s="2"/>
    </row>
    <row r="4366" spans="3:3">
      <c r="C4366" s="2"/>
    </row>
    <row r="4367" spans="3:3">
      <c r="C4367" s="2"/>
    </row>
    <row r="4368" spans="3:3">
      <c r="C4368" s="2"/>
    </row>
    <row r="4369" spans="3:3">
      <c r="C4369" s="2"/>
    </row>
    <row r="4370" spans="3:3">
      <c r="C4370" s="2"/>
    </row>
    <row r="4371" spans="3:3">
      <c r="C4371" s="2"/>
    </row>
    <row r="4372" spans="3:3">
      <c r="C4372" s="2"/>
    </row>
    <row r="4373" spans="3:3">
      <c r="C4373" s="2"/>
    </row>
    <row r="4374" spans="3:3">
      <c r="C4374" s="2"/>
    </row>
    <row r="4375" spans="3:3">
      <c r="C4375" s="2"/>
    </row>
    <row r="4376" spans="3:3">
      <c r="C4376" s="2"/>
    </row>
    <row r="4377" spans="3:3">
      <c r="C4377" s="2"/>
    </row>
    <row r="4378" spans="3:3">
      <c r="C4378" s="2"/>
    </row>
    <row r="4379" spans="3:3">
      <c r="C4379" s="2"/>
    </row>
    <row r="4380" spans="3:3">
      <c r="C4380" s="2"/>
    </row>
    <row r="4381" spans="3:3">
      <c r="C4381" s="2"/>
    </row>
    <row r="4382" spans="3:3">
      <c r="C4382" s="2"/>
    </row>
    <row r="4383" spans="3:3">
      <c r="C4383" s="2"/>
    </row>
    <row r="4384" spans="3:3">
      <c r="C4384" s="2"/>
    </row>
    <row r="4385" spans="3:3">
      <c r="C4385" s="2"/>
    </row>
    <row r="4386" spans="3:3">
      <c r="C4386" s="2"/>
    </row>
    <row r="4387" spans="3:3">
      <c r="C4387" s="2"/>
    </row>
    <row r="4388" spans="3:3">
      <c r="C4388" s="2"/>
    </row>
    <row r="4389" spans="3:3">
      <c r="C4389" s="2"/>
    </row>
    <row r="4390" spans="3:3">
      <c r="C4390" s="2"/>
    </row>
    <row r="4391" spans="3:3">
      <c r="C4391" s="2"/>
    </row>
    <row r="4392" spans="3:3">
      <c r="C4392" s="2"/>
    </row>
    <row r="4393" spans="3:3">
      <c r="C4393" s="2"/>
    </row>
    <row r="4394" spans="3:3">
      <c r="C4394" s="2"/>
    </row>
    <row r="4395" spans="3:3">
      <c r="C4395" s="2"/>
    </row>
    <row r="4396" spans="3:3">
      <c r="C4396" s="2"/>
    </row>
    <row r="4397" spans="3:3">
      <c r="C4397" s="2"/>
    </row>
    <row r="4398" spans="3:3">
      <c r="C4398" s="2"/>
    </row>
    <row r="4399" spans="3:3">
      <c r="C4399" s="2"/>
    </row>
    <row r="4400" spans="3:3">
      <c r="C4400" s="2"/>
    </row>
    <row r="4401" spans="3:3">
      <c r="C4401" s="2"/>
    </row>
    <row r="4402" spans="3:3">
      <c r="C4402" s="2"/>
    </row>
    <row r="4403" spans="3:3">
      <c r="C4403" s="2"/>
    </row>
    <row r="4404" spans="3:3">
      <c r="C4404" s="2"/>
    </row>
    <row r="4405" spans="3:3">
      <c r="C4405" s="2"/>
    </row>
    <row r="4406" spans="3:3">
      <c r="C4406" s="2"/>
    </row>
    <row r="4407" spans="3:3">
      <c r="C4407" s="2"/>
    </row>
    <row r="4408" spans="3:3">
      <c r="C4408" s="2"/>
    </row>
    <row r="4409" spans="3:3">
      <c r="C4409" s="2"/>
    </row>
    <row r="4410" spans="3:3">
      <c r="C4410" s="2"/>
    </row>
    <row r="4411" spans="3:3">
      <c r="C4411" s="2"/>
    </row>
    <row r="4412" spans="3:3">
      <c r="C4412" s="2"/>
    </row>
    <row r="4413" spans="3:3">
      <c r="C4413" s="2"/>
    </row>
    <row r="4414" spans="3:3">
      <c r="C4414" s="2"/>
    </row>
    <row r="4415" spans="3:3">
      <c r="C4415" s="2"/>
    </row>
    <row r="4416" spans="3:3">
      <c r="C4416" s="2"/>
    </row>
    <row r="4417" spans="3:3">
      <c r="C4417" s="2"/>
    </row>
    <row r="4418" spans="3:3">
      <c r="C4418" s="2"/>
    </row>
    <row r="4419" spans="3:3">
      <c r="C4419" s="2"/>
    </row>
    <row r="4420" spans="3:3">
      <c r="C4420" s="2"/>
    </row>
    <row r="4421" spans="3:3">
      <c r="C4421" s="2"/>
    </row>
    <row r="4422" spans="3:3">
      <c r="C4422" s="2"/>
    </row>
    <row r="4423" spans="3:3">
      <c r="C4423" s="2"/>
    </row>
    <row r="4424" spans="3:3">
      <c r="C4424" s="2"/>
    </row>
    <row r="4425" spans="3:3">
      <c r="C4425" s="2"/>
    </row>
    <row r="4426" spans="3:3">
      <c r="C4426" s="2"/>
    </row>
    <row r="4427" spans="3:3">
      <c r="C4427" s="2"/>
    </row>
    <row r="4428" spans="3:3">
      <c r="C4428" s="2"/>
    </row>
    <row r="4429" spans="3:3">
      <c r="C4429" s="2"/>
    </row>
    <row r="4430" spans="3:3">
      <c r="C4430" s="2"/>
    </row>
    <row r="4431" spans="3:3">
      <c r="C4431" s="2"/>
    </row>
    <row r="4432" spans="3:3">
      <c r="C4432" s="2"/>
    </row>
    <row r="4433" spans="3:3">
      <c r="C4433" s="2"/>
    </row>
    <row r="4434" spans="3:3">
      <c r="C4434" s="2"/>
    </row>
    <row r="4435" spans="3:3">
      <c r="C4435" s="2"/>
    </row>
    <row r="4436" spans="3:3">
      <c r="C4436" s="2"/>
    </row>
    <row r="4437" spans="3:3">
      <c r="C4437" s="2"/>
    </row>
    <row r="4438" spans="3:3">
      <c r="C4438" s="2"/>
    </row>
    <row r="4439" spans="3:3">
      <c r="C4439" s="2"/>
    </row>
    <row r="4440" spans="3:3">
      <c r="C4440" s="2"/>
    </row>
    <row r="4441" spans="3:3">
      <c r="C4441" s="2"/>
    </row>
    <row r="4442" spans="3:3">
      <c r="C4442" s="2"/>
    </row>
    <row r="4443" spans="3:3">
      <c r="C4443" s="2"/>
    </row>
    <row r="4444" spans="3:3">
      <c r="C4444" s="2"/>
    </row>
    <row r="4445" spans="3:3">
      <c r="C4445" s="2"/>
    </row>
    <row r="4446" spans="3:3">
      <c r="C4446" s="2"/>
    </row>
    <row r="4447" spans="3:3">
      <c r="C4447" s="2"/>
    </row>
    <row r="4448" spans="3:3">
      <c r="C4448" s="2"/>
    </row>
    <row r="4449" spans="3:3">
      <c r="C4449" s="2"/>
    </row>
    <row r="4450" spans="3:3">
      <c r="C4450" s="2"/>
    </row>
    <row r="4451" spans="3:3">
      <c r="C4451" s="2"/>
    </row>
    <row r="4452" spans="3:3">
      <c r="C4452" s="2"/>
    </row>
    <row r="4453" spans="3:3">
      <c r="C4453" s="2"/>
    </row>
    <row r="4454" spans="3:3">
      <c r="C4454" s="2"/>
    </row>
    <row r="4455" spans="3:3">
      <c r="C4455" s="2"/>
    </row>
    <row r="4456" spans="3:3">
      <c r="C4456" s="2"/>
    </row>
    <row r="4457" spans="3:3">
      <c r="C4457" s="2"/>
    </row>
    <row r="4458" spans="3:3">
      <c r="C4458" s="2"/>
    </row>
    <row r="4459" spans="3:3">
      <c r="C4459" s="2"/>
    </row>
    <row r="4460" spans="3:3">
      <c r="C4460" s="2"/>
    </row>
    <row r="4461" spans="3:3">
      <c r="C4461" s="2"/>
    </row>
    <row r="4462" spans="3:3">
      <c r="C4462" s="2"/>
    </row>
    <row r="4463" spans="3:3">
      <c r="C4463" s="2"/>
    </row>
    <row r="4464" spans="3:3">
      <c r="C4464" s="2"/>
    </row>
    <row r="4465" spans="3:3">
      <c r="C4465" s="2"/>
    </row>
    <row r="4466" spans="3:3">
      <c r="C4466" s="2"/>
    </row>
    <row r="4467" spans="3:3">
      <c r="C4467" s="2"/>
    </row>
    <row r="4468" spans="3:3">
      <c r="C4468" s="2"/>
    </row>
    <row r="4469" spans="3:3">
      <c r="C4469" s="2"/>
    </row>
    <row r="4470" spans="3:3">
      <c r="C4470" s="2"/>
    </row>
    <row r="4471" spans="3:3">
      <c r="C4471" s="2"/>
    </row>
    <row r="4472" spans="3:3">
      <c r="C4472" s="2"/>
    </row>
    <row r="4473" spans="3:3">
      <c r="C4473" s="2"/>
    </row>
    <row r="4474" spans="3:3">
      <c r="C4474" s="2"/>
    </row>
    <row r="4475" spans="3:3">
      <c r="C4475" s="2"/>
    </row>
    <row r="4476" spans="3:3">
      <c r="C4476" s="2"/>
    </row>
    <row r="4477" spans="3:3">
      <c r="C4477" s="2"/>
    </row>
    <row r="4478" spans="3:3">
      <c r="C4478" s="2"/>
    </row>
    <row r="4479" spans="3:3">
      <c r="C4479" s="2"/>
    </row>
    <row r="4480" spans="3:3">
      <c r="C4480" s="2"/>
    </row>
    <row r="4481" spans="3:3">
      <c r="C4481" s="2"/>
    </row>
    <row r="4482" spans="3:3">
      <c r="C4482" s="2"/>
    </row>
    <row r="4483" spans="3:3">
      <c r="C4483" s="2"/>
    </row>
    <row r="4484" spans="3:3">
      <c r="C4484" s="2"/>
    </row>
    <row r="4485" spans="3:3">
      <c r="C4485" s="2"/>
    </row>
    <row r="4486" spans="3:3">
      <c r="C4486" s="2"/>
    </row>
    <row r="4487" spans="3:3">
      <c r="C4487" s="2"/>
    </row>
    <row r="4488" spans="3:3">
      <c r="C4488" s="2"/>
    </row>
    <row r="4489" spans="3:3">
      <c r="C4489" s="2"/>
    </row>
    <row r="4490" spans="3:3">
      <c r="C4490" s="2"/>
    </row>
    <row r="4491" spans="3:3">
      <c r="C4491" s="2"/>
    </row>
    <row r="4492" spans="3:3">
      <c r="C4492" s="2"/>
    </row>
    <row r="4493" spans="3:3">
      <c r="C4493" s="2"/>
    </row>
    <row r="4494" spans="3:3">
      <c r="C4494" s="2"/>
    </row>
    <row r="4495" spans="3:3">
      <c r="C4495" s="2"/>
    </row>
    <row r="4496" spans="3:3">
      <c r="C4496" s="2"/>
    </row>
    <row r="4497" spans="3:3">
      <c r="C4497" s="2"/>
    </row>
    <row r="4498" spans="3:3">
      <c r="C4498" s="2"/>
    </row>
    <row r="4499" spans="3:3">
      <c r="C4499" s="2"/>
    </row>
    <row r="4500" spans="3:3">
      <c r="C4500" s="2"/>
    </row>
    <row r="4501" spans="3:3">
      <c r="C4501" s="2"/>
    </row>
    <row r="4502" spans="3:3">
      <c r="C4502" s="2"/>
    </row>
    <row r="4503" spans="3:3">
      <c r="C4503" s="2"/>
    </row>
    <row r="4504" spans="3:3">
      <c r="C4504" s="2"/>
    </row>
    <row r="4505" spans="3:3">
      <c r="C4505" s="2"/>
    </row>
    <row r="4506" spans="3:3">
      <c r="C4506" s="2"/>
    </row>
    <row r="4507" spans="3:3">
      <c r="C4507" s="2"/>
    </row>
    <row r="4508" spans="3:3">
      <c r="C4508" s="2"/>
    </row>
    <row r="4509" spans="3:3">
      <c r="C4509" s="2"/>
    </row>
    <row r="4510" spans="3:3">
      <c r="C4510" s="2"/>
    </row>
    <row r="4511" spans="3:3">
      <c r="C4511" s="2"/>
    </row>
    <row r="4512" spans="3:3">
      <c r="C4512" s="2"/>
    </row>
    <row r="4513" spans="3:3">
      <c r="C4513" s="2"/>
    </row>
    <row r="4514" spans="3:3">
      <c r="C4514" s="2"/>
    </row>
    <row r="4515" spans="3:3">
      <c r="C4515" s="2"/>
    </row>
    <row r="4516" spans="3:3">
      <c r="C4516" s="2"/>
    </row>
    <row r="4517" spans="3:3">
      <c r="C4517" s="2"/>
    </row>
    <row r="4518" spans="3:3">
      <c r="C4518" s="2"/>
    </row>
    <row r="4519" spans="3:3">
      <c r="C4519" s="2"/>
    </row>
    <row r="4520" spans="3:3">
      <c r="C4520" s="2"/>
    </row>
    <row r="4521" spans="3:3">
      <c r="C4521" s="2"/>
    </row>
    <row r="4522" spans="3:3">
      <c r="C4522" s="2"/>
    </row>
    <row r="4523" spans="3:3">
      <c r="C4523" s="2"/>
    </row>
    <row r="4524" spans="3:3">
      <c r="C4524" s="2"/>
    </row>
    <row r="4525" spans="3:3">
      <c r="C4525" s="2"/>
    </row>
    <row r="4526" spans="3:3">
      <c r="C4526" s="2"/>
    </row>
    <row r="4527" spans="3:3">
      <c r="C4527" s="2"/>
    </row>
    <row r="4528" spans="3:3">
      <c r="C4528" s="2"/>
    </row>
    <row r="4529" spans="3:3">
      <c r="C4529" s="2"/>
    </row>
    <row r="4530" spans="3:3">
      <c r="C4530" s="2"/>
    </row>
    <row r="4531" spans="3:3">
      <c r="C4531" s="2"/>
    </row>
    <row r="4532" spans="3:3">
      <c r="C4532" s="2"/>
    </row>
    <row r="4533" spans="3:3">
      <c r="C4533" s="2"/>
    </row>
    <row r="4534" spans="3:3">
      <c r="C4534" s="2"/>
    </row>
    <row r="4535" spans="3:3">
      <c r="C4535" s="2"/>
    </row>
    <row r="4536" spans="3:3">
      <c r="C4536" s="2"/>
    </row>
    <row r="4537" spans="3:3">
      <c r="C4537" s="2"/>
    </row>
    <row r="4538" spans="3:3">
      <c r="C4538" s="2"/>
    </row>
    <row r="4539" spans="3:3">
      <c r="C4539" s="2"/>
    </row>
    <row r="4540" spans="3:3">
      <c r="C4540" s="2"/>
    </row>
    <row r="4541" spans="3:3">
      <c r="C4541" s="2"/>
    </row>
    <row r="4542" spans="3:3">
      <c r="C4542" s="2"/>
    </row>
    <row r="4543" spans="3:3">
      <c r="C4543" s="2"/>
    </row>
    <row r="4544" spans="3:3">
      <c r="C4544" s="2"/>
    </row>
    <row r="4545" spans="3:3">
      <c r="C4545" s="2"/>
    </row>
    <row r="4546" spans="3:3">
      <c r="C4546" s="2"/>
    </row>
    <row r="4547" spans="3:3">
      <c r="C4547" s="2"/>
    </row>
    <row r="4548" spans="3:3">
      <c r="C4548" s="2"/>
    </row>
    <row r="4549" spans="3:3">
      <c r="C4549" s="2"/>
    </row>
    <row r="4550" spans="3:3">
      <c r="C4550" s="2"/>
    </row>
    <row r="4551" spans="3:3">
      <c r="C4551" s="2"/>
    </row>
    <row r="4552" spans="3:3">
      <c r="C4552" s="2"/>
    </row>
    <row r="4553" spans="3:3">
      <c r="C4553" s="2"/>
    </row>
    <row r="4554" spans="3:3">
      <c r="C4554" s="2"/>
    </row>
    <row r="4555" spans="3:3">
      <c r="C4555" s="2"/>
    </row>
    <row r="4556" spans="3:3">
      <c r="C4556" s="2"/>
    </row>
    <row r="4557" spans="3:3">
      <c r="C4557" s="2"/>
    </row>
    <row r="4558" spans="3:3">
      <c r="C4558" s="2"/>
    </row>
    <row r="4559" spans="3:3">
      <c r="C4559" s="2"/>
    </row>
    <row r="4560" spans="3:3">
      <c r="C4560" s="2"/>
    </row>
    <row r="4561" spans="3:3">
      <c r="C4561" s="2"/>
    </row>
    <row r="4562" spans="3:3">
      <c r="C4562" s="2"/>
    </row>
    <row r="4563" spans="3:3">
      <c r="C4563" s="2"/>
    </row>
    <row r="4564" spans="3:3">
      <c r="C4564" s="2"/>
    </row>
    <row r="4565" spans="3:3">
      <c r="C4565" s="2"/>
    </row>
    <row r="4566" spans="3:3">
      <c r="C4566" s="2"/>
    </row>
    <row r="4567" spans="3:3">
      <c r="C4567" s="2"/>
    </row>
    <row r="4568" spans="3:3">
      <c r="C4568" s="2"/>
    </row>
    <row r="4569" spans="3:3">
      <c r="C4569" s="2"/>
    </row>
    <row r="4570" spans="3:3">
      <c r="C4570" s="2"/>
    </row>
    <row r="4571" spans="3:3">
      <c r="C4571" s="2"/>
    </row>
    <row r="4572" spans="3:3">
      <c r="C4572" s="2"/>
    </row>
    <row r="4573" spans="3:3">
      <c r="C4573" s="2"/>
    </row>
    <row r="4574" spans="3:3">
      <c r="C4574" s="2"/>
    </row>
    <row r="4575" spans="3:3">
      <c r="C4575" s="2"/>
    </row>
    <row r="4576" spans="3:3">
      <c r="C4576" s="2"/>
    </row>
    <row r="4577" spans="3:3">
      <c r="C4577" s="2"/>
    </row>
    <row r="4578" spans="3:3">
      <c r="C4578" s="2"/>
    </row>
    <row r="4579" spans="3:3">
      <c r="C4579" s="2"/>
    </row>
    <row r="4580" spans="3:3">
      <c r="C4580" s="2"/>
    </row>
    <row r="4581" spans="3:3">
      <c r="C4581" s="2"/>
    </row>
    <row r="4582" spans="3:3">
      <c r="C4582" s="2"/>
    </row>
    <row r="4583" spans="3:3">
      <c r="C4583" s="2"/>
    </row>
    <row r="4584" spans="3:3">
      <c r="C4584" s="2"/>
    </row>
    <row r="4585" spans="3:3">
      <c r="C4585" s="2"/>
    </row>
    <row r="4586" spans="3:3">
      <c r="C4586" s="2"/>
    </row>
    <row r="4587" spans="3:3">
      <c r="C4587" s="2"/>
    </row>
    <row r="4588" spans="3:3">
      <c r="C4588" s="2"/>
    </row>
    <row r="4589" spans="3:3">
      <c r="C4589" s="2"/>
    </row>
    <row r="4590" spans="3:3">
      <c r="C4590" s="2"/>
    </row>
    <row r="4591" spans="3:3">
      <c r="C4591" s="2"/>
    </row>
    <row r="4592" spans="3:3">
      <c r="C4592" s="2"/>
    </row>
    <row r="4593" spans="3:3">
      <c r="C4593" s="2"/>
    </row>
    <row r="4594" spans="3:3">
      <c r="C4594" s="2"/>
    </row>
    <row r="4595" spans="3:3">
      <c r="C4595" s="2"/>
    </row>
    <row r="4596" spans="3:3">
      <c r="C4596" s="2"/>
    </row>
    <row r="4597" spans="3:3">
      <c r="C4597" s="2"/>
    </row>
    <row r="4598" spans="3:3">
      <c r="C4598" s="2"/>
    </row>
    <row r="4599" spans="3:3">
      <c r="C4599" s="2"/>
    </row>
    <row r="4600" spans="3:3">
      <c r="C4600" s="2"/>
    </row>
    <row r="4601" spans="3:3">
      <c r="C4601" s="2"/>
    </row>
    <row r="4602" spans="3:3">
      <c r="C4602" s="2"/>
    </row>
    <row r="4603" spans="3:3">
      <c r="C4603" s="2"/>
    </row>
    <row r="4604" spans="3:3">
      <c r="C4604" s="2"/>
    </row>
    <row r="4605" spans="3:3">
      <c r="C4605" s="2"/>
    </row>
    <row r="4606" spans="3:3">
      <c r="C4606" s="2"/>
    </row>
    <row r="4607" spans="3:3">
      <c r="C4607" s="2"/>
    </row>
    <row r="4608" spans="3:3">
      <c r="C4608" s="2"/>
    </row>
    <row r="4609" spans="3:3">
      <c r="C4609" s="2"/>
    </row>
    <row r="4610" spans="3:3">
      <c r="C4610" s="2"/>
    </row>
    <row r="4611" spans="3:3">
      <c r="C4611" s="2"/>
    </row>
    <row r="4612" spans="3:3">
      <c r="C4612" s="2"/>
    </row>
    <row r="4613" spans="3:3">
      <c r="C4613" s="2"/>
    </row>
    <row r="4614" spans="3:3">
      <c r="C4614" s="2"/>
    </row>
    <row r="4615" spans="3:3">
      <c r="C4615" s="2"/>
    </row>
    <row r="4616" spans="3:3">
      <c r="C4616" s="2"/>
    </row>
    <row r="4617" spans="3:3">
      <c r="C4617" s="2"/>
    </row>
    <row r="4618" spans="3:3">
      <c r="C4618" s="2"/>
    </row>
    <row r="4619" spans="3:3">
      <c r="C4619" s="2"/>
    </row>
    <row r="4620" spans="3:3">
      <c r="C4620" s="2"/>
    </row>
    <row r="4621" spans="3:3">
      <c r="C4621" s="2"/>
    </row>
    <row r="4622" spans="3:3">
      <c r="C4622" s="2"/>
    </row>
    <row r="4623" spans="3:3">
      <c r="C4623" s="2"/>
    </row>
    <row r="4624" spans="3:3">
      <c r="C4624" s="2"/>
    </row>
    <row r="4625" spans="3:3">
      <c r="C4625" s="2"/>
    </row>
    <row r="4626" spans="3:3">
      <c r="C4626" s="2"/>
    </row>
    <row r="4627" spans="3:3">
      <c r="C4627" s="2"/>
    </row>
    <row r="4628" spans="3:3">
      <c r="C4628" s="2"/>
    </row>
    <row r="4629" spans="3:3">
      <c r="C4629" s="2"/>
    </row>
    <row r="4630" spans="3:3">
      <c r="C4630" s="2"/>
    </row>
    <row r="4631" spans="3:3">
      <c r="C4631" s="2"/>
    </row>
    <row r="4632" spans="3:3">
      <c r="C4632" s="2"/>
    </row>
    <row r="4633" spans="3:3">
      <c r="C4633" s="2"/>
    </row>
    <row r="4634" spans="3:3">
      <c r="C4634" s="2"/>
    </row>
    <row r="4635" spans="3:3">
      <c r="C4635" s="2"/>
    </row>
    <row r="4636" spans="3:3">
      <c r="C4636" s="2"/>
    </row>
    <row r="4637" spans="3:3">
      <c r="C4637" s="2"/>
    </row>
    <row r="4638" spans="3:3">
      <c r="C4638" s="2"/>
    </row>
    <row r="4639" spans="3:3">
      <c r="C4639" s="2"/>
    </row>
    <row r="4640" spans="3:3">
      <c r="C4640" s="2"/>
    </row>
    <row r="4641" spans="3:3">
      <c r="C4641" s="2"/>
    </row>
    <row r="4642" spans="3:3">
      <c r="C4642" s="2"/>
    </row>
    <row r="4643" spans="3:3">
      <c r="C4643" s="2"/>
    </row>
    <row r="4644" spans="3:3">
      <c r="C4644" s="2"/>
    </row>
    <row r="4645" spans="3:3">
      <c r="C4645" s="2"/>
    </row>
    <row r="4646" spans="3:3">
      <c r="C4646" s="2"/>
    </row>
    <row r="4647" spans="3:3">
      <c r="C4647" s="2"/>
    </row>
    <row r="4648" spans="3:3">
      <c r="C4648" s="2"/>
    </row>
    <row r="4649" spans="3:3">
      <c r="C4649" s="2"/>
    </row>
    <row r="4650" spans="3:3">
      <c r="C4650" s="2"/>
    </row>
    <row r="4651" spans="3:3">
      <c r="C4651" s="2"/>
    </row>
    <row r="4652" spans="3:3">
      <c r="C4652" s="2"/>
    </row>
    <row r="4653" spans="3:3">
      <c r="C4653" s="2"/>
    </row>
    <row r="4654" spans="3:3">
      <c r="C4654" s="2"/>
    </row>
    <row r="4655" spans="3:3">
      <c r="C4655" s="2"/>
    </row>
    <row r="4656" spans="3:3">
      <c r="C4656" s="2"/>
    </row>
    <row r="4657" spans="3:3">
      <c r="C4657" s="2"/>
    </row>
    <row r="4658" spans="3:3">
      <c r="C4658" s="2"/>
    </row>
    <row r="4659" spans="3:3">
      <c r="C4659" s="2"/>
    </row>
    <row r="4660" spans="3:3">
      <c r="C4660" s="2"/>
    </row>
    <row r="4661" spans="3:3">
      <c r="C4661" s="2"/>
    </row>
    <row r="4662" spans="3:3">
      <c r="C4662" s="2"/>
    </row>
    <row r="4663" spans="3:3">
      <c r="C4663" s="2"/>
    </row>
    <row r="4664" spans="3:3">
      <c r="C4664" s="2"/>
    </row>
    <row r="4665" spans="3:3">
      <c r="C4665" s="2"/>
    </row>
    <row r="4666" spans="3:3">
      <c r="C4666" s="2"/>
    </row>
    <row r="4667" spans="3:3">
      <c r="C4667" s="2"/>
    </row>
    <row r="4668" spans="3:3">
      <c r="C4668" s="2"/>
    </row>
    <row r="4669" spans="3:3">
      <c r="C4669" s="2"/>
    </row>
    <row r="4670" spans="3:3">
      <c r="C4670" s="2"/>
    </row>
    <row r="4671" spans="3:3">
      <c r="C4671" s="2"/>
    </row>
    <row r="4672" spans="3:3">
      <c r="C4672" s="2"/>
    </row>
    <row r="4673" spans="3:3">
      <c r="C4673" s="2"/>
    </row>
    <row r="4674" spans="3:3">
      <c r="C4674" s="2"/>
    </row>
    <row r="4675" spans="3:3">
      <c r="C4675" s="2"/>
    </row>
    <row r="4676" spans="3:3">
      <c r="C4676" s="2"/>
    </row>
    <row r="4677" spans="3:3">
      <c r="C4677" s="2"/>
    </row>
    <row r="4678" spans="3:3">
      <c r="C4678" s="2"/>
    </row>
    <row r="4679" spans="3:3">
      <c r="C4679" s="2"/>
    </row>
    <row r="4680" spans="3:3">
      <c r="C4680" s="2"/>
    </row>
    <row r="4681" spans="3:3">
      <c r="C4681" s="2"/>
    </row>
    <row r="4682" spans="3:3">
      <c r="C4682" s="2"/>
    </row>
    <row r="4683" spans="3:3">
      <c r="C4683" s="2"/>
    </row>
    <row r="4684" spans="3:3">
      <c r="C4684" s="2"/>
    </row>
    <row r="4685" spans="3:3">
      <c r="C4685" s="2"/>
    </row>
    <row r="4686" spans="3:3">
      <c r="C4686" s="2"/>
    </row>
    <row r="4687" spans="3:3">
      <c r="C4687" s="2"/>
    </row>
    <row r="4688" spans="3:3">
      <c r="C4688" s="2"/>
    </row>
    <row r="4689" spans="3:3">
      <c r="C4689" s="2"/>
    </row>
    <row r="4690" spans="3:3">
      <c r="C4690" s="2"/>
    </row>
    <row r="4691" spans="3:3">
      <c r="C4691" s="2"/>
    </row>
    <row r="4692" spans="3:3">
      <c r="C4692" s="2"/>
    </row>
    <row r="4693" spans="3:3">
      <c r="C4693" s="2"/>
    </row>
    <row r="4694" spans="3:3">
      <c r="C4694" s="2"/>
    </row>
    <row r="4695" spans="3:3">
      <c r="C4695" s="2"/>
    </row>
    <row r="4696" spans="3:3">
      <c r="C4696" s="2"/>
    </row>
    <row r="4697" spans="3:3">
      <c r="C4697" s="2"/>
    </row>
    <row r="4698" spans="3:3">
      <c r="C4698" s="2"/>
    </row>
    <row r="4699" spans="3:3">
      <c r="C4699" s="2"/>
    </row>
    <row r="4700" spans="3:3">
      <c r="C4700" s="2"/>
    </row>
    <row r="4701" spans="3:3">
      <c r="C4701" s="2"/>
    </row>
    <row r="4702" spans="3:3">
      <c r="C4702" s="2"/>
    </row>
    <row r="4703" spans="3:3">
      <c r="C4703" s="2"/>
    </row>
    <row r="4704" spans="3:3">
      <c r="C4704" s="2"/>
    </row>
    <row r="4705" spans="3:3">
      <c r="C4705" s="2"/>
    </row>
    <row r="4706" spans="3:3">
      <c r="C4706" s="2"/>
    </row>
    <row r="4707" spans="3:3">
      <c r="C4707" s="2"/>
    </row>
    <row r="4708" spans="3:3">
      <c r="C4708" s="2"/>
    </row>
    <row r="4709" spans="3:3">
      <c r="C4709" s="2"/>
    </row>
    <row r="4710" spans="3:3">
      <c r="C4710" s="2"/>
    </row>
    <row r="4711" spans="3:3">
      <c r="C4711" s="2"/>
    </row>
    <row r="4712" spans="3:3">
      <c r="C4712" s="2"/>
    </row>
    <row r="4713" spans="3:3">
      <c r="C4713" s="2"/>
    </row>
    <row r="4714" spans="3:3">
      <c r="C4714" s="2"/>
    </row>
    <row r="4715" spans="3:3">
      <c r="C4715" s="2"/>
    </row>
    <row r="4716" spans="3:3">
      <c r="C4716" s="2"/>
    </row>
    <row r="4717" spans="3:3">
      <c r="C4717" s="2"/>
    </row>
    <row r="4718" spans="3:3">
      <c r="C4718" s="2"/>
    </row>
    <row r="4719" spans="3:3">
      <c r="C4719" s="2"/>
    </row>
    <row r="4720" spans="3:3">
      <c r="C4720" s="2"/>
    </row>
    <row r="4721" spans="3:3">
      <c r="C4721" s="2"/>
    </row>
    <row r="4722" spans="3:3">
      <c r="C4722" s="2"/>
    </row>
    <row r="4723" spans="3:3">
      <c r="C4723" s="2"/>
    </row>
    <row r="4724" spans="3:3">
      <c r="C4724" s="2"/>
    </row>
    <row r="4725" spans="3:3">
      <c r="C4725" s="2"/>
    </row>
    <row r="4726" spans="3:3">
      <c r="C4726" s="2"/>
    </row>
    <row r="4727" spans="3:3">
      <c r="C4727" s="2"/>
    </row>
    <row r="4728" spans="3:3">
      <c r="C4728" s="2"/>
    </row>
    <row r="4729" spans="3:3">
      <c r="C4729" s="2"/>
    </row>
    <row r="4730" spans="3:3">
      <c r="C4730" s="2"/>
    </row>
    <row r="4731" spans="3:3">
      <c r="C4731" s="2"/>
    </row>
    <row r="4732" spans="3:3">
      <c r="C4732" s="2"/>
    </row>
    <row r="4733" spans="3:3">
      <c r="C4733" s="2"/>
    </row>
    <row r="4734" spans="3:3">
      <c r="C4734" s="2"/>
    </row>
    <row r="4735" spans="3:3">
      <c r="C4735" s="2"/>
    </row>
    <row r="4736" spans="3:3">
      <c r="C4736" s="2"/>
    </row>
    <row r="4737" spans="3:3">
      <c r="C4737" s="2"/>
    </row>
    <row r="4738" spans="3:3">
      <c r="C4738" s="2"/>
    </row>
    <row r="4739" spans="3:3">
      <c r="C4739" s="2"/>
    </row>
    <row r="4740" spans="3:3">
      <c r="C4740" s="2"/>
    </row>
    <row r="4741" spans="3:3">
      <c r="C4741" s="2"/>
    </row>
    <row r="4742" spans="3:3">
      <c r="C4742" s="2"/>
    </row>
    <row r="4743" spans="3:3">
      <c r="C4743" s="2"/>
    </row>
    <row r="4744" spans="3:3">
      <c r="C4744" s="2"/>
    </row>
    <row r="4745" spans="3:3">
      <c r="C4745" s="2"/>
    </row>
    <row r="4746" spans="3:3">
      <c r="C4746" s="2"/>
    </row>
    <row r="4747" spans="3:3">
      <c r="C4747" s="2"/>
    </row>
    <row r="4748" spans="3:3">
      <c r="C4748" s="2"/>
    </row>
    <row r="4749" spans="3:3">
      <c r="C4749" s="2"/>
    </row>
    <row r="4750" spans="3:3">
      <c r="C4750" s="2"/>
    </row>
    <row r="4751" spans="3:3">
      <c r="C4751" s="2"/>
    </row>
    <row r="4752" spans="3:3">
      <c r="C4752" s="2"/>
    </row>
    <row r="4753" spans="3:3">
      <c r="C4753" s="2"/>
    </row>
    <row r="4754" spans="3:3">
      <c r="C4754" s="2"/>
    </row>
    <row r="4755" spans="3:3">
      <c r="C4755" s="2"/>
    </row>
    <row r="4756" spans="3:3">
      <c r="C4756" s="2"/>
    </row>
    <row r="4757" spans="3:3">
      <c r="C4757" s="2"/>
    </row>
    <row r="4758" spans="3:3">
      <c r="C4758" s="2"/>
    </row>
    <row r="4759" spans="3:3">
      <c r="C4759" s="2"/>
    </row>
    <row r="4760" spans="3:3">
      <c r="C4760" s="2"/>
    </row>
    <row r="4761" spans="3:3">
      <c r="C4761" s="2"/>
    </row>
    <row r="4762" spans="3:3">
      <c r="C4762" s="2"/>
    </row>
    <row r="4763" spans="3:3">
      <c r="C4763" s="2"/>
    </row>
    <row r="4764" spans="3:3">
      <c r="C4764" s="2"/>
    </row>
    <row r="4765" spans="3:3">
      <c r="C4765" s="2"/>
    </row>
    <row r="4766" spans="3:3">
      <c r="C4766" s="2"/>
    </row>
    <row r="4767" spans="3:3">
      <c r="C4767" s="2"/>
    </row>
    <row r="4768" spans="3:3">
      <c r="C4768" s="2"/>
    </row>
    <row r="4769" spans="3:3">
      <c r="C4769" s="2"/>
    </row>
    <row r="4770" spans="3:3">
      <c r="C4770" s="2"/>
    </row>
    <row r="4771" spans="3:3">
      <c r="C4771" s="2"/>
    </row>
    <row r="4772" spans="3:3">
      <c r="C4772" s="2"/>
    </row>
    <row r="4773" spans="3:3">
      <c r="C4773" s="2"/>
    </row>
    <row r="4774" spans="3:3">
      <c r="C4774" s="2"/>
    </row>
    <row r="4775" spans="3:3">
      <c r="C4775" s="2"/>
    </row>
    <row r="4776" spans="3:3">
      <c r="C4776" s="2"/>
    </row>
    <row r="4777" spans="3:3">
      <c r="C4777" s="2"/>
    </row>
    <row r="4778" spans="3:3">
      <c r="C4778" s="2"/>
    </row>
    <row r="4779" spans="3:3">
      <c r="C4779" s="2"/>
    </row>
    <row r="4780" spans="3:3">
      <c r="C4780" s="2"/>
    </row>
    <row r="4781" spans="3:3">
      <c r="C4781" s="2"/>
    </row>
    <row r="4782" spans="3:3">
      <c r="C4782" s="2"/>
    </row>
    <row r="4783" spans="3:3">
      <c r="C4783" s="2"/>
    </row>
    <row r="4784" spans="3:3">
      <c r="C4784" s="2"/>
    </row>
    <row r="4785" spans="3:3">
      <c r="C4785" s="2"/>
    </row>
    <row r="4786" spans="3:3">
      <c r="C4786" s="2"/>
    </row>
    <row r="4787" spans="3:3">
      <c r="C4787" s="2"/>
    </row>
    <row r="4788" spans="3:3">
      <c r="C4788" s="2"/>
    </row>
    <row r="4789" spans="3:3">
      <c r="C4789" s="2"/>
    </row>
    <row r="4790" spans="3:3">
      <c r="C4790" s="2"/>
    </row>
    <row r="4791" spans="3:3">
      <c r="C4791" s="2"/>
    </row>
    <row r="4792" spans="3:3">
      <c r="C4792" s="2"/>
    </row>
    <row r="4793" spans="3:3">
      <c r="C4793" s="2"/>
    </row>
    <row r="4794" spans="3:3">
      <c r="C4794" s="2"/>
    </row>
    <row r="4795" spans="3:3">
      <c r="C4795" s="2"/>
    </row>
    <row r="4796" spans="3:3">
      <c r="C4796" s="2"/>
    </row>
    <row r="4797" spans="3:3">
      <c r="C4797" s="2"/>
    </row>
    <row r="4798" spans="3:3">
      <c r="C4798" s="2"/>
    </row>
    <row r="4799" spans="3:3">
      <c r="C4799" s="2"/>
    </row>
    <row r="4800" spans="3:3">
      <c r="C4800" s="2"/>
    </row>
    <row r="4801" spans="3:3">
      <c r="C4801" s="2"/>
    </row>
    <row r="4802" spans="3:3">
      <c r="C4802" s="2"/>
    </row>
    <row r="4803" spans="3:3">
      <c r="C4803" s="2"/>
    </row>
    <row r="4804" spans="3:3">
      <c r="C4804" s="2"/>
    </row>
    <row r="4805" spans="3:3">
      <c r="C4805" s="2"/>
    </row>
    <row r="4806" spans="3:3">
      <c r="C4806" s="2"/>
    </row>
    <row r="4807" spans="3:3">
      <c r="C4807" s="2"/>
    </row>
    <row r="4808" spans="3:3">
      <c r="C4808" s="2"/>
    </row>
    <row r="4809" spans="3:3">
      <c r="C4809" s="2"/>
    </row>
    <row r="4810" spans="3:3">
      <c r="C4810" s="2"/>
    </row>
    <row r="4811" spans="3:3">
      <c r="C4811" s="2"/>
    </row>
    <row r="4812" spans="3:3">
      <c r="C4812" s="2"/>
    </row>
    <row r="4813" spans="3:3">
      <c r="C4813" s="2"/>
    </row>
    <row r="4814" spans="3:3">
      <c r="C4814" s="2"/>
    </row>
    <row r="4815" spans="3:3">
      <c r="C4815" s="2"/>
    </row>
    <row r="4816" spans="3:3">
      <c r="C4816" s="2"/>
    </row>
    <row r="4817" spans="3:3">
      <c r="C4817" s="2"/>
    </row>
    <row r="4818" spans="3:3">
      <c r="C4818" s="2"/>
    </row>
    <row r="4819" spans="3:3">
      <c r="C4819" s="2"/>
    </row>
    <row r="4820" spans="3:3">
      <c r="C4820" s="2"/>
    </row>
    <row r="4821" spans="3:3">
      <c r="C4821" s="2"/>
    </row>
    <row r="4822" spans="3:3">
      <c r="C4822" s="2"/>
    </row>
    <row r="4823" spans="3:3">
      <c r="C4823" s="2"/>
    </row>
    <row r="4824" spans="3:3">
      <c r="C4824" s="2"/>
    </row>
    <row r="4825" spans="3:3">
      <c r="C4825" s="2"/>
    </row>
    <row r="4826" spans="3:3">
      <c r="C4826" s="2"/>
    </row>
    <row r="4827" spans="3:3">
      <c r="C4827" s="2"/>
    </row>
    <row r="4828" spans="3:3">
      <c r="C4828" s="2"/>
    </row>
    <row r="4829" spans="3:3">
      <c r="C4829" s="2"/>
    </row>
    <row r="4830" spans="3:3">
      <c r="C4830" s="2"/>
    </row>
    <row r="4831" spans="3:3">
      <c r="C4831" s="2"/>
    </row>
    <row r="4832" spans="3:3">
      <c r="C4832" s="2"/>
    </row>
    <row r="4833" spans="3:3">
      <c r="C4833" s="2"/>
    </row>
    <row r="4834" spans="3:3">
      <c r="C4834" s="2"/>
    </row>
    <row r="4835" spans="3:3">
      <c r="C4835" s="2"/>
    </row>
    <row r="4836" spans="3:3">
      <c r="C4836" s="2"/>
    </row>
    <row r="4837" spans="3:3">
      <c r="C4837" s="2"/>
    </row>
    <row r="4838" spans="3:3">
      <c r="C4838" s="2"/>
    </row>
    <row r="4839" spans="3:3">
      <c r="C4839" s="2"/>
    </row>
    <row r="4840" spans="3:3">
      <c r="C4840" s="2"/>
    </row>
    <row r="4841" spans="3:3">
      <c r="C4841" s="2"/>
    </row>
    <row r="4842" spans="3:3">
      <c r="C4842" s="2"/>
    </row>
    <row r="4843" spans="3:3">
      <c r="C4843" s="2"/>
    </row>
    <row r="4844" spans="3:3">
      <c r="C4844" s="2"/>
    </row>
    <row r="4845" spans="3:3">
      <c r="C4845" s="2"/>
    </row>
    <row r="4846" spans="3:3">
      <c r="C4846" s="2"/>
    </row>
    <row r="4847" spans="3:3">
      <c r="C4847" s="2"/>
    </row>
    <row r="4848" spans="3:3">
      <c r="C4848" s="2"/>
    </row>
    <row r="4849" spans="3:3">
      <c r="C4849" s="2"/>
    </row>
    <row r="4850" spans="3:3">
      <c r="C4850" s="2"/>
    </row>
    <row r="4851" spans="3:3">
      <c r="C4851" s="2"/>
    </row>
    <row r="4852" spans="3:3">
      <c r="C4852" s="2"/>
    </row>
    <row r="4853" spans="3:3">
      <c r="C4853" s="2"/>
    </row>
    <row r="4854" spans="3:3">
      <c r="C4854" s="2"/>
    </row>
    <row r="4855" spans="3:3">
      <c r="C4855" s="2"/>
    </row>
    <row r="4856" spans="3:3">
      <c r="C4856" s="2"/>
    </row>
    <row r="4857" spans="3:3">
      <c r="C4857" s="2"/>
    </row>
    <row r="4858" spans="3:3">
      <c r="C4858" s="2"/>
    </row>
    <row r="4859" spans="3:3">
      <c r="C4859" s="2"/>
    </row>
    <row r="4860" spans="3:3">
      <c r="C4860" s="2"/>
    </row>
    <row r="4861" spans="3:3">
      <c r="C4861" s="2"/>
    </row>
    <row r="4862" spans="3:3">
      <c r="C4862" s="2"/>
    </row>
    <row r="4863" spans="3:3">
      <c r="C4863" s="2"/>
    </row>
    <row r="4864" spans="3:3">
      <c r="C4864" s="2"/>
    </row>
    <row r="4865" spans="3:3">
      <c r="C4865" s="2"/>
    </row>
    <row r="4866" spans="3:3">
      <c r="C4866" s="2"/>
    </row>
    <row r="4867" spans="3:3">
      <c r="C4867" s="2"/>
    </row>
    <row r="4868" spans="3:3">
      <c r="C4868" s="2"/>
    </row>
    <row r="4869" spans="3:3">
      <c r="C4869" s="2"/>
    </row>
    <row r="4870" spans="3:3">
      <c r="C4870" s="2"/>
    </row>
    <row r="4871" spans="3:3">
      <c r="C4871" s="2"/>
    </row>
    <row r="4872" spans="3:3">
      <c r="C4872" s="2"/>
    </row>
    <row r="4873" spans="3:3">
      <c r="C4873" s="2"/>
    </row>
    <row r="4874" spans="3:3">
      <c r="C4874" s="2"/>
    </row>
    <row r="4875" spans="3:3">
      <c r="C4875" s="2"/>
    </row>
    <row r="4876" spans="3:3">
      <c r="C4876" s="2"/>
    </row>
    <row r="4877" spans="3:3">
      <c r="C4877" s="2"/>
    </row>
    <row r="4878" spans="3:3">
      <c r="C4878" s="2"/>
    </row>
    <row r="4879" spans="3:3">
      <c r="C4879" s="2"/>
    </row>
    <row r="4880" spans="3:3">
      <c r="C4880" s="2"/>
    </row>
    <row r="4881" spans="3:3">
      <c r="C4881" s="2"/>
    </row>
    <row r="4882" spans="3:3">
      <c r="C4882" s="2"/>
    </row>
    <row r="4883" spans="3:3">
      <c r="C4883" s="2"/>
    </row>
    <row r="4884" spans="3:3">
      <c r="C4884" s="2"/>
    </row>
    <row r="4885" spans="3:3">
      <c r="C4885" s="2"/>
    </row>
    <row r="4886" spans="3:3">
      <c r="C4886" s="2"/>
    </row>
    <row r="4887" spans="3:3">
      <c r="C4887" s="2"/>
    </row>
    <row r="4888" spans="3:3">
      <c r="C4888" s="2"/>
    </row>
    <row r="4889" spans="3:3">
      <c r="C4889" s="2"/>
    </row>
    <row r="4890" spans="3:3">
      <c r="C4890" s="2"/>
    </row>
    <row r="4891" spans="3:3">
      <c r="C4891" s="2"/>
    </row>
    <row r="4892" spans="3:3">
      <c r="C4892" s="2"/>
    </row>
    <row r="4893" spans="3:3">
      <c r="C4893" s="2"/>
    </row>
    <row r="4894" spans="3:3">
      <c r="C4894" s="2"/>
    </row>
    <row r="4895" spans="3:3">
      <c r="C4895" s="2"/>
    </row>
    <row r="4896" spans="3:3">
      <c r="C4896" s="2"/>
    </row>
    <row r="4897" spans="3:3">
      <c r="C4897" s="2"/>
    </row>
    <row r="4898" spans="3:3">
      <c r="C4898" s="2"/>
    </row>
    <row r="4899" spans="3:3">
      <c r="C4899" s="2"/>
    </row>
    <row r="4900" spans="3:3">
      <c r="C4900" s="2"/>
    </row>
    <row r="4901" spans="3:3">
      <c r="C4901" s="2"/>
    </row>
    <row r="4902" spans="3:3">
      <c r="C4902" s="2"/>
    </row>
    <row r="4903" spans="3:3">
      <c r="C4903" s="2"/>
    </row>
    <row r="4904" spans="3:3">
      <c r="C4904" s="2"/>
    </row>
    <row r="4905" spans="3:3">
      <c r="C4905" s="2"/>
    </row>
    <row r="4906" spans="3:3">
      <c r="C4906" s="2"/>
    </row>
    <row r="4907" spans="3:3">
      <c r="C4907" s="2"/>
    </row>
    <row r="4908" spans="3:3">
      <c r="C4908" s="2"/>
    </row>
    <row r="4909" spans="3:3">
      <c r="C4909" s="2"/>
    </row>
    <row r="4910" spans="3:3">
      <c r="C4910" s="2"/>
    </row>
    <row r="4911" spans="3:3">
      <c r="C4911" s="2"/>
    </row>
    <row r="4912" spans="3:3">
      <c r="C4912" s="2"/>
    </row>
    <row r="4913" spans="3:3">
      <c r="C4913" s="2"/>
    </row>
    <row r="4914" spans="3:3">
      <c r="C4914" s="2"/>
    </row>
    <row r="4915" spans="3:3">
      <c r="C4915" s="2"/>
    </row>
    <row r="4916" spans="3:3">
      <c r="C4916" s="2"/>
    </row>
    <row r="4917" spans="3:3">
      <c r="C4917" s="2"/>
    </row>
    <row r="4918" spans="3:3">
      <c r="C4918" s="2"/>
    </row>
    <row r="4919" spans="3:3">
      <c r="C4919" s="2"/>
    </row>
    <row r="4920" spans="3:3">
      <c r="C4920" s="2"/>
    </row>
    <row r="4921" spans="3:3">
      <c r="C4921" s="2"/>
    </row>
    <row r="4922" spans="3:3">
      <c r="C4922" s="2"/>
    </row>
    <row r="4923" spans="3:3">
      <c r="C4923" s="2"/>
    </row>
    <row r="4924" spans="3:3">
      <c r="C4924" s="2"/>
    </row>
    <row r="4925" spans="3:3">
      <c r="C4925" s="2"/>
    </row>
    <row r="4926" spans="3:3">
      <c r="C4926" s="2"/>
    </row>
    <row r="4927" spans="3:3">
      <c r="C4927" s="2"/>
    </row>
    <row r="4928" spans="3:3">
      <c r="C4928" s="2"/>
    </row>
    <row r="4929" spans="3:3">
      <c r="C4929" s="2"/>
    </row>
    <row r="4930" spans="3:3">
      <c r="C4930" s="2"/>
    </row>
    <row r="4931" spans="3:3">
      <c r="C4931" s="2"/>
    </row>
    <row r="4932" spans="3:3">
      <c r="C4932" s="2"/>
    </row>
    <row r="4933" spans="3:3">
      <c r="C4933" s="2"/>
    </row>
    <row r="4934" spans="3:3">
      <c r="C4934" s="2"/>
    </row>
    <row r="4935" spans="3:3">
      <c r="C4935" s="2"/>
    </row>
    <row r="4936" spans="3:3">
      <c r="C4936" s="2"/>
    </row>
    <row r="4937" spans="3:3">
      <c r="C4937" s="2"/>
    </row>
    <row r="4938" spans="3:3">
      <c r="C4938" s="2"/>
    </row>
    <row r="4939" spans="3:3">
      <c r="C4939" s="2"/>
    </row>
    <row r="4940" spans="3:3">
      <c r="C4940" s="2"/>
    </row>
    <row r="4941" spans="3:3">
      <c r="C4941" s="2"/>
    </row>
    <row r="4942" spans="3:3">
      <c r="C4942" s="2"/>
    </row>
    <row r="4943" spans="3:3">
      <c r="C4943" s="2"/>
    </row>
    <row r="4944" spans="3:3">
      <c r="C4944" s="2"/>
    </row>
    <row r="4945" spans="3:3">
      <c r="C4945" s="2"/>
    </row>
    <row r="4946" spans="3:3">
      <c r="C4946" s="2"/>
    </row>
    <row r="4947" spans="3:3">
      <c r="C4947" s="2"/>
    </row>
    <row r="4948" spans="3:3">
      <c r="C4948" s="2"/>
    </row>
    <row r="4949" spans="3:3">
      <c r="C4949" s="2"/>
    </row>
    <row r="4950" spans="3:3">
      <c r="C4950" s="2"/>
    </row>
    <row r="4951" spans="3:3">
      <c r="C4951" s="2"/>
    </row>
    <row r="4952" spans="3:3">
      <c r="C4952" s="2"/>
    </row>
    <row r="4953" spans="3:3">
      <c r="C4953" s="2"/>
    </row>
    <row r="4954" spans="3:3">
      <c r="C4954" s="2"/>
    </row>
    <row r="4955" spans="3:3">
      <c r="C4955" s="2"/>
    </row>
    <row r="4956" spans="3:3">
      <c r="C4956" s="2"/>
    </row>
    <row r="4957" spans="3:3">
      <c r="C4957" s="2"/>
    </row>
    <row r="4958" spans="3:3">
      <c r="C4958" s="2"/>
    </row>
    <row r="4959" spans="3:3">
      <c r="C4959" s="2"/>
    </row>
    <row r="4960" spans="3:3">
      <c r="C4960" s="2"/>
    </row>
    <row r="4961" spans="3:3">
      <c r="C4961" s="2"/>
    </row>
    <row r="4962" spans="3:3">
      <c r="C4962" s="2"/>
    </row>
    <row r="4963" spans="3:3">
      <c r="C4963" s="2"/>
    </row>
    <row r="4964" spans="3:3">
      <c r="C4964" s="2"/>
    </row>
    <row r="4965" spans="3:3">
      <c r="C4965" s="2"/>
    </row>
    <row r="4966" spans="3:3">
      <c r="C4966" s="2"/>
    </row>
    <row r="4967" spans="3:3">
      <c r="C4967" s="2"/>
    </row>
    <row r="4968" spans="3:3">
      <c r="C4968" s="2"/>
    </row>
    <row r="4969" spans="3:3">
      <c r="C4969" s="2"/>
    </row>
    <row r="4970" spans="3:3">
      <c r="C4970" s="2"/>
    </row>
    <row r="4971" spans="3:3">
      <c r="C4971" s="2"/>
    </row>
    <row r="4972" spans="3:3">
      <c r="C4972" s="2"/>
    </row>
    <row r="4973" spans="3:3">
      <c r="C4973" s="2"/>
    </row>
    <row r="4974" spans="3:3">
      <c r="C4974" s="2"/>
    </row>
    <row r="4975" spans="3:3">
      <c r="C4975" s="2"/>
    </row>
    <row r="4976" spans="3:3">
      <c r="C4976" s="2"/>
    </row>
    <row r="4977" spans="3:3">
      <c r="C4977" s="2"/>
    </row>
    <row r="4978" spans="3:3">
      <c r="C4978" s="2"/>
    </row>
    <row r="4979" spans="3:3">
      <c r="C4979" s="2"/>
    </row>
    <row r="4980" spans="3:3">
      <c r="C4980" s="2"/>
    </row>
    <row r="4981" spans="3:3">
      <c r="C4981" s="2"/>
    </row>
    <row r="4982" spans="3:3">
      <c r="C4982" s="2"/>
    </row>
    <row r="4983" spans="3:3">
      <c r="C4983" s="2"/>
    </row>
    <row r="4984" spans="3:3">
      <c r="C4984" s="2"/>
    </row>
    <row r="4985" spans="3:3">
      <c r="C4985" s="2"/>
    </row>
    <row r="4986" spans="3:3">
      <c r="C4986" s="2"/>
    </row>
    <row r="4987" spans="3:3">
      <c r="C4987" s="2"/>
    </row>
    <row r="4988" spans="3:3">
      <c r="C4988" s="2"/>
    </row>
    <row r="4989" spans="3:3">
      <c r="C4989" s="2"/>
    </row>
    <row r="4990" spans="3:3">
      <c r="C4990" s="2"/>
    </row>
    <row r="4991" spans="3:3">
      <c r="C4991" s="2"/>
    </row>
    <row r="4992" spans="3:3">
      <c r="C4992" s="2"/>
    </row>
    <row r="4993" spans="3:3">
      <c r="C4993" s="2"/>
    </row>
    <row r="4994" spans="3:3">
      <c r="C4994" s="2"/>
    </row>
    <row r="4995" spans="3:3">
      <c r="C4995" s="2"/>
    </row>
    <row r="4996" spans="3:3">
      <c r="C4996" s="2"/>
    </row>
    <row r="4997" spans="3:3">
      <c r="C4997" s="2"/>
    </row>
    <row r="4998" spans="3:3">
      <c r="C4998" s="2"/>
    </row>
    <row r="4999" spans="3:3">
      <c r="C4999" s="2"/>
    </row>
    <row r="5000" spans="3:3">
      <c r="C5000" s="2"/>
    </row>
    <row r="5001" spans="3:3">
      <c r="C5001" s="2"/>
    </row>
    <row r="5002" spans="3:3">
      <c r="C5002" s="2"/>
    </row>
    <row r="5003" spans="3:3">
      <c r="C5003" s="2"/>
    </row>
    <row r="5004" spans="3:3">
      <c r="C5004" s="2"/>
    </row>
    <row r="5005" spans="3:3">
      <c r="C5005" s="2"/>
    </row>
    <row r="5006" spans="3:3">
      <c r="C5006" s="2"/>
    </row>
    <row r="5007" spans="3:3">
      <c r="C5007" s="2"/>
    </row>
    <row r="5008" spans="3:3">
      <c r="C5008" s="2"/>
    </row>
    <row r="5009" spans="3:3">
      <c r="C5009" s="2"/>
    </row>
    <row r="5010" spans="3:3">
      <c r="C5010" s="2"/>
    </row>
    <row r="5011" spans="3:3">
      <c r="C5011" s="2"/>
    </row>
    <row r="5012" spans="3:3">
      <c r="C5012" s="2"/>
    </row>
    <row r="5013" spans="3:3">
      <c r="C5013" s="2"/>
    </row>
    <row r="5014" spans="3:3">
      <c r="C5014" s="2"/>
    </row>
    <row r="5015" spans="3:3">
      <c r="C5015" s="2"/>
    </row>
    <row r="5016" spans="3:3">
      <c r="C5016" s="2"/>
    </row>
    <row r="5017" spans="3:3">
      <c r="C5017" s="2"/>
    </row>
    <row r="5018" spans="3:3">
      <c r="C5018" s="2"/>
    </row>
    <row r="5019" spans="3:3">
      <c r="C5019" s="2"/>
    </row>
    <row r="5020" spans="3:3">
      <c r="C5020" s="2"/>
    </row>
    <row r="5021" spans="3:3">
      <c r="C5021" s="2"/>
    </row>
    <row r="5022" spans="3:3">
      <c r="C5022" s="2"/>
    </row>
    <row r="5023" spans="3:3">
      <c r="C5023" s="2"/>
    </row>
    <row r="5024" spans="3:3">
      <c r="C5024" s="2"/>
    </row>
    <row r="5025" spans="3:3">
      <c r="C5025" s="2"/>
    </row>
    <row r="5026" spans="3:3">
      <c r="C5026" s="2"/>
    </row>
    <row r="5027" spans="3:3">
      <c r="C5027" s="2"/>
    </row>
    <row r="5028" spans="3:3">
      <c r="C5028" s="2"/>
    </row>
    <row r="5029" spans="3:3">
      <c r="C5029" s="2"/>
    </row>
    <row r="5030" spans="3:3">
      <c r="C5030" s="2"/>
    </row>
    <row r="5031" spans="3:3">
      <c r="C5031" s="2"/>
    </row>
    <row r="5032" spans="3:3">
      <c r="C5032" s="2"/>
    </row>
    <row r="5033" spans="3:3">
      <c r="C5033" s="2"/>
    </row>
    <row r="5034" spans="3:3">
      <c r="C5034" s="2"/>
    </row>
    <row r="5035" spans="3:3">
      <c r="C5035" s="2"/>
    </row>
    <row r="5036" spans="3:3">
      <c r="C5036" s="2"/>
    </row>
    <row r="5037" spans="3:3">
      <c r="C5037" s="2"/>
    </row>
    <row r="5038" spans="3:3">
      <c r="C5038" s="2"/>
    </row>
    <row r="5039" spans="3:3">
      <c r="C5039" s="2"/>
    </row>
    <row r="5040" spans="3:3">
      <c r="C5040" s="2"/>
    </row>
    <row r="5041" spans="3:3">
      <c r="C5041" s="2"/>
    </row>
    <row r="5042" spans="3:3">
      <c r="C5042" s="2"/>
    </row>
    <row r="5043" spans="3:3">
      <c r="C5043" s="2"/>
    </row>
    <row r="5044" spans="3:3">
      <c r="C5044" s="2"/>
    </row>
    <row r="5045" spans="3:3">
      <c r="C5045" s="2"/>
    </row>
    <row r="5046" spans="3:3">
      <c r="C5046" s="2"/>
    </row>
    <row r="5047" spans="3:3">
      <c r="C5047" s="2"/>
    </row>
    <row r="5048" spans="3:3">
      <c r="C5048" s="2"/>
    </row>
    <row r="5049" spans="3:3">
      <c r="C5049" s="2"/>
    </row>
    <row r="5050" spans="3:3">
      <c r="C5050" s="2"/>
    </row>
    <row r="5051" spans="3:3">
      <c r="C5051" s="2"/>
    </row>
    <row r="5052" spans="3:3">
      <c r="C5052" s="2"/>
    </row>
    <row r="5053" spans="3:3">
      <c r="C5053" s="2"/>
    </row>
    <row r="5054" spans="3:3">
      <c r="C5054" s="2"/>
    </row>
    <row r="5055" spans="3:3">
      <c r="C5055" s="2"/>
    </row>
    <row r="5056" spans="3:3">
      <c r="C5056" s="2"/>
    </row>
    <row r="5057" spans="3:3">
      <c r="C5057" s="2"/>
    </row>
    <row r="5058" spans="3:3">
      <c r="C5058" s="2"/>
    </row>
    <row r="5059" spans="3:3">
      <c r="C5059" s="2"/>
    </row>
    <row r="5060" spans="3:3">
      <c r="C5060" s="2"/>
    </row>
    <row r="5061" spans="3:3">
      <c r="C5061" s="2"/>
    </row>
    <row r="5062" spans="3:3">
      <c r="C5062" s="2"/>
    </row>
    <row r="5063" spans="3:3">
      <c r="C5063" s="2"/>
    </row>
    <row r="5064" spans="3:3">
      <c r="C5064" s="2"/>
    </row>
    <row r="5065" spans="3:3">
      <c r="C5065" s="2"/>
    </row>
    <row r="5066" spans="3:3">
      <c r="C5066" s="2"/>
    </row>
    <row r="5067" spans="3:3">
      <c r="C5067" s="2"/>
    </row>
    <row r="5068" spans="3:3">
      <c r="C5068" s="2"/>
    </row>
    <row r="5069" spans="3:3">
      <c r="C5069" s="2"/>
    </row>
    <row r="5070" spans="3:3">
      <c r="C5070" s="2"/>
    </row>
    <row r="5071" spans="3:3">
      <c r="C5071" s="2"/>
    </row>
    <row r="5072" spans="3:3">
      <c r="C5072" s="2"/>
    </row>
    <row r="5073" spans="3:3">
      <c r="C5073" s="2"/>
    </row>
    <row r="5074" spans="3:3">
      <c r="C5074" s="2"/>
    </row>
    <row r="5075" spans="3:3">
      <c r="C5075" s="2"/>
    </row>
    <row r="5076" spans="3:3">
      <c r="C5076" s="2"/>
    </row>
    <row r="5077" spans="3:3">
      <c r="C5077" s="2"/>
    </row>
    <row r="5078" spans="3:3">
      <c r="C5078" s="2"/>
    </row>
    <row r="5079" spans="3:3">
      <c r="C5079" s="2"/>
    </row>
    <row r="5080" spans="3:3">
      <c r="C5080" s="2"/>
    </row>
    <row r="5081" spans="3:3">
      <c r="C5081" s="2"/>
    </row>
    <row r="5082" spans="3:3">
      <c r="C5082" s="2"/>
    </row>
    <row r="5083" spans="3:3">
      <c r="C5083" s="2"/>
    </row>
    <row r="5084" spans="3:3">
      <c r="C5084" s="2"/>
    </row>
    <row r="5085" spans="3:3">
      <c r="C5085" s="2"/>
    </row>
    <row r="5086" spans="3:3">
      <c r="C5086" s="2"/>
    </row>
    <row r="5087" spans="3:3">
      <c r="C5087" s="2"/>
    </row>
    <row r="5088" spans="3:3">
      <c r="C5088" s="2"/>
    </row>
    <row r="5089" spans="3:3">
      <c r="C5089" s="2"/>
    </row>
    <row r="5090" spans="3:3">
      <c r="C5090" s="2"/>
    </row>
    <row r="5091" spans="3:3">
      <c r="C5091" s="2"/>
    </row>
    <row r="5092" spans="3:3">
      <c r="C5092" s="2"/>
    </row>
    <row r="5093" spans="3:3">
      <c r="C5093" s="2"/>
    </row>
    <row r="5094" spans="3:3">
      <c r="C5094" s="2"/>
    </row>
    <row r="5095" spans="3:3">
      <c r="C5095" s="2"/>
    </row>
    <row r="5096" spans="3:3">
      <c r="C5096" s="2"/>
    </row>
    <row r="5097" spans="3:3">
      <c r="C5097" s="2"/>
    </row>
    <row r="5098" spans="3:3">
      <c r="C5098" s="2"/>
    </row>
    <row r="5099" spans="3:3">
      <c r="C5099" s="2"/>
    </row>
    <row r="5100" spans="3:3">
      <c r="C5100" s="2"/>
    </row>
    <row r="5101" spans="3:3">
      <c r="C5101" s="2"/>
    </row>
    <row r="5102" spans="3:3">
      <c r="C5102" s="2"/>
    </row>
    <row r="5103" spans="3:3">
      <c r="C5103" s="2"/>
    </row>
    <row r="5104" spans="3:3">
      <c r="C5104" s="2"/>
    </row>
    <row r="5105" spans="3:3">
      <c r="C5105" s="2"/>
    </row>
    <row r="5106" spans="3:3">
      <c r="C5106" s="2"/>
    </row>
    <row r="5107" spans="3:3">
      <c r="C5107" s="2"/>
    </row>
    <row r="5108" spans="3:3">
      <c r="C5108" s="2"/>
    </row>
    <row r="5109" spans="3:3">
      <c r="C5109" s="2"/>
    </row>
    <row r="5110" spans="3:3">
      <c r="C5110" s="2"/>
    </row>
    <row r="5111" spans="3:3">
      <c r="C5111" s="2"/>
    </row>
    <row r="5112" spans="3:3">
      <c r="C5112" s="2"/>
    </row>
    <row r="5113" spans="3:3">
      <c r="C5113" s="2"/>
    </row>
    <row r="5114" spans="3:3">
      <c r="C5114" s="2"/>
    </row>
    <row r="5115" spans="3:3">
      <c r="C5115" s="2"/>
    </row>
    <row r="5116" spans="3:3">
      <c r="C5116" s="2"/>
    </row>
    <row r="5117" spans="3:3">
      <c r="C5117" s="2"/>
    </row>
    <row r="5118" spans="3:3">
      <c r="C5118" s="2"/>
    </row>
    <row r="5119" spans="3:3">
      <c r="C5119" s="2"/>
    </row>
    <row r="5120" spans="3:3">
      <c r="C5120" s="2"/>
    </row>
    <row r="5121" spans="3:3">
      <c r="C5121" s="2"/>
    </row>
    <row r="5122" spans="3:3">
      <c r="C5122" s="2"/>
    </row>
    <row r="5123" spans="3:3">
      <c r="C5123" s="2"/>
    </row>
    <row r="5124" spans="3:3">
      <c r="C5124" s="2"/>
    </row>
    <row r="5125" spans="3:3">
      <c r="C5125" s="2"/>
    </row>
    <row r="5126" spans="3:3">
      <c r="C5126" s="2"/>
    </row>
    <row r="5127" spans="3:3">
      <c r="C5127" s="2"/>
    </row>
    <row r="5128" spans="3:3">
      <c r="C5128" s="2"/>
    </row>
    <row r="5129" spans="3:3">
      <c r="C5129" s="2"/>
    </row>
    <row r="5130" spans="3:3">
      <c r="C5130" s="2"/>
    </row>
    <row r="5131" spans="3:3">
      <c r="C5131" s="2"/>
    </row>
    <row r="5132" spans="3:3">
      <c r="C5132" s="2"/>
    </row>
    <row r="5133" spans="3:3">
      <c r="C5133" s="2"/>
    </row>
    <row r="5134" spans="3:3">
      <c r="C5134" s="2"/>
    </row>
    <row r="5135" spans="3:3">
      <c r="C5135" s="2"/>
    </row>
    <row r="5136" spans="3:3">
      <c r="C5136" s="2"/>
    </row>
    <row r="5137" spans="3:3">
      <c r="C5137" s="2"/>
    </row>
    <row r="5138" spans="3:3">
      <c r="C5138" s="2"/>
    </row>
    <row r="5139" spans="3:3">
      <c r="C5139" s="2"/>
    </row>
    <row r="5140" spans="3:3">
      <c r="C5140" s="2"/>
    </row>
    <row r="5141" spans="3:3">
      <c r="C5141" s="2"/>
    </row>
    <row r="5142" spans="3:3">
      <c r="C5142" s="2"/>
    </row>
    <row r="5143" spans="3:3">
      <c r="C5143" s="2"/>
    </row>
    <row r="5144" spans="3:3">
      <c r="C5144" s="2"/>
    </row>
    <row r="5145" spans="3:3">
      <c r="C5145" s="2"/>
    </row>
    <row r="5146" spans="3:3">
      <c r="C5146" s="2"/>
    </row>
    <row r="5147" spans="3:3">
      <c r="C5147" s="2"/>
    </row>
    <row r="5148" spans="3:3">
      <c r="C5148" s="2"/>
    </row>
    <row r="5149" spans="3:3">
      <c r="C5149" s="2"/>
    </row>
    <row r="5150" spans="3:3">
      <c r="C5150" s="2"/>
    </row>
    <row r="5151" spans="3:3">
      <c r="C5151" s="2"/>
    </row>
    <row r="5152" spans="3:3">
      <c r="C5152" s="2"/>
    </row>
    <row r="5153" spans="3:3">
      <c r="C5153" s="2"/>
    </row>
    <row r="5154" spans="3:3">
      <c r="C5154" s="2"/>
    </row>
    <row r="5155" spans="3:3">
      <c r="C5155" s="2"/>
    </row>
    <row r="5156" spans="3:3">
      <c r="C5156" s="2"/>
    </row>
    <row r="5157" spans="3:3">
      <c r="C5157" s="2"/>
    </row>
    <row r="5158" spans="3:3">
      <c r="C5158" s="2"/>
    </row>
    <row r="5159" spans="3:3">
      <c r="C5159" s="2"/>
    </row>
    <row r="5160" spans="3:3">
      <c r="C5160" s="2"/>
    </row>
    <row r="5161" spans="3:3">
      <c r="C5161" s="2"/>
    </row>
    <row r="5162" spans="3:3">
      <c r="C5162" s="2"/>
    </row>
    <row r="5163" spans="3:3">
      <c r="C5163" s="2"/>
    </row>
    <row r="5164" spans="3:3">
      <c r="C5164" s="2"/>
    </row>
    <row r="5165" spans="3:3">
      <c r="C5165" s="2"/>
    </row>
    <row r="5166" spans="3:3">
      <c r="C5166" s="2"/>
    </row>
    <row r="5167" spans="3:3">
      <c r="C5167" s="2"/>
    </row>
    <row r="5168" spans="3:3">
      <c r="C5168" s="2"/>
    </row>
    <row r="5169" spans="3:3">
      <c r="C5169" s="2"/>
    </row>
    <row r="5170" spans="3:3">
      <c r="C5170" s="2"/>
    </row>
    <row r="5171" spans="3:3">
      <c r="C5171" s="2"/>
    </row>
    <row r="5172" spans="3:3">
      <c r="C5172" s="2"/>
    </row>
    <row r="5173" spans="3:3">
      <c r="C5173" s="2"/>
    </row>
    <row r="5174" spans="3:3">
      <c r="C5174" s="2"/>
    </row>
    <row r="5175" spans="3:3">
      <c r="C5175" s="2"/>
    </row>
    <row r="5176" spans="3:3">
      <c r="C5176" s="2"/>
    </row>
    <row r="5177" spans="3:3">
      <c r="C5177" s="2"/>
    </row>
    <row r="5178" spans="3:3">
      <c r="C5178" s="2"/>
    </row>
    <row r="5179" spans="3:3">
      <c r="C5179" s="2"/>
    </row>
    <row r="5180" spans="3:3">
      <c r="C5180" s="2"/>
    </row>
    <row r="5181" spans="3:3">
      <c r="C5181" s="2"/>
    </row>
    <row r="5182" spans="3:3">
      <c r="C5182" s="2"/>
    </row>
    <row r="5183" spans="3:3">
      <c r="C5183" s="2"/>
    </row>
    <row r="5184" spans="3:3">
      <c r="C5184" s="2"/>
    </row>
    <row r="5185" spans="3:3">
      <c r="C5185" s="2"/>
    </row>
    <row r="5186" spans="3:3">
      <c r="C5186" s="2"/>
    </row>
    <row r="5187" spans="3:3">
      <c r="C5187" s="2"/>
    </row>
    <row r="5188" spans="3:3">
      <c r="C5188" s="2"/>
    </row>
    <row r="5189" spans="3:3">
      <c r="C5189" s="2"/>
    </row>
    <row r="5190" spans="3:3">
      <c r="C5190" s="2"/>
    </row>
    <row r="5191" spans="3:3">
      <c r="C5191" s="2"/>
    </row>
    <row r="5192" spans="3:3">
      <c r="C5192" s="2"/>
    </row>
    <row r="5193" spans="3:3">
      <c r="C5193" s="2"/>
    </row>
    <row r="5194" spans="3:3">
      <c r="C5194" s="2"/>
    </row>
    <row r="5195" spans="3:3">
      <c r="C5195" s="2"/>
    </row>
    <row r="5196" spans="3:3">
      <c r="C5196" s="2"/>
    </row>
    <row r="5197" spans="3:3">
      <c r="C5197" s="2"/>
    </row>
    <row r="5198" spans="3:3">
      <c r="C5198" s="2"/>
    </row>
    <row r="5199" spans="3:3">
      <c r="C5199" s="2"/>
    </row>
    <row r="5200" spans="3:3">
      <c r="C5200" s="2"/>
    </row>
    <row r="5201" spans="3:3">
      <c r="C5201" s="2"/>
    </row>
    <row r="5202" spans="3:3">
      <c r="C5202" s="2"/>
    </row>
    <row r="5203" spans="3:3">
      <c r="C5203" s="2"/>
    </row>
    <row r="5204" spans="3:3">
      <c r="C5204" s="2"/>
    </row>
    <row r="5205" spans="3:3">
      <c r="C5205" s="2"/>
    </row>
    <row r="5206" spans="3:3">
      <c r="C5206" s="2"/>
    </row>
    <row r="5207" spans="3:3">
      <c r="C5207" s="2"/>
    </row>
    <row r="5208" spans="3:3">
      <c r="C5208" s="2"/>
    </row>
    <row r="5209" spans="3:3">
      <c r="C5209" s="2"/>
    </row>
    <row r="5210" spans="3:3">
      <c r="C5210" s="2"/>
    </row>
    <row r="5211" spans="3:3">
      <c r="C5211" s="2"/>
    </row>
    <row r="5212" spans="3:3">
      <c r="C5212" s="2"/>
    </row>
    <row r="5213" spans="3:3">
      <c r="C5213" s="2"/>
    </row>
    <row r="5214" spans="3:3">
      <c r="C5214" s="2"/>
    </row>
    <row r="5215" spans="3:3">
      <c r="C5215" s="2"/>
    </row>
    <row r="5216" spans="3:3">
      <c r="C5216" s="2"/>
    </row>
    <row r="5217" spans="3:3">
      <c r="C5217" s="2"/>
    </row>
    <row r="5218" spans="3:3">
      <c r="C5218" s="2"/>
    </row>
    <row r="5219" spans="3:3">
      <c r="C5219" s="2"/>
    </row>
    <row r="5220" spans="3:3">
      <c r="C5220" s="2"/>
    </row>
    <row r="5221" spans="3:3">
      <c r="C5221" s="2"/>
    </row>
    <row r="5222" spans="3:3">
      <c r="C5222" s="2"/>
    </row>
    <row r="5223" spans="3:3">
      <c r="C5223" s="2"/>
    </row>
    <row r="5224" spans="3:3">
      <c r="C5224" s="2"/>
    </row>
    <row r="5225" spans="3:3">
      <c r="C5225" s="2"/>
    </row>
    <row r="5226" spans="3:3">
      <c r="C5226" s="2"/>
    </row>
    <row r="5227" spans="3:3">
      <c r="C5227" s="2"/>
    </row>
    <row r="5228" spans="3:3">
      <c r="C5228" s="2"/>
    </row>
    <row r="5229" spans="3:3">
      <c r="C5229" s="2"/>
    </row>
    <row r="5230" spans="3:3">
      <c r="C5230" s="2"/>
    </row>
    <row r="5231" spans="3:3">
      <c r="C5231" s="2"/>
    </row>
    <row r="5232" spans="3:3">
      <c r="C5232" s="2"/>
    </row>
    <row r="5233" spans="3:3">
      <c r="C5233" s="2"/>
    </row>
    <row r="5234" spans="3:3">
      <c r="C5234" s="2"/>
    </row>
    <row r="5235" spans="3:3">
      <c r="C5235" s="2"/>
    </row>
    <row r="5236" spans="3:3">
      <c r="C5236" s="2"/>
    </row>
    <row r="5237" spans="3:3">
      <c r="C5237" s="2"/>
    </row>
    <row r="5238" spans="3:3">
      <c r="C5238" s="2"/>
    </row>
    <row r="5239" spans="3:3">
      <c r="C5239" s="2"/>
    </row>
    <row r="5240" spans="3:3">
      <c r="C5240" s="2"/>
    </row>
    <row r="5241" spans="3:3">
      <c r="C5241" s="2"/>
    </row>
    <row r="5242" spans="3:3">
      <c r="C5242" s="2"/>
    </row>
    <row r="5243" spans="3:3">
      <c r="C5243" s="2"/>
    </row>
    <row r="5244" spans="3:3">
      <c r="C5244" s="2"/>
    </row>
    <row r="5245" spans="3:3">
      <c r="C5245" s="2"/>
    </row>
    <row r="5246" spans="3:3">
      <c r="C5246" s="2"/>
    </row>
    <row r="5247" spans="3:3">
      <c r="C5247" s="2"/>
    </row>
    <row r="5248" spans="3:3">
      <c r="C5248" s="2"/>
    </row>
    <row r="5249" spans="3:3">
      <c r="C5249" s="2"/>
    </row>
    <row r="5250" spans="3:3">
      <c r="C5250" s="2"/>
    </row>
    <row r="5251" spans="3:3">
      <c r="C5251" s="2"/>
    </row>
    <row r="5252" spans="3:3">
      <c r="C5252" s="2"/>
    </row>
    <row r="5253" spans="3:3">
      <c r="C5253" s="2"/>
    </row>
    <row r="5254" spans="3:3">
      <c r="C5254" s="2"/>
    </row>
    <row r="5255" spans="3:3">
      <c r="C5255" s="2"/>
    </row>
    <row r="5256" spans="3:3">
      <c r="C5256" s="2"/>
    </row>
    <row r="5257" spans="3:3">
      <c r="C5257" s="2"/>
    </row>
    <row r="5258" spans="3:3">
      <c r="C5258" s="2"/>
    </row>
    <row r="5259" spans="3:3">
      <c r="C5259" s="2"/>
    </row>
    <row r="5260" spans="3:3">
      <c r="C5260" s="2"/>
    </row>
    <row r="5261" spans="3:3">
      <c r="C5261" s="2"/>
    </row>
    <row r="5262" spans="3:3">
      <c r="C5262" s="2"/>
    </row>
    <row r="5263" spans="3:3">
      <c r="C5263" s="2"/>
    </row>
    <row r="5264" spans="3:3">
      <c r="C5264" s="2"/>
    </row>
    <row r="5265" spans="3:3">
      <c r="C5265" s="2"/>
    </row>
    <row r="5266" spans="3:3">
      <c r="C5266" s="2"/>
    </row>
    <row r="5267" spans="3:3">
      <c r="C5267" s="2"/>
    </row>
    <row r="5268" spans="3:3">
      <c r="C5268" s="2"/>
    </row>
    <row r="5269" spans="3:3">
      <c r="C5269" s="2"/>
    </row>
    <row r="5270" spans="3:3">
      <c r="C5270" s="2"/>
    </row>
    <row r="5271" spans="3:3">
      <c r="C5271" s="2"/>
    </row>
    <row r="5272" spans="3:3">
      <c r="C5272" s="2"/>
    </row>
    <row r="5273" spans="3:3">
      <c r="C5273" s="2"/>
    </row>
    <row r="5274" spans="3:3">
      <c r="C5274" s="2"/>
    </row>
    <row r="5275" spans="3:3">
      <c r="C5275" s="2"/>
    </row>
    <row r="5276" spans="3:3">
      <c r="C5276" s="2"/>
    </row>
    <row r="5277" spans="3:3">
      <c r="C5277" s="2"/>
    </row>
    <row r="5278" spans="3:3">
      <c r="C5278" s="2"/>
    </row>
    <row r="5279" spans="3:3">
      <c r="C5279" s="2"/>
    </row>
    <row r="5280" spans="3:3">
      <c r="C5280" s="2"/>
    </row>
    <row r="5281" spans="3:3">
      <c r="C5281" s="2"/>
    </row>
    <row r="5282" spans="3:3">
      <c r="C5282" s="2"/>
    </row>
    <row r="5283" spans="3:3">
      <c r="C5283" s="2"/>
    </row>
    <row r="5284" spans="3:3">
      <c r="C5284" s="2"/>
    </row>
    <row r="5285" spans="3:3">
      <c r="C5285" s="2"/>
    </row>
    <row r="5286" spans="3:3">
      <c r="C5286" s="2"/>
    </row>
    <row r="5287" spans="3:3">
      <c r="C5287" s="2"/>
    </row>
    <row r="5288" spans="3:3">
      <c r="C5288" s="2"/>
    </row>
    <row r="5289" spans="3:3">
      <c r="C5289" s="2"/>
    </row>
    <row r="5290" spans="3:3">
      <c r="C5290" s="2"/>
    </row>
    <row r="5291" spans="3:3">
      <c r="C5291" s="2"/>
    </row>
    <row r="5292" spans="3:3">
      <c r="C5292" s="2"/>
    </row>
    <row r="5293" spans="3:3">
      <c r="C5293" s="2"/>
    </row>
    <row r="5294" spans="3:3">
      <c r="C5294" s="2"/>
    </row>
    <row r="5295" spans="3:3">
      <c r="C5295" s="2"/>
    </row>
  </sheetData>
  <mergeCells count="3">
    <mergeCell ref="A1:F1"/>
    <mergeCell ref="I1:K1"/>
    <mergeCell ref="M1:P1"/>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H161"/>
  <sheetViews>
    <sheetView topLeftCell="A75" workbookViewId="0">
      <selection activeCell="A81" sqref="A81"/>
    </sheetView>
  </sheetViews>
  <sheetFormatPr defaultColWidth="9.140625" defaultRowHeight="15"/>
  <cols>
    <col min="1" max="1" width="6.85546875" style="2" bestFit="1" customWidth="1"/>
    <col min="2" max="2" width="4.85546875" style="2" bestFit="1" customWidth="1"/>
    <col min="3" max="3" width="42.28515625" style="2" bestFit="1" customWidth="1"/>
    <col min="4" max="4" width="10" style="2" bestFit="1" customWidth="1"/>
    <col min="5" max="5" width="6.140625" style="2" bestFit="1" customWidth="1"/>
    <col min="6" max="6" width="8.42578125" style="2" bestFit="1" customWidth="1"/>
    <col min="7" max="7" width="4.85546875" style="2" bestFit="1" customWidth="1"/>
    <col min="8" max="8" width="6.85546875" style="2" bestFit="1" customWidth="1"/>
    <col min="9" max="16384" width="9.140625" style="2"/>
  </cols>
  <sheetData>
    <row r="1" spans="1:8" ht="26.25">
      <c r="A1" s="47" t="s">
        <v>465</v>
      </c>
      <c r="B1" s="47" t="s">
        <v>374</v>
      </c>
      <c r="C1" s="47" t="s">
        <v>375</v>
      </c>
      <c r="D1" s="47" t="s">
        <v>376</v>
      </c>
      <c r="E1" s="47" t="s">
        <v>377</v>
      </c>
      <c r="F1" s="47" t="s">
        <v>378</v>
      </c>
      <c r="G1" s="47" t="s">
        <v>374</v>
      </c>
      <c r="H1" s="47" t="s">
        <v>465</v>
      </c>
    </row>
    <row r="2" spans="1:8">
      <c r="A2" s="2">
        <v>1</v>
      </c>
      <c r="B2" s="2">
        <v>1</v>
      </c>
      <c r="C2" s="2" t="s">
        <v>61</v>
      </c>
      <c r="D2" s="2" t="s">
        <v>10</v>
      </c>
      <c r="E2" s="2" t="s">
        <v>32</v>
      </c>
      <c r="F2" s="2" t="s">
        <v>651</v>
      </c>
      <c r="G2" s="2">
        <v>1</v>
      </c>
      <c r="H2" s="2">
        <v>1</v>
      </c>
    </row>
    <row r="3" spans="1:8">
      <c r="A3" s="2">
        <v>1</v>
      </c>
      <c r="B3" s="2">
        <v>2</v>
      </c>
      <c r="C3" s="2" t="s">
        <v>468</v>
      </c>
      <c r="D3" s="2" t="s">
        <v>10</v>
      </c>
      <c r="E3" s="2" t="s">
        <v>35</v>
      </c>
      <c r="F3" s="2" t="s">
        <v>652</v>
      </c>
      <c r="G3" s="2">
        <v>2</v>
      </c>
      <c r="H3" s="2">
        <v>1</v>
      </c>
    </row>
    <row r="4" spans="1:8">
      <c r="A4" s="2">
        <v>1</v>
      </c>
      <c r="B4" s="2">
        <v>3</v>
      </c>
      <c r="C4" s="2" t="s">
        <v>167</v>
      </c>
      <c r="D4" s="2" t="s">
        <v>10</v>
      </c>
      <c r="E4" s="2" t="s">
        <v>15</v>
      </c>
      <c r="F4" s="2" t="s">
        <v>653</v>
      </c>
      <c r="G4" s="2">
        <v>3</v>
      </c>
      <c r="H4" s="2">
        <v>1</v>
      </c>
    </row>
    <row r="5" spans="1:8">
      <c r="A5" s="2">
        <v>1</v>
      </c>
      <c r="B5" s="2">
        <v>4</v>
      </c>
      <c r="C5" s="2" t="s">
        <v>161</v>
      </c>
      <c r="D5" s="2" t="s">
        <v>2</v>
      </c>
      <c r="E5" s="2" t="s">
        <v>82</v>
      </c>
      <c r="F5" s="2" t="s">
        <v>654</v>
      </c>
      <c r="G5" s="2">
        <v>4</v>
      </c>
      <c r="H5" s="2">
        <v>1</v>
      </c>
    </row>
    <row r="6" spans="1:8">
      <c r="A6" s="2">
        <v>1</v>
      </c>
      <c r="B6" s="2">
        <v>5</v>
      </c>
      <c r="C6" s="2" t="s">
        <v>656</v>
      </c>
      <c r="D6" s="2" t="s">
        <v>10</v>
      </c>
      <c r="E6" s="2" t="s">
        <v>13</v>
      </c>
      <c r="F6" s="2" t="s">
        <v>655</v>
      </c>
      <c r="G6" s="2">
        <v>5</v>
      </c>
      <c r="H6" s="2">
        <v>1</v>
      </c>
    </row>
    <row r="7" spans="1:8">
      <c r="A7" s="2">
        <v>1</v>
      </c>
      <c r="B7" s="2">
        <v>6</v>
      </c>
      <c r="C7" s="2" t="s">
        <v>748</v>
      </c>
      <c r="D7" s="2" t="s">
        <v>674</v>
      </c>
      <c r="E7" s="2" t="s">
        <v>675</v>
      </c>
      <c r="F7" s="2" t="s">
        <v>657</v>
      </c>
      <c r="G7" s="2">
        <v>6</v>
      </c>
      <c r="H7" s="2">
        <v>1</v>
      </c>
    </row>
    <row r="8" spans="1:8">
      <c r="A8" s="2">
        <v>1</v>
      </c>
      <c r="B8" s="2">
        <v>7</v>
      </c>
      <c r="C8" s="2" t="s">
        <v>40</v>
      </c>
      <c r="D8" s="2" t="s">
        <v>671</v>
      </c>
      <c r="E8" s="2" t="s">
        <v>41</v>
      </c>
      <c r="F8" s="2" t="s">
        <v>658</v>
      </c>
      <c r="G8" s="2">
        <v>7</v>
      </c>
      <c r="H8" s="2">
        <v>1</v>
      </c>
    </row>
    <row r="9" spans="1:8">
      <c r="A9" s="2">
        <v>1</v>
      </c>
      <c r="B9" s="2">
        <v>8</v>
      </c>
      <c r="C9" s="2" t="s">
        <v>581</v>
      </c>
      <c r="D9" s="2" t="s">
        <v>671</v>
      </c>
      <c r="E9" s="2" t="s">
        <v>676</v>
      </c>
      <c r="F9" s="2" t="s">
        <v>659</v>
      </c>
      <c r="G9" s="2">
        <v>8</v>
      </c>
      <c r="H9" s="2">
        <v>1</v>
      </c>
    </row>
    <row r="10" spans="1:8">
      <c r="A10" s="2">
        <v>1</v>
      </c>
      <c r="B10" s="2">
        <v>9</v>
      </c>
      <c r="C10" s="2" t="s">
        <v>583</v>
      </c>
      <c r="D10" s="2" t="s">
        <v>671</v>
      </c>
      <c r="E10" s="2" t="s">
        <v>23</v>
      </c>
      <c r="F10" s="2" t="s">
        <v>660</v>
      </c>
      <c r="G10" s="2">
        <v>9</v>
      </c>
      <c r="H10" s="2">
        <v>1</v>
      </c>
    </row>
    <row r="11" spans="1:8">
      <c r="A11" s="2">
        <v>1</v>
      </c>
      <c r="B11" s="2">
        <v>10</v>
      </c>
      <c r="C11" s="2" t="s">
        <v>83</v>
      </c>
      <c r="D11" s="2" t="s">
        <v>671</v>
      </c>
      <c r="E11" s="2" t="s">
        <v>84</v>
      </c>
      <c r="F11" s="2" t="s">
        <v>661</v>
      </c>
      <c r="G11" s="2">
        <v>10</v>
      </c>
      <c r="H11" s="2">
        <v>1</v>
      </c>
    </row>
    <row r="12" spans="1:8">
      <c r="A12" s="2">
        <v>2</v>
      </c>
      <c r="B12" s="2">
        <v>11</v>
      </c>
      <c r="C12" s="2" t="s">
        <v>59</v>
      </c>
      <c r="D12" s="2" t="s">
        <v>674</v>
      </c>
      <c r="E12" s="2" t="s">
        <v>60</v>
      </c>
      <c r="F12" s="2" t="s">
        <v>661</v>
      </c>
      <c r="G12" s="2">
        <v>11</v>
      </c>
      <c r="H12" s="2">
        <v>2</v>
      </c>
    </row>
    <row r="13" spans="1:8">
      <c r="A13" s="2">
        <v>2</v>
      </c>
      <c r="B13" s="2">
        <v>12</v>
      </c>
      <c r="C13" s="2" t="s">
        <v>44</v>
      </c>
      <c r="D13" s="2" t="s">
        <v>27</v>
      </c>
      <c r="E13" s="2" t="s">
        <v>13</v>
      </c>
      <c r="F13" s="2" t="s">
        <v>660</v>
      </c>
      <c r="G13" s="2">
        <v>12</v>
      </c>
      <c r="H13" s="2">
        <v>2</v>
      </c>
    </row>
    <row r="14" spans="1:8">
      <c r="A14" s="2">
        <v>2</v>
      </c>
      <c r="B14" s="2">
        <v>13</v>
      </c>
      <c r="C14" s="2" t="s">
        <v>437</v>
      </c>
      <c r="D14" s="2" t="s">
        <v>671</v>
      </c>
      <c r="E14" s="2" t="s">
        <v>137</v>
      </c>
      <c r="F14" s="2" t="s">
        <v>659</v>
      </c>
      <c r="G14" s="2">
        <v>13</v>
      </c>
      <c r="H14" s="2">
        <v>2</v>
      </c>
    </row>
    <row r="15" spans="1:8">
      <c r="A15" s="2">
        <v>2</v>
      </c>
      <c r="B15" s="2">
        <v>14</v>
      </c>
      <c r="C15" s="2" t="s">
        <v>528</v>
      </c>
      <c r="D15" s="2" t="s">
        <v>674</v>
      </c>
      <c r="E15" s="2" t="s">
        <v>71</v>
      </c>
      <c r="F15" s="2" t="s">
        <v>658</v>
      </c>
      <c r="G15" s="2">
        <v>14</v>
      </c>
      <c r="H15" s="2">
        <v>2</v>
      </c>
    </row>
    <row r="16" spans="1:8">
      <c r="A16" s="2">
        <v>2</v>
      </c>
      <c r="B16" s="2">
        <v>15</v>
      </c>
      <c r="C16" s="2" t="s">
        <v>433</v>
      </c>
      <c r="D16" s="2" t="s">
        <v>671</v>
      </c>
      <c r="E16" s="2" t="s">
        <v>73</v>
      </c>
      <c r="F16" s="2" t="s">
        <v>657</v>
      </c>
      <c r="G16" s="2">
        <v>15</v>
      </c>
      <c r="H16" s="2">
        <v>2</v>
      </c>
    </row>
    <row r="17" spans="1:8">
      <c r="A17" s="2">
        <v>2</v>
      </c>
      <c r="B17" s="2">
        <v>16</v>
      </c>
      <c r="C17" s="2" t="s">
        <v>168</v>
      </c>
      <c r="D17" s="2" t="s">
        <v>674</v>
      </c>
      <c r="E17" s="2" t="s">
        <v>677</v>
      </c>
      <c r="F17" s="2" t="s">
        <v>662</v>
      </c>
      <c r="G17" s="2">
        <v>16</v>
      </c>
      <c r="H17" s="2">
        <v>2</v>
      </c>
    </row>
    <row r="18" spans="1:8">
      <c r="A18" s="2">
        <v>2</v>
      </c>
      <c r="B18" s="2">
        <v>17</v>
      </c>
      <c r="C18" s="2" t="s">
        <v>115</v>
      </c>
      <c r="D18" s="2" t="s">
        <v>674</v>
      </c>
      <c r="E18" s="2" t="s">
        <v>678</v>
      </c>
      <c r="F18" s="2" t="s">
        <v>654</v>
      </c>
      <c r="G18" s="2">
        <v>17</v>
      </c>
      <c r="H18" s="2">
        <v>2</v>
      </c>
    </row>
    <row r="19" spans="1:8">
      <c r="A19" s="2">
        <v>2</v>
      </c>
      <c r="B19" s="2">
        <v>18</v>
      </c>
      <c r="C19" s="2" t="s">
        <v>451</v>
      </c>
      <c r="D19" s="2" t="s">
        <v>674</v>
      </c>
      <c r="E19" s="2" t="s">
        <v>3</v>
      </c>
      <c r="F19" s="2" t="s">
        <v>653</v>
      </c>
      <c r="G19" s="2">
        <v>18</v>
      </c>
      <c r="H19" s="2">
        <v>2</v>
      </c>
    </row>
    <row r="20" spans="1:8">
      <c r="A20" s="2">
        <v>2</v>
      </c>
      <c r="B20" s="2">
        <v>19</v>
      </c>
      <c r="C20" s="2" t="s">
        <v>128</v>
      </c>
      <c r="D20" s="2" t="s">
        <v>674</v>
      </c>
      <c r="E20" s="2" t="s">
        <v>28</v>
      </c>
      <c r="F20" s="2" t="s">
        <v>652</v>
      </c>
      <c r="G20" s="2">
        <v>19</v>
      </c>
      <c r="H20" s="2">
        <v>2</v>
      </c>
    </row>
    <row r="21" spans="1:8">
      <c r="A21" s="2">
        <v>2</v>
      </c>
      <c r="B21" s="2">
        <v>20</v>
      </c>
      <c r="C21" s="2" t="s">
        <v>150</v>
      </c>
      <c r="D21" s="2" t="s">
        <v>674</v>
      </c>
      <c r="E21" s="2" t="s">
        <v>15</v>
      </c>
      <c r="F21" s="2" t="s">
        <v>651</v>
      </c>
      <c r="G21" s="2">
        <v>20</v>
      </c>
      <c r="H21" s="2">
        <v>2</v>
      </c>
    </row>
    <row r="22" spans="1:8">
      <c r="A22" s="2">
        <v>3</v>
      </c>
      <c r="B22" s="2">
        <v>21</v>
      </c>
      <c r="C22" s="2" t="s">
        <v>174</v>
      </c>
      <c r="D22" s="2" t="s">
        <v>671</v>
      </c>
      <c r="E22" s="2" t="s">
        <v>17</v>
      </c>
      <c r="F22" s="2" t="s">
        <v>651</v>
      </c>
      <c r="G22" s="2">
        <v>21</v>
      </c>
      <c r="H22" s="2">
        <v>3</v>
      </c>
    </row>
    <row r="23" spans="1:8">
      <c r="A23" s="2">
        <v>3</v>
      </c>
      <c r="B23" s="2">
        <v>22</v>
      </c>
      <c r="C23" s="2" t="s">
        <v>552</v>
      </c>
      <c r="D23" s="2" t="s">
        <v>671</v>
      </c>
      <c r="E23" s="2" t="s">
        <v>60</v>
      </c>
      <c r="F23" s="2" t="s">
        <v>652</v>
      </c>
      <c r="G23" s="2">
        <v>22</v>
      </c>
      <c r="H23" s="2">
        <v>3</v>
      </c>
    </row>
    <row r="24" spans="1:8">
      <c r="A24" s="2">
        <v>3</v>
      </c>
      <c r="B24" s="2">
        <v>23</v>
      </c>
      <c r="C24" s="2" t="s">
        <v>692</v>
      </c>
      <c r="D24" s="2" t="s">
        <v>674</v>
      </c>
      <c r="E24" s="2" t="s">
        <v>32</v>
      </c>
      <c r="F24" s="2" t="s">
        <v>653</v>
      </c>
      <c r="G24" s="2">
        <v>23</v>
      </c>
      <c r="H24" s="2">
        <v>3</v>
      </c>
    </row>
    <row r="25" spans="1:8">
      <c r="A25" s="2">
        <v>3</v>
      </c>
      <c r="B25" s="2">
        <v>24</v>
      </c>
      <c r="C25" s="2" t="s">
        <v>635</v>
      </c>
      <c r="D25" s="2" t="s">
        <v>672</v>
      </c>
      <c r="E25" s="2" t="s">
        <v>21</v>
      </c>
      <c r="F25" s="2" t="s">
        <v>654</v>
      </c>
      <c r="G25" s="2">
        <v>24</v>
      </c>
      <c r="H25" s="2">
        <v>3</v>
      </c>
    </row>
    <row r="26" spans="1:8">
      <c r="A26" s="2">
        <v>3</v>
      </c>
      <c r="B26" s="2">
        <v>25</v>
      </c>
      <c r="C26" s="2" t="s">
        <v>462</v>
      </c>
      <c r="D26" s="2" t="s">
        <v>674</v>
      </c>
      <c r="E26" s="2" t="s">
        <v>120</v>
      </c>
      <c r="F26" s="2" t="s">
        <v>655</v>
      </c>
      <c r="G26" s="2">
        <v>25</v>
      </c>
      <c r="H26" s="2">
        <v>3</v>
      </c>
    </row>
    <row r="27" spans="1:8">
      <c r="A27" s="2">
        <v>3</v>
      </c>
      <c r="B27" s="2">
        <v>26</v>
      </c>
      <c r="C27" s="2" t="s">
        <v>616</v>
      </c>
      <c r="D27" s="2" t="s">
        <v>674</v>
      </c>
      <c r="E27" s="2" t="s">
        <v>91</v>
      </c>
      <c r="F27" s="2" t="s">
        <v>657</v>
      </c>
      <c r="G27" s="2">
        <v>26</v>
      </c>
      <c r="H27" s="2">
        <v>3</v>
      </c>
    </row>
    <row r="28" spans="1:8">
      <c r="A28" s="12">
        <v>3</v>
      </c>
      <c r="B28" s="12">
        <v>27</v>
      </c>
      <c r="C28" s="12" t="s">
        <v>66</v>
      </c>
      <c r="D28" s="12" t="s">
        <v>10</v>
      </c>
      <c r="E28" s="12" t="s">
        <v>49</v>
      </c>
      <c r="F28" s="12" t="s">
        <v>658</v>
      </c>
      <c r="G28" s="12">
        <v>27</v>
      </c>
      <c r="H28" s="12">
        <v>3</v>
      </c>
    </row>
    <row r="29" spans="1:8">
      <c r="A29" s="2">
        <v>3</v>
      </c>
      <c r="B29" s="2">
        <v>28</v>
      </c>
      <c r="C29" s="2" t="s">
        <v>411</v>
      </c>
      <c r="D29" s="2" t="s">
        <v>2</v>
      </c>
      <c r="E29" s="2" t="s">
        <v>73</v>
      </c>
      <c r="F29" s="2" t="s">
        <v>659</v>
      </c>
      <c r="G29" s="2">
        <v>28</v>
      </c>
      <c r="H29" s="2">
        <v>3</v>
      </c>
    </row>
    <row r="30" spans="1:8">
      <c r="A30" s="2">
        <v>3</v>
      </c>
      <c r="B30" s="2">
        <v>29</v>
      </c>
      <c r="C30" s="2" t="s">
        <v>138</v>
      </c>
      <c r="D30" s="2" t="s">
        <v>2</v>
      </c>
      <c r="E30" s="2" t="s">
        <v>107</v>
      </c>
      <c r="F30" s="2" t="s">
        <v>660</v>
      </c>
      <c r="G30" s="2">
        <v>29</v>
      </c>
      <c r="H30" s="2">
        <v>3</v>
      </c>
    </row>
    <row r="31" spans="1:8">
      <c r="A31" s="2">
        <v>3</v>
      </c>
      <c r="B31" s="2">
        <v>30</v>
      </c>
      <c r="C31" s="2" t="s">
        <v>105</v>
      </c>
      <c r="D31" s="2" t="s">
        <v>672</v>
      </c>
      <c r="E31" s="2" t="s">
        <v>23</v>
      </c>
      <c r="F31" s="2" t="s">
        <v>661</v>
      </c>
      <c r="G31" s="2">
        <v>30</v>
      </c>
      <c r="H31" s="2">
        <v>3</v>
      </c>
    </row>
    <row r="32" spans="1:8">
      <c r="A32" s="2">
        <v>4</v>
      </c>
      <c r="B32" s="2">
        <v>31</v>
      </c>
      <c r="C32" s="2" t="s">
        <v>691</v>
      </c>
      <c r="D32" s="2" t="s">
        <v>674</v>
      </c>
      <c r="E32" s="2" t="s">
        <v>63</v>
      </c>
      <c r="F32" s="2" t="s">
        <v>661</v>
      </c>
      <c r="G32" s="2">
        <v>31</v>
      </c>
      <c r="H32" s="2">
        <v>4</v>
      </c>
    </row>
    <row r="33" spans="1:8">
      <c r="A33" s="2">
        <v>4</v>
      </c>
      <c r="B33" s="2">
        <v>32</v>
      </c>
      <c r="C33" s="2" t="s">
        <v>169</v>
      </c>
      <c r="D33" s="2" t="s">
        <v>671</v>
      </c>
      <c r="E33" s="2" t="s">
        <v>34</v>
      </c>
      <c r="F33" s="2" t="s">
        <v>660</v>
      </c>
      <c r="G33" s="2">
        <v>32</v>
      </c>
      <c r="H33" s="2">
        <v>4</v>
      </c>
    </row>
    <row r="34" spans="1:8">
      <c r="A34" s="2">
        <v>4</v>
      </c>
      <c r="B34" s="2">
        <v>33</v>
      </c>
      <c r="C34" s="2" t="s">
        <v>693</v>
      </c>
      <c r="D34" s="2" t="s">
        <v>671</v>
      </c>
      <c r="E34" s="2" t="s">
        <v>120</v>
      </c>
      <c r="F34" s="2" t="s">
        <v>659</v>
      </c>
      <c r="G34" s="2">
        <v>33</v>
      </c>
      <c r="H34" s="2">
        <v>4</v>
      </c>
    </row>
    <row r="35" spans="1:8">
      <c r="A35" s="2">
        <v>4</v>
      </c>
      <c r="B35" s="2">
        <v>34</v>
      </c>
      <c r="C35" s="2" t="s">
        <v>463</v>
      </c>
      <c r="D35" s="2" t="s">
        <v>674</v>
      </c>
      <c r="E35" s="2" t="s">
        <v>17</v>
      </c>
      <c r="F35" s="2" t="s">
        <v>658</v>
      </c>
      <c r="G35" s="2">
        <v>34</v>
      </c>
      <c r="H35" s="2">
        <v>4</v>
      </c>
    </row>
    <row r="36" spans="1:8">
      <c r="A36" s="2">
        <v>4</v>
      </c>
      <c r="B36" s="2">
        <v>35</v>
      </c>
      <c r="C36" s="2" t="s">
        <v>694</v>
      </c>
      <c r="D36" s="2" t="s">
        <v>671</v>
      </c>
      <c r="E36" s="2" t="s">
        <v>25</v>
      </c>
      <c r="F36" s="2" t="s">
        <v>657</v>
      </c>
      <c r="G36" s="2">
        <v>35</v>
      </c>
      <c r="H36" s="2">
        <v>4</v>
      </c>
    </row>
    <row r="37" spans="1:8">
      <c r="A37" s="2">
        <v>4</v>
      </c>
      <c r="B37" s="2">
        <v>36</v>
      </c>
      <c r="C37" s="2" t="s">
        <v>620</v>
      </c>
      <c r="D37" s="2" t="s">
        <v>674</v>
      </c>
      <c r="E37" s="2" t="s">
        <v>21</v>
      </c>
      <c r="F37" s="2" t="s">
        <v>662</v>
      </c>
      <c r="G37" s="2">
        <v>36</v>
      </c>
      <c r="H37" s="2">
        <v>4</v>
      </c>
    </row>
    <row r="38" spans="1:8">
      <c r="A38" s="12">
        <v>4</v>
      </c>
      <c r="B38" s="12">
        <v>37</v>
      </c>
      <c r="C38" s="12" t="s">
        <v>16</v>
      </c>
      <c r="D38" s="12" t="s">
        <v>2</v>
      </c>
      <c r="E38" s="12" t="s">
        <v>2</v>
      </c>
      <c r="F38" s="12" t="s">
        <v>654</v>
      </c>
      <c r="G38" s="12">
        <v>37</v>
      </c>
      <c r="H38" s="12">
        <v>4</v>
      </c>
    </row>
    <row r="39" spans="1:8">
      <c r="A39" s="2">
        <v>4</v>
      </c>
      <c r="B39" s="2">
        <v>38</v>
      </c>
      <c r="C39" s="2" t="s">
        <v>124</v>
      </c>
      <c r="D39" s="2" t="s">
        <v>674</v>
      </c>
      <c r="E39" s="2" t="s">
        <v>11</v>
      </c>
      <c r="F39" s="2" t="s">
        <v>653</v>
      </c>
      <c r="G39" s="2">
        <v>38</v>
      </c>
      <c r="H39" s="2">
        <v>4</v>
      </c>
    </row>
    <row r="40" spans="1:8">
      <c r="A40" s="2">
        <v>4</v>
      </c>
      <c r="B40" s="2">
        <v>39</v>
      </c>
      <c r="C40" s="2" t="s">
        <v>64</v>
      </c>
      <c r="D40" s="2" t="s">
        <v>674</v>
      </c>
      <c r="E40" s="2" t="s">
        <v>25</v>
      </c>
      <c r="F40" s="2" t="s">
        <v>652</v>
      </c>
      <c r="G40" s="2">
        <v>39</v>
      </c>
      <c r="H40" s="2">
        <v>4</v>
      </c>
    </row>
    <row r="41" spans="1:8">
      <c r="A41" s="2">
        <v>4</v>
      </c>
      <c r="B41" s="2">
        <v>40</v>
      </c>
      <c r="C41" s="2" t="s">
        <v>118</v>
      </c>
      <c r="D41" s="2" t="s">
        <v>674</v>
      </c>
      <c r="E41" s="2" t="s">
        <v>56</v>
      </c>
      <c r="F41" s="2" t="s">
        <v>651</v>
      </c>
      <c r="G41" s="2">
        <v>40</v>
      </c>
      <c r="H41" s="2">
        <v>4</v>
      </c>
    </row>
    <row r="42" spans="1:8">
      <c r="A42" s="2">
        <v>5</v>
      </c>
      <c r="B42" s="2">
        <v>41</v>
      </c>
      <c r="C42" s="2" t="s">
        <v>695</v>
      </c>
      <c r="D42" s="2" t="s">
        <v>671</v>
      </c>
      <c r="E42" s="2" t="s">
        <v>28</v>
      </c>
      <c r="F42" s="2" t="s">
        <v>651</v>
      </c>
      <c r="G42" s="2">
        <v>41</v>
      </c>
      <c r="H42" s="2">
        <v>5</v>
      </c>
    </row>
    <row r="43" spans="1:8">
      <c r="A43" s="2">
        <v>5</v>
      </c>
      <c r="B43" s="2">
        <v>42</v>
      </c>
      <c r="C43" s="2" t="s">
        <v>593</v>
      </c>
      <c r="D43" s="2" t="s">
        <v>671</v>
      </c>
      <c r="E43" s="2" t="s">
        <v>56</v>
      </c>
      <c r="F43" s="2" t="s">
        <v>652</v>
      </c>
      <c r="G43" s="2">
        <v>42</v>
      </c>
      <c r="H43" s="2">
        <v>5</v>
      </c>
    </row>
    <row r="44" spans="1:8">
      <c r="A44" s="2">
        <v>5</v>
      </c>
      <c r="B44" s="2">
        <v>43</v>
      </c>
      <c r="C44" s="2" t="s">
        <v>582</v>
      </c>
      <c r="D44" s="2" t="s">
        <v>671</v>
      </c>
      <c r="E44" s="2" t="s">
        <v>21</v>
      </c>
      <c r="F44" s="2" t="s">
        <v>653</v>
      </c>
      <c r="G44" s="2">
        <v>43</v>
      </c>
      <c r="H44" s="2">
        <v>5</v>
      </c>
    </row>
    <row r="45" spans="1:8">
      <c r="A45" s="2">
        <v>5</v>
      </c>
      <c r="B45" s="2">
        <v>44</v>
      </c>
      <c r="C45" s="2" t="s">
        <v>80</v>
      </c>
      <c r="D45" s="2" t="s">
        <v>674</v>
      </c>
      <c r="E45" s="2" t="s">
        <v>19</v>
      </c>
      <c r="F45" s="2" t="s">
        <v>654</v>
      </c>
      <c r="G45" s="2">
        <v>44</v>
      </c>
      <c r="H45" s="2">
        <v>5</v>
      </c>
    </row>
    <row r="46" spans="1:8">
      <c r="A46" s="2">
        <v>5</v>
      </c>
      <c r="B46" s="2">
        <v>45</v>
      </c>
      <c r="C46" s="2" t="s">
        <v>519</v>
      </c>
      <c r="D46" s="2" t="s">
        <v>674</v>
      </c>
      <c r="E46" s="2" t="s">
        <v>34</v>
      </c>
      <c r="F46" s="2" t="s">
        <v>655</v>
      </c>
      <c r="G46" s="2">
        <v>45</v>
      </c>
      <c r="H46" s="2">
        <v>5</v>
      </c>
    </row>
    <row r="47" spans="1:8">
      <c r="A47" s="2">
        <v>5</v>
      </c>
      <c r="B47" s="2">
        <v>46</v>
      </c>
      <c r="C47" s="2" t="s">
        <v>696</v>
      </c>
      <c r="D47" s="2" t="s">
        <v>674</v>
      </c>
      <c r="E47" s="2" t="s">
        <v>15</v>
      </c>
      <c r="F47" s="2" t="s">
        <v>657</v>
      </c>
      <c r="G47" s="2">
        <v>46</v>
      </c>
      <c r="H47" s="2">
        <v>5</v>
      </c>
    </row>
    <row r="48" spans="1:8">
      <c r="A48" s="2">
        <v>5</v>
      </c>
      <c r="B48" s="2">
        <v>47</v>
      </c>
      <c r="C48" s="2" t="s">
        <v>45</v>
      </c>
      <c r="D48" s="2" t="s">
        <v>674</v>
      </c>
      <c r="E48" s="2" t="s">
        <v>46</v>
      </c>
      <c r="F48" s="2" t="s">
        <v>658</v>
      </c>
      <c r="G48" s="2">
        <v>47</v>
      </c>
      <c r="H48" s="2">
        <v>5</v>
      </c>
    </row>
    <row r="49" spans="1:8">
      <c r="A49" s="2">
        <v>5</v>
      </c>
      <c r="B49" s="2">
        <v>48</v>
      </c>
      <c r="C49" s="2" t="s">
        <v>184</v>
      </c>
      <c r="D49" s="2" t="s">
        <v>674</v>
      </c>
      <c r="E49" s="2" t="s">
        <v>71</v>
      </c>
      <c r="F49" s="2" t="s">
        <v>659</v>
      </c>
      <c r="G49" s="2">
        <v>48</v>
      </c>
      <c r="H49" s="2">
        <v>5</v>
      </c>
    </row>
    <row r="50" spans="1:8">
      <c r="A50" s="2">
        <v>5</v>
      </c>
      <c r="B50" s="2">
        <v>49</v>
      </c>
      <c r="C50" s="2" t="s">
        <v>418</v>
      </c>
      <c r="D50" s="2" t="s">
        <v>679</v>
      </c>
      <c r="E50" s="2" t="s">
        <v>17</v>
      </c>
      <c r="F50" s="2" t="s">
        <v>660</v>
      </c>
      <c r="G50" s="2">
        <v>49</v>
      </c>
      <c r="H50" s="2">
        <v>5</v>
      </c>
    </row>
    <row r="51" spans="1:8">
      <c r="A51" s="12">
        <v>5</v>
      </c>
      <c r="B51" s="12">
        <v>50</v>
      </c>
      <c r="C51" s="12" t="s">
        <v>427</v>
      </c>
      <c r="D51" s="12" t="s">
        <v>10</v>
      </c>
      <c r="E51" s="12" t="s">
        <v>10</v>
      </c>
      <c r="F51" s="12" t="s">
        <v>661</v>
      </c>
      <c r="G51" s="12">
        <v>50</v>
      </c>
      <c r="H51" s="12">
        <v>5</v>
      </c>
    </row>
    <row r="52" spans="1:8">
      <c r="A52" s="12">
        <v>6</v>
      </c>
      <c r="B52" s="12">
        <v>51</v>
      </c>
      <c r="C52" s="12" t="s">
        <v>142</v>
      </c>
      <c r="D52" s="12" t="s">
        <v>2</v>
      </c>
      <c r="E52" s="12" t="s">
        <v>2</v>
      </c>
      <c r="F52" s="12" t="s">
        <v>661</v>
      </c>
      <c r="G52" s="12">
        <v>51</v>
      </c>
      <c r="H52" s="12">
        <v>6</v>
      </c>
    </row>
    <row r="53" spans="1:8">
      <c r="A53" s="2">
        <v>6</v>
      </c>
      <c r="B53" s="2">
        <v>52</v>
      </c>
      <c r="C53" s="2" t="s">
        <v>545</v>
      </c>
      <c r="D53" s="2" t="s">
        <v>674</v>
      </c>
      <c r="E53" s="2" t="s">
        <v>84</v>
      </c>
      <c r="F53" s="2" t="s">
        <v>660</v>
      </c>
      <c r="G53" s="2">
        <v>52</v>
      </c>
      <c r="H53" s="2">
        <v>6</v>
      </c>
    </row>
    <row r="54" spans="1:8">
      <c r="A54" s="2">
        <v>6</v>
      </c>
      <c r="B54" s="2">
        <v>53</v>
      </c>
      <c r="C54" s="2" t="s">
        <v>697</v>
      </c>
      <c r="D54" s="2" t="s">
        <v>671</v>
      </c>
      <c r="E54" s="2" t="s">
        <v>21</v>
      </c>
      <c r="F54" s="2" t="s">
        <v>659</v>
      </c>
      <c r="G54" s="2">
        <v>53</v>
      </c>
      <c r="H54" s="2">
        <v>6</v>
      </c>
    </row>
    <row r="55" spans="1:8">
      <c r="A55" s="2">
        <v>6</v>
      </c>
      <c r="B55" s="2">
        <v>54</v>
      </c>
      <c r="C55" s="2" t="s">
        <v>580</v>
      </c>
      <c r="D55" s="2" t="s">
        <v>10</v>
      </c>
      <c r="E55" s="2" t="s">
        <v>107</v>
      </c>
      <c r="F55" s="2" t="s">
        <v>658</v>
      </c>
      <c r="G55" s="2">
        <v>54</v>
      </c>
      <c r="H55" s="2">
        <v>6</v>
      </c>
    </row>
    <row r="56" spans="1:8">
      <c r="A56" s="2">
        <v>6</v>
      </c>
      <c r="B56" s="2">
        <v>55</v>
      </c>
      <c r="C56" s="2" t="s">
        <v>621</v>
      </c>
      <c r="D56" s="2" t="s">
        <v>674</v>
      </c>
      <c r="E56" s="2" t="s">
        <v>3</v>
      </c>
      <c r="F56" s="2" t="s">
        <v>657</v>
      </c>
      <c r="G56" s="2">
        <v>55</v>
      </c>
      <c r="H56" s="2">
        <v>6</v>
      </c>
    </row>
    <row r="57" spans="1:8">
      <c r="A57" s="2">
        <v>6</v>
      </c>
      <c r="B57" s="2">
        <v>56</v>
      </c>
      <c r="C57" s="2" t="s">
        <v>698</v>
      </c>
      <c r="D57" s="2" t="s">
        <v>671</v>
      </c>
      <c r="E57" s="2" t="s">
        <v>91</v>
      </c>
      <c r="F57" s="2" t="s">
        <v>662</v>
      </c>
      <c r="G57" s="2">
        <v>56</v>
      </c>
      <c r="H57" s="2">
        <v>6</v>
      </c>
    </row>
    <row r="58" spans="1:8">
      <c r="A58" s="2">
        <v>6</v>
      </c>
      <c r="B58" s="2">
        <v>57</v>
      </c>
      <c r="C58" s="2" t="s">
        <v>62</v>
      </c>
      <c r="D58" s="2" t="s">
        <v>671</v>
      </c>
      <c r="E58" s="2" t="s">
        <v>678</v>
      </c>
      <c r="F58" s="2" t="s">
        <v>654</v>
      </c>
      <c r="G58" s="2">
        <v>57</v>
      </c>
      <c r="H58" s="2">
        <v>6</v>
      </c>
    </row>
    <row r="59" spans="1:8">
      <c r="A59" s="2">
        <v>6</v>
      </c>
      <c r="B59" s="2">
        <v>58</v>
      </c>
      <c r="C59" s="2" t="s">
        <v>57</v>
      </c>
      <c r="D59" s="2" t="s">
        <v>674</v>
      </c>
      <c r="E59" s="2" t="s">
        <v>680</v>
      </c>
      <c r="F59" s="2" t="s">
        <v>653</v>
      </c>
      <c r="G59" s="2">
        <v>58</v>
      </c>
      <c r="H59" s="2">
        <v>6</v>
      </c>
    </row>
    <row r="60" spans="1:8">
      <c r="A60" s="2">
        <v>6</v>
      </c>
      <c r="B60" s="2">
        <v>59</v>
      </c>
      <c r="C60" s="2" t="s">
        <v>554</v>
      </c>
      <c r="D60" s="2" t="s">
        <v>674</v>
      </c>
      <c r="E60" s="2" t="s">
        <v>28</v>
      </c>
      <c r="F60" s="2" t="s">
        <v>652</v>
      </c>
      <c r="G60" s="2">
        <v>59</v>
      </c>
      <c r="H60" s="2">
        <v>6</v>
      </c>
    </row>
    <row r="61" spans="1:8">
      <c r="A61" s="2">
        <v>6</v>
      </c>
      <c r="B61" s="2">
        <v>60</v>
      </c>
      <c r="C61" s="2" t="s">
        <v>569</v>
      </c>
      <c r="D61" s="2" t="s">
        <v>674</v>
      </c>
      <c r="E61" s="2" t="s">
        <v>137</v>
      </c>
      <c r="F61" s="2" t="s">
        <v>651</v>
      </c>
      <c r="G61" s="2">
        <v>60</v>
      </c>
      <c r="H61" s="2">
        <v>6</v>
      </c>
    </row>
    <row r="62" spans="1:8">
      <c r="A62" s="2">
        <v>7</v>
      </c>
      <c r="B62" s="2">
        <v>61</v>
      </c>
      <c r="C62" s="2" t="s">
        <v>699</v>
      </c>
      <c r="D62" s="2" t="s">
        <v>671</v>
      </c>
      <c r="E62" s="2" t="s">
        <v>56</v>
      </c>
      <c r="F62" s="2" t="s">
        <v>651</v>
      </c>
      <c r="G62" s="2">
        <v>61</v>
      </c>
      <c r="H62" s="2">
        <v>7</v>
      </c>
    </row>
    <row r="63" spans="1:8">
      <c r="A63" s="2">
        <v>7</v>
      </c>
      <c r="B63" s="2">
        <v>62</v>
      </c>
      <c r="C63" s="2" t="s">
        <v>571</v>
      </c>
      <c r="D63" s="2" t="s">
        <v>671</v>
      </c>
      <c r="E63" s="2" t="s">
        <v>46</v>
      </c>
      <c r="F63" s="2" t="s">
        <v>652</v>
      </c>
      <c r="G63" s="2">
        <v>62</v>
      </c>
      <c r="H63" s="2">
        <v>7</v>
      </c>
    </row>
    <row r="64" spans="1:8">
      <c r="A64" s="2">
        <v>7</v>
      </c>
      <c r="B64" s="2">
        <v>63</v>
      </c>
      <c r="C64" s="2" t="s">
        <v>12</v>
      </c>
      <c r="D64" s="2" t="s">
        <v>10</v>
      </c>
      <c r="E64" s="2" t="s">
        <v>684</v>
      </c>
      <c r="F64" s="2" t="s">
        <v>653</v>
      </c>
      <c r="G64" s="2">
        <v>63</v>
      </c>
      <c r="H64" s="2">
        <v>7</v>
      </c>
    </row>
    <row r="65" spans="1:8">
      <c r="A65" s="2">
        <v>7</v>
      </c>
      <c r="B65" s="2">
        <v>64</v>
      </c>
      <c r="C65" s="2" t="s">
        <v>172</v>
      </c>
      <c r="D65" s="2" t="s">
        <v>5</v>
      </c>
      <c r="E65" s="2" t="s">
        <v>685</v>
      </c>
      <c r="F65" s="2" t="s">
        <v>654</v>
      </c>
      <c r="G65" s="2">
        <v>64</v>
      </c>
      <c r="H65" s="2">
        <v>7</v>
      </c>
    </row>
    <row r="66" spans="1:8">
      <c r="A66" s="2">
        <v>7</v>
      </c>
      <c r="B66" s="2">
        <v>65</v>
      </c>
      <c r="C66" s="2" t="s">
        <v>98</v>
      </c>
      <c r="D66" s="2" t="s">
        <v>674</v>
      </c>
      <c r="E66" s="2" t="s">
        <v>84</v>
      </c>
      <c r="F66" s="2" t="s">
        <v>655</v>
      </c>
      <c r="G66" s="2">
        <v>65</v>
      </c>
      <c r="H66" s="2">
        <v>7</v>
      </c>
    </row>
    <row r="67" spans="1:8">
      <c r="A67" s="12">
        <v>7</v>
      </c>
      <c r="B67" s="12">
        <v>66</v>
      </c>
      <c r="C67" s="12" t="s">
        <v>425</v>
      </c>
      <c r="D67" s="12" t="s">
        <v>2</v>
      </c>
      <c r="E67" s="12" t="s">
        <v>120</v>
      </c>
      <c r="F67" s="12" t="s">
        <v>657</v>
      </c>
      <c r="G67" s="12">
        <v>66</v>
      </c>
      <c r="H67" s="12">
        <v>7</v>
      </c>
    </row>
    <row r="68" spans="1:8">
      <c r="A68" s="12">
        <v>7</v>
      </c>
      <c r="B68" s="12">
        <v>67</v>
      </c>
      <c r="C68" s="12" t="s">
        <v>454</v>
      </c>
      <c r="D68" s="12" t="s">
        <v>10</v>
      </c>
      <c r="E68" s="12" t="s">
        <v>82</v>
      </c>
      <c r="F68" s="12" t="s">
        <v>658</v>
      </c>
      <c r="G68" s="12">
        <v>67</v>
      </c>
      <c r="H68" s="12">
        <v>7</v>
      </c>
    </row>
    <row r="69" spans="1:8">
      <c r="A69" s="2">
        <v>7</v>
      </c>
      <c r="B69" s="2">
        <v>68</v>
      </c>
      <c r="C69" s="2" t="s">
        <v>640</v>
      </c>
      <c r="D69" s="2" t="s">
        <v>672</v>
      </c>
      <c r="E69" s="2" t="s">
        <v>120</v>
      </c>
      <c r="F69" s="2" t="s">
        <v>659</v>
      </c>
      <c r="G69" s="2">
        <v>68</v>
      </c>
      <c r="H69" s="2">
        <v>7</v>
      </c>
    </row>
    <row r="70" spans="1:8">
      <c r="A70" s="2">
        <v>7</v>
      </c>
      <c r="B70" s="2">
        <v>69</v>
      </c>
      <c r="C70" s="2" t="s">
        <v>624</v>
      </c>
      <c r="D70" s="2" t="s">
        <v>674</v>
      </c>
      <c r="E70" s="2" t="s">
        <v>681</v>
      </c>
      <c r="F70" s="2" t="s">
        <v>660</v>
      </c>
      <c r="G70" s="2">
        <v>69</v>
      </c>
      <c r="H70" s="2">
        <v>7</v>
      </c>
    </row>
    <row r="71" spans="1:8">
      <c r="A71" s="2">
        <v>7</v>
      </c>
      <c r="B71" s="2">
        <v>70</v>
      </c>
      <c r="C71" s="2" t="s">
        <v>634</v>
      </c>
      <c r="D71" s="2" t="s">
        <v>679</v>
      </c>
      <c r="E71" s="2" t="s">
        <v>56</v>
      </c>
      <c r="F71" s="2" t="s">
        <v>661</v>
      </c>
      <c r="G71" s="2">
        <v>70</v>
      </c>
      <c r="H71" s="2">
        <v>7</v>
      </c>
    </row>
    <row r="72" spans="1:8">
      <c r="A72" s="2">
        <v>8</v>
      </c>
      <c r="B72" s="2">
        <v>71</v>
      </c>
      <c r="C72" s="2" t="s">
        <v>102</v>
      </c>
      <c r="D72" s="2" t="s">
        <v>674</v>
      </c>
      <c r="E72" s="2" t="s">
        <v>11</v>
      </c>
      <c r="F72" s="2" t="s">
        <v>661</v>
      </c>
      <c r="G72" s="2">
        <v>71</v>
      </c>
      <c r="H72" s="2">
        <v>8</v>
      </c>
    </row>
    <row r="73" spans="1:8">
      <c r="A73" s="2">
        <v>8</v>
      </c>
      <c r="B73" s="2">
        <v>72</v>
      </c>
      <c r="C73" s="2" t="s">
        <v>99</v>
      </c>
      <c r="D73" s="2" t="s">
        <v>674</v>
      </c>
      <c r="E73" s="2" t="s">
        <v>17</v>
      </c>
      <c r="F73" s="2" t="s">
        <v>660</v>
      </c>
      <c r="G73" s="2">
        <v>72</v>
      </c>
      <c r="H73" s="2">
        <v>8</v>
      </c>
    </row>
    <row r="74" spans="1:8">
      <c r="A74" s="2">
        <v>8</v>
      </c>
      <c r="B74" s="2">
        <v>73</v>
      </c>
      <c r="C74" s="2" t="s">
        <v>642</v>
      </c>
      <c r="D74" s="2" t="s">
        <v>674</v>
      </c>
      <c r="E74" s="2" t="s">
        <v>35</v>
      </c>
      <c r="F74" s="2" t="s">
        <v>659</v>
      </c>
      <c r="G74" s="2">
        <v>73</v>
      </c>
      <c r="H74" s="2">
        <v>8</v>
      </c>
    </row>
    <row r="75" spans="1:8">
      <c r="A75" s="2">
        <v>8</v>
      </c>
      <c r="B75" s="2">
        <v>74</v>
      </c>
      <c r="C75" s="2" t="s">
        <v>416</v>
      </c>
      <c r="D75" s="2" t="s">
        <v>672</v>
      </c>
      <c r="E75" s="2" t="s">
        <v>35</v>
      </c>
      <c r="F75" s="2" t="s">
        <v>658</v>
      </c>
      <c r="G75" s="2">
        <v>74</v>
      </c>
      <c r="H75" s="2">
        <v>8</v>
      </c>
    </row>
    <row r="76" spans="1:8">
      <c r="A76" s="2">
        <v>8</v>
      </c>
      <c r="B76" s="2">
        <v>75</v>
      </c>
      <c r="C76" s="2" t="s">
        <v>589</v>
      </c>
      <c r="D76" s="2" t="s">
        <v>674</v>
      </c>
      <c r="E76" s="2" t="s">
        <v>35</v>
      </c>
      <c r="F76" s="2" t="s">
        <v>657</v>
      </c>
      <c r="G76" s="2">
        <v>75</v>
      </c>
      <c r="H76" s="2">
        <v>8</v>
      </c>
    </row>
    <row r="77" spans="1:8">
      <c r="A77" s="12">
        <v>8</v>
      </c>
      <c r="B77" s="12">
        <v>76</v>
      </c>
      <c r="C77" s="12" t="s">
        <v>570</v>
      </c>
      <c r="D77" s="12" t="s">
        <v>10</v>
      </c>
      <c r="E77" s="12" t="s">
        <v>71</v>
      </c>
      <c r="F77" s="12" t="s">
        <v>662</v>
      </c>
      <c r="G77" s="12">
        <v>76</v>
      </c>
      <c r="H77" s="12">
        <v>8</v>
      </c>
    </row>
    <row r="78" spans="1:8">
      <c r="A78" s="2">
        <v>8</v>
      </c>
      <c r="B78" s="2">
        <v>77</v>
      </c>
      <c r="C78" s="2" t="s">
        <v>457</v>
      </c>
      <c r="D78" s="2" t="s">
        <v>671</v>
      </c>
      <c r="E78" s="2" t="s">
        <v>107</v>
      </c>
      <c r="F78" s="2" t="s">
        <v>654</v>
      </c>
      <c r="G78" s="2">
        <v>77</v>
      </c>
      <c r="H78" s="2">
        <v>8</v>
      </c>
    </row>
    <row r="79" spans="1:8">
      <c r="A79" s="2">
        <v>8</v>
      </c>
      <c r="B79" s="2">
        <v>78</v>
      </c>
      <c r="C79" s="2" t="s">
        <v>191</v>
      </c>
      <c r="D79" s="2" t="s">
        <v>10</v>
      </c>
      <c r="E79" s="2" t="s">
        <v>46</v>
      </c>
      <c r="F79" s="2" t="s">
        <v>653</v>
      </c>
      <c r="G79" s="2">
        <v>78</v>
      </c>
      <c r="H79" s="2">
        <v>8</v>
      </c>
    </row>
    <row r="80" spans="1:8">
      <c r="A80" s="2">
        <v>8</v>
      </c>
      <c r="B80" s="2">
        <v>79</v>
      </c>
      <c r="C80" s="2" t="s">
        <v>153</v>
      </c>
      <c r="D80" s="2" t="s">
        <v>5</v>
      </c>
      <c r="E80" s="2" t="s">
        <v>60</v>
      </c>
      <c r="F80" s="2" t="s">
        <v>652</v>
      </c>
      <c r="G80" s="2">
        <v>79</v>
      </c>
      <c r="H80" s="2">
        <v>8</v>
      </c>
    </row>
    <row r="81" spans="1:8">
      <c r="A81" s="2">
        <v>8</v>
      </c>
      <c r="B81" s="2">
        <v>80</v>
      </c>
      <c r="C81" s="2" t="s">
        <v>182</v>
      </c>
      <c r="D81" s="2" t="s">
        <v>672</v>
      </c>
      <c r="E81" s="2" t="s">
        <v>678</v>
      </c>
      <c r="F81" s="2" t="s">
        <v>651</v>
      </c>
      <c r="G81" s="2">
        <v>80</v>
      </c>
      <c r="H81" s="2">
        <v>8</v>
      </c>
    </row>
    <row r="82" spans="1:8">
      <c r="A82" s="2">
        <v>9</v>
      </c>
      <c r="B82" s="2">
        <v>81</v>
      </c>
      <c r="C82" s="2" t="s">
        <v>700</v>
      </c>
      <c r="D82" s="2" t="s">
        <v>674</v>
      </c>
      <c r="E82" s="2" t="s">
        <v>676</v>
      </c>
      <c r="F82" s="2" t="s">
        <v>651</v>
      </c>
      <c r="G82" s="2">
        <v>81</v>
      </c>
      <c r="H82" s="2">
        <v>9</v>
      </c>
    </row>
    <row r="83" spans="1:8">
      <c r="A83" s="12">
        <v>9</v>
      </c>
      <c r="B83" s="12">
        <v>82</v>
      </c>
      <c r="C83" s="12" t="s">
        <v>647</v>
      </c>
      <c r="D83" s="12" t="s">
        <v>27</v>
      </c>
      <c r="E83" s="12" t="s">
        <v>673</v>
      </c>
      <c r="F83" s="12" t="s">
        <v>652</v>
      </c>
      <c r="G83" s="12">
        <v>82</v>
      </c>
      <c r="H83" s="12">
        <v>9</v>
      </c>
    </row>
    <row r="84" spans="1:8">
      <c r="A84" s="12">
        <v>9</v>
      </c>
      <c r="B84" s="12">
        <v>83</v>
      </c>
      <c r="C84" s="12" t="s">
        <v>162</v>
      </c>
      <c r="D84" s="12" t="s">
        <v>5</v>
      </c>
      <c r="E84" s="12" t="s">
        <v>15</v>
      </c>
      <c r="F84" s="12" t="s">
        <v>653</v>
      </c>
      <c r="G84" s="12">
        <v>83</v>
      </c>
      <c r="H84" s="12">
        <v>9</v>
      </c>
    </row>
    <row r="85" spans="1:8">
      <c r="A85" s="12">
        <v>9</v>
      </c>
      <c r="B85" s="12">
        <v>84</v>
      </c>
      <c r="C85" s="12" t="s">
        <v>629</v>
      </c>
      <c r="D85" s="12" t="s">
        <v>10</v>
      </c>
      <c r="E85" s="12" t="s">
        <v>135</v>
      </c>
      <c r="F85" s="12" t="s">
        <v>654</v>
      </c>
      <c r="G85" s="12">
        <v>84</v>
      </c>
      <c r="H85" s="12">
        <v>9</v>
      </c>
    </row>
    <row r="86" spans="1:8">
      <c r="A86" s="2">
        <v>9</v>
      </c>
      <c r="B86" s="2">
        <v>85</v>
      </c>
      <c r="C86" s="2" t="s">
        <v>511</v>
      </c>
      <c r="D86" s="2" t="s">
        <v>671</v>
      </c>
      <c r="E86" s="2" t="s">
        <v>678</v>
      </c>
      <c r="F86" s="2" t="s">
        <v>655</v>
      </c>
      <c r="G86" s="2">
        <v>85</v>
      </c>
      <c r="H86" s="2">
        <v>9</v>
      </c>
    </row>
    <row r="87" spans="1:8">
      <c r="A87" s="2">
        <v>9</v>
      </c>
      <c r="B87" s="2">
        <v>86</v>
      </c>
      <c r="C87" s="2" t="s">
        <v>195</v>
      </c>
      <c r="D87" s="2" t="s">
        <v>671</v>
      </c>
      <c r="E87" s="2" t="s">
        <v>680</v>
      </c>
      <c r="F87" s="2" t="s">
        <v>657</v>
      </c>
      <c r="G87" s="2">
        <v>86</v>
      </c>
      <c r="H87" s="2">
        <v>9</v>
      </c>
    </row>
    <row r="88" spans="1:8">
      <c r="A88" s="2">
        <v>9</v>
      </c>
      <c r="B88" s="2">
        <v>87</v>
      </c>
      <c r="C88" s="2" t="s">
        <v>701</v>
      </c>
      <c r="D88" s="2" t="s">
        <v>674</v>
      </c>
      <c r="E88" s="2" t="s">
        <v>46</v>
      </c>
      <c r="F88" s="2" t="s">
        <v>658</v>
      </c>
      <c r="G88" s="2">
        <v>87</v>
      </c>
      <c r="H88" s="2">
        <v>9</v>
      </c>
    </row>
    <row r="89" spans="1:8">
      <c r="A89" s="2">
        <v>9</v>
      </c>
      <c r="B89" s="2">
        <v>88</v>
      </c>
      <c r="C89" s="2" t="s">
        <v>164</v>
      </c>
      <c r="D89" s="2" t="s">
        <v>671</v>
      </c>
      <c r="E89" s="2" t="s">
        <v>82</v>
      </c>
      <c r="F89" s="2" t="s">
        <v>659</v>
      </c>
      <c r="G89" s="2">
        <v>88</v>
      </c>
      <c r="H89" s="2">
        <v>9</v>
      </c>
    </row>
    <row r="90" spans="1:8">
      <c r="A90" s="12">
        <v>9</v>
      </c>
      <c r="B90" s="12">
        <v>89</v>
      </c>
      <c r="C90" s="12" t="s">
        <v>736</v>
      </c>
      <c r="D90" s="12" t="s">
        <v>2</v>
      </c>
      <c r="E90" s="12" t="s">
        <v>49</v>
      </c>
      <c r="F90" s="12" t="s">
        <v>660</v>
      </c>
      <c r="G90" s="12">
        <v>89</v>
      </c>
      <c r="H90" s="12">
        <v>9</v>
      </c>
    </row>
    <row r="91" spans="1:8">
      <c r="A91" s="2">
        <v>9</v>
      </c>
      <c r="B91" s="2">
        <v>90</v>
      </c>
      <c r="C91" s="2" t="s">
        <v>566</v>
      </c>
      <c r="D91" s="2" t="s">
        <v>671</v>
      </c>
      <c r="E91" s="2" t="s">
        <v>34</v>
      </c>
      <c r="F91" s="2" t="s">
        <v>661</v>
      </c>
      <c r="G91" s="2">
        <v>90</v>
      </c>
      <c r="H91" s="2">
        <v>9</v>
      </c>
    </row>
    <row r="92" spans="1:8">
      <c r="A92" s="2">
        <v>10</v>
      </c>
      <c r="B92" s="2">
        <v>91</v>
      </c>
      <c r="C92" s="2" t="s">
        <v>686</v>
      </c>
      <c r="D92" s="2" t="s">
        <v>674</v>
      </c>
      <c r="E92" s="2" t="s">
        <v>15</v>
      </c>
      <c r="F92" s="2" t="s">
        <v>661</v>
      </c>
      <c r="G92" s="2">
        <v>91</v>
      </c>
      <c r="H92" s="2">
        <v>10</v>
      </c>
    </row>
    <row r="93" spans="1:8">
      <c r="A93" s="12">
        <v>10</v>
      </c>
      <c r="B93" s="12">
        <v>92</v>
      </c>
      <c r="C93" s="12" t="s">
        <v>447</v>
      </c>
      <c r="D93" s="12" t="s">
        <v>10</v>
      </c>
      <c r="E93" s="12" t="s">
        <v>6</v>
      </c>
      <c r="F93" s="12" t="s">
        <v>660</v>
      </c>
      <c r="G93" s="12">
        <v>92</v>
      </c>
      <c r="H93" s="12">
        <v>10</v>
      </c>
    </row>
    <row r="94" spans="1:8">
      <c r="A94" s="12">
        <v>10</v>
      </c>
      <c r="B94" s="12">
        <v>93</v>
      </c>
      <c r="C94" s="12" t="s">
        <v>540</v>
      </c>
      <c r="D94" s="12" t="s">
        <v>5</v>
      </c>
      <c r="E94" s="12" t="s">
        <v>21</v>
      </c>
      <c r="F94" s="12" t="s">
        <v>659</v>
      </c>
      <c r="G94" s="12">
        <v>93</v>
      </c>
      <c r="H94" s="12">
        <v>10</v>
      </c>
    </row>
    <row r="95" spans="1:8">
      <c r="A95" s="2">
        <v>10</v>
      </c>
      <c r="B95" s="2">
        <v>94</v>
      </c>
      <c r="C95" s="2" t="s">
        <v>612</v>
      </c>
      <c r="D95" s="2" t="s">
        <v>10</v>
      </c>
      <c r="E95" s="2" t="s">
        <v>41</v>
      </c>
      <c r="F95" s="2" t="s">
        <v>658</v>
      </c>
      <c r="G95" s="2">
        <v>94</v>
      </c>
      <c r="H95" s="2">
        <v>10</v>
      </c>
    </row>
    <row r="96" spans="1:8">
      <c r="A96" s="2">
        <v>10</v>
      </c>
      <c r="B96" s="2">
        <v>95</v>
      </c>
      <c r="C96" s="2" t="s">
        <v>514</v>
      </c>
      <c r="D96" s="2" t="s">
        <v>674</v>
      </c>
      <c r="E96" s="2" t="s">
        <v>107</v>
      </c>
      <c r="F96" s="2" t="s">
        <v>657</v>
      </c>
      <c r="G96" s="2">
        <v>95</v>
      </c>
      <c r="H96" s="2">
        <v>10</v>
      </c>
    </row>
    <row r="97" spans="1:8">
      <c r="A97" s="2">
        <v>10</v>
      </c>
      <c r="B97" s="2">
        <v>96</v>
      </c>
      <c r="C97" s="2" t="s">
        <v>702</v>
      </c>
      <c r="D97" s="2" t="s">
        <v>674</v>
      </c>
      <c r="E97" s="2" t="s">
        <v>675</v>
      </c>
      <c r="F97" s="2" t="s">
        <v>662</v>
      </c>
      <c r="G97" s="2">
        <v>96</v>
      </c>
      <c r="H97" s="2">
        <v>10</v>
      </c>
    </row>
    <row r="98" spans="1:8">
      <c r="A98" s="2">
        <v>10</v>
      </c>
      <c r="B98" s="2">
        <v>97</v>
      </c>
      <c r="C98" s="2" t="s">
        <v>703</v>
      </c>
      <c r="D98" s="2" t="s">
        <v>2</v>
      </c>
      <c r="E98" s="2" t="s">
        <v>34</v>
      </c>
      <c r="F98" s="2" t="s">
        <v>654</v>
      </c>
      <c r="G98" s="2">
        <v>97</v>
      </c>
      <c r="H98" s="2">
        <v>10</v>
      </c>
    </row>
    <row r="99" spans="1:8">
      <c r="A99" s="2">
        <v>10</v>
      </c>
      <c r="B99" s="2">
        <v>98</v>
      </c>
      <c r="C99" s="2" t="s">
        <v>704</v>
      </c>
      <c r="D99" s="2" t="s">
        <v>674</v>
      </c>
      <c r="E99" s="2" t="s">
        <v>682</v>
      </c>
      <c r="F99" s="2" t="s">
        <v>653</v>
      </c>
      <c r="G99" s="2">
        <v>98</v>
      </c>
      <c r="H99" s="2">
        <v>10</v>
      </c>
    </row>
    <row r="100" spans="1:8">
      <c r="A100" s="2">
        <v>10</v>
      </c>
      <c r="B100" s="2">
        <v>99</v>
      </c>
      <c r="C100" s="2" t="s">
        <v>705</v>
      </c>
      <c r="D100" s="2" t="s">
        <v>674</v>
      </c>
      <c r="E100" s="2" t="s">
        <v>677</v>
      </c>
      <c r="F100" s="2" t="s">
        <v>652</v>
      </c>
      <c r="G100" s="2">
        <v>99</v>
      </c>
      <c r="H100" s="2">
        <v>10</v>
      </c>
    </row>
    <row r="101" spans="1:8">
      <c r="A101" s="2">
        <v>10</v>
      </c>
      <c r="B101" s="2">
        <v>100</v>
      </c>
      <c r="C101" s="2" t="s">
        <v>585</v>
      </c>
      <c r="D101" s="2" t="s">
        <v>10</v>
      </c>
      <c r="E101" s="2" t="s">
        <v>120</v>
      </c>
      <c r="F101" s="2" t="s">
        <v>651</v>
      </c>
      <c r="G101" s="2">
        <v>100</v>
      </c>
      <c r="H101" s="2">
        <v>10</v>
      </c>
    </row>
    <row r="102" spans="1:8">
      <c r="A102" s="12">
        <v>11</v>
      </c>
      <c r="B102" s="12">
        <v>101</v>
      </c>
      <c r="C102" s="12" t="s">
        <v>706</v>
      </c>
      <c r="D102" s="12" t="s">
        <v>2</v>
      </c>
      <c r="E102" s="12" t="s">
        <v>73</v>
      </c>
      <c r="F102" s="12" t="s">
        <v>651</v>
      </c>
      <c r="G102" s="12">
        <v>101</v>
      </c>
      <c r="H102" s="12">
        <v>11</v>
      </c>
    </row>
    <row r="103" spans="1:8">
      <c r="A103" s="12">
        <v>11</v>
      </c>
      <c r="B103" s="12">
        <v>102</v>
      </c>
      <c r="C103" s="12" t="s">
        <v>504</v>
      </c>
      <c r="D103" s="12" t="s">
        <v>2</v>
      </c>
      <c r="E103" s="12" t="s">
        <v>60</v>
      </c>
      <c r="F103" s="12" t="s">
        <v>652</v>
      </c>
      <c r="G103" s="12">
        <v>102</v>
      </c>
      <c r="H103" s="12">
        <v>11</v>
      </c>
    </row>
    <row r="104" spans="1:8">
      <c r="A104" s="2">
        <v>11</v>
      </c>
      <c r="B104" s="2">
        <v>103</v>
      </c>
      <c r="C104" s="2" t="s">
        <v>707</v>
      </c>
      <c r="D104" s="2" t="s">
        <v>674</v>
      </c>
      <c r="E104" s="2" t="s">
        <v>683</v>
      </c>
      <c r="F104" s="2" t="s">
        <v>653</v>
      </c>
      <c r="G104" s="2">
        <v>103</v>
      </c>
      <c r="H104" s="2">
        <v>11</v>
      </c>
    </row>
    <row r="105" spans="1:8">
      <c r="A105" s="2">
        <v>11</v>
      </c>
      <c r="B105" s="2">
        <v>104</v>
      </c>
      <c r="C105" s="2" t="s">
        <v>484</v>
      </c>
      <c r="D105" s="2" t="s">
        <v>10</v>
      </c>
      <c r="E105" s="2" t="s">
        <v>30</v>
      </c>
      <c r="F105" s="2" t="s">
        <v>654</v>
      </c>
      <c r="G105" s="2">
        <v>104</v>
      </c>
      <c r="H105" s="2">
        <v>11</v>
      </c>
    </row>
    <row r="106" spans="1:8">
      <c r="A106" s="2">
        <v>11</v>
      </c>
      <c r="B106" s="2">
        <v>105</v>
      </c>
      <c r="C106" s="2" t="s">
        <v>4</v>
      </c>
      <c r="D106" s="2" t="s">
        <v>679</v>
      </c>
      <c r="E106" s="2" t="s">
        <v>675</v>
      </c>
      <c r="F106" s="2" t="s">
        <v>655</v>
      </c>
      <c r="G106" s="2">
        <v>105</v>
      </c>
      <c r="H106" s="2">
        <v>11</v>
      </c>
    </row>
    <row r="107" spans="1:8">
      <c r="A107" s="2">
        <v>11</v>
      </c>
      <c r="B107" s="2">
        <v>106</v>
      </c>
      <c r="C107" s="2" t="s">
        <v>69</v>
      </c>
      <c r="D107" s="2" t="s">
        <v>674</v>
      </c>
      <c r="E107" s="2" t="s">
        <v>23</v>
      </c>
      <c r="F107" s="2" t="s">
        <v>657</v>
      </c>
      <c r="G107" s="2">
        <v>106</v>
      </c>
      <c r="H107" s="2">
        <v>11</v>
      </c>
    </row>
    <row r="108" spans="1:8">
      <c r="A108" s="2">
        <v>11</v>
      </c>
      <c r="B108" s="2">
        <v>107</v>
      </c>
      <c r="C108" s="2" t="s">
        <v>501</v>
      </c>
      <c r="D108" s="2" t="s">
        <v>674</v>
      </c>
      <c r="E108" s="2" t="s">
        <v>19</v>
      </c>
      <c r="F108" s="2" t="s">
        <v>658</v>
      </c>
      <c r="G108" s="2">
        <v>107</v>
      </c>
      <c r="H108" s="2">
        <v>11</v>
      </c>
    </row>
    <row r="109" spans="1:8">
      <c r="A109" s="12">
        <v>11</v>
      </c>
      <c r="B109" s="12">
        <v>108</v>
      </c>
      <c r="C109" s="12" t="s">
        <v>503</v>
      </c>
      <c r="D109" s="12" t="s">
        <v>2</v>
      </c>
      <c r="E109" s="12" t="s">
        <v>43</v>
      </c>
      <c r="F109" s="12" t="s">
        <v>659</v>
      </c>
      <c r="G109" s="12">
        <v>108</v>
      </c>
      <c r="H109" s="12">
        <v>11</v>
      </c>
    </row>
    <row r="110" spans="1:8">
      <c r="A110" s="2">
        <v>11</v>
      </c>
      <c r="B110" s="2">
        <v>109</v>
      </c>
      <c r="C110" s="2" t="s">
        <v>599</v>
      </c>
      <c r="D110" s="2" t="s">
        <v>671</v>
      </c>
      <c r="E110" s="2" t="s">
        <v>137</v>
      </c>
      <c r="F110" s="2" t="s">
        <v>660</v>
      </c>
      <c r="G110" s="2">
        <v>109</v>
      </c>
      <c r="H110" s="2">
        <v>11</v>
      </c>
    </row>
    <row r="111" spans="1:8">
      <c r="A111" s="2">
        <v>11</v>
      </c>
      <c r="B111" s="2">
        <v>110</v>
      </c>
      <c r="C111" s="2" t="s">
        <v>481</v>
      </c>
      <c r="D111" s="2" t="s">
        <v>10</v>
      </c>
      <c r="E111" s="2" t="s">
        <v>28</v>
      </c>
      <c r="F111" s="2" t="s">
        <v>661</v>
      </c>
      <c r="G111" s="2">
        <v>110</v>
      </c>
      <c r="H111" s="2">
        <v>11</v>
      </c>
    </row>
    <row r="112" spans="1:8">
      <c r="A112" s="2">
        <v>12</v>
      </c>
      <c r="B112" s="2">
        <v>111</v>
      </c>
      <c r="C112" s="2" t="s">
        <v>176</v>
      </c>
      <c r="D112" s="2" t="s">
        <v>674</v>
      </c>
      <c r="E112" s="2" t="s">
        <v>56</v>
      </c>
      <c r="F112" s="2" t="s">
        <v>661</v>
      </c>
      <c r="G112" s="2">
        <v>111</v>
      </c>
      <c r="H112" s="2">
        <v>12</v>
      </c>
    </row>
    <row r="113" spans="1:8">
      <c r="A113" s="2">
        <v>12</v>
      </c>
      <c r="B113" s="2">
        <v>112</v>
      </c>
      <c r="C113" s="2" t="s">
        <v>663</v>
      </c>
      <c r="D113" s="2" t="s">
        <v>36</v>
      </c>
      <c r="E113" s="2" t="s">
        <v>56</v>
      </c>
      <c r="F113" s="2" t="s">
        <v>660</v>
      </c>
      <c r="G113" s="2">
        <v>112</v>
      </c>
      <c r="H113" s="2">
        <v>12</v>
      </c>
    </row>
    <row r="114" spans="1:8">
      <c r="A114" s="2">
        <v>12</v>
      </c>
      <c r="B114" s="2">
        <v>113</v>
      </c>
      <c r="C114" s="2" t="s">
        <v>100</v>
      </c>
      <c r="D114" s="2" t="s">
        <v>2</v>
      </c>
      <c r="E114" s="2" t="s">
        <v>35</v>
      </c>
      <c r="F114" s="2" t="s">
        <v>659</v>
      </c>
      <c r="G114" s="2">
        <v>113</v>
      </c>
      <c r="H114" s="2">
        <v>12</v>
      </c>
    </row>
    <row r="115" spans="1:8">
      <c r="A115" s="2">
        <v>12</v>
      </c>
      <c r="B115" s="2">
        <v>114</v>
      </c>
      <c r="C115" s="2" t="s">
        <v>592</v>
      </c>
      <c r="D115" s="2" t="s">
        <v>674</v>
      </c>
      <c r="E115" s="2" t="s">
        <v>680</v>
      </c>
      <c r="F115" s="2" t="s">
        <v>658</v>
      </c>
      <c r="G115" s="2">
        <v>114</v>
      </c>
      <c r="H115" s="2">
        <v>12</v>
      </c>
    </row>
    <row r="116" spans="1:8">
      <c r="A116" s="2">
        <v>12</v>
      </c>
      <c r="B116" s="2">
        <v>115</v>
      </c>
      <c r="C116" s="2" t="s">
        <v>708</v>
      </c>
      <c r="D116" s="2" t="s">
        <v>672</v>
      </c>
      <c r="E116" s="2" t="s">
        <v>34</v>
      </c>
      <c r="F116" s="2" t="s">
        <v>657</v>
      </c>
      <c r="G116" s="2">
        <v>115</v>
      </c>
      <c r="H116" s="2">
        <v>12</v>
      </c>
    </row>
    <row r="117" spans="1:8">
      <c r="A117" s="12">
        <v>12</v>
      </c>
      <c r="B117" s="12">
        <v>116</v>
      </c>
      <c r="C117" s="12" t="s">
        <v>510</v>
      </c>
      <c r="D117" s="12" t="s">
        <v>10</v>
      </c>
      <c r="E117" s="12" t="s">
        <v>3</v>
      </c>
      <c r="F117" s="12" t="s">
        <v>662</v>
      </c>
      <c r="G117" s="12">
        <v>116</v>
      </c>
      <c r="H117" s="12">
        <v>12</v>
      </c>
    </row>
    <row r="118" spans="1:8">
      <c r="A118" s="2">
        <v>12</v>
      </c>
      <c r="B118" s="2">
        <v>117</v>
      </c>
      <c r="C118" s="2" t="s">
        <v>639</v>
      </c>
      <c r="D118" s="2" t="s">
        <v>671</v>
      </c>
      <c r="E118" s="2" t="s">
        <v>23</v>
      </c>
      <c r="F118" s="2" t="s">
        <v>654</v>
      </c>
      <c r="G118" s="2">
        <v>117</v>
      </c>
      <c r="H118" s="2">
        <v>12</v>
      </c>
    </row>
    <row r="119" spans="1:8">
      <c r="A119" s="2">
        <v>12</v>
      </c>
      <c r="B119" s="2">
        <v>118</v>
      </c>
      <c r="C119" s="2" t="s">
        <v>709</v>
      </c>
      <c r="D119" s="2" t="s">
        <v>674</v>
      </c>
      <c r="E119" s="2" t="s">
        <v>23</v>
      </c>
      <c r="F119" s="2" t="s">
        <v>653</v>
      </c>
      <c r="G119" s="2">
        <v>118</v>
      </c>
      <c r="H119" s="2">
        <v>12</v>
      </c>
    </row>
    <row r="120" spans="1:8">
      <c r="A120" s="2">
        <v>12</v>
      </c>
      <c r="B120" s="2">
        <v>119</v>
      </c>
      <c r="C120" s="2" t="s">
        <v>710</v>
      </c>
      <c r="D120" s="2" t="s">
        <v>674</v>
      </c>
      <c r="E120" s="2" t="s">
        <v>676</v>
      </c>
      <c r="F120" s="2" t="s">
        <v>652</v>
      </c>
      <c r="G120" s="2">
        <v>119</v>
      </c>
      <c r="H120" s="2">
        <v>12</v>
      </c>
    </row>
    <row r="121" spans="1:8">
      <c r="A121" s="12">
        <v>12</v>
      </c>
      <c r="B121" s="12">
        <v>120</v>
      </c>
      <c r="C121" s="12" t="s">
        <v>596</v>
      </c>
      <c r="D121" s="12" t="s">
        <v>5</v>
      </c>
      <c r="E121" s="12" t="s">
        <v>137</v>
      </c>
      <c r="F121" s="12" t="s">
        <v>651</v>
      </c>
      <c r="G121" s="12">
        <v>120</v>
      </c>
      <c r="H121" s="12">
        <v>12</v>
      </c>
    </row>
    <row r="122" spans="1:8">
      <c r="A122" s="2">
        <v>13</v>
      </c>
      <c r="B122" s="2">
        <v>121</v>
      </c>
      <c r="C122" s="2" t="s">
        <v>730</v>
      </c>
      <c r="D122" s="2" t="s">
        <v>36</v>
      </c>
      <c r="E122" s="2" t="s">
        <v>135</v>
      </c>
      <c r="F122" s="2" t="s">
        <v>651</v>
      </c>
      <c r="G122" s="2">
        <v>121</v>
      </c>
      <c r="H122" s="2">
        <v>13</v>
      </c>
    </row>
    <row r="123" spans="1:8">
      <c r="A123" s="2">
        <v>13</v>
      </c>
      <c r="B123" s="2">
        <v>122</v>
      </c>
      <c r="C123" s="2" t="s">
        <v>430</v>
      </c>
      <c r="D123" s="2" t="s">
        <v>36</v>
      </c>
      <c r="E123" s="2" t="s">
        <v>21</v>
      </c>
      <c r="F123" s="2" t="s">
        <v>652</v>
      </c>
      <c r="G123" s="2">
        <v>122</v>
      </c>
      <c r="H123" s="2">
        <v>13</v>
      </c>
    </row>
    <row r="124" spans="1:8">
      <c r="A124" s="12">
        <v>13</v>
      </c>
      <c r="B124" s="12">
        <v>123</v>
      </c>
      <c r="C124" s="12" t="s">
        <v>520</v>
      </c>
      <c r="D124" s="12" t="s">
        <v>27</v>
      </c>
      <c r="E124" s="12" t="s">
        <v>135</v>
      </c>
      <c r="F124" s="12" t="s">
        <v>653</v>
      </c>
      <c r="G124" s="12">
        <v>123</v>
      </c>
      <c r="H124" s="12">
        <v>13</v>
      </c>
    </row>
    <row r="125" spans="1:8">
      <c r="A125" s="2">
        <v>13</v>
      </c>
      <c r="B125" s="2">
        <v>124</v>
      </c>
      <c r="C125" s="2" t="s">
        <v>711</v>
      </c>
      <c r="D125" s="2" t="s">
        <v>674</v>
      </c>
      <c r="E125" s="2" t="s">
        <v>41</v>
      </c>
      <c r="F125" s="2" t="s">
        <v>654</v>
      </c>
      <c r="G125" s="2">
        <v>124</v>
      </c>
      <c r="H125" s="2">
        <v>13</v>
      </c>
    </row>
    <row r="126" spans="1:8">
      <c r="A126" s="2">
        <v>13</v>
      </c>
      <c r="B126" s="2">
        <v>125</v>
      </c>
      <c r="C126" s="2" t="s">
        <v>712</v>
      </c>
      <c r="D126" s="2" t="s">
        <v>674</v>
      </c>
      <c r="E126" s="2" t="s">
        <v>676</v>
      </c>
      <c r="F126" s="2" t="s">
        <v>655</v>
      </c>
      <c r="G126" s="2">
        <v>125</v>
      </c>
      <c r="H126" s="2">
        <v>13</v>
      </c>
    </row>
    <row r="127" spans="1:8">
      <c r="A127" s="2">
        <v>13</v>
      </c>
      <c r="B127" s="2">
        <v>126</v>
      </c>
      <c r="C127" s="2" t="s">
        <v>664</v>
      </c>
      <c r="D127" s="2" t="s">
        <v>36</v>
      </c>
      <c r="E127" s="2" t="s">
        <v>3</v>
      </c>
      <c r="F127" s="2" t="s">
        <v>657</v>
      </c>
      <c r="G127" s="2">
        <v>126</v>
      </c>
      <c r="H127" s="2">
        <v>13</v>
      </c>
    </row>
    <row r="128" spans="1:8">
      <c r="A128" s="2">
        <v>13</v>
      </c>
      <c r="B128" s="2">
        <v>127</v>
      </c>
      <c r="C128" s="2" t="s">
        <v>665</v>
      </c>
      <c r="D128" s="2" t="s">
        <v>36</v>
      </c>
      <c r="E128" s="2" t="s">
        <v>107</v>
      </c>
      <c r="F128" s="2" t="s">
        <v>658</v>
      </c>
      <c r="G128" s="2">
        <v>127</v>
      </c>
      <c r="H128" s="2">
        <v>13</v>
      </c>
    </row>
    <row r="129" spans="1:8">
      <c r="A129" s="2">
        <v>13</v>
      </c>
      <c r="B129" s="2">
        <v>128</v>
      </c>
      <c r="C129" s="2" t="s">
        <v>666</v>
      </c>
      <c r="D129" s="2" t="s">
        <v>36</v>
      </c>
      <c r="E129" s="2" t="s">
        <v>41</v>
      </c>
      <c r="F129" s="2" t="s">
        <v>659</v>
      </c>
      <c r="G129" s="2">
        <v>128</v>
      </c>
      <c r="H129" s="2">
        <v>13</v>
      </c>
    </row>
    <row r="130" spans="1:8">
      <c r="A130" s="2">
        <v>13</v>
      </c>
      <c r="B130" s="2">
        <v>129</v>
      </c>
      <c r="C130" s="2" t="s">
        <v>409</v>
      </c>
      <c r="D130" s="2" t="s">
        <v>672</v>
      </c>
      <c r="E130" s="2" t="s">
        <v>682</v>
      </c>
      <c r="F130" s="2" t="s">
        <v>660</v>
      </c>
      <c r="G130" s="2">
        <v>129</v>
      </c>
      <c r="H130" s="2">
        <v>13</v>
      </c>
    </row>
    <row r="131" spans="1:8">
      <c r="A131" s="2">
        <v>13</v>
      </c>
      <c r="B131" s="2">
        <v>130</v>
      </c>
      <c r="C131" s="2" t="s">
        <v>188</v>
      </c>
      <c r="D131" s="2" t="s">
        <v>671</v>
      </c>
      <c r="E131" s="2" t="s">
        <v>683</v>
      </c>
      <c r="F131" s="2" t="s">
        <v>661</v>
      </c>
      <c r="G131" s="2">
        <v>130</v>
      </c>
      <c r="H131" s="2">
        <v>13</v>
      </c>
    </row>
    <row r="132" spans="1:8">
      <c r="A132" s="2">
        <v>14</v>
      </c>
      <c r="B132" s="2">
        <v>131</v>
      </c>
      <c r="C132" s="2" t="s">
        <v>178</v>
      </c>
      <c r="D132" s="2" t="s">
        <v>672</v>
      </c>
      <c r="E132" s="2" t="s">
        <v>19</v>
      </c>
      <c r="F132" s="2" t="s">
        <v>661</v>
      </c>
      <c r="G132" s="2">
        <v>131</v>
      </c>
      <c r="H132" s="2">
        <v>14</v>
      </c>
    </row>
    <row r="133" spans="1:8">
      <c r="A133" s="2">
        <v>14</v>
      </c>
      <c r="B133" s="2">
        <v>132</v>
      </c>
      <c r="C133" s="2" t="s">
        <v>606</v>
      </c>
      <c r="D133" s="2" t="s">
        <v>671</v>
      </c>
      <c r="E133" s="2" t="s">
        <v>15</v>
      </c>
      <c r="F133" s="2" t="s">
        <v>660</v>
      </c>
      <c r="G133" s="2">
        <v>132</v>
      </c>
      <c r="H133" s="2">
        <v>14</v>
      </c>
    </row>
    <row r="134" spans="1:8">
      <c r="A134" s="2">
        <v>14</v>
      </c>
      <c r="B134" s="2">
        <v>133</v>
      </c>
      <c r="C134" s="2" t="s">
        <v>119</v>
      </c>
      <c r="D134" s="2" t="s">
        <v>674</v>
      </c>
      <c r="E134" s="2" t="s">
        <v>677</v>
      </c>
      <c r="F134" s="2" t="s">
        <v>659</v>
      </c>
      <c r="G134" s="2">
        <v>133</v>
      </c>
      <c r="H134" s="2">
        <v>14</v>
      </c>
    </row>
    <row r="135" spans="1:8">
      <c r="A135" s="2">
        <v>14</v>
      </c>
      <c r="B135" s="2">
        <v>134</v>
      </c>
      <c r="C135" s="2" t="s">
        <v>744</v>
      </c>
      <c r="D135" s="2" t="s">
        <v>672</v>
      </c>
      <c r="E135" s="2" t="s">
        <v>28</v>
      </c>
      <c r="F135" s="2" t="s">
        <v>658</v>
      </c>
      <c r="G135" s="2">
        <v>134</v>
      </c>
      <c r="H135" s="2">
        <v>14</v>
      </c>
    </row>
    <row r="136" spans="1:8">
      <c r="A136" s="12">
        <v>14</v>
      </c>
      <c r="B136" s="12">
        <v>135</v>
      </c>
      <c r="C136" s="12" t="s">
        <v>559</v>
      </c>
      <c r="D136" s="12" t="s">
        <v>5</v>
      </c>
      <c r="E136" s="12" t="s">
        <v>13</v>
      </c>
      <c r="F136" s="12" t="s">
        <v>657</v>
      </c>
      <c r="G136" s="12">
        <v>135</v>
      </c>
      <c r="H136" s="12">
        <v>14</v>
      </c>
    </row>
    <row r="137" spans="1:8">
      <c r="A137" s="2">
        <v>14</v>
      </c>
      <c r="B137" s="2">
        <v>136</v>
      </c>
      <c r="C137" s="2" t="s">
        <v>713</v>
      </c>
      <c r="D137" s="2" t="s">
        <v>672</v>
      </c>
      <c r="E137" s="2" t="s">
        <v>60</v>
      </c>
      <c r="F137" s="2" t="s">
        <v>662</v>
      </c>
      <c r="G137" s="2">
        <v>136</v>
      </c>
      <c r="H137" s="2">
        <v>14</v>
      </c>
    </row>
    <row r="138" spans="1:8">
      <c r="A138" s="2">
        <v>14</v>
      </c>
      <c r="B138" s="2">
        <v>137</v>
      </c>
      <c r="C138" s="2" t="s">
        <v>594</v>
      </c>
      <c r="D138" s="2" t="s">
        <v>671</v>
      </c>
      <c r="E138" s="2" t="s">
        <v>680</v>
      </c>
      <c r="F138" s="2" t="s">
        <v>654</v>
      </c>
      <c r="G138" s="2">
        <v>137</v>
      </c>
      <c r="H138" s="2">
        <v>14</v>
      </c>
    </row>
    <row r="139" spans="1:8">
      <c r="A139" s="2">
        <v>14</v>
      </c>
      <c r="B139" s="2">
        <v>138</v>
      </c>
      <c r="C139" s="2" t="s">
        <v>714</v>
      </c>
      <c r="D139" s="2" t="s">
        <v>671</v>
      </c>
      <c r="E139" s="2" t="s">
        <v>63</v>
      </c>
      <c r="F139" s="2" t="s">
        <v>653</v>
      </c>
      <c r="G139" s="2">
        <v>138</v>
      </c>
      <c r="H139" s="2">
        <v>14</v>
      </c>
    </row>
    <row r="140" spans="1:8">
      <c r="A140" s="2">
        <v>14</v>
      </c>
      <c r="B140" s="2">
        <v>139</v>
      </c>
      <c r="C140" s="2" t="s">
        <v>461</v>
      </c>
      <c r="D140" s="2" t="s">
        <v>672</v>
      </c>
      <c r="E140" s="2" t="s">
        <v>71</v>
      </c>
      <c r="F140" s="2" t="s">
        <v>652</v>
      </c>
      <c r="G140" s="2">
        <v>139</v>
      </c>
      <c r="H140" s="2">
        <v>14</v>
      </c>
    </row>
    <row r="141" spans="1:8">
      <c r="A141" s="2">
        <v>14</v>
      </c>
      <c r="B141" s="2">
        <v>140</v>
      </c>
      <c r="C141" s="2" t="s">
        <v>482</v>
      </c>
      <c r="D141" s="2" t="s">
        <v>671</v>
      </c>
      <c r="E141" s="2" t="s">
        <v>63</v>
      </c>
      <c r="F141" s="2" t="s">
        <v>651</v>
      </c>
      <c r="G141" s="2">
        <v>140</v>
      </c>
      <c r="H141" s="2">
        <v>14</v>
      </c>
    </row>
    <row r="142" spans="1:8">
      <c r="A142" s="2">
        <v>15</v>
      </c>
      <c r="B142" s="2">
        <v>141</v>
      </c>
      <c r="C142" s="2" t="s">
        <v>715</v>
      </c>
      <c r="D142" s="2" t="s">
        <v>674</v>
      </c>
      <c r="E142" s="2" t="s">
        <v>84</v>
      </c>
      <c r="F142" s="2" t="s">
        <v>651</v>
      </c>
      <c r="G142" s="2">
        <v>141</v>
      </c>
      <c r="H142" s="2">
        <v>15</v>
      </c>
    </row>
    <row r="143" spans="1:8">
      <c r="A143" s="2">
        <v>15</v>
      </c>
      <c r="B143" s="2">
        <v>142</v>
      </c>
      <c r="C143" s="2" t="s">
        <v>551</v>
      </c>
      <c r="D143" s="2" t="s">
        <v>679</v>
      </c>
      <c r="E143" s="2" t="s">
        <v>71</v>
      </c>
      <c r="F143" s="2" t="s">
        <v>652</v>
      </c>
      <c r="G143" s="2">
        <v>142</v>
      </c>
      <c r="H143" s="2">
        <v>15</v>
      </c>
    </row>
    <row r="144" spans="1:8">
      <c r="A144" s="2">
        <v>15</v>
      </c>
      <c r="B144" s="2">
        <v>143</v>
      </c>
      <c r="C144" s="2" t="s">
        <v>667</v>
      </c>
      <c r="D144" s="2" t="s">
        <v>36</v>
      </c>
      <c r="E144" s="2" t="s">
        <v>30</v>
      </c>
      <c r="F144" s="2" t="s">
        <v>653</v>
      </c>
      <c r="G144" s="2">
        <v>143</v>
      </c>
      <c r="H144" s="2">
        <v>15</v>
      </c>
    </row>
    <row r="145" spans="1:8">
      <c r="A145" s="2">
        <v>15</v>
      </c>
      <c r="B145" s="2">
        <v>144</v>
      </c>
      <c r="C145" s="2" t="s">
        <v>558</v>
      </c>
      <c r="D145" s="2" t="s">
        <v>671</v>
      </c>
      <c r="E145" s="2" t="s">
        <v>19</v>
      </c>
      <c r="F145" s="2" t="s">
        <v>654</v>
      </c>
      <c r="G145" s="2">
        <v>144</v>
      </c>
      <c r="H145" s="2">
        <v>15</v>
      </c>
    </row>
    <row r="146" spans="1:8">
      <c r="A146" s="2">
        <v>15</v>
      </c>
      <c r="B146" s="2">
        <v>145</v>
      </c>
      <c r="C146" s="2" t="s">
        <v>189</v>
      </c>
      <c r="D146" s="2" t="s">
        <v>679</v>
      </c>
      <c r="E146" s="2" t="s">
        <v>680</v>
      </c>
      <c r="F146" s="2" t="s">
        <v>655</v>
      </c>
      <c r="G146" s="2">
        <v>145</v>
      </c>
      <c r="H146" s="2">
        <v>15</v>
      </c>
    </row>
    <row r="147" spans="1:8">
      <c r="A147" s="2">
        <v>15</v>
      </c>
      <c r="B147" s="2">
        <v>146</v>
      </c>
      <c r="C147" s="2" t="s">
        <v>728</v>
      </c>
      <c r="D147" s="2" t="s">
        <v>674</v>
      </c>
      <c r="E147" s="2" t="s">
        <v>25</v>
      </c>
      <c r="F147" s="2" t="s">
        <v>657</v>
      </c>
      <c r="G147" s="2">
        <v>146</v>
      </c>
      <c r="H147" s="2">
        <v>15</v>
      </c>
    </row>
    <row r="148" spans="1:8">
      <c r="A148" s="2">
        <v>15</v>
      </c>
      <c r="B148" s="2">
        <v>147</v>
      </c>
      <c r="C148" s="2" t="s">
        <v>460</v>
      </c>
      <c r="D148" s="2" t="s">
        <v>679</v>
      </c>
      <c r="E148" s="2" t="s">
        <v>23</v>
      </c>
      <c r="F148" s="2" t="s">
        <v>658</v>
      </c>
      <c r="G148" s="2">
        <v>147</v>
      </c>
      <c r="H148" s="2">
        <v>15</v>
      </c>
    </row>
    <row r="149" spans="1:8">
      <c r="A149" s="2">
        <v>15</v>
      </c>
      <c r="B149" s="2">
        <v>148</v>
      </c>
      <c r="C149" s="2" t="s">
        <v>716</v>
      </c>
      <c r="D149" s="2" t="s">
        <v>679</v>
      </c>
      <c r="E149" s="2" t="s">
        <v>84</v>
      </c>
      <c r="F149" s="2" t="s">
        <v>659</v>
      </c>
      <c r="G149" s="2">
        <v>148</v>
      </c>
      <c r="H149" s="2">
        <v>15</v>
      </c>
    </row>
    <row r="150" spans="1:8">
      <c r="A150" s="2">
        <v>15</v>
      </c>
      <c r="B150" s="2">
        <v>149</v>
      </c>
      <c r="C150" s="2" t="s">
        <v>81</v>
      </c>
      <c r="D150" s="2" t="s">
        <v>674</v>
      </c>
      <c r="E150" s="2" t="s">
        <v>682</v>
      </c>
      <c r="F150" s="2" t="s">
        <v>660</v>
      </c>
      <c r="G150" s="2">
        <v>149</v>
      </c>
      <c r="H150" s="2">
        <v>15</v>
      </c>
    </row>
    <row r="151" spans="1:8">
      <c r="A151" s="2">
        <v>15</v>
      </c>
      <c r="B151" s="2">
        <v>150</v>
      </c>
      <c r="C151" s="2" t="s">
        <v>47</v>
      </c>
      <c r="D151" s="2" t="s">
        <v>679</v>
      </c>
      <c r="E151" s="2" t="s">
        <v>678</v>
      </c>
      <c r="F151" s="2" t="s">
        <v>661</v>
      </c>
      <c r="G151" s="2">
        <v>150</v>
      </c>
      <c r="H151" s="2">
        <v>15</v>
      </c>
    </row>
    <row r="152" spans="1:8">
      <c r="A152" s="2">
        <v>16</v>
      </c>
      <c r="B152" s="2">
        <v>151</v>
      </c>
      <c r="C152" s="2" t="s">
        <v>439</v>
      </c>
      <c r="D152" s="2" t="s">
        <v>36</v>
      </c>
      <c r="E152" s="2" t="s">
        <v>82</v>
      </c>
      <c r="F152" s="2" t="s">
        <v>661</v>
      </c>
      <c r="G152" s="2">
        <v>151</v>
      </c>
      <c r="H152" s="2">
        <v>16</v>
      </c>
    </row>
    <row r="153" spans="1:8">
      <c r="A153" s="2">
        <v>16</v>
      </c>
      <c r="B153" s="2">
        <v>152</v>
      </c>
      <c r="C153" s="2" t="s">
        <v>1</v>
      </c>
      <c r="D153" s="2" t="s">
        <v>2</v>
      </c>
      <c r="E153" s="2" t="s">
        <v>43</v>
      </c>
      <c r="F153" s="2" t="s">
        <v>660</v>
      </c>
      <c r="G153" s="2">
        <v>152</v>
      </c>
      <c r="H153" s="2">
        <v>16</v>
      </c>
    </row>
    <row r="154" spans="1:8">
      <c r="A154" s="2">
        <v>16</v>
      </c>
      <c r="B154" s="2">
        <v>153</v>
      </c>
      <c r="C154" s="2" t="s">
        <v>717</v>
      </c>
      <c r="D154" s="2" t="s">
        <v>2</v>
      </c>
      <c r="E154" s="2" t="s">
        <v>23</v>
      </c>
      <c r="F154" s="2" t="s">
        <v>659</v>
      </c>
      <c r="G154" s="2">
        <v>153</v>
      </c>
      <c r="H154" s="2">
        <v>16</v>
      </c>
    </row>
    <row r="155" spans="1:8">
      <c r="A155" s="2">
        <v>16</v>
      </c>
      <c r="B155" s="2">
        <v>154</v>
      </c>
      <c r="C155" s="2" t="s">
        <v>391</v>
      </c>
      <c r="D155" s="2" t="s">
        <v>679</v>
      </c>
      <c r="E155" s="2" t="s">
        <v>120</v>
      </c>
      <c r="F155" s="2" t="s">
        <v>658</v>
      </c>
      <c r="G155" s="2">
        <v>154</v>
      </c>
      <c r="H155" s="2">
        <v>16</v>
      </c>
    </row>
    <row r="156" spans="1:8">
      <c r="A156" s="2">
        <v>16</v>
      </c>
      <c r="B156" s="2">
        <v>155</v>
      </c>
      <c r="C156" s="2" t="s">
        <v>718</v>
      </c>
      <c r="D156" s="2" t="s">
        <v>672</v>
      </c>
      <c r="E156" s="2" t="s">
        <v>11</v>
      </c>
      <c r="F156" s="2" t="s">
        <v>657</v>
      </c>
      <c r="G156" s="2">
        <v>155</v>
      </c>
      <c r="H156" s="2">
        <v>16</v>
      </c>
    </row>
    <row r="157" spans="1:8">
      <c r="A157" s="2">
        <v>16</v>
      </c>
      <c r="B157" s="2">
        <v>156</v>
      </c>
      <c r="C157" s="2" t="s">
        <v>668</v>
      </c>
      <c r="D157" s="2" t="s">
        <v>36</v>
      </c>
      <c r="E157" s="2" t="s">
        <v>73</v>
      </c>
      <c r="F157" s="2" t="s">
        <v>662</v>
      </c>
      <c r="G157" s="2">
        <v>156</v>
      </c>
      <c r="H157" s="2">
        <v>16</v>
      </c>
    </row>
    <row r="158" spans="1:8">
      <c r="A158" s="2">
        <v>16</v>
      </c>
      <c r="B158" s="2">
        <v>157</v>
      </c>
      <c r="C158" s="2" t="s">
        <v>669</v>
      </c>
      <c r="D158" s="2" t="s">
        <v>36</v>
      </c>
      <c r="E158" s="2" t="s">
        <v>13</v>
      </c>
      <c r="F158" s="2" t="s">
        <v>654</v>
      </c>
      <c r="G158" s="2">
        <v>157</v>
      </c>
      <c r="H158" s="2">
        <v>16</v>
      </c>
    </row>
    <row r="159" spans="1:8">
      <c r="A159" s="2">
        <v>16</v>
      </c>
      <c r="B159" s="2">
        <v>158</v>
      </c>
      <c r="C159" s="2" t="s">
        <v>719</v>
      </c>
      <c r="D159" s="2" t="s">
        <v>671</v>
      </c>
      <c r="E159" s="2" t="s">
        <v>3</v>
      </c>
      <c r="F159" s="2" t="s">
        <v>653</v>
      </c>
      <c r="G159" s="2">
        <v>158</v>
      </c>
      <c r="H159" s="2">
        <v>16</v>
      </c>
    </row>
    <row r="160" spans="1:8">
      <c r="A160" s="2">
        <v>16</v>
      </c>
      <c r="B160" s="2">
        <v>159</v>
      </c>
      <c r="C160" s="2" t="s">
        <v>720</v>
      </c>
      <c r="D160" s="2" t="s">
        <v>674</v>
      </c>
      <c r="E160" s="2" t="s">
        <v>91</v>
      </c>
      <c r="F160" s="2" t="s">
        <v>652</v>
      </c>
      <c r="G160" s="2">
        <v>159</v>
      </c>
      <c r="H160" s="2">
        <v>16</v>
      </c>
    </row>
    <row r="161" spans="1:8">
      <c r="A161" s="2">
        <v>16</v>
      </c>
      <c r="B161" s="2">
        <v>160</v>
      </c>
      <c r="C161" s="2" t="s">
        <v>670</v>
      </c>
      <c r="D161" s="2" t="s">
        <v>10</v>
      </c>
      <c r="E161" s="2" t="s">
        <v>13</v>
      </c>
      <c r="F161" s="2" t="s">
        <v>651</v>
      </c>
      <c r="G161" s="2">
        <v>160</v>
      </c>
      <c r="H161" s="2">
        <v>16</v>
      </c>
    </row>
  </sheetData>
  <autoFilter ref="A1:H161" xr:uid="{00000000-0009-0000-0000-000008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O1012"/>
  <sheetViews>
    <sheetView workbookViewId="0">
      <pane ySplit="2" topLeftCell="A38" activePane="bottomLeft" state="frozen"/>
      <selection activeCell="G6" sqref="G6"/>
      <selection pane="bottomLeft" activeCell="G6" sqref="G6"/>
    </sheetView>
  </sheetViews>
  <sheetFormatPr defaultRowHeight="15"/>
  <cols>
    <col min="1" max="2" width="8.85546875" style="1"/>
    <col min="3" max="3" width="21.5703125" style="2" customWidth="1"/>
    <col min="4" max="4" width="12.42578125" style="2" bestFit="1" customWidth="1"/>
    <col min="5" max="5" width="10.140625" style="2" bestFit="1" customWidth="1"/>
    <col min="6" max="6" width="30" style="2" customWidth="1"/>
    <col min="7" max="7" width="5" style="2" customWidth="1"/>
    <col min="8" max="10" width="10.7109375" bestFit="1" customWidth="1"/>
    <col min="11" max="11" width="3.5703125" customWidth="1"/>
    <col min="12" max="14" width="8.85546875" style="2"/>
  </cols>
  <sheetData>
    <row r="1" spans="1:15">
      <c r="A1" s="104" t="s">
        <v>404</v>
      </c>
      <c r="B1" s="104"/>
      <c r="C1" s="104"/>
      <c r="D1" s="104"/>
      <c r="E1" s="104"/>
      <c r="F1" s="104"/>
      <c r="G1" s="21"/>
      <c r="H1" s="106" t="s">
        <v>405</v>
      </c>
      <c r="I1" s="106"/>
      <c r="J1" s="106"/>
      <c r="L1" s="106" t="s">
        <v>406</v>
      </c>
      <c r="M1" s="106"/>
      <c r="N1" s="106"/>
      <c r="O1" s="106"/>
    </row>
    <row r="2" spans="1:15">
      <c r="A2" s="9" t="s">
        <v>374</v>
      </c>
      <c r="B2" s="9" t="s">
        <v>465</v>
      </c>
      <c r="C2" s="10" t="s">
        <v>375</v>
      </c>
      <c r="D2" s="10" t="s">
        <v>376</v>
      </c>
      <c r="E2" s="10" t="s">
        <v>377</v>
      </c>
      <c r="F2" s="10" t="s">
        <v>378</v>
      </c>
      <c r="G2" s="6"/>
      <c r="H2" s="10" t="s">
        <v>398</v>
      </c>
      <c r="I2" s="10" t="s">
        <v>399</v>
      </c>
      <c r="J2" s="10" t="s">
        <v>576</v>
      </c>
      <c r="L2" s="10">
        <v>2017</v>
      </c>
      <c r="M2" s="10">
        <v>2018</v>
      </c>
      <c r="N2" s="46">
        <v>2019</v>
      </c>
      <c r="O2" s="6">
        <v>2020</v>
      </c>
    </row>
    <row r="3" spans="1:15" ht="15.75" thickBot="1">
      <c r="A3" s="7">
        <f>VLOOKUP(C3,'2018 Draft by Round'!$C$2:$G$161,5,FALSE)</f>
        <v>124</v>
      </c>
      <c r="B3" s="7">
        <f>VLOOKUP(C3,'2018 Draft by Round'!$C$2:$H$161,6,FALSE)</f>
        <v>13</v>
      </c>
      <c r="C3" s="8" t="s">
        <v>147</v>
      </c>
      <c r="D3" s="8" t="s">
        <v>5</v>
      </c>
      <c r="E3" s="8" t="s">
        <v>41</v>
      </c>
      <c r="F3" s="16" t="s">
        <v>469</v>
      </c>
      <c r="G3" s="22"/>
      <c r="H3" s="20" t="s">
        <v>401</v>
      </c>
      <c r="I3" s="15" t="s">
        <v>402</v>
      </c>
      <c r="J3" s="15" t="s">
        <v>387</v>
      </c>
      <c r="L3" s="2">
        <v>14</v>
      </c>
      <c r="M3" s="2">
        <v>13</v>
      </c>
      <c r="N3" s="12">
        <v>12</v>
      </c>
      <c r="O3" s="2" t="s">
        <v>387</v>
      </c>
    </row>
    <row r="4" spans="1:15" ht="15.75" thickBot="1">
      <c r="A4" s="7">
        <f>VLOOKUP(C4,'2018 Draft by Round'!$C$2:$G$161,5,FALSE)</f>
        <v>24</v>
      </c>
      <c r="B4" s="7">
        <f>VLOOKUP(C4,'2018 Draft by Round'!$C$2:$H$161,6,FALSE)</f>
        <v>3</v>
      </c>
      <c r="C4" s="4" t="s">
        <v>79</v>
      </c>
      <c r="D4" s="4" t="s">
        <v>10</v>
      </c>
      <c r="E4" s="4" t="s">
        <v>56</v>
      </c>
      <c r="F4" s="16" t="s">
        <v>469</v>
      </c>
      <c r="G4" s="22"/>
      <c r="H4" s="20" t="s">
        <v>400</v>
      </c>
      <c r="I4" s="15" t="s">
        <v>401</v>
      </c>
      <c r="J4" s="15" t="s">
        <v>402</v>
      </c>
      <c r="L4" s="2" t="s">
        <v>387</v>
      </c>
      <c r="M4" s="1">
        <f>B4</f>
        <v>3</v>
      </c>
      <c r="N4" s="44">
        <f>M4-1</f>
        <v>2</v>
      </c>
      <c r="O4" s="1">
        <f>N4-1</f>
        <v>1</v>
      </c>
    </row>
    <row r="5" spans="1:15" ht="15.75" thickBot="1">
      <c r="A5" s="7">
        <f>VLOOKUP(C5,'2018 Draft by Round'!$C$2:$G$161,5,FALSE)</f>
        <v>117</v>
      </c>
      <c r="B5" s="7">
        <f>VLOOKUP(C5,'2018 Draft by Round'!$C$2:$H$161,6,FALSE)</f>
        <v>12</v>
      </c>
      <c r="C5" s="4" t="s">
        <v>195</v>
      </c>
      <c r="D5" s="4" t="s">
        <v>10</v>
      </c>
      <c r="E5" s="4" t="s">
        <v>30</v>
      </c>
      <c r="F5" s="16" t="s">
        <v>469</v>
      </c>
      <c r="G5" s="22"/>
      <c r="H5" s="20" t="s">
        <v>400</v>
      </c>
      <c r="I5" s="15" t="s">
        <v>401</v>
      </c>
      <c r="J5" s="15" t="s">
        <v>402</v>
      </c>
      <c r="L5" s="2" t="s">
        <v>387</v>
      </c>
      <c r="M5" s="1">
        <f>B5</f>
        <v>12</v>
      </c>
      <c r="N5" s="44">
        <f>M5-1</f>
        <v>11</v>
      </c>
      <c r="O5" s="1">
        <f>N5-1</f>
        <v>10</v>
      </c>
    </row>
    <row r="6" spans="1:15" ht="15.75" thickBot="1">
      <c r="A6" s="7">
        <f>VLOOKUP(C6,'2018 Draft by Round'!$C$2:$G$161,5,FALSE)</f>
        <v>77</v>
      </c>
      <c r="B6" s="7">
        <f>VLOOKUP(C6,'2018 Draft by Round'!$C$2:$H$161,6,FALSE)</f>
        <v>8</v>
      </c>
      <c r="C6" s="4" t="s">
        <v>142</v>
      </c>
      <c r="D6" s="4" t="s">
        <v>2</v>
      </c>
      <c r="E6" s="4" t="s">
        <v>41</v>
      </c>
      <c r="F6" s="16" t="s">
        <v>469</v>
      </c>
      <c r="G6" s="22"/>
      <c r="H6" s="20" t="s">
        <v>401</v>
      </c>
      <c r="I6" s="15" t="s">
        <v>402</v>
      </c>
      <c r="J6" s="15" t="s">
        <v>387</v>
      </c>
      <c r="L6" s="2">
        <v>9</v>
      </c>
      <c r="M6" s="2">
        <v>8</v>
      </c>
      <c r="N6" s="12">
        <v>7</v>
      </c>
      <c r="O6" s="2" t="s">
        <v>387</v>
      </c>
    </row>
    <row r="7" spans="1:15" ht="15.75" thickBot="1">
      <c r="A7" s="7">
        <f>VLOOKUP(C7,'2018 Draft by Round'!$C$2:$G$161,5,FALSE)</f>
        <v>97</v>
      </c>
      <c r="B7" s="7">
        <f>VLOOKUP(C7,'2018 Draft by Round'!$C$2:$H$161,6,FALSE)</f>
        <v>10</v>
      </c>
      <c r="C7" s="4" t="s">
        <v>462</v>
      </c>
      <c r="D7" s="4" t="s">
        <v>2</v>
      </c>
      <c r="E7" s="4" t="s">
        <v>120</v>
      </c>
      <c r="F7" s="16" t="s">
        <v>469</v>
      </c>
      <c r="G7" s="22"/>
      <c r="H7" s="20" t="s">
        <v>400</v>
      </c>
      <c r="I7" s="15" t="s">
        <v>401</v>
      </c>
      <c r="J7" s="15" t="s">
        <v>402</v>
      </c>
      <c r="L7" s="2" t="s">
        <v>387</v>
      </c>
      <c r="M7" s="1">
        <f>B7</f>
        <v>10</v>
      </c>
      <c r="N7" s="44">
        <f>M7-1</f>
        <v>9</v>
      </c>
      <c r="O7" s="1">
        <f>N7-1</f>
        <v>8</v>
      </c>
    </row>
    <row r="8" spans="1:15" ht="15.75" thickBot="1">
      <c r="A8" s="7" t="e">
        <f>VLOOKUP(C8,'2018 Draft by Round'!$C$2:$G$161,5,FALSE)</f>
        <v>#N/A</v>
      </c>
      <c r="B8" s="7" t="e">
        <f>VLOOKUP(C8,'2018 Draft by Round'!$C$2:$H$161,6,FALSE)</f>
        <v>#N/A</v>
      </c>
      <c r="C8" s="4" t="s">
        <v>26</v>
      </c>
      <c r="D8" s="4" t="s">
        <v>27</v>
      </c>
      <c r="E8" s="4" t="s">
        <v>25</v>
      </c>
      <c r="F8" s="16" t="s">
        <v>469</v>
      </c>
      <c r="G8" s="22"/>
      <c r="H8" s="20" t="s">
        <v>400</v>
      </c>
      <c r="I8" s="15" t="s">
        <v>401</v>
      </c>
      <c r="J8" s="15" t="s">
        <v>402</v>
      </c>
      <c r="L8" s="2" t="s">
        <v>387</v>
      </c>
      <c r="M8" s="2" t="s">
        <v>390</v>
      </c>
      <c r="N8" s="44">
        <v>9</v>
      </c>
      <c r="O8" s="1">
        <f t="shared" ref="O8" si="0">N8-1</f>
        <v>8</v>
      </c>
    </row>
    <row r="9" spans="1:15" ht="15.75" thickBot="1">
      <c r="A9" s="7">
        <f>VLOOKUP(C9,'2018 Draft by Round'!$C$2:$G$161,5,FALSE)</f>
        <v>4</v>
      </c>
      <c r="B9" s="7">
        <f>VLOOKUP(C9,'2018 Draft by Round'!$C$2:$H$161,6,FALSE)</f>
        <v>1</v>
      </c>
      <c r="C9" s="4" t="s">
        <v>528</v>
      </c>
      <c r="D9" s="4" t="s">
        <v>2</v>
      </c>
      <c r="E9" s="4" t="s">
        <v>71</v>
      </c>
      <c r="F9" s="16" t="s">
        <v>469</v>
      </c>
      <c r="G9" s="22"/>
      <c r="H9" s="20" t="s">
        <v>400</v>
      </c>
      <c r="I9" s="15" t="s">
        <v>401</v>
      </c>
      <c r="J9" s="15" t="s">
        <v>402</v>
      </c>
      <c r="L9" s="2" t="s">
        <v>387</v>
      </c>
      <c r="M9" s="1">
        <f t="shared" ref="M9:M19" si="1">B9</f>
        <v>1</v>
      </c>
      <c r="N9" s="12" t="s">
        <v>387</v>
      </c>
      <c r="O9" s="2" t="s">
        <v>387</v>
      </c>
    </row>
    <row r="10" spans="1:15" ht="15.75" thickBot="1">
      <c r="A10" s="7" t="e">
        <f>VLOOKUP(C10,'2018 Draft by Round'!$C$2:$G$161,5,FALSE)</f>
        <v>#N/A</v>
      </c>
      <c r="B10" s="7" t="e">
        <f>VLOOKUP(C10,'2018 Draft by Round'!$C$2:$H$161,6,FALSE)</f>
        <v>#N/A</v>
      </c>
      <c r="C10" s="4" t="s">
        <v>529</v>
      </c>
      <c r="D10" s="4" t="s">
        <v>2</v>
      </c>
      <c r="E10" s="4" t="s">
        <v>135</v>
      </c>
      <c r="F10" s="16" t="s">
        <v>469</v>
      </c>
      <c r="G10" s="22"/>
      <c r="H10" s="20" t="s">
        <v>400</v>
      </c>
      <c r="I10" s="15" t="s">
        <v>401</v>
      </c>
      <c r="J10" s="15" t="s">
        <v>402</v>
      </c>
      <c r="L10" s="2" t="s">
        <v>387</v>
      </c>
      <c r="M10" s="2" t="s">
        <v>387</v>
      </c>
      <c r="N10" s="44">
        <v>9</v>
      </c>
      <c r="O10" s="1">
        <f t="shared" ref="O10:O11" si="2">N10-1</f>
        <v>8</v>
      </c>
    </row>
    <row r="11" spans="1:15" ht="15.75" thickBot="1">
      <c r="A11" s="7" t="e">
        <f>VLOOKUP(C11,'2018 Draft by Round'!$C$2:$G$161,5,FALSE)</f>
        <v>#N/A</v>
      </c>
      <c r="B11" s="7" t="e">
        <f>VLOOKUP(C11,'2018 Draft by Round'!$C$2:$H$161,6,FALSE)</f>
        <v>#N/A</v>
      </c>
      <c r="C11" s="4" t="s">
        <v>530</v>
      </c>
      <c r="D11" s="4" t="s">
        <v>534</v>
      </c>
      <c r="E11" s="4" t="s">
        <v>120</v>
      </c>
      <c r="F11" s="16" t="s">
        <v>469</v>
      </c>
      <c r="G11" s="22"/>
      <c r="H11" s="20" t="s">
        <v>400</v>
      </c>
      <c r="I11" s="15" t="s">
        <v>401</v>
      </c>
      <c r="J11" s="15" t="s">
        <v>402</v>
      </c>
      <c r="L11" s="2" t="s">
        <v>387</v>
      </c>
      <c r="M11" s="2" t="s">
        <v>387</v>
      </c>
      <c r="N11" s="44">
        <v>9</v>
      </c>
      <c r="O11" s="1">
        <f t="shared" si="2"/>
        <v>8</v>
      </c>
    </row>
    <row r="12" spans="1:15" ht="15.75" thickBot="1">
      <c r="A12" s="7">
        <f>VLOOKUP(C12,'2018 Draft by Round'!$C$2:$G$161,5,FALSE)</f>
        <v>44</v>
      </c>
      <c r="B12" s="7">
        <f>VLOOKUP(C12,'2018 Draft by Round'!$C$2:$H$161,6,FALSE)</f>
        <v>5</v>
      </c>
      <c r="C12" s="4" t="s">
        <v>47</v>
      </c>
      <c r="D12" s="4" t="s">
        <v>5</v>
      </c>
      <c r="E12" s="4" t="s">
        <v>30</v>
      </c>
      <c r="F12" s="16" t="s">
        <v>469</v>
      </c>
      <c r="G12" s="22"/>
      <c r="H12" s="20" t="s">
        <v>400</v>
      </c>
      <c r="I12" s="15" t="s">
        <v>401</v>
      </c>
      <c r="J12" s="15" t="s">
        <v>402</v>
      </c>
      <c r="L12" s="2" t="s">
        <v>387</v>
      </c>
      <c r="M12" s="1">
        <f t="shared" si="1"/>
        <v>5</v>
      </c>
      <c r="N12" s="44">
        <f t="shared" ref="N12:O12" si="3">M12-1</f>
        <v>4</v>
      </c>
      <c r="O12" s="1">
        <f t="shared" si="3"/>
        <v>3</v>
      </c>
    </row>
    <row r="13" spans="1:15" ht="15.75" thickBot="1">
      <c r="A13" s="7">
        <f>VLOOKUP(C13,'2018 Draft by Round'!$C$2:$G$161,5,FALSE)</f>
        <v>57</v>
      </c>
      <c r="B13" s="7">
        <f>VLOOKUP(C13,'2018 Draft by Round'!$C$2:$H$161,6,FALSE)</f>
        <v>6</v>
      </c>
      <c r="C13" s="4" t="s">
        <v>171</v>
      </c>
      <c r="D13" s="4" t="s">
        <v>27</v>
      </c>
      <c r="E13" s="4" t="s">
        <v>6</v>
      </c>
      <c r="F13" s="16" t="s">
        <v>469</v>
      </c>
      <c r="G13" s="22"/>
      <c r="H13" s="20" t="s">
        <v>400</v>
      </c>
      <c r="I13" s="15" t="s">
        <v>401</v>
      </c>
      <c r="J13" s="15" t="s">
        <v>402</v>
      </c>
      <c r="L13" s="2" t="s">
        <v>387</v>
      </c>
      <c r="M13" s="1">
        <f t="shared" si="1"/>
        <v>6</v>
      </c>
      <c r="N13" s="44">
        <f t="shared" ref="N13:O13" si="4">M13-1</f>
        <v>5</v>
      </c>
      <c r="O13" s="1">
        <f t="shared" si="4"/>
        <v>4</v>
      </c>
    </row>
    <row r="14" spans="1:15" ht="15.75" thickBot="1">
      <c r="A14" s="7">
        <f>VLOOKUP(C14,'2018 Draft by Round'!$C$2:$G$161,5,FALSE)</f>
        <v>118</v>
      </c>
      <c r="B14" s="7">
        <f>VLOOKUP(C14,'2018 Draft by Round'!$C$2:$H$161,6,FALSE)</f>
        <v>12</v>
      </c>
      <c r="C14" s="4" t="s">
        <v>139</v>
      </c>
      <c r="D14" s="4" t="s">
        <v>10</v>
      </c>
      <c r="E14" s="4" t="s">
        <v>28</v>
      </c>
      <c r="F14" s="16" t="s">
        <v>469</v>
      </c>
      <c r="G14" s="22"/>
      <c r="H14" s="20" t="s">
        <v>400</v>
      </c>
      <c r="I14" s="15" t="s">
        <v>401</v>
      </c>
      <c r="J14" s="15" t="s">
        <v>402</v>
      </c>
      <c r="L14" s="2" t="s">
        <v>387</v>
      </c>
      <c r="M14" s="1">
        <f t="shared" si="1"/>
        <v>12</v>
      </c>
      <c r="N14" s="44">
        <f t="shared" ref="N14:O18" si="5">M14-1</f>
        <v>11</v>
      </c>
      <c r="O14" s="1">
        <f t="shared" si="5"/>
        <v>10</v>
      </c>
    </row>
    <row r="15" spans="1:15" ht="15.75" thickBot="1">
      <c r="A15" s="7" t="e">
        <f>VLOOKUP(C15,'2018 Draft by Round'!$C$2:$G$161,5,FALSE)</f>
        <v>#N/A</v>
      </c>
      <c r="B15" s="7" t="e">
        <f>VLOOKUP(C15,'2018 Draft by Round'!$C$2:$H$161,6,FALSE)</f>
        <v>#N/A</v>
      </c>
      <c r="C15" s="4" t="s">
        <v>77</v>
      </c>
      <c r="D15" s="4" t="s">
        <v>2</v>
      </c>
      <c r="E15" s="4" t="s">
        <v>107</v>
      </c>
      <c r="F15" s="16" t="s">
        <v>469</v>
      </c>
      <c r="G15" s="22"/>
      <c r="H15" s="20" t="s">
        <v>400</v>
      </c>
      <c r="I15" s="15" t="s">
        <v>401</v>
      </c>
      <c r="J15" s="15" t="s">
        <v>402</v>
      </c>
      <c r="L15" s="2" t="s">
        <v>387</v>
      </c>
      <c r="M15" s="2" t="s">
        <v>387</v>
      </c>
      <c r="N15" s="44">
        <v>9</v>
      </c>
      <c r="O15" s="1">
        <f t="shared" si="5"/>
        <v>8</v>
      </c>
    </row>
    <row r="16" spans="1:15" ht="15.75" thickBot="1">
      <c r="A16" s="7" t="e">
        <f>VLOOKUP(C16,'2018 Draft by Round'!$C$2:$G$161,5,FALSE)</f>
        <v>#N/A</v>
      </c>
      <c r="B16" s="7" t="e">
        <f>VLOOKUP(C16,'2018 Draft by Round'!$C$2:$H$161,6,FALSE)</f>
        <v>#N/A</v>
      </c>
      <c r="C16" s="4" t="s">
        <v>531</v>
      </c>
      <c r="D16" s="4" t="s">
        <v>534</v>
      </c>
      <c r="E16" s="4" t="s">
        <v>17</v>
      </c>
      <c r="F16" s="16" t="s">
        <v>469</v>
      </c>
      <c r="G16" s="22"/>
      <c r="H16" s="20" t="s">
        <v>400</v>
      </c>
      <c r="I16" s="15" t="s">
        <v>401</v>
      </c>
      <c r="J16" s="15" t="s">
        <v>402</v>
      </c>
      <c r="L16" s="2" t="s">
        <v>387</v>
      </c>
      <c r="M16" s="2" t="s">
        <v>387</v>
      </c>
      <c r="N16" s="44">
        <v>9</v>
      </c>
      <c r="O16" s="1">
        <f t="shared" si="5"/>
        <v>8</v>
      </c>
    </row>
    <row r="17" spans="1:15" ht="15.75" thickBot="1">
      <c r="A17" s="7" t="e">
        <f>VLOOKUP(C17,'2018 Draft by Round'!$C$2:$G$161,5,FALSE)</f>
        <v>#N/A</v>
      </c>
      <c r="B17" s="7" t="e">
        <f>VLOOKUP(C17,'2018 Draft by Round'!$C$2:$H$161,6,FALSE)</f>
        <v>#N/A</v>
      </c>
      <c r="C17" s="4" t="s">
        <v>532</v>
      </c>
      <c r="D17" s="4" t="s">
        <v>10</v>
      </c>
      <c r="E17" s="4" t="s">
        <v>21</v>
      </c>
      <c r="F17" s="16" t="s">
        <v>469</v>
      </c>
      <c r="G17" s="22"/>
      <c r="H17" s="20" t="s">
        <v>400</v>
      </c>
      <c r="I17" s="15" t="s">
        <v>401</v>
      </c>
      <c r="J17" s="15" t="s">
        <v>402</v>
      </c>
      <c r="L17" s="2" t="s">
        <v>387</v>
      </c>
      <c r="M17" s="2" t="s">
        <v>387</v>
      </c>
      <c r="N17" s="44">
        <v>9</v>
      </c>
      <c r="O17" s="1">
        <f t="shared" si="5"/>
        <v>8</v>
      </c>
    </row>
    <row r="18" spans="1:15" ht="15.75" thickBot="1">
      <c r="A18" s="7" t="e">
        <f>VLOOKUP(C18,'2018 Draft by Round'!$C$2:$G$161,5,FALSE)</f>
        <v>#N/A</v>
      </c>
      <c r="B18" s="7" t="e">
        <f>VLOOKUP(C18,'2018 Draft by Round'!$C$2:$H$161,6,FALSE)</f>
        <v>#N/A</v>
      </c>
      <c r="C18" s="4" t="s">
        <v>533</v>
      </c>
      <c r="D18" s="4" t="s">
        <v>2</v>
      </c>
      <c r="E18" s="4" t="s">
        <v>30</v>
      </c>
      <c r="F18" s="16" t="s">
        <v>469</v>
      </c>
      <c r="G18" s="22"/>
      <c r="H18" s="20" t="s">
        <v>400</v>
      </c>
      <c r="I18" s="15" t="s">
        <v>401</v>
      </c>
      <c r="J18" s="15" t="s">
        <v>402</v>
      </c>
      <c r="L18" s="2" t="s">
        <v>387</v>
      </c>
      <c r="M18" s="2" t="s">
        <v>387</v>
      </c>
      <c r="N18" s="44">
        <v>9</v>
      </c>
      <c r="O18" s="1">
        <f t="shared" si="5"/>
        <v>8</v>
      </c>
    </row>
    <row r="19" spans="1:15" ht="15.75" thickBot="1">
      <c r="A19" s="7">
        <f>VLOOKUP(C19,'2018 Draft by Round'!$C$2:$G$161,5,FALSE)</f>
        <v>17</v>
      </c>
      <c r="B19" s="7">
        <f>VLOOKUP(C19,'2018 Draft by Round'!$C$2:$H$161,6,FALSE)</f>
        <v>2</v>
      </c>
      <c r="C19" s="4" t="s">
        <v>154</v>
      </c>
      <c r="D19" s="4" t="s">
        <v>10</v>
      </c>
      <c r="E19" s="4" t="s">
        <v>60</v>
      </c>
      <c r="F19" s="16" t="s">
        <v>469</v>
      </c>
      <c r="G19" s="22"/>
      <c r="H19" s="20" t="s">
        <v>400</v>
      </c>
      <c r="I19" s="15" t="s">
        <v>401</v>
      </c>
      <c r="J19" s="15" t="s">
        <v>402</v>
      </c>
      <c r="L19" s="2" t="s">
        <v>387</v>
      </c>
      <c r="M19" s="1">
        <f t="shared" si="1"/>
        <v>2</v>
      </c>
      <c r="N19" s="44">
        <f t="shared" ref="N19" si="6">M19-1</f>
        <v>1</v>
      </c>
      <c r="O19" s="2" t="s">
        <v>387</v>
      </c>
    </row>
    <row r="20" spans="1:15" ht="15.75" thickBot="1">
      <c r="A20" s="14"/>
      <c r="B20" s="14"/>
      <c r="C20" s="14"/>
      <c r="D20" s="14"/>
      <c r="E20" s="14"/>
      <c r="F20" s="18"/>
      <c r="G20" s="18"/>
      <c r="H20" s="18"/>
      <c r="I20" s="18"/>
      <c r="J20" s="18"/>
      <c r="K20" s="18"/>
      <c r="L20" s="18"/>
      <c r="M20" s="18"/>
      <c r="N20" s="18"/>
      <c r="O20" s="18"/>
    </row>
    <row r="21" spans="1:15" ht="15.75" thickBot="1">
      <c r="A21" s="7">
        <f>VLOOKUP(C21,'2018 Draft by Round'!$C$2:$G$161,5,FALSE)</f>
        <v>53</v>
      </c>
      <c r="B21" s="7">
        <f>VLOOKUP(C21,'2018 Draft by Round'!$C$2:$H$161,6,FALSE)</f>
        <v>6</v>
      </c>
      <c r="C21" s="4" t="s">
        <v>172</v>
      </c>
      <c r="D21" s="8" t="s">
        <v>5</v>
      </c>
      <c r="E21" s="4" t="s">
        <v>73</v>
      </c>
      <c r="F21" s="17" t="s">
        <v>470</v>
      </c>
      <c r="G21" s="22"/>
      <c r="H21" s="20" t="s">
        <v>401</v>
      </c>
      <c r="I21" s="15" t="s">
        <v>402</v>
      </c>
      <c r="J21" s="15" t="s">
        <v>387</v>
      </c>
      <c r="L21" s="2">
        <v>6</v>
      </c>
      <c r="M21" s="2">
        <v>5</v>
      </c>
      <c r="N21" s="12">
        <v>4</v>
      </c>
      <c r="O21" s="2" t="s">
        <v>387</v>
      </c>
    </row>
    <row r="22" spans="1:15" ht="15.75" thickBot="1">
      <c r="A22" s="7">
        <f>VLOOKUP(C22,'2018 Draft by Round'!$C$2:$G$161,5,FALSE)</f>
        <v>8</v>
      </c>
      <c r="B22" s="7">
        <f>VLOOKUP(C22,'2018 Draft by Round'!$C$2:$H$161,6,FALSE)</f>
        <v>1</v>
      </c>
      <c r="C22" s="4" t="s">
        <v>167</v>
      </c>
      <c r="D22" s="4" t="s">
        <v>10</v>
      </c>
      <c r="E22" s="4" t="s">
        <v>15</v>
      </c>
      <c r="F22" s="17" t="s">
        <v>470</v>
      </c>
      <c r="G22" s="22"/>
      <c r="H22" s="20" t="s">
        <v>401</v>
      </c>
      <c r="I22" s="15" t="s">
        <v>387</v>
      </c>
      <c r="J22" s="15" t="s">
        <v>387</v>
      </c>
      <c r="L22" s="2">
        <v>2</v>
      </c>
      <c r="M22" s="2">
        <v>1</v>
      </c>
      <c r="N22" s="12" t="s">
        <v>387</v>
      </c>
      <c r="O22" s="2" t="s">
        <v>387</v>
      </c>
    </row>
    <row r="23" spans="1:15" ht="15.75" thickBot="1">
      <c r="A23" s="7">
        <f>VLOOKUP(C23,'2018 Draft by Round'!$C$2:$G$161,5,FALSE)</f>
        <v>48</v>
      </c>
      <c r="B23" s="7">
        <f>VLOOKUP(C23,'2018 Draft by Round'!$C$2:$H$161,6,FALSE)</f>
        <v>5</v>
      </c>
      <c r="C23" s="4" t="s">
        <v>188</v>
      </c>
      <c r="D23" s="4" t="s">
        <v>10</v>
      </c>
      <c r="E23" s="45" t="s">
        <v>135</v>
      </c>
      <c r="F23" s="17" t="s">
        <v>470</v>
      </c>
      <c r="G23" s="22"/>
      <c r="H23" s="20" t="s">
        <v>400</v>
      </c>
      <c r="I23" s="15" t="s">
        <v>401</v>
      </c>
      <c r="J23" s="15" t="s">
        <v>402</v>
      </c>
      <c r="L23" s="2" t="s">
        <v>387</v>
      </c>
      <c r="M23" s="1">
        <f>B23</f>
        <v>5</v>
      </c>
      <c r="N23" s="44">
        <f>M23-1</f>
        <v>4</v>
      </c>
      <c r="O23" s="1">
        <f>N23-1</f>
        <v>3</v>
      </c>
    </row>
    <row r="24" spans="1:15" ht="15.75" thickBot="1">
      <c r="A24" s="7">
        <f>VLOOKUP(C24,'2018 Draft by Round'!$C$2:$G$161,5,FALSE)</f>
        <v>18</v>
      </c>
      <c r="B24" s="7">
        <f>VLOOKUP(C24,'2018 Draft by Round'!$C$2:$H$161,6,FALSE)</f>
        <v>2</v>
      </c>
      <c r="C24" s="4" t="s">
        <v>118</v>
      </c>
      <c r="D24" s="4" t="s">
        <v>2</v>
      </c>
      <c r="E24" s="4" t="s">
        <v>41</v>
      </c>
      <c r="F24" s="17" t="s">
        <v>470</v>
      </c>
      <c r="G24" s="22"/>
      <c r="H24" s="20" t="s">
        <v>400</v>
      </c>
      <c r="I24" s="15" t="s">
        <v>401</v>
      </c>
      <c r="J24" s="15" t="s">
        <v>402</v>
      </c>
      <c r="L24" s="2" t="s">
        <v>387</v>
      </c>
      <c r="M24" s="1">
        <f t="shared" ref="M24:M28" si="7">B24</f>
        <v>2</v>
      </c>
      <c r="N24" s="44">
        <f t="shared" ref="N24:O37" si="8">M24-1</f>
        <v>1</v>
      </c>
      <c r="O24" s="1">
        <f t="shared" si="8"/>
        <v>0</v>
      </c>
    </row>
    <row r="25" spans="1:15" ht="15.75" thickBot="1">
      <c r="A25" s="7" t="e">
        <f>VLOOKUP(C25,'2018 Draft by Round'!$C$2:$G$161,5,FALSE)</f>
        <v>#N/A</v>
      </c>
      <c r="B25" s="7" t="e">
        <f>VLOOKUP(C25,'2018 Draft by Round'!$C$2:$H$161,6,FALSE)</f>
        <v>#N/A</v>
      </c>
      <c r="C25" s="4" t="s">
        <v>18</v>
      </c>
      <c r="D25" s="4" t="s">
        <v>2</v>
      </c>
      <c r="E25" s="4" t="s">
        <v>8</v>
      </c>
      <c r="F25" s="17" t="s">
        <v>470</v>
      </c>
      <c r="G25" s="22"/>
      <c r="H25" s="20" t="s">
        <v>400</v>
      </c>
      <c r="I25" s="15" t="s">
        <v>401</v>
      </c>
      <c r="J25" s="15" t="s">
        <v>402</v>
      </c>
      <c r="L25" s="2" t="s">
        <v>387</v>
      </c>
      <c r="M25" s="2" t="s">
        <v>387</v>
      </c>
      <c r="N25" s="44">
        <v>9</v>
      </c>
      <c r="O25" s="1">
        <f t="shared" si="8"/>
        <v>8</v>
      </c>
    </row>
    <row r="26" spans="1:15" ht="15.75" thickBot="1">
      <c r="A26" s="7" t="s">
        <v>387</v>
      </c>
      <c r="B26" s="7" t="s">
        <v>387</v>
      </c>
      <c r="C26" s="4" t="s">
        <v>486</v>
      </c>
      <c r="D26" s="4" t="s">
        <v>27</v>
      </c>
      <c r="E26" s="4" t="s">
        <v>107</v>
      </c>
      <c r="F26" s="17" t="s">
        <v>470</v>
      </c>
      <c r="G26" s="22"/>
      <c r="H26" s="20" t="s">
        <v>400</v>
      </c>
      <c r="I26" s="15" t="s">
        <v>401</v>
      </c>
      <c r="J26" s="15" t="s">
        <v>402</v>
      </c>
      <c r="L26" s="2" t="s">
        <v>387</v>
      </c>
      <c r="M26" s="1" t="s">
        <v>390</v>
      </c>
      <c r="N26" s="44">
        <v>9</v>
      </c>
      <c r="O26" s="1">
        <v>8</v>
      </c>
    </row>
    <row r="27" spans="1:15" ht="15.75" thickBot="1">
      <c r="A27" s="7" t="e">
        <f>VLOOKUP(C27,'2018 Draft by Round'!$C$2:$G$161,5,FALSE)</f>
        <v>#N/A</v>
      </c>
      <c r="B27" s="7" t="e">
        <f>VLOOKUP(C27,'2018 Draft by Round'!$C$2:$H$161,6,FALSE)</f>
        <v>#N/A</v>
      </c>
      <c r="C27" s="4" t="s">
        <v>535</v>
      </c>
      <c r="D27" s="4" t="s">
        <v>10</v>
      </c>
      <c r="E27" s="4" t="s">
        <v>8</v>
      </c>
      <c r="F27" s="17" t="s">
        <v>470</v>
      </c>
      <c r="G27" s="22"/>
      <c r="H27" s="20" t="s">
        <v>400</v>
      </c>
      <c r="I27" s="15" t="s">
        <v>401</v>
      </c>
      <c r="J27" s="15" t="s">
        <v>402</v>
      </c>
      <c r="L27" s="2" t="s">
        <v>387</v>
      </c>
      <c r="M27" s="2" t="s">
        <v>387</v>
      </c>
      <c r="N27" s="44">
        <v>9</v>
      </c>
      <c r="O27" s="1">
        <f t="shared" si="8"/>
        <v>8</v>
      </c>
    </row>
    <row r="28" spans="1:15" ht="15.75" thickBot="1">
      <c r="A28" s="7">
        <f>VLOOKUP(C28,'2018 Draft by Round'!$C$2:$G$161,5,FALSE)</f>
        <v>123</v>
      </c>
      <c r="B28" s="7">
        <f>VLOOKUP(C28,'2018 Draft by Round'!$C$2:$H$161,6,FALSE)</f>
        <v>13</v>
      </c>
      <c r="C28" s="4" t="s">
        <v>504</v>
      </c>
      <c r="D28" s="4" t="s">
        <v>2</v>
      </c>
      <c r="E28" s="4" t="s">
        <v>60</v>
      </c>
      <c r="F28" s="17" t="s">
        <v>470</v>
      </c>
      <c r="G28" s="22"/>
      <c r="H28" s="20" t="s">
        <v>400</v>
      </c>
      <c r="I28" s="15" t="s">
        <v>401</v>
      </c>
      <c r="J28" s="15" t="s">
        <v>402</v>
      </c>
      <c r="L28" s="2" t="s">
        <v>387</v>
      </c>
      <c r="M28" s="1">
        <f t="shared" si="7"/>
        <v>13</v>
      </c>
      <c r="N28" s="44">
        <f t="shared" si="8"/>
        <v>12</v>
      </c>
      <c r="O28" s="1">
        <f t="shared" si="8"/>
        <v>11</v>
      </c>
    </row>
    <row r="29" spans="1:15" ht="15.75" thickBot="1">
      <c r="A29" s="7" t="e">
        <f>VLOOKUP(C29,'2018 Draft by Round'!$C$2:$G$161,5,FALSE)</f>
        <v>#N/A</v>
      </c>
      <c r="B29" s="7" t="e">
        <f>VLOOKUP(C29,'2018 Draft by Round'!$C$2:$H$161,6,FALSE)</f>
        <v>#N/A</v>
      </c>
      <c r="C29" s="4" t="s">
        <v>536</v>
      </c>
      <c r="D29" s="4" t="s">
        <v>534</v>
      </c>
      <c r="E29" s="4" t="s">
        <v>3</v>
      </c>
      <c r="F29" s="17" t="s">
        <v>470</v>
      </c>
      <c r="G29" s="22"/>
      <c r="H29" s="20" t="s">
        <v>400</v>
      </c>
      <c r="I29" s="15" t="s">
        <v>401</v>
      </c>
      <c r="J29" s="15" t="s">
        <v>402</v>
      </c>
      <c r="L29" s="2" t="s">
        <v>387</v>
      </c>
      <c r="M29" s="2" t="s">
        <v>387</v>
      </c>
      <c r="N29" s="44">
        <v>9</v>
      </c>
      <c r="O29" s="1">
        <f t="shared" si="8"/>
        <v>8</v>
      </c>
    </row>
    <row r="30" spans="1:15" ht="15.75" thickBot="1">
      <c r="A30" s="7">
        <f>VLOOKUP(C30,'2018 Draft by Round'!$C$2:$G$161,5,FALSE)</f>
        <v>28</v>
      </c>
      <c r="B30" s="7">
        <f>VLOOKUP(C30,'2018 Draft by Round'!$C$2:$H$161,6,FALSE)</f>
        <v>3</v>
      </c>
      <c r="C30" s="4" t="s">
        <v>39</v>
      </c>
      <c r="D30" s="4" t="s">
        <v>2</v>
      </c>
      <c r="E30" s="4" t="s">
        <v>30</v>
      </c>
      <c r="F30" s="17" t="s">
        <v>470</v>
      </c>
      <c r="G30" s="22"/>
      <c r="H30" s="20" t="s">
        <v>400</v>
      </c>
      <c r="I30" s="15" t="s">
        <v>401</v>
      </c>
      <c r="J30" s="15" t="s">
        <v>402</v>
      </c>
      <c r="L30" s="2" t="s">
        <v>387</v>
      </c>
      <c r="M30" s="1">
        <f t="shared" ref="M30" si="9">B30</f>
        <v>3</v>
      </c>
      <c r="N30" s="44">
        <f t="shared" ref="N30" si="10">M30-1</f>
        <v>2</v>
      </c>
      <c r="O30" s="1">
        <f t="shared" ref="O30" si="11">N30-1</f>
        <v>1</v>
      </c>
    </row>
    <row r="31" spans="1:15" ht="15.75" thickBot="1">
      <c r="A31" s="7">
        <f>VLOOKUP(C31,'2018 Draft by Round'!$C$2:$G$161,5,FALSE)</f>
        <v>73</v>
      </c>
      <c r="B31" s="7">
        <f>VLOOKUP(C31,'2018 Draft by Round'!$C$2:$H$161,6,FALSE)</f>
        <v>8</v>
      </c>
      <c r="C31" s="4" t="s">
        <v>70</v>
      </c>
      <c r="D31" s="4" t="s">
        <v>10</v>
      </c>
      <c r="E31" s="4" t="s">
        <v>8</v>
      </c>
      <c r="F31" s="17" t="s">
        <v>470</v>
      </c>
      <c r="G31" s="22"/>
      <c r="H31" s="20" t="s">
        <v>400</v>
      </c>
      <c r="I31" s="15" t="s">
        <v>401</v>
      </c>
      <c r="J31" s="15" t="s">
        <v>402</v>
      </c>
      <c r="L31" s="2" t="s">
        <v>387</v>
      </c>
      <c r="M31" s="1">
        <f t="shared" ref="M31" si="12">B31</f>
        <v>8</v>
      </c>
      <c r="N31" s="44">
        <f t="shared" ref="N31" si="13">M31-1</f>
        <v>7</v>
      </c>
      <c r="O31" s="1">
        <f t="shared" ref="O31" si="14">N31-1</f>
        <v>6</v>
      </c>
    </row>
    <row r="32" spans="1:15" ht="15.75" thickBot="1">
      <c r="A32" s="7" t="e">
        <f>VLOOKUP(C32,'2018 Draft by Round'!$C$2:$G$161,5,FALSE)</f>
        <v>#N/A</v>
      </c>
      <c r="B32" s="7" t="e">
        <f>VLOOKUP(C32,'2018 Draft by Round'!$C$2:$H$161,6,FALSE)</f>
        <v>#N/A</v>
      </c>
      <c r="C32" s="4" t="s">
        <v>69</v>
      </c>
      <c r="D32" s="4" t="s">
        <v>2</v>
      </c>
      <c r="E32" s="4" t="s">
        <v>23</v>
      </c>
      <c r="F32" s="17" t="s">
        <v>470</v>
      </c>
      <c r="G32" s="22"/>
      <c r="H32" s="20" t="s">
        <v>400</v>
      </c>
      <c r="I32" s="15" t="s">
        <v>401</v>
      </c>
      <c r="J32" s="15" t="s">
        <v>402</v>
      </c>
      <c r="L32" s="2" t="s">
        <v>387</v>
      </c>
      <c r="M32" s="2" t="s">
        <v>387</v>
      </c>
      <c r="N32" s="44">
        <v>9</v>
      </c>
      <c r="O32" s="1">
        <f t="shared" si="8"/>
        <v>8</v>
      </c>
    </row>
    <row r="33" spans="1:15" ht="15.75" thickBot="1">
      <c r="A33" s="7" t="e">
        <f>VLOOKUP(C33,'2018 Draft by Round'!$C$2:$G$161,5,FALSE)</f>
        <v>#N/A</v>
      </c>
      <c r="B33" s="7" t="e">
        <f>VLOOKUP(C33,'2018 Draft by Round'!$C$2:$H$161,6,FALSE)</f>
        <v>#N/A</v>
      </c>
      <c r="C33" s="4" t="s">
        <v>173</v>
      </c>
      <c r="D33" s="4" t="s">
        <v>2</v>
      </c>
      <c r="E33" s="4" t="s">
        <v>21</v>
      </c>
      <c r="F33" s="17" t="s">
        <v>470</v>
      </c>
      <c r="G33" s="22"/>
      <c r="H33" s="20" t="s">
        <v>400</v>
      </c>
      <c r="I33" s="15" t="s">
        <v>401</v>
      </c>
      <c r="J33" s="15" t="s">
        <v>402</v>
      </c>
      <c r="L33" s="2" t="s">
        <v>387</v>
      </c>
      <c r="M33" s="2" t="s">
        <v>387</v>
      </c>
      <c r="N33" s="44">
        <v>9</v>
      </c>
      <c r="O33" s="1">
        <f t="shared" ref="O33" si="15">N33-1</f>
        <v>8</v>
      </c>
    </row>
    <row r="34" spans="1:15" ht="15.75" thickBot="1">
      <c r="A34" s="7" t="e">
        <f>VLOOKUP(C34,'2018 Draft by Round'!$C$2:$G$161,5,FALSE)</f>
        <v>#N/A</v>
      </c>
      <c r="B34" s="7" t="e">
        <f>VLOOKUP(C34,'2018 Draft by Round'!$C$2:$H$161,6,FALSE)</f>
        <v>#N/A</v>
      </c>
      <c r="C34" s="4" t="s">
        <v>427</v>
      </c>
      <c r="D34" s="4" t="s">
        <v>10</v>
      </c>
      <c r="E34" s="4" t="s">
        <v>19</v>
      </c>
      <c r="F34" s="17" t="s">
        <v>470</v>
      </c>
      <c r="G34" s="22"/>
      <c r="H34" s="20" t="s">
        <v>400</v>
      </c>
      <c r="I34" s="15" t="s">
        <v>401</v>
      </c>
      <c r="J34" s="15" t="s">
        <v>402</v>
      </c>
      <c r="L34" s="2" t="s">
        <v>387</v>
      </c>
      <c r="M34" s="2" t="s">
        <v>387</v>
      </c>
      <c r="N34" s="44">
        <v>9</v>
      </c>
      <c r="O34" s="1">
        <f t="shared" si="8"/>
        <v>8</v>
      </c>
    </row>
    <row r="35" spans="1:15" ht="15.75" thickBot="1">
      <c r="A35" s="7" t="e">
        <f>VLOOKUP(C35,'2018 Draft by Round'!$C$2:$G$161,5,FALSE)</f>
        <v>#N/A</v>
      </c>
      <c r="B35" s="7" t="e">
        <f>VLOOKUP(C35,'2018 Draft by Round'!$C$2:$H$161,6,FALSE)</f>
        <v>#N/A</v>
      </c>
      <c r="C35" s="4" t="s">
        <v>537</v>
      </c>
      <c r="D35" s="4" t="s">
        <v>5</v>
      </c>
      <c r="E35" s="4" t="s">
        <v>107</v>
      </c>
      <c r="F35" s="17" t="s">
        <v>470</v>
      </c>
      <c r="G35" s="22"/>
      <c r="H35" s="20" t="s">
        <v>400</v>
      </c>
      <c r="I35" s="15" t="s">
        <v>401</v>
      </c>
      <c r="J35" s="15" t="s">
        <v>402</v>
      </c>
      <c r="L35" s="2" t="s">
        <v>387</v>
      </c>
      <c r="M35" s="2" t="s">
        <v>387</v>
      </c>
      <c r="N35" s="44">
        <v>9</v>
      </c>
      <c r="O35" s="1">
        <f t="shared" si="8"/>
        <v>8</v>
      </c>
    </row>
    <row r="36" spans="1:15" ht="15.75" thickBot="1">
      <c r="A36" s="7" t="e">
        <f>VLOOKUP(C36,'2018 Draft by Round'!$C$2:$G$161,5,FALSE)</f>
        <v>#N/A</v>
      </c>
      <c r="B36" s="7" t="e">
        <f>VLOOKUP(C36,'2018 Draft by Round'!$C$2:$H$161,6,FALSE)</f>
        <v>#N/A</v>
      </c>
      <c r="C36" s="4" t="s">
        <v>450</v>
      </c>
      <c r="D36" s="4" t="s">
        <v>2</v>
      </c>
      <c r="E36" s="4" t="s">
        <v>60</v>
      </c>
      <c r="F36" s="17" t="s">
        <v>470</v>
      </c>
      <c r="G36" s="22"/>
      <c r="H36" s="20" t="s">
        <v>400</v>
      </c>
      <c r="I36" s="15" t="s">
        <v>401</v>
      </c>
      <c r="J36" s="15" t="s">
        <v>402</v>
      </c>
      <c r="L36" s="2" t="s">
        <v>387</v>
      </c>
      <c r="M36" s="2" t="s">
        <v>387</v>
      </c>
      <c r="N36" s="44">
        <v>9</v>
      </c>
      <c r="O36" s="1">
        <f t="shared" si="8"/>
        <v>8</v>
      </c>
    </row>
    <row r="37" spans="1:15" ht="15.75" thickBot="1">
      <c r="A37" s="7">
        <f>VLOOKUP(C37,'2018 Draft by Round'!$C$2:$G$161,5,FALSE)</f>
        <v>33</v>
      </c>
      <c r="B37" s="7">
        <f>VLOOKUP(C37,'2018 Draft by Round'!$C$2:$H$161,6,FALSE)</f>
        <v>4</v>
      </c>
      <c r="C37" s="4" t="s">
        <v>152</v>
      </c>
      <c r="D37" s="4" t="s">
        <v>27</v>
      </c>
      <c r="E37" s="4" t="s">
        <v>32</v>
      </c>
      <c r="F37" s="17" t="s">
        <v>470</v>
      </c>
      <c r="G37" s="22"/>
      <c r="H37" s="20" t="s">
        <v>400</v>
      </c>
      <c r="I37" s="15" t="s">
        <v>401</v>
      </c>
      <c r="J37" s="15" t="s">
        <v>402</v>
      </c>
      <c r="L37" s="2" t="s">
        <v>387</v>
      </c>
      <c r="M37" s="1">
        <f>B37</f>
        <v>4</v>
      </c>
      <c r="N37" s="44">
        <f t="shared" si="8"/>
        <v>3</v>
      </c>
      <c r="O37" s="1">
        <f t="shared" si="8"/>
        <v>2</v>
      </c>
    </row>
    <row r="38" spans="1:15" ht="15.75" thickBot="1">
      <c r="A38" s="14"/>
      <c r="B38" s="14"/>
      <c r="C38" s="14"/>
      <c r="D38" s="14"/>
      <c r="E38" s="14"/>
      <c r="F38" s="18"/>
      <c r="G38" s="18"/>
      <c r="H38" s="18"/>
      <c r="I38" s="18"/>
      <c r="J38" s="18"/>
      <c r="K38" s="18"/>
      <c r="L38" s="18"/>
      <c r="M38" s="18"/>
      <c r="N38" s="18"/>
      <c r="O38" s="18"/>
    </row>
    <row r="39" spans="1:15" ht="15.75" thickBot="1">
      <c r="A39" s="7" t="e">
        <f>VLOOKUP(C39,'2018 Draft by Round'!$C$2:$G$161,5,FALSE)</f>
        <v>#N/A</v>
      </c>
      <c r="B39" s="7" t="e">
        <f>VLOOKUP(C39,'2018 Draft by Round'!$C$2:$H$161,6,FALSE)</f>
        <v>#N/A</v>
      </c>
      <c r="C39" s="4" t="s">
        <v>391</v>
      </c>
      <c r="D39" s="8" t="s">
        <v>5</v>
      </c>
      <c r="E39" s="4" t="s">
        <v>120</v>
      </c>
      <c r="F39" s="19" t="s">
        <v>385</v>
      </c>
      <c r="G39" s="23"/>
      <c r="H39" s="20" t="s">
        <v>400</v>
      </c>
      <c r="I39" s="15" t="s">
        <v>401</v>
      </c>
      <c r="J39" s="15" t="s">
        <v>402</v>
      </c>
      <c r="L39" s="2" t="s">
        <v>387</v>
      </c>
      <c r="M39" s="2" t="s">
        <v>387</v>
      </c>
      <c r="N39" s="44">
        <v>9</v>
      </c>
      <c r="O39" s="1">
        <f t="shared" ref="O39" si="16">N39-1</f>
        <v>8</v>
      </c>
    </row>
    <row r="40" spans="1:15" ht="15.75" thickBot="1">
      <c r="A40" s="7">
        <f>VLOOKUP(C40,'2018 Draft by Round'!$C$2:$G$161,5,FALSE)</f>
        <v>9</v>
      </c>
      <c r="B40" s="7">
        <f>VLOOKUP(C40,'2018 Draft by Round'!$C$2:$H$161,6,FALSE)</f>
        <v>1</v>
      </c>
      <c r="C40" s="4" t="s">
        <v>62</v>
      </c>
      <c r="D40" s="4" t="s">
        <v>10</v>
      </c>
      <c r="E40" s="4" t="s">
        <v>63</v>
      </c>
      <c r="F40" s="19" t="s">
        <v>385</v>
      </c>
      <c r="G40" s="23"/>
      <c r="H40" s="20" t="s">
        <v>400</v>
      </c>
      <c r="I40" s="15" t="s">
        <v>401</v>
      </c>
      <c r="J40" s="15" t="s">
        <v>402</v>
      </c>
      <c r="L40" s="2" t="s">
        <v>387</v>
      </c>
      <c r="M40" s="1">
        <f t="shared" ref="M40" si="17">B40</f>
        <v>1</v>
      </c>
      <c r="N40" s="12" t="s">
        <v>387</v>
      </c>
      <c r="O40" s="2" t="s">
        <v>387</v>
      </c>
    </row>
    <row r="41" spans="1:15" ht="15.75" thickBot="1">
      <c r="A41" s="7">
        <f>VLOOKUP(C41,'2018 Draft by Round'!$C$2:$G$161,5,FALSE)</f>
        <v>92</v>
      </c>
      <c r="B41" s="7">
        <f>VLOOKUP(C41,'2018 Draft by Round'!$C$2:$H$161,6,FALSE)</f>
        <v>10</v>
      </c>
      <c r="C41" s="4" t="s">
        <v>437</v>
      </c>
      <c r="D41" s="4" t="s">
        <v>10</v>
      </c>
      <c r="E41" s="4" t="s">
        <v>46</v>
      </c>
      <c r="F41" s="19" t="s">
        <v>385</v>
      </c>
      <c r="G41" s="23"/>
      <c r="H41" s="20" t="s">
        <v>401</v>
      </c>
      <c r="I41" s="15" t="s">
        <v>402</v>
      </c>
      <c r="J41" s="15" t="s">
        <v>387</v>
      </c>
      <c r="L41" s="2" t="s">
        <v>390</v>
      </c>
      <c r="M41" s="2">
        <v>9</v>
      </c>
      <c r="N41" s="12">
        <v>8</v>
      </c>
      <c r="O41" s="2" t="s">
        <v>387</v>
      </c>
    </row>
    <row r="42" spans="1:15" ht="15.75" thickBot="1">
      <c r="A42" s="7">
        <f>VLOOKUP(C42,'2018 Draft by Round'!$C$2:$G$161,5,FALSE)</f>
        <v>29</v>
      </c>
      <c r="B42" s="7">
        <f>VLOOKUP(C42,'2018 Draft by Round'!$C$2:$H$161,6,FALSE)</f>
        <v>3</v>
      </c>
      <c r="C42" s="4" t="s">
        <v>100</v>
      </c>
      <c r="D42" s="4" t="s">
        <v>2</v>
      </c>
      <c r="E42" s="4" t="s">
        <v>35</v>
      </c>
      <c r="F42" s="19" t="s">
        <v>385</v>
      </c>
      <c r="G42" s="23"/>
      <c r="H42" s="20" t="s">
        <v>400</v>
      </c>
      <c r="I42" s="15" t="s">
        <v>401</v>
      </c>
      <c r="J42" s="15" t="s">
        <v>402</v>
      </c>
      <c r="L42" s="2" t="s">
        <v>387</v>
      </c>
      <c r="M42" s="1">
        <f>B42</f>
        <v>3</v>
      </c>
      <c r="N42" s="44">
        <f t="shared" ref="N42:O46" si="18">M42-1</f>
        <v>2</v>
      </c>
      <c r="O42" s="1">
        <f t="shared" si="18"/>
        <v>1</v>
      </c>
    </row>
    <row r="43" spans="1:15" ht="15.75" thickBot="1">
      <c r="A43" s="7">
        <f>VLOOKUP(C43,'2018 Draft by Round'!$C$2:$G$161,5,FALSE)</f>
        <v>32</v>
      </c>
      <c r="B43" s="7">
        <f>VLOOKUP(C43,'2018 Draft by Round'!$C$2:$H$161,6,FALSE)</f>
        <v>4</v>
      </c>
      <c r="C43" s="4" t="s">
        <v>138</v>
      </c>
      <c r="D43" s="4" t="s">
        <v>2</v>
      </c>
      <c r="E43" s="4" t="s">
        <v>107</v>
      </c>
      <c r="F43" s="19" t="s">
        <v>385</v>
      </c>
      <c r="G43" s="23"/>
      <c r="H43" s="20" t="s">
        <v>400</v>
      </c>
      <c r="I43" s="15" t="s">
        <v>401</v>
      </c>
      <c r="J43" s="15" t="s">
        <v>402</v>
      </c>
      <c r="L43" s="2" t="s">
        <v>387</v>
      </c>
      <c r="M43" s="1">
        <f>B43</f>
        <v>4</v>
      </c>
      <c r="N43" s="44">
        <f t="shared" si="18"/>
        <v>3</v>
      </c>
      <c r="O43" s="1">
        <f t="shared" si="18"/>
        <v>2</v>
      </c>
    </row>
    <row r="44" spans="1:15" ht="15.75" thickBot="1">
      <c r="A44" s="7">
        <f>VLOOKUP(C44,'2018 Draft by Round'!$C$2:$G$161,5,FALSE)</f>
        <v>149</v>
      </c>
      <c r="B44" s="7">
        <f>VLOOKUP(C44,'2018 Draft by Round'!$C$2:$H$161,6,FALSE)</f>
        <v>15</v>
      </c>
      <c r="C44" s="4" t="s">
        <v>520</v>
      </c>
      <c r="D44" s="4" t="s">
        <v>27</v>
      </c>
      <c r="E44" s="4" t="s">
        <v>135</v>
      </c>
      <c r="F44" s="19" t="s">
        <v>385</v>
      </c>
      <c r="G44" s="23"/>
      <c r="H44" s="20" t="s">
        <v>400</v>
      </c>
      <c r="I44" s="15" t="s">
        <v>401</v>
      </c>
      <c r="J44" s="15" t="s">
        <v>402</v>
      </c>
      <c r="L44" s="2" t="s">
        <v>387</v>
      </c>
      <c r="M44" s="1">
        <f>B44</f>
        <v>15</v>
      </c>
      <c r="N44" s="44">
        <f t="shared" si="18"/>
        <v>14</v>
      </c>
      <c r="O44" s="1">
        <f t="shared" si="18"/>
        <v>13</v>
      </c>
    </row>
    <row r="45" spans="1:15" ht="15.75" thickBot="1">
      <c r="A45" s="7">
        <f>VLOOKUP(C45,'2018 Draft by Round'!$C$2:$G$161,5,FALSE)</f>
        <v>69</v>
      </c>
      <c r="B45" s="7">
        <f>VLOOKUP(C45,'2018 Draft by Round'!$C$2:$H$161,6,FALSE)</f>
        <v>7</v>
      </c>
      <c r="C45" s="4" t="s">
        <v>193</v>
      </c>
      <c r="D45" s="4" t="s">
        <v>2</v>
      </c>
      <c r="E45" s="4" t="s">
        <v>35</v>
      </c>
      <c r="F45" s="19" t="s">
        <v>385</v>
      </c>
      <c r="G45" s="23"/>
      <c r="H45" s="20" t="s">
        <v>400</v>
      </c>
      <c r="I45" s="15" t="s">
        <v>401</v>
      </c>
      <c r="J45" s="15" t="s">
        <v>402</v>
      </c>
      <c r="L45" s="2" t="s">
        <v>390</v>
      </c>
      <c r="M45" s="1">
        <f>B45</f>
        <v>7</v>
      </c>
      <c r="N45" s="44">
        <f t="shared" si="18"/>
        <v>6</v>
      </c>
      <c r="O45" s="1">
        <f t="shared" si="18"/>
        <v>5</v>
      </c>
    </row>
    <row r="46" spans="1:15" ht="15.75" thickBot="1">
      <c r="A46" s="7">
        <f>VLOOKUP(C46,'2018 Draft by Round'!$C$2:$G$161,5,FALSE)</f>
        <v>72</v>
      </c>
      <c r="B46" s="7">
        <f>VLOOKUP(C46,'2018 Draft by Round'!$C$2:$H$161,6,FALSE)</f>
        <v>8</v>
      </c>
      <c r="C46" s="4" t="s">
        <v>484</v>
      </c>
      <c r="D46" s="4" t="s">
        <v>10</v>
      </c>
      <c r="E46" s="4" t="s">
        <v>30</v>
      </c>
      <c r="F46" s="19" t="s">
        <v>385</v>
      </c>
      <c r="G46" s="23"/>
      <c r="H46" s="20" t="s">
        <v>400</v>
      </c>
      <c r="I46" s="15" t="s">
        <v>401</v>
      </c>
      <c r="J46" s="15" t="s">
        <v>402</v>
      </c>
      <c r="L46" s="2" t="s">
        <v>387</v>
      </c>
      <c r="M46" s="1">
        <f>B46</f>
        <v>8</v>
      </c>
      <c r="N46" s="44">
        <f t="shared" si="18"/>
        <v>7</v>
      </c>
      <c r="O46" s="1">
        <f t="shared" si="18"/>
        <v>6</v>
      </c>
    </row>
    <row r="47" spans="1:15" ht="15.75" thickBot="1">
      <c r="A47" s="7" t="e">
        <f>VLOOKUP(C47,'2018 Draft by Round'!$C$2:$G$161,5,FALSE)</f>
        <v>#N/A</v>
      </c>
      <c r="B47" s="7" t="e">
        <f>VLOOKUP(C47,'2018 Draft by Round'!$C$2:$H$161,6,FALSE)</f>
        <v>#N/A</v>
      </c>
      <c r="C47" s="4" t="s">
        <v>538</v>
      </c>
      <c r="D47" s="4" t="s">
        <v>534</v>
      </c>
      <c r="E47" s="4" t="s">
        <v>396</v>
      </c>
      <c r="F47" s="19" t="s">
        <v>385</v>
      </c>
      <c r="G47" s="23"/>
      <c r="H47" s="20" t="s">
        <v>400</v>
      </c>
      <c r="I47" s="15" t="s">
        <v>401</v>
      </c>
      <c r="J47" s="15" t="s">
        <v>402</v>
      </c>
      <c r="L47" s="2" t="s">
        <v>387</v>
      </c>
      <c r="M47" s="2" t="s">
        <v>387</v>
      </c>
      <c r="N47" s="44">
        <v>9</v>
      </c>
      <c r="O47" s="1">
        <f t="shared" ref="O47" si="19">N47-1</f>
        <v>8</v>
      </c>
    </row>
    <row r="48" spans="1:15" ht="15.75" thickBot="1">
      <c r="A48" s="7">
        <f>VLOOKUP(C48,'2018 Draft by Round'!$C$2:$G$161,5,FALSE)</f>
        <v>49</v>
      </c>
      <c r="B48" s="7">
        <f>VLOOKUP(C48,'2018 Draft by Round'!$C$2:$H$161,6,FALSE)</f>
        <v>5</v>
      </c>
      <c r="C48" s="4" t="s">
        <v>7</v>
      </c>
      <c r="D48" s="4" t="s">
        <v>2</v>
      </c>
      <c r="E48" s="4" t="s">
        <v>21</v>
      </c>
      <c r="F48" s="19" t="s">
        <v>385</v>
      </c>
      <c r="G48" s="23"/>
      <c r="H48" s="20" t="s">
        <v>400</v>
      </c>
      <c r="I48" s="15" t="s">
        <v>401</v>
      </c>
      <c r="J48" s="15" t="s">
        <v>402</v>
      </c>
      <c r="L48" s="2" t="s">
        <v>387</v>
      </c>
      <c r="M48" s="1">
        <f>B48</f>
        <v>5</v>
      </c>
      <c r="N48" s="44">
        <f t="shared" ref="N48:O50" si="20">M48-1</f>
        <v>4</v>
      </c>
      <c r="O48" s="1">
        <f t="shared" si="20"/>
        <v>3</v>
      </c>
    </row>
    <row r="49" spans="1:15" ht="15.75" thickBot="1">
      <c r="A49" s="7">
        <f>VLOOKUP(C49,'2018 Draft by Round'!$C$2:$G$161,5,FALSE)</f>
        <v>112</v>
      </c>
      <c r="B49" s="7">
        <f>VLOOKUP(C49,'2018 Draft by Round'!$C$2:$H$161,6,FALSE)</f>
        <v>12</v>
      </c>
      <c r="C49" s="4" t="s">
        <v>460</v>
      </c>
      <c r="D49" s="4" t="s">
        <v>5</v>
      </c>
      <c r="E49" s="4" t="s">
        <v>23</v>
      </c>
      <c r="F49" s="19" t="s">
        <v>385</v>
      </c>
      <c r="G49" s="23"/>
      <c r="H49" s="20" t="s">
        <v>400</v>
      </c>
      <c r="I49" s="15" t="s">
        <v>401</v>
      </c>
      <c r="J49" s="15" t="s">
        <v>402</v>
      </c>
      <c r="L49" s="2" t="s">
        <v>387</v>
      </c>
      <c r="M49" s="1">
        <f>B49</f>
        <v>12</v>
      </c>
      <c r="N49" s="44">
        <f t="shared" si="20"/>
        <v>11</v>
      </c>
      <c r="O49" s="1">
        <f t="shared" si="20"/>
        <v>10</v>
      </c>
    </row>
    <row r="50" spans="1:15" ht="15.75" thickBot="1">
      <c r="A50" s="7">
        <f>VLOOKUP(C50,'2018 Draft by Round'!$C$2:$G$161,5,FALSE)</f>
        <v>153</v>
      </c>
      <c r="B50" s="7">
        <f>VLOOKUP(C50,'2018 Draft by Round'!$C$2:$H$161,6,FALSE)</f>
        <v>16</v>
      </c>
      <c r="C50" s="4" t="s">
        <v>539</v>
      </c>
      <c r="D50" s="4" t="s">
        <v>2</v>
      </c>
      <c r="E50" s="4" t="s">
        <v>82</v>
      </c>
      <c r="F50" s="19" t="s">
        <v>385</v>
      </c>
      <c r="G50" s="23"/>
      <c r="H50" s="20" t="s">
        <v>400</v>
      </c>
      <c r="I50" s="15" t="s">
        <v>401</v>
      </c>
      <c r="J50" s="15" t="s">
        <v>402</v>
      </c>
      <c r="L50" s="2" t="s">
        <v>390</v>
      </c>
      <c r="M50" s="1">
        <f>B50</f>
        <v>16</v>
      </c>
      <c r="N50" s="44">
        <f t="shared" si="20"/>
        <v>15</v>
      </c>
      <c r="O50" s="1">
        <f t="shared" si="20"/>
        <v>14</v>
      </c>
    </row>
    <row r="51" spans="1:15" ht="15.75" thickBot="1">
      <c r="A51" s="7" t="s">
        <v>387</v>
      </c>
      <c r="B51" s="7" t="s">
        <v>387</v>
      </c>
      <c r="C51" s="4" t="s">
        <v>514</v>
      </c>
      <c r="D51" s="4" t="s">
        <v>2</v>
      </c>
      <c r="E51" s="4" t="s">
        <v>107</v>
      </c>
      <c r="F51" s="19" t="s">
        <v>385</v>
      </c>
      <c r="G51" s="23"/>
      <c r="H51" s="20" t="s">
        <v>400</v>
      </c>
      <c r="I51" s="15" t="s">
        <v>401</v>
      </c>
      <c r="J51" s="15" t="s">
        <v>402</v>
      </c>
      <c r="L51" s="2" t="s">
        <v>387</v>
      </c>
      <c r="M51" s="1" t="s">
        <v>390</v>
      </c>
      <c r="N51" s="44">
        <v>9</v>
      </c>
      <c r="O51" s="1">
        <v>8</v>
      </c>
    </row>
    <row r="52" spans="1:15" ht="15.75" thickBot="1">
      <c r="A52" s="7">
        <f>VLOOKUP(C52,'2018 Draft by Round'!$C$2:$G$161,5,FALSE)</f>
        <v>62</v>
      </c>
      <c r="B52" s="7">
        <f>VLOOKUP(C52,'2018 Draft by Round'!$C$2:$H$161,6,FALSE)</f>
        <v>7</v>
      </c>
      <c r="C52" s="4" t="s">
        <v>481</v>
      </c>
      <c r="D52" s="4" t="s">
        <v>10</v>
      </c>
      <c r="E52" s="4" t="s">
        <v>28</v>
      </c>
      <c r="F52" s="19" t="s">
        <v>385</v>
      </c>
      <c r="G52" s="23"/>
      <c r="H52" s="20" t="s">
        <v>400</v>
      </c>
      <c r="I52" s="15" t="s">
        <v>401</v>
      </c>
      <c r="J52" s="15" t="s">
        <v>402</v>
      </c>
      <c r="L52" s="2" t="s">
        <v>387</v>
      </c>
      <c r="M52" s="1">
        <f>B52</f>
        <v>7</v>
      </c>
      <c r="N52" s="44">
        <f>M52-1</f>
        <v>6</v>
      </c>
      <c r="O52" s="1">
        <f>N52-1</f>
        <v>5</v>
      </c>
    </row>
    <row r="53" spans="1:15" ht="15.75" thickBot="1">
      <c r="A53" s="7" t="s">
        <v>387</v>
      </c>
      <c r="B53" s="7" t="s">
        <v>387</v>
      </c>
      <c r="C53" s="4" t="s">
        <v>140</v>
      </c>
      <c r="D53" s="4" t="s">
        <v>27</v>
      </c>
      <c r="E53" s="4" t="s">
        <v>41</v>
      </c>
      <c r="F53" s="19" t="s">
        <v>385</v>
      </c>
      <c r="G53" s="23"/>
      <c r="H53" s="20" t="s">
        <v>400</v>
      </c>
      <c r="I53" s="15" t="s">
        <v>401</v>
      </c>
      <c r="J53" s="15" t="s">
        <v>402</v>
      </c>
      <c r="L53" s="2" t="s">
        <v>387</v>
      </c>
      <c r="M53" s="1" t="s">
        <v>390</v>
      </c>
      <c r="N53" s="44">
        <v>9</v>
      </c>
      <c r="O53" s="1">
        <v>8</v>
      </c>
    </row>
    <row r="54" spans="1:15" ht="15.75" thickBot="1">
      <c r="A54" s="7" t="e">
        <f>VLOOKUP(C54,'2018 Draft by Round'!$C$2:$G$161,5,FALSE)</f>
        <v>#N/A</v>
      </c>
      <c r="B54" s="7" t="e">
        <f>VLOOKUP(C54,'2018 Draft by Round'!$C$2:$H$161,6,FALSE)</f>
        <v>#N/A</v>
      </c>
      <c r="C54" s="4" t="s">
        <v>540</v>
      </c>
      <c r="D54" s="4" t="s">
        <v>5</v>
      </c>
      <c r="E54" s="4" t="s">
        <v>21</v>
      </c>
      <c r="F54" s="19" t="s">
        <v>385</v>
      </c>
      <c r="G54" s="23"/>
      <c r="H54" s="20" t="s">
        <v>400</v>
      </c>
      <c r="I54" s="15" t="s">
        <v>401</v>
      </c>
      <c r="J54" s="15" t="s">
        <v>402</v>
      </c>
      <c r="L54" s="2" t="s">
        <v>387</v>
      </c>
      <c r="M54" s="2" t="s">
        <v>387</v>
      </c>
      <c r="N54" s="44">
        <v>9</v>
      </c>
      <c r="O54" s="1">
        <f t="shared" ref="O54" si="21">N54-1</f>
        <v>8</v>
      </c>
    </row>
    <row r="55" spans="1:15" ht="15.75" thickBot="1">
      <c r="A55" s="7">
        <f>VLOOKUP(C55,'2018 Draft by Round'!$C$2:$G$161,5,FALSE)</f>
        <v>109</v>
      </c>
      <c r="B55" s="7">
        <f>VLOOKUP(C55,'2018 Draft by Round'!$C$2:$H$161,6,FALSE)</f>
        <v>11</v>
      </c>
      <c r="C55" s="4" t="s">
        <v>92</v>
      </c>
      <c r="D55" s="4" t="s">
        <v>10</v>
      </c>
      <c r="E55" s="4" t="s">
        <v>23</v>
      </c>
      <c r="F55" s="19" t="s">
        <v>385</v>
      </c>
      <c r="G55" s="23"/>
      <c r="H55" s="20" t="s">
        <v>401</v>
      </c>
      <c r="I55" s="15" t="s">
        <v>402</v>
      </c>
      <c r="J55" s="15" t="s">
        <v>387</v>
      </c>
      <c r="L55" s="2">
        <v>11</v>
      </c>
      <c r="M55" s="2">
        <v>10</v>
      </c>
      <c r="N55" s="12">
        <v>9</v>
      </c>
      <c r="O55" s="2" t="s">
        <v>387</v>
      </c>
    </row>
    <row r="56" spans="1:15" ht="15.75" thickBot="1">
      <c r="A56" s="14"/>
      <c r="B56" s="14"/>
      <c r="C56" s="14"/>
      <c r="D56" s="14"/>
      <c r="E56" s="14"/>
      <c r="F56" s="18"/>
      <c r="G56" s="18"/>
      <c r="H56" s="18"/>
      <c r="I56" s="18"/>
      <c r="J56" s="18"/>
      <c r="K56" s="18"/>
      <c r="L56" s="18"/>
      <c r="M56" s="18"/>
      <c r="N56" s="18"/>
      <c r="O56" s="18"/>
    </row>
    <row r="57" spans="1:15" ht="15.75" thickBot="1">
      <c r="A57" s="7" t="s">
        <v>387</v>
      </c>
      <c r="B57" s="7" t="s">
        <v>387</v>
      </c>
      <c r="C57" s="4" t="s">
        <v>153</v>
      </c>
      <c r="D57" s="8" t="s">
        <v>5</v>
      </c>
      <c r="E57" s="4" t="s">
        <v>60</v>
      </c>
      <c r="F57" s="17" t="s">
        <v>0</v>
      </c>
      <c r="G57" s="22"/>
      <c r="H57" s="20" t="s">
        <v>400</v>
      </c>
      <c r="I57" s="15" t="s">
        <v>401</v>
      </c>
      <c r="J57" s="15" t="s">
        <v>402</v>
      </c>
      <c r="L57" s="2" t="s">
        <v>387</v>
      </c>
      <c r="M57" s="1" t="s">
        <v>390</v>
      </c>
      <c r="N57" s="44">
        <v>9</v>
      </c>
      <c r="O57" s="1">
        <v>8</v>
      </c>
    </row>
    <row r="58" spans="1:15" ht="15.75" thickBot="1">
      <c r="A58" s="7">
        <f>VLOOKUP(C58,'2018 Draft by Round'!$C$2:$G$161,5,FALSE)</f>
        <v>5</v>
      </c>
      <c r="B58" s="7">
        <f>VLOOKUP(C58,'2018 Draft by Round'!$C$2:$H$161,6,FALSE)</f>
        <v>1</v>
      </c>
      <c r="C58" s="4" t="s">
        <v>169</v>
      </c>
      <c r="D58" s="4" t="s">
        <v>10</v>
      </c>
      <c r="E58" s="4" t="s">
        <v>19</v>
      </c>
      <c r="F58" s="17" t="s">
        <v>0</v>
      </c>
      <c r="G58" s="22"/>
      <c r="H58" s="20" t="s">
        <v>400</v>
      </c>
      <c r="I58" s="15" t="s">
        <v>401</v>
      </c>
      <c r="J58" s="15" t="s">
        <v>402</v>
      </c>
      <c r="L58" s="2" t="s">
        <v>387</v>
      </c>
      <c r="M58" s="1">
        <f>B58</f>
        <v>1</v>
      </c>
      <c r="N58" s="12" t="s">
        <v>387</v>
      </c>
      <c r="O58" s="2" t="s">
        <v>387</v>
      </c>
    </row>
    <row r="59" spans="1:15" ht="15.75" thickBot="1">
      <c r="A59" s="7" t="s">
        <v>387</v>
      </c>
      <c r="B59" s="7" t="s">
        <v>387</v>
      </c>
      <c r="C59" s="4" t="s">
        <v>66</v>
      </c>
      <c r="D59" s="4" t="s">
        <v>10</v>
      </c>
      <c r="E59" s="4" t="s">
        <v>49</v>
      </c>
      <c r="F59" s="17" t="s">
        <v>0</v>
      </c>
      <c r="G59" s="22"/>
      <c r="H59" s="20" t="s">
        <v>400</v>
      </c>
      <c r="I59" s="15" t="s">
        <v>401</v>
      </c>
      <c r="J59" s="15" t="s">
        <v>402</v>
      </c>
      <c r="L59" s="2" t="s">
        <v>387</v>
      </c>
      <c r="M59" s="1" t="s">
        <v>390</v>
      </c>
      <c r="N59" s="44">
        <v>9</v>
      </c>
      <c r="O59" s="1">
        <v>8</v>
      </c>
    </row>
    <row r="60" spans="1:15" ht="15.75" thickBot="1">
      <c r="A60" s="7">
        <f>VLOOKUP(C60,'2018 Draft by Round'!$C$2:$G$161,5,FALSE)</f>
        <v>25</v>
      </c>
      <c r="B60" s="7">
        <f>VLOOKUP(C60,'2018 Draft by Round'!$C$2:$H$161,6,FALSE)</f>
        <v>3</v>
      </c>
      <c r="C60" s="4" t="s">
        <v>136</v>
      </c>
      <c r="D60" s="4" t="s">
        <v>2</v>
      </c>
      <c r="E60" s="4" t="s">
        <v>137</v>
      </c>
      <c r="F60" s="17" t="s">
        <v>0</v>
      </c>
      <c r="G60" s="22"/>
      <c r="H60" s="20" t="s">
        <v>400</v>
      </c>
      <c r="I60" s="15" t="s">
        <v>401</v>
      </c>
      <c r="J60" s="15" t="s">
        <v>402</v>
      </c>
      <c r="L60" s="2" t="s">
        <v>387</v>
      </c>
      <c r="M60" s="1">
        <f>B60</f>
        <v>3</v>
      </c>
      <c r="N60" s="44">
        <f>M60-1</f>
        <v>2</v>
      </c>
      <c r="O60" s="1">
        <f>N60-1</f>
        <v>1</v>
      </c>
    </row>
    <row r="61" spans="1:15" ht="15.75" thickBot="1">
      <c r="A61" s="7" t="e">
        <f>VLOOKUP(C61,'2018 Draft by Round'!$C$2:$G$161,5,FALSE)</f>
        <v>#N/A</v>
      </c>
      <c r="B61" s="7" t="e">
        <f>VLOOKUP(C61,'2018 Draft by Round'!$C$2:$H$161,6,FALSE)</f>
        <v>#N/A</v>
      </c>
      <c r="C61" s="4" t="s">
        <v>541</v>
      </c>
      <c r="D61" s="4" t="s">
        <v>2</v>
      </c>
      <c r="E61" s="4" t="s">
        <v>56</v>
      </c>
      <c r="F61" s="17" t="s">
        <v>0</v>
      </c>
      <c r="G61" s="22"/>
      <c r="H61" s="20" t="s">
        <v>400</v>
      </c>
      <c r="I61" s="15" t="s">
        <v>401</v>
      </c>
      <c r="J61" s="15" t="s">
        <v>402</v>
      </c>
      <c r="L61" s="2" t="s">
        <v>387</v>
      </c>
      <c r="M61" s="2" t="s">
        <v>387</v>
      </c>
      <c r="N61" s="44">
        <v>9</v>
      </c>
      <c r="O61" s="1">
        <f t="shared" ref="O61:O65" si="22">N61-1</f>
        <v>8</v>
      </c>
    </row>
    <row r="62" spans="1:15" ht="15.75" thickBot="1">
      <c r="A62" s="7" t="e">
        <f>VLOOKUP(C62,'2018 Draft by Round'!$C$2:$G$161,5,FALSE)</f>
        <v>#N/A</v>
      </c>
      <c r="B62" s="7" t="e">
        <f>VLOOKUP(C62,'2018 Draft by Round'!$C$2:$H$161,6,FALSE)</f>
        <v>#N/A</v>
      </c>
      <c r="C62" s="4" t="s">
        <v>93</v>
      </c>
      <c r="D62" s="4" t="s">
        <v>27</v>
      </c>
      <c r="E62" s="4" t="s">
        <v>43</v>
      </c>
      <c r="F62" s="17" t="s">
        <v>0</v>
      </c>
      <c r="G62" s="22"/>
      <c r="H62" s="20" t="s">
        <v>400</v>
      </c>
      <c r="I62" s="15" t="s">
        <v>401</v>
      </c>
      <c r="J62" s="15" t="s">
        <v>402</v>
      </c>
      <c r="L62" s="2" t="s">
        <v>387</v>
      </c>
      <c r="M62" s="2" t="s">
        <v>387</v>
      </c>
      <c r="N62" s="44">
        <v>9</v>
      </c>
      <c r="O62" s="1">
        <f t="shared" si="22"/>
        <v>8</v>
      </c>
    </row>
    <row r="63" spans="1:15" ht="15.75" thickBot="1">
      <c r="A63" s="7" t="e">
        <f>VLOOKUP(C63,'2018 Draft by Round'!$C$2:$G$161,5,FALSE)</f>
        <v>#N/A</v>
      </c>
      <c r="B63" s="7" t="e">
        <f>VLOOKUP(C63,'2018 Draft by Round'!$C$2:$H$161,6,FALSE)</f>
        <v>#N/A</v>
      </c>
      <c r="C63" s="4" t="s">
        <v>542</v>
      </c>
      <c r="D63" s="4" t="s">
        <v>10</v>
      </c>
      <c r="E63" s="4" t="s">
        <v>13</v>
      </c>
      <c r="F63" s="17" t="s">
        <v>0</v>
      </c>
      <c r="G63" s="22"/>
      <c r="H63" s="20" t="s">
        <v>400</v>
      </c>
      <c r="I63" s="15" t="s">
        <v>401</v>
      </c>
      <c r="J63" s="15" t="s">
        <v>402</v>
      </c>
      <c r="L63" s="2" t="s">
        <v>387</v>
      </c>
      <c r="M63" s="2" t="s">
        <v>387</v>
      </c>
      <c r="N63" s="44">
        <v>9</v>
      </c>
      <c r="O63" s="1">
        <f t="shared" si="22"/>
        <v>8</v>
      </c>
    </row>
    <row r="64" spans="1:15" ht="15.75" thickBot="1">
      <c r="A64" s="7" t="e">
        <f>VLOOKUP(C64,'2018 Draft by Round'!$C$2:$G$161,5,FALSE)</f>
        <v>#N/A</v>
      </c>
      <c r="B64" s="7" t="e">
        <f>VLOOKUP(C64,'2018 Draft by Round'!$C$2:$H$161,6,FALSE)</f>
        <v>#N/A</v>
      </c>
      <c r="C64" s="4" t="s">
        <v>543</v>
      </c>
      <c r="D64" s="4" t="s">
        <v>10</v>
      </c>
      <c r="E64" s="4" t="s">
        <v>46</v>
      </c>
      <c r="F64" s="17" t="s">
        <v>0</v>
      </c>
      <c r="G64" s="22"/>
      <c r="H64" s="20" t="s">
        <v>400</v>
      </c>
      <c r="I64" s="15" t="s">
        <v>401</v>
      </c>
      <c r="J64" s="15" t="s">
        <v>402</v>
      </c>
      <c r="L64" s="2" t="s">
        <v>387</v>
      </c>
      <c r="M64" s="2" t="s">
        <v>387</v>
      </c>
      <c r="N64" s="44">
        <v>9</v>
      </c>
      <c r="O64" s="1">
        <f t="shared" si="22"/>
        <v>8</v>
      </c>
    </row>
    <row r="65" spans="1:15" ht="15.75" thickBot="1">
      <c r="A65" s="7" t="e">
        <f>VLOOKUP(C65,'2018 Draft by Round'!$C$2:$G$161,5,FALSE)</f>
        <v>#N/A</v>
      </c>
      <c r="B65" s="7" t="e">
        <f>VLOOKUP(C65,'2018 Draft by Round'!$C$2:$H$161,6,FALSE)</f>
        <v>#N/A</v>
      </c>
      <c r="C65" s="4" t="s">
        <v>544</v>
      </c>
      <c r="D65" s="4" t="s">
        <v>534</v>
      </c>
      <c r="E65" s="4" t="s">
        <v>71</v>
      </c>
      <c r="F65" s="17" t="s">
        <v>0</v>
      </c>
      <c r="G65" s="22"/>
      <c r="H65" s="20" t="s">
        <v>400</v>
      </c>
      <c r="I65" s="15" t="s">
        <v>401</v>
      </c>
      <c r="J65" s="15" t="s">
        <v>402</v>
      </c>
      <c r="L65" s="2" t="s">
        <v>387</v>
      </c>
      <c r="M65" s="2" t="s">
        <v>387</v>
      </c>
      <c r="N65" s="44">
        <v>9</v>
      </c>
      <c r="O65" s="1">
        <f t="shared" si="22"/>
        <v>8</v>
      </c>
    </row>
    <row r="66" spans="1:15" ht="15.75" thickBot="1">
      <c r="A66" s="7">
        <f>VLOOKUP(C66,'2018 Draft by Round'!$C$2:$G$161,5,FALSE)</f>
        <v>36</v>
      </c>
      <c r="B66" s="7">
        <f>VLOOKUP(C66,'2018 Draft by Round'!$C$2:$H$161,6,FALSE)</f>
        <v>4</v>
      </c>
      <c r="C66" s="4" t="s">
        <v>12</v>
      </c>
      <c r="D66" s="4" t="s">
        <v>10</v>
      </c>
      <c r="E66" s="4" t="s">
        <v>71</v>
      </c>
      <c r="F66" s="17" t="s">
        <v>0</v>
      </c>
      <c r="G66" s="22"/>
      <c r="H66" s="20" t="s">
        <v>401</v>
      </c>
      <c r="I66" s="15" t="s">
        <v>402</v>
      </c>
      <c r="J66" s="15" t="s">
        <v>387</v>
      </c>
      <c r="L66" s="2">
        <v>5</v>
      </c>
      <c r="M66" s="2">
        <v>4</v>
      </c>
      <c r="N66" s="12">
        <v>3</v>
      </c>
      <c r="O66" s="2" t="s">
        <v>387</v>
      </c>
    </row>
    <row r="67" spans="1:15" ht="15.75" thickBot="1">
      <c r="A67" s="7">
        <f>VLOOKUP(C67,'2018 Draft by Round'!$C$2:$G$161,5,FALSE)</f>
        <v>45</v>
      </c>
      <c r="B67" s="7">
        <f>VLOOKUP(C67,'2018 Draft by Round'!$C$2:$H$161,6,FALSE)</f>
        <v>5</v>
      </c>
      <c r="C67" s="4" t="s">
        <v>418</v>
      </c>
      <c r="D67" s="4" t="s">
        <v>5</v>
      </c>
      <c r="E67" s="4" t="s">
        <v>17</v>
      </c>
      <c r="F67" s="17" t="s">
        <v>0</v>
      </c>
      <c r="G67" s="22"/>
      <c r="H67" s="20" t="s">
        <v>400</v>
      </c>
      <c r="I67" s="15" t="s">
        <v>401</v>
      </c>
      <c r="J67" s="15" t="s">
        <v>402</v>
      </c>
      <c r="L67" s="2" t="s">
        <v>387</v>
      </c>
      <c r="M67" s="1">
        <f>B67</f>
        <v>5</v>
      </c>
      <c r="N67" s="44">
        <f>M67-1</f>
        <v>4</v>
      </c>
      <c r="O67" s="1">
        <f>N67-1</f>
        <v>3</v>
      </c>
    </row>
    <row r="68" spans="1:15" ht="15.75" thickBot="1">
      <c r="A68" s="7" t="e">
        <f>VLOOKUP(C68,'2018 Draft by Round'!$C$2:$G$161,5,FALSE)</f>
        <v>#N/A</v>
      </c>
      <c r="B68" s="7" t="e">
        <f>VLOOKUP(C68,'2018 Draft by Round'!$C$2:$H$161,6,FALSE)</f>
        <v>#N/A</v>
      </c>
      <c r="C68" s="4" t="s">
        <v>545</v>
      </c>
      <c r="D68" s="4" t="s">
        <v>2</v>
      </c>
      <c r="E68" s="4" t="s">
        <v>84</v>
      </c>
      <c r="F68" s="17" t="s">
        <v>0</v>
      </c>
      <c r="G68" s="22"/>
      <c r="H68" s="20" t="s">
        <v>400</v>
      </c>
      <c r="I68" s="15" t="s">
        <v>401</v>
      </c>
      <c r="J68" s="15" t="s">
        <v>402</v>
      </c>
      <c r="L68" s="2" t="s">
        <v>387</v>
      </c>
      <c r="M68" s="2" t="s">
        <v>387</v>
      </c>
      <c r="N68" s="44">
        <v>9</v>
      </c>
      <c r="O68" s="1">
        <f t="shared" ref="O68" si="23">N68-1</f>
        <v>8</v>
      </c>
    </row>
    <row r="69" spans="1:15" ht="15.75" thickBot="1">
      <c r="A69" s="7" t="s">
        <v>387</v>
      </c>
      <c r="B69" s="7" t="s">
        <v>387</v>
      </c>
      <c r="C69" s="4" t="s">
        <v>480</v>
      </c>
      <c r="D69" s="4" t="s">
        <v>10</v>
      </c>
      <c r="E69" s="4" t="s">
        <v>71</v>
      </c>
      <c r="F69" s="17" t="s">
        <v>0</v>
      </c>
      <c r="G69" s="22"/>
      <c r="H69" s="20" t="s">
        <v>400</v>
      </c>
      <c r="I69" s="15" t="s">
        <v>401</v>
      </c>
      <c r="J69" s="15" t="s">
        <v>402</v>
      </c>
      <c r="L69" s="2" t="s">
        <v>387</v>
      </c>
      <c r="M69" s="1" t="s">
        <v>390</v>
      </c>
      <c r="N69" s="44">
        <v>9</v>
      </c>
      <c r="O69" s="1">
        <v>8</v>
      </c>
    </row>
    <row r="70" spans="1:15" ht="15.75" thickBot="1">
      <c r="A70" s="7" t="s">
        <v>387</v>
      </c>
      <c r="B70" s="7" t="s">
        <v>387</v>
      </c>
      <c r="C70" s="4" t="s">
        <v>477</v>
      </c>
      <c r="D70" s="4" t="s">
        <v>10</v>
      </c>
      <c r="E70" s="4" t="s">
        <v>34</v>
      </c>
      <c r="F70" s="17" t="s">
        <v>0</v>
      </c>
      <c r="G70" s="22"/>
      <c r="H70" s="20" t="s">
        <v>400</v>
      </c>
      <c r="I70" s="15" t="s">
        <v>401</v>
      </c>
      <c r="J70" s="15" t="s">
        <v>402</v>
      </c>
      <c r="L70" s="2" t="s">
        <v>387</v>
      </c>
      <c r="M70" s="1" t="s">
        <v>390</v>
      </c>
      <c r="N70" s="44">
        <v>9</v>
      </c>
      <c r="O70" s="1">
        <v>8</v>
      </c>
    </row>
    <row r="71" spans="1:15" ht="15.75" thickBot="1">
      <c r="A71" s="7" t="s">
        <v>387</v>
      </c>
      <c r="B71" s="7" t="s">
        <v>387</v>
      </c>
      <c r="C71" s="4" t="s">
        <v>487</v>
      </c>
      <c r="D71" s="4" t="s">
        <v>2</v>
      </c>
      <c r="E71" s="4" t="s">
        <v>46</v>
      </c>
      <c r="F71" s="17" t="s">
        <v>0</v>
      </c>
      <c r="G71" s="22"/>
      <c r="H71" s="20" t="s">
        <v>400</v>
      </c>
      <c r="I71" s="15" t="s">
        <v>401</v>
      </c>
      <c r="J71" s="15" t="s">
        <v>402</v>
      </c>
      <c r="L71" s="2" t="s">
        <v>387</v>
      </c>
      <c r="M71" s="1" t="s">
        <v>390</v>
      </c>
      <c r="N71" s="44">
        <v>9</v>
      </c>
      <c r="O71" s="1">
        <v>8</v>
      </c>
    </row>
    <row r="72" spans="1:15" ht="15.75" thickBot="1">
      <c r="A72" s="7" t="s">
        <v>387</v>
      </c>
      <c r="B72" s="7" t="s">
        <v>387</v>
      </c>
      <c r="C72" s="4" t="s">
        <v>546</v>
      </c>
      <c r="D72" s="4" t="s">
        <v>10</v>
      </c>
      <c r="E72" s="4" t="s">
        <v>25</v>
      </c>
      <c r="F72" s="17" t="s">
        <v>0</v>
      </c>
      <c r="G72" s="22"/>
      <c r="H72" s="20" t="s">
        <v>400</v>
      </c>
      <c r="I72" s="15" t="s">
        <v>401</v>
      </c>
      <c r="J72" s="15" t="s">
        <v>402</v>
      </c>
      <c r="L72" s="2" t="s">
        <v>387</v>
      </c>
      <c r="M72" s="2">
        <v>9</v>
      </c>
      <c r="N72" s="12">
        <v>8</v>
      </c>
      <c r="O72" s="2" t="s">
        <v>387</v>
      </c>
    </row>
    <row r="73" spans="1:15" ht="15.75" thickBot="1">
      <c r="A73" s="7">
        <f>VLOOKUP(C73,'2018 Draft by Round'!$C$2:$G$161,5,FALSE)</f>
        <v>96</v>
      </c>
      <c r="B73" s="7">
        <f>VLOOKUP(C73,'2018 Draft by Round'!$C$2:$H$161,6,FALSE)</f>
        <v>10</v>
      </c>
      <c r="C73" s="4" t="s">
        <v>447</v>
      </c>
      <c r="D73" s="4" t="s">
        <v>10</v>
      </c>
      <c r="E73" s="4" t="s">
        <v>6</v>
      </c>
      <c r="F73" s="17" t="s">
        <v>0</v>
      </c>
      <c r="G73" s="22"/>
      <c r="H73" s="25" t="s">
        <v>400</v>
      </c>
      <c r="I73" s="25" t="s">
        <v>401</v>
      </c>
      <c r="J73" s="25" t="s">
        <v>402</v>
      </c>
      <c r="L73" s="2" t="s">
        <v>387</v>
      </c>
      <c r="M73" s="1">
        <f>B73</f>
        <v>10</v>
      </c>
      <c r="N73" s="44">
        <f>M73-1</f>
        <v>9</v>
      </c>
      <c r="O73" s="1">
        <f>N73-1</f>
        <v>8</v>
      </c>
    </row>
    <row r="74" spans="1:15" ht="15.75" thickBot="1">
      <c r="A74" s="14"/>
      <c r="B74" s="14"/>
      <c r="C74" s="14"/>
      <c r="D74" s="14"/>
      <c r="E74" s="14"/>
      <c r="F74" s="18"/>
      <c r="G74" s="18"/>
      <c r="H74" s="18"/>
      <c r="I74" s="18"/>
      <c r="J74" s="18"/>
      <c r="K74" s="18"/>
      <c r="L74" s="18"/>
      <c r="M74" s="18"/>
      <c r="N74" s="18"/>
      <c r="O74" s="18"/>
    </row>
    <row r="75" spans="1:15" ht="15.75" thickBot="1">
      <c r="A75" s="7">
        <f>VLOOKUP(C75,'2018 Draft by Round'!$C$2:$G$161,5,FALSE)</f>
        <v>22</v>
      </c>
      <c r="B75" s="7">
        <f>VLOOKUP(C75,'2018 Draft by Round'!$C$2:$H$161,6,FALSE)</f>
        <v>3</v>
      </c>
      <c r="C75" s="4" t="s">
        <v>4</v>
      </c>
      <c r="D75" s="8" t="s">
        <v>5</v>
      </c>
      <c r="E75" s="4" t="s">
        <v>6</v>
      </c>
      <c r="F75" s="17" t="s">
        <v>114</v>
      </c>
      <c r="G75" s="22"/>
      <c r="H75" s="20" t="s">
        <v>400</v>
      </c>
      <c r="I75" s="15" t="s">
        <v>401</v>
      </c>
      <c r="J75" s="15" t="s">
        <v>402</v>
      </c>
      <c r="L75" s="2" t="s">
        <v>387</v>
      </c>
      <c r="M75" s="1">
        <f>B75</f>
        <v>3</v>
      </c>
      <c r="N75" s="44">
        <f>M75-1</f>
        <v>2</v>
      </c>
      <c r="O75" s="1">
        <f>N75-1</f>
        <v>1</v>
      </c>
    </row>
    <row r="76" spans="1:15" ht="15.75" thickBot="1">
      <c r="A76" s="7">
        <f>VLOOKUP(C76,'2018 Draft by Round'!$C$2:$G$161,5,FALSE)</f>
        <v>59</v>
      </c>
      <c r="B76" s="7">
        <f>VLOOKUP(C76,'2018 Draft by Round'!$C$2:$H$161,6,FALSE)</f>
        <v>6</v>
      </c>
      <c r="C76" s="4" t="s">
        <v>457</v>
      </c>
      <c r="D76" s="4" t="s">
        <v>10</v>
      </c>
      <c r="E76" s="4" t="s">
        <v>107</v>
      </c>
      <c r="F76" s="17" t="s">
        <v>114</v>
      </c>
      <c r="G76" s="22"/>
      <c r="H76" s="20" t="s">
        <v>400</v>
      </c>
      <c r="I76" s="15" t="s">
        <v>401</v>
      </c>
      <c r="J76" s="15" t="s">
        <v>402</v>
      </c>
      <c r="L76" s="2" t="s">
        <v>387</v>
      </c>
      <c r="M76" s="1">
        <f>B76</f>
        <v>6</v>
      </c>
      <c r="N76" s="44">
        <f>M76-1</f>
        <v>5</v>
      </c>
      <c r="O76" s="1">
        <f>N76-1</f>
        <v>4</v>
      </c>
    </row>
    <row r="77" spans="1:15" ht="15.75" thickBot="1">
      <c r="A77" s="7" t="e">
        <f>VLOOKUP(C77,'2018 Draft by Round'!$C$2:$G$161,5,FALSE)</f>
        <v>#N/A</v>
      </c>
      <c r="B77" s="7" t="e">
        <f>VLOOKUP(C77,'2018 Draft by Round'!$C$2:$H$161,6,FALSE)</f>
        <v>#N/A</v>
      </c>
      <c r="C77" s="4" t="s">
        <v>547</v>
      </c>
      <c r="D77" s="4" t="s">
        <v>10</v>
      </c>
      <c r="E77" s="4" t="s">
        <v>3</v>
      </c>
      <c r="F77" s="17" t="s">
        <v>114</v>
      </c>
      <c r="G77" s="22"/>
      <c r="H77" s="20" t="s">
        <v>400</v>
      </c>
      <c r="I77" s="15" t="s">
        <v>401</v>
      </c>
      <c r="J77" s="15" t="s">
        <v>402</v>
      </c>
      <c r="L77" s="2" t="s">
        <v>387</v>
      </c>
      <c r="M77" s="2" t="s">
        <v>387</v>
      </c>
      <c r="N77" s="44">
        <v>9</v>
      </c>
      <c r="O77" s="1">
        <f t="shared" ref="O77" si="24">N77-1</f>
        <v>8</v>
      </c>
    </row>
    <row r="78" spans="1:15" ht="15.75" thickBot="1">
      <c r="A78" s="7">
        <f>VLOOKUP(C78,'2018 Draft by Round'!$C$2:$G$161,5,FALSE)</f>
        <v>2</v>
      </c>
      <c r="B78" s="7">
        <f>VLOOKUP(C78,'2018 Draft by Round'!$C$2:$H$161,6,FALSE)</f>
        <v>1</v>
      </c>
      <c r="C78" s="4" t="s">
        <v>1</v>
      </c>
      <c r="D78" s="4" t="s">
        <v>2</v>
      </c>
      <c r="E78" s="4" t="s">
        <v>8</v>
      </c>
      <c r="F78" s="17" t="s">
        <v>114</v>
      </c>
      <c r="G78" s="22"/>
      <c r="H78" s="20" t="s">
        <v>400</v>
      </c>
      <c r="I78" s="15" t="s">
        <v>401</v>
      </c>
      <c r="J78" s="15" t="s">
        <v>402</v>
      </c>
      <c r="L78" s="2" t="s">
        <v>387</v>
      </c>
      <c r="M78" s="1">
        <f>B78</f>
        <v>1</v>
      </c>
      <c r="N78" s="12" t="s">
        <v>387</v>
      </c>
      <c r="O78" s="2" t="s">
        <v>387</v>
      </c>
    </row>
    <row r="79" spans="1:15" ht="15.75" thickBot="1">
      <c r="A79" s="7">
        <f>VLOOKUP(C79,'2018 Draft by Round'!$C$2:$G$161,5,FALSE)</f>
        <v>82</v>
      </c>
      <c r="B79" s="7">
        <f>VLOOKUP(C79,'2018 Draft by Round'!$C$2:$H$161,6,FALSE)</f>
        <v>9</v>
      </c>
      <c r="C79" s="4" t="s">
        <v>125</v>
      </c>
      <c r="D79" s="4" t="s">
        <v>2</v>
      </c>
      <c r="E79" s="4" t="s">
        <v>6</v>
      </c>
      <c r="F79" s="17" t="s">
        <v>114</v>
      </c>
      <c r="G79" s="22"/>
      <c r="H79" s="20" t="s">
        <v>402</v>
      </c>
      <c r="I79" s="15" t="s">
        <v>387</v>
      </c>
      <c r="J79" s="15" t="s">
        <v>387</v>
      </c>
      <c r="L79" s="2">
        <v>10</v>
      </c>
      <c r="M79" s="2">
        <v>9</v>
      </c>
      <c r="N79" s="12" t="s">
        <v>387</v>
      </c>
      <c r="O79" s="2" t="s">
        <v>387</v>
      </c>
    </row>
    <row r="80" spans="1:15" ht="15.75" thickBot="1">
      <c r="A80" s="7">
        <f>VLOOKUP(C80,'2018 Draft by Round'!$C$2:$G$161,5,FALSE)</f>
        <v>12</v>
      </c>
      <c r="B80" s="7">
        <f>VLOOKUP(C80,'2018 Draft by Round'!$C$2:$H$161,6,FALSE)</f>
        <v>2</v>
      </c>
      <c r="C80" s="4" t="s">
        <v>182</v>
      </c>
      <c r="D80" s="4" t="s">
        <v>27</v>
      </c>
      <c r="E80" s="4" t="s">
        <v>390</v>
      </c>
      <c r="F80" s="17" t="s">
        <v>114</v>
      </c>
      <c r="G80" s="22"/>
      <c r="H80" s="20" t="s">
        <v>400</v>
      </c>
      <c r="I80" s="15" t="s">
        <v>401</v>
      </c>
      <c r="J80" s="15" t="s">
        <v>402</v>
      </c>
      <c r="L80" s="2" t="s">
        <v>387</v>
      </c>
      <c r="M80" s="1">
        <f>B80</f>
        <v>2</v>
      </c>
      <c r="N80" s="44">
        <f>M80-1</f>
        <v>1</v>
      </c>
      <c r="O80" s="2" t="s">
        <v>387</v>
      </c>
    </row>
    <row r="81" spans="1:15" ht="15.75" thickBot="1">
      <c r="A81" s="7">
        <f>VLOOKUP(C81,'2018 Draft by Round'!$C$2:$G$161,5,FALSE)</f>
        <v>19</v>
      </c>
      <c r="B81" s="7">
        <f>VLOOKUP(C81,'2018 Draft by Round'!$C$2:$H$161,6,FALSE)</f>
        <v>2</v>
      </c>
      <c r="C81" s="4" t="s">
        <v>168</v>
      </c>
      <c r="D81" s="4" t="s">
        <v>2</v>
      </c>
      <c r="E81" s="4" t="s">
        <v>13</v>
      </c>
      <c r="F81" s="17" t="s">
        <v>114</v>
      </c>
      <c r="G81" s="22"/>
      <c r="H81" s="20" t="s">
        <v>400</v>
      </c>
      <c r="I81" s="15" t="s">
        <v>401</v>
      </c>
      <c r="J81" s="15" t="s">
        <v>402</v>
      </c>
      <c r="L81" s="2" t="s">
        <v>387</v>
      </c>
      <c r="M81" s="1">
        <f>B81</f>
        <v>2</v>
      </c>
      <c r="N81" s="44">
        <f>M81-1</f>
        <v>1</v>
      </c>
      <c r="O81" s="2" t="s">
        <v>387</v>
      </c>
    </row>
    <row r="82" spans="1:15" ht="15.75" thickBot="1">
      <c r="A82" s="7">
        <f>VLOOKUP(C82,'2018 Draft by Round'!$C$2:$G$161,5,FALSE)</f>
        <v>99</v>
      </c>
      <c r="B82" s="7">
        <f>VLOOKUP(C82,'2018 Draft by Round'!$C$2:$H$161,6,FALSE)</f>
        <v>10</v>
      </c>
      <c r="C82" s="4" t="s">
        <v>451</v>
      </c>
      <c r="D82" s="4" t="s">
        <v>2</v>
      </c>
      <c r="E82" s="4" t="s">
        <v>3</v>
      </c>
      <c r="F82" s="17" t="s">
        <v>114</v>
      </c>
      <c r="G82" s="22"/>
      <c r="H82" s="20" t="s">
        <v>401</v>
      </c>
      <c r="I82" s="15" t="s">
        <v>402</v>
      </c>
      <c r="J82" s="15" t="s">
        <v>387</v>
      </c>
      <c r="L82" s="25" t="s">
        <v>390</v>
      </c>
      <c r="M82" s="2">
        <v>9</v>
      </c>
      <c r="N82" s="12">
        <v>8</v>
      </c>
      <c r="O82" s="2" t="s">
        <v>387</v>
      </c>
    </row>
    <row r="83" spans="1:15" ht="15.75" thickBot="1">
      <c r="A83" s="7" t="e">
        <f>VLOOKUP(C83,'2018 Draft by Round'!$C$2:$G$161,5,FALSE)</f>
        <v>#N/A</v>
      </c>
      <c r="B83" s="7" t="e">
        <f>VLOOKUP(C83,'2018 Draft by Round'!$C$2:$H$161,6,FALSE)</f>
        <v>#N/A</v>
      </c>
      <c r="C83" s="4" t="s">
        <v>548</v>
      </c>
      <c r="D83" s="4" t="s">
        <v>534</v>
      </c>
      <c r="E83" s="4" t="s">
        <v>107</v>
      </c>
      <c r="F83" s="17" t="s">
        <v>114</v>
      </c>
      <c r="G83" s="22"/>
      <c r="H83" s="20" t="s">
        <v>400</v>
      </c>
      <c r="I83" s="15" t="s">
        <v>401</v>
      </c>
      <c r="J83" s="15" t="s">
        <v>402</v>
      </c>
      <c r="L83" s="2" t="s">
        <v>387</v>
      </c>
      <c r="M83" s="2" t="s">
        <v>387</v>
      </c>
      <c r="N83" s="44">
        <v>9</v>
      </c>
      <c r="O83" s="1">
        <f t="shared" ref="O83" si="25">N83-1</f>
        <v>8</v>
      </c>
    </row>
    <row r="84" spans="1:15" ht="15.75" thickBot="1">
      <c r="A84" s="7">
        <f>VLOOKUP(C84,'2018 Draft by Round'!$C$2:$G$161,5,FALSE)</f>
        <v>39</v>
      </c>
      <c r="B84" s="7">
        <f>VLOOKUP(C84,'2018 Draft by Round'!$C$2:$H$161,6,FALSE)</f>
        <v>4</v>
      </c>
      <c r="C84" s="4" t="s">
        <v>109</v>
      </c>
      <c r="D84" s="4" t="s">
        <v>10</v>
      </c>
      <c r="E84" s="4" t="s">
        <v>49</v>
      </c>
      <c r="F84" s="17" t="s">
        <v>114</v>
      </c>
      <c r="G84" s="22"/>
      <c r="H84" s="20" t="s">
        <v>400</v>
      </c>
      <c r="I84" s="15" t="s">
        <v>401</v>
      </c>
      <c r="J84" s="15" t="s">
        <v>402</v>
      </c>
      <c r="L84" s="2" t="s">
        <v>387</v>
      </c>
      <c r="M84" s="1">
        <f>B84</f>
        <v>4</v>
      </c>
      <c r="N84" s="44">
        <f t="shared" ref="N84:O86" si="26">M84-1</f>
        <v>3</v>
      </c>
      <c r="O84" s="1">
        <f t="shared" si="26"/>
        <v>2</v>
      </c>
    </row>
    <row r="85" spans="1:15" ht="15.75" thickBot="1">
      <c r="A85" s="7">
        <f>VLOOKUP(C85,'2018 Draft by Round'!$C$2:$G$161,5,FALSE)</f>
        <v>42</v>
      </c>
      <c r="B85" s="7">
        <f>VLOOKUP(C85,'2018 Draft by Round'!$C$2:$H$161,6,FALSE)</f>
        <v>5</v>
      </c>
      <c r="C85" s="4" t="s">
        <v>170</v>
      </c>
      <c r="D85" s="4" t="s">
        <v>10</v>
      </c>
      <c r="E85" s="4" t="s">
        <v>21</v>
      </c>
      <c r="F85" s="17" t="s">
        <v>114</v>
      </c>
      <c r="G85" s="22"/>
      <c r="H85" s="20" t="s">
        <v>400</v>
      </c>
      <c r="I85" s="15" t="s">
        <v>401</v>
      </c>
      <c r="J85" s="15" t="s">
        <v>402</v>
      </c>
      <c r="L85" s="2" t="s">
        <v>387</v>
      </c>
      <c r="M85" s="1">
        <f>B85</f>
        <v>5</v>
      </c>
      <c r="N85" s="44">
        <f t="shared" si="26"/>
        <v>4</v>
      </c>
      <c r="O85" s="1">
        <f t="shared" si="26"/>
        <v>3</v>
      </c>
    </row>
    <row r="86" spans="1:15" ht="15.75" thickBot="1">
      <c r="A86" s="7">
        <f>VLOOKUP(C86,'2018 Draft by Round'!$C$2:$G$161,5,FALSE)</f>
        <v>122</v>
      </c>
      <c r="B86" s="7">
        <f>VLOOKUP(C86,'2018 Draft by Round'!$C$2:$H$161,6,FALSE)</f>
        <v>13</v>
      </c>
      <c r="C86" s="4" t="s">
        <v>503</v>
      </c>
      <c r="D86" s="4" t="s">
        <v>2</v>
      </c>
      <c r="E86" s="4" t="s">
        <v>43</v>
      </c>
      <c r="F86" s="17" t="s">
        <v>114</v>
      </c>
      <c r="G86" s="22"/>
      <c r="H86" s="20" t="s">
        <v>400</v>
      </c>
      <c r="I86" s="15" t="s">
        <v>401</v>
      </c>
      <c r="J86" s="15" t="s">
        <v>402</v>
      </c>
      <c r="L86" s="2" t="s">
        <v>387</v>
      </c>
      <c r="M86" s="1">
        <f>B86</f>
        <v>13</v>
      </c>
      <c r="N86" s="44">
        <f t="shared" si="26"/>
        <v>12</v>
      </c>
      <c r="O86" s="1">
        <f t="shared" si="26"/>
        <v>11</v>
      </c>
    </row>
    <row r="87" spans="1:15" ht="15.75" thickBot="1">
      <c r="A87" s="7" t="e">
        <f>VLOOKUP(C87,'2018 Draft by Round'!$C$2:$G$161,5,FALSE)</f>
        <v>#N/A</v>
      </c>
      <c r="B87" s="7" t="e">
        <f>VLOOKUP(C87,'2018 Draft by Round'!$C$2:$H$161,6,FALSE)</f>
        <v>#N/A</v>
      </c>
      <c r="C87" s="4" t="s">
        <v>110</v>
      </c>
      <c r="D87" s="4" t="s">
        <v>10</v>
      </c>
      <c r="E87" s="4" t="s">
        <v>13</v>
      </c>
      <c r="F87" s="17" t="s">
        <v>114</v>
      </c>
      <c r="G87" s="22"/>
      <c r="H87" s="20" t="s">
        <v>400</v>
      </c>
      <c r="I87" s="15" t="s">
        <v>401</v>
      </c>
      <c r="J87" s="15" t="s">
        <v>402</v>
      </c>
      <c r="L87" s="2" t="s">
        <v>387</v>
      </c>
      <c r="M87" s="2" t="s">
        <v>387</v>
      </c>
      <c r="N87" s="44">
        <v>9</v>
      </c>
      <c r="O87" s="1">
        <f t="shared" ref="O87" si="27">N87-1</f>
        <v>8</v>
      </c>
    </row>
    <row r="88" spans="1:15" ht="15.75" thickBot="1">
      <c r="A88" s="7" t="e">
        <f>VLOOKUP(C88,'2018 Draft by Round'!$C$2:$G$161,5,FALSE)</f>
        <v>#N/A</v>
      </c>
      <c r="B88" s="7" t="e">
        <f>VLOOKUP(C88,'2018 Draft by Round'!$C$2:$H$161,6,FALSE)</f>
        <v>#N/A</v>
      </c>
      <c r="C88" s="4" t="s">
        <v>68</v>
      </c>
      <c r="D88" s="4" t="s">
        <v>5</v>
      </c>
      <c r="E88" s="4" t="s">
        <v>43</v>
      </c>
      <c r="F88" s="17" t="s">
        <v>114</v>
      </c>
      <c r="G88" s="22"/>
      <c r="H88" s="20" t="s">
        <v>400</v>
      </c>
      <c r="I88" s="15" t="s">
        <v>401</v>
      </c>
      <c r="J88" s="15" t="s">
        <v>402</v>
      </c>
      <c r="L88" s="2" t="s">
        <v>387</v>
      </c>
      <c r="M88" s="2" t="s">
        <v>387</v>
      </c>
      <c r="N88" s="44">
        <v>9</v>
      </c>
      <c r="O88" s="1">
        <f t="shared" ref="O88:O90" si="28">N88-1</f>
        <v>8</v>
      </c>
    </row>
    <row r="89" spans="1:15" ht="15.75" thickBot="1">
      <c r="A89" s="7" t="e">
        <f>VLOOKUP(C89,'2018 Draft by Round'!$C$2:$G$161,5,FALSE)</f>
        <v>#N/A</v>
      </c>
      <c r="B89" s="7" t="e">
        <f>VLOOKUP(C89,'2018 Draft by Round'!$C$2:$H$161,6,FALSE)</f>
        <v>#N/A</v>
      </c>
      <c r="C89" s="4" t="s">
        <v>162</v>
      </c>
      <c r="D89" s="4" t="s">
        <v>5</v>
      </c>
      <c r="E89" s="4" t="s">
        <v>15</v>
      </c>
      <c r="F89" s="17" t="s">
        <v>114</v>
      </c>
      <c r="G89" s="22"/>
      <c r="H89" s="20" t="s">
        <v>400</v>
      </c>
      <c r="I89" s="15" t="s">
        <v>401</v>
      </c>
      <c r="J89" s="15" t="s">
        <v>402</v>
      </c>
      <c r="L89" s="2" t="s">
        <v>387</v>
      </c>
      <c r="M89" s="2" t="s">
        <v>387</v>
      </c>
      <c r="N89" s="44">
        <v>9</v>
      </c>
      <c r="O89" s="1">
        <f t="shared" si="28"/>
        <v>8</v>
      </c>
    </row>
    <row r="90" spans="1:15" ht="15.75" thickBot="1">
      <c r="A90" s="7" t="e">
        <f>VLOOKUP(C90,'2018 Draft by Round'!$C$2:$G$161,5,FALSE)</f>
        <v>#N/A</v>
      </c>
      <c r="B90" s="7" t="e">
        <f>VLOOKUP(C90,'2018 Draft by Round'!$C$2:$H$161,6,FALSE)</f>
        <v>#N/A</v>
      </c>
      <c r="C90" s="4" t="s">
        <v>549</v>
      </c>
      <c r="D90" s="4" t="s">
        <v>27</v>
      </c>
      <c r="E90" s="4" t="s">
        <v>32</v>
      </c>
      <c r="F90" s="17" t="s">
        <v>114</v>
      </c>
      <c r="G90" s="22"/>
      <c r="H90" s="20" t="s">
        <v>400</v>
      </c>
      <c r="I90" s="15" t="s">
        <v>401</v>
      </c>
      <c r="J90" s="15" t="s">
        <v>402</v>
      </c>
      <c r="L90" s="2" t="s">
        <v>387</v>
      </c>
      <c r="M90" s="2" t="s">
        <v>387</v>
      </c>
      <c r="N90" s="44">
        <v>9</v>
      </c>
      <c r="O90" s="1">
        <f t="shared" si="28"/>
        <v>8</v>
      </c>
    </row>
    <row r="91" spans="1:15" ht="15.75" thickBot="1">
      <c r="A91" s="7" t="e">
        <f>VLOOKUP(C91,'2018 Draft by Round'!$C$2:$G$161,5,FALSE)</f>
        <v>#N/A</v>
      </c>
      <c r="B91" s="7" t="e">
        <f>VLOOKUP(C91,'2018 Draft by Round'!$C$2:$H$161,6,FALSE)</f>
        <v>#N/A</v>
      </c>
      <c r="C91" s="4" t="s">
        <v>550</v>
      </c>
      <c r="D91" s="4" t="s">
        <v>27</v>
      </c>
      <c r="E91" s="4" t="s">
        <v>43</v>
      </c>
      <c r="F91" s="17" t="s">
        <v>114</v>
      </c>
      <c r="G91" s="22"/>
      <c r="H91" s="20" t="s">
        <v>400</v>
      </c>
      <c r="I91" s="15" t="s">
        <v>401</v>
      </c>
      <c r="J91" s="15" t="s">
        <v>402</v>
      </c>
      <c r="L91" s="2" t="s">
        <v>387</v>
      </c>
      <c r="M91" s="2" t="s">
        <v>387</v>
      </c>
      <c r="N91" s="44">
        <v>9</v>
      </c>
      <c r="O91" s="1">
        <f t="shared" ref="O91" si="29">N91-1</f>
        <v>8</v>
      </c>
    </row>
    <row r="92" spans="1:15" ht="15.75" thickBot="1">
      <c r="A92" s="14"/>
      <c r="B92" s="14"/>
      <c r="C92" s="14"/>
      <c r="D92" s="14"/>
      <c r="E92" s="14"/>
      <c r="F92" s="18"/>
      <c r="G92" s="18"/>
      <c r="H92" s="18"/>
      <c r="I92" s="18"/>
      <c r="J92" s="18"/>
      <c r="K92" s="18"/>
      <c r="L92" s="18"/>
      <c r="M92" s="18"/>
      <c r="N92" s="18"/>
      <c r="O92" s="18"/>
    </row>
    <row r="93" spans="1:15" ht="15.75" thickBot="1">
      <c r="A93" s="7" t="e">
        <f>VLOOKUP(C93,'2018 Draft by Round'!$C$2:$G$161,5,FALSE)</f>
        <v>#N/A</v>
      </c>
      <c r="B93" s="7" t="e">
        <f>VLOOKUP(C93,'2018 Draft by Round'!$C$2:$H$161,6,FALSE)</f>
        <v>#N/A</v>
      </c>
      <c r="C93" s="4" t="s">
        <v>551</v>
      </c>
      <c r="D93" s="8" t="s">
        <v>5</v>
      </c>
      <c r="E93" s="4" t="s">
        <v>71</v>
      </c>
      <c r="F93" s="17" t="s">
        <v>471</v>
      </c>
      <c r="G93" s="22"/>
      <c r="H93" s="20" t="s">
        <v>400</v>
      </c>
      <c r="I93" s="15" t="s">
        <v>401</v>
      </c>
      <c r="J93" s="15" t="s">
        <v>402</v>
      </c>
      <c r="L93" s="2" t="s">
        <v>387</v>
      </c>
      <c r="M93" s="2" t="s">
        <v>387</v>
      </c>
      <c r="N93" s="44">
        <v>9</v>
      </c>
      <c r="O93" s="1">
        <f t="shared" ref="O93" si="30">N93-1</f>
        <v>8</v>
      </c>
    </row>
    <row r="94" spans="1:15" ht="15.75" thickBot="1">
      <c r="A94" s="7">
        <f>VLOOKUP(C94,'2018 Draft by Round'!$C$2:$G$161,5,FALSE)</f>
        <v>10</v>
      </c>
      <c r="B94" s="7">
        <f>VLOOKUP(C94,'2018 Draft by Round'!$C$2:$H$161,6,FALSE)</f>
        <v>1</v>
      </c>
      <c r="C94" s="4" t="s">
        <v>552</v>
      </c>
      <c r="D94" s="4" t="s">
        <v>10</v>
      </c>
      <c r="E94" s="4" t="s">
        <v>120</v>
      </c>
      <c r="F94" s="17" t="s">
        <v>471</v>
      </c>
      <c r="G94" s="22"/>
      <c r="H94" s="20" t="s">
        <v>401</v>
      </c>
      <c r="I94" s="15" t="s">
        <v>387</v>
      </c>
      <c r="J94" s="15" t="s">
        <v>387</v>
      </c>
      <c r="L94" s="2">
        <v>2</v>
      </c>
      <c r="M94" s="2">
        <v>1</v>
      </c>
      <c r="N94" s="12" t="s">
        <v>387</v>
      </c>
      <c r="O94" s="2" t="s">
        <v>387</v>
      </c>
    </row>
    <row r="95" spans="1:15" ht="15.75" thickBot="1">
      <c r="A95" s="7">
        <f>VLOOKUP(C95,'2018 Draft by Round'!$C$2:$G$161,5,FALSE)</f>
        <v>91</v>
      </c>
      <c r="B95" s="7">
        <f>VLOOKUP(C95,'2018 Draft by Round'!$C$2:$H$161,6,FALSE)</f>
        <v>10</v>
      </c>
      <c r="C95" s="4" t="s">
        <v>113</v>
      </c>
      <c r="D95" s="4" t="s">
        <v>10</v>
      </c>
      <c r="E95" s="4" t="s">
        <v>25</v>
      </c>
      <c r="F95" s="17" t="s">
        <v>471</v>
      </c>
      <c r="G95" s="22"/>
      <c r="H95" s="20" t="s">
        <v>400</v>
      </c>
      <c r="I95" s="15" t="s">
        <v>401</v>
      </c>
      <c r="J95" s="15" t="s">
        <v>402</v>
      </c>
      <c r="L95" s="2" t="s">
        <v>387</v>
      </c>
      <c r="M95" s="1">
        <f>B95</f>
        <v>10</v>
      </c>
      <c r="N95" s="44">
        <f>M95-1</f>
        <v>9</v>
      </c>
      <c r="O95" s="1">
        <f>N95-1</f>
        <v>8</v>
      </c>
    </row>
    <row r="96" spans="1:15" ht="15.75" thickBot="1">
      <c r="A96" s="7">
        <f>VLOOKUP(C96,'2018 Draft by Round'!$C$2:$G$161,5,FALSE)</f>
        <v>30</v>
      </c>
      <c r="B96" s="7">
        <f>VLOOKUP(C96,'2018 Draft by Round'!$C$2:$H$161,6,FALSE)</f>
        <v>3</v>
      </c>
      <c r="C96" s="4" t="s">
        <v>99</v>
      </c>
      <c r="D96" s="4" t="s">
        <v>2</v>
      </c>
      <c r="E96" s="4" t="s">
        <v>120</v>
      </c>
      <c r="F96" s="17" t="s">
        <v>471</v>
      </c>
      <c r="G96" s="22"/>
      <c r="H96" s="20" t="s">
        <v>400</v>
      </c>
      <c r="I96" s="15" t="s">
        <v>401</v>
      </c>
      <c r="J96" s="15" t="s">
        <v>402</v>
      </c>
      <c r="L96" s="2" t="s">
        <v>387</v>
      </c>
      <c r="M96" s="1">
        <f>B96</f>
        <v>3</v>
      </c>
      <c r="N96" s="44">
        <f>M96-1</f>
        <v>2</v>
      </c>
      <c r="O96" s="1">
        <f>N96-1</f>
        <v>1</v>
      </c>
    </row>
    <row r="97" spans="1:15" ht="15.75" thickBot="1">
      <c r="A97" s="7">
        <f>VLOOKUP(C97,'2018 Draft by Round'!$C$2:$G$161,5,FALSE)</f>
        <v>110</v>
      </c>
      <c r="B97" s="7">
        <f>VLOOKUP(C97,'2018 Draft by Round'!$C$2:$H$161,6,FALSE)</f>
        <v>11</v>
      </c>
      <c r="C97" s="4" t="s">
        <v>161</v>
      </c>
      <c r="D97" s="4" t="s">
        <v>2</v>
      </c>
      <c r="E97" s="4" t="s">
        <v>82</v>
      </c>
      <c r="F97" s="17" t="s">
        <v>471</v>
      </c>
      <c r="G97" s="22"/>
      <c r="H97" s="20" t="s">
        <v>402</v>
      </c>
      <c r="I97" s="15" t="s">
        <v>387</v>
      </c>
      <c r="J97" s="15" t="s">
        <v>387</v>
      </c>
      <c r="L97" s="2">
        <v>12</v>
      </c>
      <c r="M97" s="2">
        <v>11</v>
      </c>
      <c r="N97" s="12" t="s">
        <v>387</v>
      </c>
      <c r="O97" s="2" t="s">
        <v>387</v>
      </c>
    </row>
    <row r="98" spans="1:15" ht="15.75" thickBot="1">
      <c r="A98" s="7" t="e">
        <f>VLOOKUP(C98,'2018 Draft by Round'!$C$2:$G$161,5,FALSE)</f>
        <v>#N/A</v>
      </c>
      <c r="B98" s="7" t="e">
        <f>VLOOKUP(C98,'2018 Draft by Round'!$C$2:$H$161,6,FALSE)</f>
        <v>#N/A</v>
      </c>
      <c r="C98" s="4" t="s">
        <v>409</v>
      </c>
      <c r="D98" s="4" t="s">
        <v>27</v>
      </c>
      <c r="E98" s="4" t="s">
        <v>82</v>
      </c>
      <c r="F98" s="17" t="s">
        <v>471</v>
      </c>
      <c r="G98" s="22"/>
      <c r="H98" s="20" t="s">
        <v>400</v>
      </c>
      <c r="I98" s="15" t="s">
        <v>401</v>
      </c>
      <c r="J98" s="15" t="s">
        <v>402</v>
      </c>
      <c r="L98" s="2" t="s">
        <v>387</v>
      </c>
      <c r="M98" s="2" t="s">
        <v>387</v>
      </c>
      <c r="N98" s="44">
        <v>9</v>
      </c>
      <c r="O98" s="1">
        <f t="shared" ref="O98" si="31">N98-1</f>
        <v>8</v>
      </c>
    </row>
    <row r="99" spans="1:15" ht="15.75" thickBot="1">
      <c r="A99" s="7">
        <f>VLOOKUP(C99,'2018 Draft by Round'!$C$2:$G$161,5,FALSE)</f>
        <v>11</v>
      </c>
      <c r="B99" s="7">
        <f>VLOOKUP(C99,'2018 Draft by Round'!$C$2:$H$161,6,FALSE)</f>
        <v>2</v>
      </c>
      <c r="C99" s="4" t="s">
        <v>40</v>
      </c>
      <c r="D99" s="4" t="s">
        <v>10</v>
      </c>
      <c r="E99" s="4" t="s">
        <v>41</v>
      </c>
      <c r="F99" s="17" t="s">
        <v>471</v>
      </c>
      <c r="G99" s="22"/>
      <c r="H99" s="20" t="s">
        <v>400</v>
      </c>
      <c r="I99" s="15" t="s">
        <v>401</v>
      </c>
      <c r="J99" s="15" t="s">
        <v>402</v>
      </c>
      <c r="L99" s="2" t="s">
        <v>387</v>
      </c>
      <c r="M99" s="1">
        <f>B99</f>
        <v>2</v>
      </c>
      <c r="N99" s="44">
        <f>M99-1</f>
        <v>1</v>
      </c>
      <c r="O99" s="1" t="s">
        <v>387</v>
      </c>
    </row>
    <row r="100" spans="1:15" ht="15.75" thickBot="1">
      <c r="A100" s="7">
        <f>VLOOKUP(C100,'2018 Draft by Round'!$C$2:$G$161,5,FALSE)</f>
        <v>71</v>
      </c>
      <c r="B100" s="7">
        <f>VLOOKUP(C100,'2018 Draft by Round'!$C$2:$H$161,6,FALSE)</f>
        <v>8</v>
      </c>
      <c r="C100" s="4" t="s">
        <v>51</v>
      </c>
      <c r="D100" s="4" t="s">
        <v>10</v>
      </c>
      <c r="E100" s="4" t="s">
        <v>6</v>
      </c>
      <c r="F100" s="17" t="s">
        <v>471</v>
      </c>
      <c r="G100" s="22"/>
      <c r="H100" s="20" t="s">
        <v>400</v>
      </c>
      <c r="I100" s="15" t="s">
        <v>401</v>
      </c>
      <c r="J100" s="15" t="s">
        <v>402</v>
      </c>
      <c r="L100" s="2" t="s">
        <v>387</v>
      </c>
      <c r="M100" s="1">
        <f>B100</f>
        <v>8</v>
      </c>
      <c r="N100" s="44">
        <f>M100-1</f>
        <v>7</v>
      </c>
      <c r="O100" s="1">
        <f>N100-1</f>
        <v>6</v>
      </c>
    </row>
    <row r="101" spans="1:15" ht="15.75" thickBot="1">
      <c r="A101" s="7" t="e">
        <f>VLOOKUP(C101,'2018 Draft by Round'!$C$2:$G$161,5,FALSE)</f>
        <v>#N/A</v>
      </c>
      <c r="B101" s="7" t="e">
        <f>VLOOKUP(C101,'2018 Draft by Round'!$C$2:$H$161,6,FALSE)</f>
        <v>#N/A</v>
      </c>
      <c r="C101" s="4" t="s">
        <v>553</v>
      </c>
      <c r="D101" s="4" t="s">
        <v>534</v>
      </c>
      <c r="E101" s="4" t="s">
        <v>60</v>
      </c>
      <c r="F101" s="17" t="s">
        <v>471</v>
      </c>
      <c r="G101" s="22"/>
      <c r="H101" s="20" t="s">
        <v>400</v>
      </c>
      <c r="I101" s="15" t="s">
        <v>401</v>
      </c>
      <c r="J101" s="15" t="s">
        <v>402</v>
      </c>
      <c r="L101" s="2" t="s">
        <v>387</v>
      </c>
      <c r="M101" s="2" t="s">
        <v>387</v>
      </c>
      <c r="N101" s="44">
        <v>9</v>
      </c>
      <c r="O101" s="1">
        <f t="shared" ref="O101" si="32">N101-1</f>
        <v>8</v>
      </c>
    </row>
    <row r="102" spans="1:15" ht="15.75" thickBot="1">
      <c r="A102" s="7">
        <f>VLOOKUP(C102,'2018 Draft by Round'!$C$2:$G$161,5,FALSE)</f>
        <v>31</v>
      </c>
      <c r="B102" s="7">
        <f>VLOOKUP(C102,'2018 Draft by Round'!$C$2:$H$161,6,FALSE)</f>
        <v>4</v>
      </c>
      <c r="C102" s="4" t="s">
        <v>554</v>
      </c>
      <c r="D102" s="4" t="s">
        <v>2</v>
      </c>
      <c r="E102" s="4" t="s">
        <v>28</v>
      </c>
      <c r="F102" s="17" t="s">
        <v>471</v>
      </c>
      <c r="G102" s="22"/>
      <c r="H102" s="20" t="s">
        <v>400</v>
      </c>
      <c r="I102" s="15" t="s">
        <v>401</v>
      </c>
      <c r="J102" s="15" t="s">
        <v>402</v>
      </c>
      <c r="L102" s="2" t="s">
        <v>387</v>
      </c>
      <c r="M102" s="1">
        <f>B102</f>
        <v>4</v>
      </c>
      <c r="N102" s="44">
        <f t="shared" ref="N102:O106" si="33">M102-1</f>
        <v>3</v>
      </c>
      <c r="O102" s="1">
        <f t="shared" si="33"/>
        <v>2</v>
      </c>
    </row>
    <row r="103" spans="1:15" ht="15.75" thickBot="1">
      <c r="A103" s="7">
        <f>VLOOKUP(C103,'2018 Draft by Round'!$C$2:$G$161,5,FALSE)</f>
        <v>50</v>
      </c>
      <c r="B103" s="7">
        <f>VLOOKUP(C103,'2018 Draft by Round'!$C$2:$H$161,6,FALSE)</f>
        <v>5</v>
      </c>
      <c r="C103" s="4" t="s">
        <v>445</v>
      </c>
      <c r="D103" s="4" t="s">
        <v>2</v>
      </c>
      <c r="E103" s="4" t="s">
        <v>135</v>
      </c>
      <c r="F103" s="17" t="s">
        <v>471</v>
      </c>
      <c r="G103" s="22"/>
      <c r="H103" s="20" t="s">
        <v>400</v>
      </c>
      <c r="I103" s="15" t="s">
        <v>401</v>
      </c>
      <c r="J103" s="15" t="s">
        <v>402</v>
      </c>
      <c r="L103" s="2" t="s">
        <v>387</v>
      </c>
      <c r="M103" s="1">
        <f>B103</f>
        <v>5</v>
      </c>
      <c r="N103" s="44">
        <f t="shared" si="33"/>
        <v>4</v>
      </c>
      <c r="O103" s="1">
        <f t="shared" si="33"/>
        <v>3</v>
      </c>
    </row>
    <row r="104" spans="1:15" ht="15.75" thickBot="1">
      <c r="A104" s="7">
        <f>VLOOKUP(C104,'2018 Draft by Round'!$C$2:$G$161,5,FALSE)</f>
        <v>70</v>
      </c>
      <c r="B104" s="7">
        <f>VLOOKUP(C104,'2018 Draft by Round'!$C$2:$H$161,6,FALSE)</f>
        <v>7</v>
      </c>
      <c r="C104" s="4" t="s">
        <v>189</v>
      </c>
      <c r="D104" s="4" t="s">
        <v>5</v>
      </c>
      <c r="E104" s="4" t="s">
        <v>32</v>
      </c>
      <c r="F104" s="17" t="s">
        <v>471</v>
      </c>
      <c r="G104" s="22"/>
      <c r="H104" s="20" t="s">
        <v>400</v>
      </c>
      <c r="I104" s="15" t="s">
        <v>401</v>
      </c>
      <c r="J104" s="15" t="s">
        <v>402</v>
      </c>
      <c r="L104" s="2" t="s">
        <v>387</v>
      </c>
      <c r="M104" s="1">
        <f>B104</f>
        <v>7</v>
      </c>
      <c r="N104" s="44">
        <f t="shared" si="33"/>
        <v>6</v>
      </c>
      <c r="O104" s="1">
        <f t="shared" si="33"/>
        <v>5</v>
      </c>
    </row>
    <row r="105" spans="1:15" ht="15.75" thickBot="1">
      <c r="A105" s="7">
        <f>VLOOKUP(C105,'2018 Draft by Round'!$C$2:$G$161,5,FALSE)</f>
        <v>111</v>
      </c>
      <c r="B105" s="7">
        <f>VLOOKUP(C105,'2018 Draft by Round'!$C$2:$H$161,6,FALSE)</f>
        <v>12</v>
      </c>
      <c r="C105" s="4" t="s">
        <v>103</v>
      </c>
      <c r="D105" s="4" t="s">
        <v>10</v>
      </c>
      <c r="E105" s="4" t="s">
        <v>396</v>
      </c>
      <c r="F105" s="17" t="s">
        <v>471</v>
      </c>
      <c r="G105" s="22"/>
      <c r="H105" s="20" t="s">
        <v>400</v>
      </c>
      <c r="I105" s="15" t="s">
        <v>401</v>
      </c>
      <c r="J105" s="15" t="s">
        <v>402</v>
      </c>
      <c r="L105" s="2" t="s">
        <v>387</v>
      </c>
      <c r="M105" s="1">
        <f>B105</f>
        <v>12</v>
      </c>
      <c r="N105" s="44">
        <f t="shared" si="33"/>
        <v>11</v>
      </c>
      <c r="O105" s="1">
        <f t="shared" si="33"/>
        <v>10</v>
      </c>
    </row>
    <row r="106" spans="1:15" ht="15.75" thickBot="1">
      <c r="A106" s="7">
        <f>VLOOKUP(C106,'2018 Draft by Round'!$C$2:$G$161,5,FALSE)</f>
        <v>130</v>
      </c>
      <c r="B106" s="7">
        <f>VLOOKUP(C106,'2018 Draft by Round'!$C$2:$H$161,6,FALSE)</f>
        <v>13</v>
      </c>
      <c r="C106" s="4" t="s">
        <v>507</v>
      </c>
      <c r="D106" s="4" t="s">
        <v>10</v>
      </c>
      <c r="E106" s="4" t="s">
        <v>23</v>
      </c>
      <c r="F106" s="17" t="s">
        <v>471</v>
      </c>
      <c r="G106" s="22"/>
      <c r="H106" s="20" t="s">
        <v>400</v>
      </c>
      <c r="I106" s="15" t="s">
        <v>401</v>
      </c>
      <c r="J106" s="15" t="s">
        <v>402</v>
      </c>
      <c r="L106" s="2" t="s">
        <v>387</v>
      </c>
      <c r="M106" s="1">
        <f>B106</f>
        <v>13</v>
      </c>
      <c r="N106" s="44">
        <f t="shared" si="33"/>
        <v>12</v>
      </c>
      <c r="O106" s="1">
        <f t="shared" si="33"/>
        <v>11</v>
      </c>
    </row>
    <row r="107" spans="1:15" ht="15.75" thickBot="1">
      <c r="A107" s="7">
        <f>VLOOKUP(C107,'2018 Draft by Round'!$C$2:$G$161,5,FALSE)</f>
        <v>150</v>
      </c>
      <c r="B107" s="7">
        <f>VLOOKUP(C107,'2018 Draft by Round'!$C$2:$H$161,6,FALSE)</f>
        <v>15</v>
      </c>
      <c r="C107" s="4" t="s">
        <v>42</v>
      </c>
      <c r="D107" s="4" t="s">
        <v>10</v>
      </c>
      <c r="E107" s="4" t="s">
        <v>8</v>
      </c>
      <c r="F107" s="17" t="s">
        <v>471</v>
      </c>
      <c r="G107" s="22"/>
      <c r="H107" s="20" t="s">
        <v>400</v>
      </c>
      <c r="I107" s="15" t="s">
        <v>401</v>
      </c>
      <c r="J107" s="15" t="s">
        <v>402</v>
      </c>
      <c r="L107" s="2" t="s">
        <v>387</v>
      </c>
      <c r="M107" s="1" t="s">
        <v>390</v>
      </c>
      <c r="N107" s="44">
        <v>9</v>
      </c>
      <c r="O107" s="1">
        <v>8</v>
      </c>
    </row>
    <row r="108" spans="1:15" ht="15.75" thickBot="1">
      <c r="A108" s="7" t="e">
        <f>VLOOKUP(C108,'2018 Draft by Round'!$C$2:$G$161,5,FALSE)</f>
        <v>#N/A</v>
      </c>
      <c r="B108" s="7" t="e">
        <f>VLOOKUP(C108,'2018 Draft by Round'!$C$2:$H$161,6,FALSE)</f>
        <v>#N/A</v>
      </c>
      <c r="C108" s="4" t="s">
        <v>555</v>
      </c>
      <c r="D108" s="4" t="s">
        <v>2</v>
      </c>
      <c r="E108" s="4" t="s">
        <v>120</v>
      </c>
      <c r="F108" s="17" t="s">
        <v>471</v>
      </c>
      <c r="G108" s="22"/>
      <c r="H108" s="20" t="s">
        <v>400</v>
      </c>
      <c r="I108" s="15" t="s">
        <v>401</v>
      </c>
      <c r="J108" s="15" t="s">
        <v>402</v>
      </c>
      <c r="L108" s="2" t="s">
        <v>387</v>
      </c>
      <c r="M108" s="2" t="s">
        <v>387</v>
      </c>
      <c r="N108" s="44">
        <v>9</v>
      </c>
      <c r="O108" s="1">
        <f t="shared" ref="O108" si="34">N108-1</f>
        <v>8</v>
      </c>
    </row>
    <row r="109" spans="1:15" ht="15.75" thickBot="1">
      <c r="A109" s="7">
        <f>VLOOKUP(C109,'2018 Draft by Round'!$C$2:$G$161,5,FALSE)</f>
        <v>151</v>
      </c>
      <c r="B109" s="7">
        <f>VLOOKUP(C109,'2018 Draft by Round'!$C$2:$H$161,6,FALSE)</f>
        <v>16</v>
      </c>
      <c r="C109" s="4" t="s">
        <v>441</v>
      </c>
      <c r="D109" s="4" t="s">
        <v>10</v>
      </c>
      <c r="E109" s="4" t="s">
        <v>135</v>
      </c>
      <c r="F109" s="17" t="s">
        <v>471</v>
      </c>
      <c r="G109" s="22"/>
      <c r="H109" s="20" t="s">
        <v>400</v>
      </c>
      <c r="I109" s="15" t="s">
        <v>401</v>
      </c>
      <c r="J109" s="15" t="s">
        <v>402</v>
      </c>
      <c r="L109" s="2" t="s">
        <v>387</v>
      </c>
      <c r="M109" s="1">
        <f>B109</f>
        <v>16</v>
      </c>
      <c r="N109" s="44">
        <f>M109-1</f>
        <v>15</v>
      </c>
      <c r="O109" s="1">
        <f>N109-1</f>
        <v>14</v>
      </c>
    </row>
    <row r="110" spans="1:15" ht="15.75" thickBot="1">
      <c r="A110" s="14"/>
      <c r="B110" s="14"/>
      <c r="C110" s="14"/>
      <c r="D110" s="14"/>
      <c r="E110" s="14"/>
      <c r="F110" s="18"/>
      <c r="G110" s="18"/>
      <c r="H110" s="18"/>
      <c r="I110" s="18"/>
      <c r="J110" s="18"/>
      <c r="K110" s="18"/>
      <c r="L110" s="18"/>
      <c r="M110" s="18"/>
      <c r="N110" s="18"/>
      <c r="O110" s="18"/>
    </row>
    <row r="111" spans="1:15" ht="15.75" thickBot="1">
      <c r="A111" s="7">
        <f>VLOOKUP(C111,'2018 Draft by Round'!$C$2:$G$161,5,FALSE)</f>
        <v>126</v>
      </c>
      <c r="B111" s="7">
        <f>VLOOKUP(C111,'2018 Draft by Round'!$C$2:$H$161,6,FALSE)</f>
        <v>13</v>
      </c>
      <c r="C111" s="4" t="s">
        <v>24</v>
      </c>
      <c r="D111" s="8" t="s">
        <v>5</v>
      </c>
      <c r="E111" s="4" t="s">
        <v>25</v>
      </c>
      <c r="F111" s="17" t="s">
        <v>58</v>
      </c>
      <c r="G111" s="22"/>
      <c r="H111" s="20" t="s">
        <v>400</v>
      </c>
      <c r="I111" s="15" t="s">
        <v>401</v>
      </c>
      <c r="J111" s="15" t="s">
        <v>402</v>
      </c>
      <c r="L111" s="2" t="s">
        <v>387</v>
      </c>
      <c r="M111" s="1">
        <f>B111</f>
        <v>13</v>
      </c>
      <c r="N111" s="44">
        <f>M111-1</f>
        <v>12</v>
      </c>
      <c r="O111" s="1">
        <f>N111-1</f>
        <v>11</v>
      </c>
    </row>
    <row r="112" spans="1:15" ht="15.75" thickBot="1">
      <c r="A112" s="7">
        <f>VLOOKUP(C112,'2018 Draft by Round'!$C$2:$G$161,5,FALSE)</f>
        <v>15</v>
      </c>
      <c r="B112" s="7">
        <f>VLOOKUP(C112,'2018 Draft by Round'!$C$2:$H$161,6,FALSE)</f>
        <v>2</v>
      </c>
      <c r="C112" s="4" t="s">
        <v>83</v>
      </c>
      <c r="D112" s="4" t="s">
        <v>10</v>
      </c>
      <c r="E112" s="4" t="s">
        <v>84</v>
      </c>
      <c r="F112" s="17" t="s">
        <v>58</v>
      </c>
      <c r="G112" s="22"/>
      <c r="H112" s="20" t="s">
        <v>400</v>
      </c>
      <c r="I112" s="15" t="s">
        <v>401</v>
      </c>
      <c r="J112" s="15" t="s">
        <v>402</v>
      </c>
      <c r="L112" s="2" t="s">
        <v>387</v>
      </c>
      <c r="M112" s="1">
        <f t="shared" ref="M112:M127" si="35">B112</f>
        <v>2</v>
      </c>
      <c r="N112" s="44">
        <f t="shared" ref="N112:O127" si="36">M112-1</f>
        <v>1</v>
      </c>
      <c r="O112" s="2" t="s">
        <v>387</v>
      </c>
    </row>
    <row r="113" spans="1:15" ht="15.75" thickBot="1">
      <c r="A113" s="7">
        <f>VLOOKUP(C113,'2018 Draft by Round'!$C$2:$G$161,5,FALSE)</f>
        <v>3</v>
      </c>
      <c r="B113" s="7">
        <f>VLOOKUP(C113,'2018 Draft by Round'!$C$2:$H$161,6,FALSE)</f>
        <v>1</v>
      </c>
      <c r="C113" s="4" t="s">
        <v>468</v>
      </c>
      <c r="D113" s="4" t="s">
        <v>10</v>
      </c>
      <c r="E113" s="4" t="s">
        <v>35</v>
      </c>
      <c r="F113" s="17" t="s">
        <v>58</v>
      </c>
      <c r="G113" s="22"/>
      <c r="H113" s="20" t="s">
        <v>400</v>
      </c>
      <c r="I113" s="15" t="s">
        <v>401</v>
      </c>
      <c r="J113" s="15" t="s">
        <v>402</v>
      </c>
      <c r="L113" s="2" t="s">
        <v>387</v>
      </c>
      <c r="M113" s="1">
        <f t="shared" si="35"/>
        <v>1</v>
      </c>
      <c r="N113" s="12" t="s">
        <v>387</v>
      </c>
      <c r="O113" s="2" t="s">
        <v>387</v>
      </c>
    </row>
    <row r="114" spans="1:15" ht="15.75" thickBot="1">
      <c r="A114" s="7">
        <f>VLOOKUP(C114,'2018 Draft by Round'!$C$2:$G$161,5,FALSE)</f>
        <v>6</v>
      </c>
      <c r="B114" s="7">
        <f>VLOOKUP(C114,'2018 Draft by Round'!$C$2:$H$161,6,FALSE)</f>
        <v>1</v>
      </c>
      <c r="C114" s="4" t="s">
        <v>59</v>
      </c>
      <c r="D114" s="4" t="s">
        <v>2</v>
      </c>
      <c r="E114" s="4" t="s">
        <v>60</v>
      </c>
      <c r="F114" s="17" t="s">
        <v>58</v>
      </c>
      <c r="G114" s="22"/>
      <c r="H114" s="20" t="s">
        <v>400</v>
      </c>
      <c r="I114" s="15" t="s">
        <v>401</v>
      </c>
      <c r="J114" s="15" t="s">
        <v>402</v>
      </c>
      <c r="L114" s="2" t="s">
        <v>387</v>
      </c>
      <c r="M114" s="1">
        <f t="shared" si="35"/>
        <v>1</v>
      </c>
      <c r="N114" s="12" t="s">
        <v>387</v>
      </c>
      <c r="O114" s="2" t="s">
        <v>387</v>
      </c>
    </row>
    <row r="115" spans="1:15" ht="15.75" thickBot="1">
      <c r="A115" s="7">
        <f>VLOOKUP(C115,'2018 Draft by Round'!$C$2:$G$161,5,FALSE)</f>
        <v>26</v>
      </c>
      <c r="B115" s="7">
        <f>VLOOKUP(C115,'2018 Draft by Round'!$C$2:$H$161,6,FALSE)</f>
        <v>3</v>
      </c>
      <c r="C115" s="4" t="s">
        <v>150</v>
      </c>
      <c r="D115" s="4" t="s">
        <v>2</v>
      </c>
      <c r="E115" s="4" t="s">
        <v>15</v>
      </c>
      <c r="F115" s="17" t="s">
        <v>58</v>
      </c>
      <c r="G115" s="22"/>
      <c r="H115" s="20" t="s">
        <v>400</v>
      </c>
      <c r="I115" s="15" t="s">
        <v>401</v>
      </c>
      <c r="J115" s="15" t="s">
        <v>402</v>
      </c>
      <c r="L115" s="2" t="s">
        <v>387</v>
      </c>
      <c r="M115" s="1">
        <f t="shared" si="35"/>
        <v>3</v>
      </c>
      <c r="N115" s="44">
        <f t="shared" si="36"/>
        <v>2</v>
      </c>
      <c r="O115" s="1">
        <f t="shared" si="36"/>
        <v>1</v>
      </c>
    </row>
    <row r="116" spans="1:15" ht="15.75" thickBot="1">
      <c r="A116" s="7" t="e">
        <f>VLOOKUP(C116,'2018 Draft by Round'!$C$2:$G$161,5,FALSE)</f>
        <v>#N/A</v>
      </c>
      <c r="B116" s="7" t="e">
        <f>VLOOKUP(C116,'2018 Draft by Round'!$C$2:$H$161,6,FALSE)</f>
        <v>#N/A</v>
      </c>
      <c r="C116" s="4" t="s">
        <v>556</v>
      </c>
      <c r="D116" s="4" t="s">
        <v>27</v>
      </c>
      <c r="E116" s="4" t="s">
        <v>71</v>
      </c>
      <c r="F116" s="17" t="s">
        <v>58</v>
      </c>
      <c r="G116" s="22"/>
      <c r="H116" s="20" t="s">
        <v>400</v>
      </c>
      <c r="I116" s="15" t="s">
        <v>401</v>
      </c>
      <c r="J116" s="15" t="s">
        <v>402</v>
      </c>
      <c r="L116" s="2" t="s">
        <v>387</v>
      </c>
      <c r="M116" s="2" t="s">
        <v>387</v>
      </c>
      <c r="N116" s="44">
        <v>9</v>
      </c>
      <c r="O116" s="1">
        <f t="shared" si="36"/>
        <v>8</v>
      </c>
    </row>
    <row r="117" spans="1:15" ht="15.75" thickBot="1">
      <c r="A117" s="7">
        <f>VLOOKUP(C117,'2018 Draft by Round'!$C$2:$G$161,5,FALSE)</f>
        <v>46</v>
      </c>
      <c r="B117" s="7">
        <f>VLOOKUP(C117,'2018 Draft by Round'!$C$2:$H$161,6,FALSE)</f>
        <v>5</v>
      </c>
      <c r="C117" s="4" t="s">
        <v>433</v>
      </c>
      <c r="D117" s="4" t="s">
        <v>10</v>
      </c>
      <c r="E117" s="4" t="s">
        <v>73</v>
      </c>
      <c r="F117" s="17" t="s">
        <v>58</v>
      </c>
      <c r="G117" s="22"/>
      <c r="H117" s="20" t="s">
        <v>400</v>
      </c>
      <c r="I117" s="15" t="s">
        <v>401</v>
      </c>
      <c r="J117" s="15" t="s">
        <v>402</v>
      </c>
      <c r="L117" s="2" t="s">
        <v>387</v>
      </c>
      <c r="M117" s="1">
        <f t="shared" si="35"/>
        <v>5</v>
      </c>
      <c r="N117" s="44">
        <f t="shared" si="36"/>
        <v>4</v>
      </c>
      <c r="O117" s="1">
        <f t="shared" si="36"/>
        <v>3</v>
      </c>
    </row>
    <row r="118" spans="1:15" ht="15.75" thickBot="1">
      <c r="A118" s="7">
        <f>VLOOKUP(C118,'2018 Draft by Round'!$C$2:$G$161,5,FALSE)</f>
        <v>13</v>
      </c>
      <c r="B118" s="7">
        <f>VLOOKUP(C118,'2018 Draft by Round'!$C$2:$H$161,6,FALSE)</f>
        <v>2</v>
      </c>
      <c r="C118" s="4" t="s">
        <v>115</v>
      </c>
      <c r="D118" s="4" t="s">
        <v>2</v>
      </c>
      <c r="E118" s="4" t="s">
        <v>43</v>
      </c>
      <c r="F118" s="17" t="s">
        <v>58</v>
      </c>
      <c r="G118" s="22"/>
      <c r="H118" s="20" t="s">
        <v>400</v>
      </c>
      <c r="I118" s="15" t="s">
        <v>401</v>
      </c>
      <c r="J118" s="15" t="s">
        <v>402</v>
      </c>
      <c r="L118" s="2" t="s">
        <v>387</v>
      </c>
      <c r="M118" s="1">
        <f t="shared" si="35"/>
        <v>2</v>
      </c>
      <c r="N118" s="44">
        <f t="shared" si="36"/>
        <v>1</v>
      </c>
      <c r="O118" s="1">
        <f t="shared" si="36"/>
        <v>0</v>
      </c>
    </row>
    <row r="119" spans="1:15" ht="15.75" thickBot="1">
      <c r="A119" s="7" t="e">
        <f>VLOOKUP(C119,'2018 Draft by Round'!$C$2:$G$161,5,FALSE)</f>
        <v>#N/A</v>
      </c>
      <c r="B119" s="7" t="e">
        <f>VLOOKUP(C119,'2018 Draft by Round'!$C$2:$H$161,6,FALSE)</f>
        <v>#N/A</v>
      </c>
      <c r="C119" s="4" t="s">
        <v>557</v>
      </c>
      <c r="D119" s="4" t="s">
        <v>534</v>
      </c>
      <c r="E119" s="4" t="s">
        <v>30</v>
      </c>
      <c r="F119" s="17" t="s">
        <v>58</v>
      </c>
      <c r="G119" s="22"/>
      <c r="H119" s="20" t="s">
        <v>400</v>
      </c>
      <c r="I119" s="15" t="s">
        <v>401</v>
      </c>
      <c r="J119" s="15" t="s">
        <v>402</v>
      </c>
      <c r="L119" s="2" t="s">
        <v>387</v>
      </c>
      <c r="M119" s="2" t="s">
        <v>387</v>
      </c>
      <c r="N119" s="44">
        <v>9</v>
      </c>
      <c r="O119" s="1">
        <f t="shared" si="36"/>
        <v>8</v>
      </c>
    </row>
    <row r="120" spans="1:15" ht="15.75" thickBot="1">
      <c r="A120" s="7">
        <f>VLOOKUP(C120,'2018 Draft by Round'!$C$2:$G$161,5,FALSE)</f>
        <v>66</v>
      </c>
      <c r="B120" s="7">
        <f>VLOOKUP(C120,'2018 Draft by Round'!$C$2:$H$161,6,FALSE)</f>
        <v>7</v>
      </c>
      <c r="C120" s="4" t="s">
        <v>482</v>
      </c>
      <c r="D120" s="4" t="s">
        <v>10</v>
      </c>
      <c r="E120" s="4" t="s">
        <v>396</v>
      </c>
      <c r="F120" s="17" t="s">
        <v>58</v>
      </c>
      <c r="G120" s="22"/>
      <c r="H120" s="20" t="s">
        <v>400</v>
      </c>
      <c r="I120" s="15" t="s">
        <v>401</v>
      </c>
      <c r="J120" s="15" t="s">
        <v>402</v>
      </c>
      <c r="L120" s="2" t="s">
        <v>387</v>
      </c>
      <c r="M120" s="1">
        <f t="shared" si="35"/>
        <v>7</v>
      </c>
      <c r="N120" s="44">
        <f t="shared" si="36"/>
        <v>6</v>
      </c>
      <c r="O120" s="1">
        <f t="shared" si="36"/>
        <v>5</v>
      </c>
    </row>
    <row r="121" spans="1:15" ht="15.75" thickBot="1">
      <c r="A121" s="7">
        <f>VLOOKUP(C121,'2018 Draft by Round'!$C$2:$G$161,5,FALSE)</f>
        <v>115</v>
      </c>
      <c r="B121" s="7">
        <f>VLOOKUP(C121,'2018 Draft by Round'!$C$2:$H$161,6,FALSE)</f>
        <v>12</v>
      </c>
      <c r="C121" s="4" t="s">
        <v>127</v>
      </c>
      <c r="D121" s="4" t="s">
        <v>10</v>
      </c>
      <c r="E121" s="4" t="s">
        <v>84</v>
      </c>
      <c r="F121" s="17" t="s">
        <v>58</v>
      </c>
      <c r="G121" s="22"/>
      <c r="H121" s="20" t="s">
        <v>400</v>
      </c>
      <c r="I121" s="15" t="s">
        <v>401</v>
      </c>
      <c r="J121" s="15" t="s">
        <v>402</v>
      </c>
      <c r="L121" s="2" t="s">
        <v>387</v>
      </c>
      <c r="M121" s="1">
        <f t="shared" ref="M121" si="37">B121</f>
        <v>12</v>
      </c>
      <c r="N121" s="44">
        <f t="shared" ref="N121" si="38">M121-1</f>
        <v>11</v>
      </c>
      <c r="O121" s="1">
        <f t="shared" ref="O121" si="39">N121-1</f>
        <v>10</v>
      </c>
    </row>
    <row r="122" spans="1:15" ht="15.75" thickBot="1">
      <c r="A122" s="7" t="e">
        <f>VLOOKUP(C122,'2018 Draft by Round'!$C$2:$G$161,5,FALSE)</f>
        <v>#N/A</v>
      </c>
      <c r="B122" s="7" t="e">
        <f>VLOOKUP(C122,'2018 Draft by Round'!$C$2:$H$161,6,FALSE)</f>
        <v>#N/A</v>
      </c>
      <c r="C122" s="4" t="s">
        <v>95</v>
      </c>
      <c r="D122" s="4" t="s">
        <v>10</v>
      </c>
      <c r="E122" s="4" t="s">
        <v>17</v>
      </c>
      <c r="F122" s="17" t="s">
        <v>58</v>
      </c>
      <c r="G122" s="22"/>
      <c r="H122" s="20" t="s">
        <v>400</v>
      </c>
      <c r="I122" s="15" t="s">
        <v>401</v>
      </c>
      <c r="J122" s="15" t="s">
        <v>402</v>
      </c>
      <c r="L122" s="2" t="s">
        <v>387</v>
      </c>
      <c r="M122" s="2" t="s">
        <v>387</v>
      </c>
      <c r="N122" s="44">
        <v>9</v>
      </c>
      <c r="O122" s="1">
        <f t="shared" si="36"/>
        <v>8</v>
      </c>
    </row>
    <row r="123" spans="1:15" ht="15.75" thickBot="1">
      <c r="A123" s="7">
        <f>VLOOKUP(C123,'2018 Draft by Round'!$C$2:$G$161,5,FALSE)</f>
        <v>52</v>
      </c>
      <c r="B123" s="7">
        <f>VLOOKUP(C123,'2018 Draft by Round'!$C$2:$H$161,6,FALSE)</f>
        <v>6</v>
      </c>
      <c r="C123" s="4" t="s">
        <v>384</v>
      </c>
      <c r="D123" s="4" t="s">
        <v>2</v>
      </c>
      <c r="E123" s="4" t="s">
        <v>23</v>
      </c>
      <c r="F123" s="17" t="s">
        <v>58</v>
      </c>
      <c r="G123" s="22"/>
      <c r="H123" s="20" t="s">
        <v>400</v>
      </c>
      <c r="I123" s="15" t="s">
        <v>401</v>
      </c>
      <c r="J123" s="15" t="s">
        <v>402</v>
      </c>
      <c r="L123" s="2" t="s">
        <v>387</v>
      </c>
      <c r="M123" s="1">
        <f t="shared" si="35"/>
        <v>6</v>
      </c>
      <c r="N123" s="44">
        <f t="shared" si="36"/>
        <v>5</v>
      </c>
      <c r="O123" s="1">
        <f t="shared" si="36"/>
        <v>4</v>
      </c>
    </row>
    <row r="124" spans="1:15" ht="15.75" thickBot="1">
      <c r="A124" s="7" t="s">
        <v>387</v>
      </c>
      <c r="B124" s="7" t="s">
        <v>387</v>
      </c>
      <c r="C124" s="4" t="s">
        <v>488</v>
      </c>
      <c r="D124" s="4" t="s">
        <v>10</v>
      </c>
      <c r="E124" s="4" t="s">
        <v>73</v>
      </c>
      <c r="F124" s="17" t="s">
        <v>58</v>
      </c>
      <c r="G124" s="22"/>
      <c r="H124" s="20" t="s">
        <v>400</v>
      </c>
      <c r="I124" s="15" t="s">
        <v>401</v>
      </c>
      <c r="J124" s="15" t="s">
        <v>402</v>
      </c>
      <c r="L124" s="2" t="s">
        <v>387</v>
      </c>
      <c r="M124" s="1" t="s">
        <v>390</v>
      </c>
      <c r="N124" s="44">
        <v>9</v>
      </c>
      <c r="O124" s="1">
        <v>8</v>
      </c>
    </row>
    <row r="125" spans="1:15" ht="15.75" thickBot="1">
      <c r="A125" s="7" t="e">
        <f>VLOOKUP(C125,'2018 Draft by Round'!$C$2:$G$161,5,FALSE)</f>
        <v>#N/A</v>
      </c>
      <c r="B125" s="7" t="e">
        <f>VLOOKUP(C125,'2018 Draft by Round'!$C$2:$H$161,6,FALSE)</f>
        <v>#N/A</v>
      </c>
      <c r="C125" s="4" t="s">
        <v>558</v>
      </c>
      <c r="D125" s="4" t="s">
        <v>10</v>
      </c>
      <c r="E125" s="4" t="s">
        <v>19</v>
      </c>
      <c r="F125" s="17" t="s">
        <v>58</v>
      </c>
      <c r="G125" s="22"/>
      <c r="H125" s="20" t="s">
        <v>400</v>
      </c>
      <c r="I125" s="15" t="s">
        <v>401</v>
      </c>
      <c r="J125" s="15" t="s">
        <v>402</v>
      </c>
      <c r="L125" s="2" t="s">
        <v>387</v>
      </c>
      <c r="M125" s="2" t="s">
        <v>387</v>
      </c>
      <c r="N125" s="44">
        <v>9</v>
      </c>
      <c r="O125" s="1">
        <f t="shared" si="36"/>
        <v>8</v>
      </c>
    </row>
    <row r="126" spans="1:15" ht="15.75" thickBot="1">
      <c r="A126" s="7" t="s">
        <v>387</v>
      </c>
      <c r="B126" s="7" t="s">
        <v>387</v>
      </c>
      <c r="C126" s="4" t="s">
        <v>501</v>
      </c>
      <c r="D126" s="4" t="s">
        <v>2</v>
      </c>
      <c r="E126" s="4" t="s">
        <v>19</v>
      </c>
      <c r="F126" s="17" t="s">
        <v>58</v>
      </c>
      <c r="G126" s="22"/>
      <c r="H126" s="20" t="s">
        <v>400</v>
      </c>
      <c r="I126" s="15" t="s">
        <v>401</v>
      </c>
      <c r="J126" s="15" t="s">
        <v>402</v>
      </c>
      <c r="L126" s="2" t="s">
        <v>387</v>
      </c>
      <c r="M126" s="1" t="s">
        <v>390</v>
      </c>
      <c r="N126" s="44">
        <v>9</v>
      </c>
      <c r="O126" s="1">
        <v>8</v>
      </c>
    </row>
    <row r="127" spans="1:15" ht="15.75" thickBot="1">
      <c r="A127" s="7">
        <f>VLOOKUP(C127,'2018 Draft by Round'!$C$2:$G$161,5,FALSE)</f>
        <v>88</v>
      </c>
      <c r="B127" s="7">
        <f>VLOOKUP(C127,'2018 Draft by Round'!$C$2:$H$161,6,FALSE)</f>
        <v>9</v>
      </c>
      <c r="C127" s="4" t="s">
        <v>425</v>
      </c>
      <c r="D127" s="4" t="s">
        <v>2</v>
      </c>
      <c r="E127" s="4" t="s">
        <v>120</v>
      </c>
      <c r="F127" s="17" t="s">
        <v>58</v>
      </c>
      <c r="G127" s="22"/>
      <c r="H127" s="20" t="s">
        <v>400</v>
      </c>
      <c r="I127" s="15" t="s">
        <v>401</v>
      </c>
      <c r="J127" s="15" t="s">
        <v>402</v>
      </c>
      <c r="L127" s="2" t="s">
        <v>387</v>
      </c>
      <c r="M127" s="1">
        <f t="shared" si="35"/>
        <v>9</v>
      </c>
      <c r="N127" s="44">
        <f t="shared" si="36"/>
        <v>8</v>
      </c>
      <c r="O127" s="1">
        <f t="shared" si="36"/>
        <v>7</v>
      </c>
    </row>
    <row r="128" spans="1:15" ht="15.75" thickBot="1">
      <c r="A128" s="14"/>
      <c r="B128" s="14"/>
      <c r="C128" s="14"/>
      <c r="D128" s="14"/>
      <c r="E128" s="14"/>
      <c r="F128" s="18"/>
      <c r="G128" s="18"/>
      <c r="H128" s="18"/>
      <c r="I128" s="18"/>
      <c r="J128" s="18"/>
      <c r="K128" s="18"/>
      <c r="L128" s="18"/>
      <c r="M128" s="18"/>
      <c r="N128" s="18"/>
      <c r="O128" s="18"/>
    </row>
    <row r="129" spans="1:15" ht="15.75" thickBot="1">
      <c r="A129" s="7">
        <f>VLOOKUP(C129,'2018 Draft by Round'!$C$2:$G$161,5,FALSE)</f>
        <v>160</v>
      </c>
      <c r="B129" s="7">
        <f>VLOOKUP(C129,'2018 Draft by Round'!$C$2:$H$161,6,FALSE)</f>
        <v>16</v>
      </c>
      <c r="C129" s="4" t="s">
        <v>559</v>
      </c>
      <c r="D129" s="8" t="s">
        <v>5</v>
      </c>
      <c r="E129" s="4" t="s">
        <v>13</v>
      </c>
      <c r="F129" s="17" t="s">
        <v>97</v>
      </c>
      <c r="G129" s="22"/>
      <c r="H129" s="20" t="s">
        <v>400</v>
      </c>
      <c r="I129" s="15" t="s">
        <v>401</v>
      </c>
      <c r="J129" s="15" t="s">
        <v>402</v>
      </c>
      <c r="L129" s="25" t="s">
        <v>387</v>
      </c>
      <c r="M129" s="1">
        <f>B129</f>
        <v>16</v>
      </c>
      <c r="N129" s="44">
        <f>M129-1</f>
        <v>15</v>
      </c>
      <c r="O129" s="1">
        <f>N129-1</f>
        <v>14</v>
      </c>
    </row>
    <row r="130" spans="1:15" ht="15.75" thickBot="1">
      <c r="A130" s="7">
        <f>VLOOKUP(C130,'2018 Draft by Round'!$C$2:$G$161,5,FALSE)</f>
        <v>81</v>
      </c>
      <c r="B130" s="7">
        <f>VLOOKUP(C130,'2018 Draft by Round'!$C$2:$H$161,6,FALSE)</f>
        <v>9</v>
      </c>
      <c r="C130" s="4" t="s">
        <v>454</v>
      </c>
      <c r="D130" s="4" t="s">
        <v>10</v>
      </c>
      <c r="E130" s="4" t="s">
        <v>82</v>
      </c>
      <c r="F130" s="17" t="s">
        <v>97</v>
      </c>
      <c r="G130" s="22"/>
      <c r="H130" s="20" t="s">
        <v>401</v>
      </c>
      <c r="I130" s="15" t="s">
        <v>402</v>
      </c>
      <c r="J130" s="15" t="s">
        <v>387</v>
      </c>
      <c r="L130" s="25" t="s">
        <v>577</v>
      </c>
      <c r="M130" s="2">
        <v>9</v>
      </c>
      <c r="N130" s="12">
        <v>8</v>
      </c>
      <c r="O130" s="2" t="s">
        <v>387</v>
      </c>
    </row>
    <row r="131" spans="1:15" ht="15.75" thickBot="1">
      <c r="A131" s="7" t="e">
        <f>VLOOKUP(C131,'2018 Draft by Round'!$C$2:$G$161,5,FALSE)</f>
        <v>#N/A</v>
      </c>
      <c r="B131" s="7" t="e">
        <f>VLOOKUP(C131,'2018 Draft by Round'!$C$2:$H$161,6,FALSE)</f>
        <v>#N/A</v>
      </c>
      <c r="C131" s="4" t="s">
        <v>560</v>
      </c>
      <c r="D131" s="4" t="s">
        <v>10</v>
      </c>
      <c r="E131" s="4" t="s">
        <v>11</v>
      </c>
      <c r="F131" s="17" t="s">
        <v>97</v>
      </c>
      <c r="G131" s="22"/>
      <c r="H131" s="20" t="s">
        <v>400</v>
      </c>
      <c r="I131" s="15" t="s">
        <v>401</v>
      </c>
      <c r="J131" s="15" t="s">
        <v>402</v>
      </c>
      <c r="L131" s="2" t="s">
        <v>387</v>
      </c>
      <c r="M131" s="2" t="s">
        <v>387</v>
      </c>
      <c r="N131" s="44">
        <v>9</v>
      </c>
      <c r="O131" s="1">
        <f t="shared" ref="O131" si="40">N131-1</f>
        <v>8</v>
      </c>
    </row>
    <row r="132" spans="1:15" ht="15.75" thickBot="1">
      <c r="A132" s="7">
        <f>VLOOKUP(C132,'2018 Draft by Round'!$C$2:$G$161,5,FALSE)</f>
        <v>20</v>
      </c>
      <c r="B132" s="7">
        <f>VLOOKUP(C132,'2018 Draft by Round'!$C$2:$H$161,6,FALSE)</f>
        <v>2</v>
      </c>
      <c r="C132" s="4" t="s">
        <v>184</v>
      </c>
      <c r="D132" s="4" t="s">
        <v>2</v>
      </c>
      <c r="E132" s="4" t="s">
        <v>71</v>
      </c>
      <c r="F132" s="17" t="s">
        <v>97</v>
      </c>
      <c r="G132" s="22"/>
      <c r="H132" s="20" t="s">
        <v>400</v>
      </c>
      <c r="I132" s="15" t="s">
        <v>401</v>
      </c>
      <c r="J132" s="15" t="s">
        <v>402</v>
      </c>
      <c r="L132" s="2" t="s">
        <v>387</v>
      </c>
      <c r="M132" s="1">
        <f>B132</f>
        <v>2</v>
      </c>
      <c r="N132" s="44">
        <f>M132-1</f>
        <v>1</v>
      </c>
      <c r="O132" s="2" t="s">
        <v>387</v>
      </c>
    </row>
    <row r="133" spans="1:15" ht="15.75" thickBot="1">
      <c r="A133" s="7">
        <f>VLOOKUP(C133,'2018 Draft by Round'!$C$2:$G$161,5,FALSE)</f>
        <v>21</v>
      </c>
      <c r="B133" s="7">
        <f>VLOOKUP(C133,'2018 Draft by Round'!$C$2:$H$161,6,FALSE)</f>
        <v>3</v>
      </c>
      <c r="C133" s="4" t="s">
        <v>64</v>
      </c>
      <c r="D133" s="4" t="s">
        <v>2</v>
      </c>
      <c r="E133" s="4" t="s">
        <v>25</v>
      </c>
      <c r="F133" s="17" t="s">
        <v>97</v>
      </c>
      <c r="G133" s="22"/>
      <c r="H133" s="20" t="s">
        <v>400</v>
      </c>
      <c r="I133" s="15" t="s">
        <v>401</v>
      </c>
      <c r="J133" s="15" t="s">
        <v>402</v>
      </c>
      <c r="L133" s="2" t="s">
        <v>387</v>
      </c>
      <c r="M133" s="1">
        <f>B133</f>
        <v>3</v>
      </c>
      <c r="N133" s="44">
        <f>M133-1</f>
        <v>2</v>
      </c>
      <c r="O133" s="1">
        <f>N133-1</f>
        <v>1</v>
      </c>
    </row>
    <row r="134" spans="1:15" ht="15.75" thickBot="1">
      <c r="A134" s="7">
        <f>VLOOKUP(C134,'2018 Draft by Round'!$C$2:$G$161,5,FALSE)</f>
        <v>61</v>
      </c>
      <c r="B134" s="7">
        <f>VLOOKUP(C134,'2018 Draft by Round'!$C$2:$H$161,6,FALSE)</f>
        <v>7</v>
      </c>
      <c r="C134" s="4" t="s">
        <v>105</v>
      </c>
      <c r="D134" s="4" t="s">
        <v>27</v>
      </c>
      <c r="E134" s="4" t="s">
        <v>23</v>
      </c>
      <c r="F134" s="17" t="s">
        <v>97</v>
      </c>
      <c r="G134" s="22"/>
      <c r="H134" s="20" t="s">
        <v>400</v>
      </c>
      <c r="I134" s="15" t="s">
        <v>401</v>
      </c>
      <c r="J134" s="15" t="s">
        <v>402</v>
      </c>
      <c r="L134" s="2" t="s">
        <v>387</v>
      </c>
      <c r="M134" s="1">
        <f>B134</f>
        <v>7</v>
      </c>
      <c r="N134" s="44">
        <f>M134-1</f>
        <v>6</v>
      </c>
      <c r="O134" s="2" t="s">
        <v>387</v>
      </c>
    </row>
    <row r="135" spans="1:15" ht="15.75" thickBot="1">
      <c r="A135" s="7">
        <f>VLOOKUP(C135,'2018 Draft by Round'!$C$2:$G$161,5,FALSE)</f>
        <v>121</v>
      </c>
      <c r="B135" s="7">
        <f>VLOOKUP(C135,'2018 Draft by Round'!$C$2:$H$161,6,FALSE)</f>
        <v>13</v>
      </c>
      <c r="C135" s="4" t="s">
        <v>411</v>
      </c>
      <c r="D135" s="4" t="s">
        <v>2</v>
      </c>
      <c r="E135" s="4" t="s">
        <v>73</v>
      </c>
      <c r="F135" s="17" t="s">
        <v>97</v>
      </c>
      <c r="G135" s="22"/>
      <c r="H135" s="20" t="s">
        <v>401</v>
      </c>
      <c r="I135" s="15" t="s">
        <v>402</v>
      </c>
      <c r="J135" s="15" t="s">
        <v>387</v>
      </c>
      <c r="L135" s="2" t="s">
        <v>387</v>
      </c>
      <c r="M135" s="1">
        <f>B135</f>
        <v>13</v>
      </c>
      <c r="N135" s="44">
        <f>M135-1</f>
        <v>12</v>
      </c>
      <c r="O135" s="1">
        <f>N135-1</f>
        <v>11</v>
      </c>
    </row>
    <row r="136" spans="1:15" ht="15.75" thickBot="1">
      <c r="A136" s="7" t="e">
        <f>VLOOKUP(C136,'2018 Draft by Round'!$C$2:$G$161,5,FALSE)</f>
        <v>#N/A</v>
      </c>
      <c r="B136" s="7" t="e">
        <f>VLOOKUP(C136,'2018 Draft by Round'!$C$2:$H$161,6,FALSE)</f>
        <v>#N/A</v>
      </c>
      <c r="C136" s="4" t="s">
        <v>414</v>
      </c>
      <c r="D136" s="4" t="s">
        <v>10</v>
      </c>
      <c r="E136" s="4" t="s">
        <v>73</v>
      </c>
      <c r="F136" s="17" t="s">
        <v>97</v>
      </c>
      <c r="G136" s="22"/>
      <c r="H136" s="20" t="s">
        <v>400</v>
      </c>
      <c r="I136" s="15" t="s">
        <v>401</v>
      </c>
      <c r="J136" s="15" t="s">
        <v>402</v>
      </c>
      <c r="L136" s="2" t="s">
        <v>387</v>
      </c>
      <c r="M136" s="1" t="s">
        <v>390</v>
      </c>
      <c r="N136" s="44">
        <v>9</v>
      </c>
      <c r="O136" s="1">
        <v>8</v>
      </c>
    </row>
    <row r="137" spans="1:15" ht="15.75" thickBot="1">
      <c r="A137" s="7" t="e">
        <f>VLOOKUP(C137,'2018 Draft by Round'!$C$2:$G$161,5,FALSE)</f>
        <v>#N/A</v>
      </c>
      <c r="B137" s="7" t="e">
        <f>VLOOKUP(C137,'2018 Draft by Round'!$C$2:$H$161,6,FALSE)</f>
        <v>#N/A</v>
      </c>
      <c r="C137" s="4" t="s">
        <v>561</v>
      </c>
      <c r="D137" s="4" t="s">
        <v>534</v>
      </c>
      <c r="E137" s="4" t="s">
        <v>82</v>
      </c>
      <c r="F137" s="17" t="s">
        <v>97</v>
      </c>
      <c r="G137" s="22"/>
      <c r="H137" s="20" t="s">
        <v>400</v>
      </c>
      <c r="I137" s="15" t="s">
        <v>401</v>
      </c>
      <c r="J137" s="15" t="s">
        <v>402</v>
      </c>
      <c r="L137" s="2" t="s">
        <v>387</v>
      </c>
      <c r="M137" s="1" t="s">
        <v>390</v>
      </c>
      <c r="N137" s="44">
        <v>9</v>
      </c>
      <c r="O137" s="1">
        <v>8</v>
      </c>
    </row>
    <row r="138" spans="1:15" ht="15.75" thickBot="1">
      <c r="A138" s="7">
        <f>VLOOKUP(C138,'2018 Draft by Round'!$C$2:$G$161,5,FALSE)</f>
        <v>101</v>
      </c>
      <c r="B138" s="7">
        <f>VLOOKUP(C138,'2018 Draft by Round'!$C$2:$H$161,6,FALSE)</f>
        <v>11</v>
      </c>
      <c r="C138" s="4" t="s">
        <v>442</v>
      </c>
      <c r="D138" s="4" t="s">
        <v>2</v>
      </c>
      <c r="E138" s="4" t="s">
        <v>63</v>
      </c>
      <c r="F138" s="17" t="s">
        <v>97</v>
      </c>
      <c r="G138" s="22"/>
      <c r="H138" s="20" t="s">
        <v>400</v>
      </c>
      <c r="I138" s="15" t="s">
        <v>401</v>
      </c>
      <c r="J138" s="15" t="s">
        <v>402</v>
      </c>
      <c r="L138" s="2" t="s">
        <v>387</v>
      </c>
      <c r="M138" s="1">
        <f>B138</f>
        <v>11</v>
      </c>
      <c r="N138" s="44">
        <f>M138-1</f>
        <v>10</v>
      </c>
      <c r="O138" s="1">
        <f>N138-1</f>
        <v>9</v>
      </c>
    </row>
    <row r="139" spans="1:15" ht="15.75" thickBot="1">
      <c r="A139" s="7" t="e">
        <f>VLOOKUP(C139,'2018 Draft by Round'!$C$2:$G$161,5,FALSE)</f>
        <v>#N/A</v>
      </c>
      <c r="B139" s="7" t="e">
        <f>VLOOKUP(C139,'2018 Draft by Round'!$C$2:$H$161,6,FALSE)</f>
        <v>#N/A</v>
      </c>
      <c r="C139" s="4" t="s">
        <v>562</v>
      </c>
      <c r="D139" s="4" t="s">
        <v>2</v>
      </c>
      <c r="E139" s="4" t="s">
        <v>49</v>
      </c>
      <c r="F139" s="17" t="s">
        <v>97</v>
      </c>
      <c r="G139" s="22"/>
      <c r="H139" s="20" t="s">
        <v>400</v>
      </c>
      <c r="I139" s="15" t="s">
        <v>401</v>
      </c>
      <c r="J139" s="15" t="s">
        <v>402</v>
      </c>
      <c r="L139" s="2" t="s">
        <v>387</v>
      </c>
      <c r="M139" s="2" t="s">
        <v>387</v>
      </c>
      <c r="N139" s="44">
        <v>9</v>
      </c>
      <c r="O139" s="1">
        <v>8</v>
      </c>
    </row>
    <row r="140" spans="1:15" ht="15.75" thickBot="1">
      <c r="A140" s="7" t="e">
        <f>VLOOKUP(C140,'2018 Draft by Round'!$C$2:$G$161,5,FALSE)</f>
        <v>#N/A</v>
      </c>
      <c r="B140" s="7" t="e">
        <f>VLOOKUP(C140,'2018 Draft by Round'!$C$2:$H$161,6,FALSE)</f>
        <v>#N/A</v>
      </c>
      <c r="C140" s="4" t="s">
        <v>563</v>
      </c>
      <c r="D140" s="4" t="s">
        <v>10</v>
      </c>
      <c r="E140" s="4" t="s">
        <v>135</v>
      </c>
      <c r="F140" s="17" t="s">
        <v>97</v>
      </c>
      <c r="G140" s="22"/>
      <c r="H140" s="20" t="s">
        <v>400</v>
      </c>
      <c r="I140" s="15" t="s">
        <v>401</v>
      </c>
      <c r="J140" s="15" t="s">
        <v>402</v>
      </c>
      <c r="L140" s="2" t="s">
        <v>387</v>
      </c>
      <c r="M140" s="2" t="s">
        <v>387</v>
      </c>
      <c r="N140" s="44">
        <v>9</v>
      </c>
      <c r="O140" s="1">
        <v>8</v>
      </c>
    </row>
    <row r="141" spans="1:15" ht="15.75" thickBot="1">
      <c r="A141" s="7" t="e">
        <f>VLOOKUP(C141,'2018 Draft by Round'!$C$2:$G$161,5,FALSE)</f>
        <v>#N/A</v>
      </c>
      <c r="B141" s="7" t="e">
        <f>VLOOKUP(C141,'2018 Draft by Round'!$C$2:$H$161,6,FALSE)</f>
        <v>#N/A</v>
      </c>
      <c r="C141" s="4" t="s">
        <v>564</v>
      </c>
      <c r="D141" s="4" t="s">
        <v>10</v>
      </c>
      <c r="E141" s="4" t="s">
        <v>21</v>
      </c>
      <c r="F141" s="17" t="s">
        <v>97</v>
      </c>
      <c r="G141" s="22"/>
      <c r="H141" s="20" t="s">
        <v>400</v>
      </c>
      <c r="I141" s="15" t="s">
        <v>401</v>
      </c>
      <c r="J141" s="15" t="s">
        <v>402</v>
      </c>
      <c r="L141" s="2" t="s">
        <v>390</v>
      </c>
      <c r="M141" s="2" t="s">
        <v>387</v>
      </c>
      <c r="N141" s="44">
        <v>9</v>
      </c>
      <c r="O141" s="1">
        <v>8</v>
      </c>
    </row>
    <row r="142" spans="1:15" ht="15.75" thickBot="1">
      <c r="A142" s="7" t="e">
        <f>VLOOKUP(C142,'2018 Draft by Round'!$C$2:$G$161,5,FALSE)</f>
        <v>#N/A</v>
      </c>
      <c r="B142" s="7" t="e">
        <f>VLOOKUP(C142,'2018 Draft by Round'!$C$2:$H$161,6,FALSE)</f>
        <v>#N/A</v>
      </c>
      <c r="C142" s="4" t="s">
        <v>565</v>
      </c>
      <c r="D142" s="4" t="s">
        <v>10</v>
      </c>
      <c r="E142" s="4" t="s">
        <v>120</v>
      </c>
      <c r="F142" s="17" t="s">
        <v>97</v>
      </c>
      <c r="G142" s="22"/>
      <c r="H142" s="20" t="s">
        <v>400</v>
      </c>
      <c r="I142" s="15" t="s">
        <v>401</v>
      </c>
      <c r="J142" s="15" t="s">
        <v>402</v>
      </c>
      <c r="L142" s="2" t="s">
        <v>387</v>
      </c>
      <c r="M142" s="2" t="s">
        <v>387</v>
      </c>
      <c r="N142" s="44">
        <v>9</v>
      </c>
      <c r="O142" s="1">
        <v>8</v>
      </c>
    </row>
    <row r="143" spans="1:15" ht="15.75" thickBot="1">
      <c r="A143" s="7" t="s">
        <v>387</v>
      </c>
      <c r="B143" s="7" t="s">
        <v>387</v>
      </c>
      <c r="C143" s="4" t="s">
        <v>29</v>
      </c>
      <c r="D143" s="4" t="s">
        <v>2</v>
      </c>
      <c r="E143" s="4" t="s">
        <v>30</v>
      </c>
      <c r="F143" s="17" t="s">
        <v>97</v>
      </c>
      <c r="G143" s="22"/>
      <c r="H143" s="20" t="s">
        <v>400</v>
      </c>
      <c r="I143" s="15" t="s">
        <v>401</v>
      </c>
      <c r="J143" s="15" t="s">
        <v>402</v>
      </c>
      <c r="L143" s="2" t="s">
        <v>387</v>
      </c>
      <c r="M143" s="1" t="s">
        <v>390</v>
      </c>
      <c r="N143" s="44">
        <v>9</v>
      </c>
      <c r="O143" s="1">
        <v>8</v>
      </c>
    </row>
    <row r="144" spans="1:15" ht="15.75" thickBot="1">
      <c r="A144" s="7" t="e">
        <f>VLOOKUP(C144,'2018 Draft by Round'!$C$2:$G$161,5,FALSE)</f>
        <v>#N/A</v>
      </c>
      <c r="B144" s="7" t="e">
        <f>VLOOKUP(C144,'2018 Draft by Round'!$C$2:$H$161,6,FALSE)</f>
        <v>#N/A</v>
      </c>
      <c r="C144" s="4" t="s">
        <v>121</v>
      </c>
      <c r="D144" s="4" t="s">
        <v>10</v>
      </c>
      <c r="E144" s="4" t="s">
        <v>28</v>
      </c>
      <c r="F144" s="17" t="s">
        <v>97</v>
      </c>
      <c r="G144" s="22"/>
      <c r="H144" s="20" t="s">
        <v>400</v>
      </c>
      <c r="I144" s="15" t="s">
        <v>401</v>
      </c>
      <c r="J144" s="15" t="s">
        <v>402</v>
      </c>
      <c r="L144" s="2" t="s">
        <v>387</v>
      </c>
      <c r="M144" s="2" t="s">
        <v>387</v>
      </c>
      <c r="N144" s="44">
        <v>9</v>
      </c>
      <c r="O144" s="1">
        <v>8</v>
      </c>
    </row>
    <row r="145" spans="1:15" ht="15.75" thickBot="1">
      <c r="A145" s="7">
        <f>VLOOKUP(C145,'2018 Draft by Round'!$C$2:$G$161,5,FALSE)</f>
        <v>41</v>
      </c>
      <c r="B145" s="7">
        <f>VLOOKUP(C145,'2018 Draft by Round'!$C$2:$H$161,6,FALSE)</f>
        <v>5</v>
      </c>
      <c r="C145" s="4" t="s">
        <v>187</v>
      </c>
      <c r="D145" s="4" t="s">
        <v>2</v>
      </c>
      <c r="E145" s="4" t="s">
        <v>34</v>
      </c>
      <c r="F145" s="17" t="s">
        <v>97</v>
      </c>
      <c r="G145" s="22"/>
      <c r="H145" s="20" t="s">
        <v>400</v>
      </c>
      <c r="I145" s="15" t="s">
        <v>401</v>
      </c>
      <c r="J145" s="15" t="s">
        <v>402</v>
      </c>
      <c r="L145" s="2" t="s">
        <v>387</v>
      </c>
      <c r="M145" s="1">
        <f>B145</f>
        <v>5</v>
      </c>
      <c r="N145" s="44">
        <f>M145-1</f>
        <v>4</v>
      </c>
      <c r="O145" s="1">
        <f>N145-1</f>
        <v>3</v>
      </c>
    </row>
    <row r="146" spans="1:15" ht="15.75" thickBot="1">
      <c r="A146" s="14"/>
      <c r="B146" s="14"/>
      <c r="C146" s="14"/>
      <c r="D146" s="14"/>
      <c r="E146" s="14"/>
      <c r="F146" s="18"/>
      <c r="G146" s="18"/>
      <c r="H146" s="18"/>
      <c r="I146" s="18"/>
      <c r="J146" s="18"/>
      <c r="K146" s="18"/>
      <c r="L146" s="18"/>
      <c r="M146" s="18"/>
      <c r="N146" s="18"/>
      <c r="O146" s="18"/>
    </row>
    <row r="147" spans="1:15" ht="15.75" thickBot="1">
      <c r="A147" s="7">
        <f>VLOOKUP(C147,'2018 Draft by Round'!$C$2:$G$161,5,FALSE)</f>
        <v>138</v>
      </c>
      <c r="B147" s="7">
        <f>VLOOKUP(C147,'2018 Draft by Round'!$C$2:$H$161,6,FALSE)</f>
        <v>14</v>
      </c>
      <c r="C147" s="4" t="s">
        <v>74</v>
      </c>
      <c r="D147" s="8" t="s">
        <v>5</v>
      </c>
      <c r="E147" s="4" t="s">
        <v>3</v>
      </c>
      <c r="F147" s="17" t="s">
        <v>181</v>
      </c>
      <c r="G147" s="22"/>
      <c r="H147" s="20" t="s">
        <v>400</v>
      </c>
      <c r="I147" s="15" t="s">
        <v>401</v>
      </c>
      <c r="J147" s="15" t="s">
        <v>402</v>
      </c>
      <c r="L147" s="2" t="s">
        <v>387</v>
      </c>
      <c r="M147" s="1">
        <f>B147</f>
        <v>14</v>
      </c>
      <c r="N147" s="44">
        <f>M147-1</f>
        <v>13</v>
      </c>
      <c r="O147" s="1">
        <f>N147-1</f>
        <v>12</v>
      </c>
    </row>
    <row r="148" spans="1:15" ht="15.75" thickBot="1">
      <c r="A148" s="7" t="e">
        <f>VLOOKUP(C148,'2018 Draft by Round'!$C$2:$G$161,5,FALSE)</f>
        <v>#N/A</v>
      </c>
      <c r="B148" s="7" t="e">
        <f>VLOOKUP(C148,'2018 Draft by Round'!$C$2:$H$161,6,FALSE)</f>
        <v>#N/A</v>
      </c>
      <c r="C148" s="4" t="s">
        <v>566</v>
      </c>
      <c r="D148" s="4" t="s">
        <v>10</v>
      </c>
      <c r="E148" s="4" t="s">
        <v>34</v>
      </c>
      <c r="F148" s="17" t="s">
        <v>181</v>
      </c>
      <c r="G148" s="22"/>
      <c r="H148" s="20" t="s">
        <v>400</v>
      </c>
      <c r="I148" s="15" t="s">
        <v>401</v>
      </c>
      <c r="J148" s="15" t="s">
        <v>402</v>
      </c>
      <c r="L148" s="2" t="s">
        <v>387</v>
      </c>
      <c r="M148" s="2" t="s">
        <v>387</v>
      </c>
      <c r="N148" s="44">
        <v>9</v>
      </c>
      <c r="O148" s="1">
        <f t="shared" ref="O148" si="41">N148-1</f>
        <v>8</v>
      </c>
    </row>
    <row r="149" spans="1:15" ht="15.75" thickBot="1">
      <c r="A149" s="7">
        <f>VLOOKUP(C149,'2018 Draft by Round'!$C$2:$G$161,5,FALSE)</f>
        <v>75</v>
      </c>
      <c r="B149" s="7">
        <f>VLOOKUP(C149,'2018 Draft by Round'!$C$2:$H$161,6,FALSE)</f>
        <v>8</v>
      </c>
      <c r="C149" s="4" t="s">
        <v>174</v>
      </c>
      <c r="D149" s="4" t="s">
        <v>10</v>
      </c>
      <c r="E149" s="4" t="s">
        <v>137</v>
      </c>
      <c r="F149" s="17" t="s">
        <v>181</v>
      </c>
      <c r="G149" s="22"/>
      <c r="H149" s="20" t="s">
        <v>401</v>
      </c>
      <c r="I149" s="15" t="s">
        <v>402</v>
      </c>
      <c r="J149" s="15" t="s">
        <v>387</v>
      </c>
      <c r="L149" s="2" t="s">
        <v>387</v>
      </c>
      <c r="M149" s="1">
        <f>B149</f>
        <v>8</v>
      </c>
      <c r="N149" s="44">
        <f>M149-1</f>
        <v>7</v>
      </c>
      <c r="O149" s="1">
        <f>N149-1</f>
        <v>6</v>
      </c>
    </row>
    <row r="150" spans="1:15" ht="15.75" thickBot="1">
      <c r="A150" s="7">
        <f>VLOOKUP(C150,'2018 Draft by Round'!$C$2:$G$161,5,FALSE)</f>
        <v>23</v>
      </c>
      <c r="B150" s="7">
        <f>VLOOKUP(C150,'2018 Draft by Round'!$C$2:$H$161,6,FALSE)</f>
        <v>3</v>
      </c>
      <c r="C150" s="4" t="s">
        <v>185</v>
      </c>
      <c r="D150" s="4" t="s">
        <v>2</v>
      </c>
      <c r="E150" s="4" t="s">
        <v>390</v>
      </c>
      <c r="F150" s="17" t="s">
        <v>181</v>
      </c>
      <c r="G150" s="22"/>
      <c r="H150" s="20" t="s">
        <v>401</v>
      </c>
      <c r="I150" s="15" t="s">
        <v>402</v>
      </c>
      <c r="J150" s="15" t="s">
        <v>387</v>
      </c>
      <c r="L150" s="2">
        <v>4</v>
      </c>
      <c r="M150" s="2">
        <v>3</v>
      </c>
      <c r="N150" s="12" t="s">
        <v>387</v>
      </c>
      <c r="O150" s="2" t="s">
        <v>387</v>
      </c>
    </row>
    <row r="151" spans="1:15" ht="15.75" thickBot="1">
      <c r="A151" s="7">
        <f>VLOOKUP(C151,'2018 Draft by Round'!$C$2:$G$161,5,FALSE)</f>
        <v>55</v>
      </c>
      <c r="B151" s="7">
        <f>VLOOKUP(C151,'2018 Draft by Round'!$C$2:$H$161,6,FALSE)</f>
        <v>6</v>
      </c>
      <c r="C151" s="4" t="s">
        <v>16</v>
      </c>
      <c r="D151" s="4" t="s">
        <v>2</v>
      </c>
      <c r="E151" s="4" t="s">
        <v>17</v>
      </c>
      <c r="F151" s="17" t="s">
        <v>181</v>
      </c>
      <c r="G151" s="22"/>
      <c r="H151" s="20" t="s">
        <v>401</v>
      </c>
      <c r="I151" s="15" t="s">
        <v>402</v>
      </c>
      <c r="J151" s="15" t="s">
        <v>387</v>
      </c>
      <c r="L151" s="2" t="s">
        <v>387</v>
      </c>
      <c r="M151" s="1">
        <f>B151</f>
        <v>6</v>
      </c>
      <c r="N151" s="44">
        <f>M151-1</f>
        <v>5</v>
      </c>
      <c r="O151" s="1">
        <f>N151-1</f>
        <v>4</v>
      </c>
    </row>
    <row r="152" spans="1:15" ht="15.75" thickBot="1">
      <c r="A152" s="7" t="e">
        <f>VLOOKUP(C152,'2018 Draft by Round'!$C$2:$G$161,5,FALSE)</f>
        <v>#N/A</v>
      </c>
      <c r="B152" s="7" t="e">
        <f>VLOOKUP(C152,'2018 Draft by Round'!$C$2:$H$161,6,FALSE)</f>
        <v>#N/A</v>
      </c>
      <c r="C152" s="4" t="s">
        <v>461</v>
      </c>
      <c r="D152" s="4" t="s">
        <v>27</v>
      </c>
      <c r="E152" s="4" t="s">
        <v>60</v>
      </c>
      <c r="F152" s="17" t="s">
        <v>181</v>
      </c>
      <c r="G152" s="22"/>
      <c r="H152" s="20" t="s">
        <v>400</v>
      </c>
      <c r="I152" s="15" t="s">
        <v>401</v>
      </c>
      <c r="J152" s="15" t="s">
        <v>402</v>
      </c>
      <c r="L152" s="2" t="s">
        <v>387</v>
      </c>
      <c r="M152" s="2" t="s">
        <v>387</v>
      </c>
      <c r="N152" s="44">
        <v>9</v>
      </c>
      <c r="O152" s="1">
        <f t="shared" ref="O152:O153" si="42">N152-1</f>
        <v>8</v>
      </c>
    </row>
    <row r="153" spans="1:15" ht="15.75" thickBot="1">
      <c r="A153" s="7">
        <f>VLOOKUP(C153,'2018 Draft by Round'!$C$2:$G$161,5,FALSE)</f>
        <v>43</v>
      </c>
      <c r="B153" s="7">
        <f>VLOOKUP(C153,'2018 Draft by Round'!$C$2:$H$161,6,FALSE)</f>
        <v>5</v>
      </c>
      <c r="C153" s="4" t="s">
        <v>175</v>
      </c>
      <c r="D153" s="4" t="s">
        <v>2</v>
      </c>
      <c r="E153" s="4" t="s">
        <v>49</v>
      </c>
      <c r="F153" s="17" t="s">
        <v>181</v>
      </c>
      <c r="G153" s="22"/>
      <c r="H153" s="20" t="s">
        <v>400</v>
      </c>
      <c r="I153" s="15" t="s">
        <v>401</v>
      </c>
      <c r="J153" s="15" t="s">
        <v>402</v>
      </c>
      <c r="L153" s="2" t="s">
        <v>387</v>
      </c>
      <c r="M153" s="2" t="s">
        <v>387</v>
      </c>
      <c r="N153" s="44">
        <v>9</v>
      </c>
      <c r="O153" s="1">
        <f t="shared" si="42"/>
        <v>8</v>
      </c>
    </row>
    <row r="154" spans="1:15" ht="15.75" thickBot="1">
      <c r="A154" s="7">
        <f>VLOOKUP(C154,'2018 Draft by Round'!$C$2:$G$161,5,FALSE)</f>
        <v>60</v>
      </c>
      <c r="B154" s="7">
        <f>VLOOKUP(C154,'2018 Draft by Round'!$C$2:$H$161,6,FALSE)</f>
        <v>6</v>
      </c>
      <c r="C154" s="4" t="s">
        <v>444</v>
      </c>
      <c r="D154" s="4" t="s">
        <v>10</v>
      </c>
      <c r="E154" s="4" t="s">
        <v>43</v>
      </c>
      <c r="F154" s="17" t="s">
        <v>181</v>
      </c>
      <c r="G154" s="22"/>
      <c r="H154" s="20" t="s">
        <v>400</v>
      </c>
      <c r="I154" s="15" t="s">
        <v>401</v>
      </c>
      <c r="J154" s="15" t="s">
        <v>402</v>
      </c>
      <c r="L154" s="2" t="s">
        <v>387</v>
      </c>
      <c r="M154" s="1">
        <f>B154</f>
        <v>6</v>
      </c>
      <c r="N154" s="44">
        <f>M154-1</f>
        <v>5</v>
      </c>
      <c r="O154" s="1">
        <f>N154-1</f>
        <v>4</v>
      </c>
    </row>
    <row r="155" spans="1:15" ht="15.75" thickBot="1">
      <c r="A155" s="7" t="e">
        <f>VLOOKUP(C155,'2018 Draft by Round'!$C$2:$G$161,5,FALSE)</f>
        <v>#N/A</v>
      </c>
      <c r="B155" s="7" t="e">
        <f>VLOOKUP(C155,'2018 Draft by Round'!$C$2:$H$161,6,FALSE)</f>
        <v>#N/A</v>
      </c>
      <c r="C155" s="4" t="s">
        <v>567</v>
      </c>
      <c r="D155" s="4" t="s">
        <v>534</v>
      </c>
      <c r="E155" s="4" t="s">
        <v>56</v>
      </c>
      <c r="F155" s="17" t="s">
        <v>181</v>
      </c>
      <c r="G155" s="22"/>
      <c r="H155" s="20" t="s">
        <v>400</v>
      </c>
      <c r="I155" s="15" t="s">
        <v>401</v>
      </c>
      <c r="J155" s="15" t="s">
        <v>402</v>
      </c>
      <c r="L155" s="2" t="s">
        <v>387</v>
      </c>
      <c r="M155" s="2" t="s">
        <v>387</v>
      </c>
      <c r="N155" s="44">
        <v>9</v>
      </c>
      <c r="O155" s="1">
        <f t="shared" ref="O155" si="43">N155-1</f>
        <v>8</v>
      </c>
    </row>
    <row r="156" spans="1:15" ht="15.75" thickBot="1">
      <c r="A156" s="7">
        <f>VLOOKUP(C156,'2018 Draft by Round'!$C$2:$G$161,5,FALSE)</f>
        <v>78</v>
      </c>
      <c r="B156" s="7">
        <f>VLOOKUP(C156,'2018 Draft by Round'!$C$2:$H$161,6,FALSE)</f>
        <v>8</v>
      </c>
      <c r="C156" s="4" t="s">
        <v>416</v>
      </c>
      <c r="D156" s="4" t="s">
        <v>27</v>
      </c>
      <c r="E156" s="4" t="s">
        <v>35</v>
      </c>
      <c r="F156" s="17" t="s">
        <v>181</v>
      </c>
      <c r="G156" s="22"/>
      <c r="H156" s="20" t="s">
        <v>400</v>
      </c>
      <c r="I156" s="15" t="s">
        <v>401</v>
      </c>
      <c r="J156" s="15" t="s">
        <v>402</v>
      </c>
      <c r="L156" s="2" t="s">
        <v>387</v>
      </c>
      <c r="M156" s="1">
        <f>B156</f>
        <v>8</v>
      </c>
      <c r="N156" s="44">
        <f>M156-1</f>
        <v>7</v>
      </c>
      <c r="O156" s="1">
        <f>N156-1</f>
        <v>6</v>
      </c>
    </row>
    <row r="157" spans="1:15" ht="15.75" thickBot="1">
      <c r="A157" s="7">
        <f>VLOOKUP(C157,'2018 Draft by Round'!$C$2:$G$161,5,FALSE)</f>
        <v>83</v>
      </c>
      <c r="B157" s="7">
        <f>VLOOKUP(C157,'2018 Draft by Round'!$C$2:$H$161,6,FALSE)</f>
        <v>9</v>
      </c>
      <c r="C157" s="4" t="s">
        <v>191</v>
      </c>
      <c r="D157" s="4" t="s">
        <v>10</v>
      </c>
      <c r="E157" s="4" t="s">
        <v>23</v>
      </c>
      <c r="F157" s="17" t="s">
        <v>181</v>
      </c>
      <c r="G157" s="22"/>
      <c r="H157" s="20" t="s">
        <v>401</v>
      </c>
      <c r="I157" s="15" t="s">
        <v>402</v>
      </c>
      <c r="J157" s="15" t="s">
        <v>387</v>
      </c>
      <c r="L157" s="2">
        <v>10</v>
      </c>
      <c r="M157" s="2">
        <v>9</v>
      </c>
      <c r="N157" s="12" t="s">
        <v>387</v>
      </c>
      <c r="O157" s="2" t="s">
        <v>387</v>
      </c>
    </row>
    <row r="158" spans="1:15" ht="15.75" thickBot="1">
      <c r="A158" s="7" t="e">
        <f>VLOOKUP(C158,'2018 Draft by Round'!$C$2:$G$161,5,FALSE)</f>
        <v>#N/A</v>
      </c>
      <c r="B158" s="7" t="e">
        <f>VLOOKUP(C158,'2018 Draft by Round'!$C$2:$H$161,6,FALSE)</f>
        <v>#N/A</v>
      </c>
      <c r="C158" s="4" t="s">
        <v>568</v>
      </c>
      <c r="D158" s="4" t="s">
        <v>534</v>
      </c>
      <c r="E158" s="4" t="s">
        <v>41</v>
      </c>
      <c r="F158" s="17" t="s">
        <v>181</v>
      </c>
      <c r="G158" s="22"/>
      <c r="H158" s="20" t="s">
        <v>400</v>
      </c>
      <c r="I158" s="15" t="s">
        <v>401</v>
      </c>
      <c r="J158" s="15" t="s">
        <v>402</v>
      </c>
      <c r="L158" s="2" t="s">
        <v>387</v>
      </c>
      <c r="M158" s="2">
        <v>10</v>
      </c>
      <c r="N158" s="44">
        <v>9</v>
      </c>
      <c r="O158" s="1">
        <f t="shared" ref="O158" si="44">N158-1</f>
        <v>8</v>
      </c>
    </row>
    <row r="159" spans="1:15" ht="15.75" thickBot="1">
      <c r="A159" s="7" t="s">
        <v>387</v>
      </c>
      <c r="B159" s="7" t="s">
        <v>387</v>
      </c>
      <c r="C159" s="4" t="s">
        <v>52</v>
      </c>
      <c r="D159" s="4" t="s">
        <v>2</v>
      </c>
      <c r="E159" s="4" t="s">
        <v>11</v>
      </c>
      <c r="F159" s="17" t="s">
        <v>181</v>
      </c>
      <c r="G159" s="22"/>
      <c r="H159" s="20" t="s">
        <v>400</v>
      </c>
      <c r="I159" s="15" t="s">
        <v>401</v>
      </c>
      <c r="J159" s="15" t="s">
        <v>402</v>
      </c>
      <c r="L159" s="2" t="s">
        <v>387</v>
      </c>
      <c r="M159" s="1" t="s">
        <v>390</v>
      </c>
      <c r="N159" s="44">
        <v>9</v>
      </c>
      <c r="O159" s="1">
        <v>8</v>
      </c>
    </row>
    <row r="160" spans="1:15" ht="15.75" thickBot="1">
      <c r="A160" s="7" t="e">
        <f>VLOOKUP(C160,'2018 Draft by Round'!$C$2:$G$161,5,FALSE)</f>
        <v>#N/A</v>
      </c>
      <c r="B160" s="7" t="e">
        <f>VLOOKUP(C160,'2018 Draft by Round'!$C$2:$H$161,6,FALSE)</f>
        <v>#N/A</v>
      </c>
      <c r="C160" s="4" t="s">
        <v>158</v>
      </c>
      <c r="D160" s="4" t="s">
        <v>2</v>
      </c>
      <c r="E160" s="4" t="s">
        <v>3</v>
      </c>
      <c r="F160" s="17" t="s">
        <v>181</v>
      </c>
      <c r="G160" s="22"/>
      <c r="H160" s="20" t="s">
        <v>400</v>
      </c>
      <c r="I160" s="15" t="s">
        <v>401</v>
      </c>
      <c r="J160" s="15" t="s">
        <v>402</v>
      </c>
      <c r="L160" s="2" t="s">
        <v>387</v>
      </c>
      <c r="M160" s="2" t="s">
        <v>387</v>
      </c>
      <c r="N160" s="44">
        <v>9</v>
      </c>
      <c r="O160" s="1">
        <f t="shared" ref="O160" si="45">N160-1</f>
        <v>8</v>
      </c>
    </row>
    <row r="161" spans="1:15" ht="15.75" thickBot="1">
      <c r="A161" s="7" t="s">
        <v>387</v>
      </c>
      <c r="B161" s="7" t="s">
        <v>387</v>
      </c>
      <c r="C161" s="4" t="s">
        <v>408</v>
      </c>
      <c r="D161" s="4" t="s">
        <v>2</v>
      </c>
      <c r="E161" s="4" t="s">
        <v>28</v>
      </c>
      <c r="F161" s="17" t="s">
        <v>181</v>
      </c>
      <c r="G161" s="22"/>
      <c r="H161" s="20" t="s">
        <v>400</v>
      </c>
      <c r="I161" s="15" t="s">
        <v>401</v>
      </c>
      <c r="J161" s="15" t="s">
        <v>402</v>
      </c>
      <c r="L161" s="2" t="s">
        <v>387</v>
      </c>
      <c r="M161" s="1" t="s">
        <v>390</v>
      </c>
      <c r="N161" s="44">
        <v>9</v>
      </c>
      <c r="O161" s="1">
        <v>8</v>
      </c>
    </row>
    <row r="162" spans="1:15" ht="15.75" thickBot="1">
      <c r="A162" s="7" t="e">
        <f>VLOOKUP(C162,'2018 Draft by Round'!$C$2:$G$161,5,FALSE)</f>
        <v>#N/A</v>
      </c>
      <c r="B162" s="7" t="e">
        <f>VLOOKUP(C162,'2018 Draft by Round'!$C$2:$H$161,6,FALSE)</f>
        <v>#N/A</v>
      </c>
      <c r="C162" s="4" t="s">
        <v>569</v>
      </c>
      <c r="D162" s="4" t="s">
        <v>2</v>
      </c>
      <c r="E162" s="4" t="s">
        <v>137</v>
      </c>
      <c r="F162" s="17" t="s">
        <v>181</v>
      </c>
      <c r="G162" s="22"/>
      <c r="H162" s="20" t="s">
        <v>400</v>
      </c>
      <c r="I162" s="15" t="s">
        <v>401</v>
      </c>
      <c r="J162" s="15" t="s">
        <v>402</v>
      </c>
      <c r="L162" s="2" t="s">
        <v>387</v>
      </c>
      <c r="M162" s="2" t="s">
        <v>387</v>
      </c>
      <c r="N162" s="44">
        <v>9</v>
      </c>
      <c r="O162" s="1">
        <f t="shared" ref="O162" si="46">N162-1</f>
        <v>8</v>
      </c>
    </row>
    <row r="163" spans="1:15" ht="15.75" thickBot="1">
      <c r="A163" s="14"/>
      <c r="B163" s="14"/>
      <c r="C163" s="14"/>
      <c r="D163" s="14"/>
      <c r="E163" s="14"/>
      <c r="F163" s="18"/>
      <c r="G163" s="18"/>
      <c r="H163" s="18"/>
      <c r="I163" s="18"/>
      <c r="J163" s="18"/>
      <c r="K163" s="18"/>
      <c r="L163" s="18"/>
      <c r="M163" s="18"/>
      <c r="N163" s="18"/>
      <c r="O163" s="18"/>
    </row>
    <row r="164" spans="1:15" ht="15.75" thickBot="1">
      <c r="A164" s="7">
        <f>VLOOKUP(C164,'2018 Draft by Round'!$C$2:$G$161,5,FALSE)</f>
        <v>74</v>
      </c>
      <c r="B164" s="7">
        <f>VLOOKUP(C164,'2018 Draft by Round'!$C$2:$H$161,6,FALSE)</f>
        <v>8</v>
      </c>
      <c r="C164" s="4" t="s">
        <v>81</v>
      </c>
      <c r="D164" s="8" t="s">
        <v>5</v>
      </c>
      <c r="E164" s="4" t="s">
        <v>82</v>
      </c>
      <c r="F164" s="17" t="s">
        <v>37</v>
      </c>
      <c r="G164" s="22"/>
      <c r="H164" s="20" t="s">
        <v>400</v>
      </c>
      <c r="I164" s="15" t="s">
        <v>401</v>
      </c>
      <c r="J164" s="15" t="s">
        <v>402</v>
      </c>
      <c r="L164" s="2" t="s">
        <v>387</v>
      </c>
      <c r="M164" s="1">
        <f>B164</f>
        <v>8</v>
      </c>
      <c r="N164" s="44">
        <f>M164-1</f>
        <v>7</v>
      </c>
      <c r="O164" s="1">
        <f>N164-1</f>
        <v>6</v>
      </c>
    </row>
    <row r="165" spans="1:15" ht="15.75" thickBot="1">
      <c r="A165" s="7">
        <f>VLOOKUP(C165,'2018 Draft by Round'!$C$2:$G$161,5,FALSE)</f>
        <v>7</v>
      </c>
      <c r="B165" s="7">
        <f>VLOOKUP(C165,'2018 Draft by Round'!$C$2:$H$161,6,FALSE)</f>
        <v>1</v>
      </c>
      <c r="C165" s="4" t="s">
        <v>61</v>
      </c>
      <c r="D165" s="4" t="s">
        <v>10</v>
      </c>
      <c r="E165" s="4" t="s">
        <v>32</v>
      </c>
      <c r="F165" s="17" t="s">
        <v>37</v>
      </c>
      <c r="G165" s="22"/>
      <c r="H165" s="20" t="s">
        <v>400</v>
      </c>
      <c r="I165" s="15" t="s">
        <v>401</v>
      </c>
      <c r="J165" s="15" t="s">
        <v>402</v>
      </c>
      <c r="L165" s="2" t="s">
        <v>387</v>
      </c>
      <c r="M165" s="1">
        <f>B165</f>
        <v>1</v>
      </c>
      <c r="N165" s="12" t="s">
        <v>387</v>
      </c>
      <c r="O165" s="2" t="s">
        <v>387</v>
      </c>
    </row>
    <row r="166" spans="1:15" ht="15.75" thickBot="1">
      <c r="A166" s="7" t="e">
        <f>VLOOKUP(C166,'2018 Draft by Round'!$C$2:$G$161,5,FALSE)</f>
        <v>#N/A</v>
      </c>
      <c r="B166" s="7" t="e">
        <f>VLOOKUP(C166,'2018 Draft by Round'!$C$2:$H$161,6,FALSE)</f>
        <v>#N/A</v>
      </c>
      <c r="C166" s="4" t="s">
        <v>570</v>
      </c>
      <c r="D166" s="4" t="s">
        <v>10</v>
      </c>
      <c r="E166" s="4" t="s">
        <v>71</v>
      </c>
      <c r="F166" s="17" t="s">
        <v>37</v>
      </c>
      <c r="G166" s="22"/>
      <c r="H166" s="20" t="s">
        <v>400</v>
      </c>
      <c r="I166" s="15" t="s">
        <v>401</v>
      </c>
      <c r="J166" s="15" t="s">
        <v>402</v>
      </c>
      <c r="L166" s="2" t="s">
        <v>387</v>
      </c>
      <c r="M166" s="2" t="s">
        <v>387</v>
      </c>
      <c r="N166" s="44">
        <v>9</v>
      </c>
      <c r="O166" s="1">
        <f t="shared" ref="O166" si="47">N166-1</f>
        <v>8</v>
      </c>
    </row>
    <row r="167" spans="1:15" ht="15.75" thickBot="1">
      <c r="A167" s="7">
        <f>VLOOKUP(C167,'2018 Draft by Round'!$C$2:$G$161,5,FALSE)</f>
        <v>14</v>
      </c>
      <c r="B167" s="7">
        <f>VLOOKUP(C167,'2018 Draft by Round'!$C$2:$H$161,6,FALSE)</f>
        <v>2</v>
      </c>
      <c r="C167" s="4" t="s">
        <v>80</v>
      </c>
      <c r="D167" s="4" t="s">
        <v>2</v>
      </c>
      <c r="E167" s="4" t="s">
        <v>19</v>
      </c>
      <c r="F167" s="17" t="s">
        <v>37</v>
      </c>
      <c r="G167" s="22"/>
      <c r="H167" s="20" t="s">
        <v>400</v>
      </c>
      <c r="I167" s="15" t="s">
        <v>401</v>
      </c>
      <c r="J167" s="15" t="s">
        <v>402</v>
      </c>
      <c r="L167" s="2" t="s">
        <v>387</v>
      </c>
      <c r="M167" s="1">
        <f>B167</f>
        <v>2</v>
      </c>
      <c r="N167" s="44">
        <f>M167-1</f>
        <v>1</v>
      </c>
      <c r="O167" s="2" t="s">
        <v>387</v>
      </c>
    </row>
    <row r="168" spans="1:15" ht="15.75" thickBot="1">
      <c r="A168" s="7">
        <f>VLOOKUP(C168,'2018 Draft by Round'!$C$2:$G$161,5,FALSE)</f>
        <v>87</v>
      </c>
      <c r="B168" s="7">
        <f>VLOOKUP(C168,'2018 Draft by Round'!$C$2:$H$161,6,FALSE)</f>
        <v>9</v>
      </c>
      <c r="C168" s="4" t="s">
        <v>57</v>
      </c>
      <c r="D168" s="4" t="s">
        <v>2</v>
      </c>
      <c r="E168" s="4" t="s">
        <v>30</v>
      </c>
      <c r="F168" s="17" t="s">
        <v>37</v>
      </c>
      <c r="G168" s="22"/>
      <c r="H168" s="20" t="s">
        <v>400</v>
      </c>
      <c r="I168" s="15" t="s">
        <v>401</v>
      </c>
      <c r="J168" s="15" t="s">
        <v>402</v>
      </c>
      <c r="L168" s="2" t="s">
        <v>387</v>
      </c>
      <c r="M168" s="1">
        <f>B168</f>
        <v>9</v>
      </c>
      <c r="N168" s="44">
        <f>M168-1</f>
        <v>8</v>
      </c>
      <c r="O168" s="1">
        <f>N168-1</f>
        <v>7</v>
      </c>
    </row>
    <row r="169" spans="1:15" ht="15.75" thickBot="1">
      <c r="A169" s="7">
        <f>VLOOKUP(C169,'2018 Draft by Round'!$C$2:$G$161,5,FALSE)</f>
        <v>34</v>
      </c>
      <c r="B169" s="7">
        <f>VLOOKUP(C169,'2018 Draft by Round'!$C$2:$H$161,6,FALSE)</f>
        <v>4</v>
      </c>
      <c r="C169" s="4" t="s">
        <v>44</v>
      </c>
      <c r="D169" s="4" t="s">
        <v>27</v>
      </c>
      <c r="E169" s="4" t="s">
        <v>13</v>
      </c>
      <c r="F169" s="17" t="s">
        <v>37</v>
      </c>
      <c r="G169" s="22"/>
      <c r="H169" s="15" t="s">
        <v>402</v>
      </c>
      <c r="I169" s="15" t="s">
        <v>387</v>
      </c>
      <c r="J169" s="15" t="s">
        <v>387</v>
      </c>
      <c r="L169" s="2">
        <v>5</v>
      </c>
      <c r="M169" s="2">
        <v>4</v>
      </c>
      <c r="N169" s="12" t="s">
        <v>387</v>
      </c>
      <c r="O169" s="2" t="s">
        <v>387</v>
      </c>
    </row>
    <row r="170" spans="1:15" ht="15.75" thickBot="1">
      <c r="A170" s="7" t="e">
        <f>VLOOKUP(C170,'2018 Draft by Round'!$C$2:$G$161,5,FALSE)</f>
        <v>#N/A</v>
      </c>
      <c r="B170" s="7" t="e">
        <f>VLOOKUP(C170,'2018 Draft by Round'!$C$2:$H$161,6,FALSE)</f>
        <v>#N/A</v>
      </c>
      <c r="C170" s="4" t="s">
        <v>571</v>
      </c>
      <c r="D170" s="4" t="s">
        <v>10</v>
      </c>
      <c r="E170" s="4" t="s">
        <v>135</v>
      </c>
      <c r="F170" s="17" t="s">
        <v>37</v>
      </c>
      <c r="G170" s="22"/>
      <c r="H170" s="20" t="s">
        <v>400</v>
      </c>
      <c r="I170" s="15" t="s">
        <v>401</v>
      </c>
      <c r="J170" s="15" t="s">
        <v>402</v>
      </c>
      <c r="L170" s="2" t="s">
        <v>387</v>
      </c>
      <c r="M170" s="2" t="s">
        <v>387</v>
      </c>
      <c r="N170" s="44">
        <v>9</v>
      </c>
      <c r="O170" s="1">
        <f t="shared" ref="O170" si="48">N170-1</f>
        <v>8</v>
      </c>
    </row>
    <row r="171" spans="1:15" ht="15.75" thickBot="1">
      <c r="A171" s="7">
        <f>VLOOKUP(C171,'2018 Draft by Round'!$C$2:$G$161,5,FALSE)</f>
        <v>114</v>
      </c>
      <c r="B171" s="7">
        <f>VLOOKUP(C171,'2018 Draft by Round'!$C$2:$H$161,6,FALSE)</f>
        <v>12</v>
      </c>
      <c r="C171" s="4" t="s">
        <v>128</v>
      </c>
      <c r="D171" s="4" t="s">
        <v>2</v>
      </c>
      <c r="E171" s="4" t="s">
        <v>28</v>
      </c>
      <c r="F171" s="17" t="s">
        <v>37</v>
      </c>
      <c r="G171" s="22"/>
      <c r="H171" s="20" t="s">
        <v>400</v>
      </c>
      <c r="I171" s="15" t="s">
        <v>401</v>
      </c>
      <c r="J171" s="15" t="s">
        <v>402</v>
      </c>
      <c r="M171" s="1">
        <f>B171</f>
        <v>12</v>
      </c>
      <c r="N171" s="44">
        <f>M171-1</f>
        <v>11</v>
      </c>
      <c r="O171" s="1">
        <f>N171-1</f>
        <v>10</v>
      </c>
    </row>
    <row r="172" spans="1:15" ht="15.75" thickBot="1">
      <c r="A172" s="7" t="e">
        <f>VLOOKUP(C172,'2018 Draft by Round'!$C$2:$G$161,5,FALSE)</f>
        <v>#N/A</v>
      </c>
      <c r="B172" s="7" t="e">
        <f>VLOOKUP(C172,'2018 Draft by Round'!$C$2:$H$161,6,FALSE)</f>
        <v>#N/A</v>
      </c>
      <c r="C172" s="4" t="s">
        <v>572</v>
      </c>
      <c r="D172" s="4" t="s">
        <v>534</v>
      </c>
      <c r="E172" s="4" t="s">
        <v>49</v>
      </c>
      <c r="F172" s="17" t="s">
        <v>37</v>
      </c>
      <c r="G172" s="22"/>
      <c r="H172" s="20" t="s">
        <v>400</v>
      </c>
      <c r="I172" s="15" t="s">
        <v>401</v>
      </c>
      <c r="J172" s="15" t="s">
        <v>402</v>
      </c>
      <c r="L172" s="2" t="s">
        <v>387</v>
      </c>
      <c r="M172" s="2" t="s">
        <v>387</v>
      </c>
      <c r="N172" s="44">
        <v>9</v>
      </c>
      <c r="O172" s="1">
        <f t="shared" ref="O172" si="49">N172-1</f>
        <v>8</v>
      </c>
    </row>
    <row r="173" spans="1:15" ht="15.75" thickBot="1">
      <c r="A173" s="7">
        <f>VLOOKUP(C173,'2018 Draft by Round'!$C$2:$G$161,5,FALSE)</f>
        <v>27</v>
      </c>
      <c r="B173" s="7">
        <f>VLOOKUP(C173,'2018 Draft by Round'!$C$2:$H$161,6,FALSE)</f>
        <v>3</v>
      </c>
      <c r="C173" s="4" t="s">
        <v>116</v>
      </c>
      <c r="D173" s="4" t="s">
        <v>10</v>
      </c>
      <c r="E173" s="4" t="s">
        <v>17</v>
      </c>
      <c r="F173" s="17" t="s">
        <v>37</v>
      </c>
      <c r="G173" s="22"/>
      <c r="H173" s="20" t="s">
        <v>400</v>
      </c>
      <c r="I173" s="15" t="s">
        <v>401</v>
      </c>
      <c r="J173" s="15" t="s">
        <v>402</v>
      </c>
      <c r="L173" s="25"/>
      <c r="M173" s="1">
        <f>B173</f>
        <v>3</v>
      </c>
      <c r="N173" s="44">
        <f>M173-1</f>
        <v>2</v>
      </c>
      <c r="O173" s="1">
        <f>N173-1</f>
        <v>1</v>
      </c>
    </row>
    <row r="174" spans="1:15" ht="15.75" thickBot="1">
      <c r="A174" s="7">
        <f>VLOOKUP(C174,'2018 Draft by Round'!$C$2:$G$161,5,FALSE)</f>
        <v>94</v>
      </c>
      <c r="B174" s="7">
        <f>VLOOKUP(C174,'2018 Draft by Round'!$C$2:$H$161,6,FALSE)</f>
        <v>10</v>
      </c>
      <c r="C174" s="4" t="s">
        <v>428</v>
      </c>
      <c r="D174" s="4" t="s">
        <v>2</v>
      </c>
      <c r="E174" s="4" t="s">
        <v>30</v>
      </c>
      <c r="F174" s="17" t="s">
        <v>37</v>
      </c>
      <c r="G174" s="22"/>
      <c r="H174" s="20" t="s">
        <v>401</v>
      </c>
      <c r="I174" s="15" t="s">
        <v>402</v>
      </c>
      <c r="J174" s="15" t="s">
        <v>387</v>
      </c>
      <c r="L174" s="25" t="s">
        <v>387</v>
      </c>
      <c r="M174" s="2">
        <v>9</v>
      </c>
      <c r="N174" s="12">
        <v>8</v>
      </c>
      <c r="O174" s="25" t="s">
        <v>387</v>
      </c>
    </row>
    <row r="175" spans="1:15" ht="15.75" thickBot="1">
      <c r="A175" s="7">
        <f>VLOOKUP(C175,'2018 Draft by Round'!$C$2:$G$161,5,FALSE)</f>
        <v>134</v>
      </c>
      <c r="B175" s="7">
        <f>VLOOKUP(C175,'2018 Draft by Round'!$C$2:$H$161,6,FALSE)</f>
        <v>14</v>
      </c>
      <c r="C175" s="4" t="s">
        <v>510</v>
      </c>
      <c r="D175" s="4" t="s">
        <v>10</v>
      </c>
      <c r="E175" s="4" t="s">
        <v>3</v>
      </c>
      <c r="F175" s="17" t="s">
        <v>37</v>
      </c>
      <c r="G175" s="22"/>
      <c r="H175" s="20" t="s">
        <v>400</v>
      </c>
      <c r="I175" s="15" t="s">
        <v>401</v>
      </c>
      <c r="J175" s="15" t="s">
        <v>402</v>
      </c>
      <c r="L175" s="25"/>
      <c r="M175" s="1">
        <f>B175</f>
        <v>14</v>
      </c>
      <c r="N175" s="44">
        <f>M175-1</f>
        <v>13</v>
      </c>
      <c r="O175" s="1">
        <f>N175-1</f>
        <v>12</v>
      </c>
    </row>
    <row r="176" spans="1:15" ht="15.75" thickBot="1">
      <c r="A176" s="7" t="e">
        <f>VLOOKUP(C176,'2018 Draft by Round'!$C$2:$G$161,5,FALSE)</f>
        <v>#N/A</v>
      </c>
      <c r="B176" s="7" t="e">
        <f>VLOOKUP(C176,'2018 Draft by Round'!$C$2:$H$161,6,FALSE)</f>
        <v>#N/A</v>
      </c>
      <c r="C176" s="4" t="s">
        <v>573</v>
      </c>
      <c r="D176" s="4" t="s">
        <v>2</v>
      </c>
      <c r="E176" s="4" t="s">
        <v>17</v>
      </c>
      <c r="F176" s="17" t="s">
        <v>37</v>
      </c>
      <c r="G176" s="22"/>
      <c r="H176" s="20" t="s">
        <v>400</v>
      </c>
      <c r="I176" s="15" t="s">
        <v>401</v>
      </c>
      <c r="J176" s="15" t="s">
        <v>402</v>
      </c>
      <c r="L176" s="2" t="s">
        <v>387</v>
      </c>
      <c r="M176" s="2" t="s">
        <v>387</v>
      </c>
      <c r="N176" s="44">
        <v>9</v>
      </c>
      <c r="O176" s="1">
        <f t="shared" ref="O176" si="50">N176-1</f>
        <v>8</v>
      </c>
    </row>
    <row r="177" spans="1:15" ht="15.75" thickBot="1">
      <c r="A177" s="7">
        <f>VLOOKUP(C177,'2018 Draft by Round'!$C$2:$G$161,5,FALSE)</f>
        <v>108</v>
      </c>
      <c r="B177" s="7">
        <f>VLOOKUP(C177,'2018 Draft by Round'!$C$2:$H$161,6,FALSE)</f>
        <v>11</v>
      </c>
      <c r="C177" s="4" t="s">
        <v>499</v>
      </c>
      <c r="D177" s="4" t="s">
        <v>2</v>
      </c>
      <c r="E177" s="4" t="s">
        <v>32</v>
      </c>
      <c r="F177" s="17" t="s">
        <v>37</v>
      </c>
      <c r="G177" s="22"/>
      <c r="H177" s="20" t="s">
        <v>400</v>
      </c>
      <c r="I177" s="15" t="s">
        <v>401</v>
      </c>
      <c r="J177" s="15" t="s">
        <v>402</v>
      </c>
      <c r="L177" s="2" t="s">
        <v>387</v>
      </c>
      <c r="M177" s="2" t="s">
        <v>390</v>
      </c>
      <c r="N177" s="44">
        <v>9</v>
      </c>
      <c r="O177" s="1">
        <f t="shared" ref="O177" si="51">N177-1</f>
        <v>8</v>
      </c>
    </row>
    <row r="178" spans="1:15" ht="15.75" thickBot="1">
      <c r="A178" s="7" t="e">
        <f>VLOOKUP(C178,'2018 Draft by Round'!$C$2:$G$161,5,FALSE)</f>
        <v>#N/A</v>
      </c>
      <c r="B178" s="7" t="e">
        <f>VLOOKUP(C178,'2018 Draft by Round'!$C$2:$H$161,6,FALSE)</f>
        <v>#N/A</v>
      </c>
      <c r="C178" s="4" t="s">
        <v>574</v>
      </c>
      <c r="D178" s="4" t="s">
        <v>534</v>
      </c>
      <c r="E178" s="4" t="s">
        <v>63</v>
      </c>
      <c r="F178" s="17" t="s">
        <v>37</v>
      </c>
      <c r="G178" s="22"/>
      <c r="H178" s="20" t="s">
        <v>400</v>
      </c>
      <c r="I178" s="15" t="s">
        <v>401</v>
      </c>
      <c r="J178" s="15" t="s">
        <v>402</v>
      </c>
      <c r="L178" s="2" t="s">
        <v>387</v>
      </c>
      <c r="M178" s="2" t="s">
        <v>387</v>
      </c>
      <c r="N178" s="44">
        <v>9</v>
      </c>
      <c r="O178" s="1">
        <f t="shared" ref="O178:O179" si="52">N178-1</f>
        <v>8</v>
      </c>
    </row>
    <row r="179" spans="1:15" ht="15.75" thickBot="1">
      <c r="A179" s="7">
        <f>VLOOKUP(C179,'2018 Draft by Round'!$C$2:$G$161,5,FALSE)</f>
        <v>148</v>
      </c>
      <c r="B179" s="7">
        <f>VLOOKUP(C179,'2018 Draft by Round'!$C$2:$H$161,6,FALSE)</f>
        <v>15</v>
      </c>
      <c r="C179" s="4" t="s">
        <v>519</v>
      </c>
      <c r="D179" s="4" t="s">
        <v>2</v>
      </c>
      <c r="E179" s="4" t="s">
        <v>34</v>
      </c>
      <c r="F179" s="17" t="s">
        <v>37</v>
      </c>
      <c r="G179" s="22"/>
      <c r="H179" s="20" t="s">
        <v>400</v>
      </c>
      <c r="I179" s="15" t="s">
        <v>401</v>
      </c>
      <c r="J179" s="15" t="s">
        <v>402</v>
      </c>
      <c r="L179" s="2" t="s">
        <v>387</v>
      </c>
      <c r="M179" s="2" t="s">
        <v>390</v>
      </c>
      <c r="N179" s="44">
        <v>9</v>
      </c>
      <c r="O179" s="1">
        <f t="shared" si="52"/>
        <v>8</v>
      </c>
    </row>
    <row r="180" spans="1:15" ht="15.75" thickBot="1">
      <c r="A180" s="7">
        <f>VLOOKUP(C180,'2018 Draft by Round'!$C$2:$G$161,5,FALSE)</f>
        <v>154</v>
      </c>
      <c r="B180" s="7">
        <f>VLOOKUP(C180,'2018 Draft by Round'!$C$2:$H$161,6,FALSE)</f>
        <v>16</v>
      </c>
      <c r="C180" s="4" t="s">
        <v>575</v>
      </c>
      <c r="D180" s="4" t="s">
        <v>10</v>
      </c>
      <c r="E180" s="4" t="s">
        <v>396</v>
      </c>
      <c r="F180" s="17" t="s">
        <v>37</v>
      </c>
      <c r="G180" s="22"/>
      <c r="H180" s="22" t="s">
        <v>400</v>
      </c>
      <c r="I180" s="22" t="s">
        <v>401</v>
      </c>
      <c r="J180" s="22" t="s">
        <v>402</v>
      </c>
      <c r="L180" s="2" t="s">
        <v>387</v>
      </c>
      <c r="M180" s="1">
        <f>B180</f>
        <v>16</v>
      </c>
      <c r="N180" s="44">
        <f>M180-1</f>
        <v>15</v>
      </c>
      <c r="O180" s="1">
        <f t="shared" ref="O180" si="53">N180-1</f>
        <v>14</v>
      </c>
    </row>
    <row r="181" spans="1:15" ht="15.75" thickBot="1">
      <c r="A181" s="3"/>
      <c r="B181" s="3"/>
      <c r="C181" s="4"/>
      <c r="D181" s="4"/>
      <c r="E181" s="4"/>
      <c r="F181" s="17"/>
      <c r="G181" s="22"/>
    </row>
    <row r="182" spans="1:15" ht="15.75" thickBot="1">
      <c r="A182" s="3"/>
      <c r="B182" s="3"/>
      <c r="C182" s="4"/>
      <c r="D182" s="4"/>
      <c r="E182" s="4"/>
      <c r="F182" s="17"/>
      <c r="G182" s="22"/>
    </row>
    <row r="183" spans="1:15" ht="15.75" thickBot="1">
      <c r="A183" s="3"/>
      <c r="B183" s="3"/>
      <c r="C183" s="4"/>
      <c r="D183" s="4"/>
      <c r="E183" s="4"/>
      <c r="F183" s="17"/>
      <c r="G183" s="22"/>
    </row>
    <row r="184" spans="1:15" ht="15.75" thickBot="1">
      <c r="A184" s="3"/>
      <c r="B184" s="3"/>
      <c r="C184" s="4"/>
      <c r="D184" s="4"/>
      <c r="E184" s="4"/>
      <c r="F184" s="17"/>
      <c r="G184" s="22"/>
    </row>
    <row r="185" spans="1:15" ht="15.75" thickBot="1">
      <c r="A185" s="3"/>
      <c r="B185" s="3"/>
      <c r="C185" s="4"/>
      <c r="D185" s="4"/>
      <c r="E185" s="4"/>
      <c r="F185" s="17"/>
      <c r="G185" s="22"/>
    </row>
    <row r="186" spans="1:15" ht="15.75" thickBot="1">
      <c r="A186" s="3"/>
      <c r="B186" s="3"/>
      <c r="C186" s="4"/>
      <c r="D186" s="4"/>
      <c r="E186" s="4"/>
      <c r="F186" s="17"/>
      <c r="G186" s="22"/>
    </row>
    <row r="187" spans="1:15" ht="15.75" thickBot="1">
      <c r="A187" s="3"/>
      <c r="B187" s="3"/>
      <c r="C187" s="4"/>
      <c r="D187" s="4"/>
      <c r="E187" s="4"/>
      <c r="F187" s="17"/>
      <c r="G187" s="22"/>
    </row>
    <row r="188" spans="1:15" ht="15.75" thickBot="1">
      <c r="A188" s="3"/>
      <c r="B188" s="3"/>
      <c r="C188" s="4"/>
      <c r="D188" s="4"/>
      <c r="E188" s="4"/>
      <c r="F188" s="17"/>
      <c r="G188" s="22"/>
    </row>
    <row r="189" spans="1:15" ht="15.75" thickBot="1">
      <c r="A189" s="3"/>
      <c r="B189" s="3"/>
      <c r="C189" s="4"/>
      <c r="D189" s="4"/>
      <c r="E189" s="4"/>
      <c r="F189" s="17"/>
      <c r="G189" s="22"/>
    </row>
    <row r="190" spans="1:15" ht="15.75" thickBot="1">
      <c r="A190" s="3"/>
      <c r="B190" s="3"/>
      <c r="C190" s="4"/>
      <c r="D190" s="4"/>
      <c r="E190" s="4"/>
      <c r="F190" s="17"/>
      <c r="G190" s="22"/>
    </row>
    <row r="191" spans="1:15" ht="15.75" thickBot="1">
      <c r="A191" s="3"/>
      <c r="B191" s="3"/>
      <c r="C191" s="4"/>
      <c r="D191" s="4"/>
      <c r="E191" s="4"/>
      <c r="F191" s="17"/>
      <c r="G191" s="22"/>
    </row>
    <row r="192" spans="1:15" ht="15.75" thickBot="1">
      <c r="A192" s="3"/>
      <c r="B192" s="3"/>
      <c r="C192" s="4"/>
      <c r="D192" s="4"/>
      <c r="E192" s="4"/>
      <c r="F192" s="17"/>
      <c r="G192" s="22"/>
    </row>
    <row r="193" spans="1:7" ht="15.75" thickBot="1">
      <c r="A193" s="3"/>
      <c r="B193" s="3"/>
      <c r="C193" s="4"/>
      <c r="D193" s="4"/>
      <c r="E193" s="4"/>
      <c r="F193" s="17"/>
      <c r="G193" s="22"/>
    </row>
    <row r="194" spans="1:7" ht="15.75" thickBot="1">
      <c r="A194" s="3"/>
      <c r="B194" s="3"/>
      <c r="C194" s="4"/>
      <c r="D194" s="4"/>
      <c r="E194" s="4"/>
      <c r="F194" s="17"/>
      <c r="G194" s="22"/>
    </row>
    <row r="195" spans="1:7" ht="15.75" thickBot="1">
      <c r="A195" s="3"/>
      <c r="B195" s="3"/>
      <c r="C195" s="4"/>
      <c r="D195" s="4"/>
      <c r="E195" s="4"/>
      <c r="F195" s="17"/>
      <c r="G195" s="22"/>
    </row>
    <row r="196" spans="1:7" ht="15.75" thickBot="1">
      <c r="A196" s="3"/>
      <c r="B196" s="3"/>
      <c r="C196" s="4"/>
      <c r="D196" s="4"/>
      <c r="E196" s="4"/>
      <c r="F196" s="17"/>
      <c r="G196" s="22"/>
    </row>
    <row r="197" spans="1:7" ht="15.75" thickBot="1">
      <c r="A197" s="3"/>
      <c r="B197" s="3"/>
      <c r="C197" s="4"/>
      <c r="D197" s="4"/>
      <c r="E197" s="4"/>
      <c r="F197" s="17"/>
      <c r="G197" s="22"/>
    </row>
    <row r="198" spans="1:7" ht="15.75" thickBot="1">
      <c r="A198" s="3"/>
      <c r="B198" s="3"/>
      <c r="C198" s="4"/>
      <c r="D198" s="4"/>
      <c r="E198" s="4"/>
      <c r="F198" s="17"/>
      <c r="G198" s="22"/>
    </row>
    <row r="199" spans="1:7" ht="15.75" thickBot="1">
      <c r="A199" s="3"/>
      <c r="B199" s="3"/>
      <c r="C199" s="4"/>
      <c r="D199" s="4"/>
      <c r="E199" s="4"/>
      <c r="F199" s="17"/>
      <c r="G199" s="22"/>
    </row>
    <row r="200" spans="1:7" ht="15.75" thickBot="1">
      <c r="A200" s="3"/>
      <c r="B200" s="3"/>
      <c r="C200" s="4"/>
      <c r="D200" s="4"/>
      <c r="E200" s="4"/>
      <c r="F200" s="17"/>
      <c r="G200" s="22"/>
    </row>
    <row r="201" spans="1:7" ht="15.75" thickBot="1">
      <c r="A201" s="3"/>
      <c r="B201" s="3"/>
      <c r="C201" s="4"/>
      <c r="D201" s="4"/>
      <c r="E201" s="4"/>
      <c r="F201" s="17"/>
      <c r="G201" s="22"/>
    </row>
    <row r="202" spans="1:7" ht="15.75" thickBot="1">
      <c r="A202" s="3"/>
      <c r="B202" s="3"/>
      <c r="C202" s="4"/>
      <c r="D202" s="4"/>
      <c r="E202" s="4"/>
      <c r="F202" s="17"/>
      <c r="G202" s="22"/>
    </row>
    <row r="203" spans="1:7" ht="15.75" thickBot="1">
      <c r="A203" s="3"/>
      <c r="B203" s="3"/>
      <c r="C203" s="4"/>
      <c r="D203" s="4"/>
      <c r="E203" s="4"/>
      <c r="F203" s="17"/>
      <c r="G203" s="22"/>
    </row>
    <row r="204" spans="1:7" ht="15.75" thickBot="1">
      <c r="A204" s="3"/>
      <c r="B204" s="3"/>
      <c r="C204" s="4"/>
      <c r="D204" s="4"/>
      <c r="E204" s="4"/>
      <c r="F204" s="17"/>
      <c r="G204" s="22"/>
    </row>
    <row r="205" spans="1:7" ht="15.75" thickBot="1">
      <c r="A205" s="3"/>
      <c r="B205" s="3"/>
      <c r="C205" s="4"/>
      <c r="D205" s="4"/>
      <c r="E205" s="4"/>
      <c r="F205" s="17"/>
      <c r="G205" s="22"/>
    </row>
    <row r="206" spans="1:7" ht="15.75" thickBot="1">
      <c r="A206" s="3"/>
      <c r="B206" s="3"/>
      <c r="C206" s="4"/>
      <c r="D206" s="4"/>
      <c r="E206" s="4"/>
      <c r="F206" s="17"/>
      <c r="G206" s="22"/>
    </row>
    <row r="207" spans="1:7" ht="15.75" thickBot="1">
      <c r="A207" s="3"/>
      <c r="B207" s="3"/>
      <c r="C207" s="4"/>
      <c r="D207" s="4"/>
      <c r="E207" s="4"/>
      <c r="F207" s="17"/>
      <c r="G207" s="22"/>
    </row>
    <row r="208" spans="1:7" ht="15.75" thickBot="1">
      <c r="A208" s="3"/>
      <c r="B208" s="3"/>
      <c r="C208" s="4"/>
      <c r="D208" s="4"/>
      <c r="E208" s="4"/>
      <c r="F208" s="17"/>
      <c r="G208" s="22"/>
    </row>
    <row r="209" spans="1:7" ht="15.75" thickBot="1">
      <c r="A209" s="3"/>
      <c r="B209" s="3"/>
      <c r="C209" s="4"/>
      <c r="D209" s="4"/>
      <c r="E209" s="4"/>
      <c r="F209" s="17"/>
      <c r="G209" s="22"/>
    </row>
    <row r="210" spans="1:7" ht="15.75" thickBot="1">
      <c r="A210" s="3"/>
      <c r="B210" s="3"/>
      <c r="C210" s="4"/>
      <c r="D210" s="4"/>
      <c r="E210" s="4"/>
      <c r="F210" s="17"/>
      <c r="G210" s="22"/>
    </row>
    <row r="211" spans="1:7" ht="15.75" thickBot="1">
      <c r="A211" s="3"/>
      <c r="B211" s="3"/>
      <c r="C211" s="4"/>
      <c r="D211" s="4"/>
      <c r="E211" s="4"/>
      <c r="F211" s="17"/>
      <c r="G211" s="22"/>
    </row>
    <row r="212" spans="1:7" ht="15.75" thickBot="1">
      <c r="A212" s="3"/>
      <c r="B212" s="3"/>
      <c r="C212" s="4"/>
      <c r="D212" s="4"/>
      <c r="E212" s="4"/>
      <c r="F212" s="17"/>
      <c r="G212" s="22"/>
    </row>
    <row r="213" spans="1:7" ht="15.75" thickBot="1">
      <c r="A213" s="3"/>
      <c r="B213" s="3"/>
      <c r="C213" s="4"/>
      <c r="D213" s="4"/>
      <c r="E213" s="4"/>
      <c r="F213" s="17"/>
      <c r="G213" s="22"/>
    </row>
    <row r="214" spans="1:7" ht="15.75" thickBot="1">
      <c r="A214" s="3"/>
      <c r="B214" s="3"/>
      <c r="C214" s="4"/>
      <c r="D214" s="4"/>
      <c r="E214" s="4"/>
      <c r="F214" s="17"/>
      <c r="G214" s="22"/>
    </row>
    <row r="215" spans="1:7" ht="15.75" thickBot="1">
      <c r="A215" s="3"/>
      <c r="B215" s="3"/>
      <c r="C215" s="4"/>
      <c r="D215" s="4"/>
      <c r="E215" s="4"/>
      <c r="F215" s="17"/>
      <c r="G215" s="22"/>
    </row>
    <row r="216" spans="1:7" ht="15.75" thickBot="1">
      <c r="A216" s="3"/>
      <c r="B216" s="3"/>
      <c r="C216" s="4"/>
      <c r="D216" s="4"/>
      <c r="E216" s="4"/>
      <c r="F216" s="17"/>
      <c r="G216" s="22"/>
    </row>
    <row r="217" spans="1:7" ht="15.75" thickBot="1">
      <c r="A217" s="3"/>
      <c r="B217" s="3"/>
      <c r="C217" s="4"/>
      <c r="D217" s="4"/>
      <c r="E217" s="4"/>
      <c r="F217" s="17"/>
      <c r="G217" s="22"/>
    </row>
    <row r="218" spans="1:7" ht="15.75" thickBot="1">
      <c r="A218" s="3"/>
      <c r="B218" s="3"/>
      <c r="C218" s="4"/>
      <c r="D218" s="4"/>
      <c r="E218" s="4"/>
      <c r="F218" s="17"/>
      <c r="G218" s="22"/>
    </row>
    <row r="219" spans="1:7" ht="15.75" thickBot="1">
      <c r="A219" s="3"/>
      <c r="B219" s="3"/>
      <c r="C219" s="4"/>
      <c r="D219" s="4"/>
      <c r="E219" s="4"/>
      <c r="F219" s="17"/>
      <c r="G219" s="22"/>
    </row>
    <row r="220" spans="1:7" ht="15.75" thickBot="1">
      <c r="A220" s="3"/>
      <c r="B220" s="3"/>
      <c r="C220" s="4"/>
      <c r="D220" s="4"/>
      <c r="E220" s="4"/>
      <c r="F220" s="17"/>
      <c r="G220" s="22"/>
    </row>
    <row r="221" spans="1:7" ht="15.75" thickBot="1">
      <c r="A221" s="3"/>
      <c r="B221" s="3"/>
      <c r="C221" s="4"/>
      <c r="D221" s="4"/>
      <c r="E221" s="4"/>
      <c r="F221" s="17"/>
      <c r="G221" s="22"/>
    </row>
    <row r="222" spans="1:7" ht="15.75" thickBot="1">
      <c r="A222" s="3"/>
      <c r="B222" s="3"/>
      <c r="C222" s="4"/>
      <c r="D222" s="4"/>
      <c r="E222" s="4"/>
      <c r="F222" s="17"/>
      <c r="G222" s="22"/>
    </row>
    <row r="223" spans="1:7" ht="15.75" thickBot="1">
      <c r="A223" s="3"/>
      <c r="B223" s="3"/>
      <c r="C223" s="4"/>
      <c r="D223" s="4"/>
      <c r="E223" s="4"/>
      <c r="F223" s="17"/>
      <c r="G223" s="22"/>
    </row>
    <row r="224" spans="1:7" ht="15.75" thickBot="1">
      <c r="A224" s="3"/>
      <c r="B224" s="3"/>
      <c r="C224" s="4"/>
      <c r="D224" s="4"/>
      <c r="E224" s="4"/>
      <c r="F224" s="17"/>
      <c r="G224" s="22"/>
    </row>
    <row r="225" spans="1:7" ht="15.75" thickBot="1">
      <c r="A225" s="3"/>
      <c r="B225" s="3"/>
      <c r="C225" s="4"/>
      <c r="D225" s="4"/>
      <c r="E225" s="4"/>
      <c r="F225" s="17"/>
      <c r="G225" s="22"/>
    </row>
    <row r="226" spans="1:7" ht="15.75" thickBot="1">
      <c r="A226" s="3"/>
      <c r="B226" s="3"/>
      <c r="C226" s="4"/>
      <c r="D226" s="4"/>
      <c r="E226" s="4"/>
      <c r="F226" s="17"/>
      <c r="G226" s="22"/>
    </row>
    <row r="227" spans="1:7" ht="15.75" thickBot="1">
      <c r="A227" s="3"/>
      <c r="B227" s="3"/>
      <c r="C227" s="4"/>
      <c r="D227" s="4"/>
      <c r="E227" s="4"/>
      <c r="F227" s="17"/>
      <c r="G227" s="22"/>
    </row>
    <row r="228" spans="1:7" ht="15.75" thickBot="1">
      <c r="A228" s="3"/>
      <c r="B228" s="3"/>
      <c r="C228" s="4"/>
      <c r="D228" s="4"/>
      <c r="E228" s="4"/>
      <c r="F228" s="17"/>
      <c r="G228" s="22"/>
    </row>
    <row r="229" spans="1:7" ht="15.75" thickBot="1">
      <c r="A229" s="3"/>
      <c r="B229" s="3"/>
      <c r="C229" s="4"/>
      <c r="D229" s="4"/>
      <c r="E229" s="4"/>
      <c r="F229" s="17"/>
      <c r="G229" s="22"/>
    </row>
    <row r="230" spans="1:7" ht="15.75" thickBot="1">
      <c r="A230" s="3"/>
      <c r="B230" s="3"/>
      <c r="C230" s="4"/>
      <c r="D230" s="4"/>
      <c r="E230" s="4"/>
      <c r="F230" s="17"/>
      <c r="G230" s="22"/>
    </row>
    <row r="231" spans="1:7" ht="15.75" thickBot="1">
      <c r="A231" s="3"/>
      <c r="B231" s="3"/>
      <c r="C231" s="4"/>
      <c r="D231" s="4"/>
      <c r="E231" s="4"/>
      <c r="F231" s="17"/>
      <c r="G231" s="22"/>
    </row>
    <row r="232" spans="1:7" ht="15.75" thickBot="1">
      <c r="A232" s="3"/>
      <c r="B232" s="3"/>
      <c r="C232" s="4"/>
      <c r="D232" s="4"/>
      <c r="E232" s="4"/>
      <c r="F232" s="17"/>
      <c r="G232" s="22"/>
    </row>
    <row r="233" spans="1:7" ht="15.75" thickBot="1">
      <c r="A233" s="3"/>
      <c r="B233" s="3"/>
      <c r="C233" s="4"/>
      <c r="D233" s="4"/>
      <c r="E233" s="4"/>
      <c r="F233" s="17"/>
      <c r="G233" s="22"/>
    </row>
    <row r="234" spans="1:7" ht="15.75" thickBot="1">
      <c r="A234" s="3"/>
      <c r="B234" s="3"/>
      <c r="C234" s="4"/>
      <c r="D234" s="4"/>
      <c r="E234" s="4"/>
      <c r="F234" s="17"/>
      <c r="G234" s="22"/>
    </row>
    <row r="235" spans="1:7" ht="15.75" thickBot="1">
      <c r="A235" s="3"/>
      <c r="B235" s="3"/>
      <c r="C235" s="4"/>
      <c r="D235" s="4"/>
      <c r="E235" s="4"/>
      <c r="F235" s="17"/>
      <c r="G235" s="22"/>
    </row>
    <row r="236" spans="1:7" ht="15.75" thickBot="1">
      <c r="A236" s="3"/>
      <c r="B236" s="3"/>
      <c r="C236" s="4"/>
      <c r="D236" s="4"/>
      <c r="E236" s="4"/>
      <c r="F236" s="17"/>
      <c r="G236" s="22"/>
    </row>
    <row r="237" spans="1:7" ht="15.75" thickBot="1">
      <c r="A237" s="3"/>
      <c r="B237" s="3"/>
      <c r="C237" s="4"/>
      <c r="D237" s="4"/>
      <c r="E237" s="4"/>
      <c r="F237" s="17"/>
      <c r="G237" s="22"/>
    </row>
    <row r="238" spans="1:7" ht="15.75" thickBot="1">
      <c r="A238" s="3"/>
      <c r="B238" s="3"/>
      <c r="C238" s="4"/>
      <c r="D238" s="4"/>
      <c r="E238" s="4"/>
      <c r="F238" s="17"/>
      <c r="G238" s="22"/>
    </row>
    <row r="239" spans="1:7" ht="15.75" thickBot="1">
      <c r="A239" s="3"/>
      <c r="B239" s="3"/>
      <c r="C239" s="4"/>
      <c r="D239" s="4"/>
      <c r="E239" s="4"/>
      <c r="F239" s="17"/>
      <c r="G239" s="22"/>
    </row>
    <row r="240" spans="1:7" ht="15.75" thickBot="1">
      <c r="A240" s="3"/>
      <c r="B240" s="3"/>
      <c r="C240" s="4"/>
      <c r="D240" s="4"/>
      <c r="E240" s="4"/>
      <c r="F240" s="17"/>
      <c r="G240" s="22"/>
    </row>
    <row r="241" spans="1:7" ht="15.75" thickBot="1">
      <c r="A241" s="3"/>
      <c r="B241" s="3"/>
      <c r="C241" s="4"/>
      <c r="D241" s="4"/>
      <c r="E241" s="4"/>
      <c r="F241" s="17"/>
      <c r="G241" s="22"/>
    </row>
    <row r="242" spans="1:7" ht="15.75" thickBot="1">
      <c r="A242" s="3"/>
      <c r="B242" s="3"/>
      <c r="C242" s="4"/>
      <c r="D242" s="4"/>
      <c r="E242" s="4"/>
      <c r="F242" s="17"/>
      <c r="G242" s="22"/>
    </row>
    <row r="243" spans="1:7" ht="15.75" thickBot="1">
      <c r="A243" s="3"/>
      <c r="B243" s="3"/>
      <c r="C243" s="4"/>
      <c r="D243" s="4"/>
      <c r="E243" s="4"/>
      <c r="F243" s="17"/>
      <c r="G243" s="22"/>
    </row>
    <row r="244" spans="1:7" ht="15.75" thickBot="1">
      <c r="A244" s="3"/>
      <c r="B244" s="3"/>
      <c r="C244" s="4"/>
      <c r="D244" s="4"/>
      <c r="E244" s="4"/>
      <c r="F244" s="17"/>
      <c r="G244" s="22"/>
    </row>
    <row r="245" spans="1:7" ht="15.75" thickBot="1">
      <c r="A245" s="3"/>
      <c r="B245" s="3"/>
      <c r="C245" s="4"/>
      <c r="D245" s="4"/>
      <c r="E245" s="4"/>
      <c r="F245" s="17"/>
      <c r="G245" s="22"/>
    </row>
    <row r="246" spans="1:7" ht="15.75" thickBot="1">
      <c r="A246" s="3"/>
      <c r="B246" s="3"/>
      <c r="C246" s="4"/>
      <c r="D246" s="4"/>
      <c r="E246" s="4"/>
      <c r="F246" s="17"/>
      <c r="G246" s="22"/>
    </row>
    <row r="247" spans="1:7" ht="15.75" thickBot="1">
      <c r="A247" s="3"/>
      <c r="B247" s="3"/>
      <c r="C247" s="4"/>
      <c r="D247" s="4"/>
      <c r="E247" s="4"/>
      <c r="F247" s="17"/>
      <c r="G247" s="22"/>
    </row>
    <row r="248" spans="1:7" ht="15.75" thickBot="1">
      <c r="A248" s="3"/>
      <c r="B248" s="3"/>
      <c r="C248" s="4"/>
      <c r="D248" s="4"/>
      <c r="E248" s="4"/>
      <c r="F248" s="17"/>
      <c r="G248" s="22"/>
    </row>
    <row r="249" spans="1:7" ht="15.75" thickBot="1">
      <c r="A249" s="3"/>
      <c r="B249" s="3"/>
      <c r="C249" s="4"/>
      <c r="D249" s="4"/>
      <c r="E249" s="4"/>
      <c r="F249" s="17"/>
      <c r="G249" s="22"/>
    </row>
    <row r="250" spans="1:7" ht="15.75" thickBot="1">
      <c r="A250" s="3"/>
      <c r="B250" s="3"/>
      <c r="C250" s="4"/>
      <c r="D250" s="4"/>
      <c r="E250" s="4"/>
      <c r="F250" s="17"/>
      <c r="G250" s="22"/>
    </row>
    <row r="251" spans="1:7" ht="15.75" thickBot="1">
      <c r="A251" s="3"/>
      <c r="B251" s="3"/>
      <c r="C251" s="4"/>
      <c r="D251" s="4"/>
      <c r="E251" s="4"/>
      <c r="F251" s="17"/>
      <c r="G251" s="22"/>
    </row>
    <row r="252" spans="1:7" ht="15.75" thickBot="1">
      <c r="A252" s="3"/>
      <c r="B252" s="3"/>
      <c r="C252" s="4"/>
      <c r="D252" s="4"/>
      <c r="E252" s="4"/>
      <c r="F252" s="17"/>
      <c r="G252" s="22"/>
    </row>
    <row r="253" spans="1:7" ht="15.75" thickBot="1">
      <c r="A253" s="3"/>
      <c r="B253" s="3"/>
      <c r="C253" s="4"/>
      <c r="D253" s="4"/>
      <c r="E253" s="4"/>
      <c r="F253" s="17"/>
      <c r="G253" s="22"/>
    </row>
    <row r="254" spans="1:7" ht="15.75" thickBot="1">
      <c r="A254" s="3"/>
      <c r="B254" s="3"/>
      <c r="C254" s="4"/>
      <c r="D254" s="4"/>
      <c r="E254" s="4"/>
      <c r="F254" s="17"/>
      <c r="G254" s="22"/>
    </row>
    <row r="255" spans="1:7" ht="15.75" thickBot="1">
      <c r="A255" s="3"/>
      <c r="B255" s="3"/>
      <c r="C255" s="4"/>
      <c r="D255" s="4"/>
      <c r="E255" s="4"/>
      <c r="F255" s="17"/>
      <c r="G255" s="22"/>
    </row>
    <row r="256" spans="1:7" ht="15.75" thickBot="1">
      <c r="A256" s="3"/>
      <c r="B256" s="3"/>
      <c r="C256" s="4"/>
      <c r="D256" s="4"/>
      <c r="E256" s="4"/>
      <c r="F256" s="17"/>
      <c r="G256" s="22"/>
    </row>
    <row r="257" spans="1:7" ht="15.75" thickBot="1">
      <c r="A257" s="3"/>
      <c r="B257" s="3"/>
      <c r="C257" s="4"/>
      <c r="D257" s="4"/>
      <c r="E257" s="4"/>
      <c r="F257" s="17"/>
      <c r="G257" s="22"/>
    </row>
    <row r="258" spans="1:7" ht="15.75" thickBot="1">
      <c r="A258" s="3"/>
      <c r="B258" s="3"/>
      <c r="C258" s="4"/>
      <c r="D258" s="4"/>
      <c r="E258" s="4"/>
      <c r="F258" s="17"/>
      <c r="G258" s="22"/>
    </row>
    <row r="259" spans="1:7" ht="15.75" thickBot="1">
      <c r="A259" s="3"/>
      <c r="B259" s="3"/>
      <c r="C259" s="4"/>
      <c r="D259" s="4"/>
      <c r="E259" s="4"/>
      <c r="F259" s="17"/>
      <c r="G259" s="22"/>
    </row>
    <row r="260" spans="1:7" ht="15.75" thickBot="1">
      <c r="A260" s="3"/>
      <c r="B260" s="3"/>
      <c r="C260" s="4"/>
      <c r="D260" s="4"/>
      <c r="E260" s="4"/>
      <c r="F260" s="17"/>
      <c r="G260" s="22"/>
    </row>
    <row r="261" spans="1:7" ht="15.75" thickBot="1">
      <c r="A261" s="3"/>
      <c r="B261" s="3"/>
      <c r="C261" s="4"/>
      <c r="D261" s="4"/>
      <c r="E261" s="4"/>
      <c r="F261" s="17"/>
      <c r="G261" s="22"/>
    </row>
    <row r="262" spans="1:7" ht="15.75" thickBot="1">
      <c r="A262" s="3"/>
      <c r="B262" s="3"/>
      <c r="C262" s="4"/>
      <c r="D262" s="4"/>
      <c r="E262" s="4"/>
      <c r="F262" s="17"/>
      <c r="G262" s="22"/>
    </row>
    <row r="263" spans="1:7" ht="15.75" thickBot="1">
      <c r="A263" s="3"/>
      <c r="B263" s="3"/>
      <c r="C263" s="4"/>
      <c r="D263" s="4"/>
      <c r="E263" s="4"/>
      <c r="F263" s="17"/>
      <c r="G263" s="22"/>
    </row>
    <row r="264" spans="1:7" ht="15.75" thickBot="1">
      <c r="A264" s="3"/>
      <c r="B264" s="3"/>
      <c r="C264" s="4"/>
      <c r="D264" s="4"/>
      <c r="E264" s="4"/>
      <c r="F264" s="17"/>
      <c r="G264" s="22"/>
    </row>
    <row r="265" spans="1:7" ht="15.75" thickBot="1">
      <c r="A265" s="3"/>
      <c r="B265" s="3"/>
      <c r="C265" s="4"/>
      <c r="D265" s="4"/>
      <c r="E265" s="4"/>
      <c r="F265" s="17"/>
      <c r="G265" s="22"/>
    </row>
    <row r="266" spans="1:7" ht="15.75" thickBot="1">
      <c r="A266" s="3"/>
      <c r="B266" s="3"/>
      <c r="C266" s="4"/>
      <c r="D266" s="4"/>
      <c r="E266" s="4"/>
      <c r="F266" s="17"/>
      <c r="G266" s="22"/>
    </row>
    <row r="267" spans="1:7" ht="15.75" thickBot="1">
      <c r="A267" s="3"/>
      <c r="B267" s="3"/>
      <c r="C267" s="4"/>
      <c r="D267" s="4"/>
      <c r="E267" s="4"/>
      <c r="F267" s="17"/>
      <c r="G267" s="22"/>
    </row>
    <row r="268" spans="1:7" ht="15.75" thickBot="1">
      <c r="A268" s="3"/>
      <c r="B268" s="3"/>
      <c r="C268" s="4"/>
      <c r="D268" s="4"/>
      <c r="E268" s="4"/>
      <c r="F268" s="17"/>
      <c r="G268" s="22"/>
    </row>
    <row r="269" spans="1:7" ht="15.75" thickBot="1">
      <c r="A269" s="3"/>
      <c r="B269" s="3"/>
      <c r="C269" s="4"/>
      <c r="D269" s="4"/>
      <c r="E269" s="4"/>
      <c r="F269" s="17"/>
      <c r="G269" s="22"/>
    </row>
    <row r="270" spans="1:7" ht="15.75" thickBot="1">
      <c r="A270" s="3"/>
      <c r="B270" s="3"/>
      <c r="C270" s="4"/>
      <c r="D270" s="4"/>
      <c r="E270" s="4"/>
      <c r="F270" s="17"/>
      <c r="G270" s="22"/>
    </row>
    <row r="271" spans="1:7" ht="15.75" thickBot="1">
      <c r="A271" s="3"/>
      <c r="B271" s="3"/>
      <c r="C271" s="4"/>
      <c r="D271" s="4"/>
      <c r="E271" s="4"/>
      <c r="F271" s="17"/>
      <c r="G271" s="22"/>
    </row>
    <row r="272" spans="1:7" ht="15.75" thickBot="1">
      <c r="A272" s="3"/>
      <c r="B272" s="3"/>
      <c r="C272" s="4"/>
      <c r="D272" s="4"/>
      <c r="E272" s="4"/>
      <c r="F272" s="17"/>
      <c r="G272" s="22"/>
    </row>
    <row r="273" spans="1:7" ht="15.75" thickBot="1">
      <c r="A273" s="3"/>
      <c r="B273" s="3"/>
      <c r="C273" s="4"/>
      <c r="D273" s="4"/>
      <c r="E273" s="4"/>
      <c r="F273" s="17"/>
      <c r="G273" s="22"/>
    </row>
    <row r="274" spans="1:7" ht="15.75" thickBot="1">
      <c r="A274" s="3"/>
      <c r="B274" s="3"/>
      <c r="C274" s="4"/>
      <c r="D274" s="4"/>
      <c r="E274" s="4"/>
      <c r="F274" s="17"/>
      <c r="G274" s="22"/>
    </row>
    <row r="275" spans="1:7" ht="15.75" thickBot="1">
      <c r="A275" s="3"/>
      <c r="B275" s="3"/>
      <c r="C275" s="4"/>
      <c r="D275" s="4"/>
      <c r="E275" s="4"/>
      <c r="F275" s="17"/>
      <c r="G275" s="22"/>
    </row>
    <row r="276" spans="1:7" ht="15.75" thickBot="1">
      <c r="A276" s="3"/>
      <c r="B276" s="3"/>
      <c r="C276" s="4"/>
      <c r="D276" s="4"/>
      <c r="E276" s="4"/>
      <c r="F276" s="17"/>
      <c r="G276" s="22"/>
    </row>
    <row r="277" spans="1:7" ht="15.75" thickBot="1">
      <c r="A277" s="3"/>
      <c r="B277" s="3"/>
      <c r="C277" s="4"/>
      <c r="D277" s="4"/>
      <c r="E277" s="4"/>
      <c r="F277" s="17"/>
      <c r="G277" s="22"/>
    </row>
    <row r="278" spans="1:7" ht="15.75" thickBot="1">
      <c r="A278" s="3"/>
      <c r="B278" s="3"/>
      <c r="C278" s="4"/>
      <c r="D278" s="4"/>
      <c r="E278" s="4"/>
      <c r="F278" s="17"/>
      <c r="G278" s="22"/>
    </row>
    <row r="279" spans="1:7" ht="15.75" thickBot="1">
      <c r="A279" s="3"/>
      <c r="B279" s="3"/>
      <c r="C279" s="4"/>
      <c r="D279" s="4"/>
      <c r="E279" s="4"/>
      <c r="F279" s="17"/>
      <c r="G279" s="22"/>
    </row>
    <row r="280" spans="1:7" ht="15.75" thickBot="1">
      <c r="A280" s="3"/>
      <c r="B280" s="3"/>
      <c r="C280" s="4"/>
      <c r="D280" s="4"/>
      <c r="E280" s="4"/>
      <c r="F280" s="17"/>
      <c r="G280" s="22"/>
    </row>
    <row r="281" spans="1:7" ht="15.75" thickBot="1">
      <c r="A281" s="3"/>
      <c r="B281" s="3"/>
      <c r="C281" s="4"/>
      <c r="D281" s="4"/>
      <c r="E281" s="4"/>
      <c r="F281" s="17"/>
      <c r="G281" s="22"/>
    </row>
    <row r="282" spans="1:7" ht="15.75" thickBot="1">
      <c r="A282" s="3"/>
      <c r="B282" s="3"/>
      <c r="C282" s="4"/>
      <c r="D282" s="4"/>
      <c r="E282" s="4"/>
      <c r="F282" s="17"/>
      <c r="G282" s="22"/>
    </row>
    <row r="283" spans="1:7" ht="15.75" thickBot="1">
      <c r="A283" s="3"/>
      <c r="B283" s="3"/>
      <c r="C283" s="4"/>
      <c r="D283" s="4"/>
      <c r="E283" s="4"/>
      <c r="F283" s="17"/>
      <c r="G283" s="22"/>
    </row>
    <row r="284" spans="1:7" ht="15.75" thickBot="1">
      <c r="A284" s="3"/>
      <c r="B284" s="3"/>
      <c r="C284" s="4"/>
      <c r="D284" s="4"/>
      <c r="E284" s="4"/>
      <c r="F284" s="17"/>
      <c r="G284" s="22"/>
    </row>
    <row r="285" spans="1:7" ht="15.75" thickBot="1">
      <c r="A285" s="3"/>
      <c r="B285" s="3"/>
      <c r="C285" s="4"/>
      <c r="D285" s="4"/>
      <c r="E285" s="4"/>
      <c r="F285" s="17"/>
      <c r="G285" s="22"/>
    </row>
    <row r="286" spans="1:7" ht="15.75" thickBot="1">
      <c r="A286" s="3"/>
      <c r="B286" s="3"/>
      <c r="C286" s="4"/>
      <c r="D286" s="4"/>
      <c r="E286" s="4"/>
      <c r="F286" s="17"/>
      <c r="G286" s="22"/>
    </row>
    <row r="287" spans="1:7" ht="15.75" thickBot="1">
      <c r="A287" s="3"/>
      <c r="B287" s="3"/>
      <c r="C287" s="4"/>
      <c r="D287" s="4"/>
      <c r="E287" s="4"/>
      <c r="F287" s="17"/>
      <c r="G287" s="22"/>
    </row>
    <row r="288" spans="1:7" ht="15.75" thickBot="1">
      <c r="A288" s="3"/>
      <c r="B288" s="3"/>
      <c r="C288" s="4"/>
      <c r="D288" s="4"/>
      <c r="E288" s="4"/>
      <c r="F288" s="17"/>
      <c r="G288" s="22"/>
    </row>
    <row r="289" spans="1:7" ht="15.75" thickBot="1">
      <c r="A289" s="3"/>
      <c r="B289" s="3"/>
      <c r="C289" s="4"/>
      <c r="D289" s="4"/>
      <c r="E289" s="4"/>
      <c r="F289" s="17"/>
      <c r="G289" s="22"/>
    </row>
    <row r="290" spans="1:7" ht="15.75" thickBot="1">
      <c r="A290" s="3"/>
      <c r="B290" s="3"/>
      <c r="C290" s="4"/>
      <c r="D290" s="4"/>
      <c r="E290" s="4"/>
      <c r="F290" s="17"/>
      <c r="G290" s="22"/>
    </row>
    <row r="291" spans="1:7" ht="15.75" thickBot="1">
      <c r="A291" s="3"/>
      <c r="B291" s="3"/>
      <c r="C291" s="4"/>
      <c r="D291" s="4"/>
      <c r="E291" s="4"/>
      <c r="F291" s="17"/>
      <c r="G291" s="22"/>
    </row>
    <row r="292" spans="1:7" ht="15.75" thickBot="1">
      <c r="A292" s="3"/>
      <c r="B292" s="3"/>
      <c r="C292" s="4"/>
      <c r="D292" s="4"/>
      <c r="E292" s="4"/>
      <c r="F292" s="17"/>
      <c r="G292" s="22"/>
    </row>
    <row r="293" spans="1:7" ht="15.75" thickBot="1">
      <c r="A293" s="3"/>
      <c r="B293" s="3"/>
      <c r="C293" s="4"/>
      <c r="D293" s="4"/>
      <c r="E293" s="4"/>
      <c r="F293" s="17"/>
      <c r="G293" s="22"/>
    </row>
    <row r="294" spans="1:7" ht="15.75" thickBot="1">
      <c r="A294" s="3"/>
      <c r="B294" s="3"/>
      <c r="C294" s="4"/>
      <c r="D294" s="4"/>
      <c r="E294" s="4"/>
      <c r="F294" s="17"/>
      <c r="G294" s="22"/>
    </row>
    <row r="295" spans="1:7" ht="15.75" thickBot="1">
      <c r="A295" s="3"/>
      <c r="B295" s="3"/>
      <c r="C295" s="4"/>
      <c r="D295" s="4"/>
      <c r="E295" s="4"/>
      <c r="F295" s="17"/>
      <c r="G295" s="22"/>
    </row>
    <row r="296" spans="1:7" ht="15.75" thickBot="1">
      <c r="A296" s="3"/>
      <c r="B296" s="3"/>
      <c r="C296" s="4"/>
      <c r="D296" s="4"/>
      <c r="E296" s="4"/>
      <c r="F296" s="17"/>
      <c r="G296" s="22"/>
    </row>
    <row r="297" spans="1:7" ht="15.75" thickBot="1">
      <c r="A297" s="3"/>
      <c r="B297" s="3"/>
      <c r="C297" s="4"/>
      <c r="D297" s="4"/>
      <c r="E297" s="4"/>
      <c r="F297" s="17"/>
      <c r="G297" s="22"/>
    </row>
    <row r="298" spans="1:7" ht="15.75" thickBot="1">
      <c r="A298" s="3"/>
      <c r="B298" s="3"/>
      <c r="C298" s="4"/>
      <c r="D298" s="4"/>
      <c r="E298" s="4"/>
      <c r="F298" s="17"/>
      <c r="G298" s="22"/>
    </row>
    <row r="299" spans="1:7" ht="15.75" thickBot="1">
      <c r="A299" s="3"/>
      <c r="B299" s="3"/>
      <c r="C299" s="4"/>
      <c r="D299" s="4"/>
      <c r="E299" s="4"/>
      <c r="F299" s="17"/>
      <c r="G299" s="22"/>
    </row>
    <row r="300" spans="1:7" ht="15.75" thickBot="1">
      <c r="A300" s="3"/>
      <c r="B300" s="3"/>
      <c r="C300" s="4"/>
      <c r="D300" s="4"/>
      <c r="E300" s="4"/>
      <c r="F300" s="17"/>
      <c r="G300" s="22"/>
    </row>
    <row r="301" spans="1:7" ht="15.75" thickBot="1">
      <c r="A301" s="3"/>
      <c r="B301" s="3"/>
      <c r="C301" s="4"/>
      <c r="D301" s="4"/>
      <c r="E301" s="4"/>
      <c r="F301" s="17"/>
      <c r="G301" s="22"/>
    </row>
    <row r="302" spans="1:7" ht="15.75" thickBot="1">
      <c r="A302" s="3"/>
      <c r="B302" s="3"/>
      <c r="C302" s="4"/>
      <c r="D302" s="4"/>
      <c r="E302" s="4"/>
      <c r="F302" s="17"/>
      <c r="G302" s="22"/>
    </row>
    <row r="303" spans="1:7" ht="15.75" thickBot="1">
      <c r="A303" s="3"/>
      <c r="B303" s="3"/>
      <c r="C303" s="4"/>
      <c r="D303" s="4"/>
      <c r="E303" s="4"/>
      <c r="F303" s="17"/>
      <c r="G303" s="22"/>
    </row>
    <row r="304" spans="1:7" ht="15.75" thickBot="1">
      <c r="A304" s="3"/>
      <c r="B304" s="3"/>
      <c r="C304" s="4"/>
      <c r="D304" s="4"/>
      <c r="E304" s="4"/>
      <c r="F304" s="17"/>
      <c r="G304" s="22"/>
    </row>
    <row r="305" spans="1:7" ht="15.75" thickBot="1">
      <c r="A305" s="3"/>
      <c r="B305" s="3"/>
      <c r="C305" s="4"/>
      <c r="D305" s="4"/>
      <c r="E305" s="4"/>
      <c r="F305" s="17"/>
      <c r="G305" s="22"/>
    </row>
    <row r="306" spans="1:7" ht="15.75" thickBot="1">
      <c r="A306" s="3"/>
      <c r="B306" s="3"/>
      <c r="C306" s="4"/>
      <c r="D306" s="4"/>
      <c r="E306" s="4"/>
      <c r="F306" s="17"/>
      <c r="G306" s="22"/>
    </row>
    <row r="307" spans="1:7" ht="15.75" thickBot="1">
      <c r="A307" s="3"/>
      <c r="B307" s="3"/>
      <c r="C307" s="4"/>
      <c r="D307" s="4"/>
      <c r="E307" s="4"/>
      <c r="F307" s="17"/>
      <c r="G307" s="22"/>
    </row>
    <row r="308" spans="1:7" ht="15.75" thickBot="1">
      <c r="A308" s="3"/>
      <c r="B308" s="3"/>
      <c r="C308" s="4"/>
      <c r="D308" s="4"/>
      <c r="E308" s="4"/>
      <c r="F308" s="17"/>
      <c r="G308" s="22"/>
    </row>
    <row r="309" spans="1:7" ht="15.75" thickBot="1">
      <c r="A309" s="3"/>
      <c r="B309" s="3"/>
      <c r="C309" s="4"/>
      <c r="D309" s="4"/>
      <c r="E309" s="4"/>
      <c r="F309" s="17"/>
      <c r="G309" s="22"/>
    </row>
    <row r="310" spans="1:7" ht="15.75" thickBot="1">
      <c r="A310" s="3"/>
      <c r="B310" s="3"/>
      <c r="C310" s="4"/>
      <c r="D310" s="4"/>
      <c r="E310" s="4"/>
      <c r="F310" s="17"/>
      <c r="G310" s="22"/>
    </row>
    <row r="311" spans="1:7" ht="15.75" thickBot="1">
      <c r="A311" s="3"/>
      <c r="B311" s="3"/>
      <c r="C311" s="4"/>
      <c r="D311" s="4"/>
      <c r="E311" s="4"/>
      <c r="F311" s="17"/>
      <c r="G311" s="22"/>
    </row>
    <row r="312" spans="1:7" ht="15.75" thickBot="1">
      <c r="A312" s="3"/>
      <c r="B312" s="3"/>
      <c r="C312" s="4"/>
      <c r="D312" s="4"/>
      <c r="E312" s="4"/>
      <c r="F312" s="17"/>
      <c r="G312" s="22"/>
    </row>
    <row r="313" spans="1:7" ht="15.75" thickBot="1">
      <c r="A313" s="3"/>
      <c r="B313" s="3"/>
      <c r="C313" s="4"/>
      <c r="D313" s="4"/>
      <c r="E313" s="4"/>
      <c r="F313" s="17"/>
      <c r="G313" s="22"/>
    </row>
    <row r="314" spans="1:7" ht="15.75" thickBot="1">
      <c r="A314" s="3"/>
      <c r="B314" s="3"/>
      <c r="C314" s="4"/>
      <c r="D314" s="4"/>
      <c r="E314" s="4"/>
      <c r="F314" s="17"/>
      <c r="G314" s="22"/>
    </row>
    <row r="315" spans="1:7" ht="15.75" thickBot="1">
      <c r="A315" s="3"/>
      <c r="B315" s="3"/>
      <c r="C315" s="4"/>
      <c r="D315" s="4"/>
      <c r="E315" s="4"/>
      <c r="F315" s="17"/>
      <c r="G315" s="22"/>
    </row>
    <row r="316" spans="1:7" ht="15.75" thickBot="1">
      <c r="A316" s="3"/>
      <c r="B316" s="3"/>
      <c r="C316" s="4"/>
      <c r="D316" s="4"/>
      <c r="E316" s="4"/>
      <c r="F316" s="17"/>
      <c r="G316" s="22"/>
    </row>
    <row r="317" spans="1:7" ht="15.75" thickBot="1">
      <c r="A317" s="3"/>
      <c r="B317" s="3"/>
      <c r="C317" s="4"/>
      <c r="D317" s="4"/>
      <c r="E317" s="4"/>
      <c r="F317" s="17"/>
      <c r="G317" s="22"/>
    </row>
    <row r="318" spans="1:7" ht="15.75" thickBot="1">
      <c r="A318" s="3"/>
      <c r="B318" s="3"/>
      <c r="C318" s="4"/>
      <c r="D318" s="4"/>
      <c r="E318" s="4"/>
      <c r="F318" s="17"/>
      <c r="G318" s="22"/>
    </row>
    <row r="319" spans="1:7" ht="15.75" thickBot="1">
      <c r="A319" s="3"/>
      <c r="B319" s="3"/>
      <c r="C319" s="4"/>
      <c r="D319" s="4"/>
      <c r="E319" s="4"/>
      <c r="F319" s="17"/>
      <c r="G319" s="22"/>
    </row>
    <row r="320" spans="1:7" ht="15.75" thickBot="1">
      <c r="A320" s="3"/>
      <c r="B320" s="3"/>
      <c r="C320" s="4"/>
      <c r="D320" s="4"/>
      <c r="E320" s="4"/>
      <c r="F320" s="17"/>
      <c r="G320" s="22"/>
    </row>
    <row r="321" spans="1:7" ht="15.75" thickBot="1">
      <c r="A321" s="3"/>
      <c r="B321" s="3"/>
      <c r="C321" s="4"/>
      <c r="D321" s="4"/>
      <c r="E321" s="4"/>
      <c r="F321" s="17"/>
      <c r="G321" s="22"/>
    </row>
    <row r="322" spans="1:7" ht="15.75" thickBot="1">
      <c r="A322" s="3"/>
      <c r="B322" s="3"/>
      <c r="C322" s="4"/>
      <c r="D322" s="4"/>
      <c r="E322" s="4"/>
      <c r="F322" s="17"/>
      <c r="G322" s="22"/>
    </row>
    <row r="323" spans="1:7" ht="15.75" thickBot="1">
      <c r="A323" s="3"/>
      <c r="B323" s="3"/>
      <c r="C323" s="4"/>
      <c r="D323" s="4"/>
      <c r="E323" s="4"/>
      <c r="F323" s="17"/>
      <c r="G323" s="22"/>
    </row>
    <row r="324" spans="1:7" ht="15.75" thickBot="1">
      <c r="A324" s="3"/>
      <c r="B324" s="3"/>
      <c r="C324" s="4"/>
      <c r="D324" s="4"/>
      <c r="E324" s="4"/>
      <c r="F324" s="17"/>
      <c r="G324" s="22"/>
    </row>
    <row r="325" spans="1:7" ht="15.75" thickBot="1">
      <c r="A325" s="3"/>
      <c r="B325" s="3"/>
      <c r="C325" s="4"/>
      <c r="D325" s="4"/>
      <c r="E325" s="4"/>
      <c r="F325" s="17"/>
      <c r="G325" s="22"/>
    </row>
    <row r="326" spans="1:7" ht="15.75" thickBot="1">
      <c r="A326" s="3"/>
      <c r="B326" s="3"/>
      <c r="C326" s="4"/>
      <c r="D326" s="4"/>
      <c r="E326" s="4"/>
      <c r="F326" s="17"/>
      <c r="G326" s="22"/>
    </row>
    <row r="327" spans="1:7" ht="15.75" thickBot="1">
      <c r="A327" s="3"/>
      <c r="B327" s="3"/>
      <c r="C327" s="4"/>
      <c r="D327" s="4"/>
      <c r="E327" s="4"/>
      <c r="F327" s="17"/>
      <c r="G327" s="22"/>
    </row>
    <row r="328" spans="1:7" ht="15.75" thickBot="1">
      <c r="A328" s="3"/>
      <c r="B328" s="3"/>
      <c r="C328" s="4"/>
      <c r="D328" s="4"/>
      <c r="E328" s="4"/>
      <c r="F328" s="17"/>
      <c r="G328" s="22"/>
    </row>
    <row r="329" spans="1:7" ht="15.75" thickBot="1">
      <c r="A329" s="3"/>
      <c r="B329" s="3"/>
      <c r="C329" s="4"/>
      <c r="D329" s="4"/>
      <c r="E329" s="4"/>
      <c r="F329" s="17"/>
      <c r="G329" s="22"/>
    </row>
    <row r="330" spans="1:7" ht="15.75" thickBot="1">
      <c r="A330" s="3"/>
      <c r="B330" s="3"/>
      <c r="C330" s="4"/>
      <c r="D330" s="4"/>
      <c r="E330" s="4"/>
      <c r="F330" s="17"/>
      <c r="G330" s="22"/>
    </row>
    <row r="331" spans="1:7" ht="15.75" thickBot="1">
      <c r="A331" s="3"/>
      <c r="B331" s="3"/>
      <c r="C331" s="4"/>
      <c r="D331" s="4"/>
      <c r="E331" s="4"/>
      <c r="F331" s="17"/>
      <c r="G331" s="22"/>
    </row>
    <row r="332" spans="1:7" ht="15.75" thickBot="1">
      <c r="A332" s="3"/>
      <c r="B332" s="3"/>
      <c r="C332" s="4"/>
      <c r="D332" s="4"/>
      <c r="E332" s="4"/>
      <c r="F332" s="17"/>
      <c r="G332" s="22"/>
    </row>
    <row r="333" spans="1:7" ht="15.75" thickBot="1">
      <c r="A333" s="3"/>
      <c r="B333" s="3"/>
      <c r="C333" s="4"/>
      <c r="D333" s="4"/>
      <c r="E333" s="4"/>
      <c r="F333" s="17"/>
      <c r="G333" s="22"/>
    </row>
    <row r="334" spans="1:7" ht="15.75" thickBot="1">
      <c r="A334" s="3"/>
      <c r="B334" s="3"/>
      <c r="C334" s="4"/>
      <c r="D334" s="4"/>
      <c r="E334" s="4"/>
      <c r="F334" s="17"/>
      <c r="G334" s="22"/>
    </row>
    <row r="335" spans="1:7" ht="15.75" thickBot="1">
      <c r="A335" s="3"/>
      <c r="B335" s="3"/>
      <c r="C335" s="4"/>
      <c r="D335" s="4"/>
      <c r="E335" s="4"/>
      <c r="F335" s="17"/>
      <c r="G335" s="22"/>
    </row>
    <row r="336" spans="1:7" ht="15.75" thickBot="1">
      <c r="A336" s="3"/>
      <c r="B336" s="3"/>
      <c r="C336" s="4"/>
      <c r="D336" s="4"/>
      <c r="E336" s="4"/>
      <c r="F336" s="17"/>
      <c r="G336" s="22"/>
    </row>
    <row r="337" spans="1:7" ht="15.75" thickBot="1">
      <c r="A337" s="3"/>
      <c r="B337" s="3"/>
      <c r="C337" s="4"/>
      <c r="D337" s="4"/>
      <c r="E337" s="4"/>
      <c r="F337" s="17"/>
      <c r="G337" s="22"/>
    </row>
    <row r="338" spans="1:7" ht="15.75" thickBot="1">
      <c r="A338" s="3"/>
      <c r="B338" s="3"/>
      <c r="C338" s="4"/>
      <c r="D338" s="4"/>
      <c r="E338" s="4"/>
      <c r="F338" s="17"/>
      <c r="G338" s="22"/>
    </row>
    <row r="339" spans="1:7" ht="15.75" thickBot="1">
      <c r="A339" s="3"/>
      <c r="B339" s="3"/>
      <c r="C339" s="4"/>
      <c r="D339" s="4"/>
      <c r="E339" s="4"/>
      <c r="F339" s="17"/>
      <c r="G339" s="22"/>
    </row>
    <row r="340" spans="1:7" ht="15.75" thickBot="1">
      <c r="A340" s="3"/>
      <c r="B340" s="3"/>
      <c r="C340" s="4"/>
      <c r="D340" s="4"/>
      <c r="E340" s="4"/>
      <c r="F340" s="17"/>
      <c r="G340" s="22"/>
    </row>
    <row r="341" spans="1:7" ht="15.75" thickBot="1">
      <c r="A341" s="3"/>
      <c r="B341" s="3"/>
      <c r="C341" s="4"/>
      <c r="D341" s="4"/>
      <c r="E341" s="4"/>
      <c r="F341" s="17"/>
      <c r="G341" s="22"/>
    </row>
    <row r="342" spans="1:7" ht="15.75" thickBot="1">
      <c r="A342" s="3"/>
      <c r="B342" s="3"/>
      <c r="C342" s="4"/>
      <c r="D342" s="4"/>
      <c r="E342" s="4"/>
      <c r="F342" s="17"/>
      <c r="G342" s="22"/>
    </row>
    <row r="343" spans="1:7" ht="15.75" thickBot="1">
      <c r="A343" s="3"/>
      <c r="B343" s="3"/>
      <c r="C343" s="4"/>
      <c r="D343" s="4"/>
      <c r="E343" s="4"/>
      <c r="F343" s="17"/>
      <c r="G343" s="22"/>
    </row>
    <row r="344" spans="1:7" ht="15.75" thickBot="1">
      <c r="A344" s="3"/>
      <c r="B344" s="3"/>
      <c r="C344" s="4"/>
      <c r="D344" s="4"/>
      <c r="E344" s="4"/>
      <c r="F344" s="17"/>
      <c r="G344" s="22"/>
    </row>
    <row r="345" spans="1:7" ht="15.75" thickBot="1">
      <c r="A345" s="3"/>
      <c r="B345" s="3"/>
      <c r="C345" s="4"/>
      <c r="D345" s="4"/>
      <c r="E345" s="4"/>
      <c r="F345" s="17"/>
      <c r="G345" s="22"/>
    </row>
    <row r="346" spans="1:7" ht="15.75" thickBot="1">
      <c r="A346" s="3"/>
      <c r="B346" s="3"/>
      <c r="C346" s="4"/>
      <c r="D346" s="4"/>
      <c r="E346" s="4"/>
      <c r="F346" s="17"/>
      <c r="G346" s="22"/>
    </row>
    <row r="347" spans="1:7" ht="15.75" thickBot="1">
      <c r="A347" s="3"/>
      <c r="B347" s="3"/>
      <c r="C347" s="4"/>
      <c r="D347" s="4"/>
      <c r="E347" s="4"/>
      <c r="F347" s="17"/>
      <c r="G347" s="22"/>
    </row>
    <row r="348" spans="1:7" ht="15.75" thickBot="1">
      <c r="A348" s="3"/>
      <c r="B348" s="3"/>
      <c r="C348" s="4"/>
      <c r="D348" s="4"/>
      <c r="E348" s="4"/>
      <c r="F348" s="17"/>
      <c r="G348" s="22"/>
    </row>
    <row r="349" spans="1:7" ht="15.75" thickBot="1">
      <c r="A349" s="3"/>
      <c r="B349" s="3"/>
      <c r="C349" s="4"/>
      <c r="D349" s="4"/>
      <c r="E349" s="4"/>
      <c r="F349" s="17"/>
      <c r="G349" s="22"/>
    </row>
    <row r="350" spans="1:7" ht="15.75" thickBot="1">
      <c r="A350" s="3"/>
      <c r="B350" s="3"/>
      <c r="C350" s="4"/>
      <c r="D350" s="4"/>
      <c r="E350" s="4"/>
      <c r="F350" s="17"/>
      <c r="G350" s="22"/>
    </row>
    <row r="351" spans="1:7" ht="15.75" thickBot="1">
      <c r="A351" s="3"/>
      <c r="B351" s="3"/>
      <c r="C351" s="4"/>
      <c r="D351" s="4"/>
      <c r="E351" s="4"/>
      <c r="F351" s="17"/>
      <c r="G351" s="22"/>
    </row>
    <row r="352" spans="1:7" ht="15.75" thickBot="1">
      <c r="A352" s="3"/>
      <c r="B352" s="3"/>
      <c r="C352" s="4"/>
      <c r="D352" s="4"/>
      <c r="E352" s="4"/>
      <c r="F352" s="17"/>
      <c r="G352" s="22"/>
    </row>
    <row r="353" spans="1:7" ht="15.75" thickBot="1">
      <c r="A353" s="3"/>
      <c r="B353" s="3"/>
      <c r="C353" s="4"/>
      <c r="D353" s="4"/>
      <c r="E353" s="4"/>
      <c r="F353" s="17"/>
      <c r="G353" s="22"/>
    </row>
    <row r="354" spans="1:7" ht="15.75" thickBot="1">
      <c r="A354" s="3"/>
      <c r="B354" s="3"/>
      <c r="C354" s="4"/>
      <c r="D354" s="4"/>
      <c r="E354" s="4"/>
      <c r="F354" s="17"/>
      <c r="G354" s="22"/>
    </row>
    <row r="355" spans="1:7" ht="15.75" thickBot="1">
      <c r="A355" s="3"/>
      <c r="B355" s="3"/>
      <c r="C355" s="4"/>
      <c r="D355" s="4"/>
      <c r="E355" s="4"/>
      <c r="F355" s="17"/>
      <c r="G355" s="22"/>
    </row>
    <row r="356" spans="1:7" ht="15.75" thickBot="1">
      <c r="A356" s="3"/>
      <c r="B356" s="3"/>
      <c r="C356" s="4"/>
      <c r="D356" s="4"/>
      <c r="E356" s="4"/>
      <c r="F356" s="17"/>
      <c r="G356" s="22"/>
    </row>
    <row r="357" spans="1:7" ht="15.75" thickBot="1">
      <c r="A357" s="3"/>
      <c r="B357" s="3"/>
      <c r="C357" s="4"/>
      <c r="D357" s="4"/>
      <c r="E357" s="4"/>
      <c r="F357" s="17"/>
      <c r="G357" s="22"/>
    </row>
    <row r="358" spans="1:7" ht="15.75" thickBot="1">
      <c r="A358" s="3"/>
      <c r="B358" s="3"/>
      <c r="C358" s="4"/>
      <c r="D358" s="4"/>
      <c r="E358" s="4"/>
      <c r="F358" s="17"/>
      <c r="G358" s="22"/>
    </row>
    <row r="359" spans="1:7" ht="15.75" thickBot="1">
      <c r="A359" s="3"/>
      <c r="B359" s="3"/>
      <c r="C359" s="4"/>
      <c r="D359" s="4"/>
      <c r="E359" s="4"/>
      <c r="F359" s="17"/>
      <c r="G359" s="22"/>
    </row>
    <row r="360" spans="1:7" ht="15.75" thickBot="1">
      <c r="A360" s="3"/>
      <c r="B360" s="3"/>
      <c r="C360" s="4"/>
      <c r="D360" s="4"/>
      <c r="E360" s="4"/>
      <c r="F360" s="17"/>
      <c r="G360" s="22"/>
    </row>
    <row r="361" spans="1:7" ht="15.75" thickBot="1">
      <c r="A361" s="3"/>
      <c r="B361" s="3"/>
      <c r="C361" s="4"/>
      <c r="D361" s="4"/>
      <c r="E361" s="4"/>
      <c r="F361" s="17"/>
      <c r="G361" s="22"/>
    </row>
    <row r="362" spans="1:7" ht="15.75" thickBot="1">
      <c r="A362" s="3"/>
      <c r="B362" s="3"/>
      <c r="C362" s="4"/>
      <c r="D362" s="4"/>
      <c r="E362" s="4"/>
      <c r="F362" s="17"/>
      <c r="G362" s="22"/>
    </row>
    <row r="363" spans="1:7" ht="15.75" thickBot="1">
      <c r="A363" s="3"/>
      <c r="B363" s="3"/>
      <c r="C363" s="4"/>
      <c r="D363" s="4"/>
      <c r="E363" s="4"/>
      <c r="F363" s="17"/>
      <c r="G363" s="22"/>
    </row>
    <row r="364" spans="1:7" ht="15.75" thickBot="1">
      <c r="A364" s="3"/>
      <c r="B364" s="3"/>
      <c r="C364" s="4"/>
      <c r="D364" s="4"/>
      <c r="E364" s="4"/>
      <c r="F364" s="17"/>
      <c r="G364" s="22"/>
    </row>
    <row r="365" spans="1:7" ht="15.75" thickBot="1">
      <c r="A365" s="3"/>
      <c r="B365" s="3"/>
      <c r="C365" s="4"/>
      <c r="D365" s="4"/>
      <c r="E365" s="4"/>
      <c r="F365" s="17"/>
      <c r="G365" s="22"/>
    </row>
    <row r="366" spans="1:7" ht="15.75" thickBot="1">
      <c r="A366" s="3"/>
      <c r="B366" s="3"/>
      <c r="C366" s="4"/>
      <c r="D366" s="4"/>
      <c r="E366" s="4"/>
      <c r="F366" s="17"/>
      <c r="G366" s="22"/>
    </row>
    <row r="367" spans="1:7" ht="15.75" thickBot="1">
      <c r="A367" s="3"/>
      <c r="B367" s="3"/>
      <c r="C367" s="4"/>
      <c r="D367" s="4"/>
      <c r="E367" s="4"/>
      <c r="F367" s="17"/>
      <c r="G367" s="22"/>
    </row>
    <row r="368" spans="1:7" ht="15.75" thickBot="1">
      <c r="A368" s="3"/>
      <c r="B368" s="3"/>
      <c r="C368" s="4"/>
      <c r="D368" s="4"/>
      <c r="E368" s="4"/>
      <c r="F368" s="17"/>
      <c r="G368" s="22"/>
    </row>
    <row r="369" spans="1:7" ht="15.75" thickBot="1">
      <c r="A369" s="3"/>
      <c r="B369" s="3"/>
      <c r="C369" s="4"/>
      <c r="D369" s="4"/>
      <c r="E369" s="4"/>
      <c r="F369" s="17"/>
      <c r="G369" s="22"/>
    </row>
    <row r="370" spans="1:7" ht="15.75" thickBot="1">
      <c r="A370" s="3"/>
      <c r="B370" s="3"/>
      <c r="C370" s="4"/>
      <c r="D370" s="4"/>
      <c r="E370" s="4"/>
      <c r="F370" s="17"/>
      <c r="G370" s="22"/>
    </row>
    <row r="371" spans="1:7" ht="15.75" thickBot="1">
      <c r="A371" s="3"/>
      <c r="B371" s="3"/>
      <c r="C371" s="4"/>
      <c r="D371" s="4"/>
      <c r="E371" s="4"/>
      <c r="F371" s="17"/>
      <c r="G371" s="22"/>
    </row>
    <row r="372" spans="1:7" ht="15.75" thickBot="1">
      <c r="A372" s="3"/>
      <c r="B372" s="3"/>
      <c r="C372" s="4"/>
      <c r="D372" s="4"/>
      <c r="E372" s="4"/>
      <c r="F372" s="17"/>
      <c r="G372" s="22"/>
    </row>
    <row r="373" spans="1:7" ht="15.75" thickBot="1">
      <c r="A373" s="3"/>
      <c r="B373" s="3"/>
      <c r="C373" s="4"/>
      <c r="D373" s="4"/>
      <c r="E373" s="4"/>
      <c r="F373" s="17"/>
      <c r="G373" s="22"/>
    </row>
    <row r="374" spans="1:7" ht="15.75" thickBot="1">
      <c r="A374" s="3"/>
      <c r="B374" s="3"/>
      <c r="C374" s="4"/>
      <c r="D374" s="4"/>
      <c r="E374" s="4"/>
      <c r="F374" s="17"/>
      <c r="G374" s="22"/>
    </row>
    <row r="375" spans="1:7" ht="15.75" thickBot="1">
      <c r="A375" s="3"/>
      <c r="B375" s="3"/>
      <c r="C375" s="4"/>
      <c r="D375" s="4"/>
      <c r="E375" s="4"/>
      <c r="F375" s="17"/>
      <c r="G375" s="22"/>
    </row>
    <row r="376" spans="1:7" ht="15.75" thickBot="1">
      <c r="A376" s="3"/>
      <c r="B376" s="3"/>
      <c r="C376" s="4"/>
      <c r="D376" s="4"/>
      <c r="E376" s="4"/>
      <c r="F376" s="17"/>
      <c r="G376" s="22"/>
    </row>
    <row r="377" spans="1:7" ht="15.75" thickBot="1">
      <c r="A377" s="3"/>
      <c r="B377" s="3"/>
      <c r="C377" s="4"/>
      <c r="D377" s="4"/>
      <c r="E377" s="4"/>
      <c r="F377" s="17"/>
      <c r="G377" s="22"/>
    </row>
    <row r="378" spans="1:7" ht="15.75" thickBot="1">
      <c r="A378" s="3"/>
      <c r="B378" s="3"/>
      <c r="C378" s="4"/>
      <c r="D378" s="4"/>
      <c r="E378" s="4"/>
      <c r="F378" s="17"/>
      <c r="G378" s="22"/>
    </row>
    <row r="379" spans="1:7" ht="15.75" thickBot="1">
      <c r="A379" s="3"/>
      <c r="B379" s="3"/>
      <c r="C379" s="4"/>
      <c r="D379" s="4"/>
      <c r="E379" s="4"/>
      <c r="F379" s="17"/>
      <c r="G379" s="22"/>
    </row>
    <row r="380" spans="1:7" ht="15.75" thickBot="1">
      <c r="A380" s="3"/>
      <c r="B380" s="3"/>
      <c r="C380" s="4"/>
      <c r="D380" s="4"/>
      <c r="E380" s="4"/>
      <c r="F380" s="17"/>
      <c r="G380" s="22"/>
    </row>
    <row r="381" spans="1:7" ht="15.75" thickBot="1">
      <c r="A381" s="3"/>
      <c r="B381" s="3"/>
      <c r="C381" s="4"/>
      <c r="D381" s="4"/>
      <c r="E381" s="4"/>
      <c r="F381" s="17"/>
      <c r="G381" s="22"/>
    </row>
    <row r="382" spans="1:7" ht="15.75" thickBot="1">
      <c r="A382" s="3"/>
      <c r="B382" s="3"/>
      <c r="C382" s="4"/>
      <c r="D382" s="4"/>
      <c r="E382" s="4"/>
      <c r="F382" s="17"/>
      <c r="G382" s="22"/>
    </row>
    <row r="383" spans="1:7" ht="15.75" thickBot="1">
      <c r="A383" s="3"/>
      <c r="B383" s="3"/>
      <c r="C383" s="4"/>
      <c r="D383" s="4"/>
      <c r="E383" s="4"/>
      <c r="F383" s="17"/>
      <c r="G383" s="22"/>
    </row>
    <row r="384" spans="1:7" ht="15.75" thickBot="1">
      <c r="A384" s="3"/>
      <c r="B384" s="3"/>
      <c r="C384" s="4"/>
      <c r="D384" s="4"/>
      <c r="E384" s="4"/>
      <c r="F384" s="17"/>
      <c r="G384" s="22"/>
    </row>
    <row r="385" spans="1:7" ht="15.75" thickBot="1">
      <c r="A385" s="3"/>
      <c r="B385" s="3"/>
      <c r="C385" s="4"/>
      <c r="D385" s="4"/>
      <c r="E385" s="4"/>
      <c r="F385" s="17"/>
      <c r="G385" s="22"/>
    </row>
    <row r="386" spans="1:7" ht="15.75" thickBot="1">
      <c r="A386" s="3"/>
      <c r="B386" s="3"/>
      <c r="C386" s="4"/>
      <c r="D386" s="4"/>
      <c r="E386" s="4"/>
      <c r="F386" s="17"/>
      <c r="G386" s="22"/>
    </row>
    <row r="387" spans="1:7" ht="15.75" thickBot="1">
      <c r="A387" s="3"/>
      <c r="B387" s="3"/>
      <c r="C387" s="4"/>
      <c r="D387" s="4"/>
      <c r="E387" s="4"/>
      <c r="F387" s="17"/>
      <c r="G387" s="22"/>
    </row>
    <row r="388" spans="1:7" ht="15.75" thickBot="1">
      <c r="A388" s="3"/>
      <c r="B388" s="3"/>
      <c r="C388" s="4"/>
      <c r="D388" s="4"/>
      <c r="E388" s="4"/>
      <c r="F388" s="17"/>
      <c r="G388" s="22"/>
    </row>
    <row r="389" spans="1:7" ht="15.75" thickBot="1">
      <c r="A389" s="3"/>
      <c r="B389" s="3"/>
      <c r="C389" s="4"/>
      <c r="D389" s="4"/>
      <c r="E389" s="4"/>
      <c r="F389" s="17"/>
      <c r="G389" s="22"/>
    </row>
    <row r="390" spans="1:7" ht="15.75" thickBot="1">
      <c r="A390" s="3"/>
      <c r="B390" s="3"/>
      <c r="C390" s="4"/>
      <c r="D390" s="4"/>
      <c r="E390" s="4"/>
      <c r="F390" s="17"/>
      <c r="G390" s="22"/>
    </row>
    <row r="391" spans="1:7" ht="15.75" thickBot="1">
      <c r="A391" s="3"/>
      <c r="B391" s="3"/>
      <c r="C391" s="4"/>
      <c r="D391" s="4"/>
      <c r="E391" s="4"/>
      <c r="F391" s="17"/>
      <c r="G391" s="22"/>
    </row>
    <row r="392" spans="1:7" ht="15.75" thickBot="1">
      <c r="A392" s="3"/>
      <c r="B392" s="3"/>
      <c r="C392" s="4"/>
      <c r="D392" s="4"/>
      <c r="E392" s="4"/>
      <c r="F392" s="17"/>
      <c r="G392" s="22"/>
    </row>
    <row r="393" spans="1:7" ht="15.75" thickBot="1">
      <c r="A393" s="3"/>
      <c r="B393" s="3"/>
      <c r="C393" s="4"/>
      <c r="D393" s="4"/>
      <c r="E393" s="4"/>
      <c r="F393" s="17"/>
      <c r="G393" s="22"/>
    </row>
    <row r="394" spans="1:7" ht="15.75" thickBot="1">
      <c r="A394" s="3"/>
      <c r="B394" s="3"/>
      <c r="C394" s="4"/>
      <c r="D394" s="4"/>
      <c r="E394" s="4"/>
      <c r="F394" s="17"/>
      <c r="G394" s="22"/>
    </row>
    <row r="395" spans="1:7" ht="15.75" thickBot="1">
      <c r="A395" s="3"/>
      <c r="B395" s="3"/>
      <c r="C395" s="4"/>
      <c r="D395" s="4"/>
      <c r="E395" s="4"/>
      <c r="F395" s="17"/>
      <c r="G395" s="22"/>
    </row>
    <row r="396" spans="1:7" ht="15.75" thickBot="1">
      <c r="A396" s="3"/>
      <c r="B396" s="3"/>
      <c r="C396" s="4"/>
      <c r="D396" s="4"/>
      <c r="E396" s="4"/>
      <c r="F396" s="17"/>
      <c r="G396" s="22"/>
    </row>
    <row r="397" spans="1:7" ht="15.75" thickBot="1">
      <c r="A397" s="3"/>
      <c r="B397" s="3"/>
      <c r="C397" s="4"/>
      <c r="D397" s="4"/>
      <c r="E397" s="4"/>
      <c r="F397" s="17"/>
      <c r="G397" s="22"/>
    </row>
    <row r="398" spans="1:7" ht="15.75" thickBot="1">
      <c r="A398" s="3"/>
      <c r="B398" s="3"/>
      <c r="C398" s="4"/>
      <c r="D398" s="4"/>
      <c r="E398" s="4"/>
      <c r="F398" s="17"/>
      <c r="G398" s="22"/>
    </row>
    <row r="399" spans="1:7" ht="15.75" thickBot="1">
      <c r="A399" s="3"/>
      <c r="B399" s="3"/>
      <c r="C399" s="4"/>
      <c r="D399" s="4"/>
      <c r="E399" s="4"/>
      <c r="F399" s="17"/>
      <c r="G399" s="22"/>
    </row>
    <row r="400" spans="1:7" ht="15.75" thickBot="1">
      <c r="A400" s="3"/>
      <c r="B400" s="3"/>
      <c r="C400" s="4"/>
      <c r="D400" s="4"/>
      <c r="E400" s="4"/>
      <c r="F400" s="17"/>
      <c r="G400" s="22"/>
    </row>
    <row r="401" spans="1:7" ht="15.75" thickBot="1">
      <c r="A401" s="3"/>
      <c r="B401" s="3"/>
      <c r="C401" s="4"/>
      <c r="D401" s="4"/>
      <c r="E401" s="4"/>
      <c r="F401" s="17"/>
      <c r="G401" s="22"/>
    </row>
    <row r="402" spans="1:7" ht="15.75" thickBot="1">
      <c r="A402" s="3"/>
      <c r="B402" s="3"/>
      <c r="C402" s="4"/>
      <c r="D402" s="4"/>
      <c r="E402" s="4"/>
      <c r="F402" s="17"/>
      <c r="G402" s="22"/>
    </row>
    <row r="403" spans="1:7" ht="15.75" thickBot="1">
      <c r="A403" s="3"/>
      <c r="B403" s="3"/>
      <c r="C403" s="4"/>
      <c r="D403" s="4"/>
      <c r="E403" s="4"/>
      <c r="F403" s="17"/>
      <c r="G403" s="22"/>
    </row>
    <row r="404" spans="1:7" ht="15.75" thickBot="1">
      <c r="A404" s="3"/>
      <c r="B404" s="3"/>
      <c r="C404" s="4"/>
      <c r="D404" s="4"/>
      <c r="E404" s="4"/>
      <c r="F404" s="17"/>
      <c r="G404" s="22"/>
    </row>
    <row r="405" spans="1:7" ht="15.75" thickBot="1">
      <c r="A405" s="3"/>
      <c r="B405" s="3"/>
      <c r="C405" s="4"/>
      <c r="D405" s="4"/>
      <c r="E405" s="4"/>
      <c r="F405" s="17"/>
      <c r="G405" s="22"/>
    </row>
    <row r="406" spans="1:7" ht="15.75" thickBot="1">
      <c r="A406" s="3"/>
      <c r="B406" s="3"/>
      <c r="C406" s="4"/>
      <c r="D406" s="4"/>
      <c r="E406" s="4"/>
      <c r="F406" s="17"/>
      <c r="G406" s="22"/>
    </row>
    <row r="407" spans="1:7" ht="15.75" thickBot="1">
      <c r="A407" s="3"/>
      <c r="B407" s="3"/>
      <c r="C407" s="4"/>
      <c r="D407" s="4"/>
      <c r="E407" s="4"/>
      <c r="F407" s="17"/>
      <c r="G407" s="22"/>
    </row>
    <row r="408" spans="1:7" ht="15.75" thickBot="1">
      <c r="A408" s="3"/>
      <c r="B408" s="3"/>
      <c r="C408" s="4"/>
      <c r="D408" s="4"/>
      <c r="E408" s="4"/>
      <c r="F408" s="17"/>
      <c r="G408" s="22"/>
    </row>
    <row r="409" spans="1:7" ht="15.75" thickBot="1">
      <c r="A409" s="3"/>
      <c r="B409" s="3"/>
      <c r="C409" s="4"/>
      <c r="D409" s="4"/>
      <c r="E409" s="4"/>
      <c r="F409" s="17"/>
      <c r="G409" s="22"/>
    </row>
    <row r="410" spans="1:7" ht="15.75" thickBot="1">
      <c r="A410" s="3"/>
      <c r="B410" s="3"/>
      <c r="C410" s="4"/>
      <c r="D410" s="4"/>
      <c r="E410" s="4"/>
      <c r="F410" s="17"/>
      <c r="G410" s="22"/>
    </row>
    <row r="411" spans="1:7" ht="15.75" thickBot="1">
      <c r="A411" s="3"/>
      <c r="B411" s="3"/>
      <c r="C411" s="4"/>
      <c r="D411" s="4"/>
      <c r="E411" s="4"/>
      <c r="F411" s="17"/>
      <c r="G411" s="22"/>
    </row>
    <row r="412" spans="1:7" ht="15.75" thickBot="1">
      <c r="A412" s="3"/>
      <c r="B412" s="3"/>
      <c r="C412" s="4"/>
      <c r="D412" s="4"/>
      <c r="E412" s="4"/>
      <c r="F412" s="17"/>
      <c r="G412" s="22"/>
    </row>
    <row r="413" spans="1:7" ht="15.75" thickBot="1">
      <c r="A413" s="3"/>
      <c r="B413" s="3"/>
      <c r="C413" s="4"/>
      <c r="D413" s="4"/>
      <c r="E413" s="4"/>
      <c r="F413" s="17"/>
      <c r="G413" s="22"/>
    </row>
    <row r="414" spans="1:7" ht="15.75" thickBot="1">
      <c r="A414" s="3"/>
      <c r="B414" s="3"/>
      <c r="C414" s="4"/>
      <c r="D414" s="4"/>
      <c r="E414" s="4"/>
      <c r="F414" s="17"/>
      <c r="G414" s="22"/>
    </row>
    <row r="415" spans="1:7" ht="15.75" thickBot="1">
      <c r="A415" s="3"/>
      <c r="B415" s="3"/>
      <c r="C415" s="4"/>
      <c r="D415" s="4"/>
      <c r="E415" s="4"/>
      <c r="F415" s="17"/>
      <c r="G415" s="22"/>
    </row>
    <row r="416" spans="1:7" ht="15.75" thickBot="1">
      <c r="A416" s="3"/>
      <c r="B416" s="3"/>
      <c r="C416" s="4"/>
      <c r="D416" s="4"/>
      <c r="E416" s="4"/>
      <c r="F416" s="17"/>
      <c r="G416" s="22"/>
    </row>
    <row r="417" spans="1:7" ht="15.75" thickBot="1">
      <c r="A417" s="3"/>
      <c r="B417" s="3"/>
      <c r="C417" s="4"/>
      <c r="D417" s="4"/>
      <c r="E417" s="4"/>
      <c r="F417" s="17"/>
      <c r="G417" s="22"/>
    </row>
    <row r="418" spans="1:7" ht="15.75" thickBot="1">
      <c r="A418" s="3"/>
      <c r="B418" s="3"/>
      <c r="C418" s="4"/>
      <c r="D418" s="4"/>
      <c r="E418" s="4"/>
      <c r="F418" s="17"/>
      <c r="G418" s="22"/>
    </row>
    <row r="419" spans="1:7" ht="15.75" thickBot="1">
      <c r="A419" s="3"/>
      <c r="B419" s="3"/>
      <c r="C419" s="4"/>
      <c r="D419" s="4"/>
      <c r="E419" s="4"/>
      <c r="F419" s="17"/>
      <c r="G419" s="22"/>
    </row>
    <row r="420" spans="1:7" ht="15.75" thickBot="1">
      <c r="A420" s="3"/>
      <c r="B420" s="3"/>
      <c r="C420" s="4"/>
      <c r="D420" s="4"/>
      <c r="E420" s="4"/>
      <c r="F420" s="17"/>
      <c r="G420" s="22"/>
    </row>
    <row r="421" spans="1:7" ht="15.75" thickBot="1">
      <c r="A421" s="3"/>
      <c r="B421" s="3"/>
      <c r="C421" s="4"/>
      <c r="D421" s="4"/>
      <c r="E421" s="4"/>
      <c r="F421" s="17"/>
      <c r="G421" s="22"/>
    </row>
    <row r="422" spans="1:7" ht="15.75" thickBot="1">
      <c r="A422" s="3"/>
      <c r="B422" s="3"/>
      <c r="C422" s="4"/>
      <c r="D422" s="4"/>
      <c r="E422" s="4"/>
      <c r="F422" s="17"/>
      <c r="G422" s="22"/>
    </row>
    <row r="423" spans="1:7" ht="15.75" thickBot="1">
      <c r="A423" s="3"/>
      <c r="B423" s="3"/>
      <c r="C423" s="4"/>
      <c r="D423" s="4"/>
      <c r="E423" s="4"/>
      <c r="F423" s="17"/>
      <c r="G423" s="22"/>
    </row>
    <row r="424" spans="1:7" ht="15.75" thickBot="1">
      <c r="A424" s="3"/>
      <c r="B424" s="3"/>
      <c r="C424" s="4"/>
      <c r="D424" s="4"/>
      <c r="E424" s="4"/>
      <c r="F424" s="17"/>
      <c r="G424" s="22"/>
    </row>
    <row r="425" spans="1:7" ht="15.75" thickBot="1">
      <c r="A425" s="3"/>
      <c r="B425" s="3"/>
      <c r="C425" s="4"/>
      <c r="D425" s="4"/>
      <c r="E425" s="4"/>
      <c r="F425" s="17"/>
      <c r="G425" s="22"/>
    </row>
    <row r="426" spans="1:7" ht="15.75" thickBot="1">
      <c r="A426" s="3"/>
      <c r="B426" s="3"/>
      <c r="C426" s="4"/>
      <c r="D426" s="4"/>
      <c r="E426" s="4"/>
      <c r="F426" s="17"/>
      <c r="G426" s="22"/>
    </row>
    <row r="427" spans="1:7" ht="15.75" thickBot="1">
      <c r="A427" s="3"/>
      <c r="B427" s="3"/>
      <c r="C427" s="4"/>
      <c r="D427" s="4"/>
      <c r="E427" s="4"/>
      <c r="F427" s="17"/>
      <c r="G427" s="22"/>
    </row>
    <row r="428" spans="1:7" ht="15.75" thickBot="1">
      <c r="A428" s="3"/>
      <c r="B428" s="3"/>
      <c r="C428" s="4"/>
      <c r="D428" s="4"/>
      <c r="E428" s="4"/>
      <c r="F428" s="17"/>
      <c r="G428" s="22"/>
    </row>
    <row r="429" spans="1:7" ht="15.75" thickBot="1">
      <c r="A429" s="3"/>
      <c r="B429" s="3"/>
      <c r="C429" s="4"/>
      <c r="D429" s="4"/>
      <c r="E429" s="4"/>
      <c r="F429" s="17"/>
      <c r="G429" s="22"/>
    </row>
    <row r="430" spans="1:7" ht="15.75" thickBot="1">
      <c r="A430" s="3"/>
      <c r="B430" s="3"/>
      <c r="C430" s="4"/>
      <c r="D430" s="4"/>
      <c r="E430" s="4"/>
      <c r="F430" s="17"/>
      <c r="G430" s="22"/>
    </row>
    <row r="431" spans="1:7" ht="15.75" thickBot="1">
      <c r="A431" s="3"/>
      <c r="B431" s="3"/>
      <c r="C431" s="4"/>
      <c r="D431" s="4"/>
      <c r="E431" s="4"/>
      <c r="F431" s="17"/>
      <c r="G431" s="22"/>
    </row>
    <row r="432" spans="1:7" ht="15.75" thickBot="1">
      <c r="A432" s="3"/>
      <c r="B432" s="3"/>
      <c r="C432" s="4"/>
      <c r="D432" s="4"/>
      <c r="E432" s="4"/>
      <c r="F432" s="17"/>
      <c r="G432" s="22"/>
    </row>
    <row r="433" spans="1:7" ht="15.75" thickBot="1">
      <c r="A433" s="3"/>
      <c r="B433" s="3"/>
      <c r="C433" s="4"/>
      <c r="D433" s="4"/>
      <c r="E433" s="4"/>
      <c r="F433" s="17"/>
      <c r="G433" s="22"/>
    </row>
    <row r="434" spans="1:7" ht="15.75" thickBot="1">
      <c r="A434" s="3"/>
      <c r="B434" s="3"/>
      <c r="C434" s="4"/>
      <c r="D434" s="4"/>
      <c r="E434" s="4"/>
      <c r="F434" s="17"/>
      <c r="G434" s="22"/>
    </row>
    <row r="435" spans="1:7" ht="15.75" thickBot="1">
      <c r="A435" s="3"/>
      <c r="B435" s="3"/>
      <c r="C435" s="4"/>
      <c r="D435" s="4"/>
      <c r="E435" s="4"/>
      <c r="F435" s="17"/>
      <c r="G435" s="22"/>
    </row>
    <row r="436" spans="1:7" ht="15.75" thickBot="1">
      <c r="A436" s="3"/>
      <c r="B436" s="3"/>
      <c r="C436" s="4"/>
      <c r="D436" s="4"/>
      <c r="E436" s="4"/>
      <c r="F436" s="17"/>
      <c r="G436" s="22"/>
    </row>
    <row r="437" spans="1:7" ht="15.75" thickBot="1">
      <c r="A437" s="3"/>
      <c r="B437" s="3"/>
      <c r="C437" s="4"/>
      <c r="D437" s="4"/>
      <c r="E437" s="4"/>
      <c r="F437" s="17"/>
      <c r="G437" s="22"/>
    </row>
    <row r="438" spans="1:7" ht="15.75" thickBot="1">
      <c r="A438" s="3"/>
      <c r="B438" s="3"/>
      <c r="C438" s="4"/>
      <c r="D438" s="4"/>
      <c r="E438" s="4"/>
      <c r="F438" s="17"/>
      <c r="G438" s="22"/>
    </row>
    <row r="439" spans="1:7" ht="15.75" thickBot="1">
      <c r="A439" s="3"/>
      <c r="B439" s="3"/>
      <c r="C439" s="4"/>
      <c r="D439" s="4"/>
      <c r="E439" s="4"/>
      <c r="F439" s="17"/>
      <c r="G439" s="22"/>
    </row>
    <row r="440" spans="1:7" ht="15.75" thickBot="1">
      <c r="A440" s="3"/>
      <c r="B440" s="3"/>
      <c r="C440" s="4"/>
      <c r="D440" s="4"/>
      <c r="E440" s="4"/>
      <c r="F440" s="17"/>
      <c r="G440" s="22"/>
    </row>
    <row r="441" spans="1:7" ht="15.75" thickBot="1">
      <c r="A441" s="3"/>
      <c r="B441" s="3"/>
      <c r="C441" s="4"/>
      <c r="D441" s="4"/>
      <c r="E441" s="4"/>
      <c r="F441" s="17"/>
      <c r="G441" s="22"/>
    </row>
    <row r="442" spans="1:7" ht="15.75" thickBot="1">
      <c r="A442" s="3"/>
      <c r="B442" s="3"/>
      <c r="C442" s="4"/>
      <c r="D442" s="4"/>
      <c r="E442" s="4"/>
      <c r="F442" s="17"/>
      <c r="G442" s="22"/>
    </row>
    <row r="443" spans="1:7" ht="15.75" thickBot="1">
      <c r="A443" s="3"/>
      <c r="B443" s="3"/>
      <c r="C443" s="4"/>
      <c r="D443" s="4"/>
      <c r="E443" s="4"/>
      <c r="F443" s="17"/>
      <c r="G443" s="22"/>
    </row>
    <row r="444" spans="1:7" ht="15.75" thickBot="1">
      <c r="A444" s="3"/>
      <c r="B444" s="3"/>
      <c r="C444" s="4"/>
      <c r="D444" s="4"/>
      <c r="E444" s="4"/>
      <c r="F444" s="17"/>
      <c r="G444" s="22"/>
    </row>
    <row r="445" spans="1:7" ht="15.75" thickBot="1">
      <c r="A445" s="3"/>
      <c r="B445" s="3"/>
      <c r="C445" s="4"/>
      <c r="D445" s="4"/>
      <c r="E445" s="4"/>
      <c r="F445" s="17"/>
      <c r="G445" s="22"/>
    </row>
    <row r="446" spans="1:7" ht="15.75" thickBot="1">
      <c r="A446" s="3"/>
      <c r="B446" s="3"/>
      <c r="C446" s="4"/>
      <c r="D446" s="4"/>
      <c r="E446" s="4"/>
      <c r="F446" s="17"/>
      <c r="G446" s="22"/>
    </row>
    <row r="447" spans="1:7" ht="15.75" thickBot="1">
      <c r="A447" s="3"/>
      <c r="B447" s="3"/>
      <c r="C447" s="4"/>
      <c r="D447" s="4"/>
      <c r="E447" s="4"/>
      <c r="F447" s="17"/>
      <c r="G447" s="22"/>
    </row>
    <row r="448" spans="1:7" ht="15.75" thickBot="1">
      <c r="A448" s="3"/>
      <c r="B448" s="3"/>
      <c r="C448" s="4"/>
      <c r="D448" s="4"/>
      <c r="E448" s="4"/>
      <c r="F448" s="17"/>
      <c r="G448" s="22"/>
    </row>
    <row r="449" spans="1:7" ht="15.75" thickBot="1">
      <c r="A449" s="3"/>
      <c r="B449" s="3"/>
      <c r="C449" s="4"/>
      <c r="D449" s="4"/>
      <c r="E449" s="4"/>
      <c r="F449" s="17"/>
      <c r="G449" s="22"/>
    </row>
    <row r="450" spans="1:7" ht="15.75" thickBot="1">
      <c r="A450" s="3"/>
      <c r="B450" s="3"/>
      <c r="C450" s="4"/>
      <c r="D450" s="4"/>
      <c r="E450" s="4"/>
      <c r="F450" s="17"/>
      <c r="G450" s="22"/>
    </row>
    <row r="451" spans="1:7" ht="15.75" thickBot="1">
      <c r="A451" s="3"/>
      <c r="B451" s="3"/>
      <c r="C451" s="4"/>
      <c r="D451" s="4"/>
      <c r="E451" s="4"/>
      <c r="F451" s="17"/>
      <c r="G451" s="22"/>
    </row>
    <row r="452" spans="1:7" ht="15.75" thickBot="1">
      <c r="A452" s="3"/>
      <c r="B452" s="3"/>
      <c r="C452" s="4"/>
      <c r="D452" s="4"/>
      <c r="E452" s="4"/>
      <c r="F452" s="17"/>
      <c r="G452" s="22"/>
    </row>
    <row r="453" spans="1:7" ht="15.75" thickBot="1">
      <c r="A453" s="3"/>
      <c r="B453" s="3"/>
      <c r="C453" s="4"/>
      <c r="D453" s="4"/>
      <c r="E453" s="4"/>
      <c r="F453" s="17"/>
      <c r="G453" s="22"/>
    </row>
    <row r="454" spans="1:7" ht="15.75" thickBot="1">
      <c r="A454" s="3"/>
      <c r="B454" s="3"/>
      <c r="C454" s="4"/>
      <c r="D454" s="4"/>
      <c r="E454" s="4"/>
      <c r="F454" s="17"/>
      <c r="G454" s="22"/>
    </row>
    <row r="455" spans="1:7" ht="15.75" thickBot="1">
      <c r="A455" s="3"/>
      <c r="B455" s="3"/>
      <c r="C455" s="4"/>
      <c r="D455" s="4"/>
      <c r="E455" s="4"/>
      <c r="F455" s="17"/>
      <c r="G455" s="22"/>
    </row>
    <row r="456" spans="1:7" ht="15.75" thickBot="1">
      <c r="A456" s="3"/>
      <c r="B456" s="3"/>
      <c r="C456" s="4"/>
      <c r="D456" s="4"/>
      <c r="E456" s="4"/>
      <c r="F456" s="17"/>
      <c r="G456" s="22"/>
    </row>
    <row r="457" spans="1:7" ht="15.75" thickBot="1">
      <c r="A457" s="3"/>
      <c r="B457" s="3"/>
      <c r="C457" s="4"/>
      <c r="D457" s="4"/>
      <c r="E457" s="4"/>
      <c r="F457" s="17"/>
      <c r="G457" s="22"/>
    </row>
    <row r="458" spans="1:7" ht="15.75" thickBot="1">
      <c r="A458" s="3"/>
      <c r="B458" s="3"/>
      <c r="C458" s="4"/>
      <c r="D458" s="4"/>
      <c r="E458" s="4"/>
      <c r="F458" s="17"/>
      <c r="G458" s="22"/>
    </row>
    <row r="459" spans="1:7" ht="15.75" thickBot="1">
      <c r="A459" s="3"/>
      <c r="B459" s="3"/>
      <c r="C459" s="4"/>
      <c r="D459" s="4"/>
      <c r="E459" s="4"/>
      <c r="F459" s="17"/>
      <c r="G459" s="22"/>
    </row>
    <row r="460" spans="1:7" ht="15.75" thickBot="1">
      <c r="A460" s="3"/>
      <c r="B460" s="3"/>
      <c r="C460" s="4"/>
      <c r="D460" s="4"/>
      <c r="E460" s="4"/>
      <c r="F460" s="17"/>
      <c r="G460" s="22"/>
    </row>
    <row r="461" spans="1:7" ht="15.75" thickBot="1">
      <c r="A461" s="3"/>
      <c r="B461" s="3"/>
      <c r="C461" s="4"/>
      <c r="D461" s="4"/>
      <c r="E461" s="4"/>
      <c r="F461" s="17"/>
      <c r="G461" s="22"/>
    </row>
    <row r="462" spans="1:7" ht="15.75" thickBot="1">
      <c r="A462" s="3"/>
      <c r="B462" s="3"/>
      <c r="C462" s="4"/>
      <c r="D462" s="4"/>
      <c r="E462" s="4"/>
      <c r="F462" s="17"/>
      <c r="G462" s="22"/>
    </row>
    <row r="463" spans="1:7" ht="15.75" thickBot="1">
      <c r="A463" s="3"/>
      <c r="B463" s="3"/>
      <c r="C463" s="4"/>
      <c r="D463" s="4"/>
      <c r="E463" s="4"/>
      <c r="F463" s="17"/>
      <c r="G463" s="22"/>
    </row>
    <row r="464" spans="1:7" ht="15.75" thickBot="1">
      <c r="A464" s="3"/>
      <c r="B464" s="3"/>
      <c r="C464" s="4"/>
      <c r="D464" s="4"/>
      <c r="E464" s="4"/>
      <c r="F464" s="17"/>
      <c r="G464" s="22"/>
    </row>
    <row r="465" spans="1:7" ht="15.75" thickBot="1">
      <c r="A465" s="3"/>
      <c r="B465" s="3"/>
      <c r="C465" s="4"/>
      <c r="D465" s="4"/>
      <c r="E465" s="4"/>
      <c r="F465" s="17"/>
      <c r="G465" s="22"/>
    </row>
    <row r="466" spans="1:7" ht="15.75" thickBot="1">
      <c r="A466" s="3"/>
      <c r="B466" s="3"/>
      <c r="C466" s="4"/>
      <c r="D466" s="4"/>
      <c r="E466" s="4"/>
      <c r="F466" s="17"/>
      <c r="G466" s="22"/>
    </row>
    <row r="467" spans="1:7" ht="15.75" thickBot="1">
      <c r="A467" s="3"/>
      <c r="B467" s="3"/>
      <c r="C467" s="4"/>
      <c r="D467" s="4"/>
      <c r="E467" s="4"/>
      <c r="F467" s="17"/>
      <c r="G467" s="22"/>
    </row>
    <row r="468" spans="1:7" ht="15.75" thickBot="1">
      <c r="A468" s="3"/>
      <c r="B468" s="3"/>
      <c r="C468" s="4"/>
      <c r="D468" s="4"/>
      <c r="E468" s="4"/>
      <c r="F468" s="17"/>
      <c r="G468" s="22"/>
    </row>
    <row r="469" spans="1:7" ht="15.75" thickBot="1">
      <c r="A469" s="3"/>
      <c r="B469" s="3"/>
      <c r="C469" s="4"/>
      <c r="D469" s="4"/>
      <c r="E469" s="4"/>
      <c r="F469" s="17"/>
      <c r="G469" s="22"/>
    </row>
    <row r="470" spans="1:7" ht="15.75" thickBot="1">
      <c r="A470" s="3"/>
      <c r="B470" s="3"/>
      <c r="C470" s="4"/>
      <c r="D470" s="4"/>
      <c r="E470" s="4"/>
      <c r="F470" s="17"/>
      <c r="G470" s="22"/>
    </row>
    <row r="471" spans="1:7" ht="15.75" thickBot="1">
      <c r="A471" s="3"/>
      <c r="B471" s="3"/>
      <c r="C471" s="4"/>
      <c r="D471" s="4"/>
      <c r="E471" s="4"/>
      <c r="F471" s="17"/>
      <c r="G471" s="22"/>
    </row>
    <row r="472" spans="1:7" ht="15.75" thickBot="1">
      <c r="A472" s="3"/>
      <c r="B472" s="3"/>
      <c r="C472" s="4"/>
      <c r="D472" s="4"/>
      <c r="E472" s="4"/>
      <c r="F472" s="17"/>
      <c r="G472" s="22"/>
    </row>
    <row r="473" spans="1:7" ht="15.75" thickBot="1">
      <c r="A473" s="3"/>
      <c r="B473" s="3"/>
      <c r="C473" s="4"/>
      <c r="D473" s="4"/>
      <c r="E473" s="4"/>
      <c r="F473" s="17"/>
      <c r="G473" s="22"/>
    </row>
    <row r="474" spans="1:7" ht="15.75" thickBot="1">
      <c r="A474" s="3"/>
      <c r="B474" s="3"/>
      <c r="C474" s="4"/>
      <c r="D474" s="4"/>
      <c r="E474" s="4"/>
      <c r="F474" s="17"/>
      <c r="G474" s="22"/>
    </row>
    <row r="475" spans="1:7" ht="15.75" thickBot="1">
      <c r="A475" s="3"/>
      <c r="B475" s="3"/>
      <c r="C475" s="4"/>
      <c r="D475" s="4"/>
      <c r="E475" s="4"/>
      <c r="F475" s="17"/>
      <c r="G475" s="22"/>
    </row>
    <row r="476" spans="1:7" ht="15.75" thickBot="1">
      <c r="A476" s="3"/>
      <c r="B476" s="3"/>
      <c r="C476" s="4"/>
      <c r="D476" s="4"/>
      <c r="E476" s="4"/>
      <c r="F476" s="17"/>
      <c r="G476" s="22"/>
    </row>
    <row r="477" spans="1:7" ht="15.75" thickBot="1">
      <c r="A477" s="3"/>
      <c r="B477" s="3"/>
      <c r="C477" s="4"/>
      <c r="D477" s="4"/>
      <c r="E477" s="4"/>
      <c r="F477" s="17"/>
      <c r="G477" s="22"/>
    </row>
    <row r="478" spans="1:7" ht="15.75" thickBot="1">
      <c r="A478" s="3"/>
      <c r="B478" s="3"/>
      <c r="C478" s="4"/>
      <c r="D478" s="4"/>
      <c r="E478" s="4"/>
      <c r="F478" s="17"/>
      <c r="G478" s="22"/>
    </row>
    <row r="479" spans="1:7" ht="15.75" thickBot="1">
      <c r="A479" s="3"/>
      <c r="B479" s="3"/>
      <c r="C479" s="4"/>
      <c r="D479" s="4"/>
      <c r="E479" s="4"/>
      <c r="F479" s="17"/>
      <c r="G479" s="22"/>
    </row>
    <row r="480" spans="1:7" ht="15.75" thickBot="1">
      <c r="A480" s="3"/>
      <c r="B480" s="3"/>
      <c r="C480" s="4"/>
      <c r="D480" s="4"/>
      <c r="E480" s="4"/>
      <c r="F480" s="17"/>
      <c r="G480" s="22"/>
    </row>
    <row r="481" spans="1:7" ht="15.75" thickBot="1">
      <c r="A481" s="3"/>
      <c r="B481" s="3"/>
      <c r="C481" s="4"/>
      <c r="D481" s="4"/>
      <c r="E481" s="4"/>
      <c r="F481" s="17"/>
      <c r="G481" s="22"/>
    </row>
    <row r="482" spans="1:7" ht="15.75" thickBot="1">
      <c r="A482" s="3"/>
      <c r="B482" s="3"/>
      <c r="C482" s="4"/>
      <c r="D482" s="4"/>
      <c r="E482" s="4"/>
      <c r="F482" s="17"/>
      <c r="G482" s="22"/>
    </row>
    <row r="483" spans="1:7" ht="15.75" thickBot="1">
      <c r="A483" s="3"/>
      <c r="B483" s="3"/>
      <c r="C483" s="4"/>
      <c r="D483" s="4"/>
      <c r="E483" s="4"/>
      <c r="F483" s="17"/>
      <c r="G483" s="22"/>
    </row>
    <row r="484" spans="1:7" ht="15.75" thickBot="1">
      <c r="A484" s="3"/>
      <c r="B484" s="3"/>
      <c r="C484" s="4"/>
      <c r="D484" s="4"/>
      <c r="E484" s="4"/>
      <c r="F484" s="17"/>
      <c r="G484" s="22"/>
    </row>
    <row r="485" spans="1:7" ht="15.75" thickBot="1">
      <c r="A485" s="3"/>
      <c r="B485" s="3"/>
      <c r="C485" s="4"/>
      <c r="D485" s="4"/>
      <c r="E485" s="4"/>
      <c r="F485" s="17"/>
      <c r="G485" s="22"/>
    </row>
    <row r="486" spans="1:7" ht="15.75" thickBot="1">
      <c r="A486" s="3"/>
      <c r="B486" s="3"/>
      <c r="C486" s="4"/>
      <c r="D486" s="4"/>
      <c r="E486" s="4"/>
      <c r="F486" s="17"/>
      <c r="G486" s="22"/>
    </row>
    <row r="487" spans="1:7" ht="15.75" thickBot="1">
      <c r="A487" s="3"/>
      <c r="B487" s="3"/>
      <c r="C487" s="4"/>
      <c r="D487" s="4"/>
      <c r="E487" s="4"/>
      <c r="F487" s="17"/>
      <c r="G487" s="22"/>
    </row>
    <row r="488" spans="1:7" ht="15.75" thickBot="1">
      <c r="A488" s="3"/>
      <c r="B488" s="3"/>
      <c r="C488" s="4"/>
      <c r="D488" s="4"/>
      <c r="E488" s="4"/>
      <c r="F488" s="17"/>
      <c r="G488" s="22"/>
    </row>
    <row r="489" spans="1:7" ht="15.75" thickBot="1">
      <c r="A489" s="3"/>
      <c r="B489" s="3"/>
      <c r="C489" s="4"/>
      <c r="D489" s="4"/>
      <c r="E489" s="4"/>
      <c r="F489" s="17"/>
      <c r="G489" s="22"/>
    </row>
    <row r="490" spans="1:7" ht="15.75" thickBot="1">
      <c r="A490" s="3"/>
      <c r="B490" s="3"/>
      <c r="C490" s="4"/>
      <c r="D490" s="4"/>
      <c r="E490" s="4"/>
      <c r="F490" s="17"/>
      <c r="G490" s="22"/>
    </row>
    <row r="491" spans="1:7" ht="15.75" thickBot="1">
      <c r="A491" s="3"/>
      <c r="B491" s="3"/>
      <c r="C491" s="4"/>
      <c r="D491" s="4"/>
      <c r="E491" s="4"/>
      <c r="F491" s="17"/>
      <c r="G491" s="22"/>
    </row>
    <row r="492" spans="1:7" ht="15.75" thickBot="1">
      <c r="A492" s="3"/>
      <c r="B492" s="3"/>
      <c r="C492" s="4"/>
      <c r="D492" s="4"/>
      <c r="E492" s="4"/>
      <c r="F492" s="17"/>
      <c r="G492" s="22"/>
    </row>
    <row r="493" spans="1:7" ht="15.75" thickBot="1">
      <c r="A493" s="3"/>
      <c r="B493" s="3"/>
      <c r="C493" s="4"/>
      <c r="D493" s="4"/>
      <c r="E493" s="4"/>
      <c r="F493" s="17"/>
      <c r="G493" s="22"/>
    </row>
    <row r="494" spans="1:7" ht="15.75" thickBot="1">
      <c r="A494" s="3"/>
      <c r="B494" s="3"/>
      <c r="C494" s="4"/>
      <c r="D494" s="4"/>
      <c r="E494" s="4"/>
      <c r="F494" s="17"/>
      <c r="G494" s="22"/>
    </row>
    <row r="495" spans="1:7" ht="15.75" thickBot="1">
      <c r="A495" s="3"/>
      <c r="B495" s="3"/>
      <c r="C495" s="4"/>
      <c r="D495" s="4"/>
      <c r="E495" s="4"/>
      <c r="F495" s="17"/>
      <c r="G495" s="22"/>
    </row>
    <row r="496" spans="1:7" ht="15.75" thickBot="1">
      <c r="A496" s="3"/>
      <c r="B496" s="3"/>
      <c r="C496" s="4"/>
      <c r="D496" s="4"/>
      <c r="E496" s="4"/>
      <c r="F496" s="17"/>
      <c r="G496" s="22"/>
    </row>
    <row r="497" spans="1:7" ht="15.75" thickBot="1">
      <c r="A497" s="3"/>
      <c r="B497" s="3"/>
      <c r="C497" s="4"/>
      <c r="D497" s="4"/>
      <c r="E497" s="4"/>
      <c r="F497" s="17"/>
      <c r="G497" s="22"/>
    </row>
    <row r="498" spans="1:7" ht="15.75" thickBot="1">
      <c r="A498" s="3"/>
      <c r="B498" s="3"/>
      <c r="C498" s="4"/>
      <c r="D498" s="4"/>
      <c r="E498" s="4"/>
      <c r="F498" s="17"/>
      <c r="G498" s="22"/>
    </row>
    <row r="499" spans="1:7" ht="15.75" thickBot="1">
      <c r="A499" s="3"/>
      <c r="B499" s="3"/>
      <c r="C499" s="4"/>
      <c r="D499" s="4"/>
      <c r="E499" s="4"/>
      <c r="F499" s="17"/>
      <c r="G499" s="22"/>
    </row>
    <row r="500" spans="1:7" ht="15.75" thickBot="1">
      <c r="A500" s="3"/>
      <c r="B500" s="3"/>
      <c r="C500" s="4"/>
      <c r="D500" s="4"/>
      <c r="E500" s="4"/>
      <c r="F500" s="17"/>
      <c r="G500" s="22"/>
    </row>
    <row r="501" spans="1:7" ht="15.75" thickBot="1">
      <c r="A501" s="3"/>
      <c r="B501" s="3"/>
      <c r="C501" s="4"/>
      <c r="D501" s="4"/>
      <c r="E501" s="4"/>
      <c r="F501" s="17"/>
      <c r="G501" s="22"/>
    </row>
    <row r="502" spans="1:7" ht="15.75" thickBot="1">
      <c r="A502" s="3"/>
      <c r="B502" s="3"/>
      <c r="C502" s="4"/>
      <c r="D502" s="4"/>
      <c r="E502" s="4"/>
      <c r="F502" s="17"/>
      <c r="G502" s="22"/>
    </row>
    <row r="503" spans="1:7" ht="15.75" thickBot="1">
      <c r="A503" s="3"/>
      <c r="B503" s="3"/>
      <c r="C503" s="4"/>
      <c r="D503" s="4"/>
      <c r="E503" s="4"/>
      <c r="F503" s="17"/>
      <c r="G503" s="22"/>
    </row>
    <row r="504" spans="1:7" ht="15.75" thickBot="1">
      <c r="A504" s="3"/>
      <c r="B504" s="3"/>
      <c r="C504" s="4"/>
      <c r="D504" s="4"/>
      <c r="E504" s="4"/>
      <c r="F504" s="17"/>
      <c r="G504" s="22"/>
    </row>
    <row r="505" spans="1:7" ht="15.75" thickBot="1">
      <c r="A505" s="3"/>
      <c r="B505" s="3"/>
      <c r="C505" s="4"/>
      <c r="D505" s="4"/>
      <c r="E505" s="4"/>
      <c r="F505" s="17"/>
      <c r="G505" s="22"/>
    </row>
    <row r="506" spans="1:7" ht="15.75" thickBot="1">
      <c r="A506" s="3"/>
      <c r="B506" s="3"/>
      <c r="C506" s="4"/>
      <c r="D506" s="4"/>
      <c r="E506" s="4"/>
      <c r="F506" s="17"/>
      <c r="G506" s="22"/>
    </row>
    <row r="507" spans="1:7" ht="15.75" thickBot="1">
      <c r="A507" s="3"/>
      <c r="B507" s="3"/>
      <c r="C507" s="4"/>
      <c r="D507" s="4"/>
      <c r="E507" s="4"/>
      <c r="F507" s="17"/>
      <c r="G507" s="22"/>
    </row>
    <row r="508" spans="1:7" ht="15.75" thickBot="1">
      <c r="A508" s="3"/>
      <c r="B508" s="3"/>
      <c r="C508" s="4"/>
      <c r="D508" s="4"/>
      <c r="E508" s="4"/>
      <c r="F508" s="17"/>
      <c r="G508" s="22"/>
    </row>
    <row r="509" spans="1:7" ht="15.75" thickBot="1">
      <c r="A509" s="3"/>
      <c r="B509" s="3"/>
      <c r="C509" s="4"/>
      <c r="D509" s="4"/>
      <c r="E509" s="4"/>
      <c r="F509" s="17"/>
      <c r="G509" s="22"/>
    </row>
    <row r="510" spans="1:7" ht="15.75" thickBot="1">
      <c r="A510" s="3"/>
      <c r="B510" s="3"/>
      <c r="C510" s="4"/>
      <c r="D510" s="4"/>
      <c r="E510" s="4"/>
      <c r="F510" s="17"/>
      <c r="G510" s="22"/>
    </row>
    <row r="511" spans="1:7" ht="15.75" thickBot="1">
      <c r="A511" s="3"/>
      <c r="B511" s="3"/>
      <c r="C511" s="4"/>
      <c r="D511" s="4"/>
      <c r="E511" s="4"/>
      <c r="F511" s="17"/>
      <c r="G511" s="22"/>
    </row>
    <row r="512" spans="1:7" ht="15.75" thickBot="1">
      <c r="A512" s="3"/>
      <c r="B512" s="3"/>
      <c r="C512" s="4"/>
      <c r="D512" s="4"/>
      <c r="E512" s="4"/>
      <c r="F512" s="17"/>
      <c r="G512" s="22"/>
    </row>
    <row r="513" spans="1:7" ht="15.75" thickBot="1">
      <c r="A513" s="3"/>
      <c r="B513" s="3"/>
      <c r="C513" s="4"/>
      <c r="D513" s="4"/>
      <c r="E513" s="4"/>
      <c r="F513" s="17"/>
      <c r="G513" s="22"/>
    </row>
    <row r="514" spans="1:7" ht="15.75" thickBot="1">
      <c r="A514" s="3"/>
      <c r="B514" s="3"/>
      <c r="C514" s="4"/>
      <c r="D514" s="4"/>
      <c r="E514" s="4"/>
      <c r="F514" s="17"/>
      <c r="G514" s="22"/>
    </row>
    <row r="515" spans="1:7" ht="15.75" thickBot="1">
      <c r="A515" s="3"/>
      <c r="B515" s="3"/>
      <c r="C515" s="4"/>
      <c r="D515" s="4"/>
      <c r="E515" s="4"/>
      <c r="F515" s="17"/>
      <c r="G515" s="22"/>
    </row>
    <row r="516" spans="1:7" ht="15.75" thickBot="1">
      <c r="A516" s="3"/>
      <c r="B516" s="3"/>
      <c r="C516" s="4"/>
      <c r="D516" s="4"/>
      <c r="E516" s="4"/>
      <c r="F516" s="17"/>
      <c r="G516" s="22"/>
    </row>
    <row r="517" spans="1:7" ht="15.75" thickBot="1">
      <c r="A517" s="3"/>
      <c r="B517" s="3"/>
      <c r="C517" s="4"/>
      <c r="D517" s="4"/>
      <c r="E517" s="4"/>
      <c r="F517" s="17"/>
      <c r="G517" s="22"/>
    </row>
    <row r="518" spans="1:7" ht="15.75" thickBot="1">
      <c r="A518" s="3"/>
      <c r="B518" s="3"/>
      <c r="C518" s="4"/>
      <c r="D518" s="4"/>
      <c r="E518" s="4"/>
      <c r="F518" s="17"/>
      <c r="G518" s="22"/>
    </row>
    <row r="519" spans="1:7" ht="15.75" thickBot="1">
      <c r="A519" s="3"/>
      <c r="B519" s="3"/>
      <c r="C519" s="4"/>
      <c r="D519" s="4"/>
      <c r="E519" s="4"/>
      <c r="F519" s="17"/>
      <c r="G519" s="22"/>
    </row>
    <row r="520" spans="1:7" ht="15.75" thickBot="1">
      <c r="A520" s="3"/>
      <c r="B520" s="3"/>
      <c r="C520" s="4"/>
      <c r="D520" s="4"/>
      <c r="E520" s="4"/>
      <c r="F520" s="17"/>
      <c r="G520" s="22"/>
    </row>
    <row r="521" spans="1:7" ht="15.75" thickBot="1">
      <c r="A521" s="3"/>
      <c r="B521" s="3"/>
      <c r="C521" s="4"/>
      <c r="D521" s="4"/>
      <c r="E521" s="4"/>
      <c r="F521" s="17"/>
      <c r="G521" s="22"/>
    </row>
    <row r="522" spans="1:7" ht="15.75" thickBot="1">
      <c r="A522" s="3"/>
      <c r="B522" s="3"/>
      <c r="C522" s="4"/>
      <c r="D522" s="4"/>
      <c r="E522" s="4"/>
      <c r="F522" s="17"/>
      <c r="G522" s="22"/>
    </row>
    <row r="523" spans="1:7" ht="15.75" thickBot="1">
      <c r="A523" s="3"/>
      <c r="B523" s="3"/>
      <c r="C523" s="4"/>
      <c r="D523" s="4"/>
      <c r="E523" s="4"/>
      <c r="F523" s="17"/>
      <c r="G523" s="22"/>
    </row>
    <row r="524" spans="1:7" ht="15.75" thickBot="1">
      <c r="A524" s="3"/>
      <c r="B524" s="3"/>
      <c r="C524" s="4"/>
      <c r="D524" s="4"/>
      <c r="E524" s="4"/>
      <c r="F524" s="17"/>
      <c r="G524" s="22"/>
    </row>
    <row r="525" spans="1:7" ht="15.75" thickBot="1">
      <c r="A525" s="3"/>
      <c r="B525" s="3"/>
      <c r="C525" s="4"/>
      <c r="D525" s="4"/>
      <c r="E525" s="4"/>
      <c r="F525" s="17"/>
      <c r="G525" s="22"/>
    </row>
    <row r="526" spans="1:7" ht="15.75" thickBot="1">
      <c r="A526" s="3"/>
      <c r="B526" s="3"/>
      <c r="C526" s="4"/>
      <c r="D526" s="4"/>
      <c r="E526" s="4"/>
      <c r="F526" s="17"/>
      <c r="G526" s="22"/>
    </row>
    <row r="527" spans="1:7" ht="15.75" thickBot="1">
      <c r="A527" s="3"/>
      <c r="B527" s="3"/>
      <c r="C527" s="4"/>
      <c r="D527" s="4"/>
      <c r="E527" s="4"/>
      <c r="F527" s="17"/>
      <c r="G527" s="22"/>
    </row>
    <row r="528" spans="1:7" ht="15.75" thickBot="1">
      <c r="A528" s="3"/>
      <c r="B528" s="3"/>
      <c r="C528" s="4"/>
      <c r="D528" s="4"/>
      <c r="E528" s="4"/>
      <c r="F528" s="17"/>
      <c r="G528" s="22"/>
    </row>
    <row r="529" spans="1:7" ht="15.75" thickBot="1">
      <c r="A529" s="3"/>
      <c r="B529" s="3"/>
      <c r="C529" s="4"/>
      <c r="D529" s="4"/>
      <c r="E529" s="4"/>
      <c r="F529" s="17"/>
      <c r="G529" s="22"/>
    </row>
    <row r="530" spans="1:7" ht="15.75" thickBot="1">
      <c r="A530" s="3"/>
      <c r="B530" s="3"/>
      <c r="C530" s="4"/>
      <c r="D530" s="4"/>
      <c r="E530" s="4"/>
      <c r="F530" s="17"/>
      <c r="G530" s="22"/>
    </row>
    <row r="531" spans="1:7" ht="15.75" thickBot="1">
      <c r="A531" s="3"/>
      <c r="B531" s="3"/>
      <c r="C531" s="4"/>
      <c r="D531" s="4"/>
      <c r="E531" s="4"/>
      <c r="F531" s="17"/>
      <c r="G531" s="22"/>
    </row>
    <row r="532" spans="1:7" ht="15.75" thickBot="1">
      <c r="A532" s="3"/>
      <c r="B532" s="3"/>
      <c r="C532" s="4"/>
      <c r="D532" s="4"/>
      <c r="E532" s="4"/>
      <c r="F532" s="17"/>
      <c r="G532" s="22"/>
    </row>
    <row r="533" spans="1:7" ht="15.75" thickBot="1">
      <c r="A533" s="3"/>
      <c r="B533" s="3"/>
      <c r="C533" s="4"/>
      <c r="D533" s="4"/>
      <c r="E533" s="4"/>
      <c r="F533" s="17"/>
      <c r="G533" s="22"/>
    </row>
    <row r="534" spans="1:7" ht="15.75" thickBot="1">
      <c r="A534" s="3"/>
      <c r="B534" s="3"/>
      <c r="C534" s="4"/>
      <c r="D534" s="4"/>
      <c r="E534" s="4"/>
      <c r="F534" s="17"/>
      <c r="G534" s="22"/>
    </row>
    <row r="535" spans="1:7" ht="15.75" thickBot="1">
      <c r="A535" s="3"/>
      <c r="B535" s="3"/>
      <c r="C535" s="4"/>
      <c r="D535" s="4"/>
      <c r="E535" s="4"/>
      <c r="F535" s="17"/>
      <c r="G535" s="22"/>
    </row>
    <row r="536" spans="1:7" ht="15.75" thickBot="1">
      <c r="A536" s="3"/>
      <c r="B536" s="3"/>
      <c r="C536" s="4"/>
      <c r="D536" s="4"/>
      <c r="E536" s="4"/>
      <c r="F536" s="17"/>
      <c r="G536" s="22"/>
    </row>
    <row r="537" spans="1:7" ht="15.75" thickBot="1">
      <c r="A537" s="3"/>
      <c r="B537" s="3"/>
      <c r="C537" s="4"/>
      <c r="D537" s="4"/>
      <c r="E537" s="4"/>
      <c r="F537" s="17"/>
      <c r="G537" s="22"/>
    </row>
    <row r="538" spans="1:7" ht="15.75" thickBot="1">
      <c r="A538" s="3"/>
      <c r="B538" s="3"/>
      <c r="C538" s="4"/>
      <c r="D538" s="4"/>
      <c r="E538" s="4"/>
      <c r="F538" s="17"/>
      <c r="G538" s="22"/>
    </row>
    <row r="539" spans="1:7" ht="15.75" thickBot="1">
      <c r="A539" s="3"/>
      <c r="B539" s="3"/>
      <c r="C539" s="4"/>
      <c r="D539" s="4"/>
      <c r="E539" s="4"/>
      <c r="F539" s="17"/>
      <c r="G539" s="22"/>
    </row>
    <row r="540" spans="1:7" ht="15.75" thickBot="1">
      <c r="A540" s="3"/>
      <c r="B540" s="3"/>
      <c r="C540" s="4"/>
      <c r="D540" s="4"/>
      <c r="E540" s="4"/>
      <c r="F540" s="17"/>
      <c r="G540" s="22"/>
    </row>
    <row r="541" spans="1:7" ht="15.75" thickBot="1">
      <c r="A541" s="3"/>
      <c r="B541" s="3"/>
      <c r="C541" s="4"/>
      <c r="D541" s="4"/>
      <c r="E541" s="4"/>
      <c r="F541" s="17"/>
      <c r="G541" s="22"/>
    </row>
    <row r="542" spans="1:7" ht="15.75" thickBot="1">
      <c r="A542" s="3"/>
      <c r="B542" s="3"/>
      <c r="C542" s="4"/>
      <c r="D542" s="4"/>
      <c r="E542" s="4"/>
      <c r="F542" s="17"/>
      <c r="G542" s="22"/>
    </row>
    <row r="543" spans="1:7" ht="15.75" thickBot="1">
      <c r="A543" s="3"/>
      <c r="B543" s="3"/>
      <c r="C543" s="4"/>
      <c r="D543" s="4"/>
      <c r="E543" s="4"/>
      <c r="F543" s="17"/>
      <c r="G543" s="22"/>
    </row>
    <row r="544" spans="1:7" ht="15.75" thickBot="1">
      <c r="A544" s="3"/>
      <c r="B544" s="3"/>
      <c r="C544" s="4"/>
      <c r="D544" s="4"/>
      <c r="E544" s="4"/>
      <c r="F544" s="17"/>
      <c r="G544" s="22"/>
    </row>
    <row r="545" spans="1:7" ht="15.75" thickBot="1">
      <c r="A545" s="3"/>
      <c r="B545" s="3"/>
      <c r="C545" s="4"/>
      <c r="D545" s="4"/>
      <c r="E545" s="4"/>
      <c r="F545" s="17"/>
      <c r="G545" s="22"/>
    </row>
    <row r="546" spans="1:7" ht="15.75" thickBot="1">
      <c r="A546" s="3"/>
      <c r="B546" s="3"/>
      <c r="C546" s="4"/>
      <c r="D546" s="4"/>
      <c r="E546" s="4"/>
      <c r="F546" s="17"/>
      <c r="G546" s="22"/>
    </row>
    <row r="547" spans="1:7" ht="15.75" thickBot="1">
      <c r="A547" s="3"/>
      <c r="B547" s="3"/>
      <c r="C547" s="4"/>
      <c r="D547" s="4"/>
      <c r="E547" s="4"/>
      <c r="F547" s="17"/>
      <c r="G547" s="22"/>
    </row>
    <row r="548" spans="1:7" ht="15.75" thickBot="1">
      <c r="A548" s="3"/>
      <c r="B548" s="3"/>
      <c r="C548" s="4"/>
      <c r="D548" s="4"/>
      <c r="E548" s="4"/>
      <c r="F548" s="17"/>
      <c r="G548" s="22"/>
    </row>
    <row r="549" spans="1:7" ht="15.75" thickBot="1">
      <c r="A549" s="3"/>
      <c r="B549" s="3"/>
      <c r="C549" s="4"/>
      <c r="D549" s="4"/>
      <c r="E549" s="4"/>
      <c r="F549" s="17"/>
      <c r="G549" s="22"/>
    </row>
    <row r="550" spans="1:7" ht="15.75" thickBot="1">
      <c r="A550" s="3"/>
      <c r="B550" s="3"/>
      <c r="C550" s="4"/>
      <c r="D550" s="4"/>
      <c r="E550" s="4"/>
      <c r="F550" s="17"/>
      <c r="G550" s="22"/>
    </row>
    <row r="551" spans="1:7" ht="15.75" thickBot="1">
      <c r="A551" s="3"/>
      <c r="B551" s="3"/>
      <c r="C551" s="4"/>
      <c r="D551" s="4"/>
      <c r="E551" s="4"/>
      <c r="F551" s="17"/>
      <c r="G551" s="22"/>
    </row>
    <row r="552" spans="1:7" ht="15.75" thickBot="1">
      <c r="A552" s="3"/>
      <c r="B552" s="3"/>
      <c r="C552" s="4"/>
      <c r="D552" s="4"/>
      <c r="E552" s="4"/>
      <c r="F552" s="17"/>
      <c r="G552" s="22"/>
    </row>
    <row r="553" spans="1:7" ht="15.75" thickBot="1">
      <c r="A553" s="3"/>
      <c r="B553" s="3"/>
      <c r="C553" s="4"/>
      <c r="D553" s="4"/>
      <c r="E553" s="4"/>
      <c r="F553" s="17"/>
      <c r="G553" s="22"/>
    </row>
    <row r="554" spans="1:7" ht="15.75" thickBot="1">
      <c r="A554" s="3"/>
      <c r="B554" s="3"/>
      <c r="C554" s="4"/>
      <c r="D554" s="4"/>
      <c r="E554" s="4"/>
      <c r="F554" s="17"/>
      <c r="G554" s="22"/>
    </row>
    <row r="555" spans="1:7" ht="15.75" thickBot="1">
      <c r="A555" s="3"/>
      <c r="B555" s="3"/>
      <c r="C555" s="4"/>
      <c r="D555" s="4"/>
      <c r="E555" s="4"/>
      <c r="F555" s="17"/>
      <c r="G555" s="22"/>
    </row>
    <row r="556" spans="1:7" ht="15.75" thickBot="1">
      <c r="A556" s="3"/>
      <c r="B556" s="3"/>
      <c r="C556" s="4"/>
      <c r="D556" s="4"/>
      <c r="E556" s="4"/>
      <c r="F556" s="17"/>
      <c r="G556" s="22"/>
    </row>
    <row r="557" spans="1:7" ht="15.75" thickBot="1">
      <c r="A557" s="3"/>
      <c r="B557" s="3"/>
      <c r="C557" s="4"/>
      <c r="D557" s="4"/>
      <c r="E557" s="4"/>
      <c r="F557" s="17"/>
      <c r="G557" s="22"/>
    </row>
    <row r="558" spans="1:7" ht="15.75" thickBot="1">
      <c r="A558" s="3"/>
      <c r="B558" s="3"/>
      <c r="C558" s="4"/>
      <c r="D558" s="4"/>
      <c r="E558" s="4"/>
      <c r="F558" s="17"/>
      <c r="G558" s="22"/>
    </row>
    <row r="559" spans="1:7" ht="15.75" thickBot="1">
      <c r="A559" s="3"/>
      <c r="B559" s="3"/>
      <c r="C559" s="4"/>
      <c r="D559" s="4"/>
      <c r="E559" s="4"/>
      <c r="F559" s="17"/>
      <c r="G559" s="22"/>
    </row>
    <row r="560" spans="1:7" ht="15.75" thickBot="1">
      <c r="A560" s="3"/>
      <c r="B560" s="3"/>
      <c r="C560" s="4"/>
      <c r="D560" s="4"/>
      <c r="E560" s="4"/>
      <c r="F560" s="17"/>
      <c r="G560" s="22"/>
    </row>
    <row r="561" spans="1:7" ht="15.75" thickBot="1">
      <c r="A561" s="3"/>
      <c r="B561" s="3"/>
      <c r="C561" s="4"/>
      <c r="D561" s="4"/>
      <c r="E561" s="4"/>
      <c r="F561" s="17"/>
      <c r="G561" s="22"/>
    </row>
    <row r="562" spans="1:7" ht="15.75" thickBot="1">
      <c r="A562" s="3"/>
      <c r="B562" s="3"/>
      <c r="C562" s="4"/>
      <c r="D562" s="4"/>
      <c r="E562" s="4"/>
      <c r="F562" s="17"/>
      <c r="G562" s="22"/>
    </row>
    <row r="563" spans="1:7" ht="15.75" thickBot="1">
      <c r="A563" s="3"/>
      <c r="B563" s="3"/>
      <c r="C563" s="4"/>
      <c r="D563" s="4"/>
      <c r="E563" s="4"/>
      <c r="F563" s="17"/>
      <c r="G563" s="22"/>
    </row>
    <row r="564" spans="1:7" ht="15.75" thickBot="1">
      <c r="A564" s="3"/>
      <c r="B564" s="3"/>
      <c r="C564" s="4"/>
      <c r="D564" s="4"/>
      <c r="E564" s="4"/>
      <c r="F564" s="17"/>
      <c r="G564" s="22"/>
    </row>
    <row r="565" spans="1:7" ht="15.75" thickBot="1">
      <c r="A565" s="3"/>
      <c r="B565" s="3"/>
      <c r="C565" s="4"/>
      <c r="D565" s="4"/>
      <c r="E565" s="4"/>
      <c r="F565" s="17"/>
      <c r="G565" s="22"/>
    </row>
    <row r="566" spans="1:7" ht="15.75" thickBot="1">
      <c r="A566" s="3"/>
      <c r="B566" s="3"/>
      <c r="C566" s="4"/>
      <c r="D566" s="4"/>
      <c r="E566" s="4"/>
      <c r="F566" s="17"/>
      <c r="G566" s="22"/>
    </row>
    <row r="567" spans="1:7" ht="15.75" thickBot="1">
      <c r="A567" s="3"/>
      <c r="B567" s="3"/>
      <c r="C567" s="4"/>
      <c r="D567" s="4"/>
      <c r="E567" s="4"/>
      <c r="F567" s="17"/>
      <c r="G567" s="22"/>
    </row>
    <row r="568" spans="1:7" ht="15.75" thickBot="1">
      <c r="A568" s="3"/>
      <c r="B568" s="3"/>
      <c r="C568" s="4"/>
      <c r="D568" s="4"/>
      <c r="E568" s="4"/>
      <c r="F568" s="17"/>
      <c r="G568" s="22"/>
    </row>
    <row r="569" spans="1:7" ht="15.75" thickBot="1">
      <c r="A569" s="3"/>
      <c r="B569" s="3"/>
      <c r="C569" s="4"/>
      <c r="D569" s="4"/>
      <c r="E569" s="4"/>
      <c r="F569" s="17"/>
      <c r="G569" s="22"/>
    </row>
    <row r="570" spans="1:7" ht="15.75" thickBot="1">
      <c r="A570" s="3"/>
      <c r="B570" s="3"/>
      <c r="C570" s="4"/>
      <c r="D570" s="4"/>
      <c r="E570" s="4"/>
      <c r="F570" s="17"/>
      <c r="G570" s="22"/>
    </row>
    <row r="571" spans="1:7" ht="15.75" thickBot="1">
      <c r="A571" s="3"/>
      <c r="B571" s="3"/>
      <c r="C571" s="4"/>
      <c r="D571" s="4"/>
      <c r="E571" s="4"/>
      <c r="F571" s="17"/>
      <c r="G571" s="22"/>
    </row>
    <row r="572" spans="1:7" ht="15.75" thickBot="1">
      <c r="A572" s="3"/>
      <c r="B572" s="3"/>
      <c r="C572" s="4"/>
      <c r="D572" s="4"/>
      <c r="E572" s="4"/>
      <c r="F572" s="17"/>
      <c r="G572" s="22"/>
    </row>
    <row r="573" spans="1:7" ht="15.75" thickBot="1">
      <c r="A573" s="3"/>
      <c r="B573" s="3"/>
      <c r="C573" s="4"/>
      <c r="D573" s="4"/>
      <c r="E573" s="4"/>
      <c r="F573" s="17"/>
      <c r="G573" s="22"/>
    </row>
    <row r="574" spans="1:7" ht="15.75" thickBot="1">
      <c r="A574" s="3"/>
      <c r="B574" s="3"/>
      <c r="C574" s="4"/>
      <c r="D574" s="4"/>
      <c r="E574" s="4"/>
      <c r="F574" s="17"/>
      <c r="G574" s="22"/>
    </row>
    <row r="575" spans="1:7" ht="15.75" thickBot="1">
      <c r="A575" s="3"/>
      <c r="B575" s="3"/>
      <c r="C575" s="4"/>
      <c r="D575" s="4"/>
      <c r="E575" s="4"/>
      <c r="F575" s="17"/>
      <c r="G575" s="22"/>
    </row>
    <row r="576" spans="1:7" ht="15.75" thickBot="1">
      <c r="A576" s="3"/>
      <c r="B576" s="3"/>
      <c r="C576" s="4"/>
      <c r="D576" s="4"/>
      <c r="E576" s="4"/>
      <c r="F576" s="17"/>
      <c r="G576" s="22"/>
    </row>
    <row r="577" spans="1:7" ht="15.75" thickBot="1">
      <c r="A577" s="3"/>
      <c r="B577" s="3"/>
      <c r="C577" s="4"/>
      <c r="D577" s="4"/>
      <c r="E577" s="4"/>
      <c r="F577" s="17"/>
      <c r="G577" s="22"/>
    </row>
    <row r="578" spans="1:7" ht="15.75" thickBot="1">
      <c r="A578" s="3"/>
      <c r="B578" s="3"/>
      <c r="C578" s="4"/>
      <c r="D578" s="4"/>
      <c r="E578" s="4"/>
      <c r="F578" s="17"/>
      <c r="G578" s="22"/>
    </row>
    <row r="579" spans="1:7" ht="15.75" thickBot="1">
      <c r="A579" s="3"/>
      <c r="B579" s="3"/>
      <c r="C579" s="4"/>
      <c r="D579" s="4"/>
      <c r="E579" s="4"/>
      <c r="F579" s="17"/>
      <c r="G579" s="22"/>
    </row>
    <row r="580" spans="1:7" ht="15.75" thickBot="1">
      <c r="A580" s="3"/>
      <c r="B580" s="3"/>
      <c r="C580" s="4"/>
      <c r="D580" s="4"/>
      <c r="E580" s="4"/>
      <c r="F580" s="17"/>
      <c r="G580" s="22"/>
    </row>
    <row r="581" spans="1:7" ht="15.75" thickBot="1">
      <c r="A581" s="3"/>
      <c r="B581" s="3"/>
      <c r="C581" s="4"/>
      <c r="D581" s="4"/>
      <c r="E581" s="4"/>
      <c r="F581" s="17"/>
      <c r="G581" s="22"/>
    </row>
    <row r="582" spans="1:7" ht="15.75" thickBot="1">
      <c r="A582" s="3"/>
      <c r="B582" s="3"/>
      <c r="C582" s="4"/>
      <c r="D582" s="4"/>
      <c r="E582" s="4"/>
      <c r="F582" s="17"/>
      <c r="G582" s="22"/>
    </row>
    <row r="583" spans="1:7" ht="15.75" thickBot="1">
      <c r="A583" s="3"/>
      <c r="B583" s="3"/>
      <c r="C583" s="4"/>
      <c r="D583" s="4"/>
      <c r="E583" s="4"/>
      <c r="F583" s="17"/>
      <c r="G583" s="22"/>
    </row>
    <row r="584" spans="1:7" ht="15.75" thickBot="1">
      <c r="A584" s="3"/>
      <c r="B584" s="3"/>
      <c r="C584" s="4"/>
      <c r="D584" s="4"/>
      <c r="E584" s="4"/>
      <c r="F584" s="17"/>
      <c r="G584" s="22"/>
    </row>
    <row r="585" spans="1:7" ht="15.75" thickBot="1">
      <c r="A585" s="3"/>
      <c r="B585" s="3"/>
      <c r="C585" s="4"/>
      <c r="D585" s="4"/>
      <c r="E585" s="4"/>
      <c r="F585" s="17"/>
      <c r="G585" s="22"/>
    </row>
    <row r="586" spans="1:7" ht="15.75" thickBot="1">
      <c r="A586" s="3"/>
      <c r="B586" s="3"/>
      <c r="C586" s="4"/>
      <c r="D586" s="4"/>
      <c r="E586" s="4"/>
      <c r="F586" s="17"/>
      <c r="G586" s="22"/>
    </row>
    <row r="587" spans="1:7" ht="15.75" thickBot="1">
      <c r="A587" s="3"/>
      <c r="B587" s="3"/>
      <c r="C587" s="4"/>
      <c r="D587" s="4"/>
      <c r="E587" s="4"/>
      <c r="F587" s="17"/>
      <c r="G587" s="22"/>
    </row>
    <row r="588" spans="1:7" ht="15.75" thickBot="1">
      <c r="A588" s="3"/>
      <c r="B588" s="3"/>
      <c r="C588" s="4"/>
      <c r="D588" s="4"/>
      <c r="E588" s="4"/>
      <c r="F588" s="17"/>
      <c r="G588" s="22"/>
    </row>
    <row r="589" spans="1:7" ht="15.75" thickBot="1">
      <c r="A589" s="3"/>
      <c r="B589" s="3"/>
      <c r="C589" s="4"/>
      <c r="D589" s="4"/>
      <c r="E589" s="4"/>
      <c r="F589" s="17"/>
      <c r="G589" s="22"/>
    </row>
    <row r="590" spans="1:7" ht="15.75" thickBot="1">
      <c r="A590" s="3"/>
      <c r="B590" s="3"/>
      <c r="C590" s="4"/>
      <c r="D590" s="4"/>
      <c r="E590" s="4"/>
      <c r="F590" s="17"/>
      <c r="G590" s="22"/>
    </row>
    <row r="591" spans="1:7" ht="15.75" thickBot="1">
      <c r="A591" s="3"/>
      <c r="B591" s="3"/>
      <c r="C591" s="4"/>
      <c r="D591" s="4"/>
      <c r="E591" s="4"/>
      <c r="F591" s="17"/>
      <c r="G591" s="22"/>
    </row>
    <row r="592" spans="1:7" ht="15.75" thickBot="1">
      <c r="A592" s="3"/>
      <c r="B592" s="3"/>
      <c r="C592" s="4"/>
      <c r="D592" s="4"/>
      <c r="E592" s="4"/>
      <c r="F592" s="17"/>
      <c r="G592" s="22"/>
    </row>
    <row r="593" spans="1:7" ht="15.75" thickBot="1">
      <c r="A593" s="3"/>
      <c r="B593" s="3"/>
      <c r="C593" s="4"/>
      <c r="D593" s="4"/>
      <c r="E593" s="4"/>
      <c r="F593" s="17"/>
      <c r="G593" s="22"/>
    </row>
    <row r="594" spans="1:7" ht="15.75" thickBot="1">
      <c r="A594" s="3"/>
      <c r="B594" s="3"/>
      <c r="C594" s="4"/>
      <c r="D594" s="4"/>
      <c r="E594" s="4"/>
      <c r="F594" s="17"/>
      <c r="G594" s="22"/>
    </row>
    <row r="595" spans="1:7" ht="15.75" thickBot="1">
      <c r="A595" s="3"/>
      <c r="B595" s="3"/>
      <c r="C595" s="4"/>
      <c r="D595" s="4"/>
      <c r="E595" s="4"/>
      <c r="F595" s="17"/>
      <c r="G595" s="22"/>
    </row>
    <row r="596" spans="1:7" ht="15.75" thickBot="1">
      <c r="A596" s="3"/>
      <c r="B596" s="3"/>
      <c r="C596" s="4"/>
      <c r="D596" s="4"/>
      <c r="E596" s="4"/>
      <c r="F596" s="17"/>
      <c r="G596" s="22"/>
    </row>
    <row r="597" spans="1:7" ht="15.75" thickBot="1">
      <c r="A597" s="3"/>
      <c r="B597" s="3"/>
      <c r="C597" s="4"/>
      <c r="D597" s="4"/>
      <c r="E597" s="4"/>
      <c r="F597" s="17"/>
      <c r="G597" s="22"/>
    </row>
    <row r="598" spans="1:7" ht="15.75" thickBot="1">
      <c r="A598" s="3"/>
      <c r="B598" s="3"/>
      <c r="C598" s="4"/>
      <c r="D598" s="4"/>
      <c r="E598" s="4"/>
      <c r="F598" s="17"/>
      <c r="G598" s="22"/>
    </row>
    <row r="599" spans="1:7" ht="15.75" thickBot="1">
      <c r="A599" s="3"/>
      <c r="B599" s="3"/>
      <c r="C599" s="4"/>
      <c r="D599" s="4"/>
      <c r="E599" s="4"/>
      <c r="F599" s="17"/>
      <c r="G599" s="22"/>
    </row>
    <row r="600" spans="1:7" ht="15.75" thickBot="1">
      <c r="A600" s="3"/>
      <c r="B600" s="3"/>
      <c r="C600" s="4"/>
      <c r="D600" s="4"/>
      <c r="E600" s="4"/>
      <c r="F600" s="17"/>
      <c r="G600" s="22"/>
    </row>
    <row r="601" spans="1:7" ht="15.75" thickBot="1">
      <c r="A601" s="3"/>
      <c r="B601" s="3"/>
      <c r="C601" s="4"/>
      <c r="D601" s="4"/>
      <c r="E601" s="4"/>
      <c r="F601" s="17"/>
      <c r="G601" s="22"/>
    </row>
    <row r="602" spans="1:7" ht="15.75" thickBot="1">
      <c r="A602" s="3"/>
      <c r="B602" s="3"/>
      <c r="C602" s="4"/>
      <c r="D602" s="4"/>
      <c r="E602" s="4"/>
      <c r="F602" s="17"/>
      <c r="G602" s="22"/>
    </row>
    <row r="603" spans="1:7" ht="15.75" thickBot="1">
      <c r="A603" s="3"/>
      <c r="B603" s="3"/>
      <c r="C603" s="4"/>
      <c r="D603" s="4"/>
      <c r="E603" s="4"/>
      <c r="F603" s="17"/>
      <c r="G603" s="22"/>
    </row>
    <row r="604" spans="1:7" ht="15.75" thickBot="1">
      <c r="A604" s="3"/>
      <c r="B604" s="3"/>
      <c r="C604" s="4"/>
      <c r="D604" s="4"/>
      <c r="E604" s="4"/>
      <c r="F604" s="17"/>
      <c r="G604" s="22"/>
    </row>
    <row r="605" spans="1:7" ht="15.75" thickBot="1">
      <c r="A605" s="3"/>
      <c r="B605" s="3"/>
      <c r="C605" s="4"/>
      <c r="D605" s="4"/>
      <c r="E605" s="4"/>
      <c r="F605" s="17"/>
      <c r="G605" s="22"/>
    </row>
    <row r="606" spans="1:7" ht="15.75" thickBot="1">
      <c r="A606" s="3"/>
      <c r="B606" s="3"/>
      <c r="C606" s="4"/>
      <c r="D606" s="4"/>
      <c r="E606" s="4"/>
      <c r="F606" s="17"/>
      <c r="G606" s="22"/>
    </row>
    <row r="607" spans="1:7" ht="15.75" thickBot="1">
      <c r="A607" s="3"/>
      <c r="B607" s="3"/>
      <c r="C607" s="4"/>
      <c r="D607" s="4"/>
      <c r="E607" s="4"/>
      <c r="F607" s="17"/>
      <c r="G607" s="22"/>
    </row>
    <row r="608" spans="1:7" ht="15.75" thickBot="1">
      <c r="A608" s="3"/>
      <c r="B608" s="3"/>
      <c r="C608" s="4"/>
      <c r="D608" s="4"/>
      <c r="E608" s="4"/>
      <c r="F608" s="17"/>
      <c r="G608" s="22"/>
    </row>
    <row r="609" spans="1:7" ht="15.75" thickBot="1">
      <c r="A609" s="3"/>
      <c r="B609" s="3"/>
      <c r="C609" s="4"/>
      <c r="D609" s="4"/>
      <c r="E609" s="4"/>
      <c r="F609" s="17"/>
      <c r="G609" s="22"/>
    </row>
    <row r="610" spans="1:7" ht="15.75" thickBot="1">
      <c r="A610" s="3"/>
      <c r="B610" s="3"/>
      <c r="C610" s="4"/>
      <c r="D610" s="4"/>
      <c r="E610" s="4"/>
      <c r="F610" s="17"/>
      <c r="G610" s="22"/>
    </row>
    <row r="611" spans="1:7" ht="15.75" thickBot="1">
      <c r="A611" s="3"/>
      <c r="B611" s="3"/>
      <c r="C611" s="4"/>
      <c r="D611" s="4"/>
      <c r="E611" s="4"/>
      <c r="F611" s="17"/>
      <c r="G611" s="22"/>
    </row>
    <row r="612" spans="1:7" ht="15.75" thickBot="1">
      <c r="A612" s="3"/>
      <c r="B612" s="3"/>
      <c r="C612" s="4"/>
      <c r="D612" s="4"/>
      <c r="E612" s="4"/>
      <c r="F612" s="17"/>
      <c r="G612" s="22"/>
    </row>
    <row r="613" spans="1:7" ht="15.75" thickBot="1">
      <c r="A613" s="3"/>
      <c r="B613" s="3"/>
      <c r="C613" s="4"/>
      <c r="D613" s="4"/>
      <c r="E613" s="4"/>
      <c r="F613" s="17"/>
      <c r="G613" s="22"/>
    </row>
    <row r="614" spans="1:7" ht="15.75" thickBot="1">
      <c r="A614" s="3"/>
      <c r="B614" s="3"/>
      <c r="C614" s="4"/>
      <c r="D614" s="4"/>
      <c r="E614" s="4"/>
      <c r="F614" s="17"/>
      <c r="G614" s="22"/>
    </row>
    <row r="615" spans="1:7" ht="15.75" thickBot="1">
      <c r="A615" s="3"/>
      <c r="B615" s="3"/>
      <c r="C615" s="4"/>
      <c r="D615" s="4"/>
      <c r="E615" s="4"/>
      <c r="F615" s="17"/>
      <c r="G615" s="22"/>
    </row>
    <row r="616" spans="1:7" ht="15.75" thickBot="1">
      <c r="A616" s="3"/>
      <c r="B616" s="3"/>
      <c r="C616" s="4"/>
      <c r="D616" s="4"/>
      <c r="E616" s="4"/>
      <c r="F616" s="17"/>
      <c r="G616" s="22"/>
    </row>
    <row r="617" spans="1:7" ht="15.75" thickBot="1">
      <c r="A617" s="3"/>
      <c r="B617" s="3"/>
      <c r="C617" s="4"/>
      <c r="D617" s="4"/>
      <c r="E617" s="4"/>
      <c r="F617" s="17"/>
      <c r="G617" s="22"/>
    </row>
    <row r="618" spans="1:7" ht="15.75" thickBot="1">
      <c r="A618" s="3"/>
      <c r="B618" s="3"/>
      <c r="C618" s="4"/>
      <c r="D618" s="4"/>
      <c r="E618" s="4"/>
      <c r="F618" s="17"/>
      <c r="G618" s="22"/>
    </row>
    <row r="619" spans="1:7" ht="15.75" thickBot="1">
      <c r="A619" s="3"/>
      <c r="B619" s="3"/>
      <c r="C619" s="4"/>
      <c r="D619" s="4"/>
      <c r="E619" s="4"/>
      <c r="F619" s="17"/>
      <c r="G619" s="22"/>
    </row>
    <row r="620" spans="1:7" ht="15.75" thickBot="1">
      <c r="A620" s="3"/>
      <c r="B620" s="3"/>
      <c r="C620" s="4"/>
      <c r="D620" s="4"/>
      <c r="E620" s="4"/>
      <c r="F620" s="17"/>
      <c r="G620" s="22"/>
    </row>
    <row r="621" spans="1:7" ht="15.75" thickBot="1">
      <c r="A621" s="3"/>
      <c r="B621" s="3"/>
      <c r="C621" s="4"/>
      <c r="D621" s="4"/>
      <c r="E621" s="4"/>
      <c r="F621" s="17"/>
      <c r="G621" s="22"/>
    </row>
    <row r="622" spans="1:7" ht="15.75" thickBot="1">
      <c r="A622" s="3"/>
      <c r="B622" s="3"/>
      <c r="C622" s="4"/>
      <c r="D622" s="4"/>
      <c r="E622" s="4"/>
      <c r="F622" s="17"/>
      <c r="G622" s="22"/>
    </row>
    <row r="623" spans="1:7" ht="15.75" thickBot="1">
      <c r="A623" s="3"/>
      <c r="B623" s="3"/>
      <c r="C623" s="4"/>
      <c r="D623" s="4"/>
      <c r="E623" s="4"/>
      <c r="F623" s="17"/>
      <c r="G623" s="22"/>
    </row>
    <row r="624" spans="1:7" ht="15.75" thickBot="1">
      <c r="A624" s="3"/>
      <c r="B624" s="3"/>
      <c r="C624" s="4"/>
      <c r="D624" s="4"/>
      <c r="E624" s="4"/>
      <c r="F624" s="17"/>
      <c r="G624" s="22"/>
    </row>
    <row r="625" spans="1:7" ht="15.75" thickBot="1">
      <c r="A625" s="3"/>
      <c r="B625" s="3"/>
      <c r="C625" s="4"/>
      <c r="D625" s="4"/>
      <c r="E625" s="4"/>
      <c r="F625" s="17"/>
      <c r="G625" s="22"/>
    </row>
    <row r="626" spans="1:7" ht="15.75" thickBot="1">
      <c r="A626" s="3"/>
      <c r="B626" s="3"/>
      <c r="C626" s="4"/>
      <c r="D626" s="4"/>
      <c r="E626" s="4"/>
      <c r="F626" s="17"/>
      <c r="G626" s="22"/>
    </row>
    <row r="627" spans="1:7" ht="15.75" thickBot="1">
      <c r="A627" s="3"/>
      <c r="B627" s="3"/>
      <c r="C627" s="4"/>
      <c r="D627" s="4"/>
      <c r="E627" s="4"/>
      <c r="F627" s="17"/>
      <c r="G627" s="22"/>
    </row>
    <row r="628" spans="1:7" ht="15.75" thickBot="1">
      <c r="A628" s="3"/>
      <c r="B628" s="3"/>
      <c r="C628" s="4"/>
      <c r="D628" s="4"/>
      <c r="E628" s="4"/>
      <c r="F628" s="17"/>
      <c r="G628" s="22"/>
    </row>
    <row r="629" spans="1:7" ht="15.75" thickBot="1">
      <c r="A629" s="3"/>
      <c r="B629" s="3"/>
      <c r="C629" s="4"/>
      <c r="D629" s="4"/>
      <c r="E629" s="4"/>
      <c r="F629" s="17"/>
      <c r="G629" s="22"/>
    </row>
    <row r="630" spans="1:7" ht="15.75" thickBot="1">
      <c r="A630" s="3"/>
      <c r="B630" s="3"/>
      <c r="C630" s="4"/>
      <c r="D630" s="4"/>
      <c r="E630" s="4"/>
      <c r="F630" s="17"/>
      <c r="G630" s="22"/>
    </row>
    <row r="631" spans="1:7" ht="15.75" thickBot="1">
      <c r="A631" s="3"/>
      <c r="B631" s="3"/>
      <c r="C631" s="4"/>
      <c r="D631" s="4"/>
      <c r="E631" s="4"/>
      <c r="F631" s="17"/>
      <c r="G631" s="22"/>
    </row>
    <row r="632" spans="1:7" ht="15.75" thickBot="1">
      <c r="A632" s="3"/>
      <c r="B632" s="3"/>
      <c r="C632" s="4"/>
      <c r="D632" s="4"/>
      <c r="E632" s="4"/>
      <c r="F632" s="17"/>
      <c r="G632" s="22"/>
    </row>
    <row r="633" spans="1:7" ht="15.75" thickBot="1">
      <c r="A633" s="3"/>
      <c r="B633" s="3"/>
      <c r="C633" s="4"/>
      <c r="D633" s="4"/>
      <c r="E633" s="4"/>
      <c r="F633" s="17"/>
      <c r="G633" s="22"/>
    </row>
    <row r="634" spans="1:7" ht="15.75" thickBot="1">
      <c r="A634" s="3"/>
      <c r="B634" s="3"/>
      <c r="C634" s="4"/>
      <c r="D634" s="4"/>
      <c r="E634" s="4"/>
      <c r="F634" s="17"/>
      <c r="G634" s="22"/>
    </row>
    <row r="635" spans="1:7" ht="15.75" thickBot="1">
      <c r="A635" s="3"/>
      <c r="B635" s="3"/>
      <c r="C635" s="4"/>
      <c r="D635" s="4"/>
      <c r="E635" s="4"/>
      <c r="F635" s="17"/>
      <c r="G635" s="22"/>
    </row>
    <row r="636" spans="1:7" ht="15.75" thickBot="1">
      <c r="A636" s="3"/>
      <c r="B636" s="3"/>
      <c r="C636" s="4"/>
      <c r="D636" s="4"/>
      <c r="E636" s="4"/>
      <c r="F636" s="17"/>
      <c r="G636" s="22"/>
    </row>
    <row r="637" spans="1:7" ht="15.75" thickBot="1">
      <c r="A637" s="3"/>
      <c r="B637" s="3"/>
      <c r="C637" s="4"/>
      <c r="D637" s="4"/>
      <c r="E637" s="4"/>
      <c r="F637" s="17"/>
      <c r="G637" s="22"/>
    </row>
    <row r="638" spans="1:7" ht="15.75" thickBot="1">
      <c r="A638" s="3"/>
      <c r="B638" s="3"/>
      <c r="C638" s="4"/>
      <c r="D638" s="4"/>
      <c r="E638" s="4"/>
      <c r="F638" s="17"/>
      <c r="G638" s="22"/>
    </row>
    <row r="639" spans="1:7" ht="15.75" thickBot="1">
      <c r="A639" s="3"/>
      <c r="B639" s="3"/>
      <c r="C639" s="4"/>
      <c r="D639" s="4"/>
      <c r="E639" s="4"/>
      <c r="F639" s="17"/>
      <c r="G639" s="22"/>
    </row>
    <row r="640" spans="1:7" ht="15.75" thickBot="1">
      <c r="A640" s="3"/>
      <c r="B640" s="3"/>
      <c r="C640" s="4"/>
      <c r="D640" s="4"/>
      <c r="E640" s="4"/>
      <c r="F640" s="17"/>
      <c r="G640" s="22"/>
    </row>
    <row r="641" spans="1:7" ht="15.75" thickBot="1">
      <c r="A641" s="3"/>
      <c r="B641" s="3"/>
      <c r="C641" s="4"/>
      <c r="D641" s="4"/>
      <c r="E641" s="4"/>
      <c r="F641" s="17"/>
      <c r="G641" s="22"/>
    </row>
    <row r="642" spans="1:7" ht="15.75" thickBot="1">
      <c r="A642" s="3"/>
      <c r="B642" s="3"/>
      <c r="C642" s="4"/>
      <c r="D642" s="4"/>
      <c r="E642" s="4"/>
      <c r="F642" s="17"/>
      <c r="G642" s="22"/>
    </row>
    <row r="643" spans="1:7" ht="15.75" thickBot="1">
      <c r="A643" s="3"/>
      <c r="B643" s="3"/>
      <c r="C643" s="4"/>
      <c r="D643" s="4"/>
      <c r="E643" s="4"/>
      <c r="F643" s="17"/>
      <c r="G643" s="22"/>
    </row>
    <row r="644" spans="1:7" ht="15.75" thickBot="1">
      <c r="A644" s="3"/>
      <c r="B644" s="3"/>
      <c r="C644" s="4"/>
      <c r="D644" s="4"/>
      <c r="E644" s="4"/>
      <c r="F644" s="17"/>
      <c r="G644" s="22"/>
    </row>
    <row r="645" spans="1:7" ht="15.75" thickBot="1">
      <c r="A645" s="3"/>
      <c r="B645" s="3"/>
      <c r="C645" s="4"/>
      <c r="D645" s="4"/>
      <c r="E645" s="4"/>
      <c r="F645" s="17"/>
      <c r="G645" s="22"/>
    </row>
    <row r="646" spans="1:7" ht="15.75" thickBot="1">
      <c r="A646" s="3"/>
      <c r="B646" s="3"/>
      <c r="C646" s="4"/>
      <c r="D646" s="4"/>
      <c r="E646" s="4"/>
      <c r="F646" s="17"/>
      <c r="G646" s="22"/>
    </row>
    <row r="647" spans="1:7" ht="15.75" thickBot="1">
      <c r="A647" s="3"/>
      <c r="B647" s="3"/>
      <c r="C647" s="4"/>
      <c r="D647" s="4"/>
      <c r="E647" s="4"/>
      <c r="F647" s="17"/>
      <c r="G647" s="22"/>
    </row>
    <row r="648" spans="1:7" ht="15.75" thickBot="1">
      <c r="A648" s="3"/>
      <c r="B648" s="3"/>
      <c r="C648" s="4"/>
      <c r="D648" s="4"/>
      <c r="E648" s="4"/>
      <c r="F648" s="17"/>
      <c r="G648" s="22"/>
    </row>
    <row r="649" spans="1:7" ht="15.75" thickBot="1">
      <c r="A649" s="3"/>
      <c r="B649" s="3"/>
      <c r="C649" s="4"/>
      <c r="D649" s="4"/>
      <c r="E649" s="4"/>
      <c r="F649" s="17"/>
      <c r="G649" s="22"/>
    </row>
    <row r="650" spans="1:7" ht="15.75" thickBot="1">
      <c r="A650" s="3"/>
      <c r="B650" s="3"/>
      <c r="C650" s="4"/>
      <c r="D650" s="4"/>
      <c r="E650" s="4"/>
      <c r="F650" s="17"/>
      <c r="G650" s="22"/>
    </row>
    <row r="651" spans="1:7" ht="15.75" thickBot="1">
      <c r="A651" s="3"/>
      <c r="B651" s="3"/>
      <c r="C651" s="4"/>
      <c r="D651" s="4"/>
      <c r="E651" s="4"/>
      <c r="F651" s="17"/>
      <c r="G651" s="22"/>
    </row>
    <row r="652" spans="1:7" ht="15.75" thickBot="1">
      <c r="A652" s="3"/>
      <c r="B652" s="3"/>
      <c r="C652" s="4"/>
      <c r="D652" s="4"/>
      <c r="E652" s="4"/>
      <c r="F652" s="17"/>
      <c r="G652" s="22"/>
    </row>
    <row r="653" spans="1:7" ht="15.75" thickBot="1">
      <c r="A653" s="3"/>
      <c r="B653" s="3"/>
      <c r="C653" s="4"/>
      <c r="D653" s="4"/>
      <c r="E653" s="4"/>
      <c r="F653" s="17"/>
      <c r="G653" s="22"/>
    </row>
    <row r="654" spans="1:7" ht="15.75" thickBot="1">
      <c r="A654" s="3"/>
      <c r="B654" s="3"/>
      <c r="C654" s="4"/>
      <c r="D654" s="4"/>
      <c r="E654" s="4"/>
      <c r="F654" s="17"/>
      <c r="G654" s="22"/>
    </row>
    <row r="655" spans="1:7" ht="15.75" thickBot="1">
      <c r="A655" s="3"/>
      <c r="B655" s="3"/>
      <c r="C655" s="4"/>
      <c r="D655" s="4"/>
      <c r="E655" s="4"/>
      <c r="F655" s="17"/>
      <c r="G655" s="22"/>
    </row>
    <row r="656" spans="1:7" ht="15.75" thickBot="1">
      <c r="A656" s="3"/>
      <c r="B656" s="3"/>
      <c r="C656" s="4"/>
      <c r="D656" s="4"/>
      <c r="E656" s="4"/>
      <c r="F656" s="17"/>
      <c r="G656" s="22"/>
    </row>
    <row r="657" spans="1:7" ht="15.75" thickBot="1">
      <c r="A657" s="3"/>
      <c r="B657" s="3"/>
      <c r="C657" s="4"/>
      <c r="D657" s="4"/>
      <c r="E657" s="4"/>
      <c r="F657" s="17"/>
      <c r="G657" s="22"/>
    </row>
    <row r="658" spans="1:7" ht="15.75" thickBot="1">
      <c r="A658" s="3"/>
      <c r="B658" s="3"/>
      <c r="C658" s="4"/>
      <c r="D658" s="4"/>
      <c r="E658" s="4"/>
      <c r="F658" s="17"/>
      <c r="G658" s="22"/>
    </row>
    <row r="659" spans="1:7" ht="15.75" thickBot="1">
      <c r="A659" s="3"/>
      <c r="B659" s="3"/>
      <c r="C659" s="4"/>
      <c r="D659" s="4"/>
      <c r="E659" s="4"/>
      <c r="F659" s="17"/>
      <c r="G659" s="22"/>
    </row>
    <row r="660" spans="1:7" ht="15.75" thickBot="1">
      <c r="A660" s="3"/>
      <c r="B660" s="3"/>
      <c r="C660" s="4"/>
      <c r="D660" s="4"/>
      <c r="E660" s="4"/>
      <c r="F660" s="17"/>
      <c r="G660" s="22"/>
    </row>
    <row r="661" spans="1:7" ht="15.75" thickBot="1">
      <c r="A661" s="3"/>
      <c r="B661" s="3"/>
      <c r="C661" s="4"/>
      <c r="D661" s="4"/>
      <c r="E661" s="4"/>
      <c r="F661" s="17"/>
      <c r="G661" s="22"/>
    </row>
    <row r="662" spans="1:7" ht="15.75" thickBot="1">
      <c r="A662" s="3"/>
      <c r="B662" s="3"/>
      <c r="C662" s="4"/>
      <c r="D662" s="4"/>
      <c r="E662" s="4"/>
      <c r="F662" s="17"/>
      <c r="G662" s="22"/>
    </row>
    <row r="663" spans="1:7" ht="15.75" thickBot="1">
      <c r="A663" s="3"/>
      <c r="B663" s="3"/>
      <c r="C663" s="4"/>
      <c r="D663" s="4"/>
      <c r="E663" s="4"/>
      <c r="F663" s="17"/>
      <c r="G663" s="22"/>
    </row>
    <row r="664" spans="1:7" ht="15.75" thickBot="1">
      <c r="A664" s="3"/>
      <c r="B664" s="3"/>
      <c r="C664" s="4"/>
      <c r="D664" s="4"/>
      <c r="E664" s="4"/>
      <c r="F664" s="17"/>
      <c r="G664" s="22"/>
    </row>
    <row r="665" spans="1:7" ht="15.75" thickBot="1">
      <c r="A665" s="3"/>
      <c r="B665" s="3"/>
      <c r="C665" s="4"/>
      <c r="D665" s="4"/>
      <c r="E665" s="4"/>
      <c r="F665" s="17"/>
      <c r="G665" s="22"/>
    </row>
    <row r="666" spans="1:7" ht="15.75" thickBot="1">
      <c r="A666" s="3"/>
      <c r="B666" s="3"/>
      <c r="C666" s="4"/>
      <c r="D666" s="4"/>
      <c r="E666" s="4"/>
      <c r="F666" s="17"/>
      <c r="G666" s="22"/>
    </row>
    <row r="667" spans="1:7" ht="15.75" thickBot="1">
      <c r="A667" s="3"/>
      <c r="B667" s="3"/>
      <c r="C667" s="4"/>
      <c r="D667" s="4"/>
      <c r="E667" s="4"/>
      <c r="F667" s="17"/>
      <c r="G667" s="22"/>
    </row>
    <row r="668" spans="1:7" ht="15.75" thickBot="1">
      <c r="A668" s="3"/>
      <c r="B668" s="3"/>
      <c r="C668" s="4"/>
      <c r="D668" s="4"/>
      <c r="E668" s="4"/>
      <c r="F668" s="17"/>
      <c r="G668" s="22"/>
    </row>
    <row r="669" spans="1:7" ht="15.75" thickBot="1">
      <c r="A669" s="3"/>
      <c r="B669" s="3"/>
      <c r="C669" s="4"/>
      <c r="D669" s="4"/>
      <c r="E669" s="4"/>
      <c r="F669" s="17"/>
      <c r="G669" s="22"/>
    </row>
    <row r="670" spans="1:7" ht="15.75" thickBot="1">
      <c r="A670" s="3"/>
      <c r="B670" s="3"/>
      <c r="C670" s="4"/>
      <c r="D670" s="4"/>
      <c r="E670" s="4"/>
      <c r="F670" s="17"/>
      <c r="G670" s="22"/>
    </row>
    <row r="671" spans="1:7" ht="15.75" thickBot="1">
      <c r="A671" s="3"/>
      <c r="B671" s="3"/>
      <c r="C671" s="4"/>
      <c r="D671" s="4"/>
      <c r="E671" s="4"/>
      <c r="F671" s="17"/>
      <c r="G671" s="22"/>
    </row>
    <row r="672" spans="1:7" ht="15.75" thickBot="1">
      <c r="A672" s="3"/>
      <c r="B672" s="3"/>
      <c r="C672" s="4"/>
      <c r="D672" s="4"/>
      <c r="E672" s="4"/>
      <c r="F672" s="17"/>
      <c r="G672" s="22"/>
    </row>
    <row r="673" spans="1:7" ht="15.75" thickBot="1">
      <c r="A673" s="3"/>
      <c r="B673" s="3"/>
      <c r="C673" s="4"/>
      <c r="D673" s="4"/>
      <c r="E673" s="4"/>
      <c r="F673" s="17"/>
      <c r="G673" s="22"/>
    </row>
    <row r="674" spans="1:7" ht="15.75" thickBot="1">
      <c r="A674" s="3"/>
      <c r="B674" s="3"/>
      <c r="C674" s="4"/>
      <c r="D674" s="4"/>
      <c r="E674" s="4"/>
      <c r="F674" s="17"/>
      <c r="G674" s="22"/>
    </row>
    <row r="675" spans="1:7" ht="15.75" thickBot="1">
      <c r="A675" s="3"/>
      <c r="B675" s="3"/>
      <c r="C675" s="4"/>
      <c r="D675" s="4"/>
      <c r="E675" s="4"/>
      <c r="F675" s="17"/>
      <c r="G675" s="22"/>
    </row>
    <row r="676" spans="1:7" ht="15.75" thickBot="1">
      <c r="A676" s="3"/>
      <c r="B676" s="3"/>
      <c r="C676" s="4"/>
      <c r="D676" s="4"/>
      <c r="E676" s="4"/>
      <c r="F676" s="17"/>
      <c r="G676" s="22"/>
    </row>
    <row r="677" spans="1:7" ht="15.75" thickBot="1">
      <c r="A677" s="3"/>
      <c r="B677" s="3"/>
      <c r="C677" s="4"/>
      <c r="D677" s="4"/>
      <c r="E677" s="4"/>
      <c r="F677" s="17"/>
      <c r="G677" s="22"/>
    </row>
    <row r="678" spans="1:7" ht="15.75" thickBot="1">
      <c r="A678" s="3"/>
      <c r="B678" s="3"/>
      <c r="C678" s="4"/>
      <c r="D678" s="4"/>
      <c r="E678" s="4"/>
      <c r="F678" s="17"/>
      <c r="G678" s="22"/>
    </row>
    <row r="679" spans="1:7" ht="15.75" thickBot="1">
      <c r="A679" s="3"/>
      <c r="B679" s="3"/>
      <c r="C679" s="4"/>
      <c r="D679" s="4"/>
      <c r="E679" s="4"/>
      <c r="F679" s="17"/>
      <c r="G679" s="22"/>
    </row>
    <row r="680" spans="1:7" ht="15.75" thickBot="1">
      <c r="A680" s="3"/>
      <c r="B680" s="3"/>
      <c r="C680" s="4"/>
      <c r="D680" s="4"/>
      <c r="E680" s="4"/>
      <c r="F680" s="17"/>
      <c r="G680" s="22"/>
    </row>
    <row r="681" spans="1:7" ht="15.75" thickBot="1">
      <c r="A681" s="3"/>
      <c r="B681" s="3"/>
      <c r="C681" s="4"/>
      <c r="D681" s="4"/>
      <c r="E681" s="4"/>
      <c r="F681" s="17"/>
      <c r="G681" s="22"/>
    </row>
    <row r="682" spans="1:7" ht="15.75" thickBot="1">
      <c r="A682" s="3"/>
      <c r="B682" s="3"/>
      <c r="C682" s="4"/>
      <c r="D682" s="4"/>
      <c r="E682" s="4"/>
      <c r="F682" s="17"/>
      <c r="G682" s="22"/>
    </row>
    <row r="683" spans="1:7" ht="15.75" thickBot="1">
      <c r="A683" s="3"/>
      <c r="B683" s="3"/>
      <c r="C683" s="4"/>
      <c r="D683" s="4"/>
      <c r="E683" s="4"/>
      <c r="F683" s="17"/>
      <c r="G683" s="22"/>
    </row>
    <row r="684" spans="1:7" ht="15.75" thickBot="1">
      <c r="A684" s="3"/>
      <c r="B684" s="3"/>
      <c r="C684" s="4"/>
      <c r="D684" s="4"/>
      <c r="E684" s="4"/>
      <c r="F684" s="17"/>
      <c r="G684" s="22"/>
    </row>
    <row r="685" spans="1:7" ht="15.75" thickBot="1">
      <c r="A685" s="3"/>
      <c r="B685" s="3"/>
      <c r="C685" s="4"/>
      <c r="D685" s="4"/>
      <c r="E685" s="4"/>
      <c r="F685" s="17"/>
      <c r="G685" s="22"/>
    </row>
    <row r="686" spans="1:7" ht="15.75" thickBot="1">
      <c r="A686" s="3"/>
      <c r="B686" s="3"/>
      <c r="C686" s="4"/>
      <c r="D686" s="4"/>
      <c r="E686" s="4"/>
      <c r="F686" s="17"/>
      <c r="G686" s="22"/>
    </row>
    <row r="687" spans="1:7" ht="15.75" thickBot="1">
      <c r="A687" s="3"/>
      <c r="B687" s="3"/>
      <c r="C687" s="4"/>
      <c r="D687" s="4"/>
      <c r="E687" s="4"/>
      <c r="F687" s="17"/>
      <c r="G687" s="22"/>
    </row>
    <row r="688" spans="1:7" ht="15.75" thickBot="1">
      <c r="A688" s="3"/>
      <c r="B688" s="3"/>
      <c r="C688" s="4"/>
      <c r="D688" s="4"/>
      <c r="E688" s="4"/>
      <c r="F688" s="17"/>
      <c r="G688" s="22"/>
    </row>
    <row r="689" spans="1:7" ht="15.75" thickBot="1">
      <c r="A689" s="3"/>
      <c r="B689" s="3"/>
      <c r="C689" s="4"/>
      <c r="D689" s="4"/>
      <c r="E689" s="4"/>
      <c r="F689" s="17"/>
      <c r="G689" s="22"/>
    </row>
    <row r="690" spans="1:7" ht="15.75" thickBot="1">
      <c r="A690" s="3"/>
      <c r="B690" s="3"/>
      <c r="C690" s="4"/>
      <c r="D690" s="4"/>
      <c r="E690" s="4"/>
      <c r="F690" s="17"/>
      <c r="G690" s="22"/>
    </row>
    <row r="691" spans="1:7" ht="15.75" thickBot="1">
      <c r="A691" s="3"/>
      <c r="B691" s="3"/>
      <c r="C691" s="4"/>
      <c r="D691" s="4"/>
      <c r="E691" s="4"/>
      <c r="F691" s="17"/>
      <c r="G691" s="22"/>
    </row>
    <row r="692" spans="1:7" ht="15.75" thickBot="1">
      <c r="A692" s="3"/>
      <c r="B692" s="3"/>
      <c r="C692" s="4"/>
      <c r="D692" s="4"/>
      <c r="E692" s="4"/>
      <c r="F692" s="17"/>
      <c r="G692" s="22"/>
    </row>
    <row r="693" spans="1:7" ht="15.75" thickBot="1">
      <c r="A693" s="3"/>
      <c r="B693" s="3"/>
      <c r="C693" s="4"/>
      <c r="D693" s="4"/>
      <c r="E693" s="4"/>
      <c r="F693" s="17"/>
      <c r="G693" s="22"/>
    </row>
    <row r="694" spans="1:7" ht="15.75" thickBot="1">
      <c r="A694" s="3"/>
      <c r="B694" s="3"/>
      <c r="C694" s="4"/>
      <c r="D694" s="4"/>
      <c r="E694" s="4"/>
      <c r="F694" s="17"/>
      <c r="G694" s="22"/>
    </row>
    <row r="695" spans="1:7" ht="15.75" thickBot="1">
      <c r="A695" s="3"/>
      <c r="B695" s="3"/>
      <c r="C695" s="4"/>
      <c r="D695" s="4"/>
      <c r="E695" s="4"/>
      <c r="F695" s="17"/>
      <c r="G695" s="22"/>
    </row>
    <row r="696" spans="1:7" ht="15.75" thickBot="1">
      <c r="A696" s="3"/>
      <c r="B696" s="3"/>
      <c r="C696" s="4"/>
      <c r="D696" s="4"/>
      <c r="E696" s="4"/>
      <c r="F696" s="17"/>
      <c r="G696" s="22"/>
    </row>
    <row r="697" spans="1:7" ht="15.75" thickBot="1">
      <c r="A697" s="3"/>
      <c r="B697" s="3"/>
      <c r="C697" s="4"/>
      <c r="D697" s="4"/>
      <c r="E697" s="4"/>
      <c r="F697" s="17"/>
      <c r="G697" s="22"/>
    </row>
    <row r="698" spans="1:7" ht="15.75" thickBot="1">
      <c r="A698" s="3"/>
      <c r="B698" s="3"/>
      <c r="C698" s="4"/>
      <c r="D698" s="4"/>
      <c r="E698" s="4"/>
      <c r="F698" s="17"/>
      <c r="G698" s="22"/>
    </row>
    <row r="699" spans="1:7" ht="15.75" thickBot="1">
      <c r="A699" s="3"/>
      <c r="B699" s="3"/>
      <c r="C699" s="4"/>
      <c r="D699" s="4"/>
      <c r="E699" s="4"/>
      <c r="F699" s="17"/>
      <c r="G699" s="22"/>
    </row>
    <row r="700" spans="1:7" ht="15.75" thickBot="1">
      <c r="A700" s="3"/>
      <c r="B700" s="3"/>
      <c r="C700" s="4"/>
      <c r="D700" s="4"/>
      <c r="E700" s="4"/>
      <c r="F700" s="17"/>
      <c r="G700" s="22"/>
    </row>
    <row r="701" spans="1:7" ht="15.75" thickBot="1">
      <c r="A701" s="3"/>
      <c r="B701" s="3"/>
      <c r="C701" s="4"/>
      <c r="D701" s="4"/>
      <c r="E701" s="4"/>
      <c r="F701" s="17"/>
      <c r="G701" s="22"/>
    </row>
    <row r="702" spans="1:7" ht="15.75" thickBot="1">
      <c r="A702" s="3"/>
      <c r="B702" s="3"/>
      <c r="C702" s="4"/>
      <c r="D702" s="4"/>
      <c r="E702" s="4"/>
      <c r="F702" s="17"/>
      <c r="G702" s="22"/>
    </row>
    <row r="703" spans="1:7" ht="15.75" thickBot="1">
      <c r="A703" s="3"/>
      <c r="B703" s="3"/>
      <c r="C703" s="4"/>
      <c r="D703" s="4"/>
      <c r="E703" s="4"/>
      <c r="F703" s="17"/>
      <c r="G703" s="22"/>
    </row>
    <row r="704" spans="1:7" ht="15.75" thickBot="1">
      <c r="A704" s="3"/>
      <c r="B704" s="3"/>
      <c r="C704" s="4"/>
      <c r="D704" s="4"/>
      <c r="E704" s="4"/>
      <c r="F704" s="17"/>
      <c r="G704" s="22"/>
    </row>
    <row r="705" spans="1:7" ht="15.75" thickBot="1">
      <c r="A705" s="3"/>
      <c r="B705" s="3"/>
      <c r="C705" s="4"/>
      <c r="D705" s="4"/>
      <c r="E705" s="4"/>
      <c r="F705" s="17"/>
      <c r="G705" s="22"/>
    </row>
    <row r="706" spans="1:7" ht="15.75" thickBot="1">
      <c r="A706" s="3"/>
      <c r="B706" s="3"/>
      <c r="C706" s="4"/>
      <c r="D706" s="4"/>
      <c r="E706" s="4"/>
      <c r="F706" s="17"/>
      <c r="G706" s="22"/>
    </row>
    <row r="707" spans="1:7" ht="15.75" thickBot="1">
      <c r="A707" s="3"/>
      <c r="B707" s="3"/>
      <c r="C707" s="4"/>
      <c r="D707" s="4"/>
      <c r="E707" s="4"/>
      <c r="F707" s="17"/>
      <c r="G707" s="22"/>
    </row>
    <row r="708" spans="1:7" ht="15.75" thickBot="1">
      <c r="A708" s="3"/>
      <c r="B708" s="3"/>
      <c r="C708" s="4"/>
      <c r="D708" s="4"/>
      <c r="E708" s="4"/>
      <c r="F708" s="17"/>
      <c r="G708" s="22"/>
    </row>
    <row r="709" spans="1:7" ht="15.75" thickBot="1">
      <c r="A709" s="3"/>
      <c r="B709" s="3"/>
      <c r="C709" s="4"/>
      <c r="D709" s="4"/>
      <c r="E709" s="4"/>
      <c r="F709" s="17"/>
      <c r="G709" s="22"/>
    </row>
    <row r="710" spans="1:7" ht="15.75" thickBot="1">
      <c r="A710" s="3"/>
      <c r="B710" s="3"/>
      <c r="C710" s="4"/>
      <c r="D710" s="4"/>
      <c r="E710" s="4"/>
      <c r="F710" s="17"/>
      <c r="G710" s="22"/>
    </row>
    <row r="711" spans="1:7" ht="15.75" thickBot="1">
      <c r="A711" s="3"/>
      <c r="B711" s="3"/>
      <c r="C711" s="4"/>
      <c r="D711" s="4"/>
      <c r="E711" s="4"/>
      <c r="F711" s="17"/>
      <c r="G711" s="22"/>
    </row>
    <row r="712" spans="1:7" ht="15.75" thickBot="1">
      <c r="A712" s="3"/>
      <c r="B712" s="3"/>
      <c r="C712" s="4"/>
      <c r="D712" s="4"/>
      <c r="E712" s="4"/>
      <c r="F712" s="17"/>
      <c r="G712" s="22"/>
    </row>
    <row r="713" spans="1:7" ht="15.75" thickBot="1">
      <c r="A713" s="3"/>
      <c r="B713" s="3"/>
      <c r="C713" s="4"/>
      <c r="D713" s="4"/>
      <c r="E713" s="4"/>
      <c r="F713" s="17"/>
      <c r="G713" s="22"/>
    </row>
    <row r="714" spans="1:7" ht="15.75" thickBot="1">
      <c r="A714" s="3"/>
      <c r="B714" s="3"/>
      <c r="C714" s="4"/>
      <c r="D714" s="4"/>
      <c r="E714" s="4"/>
      <c r="F714" s="17"/>
      <c r="G714" s="22"/>
    </row>
    <row r="715" spans="1:7" ht="15.75" thickBot="1">
      <c r="A715" s="3"/>
      <c r="B715" s="3"/>
      <c r="C715" s="4"/>
      <c r="D715" s="4"/>
      <c r="E715" s="4"/>
      <c r="F715" s="17"/>
      <c r="G715" s="22"/>
    </row>
    <row r="716" spans="1:7" ht="15.75" thickBot="1">
      <c r="A716" s="3"/>
      <c r="B716" s="3"/>
      <c r="C716" s="4"/>
      <c r="D716" s="4"/>
      <c r="E716" s="4"/>
      <c r="F716" s="17"/>
      <c r="G716" s="22"/>
    </row>
    <row r="717" spans="1:7" ht="15.75" thickBot="1">
      <c r="A717" s="3"/>
      <c r="B717" s="3"/>
      <c r="C717" s="4"/>
      <c r="D717" s="4"/>
      <c r="E717" s="4"/>
      <c r="F717" s="17"/>
      <c r="G717" s="22"/>
    </row>
    <row r="718" spans="1:7" ht="15.75" thickBot="1">
      <c r="A718" s="3"/>
      <c r="B718" s="3"/>
      <c r="C718" s="4"/>
      <c r="D718" s="4"/>
      <c r="E718" s="4"/>
      <c r="F718" s="17"/>
      <c r="G718" s="22"/>
    </row>
    <row r="719" spans="1:7" ht="15.75" thickBot="1">
      <c r="A719" s="3"/>
      <c r="B719" s="3"/>
      <c r="C719" s="4"/>
      <c r="D719" s="4"/>
      <c r="E719" s="4"/>
      <c r="F719" s="17"/>
      <c r="G719" s="22"/>
    </row>
    <row r="720" spans="1:7" ht="15.75" thickBot="1">
      <c r="A720" s="3"/>
      <c r="B720" s="3"/>
      <c r="C720" s="4"/>
      <c r="D720" s="4"/>
      <c r="E720" s="4"/>
      <c r="F720" s="17"/>
      <c r="G720" s="22"/>
    </row>
    <row r="721" spans="1:7" ht="15.75" thickBot="1">
      <c r="A721" s="3"/>
      <c r="B721" s="3"/>
      <c r="C721" s="4"/>
      <c r="D721" s="4"/>
      <c r="E721" s="4"/>
      <c r="F721" s="17"/>
      <c r="G721" s="22"/>
    </row>
    <row r="722" spans="1:7" ht="15.75" thickBot="1">
      <c r="A722" s="3"/>
      <c r="B722" s="3"/>
      <c r="C722" s="4"/>
      <c r="D722" s="4"/>
      <c r="E722" s="4"/>
      <c r="F722" s="17"/>
      <c r="G722" s="22"/>
    </row>
    <row r="723" spans="1:7" ht="15.75" thickBot="1">
      <c r="A723" s="3"/>
      <c r="B723" s="3"/>
      <c r="C723" s="4"/>
      <c r="D723" s="4"/>
      <c r="E723" s="4"/>
      <c r="F723" s="17"/>
      <c r="G723" s="22"/>
    </row>
    <row r="724" spans="1:7" ht="15.75" thickBot="1">
      <c r="A724" s="3"/>
      <c r="B724" s="3"/>
      <c r="C724" s="4"/>
      <c r="D724" s="4"/>
      <c r="E724" s="4"/>
      <c r="F724" s="17"/>
      <c r="G724" s="22"/>
    </row>
    <row r="725" spans="1:7" ht="15.75" thickBot="1">
      <c r="A725" s="3"/>
      <c r="B725" s="3"/>
      <c r="C725" s="4"/>
      <c r="D725" s="4"/>
      <c r="E725" s="4"/>
      <c r="F725" s="17"/>
      <c r="G725" s="22"/>
    </row>
    <row r="726" spans="1:7" ht="15.75" thickBot="1">
      <c r="A726" s="3"/>
      <c r="B726" s="3"/>
      <c r="C726" s="4"/>
      <c r="D726" s="4"/>
      <c r="E726" s="4"/>
      <c r="F726" s="17"/>
      <c r="G726" s="22"/>
    </row>
    <row r="727" spans="1:7" ht="15.75" thickBot="1">
      <c r="A727" s="3"/>
      <c r="B727" s="3"/>
      <c r="C727" s="4"/>
      <c r="D727" s="4"/>
      <c r="E727" s="4"/>
      <c r="F727" s="17"/>
      <c r="G727" s="22"/>
    </row>
    <row r="728" spans="1:7" ht="15.75" thickBot="1">
      <c r="A728" s="3"/>
      <c r="B728" s="3"/>
      <c r="C728" s="4"/>
      <c r="D728" s="4"/>
      <c r="E728" s="4"/>
      <c r="F728" s="17"/>
      <c r="G728" s="22"/>
    </row>
    <row r="729" spans="1:7" ht="15.75" thickBot="1">
      <c r="A729" s="3"/>
      <c r="B729" s="3"/>
      <c r="C729" s="4"/>
      <c r="D729" s="4"/>
      <c r="E729" s="4"/>
      <c r="F729" s="17"/>
      <c r="G729" s="22"/>
    </row>
    <row r="730" spans="1:7" ht="15.75" thickBot="1">
      <c r="A730" s="3"/>
      <c r="B730" s="3"/>
      <c r="C730" s="4"/>
      <c r="D730" s="4"/>
      <c r="E730" s="4"/>
      <c r="F730" s="17"/>
      <c r="G730" s="22"/>
    </row>
    <row r="731" spans="1:7" ht="15.75" thickBot="1">
      <c r="A731" s="3"/>
      <c r="B731" s="3"/>
      <c r="C731" s="4"/>
      <c r="D731" s="4"/>
      <c r="E731" s="4"/>
      <c r="F731" s="17"/>
      <c r="G731" s="22"/>
    </row>
    <row r="732" spans="1:7" ht="15.75" thickBot="1">
      <c r="A732" s="3"/>
      <c r="B732" s="3"/>
      <c r="C732" s="4"/>
      <c r="D732" s="4"/>
      <c r="E732" s="4"/>
      <c r="F732" s="17"/>
      <c r="G732" s="22"/>
    </row>
    <row r="733" spans="1:7" ht="15.75" thickBot="1">
      <c r="A733" s="3"/>
      <c r="B733" s="3"/>
      <c r="C733" s="4"/>
      <c r="D733" s="4"/>
      <c r="E733" s="4"/>
      <c r="F733" s="17"/>
      <c r="G733" s="22"/>
    </row>
    <row r="734" spans="1:7" ht="15.75" thickBot="1">
      <c r="A734" s="3"/>
      <c r="B734" s="3"/>
      <c r="C734" s="4"/>
      <c r="D734" s="4"/>
      <c r="E734" s="4"/>
      <c r="F734" s="17"/>
      <c r="G734" s="22"/>
    </row>
    <row r="735" spans="1:7" ht="15.75" thickBot="1">
      <c r="A735" s="3"/>
      <c r="B735" s="3"/>
      <c r="C735" s="4"/>
      <c r="D735" s="4"/>
      <c r="E735" s="4"/>
      <c r="F735" s="17"/>
      <c r="G735" s="22"/>
    </row>
    <row r="736" spans="1:7" ht="15.75" thickBot="1">
      <c r="A736" s="3"/>
      <c r="B736" s="3"/>
      <c r="C736" s="4"/>
      <c r="D736" s="4"/>
      <c r="E736" s="4"/>
      <c r="F736" s="17"/>
      <c r="G736" s="22"/>
    </row>
    <row r="737" spans="1:7" ht="15.75" thickBot="1">
      <c r="A737" s="3"/>
      <c r="B737" s="3"/>
      <c r="C737" s="4"/>
      <c r="D737" s="4"/>
      <c r="E737" s="4"/>
      <c r="F737" s="17"/>
      <c r="G737" s="22"/>
    </row>
    <row r="738" spans="1:7" ht="15.75" thickBot="1">
      <c r="A738" s="3"/>
      <c r="B738" s="3"/>
      <c r="C738" s="4"/>
      <c r="D738" s="4"/>
      <c r="E738" s="4"/>
      <c r="F738" s="17"/>
      <c r="G738" s="22"/>
    </row>
    <row r="739" spans="1:7" ht="15.75" thickBot="1">
      <c r="A739" s="3"/>
      <c r="B739" s="3"/>
      <c r="C739" s="4"/>
      <c r="D739" s="4"/>
      <c r="E739" s="4"/>
      <c r="F739" s="17"/>
      <c r="G739" s="22"/>
    </row>
    <row r="740" spans="1:7" ht="15.75" thickBot="1">
      <c r="A740" s="3"/>
      <c r="B740" s="3"/>
      <c r="C740" s="4"/>
      <c r="D740" s="4"/>
      <c r="E740" s="4"/>
      <c r="F740" s="17"/>
      <c r="G740" s="22"/>
    </row>
    <row r="741" spans="1:7" ht="15.75" thickBot="1">
      <c r="A741" s="3"/>
      <c r="B741" s="3"/>
      <c r="C741" s="4"/>
      <c r="D741" s="4"/>
      <c r="E741" s="4"/>
      <c r="F741" s="17"/>
      <c r="G741" s="22"/>
    </row>
    <row r="742" spans="1:7" ht="15.75" thickBot="1">
      <c r="A742" s="3"/>
      <c r="B742" s="3"/>
      <c r="C742" s="4"/>
      <c r="D742" s="4"/>
      <c r="E742" s="4"/>
      <c r="F742" s="17"/>
      <c r="G742" s="22"/>
    </row>
    <row r="743" spans="1:7" ht="15.75" thickBot="1">
      <c r="A743" s="3"/>
      <c r="B743" s="3"/>
      <c r="C743" s="4"/>
      <c r="D743" s="4"/>
      <c r="E743" s="4"/>
      <c r="F743" s="17"/>
      <c r="G743" s="22"/>
    </row>
    <row r="744" spans="1:7" ht="15.75" thickBot="1">
      <c r="A744" s="3"/>
      <c r="B744" s="3"/>
      <c r="C744" s="4"/>
      <c r="D744" s="4"/>
      <c r="E744" s="4"/>
      <c r="F744" s="17"/>
      <c r="G744" s="22"/>
    </row>
    <row r="745" spans="1:7" ht="15.75" thickBot="1">
      <c r="A745" s="3"/>
      <c r="B745" s="3"/>
      <c r="C745" s="4"/>
      <c r="D745" s="4"/>
      <c r="E745" s="4"/>
      <c r="F745" s="17"/>
      <c r="G745" s="22"/>
    </row>
    <row r="746" spans="1:7" ht="15.75" thickBot="1">
      <c r="A746" s="3"/>
      <c r="B746" s="3"/>
      <c r="C746" s="4"/>
      <c r="D746" s="4"/>
      <c r="E746" s="4"/>
      <c r="F746" s="17"/>
      <c r="G746" s="22"/>
    </row>
    <row r="747" spans="1:7" ht="15.75" thickBot="1">
      <c r="A747" s="3"/>
      <c r="B747" s="3"/>
      <c r="C747" s="4"/>
      <c r="D747" s="4"/>
      <c r="E747" s="4"/>
      <c r="F747" s="17"/>
      <c r="G747" s="22"/>
    </row>
    <row r="748" spans="1:7" ht="15.75" thickBot="1">
      <c r="A748" s="3"/>
      <c r="B748" s="3"/>
      <c r="C748" s="4"/>
      <c r="D748" s="4"/>
      <c r="E748" s="4"/>
      <c r="F748" s="17"/>
      <c r="G748" s="22"/>
    </row>
    <row r="749" spans="1:7" ht="15.75" thickBot="1">
      <c r="A749" s="3"/>
      <c r="B749" s="3"/>
      <c r="C749" s="4"/>
      <c r="D749" s="4"/>
      <c r="E749" s="4"/>
      <c r="F749" s="17"/>
      <c r="G749" s="22"/>
    </row>
    <row r="750" spans="1:7" ht="15.75" thickBot="1">
      <c r="A750" s="3"/>
      <c r="B750" s="3"/>
      <c r="C750" s="4"/>
      <c r="D750" s="4"/>
      <c r="E750" s="4"/>
      <c r="F750" s="17"/>
      <c r="G750" s="22"/>
    </row>
    <row r="751" spans="1:7" ht="15.75" thickBot="1">
      <c r="A751" s="3"/>
      <c r="B751" s="3"/>
      <c r="C751" s="4"/>
      <c r="D751" s="4"/>
      <c r="E751" s="4"/>
      <c r="F751" s="17"/>
      <c r="G751" s="22"/>
    </row>
    <row r="752" spans="1:7" ht="15.75" thickBot="1">
      <c r="A752" s="3"/>
      <c r="B752" s="3"/>
      <c r="C752" s="4"/>
      <c r="D752" s="4"/>
      <c r="E752" s="4"/>
      <c r="F752" s="17"/>
      <c r="G752" s="22"/>
    </row>
    <row r="753" spans="1:7" ht="15.75" thickBot="1">
      <c r="A753" s="3"/>
      <c r="B753" s="3"/>
      <c r="C753" s="4"/>
      <c r="D753" s="4"/>
      <c r="E753" s="4"/>
      <c r="F753" s="17"/>
      <c r="G753" s="22"/>
    </row>
    <row r="754" spans="1:7" ht="15.75" thickBot="1">
      <c r="A754" s="3"/>
      <c r="B754" s="3"/>
      <c r="C754" s="4"/>
      <c r="D754" s="4"/>
      <c r="E754" s="4"/>
      <c r="F754" s="17"/>
      <c r="G754" s="22"/>
    </row>
    <row r="755" spans="1:7" ht="15.75" thickBot="1">
      <c r="A755" s="3"/>
      <c r="B755" s="3"/>
      <c r="C755" s="4"/>
      <c r="D755" s="4"/>
      <c r="E755" s="4"/>
      <c r="F755" s="17"/>
      <c r="G755" s="22"/>
    </row>
    <row r="756" spans="1:7" ht="15.75" thickBot="1">
      <c r="A756" s="3"/>
      <c r="B756" s="3"/>
      <c r="C756" s="4"/>
      <c r="D756" s="4"/>
      <c r="E756" s="4"/>
      <c r="F756" s="17"/>
      <c r="G756" s="22"/>
    </row>
    <row r="757" spans="1:7" ht="15.75" thickBot="1">
      <c r="A757" s="3"/>
      <c r="B757" s="3"/>
      <c r="C757" s="4"/>
      <c r="D757" s="4"/>
      <c r="E757" s="4"/>
      <c r="F757" s="17"/>
      <c r="G757" s="22"/>
    </row>
    <row r="758" spans="1:7" ht="15.75" thickBot="1">
      <c r="A758" s="3"/>
      <c r="B758" s="3"/>
      <c r="C758" s="4"/>
      <c r="D758" s="4"/>
      <c r="E758" s="4"/>
      <c r="F758" s="17"/>
      <c r="G758" s="22"/>
    </row>
    <row r="759" spans="1:7" ht="15.75" thickBot="1">
      <c r="A759" s="3"/>
      <c r="B759" s="3"/>
      <c r="C759" s="4"/>
      <c r="D759" s="4"/>
      <c r="E759" s="4"/>
      <c r="F759" s="17"/>
      <c r="G759" s="22"/>
    </row>
    <row r="760" spans="1:7" ht="15.75" thickBot="1">
      <c r="A760" s="3"/>
      <c r="B760" s="3"/>
      <c r="C760" s="4"/>
      <c r="D760" s="4"/>
      <c r="E760" s="4"/>
      <c r="F760" s="17"/>
      <c r="G760" s="22"/>
    </row>
    <row r="761" spans="1:7" ht="15.75" thickBot="1">
      <c r="A761" s="3"/>
      <c r="B761" s="3"/>
      <c r="C761" s="4"/>
      <c r="D761" s="4"/>
      <c r="E761" s="4"/>
      <c r="F761" s="17"/>
      <c r="G761" s="22"/>
    </row>
    <row r="762" spans="1:7" ht="15.75" thickBot="1">
      <c r="A762" s="3"/>
      <c r="B762" s="3"/>
      <c r="C762" s="4"/>
      <c r="D762" s="4"/>
      <c r="E762" s="4"/>
      <c r="F762" s="17"/>
      <c r="G762" s="22"/>
    </row>
    <row r="763" spans="1:7" ht="15.75" thickBot="1">
      <c r="A763" s="3"/>
      <c r="B763" s="3"/>
      <c r="C763" s="4"/>
      <c r="D763" s="4"/>
      <c r="E763" s="4"/>
      <c r="F763" s="17"/>
      <c r="G763" s="22"/>
    </row>
    <row r="764" spans="1:7" ht="15.75" thickBot="1">
      <c r="A764" s="3"/>
      <c r="B764" s="3"/>
      <c r="C764" s="4"/>
      <c r="D764" s="4"/>
      <c r="E764" s="4"/>
      <c r="F764" s="17"/>
      <c r="G764" s="22"/>
    </row>
    <row r="765" spans="1:7" ht="15.75" thickBot="1">
      <c r="A765" s="3"/>
      <c r="B765" s="3"/>
      <c r="C765" s="4"/>
      <c r="D765" s="4"/>
      <c r="E765" s="4"/>
      <c r="F765" s="17"/>
      <c r="G765" s="22"/>
    </row>
    <row r="766" spans="1:7" ht="15.75" thickBot="1">
      <c r="A766" s="3"/>
      <c r="B766" s="3"/>
      <c r="C766" s="4"/>
      <c r="D766" s="4"/>
      <c r="E766" s="4"/>
      <c r="F766" s="17"/>
      <c r="G766" s="22"/>
    </row>
    <row r="767" spans="1:7" ht="15.75" thickBot="1">
      <c r="A767" s="3"/>
      <c r="B767" s="3"/>
      <c r="C767" s="4"/>
      <c r="D767" s="4"/>
      <c r="E767" s="4"/>
      <c r="F767" s="17"/>
      <c r="G767" s="22"/>
    </row>
    <row r="768" spans="1:7" ht="15.75" thickBot="1">
      <c r="A768" s="3"/>
      <c r="B768" s="3"/>
      <c r="C768" s="4"/>
      <c r="D768" s="4"/>
      <c r="E768" s="4"/>
      <c r="F768" s="17"/>
      <c r="G768" s="22"/>
    </row>
    <row r="769" spans="1:7" ht="15.75" thickBot="1">
      <c r="A769" s="3"/>
      <c r="B769" s="3"/>
      <c r="C769" s="4"/>
      <c r="D769" s="4"/>
      <c r="E769" s="4"/>
      <c r="F769" s="17"/>
      <c r="G769" s="22"/>
    </row>
    <row r="770" spans="1:7" ht="15.75" thickBot="1">
      <c r="A770" s="3"/>
      <c r="B770" s="3"/>
      <c r="C770" s="4"/>
      <c r="D770" s="4"/>
      <c r="E770" s="4"/>
      <c r="F770" s="17"/>
      <c r="G770" s="22"/>
    </row>
    <row r="771" spans="1:7" ht="15.75" thickBot="1">
      <c r="A771" s="3"/>
      <c r="B771" s="3"/>
      <c r="C771" s="4"/>
      <c r="D771" s="4"/>
      <c r="E771" s="4"/>
      <c r="F771" s="17"/>
      <c r="G771" s="22"/>
    </row>
    <row r="772" spans="1:7" ht="15.75" thickBot="1">
      <c r="A772" s="3"/>
      <c r="B772" s="3"/>
      <c r="C772" s="4"/>
      <c r="D772" s="4"/>
      <c r="E772" s="4"/>
      <c r="F772" s="17"/>
      <c r="G772" s="22"/>
    </row>
    <row r="773" spans="1:7" ht="15.75" thickBot="1">
      <c r="A773" s="3"/>
      <c r="B773" s="3"/>
      <c r="C773" s="4"/>
      <c r="D773" s="4"/>
      <c r="E773" s="4"/>
      <c r="F773" s="17"/>
      <c r="G773" s="22"/>
    </row>
    <row r="774" spans="1:7" ht="15.75" thickBot="1">
      <c r="A774" s="3"/>
      <c r="B774" s="3"/>
      <c r="C774" s="4"/>
      <c r="D774" s="4"/>
      <c r="E774" s="4"/>
      <c r="F774" s="17"/>
      <c r="G774" s="22"/>
    </row>
    <row r="775" spans="1:7" ht="15.75" thickBot="1">
      <c r="A775" s="3"/>
      <c r="B775" s="3"/>
      <c r="C775" s="4"/>
      <c r="D775" s="4"/>
      <c r="E775" s="4"/>
      <c r="F775" s="17"/>
      <c r="G775" s="22"/>
    </row>
    <row r="776" spans="1:7" ht="15.75" thickBot="1">
      <c r="A776" s="3"/>
      <c r="B776" s="3"/>
      <c r="C776" s="4"/>
      <c r="D776" s="4"/>
      <c r="E776" s="4"/>
      <c r="F776" s="17"/>
      <c r="G776" s="22"/>
    </row>
    <row r="777" spans="1:7" ht="15.75" thickBot="1">
      <c r="A777" s="3"/>
      <c r="B777" s="3"/>
      <c r="C777" s="4"/>
      <c r="D777" s="4"/>
      <c r="E777" s="4"/>
      <c r="F777" s="17"/>
      <c r="G777" s="22"/>
    </row>
    <row r="778" spans="1:7" ht="15.75" thickBot="1">
      <c r="A778" s="3"/>
      <c r="B778" s="3"/>
      <c r="C778" s="4"/>
      <c r="D778" s="4"/>
      <c r="E778" s="4"/>
      <c r="F778" s="17"/>
      <c r="G778" s="22"/>
    </row>
    <row r="779" spans="1:7" ht="15.75" thickBot="1">
      <c r="A779" s="3"/>
      <c r="B779" s="3"/>
      <c r="C779" s="4"/>
      <c r="D779" s="4"/>
      <c r="E779" s="4"/>
      <c r="F779" s="17"/>
      <c r="G779" s="22"/>
    </row>
    <row r="780" spans="1:7" ht="15.75" thickBot="1">
      <c r="A780" s="3"/>
      <c r="B780" s="3"/>
      <c r="C780" s="4"/>
      <c r="D780" s="4"/>
      <c r="E780" s="4"/>
      <c r="F780" s="17"/>
      <c r="G780" s="22"/>
    </row>
    <row r="781" spans="1:7" ht="15.75" thickBot="1">
      <c r="A781" s="3"/>
      <c r="B781" s="3"/>
      <c r="C781" s="4"/>
      <c r="D781" s="4"/>
      <c r="E781" s="4"/>
      <c r="F781" s="17"/>
      <c r="G781" s="22"/>
    </row>
    <row r="782" spans="1:7" ht="15.75" thickBot="1">
      <c r="A782" s="3"/>
      <c r="B782" s="3"/>
      <c r="C782" s="4"/>
      <c r="D782" s="4"/>
      <c r="E782" s="4"/>
      <c r="F782" s="17"/>
      <c r="G782" s="22"/>
    </row>
    <row r="783" spans="1:7" ht="15.75" thickBot="1">
      <c r="A783" s="3"/>
      <c r="B783" s="3"/>
      <c r="C783" s="4"/>
      <c r="D783" s="4"/>
      <c r="E783" s="4"/>
      <c r="F783" s="17"/>
      <c r="G783" s="22"/>
    </row>
    <row r="784" spans="1:7" ht="15.75" thickBot="1">
      <c r="A784" s="3"/>
      <c r="B784" s="3"/>
      <c r="C784" s="4"/>
      <c r="D784" s="4"/>
      <c r="E784" s="4"/>
      <c r="F784" s="17"/>
      <c r="G784" s="22"/>
    </row>
    <row r="785" spans="1:7" ht="15.75" thickBot="1">
      <c r="A785" s="3"/>
      <c r="B785" s="3"/>
      <c r="C785" s="4"/>
      <c r="D785" s="4"/>
      <c r="E785" s="4"/>
      <c r="F785" s="17"/>
      <c r="G785" s="22"/>
    </row>
    <row r="786" spans="1:7" ht="15.75" thickBot="1">
      <c r="A786" s="3"/>
      <c r="B786" s="3"/>
      <c r="C786" s="4"/>
      <c r="D786" s="4"/>
      <c r="E786" s="4"/>
      <c r="F786" s="17"/>
      <c r="G786" s="22"/>
    </row>
    <row r="787" spans="1:7" ht="15.75" thickBot="1">
      <c r="A787" s="3"/>
      <c r="B787" s="3"/>
      <c r="C787" s="4"/>
      <c r="D787" s="4"/>
      <c r="E787" s="4"/>
      <c r="F787" s="17"/>
      <c r="G787" s="22"/>
    </row>
    <row r="788" spans="1:7" ht="15.75" thickBot="1">
      <c r="A788" s="3"/>
      <c r="B788" s="3"/>
      <c r="C788" s="4"/>
      <c r="D788" s="4"/>
      <c r="E788" s="4"/>
      <c r="F788" s="17"/>
      <c r="G788" s="22"/>
    </row>
    <row r="789" spans="1:7" ht="15.75" thickBot="1">
      <c r="A789" s="3"/>
      <c r="B789" s="3"/>
      <c r="C789" s="4"/>
      <c r="D789" s="4"/>
      <c r="E789" s="4"/>
      <c r="F789" s="17"/>
      <c r="G789" s="22"/>
    </row>
    <row r="790" spans="1:7" ht="15.75" thickBot="1">
      <c r="A790" s="3"/>
      <c r="B790" s="3"/>
      <c r="C790" s="4"/>
      <c r="D790" s="4"/>
      <c r="E790" s="4"/>
      <c r="F790" s="17"/>
      <c r="G790" s="22"/>
    </row>
    <row r="791" spans="1:7" ht="15.75" thickBot="1">
      <c r="A791" s="3"/>
      <c r="B791" s="3"/>
      <c r="C791" s="4"/>
      <c r="D791" s="4"/>
      <c r="E791" s="4"/>
      <c r="F791" s="17"/>
      <c r="G791" s="22"/>
    </row>
    <row r="792" spans="1:7" ht="15.75" thickBot="1">
      <c r="A792" s="3"/>
      <c r="B792" s="3"/>
      <c r="C792" s="4"/>
      <c r="D792" s="4"/>
      <c r="E792" s="4"/>
      <c r="F792" s="17"/>
      <c r="G792" s="22"/>
    </row>
    <row r="793" spans="1:7" ht="15.75" thickBot="1">
      <c r="A793" s="3"/>
      <c r="B793" s="3"/>
      <c r="C793" s="4"/>
      <c r="D793" s="4"/>
      <c r="E793" s="4"/>
      <c r="F793" s="17"/>
      <c r="G793" s="22"/>
    </row>
    <row r="794" spans="1:7" ht="15.75" thickBot="1">
      <c r="A794" s="3"/>
      <c r="B794" s="3"/>
      <c r="C794" s="4"/>
      <c r="D794" s="4"/>
      <c r="E794" s="4"/>
      <c r="F794" s="17"/>
      <c r="G794" s="22"/>
    </row>
    <row r="795" spans="1:7" ht="15.75" thickBot="1">
      <c r="A795" s="3"/>
      <c r="B795" s="3"/>
      <c r="C795" s="4"/>
      <c r="D795" s="4"/>
      <c r="E795" s="4"/>
      <c r="F795" s="17"/>
      <c r="G795" s="22"/>
    </row>
    <row r="796" spans="1:7" ht="15.75" thickBot="1">
      <c r="A796" s="3"/>
      <c r="B796" s="3"/>
      <c r="C796" s="4"/>
      <c r="D796" s="4"/>
      <c r="E796" s="4"/>
      <c r="F796" s="17"/>
      <c r="G796" s="22"/>
    </row>
    <row r="797" spans="1:7" ht="15.75" thickBot="1">
      <c r="A797" s="3"/>
      <c r="B797" s="3"/>
      <c r="C797" s="4"/>
      <c r="D797" s="4"/>
      <c r="E797" s="4"/>
      <c r="F797" s="17"/>
      <c r="G797" s="22"/>
    </row>
    <row r="798" spans="1:7" ht="15.75" thickBot="1">
      <c r="A798" s="3"/>
      <c r="B798" s="3"/>
      <c r="C798" s="4"/>
      <c r="D798" s="4"/>
      <c r="E798" s="4"/>
      <c r="F798" s="17"/>
      <c r="G798" s="22"/>
    </row>
    <row r="799" spans="1:7" ht="15.75" thickBot="1">
      <c r="A799" s="3"/>
      <c r="B799" s="3"/>
      <c r="C799" s="4"/>
      <c r="D799" s="4"/>
      <c r="E799" s="4"/>
      <c r="F799" s="17"/>
      <c r="G799" s="22"/>
    </row>
    <row r="800" spans="1:7" ht="15.75" thickBot="1">
      <c r="A800" s="3"/>
      <c r="B800" s="3"/>
      <c r="C800" s="4"/>
      <c r="D800" s="4"/>
      <c r="E800" s="4"/>
      <c r="F800" s="17"/>
      <c r="G800" s="22"/>
    </row>
    <row r="801" spans="1:7" ht="15.75" thickBot="1">
      <c r="A801" s="3"/>
      <c r="B801" s="3"/>
      <c r="C801" s="4"/>
      <c r="D801" s="4"/>
      <c r="E801" s="4"/>
      <c r="F801" s="17"/>
      <c r="G801" s="22"/>
    </row>
    <row r="802" spans="1:7" ht="15.75" thickBot="1">
      <c r="A802" s="3"/>
      <c r="B802" s="3"/>
      <c r="C802" s="4"/>
      <c r="D802" s="4"/>
      <c r="E802" s="4"/>
      <c r="F802" s="17"/>
      <c r="G802" s="22"/>
    </row>
    <row r="803" spans="1:7" ht="15.75" thickBot="1">
      <c r="A803" s="3"/>
      <c r="B803" s="3"/>
      <c r="C803" s="4"/>
      <c r="D803" s="4"/>
      <c r="E803" s="4"/>
      <c r="F803" s="17"/>
      <c r="G803" s="22"/>
    </row>
    <row r="804" spans="1:7" ht="15.75" thickBot="1">
      <c r="A804" s="3"/>
      <c r="B804" s="3"/>
      <c r="C804" s="4"/>
      <c r="D804" s="4"/>
      <c r="E804" s="4"/>
      <c r="F804" s="17"/>
      <c r="G804" s="22"/>
    </row>
    <row r="805" spans="1:7" ht="15.75" thickBot="1">
      <c r="A805" s="3"/>
      <c r="B805" s="3"/>
      <c r="C805" s="4"/>
      <c r="D805" s="4"/>
      <c r="E805" s="4"/>
      <c r="F805" s="17"/>
      <c r="G805" s="22"/>
    </row>
    <row r="806" spans="1:7" ht="15.75" thickBot="1">
      <c r="A806" s="3"/>
      <c r="B806" s="3"/>
      <c r="C806" s="4"/>
      <c r="D806" s="4"/>
      <c r="E806" s="4"/>
      <c r="F806" s="17"/>
      <c r="G806" s="22"/>
    </row>
    <row r="807" spans="1:7" ht="15.75" thickBot="1">
      <c r="A807" s="3"/>
      <c r="B807" s="3"/>
      <c r="C807" s="4"/>
      <c r="D807" s="4"/>
      <c r="E807" s="4"/>
      <c r="F807" s="17"/>
      <c r="G807" s="22"/>
    </row>
    <row r="808" spans="1:7" ht="15.75" thickBot="1">
      <c r="A808" s="3"/>
      <c r="B808" s="3"/>
      <c r="C808" s="4"/>
      <c r="D808" s="4"/>
      <c r="E808" s="4"/>
      <c r="F808" s="17"/>
      <c r="G808" s="22"/>
    </row>
    <row r="809" spans="1:7" ht="15.75" thickBot="1">
      <c r="A809" s="3"/>
      <c r="B809" s="3"/>
      <c r="C809" s="4"/>
      <c r="D809" s="4"/>
      <c r="E809" s="4"/>
      <c r="F809" s="17"/>
      <c r="G809" s="22"/>
    </row>
    <row r="810" spans="1:7" ht="15.75" thickBot="1">
      <c r="A810" s="3"/>
      <c r="B810" s="3"/>
      <c r="C810" s="4"/>
      <c r="D810" s="4"/>
      <c r="E810" s="4"/>
      <c r="F810" s="17"/>
      <c r="G810" s="22"/>
    </row>
    <row r="811" spans="1:7" ht="15.75" thickBot="1">
      <c r="A811" s="3"/>
      <c r="B811" s="3"/>
      <c r="C811" s="4"/>
      <c r="D811" s="4"/>
      <c r="E811" s="4"/>
      <c r="F811" s="17"/>
      <c r="G811" s="22"/>
    </row>
    <row r="812" spans="1:7" ht="15.75" thickBot="1">
      <c r="A812" s="3"/>
      <c r="B812" s="3"/>
      <c r="C812" s="4"/>
      <c r="D812" s="4"/>
      <c r="E812" s="4"/>
      <c r="F812" s="17"/>
      <c r="G812" s="22"/>
    </row>
    <row r="813" spans="1:7" ht="15.75" thickBot="1">
      <c r="A813" s="3"/>
      <c r="B813" s="3"/>
      <c r="C813" s="4"/>
      <c r="D813" s="4"/>
      <c r="E813" s="4"/>
      <c r="F813" s="17"/>
      <c r="G813" s="22"/>
    </row>
    <row r="814" spans="1:7" ht="15.75" thickBot="1">
      <c r="A814" s="3"/>
      <c r="B814" s="3"/>
      <c r="C814" s="4"/>
      <c r="D814" s="4"/>
      <c r="E814" s="4"/>
      <c r="F814" s="17"/>
      <c r="G814" s="22"/>
    </row>
    <row r="815" spans="1:7" ht="15.75" thickBot="1">
      <c r="A815" s="3"/>
      <c r="B815" s="3"/>
      <c r="C815" s="4"/>
      <c r="D815" s="4"/>
      <c r="E815" s="4"/>
      <c r="F815" s="17"/>
      <c r="G815" s="22"/>
    </row>
    <row r="816" spans="1:7" ht="15.75" thickBot="1">
      <c r="A816" s="3"/>
      <c r="B816" s="3"/>
      <c r="C816" s="4"/>
      <c r="D816" s="4"/>
      <c r="E816" s="4"/>
      <c r="F816" s="17"/>
      <c r="G816" s="22"/>
    </row>
    <row r="817" spans="1:7" ht="15.75" thickBot="1">
      <c r="A817" s="3"/>
      <c r="B817" s="3"/>
      <c r="C817" s="4"/>
      <c r="D817" s="4"/>
      <c r="E817" s="4"/>
      <c r="F817" s="17"/>
      <c r="G817" s="22"/>
    </row>
    <row r="818" spans="1:7" ht="15.75" thickBot="1">
      <c r="A818" s="3"/>
      <c r="B818" s="3"/>
      <c r="C818" s="4"/>
      <c r="D818" s="4"/>
      <c r="E818" s="4"/>
      <c r="F818" s="17"/>
      <c r="G818" s="22"/>
    </row>
    <row r="819" spans="1:7" ht="15.75" thickBot="1">
      <c r="A819" s="3"/>
      <c r="B819" s="3"/>
      <c r="C819" s="4"/>
      <c r="D819" s="4"/>
      <c r="E819" s="4"/>
      <c r="F819" s="17"/>
      <c r="G819" s="22"/>
    </row>
    <row r="820" spans="1:7" ht="15.75" thickBot="1">
      <c r="A820" s="3"/>
      <c r="B820" s="3"/>
      <c r="C820" s="4"/>
      <c r="D820" s="4"/>
      <c r="E820" s="4"/>
      <c r="F820" s="17"/>
      <c r="G820" s="22"/>
    </row>
    <row r="821" spans="1:7" ht="15.75" thickBot="1">
      <c r="A821" s="3"/>
      <c r="B821" s="3"/>
      <c r="C821" s="4"/>
      <c r="D821" s="4"/>
      <c r="E821" s="4"/>
      <c r="F821" s="17"/>
      <c r="G821" s="22"/>
    </row>
    <row r="822" spans="1:7" ht="15.75" thickBot="1">
      <c r="A822" s="3"/>
      <c r="B822" s="3"/>
      <c r="C822" s="4"/>
      <c r="D822" s="4"/>
      <c r="E822" s="4"/>
      <c r="F822" s="17"/>
      <c r="G822" s="22"/>
    </row>
    <row r="823" spans="1:7" ht="15.75" thickBot="1">
      <c r="A823" s="3"/>
      <c r="B823" s="3"/>
      <c r="C823" s="4"/>
      <c r="D823" s="4"/>
      <c r="E823" s="4"/>
      <c r="F823" s="17"/>
      <c r="G823" s="22"/>
    </row>
    <row r="824" spans="1:7" ht="15.75" thickBot="1">
      <c r="A824" s="3"/>
      <c r="B824" s="3"/>
      <c r="C824" s="4"/>
      <c r="D824" s="4"/>
      <c r="E824" s="4"/>
      <c r="F824" s="17"/>
      <c r="G824" s="22"/>
    </row>
    <row r="825" spans="1:7" ht="15.75" thickBot="1">
      <c r="A825" s="3"/>
      <c r="B825" s="3"/>
      <c r="C825" s="4"/>
      <c r="D825" s="4"/>
      <c r="E825" s="4"/>
      <c r="F825" s="17"/>
      <c r="G825" s="22"/>
    </row>
    <row r="826" spans="1:7" ht="15.75" thickBot="1">
      <c r="A826" s="3"/>
      <c r="B826" s="3"/>
      <c r="C826" s="4"/>
      <c r="D826" s="4"/>
      <c r="E826" s="4"/>
      <c r="F826" s="17"/>
      <c r="G826" s="22"/>
    </row>
    <row r="827" spans="1:7" ht="15.75" thickBot="1">
      <c r="A827" s="3"/>
      <c r="B827" s="3"/>
      <c r="C827" s="4"/>
      <c r="D827" s="4"/>
      <c r="E827" s="4"/>
      <c r="F827" s="17"/>
      <c r="G827" s="22"/>
    </row>
    <row r="828" spans="1:7" ht="15.75" thickBot="1">
      <c r="A828" s="3"/>
      <c r="B828" s="3"/>
      <c r="C828" s="4"/>
      <c r="D828" s="4"/>
      <c r="E828" s="4"/>
      <c r="F828" s="17"/>
      <c r="G828" s="22"/>
    </row>
    <row r="829" spans="1:7" ht="15.75" thickBot="1">
      <c r="A829" s="3"/>
      <c r="B829" s="3"/>
      <c r="C829" s="4"/>
      <c r="D829" s="4"/>
      <c r="E829" s="4"/>
      <c r="F829" s="17"/>
      <c r="G829" s="22"/>
    </row>
    <row r="830" spans="1:7" ht="15.75" thickBot="1">
      <c r="A830" s="3"/>
      <c r="B830" s="3"/>
      <c r="C830" s="4"/>
      <c r="D830" s="4"/>
      <c r="E830" s="4"/>
      <c r="F830" s="17"/>
      <c r="G830" s="22"/>
    </row>
    <row r="831" spans="1:7" ht="15.75" thickBot="1">
      <c r="A831" s="3"/>
      <c r="B831" s="3"/>
      <c r="C831" s="4"/>
      <c r="D831" s="4"/>
      <c r="E831" s="4"/>
      <c r="F831" s="17"/>
      <c r="G831" s="22"/>
    </row>
    <row r="832" spans="1:7" ht="15.75" thickBot="1">
      <c r="A832" s="3"/>
      <c r="B832" s="3"/>
      <c r="C832" s="4"/>
      <c r="D832" s="4"/>
      <c r="E832" s="4"/>
      <c r="F832" s="17"/>
      <c r="G832" s="22"/>
    </row>
    <row r="833" spans="1:7" ht="15.75" thickBot="1">
      <c r="A833" s="3"/>
      <c r="B833" s="3"/>
      <c r="C833" s="4"/>
      <c r="D833" s="4"/>
      <c r="E833" s="4"/>
      <c r="F833" s="17"/>
      <c r="G833" s="22"/>
    </row>
    <row r="834" spans="1:7" ht="15.75" thickBot="1">
      <c r="A834" s="3"/>
      <c r="B834" s="3"/>
      <c r="C834" s="4"/>
      <c r="D834" s="4"/>
      <c r="E834" s="4"/>
      <c r="F834" s="17"/>
      <c r="G834" s="22"/>
    </row>
    <row r="835" spans="1:7" ht="15.75" thickBot="1">
      <c r="A835" s="3"/>
      <c r="B835" s="3"/>
      <c r="C835" s="4"/>
      <c r="D835" s="4"/>
      <c r="E835" s="4"/>
      <c r="F835" s="17"/>
      <c r="G835" s="22"/>
    </row>
    <row r="836" spans="1:7" ht="15.75" thickBot="1">
      <c r="A836" s="3"/>
      <c r="B836" s="3"/>
      <c r="C836" s="4"/>
      <c r="D836" s="4"/>
      <c r="E836" s="4"/>
      <c r="F836" s="17"/>
      <c r="G836" s="22"/>
    </row>
    <row r="837" spans="1:7" ht="15.75" thickBot="1">
      <c r="A837" s="3"/>
      <c r="B837" s="3"/>
      <c r="C837" s="4"/>
      <c r="D837" s="4"/>
      <c r="E837" s="4"/>
      <c r="F837" s="17"/>
      <c r="G837" s="22"/>
    </row>
    <row r="838" spans="1:7" ht="15.75" thickBot="1">
      <c r="A838" s="3"/>
      <c r="B838" s="3"/>
      <c r="C838" s="4"/>
      <c r="D838" s="4"/>
      <c r="E838" s="4"/>
      <c r="F838" s="17"/>
      <c r="G838" s="22"/>
    </row>
    <row r="839" spans="1:7" ht="15.75" thickBot="1">
      <c r="A839" s="3"/>
      <c r="B839" s="3"/>
      <c r="C839" s="4"/>
      <c r="D839" s="4"/>
      <c r="E839" s="4"/>
      <c r="F839" s="17"/>
      <c r="G839" s="22"/>
    </row>
    <row r="840" spans="1:7" ht="15.75" thickBot="1">
      <c r="A840" s="3"/>
      <c r="B840" s="3"/>
      <c r="C840" s="4"/>
      <c r="D840" s="4"/>
      <c r="E840" s="4"/>
      <c r="F840" s="17"/>
      <c r="G840" s="22"/>
    </row>
    <row r="841" spans="1:7" ht="15.75" thickBot="1">
      <c r="A841" s="3"/>
      <c r="B841" s="3"/>
      <c r="C841" s="4"/>
      <c r="D841" s="4"/>
      <c r="E841" s="4"/>
      <c r="F841" s="17"/>
      <c r="G841" s="22"/>
    </row>
    <row r="842" spans="1:7" ht="15.75" thickBot="1">
      <c r="A842" s="3"/>
      <c r="B842" s="3"/>
      <c r="C842" s="4"/>
      <c r="D842" s="4"/>
      <c r="E842" s="4"/>
      <c r="F842" s="17"/>
      <c r="G842" s="22"/>
    </row>
    <row r="843" spans="1:7" ht="15.75" thickBot="1">
      <c r="A843" s="3"/>
      <c r="B843" s="3"/>
      <c r="C843" s="4"/>
      <c r="D843" s="4"/>
      <c r="E843" s="4"/>
      <c r="F843" s="17"/>
      <c r="G843" s="22"/>
    </row>
    <row r="844" spans="1:7" ht="15.75" thickBot="1">
      <c r="A844" s="3"/>
      <c r="B844" s="3"/>
      <c r="C844" s="4"/>
      <c r="D844" s="4"/>
      <c r="E844" s="4"/>
      <c r="F844" s="17"/>
      <c r="G844" s="22"/>
    </row>
    <row r="845" spans="1:7" ht="15.75" thickBot="1">
      <c r="A845" s="3"/>
      <c r="B845" s="3"/>
      <c r="C845" s="4"/>
      <c r="D845" s="4"/>
      <c r="E845" s="4"/>
      <c r="F845" s="17"/>
      <c r="G845" s="22"/>
    </row>
    <row r="846" spans="1:7" ht="15.75" thickBot="1">
      <c r="A846" s="3"/>
      <c r="B846" s="3"/>
      <c r="C846" s="4"/>
      <c r="D846" s="4"/>
      <c r="E846" s="4"/>
      <c r="F846" s="17"/>
      <c r="G846" s="22"/>
    </row>
    <row r="847" spans="1:7" ht="15.75" thickBot="1">
      <c r="A847" s="3"/>
      <c r="B847" s="3"/>
      <c r="C847" s="4"/>
      <c r="D847" s="4"/>
      <c r="E847" s="4"/>
      <c r="F847" s="17"/>
      <c r="G847" s="22"/>
    </row>
    <row r="848" spans="1:7" ht="15.75" thickBot="1">
      <c r="A848" s="3"/>
      <c r="B848" s="3"/>
      <c r="C848" s="4"/>
      <c r="D848" s="4"/>
      <c r="E848" s="4"/>
      <c r="F848" s="17"/>
      <c r="G848" s="22"/>
    </row>
    <row r="849" spans="1:7" ht="15.75" thickBot="1">
      <c r="A849" s="3"/>
      <c r="B849" s="3"/>
      <c r="C849" s="4"/>
      <c r="D849" s="4"/>
      <c r="E849" s="4"/>
      <c r="F849" s="17"/>
      <c r="G849" s="22"/>
    </row>
    <row r="850" spans="1:7" ht="15.75" thickBot="1">
      <c r="A850" s="3"/>
      <c r="B850" s="3"/>
      <c r="C850" s="4"/>
      <c r="D850" s="4"/>
      <c r="E850" s="4"/>
      <c r="F850" s="17"/>
      <c r="G850" s="22"/>
    </row>
    <row r="851" spans="1:7" ht="15.75" thickBot="1">
      <c r="A851" s="3"/>
      <c r="B851" s="3"/>
      <c r="C851" s="4"/>
      <c r="D851" s="4"/>
      <c r="E851" s="4"/>
      <c r="F851" s="17"/>
      <c r="G851" s="22"/>
    </row>
    <row r="852" spans="1:7" ht="15.75" thickBot="1">
      <c r="A852" s="3"/>
      <c r="B852" s="3"/>
      <c r="C852" s="4"/>
      <c r="D852" s="4"/>
      <c r="E852" s="4"/>
      <c r="F852" s="17"/>
      <c r="G852" s="22"/>
    </row>
    <row r="853" spans="1:7" ht="15.75" thickBot="1">
      <c r="A853" s="3"/>
      <c r="B853" s="3"/>
      <c r="C853" s="4"/>
      <c r="D853" s="4"/>
      <c r="E853" s="4"/>
      <c r="F853" s="17"/>
      <c r="G853" s="22"/>
    </row>
    <row r="854" spans="1:7" ht="15.75" thickBot="1">
      <c r="A854" s="3"/>
      <c r="B854" s="3"/>
      <c r="C854" s="4"/>
      <c r="D854" s="4"/>
      <c r="E854" s="4"/>
      <c r="F854" s="17"/>
      <c r="G854" s="22"/>
    </row>
    <row r="855" spans="1:7" ht="15.75" thickBot="1">
      <c r="A855" s="3"/>
      <c r="B855" s="3"/>
      <c r="C855" s="4"/>
      <c r="D855" s="4"/>
      <c r="E855" s="4"/>
      <c r="F855" s="17"/>
      <c r="G855" s="22"/>
    </row>
    <row r="856" spans="1:7" ht="15.75" thickBot="1">
      <c r="A856" s="3"/>
      <c r="B856" s="3"/>
      <c r="C856" s="4"/>
      <c r="D856" s="4"/>
      <c r="E856" s="4"/>
      <c r="F856" s="17"/>
      <c r="G856" s="22"/>
    </row>
    <row r="857" spans="1:7" ht="15.75" thickBot="1">
      <c r="A857" s="3"/>
      <c r="B857" s="3"/>
      <c r="C857" s="4"/>
      <c r="D857" s="4"/>
      <c r="E857" s="4"/>
      <c r="F857" s="17"/>
      <c r="G857" s="22"/>
    </row>
    <row r="858" spans="1:7" ht="15.75" thickBot="1">
      <c r="A858" s="3"/>
      <c r="B858" s="3"/>
      <c r="C858" s="4"/>
      <c r="D858" s="4"/>
      <c r="E858" s="4"/>
      <c r="F858" s="17"/>
      <c r="G858" s="22"/>
    </row>
    <row r="859" spans="1:7" ht="15.75" thickBot="1">
      <c r="A859" s="3"/>
      <c r="B859" s="3"/>
      <c r="C859" s="4"/>
      <c r="D859" s="4"/>
      <c r="E859" s="4"/>
      <c r="F859" s="17"/>
      <c r="G859" s="22"/>
    </row>
    <row r="860" spans="1:7" ht="15.75" thickBot="1">
      <c r="A860" s="3"/>
      <c r="B860" s="3"/>
      <c r="C860" s="4"/>
      <c r="D860" s="4"/>
      <c r="E860" s="4"/>
      <c r="F860" s="17"/>
      <c r="G860" s="22"/>
    </row>
    <row r="861" spans="1:7" ht="15.75" thickBot="1">
      <c r="A861" s="3"/>
      <c r="B861" s="3"/>
      <c r="C861" s="4"/>
      <c r="D861" s="4"/>
      <c r="E861" s="4"/>
      <c r="F861" s="17"/>
      <c r="G861" s="22"/>
    </row>
    <row r="862" spans="1:7" ht="15.75" thickBot="1">
      <c r="A862" s="3"/>
      <c r="B862" s="3"/>
      <c r="C862" s="4"/>
      <c r="D862" s="4"/>
      <c r="E862" s="4"/>
      <c r="F862" s="17"/>
      <c r="G862" s="22"/>
    </row>
    <row r="863" spans="1:7" ht="15.75" thickBot="1">
      <c r="A863" s="3"/>
      <c r="B863" s="3"/>
      <c r="C863" s="4"/>
      <c r="D863" s="4"/>
      <c r="E863" s="4"/>
      <c r="F863" s="17"/>
      <c r="G863" s="22"/>
    </row>
    <row r="864" spans="1:7" ht="15.75" thickBot="1">
      <c r="A864" s="3"/>
      <c r="B864" s="3"/>
      <c r="C864" s="4"/>
      <c r="D864" s="4"/>
      <c r="E864" s="4"/>
      <c r="F864" s="17"/>
      <c r="G864" s="22"/>
    </row>
    <row r="865" spans="1:7" ht="15.75" thickBot="1">
      <c r="A865" s="3"/>
      <c r="B865" s="3"/>
      <c r="C865" s="4"/>
      <c r="D865" s="4"/>
      <c r="E865" s="4"/>
      <c r="F865" s="17"/>
      <c r="G865" s="22"/>
    </row>
    <row r="866" spans="1:7" ht="15.75" thickBot="1">
      <c r="A866" s="3"/>
      <c r="B866" s="3"/>
      <c r="C866" s="4"/>
      <c r="D866" s="4"/>
      <c r="E866" s="4"/>
      <c r="F866" s="17"/>
      <c r="G866" s="22"/>
    </row>
    <row r="867" spans="1:7" ht="15.75" thickBot="1">
      <c r="A867" s="3"/>
      <c r="B867" s="3"/>
      <c r="C867" s="4"/>
      <c r="D867" s="4"/>
      <c r="E867" s="4"/>
      <c r="F867" s="17"/>
      <c r="G867" s="22"/>
    </row>
    <row r="868" spans="1:7" ht="15.75" thickBot="1">
      <c r="A868" s="3"/>
      <c r="B868" s="3"/>
      <c r="C868" s="4"/>
      <c r="D868" s="4"/>
      <c r="E868" s="4"/>
      <c r="F868" s="17"/>
      <c r="G868" s="22"/>
    </row>
    <row r="869" spans="1:7" ht="15.75" thickBot="1">
      <c r="A869" s="3"/>
      <c r="B869" s="3"/>
      <c r="C869" s="4"/>
      <c r="D869" s="4"/>
      <c r="E869" s="4"/>
      <c r="F869" s="17"/>
      <c r="G869" s="22"/>
    </row>
    <row r="870" spans="1:7" ht="15.75" thickBot="1">
      <c r="A870" s="3"/>
      <c r="B870" s="3"/>
      <c r="C870" s="4"/>
      <c r="D870" s="4"/>
      <c r="E870" s="4"/>
      <c r="F870" s="17"/>
      <c r="G870" s="22"/>
    </row>
    <row r="871" spans="1:7" ht="15.75" thickBot="1">
      <c r="A871" s="3"/>
      <c r="B871" s="3"/>
      <c r="C871" s="4"/>
      <c r="D871" s="4"/>
      <c r="E871" s="4"/>
      <c r="F871" s="17"/>
      <c r="G871" s="22"/>
    </row>
    <row r="872" spans="1:7" ht="15.75" thickBot="1">
      <c r="A872" s="3"/>
      <c r="B872" s="3"/>
      <c r="C872" s="4"/>
      <c r="D872" s="4"/>
      <c r="E872" s="4"/>
      <c r="F872" s="17"/>
      <c r="G872" s="22"/>
    </row>
    <row r="873" spans="1:7" ht="15.75" thickBot="1">
      <c r="A873" s="3"/>
      <c r="B873" s="3"/>
      <c r="C873" s="4"/>
      <c r="D873" s="4"/>
      <c r="E873" s="4"/>
      <c r="F873" s="17"/>
      <c r="G873" s="22"/>
    </row>
    <row r="874" spans="1:7" ht="15.75" thickBot="1">
      <c r="A874" s="3"/>
      <c r="B874" s="3"/>
      <c r="C874" s="4"/>
      <c r="D874" s="4"/>
      <c r="E874" s="4"/>
      <c r="F874" s="17"/>
      <c r="G874" s="22"/>
    </row>
    <row r="875" spans="1:7" ht="15.75" thickBot="1">
      <c r="A875" s="3"/>
      <c r="B875" s="3"/>
      <c r="C875" s="4"/>
      <c r="D875" s="4"/>
      <c r="E875" s="4"/>
      <c r="F875" s="17"/>
      <c r="G875" s="22"/>
    </row>
    <row r="876" spans="1:7" ht="15.75" thickBot="1">
      <c r="A876" s="3"/>
      <c r="B876" s="3"/>
      <c r="C876" s="4"/>
      <c r="D876" s="4"/>
      <c r="E876" s="4"/>
      <c r="F876" s="17"/>
      <c r="G876" s="22"/>
    </row>
    <row r="877" spans="1:7" ht="15.75" thickBot="1">
      <c r="A877" s="3"/>
      <c r="B877" s="3"/>
      <c r="C877" s="4"/>
      <c r="D877" s="4"/>
      <c r="E877" s="4"/>
      <c r="F877" s="17"/>
      <c r="G877" s="22"/>
    </row>
    <row r="878" spans="1:7" ht="15.75" thickBot="1">
      <c r="A878" s="3"/>
      <c r="B878" s="3"/>
      <c r="C878" s="4"/>
      <c r="D878" s="4"/>
      <c r="E878" s="4"/>
      <c r="F878" s="17"/>
      <c r="G878" s="22"/>
    </row>
    <row r="879" spans="1:7" ht="15.75" thickBot="1">
      <c r="A879" s="3"/>
      <c r="B879" s="3"/>
      <c r="C879" s="4"/>
      <c r="D879" s="4"/>
      <c r="E879" s="4"/>
      <c r="F879" s="17"/>
      <c r="G879" s="22"/>
    </row>
    <row r="880" spans="1:7" ht="15.75" thickBot="1">
      <c r="A880" s="3"/>
      <c r="B880" s="3"/>
      <c r="C880" s="4"/>
      <c r="D880" s="4"/>
      <c r="E880" s="4"/>
      <c r="F880" s="17"/>
      <c r="G880" s="22"/>
    </row>
    <row r="881" spans="1:7" ht="15.75" thickBot="1">
      <c r="A881" s="3"/>
      <c r="B881" s="3"/>
      <c r="C881" s="4"/>
      <c r="D881" s="4"/>
      <c r="E881" s="4"/>
      <c r="F881" s="17"/>
      <c r="G881" s="22"/>
    </row>
    <row r="882" spans="1:7" ht="15.75" thickBot="1">
      <c r="A882" s="3"/>
      <c r="B882" s="3"/>
      <c r="C882" s="4"/>
      <c r="D882" s="4"/>
      <c r="E882" s="4"/>
      <c r="F882" s="17"/>
      <c r="G882" s="22"/>
    </row>
    <row r="883" spans="1:7" ht="15.75" thickBot="1">
      <c r="A883" s="3"/>
      <c r="B883" s="3"/>
      <c r="C883" s="4"/>
      <c r="D883" s="4"/>
      <c r="E883" s="4"/>
      <c r="F883" s="17"/>
      <c r="G883" s="22"/>
    </row>
    <row r="884" spans="1:7" ht="15.75" thickBot="1">
      <c r="A884" s="3"/>
      <c r="B884" s="3"/>
      <c r="C884" s="4"/>
      <c r="D884" s="4"/>
      <c r="E884" s="4"/>
      <c r="F884" s="17"/>
      <c r="G884" s="22"/>
    </row>
    <row r="885" spans="1:7" ht="15.75" thickBot="1">
      <c r="A885" s="3"/>
      <c r="B885" s="3"/>
      <c r="C885" s="4"/>
      <c r="D885" s="4"/>
      <c r="E885" s="4"/>
      <c r="F885" s="17"/>
      <c r="G885" s="22"/>
    </row>
    <row r="886" spans="1:7" ht="15.75" thickBot="1">
      <c r="A886" s="3"/>
      <c r="B886" s="3"/>
      <c r="C886" s="4"/>
      <c r="D886" s="4"/>
      <c r="E886" s="4"/>
      <c r="F886" s="17"/>
      <c r="G886" s="22"/>
    </row>
    <row r="887" spans="1:7" ht="15.75" thickBot="1">
      <c r="A887" s="3"/>
      <c r="B887" s="3"/>
      <c r="C887" s="4"/>
      <c r="D887" s="4"/>
      <c r="E887" s="4"/>
      <c r="F887" s="17"/>
      <c r="G887" s="22"/>
    </row>
    <row r="888" spans="1:7" ht="15.75" thickBot="1">
      <c r="A888" s="3"/>
      <c r="B888" s="3"/>
      <c r="C888" s="4"/>
      <c r="D888" s="4"/>
      <c r="E888" s="4"/>
      <c r="F888" s="17"/>
      <c r="G888" s="22"/>
    </row>
    <row r="889" spans="1:7" ht="15.75" thickBot="1">
      <c r="A889" s="3"/>
      <c r="B889" s="3"/>
      <c r="C889" s="4"/>
      <c r="D889" s="4"/>
      <c r="E889" s="4"/>
      <c r="F889" s="17"/>
      <c r="G889" s="22"/>
    </row>
    <row r="890" spans="1:7" ht="15.75" thickBot="1">
      <c r="A890" s="3"/>
      <c r="B890" s="3"/>
      <c r="C890" s="4"/>
      <c r="D890" s="4"/>
      <c r="E890" s="4"/>
      <c r="F890" s="17"/>
      <c r="G890" s="22"/>
    </row>
    <row r="891" spans="1:7" ht="15.75" thickBot="1">
      <c r="A891" s="3"/>
      <c r="B891" s="3"/>
      <c r="C891" s="4"/>
      <c r="D891" s="4"/>
      <c r="E891" s="4"/>
      <c r="F891" s="17"/>
      <c r="G891" s="22"/>
    </row>
    <row r="892" spans="1:7" ht="15.75" thickBot="1">
      <c r="A892" s="3"/>
      <c r="B892" s="3"/>
      <c r="C892" s="4"/>
      <c r="D892" s="4"/>
      <c r="E892" s="4"/>
      <c r="F892" s="17"/>
      <c r="G892" s="22"/>
    </row>
    <row r="893" spans="1:7" ht="15.75" thickBot="1">
      <c r="A893" s="3"/>
      <c r="B893" s="3"/>
      <c r="C893" s="4"/>
      <c r="D893" s="4"/>
      <c r="E893" s="4"/>
      <c r="F893" s="17"/>
      <c r="G893" s="22"/>
    </row>
    <row r="894" spans="1:7" ht="15.75" thickBot="1">
      <c r="A894" s="3"/>
      <c r="B894" s="3"/>
      <c r="C894" s="4"/>
      <c r="D894" s="4"/>
      <c r="E894" s="4"/>
      <c r="F894" s="17"/>
      <c r="G894" s="22"/>
    </row>
    <row r="895" spans="1:7" ht="15.75" thickBot="1">
      <c r="A895" s="3"/>
      <c r="B895" s="3"/>
      <c r="C895" s="4"/>
      <c r="D895" s="4"/>
      <c r="E895" s="4"/>
      <c r="F895" s="17"/>
      <c r="G895" s="22"/>
    </row>
    <row r="896" spans="1:7" ht="15.75" thickBot="1">
      <c r="A896" s="3"/>
      <c r="B896" s="3"/>
      <c r="C896" s="4"/>
      <c r="D896" s="4"/>
      <c r="E896" s="4"/>
      <c r="F896" s="17"/>
      <c r="G896" s="22"/>
    </row>
    <row r="897" spans="1:7" ht="15.75" thickBot="1">
      <c r="A897" s="3"/>
      <c r="B897" s="3"/>
      <c r="C897" s="4"/>
      <c r="D897" s="4"/>
      <c r="E897" s="4"/>
      <c r="F897" s="17"/>
      <c r="G897" s="22"/>
    </row>
    <row r="898" spans="1:7" ht="15.75" thickBot="1">
      <c r="A898" s="3"/>
      <c r="B898" s="3"/>
      <c r="C898" s="4"/>
      <c r="D898" s="4"/>
      <c r="E898" s="4"/>
      <c r="F898" s="17"/>
      <c r="G898" s="22"/>
    </row>
    <row r="899" spans="1:7" ht="15.75" thickBot="1">
      <c r="A899" s="3"/>
      <c r="B899" s="3"/>
      <c r="C899" s="4"/>
      <c r="D899" s="4"/>
      <c r="E899" s="4"/>
      <c r="F899" s="17"/>
      <c r="G899" s="22"/>
    </row>
    <row r="900" spans="1:7" ht="15.75" thickBot="1">
      <c r="A900" s="3"/>
      <c r="B900" s="3"/>
      <c r="C900" s="4"/>
      <c r="D900" s="4"/>
      <c r="E900" s="4"/>
      <c r="F900" s="17"/>
      <c r="G900" s="22"/>
    </row>
    <row r="901" spans="1:7" ht="15.75" thickBot="1">
      <c r="A901" s="3"/>
      <c r="B901" s="3"/>
      <c r="C901" s="4"/>
      <c r="D901" s="4"/>
      <c r="E901" s="4"/>
      <c r="F901" s="17"/>
      <c r="G901" s="22"/>
    </row>
    <row r="902" spans="1:7" ht="15.75" thickBot="1">
      <c r="A902" s="3"/>
      <c r="B902" s="3"/>
      <c r="C902" s="4"/>
      <c r="D902" s="4"/>
      <c r="E902" s="4"/>
      <c r="F902" s="17"/>
      <c r="G902" s="22"/>
    </row>
    <row r="903" spans="1:7" ht="15.75" thickBot="1">
      <c r="A903" s="3"/>
      <c r="B903" s="3"/>
      <c r="C903" s="4"/>
      <c r="D903" s="4"/>
      <c r="E903" s="4"/>
      <c r="F903" s="17"/>
      <c r="G903" s="22"/>
    </row>
    <row r="904" spans="1:7" ht="15.75" thickBot="1">
      <c r="A904" s="3"/>
      <c r="B904" s="3"/>
      <c r="C904" s="4"/>
      <c r="D904" s="4"/>
      <c r="E904" s="4"/>
      <c r="F904" s="17"/>
      <c r="G904" s="22"/>
    </row>
    <row r="905" spans="1:7" ht="15.75" thickBot="1">
      <c r="A905" s="3"/>
      <c r="B905" s="3"/>
      <c r="C905" s="4"/>
      <c r="D905" s="4"/>
      <c r="E905" s="4"/>
      <c r="F905" s="17"/>
      <c r="G905" s="22"/>
    </row>
    <row r="906" spans="1:7" ht="15.75" thickBot="1">
      <c r="A906" s="3"/>
      <c r="B906" s="3"/>
      <c r="C906" s="4"/>
      <c r="D906" s="4"/>
      <c r="E906" s="4"/>
      <c r="F906" s="17"/>
      <c r="G906" s="22"/>
    </row>
    <row r="907" spans="1:7" ht="15.75" thickBot="1">
      <c r="A907" s="3"/>
      <c r="B907" s="3"/>
      <c r="C907" s="4"/>
      <c r="D907" s="4"/>
      <c r="E907" s="4"/>
      <c r="F907" s="17"/>
      <c r="G907" s="22"/>
    </row>
    <row r="908" spans="1:7" ht="15.75" thickBot="1">
      <c r="A908" s="3"/>
      <c r="B908" s="3"/>
      <c r="C908" s="4"/>
      <c r="D908" s="4"/>
      <c r="E908" s="4"/>
      <c r="F908" s="17"/>
      <c r="G908" s="22"/>
    </row>
    <row r="909" spans="1:7" ht="15.75" thickBot="1">
      <c r="A909" s="3"/>
      <c r="B909" s="3"/>
      <c r="C909" s="4"/>
      <c r="D909" s="4"/>
      <c r="E909" s="4"/>
      <c r="F909" s="17"/>
      <c r="G909" s="22"/>
    </row>
    <row r="910" spans="1:7" ht="15.75" thickBot="1">
      <c r="A910" s="3"/>
      <c r="B910" s="3"/>
      <c r="C910" s="4"/>
      <c r="D910" s="4"/>
      <c r="E910" s="4"/>
      <c r="F910" s="17"/>
      <c r="G910" s="22"/>
    </row>
    <row r="911" spans="1:7" ht="15.75" thickBot="1">
      <c r="A911" s="3"/>
      <c r="B911" s="3"/>
      <c r="C911" s="4"/>
      <c r="D911" s="4"/>
      <c r="E911" s="4"/>
      <c r="F911" s="17"/>
      <c r="G911" s="22"/>
    </row>
    <row r="912" spans="1:7" ht="15.75" thickBot="1">
      <c r="A912" s="3"/>
      <c r="B912" s="3"/>
      <c r="C912" s="4"/>
      <c r="D912" s="4"/>
      <c r="E912" s="4"/>
      <c r="F912" s="17"/>
      <c r="G912" s="22"/>
    </row>
    <row r="913" spans="1:7" ht="15.75" thickBot="1">
      <c r="A913" s="3"/>
      <c r="B913" s="3"/>
      <c r="C913" s="4"/>
      <c r="D913" s="4"/>
      <c r="E913" s="4"/>
      <c r="F913" s="17"/>
      <c r="G913" s="22"/>
    </row>
    <row r="914" spans="1:7" ht="15.75" thickBot="1">
      <c r="A914" s="3"/>
      <c r="B914" s="3"/>
      <c r="C914" s="4"/>
      <c r="D914" s="4"/>
      <c r="E914" s="4"/>
      <c r="F914" s="17"/>
      <c r="G914" s="22"/>
    </row>
    <row r="915" spans="1:7" ht="15.75" thickBot="1">
      <c r="A915" s="3"/>
      <c r="B915" s="3"/>
      <c r="C915" s="4"/>
      <c r="D915" s="4"/>
      <c r="E915" s="4"/>
      <c r="F915" s="17"/>
      <c r="G915" s="22"/>
    </row>
    <row r="916" spans="1:7" ht="15.75" thickBot="1">
      <c r="A916" s="3"/>
      <c r="B916" s="3"/>
      <c r="C916" s="4"/>
      <c r="D916" s="4"/>
      <c r="E916" s="4"/>
      <c r="F916" s="17"/>
      <c r="G916" s="22"/>
    </row>
    <row r="917" spans="1:7" ht="15.75" thickBot="1">
      <c r="A917" s="3"/>
      <c r="B917" s="3"/>
      <c r="C917" s="4"/>
      <c r="D917" s="4"/>
      <c r="E917" s="4"/>
      <c r="F917" s="17"/>
      <c r="G917" s="22"/>
    </row>
    <row r="918" spans="1:7" ht="15.75" thickBot="1">
      <c r="A918" s="3"/>
      <c r="B918" s="3"/>
      <c r="C918" s="4"/>
      <c r="D918" s="4"/>
      <c r="E918" s="4"/>
      <c r="F918" s="17"/>
      <c r="G918" s="22"/>
    </row>
    <row r="919" spans="1:7" ht="15.75" thickBot="1">
      <c r="A919" s="3"/>
      <c r="B919" s="3"/>
      <c r="C919" s="4"/>
      <c r="D919" s="4"/>
      <c r="E919" s="4"/>
      <c r="F919" s="17"/>
      <c r="G919" s="22"/>
    </row>
    <row r="920" spans="1:7" ht="15.75" thickBot="1">
      <c r="A920" s="3"/>
      <c r="B920" s="3"/>
      <c r="C920" s="4"/>
      <c r="D920" s="4"/>
      <c r="E920" s="4"/>
      <c r="F920" s="17"/>
      <c r="G920" s="22"/>
    </row>
    <row r="921" spans="1:7" ht="15.75" thickBot="1">
      <c r="A921" s="3"/>
      <c r="B921" s="3"/>
      <c r="C921" s="4"/>
      <c r="D921" s="4"/>
      <c r="E921" s="4"/>
      <c r="F921" s="17"/>
      <c r="G921" s="22"/>
    </row>
    <row r="922" spans="1:7" ht="15.75" thickBot="1">
      <c r="A922" s="3"/>
      <c r="B922" s="3"/>
      <c r="C922" s="4"/>
      <c r="D922" s="4"/>
      <c r="E922" s="4"/>
      <c r="F922" s="17"/>
      <c r="G922" s="22"/>
    </row>
    <row r="923" spans="1:7" ht="15.75" thickBot="1">
      <c r="A923" s="3"/>
      <c r="B923" s="3"/>
      <c r="C923" s="4"/>
      <c r="D923" s="4"/>
      <c r="E923" s="4"/>
      <c r="F923" s="17"/>
      <c r="G923" s="22"/>
    </row>
    <row r="924" spans="1:7" ht="15.75" thickBot="1">
      <c r="A924" s="3"/>
      <c r="B924" s="3"/>
      <c r="C924" s="4"/>
      <c r="D924" s="4"/>
      <c r="E924" s="4"/>
      <c r="F924" s="17"/>
      <c r="G924" s="22"/>
    </row>
    <row r="925" spans="1:7" ht="15.75" thickBot="1">
      <c r="A925" s="3"/>
      <c r="B925" s="3"/>
      <c r="C925" s="4"/>
      <c r="D925" s="4"/>
      <c r="E925" s="4"/>
      <c r="F925" s="17"/>
      <c r="G925" s="22"/>
    </row>
    <row r="926" spans="1:7" ht="15.75" thickBot="1">
      <c r="A926" s="3"/>
      <c r="B926" s="3"/>
      <c r="C926" s="4"/>
      <c r="D926" s="4"/>
      <c r="E926" s="4"/>
      <c r="F926" s="17"/>
      <c r="G926" s="22"/>
    </row>
    <row r="927" spans="1:7" ht="15.75" thickBot="1">
      <c r="A927" s="3"/>
      <c r="B927" s="3"/>
      <c r="C927" s="4"/>
      <c r="D927" s="4"/>
      <c r="E927" s="4"/>
      <c r="F927" s="17"/>
      <c r="G927" s="22"/>
    </row>
    <row r="928" spans="1:7" ht="15.75" thickBot="1">
      <c r="A928" s="3"/>
      <c r="B928" s="3"/>
      <c r="C928" s="4"/>
      <c r="D928" s="4"/>
      <c r="E928" s="4"/>
      <c r="F928" s="17"/>
      <c r="G928" s="22"/>
    </row>
    <row r="929" spans="1:7" ht="15.75" thickBot="1">
      <c r="A929" s="3"/>
      <c r="B929" s="3"/>
      <c r="C929" s="4"/>
      <c r="D929" s="4"/>
      <c r="E929" s="4"/>
      <c r="F929" s="17"/>
      <c r="G929" s="22"/>
    </row>
    <row r="930" spans="1:7" ht="15.75" thickBot="1">
      <c r="A930" s="3"/>
      <c r="B930" s="3"/>
      <c r="C930" s="4"/>
      <c r="D930" s="4"/>
      <c r="E930" s="4"/>
      <c r="F930" s="17"/>
      <c r="G930" s="22"/>
    </row>
    <row r="931" spans="1:7" ht="15.75" thickBot="1">
      <c r="A931" s="3"/>
      <c r="B931" s="3"/>
      <c r="C931" s="4"/>
      <c r="D931" s="4"/>
      <c r="E931" s="4"/>
      <c r="F931" s="17"/>
      <c r="G931" s="22"/>
    </row>
    <row r="932" spans="1:7" ht="15.75" thickBot="1">
      <c r="A932" s="3"/>
      <c r="B932" s="3"/>
      <c r="C932" s="4"/>
      <c r="D932" s="4"/>
      <c r="E932" s="4"/>
      <c r="F932" s="17"/>
      <c r="G932" s="22"/>
    </row>
    <row r="933" spans="1:7" ht="15.75" thickBot="1">
      <c r="A933" s="3"/>
      <c r="B933" s="3"/>
      <c r="C933" s="4"/>
      <c r="D933" s="4"/>
      <c r="E933" s="4"/>
      <c r="F933" s="17"/>
      <c r="G933" s="22"/>
    </row>
    <row r="934" spans="1:7" ht="15.75" thickBot="1">
      <c r="A934" s="3"/>
      <c r="B934" s="3"/>
      <c r="C934" s="4"/>
      <c r="D934" s="4"/>
      <c r="E934" s="4"/>
      <c r="F934" s="17"/>
      <c r="G934" s="22"/>
    </row>
    <row r="935" spans="1:7" ht="15.75" thickBot="1">
      <c r="A935" s="3"/>
      <c r="B935" s="3"/>
      <c r="C935" s="4"/>
      <c r="D935" s="4"/>
      <c r="E935" s="4"/>
      <c r="F935" s="17"/>
      <c r="G935" s="22"/>
    </row>
    <row r="936" spans="1:7" ht="15.75" thickBot="1">
      <c r="A936" s="3"/>
      <c r="B936" s="3"/>
      <c r="C936" s="4"/>
      <c r="D936" s="4"/>
      <c r="E936" s="4"/>
      <c r="F936" s="17"/>
      <c r="G936" s="22"/>
    </row>
    <row r="937" spans="1:7" ht="15.75" thickBot="1">
      <c r="A937" s="3"/>
      <c r="B937" s="3"/>
      <c r="C937" s="4"/>
      <c r="D937" s="4"/>
      <c r="E937" s="4"/>
      <c r="F937" s="17"/>
      <c r="G937" s="22"/>
    </row>
    <row r="938" spans="1:7" ht="15.75" thickBot="1">
      <c r="A938" s="3"/>
      <c r="B938" s="3"/>
      <c r="C938" s="4"/>
      <c r="D938" s="4"/>
      <c r="E938" s="4"/>
      <c r="F938" s="17"/>
      <c r="G938" s="22"/>
    </row>
    <row r="939" spans="1:7" ht="15.75" thickBot="1">
      <c r="A939" s="3"/>
      <c r="B939" s="3"/>
      <c r="C939" s="4"/>
      <c r="D939" s="4"/>
      <c r="E939" s="4"/>
      <c r="F939" s="17"/>
      <c r="G939" s="22"/>
    </row>
    <row r="940" spans="1:7" ht="15.75" thickBot="1">
      <c r="A940" s="3"/>
      <c r="B940" s="3"/>
      <c r="C940" s="4"/>
      <c r="D940" s="4"/>
      <c r="E940" s="4"/>
      <c r="F940" s="17"/>
      <c r="G940" s="22"/>
    </row>
    <row r="941" spans="1:7" ht="15.75" thickBot="1">
      <c r="A941" s="3"/>
      <c r="B941" s="3"/>
      <c r="C941" s="4"/>
      <c r="D941" s="4"/>
      <c r="E941" s="4"/>
      <c r="F941" s="17"/>
      <c r="G941" s="22"/>
    </row>
    <row r="942" spans="1:7" ht="15.75" thickBot="1">
      <c r="A942" s="3"/>
      <c r="B942" s="3"/>
      <c r="C942" s="4"/>
      <c r="D942" s="4"/>
      <c r="E942" s="4"/>
      <c r="F942" s="17"/>
      <c r="G942" s="22"/>
    </row>
    <row r="943" spans="1:7" ht="15.75" thickBot="1">
      <c r="A943" s="3"/>
      <c r="B943" s="3"/>
      <c r="C943" s="4"/>
      <c r="D943" s="4"/>
      <c r="E943" s="4"/>
      <c r="F943" s="17"/>
      <c r="G943" s="22"/>
    </row>
    <row r="944" spans="1:7" ht="15.75" thickBot="1">
      <c r="A944" s="3"/>
      <c r="B944" s="3"/>
      <c r="C944" s="4"/>
      <c r="D944" s="4"/>
      <c r="E944" s="4"/>
      <c r="F944" s="17"/>
      <c r="G944" s="22"/>
    </row>
    <row r="945" spans="1:7" ht="15.75" thickBot="1">
      <c r="A945" s="3"/>
      <c r="B945" s="3"/>
      <c r="C945" s="4"/>
      <c r="D945" s="4"/>
      <c r="E945" s="4"/>
      <c r="F945" s="17"/>
      <c r="G945" s="22"/>
    </row>
    <row r="946" spans="1:7" ht="15.75" thickBot="1">
      <c r="A946" s="3"/>
      <c r="B946" s="3"/>
      <c r="C946" s="4"/>
      <c r="D946" s="4"/>
      <c r="E946" s="4"/>
      <c r="F946" s="17"/>
      <c r="G946" s="22"/>
    </row>
    <row r="947" spans="1:7" ht="15.75" thickBot="1">
      <c r="A947" s="3"/>
      <c r="B947" s="3"/>
      <c r="C947" s="4"/>
      <c r="D947" s="4"/>
      <c r="E947" s="4"/>
      <c r="F947" s="17"/>
      <c r="G947" s="22"/>
    </row>
    <row r="948" spans="1:7" ht="15.75" thickBot="1">
      <c r="A948" s="3"/>
      <c r="B948" s="3"/>
      <c r="C948" s="4"/>
      <c r="D948" s="4"/>
      <c r="E948" s="4"/>
      <c r="F948" s="17"/>
      <c r="G948" s="22"/>
    </row>
    <row r="949" spans="1:7" ht="15.75" thickBot="1">
      <c r="A949" s="3"/>
      <c r="B949" s="3"/>
      <c r="C949" s="4"/>
      <c r="D949" s="4"/>
      <c r="E949" s="4"/>
      <c r="F949" s="17"/>
      <c r="G949" s="22"/>
    </row>
    <row r="950" spans="1:7" ht="15.75" thickBot="1">
      <c r="A950" s="3"/>
      <c r="B950" s="3"/>
      <c r="C950" s="4"/>
      <c r="D950" s="4"/>
      <c r="E950" s="4"/>
      <c r="F950" s="17"/>
      <c r="G950" s="22"/>
    </row>
    <row r="951" spans="1:7" ht="15.75" thickBot="1">
      <c r="A951" s="3"/>
      <c r="B951" s="3"/>
      <c r="C951" s="4"/>
      <c r="D951" s="4"/>
      <c r="E951" s="4"/>
      <c r="F951" s="17"/>
      <c r="G951" s="22"/>
    </row>
    <row r="952" spans="1:7" ht="15.75" thickBot="1">
      <c r="A952" s="3"/>
      <c r="B952" s="3"/>
      <c r="C952" s="4"/>
      <c r="D952" s="4"/>
      <c r="E952" s="4"/>
      <c r="F952" s="17"/>
      <c r="G952" s="22"/>
    </row>
    <row r="953" spans="1:7" ht="15.75" thickBot="1">
      <c r="A953" s="3"/>
      <c r="B953" s="3"/>
      <c r="C953" s="4"/>
      <c r="D953" s="4"/>
      <c r="E953" s="4"/>
      <c r="F953" s="17"/>
      <c r="G953" s="22"/>
    </row>
    <row r="954" spans="1:7" ht="15.75" thickBot="1">
      <c r="A954" s="3"/>
      <c r="B954" s="3"/>
      <c r="C954" s="4"/>
      <c r="D954" s="4"/>
      <c r="E954" s="4"/>
      <c r="F954" s="17"/>
      <c r="G954" s="22"/>
    </row>
    <row r="955" spans="1:7" ht="15.75" thickBot="1">
      <c r="A955" s="3"/>
      <c r="B955" s="3"/>
      <c r="C955" s="4"/>
      <c r="D955" s="4"/>
      <c r="E955" s="4"/>
      <c r="F955" s="17"/>
      <c r="G955" s="22"/>
    </row>
    <row r="956" spans="1:7" ht="15.75" thickBot="1">
      <c r="A956" s="3"/>
      <c r="B956" s="3"/>
      <c r="C956" s="4"/>
      <c r="D956" s="4"/>
      <c r="E956" s="4"/>
      <c r="F956" s="17"/>
      <c r="G956" s="22"/>
    </row>
    <row r="957" spans="1:7" ht="15.75" thickBot="1">
      <c r="A957" s="3"/>
      <c r="B957" s="3"/>
      <c r="C957" s="4"/>
      <c r="D957" s="4"/>
      <c r="E957" s="4"/>
      <c r="F957" s="17"/>
      <c r="G957" s="22"/>
    </row>
    <row r="958" spans="1:7" ht="15.75" thickBot="1">
      <c r="A958" s="3"/>
      <c r="B958" s="3"/>
      <c r="C958" s="4"/>
      <c r="D958" s="4"/>
      <c r="E958" s="4"/>
      <c r="F958" s="17"/>
      <c r="G958" s="22"/>
    </row>
    <row r="959" spans="1:7" ht="15.75" thickBot="1">
      <c r="A959" s="3"/>
      <c r="B959" s="3"/>
      <c r="C959" s="4"/>
      <c r="D959" s="4"/>
      <c r="E959" s="4"/>
      <c r="F959" s="17"/>
      <c r="G959" s="22"/>
    </row>
    <row r="960" spans="1:7" ht="15.75" thickBot="1">
      <c r="A960" s="3"/>
      <c r="B960" s="3"/>
      <c r="C960" s="4"/>
      <c r="D960" s="4"/>
      <c r="E960" s="4"/>
      <c r="F960" s="17"/>
      <c r="G960" s="22"/>
    </row>
    <row r="961" spans="1:7" ht="15.75" thickBot="1">
      <c r="A961" s="3"/>
      <c r="B961" s="3"/>
      <c r="C961" s="4"/>
      <c r="D961" s="4"/>
      <c r="E961" s="4"/>
      <c r="F961" s="17"/>
      <c r="G961" s="22"/>
    </row>
    <row r="962" spans="1:7" ht="15.75" thickBot="1">
      <c r="A962" s="3"/>
      <c r="B962" s="3"/>
      <c r="C962" s="4"/>
      <c r="D962" s="4"/>
      <c r="E962" s="4"/>
      <c r="F962" s="17"/>
      <c r="G962" s="22"/>
    </row>
    <row r="963" spans="1:7" ht="15.75" thickBot="1">
      <c r="A963" s="3"/>
      <c r="B963" s="3"/>
      <c r="C963" s="4"/>
      <c r="D963" s="4"/>
      <c r="E963" s="4"/>
      <c r="F963" s="17"/>
      <c r="G963" s="22"/>
    </row>
    <row r="964" spans="1:7" ht="15.75" thickBot="1">
      <c r="A964" s="3"/>
      <c r="B964" s="3"/>
      <c r="C964" s="4"/>
      <c r="D964" s="4"/>
      <c r="E964" s="4"/>
      <c r="F964" s="17"/>
      <c r="G964" s="22"/>
    </row>
    <row r="965" spans="1:7" ht="15.75" thickBot="1">
      <c r="A965" s="3"/>
      <c r="B965" s="3"/>
      <c r="C965" s="4"/>
      <c r="D965" s="4"/>
      <c r="E965" s="4"/>
      <c r="F965" s="17"/>
      <c r="G965" s="22"/>
    </row>
    <row r="966" spans="1:7" ht="15.75" thickBot="1">
      <c r="A966" s="3"/>
      <c r="B966" s="3"/>
      <c r="C966" s="4"/>
      <c r="D966" s="4"/>
      <c r="E966" s="4"/>
      <c r="F966" s="17"/>
      <c r="G966" s="22"/>
    </row>
    <row r="967" spans="1:7" ht="15.75" thickBot="1">
      <c r="A967" s="3"/>
      <c r="B967" s="3"/>
      <c r="C967" s="4"/>
      <c r="D967" s="4"/>
      <c r="E967" s="4"/>
      <c r="F967" s="17"/>
      <c r="G967" s="22"/>
    </row>
    <row r="968" spans="1:7" ht="15.75" thickBot="1">
      <c r="A968" s="3"/>
      <c r="B968" s="3"/>
      <c r="C968" s="4"/>
      <c r="D968" s="4"/>
      <c r="E968" s="4"/>
      <c r="F968" s="17"/>
      <c r="G968" s="22"/>
    </row>
    <row r="969" spans="1:7" ht="15.75" thickBot="1">
      <c r="A969" s="3"/>
      <c r="B969" s="3"/>
      <c r="C969" s="4"/>
      <c r="D969" s="4"/>
      <c r="E969" s="4"/>
      <c r="F969" s="17"/>
      <c r="G969" s="22"/>
    </row>
    <row r="970" spans="1:7" ht="15.75" thickBot="1">
      <c r="A970" s="3"/>
      <c r="B970" s="3"/>
      <c r="C970" s="4"/>
      <c r="D970" s="4"/>
      <c r="E970" s="4"/>
      <c r="F970" s="17"/>
      <c r="G970" s="22"/>
    </row>
    <row r="971" spans="1:7" ht="15.75" thickBot="1">
      <c r="A971" s="3"/>
      <c r="B971" s="3"/>
      <c r="C971" s="4"/>
      <c r="D971" s="4"/>
      <c r="E971" s="4"/>
      <c r="F971" s="17"/>
      <c r="G971" s="22"/>
    </row>
    <row r="972" spans="1:7" ht="15.75" thickBot="1">
      <c r="A972" s="3"/>
      <c r="B972" s="3"/>
      <c r="C972" s="4"/>
      <c r="D972" s="4"/>
      <c r="E972" s="4"/>
      <c r="F972" s="17"/>
      <c r="G972" s="22"/>
    </row>
    <row r="973" spans="1:7" ht="15.75" thickBot="1">
      <c r="A973" s="3"/>
      <c r="B973" s="3"/>
      <c r="C973" s="4"/>
      <c r="D973" s="4"/>
      <c r="E973" s="4"/>
      <c r="F973" s="17"/>
      <c r="G973" s="22"/>
    </row>
    <row r="974" spans="1:7" ht="15.75" thickBot="1">
      <c r="A974" s="3"/>
      <c r="B974" s="3"/>
      <c r="C974" s="4"/>
      <c r="D974" s="4"/>
      <c r="E974" s="4"/>
      <c r="F974" s="17"/>
      <c r="G974" s="22"/>
    </row>
    <row r="975" spans="1:7" ht="15.75" thickBot="1">
      <c r="A975" s="3"/>
      <c r="B975" s="3"/>
      <c r="C975" s="4"/>
      <c r="D975" s="4"/>
      <c r="E975" s="4"/>
      <c r="F975" s="17"/>
      <c r="G975" s="22"/>
    </row>
    <row r="976" spans="1:7" ht="15.75" thickBot="1">
      <c r="A976" s="3"/>
      <c r="B976" s="3"/>
      <c r="C976" s="4"/>
      <c r="D976" s="4"/>
      <c r="E976" s="4"/>
      <c r="F976" s="17"/>
      <c r="G976" s="22"/>
    </row>
    <row r="977" spans="1:7" ht="15.75" thickBot="1">
      <c r="A977" s="3"/>
      <c r="B977" s="3"/>
      <c r="C977" s="4"/>
      <c r="D977" s="4"/>
      <c r="E977" s="4"/>
      <c r="F977" s="17"/>
      <c r="G977" s="22"/>
    </row>
    <row r="978" spans="1:7" ht="15.75" thickBot="1">
      <c r="A978" s="3"/>
      <c r="B978" s="3"/>
      <c r="C978" s="4"/>
      <c r="D978" s="4"/>
      <c r="E978" s="4"/>
      <c r="F978" s="17"/>
      <c r="G978" s="22"/>
    </row>
    <row r="979" spans="1:7" ht="15.75" thickBot="1">
      <c r="A979" s="3"/>
      <c r="B979" s="3"/>
      <c r="C979" s="4"/>
      <c r="D979" s="4"/>
      <c r="E979" s="4"/>
      <c r="F979" s="17"/>
      <c r="G979" s="22"/>
    </row>
    <row r="980" spans="1:7" ht="15.75" thickBot="1">
      <c r="A980" s="3"/>
      <c r="B980" s="3"/>
      <c r="C980" s="4"/>
      <c r="D980" s="4"/>
      <c r="E980" s="4"/>
      <c r="F980" s="17"/>
      <c r="G980" s="22"/>
    </row>
    <row r="981" spans="1:7" ht="15.75" thickBot="1">
      <c r="A981" s="3"/>
      <c r="B981" s="3"/>
      <c r="C981" s="4"/>
      <c r="D981" s="4"/>
      <c r="E981" s="4"/>
      <c r="F981" s="17"/>
      <c r="G981" s="22"/>
    </row>
    <row r="982" spans="1:7" ht="15.75" thickBot="1">
      <c r="A982" s="3"/>
      <c r="B982" s="3"/>
      <c r="C982" s="4"/>
      <c r="D982" s="4"/>
      <c r="E982" s="4"/>
      <c r="F982" s="17"/>
      <c r="G982" s="22"/>
    </row>
    <row r="983" spans="1:7" ht="15.75" thickBot="1">
      <c r="A983" s="3"/>
      <c r="B983" s="3"/>
      <c r="C983" s="4"/>
      <c r="D983" s="4"/>
      <c r="E983" s="4"/>
      <c r="F983" s="17"/>
      <c r="G983" s="22"/>
    </row>
    <row r="984" spans="1:7" ht="15.75" thickBot="1">
      <c r="A984" s="3"/>
      <c r="B984" s="3"/>
      <c r="C984" s="4"/>
      <c r="D984" s="4"/>
      <c r="E984" s="4"/>
      <c r="F984" s="17"/>
      <c r="G984" s="22"/>
    </row>
    <row r="985" spans="1:7" ht="15.75" thickBot="1">
      <c r="A985" s="3"/>
      <c r="B985" s="3"/>
      <c r="C985" s="4"/>
      <c r="D985" s="4"/>
      <c r="E985" s="4"/>
      <c r="F985" s="17"/>
      <c r="G985" s="22"/>
    </row>
    <row r="986" spans="1:7" ht="15.75" thickBot="1">
      <c r="A986" s="3"/>
      <c r="B986" s="3"/>
      <c r="C986" s="4"/>
      <c r="D986" s="4"/>
      <c r="E986" s="4"/>
      <c r="F986" s="17"/>
      <c r="G986" s="22"/>
    </row>
    <row r="987" spans="1:7" ht="15.75" thickBot="1">
      <c r="A987" s="3"/>
      <c r="B987" s="3"/>
      <c r="C987" s="4"/>
      <c r="D987" s="4"/>
      <c r="E987" s="4"/>
      <c r="F987" s="17"/>
      <c r="G987" s="22"/>
    </row>
    <row r="988" spans="1:7" ht="15.75" thickBot="1">
      <c r="A988" s="3"/>
      <c r="B988" s="3"/>
      <c r="C988" s="4"/>
      <c r="D988" s="4"/>
      <c r="E988" s="4"/>
      <c r="F988" s="17"/>
      <c r="G988" s="22"/>
    </row>
    <row r="989" spans="1:7" ht="15.75" thickBot="1">
      <c r="A989" s="3"/>
      <c r="B989" s="3"/>
      <c r="C989" s="4"/>
      <c r="D989" s="4"/>
      <c r="E989" s="4"/>
      <c r="F989" s="17"/>
      <c r="G989" s="22"/>
    </row>
    <row r="990" spans="1:7" ht="15.75" thickBot="1">
      <c r="A990" s="3"/>
      <c r="B990" s="3"/>
      <c r="C990" s="4"/>
      <c r="D990" s="4"/>
      <c r="E990" s="4"/>
      <c r="F990" s="17"/>
      <c r="G990" s="22"/>
    </row>
    <row r="991" spans="1:7" ht="15.75" thickBot="1">
      <c r="A991" s="3"/>
      <c r="B991" s="3"/>
      <c r="C991" s="4"/>
      <c r="D991" s="4"/>
      <c r="E991" s="4"/>
      <c r="F991" s="17"/>
      <c r="G991" s="22"/>
    </row>
    <row r="992" spans="1:7" ht="15.75" thickBot="1">
      <c r="A992" s="3"/>
      <c r="B992" s="3"/>
      <c r="C992" s="4"/>
      <c r="D992" s="4"/>
      <c r="E992" s="4"/>
      <c r="F992" s="17"/>
      <c r="G992" s="22"/>
    </row>
    <row r="993" spans="1:7" ht="15.75" thickBot="1">
      <c r="A993" s="3"/>
      <c r="B993" s="3"/>
      <c r="C993" s="4"/>
      <c r="D993" s="4"/>
      <c r="E993" s="4"/>
      <c r="F993" s="17"/>
      <c r="G993" s="22"/>
    </row>
    <row r="994" spans="1:7" ht="15.75" thickBot="1">
      <c r="A994" s="3"/>
      <c r="B994" s="3"/>
      <c r="C994" s="4"/>
      <c r="D994" s="4"/>
      <c r="E994" s="4"/>
      <c r="F994" s="17"/>
      <c r="G994" s="22"/>
    </row>
    <row r="995" spans="1:7" ht="15.75" thickBot="1">
      <c r="A995" s="3"/>
      <c r="B995" s="3"/>
      <c r="C995" s="4"/>
      <c r="D995" s="4"/>
      <c r="E995" s="4"/>
      <c r="F995" s="17"/>
      <c r="G995" s="22"/>
    </row>
    <row r="996" spans="1:7" ht="15.75" thickBot="1">
      <c r="A996" s="3"/>
      <c r="B996" s="3"/>
      <c r="C996" s="4"/>
      <c r="D996" s="4"/>
      <c r="E996" s="4"/>
      <c r="F996" s="17"/>
      <c r="G996" s="22"/>
    </row>
    <row r="997" spans="1:7" ht="15.75" thickBot="1">
      <c r="A997" s="3"/>
      <c r="B997" s="3"/>
      <c r="C997" s="4"/>
      <c r="D997" s="4"/>
      <c r="E997" s="4"/>
      <c r="F997" s="17"/>
      <c r="G997" s="22"/>
    </row>
    <row r="998" spans="1:7" ht="15.75" thickBot="1">
      <c r="A998" s="3"/>
      <c r="B998" s="3"/>
      <c r="C998" s="4"/>
      <c r="D998" s="4"/>
      <c r="E998" s="4"/>
      <c r="F998" s="17"/>
      <c r="G998" s="22"/>
    </row>
    <row r="999" spans="1:7" ht="15.75" thickBot="1">
      <c r="A999" s="3"/>
      <c r="B999" s="3"/>
      <c r="C999" s="4"/>
      <c r="D999" s="4"/>
      <c r="E999" s="4"/>
      <c r="F999" s="17"/>
      <c r="G999" s="22"/>
    </row>
    <row r="1000" spans="1:7" ht="15.75" thickBot="1">
      <c r="A1000" s="3"/>
      <c r="B1000" s="3"/>
      <c r="C1000" s="4"/>
      <c r="D1000" s="4"/>
      <c r="E1000" s="4"/>
      <c r="F1000" s="17"/>
      <c r="G1000" s="22"/>
    </row>
    <row r="1001" spans="1:7" ht="15.75" thickBot="1">
      <c r="A1001" s="3"/>
      <c r="B1001" s="3"/>
      <c r="C1001" s="4"/>
      <c r="D1001" s="4"/>
      <c r="E1001" s="4"/>
      <c r="F1001" s="17"/>
      <c r="G1001" s="22"/>
    </row>
    <row r="1002" spans="1:7" ht="15.75" thickBot="1">
      <c r="A1002" s="3"/>
      <c r="B1002" s="3"/>
      <c r="C1002" s="4"/>
      <c r="D1002" s="4"/>
      <c r="E1002" s="4"/>
      <c r="F1002" s="17"/>
      <c r="G1002" s="22"/>
    </row>
    <row r="1003" spans="1:7" ht="15.75" thickBot="1">
      <c r="A1003" s="3"/>
      <c r="B1003" s="3"/>
      <c r="C1003" s="4"/>
      <c r="D1003" s="4"/>
      <c r="E1003" s="4"/>
      <c r="F1003" s="17"/>
      <c r="G1003" s="22"/>
    </row>
    <row r="1004" spans="1:7" ht="15.75" thickBot="1">
      <c r="A1004" s="3"/>
      <c r="B1004" s="3"/>
      <c r="C1004" s="4"/>
      <c r="D1004" s="4"/>
      <c r="E1004" s="4"/>
      <c r="F1004" s="17"/>
      <c r="G1004" s="22"/>
    </row>
    <row r="1005" spans="1:7" ht="15.75" thickBot="1">
      <c r="A1005" s="3"/>
      <c r="B1005" s="3"/>
      <c r="C1005" s="4"/>
      <c r="D1005" s="4"/>
      <c r="E1005" s="4"/>
      <c r="F1005" s="17"/>
      <c r="G1005" s="22"/>
    </row>
    <row r="1006" spans="1:7" ht="15.75" thickBot="1">
      <c r="A1006" s="3"/>
      <c r="B1006" s="3"/>
      <c r="C1006" s="4"/>
      <c r="D1006" s="4"/>
      <c r="E1006" s="4"/>
      <c r="F1006" s="17"/>
      <c r="G1006" s="22"/>
    </row>
    <row r="1007" spans="1:7" ht="15.75" thickBot="1">
      <c r="A1007" s="3"/>
      <c r="B1007" s="3"/>
      <c r="C1007" s="4"/>
      <c r="D1007" s="4"/>
      <c r="E1007" s="4"/>
      <c r="F1007" s="17"/>
      <c r="G1007" s="22"/>
    </row>
    <row r="1008" spans="1:7" ht="15.75" thickBot="1">
      <c r="A1008" s="3"/>
      <c r="B1008" s="3"/>
      <c r="C1008" s="4"/>
      <c r="D1008" s="4"/>
      <c r="E1008" s="4"/>
      <c r="F1008" s="17"/>
      <c r="G1008" s="22"/>
    </row>
    <row r="1009" spans="1:7" ht="15.75" thickBot="1">
      <c r="A1009" s="3"/>
      <c r="B1009" s="3"/>
      <c r="C1009" s="4"/>
      <c r="D1009" s="4"/>
      <c r="E1009" s="4"/>
      <c r="F1009" s="17"/>
      <c r="G1009" s="22"/>
    </row>
    <row r="1010" spans="1:7" ht="15.75" thickBot="1">
      <c r="A1010" s="3"/>
      <c r="B1010" s="3"/>
      <c r="C1010" s="4"/>
      <c r="D1010" s="4"/>
      <c r="E1010" s="4"/>
      <c r="F1010" s="17"/>
      <c r="G1010" s="22"/>
    </row>
    <row r="1011" spans="1:7" ht="15.75" thickBot="1">
      <c r="A1011" s="3"/>
      <c r="B1011" s="3"/>
      <c r="C1011" s="4"/>
      <c r="D1011" s="4"/>
      <c r="E1011" s="4"/>
      <c r="F1011" s="17"/>
      <c r="G1011" s="22"/>
    </row>
    <row r="1012" spans="1:7" ht="15.75" thickBot="1">
      <c r="A1012" s="3"/>
      <c r="B1012" s="3"/>
      <c r="C1012" s="4"/>
      <c r="D1012" s="4"/>
      <c r="E1012" s="4"/>
      <c r="F1012" s="17"/>
      <c r="G1012" s="22"/>
    </row>
  </sheetData>
  <mergeCells count="3">
    <mergeCell ref="A1:F1"/>
    <mergeCell ref="H1:J1"/>
    <mergeCell ref="L1:O1"/>
  </mergeCells>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M1003"/>
  <sheetViews>
    <sheetView workbookViewId="0">
      <pane ySplit="2" topLeftCell="A105" activePane="bottomLeft" state="frozen"/>
      <selection activeCell="G6" sqref="G6"/>
      <selection pane="bottomLeft" activeCell="G6" sqref="G6"/>
    </sheetView>
  </sheetViews>
  <sheetFormatPr defaultRowHeight="15"/>
  <cols>
    <col min="1" max="1" width="8.85546875" style="1"/>
    <col min="2" max="2" width="21.5703125" style="2" customWidth="1"/>
    <col min="3" max="3" width="12.42578125" style="2" bestFit="1" customWidth="1"/>
    <col min="4" max="4" width="10.140625" style="2" bestFit="1" customWidth="1"/>
    <col min="5" max="5" width="30" style="2" customWidth="1"/>
    <col min="6" max="6" width="5" style="2" customWidth="1"/>
    <col min="7" max="9" width="10.7109375" bestFit="1" customWidth="1"/>
    <col min="10" max="10" width="3.5703125" customWidth="1"/>
    <col min="11" max="13" width="8.85546875" style="2"/>
  </cols>
  <sheetData>
    <row r="1" spans="1:13">
      <c r="A1" s="104" t="s">
        <v>404</v>
      </c>
      <c r="B1" s="104"/>
      <c r="C1" s="104"/>
      <c r="D1" s="104"/>
      <c r="E1" s="104"/>
      <c r="F1" s="21"/>
      <c r="G1" s="106" t="s">
        <v>405</v>
      </c>
      <c r="H1" s="106"/>
      <c r="I1" s="106"/>
      <c r="K1" s="106" t="s">
        <v>406</v>
      </c>
      <c r="L1" s="106"/>
      <c r="M1" s="106"/>
    </row>
    <row r="2" spans="1:13">
      <c r="A2" s="9" t="s">
        <v>374</v>
      </c>
      <c r="B2" s="10" t="s">
        <v>375</v>
      </c>
      <c r="C2" s="10" t="s">
        <v>376</v>
      </c>
      <c r="D2" s="10" t="s">
        <v>377</v>
      </c>
      <c r="E2" s="10" t="s">
        <v>378</v>
      </c>
      <c r="F2" s="6"/>
      <c r="G2" s="10" t="s">
        <v>397</v>
      </c>
      <c r="H2" s="10" t="s">
        <v>398</v>
      </c>
      <c r="I2" s="10" t="s">
        <v>399</v>
      </c>
      <c r="K2" s="24">
        <v>2017</v>
      </c>
      <c r="L2" s="24">
        <v>2018</v>
      </c>
      <c r="M2" s="24">
        <v>2019</v>
      </c>
    </row>
    <row r="3" spans="1:13" ht="15.75" thickBot="1">
      <c r="A3" s="7">
        <v>154</v>
      </c>
      <c r="B3" s="8" t="s">
        <v>137</v>
      </c>
      <c r="C3" s="8" t="s">
        <v>36</v>
      </c>
      <c r="D3" s="8" t="s">
        <v>137</v>
      </c>
      <c r="E3" s="16" t="s">
        <v>131</v>
      </c>
      <c r="F3" s="22"/>
      <c r="G3" s="20" t="s">
        <v>400</v>
      </c>
      <c r="H3" s="15" t="s">
        <v>401</v>
      </c>
      <c r="I3" s="15" t="s">
        <v>402</v>
      </c>
      <c r="K3" s="2">
        <v>16</v>
      </c>
      <c r="L3" s="12">
        <v>15</v>
      </c>
      <c r="M3" s="2">
        <v>14</v>
      </c>
    </row>
    <row r="4" spans="1:13" ht="15.75" thickBot="1">
      <c r="A4" s="3">
        <v>134</v>
      </c>
      <c r="B4" s="4" t="s">
        <v>147</v>
      </c>
      <c r="C4" s="4" t="s">
        <v>5</v>
      </c>
      <c r="D4" s="4" t="s">
        <v>41</v>
      </c>
      <c r="E4" s="17" t="s">
        <v>131</v>
      </c>
      <c r="F4" s="22"/>
      <c r="G4" s="20" t="s">
        <v>400</v>
      </c>
      <c r="H4" s="15" t="s">
        <v>401</v>
      </c>
      <c r="I4" s="15" t="s">
        <v>402</v>
      </c>
      <c r="K4" s="2">
        <v>14</v>
      </c>
      <c r="L4" s="12">
        <v>13</v>
      </c>
      <c r="M4" s="2">
        <v>12</v>
      </c>
    </row>
    <row r="5" spans="1:13" ht="15.75" thickBot="1">
      <c r="A5" s="3">
        <v>14</v>
      </c>
      <c r="B5" s="4" t="s">
        <v>133</v>
      </c>
      <c r="C5" s="4" t="s">
        <v>10</v>
      </c>
      <c r="D5" s="4" t="s">
        <v>8</v>
      </c>
      <c r="E5" s="17" t="s">
        <v>131</v>
      </c>
      <c r="F5" s="22"/>
      <c r="G5" s="20" t="s">
        <v>400</v>
      </c>
      <c r="H5" s="15" t="s">
        <v>401</v>
      </c>
      <c r="I5" s="15" t="s">
        <v>402</v>
      </c>
      <c r="K5" s="2">
        <v>2</v>
      </c>
      <c r="L5" s="12">
        <v>1</v>
      </c>
      <c r="M5" s="2" t="s">
        <v>387</v>
      </c>
    </row>
    <row r="6" spans="1:13" ht="15.75" thickBot="1">
      <c r="A6" s="3">
        <v>27</v>
      </c>
      <c r="B6" s="4" t="s">
        <v>134</v>
      </c>
      <c r="C6" s="4" t="s">
        <v>10</v>
      </c>
      <c r="D6" s="4" t="s">
        <v>71</v>
      </c>
      <c r="E6" s="17" t="s">
        <v>131</v>
      </c>
      <c r="F6" s="22"/>
      <c r="G6" s="20" t="s">
        <v>400</v>
      </c>
      <c r="H6" s="15" t="s">
        <v>401</v>
      </c>
      <c r="I6" s="15" t="s">
        <v>402</v>
      </c>
      <c r="K6" s="2">
        <v>3</v>
      </c>
      <c r="L6" s="12">
        <v>2</v>
      </c>
      <c r="M6" s="2">
        <v>1</v>
      </c>
    </row>
    <row r="7" spans="1:13" ht="15.75" thickBot="1">
      <c r="A7" s="3">
        <v>54</v>
      </c>
      <c r="B7" s="4" t="s">
        <v>139</v>
      </c>
      <c r="C7" s="4" t="s">
        <v>10</v>
      </c>
      <c r="D7" s="4" t="s">
        <v>28</v>
      </c>
      <c r="E7" s="17" t="s">
        <v>131</v>
      </c>
      <c r="F7" s="22"/>
      <c r="G7" s="20" t="s">
        <v>400</v>
      </c>
      <c r="H7" s="15" t="s">
        <v>401</v>
      </c>
      <c r="I7" s="15" t="s">
        <v>402</v>
      </c>
      <c r="K7" s="2">
        <v>6</v>
      </c>
      <c r="L7" s="12">
        <v>5</v>
      </c>
      <c r="M7" s="2">
        <v>4</v>
      </c>
    </row>
    <row r="8" spans="1:13" ht="15.75" thickBot="1">
      <c r="A8" s="3" t="s">
        <v>390</v>
      </c>
      <c r="B8" s="4" t="s">
        <v>391</v>
      </c>
      <c r="C8" s="4" t="s">
        <v>5</v>
      </c>
      <c r="D8" s="4" t="s">
        <v>392</v>
      </c>
      <c r="E8" s="17" t="s">
        <v>131</v>
      </c>
      <c r="F8" s="22"/>
      <c r="G8" s="20" t="s">
        <v>400</v>
      </c>
      <c r="H8" s="15" t="s">
        <v>401</v>
      </c>
      <c r="I8" s="15" t="s">
        <v>402</v>
      </c>
      <c r="K8" s="25" t="s">
        <v>387</v>
      </c>
      <c r="L8" s="12">
        <v>9</v>
      </c>
      <c r="M8" s="2">
        <v>8</v>
      </c>
    </row>
    <row r="9" spans="1:13" ht="15.75" thickBot="1">
      <c r="A9" s="3" t="s">
        <v>390</v>
      </c>
      <c r="B9" s="4" t="s">
        <v>393</v>
      </c>
      <c r="C9" s="4" t="s">
        <v>2</v>
      </c>
      <c r="D9" s="4" t="s">
        <v>63</v>
      </c>
      <c r="E9" s="17" t="s">
        <v>131</v>
      </c>
      <c r="F9" s="22"/>
      <c r="G9" s="20" t="s">
        <v>400</v>
      </c>
      <c r="H9" s="15" t="s">
        <v>401</v>
      </c>
      <c r="I9" s="15" t="s">
        <v>402</v>
      </c>
      <c r="K9" s="25" t="s">
        <v>387</v>
      </c>
      <c r="L9" s="12">
        <v>9</v>
      </c>
      <c r="M9" s="2">
        <v>8</v>
      </c>
    </row>
    <row r="10" spans="1:13" ht="15.75" thickBot="1">
      <c r="A10" s="3">
        <v>67</v>
      </c>
      <c r="B10" s="4" t="s">
        <v>140</v>
      </c>
      <c r="C10" s="4" t="s">
        <v>27</v>
      </c>
      <c r="D10" s="4" t="s">
        <v>41</v>
      </c>
      <c r="E10" s="17" t="s">
        <v>131</v>
      </c>
      <c r="F10" s="22"/>
      <c r="G10" s="20" t="s">
        <v>400</v>
      </c>
      <c r="H10" s="15" t="s">
        <v>401</v>
      </c>
      <c r="I10" s="15" t="s">
        <v>402</v>
      </c>
      <c r="K10" s="2">
        <v>7</v>
      </c>
      <c r="L10" s="12">
        <v>6</v>
      </c>
      <c r="M10" s="2">
        <v>5</v>
      </c>
    </row>
    <row r="11" spans="1:13" ht="15.75" thickBot="1">
      <c r="A11" s="3">
        <v>7</v>
      </c>
      <c r="B11" s="4" t="s">
        <v>132</v>
      </c>
      <c r="C11" s="4" t="s">
        <v>2</v>
      </c>
      <c r="D11" s="4" t="s">
        <v>8</v>
      </c>
      <c r="E11" s="17" t="s">
        <v>131</v>
      </c>
      <c r="F11" s="22"/>
      <c r="G11" s="20" t="s">
        <v>400</v>
      </c>
      <c r="H11" s="15" t="s">
        <v>401</v>
      </c>
      <c r="I11" s="15" t="s">
        <v>402</v>
      </c>
      <c r="K11" s="2">
        <v>1</v>
      </c>
      <c r="L11" s="12" t="s">
        <v>387</v>
      </c>
      <c r="M11" s="2" t="s">
        <v>387</v>
      </c>
    </row>
    <row r="12" spans="1:13" ht="15.75" thickBot="1">
      <c r="A12" s="3">
        <v>34</v>
      </c>
      <c r="B12" s="4" t="s">
        <v>136</v>
      </c>
      <c r="C12" s="4" t="s">
        <v>2</v>
      </c>
      <c r="D12" s="4" t="s">
        <v>137</v>
      </c>
      <c r="E12" s="17" t="s">
        <v>131</v>
      </c>
      <c r="F12" s="22"/>
      <c r="G12" s="20" t="s">
        <v>400</v>
      </c>
      <c r="H12" s="15" t="s">
        <v>401</v>
      </c>
      <c r="I12" s="15" t="s">
        <v>402</v>
      </c>
      <c r="K12" s="2">
        <v>4</v>
      </c>
      <c r="L12" s="12">
        <v>3</v>
      </c>
      <c r="M12" s="2">
        <v>2</v>
      </c>
    </row>
    <row r="13" spans="1:13" ht="15.75" thickBot="1">
      <c r="A13" s="3" t="s">
        <v>390</v>
      </c>
      <c r="B13" s="4" t="s">
        <v>127</v>
      </c>
      <c r="C13" s="4" t="s">
        <v>10</v>
      </c>
      <c r="D13" s="4" t="s">
        <v>84</v>
      </c>
      <c r="E13" s="17" t="s">
        <v>131</v>
      </c>
      <c r="F13" s="22"/>
      <c r="G13" s="20" t="s">
        <v>400</v>
      </c>
      <c r="H13" s="15" t="s">
        <v>401</v>
      </c>
      <c r="I13" s="15" t="s">
        <v>402</v>
      </c>
      <c r="K13" s="25" t="s">
        <v>387</v>
      </c>
      <c r="L13" s="12">
        <v>9</v>
      </c>
      <c r="M13" s="2">
        <v>8</v>
      </c>
    </row>
    <row r="14" spans="1:13" ht="15.75" thickBot="1">
      <c r="A14" s="3" t="s">
        <v>390</v>
      </c>
      <c r="B14" s="4" t="s">
        <v>394</v>
      </c>
      <c r="C14" s="4" t="s">
        <v>2</v>
      </c>
      <c r="D14" s="4" t="s">
        <v>11</v>
      </c>
      <c r="E14" s="17" t="s">
        <v>131</v>
      </c>
      <c r="F14" s="22"/>
      <c r="G14" s="20" t="s">
        <v>400</v>
      </c>
      <c r="H14" s="15" t="s">
        <v>401</v>
      </c>
      <c r="I14" s="15" t="s">
        <v>402</v>
      </c>
      <c r="K14" s="25" t="s">
        <v>387</v>
      </c>
      <c r="L14" s="12">
        <v>9</v>
      </c>
      <c r="M14" s="2">
        <v>8</v>
      </c>
    </row>
    <row r="15" spans="1:13" ht="15.75" thickBot="1">
      <c r="A15" s="3">
        <v>87</v>
      </c>
      <c r="B15" s="4" t="s">
        <v>142</v>
      </c>
      <c r="C15" s="4" t="s">
        <v>2</v>
      </c>
      <c r="D15" s="4" t="s">
        <v>41</v>
      </c>
      <c r="E15" s="17" t="s">
        <v>131</v>
      </c>
      <c r="F15" s="22"/>
      <c r="G15" s="20" t="s">
        <v>400</v>
      </c>
      <c r="H15" s="15" t="s">
        <v>401</v>
      </c>
      <c r="I15" s="15" t="s">
        <v>402</v>
      </c>
      <c r="K15" s="25">
        <v>9</v>
      </c>
      <c r="L15" s="12">
        <v>8</v>
      </c>
      <c r="M15" s="2">
        <v>7</v>
      </c>
    </row>
    <row r="16" spans="1:13" ht="15.75" thickBot="1">
      <c r="A16" s="3" t="s">
        <v>390</v>
      </c>
      <c r="B16" s="4" t="s">
        <v>104</v>
      </c>
      <c r="C16" s="4" t="s">
        <v>2</v>
      </c>
      <c r="D16" s="4" t="s">
        <v>21</v>
      </c>
      <c r="E16" s="17" t="s">
        <v>131</v>
      </c>
      <c r="F16" s="22"/>
      <c r="G16" s="20" t="s">
        <v>400</v>
      </c>
      <c r="H16" s="15" t="s">
        <v>401</v>
      </c>
      <c r="I16" s="15" t="s">
        <v>402</v>
      </c>
      <c r="K16" s="25" t="s">
        <v>387</v>
      </c>
      <c r="L16" s="12">
        <v>9</v>
      </c>
      <c r="M16" s="2">
        <v>8</v>
      </c>
    </row>
    <row r="17" spans="1:13" ht="15.75" thickBot="1">
      <c r="A17" s="3" t="s">
        <v>390</v>
      </c>
      <c r="B17" s="4" t="s">
        <v>395</v>
      </c>
      <c r="C17" s="4" t="s">
        <v>27</v>
      </c>
      <c r="D17" s="4" t="s">
        <v>396</v>
      </c>
      <c r="E17" s="17" t="s">
        <v>131</v>
      </c>
      <c r="F17" s="22"/>
      <c r="G17" s="20" t="s">
        <v>400</v>
      </c>
      <c r="H17" s="15" t="s">
        <v>401</v>
      </c>
      <c r="I17" s="15" t="s">
        <v>402</v>
      </c>
      <c r="K17" s="25" t="s">
        <v>387</v>
      </c>
      <c r="L17" s="12">
        <v>9</v>
      </c>
      <c r="M17" s="2">
        <v>8</v>
      </c>
    </row>
    <row r="18" spans="1:13" ht="15.75" thickBot="1">
      <c r="A18" s="3" t="s">
        <v>390</v>
      </c>
      <c r="B18" s="4" t="s">
        <v>119</v>
      </c>
      <c r="C18" s="4" t="s">
        <v>2</v>
      </c>
      <c r="D18" s="4" t="s">
        <v>13</v>
      </c>
      <c r="E18" s="17" t="s">
        <v>131</v>
      </c>
      <c r="F18" s="22"/>
      <c r="G18" s="20" t="s">
        <v>400</v>
      </c>
      <c r="H18" s="15" t="s">
        <v>401</v>
      </c>
      <c r="I18" s="15" t="s">
        <v>402</v>
      </c>
      <c r="K18" s="25" t="s">
        <v>387</v>
      </c>
      <c r="L18" s="12">
        <v>9</v>
      </c>
      <c r="M18" s="2">
        <v>8</v>
      </c>
    </row>
    <row r="19" spans="1:13" ht="15.75" thickBot="1">
      <c r="A19" s="13"/>
      <c r="B19" s="14"/>
      <c r="C19" s="14"/>
      <c r="D19" s="14"/>
      <c r="E19" s="18"/>
      <c r="F19" s="22"/>
      <c r="L19" s="12"/>
    </row>
    <row r="20" spans="1:13" ht="15.75" thickBot="1">
      <c r="A20" s="3">
        <v>152</v>
      </c>
      <c r="B20" s="4" t="s">
        <v>379</v>
      </c>
      <c r="C20" s="4" t="s">
        <v>36</v>
      </c>
      <c r="D20" s="4" t="s">
        <v>32</v>
      </c>
      <c r="E20" s="17" t="s">
        <v>423</v>
      </c>
      <c r="F20" s="22"/>
      <c r="G20" s="20" t="s">
        <v>400</v>
      </c>
      <c r="H20" s="15" t="s">
        <v>401</v>
      </c>
      <c r="I20" s="15" t="s">
        <v>402</v>
      </c>
      <c r="K20" s="2">
        <v>16</v>
      </c>
      <c r="L20" s="12">
        <v>15</v>
      </c>
      <c r="M20" s="2">
        <v>14</v>
      </c>
    </row>
    <row r="21" spans="1:13" ht="15.75" thickBot="1">
      <c r="A21" s="3">
        <v>69</v>
      </c>
      <c r="B21" s="4" t="s">
        <v>172</v>
      </c>
      <c r="C21" s="4" t="s">
        <v>5</v>
      </c>
      <c r="D21" s="4" t="s">
        <v>73</v>
      </c>
      <c r="E21" s="17" t="s">
        <v>423</v>
      </c>
      <c r="F21" s="22"/>
      <c r="G21" s="20" t="s">
        <v>400</v>
      </c>
      <c r="H21" s="15" t="s">
        <v>401</v>
      </c>
      <c r="I21" s="15" t="s">
        <v>402</v>
      </c>
      <c r="K21" s="2">
        <v>7</v>
      </c>
      <c r="L21" s="12">
        <v>6</v>
      </c>
      <c r="M21" s="2">
        <v>5</v>
      </c>
    </row>
    <row r="22" spans="1:13" ht="15.75" thickBot="1">
      <c r="A22" s="3">
        <v>12</v>
      </c>
      <c r="B22" s="4" t="s">
        <v>167</v>
      </c>
      <c r="C22" s="4" t="s">
        <v>10</v>
      </c>
      <c r="D22" s="4" t="s">
        <v>15</v>
      </c>
      <c r="E22" s="17" t="s">
        <v>423</v>
      </c>
      <c r="F22" s="22"/>
      <c r="G22" s="20" t="s">
        <v>400</v>
      </c>
      <c r="H22" s="15" t="s">
        <v>401</v>
      </c>
      <c r="I22" s="15" t="s">
        <v>402</v>
      </c>
      <c r="K22" s="2">
        <v>2</v>
      </c>
      <c r="L22" s="12">
        <v>1</v>
      </c>
      <c r="M22" s="2" t="s">
        <v>387</v>
      </c>
    </row>
    <row r="23" spans="1:13" ht="15.75" thickBot="1">
      <c r="A23" s="3">
        <v>32</v>
      </c>
      <c r="B23" s="4" t="s">
        <v>169</v>
      </c>
      <c r="C23" s="4" t="s">
        <v>10</v>
      </c>
      <c r="D23" s="4" t="s">
        <v>19</v>
      </c>
      <c r="E23" s="17" t="s">
        <v>423</v>
      </c>
      <c r="F23" s="22"/>
      <c r="G23" s="25" t="s">
        <v>401</v>
      </c>
      <c r="H23" s="25" t="s">
        <v>402</v>
      </c>
      <c r="I23" s="25" t="s">
        <v>387</v>
      </c>
      <c r="K23" s="2">
        <v>4</v>
      </c>
      <c r="L23" s="12">
        <v>3</v>
      </c>
      <c r="M23" s="2" t="s">
        <v>387</v>
      </c>
    </row>
    <row r="24" spans="1:13" ht="15.75" thickBot="1">
      <c r="A24" s="3">
        <v>49</v>
      </c>
      <c r="B24" s="4" t="s">
        <v>170</v>
      </c>
      <c r="C24" s="4" t="s">
        <v>10</v>
      </c>
      <c r="D24" s="4" t="s">
        <v>82</v>
      </c>
      <c r="E24" s="17" t="s">
        <v>423</v>
      </c>
      <c r="F24" s="22"/>
      <c r="G24" s="20" t="s">
        <v>400</v>
      </c>
      <c r="H24" s="15" t="s">
        <v>401</v>
      </c>
      <c r="I24" s="15" t="s">
        <v>402</v>
      </c>
      <c r="K24" s="2">
        <v>5</v>
      </c>
      <c r="L24" s="12">
        <v>4</v>
      </c>
      <c r="M24" s="2">
        <v>3</v>
      </c>
    </row>
    <row r="25" spans="1:13" ht="15.75" thickBot="1">
      <c r="A25" s="3" t="s">
        <v>413</v>
      </c>
      <c r="B25" s="4" t="s">
        <v>61</v>
      </c>
      <c r="C25" s="4" t="s">
        <v>10</v>
      </c>
      <c r="D25" s="4" t="s">
        <v>32</v>
      </c>
      <c r="E25" s="17" t="s">
        <v>423</v>
      </c>
      <c r="F25" s="22"/>
      <c r="G25" s="20" t="s">
        <v>400</v>
      </c>
      <c r="H25" s="15" t="s">
        <v>401</v>
      </c>
      <c r="I25" s="15" t="s">
        <v>402</v>
      </c>
      <c r="K25" s="2">
        <v>2</v>
      </c>
      <c r="L25" s="12">
        <v>1</v>
      </c>
      <c r="M25" s="2" t="s">
        <v>387</v>
      </c>
    </row>
    <row r="26" spans="1:13" ht="15.75" thickBot="1">
      <c r="A26" s="3" t="s">
        <v>390</v>
      </c>
      <c r="B26" s="4" t="s">
        <v>425</v>
      </c>
      <c r="C26" s="4" t="s">
        <v>2</v>
      </c>
      <c r="D26" s="4" t="s">
        <v>120</v>
      </c>
      <c r="E26" s="17" t="s">
        <v>423</v>
      </c>
      <c r="F26" s="22"/>
      <c r="G26" s="20" t="s">
        <v>400</v>
      </c>
      <c r="H26" s="15" t="s">
        <v>401</v>
      </c>
      <c r="I26" s="15" t="s">
        <v>402</v>
      </c>
      <c r="K26" s="25" t="s">
        <v>387</v>
      </c>
      <c r="L26" s="12">
        <v>9</v>
      </c>
      <c r="M26" s="2">
        <v>8</v>
      </c>
    </row>
    <row r="27" spans="1:13" ht="15.75" thickBot="1">
      <c r="A27" s="3">
        <v>52</v>
      </c>
      <c r="B27" s="4" t="s">
        <v>171</v>
      </c>
      <c r="C27" s="4" t="s">
        <v>27</v>
      </c>
      <c r="D27" s="4" t="s">
        <v>73</v>
      </c>
      <c r="E27" s="17" t="s">
        <v>423</v>
      </c>
      <c r="F27" s="22"/>
      <c r="G27" s="20" t="s">
        <v>400</v>
      </c>
      <c r="H27" s="15" t="s">
        <v>401</v>
      </c>
      <c r="I27" s="15" t="s">
        <v>402</v>
      </c>
      <c r="K27" s="2">
        <v>6</v>
      </c>
      <c r="L27" s="12">
        <v>5</v>
      </c>
      <c r="M27" s="2">
        <v>4</v>
      </c>
    </row>
    <row r="28" spans="1:13" ht="15.75" thickBot="1">
      <c r="A28" s="3">
        <v>129</v>
      </c>
      <c r="B28" s="4" t="s">
        <v>178</v>
      </c>
      <c r="C28" s="4" t="s">
        <v>27</v>
      </c>
      <c r="D28" s="4" t="s">
        <v>19</v>
      </c>
      <c r="E28" s="17" t="s">
        <v>423</v>
      </c>
      <c r="F28" s="22"/>
      <c r="G28" s="20" t="s">
        <v>400</v>
      </c>
      <c r="H28" s="15" t="s">
        <v>401</v>
      </c>
      <c r="I28" s="15" t="s">
        <v>402</v>
      </c>
      <c r="K28" s="2">
        <v>13</v>
      </c>
      <c r="L28" s="12">
        <v>12</v>
      </c>
      <c r="M28" s="2">
        <v>11</v>
      </c>
    </row>
    <row r="29" spans="1:13" ht="15.75" thickBot="1">
      <c r="A29" s="3">
        <v>9</v>
      </c>
      <c r="B29" s="4" t="s">
        <v>166</v>
      </c>
      <c r="C29" s="4" t="s">
        <v>2</v>
      </c>
      <c r="D29" s="4" t="s">
        <v>15</v>
      </c>
      <c r="E29" s="17" t="s">
        <v>423</v>
      </c>
      <c r="F29" s="22"/>
      <c r="G29" s="20" t="s">
        <v>400</v>
      </c>
      <c r="H29" s="15" t="s">
        <v>401</v>
      </c>
      <c r="I29" s="15" t="s">
        <v>402</v>
      </c>
      <c r="K29" s="2">
        <v>1</v>
      </c>
      <c r="L29" s="12" t="s">
        <v>387</v>
      </c>
      <c r="M29" s="2" t="s">
        <v>387</v>
      </c>
    </row>
    <row r="30" spans="1:13" ht="15.75" thickBot="1">
      <c r="A30" s="3">
        <v>29</v>
      </c>
      <c r="B30" s="4" t="s">
        <v>168</v>
      </c>
      <c r="C30" s="4" t="s">
        <v>2</v>
      </c>
      <c r="D30" s="4" t="s">
        <v>13</v>
      </c>
      <c r="E30" s="17" t="s">
        <v>423</v>
      </c>
      <c r="F30" s="22"/>
      <c r="G30" s="20" t="s">
        <v>400</v>
      </c>
      <c r="H30" s="15" t="s">
        <v>401</v>
      </c>
      <c r="I30" s="15" t="s">
        <v>402</v>
      </c>
      <c r="K30" s="2">
        <v>3</v>
      </c>
      <c r="L30" s="12">
        <v>2</v>
      </c>
      <c r="M30" s="2">
        <v>1</v>
      </c>
    </row>
    <row r="31" spans="1:13" ht="15.75" thickBot="1">
      <c r="A31" s="3" t="s">
        <v>390</v>
      </c>
      <c r="B31" s="4" t="s">
        <v>31</v>
      </c>
      <c r="C31" s="4" t="s">
        <v>2</v>
      </c>
      <c r="D31" s="4" t="s">
        <v>32</v>
      </c>
      <c r="E31" s="17" t="s">
        <v>423</v>
      </c>
      <c r="F31" s="22"/>
      <c r="G31" s="20" t="s">
        <v>400</v>
      </c>
      <c r="H31" s="15" t="s">
        <v>401</v>
      </c>
      <c r="I31" s="15" t="s">
        <v>402</v>
      </c>
      <c r="K31" s="25" t="s">
        <v>387</v>
      </c>
      <c r="L31" s="12">
        <v>9</v>
      </c>
      <c r="M31" s="2">
        <v>8</v>
      </c>
    </row>
    <row r="32" spans="1:13" ht="15.75" thickBot="1">
      <c r="A32" s="3">
        <v>92</v>
      </c>
      <c r="B32" s="4" t="s">
        <v>175</v>
      </c>
      <c r="C32" s="4" t="s">
        <v>2</v>
      </c>
      <c r="D32" s="4" t="s">
        <v>49</v>
      </c>
      <c r="E32" s="17" t="s">
        <v>423</v>
      </c>
      <c r="F32" s="22"/>
      <c r="G32" s="20" t="s">
        <v>400</v>
      </c>
      <c r="H32" s="15" t="s">
        <v>401</v>
      </c>
      <c r="I32" s="15" t="s">
        <v>402</v>
      </c>
      <c r="K32" s="2">
        <v>10</v>
      </c>
      <c r="L32" s="12">
        <v>9</v>
      </c>
      <c r="M32" s="2">
        <v>8</v>
      </c>
    </row>
    <row r="33" spans="1:13" ht="15.75" thickBot="1">
      <c r="A33" s="3" t="s">
        <v>390</v>
      </c>
      <c r="B33" s="4" t="s">
        <v>426</v>
      </c>
      <c r="C33" s="4" t="s">
        <v>36</v>
      </c>
      <c r="D33" s="4" t="s">
        <v>28</v>
      </c>
      <c r="E33" s="17" t="s">
        <v>423</v>
      </c>
      <c r="F33" s="22"/>
      <c r="G33" s="20" t="s">
        <v>400</v>
      </c>
      <c r="H33" s="15" t="s">
        <v>401</v>
      </c>
      <c r="I33" s="15" t="s">
        <v>402</v>
      </c>
      <c r="K33" s="25" t="s">
        <v>387</v>
      </c>
      <c r="L33" s="12">
        <v>9</v>
      </c>
      <c r="M33" s="2">
        <v>8</v>
      </c>
    </row>
    <row r="34" spans="1:13" ht="15.75" thickBot="1">
      <c r="A34" s="3" t="s">
        <v>390</v>
      </c>
      <c r="B34" s="4" t="s">
        <v>51</v>
      </c>
      <c r="C34" s="4" t="s">
        <v>10</v>
      </c>
      <c r="D34" s="4" t="s">
        <v>6</v>
      </c>
      <c r="E34" s="17" t="s">
        <v>423</v>
      </c>
      <c r="F34" s="22"/>
      <c r="G34" s="20" t="s">
        <v>400</v>
      </c>
      <c r="H34" s="15" t="s">
        <v>401</v>
      </c>
      <c r="I34" s="15" t="s">
        <v>402</v>
      </c>
      <c r="K34" s="25" t="s">
        <v>387</v>
      </c>
      <c r="L34" s="12">
        <v>9</v>
      </c>
      <c r="M34" s="2">
        <v>8</v>
      </c>
    </row>
    <row r="35" spans="1:13" ht="15.75" thickBot="1">
      <c r="A35" s="3" t="s">
        <v>390</v>
      </c>
      <c r="B35" s="4" t="s">
        <v>427</v>
      </c>
      <c r="C35" s="4" t="s">
        <v>10</v>
      </c>
      <c r="D35" s="4" t="s">
        <v>19</v>
      </c>
      <c r="E35" s="17" t="s">
        <v>423</v>
      </c>
      <c r="F35" s="22"/>
      <c r="G35" s="20" t="s">
        <v>400</v>
      </c>
      <c r="H35" s="15" t="s">
        <v>401</v>
      </c>
      <c r="I35" s="15" t="s">
        <v>402</v>
      </c>
      <c r="K35" s="25" t="s">
        <v>387</v>
      </c>
      <c r="L35" s="12">
        <v>9</v>
      </c>
      <c r="M35" s="2">
        <v>8</v>
      </c>
    </row>
    <row r="36" spans="1:13" ht="15.75" thickBot="1">
      <c r="A36" s="13"/>
      <c r="B36" s="14"/>
      <c r="C36" s="14"/>
      <c r="D36" s="14"/>
      <c r="E36" s="18"/>
      <c r="F36" s="22"/>
      <c r="L36" s="12"/>
    </row>
    <row r="37" spans="1:13" ht="15.75" thickBot="1">
      <c r="A37" s="3" t="s">
        <v>390</v>
      </c>
      <c r="B37" s="4" t="s">
        <v>436</v>
      </c>
      <c r="C37" s="4" t="s">
        <v>36</v>
      </c>
      <c r="D37" s="4" t="s">
        <v>32</v>
      </c>
      <c r="E37" s="19" t="s">
        <v>385</v>
      </c>
      <c r="F37" s="23"/>
      <c r="G37" s="20" t="s">
        <v>400</v>
      </c>
      <c r="H37" s="15" t="s">
        <v>401</v>
      </c>
      <c r="I37" s="15" t="s">
        <v>402</v>
      </c>
      <c r="K37" s="25" t="s">
        <v>387</v>
      </c>
      <c r="L37" s="12">
        <v>9</v>
      </c>
      <c r="M37" s="2">
        <v>8</v>
      </c>
    </row>
    <row r="38" spans="1:13" ht="15.75" thickBot="1">
      <c r="A38" s="3">
        <v>24</v>
      </c>
      <c r="B38" s="4" t="s">
        <v>81</v>
      </c>
      <c r="C38" s="4" t="s">
        <v>5</v>
      </c>
      <c r="D38" s="4" t="s">
        <v>82</v>
      </c>
      <c r="E38" s="19" t="s">
        <v>385</v>
      </c>
      <c r="F38" s="23"/>
      <c r="G38" s="20" t="s">
        <v>400</v>
      </c>
      <c r="H38" s="15" t="s">
        <v>401</v>
      </c>
      <c r="I38" s="15" t="s">
        <v>402</v>
      </c>
      <c r="K38" s="2">
        <v>3</v>
      </c>
      <c r="L38" s="12">
        <v>2</v>
      </c>
      <c r="M38" s="2">
        <v>1</v>
      </c>
    </row>
    <row r="39" spans="1:13" ht="15.75" thickBot="1">
      <c r="A39" s="3">
        <v>157</v>
      </c>
      <c r="B39" s="4" t="s">
        <v>96</v>
      </c>
      <c r="C39" s="4" t="s">
        <v>5</v>
      </c>
      <c r="D39" s="4" t="s">
        <v>28</v>
      </c>
      <c r="E39" s="19" t="s">
        <v>385</v>
      </c>
      <c r="F39" s="23"/>
      <c r="G39" s="20" t="s">
        <v>400</v>
      </c>
      <c r="H39" s="15" t="s">
        <v>401</v>
      </c>
      <c r="I39" s="15" t="s">
        <v>402</v>
      </c>
      <c r="K39" s="2">
        <v>16</v>
      </c>
      <c r="L39" s="12">
        <v>15</v>
      </c>
      <c r="M39" s="2">
        <v>14</v>
      </c>
    </row>
    <row r="40" spans="1:13" ht="15.75" thickBot="1">
      <c r="A40" s="3" t="s">
        <v>390</v>
      </c>
      <c r="B40" s="4" t="s">
        <v>164</v>
      </c>
      <c r="C40" s="4" t="s">
        <v>10</v>
      </c>
      <c r="D40" s="4" t="s">
        <v>41</v>
      </c>
      <c r="E40" s="19" t="s">
        <v>385</v>
      </c>
      <c r="F40" s="23"/>
      <c r="G40" s="20" t="s">
        <v>400</v>
      </c>
      <c r="H40" s="15" t="s">
        <v>401</v>
      </c>
      <c r="I40" s="15" t="s">
        <v>402</v>
      </c>
      <c r="K40" s="25" t="s">
        <v>387</v>
      </c>
      <c r="L40" s="12">
        <v>9</v>
      </c>
      <c r="M40" s="2">
        <v>8</v>
      </c>
    </row>
    <row r="41" spans="1:13" ht="15.75" thickBot="1">
      <c r="A41" s="3" t="s">
        <v>390</v>
      </c>
      <c r="B41" s="4" t="s">
        <v>437</v>
      </c>
      <c r="C41" s="4" t="s">
        <v>10</v>
      </c>
      <c r="D41" s="4" t="s">
        <v>46</v>
      </c>
      <c r="E41" s="19" t="s">
        <v>385</v>
      </c>
      <c r="F41" s="23"/>
      <c r="G41" s="20" t="s">
        <v>400</v>
      </c>
      <c r="H41" s="15" t="s">
        <v>401</v>
      </c>
      <c r="I41" s="15" t="s">
        <v>402</v>
      </c>
      <c r="K41" s="25" t="s">
        <v>387</v>
      </c>
      <c r="L41" s="12">
        <v>9</v>
      </c>
      <c r="M41" s="2">
        <v>8</v>
      </c>
    </row>
    <row r="42" spans="1:13" ht="15.75" thickBot="1">
      <c r="A42" s="3" t="s">
        <v>413</v>
      </c>
      <c r="B42" s="4" t="s">
        <v>184</v>
      </c>
      <c r="C42" s="4" t="s">
        <v>2</v>
      </c>
      <c r="D42" s="4" t="s">
        <v>71</v>
      </c>
      <c r="E42" s="19" t="s">
        <v>385</v>
      </c>
      <c r="F42" s="23"/>
      <c r="G42" s="20" t="s">
        <v>400</v>
      </c>
      <c r="H42" s="15" t="s">
        <v>401</v>
      </c>
      <c r="I42" s="15" t="s">
        <v>402</v>
      </c>
      <c r="K42" s="2">
        <v>2</v>
      </c>
      <c r="L42" s="12">
        <v>1</v>
      </c>
      <c r="M42" s="2" t="s">
        <v>387</v>
      </c>
    </row>
    <row r="43" spans="1:13" ht="15.75" thickBot="1">
      <c r="A43" s="3" t="s">
        <v>413</v>
      </c>
      <c r="B43" s="4" t="s">
        <v>182</v>
      </c>
      <c r="C43" s="4" t="s">
        <v>27</v>
      </c>
      <c r="D43" s="4" t="s">
        <v>30</v>
      </c>
      <c r="E43" s="19" t="s">
        <v>385</v>
      </c>
      <c r="F43" s="23"/>
      <c r="G43" s="20" t="s">
        <v>400</v>
      </c>
      <c r="H43" s="15" t="s">
        <v>401</v>
      </c>
      <c r="I43" s="15" t="s">
        <v>402</v>
      </c>
      <c r="K43" s="2">
        <v>1</v>
      </c>
      <c r="L43" s="12" t="s">
        <v>387</v>
      </c>
      <c r="M43" s="2" t="s">
        <v>387</v>
      </c>
    </row>
    <row r="44" spans="1:13" ht="15.75" thickBot="1">
      <c r="A44" s="3">
        <v>104</v>
      </c>
      <c r="B44" s="4" t="s">
        <v>92</v>
      </c>
      <c r="C44" s="4" t="s">
        <v>10</v>
      </c>
      <c r="D44" s="4" t="s">
        <v>46</v>
      </c>
      <c r="E44" s="19" t="s">
        <v>385</v>
      </c>
      <c r="F44" s="23"/>
      <c r="G44" s="22" t="s">
        <v>401</v>
      </c>
      <c r="H44" s="22" t="s">
        <v>402</v>
      </c>
      <c r="I44" s="22" t="s">
        <v>387</v>
      </c>
      <c r="K44" s="2">
        <v>11</v>
      </c>
      <c r="L44" s="12">
        <v>10</v>
      </c>
      <c r="M44" s="2">
        <v>9</v>
      </c>
    </row>
    <row r="45" spans="1:13" ht="15.75" thickBot="1">
      <c r="A45" s="3">
        <v>37</v>
      </c>
      <c r="B45" s="4" t="s">
        <v>83</v>
      </c>
      <c r="C45" s="4" t="s">
        <v>10</v>
      </c>
      <c r="D45" s="4" t="s">
        <v>84</v>
      </c>
      <c r="E45" s="19" t="s">
        <v>385</v>
      </c>
      <c r="F45" s="23"/>
      <c r="G45" s="20" t="s">
        <v>400</v>
      </c>
      <c r="H45" s="15" t="s">
        <v>401</v>
      </c>
      <c r="I45" s="15" t="s">
        <v>402</v>
      </c>
      <c r="K45" s="2">
        <v>4</v>
      </c>
      <c r="L45" s="12">
        <v>3</v>
      </c>
      <c r="M45" s="2">
        <v>2</v>
      </c>
    </row>
    <row r="46" spans="1:13" ht="15.75" thickBot="1">
      <c r="A46" s="3" t="s">
        <v>390</v>
      </c>
      <c r="B46" s="4" t="s">
        <v>438</v>
      </c>
      <c r="C46" s="4" t="s">
        <v>27</v>
      </c>
      <c r="D46" s="4" t="s">
        <v>25</v>
      </c>
      <c r="E46" s="19" t="s">
        <v>385</v>
      </c>
      <c r="F46" s="23"/>
      <c r="G46" s="20" t="s">
        <v>400</v>
      </c>
      <c r="H46" s="15" t="s">
        <v>401</v>
      </c>
      <c r="I46" s="15" t="s">
        <v>402</v>
      </c>
      <c r="K46" s="25" t="s">
        <v>387</v>
      </c>
      <c r="L46" s="12">
        <v>9</v>
      </c>
      <c r="M46" s="2">
        <v>8</v>
      </c>
    </row>
    <row r="47" spans="1:13" ht="15.75" thickBot="1">
      <c r="A47" s="3" t="s">
        <v>390</v>
      </c>
      <c r="B47" s="4" t="s">
        <v>113</v>
      </c>
      <c r="C47" s="4" t="s">
        <v>10</v>
      </c>
      <c r="D47" s="4" t="s">
        <v>30</v>
      </c>
      <c r="E47" s="19" t="s">
        <v>385</v>
      </c>
      <c r="F47" s="23"/>
      <c r="G47" s="20" t="s">
        <v>400</v>
      </c>
      <c r="H47" s="15" t="s">
        <v>401</v>
      </c>
      <c r="I47" s="15" t="s">
        <v>402</v>
      </c>
      <c r="K47" s="25" t="s">
        <v>387</v>
      </c>
      <c r="L47" s="12">
        <v>9</v>
      </c>
      <c r="M47" s="2">
        <v>8</v>
      </c>
    </row>
    <row r="48" spans="1:13" ht="15.75" thickBot="1">
      <c r="A48" s="3">
        <v>17</v>
      </c>
      <c r="B48" s="4" t="s">
        <v>80</v>
      </c>
      <c r="C48" s="4" t="s">
        <v>2</v>
      </c>
      <c r="D48" s="4" t="s">
        <v>19</v>
      </c>
      <c r="E48" s="19" t="s">
        <v>385</v>
      </c>
      <c r="F48" s="23"/>
      <c r="G48" s="20" t="s">
        <v>400</v>
      </c>
      <c r="H48" s="15" t="s">
        <v>401</v>
      </c>
      <c r="I48" s="15" t="s">
        <v>402</v>
      </c>
      <c r="K48" s="2">
        <v>2</v>
      </c>
      <c r="L48" s="12">
        <v>1</v>
      </c>
      <c r="M48" s="2" t="s">
        <v>387</v>
      </c>
    </row>
    <row r="49" spans="1:13" ht="15.75" thickBot="1">
      <c r="A49" s="3">
        <v>44</v>
      </c>
      <c r="B49" s="4" t="s">
        <v>85</v>
      </c>
      <c r="C49" s="4" t="s">
        <v>2</v>
      </c>
      <c r="D49" s="4" t="s">
        <v>32</v>
      </c>
      <c r="E49" s="19" t="s">
        <v>385</v>
      </c>
      <c r="F49" s="23"/>
      <c r="G49" s="20" t="s">
        <v>400</v>
      </c>
      <c r="H49" s="15" t="s">
        <v>401</v>
      </c>
      <c r="I49" s="15" t="s">
        <v>402</v>
      </c>
      <c r="K49" s="2">
        <v>5</v>
      </c>
      <c r="L49" s="12">
        <v>4</v>
      </c>
      <c r="M49" s="2">
        <v>3</v>
      </c>
    </row>
    <row r="50" spans="1:13" ht="15.75" thickBot="1">
      <c r="A50" s="3" t="s">
        <v>390</v>
      </c>
      <c r="B50" s="4" t="s">
        <v>439</v>
      </c>
      <c r="C50" s="4" t="s">
        <v>36</v>
      </c>
      <c r="D50" s="4" t="s">
        <v>82</v>
      </c>
      <c r="E50" s="19" t="s">
        <v>385</v>
      </c>
      <c r="F50" s="23"/>
      <c r="G50" s="20" t="s">
        <v>400</v>
      </c>
      <c r="H50" s="15" t="s">
        <v>401</v>
      </c>
      <c r="I50" s="15" t="s">
        <v>402</v>
      </c>
      <c r="K50" s="25" t="s">
        <v>387</v>
      </c>
      <c r="L50" s="12">
        <v>9</v>
      </c>
      <c r="M50" s="2">
        <v>8</v>
      </c>
    </row>
    <row r="51" spans="1:13" ht="15.75" thickBot="1">
      <c r="A51" s="3" t="s">
        <v>390</v>
      </c>
      <c r="B51" s="4" t="s">
        <v>440</v>
      </c>
      <c r="C51" s="4" t="s">
        <v>10</v>
      </c>
      <c r="D51" s="4" t="s">
        <v>35</v>
      </c>
      <c r="E51" s="19" t="s">
        <v>385</v>
      </c>
      <c r="F51" s="23"/>
      <c r="G51" s="20" t="s">
        <v>400</v>
      </c>
      <c r="H51" s="15" t="s">
        <v>401</v>
      </c>
      <c r="I51" s="15" t="s">
        <v>402</v>
      </c>
      <c r="K51" s="25" t="s">
        <v>387</v>
      </c>
      <c r="L51" s="12">
        <v>9</v>
      </c>
      <c r="M51" s="2">
        <v>8</v>
      </c>
    </row>
    <row r="52" spans="1:13" ht="15.75" thickBot="1">
      <c r="A52" s="3">
        <v>137</v>
      </c>
      <c r="B52" s="4" t="s">
        <v>94</v>
      </c>
      <c r="C52" s="4" t="s">
        <v>2</v>
      </c>
      <c r="D52" s="4" t="s">
        <v>91</v>
      </c>
      <c r="E52" s="19" t="s">
        <v>385</v>
      </c>
      <c r="F52" s="23"/>
      <c r="G52" s="20" t="s">
        <v>400</v>
      </c>
      <c r="H52" s="15" t="s">
        <v>401</v>
      </c>
      <c r="I52" s="15" t="s">
        <v>402</v>
      </c>
      <c r="K52" s="2">
        <v>14</v>
      </c>
      <c r="L52" s="12">
        <v>13</v>
      </c>
      <c r="M52" s="2">
        <v>12</v>
      </c>
    </row>
    <row r="53" spans="1:13" ht="15.75" thickBot="1">
      <c r="A53" s="13"/>
      <c r="B53" s="14"/>
      <c r="C53" s="14"/>
      <c r="D53" s="14"/>
      <c r="E53" s="18"/>
      <c r="F53" s="22"/>
      <c r="L53" s="12"/>
    </row>
    <row r="54" spans="1:13" ht="15.75" thickBot="1">
      <c r="A54" s="3">
        <v>20</v>
      </c>
      <c r="B54" s="4" t="s">
        <v>4</v>
      </c>
      <c r="C54" s="4" t="s">
        <v>5</v>
      </c>
      <c r="D54" s="4" t="s">
        <v>6</v>
      </c>
      <c r="E54" s="17" t="s">
        <v>0</v>
      </c>
      <c r="F54" s="22"/>
      <c r="G54" s="25" t="s">
        <v>400</v>
      </c>
      <c r="H54" s="25" t="s">
        <v>401</v>
      </c>
      <c r="I54" s="25" t="s">
        <v>402</v>
      </c>
      <c r="K54" s="2">
        <v>3</v>
      </c>
      <c r="L54" s="12">
        <v>2</v>
      </c>
      <c r="M54" s="2">
        <v>1</v>
      </c>
    </row>
    <row r="55" spans="1:13" ht="15.75" thickBot="1">
      <c r="A55" s="3" t="s">
        <v>390</v>
      </c>
      <c r="B55" s="4" t="s">
        <v>68</v>
      </c>
      <c r="C55" s="4" t="s">
        <v>5</v>
      </c>
      <c r="D55" s="4" t="s">
        <v>43</v>
      </c>
      <c r="E55" s="17" t="s">
        <v>0</v>
      </c>
      <c r="F55" s="22"/>
      <c r="G55" s="25" t="s">
        <v>400</v>
      </c>
      <c r="H55" s="25" t="s">
        <v>401</v>
      </c>
      <c r="I55" s="25" t="s">
        <v>402</v>
      </c>
      <c r="K55" s="25" t="s">
        <v>387</v>
      </c>
      <c r="L55" s="12">
        <v>9</v>
      </c>
      <c r="M55" s="2">
        <v>8</v>
      </c>
    </row>
    <row r="56" spans="1:13" ht="15.75" thickBot="1">
      <c r="A56" s="3" t="s">
        <v>390</v>
      </c>
      <c r="B56" s="4" t="s">
        <v>441</v>
      </c>
      <c r="C56" s="4" t="s">
        <v>10</v>
      </c>
      <c r="D56" s="4" t="s">
        <v>135</v>
      </c>
      <c r="E56" s="17" t="s">
        <v>0</v>
      </c>
      <c r="F56" s="22"/>
      <c r="G56" s="25" t="s">
        <v>400</v>
      </c>
      <c r="H56" s="25" t="s">
        <v>401</v>
      </c>
      <c r="I56" s="25" t="s">
        <v>402</v>
      </c>
      <c r="K56" s="25" t="s">
        <v>387</v>
      </c>
      <c r="L56" s="12">
        <v>9</v>
      </c>
      <c r="M56" s="2">
        <v>8</v>
      </c>
    </row>
    <row r="57" spans="1:13" ht="15.75" thickBot="1">
      <c r="A57" s="3">
        <v>41</v>
      </c>
      <c r="B57" s="4" t="s">
        <v>12</v>
      </c>
      <c r="C57" s="4" t="s">
        <v>10</v>
      </c>
      <c r="D57" s="4" t="s">
        <v>13</v>
      </c>
      <c r="E57" s="17" t="s">
        <v>0</v>
      </c>
      <c r="F57" s="22"/>
      <c r="G57" s="25" t="s">
        <v>400</v>
      </c>
      <c r="H57" s="25" t="s">
        <v>401</v>
      </c>
      <c r="I57" s="25" t="s">
        <v>402</v>
      </c>
      <c r="K57" s="2">
        <v>5</v>
      </c>
      <c r="L57" s="12">
        <v>4</v>
      </c>
      <c r="M57" s="2">
        <v>3</v>
      </c>
    </row>
    <row r="58" spans="1:13" ht="15.75" thickBot="1">
      <c r="A58" s="3" t="s">
        <v>390</v>
      </c>
      <c r="B58" s="4" t="s">
        <v>186</v>
      </c>
      <c r="C58" s="4" t="s">
        <v>10</v>
      </c>
      <c r="D58" s="4" t="s">
        <v>46</v>
      </c>
      <c r="E58" s="17" t="s">
        <v>0</v>
      </c>
      <c r="F58" s="22"/>
      <c r="G58" s="25" t="s">
        <v>400</v>
      </c>
      <c r="H58" s="25" t="s">
        <v>401</v>
      </c>
      <c r="I58" s="25" t="s">
        <v>402</v>
      </c>
      <c r="K58" s="25" t="s">
        <v>387</v>
      </c>
      <c r="L58" s="12">
        <v>9</v>
      </c>
      <c r="M58" s="2">
        <v>8</v>
      </c>
    </row>
    <row r="59" spans="1:13" ht="15.75" thickBot="1">
      <c r="A59" s="3" t="s">
        <v>413</v>
      </c>
      <c r="B59" s="4" t="s">
        <v>59</v>
      </c>
      <c r="C59" s="4" t="s">
        <v>2</v>
      </c>
      <c r="D59" s="4" t="s">
        <v>60</v>
      </c>
      <c r="E59" s="17" t="s">
        <v>0</v>
      </c>
      <c r="F59" s="22"/>
      <c r="G59" s="25" t="s">
        <v>400</v>
      </c>
      <c r="H59" s="25" t="s">
        <v>401</v>
      </c>
      <c r="I59" s="25" t="s">
        <v>402</v>
      </c>
      <c r="K59" s="2">
        <v>1</v>
      </c>
      <c r="L59" s="12" t="s">
        <v>387</v>
      </c>
      <c r="M59" s="2" t="s">
        <v>387</v>
      </c>
    </row>
    <row r="60" spans="1:13" ht="15.75" thickBot="1">
      <c r="A60" s="3" t="s">
        <v>390</v>
      </c>
      <c r="B60" s="4" t="s">
        <v>442</v>
      </c>
      <c r="C60" s="4" t="s">
        <v>2</v>
      </c>
      <c r="D60" s="4" t="s">
        <v>63</v>
      </c>
      <c r="E60" s="17" t="s">
        <v>0</v>
      </c>
      <c r="F60" s="22"/>
      <c r="G60" s="25" t="s">
        <v>400</v>
      </c>
      <c r="H60" s="25" t="s">
        <v>401</v>
      </c>
      <c r="I60" s="25" t="s">
        <v>402</v>
      </c>
      <c r="K60" s="25" t="s">
        <v>387</v>
      </c>
      <c r="L60" s="12">
        <v>9</v>
      </c>
      <c r="M60" s="2">
        <v>8</v>
      </c>
    </row>
    <row r="61" spans="1:13" ht="15.75" thickBot="1">
      <c r="A61" s="3">
        <v>1</v>
      </c>
      <c r="B61" s="4" t="s">
        <v>1</v>
      </c>
      <c r="C61" s="4" t="s">
        <v>2</v>
      </c>
      <c r="D61" s="4" t="s">
        <v>3</v>
      </c>
      <c r="E61" s="17" t="s">
        <v>0</v>
      </c>
      <c r="F61" s="22"/>
      <c r="G61" s="25" t="s">
        <v>400</v>
      </c>
      <c r="H61" s="25" t="s">
        <v>401</v>
      </c>
      <c r="I61" s="25" t="s">
        <v>402</v>
      </c>
      <c r="K61" s="2">
        <v>1</v>
      </c>
      <c r="L61" s="12" t="s">
        <v>387</v>
      </c>
      <c r="M61" s="2" t="s">
        <v>387</v>
      </c>
    </row>
    <row r="62" spans="1:13" ht="15.75" thickBot="1">
      <c r="A62" s="3" t="s">
        <v>390</v>
      </c>
      <c r="B62" s="4" t="s">
        <v>445</v>
      </c>
      <c r="C62" s="4" t="s">
        <v>2</v>
      </c>
      <c r="D62" s="4" t="s">
        <v>135</v>
      </c>
      <c r="E62" s="17" t="s">
        <v>0</v>
      </c>
      <c r="F62" s="22"/>
      <c r="G62" s="25" t="s">
        <v>400</v>
      </c>
      <c r="H62" s="25" t="s">
        <v>401</v>
      </c>
      <c r="I62" s="25" t="s">
        <v>402</v>
      </c>
      <c r="K62" s="25" t="s">
        <v>387</v>
      </c>
      <c r="L62" s="12">
        <v>9</v>
      </c>
      <c r="M62" s="2">
        <v>8</v>
      </c>
    </row>
    <row r="63" spans="1:13" ht="15.75" thickBot="1">
      <c r="A63" s="3" t="s">
        <v>390</v>
      </c>
      <c r="B63" s="4" t="s">
        <v>446</v>
      </c>
      <c r="C63" s="4" t="s">
        <v>36</v>
      </c>
      <c r="D63" s="4" t="s">
        <v>63</v>
      </c>
      <c r="E63" s="17" t="s">
        <v>0</v>
      </c>
      <c r="F63" s="22"/>
      <c r="G63" s="25" t="s">
        <v>400</v>
      </c>
      <c r="H63" s="25" t="s">
        <v>401</v>
      </c>
      <c r="I63" s="25" t="s">
        <v>402</v>
      </c>
      <c r="K63" s="25" t="s">
        <v>387</v>
      </c>
      <c r="L63" s="12">
        <v>9</v>
      </c>
      <c r="M63" s="2">
        <v>8</v>
      </c>
    </row>
    <row r="64" spans="1:13" ht="15.75" thickBot="1">
      <c r="A64" s="3" t="s">
        <v>390</v>
      </c>
      <c r="B64" s="4" t="s">
        <v>447</v>
      </c>
      <c r="C64" s="4" t="s">
        <v>10</v>
      </c>
      <c r="D64" s="4" t="s">
        <v>6</v>
      </c>
      <c r="E64" s="17" t="s">
        <v>0</v>
      </c>
      <c r="F64" s="22"/>
      <c r="G64" s="25" t="s">
        <v>400</v>
      </c>
      <c r="H64" s="25" t="s">
        <v>401</v>
      </c>
      <c r="I64" s="25" t="s">
        <v>402</v>
      </c>
      <c r="K64" s="25" t="s">
        <v>387</v>
      </c>
      <c r="L64" s="12">
        <v>9</v>
      </c>
      <c r="M64" s="2">
        <v>8</v>
      </c>
    </row>
    <row r="65" spans="1:13" ht="15.75" thickBot="1">
      <c r="A65" s="3">
        <v>100</v>
      </c>
      <c r="B65" s="4" t="s">
        <v>22</v>
      </c>
      <c r="C65" s="4" t="s">
        <v>2</v>
      </c>
      <c r="D65" s="4" t="s">
        <v>23</v>
      </c>
      <c r="E65" s="17" t="s">
        <v>0</v>
      </c>
      <c r="F65" s="22"/>
      <c r="G65" s="25" t="s">
        <v>401</v>
      </c>
      <c r="H65" s="25" t="s">
        <v>402</v>
      </c>
      <c r="I65" s="25" t="s">
        <v>387</v>
      </c>
      <c r="K65" s="2">
        <v>10</v>
      </c>
      <c r="L65" s="12">
        <v>9</v>
      </c>
      <c r="M65" s="2" t="s">
        <v>387</v>
      </c>
    </row>
    <row r="66" spans="1:13" ht="15.75" thickBot="1">
      <c r="A66" s="3">
        <v>121</v>
      </c>
      <c r="B66" s="4" t="s">
        <v>29</v>
      </c>
      <c r="C66" s="4" t="s">
        <v>2</v>
      </c>
      <c r="D66" s="4" t="s">
        <v>30</v>
      </c>
      <c r="E66" s="17" t="s">
        <v>0</v>
      </c>
      <c r="F66" s="22"/>
      <c r="G66" s="25" t="s">
        <v>400</v>
      </c>
      <c r="H66" s="25" t="s">
        <v>401</v>
      </c>
      <c r="I66" s="25" t="s">
        <v>402</v>
      </c>
      <c r="K66" s="2">
        <v>13</v>
      </c>
      <c r="L66" s="12">
        <v>12</v>
      </c>
      <c r="M66" s="2">
        <v>11</v>
      </c>
    </row>
    <row r="67" spans="1:13" ht="15.75" thickBot="1">
      <c r="A67" s="3" t="s">
        <v>390</v>
      </c>
      <c r="B67" s="4" t="s">
        <v>179</v>
      </c>
      <c r="C67" s="4" t="s">
        <v>2</v>
      </c>
      <c r="D67" s="4" t="s">
        <v>71</v>
      </c>
      <c r="E67" s="17" t="s">
        <v>0</v>
      </c>
      <c r="F67" s="22"/>
      <c r="G67" s="25" t="s">
        <v>400</v>
      </c>
      <c r="H67" s="25" t="s">
        <v>401</v>
      </c>
      <c r="I67" s="25" t="s">
        <v>402</v>
      </c>
      <c r="K67" s="25" t="s">
        <v>387</v>
      </c>
      <c r="L67" s="12">
        <v>9</v>
      </c>
      <c r="M67" s="2">
        <v>8</v>
      </c>
    </row>
    <row r="68" spans="1:13" ht="15.75" thickBot="1">
      <c r="A68" s="3" t="s">
        <v>390</v>
      </c>
      <c r="B68" s="4" t="s">
        <v>443</v>
      </c>
      <c r="C68" s="4" t="s">
        <v>27</v>
      </c>
      <c r="D68" s="4" t="s">
        <v>63</v>
      </c>
      <c r="E68" s="17" t="s">
        <v>0</v>
      </c>
      <c r="F68" s="22"/>
      <c r="G68" s="25" t="s">
        <v>400</v>
      </c>
      <c r="H68" s="25" t="s">
        <v>401</v>
      </c>
      <c r="I68" s="25" t="s">
        <v>402</v>
      </c>
      <c r="K68" s="25" t="s">
        <v>387</v>
      </c>
      <c r="L68" s="12">
        <v>9</v>
      </c>
      <c r="M68" s="2">
        <v>8</v>
      </c>
    </row>
    <row r="69" spans="1:13" ht="15.75" thickBot="1">
      <c r="A69" s="3" t="s">
        <v>390</v>
      </c>
      <c r="B69" s="4" t="s">
        <v>444</v>
      </c>
      <c r="C69" s="4" t="s">
        <v>10</v>
      </c>
      <c r="D69" s="4" t="s">
        <v>43</v>
      </c>
      <c r="E69" s="17" t="s">
        <v>0</v>
      </c>
      <c r="F69" s="22"/>
      <c r="G69" s="25" t="s">
        <v>400</v>
      </c>
      <c r="H69" s="25" t="s">
        <v>401</v>
      </c>
      <c r="I69" s="25" t="s">
        <v>402</v>
      </c>
      <c r="K69" s="25" t="s">
        <v>387</v>
      </c>
      <c r="L69" s="12">
        <v>9</v>
      </c>
      <c r="M69" s="2">
        <v>8</v>
      </c>
    </row>
    <row r="70" spans="1:13" ht="15.75" thickBot="1">
      <c r="A70" s="13"/>
      <c r="B70" s="14"/>
      <c r="C70" s="14"/>
      <c r="D70" s="14"/>
      <c r="E70" s="18"/>
      <c r="F70" s="22"/>
      <c r="L70" s="12"/>
    </row>
    <row r="71" spans="1:13" ht="15.75" thickBot="1">
      <c r="A71" s="3">
        <v>155</v>
      </c>
      <c r="B71" s="4" t="s">
        <v>120</v>
      </c>
      <c r="C71" s="4" t="s">
        <v>36</v>
      </c>
      <c r="D71" s="4" t="s">
        <v>120</v>
      </c>
      <c r="E71" s="17" t="s">
        <v>114</v>
      </c>
      <c r="F71" s="22"/>
      <c r="G71" s="25" t="s">
        <v>400</v>
      </c>
      <c r="H71" s="25" t="s">
        <v>401</v>
      </c>
      <c r="I71" s="25" t="s">
        <v>402</v>
      </c>
      <c r="K71" s="2">
        <v>16</v>
      </c>
      <c r="L71" s="12">
        <v>15</v>
      </c>
      <c r="M71" s="2">
        <v>14</v>
      </c>
    </row>
    <row r="72" spans="1:13" ht="15.75" thickBot="1">
      <c r="A72" s="3">
        <v>75</v>
      </c>
      <c r="B72" s="4" t="s">
        <v>123</v>
      </c>
      <c r="C72" s="4" t="s">
        <v>5</v>
      </c>
      <c r="D72" s="4" t="s">
        <v>8</v>
      </c>
      <c r="E72" s="17" t="s">
        <v>114</v>
      </c>
      <c r="F72" s="22"/>
      <c r="G72" s="25" t="s">
        <v>400</v>
      </c>
      <c r="H72" s="25" t="s">
        <v>401</v>
      </c>
      <c r="I72" s="25" t="s">
        <v>402</v>
      </c>
      <c r="K72" s="2">
        <v>8</v>
      </c>
      <c r="L72" s="12">
        <v>7</v>
      </c>
      <c r="M72" s="2">
        <v>6</v>
      </c>
    </row>
    <row r="73" spans="1:13" ht="15.75" thickBot="1">
      <c r="A73" s="3">
        <v>15</v>
      </c>
      <c r="B73" s="4" t="s">
        <v>116</v>
      </c>
      <c r="C73" s="4" t="s">
        <v>10</v>
      </c>
      <c r="D73" s="4" t="s">
        <v>17</v>
      </c>
      <c r="E73" s="17" t="s">
        <v>114</v>
      </c>
      <c r="F73" s="22"/>
      <c r="G73" s="25" t="s">
        <v>400</v>
      </c>
      <c r="H73" s="25" t="s">
        <v>401</v>
      </c>
      <c r="I73" s="25" t="s">
        <v>402</v>
      </c>
      <c r="K73" s="2">
        <v>2</v>
      </c>
      <c r="L73" s="12">
        <v>1</v>
      </c>
      <c r="M73" s="2" t="s">
        <v>387</v>
      </c>
    </row>
    <row r="74" spans="1:13" ht="15.75" thickBot="1">
      <c r="A74" s="3" t="s">
        <v>390</v>
      </c>
      <c r="B74" s="4" t="s">
        <v>448</v>
      </c>
      <c r="C74" s="4" t="s">
        <v>5</v>
      </c>
      <c r="D74" s="4" t="s">
        <v>19</v>
      </c>
      <c r="E74" s="17" t="s">
        <v>114</v>
      </c>
      <c r="F74" s="22"/>
      <c r="G74" s="25" t="s">
        <v>400</v>
      </c>
      <c r="H74" s="25" t="s">
        <v>401</v>
      </c>
      <c r="I74" s="25" t="s">
        <v>402</v>
      </c>
      <c r="K74" s="25" t="s">
        <v>387</v>
      </c>
      <c r="L74" s="12">
        <v>9</v>
      </c>
      <c r="M74" s="2">
        <v>8</v>
      </c>
    </row>
    <row r="75" spans="1:13" ht="15.75" thickBot="1">
      <c r="A75" s="3" t="s">
        <v>413</v>
      </c>
      <c r="B75" s="4" t="s">
        <v>67</v>
      </c>
      <c r="C75" s="4" t="s">
        <v>27</v>
      </c>
      <c r="D75" s="4" t="s">
        <v>49</v>
      </c>
      <c r="E75" s="17" t="s">
        <v>114</v>
      </c>
      <c r="F75" s="22"/>
      <c r="G75" s="25" t="s">
        <v>400</v>
      </c>
      <c r="H75" s="25" t="s">
        <v>401</v>
      </c>
      <c r="I75" s="25" t="s">
        <v>402</v>
      </c>
      <c r="K75" s="2">
        <v>7</v>
      </c>
      <c r="L75" s="12">
        <v>6</v>
      </c>
      <c r="M75" s="2">
        <v>5</v>
      </c>
    </row>
    <row r="76" spans="1:13" ht="15.75" thickBot="1">
      <c r="A76" s="3">
        <v>86</v>
      </c>
      <c r="B76" s="4" t="s">
        <v>124</v>
      </c>
      <c r="C76" s="4" t="s">
        <v>10</v>
      </c>
      <c r="D76" s="4" t="s">
        <v>3</v>
      </c>
      <c r="E76" s="17" t="s">
        <v>114</v>
      </c>
      <c r="F76" s="22"/>
      <c r="G76" s="25" t="s">
        <v>402</v>
      </c>
      <c r="H76" s="25" t="s">
        <v>387</v>
      </c>
      <c r="I76" s="25" t="s">
        <v>387</v>
      </c>
      <c r="K76" s="2">
        <v>9</v>
      </c>
      <c r="L76" s="12" t="s">
        <v>387</v>
      </c>
      <c r="M76" s="2" t="s">
        <v>387</v>
      </c>
    </row>
    <row r="77" spans="1:13" ht="15.75" thickBot="1">
      <c r="A77" s="3" t="s">
        <v>390</v>
      </c>
      <c r="B77" s="4" t="s">
        <v>69</v>
      </c>
      <c r="C77" s="4" t="s">
        <v>2</v>
      </c>
      <c r="D77" s="4" t="s">
        <v>43</v>
      </c>
      <c r="E77" s="17" t="s">
        <v>114</v>
      </c>
      <c r="F77" s="22"/>
      <c r="G77" s="25" t="s">
        <v>400</v>
      </c>
      <c r="H77" s="25" t="s">
        <v>401</v>
      </c>
      <c r="I77" s="25" t="s">
        <v>402</v>
      </c>
      <c r="K77" s="25" t="s">
        <v>387</v>
      </c>
      <c r="L77" s="12">
        <v>9</v>
      </c>
      <c r="M77" s="2">
        <v>8</v>
      </c>
    </row>
    <row r="78" spans="1:13" ht="15.75" thickBot="1">
      <c r="A78" s="3">
        <v>26</v>
      </c>
      <c r="B78" s="4" t="s">
        <v>117</v>
      </c>
      <c r="C78" s="4" t="s">
        <v>27</v>
      </c>
      <c r="D78" s="4" t="s">
        <v>91</v>
      </c>
      <c r="E78" s="17" t="s">
        <v>114</v>
      </c>
      <c r="F78" s="22"/>
      <c r="G78" s="25" t="s">
        <v>400</v>
      </c>
      <c r="H78" s="25" t="s">
        <v>401</v>
      </c>
      <c r="I78" s="25" t="s">
        <v>402</v>
      </c>
      <c r="K78" s="2">
        <v>3</v>
      </c>
      <c r="L78" s="12">
        <v>2</v>
      </c>
      <c r="M78" s="2">
        <v>1</v>
      </c>
    </row>
    <row r="79" spans="1:13" ht="15.75" thickBot="1">
      <c r="A79" s="3" t="s">
        <v>390</v>
      </c>
      <c r="B79" s="4" t="s">
        <v>450</v>
      </c>
      <c r="C79" s="4" t="s">
        <v>2</v>
      </c>
      <c r="D79" s="4" t="s">
        <v>60</v>
      </c>
      <c r="E79" s="17" t="s">
        <v>114</v>
      </c>
      <c r="F79" s="22"/>
      <c r="G79" s="25" t="s">
        <v>400</v>
      </c>
      <c r="H79" s="25" t="s">
        <v>401</v>
      </c>
      <c r="I79" s="25" t="s">
        <v>402</v>
      </c>
      <c r="K79" s="25" t="s">
        <v>387</v>
      </c>
      <c r="L79" s="12">
        <v>9</v>
      </c>
      <c r="M79" s="2">
        <v>8</v>
      </c>
    </row>
    <row r="80" spans="1:13" ht="15.75" thickBot="1">
      <c r="A80" s="3" t="s">
        <v>413</v>
      </c>
      <c r="B80" s="4" t="s">
        <v>195</v>
      </c>
      <c r="C80" s="4" t="s">
        <v>10</v>
      </c>
      <c r="D80" s="4" t="s">
        <v>30</v>
      </c>
      <c r="E80" s="17" t="s">
        <v>114</v>
      </c>
      <c r="F80" s="22"/>
      <c r="G80" s="25" t="s">
        <v>400</v>
      </c>
      <c r="H80" s="25" t="s">
        <v>401</v>
      </c>
      <c r="I80" s="25" t="s">
        <v>402</v>
      </c>
      <c r="K80" s="2">
        <v>15</v>
      </c>
      <c r="L80" s="12">
        <v>14</v>
      </c>
      <c r="M80" s="2">
        <v>13</v>
      </c>
    </row>
    <row r="81" spans="1:13" ht="15.75" thickBot="1">
      <c r="A81" s="3">
        <v>6</v>
      </c>
      <c r="B81" s="4" t="s">
        <v>115</v>
      </c>
      <c r="C81" s="4" t="s">
        <v>2</v>
      </c>
      <c r="D81" s="4" t="s">
        <v>43</v>
      </c>
      <c r="E81" s="17" t="s">
        <v>114</v>
      </c>
      <c r="F81" s="22"/>
      <c r="G81" s="25" t="s">
        <v>400</v>
      </c>
      <c r="H81" s="25" t="s">
        <v>401</v>
      </c>
      <c r="I81" s="25" t="s">
        <v>402</v>
      </c>
      <c r="K81" s="2">
        <v>1</v>
      </c>
      <c r="L81" s="12" t="s">
        <v>387</v>
      </c>
      <c r="M81" s="2" t="s">
        <v>387</v>
      </c>
    </row>
    <row r="82" spans="1:13" ht="15.75" thickBot="1">
      <c r="A82" s="3">
        <v>35</v>
      </c>
      <c r="B82" s="4" t="s">
        <v>118</v>
      </c>
      <c r="C82" s="4" t="s">
        <v>2</v>
      </c>
      <c r="D82" s="4" t="s">
        <v>41</v>
      </c>
      <c r="E82" s="17" t="s">
        <v>114</v>
      </c>
      <c r="F82" s="22"/>
      <c r="G82" s="25" t="s">
        <v>400</v>
      </c>
      <c r="H82" s="25" t="s">
        <v>401</v>
      </c>
      <c r="I82" s="25" t="s">
        <v>402</v>
      </c>
      <c r="K82" s="2">
        <v>4</v>
      </c>
      <c r="L82" s="12">
        <v>3</v>
      </c>
      <c r="M82" s="2">
        <v>2</v>
      </c>
    </row>
    <row r="83" spans="1:13" ht="15.75" thickBot="1">
      <c r="A83" s="3" t="s">
        <v>390</v>
      </c>
      <c r="B83" s="4" t="s">
        <v>449</v>
      </c>
      <c r="C83" s="4" t="s">
        <v>36</v>
      </c>
      <c r="D83" s="4" t="s">
        <v>41</v>
      </c>
      <c r="E83" s="17" t="s">
        <v>114</v>
      </c>
      <c r="F83" s="22"/>
      <c r="G83" s="25" t="s">
        <v>400</v>
      </c>
      <c r="H83" s="25" t="s">
        <v>401</v>
      </c>
      <c r="I83" s="25" t="s">
        <v>402</v>
      </c>
      <c r="K83" s="25" t="s">
        <v>387</v>
      </c>
      <c r="L83" s="12">
        <v>9</v>
      </c>
      <c r="M83" s="2">
        <v>8</v>
      </c>
    </row>
    <row r="84" spans="1:13" ht="15.75" thickBot="1">
      <c r="A84" s="3">
        <v>95</v>
      </c>
      <c r="B84" s="4" t="s">
        <v>125</v>
      </c>
      <c r="C84" s="4" t="s">
        <v>2</v>
      </c>
      <c r="D84" s="4" t="s">
        <v>6</v>
      </c>
      <c r="E84" s="17" t="s">
        <v>114</v>
      </c>
      <c r="F84" s="22"/>
      <c r="G84" s="25" t="s">
        <v>401</v>
      </c>
      <c r="H84" s="25" t="s">
        <v>402</v>
      </c>
      <c r="I84" s="25" t="s">
        <v>387</v>
      </c>
      <c r="K84" s="2">
        <v>10</v>
      </c>
      <c r="L84" s="12">
        <v>9</v>
      </c>
      <c r="M84" s="2" t="s">
        <v>387</v>
      </c>
    </row>
    <row r="85" spans="1:13" ht="15.75" thickBot="1">
      <c r="A85" s="3" t="s">
        <v>390</v>
      </c>
      <c r="B85" s="4" t="s">
        <v>451</v>
      </c>
      <c r="C85" s="4" t="s">
        <v>2</v>
      </c>
      <c r="D85" s="4" t="s">
        <v>3</v>
      </c>
      <c r="E85" s="17" t="s">
        <v>114</v>
      </c>
      <c r="F85" s="22"/>
      <c r="G85" s="25" t="s">
        <v>400</v>
      </c>
      <c r="H85" s="25" t="s">
        <v>401</v>
      </c>
      <c r="I85" s="25" t="s">
        <v>402</v>
      </c>
      <c r="K85" s="25" t="s">
        <v>387</v>
      </c>
      <c r="L85" s="12">
        <v>9</v>
      </c>
      <c r="M85" s="2">
        <v>8</v>
      </c>
    </row>
    <row r="86" spans="1:13" ht="15.75" thickBot="1">
      <c r="A86" s="3" t="s">
        <v>390</v>
      </c>
      <c r="B86" s="4" t="s">
        <v>452</v>
      </c>
      <c r="C86" s="4" t="s">
        <v>10</v>
      </c>
      <c r="D86" s="4" t="s">
        <v>73</v>
      </c>
      <c r="E86" s="17" t="s">
        <v>114</v>
      </c>
      <c r="F86" s="22"/>
      <c r="G86" s="25" t="s">
        <v>400</v>
      </c>
      <c r="H86" s="25" t="s">
        <v>401</v>
      </c>
      <c r="I86" s="25" t="s">
        <v>402</v>
      </c>
      <c r="K86" s="25" t="s">
        <v>387</v>
      </c>
      <c r="L86" s="12">
        <v>9</v>
      </c>
      <c r="M86" s="2">
        <v>8</v>
      </c>
    </row>
    <row r="87" spans="1:13" ht="15.75" thickBot="1">
      <c r="A87" s="13"/>
      <c r="B87" s="14"/>
      <c r="C87" s="14"/>
      <c r="D87" s="14"/>
      <c r="E87" s="18"/>
      <c r="F87" s="22"/>
      <c r="L87" s="12"/>
    </row>
    <row r="88" spans="1:13" ht="15.75" thickBot="1">
      <c r="A88" s="3" t="s">
        <v>390</v>
      </c>
      <c r="B88" s="4" t="s">
        <v>407</v>
      </c>
      <c r="C88" s="4" t="s">
        <v>36</v>
      </c>
      <c r="D88" s="4" t="s">
        <v>23</v>
      </c>
      <c r="E88" s="17" t="s">
        <v>424</v>
      </c>
      <c r="F88" s="22"/>
      <c r="G88" s="20" t="s">
        <v>400</v>
      </c>
      <c r="H88" s="15" t="s">
        <v>401</v>
      </c>
      <c r="I88" s="15" t="s">
        <v>402</v>
      </c>
      <c r="K88" s="25" t="s">
        <v>387</v>
      </c>
      <c r="L88" s="12">
        <v>9</v>
      </c>
      <c r="M88" s="2">
        <v>8</v>
      </c>
    </row>
    <row r="89" spans="1:13" ht="15.75" thickBot="1">
      <c r="A89" s="3">
        <v>33</v>
      </c>
      <c r="B89" s="4" t="s">
        <v>153</v>
      </c>
      <c r="C89" s="4" t="s">
        <v>5</v>
      </c>
      <c r="D89" s="4" t="s">
        <v>60</v>
      </c>
      <c r="E89" s="17" t="s">
        <v>424</v>
      </c>
      <c r="F89" s="22"/>
      <c r="G89" s="20" t="s">
        <v>400</v>
      </c>
      <c r="H89" s="15" t="s">
        <v>401</v>
      </c>
      <c r="I89" s="15" t="s">
        <v>402</v>
      </c>
      <c r="K89" s="2">
        <v>4</v>
      </c>
      <c r="L89" s="12">
        <v>3</v>
      </c>
      <c r="M89" s="2">
        <v>2</v>
      </c>
    </row>
    <row r="90" spans="1:13" ht="15.75" thickBot="1">
      <c r="A90" s="3">
        <v>128</v>
      </c>
      <c r="B90" s="4" t="s">
        <v>162</v>
      </c>
      <c r="C90" s="4" t="s">
        <v>5</v>
      </c>
      <c r="D90" s="4" t="s">
        <v>15</v>
      </c>
      <c r="E90" s="17" t="s">
        <v>424</v>
      </c>
      <c r="F90" s="22"/>
      <c r="G90" s="20" t="s">
        <v>400</v>
      </c>
      <c r="H90" s="15" t="s">
        <v>401</v>
      </c>
      <c r="I90" s="15" t="s">
        <v>402</v>
      </c>
      <c r="K90" s="2">
        <v>13</v>
      </c>
      <c r="L90" s="12">
        <v>12</v>
      </c>
      <c r="M90" s="2">
        <v>11</v>
      </c>
    </row>
    <row r="91" spans="1:13" ht="15.75" thickBot="1">
      <c r="A91" s="3">
        <v>13</v>
      </c>
      <c r="B91" s="4" t="s">
        <v>151</v>
      </c>
      <c r="C91" s="4" t="s">
        <v>10</v>
      </c>
      <c r="D91" s="4" t="s">
        <v>120</v>
      </c>
      <c r="E91" s="17" t="s">
        <v>424</v>
      </c>
      <c r="F91" s="22"/>
      <c r="G91" s="20" t="s">
        <v>400</v>
      </c>
      <c r="H91" s="15" t="s">
        <v>401</v>
      </c>
      <c r="I91" s="15" t="s">
        <v>402</v>
      </c>
      <c r="K91" s="2">
        <v>2</v>
      </c>
      <c r="L91" s="12">
        <v>1</v>
      </c>
      <c r="M91" s="2" t="s">
        <v>387</v>
      </c>
    </row>
    <row r="92" spans="1:13" ht="15.75" thickBot="1">
      <c r="A92" s="3">
        <v>48</v>
      </c>
      <c r="B92" s="4" t="s">
        <v>154</v>
      </c>
      <c r="C92" s="4" t="s">
        <v>10</v>
      </c>
      <c r="D92" s="4" t="s">
        <v>60</v>
      </c>
      <c r="E92" s="17" t="s">
        <v>424</v>
      </c>
      <c r="F92" s="22"/>
      <c r="G92" s="25" t="s">
        <v>402</v>
      </c>
      <c r="H92" s="25" t="s">
        <v>387</v>
      </c>
      <c r="I92" s="25" t="s">
        <v>387</v>
      </c>
      <c r="K92" s="2">
        <v>5</v>
      </c>
      <c r="L92" s="12" t="s">
        <v>387</v>
      </c>
      <c r="M92" s="2" t="s">
        <v>387</v>
      </c>
    </row>
    <row r="93" spans="1:13" ht="15.75" thickBot="1">
      <c r="A93" s="3" t="s">
        <v>390</v>
      </c>
      <c r="B93" s="4" t="s">
        <v>408</v>
      </c>
      <c r="C93" s="4" t="s">
        <v>2</v>
      </c>
      <c r="D93" s="4" t="s">
        <v>30</v>
      </c>
      <c r="E93" s="17" t="s">
        <v>424</v>
      </c>
      <c r="F93" s="22"/>
      <c r="G93" s="20" t="s">
        <v>400</v>
      </c>
      <c r="H93" s="15" t="s">
        <v>401</v>
      </c>
      <c r="I93" s="15" t="s">
        <v>402</v>
      </c>
      <c r="K93" s="25" t="s">
        <v>387</v>
      </c>
      <c r="L93" s="12">
        <v>9</v>
      </c>
      <c r="M93" s="2">
        <v>8</v>
      </c>
    </row>
    <row r="94" spans="1:13" ht="15.75" thickBot="1">
      <c r="A94" s="3">
        <v>68</v>
      </c>
      <c r="B94" s="4" t="s">
        <v>156</v>
      </c>
      <c r="C94" s="4" t="s">
        <v>10</v>
      </c>
      <c r="D94" s="4" t="s">
        <v>73</v>
      </c>
      <c r="E94" s="17" t="s">
        <v>424</v>
      </c>
      <c r="F94" s="22"/>
      <c r="G94" s="20" t="s">
        <v>400</v>
      </c>
      <c r="H94" s="15" t="s">
        <v>401</v>
      </c>
      <c r="I94" s="15" t="s">
        <v>402</v>
      </c>
      <c r="K94" s="2">
        <v>7</v>
      </c>
      <c r="L94" s="12">
        <v>6</v>
      </c>
      <c r="M94" s="2">
        <v>5</v>
      </c>
    </row>
    <row r="95" spans="1:13" ht="15.75" thickBot="1">
      <c r="A95" s="3">
        <v>93</v>
      </c>
      <c r="B95" s="4" t="s">
        <v>159</v>
      </c>
      <c r="C95" s="4" t="s">
        <v>10</v>
      </c>
      <c r="D95" s="4" t="s">
        <v>71</v>
      </c>
      <c r="E95" s="17" t="s">
        <v>424</v>
      </c>
      <c r="F95" s="22"/>
      <c r="G95" s="20" t="s">
        <v>400</v>
      </c>
      <c r="H95" s="15" t="s">
        <v>401</v>
      </c>
      <c r="I95" s="15" t="s">
        <v>402</v>
      </c>
      <c r="K95" s="2">
        <v>10</v>
      </c>
      <c r="L95" s="12">
        <v>9</v>
      </c>
      <c r="M95" s="2">
        <v>8</v>
      </c>
    </row>
    <row r="96" spans="1:13" ht="15.75" thickBot="1">
      <c r="A96" s="3">
        <v>108</v>
      </c>
      <c r="B96" s="4" t="s">
        <v>160</v>
      </c>
      <c r="C96" s="4" t="s">
        <v>10</v>
      </c>
      <c r="D96" s="4" t="s">
        <v>11</v>
      </c>
      <c r="E96" s="17" t="s">
        <v>424</v>
      </c>
      <c r="F96" s="22"/>
      <c r="G96" s="20" t="s">
        <v>400</v>
      </c>
      <c r="H96" s="15" t="s">
        <v>401</v>
      </c>
      <c r="I96" s="15" t="s">
        <v>402</v>
      </c>
      <c r="K96" s="2">
        <v>11</v>
      </c>
      <c r="L96" s="12">
        <v>10</v>
      </c>
      <c r="M96" s="2">
        <v>9</v>
      </c>
    </row>
    <row r="97" spans="1:13" ht="15.75" thickBot="1">
      <c r="A97" s="3" t="s">
        <v>390</v>
      </c>
      <c r="B97" s="4" t="s">
        <v>409</v>
      </c>
      <c r="C97" s="4" t="s">
        <v>410</v>
      </c>
      <c r="D97" s="4" t="s">
        <v>8</v>
      </c>
      <c r="E97" s="17" t="s">
        <v>424</v>
      </c>
      <c r="F97" s="22"/>
      <c r="G97" s="20" t="s">
        <v>400</v>
      </c>
      <c r="H97" s="15" t="s">
        <v>401</v>
      </c>
      <c r="I97" s="15" t="s">
        <v>402</v>
      </c>
      <c r="K97" s="25" t="s">
        <v>387</v>
      </c>
      <c r="L97" s="12">
        <v>9</v>
      </c>
      <c r="M97" s="2">
        <v>8</v>
      </c>
    </row>
    <row r="98" spans="1:13" ht="15.75" thickBot="1">
      <c r="A98" s="3" t="s">
        <v>390</v>
      </c>
      <c r="B98" s="4" t="s">
        <v>130</v>
      </c>
      <c r="C98" s="4" t="s">
        <v>2</v>
      </c>
      <c r="D98" s="4" t="s">
        <v>23</v>
      </c>
      <c r="E98" s="17" t="s">
        <v>424</v>
      </c>
      <c r="F98" s="22"/>
      <c r="G98" s="20" t="s">
        <v>400</v>
      </c>
      <c r="H98" s="15" t="s">
        <v>401</v>
      </c>
      <c r="I98" s="15" t="s">
        <v>402</v>
      </c>
      <c r="K98" s="25" t="s">
        <v>387</v>
      </c>
      <c r="L98" s="12">
        <v>9</v>
      </c>
      <c r="M98" s="2">
        <v>8</v>
      </c>
    </row>
    <row r="99" spans="1:13" ht="15.75" thickBot="1">
      <c r="A99" s="3">
        <v>148</v>
      </c>
      <c r="B99" s="4" t="s">
        <v>163</v>
      </c>
      <c r="C99" s="4" t="s">
        <v>27</v>
      </c>
      <c r="D99" s="4" t="s">
        <v>15</v>
      </c>
      <c r="E99" s="17" t="s">
        <v>424</v>
      </c>
      <c r="F99" s="22"/>
      <c r="G99" s="20" t="s">
        <v>400</v>
      </c>
      <c r="H99" s="15" t="s">
        <v>401</v>
      </c>
      <c r="I99" s="15" t="s">
        <v>402</v>
      </c>
      <c r="K99" s="2">
        <v>15</v>
      </c>
      <c r="L99" s="12">
        <v>14</v>
      </c>
      <c r="M99" s="2">
        <v>13</v>
      </c>
    </row>
    <row r="100" spans="1:13" ht="15.75" thickBot="1">
      <c r="A100" s="3">
        <v>8</v>
      </c>
      <c r="B100" s="4" t="s">
        <v>150</v>
      </c>
      <c r="C100" s="4" t="s">
        <v>2</v>
      </c>
      <c r="D100" s="4" t="s">
        <v>8</v>
      </c>
      <c r="E100" s="17" t="s">
        <v>424</v>
      </c>
      <c r="F100" s="22"/>
      <c r="G100" s="20" t="s">
        <v>400</v>
      </c>
      <c r="H100" s="15" t="s">
        <v>401</v>
      </c>
      <c r="I100" s="15" t="s">
        <v>402</v>
      </c>
      <c r="K100" s="2">
        <v>1</v>
      </c>
      <c r="L100" s="12" t="s">
        <v>387</v>
      </c>
      <c r="M100" s="2" t="s">
        <v>387</v>
      </c>
    </row>
    <row r="101" spans="1:13" ht="15.75" thickBot="1">
      <c r="A101" s="3" t="s">
        <v>390</v>
      </c>
      <c r="B101" s="4" t="s">
        <v>411</v>
      </c>
      <c r="C101" s="4" t="s">
        <v>2</v>
      </c>
      <c r="D101" s="4" t="s">
        <v>73</v>
      </c>
      <c r="E101" s="17" t="s">
        <v>424</v>
      </c>
      <c r="F101" s="22"/>
      <c r="G101" s="20" t="s">
        <v>400</v>
      </c>
      <c r="H101" s="15" t="s">
        <v>401</v>
      </c>
      <c r="I101" s="15" t="s">
        <v>402</v>
      </c>
      <c r="K101" s="25" t="s">
        <v>387</v>
      </c>
      <c r="L101" s="12">
        <v>9</v>
      </c>
      <c r="M101" s="2">
        <v>8</v>
      </c>
    </row>
    <row r="102" spans="1:13" ht="15.75" thickBot="1">
      <c r="A102" s="3" t="s">
        <v>390</v>
      </c>
      <c r="B102" s="4" t="s">
        <v>412</v>
      </c>
      <c r="C102" s="4" t="s">
        <v>10</v>
      </c>
      <c r="D102" s="4" t="s">
        <v>21</v>
      </c>
      <c r="E102" s="17" t="s">
        <v>424</v>
      </c>
      <c r="F102" s="22"/>
      <c r="G102" s="20" t="s">
        <v>400</v>
      </c>
      <c r="H102" s="15" t="s">
        <v>401</v>
      </c>
      <c r="I102" s="15" t="s">
        <v>402</v>
      </c>
      <c r="K102" s="25" t="s">
        <v>387</v>
      </c>
      <c r="L102" s="12">
        <v>9</v>
      </c>
      <c r="M102" s="2">
        <v>8</v>
      </c>
    </row>
    <row r="103" spans="1:13" ht="15.75" thickBot="1">
      <c r="A103" s="3">
        <v>113</v>
      </c>
      <c r="B103" s="4" t="s">
        <v>161</v>
      </c>
      <c r="C103" s="4" t="s">
        <v>2</v>
      </c>
      <c r="D103" s="4" t="s">
        <v>82</v>
      </c>
      <c r="E103" s="17" t="s">
        <v>424</v>
      </c>
      <c r="F103" s="22"/>
      <c r="G103" s="20" t="s">
        <v>401</v>
      </c>
      <c r="H103" s="15" t="s">
        <v>402</v>
      </c>
      <c r="I103" s="15" t="s">
        <v>387</v>
      </c>
      <c r="K103" s="2">
        <v>12</v>
      </c>
      <c r="L103" s="12">
        <v>11</v>
      </c>
      <c r="M103" s="2" t="s">
        <v>387</v>
      </c>
    </row>
    <row r="104" spans="1:13" ht="15.75" thickBot="1">
      <c r="A104" s="13"/>
      <c r="B104" s="14"/>
      <c r="C104" s="14"/>
      <c r="D104" s="14"/>
      <c r="E104" s="18"/>
      <c r="F104" s="22"/>
      <c r="L104" s="12"/>
    </row>
    <row r="105" spans="1:13" ht="15.75" thickBot="1">
      <c r="A105" s="3" t="s">
        <v>413</v>
      </c>
      <c r="B105" s="4" t="s">
        <v>47</v>
      </c>
      <c r="C105" s="4" t="s">
        <v>5</v>
      </c>
      <c r="D105" s="4" t="s">
        <v>30</v>
      </c>
      <c r="E105" s="17" t="s">
        <v>58</v>
      </c>
      <c r="F105" s="22"/>
      <c r="G105" s="20" t="s">
        <v>400</v>
      </c>
      <c r="H105" s="15" t="s">
        <v>401</v>
      </c>
      <c r="I105" s="15" t="s">
        <v>402</v>
      </c>
      <c r="K105" s="2">
        <v>7</v>
      </c>
      <c r="L105" s="12">
        <v>6</v>
      </c>
      <c r="M105" s="2">
        <v>5</v>
      </c>
    </row>
    <row r="106" spans="1:13" ht="15.75" thickBot="1">
      <c r="A106" s="3" t="s">
        <v>390</v>
      </c>
      <c r="B106" s="4" t="s">
        <v>414</v>
      </c>
      <c r="C106" s="4" t="s">
        <v>10</v>
      </c>
      <c r="D106" s="4" t="s">
        <v>73</v>
      </c>
      <c r="E106" s="17" t="s">
        <v>58</v>
      </c>
      <c r="F106" s="22"/>
      <c r="G106" s="20" t="s">
        <v>400</v>
      </c>
      <c r="H106" s="15" t="s">
        <v>401</v>
      </c>
      <c r="I106" s="15" t="s">
        <v>402</v>
      </c>
      <c r="K106" s="25" t="s">
        <v>387</v>
      </c>
      <c r="L106" s="12">
        <v>9</v>
      </c>
      <c r="M106" s="2">
        <v>8</v>
      </c>
    </row>
    <row r="107" spans="1:13" ht="15.75" thickBot="1">
      <c r="A107" s="3" t="s">
        <v>413</v>
      </c>
      <c r="B107" s="4" t="s">
        <v>16</v>
      </c>
      <c r="C107" s="4" t="s">
        <v>2</v>
      </c>
      <c r="D107" s="4" t="s">
        <v>17</v>
      </c>
      <c r="E107" s="17" t="s">
        <v>58</v>
      </c>
      <c r="F107" s="22"/>
      <c r="G107" s="20" t="s">
        <v>400</v>
      </c>
      <c r="H107" s="15" t="s">
        <v>401</v>
      </c>
      <c r="I107" s="15" t="s">
        <v>402</v>
      </c>
      <c r="K107" s="2">
        <v>7</v>
      </c>
      <c r="L107" s="12">
        <v>6</v>
      </c>
      <c r="M107" s="2">
        <v>5</v>
      </c>
    </row>
    <row r="108" spans="1:13" ht="15.75" thickBot="1">
      <c r="A108" s="3" t="s">
        <v>413</v>
      </c>
      <c r="B108" s="4" t="s">
        <v>415</v>
      </c>
      <c r="C108" s="4" t="s">
        <v>2</v>
      </c>
      <c r="D108" s="4" t="s">
        <v>84</v>
      </c>
      <c r="E108" s="17" t="s">
        <v>58</v>
      </c>
      <c r="F108" s="22"/>
      <c r="G108" s="20" t="s">
        <v>400</v>
      </c>
      <c r="H108" s="15" t="s">
        <v>401</v>
      </c>
      <c r="I108" s="15" t="s">
        <v>402</v>
      </c>
      <c r="K108" s="2">
        <v>1</v>
      </c>
      <c r="L108" s="12" t="s">
        <v>387</v>
      </c>
      <c r="M108" s="2" t="s">
        <v>387</v>
      </c>
    </row>
    <row r="109" spans="1:13" ht="15.75" thickBot="1">
      <c r="A109" s="3">
        <v>23</v>
      </c>
      <c r="B109" s="4" t="s">
        <v>62</v>
      </c>
      <c r="C109" s="4" t="s">
        <v>10</v>
      </c>
      <c r="D109" s="4" t="s">
        <v>63</v>
      </c>
      <c r="E109" s="17" t="s">
        <v>58</v>
      </c>
      <c r="F109" s="22"/>
      <c r="G109" s="20" t="s">
        <v>400</v>
      </c>
      <c r="H109" s="15" t="s">
        <v>401</v>
      </c>
      <c r="I109" s="15" t="s">
        <v>402</v>
      </c>
      <c r="K109" s="2">
        <v>3</v>
      </c>
      <c r="L109" s="12">
        <v>2</v>
      </c>
      <c r="M109" s="2">
        <v>1</v>
      </c>
    </row>
    <row r="110" spans="1:13" ht="15.75" thickBot="1">
      <c r="A110" s="3">
        <v>58</v>
      </c>
      <c r="B110" s="4" t="s">
        <v>66</v>
      </c>
      <c r="C110" s="4" t="s">
        <v>10</v>
      </c>
      <c r="D110" s="4" t="s">
        <v>49</v>
      </c>
      <c r="E110" s="17" t="s">
        <v>58</v>
      </c>
      <c r="F110" s="22"/>
      <c r="G110" s="20" t="s">
        <v>400</v>
      </c>
      <c r="H110" s="15" t="s">
        <v>401</v>
      </c>
      <c r="I110" s="15" t="s">
        <v>402</v>
      </c>
      <c r="K110" s="2">
        <v>6</v>
      </c>
      <c r="L110" s="12">
        <v>5</v>
      </c>
      <c r="M110" s="2">
        <v>4</v>
      </c>
    </row>
    <row r="111" spans="1:13" ht="15.75" thickBot="1">
      <c r="A111" s="3" t="s">
        <v>390</v>
      </c>
      <c r="B111" s="4" t="s">
        <v>416</v>
      </c>
      <c r="C111" s="4" t="s">
        <v>27</v>
      </c>
      <c r="D111" s="4" t="s">
        <v>35</v>
      </c>
      <c r="E111" s="17" t="s">
        <v>58</v>
      </c>
      <c r="F111" s="22"/>
      <c r="G111" s="20" t="s">
        <v>400</v>
      </c>
      <c r="H111" s="15" t="s">
        <v>401</v>
      </c>
      <c r="I111" s="15" t="s">
        <v>402</v>
      </c>
      <c r="K111" s="25" t="s">
        <v>387</v>
      </c>
      <c r="L111" s="12">
        <v>9</v>
      </c>
      <c r="M111" s="2">
        <v>8</v>
      </c>
    </row>
    <row r="112" spans="1:13" ht="15.75" thickBot="1">
      <c r="A112" s="3" t="s">
        <v>390</v>
      </c>
      <c r="B112" s="4" t="s">
        <v>52</v>
      </c>
      <c r="C112" s="4" t="s">
        <v>2</v>
      </c>
      <c r="D112" s="4" t="s">
        <v>11</v>
      </c>
      <c r="E112" s="17" t="s">
        <v>58</v>
      </c>
      <c r="F112" s="22"/>
      <c r="G112" s="20" t="s">
        <v>400</v>
      </c>
      <c r="H112" s="15" t="s">
        <v>401</v>
      </c>
      <c r="I112" s="15" t="s">
        <v>402</v>
      </c>
      <c r="K112" s="25" t="s">
        <v>387</v>
      </c>
      <c r="L112" s="12">
        <v>9</v>
      </c>
      <c r="M112" s="2">
        <v>8</v>
      </c>
    </row>
    <row r="113" spans="1:13" ht="15.75" thickBot="1">
      <c r="A113" s="3" t="s">
        <v>413</v>
      </c>
      <c r="B113" s="4" t="s">
        <v>99</v>
      </c>
      <c r="C113" s="4" t="s">
        <v>2</v>
      </c>
      <c r="D113" s="4" t="s">
        <v>120</v>
      </c>
      <c r="E113" s="17" t="s">
        <v>58</v>
      </c>
      <c r="F113" s="22"/>
      <c r="G113" s="20" t="s">
        <v>400</v>
      </c>
      <c r="H113" s="15" t="s">
        <v>401</v>
      </c>
      <c r="I113" s="15" t="s">
        <v>402</v>
      </c>
      <c r="K113" s="2">
        <v>2</v>
      </c>
      <c r="L113" s="12">
        <v>1</v>
      </c>
      <c r="M113" s="2" t="s">
        <v>387</v>
      </c>
    </row>
    <row r="114" spans="1:13" ht="15.75" thickBot="1">
      <c r="A114" s="3" t="s">
        <v>390</v>
      </c>
      <c r="B114" s="4" t="s">
        <v>417</v>
      </c>
      <c r="C114" s="4" t="s">
        <v>36</v>
      </c>
      <c r="D114" s="4" t="s">
        <v>396</v>
      </c>
      <c r="E114" s="17" t="s">
        <v>58</v>
      </c>
      <c r="F114" s="22"/>
      <c r="G114" s="20" t="s">
        <v>400</v>
      </c>
      <c r="H114" s="15" t="s">
        <v>401</v>
      </c>
      <c r="I114" s="15" t="s">
        <v>402</v>
      </c>
      <c r="K114" s="25" t="s">
        <v>387</v>
      </c>
      <c r="L114" s="12">
        <v>9</v>
      </c>
      <c r="M114" s="2">
        <v>8</v>
      </c>
    </row>
    <row r="115" spans="1:13" ht="15.75" thickBot="1">
      <c r="A115" s="3" t="s">
        <v>413</v>
      </c>
      <c r="B115" s="4" t="s">
        <v>174</v>
      </c>
      <c r="C115" s="4" t="s">
        <v>10</v>
      </c>
      <c r="D115" s="4" t="s">
        <v>137</v>
      </c>
      <c r="E115" s="17" t="s">
        <v>58</v>
      </c>
      <c r="F115" s="22"/>
      <c r="G115" s="20" t="s">
        <v>400</v>
      </c>
      <c r="H115" s="15" t="s">
        <v>401</v>
      </c>
      <c r="I115" s="15" t="s">
        <v>402</v>
      </c>
      <c r="K115" s="2">
        <v>9</v>
      </c>
      <c r="L115" s="12">
        <v>8</v>
      </c>
      <c r="M115" s="2">
        <v>7</v>
      </c>
    </row>
    <row r="116" spans="1:13" ht="15.75" thickBot="1">
      <c r="A116" s="3" t="s">
        <v>390</v>
      </c>
      <c r="B116" s="4" t="s">
        <v>418</v>
      </c>
      <c r="C116" s="4" t="s">
        <v>5</v>
      </c>
      <c r="D116" s="4" t="s">
        <v>17</v>
      </c>
      <c r="E116" s="17" t="s">
        <v>58</v>
      </c>
      <c r="F116" s="22"/>
      <c r="G116" s="20" t="s">
        <v>400</v>
      </c>
      <c r="H116" s="15" t="s">
        <v>401</v>
      </c>
      <c r="I116" s="15" t="s">
        <v>402</v>
      </c>
      <c r="K116" s="25" t="s">
        <v>387</v>
      </c>
      <c r="L116" s="12">
        <v>9</v>
      </c>
      <c r="M116" s="2">
        <v>8</v>
      </c>
    </row>
    <row r="117" spans="1:13" ht="15.75" thickBot="1">
      <c r="A117" s="3" t="s">
        <v>413</v>
      </c>
      <c r="B117" s="4" t="s">
        <v>419</v>
      </c>
      <c r="C117" s="4" t="s">
        <v>10</v>
      </c>
      <c r="D117" s="4" t="s">
        <v>34</v>
      </c>
      <c r="E117" s="17" t="s">
        <v>58</v>
      </c>
      <c r="F117" s="22"/>
      <c r="G117" s="20" t="s">
        <v>400</v>
      </c>
      <c r="H117" s="15" t="s">
        <v>401</v>
      </c>
      <c r="I117" s="15" t="s">
        <v>402</v>
      </c>
      <c r="K117" s="2">
        <v>6</v>
      </c>
      <c r="L117" s="12">
        <v>5</v>
      </c>
      <c r="M117" s="2">
        <v>4</v>
      </c>
    </row>
    <row r="118" spans="1:13" ht="15.75" thickBot="1">
      <c r="A118" s="3" t="s">
        <v>390</v>
      </c>
      <c r="B118" s="4" t="s">
        <v>196</v>
      </c>
      <c r="C118" s="4" t="s">
        <v>10</v>
      </c>
      <c r="D118" s="4" t="s">
        <v>396</v>
      </c>
      <c r="E118" s="17" t="s">
        <v>58</v>
      </c>
      <c r="F118" s="22"/>
      <c r="G118" s="20" t="s">
        <v>400</v>
      </c>
      <c r="H118" s="15" t="s">
        <v>401</v>
      </c>
      <c r="I118" s="15" t="s">
        <v>402</v>
      </c>
      <c r="K118" s="25" t="s">
        <v>387</v>
      </c>
      <c r="L118" s="12">
        <v>9</v>
      </c>
      <c r="M118" s="2">
        <v>8</v>
      </c>
    </row>
    <row r="119" spans="1:13" ht="15.75" thickBot="1">
      <c r="A119" s="3" t="s">
        <v>390</v>
      </c>
      <c r="B119" s="4" t="s">
        <v>420</v>
      </c>
      <c r="C119" s="4" t="s">
        <v>10</v>
      </c>
      <c r="D119" s="4" t="s">
        <v>63</v>
      </c>
      <c r="E119" s="17" t="s">
        <v>58</v>
      </c>
      <c r="F119" s="22"/>
      <c r="G119" s="20" t="s">
        <v>400</v>
      </c>
      <c r="H119" s="15" t="s">
        <v>401</v>
      </c>
      <c r="I119" s="15" t="s">
        <v>402</v>
      </c>
      <c r="K119" s="25" t="s">
        <v>387</v>
      </c>
      <c r="L119" s="12">
        <v>9</v>
      </c>
      <c r="M119" s="2">
        <v>8</v>
      </c>
    </row>
    <row r="120" spans="1:13" ht="15.75" thickBot="1">
      <c r="A120" s="3" t="s">
        <v>390</v>
      </c>
      <c r="B120" s="4" t="s">
        <v>421</v>
      </c>
      <c r="C120" s="4" t="s">
        <v>10</v>
      </c>
      <c r="D120" s="4" t="s">
        <v>422</v>
      </c>
      <c r="E120" s="17" t="s">
        <v>58</v>
      </c>
      <c r="F120" s="22"/>
      <c r="G120" s="20" t="s">
        <v>400</v>
      </c>
      <c r="H120" s="15" t="s">
        <v>401</v>
      </c>
      <c r="I120" s="15" t="s">
        <v>402</v>
      </c>
      <c r="K120" s="25" t="s">
        <v>387</v>
      </c>
      <c r="L120" s="12">
        <v>9</v>
      </c>
      <c r="M120" s="2">
        <v>8</v>
      </c>
    </row>
    <row r="121" spans="1:13" ht="15.75" thickBot="1">
      <c r="A121" s="13"/>
      <c r="B121" s="14"/>
      <c r="C121" s="14"/>
      <c r="D121" s="14"/>
      <c r="E121" s="18"/>
      <c r="F121" s="22"/>
      <c r="L121" s="12"/>
    </row>
    <row r="122" spans="1:13" ht="15.75" thickBot="1">
      <c r="A122" s="3" t="s">
        <v>390</v>
      </c>
      <c r="B122" s="4" t="s">
        <v>453</v>
      </c>
      <c r="C122" s="4" t="s">
        <v>5</v>
      </c>
      <c r="D122" s="4" t="s">
        <v>34</v>
      </c>
      <c r="E122" s="17" t="s">
        <v>97</v>
      </c>
      <c r="F122" s="22"/>
      <c r="G122" s="20" t="s">
        <v>400</v>
      </c>
      <c r="H122" s="15" t="s">
        <v>401</v>
      </c>
      <c r="I122" s="15" t="s">
        <v>402</v>
      </c>
      <c r="K122" s="25" t="s">
        <v>387</v>
      </c>
      <c r="L122" s="12">
        <v>9</v>
      </c>
      <c r="M122" s="2">
        <v>8</v>
      </c>
    </row>
    <row r="123" spans="1:13" ht="15.75" thickBot="1">
      <c r="A123" s="3" t="s">
        <v>413</v>
      </c>
      <c r="B123" s="4" t="s">
        <v>454</v>
      </c>
      <c r="C123" s="4" t="s">
        <v>10</v>
      </c>
      <c r="D123" s="4" t="s">
        <v>82</v>
      </c>
      <c r="E123" s="17" t="s">
        <v>97</v>
      </c>
      <c r="F123" s="22"/>
      <c r="G123" s="20" t="s">
        <v>400</v>
      </c>
      <c r="H123" s="15" t="s">
        <v>401</v>
      </c>
      <c r="I123" s="15" t="s">
        <v>402</v>
      </c>
      <c r="K123" s="25" t="s">
        <v>387</v>
      </c>
      <c r="L123" s="12">
        <v>9</v>
      </c>
      <c r="M123" s="2">
        <v>8</v>
      </c>
    </row>
    <row r="124" spans="1:13" ht="15.75" thickBot="1">
      <c r="A124" s="3">
        <v>36</v>
      </c>
      <c r="B124" s="4" t="s">
        <v>101</v>
      </c>
      <c r="C124" s="4" t="s">
        <v>10</v>
      </c>
      <c r="D124" s="4" t="s">
        <v>6</v>
      </c>
      <c r="E124" s="17" t="s">
        <v>97</v>
      </c>
      <c r="F124" s="22"/>
      <c r="G124" s="20" t="s">
        <v>400</v>
      </c>
      <c r="H124" s="15" t="s">
        <v>401</v>
      </c>
      <c r="I124" s="15" t="s">
        <v>402</v>
      </c>
      <c r="K124" s="2">
        <v>4</v>
      </c>
      <c r="L124" s="12">
        <v>3</v>
      </c>
      <c r="M124" s="2">
        <v>2</v>
      </c>
    </row>
    <row r="125" spans="1:13" ht="15.75" thickBot="1">
      <c r="A125" s="3" t="s">
        <v>390</v>
      </c>
      <c r="B125" s="4" t="s">
        <v>455</v>
      </c>
      <c r="C125" s="4" t="s">
        <v>2</v>
      </c>
      <c r="D125" s="4" t="s">
        <v>28</v>
      </c>
      <c r="E125" s="17" t="s">
        <v>97</v>
      </c>
      <c r="F125" s="22"/>
      <c r="G125" s="20" t="s">
        <v>400</v>
      </c>
      <c r="H125" s="15" t="s">
        <v>401</v>
      </c>
      <c r="I125" s="15" t="s">
        <v>402</v>
      </c>
      <c r="K125" s="25" t="s">
        <v>387</v>
      </c>
      <c r="L125" s="12">
        <v>9</v>
      </c>
      <c r="M125" s="2">
        <v>8</v>
      </c>
    </row>
    <row r="126" spans="1:13" ht="15.75" thickBot="1">
      <c r="A126" s="3" t="s">
        <v>390</v>
      </c>
      <c r="B126" s="4" t="s">
        <v>109</v>
      </c>
      <c r="C126" s="4" t="s">
        <v>10</v>
      </c>
      <c r="D126" s="4" t="s">
        <v>49</v>
      </c>
      <c r="E126" s="17" t="s">
        <v>97</v>
      </c>
      <c r="F126" s="22"/>
      <c r="G126" s="20" t="s">
        <v>400</v>
      </c>
      <c r="H126" s="15" t="s">
        <v>401</v>
      </c>
      <c r="I126" s="15" t="s">
        <v>402</v>
      </c>
      <c r="K126" s="25" t="s">
        <v>387</v>
      </c>
      <c r="L126" s="12">
        <v>9</v>
      </c>
      <c r="M126" s="2">
        <v>8</v>
      </c>
    </row>
    <row r="127" spans="1:13" ht="15.75" thickBot="1">
      <c r="A127" s="3" t="s">
        <v>413</v>
      </c>
      <c r="B127" s="4" t="s">
        <v>381</v>
      </c>
      <c r="C127" s="4" t="s">
        <v>2</v>
      </c>
      <c r="D127" s="4" t="s">
        <v>25</v>
      </c>
      <c r="E127" s="17" t="s">
        <v>97</v>
      </c>
      <c r="F127" s="22"/>
      <c r="G127" s="20" t="s">
        <v>400</v>
      </c>
      <c r="H127" s="15" t="s">
        <v>401</v>
      </c>
      <c r="I127" s="15" t="s">
        <v>402</v>
      </c>
      <c r="K127" s="2">
        <v>4</v>
      </c>
      <c r="L127" s="12">
        <v>3</v>
      </c>
      <c r="M127" s="2">
        <v>2</v>
      </c>
    </row>
    <row r="128" spans="1:13" ht="15.75" thickBot="1">
      <c r="A128" s="3" t="s">
        <v>390</v>
      </c>
      <c r="B128" s="4" t="s">
        <v>456</v>
      </c>
      <c r="C128" s="4" t="s">
        <v>36</v>
      </c>
      <c r="D128" s="4" t="s">
        <v>107</v>
      </c>
      <c r="E128" s="17" t="s">
        <v>97</v>
      </c>
      <c r="F128" s="22"/>
      <c r="G128" s="20" t="s">
        <v>400</v>
      </c>
      <c r="H128" s="15" t="s">
        <v>401</v>
      </c>
      <c r="I128" s="15" t="s">
        <v>402</v>
      </c>
      <c r="K128" s="25" t="s">
        <v>387</v>
      </c>
      <c r="L128" s="12">
        <v>9</v>
      </c>
      <c r="M128" s="2">
        <v>8</v>
      </c>
    </row>
    <row r="129" spans="1:13" ht="15.75" thickBot="1">
      <c r="A129" s="3" t="s">
        <v>390</v>
      </c>
      <c r="B129" s="4" t="s">
        <v>457</v>
      </c>
      <c r="C129" s="4" t="s">
        <v>10</v>
      </c>
      <c r="D129" s="4" t="s">
        <v>107</v>
      </c>
      <c r="E129" s="17" t="s">
        <v>97</v>
      </c>
      <c r="F129" s="22"/>
      <c r="G129" s="20" t="s">
        <v>400</v>
      </c>
      <c r="H129" s="15" t="s">
        <v>401</v>
      </c>
      <c r="I129" s="15" t="s">
        <v>402</v>
      </c>
      <c r="K129" s="25" t="s">
        <v>387</v>
      </c>
      <c r="L129" s="12">
        <v>9</v>
      </c>
      <c r="M129" s="2">
        <v>8</v>
      </c>
    </row>
    <row r="130" spans="1:13" ht="15.75" thickBot="1">
      <c r="A130" s="3" t="s">
        <v>390</v>
      </c>
      <c r="B130" s="4" t="s">
        <v>128</v>
      </c>
      <c r="C130" s="4" t="s">
        <v>2</v>
      </c>
      <c r="D130" s="4" t="s">
        <v>28</v>
      </c>
      <c r="E130" s="17" t="s">
        <v>97</v>
      </c>
      <c r="F130" s="22"/>
      <c r="G130" s="20" t="s">
        <v>400</v>
      </c>
      <c r="H130" s="15" t="s">
        <v>401</v>
      </c>
      <c r="I130" s="15" t="s">
        <v>402</v>
      </c>
      <c r="K130" s="25" t="s">
        <v>387</v>
      </c>
      <c r="L130" s="12">
        <v>9</v>
      </c>
      <c r="M130" s="2">
        <v>8</v>
      </c>
    </row>
    <row r="131" spans="1:13" ht="15.75" thickBot="1">
      <c r="A131" s="3">
        <v>76</v>
      </c>
      <c r="B131" s="4" t="s">
        <v>105</v>
      </c>
      <c r="C131" s="4" t="s">
        <v>27</v>
      </c>
      <c r="D131" s="4" t="s">
        <v>23</v>
      </c>
      <c r="E131" s="17" t="s">
        <v>97</v>
      </c>
      <c r="F131" s="22"/>
      <c r="G131" s="20" t="s">
        <v>400</v>
      </c>
      <c r="H131" s="15" t="s">
        <v>401</v>
      </c>
      <c r="I131" s="15" t="s">
        <v>402</v>
      </c>
      <c r="K131" s="2">
        <v>8</v>
      </c>
      <c r="L131" s="12">
        <v>7</v>
      </c>
      <c r="M131" s="2">
        <v>6</v>
      </c>
    </row>
    <row r="132" spans="1:13" ht="15.75" thickBot="1">
      <c r="A132" s="3" t="s">
        <v>390</v>
      </c>
      <c r="B132" s="4" t="s">
        <v>152</v>
      </c>
      <c r="C132" s="4" t="s">
        <v>27</v>
      </c>
      <c r="D132" s="4" t="s">
        <v>32</v>
      </c>
      <c r="E132" s="17" t="s">
        <v>97</v>
      </c>
      <c r="F132" s="22"/>
      <c r="G132" s="20" t="s">
        <v>400</v>
      </c>
      <c r="H132" s="15" t="s">
        <v>401</v>
      </c>
      <c r="I132" s="15" t="s">
        <v>402</v>
      </c>
      <c r="K132" s="25" t="s">
        <v>387</v>
      </c>
      <c r="L132" s="12">
        <v>9</v>
      </c>
      <c r="M132" s="2">
        <v>8</v>
      </c>
    </row>
    <row r="133" spans="1:13" ht="15.75" thickBot="1">
      <c r="A133" s="3" t="s">
        <v>390</v>
      </c>
      <c r="B133" s="4" t="s">
        <v>458</v>
      </c>
      <c r="C133" s="4" t="s">
        <v>27</v>
      </c>
      <c r="D133" s="4" t="s">
        <v>56</v>
      </c>
      <c r="E133" s="17" t="s">
        <v>97</v>
      </c>
      <c r="F133" s="22"/>
      <c r="G133" s="20" t="s">
        <v>400</v>
      </c>
      <c r="H133" s="15" t="s">
        <v>401</v>
      </c>
      <c r="I133" s="15" t="s">
        <v>402</v>
      </c>
      <c r="K133" s="25" t="s">
        <v>387</v>
      </c>
      <c r="L133" s="12">
        <v>9</v>
      </c>
      <c r="M133" s="2">
        <v>8</v>
      </c>
    </row>
    <row r="134" spans="1:13" ht="15.75" thickBot="1">
      <c r="A134" s="3">
        <v>25</v>
      </c>
      <c r="B134" s="4" t="s">
        <v>100</v>
      </c>
      <c r="C134" s="4" t="s">
        <v>2</v>
      </c>
      <c r="D134" s="4" t="s">
        <v>28</v>
      </c>
      <c r="E134" s="17" t="s">
        <v>97</v>
      </c>
      <c r="F134" s="22"/>
      <c r="G134" s="20" t="s">
        <v>400</v>
      </c>
      <c r="H134" s="15" t="s">
        <v>401</v>
      </c>
      <c r="I134" s="15" t="s">
        <v>402</v>
      </c>
      <c r="K134" s="2">
        <v>3</v>
      </c>
      <c r="L134" s="12">
        <v>2</v>
      </c>
      <c r="M134" s="2">
        <v>1</v>
      </c>
    </row>
    <row r="135" spans="1:13" ht="15.75" thickBot="1">
      <c r="A135" s="3">
        <v>45</v>
      </c>
      <c r="B135" s="4" t="s">
        <v>102</v>
      </c>
      <c r="C135" s="4" t="s">
        <v>2</v>
      </c>
      <c r="D135" s="4" t="s">
        <v>91</v>
      </c>
      <c r="E135" s="17" t="s">
        <v>97</v>
      </c>
      <c r="F135" s="22"/>
      <c r="G135" s="20" t="s">
        <v>400</v>
      </c>
      <c r="H135" s="15" t="s">
        <v>401</v>
      </c>
      <c r="I135" s="15" t="s">
        <v>402</v>
      </c>
      <c r="K135" s="2">
        <v>5</v>
      </c>
      <c r="L135" s="12">
        <v>4</v>
      </c>
      <c r="M135" s="2">
        <v>3</v>
      </c>
    </row>
    <row r="136" spans="1:13" ht="15.75" thickBot="1">
      <c r="A136" s="3" t="s">
        <v>390</v>
      </c>
      <c r="B136" s="4" t="s">
        <v>194</v>
      </c>
      <c r="C136" s="4" t="s">
        <v>2</v>
      </c>
      <c r="D136" s="4" t="s">
        <v>49</v>
      </c>
      <c r="E136" s="17" t="s">
        <v>97</v>
      </c>
      <c r="F136" s="22"/>
      <c r="G136" s="20" t="s">
        <v>400</v>
      </c>
      <c r="H136" s="15" t="s">
        <v>401</v>
      </c>
      <c r="I136" s="15" t="s">
        <v>402</v>
      </c>
      <c r="K136" s="25" t="s">
        <v>387</v>
      </c>
      <c r="L136" s="12">
        <v>9</v>
      </c>
      <c r="M136" s="2">
        <v>8</v>
      </c>
    </row>
    <row r="137" spans="1:13" ht="15.75" thickBot="1">
      <c r="A137" s="3" t="s">
        <v>390</v>
      </c>
      <c r="B137" s="4" t="s">
        <v>459</v>
      </c>
      <c r="C137" s="4" t="s">
        <v>2</v>
      </c>
      <c r="D137" s="4" t="s">
        <v>107</v>
      </c>
      <c r="E137" s="17" t="s">
        <v>97</v>
      </c>
      <c r="F137" s="22"/>
      <c r="G137" s="20" t="s">
        <v>400</v>
      </c>
      <c r="H137" s="15" t="s">
        <v>401</v>
      </c>
      <c r="I137" s="15" t="s">
        <v>402</v>
      </c>
      <c r="K137" s="25" t="s">
        <v>387</v>
      </c>
      <c r="L137" s="12">
        <v>9</v>
      </c>
      <c r="M137" s="2">
        <v>8</v>
      </c>
    </row>
    <row r="138" spans="1:13" ht="15.75" thickBot="1">
      <c r="A138" s="13"/>
      <c r="B138" s="14"/>
      <c r="C138" s="14"/>
      <c r="D138" s="14"/>
      <c r="E138" s="18"/>
      <c r="F138" s="22"/>
      <c r="L138" s="12"/>
    </row>
    <row r="139" spans="1:13" ht="15.75" thickBot="1">
      <c r="A139" s="3">
        <v>130</v>
      </c>
      <c r="B139" s="4" t="s">
        <v>13</v>
      </c>
      <c r="C139" s="4" t="s">
        <v>36</v>
      </c>
      <c r="D139" s="4" t="s">
        <v>13</v>
      </c>
      <c r="E139" s="17" t="s">
        <v>181</v>
      </c>
      <c r="F139" s="22"/>
      <c r="G139" s="20" t="s">
        <v>400</v>
      </c>
      <c r="H139" s="15" t="s">
        <v>401</v>
      </c>
      <c r="I139" s="15" t="s">
        <v>402</v>
      </c>
      <c r="K139" s="2">
        <v>13</v>
      </c>
      <c r="L139" s="12">
        <v>12</v>
      </c>
      <c r="M139" s="2">
        <v>11</v>
      </c>
    </row>
    <row r="140" spans="1:13" ht="15.75" thickBot="1">
      <c r="A140" s="3">
        <v>71</v>
      </c>
      <c r="B140" s="4" t="s">
        <v>189</v>
      </c>
      <c r="C140" s="4" t="s">
        <v>5</v>
      </c>
      <c r="D140" s="4" t="s">
        <v>32</v>
      </c>
      <c r="E140" s="17" t="s">
        <v>181</v>
      </c>
      <c r="F140" s="22"/>
      <c r="G140" s="20" t="s">
        <v>400</v>
      </c>
      <c r="H140" s="15" t="s">
        <v>401</v>
      </c>
      <c r="I140" s="15" t="s">
        <v>402</v>
      </c>
      <c r="K140" s="2">
        <v>8</v>
      </c>
      <c r="L140" s="12">
        <v>7</v>
      </c>
      <c r="M140" s="2">
        <v>6</v>
      </c>
    </row>
    <row r="141" spans="1:13" ht="15.75" thickBot="1">
      <c r="A141" s="3" t="s">
        <v>390</v>
      </c>
      <c r="B141" s="4" t="s">
        <v>460</v>
      </c>
      <c r="C141" s="4" t="s">
        <v>5</v>
      </c>
      <c r="D141" s="4" t="s">
        <v>23</v>
      </c>
      <c r="E141" s="17" t="s">
        <v>181</v>
      </c>
      <c r="F141" s="22"/>
      <c r="G141" s="20" t="s">
        <v>400</v>
      </c>
      <c r="H141" s="15" t="s">
        <v>401</v>
      </c>
      <c r="I141" s="15" t="s">
        <v>402</v>
      </c>
      <c r="K141" s="25" t="s">
        <v>387</v>
      </c>
      <c r="L141" s="12">
        <v>9</v>
      </c>
      <c r="M141" s="2">
        <v>8</v>
      </c>
    </row>
    <row r="142" spans="1:13" ht="15.75" thickBot="1">
      <c r="A142" s="3" t="s">
        <v>413</v>
      </c>
      <c r="B142" s="4" t="s">
        <v>79</v>
      </c>
      <c r="C142" s="4" t="s">
        <v>10</v>
      </c>
      <c r="D142" s="4" t="s">
        <v>56</v>
      </c>
      <c r="E142" s="17" t="s">
        <v>181</v>
      </c>
      <c r="F142" s="22"/>
      <c r="G142" s="20" t="s">
        <v>400</v>
      </c>
      <c r="H142" s="15" t="s">
        <v>401</v>
      </c>
      <c r="I142" s="15" t="s">
        <v>402</v>
      </c>
      <c r="K142" s="2">
        <v>1</v>
      </c>
      <c r="L142" s="12" t="s">
        <v>387</v>
      </c>
      <c r="M142" s="2" t="s">
        <v>387</v>
      </c>
    </row>
    <row r="143" spans="1:13" ht="15.75" thickBot="1">
      <c r="A143" s="3">
        <v>70</v>
      </c>
      <c r="B143" s="4" t="s">
        <v>188</v>
      </c>
      <c r="C143" s="4" t="s">
        <v>10</v>
      </c>
      <c r="D143" s="4" t="s">
        <v>60</v>
      </c>
      <c r="E143" s="17" t="s">
        <v>181</v>
      </c>
      <c r="F143" s="22"/>
      <c r="G143" s="20" t="s">
        <v>400</v>
      </c>
      <c r="H143" s="15" t="s">
        <v>401</v>
      </c>
      <c r="I143" s="15" t="s">
        <v>402</v>
      </c>
      <c r="K143" s="2">
        <v>7</v>
      </c>
      <c r="L143" s="12">
        <v>6</v>
      </c>
      <c r="M143" s="2">
        <v>5</v>
      </c>
    </row>
    <row r="144" spans="1:13" ht="15.75" thickBot="1">
      <c r="A144" s="3">
        <v>91</v>
      </c>
      <c r="B144" s="4" t="s">
        <v>191</v>
      </c>
      <c r="C144" s="4" t="s">
        <v>10</v>
      </c>
      <c r="D144" s="4" t="s">
        <v>107</v>
      </c>
      <c r="E144" s="17" t="s">
        <v>181</v>
      </c>
      <c r="F144" s="22"/>
      <c r="G144" s="15" t="s">
        <v>401</v>
      </c>
      <c r="H144" s="15" t="s">
        <v>402</v>
      </c>
      <c r="I144" s="25" t="s">
        <v>387</v>
      </c>
      <c r="K144" s="2">
        <v>10</v>
      </c>
      <c r="L144" s="12">
        <v>9</v>
      </c>
      <c r="M144" s="2" t="s">
        <v>387</v>
      </c>
    </row>
    <row r="145" spans="1:13" ht="15.75" thickBot="1">
      <c r="A145" s="3" t="s">
        <v>390</v>
      </c>
      <c r="B145" s="4" t="s">
        <v>461</v>
      </c>
      <c r="C145" s="4" t="s">
        <v>27</v>
      </c>
      <c r="D145" s="4" t="s">
        <v>60</v>
      </c>
      <c r="E145" s="17" t="s">
        <v>181</v>
      </c>
      <c r="F145" s="22"/>
      <c r="G145" s="20" t="s">
        <v>400</v>
      </c>
      <c r="H145" s="15" t="s">
        <v>401</v>
      </c>
      <c r="I145" s="15" t="s">
        <v>402</v>
      </c>
      <c r="K145" s="25" t="s">
        <v>387</v>
      </c>
      <c r="L145" s="12">
        <v>9</v>
      </c>
      <c r="M145" s="2">
        <v>8</v>
      </c>
    </row>
    <row r="146" spans="1:13" ht="15.75" thickBot="1">
      <c r="A146" s="3" t="s">
        <v>390</v>
      </c>
      <c r="B146" s="4" t="s">
        <v>55</v>
      </c>
      <c r="C146" s="4" t="s">
        <v>2</v>
      </c>
      <c r="D146" s="4" t="s">
        <v>56</v>
      </c>
      <c r="E146" s="17" t="s">
        <v>181</v>
      </c>
      <c r="F146" s="22"/>
      <c r="G146" s="20" t="s">
        <v>400</v>
      </c>
      <c r="H146" s="15" t="s">
        <v>401</v>
      </c>
      <c r="I146" s="15" t="s">
        <v>402</v>
      </c>
      <c r="K146" s="25" t="s">
        <v>387</v>
      </c>
      <c r="L146" s="12">
        <v>9</v>
      </c>
      <c r="M146" s="2">
        <v>8</v>
      </c>
    </row>
    <row r="147" spans="1:13" ht="15.75" thickBot="1">
      <c r="A147" s="3" t="s">
        <v>390</v>
      </c>
      <c r="B147" s="4" t="s">
        <v>103</v>
      </c>
      <c r="C147" s="4" t="s">
        <v>10</v>
      </c>
      <c r="D147" s="4" t="s">
        <v>137</v>
      </c>
      <c r="E147" s="17" t="s">
        <v>181</v>
      </c>
      <c r="F147" s="22"/>
      <c r="G147" s="20" t="s">
        <v>400</v>
      </c>
      <c r="H147" s="15" t="s">
        <v>401</v>
      </c>
      <c r="I147" s="15" t="s">
        <v>402</v>
      </c>
      <c r="K147" s="25" t="s">
        <v>387</v>
      </c>
      <c r="L147" s="12">
        <v>9</v>
      </c>
      <c r="M147" s="2">
        <v>8</v>
      </c>
    </row>
    <row r="148" spans="1:13" ht="15.75" thickBot="1">
      <c r="A148" s="3" t="s">
        <v>390</v>
      </c>
      <c r="B148" s="4" t="s">
        <v>462</v>
      </c>
      <c r="C148" s="4" t="s">
        <v>2</v>
      </c>
      <c r="D148" s="4" t="s">
        <v>120</v>
      </c>
      <c r="E148" s="17" t="s">
        <v>181</v>
      </c>
      <c r="F148" s="22"/>
      <c r="G148" s="20" t="s">
        <v>400</v>
      </c>
      <c r="H148" s="15" t="s">
        <v>401</v>
      </c>
      <c r="I148" s="15" t="s">
        <v>402</v>
      </c>
      <c r="K148" s="25" t="s">
        <v>387</v>
      </c>
      <c r="L148" s="12">
        <v>9</v>
      </c>
      <c r="M148" s="2">
        <v>8</v>
      </c>
    </row>
    <row r="149" spans="1:13" ht="15.75" thickBot="1">
      <c r="A149" s="3" t="s">
        <v>413</v>
      </c>
      <c r="B149" s="4" t="s">
        <v>93</v>
      </c>
      <c r="C149" s="4" t="s">
        <v>27</v>
      </c>
      <c r="D149" s="4" t="s">
        <v>43</v>
      </c>
      <c r="E149" s="17" t="s">
        <v>181</v>
      </c>
      <c r="F149" s="22"/>
      <c r="G149" s="20" t="s">
        <v>400</v>
      </c>
      <c r="H149" s="15" t="s">
        <v>401</v>
      </c>
      <c r="I149" s="15" t="s">
        <v>402</v>
      </c>
      <c r="K149" s="25" t="s">
        <v>387</v>
      </c>
      <c r="L149" s="12">
        <v>9</v>
      </c>
      <c r="M149" s="2">
        <v>8</v>
      </c>
    </row>
    <row r="150" spans="1:13" ht="15.75" thickBot="1">
      <c r="A150" s="3">
        <v>31</v>
      </c>
      <c r="B150" s="4" t="s">
        <v>185</v>
      </c>
      <c r="C150" s="4" t="s">
        <v>2</v>
      </c>
      <c r="D150" s="4" t="s">
        <v>73</v>
      </c>
      <c r="E150" s="17" t="s">
        <v>181</v>
      </c>
      <c r="F150" s="22"/>
      <c r="G150" s="15" t="s">
        <v>401</v>
      </c>
      <c r="H150" s="15" t="s">
        <v>402</v>
      </c>
      <c r="I150" s="25" t="s">
        <v>387</v>
      </c>
      <c r="K150" s="2">
        <v>4</v>
      </c>
      <c r="L150" s="12">
        <v>3</v>
      </c>
      <c r="M150" s="2" t="s">
        <v>387</v>
      </c>
    </row>
    <row r="151" spans="1:13" ht="15.75" thickBot="1">
      <c r="A151" s="3">
        <v>51</v>
      </c>
      <c r="B151" s="4" t="s">
        <v>187</v>
      </c>
      <c r="C151" s="4" t="s">
        <v>2</v>
      </c>
      <c r="D151" s="4" t="s">
        <v>34</v>
      </c>
      <c r="E151" s="17" t="s">
        <v>181</v>
      </c>
      <c r="F151" s="22"/>
      <c r="G151" s="20" t="s">
        <v>400</v>
      </c>
      <c r="H151" s="15" t="s">
        <v>401</v>
      </c>
      <c r="I151" s="15" t="s">
        <v>402</v>
      </c>
      <c r="K151" s="2">
        <v>6</v>
      </c>
      <c r="L151" s="12">
        <v>5</v>
      </c>
      <c r="M151" s="2">
        <v>4</v>
      </c>
    </row>
    <row r="152" spans="1:13" ht="15.75" thickBot="1">
      <c r="A152" s="3" t="s">
        <v>413</v>
      </c>
      <c r="B152" s="4" t="s">
        <v>42</v>
      </c>
      <c r="C152" s="4" t="s">
        <v>10</v>
      </c>
      <c r="D152" s="4" t="s">
        <v>8</v>
      </c>
      <c r="E152" s="17" t="s">
        <v>181</v>
      </c>
      <c r="F152" s="22"/>
      <c r="G152" s="20" t="s">
        <v>400</v>
      </c>
      <c r="H152" s="15" t="s">
        <v>401</v>
      </c>
      <c r="I152" s="15" t="s">
        <v>402</v>
      </c>
      <c r="K152" s="2">
        <v>4</v>
      </c>
      <c r="L152" s="12">
        <v>3</v>
      </c>
      <c r="M152" s="2">
        <v>2</v>
      </c>
    </row>
    <row r="153" spans="1:13" ht="15.75" thickBot="1">
      <c r="A153" s="3" t="s">
        <v>413</v>
      </c>
      <c r="B153" s="4" t="s">
        <v>463</v>
      </c>
      <c r="C153" s="4" t="s">
        <v>2</v>
      </c>
      <c r="D153" s="4" t="s">
        <v>17</v>
      </c>
      <c r="E153" s="17" t="s">
        <v>181</v>
      </c>
      <c r="F153" s="22"/>
      <c r="G153" s="20" t="s">
        <v>400</v>
      </c>
      <c r="H153" s="15" t="s">
        <v>401</v>
      </c>
      <c r="I153" s="15" t="s">
        <v>402</v>
      </c>
      <c r="K153" s="25" t="s">
        <v>387</v>
      </c>
      <c r="L153" s="12">
        <v>9</v>
      </c>
      <c r="M153" s="2">
        <v>8</v>
      </c>
    </row>
    <row r="154" spans="1:13" ht="15.75" thickBot="1">
      <c r="A154" s="3" t="s">
        <v>413</v>
      </c>
      <c r="B154" s="4" t="s">
        <v>464</v>
      </c>
      <c r="C154" s="4" t="s">
        <v>10</v>
      </c>
      <c r="D154" s="4" t="s">
        <v>21</v>
      </c>
      <c r="E154" s="17" t="s">
        <v>181</v>
      </c>
      <c r="F154" s="22"/>
      <c r="G154" s="20" t="s">
        <v>400</v>
      </c>
      <c r="H154" s="15" t="s">
        <v>401</v>
      </c>
      <c r="I154" s="15" t="s">
        <v>402</v>
      </c>
      <c r="K154" s="25" t="s">
        <v>387</v>
      </c>
      <c r="L154" s="12">
        <v>9</v>
      </c>
      <c r="M154" s="2">
        <v>8</v>
      </c>
    </row>
    <row r="155" spans="1:13" ht="15.75" thickBot="1">
      <c r="A155" s="13"/>
      <c r="B155" s="14"/>
      <c r="C155" s="14"/>
      <c r="D155" s="14"/>
      <c r="E155" s="18"/>
      <c r="F155" s="22"/>
      <c r="L155" s="12"/>
    </row>
    <row r="156" spans="1:13" ht="15.75" thickBot="1">
      <c r="A156" s="3" t="s">
        <v>413</v>
      </c>
      <c r="B156" s="4" t="s">
        <v>74</v>
      </c>
      <c r="C156" s="4" t="s">
        <v>5</v>
      </c>
      <c r="D156" s="4" t="s">
        <v>3</v>
      </c>
      <c r="E156" s="17" t="s">
        <v>37</v>
      </c>
      <c r="F156" s="22"/>
      <c r="G156" s="22" t="s">
        <v>400</v>
      </c>
      <c r="H156" s="22" t="s">
        <v>401</v>
      </c>
      <c r="I156" s="22" t="s">
        <v>402</v>
      </c>
      <c r="K156" s="25" t="s">
        <v>387</v>
      </c>
      <c r="L156" s="12">
        <v>9</v>
      </c>
      <c r="M156" s="2">
        <v>8</v>
      </c>
    </row>
    <row r="157" spans="1:13" ht="15.75" thickBot="1">
      <c r="A157" s="3" t="s">
        <v>390</v>
      </c>
      <c r="B157" s="4" t="s">
        <v>70</v>
      </c>
      <c r="C157" s="4" t="s">
        <v>10</v>
      </c>
      <c r="D157" s="4" t="s">
        <v>11</v>
      </c>
      <c r="E157" s="17" t="s">
        <v>37</v>
      </c>
      <c r="F157" s="22"/>
      <c r="G157" s="22" t="s">
        <v>400</v>
      </c>
      <c r="H157" s="22" t="s">
        <v>401</v>
      </c>
      <c r="I157" s="22" t="s">
        <v>402</v>
      </c>
      <c r="K157" s="25" t="s">
        <v>387</v>
      </c>
      <c r="L157" s="12">
        <v>9</v>
      </c>
      <c r="M157" s="2">
        <v>8</v>
      </c>
    </row>
    <row r="158" spans="1:13" ht="15.75" thickBot="1">
      <c r="A158" s="3" t="s">
        <v>413</v>
      </c>
      <c r="B158" s="4" t="s">
        <v>183</v>
      </c>
      <c r="C158" s="4" t="s">
        <v>10</v>
      </c>
      <c r="D158" s="4" t="s">
        <v>49</v>
      </c>
      <c r="E158" s="17" t="s">
        <v>37</v>
      </c>
      <c r="F158" s="22"/>
      <c r="G158" s="22" t="s">
        <v>400</v>
      </c>
      <c r="H158" s="22" t="s">
        <v>401</v>
      </c>
      <c r="I158" s="22" t="s">
        <v>402</v>
      </c>
      <c r="K158" s="2">
        <v>2</v>
      </c>
      <c r="L158" s="12">
        <v>1</v>
      </c>
      <c r="M158" s="2" t="s">
        <v>387</v>
      </c>
    </row>
    <row r="159" spans="1:13" ht="15.75" thickBot="1">
      <c r="A159" s="3">
        <v>19</v>
      </c>
      <c r="B159" s="4" t="s">
        <v>39</v>
      </c>
      <c r="C159" s="4" t="s">
        <v>2</v>
      </c>
      <c r="D159" s="4" t="s">
        <v>34</v>
      </c>
      <c r="E159" s="17" t="s">
        <v>37</v>
      </c>
      <c r="F159" s="22"/>
      <c r="G159" s="22" t="s">
        <v>400</v>
      </c>
      <c r="H159" s="22" t="s">
        <v>401</v>
      </c>
      <c r="I159" s="22" t="s">
        <v>402</v>
      </c>
      <c r="K159" s="2">
        <v>2</v>
      </c>
      <c r="L159" s="12">
        <v>1</v>
      </c>
      <c r="M159" s="2" t="s">
        <v>387</v>
      </c>
    </row>
    <row r="160" spans="1:13" ht="15.75" thickBot="1">
      <c r="A160" s="3">
        <v>82</v>
      </c>
      <c r="B160" s="4" t="s">
        <v>50</v>
      </c>
      <c r="C160" s="4" t="s">
        <v>10</v>
      </c>
      <c r="D160" s="4" t="s">
        <v>30</v>
      </c>
      <c r="E160" s="17" t="s">
        <v>37</v>
      </c>
      <c r="F160" s="22"/>
      <c r="G160" s="22" t="s">
        <v>400</v>
      </c>
      <c r="H160" s="22" t="s">
        <v>401</v>
      </c>
      <c r="I160" s="22" t="s">
        <v>402</v>
      </c>
      <c r="K160" s="2">
        <v>9</v>
      </c>
      <c r="L160" s="12">
        <v>8</v>
      </c>
      <c r="M160" s="2">
        <v>7</v>
      </c>
    </row>
    <row r="161" spans="1:13" ht="15.75" thickBot="1">
      <c r="A161" s="3" t="s">
        <v>390</v>
      </c>
      <c r="B161" s="4" t="s">
        <v>428</v>
      </c>
      <c r="C161" s="4" t="s">
        <v>2</v>
      </c>
      <c r="D161" s="4" t="s">
        <v>71</v>
      </c>
      <c r="E161" s="17" t="s">
        <v>37</v>
      </c>
      <c r="F161" s="22"/>
      <c r="G161" s="22" t="s">
        <v>400</v>
      </c>
      <c r="H161" s="22" t="s">
        <v>401</v>
      </c>
      <c r="I161" s="22" t="s">
        <v>402</v>
      </c>
      <c r="K161" s="25" t="s">
        <v>387</v>
      </c>
      <c r="L161" s="12">
        <v>9</v>
      </c>
      <c r="M161" s="2">
        <v>8</v>
      </c>
    </row>
    <row r="162" spans="1:13" ht="15.75" thickBot="1">
      <c r="A162" s="3">
        <v>42</v>
      </c>
      <c r="B162" s="4" t="s">
        <v>44</v>
      </c>
      <c r="C162" s="4" t="s">
        <v>27</v>
      </c>
      <c r="D162" s="4" t="s">
        <v>13</v>
      </c>
      <c r="E162" s="17" t="s">
        <v>37</v>
      </c>
      <c r="F162" s="22"/>
      <c r="G162" s="22" t="s">
        <v>401</v>
      </c>
      <c r="H162" s="22" t="s">
        <v>402</v>
      </c>
      <c r="I162" s="22" t="s">
        <v>387</v>
      </c>
      <c r="K162" s="2">
        <v>5</v>
      </c>
      <c r="L162" s="12">
        <v>4</v>
      </c>
      <c r="M162" s="2" t="s">
        <v>387</v>
      </c>
    </row>
    <row r="163" spans="1:13" ht="15.75" thickBot="1">
      <c r="A163" s="3" t="s">
        <v>413</v>
      </c>
      <c r="B163" s="4" t="s">
        <v>7</v>
      </c>
      <c r="C163" s="4" t="s">
        <v>2</v>
      </c>
      <c r="D163" s="4" t="s">
        <v>21</v>
      </c>
      <c r="E163" s="17" t="s">
        <v>37</v>
      </c>
      <c r="F163" s="22"/>
      <c r="G163" s="22" t="s">
        <v>400</v>
      </c>
      <c r="H163" s="22" t="s">
        <v>401</v>
      </c>
      <c r="I163" s="22" t="s">
        <v>402</v>
      </c>
      <c r="K163" s="2">
        <v>3</v>
      </c>
      <c r="L163" s="12">
        <v>2</v>
      </c>
      <c r="M163" s="2">
        <v>1</v>
      </c>
    </row>
    <row r="164" spans="1:13" ht="15.75" thickBot="1">
      <c r="A164" s="3" t="s">
        <v>413</v>
      </c>
      <c r="B164" s="4" t="s">
        <v>429</v>
      </c>
      <c r="C164" s="4" t="s">
        <v>2</v>
      </c>
      <c r="D164" s="4" t="s">
        <v>35</v>
      </c>
      <c r="E164" s="17" t="s">
        <v>37</v>
      </c>
      <c r="F164" s="22"/>
      <c r="G164" s="22" t="s">
        <v>400</v>
      </c>
      <c r="H164" s="22" t="s">
        <v>401</v>
      </c>
      <c r="I164" s="22" t="s">
        <v>402</v>
      </c>
      <c r="K164" s="2">
        <v>12</v>
      </c>
      <c r="L164" s="12">
        <v>11</v>
      </c>
      <c r="M164" s="2">
        <v>10</v>
      </c>
    </row>
    <row r="165" spans="1:13" ht="15.75" thickBot="1">
      <c r="A165" s="3" t="s">
        <v>390</v>
      </c>
      <c r="B165" s="4" t="s">
        <v>430</v>
      </c>
      <c r="C165" s="4" t="s">
        <v>36</v>
      </c>
      <c r="D165" s="4" t="s">
        <v>21</v>
      </c>
      <c r="E165" s="17" t="s">
        <v>37</v>
      </c>
      <c r="F165" s="22"/>
      <c r="G165" s="22" t="s">
        <v>400</v>
      </c>
      <c r="H165" s="22" t="s">
        <v>401</v>
      </c>
      <c r="I165" s="22" t="s">
        <v>402</v>
      </c>
      <c r="K165" s="25" t="s">
        <v>387</v>
      </c>
      <c r="L165" s="12">
        <v>9</v>
      </c>
      <c r="M165" s="2">
        <v>8</v>
      </c>
    </row>
    <row r="166" spans="1:13" ht="15.75" thickBot="1">
      <c r="A166" s="3" t="s">
        <v>390</v>
      </c>
      <c r="B166" s="4" t="s">
        <v>431</v>
      </c>
      <c r="C166" s="4" t="s">
        <v>5</v>
      </c>
      <c r="D166" s="4" t="s">
        <v>396</v>
      </c>
      <c r="E166" s="17" t="s">
        <v>37</v>
      </c>
      <c r="F166" s="22"/>
      <c r="G166" s="22" t="s">
        <v>400</v>
      </c>
      <c r="H166" s="22" t="s">
        <v>401</v>
      </c>
      <c r="I166" s="22" t="s">
        <v>402</v>
      </c>
      <c r="K166" s="25" t="s">
        <v>387</v>
      </c>
      <c r="L166" s="12">
        <v>9</v>
      </c>
      <c r="M166" s="2">
        <v>8</v>
      </c>
    </row>
    <row r="167" spans="1:13" ht="15.75" thickBot="1">
      <c r="A167" s="3" t="s">
        <v>390</v>
      </c>
      <c r="B167" s="4" t="s">
        <v>432</v>
      </c>
      <c r="C167" s="4" t="s">
        <v>36</v>
      </c>
      <c r="D167" s="4" t="s">
        <v>19</v>
      </c>
      <c r="E167" s="17" t="s">
        <v>37</v>
      </c>
      <c r="F167" s="22"/>
      <c r="G167" s="22" t="s">
        <v>400</v>
      </c>
      <c r="H167" s="22" t="s">
        <v>401</v>
      </c>
      <c r="I167" s="22" t="s">
        <v>402</v>
      </c>
      <c r="K167" s="25" t="s">
        <v>387</v>
      </c>
      <c r="L167" s="12">
        <v>9</v>
      </c>
      <c r="M167" s="2">
        <v>8</v>
      </c>
    </row>
    <row r="168" spans="1:13" ht="15.75" thickBot="1">
      <c r="A168" s="3" t="s">
        <v>390</v>
      </c>
      <c r="B168" s="4" t="s">
        <v>433</v>
      </c>
      <c r="C168" s="4" t="s">
        <v>10</v>
      </c>
      <c r="D168" s="4" t="s">
        <v>73</v>
      </c>
      <c r="E168" s="17" t="s">
        <v>37</v>
      </c>
      <c r="F168" s="22"/>
      <c r="G168" s="22" t="s">
        <v>400</v>
      </c>
      <c r="H168" s="22" t="s">
        <v>401</v>
      </c>
      <c r="I168" s="22" t="s">
        <v>402</v>
      </c>
      <c r="K168" s="25" t="s">
        <v>387</v>
      </c>
      <c r="L168" s="12">
        <v>9</v>
      </c>
      <c r="M168" s="2">
        <v>8</v>
      </c>
    </row>
    <row r="169" spans="1:13" ht="15.75" thickBot="1">
      <c r="A169" s="3" t="s">
        <v>390</v>
      </c>
      <c r="B169" s="4" t="s">
        <v>434</v>
      </c>
      <c r="C169" s="4" t="s">
        <v>10</v>
      </c>
      <c r="D169" s="4" t="s">
        <v>137</v>
      </c>
      <c r="E169" s="17" t="s">
        <v>37</v>
      </c>
      <c r="F169" s="22"/>
      <c r="G169" s="22" t="s">
        <v>400</v>
      </c>
      <c r="H169" s="22" t="s">
        <v>401</v>
      </c>
      <c r="I169" s="22" t="s">
        <v>402</v>
      </c>
      <c r="K169" s="25" t="s">
        <v>387</v>
      </c>
      <c r="L169" s="12">
        <v>9</v>
      </c>
      <c r="M169" s="2">
        <v>8</v>
      </c>
    </row>
    <row r="170" spans="1:13" ht="15.75" thickBot="1">
      <c r="A170" s="3" t="s">
        <v>390</v>
      </c>
      <c r="B170" s="4" t="s">
        <v>65</v>
      </c>
      <c r="C170" s="4" t="s">
        <v>2</v>
      </c>
      <c r="D170" s="4" t="s">
        <v>8</v>
      </c>
      <c r="E170" s="17" t="s">
        <v>37</v>
      </c>
      <c r="F170" s="22"/>
      <c r="G170" s="22" t="s">
        <v>400</v>
      </c>
      <c r="H170" s="22" t="s">
        <v>401</v>
      </c>
      <c r="I170" s="22" t="s">
        <v>402</v>
      </c>
      <c r="K170" s="25" t="s">
        <v>387</v>
      </c>
      <c r="L170" s="12">
        <v>9</v>
      </c>
      <c r="M170" s="2">
        <v>8</v>
      </c>
    </row>
    <row r="171" spans="1:13" ht="15.75" thickBot="1">
      <c r="A171" s="3" t="s">
        <v>390</v>
      </c>
      <c r="B171" s="4" t="s">
        <v>435</v>
      </c>
      <c r="C171" s="4" t="s">
        <v>2</v>
      </c>
      <c r="D171" s="4" t="s">
        <v>23</v>
      </c>
      <c r="E171" s="17" t="s">
        <v>37</v>
      </c>
      <c r="F171" s="22"/>
      <c r="G171" s="22" t="s">
        <v>400</v>
      </c>
      <c r="H171" s="22" t="s">
        <v>401</v>
      </c>
      <c r="I171" s="22" t="s">
        <v>402</v>
      </c>
      <c r="K171" s="25" t="s">
        <v>387</v>
      </c>
      <c r="L171" s="12">
        <v>9</v>
      </c>
      <c r="M171" s="2">
        <v>8</v>
      </c>
    </row>
    <row r="172" spans="1:13" ht="15.75" thickBot="1">
      <c r="A172" s="3"/>
      <c r="B172" s="4"/>
      <c r="C172" s="4"/>
      <c r="D172" s="4"/>
      <c r="E172" s="17"/>
      <c r="F172" s="22"/>
    </row>
    <row r="173" spans="1:13" ht="15.75" thickBot="1">
      <c r="A173" s="3"/>
      <c r="B173" s="4"/>
      <c r="C173" s="4"/>
      <c r="D173" s="4"/>
      <c r="E173" s="17"/>
      <c r="F173" s="22"/>
    </row>
    <row r="174" spans="1:13" ht="15.75" thickBot="1">
      <c r="A174" s="3"/>
      <c r="B174" s="4"/>
      <c r="C174" s="4"/>
      <c r="D174" s="4"/>
      <c r="E174" s="17"/>
      <c r="F174" s="22"/>
    </row>
    <row r="175" spans="1:13" ht="15.75" thickBot="1">
      <c r="A175" s="3"/>
      <c r="B175" s="4"/>
      <c r="C175" s="4"/>
      <c r="D175" s="4"/>
      <c r="E175" s="17"/>
      <c r="F175" s="22"/>
    </row>
    <row r="176" spans="1:13" ht="15.75" thickBot="1">
      <c r="A176" s="3"/>
      <c r="B176" s="4"/>
      <c r="C176" s="4"/>
      <c r="D176" s="4"/>
      <c r="E176" s="17"/>
      <c r="F176" s="22"/>
    </row>
    <row r="177" spans="1:6" ht="15.75" thickBot="1">
      <c r="A177" s="3"/>
      <c r="B177" s="4"/>
      <c r="C177" s="4"/>
      <c r="D177" s="4"/>
      <c r="E177" s="17"/>
      <c r="F177" s="22"/>
    </row>
    <row r="178" spans="1:6" ht="15.75" thickBot="1">
      <c r="A178" s="3"/>
      <c r="B178" s="4"/>
      <c r="C178" s="4"/>
      <c r="D178" s="4"/>
      <c r="E178" s="17"/>
      <c r="F178" s="22"/>
    </row>
    <row r="179" spans="1:6" ht="15.75" thickBot="1">
      <c r="A179" s="3"/>
      <c r="B179" s="4"/>
      <c r="C179" s="4"/>
      <c r="D179" s="4"/>
      <c r="E179" s="17"/>
      <c r="F179" s="22"/>
    </row>
    <row r="180" spans="1:6" ht="15.75" thickBot="1">
      <c r="A180" s="3"/>
      <c r="B180" s="4"/>
      <c r="C180" s="4"/>
      <c r="D180" s="4"/>
      <c r="E180" s="17"/>
      <c r="F180" s="22"/>
    </row>
    <row r="181" spans="1:6" ht="15.75" thickBot="1">
      <c r="A181" s="3"/>
      <c r="B181" s="4"/>
      <c r="C181" s="4"/>
      <c r="D181" s="4"/>
      <c r="E181" s="17"/>
      <c r="F181" s="22"/>
    </row>
    <row r="182" spans="1:6" ht="15.75" thickBot="1">
      <c r="A182" s="3"/>
      <c r="B182" s="4"/>
      <c r="C182" s="4"/>
      <c r="D182" s="4"/>
      <c r="E182" s="17"/>
      <c r="F182" s="22"/>
    </row>
    <row r="183" spans="1:6" ht="15.75" thickBot="1">
      <c r="A183" s="3"/>
      <c r="B183" s="4"/>
      <c r="C183" s="4"/>
      <c r="D183" s="4"/>
      <c r="E183" s="17"/>
      <c r="F183" s="22"/>
    </row>
    <row r="184" spans="1:6" ht="15.75" thickBot="1">
      <c r="A184" s="3"/>
      <c r="B184" s="4"/>
      <c r="C184" s="4"/>
      <c r="D184" s="4"/>
      <c r="E184" s="17"/>
      <c r="F184" s="22"/>
    </row>
    <row r="185" spans="1:6" ht="15.75" thickBot="1">
      <c r="A185" s="3"/>
      <c r="B185" s="4"/>
      <c r="C185" s="4"/>
      <c r="D185" s="4"/>
      <c r="E185" s="17"/>
      <c r="F185" s="22"/>
    </row>
    <row r="186" spans="1:6" ht="15.75" thickBot="1">
      <c r="A186" s="3"/>
      <c r="B186" s="4"/>
      <c r="C186" s="4"/>
      <c r="D186" s="4"/>
      <c r="E186" s="17"/>
      <c r="F186" s="22"/>
    </row>
    <row r="187" spans="1:6" ht="15.75" thickBot="1">
      <c r="A187" s="3"/>
      <c r="B187" s="4"/>
      <c r="C187" s="4"/>
      <c r="D187" s="4"/>
      <c r="E187" s="17"/>
      <c r="F187" s="22"/>
    </row>
    <row r="188" spans="1:6" ht="15.75" thickBot="1">
      <c r="A188" s="3"/>
      <c r="B188" s="4"/>
      <c r="C188" s="4"/>
      <c r="D188" s="4"/>
      <c r="E188" s="17"/>
      <c r="F188" s="22"/>
    </row>
    <row r="189" spans="1:6" ht="15.75" thickBot="1">
      <c r="A189" s="3"/>
      <c r="B189" s="4"/>
      <c r="C189" s="4"/>
      <c r="D189" s="4"/>
      <c r="E189" s="17"/>
      <c r="F189" s="22"/>
    </row>
    <row r="190" spans="1:6" ht="15.75" thickBot="1">
      <c r="A190" s="3"/>
      <c r="B190" s="4"/>
      <c r="C190" s="4"/>
      <c r="D190" s="4"/>
      <c r="E190" s="17"/>
      <c r="F190" s="22"/>
    </row>
    <row r="191" spans="1:6" ht="15.75" thickBot="1">
      <c r="A191" s="3"/>
      <c r="B191" s="4"/>
      <c r="C191" s="4"/>
      <c r="D191" s="4"/>
      <c r="E191" s="17"/>
      <c r="F191" s="22"/>
    </row>
    <row r="192" spans="1:6" ht="15.75" thickBot="1">
      <c r="A192" s="3"/>
      <c r="B192" s="4"/>
      <c r="C192" s="4"/>
      <c r="D192" s="4"/>
      <c r="E192" s="17"/>
      <c r="F192" s="22"/>
    </row>
    <row r="193" spans="1:6" ht="15.75" thickBot="1">
      <c r="A193" s="3"/>
      <c r="B193" s="4"/>
      <c r="C193" s="4"/>
      <c r="D193" s="4"/>
      <c r="E193" s="17"/>
      <c r="F193" s="22"/>
    </row>
    <row r="194" spans="1:6" ht="15.75" thickBot="1">
      <c r="A194" s="3"/>
      <c r="B194" s="4"/>
      <c r="C194" s="4"/>
      <c r="D194" s="4"/>
      <c r="E194" s="17"/>
      <c r="F194" s="22"/>
    </row>
    <row r="195" spans="1:6" ht="15.75" thickBot="1">
      <c r="A195" s="3"/>
      <c r="B195" s="4"/>
      <c r="C195" s="4"/>
      <c r="D195" s="4"/>
      <c r="E195" s="17"/>
      <c r="F195" s="22"/>
    </row>
    <row r="196" spans="1:6" ht="15.75" thickBot="1">
      <c r="A196" s="3"/>
      <c r="B196" s="4"/>
      <c r="C196" s="4"/>
      <c r="D196" s="4"/>
      <c r="E196" s="17"/>
      <c r="F196" s="22"/>
    </row>
    <row r="197" spans="1:6" ht="15.75" thickBot="1">
      <c r="A197" s="3"/>
      <c r="B197" s="4"/>
      <c r="C197" s="4"/>
      <c r="D197" s="4"/>
      <c r="E197" s="17"/>
      <c r="F197" s="22"/>
    </row>
    <row r="198" spans="1:6" ht="15.75" thickBot="1">
      <c r="A198" s="3"/>
      <c r="B198" s="4"/>
      <c r="C198" s="4"/>
      <c r="D198" s="4"/>
      <c r="E198" s="17"/>
      <c r="F198" s="22"/>
    </row>
    <row r="199" spans="1:6" ht="15.75" thickBot="1">
      <c r="A199" s="3"/>
      <c r="B199" s="4"/>
      <c r="C199" s="4"/>
      <c r="D199" s="4"/>
      <c r="E199" s="17"/>
      <c r="F199" s="22"/>
    </row>
    <row r="200" spans="1:6" ht="15.75" thickBot="1">
      <c r="A200" s="3"/>
      <c r="B200" s="4"/>
      <c r="C200" s="4"/>
      <c r="D200" s="4"/>
      <c r="E200" s="17"/>
      <c r="F200" s="22"/>
    </row>
    <row r="201" spans="1:6" ht="15.75" thickBot="1">
      <c r="A201" s="3"/>
      <c r="B201" s="4"/>
      <c r="C201" s="4"/>
      <c r="D201" s="4"/>
      <c r="E201" s="17"/>
      <c r="F201" s="22"/>
    </row>
    <row r="202" spans="1:6" ht="15.75" thickBot="1">
      <c r="A202" s="3"/>
      <c r="B202" s="4"/>
      <c r="C202" s="4"/>
      <c r="D202" s="4"/>
      <c r="E202" s="17"/>
      <c r="F202" s="22"/>
    </row>
    <row r="203" spans="1:6" ht="15.75" thickBot="1">
      <c r="A203" s="3"/>
      <c r="B203" s="4"/>
      <c r="C203" s="4"/>
      <c r="D203" s="4"/>
      <c r="E203" s="17"/>
      <c r="F203" s="22"/>
    </row>
    <row r="204" spans="1:6" ht="15.75" thickBot="1">
      <c r="A204" s="3"/>
      <c r="B204" s="4"/>
      <c r="C204" s="4"/>
      <c r="D204" s="4"/>
      <c r="E204" s="17"/>
      <c r="F204" s="22"/>
    </row>
    <row r="205" spans="1:6" ht="15.75" thickBot="1">
      <c r="A205" s="3"/>
      <c r="B205" s="4"/>
      <c r="C205" s="4"/>
      <c r="D205" s="4"/>
      <c r="E205" s="17"/>
      <c r="F205" s="22"/>
    </row>
    <row r="206" spans="1:6" ht="15.75" thickBot="1">
      <c r="A206" s="3"/>
      <c r="B206" s="4"/>
      <c r="C206" s="4"/>
      <c r="D206" s="4"/>
      <c r="E206" s="17"/>
      <c r="F206" s="22"/>
    </row>
    <row r="207" spans="1:6" ht="15.75" thickBot="1">
      <c r="A207" s="3"/>
      <c r="B207" s="4"/>
      <c r="C207" s="4"/>
      <c r="D207" s="4"/>
      <c r="E207" s="17"/>
      <c r="F207" s="22"/>
    </row>
    <row r="208" spans="1:6" ht="15.75" thickBot="1">
      <c r="A208" s="3"/>
      <c r="B208" s="4"/>
      <c r="C208" s="4"/>
      <c r="D208" s="4"/>
      <c r="E208" s="17"/>
      <c r="F208" s="22"/>
    </row>
    <row r="209" spans="1:6" ht="15.75" thickBot="1">
      <c r="A209" s="3"/>
      <c r="B209" s="4"/>
      <c r="C209" s="4"/>
      <c r="D209" s="4"/>
      <c r="E209" s="17"/>
      <c r="F209" s="22"/>
    </row>
    <row r="210" spans="1:6" ht="15.75" thickBot="1">
      <c r="A210" s="3"/>
      <c r="B210" s="4"/>
      <c r="C210" s="4"/>
      <c r="D210" s="4"/>
      <c r="E210" s="17"/>
      <c r="F210" s="22"/>
    </row>
    <row r="211" spans="1:6" ht="15.75" thickBot="1">
      <c r="A211" s="3"/>
      <c r="B211" s="4"/>
      <c r="C211" s="4"/>
      <c r="D211" s="4"/>
      <c r="E211" s="17"/>
      <c r="F211" s="22"/>
    </row>
    <row r="212" spans="1:6" ht="15.75" thickBot="1">
      <c r="A212" s="3"/>
      <c r="B212" s="4"/>
      <c r="C212" s="4"/>
      <c r="D212" s="4"/>
      <c r="E212" s="17"/>
      <c r="F212" s="22"/>
    </row>
    <row r="213" spans="1:6" ht="15.75" thickBot="1">
      <c r="A213" s="3"/>
      <c r="B213" s="4"/>
      <c r="C213" s="4"/>
      <c r="D213" s="4"/>
      <c r="E213" s="17"/>
      <c r="F213" s="22"/>
    </row>
    <row r="214" spans="1:6" ht="15.75" thickBot="1">
      <c r="A214" s="3"/>
      <c r="B214" s="4"/>
      <c r="C214" s="4"/>
      <c r="D214" s="4"/>
      <c r="E214" s="17"/>
      <c r="F214" s="22"/>
    </row>
    <row r="215" spans="1:6" ht="15.75" thickBot="1">
      <c r="A215" s="3"/>
      <c r="B215" s="4"/>
      <c r="C215" s="4"/>
      <c r="D215" s="4"/>
      <c r="E215" s="17"/>
      <c r="F215" s="22"/>
    </row>
    <row r="216" spans="1:6" ht="15.75" thickBot="1">
      <c r="A216" s="3"/>
      <c r="B216" s="4"/>
      <c r="C216" s="4"/>
      <c r="D216" s="4"/>
      <c r="E216" s="17"/>
      <c r="F216" s="22"/>
    </row>
    <row r="217" spans="1:6" ht="15.75" thickBot="1">
      <c r="A217" s="3"/>
      <c r="B217" s="4"/>
      <c r="C217" s="4"/>
      <c r="D217" s="4"/>
      <c r="E217" s="17"/>
      <c r="F217" s="22"/>
    </row>
    <row r="218" spans="1:6" ht="15.75" thickBot="1">
      <c r="A218" s="3"/>
      <c r="B218" s="4"/>
      <c r="C218" s="4"/>
      <c r="D218" s="4"/>
      <c r="E218" s="17"/>
      <c r="F218" s="22"/>
    </row>
    <row r="219" spans="1:6" ht="15.75" thickBot="1">
      <c r="A219" s="3"/>
      <c r="B219" s="4"/>
      <c r="C219" s="4"/>
      <c r="D219" s="4"/>
      <c r="E219" s="17"/>
      <c r="F219" s="22"/>
    </row>
    <row r="220" spans="1:6" ht="15.75" thickBot="1">
      <c r="A220" s="3"/>
      <c r="B220" s="4"/>
      <c r="C220" s="4"/>
      <c r="D220" s="4"/>
      <c r="E220" s="17"/>
      <c r="F220" s="22"/>
    </row>
    <row r="221" spans="1:6" ht="15.75" thickBot="1">
      <c r="A221" s="3"/>
      <c r="B221" s="4"/>
      <c r="C221" s="4"/>
      <c r="D221" s="4"/>
      <c r="E221" s="17"/>
      <c r="F221" s="22"/>
    </row>
    <row r="222" spans="1:6" ht="15.75" thickBot="1">
      <c r="A222" s="3"/>
      <c r="B222" s="4"/>
      <c r="C222" s="4"/>
      <c r="D222" s="4"/>
      <c r="E222" s="17"/>
      <c r="F222" s="22"/>
    </row>
    <row r="223" spans="1:6" ht="15.75" thickBot="1">
      <c r="A223" s="3"/>
      <c r="B223" s="4"/>
      <c r="C223" s="4"/>
      <c r="D223" s="4"/>
      <c r="E223" s="17"/>
      <c r="F223" s="22"/>
    </row>
    <row r="224" spans="1:6" ht="15.75" thickBot="1">
      <c r="A224" s="3"/>
      <c r="B224" s="4"/>
      <c r="C224" s="4"/>
      <c r="D224" s="4"/>
      <c r="E224" s="17"/>
      <c r="F224" s="22"/>
    </row>
    <row r="225" spans="1:6" ht="15.75" thickBot="1">
      <c r="A225" s="3"/>
      <c r="B225" s="4"/>
      <c r="C225" s="4"/>
      <c r="D225" s="4"/>
      <c r="E225" s="17"/>
      <c r="F225" s="22"/>
    </row>
    <row r="226" spans="1:6" ht="15.75" thickBot="1">
      <c r="A226" s="3"/>
      <c r="B226" s="4"/>
      <c r="C226" s="4"/>
      <c r="D226" s="4"/>
      <c r="E226" s="17"/>
      <c r="F226" s="22"/>
    </row>
    <row r="227" spans="1:6" ht="15.75" thickBot="1">
      <c r="A227" s="3"/>
      <c r="B227" s="4"/>
      <c r="C227" s="4"/>
      <c r="D227" s="4"/>
      <c r="E227" s="17"/>
      <c r="F227" s="22"/>
    </row>
    <row r="228" spans="1:6" ht="15.75" thickBot="1">
      <c r="A228" s="3"/>
      <c r="B228" s="4"/>
      <c r="C228" s="4"/>
      <c r="D228" s="4"/>
      <c r="E228" s="17"/>
      <c r="F228" s="22"/>
    </row>
    <row r="229" spans="1:6" ht="15.75" thickBot="1">
      <c r="A229" s="3"/>
      <c r="B229" s="4"/>
      <c r="C229" s="4"/>
      <c r="D229" s="4"/>
      <c r="E229" s="17"/>
      <c r="F229" s="22"/>
    </row>
    <row r="230" spans="1:6" ht="15.75" thickBot="1">
      <c r="A230" s="3"/>
      <c r="B230" s="4"/>
      <c r="C230" s="4"/>
      <c r="D230" s="4"/>
      <c r="E230" s="17"/>
      <c r="F230" s="22"/>
    </row>
    <row r="231" spans="1:6" ht="15.75" thickBot="1">
      <c r="A231" s="3"/>
      <c r="B231" s="4"/>
      <c r="C231" s="4"/>
      <c r="D231" s="4"/>
      <c r="E231" s="17"/>
      <c r="F231" s="22"/>
    </row>
    <row r="232" spans="1:6" ht="15.75" thickBot="1">
      <c r="A232" s="3"/>
      <c r="B232" s="4"/>
      <c r="C232" s="4"/>
      <c r="D232" s="4"/>
      <c r="E232" s="17"/>
      <c r="F232" s="22"/>
    </row>
    <row r="233" spans="1:6" ht="15.75" thickBot="1">
      <c r="A233" s="3"/>
      <c r="B233" s="4"/>
      <c r="C233" s="4"/>
      <c r="D233" s="4"/>
      <c r="E233" s="17"/>
      <c r="F233" s="22"/>
    </row>
    <row r="234" spans="1:6" ht="15.75" thickBot="1">
      <c r="A234" s="3"/>
      <c r="B234" s="4"/>
      <c r="C234" s="4"/>
      <c r="D234" s="4"/>
      <c r="E234" s="17"/>
      <c r="F234" s="22"/>
    </row>
    <row r="235" spans="1:6" ht="15.75" thickBot="1">
      <c r="A235" s="3"/>
      <c r="B235" s="4"/>
      <c r="C235" s="4"/>
      <c r="D235" s="4"/>
      <c r="E235" s="17"/>
      <c r="F235" s="22"/>
    </row>
    <row r="236" spans="1:6" ht="15.75" thickBot="1">
      <c r="A236" s="3"/>
      <c r="B236" s="4"/>
      <c r="C236" s="4"/>
      <c r="D236" s="4"/>
      <c r="E236" s="17"/>
      <c r="F236" s="22"/>
    </row>
    <row r="237" spans="1:6" ht="15.75" thickBot="1">
      <c r="A237" s="3"/>
      <c r="B237" s="4"/>
      <c r="C237" s="4"/>
      <c r="D237" s="4"/>
      <c r="E237" s="17"/>
      <c r="F237" s="22"/>
    </row>
    <row r="238" spans="1:6" ht="15.75" thickBot="1">
      <c r="A238" s="3"/>
      <c r="B238" s="4"/>
      <c r="C238" s="4"/>
      <c r="D238" s="4"/>
      <c r="E238" s="17"/>
      <c r="F238" s="22"/>
    </row>
    <row r="239" spans="1:6" ht="15.75" thickBot="1">
      <c r="A239" s="3"/>
      <c r="B239" s="4"/>
      <c r="C239" s="4"/>
      <c r="D239" s="4"/>
      <c r="E239" s="17"/>
      <c r="F239" s="22"/>
    </row>
    <row r="240" spans="1:6" ht="15.75" thickBot="1">
      <c r="A240" s="3"/>
      <c r="B240" s="4"/>
      <c r="C240" s="4"/>
      <c r="D240" s="4"/>
      <c r="E240" s="17"/>
      <c r="F240" s="22"/>
    </row>
    <row r="241" spans="1:6" ht="15.75" thickBot="1">
      <c r="A241" s="3"/>
      <c r="B241" s="4"/>
      <c r="C241" s="4"/>
      <c r="D241" s="4"/>
      <c r="E241" s="17"/>
      <c r="F241" s="22"/>
    </row>
    <row r="242" spans="1:6" ht="15.75" thickBot="1">
      <c r="A242" s="3"/>
      <c r="B242" s="4"/>
      <c r="C242" s="4"/>
      <c r="D242" s="4"/>
      <c r="E242" s="17"/>
      <c r="F242" s="22"/>
    </row>
    <row r="243" spans="1:6" ht="15.75" thickBot="1">
      <c r="A243" s="3"/>
      <c r="B243" s="4"/>
      <c r="C243" s="4"/>
      <c r="D243" s="4"/>
      <c r="E243" s="17"/>
      <c r="F243" s="22"/>
    </row>
    <row r="244" spans="1:6" ht="15.75" thickBot="1">
      <c r="A244" s="3"/>
      <c r="B244" s="4"/>
      <c r="C244" s="4"/>
      <c r="D244" s="4"/>
      <c r="E244" s="17"/>
      <c r="F244" s="22"/>
    </row>
    <row r="245" spans="1:6" ht="15.75" thickBot="1">
      <c r="A245" s="3"/>
      <c r="B245" s="4"/>
      <c r="C245" s="4"/>
      <c r="D245" s="4"/>
      <c r="E245" s="17"/>
      <c r="F245" s="22"/>
    </row>
    <row r="246" spans="1:6" ht="15.75" thickBot="1">
      <c r="A246" s="3"/>
      <c r="B246" s="4"/>
      <c r="C246" s="4"/>
      <c r="D246" s="4"/>
      <c r="E246" s="17"/>
      <c r="F246" s="22"/>
    </row>
    <row r="247" spans="1:6" ht="15.75" thickBot="1">
      <c r="A247" s="3"/>
      <c r="B247" s="4"/>
      <c r="C247" s="4"/>
      <c r="D247" s="4"/>
      <c r="E247" s="17"/>
      <c r="F247" s="22"/>
    </row>
    <row r="248" spans="1:6" ht="15.75" thickBot="1">
      <c r="A248" s="3"/>
      <c r="B248" s="4"/>
      <c r="C248" s="4"/>
      <c r="D248" s="4"/>
      <c r="E248" s="17"/>
      <c r="F248" s="22"/>
    </row>
    <row r="249" spans="1:6" ht="15.75" thickBot="1">
      <c r="A249" s="3"/>
      <c r="B249" s="4"/>
      <c r="C249" s="4"/>
      <c r="D249" s="4"/>
      <c r="E249" s="17"/>
      <c r="F249" s="22"/>
    </row>
    <row r="250" spans="1:6" ht="15.75" thickBot="1">
      <c r="A250" s="3"/>
      <c r="B250" s="4"/>
      <c r="C250" s="4"/>
      <c r="D250" s="4"/>
      <c r="E250" s="17"/>
      <c r="F250" s="22"/>
    </row>
    <row r="251" spans="1:6" ht="15.75" thickBot="1">
      <c r="A251" s="3"/>
      <c r="B251" s="4"/>
      <c r="C251" s="4"/>
      <c r="D251" s="4"/>
      <c r="E251" s="17"/>
      <c r="F251" s="22"/>
    </row>
    <row r="252" spans="1:6" ht="15.75" thickBot="1">
      <c r="A252" s="3"/>
      <c r="B252" s="4"/>
      <c r="C252" s="4"/>
      <c r="D252" s="4"/>
      <c r="E252" s="17"/>
      <c r="F252" s="22"/>
    </row>
    <row r="253" spans="1:6" ht="15.75" thickBot="1">
      <c r="A253" s="3"/>
      <c r="B253" s="4"/>
      <c r="C253" s="4"/>
      <c r="D253" s="4"/>
      <c r="E253" s="17"/>
      <c r="F253" s="22"/>
    </row>
    <row r="254" spans="1:6" ht="15.75" thickBot="1">
      <c r="A254" s="3"/>
      <c r="B254" s="4"/>
      <c r="C254" s="4"/>
      <c r="D254" s="4"/>
      <c r="E254" s="17"/>
      <c r="F254" s="22"/>
    </row>
    <row r="255" spans="1:6" ht="15.75" thickBot="1">
      <c r="A255" s="3"/>
      <c r="B255" s="4"/>
      <c r="C255" s="4"/>
      <c r="D255" s="4"/>
      <c r="E255" s="17"/>
      <c r="F255" s="22"/>
    </row>
    <row r="256" spans="1:6" ht="15.75" thickBot="1">
      <c r="A256" s="3"/>
      <c r="B256" s="4"/>
      <c r="C256" s="4"/>
      <c r="D256" s="4"/>
      <c r="E256" s="17"/>
      <c r="F256" s="22"/>
    </row>
    <row r="257" spans="1:6" ht="15.75" thickBot="1">
      <c r="A257" s="3"/>
      <c r="B257" s="4"/>
      <c r="C257" s="4"/>
      <c r="D257" s="4"/>
      <c r="E257" s="17"/>
      <c r="F257" s="22"/>
    </row>
    <row r="258" spans="1:6" ht="15.75" thickBot="1">
      <c r="A258" s="3"/>
      <c r="B258" s="4"/>
      <c r="C258" s="4"/>
      <c r="D258" s="4"/>
      <c r="E258" s="17"/>
      <c r="F258" s="22"/>
    </row>
    <row r="259" spans="1:6" ht="15.75" thickBot="1">
      <c r="A259" s="3"/>
      <c r="B259" s="4"/>
      <c r="C259" s="4"/>
      <c r="D259" s="4"/>
      <c r="E259" s="17"/>
      <c r="F259" s="22"/>
    </row>
    <row r="260" spans="1:6" ht="15.75" thickBot="1">
      <c r="A260" s="3"/>
      <c r="B260" s="4"/>
      <c r="C260" s="4"/>
      <c r="D260" s="4"/>
      <c r="E260" s="17"/>
      <c r="F260" s="22"/>
    </row>
    <row r="261" spans="1:6" ht="15.75" thickBot="1">
      <c r="A261" s="3"/>
      <c r="B261" s="4"/>
      <c r="C261" s="4"/>
      <c r="D261" s="4"/>
      <c r="E261" s="17"/>
      <c r="F261" s="22"/>
    </row>
    <row r="262" spans="1:6" ht="15.75" thickBot="1">
      <c r="A262" s="3"/>
      <c r="B262" s="4"/>
      <c r="C262" s="4"/>
      <c r="D262" s="4"/>
      <c r="E262" s="17"/>
      <c r="F262" s="22"/>
    </row>
    <row r="263" spans="1:6" ht="15.75" thickBot="1">
      <c r="A263" s="3"/>
      <c r="B263" s="4"/>
      <c r="C263" s="4"/>
      <c r="D263" s="4"/>
      <c r="E263" s="17"/>
      <c r="F263" s="22"/>
    </row>
    <row r="264" spans="1:6" ht="15.75" thickBot="1">
      <c r="A264" s="3"/>
      <c r="B264" s="4"/>
      <c r="C264" s="4"/>
      <c r="D264" s="4"/>
      <c r="E264" s="17"/>
      <c r="F264" s="22"/>
    </row>
    <row r="265" spans="1:6" ht="15.75" thickBot="1">
      <c r="A265" s="3"/>
      <c r="B265" s="4"/>
      <c r="C265" s="4"/>
      <c r="D265" s="4"/>
      <c r="E265" s="17"/>
      <c r="F265" s="22"/>
    </row>
    <row r="266" spans="1:6" ht="15.75" thickBot="1">
      <c r="A266" s="3"/>
      <c r="B266" s="4"/>
      <c r="C266" s="4"/>
      <c r="D266" s="4"/>
      <c r="E266" s="17"/>
      <c r="F266" s="22"/>
    </row>
    <row r="267" spans="1:6" ht="15.75" thickBot="1">
      <c r="A267" s="3"/>
      <c r="B267" s="4"/>
      <c r="C267" s="4"/>
      <c r="D267" s="4"/>
      <c r="E267" s="17"/>
      <c r="F267" s="22"/>
    </row>
    <row r="268" spans="1:6" ht="15.75" thickBot="1">
      <c r="A268" s="3"/>
      <c r="B268" s="4"/>
      <c r="C268" s="4"/>
      <c r="D268" s="4"/>
      <c r="E268" s="17"/>
      <c r="F268" s="22"/>
    </row>
    <row r="269" spans="1:6" ht="15.75" thickBot="1">
      <c r="A269" s="3"/>
      <c r="B269" s="4"/>
      <c r="C269" s="4"/>
      <c r="D269" s="4"/>
      <c r="E269" s="17"/>
      <c r="F269" s="22"/>
    </row>
    <row r="270" spans="1:6" ht="15.75" thickBot="1">
      <c r="A270" s="3"/>
      <c r="B270" s="4"/>
      <c r="C270" s="4"/>
      <c r="D270" s="4"/>
      <c r="E270" s="17"/>
      <c r="F270" s="22"/>
    </row>
    <row r="271" spans="1:6" ht="15.75" thickBot="1">
      <c r="A271" s="3"/>
      <c r="B271" s="4"/>
      <c r="C271" s="4"/>
      <c r="D271" s="4"/>
      <c r="E271" s="17"/>
      <c r="F271" s="22"/>
    </row>
    <row r="272" spans="1:6" ht="15.75" thickBot="1">
      <c r="A272" s="3"/>
      <c r="B272" s="4"/>
      <c r="C272" s="4"/>
      <c r="D272" s="4"/>
      <c r="E272" s="17"/>
      <c r="F272" s="22"/>
    </row>
    <row r="273" spans="1:6" ht="15.75" thickBot="1">
      <c r="A273" s="3"/>
      <c r="B273" s="4"/>
      <c r="C273" s="4"/>
      <c r="D273" s="4"/>
      <c r="E273" s="17"/>
      <c r="F273" s="22"/>
    </row>
    <row r="274" spans="1:6" ht="15.75" thickBot="1">
      <c r="A274" s="3"/>
      <c r="B274" s="4"/>
      <c r="C274" s="4"/>
      <c r="D274" s="4"/>
      <c r="E274" s="17"/>
      <c r="F274" s="22"/>
    </row>
    <row r="275" spans="1:6" ht="15.75" thickBot="1">
      <c r="A275" s="3"/>
      <c r="B275" s="4"/>
      <c r="C275" s="4"/>
      <c r="D275" s="4"/>
      <c r="E275" s="17"/>
      <c r="F275" s="22"/>
    </row>
    <row r="276" spans="1:6" ht="15.75" thickBot="1">
      <c r="A276" s="3"/>
      <c r="B276" s="4"/>
      <c r="C276" s="4"/>
      <c r="D276" s="4"/>
      <c r="E276" s="17"/>
      <c r="F276" s="22"/>
    </row>
    <row r="277" spans="1:6" ht="15.75" thickBot="1">
      <c r="A277" s="3"/>
      <c r="B277" s="4"/>
      <c r="C277" s="4"/>
      <c r="D277" s="4"/>
      <c r="E277" s="17"/>
      <c r="F277" s="22"/>
    </row>
    <row r="278" spans="1:6" ht="15.75" thickBot="1">
      <c r="A278" s="3"/>
      <c r="B278" s="4"/>
      <c r="C278" s="4"/>
      <c r="D278" s="4"/>
      <c r="E278" s="17"/>
      <c r="F278" s="22"/>
    </row>
    <row r="279" spans="1:6" ht="15.75" thickBot="1">
      <c r="A279" s="3"/>
      <c r="B279" s="4"/>
      <c r="C279" s="4"/>
      <c r="D279" s="4"/>
      <c r="E279" s="17"/>
      <c r="F279" s="22"/>
    </row>
    <row r="280" spans="1:6" ht="15.75" thickBot="1">
      <c r="A280" s="3"/>
      <c r="B280" s="4"/>
      <c r="C280" s="4"/>
      <c r="D280" s="4"/>
      <c r="E280" s="17"/>
      <c r="F280" s="22"/>
    </row>
    <row r="281" spans="1:6" ht="15.75" thickBot="1">
      <c r="A281" s="3"/>
      <c r="B281" s="4"/>
      <c r="C281" s="4"/>
      <c r="D281" s="4"/>
      <c r="E281" s="17"/>
      <c r="F281" s="22"/>
    </row>
    <row r="282" spans="1:6" ht="15.75" thickBot="1">
      <c r="A282" s="3"/>
      <c r="B282" s="4"/>
      <c r="C282" s="4"/>
      <c r="D282" s="4"/>
      <c r="E282" s="17"/>
      <c r="F282" s="22"/>
    </row>
    <row r="283" spans="1:6" ht="15.75" thickBot="1">
      <c r="A283" s="3"/>
      <c r="B283" s="4"/>
      <c r="C283" s="4"/>
      <c r="D283" s="4"/>
      <c r="E283" s="17"/>
      <c r="F283" s="22"/>
    </row>
    <row r="284" spans="1:6" ht="15.75" thickBot="1">
      <c r="A284" s="3"/>
      <c r="B284" s="4"/>
      <c r="C284" s="4"/>
      <c r="D284" s="4"/>
      <c r="E284" s="17"/>
      <c r="F284" s="22"/>
    </row>
    <row r="285" spans="1:6" ht="15.75" thickBot="1">
      <c r="A285" s="3"/>
      <c r="B285" s="4"/>
      <c r="C285" s="4"/>
      <c r="D285" s="4"/>
      <c r="E285" s="17"/>
      <c r="F285" s="22"/>
    </row>
    <row r="286" spans="1:6" ht="15.75" thickBot="1">
      <c r="A286" s="3"/>
      <c r="B286" s="4"/>
      <c r="C286" s="4"/>
      <c r="D286" s="4"/>
      <c r="E286" s="17"/>
      <c r="F286" s="22"/>
    </row>
    <row r="287" spans="1:6" ht="15.75" thickBot="1">
      <c r="A287" s="3"/>
      <c r="B287" s="4"/>
      <c r="C287" s="4"/>
      <c r="D287" s="4"/>
      <c r="E287" s="17"/>
      <c r="F287" s="22"/>
    </row>
    <row r="288" spans="1:6" ht="15.75" thickBot="1">
      <c r="A288" s="3"/>
      <c r="B288" s="4"/>
      <c r="C288" s="4"/>
      <c r="D288" s="4"/>
      <c r="E288" s="17"/>
      <c r="F288" s="22"/>
    </row>
    <row r="289" spans="1:6" ht="15.75" thickBot="1">
      <c r="A289" s="3"/>
      <c r="B289" s="4"/>
      <c r="C289" s="4"/>
      <c r="D289" s="4"/>
      <c r="E289" s="17"/>
      <c r="F289" s="22"/>
    </row>
    <row r="290" spans="1:6" ht="15.75" thickBot="1">
      <c r="A290" s="3"/>
      <c r="B290" s="4"/>
      <c r="C290" s="4"/>
      <c r="D290" s="4"/>
      <c r="E290" s="17"/>
      <c r="F290" s="22"/>
    </row>
    <row r="291" spans="1:6" ht="15.75" thickBot="1">
      <c r="A291" s="3"/>
      <c r="B291" s="4"/>
      <c r="C291" s="4"/>
      <c r="D291" s="4"/>
      <c r="E291" s="17"/>
      <c r="F291" s="22"/>
    </row>
    <row r="292" spans="1:6" ht="15.75" thickBot="1">
      <c r="A292" s="3"/>
      <c r="B292" s="4"/>
      <c r="C292" s="4"/>
      <c r="D292" s="4"/>
      <c r="E292" s="17"/>
      <c r="F292" s="22"/>
    </row>
    <row r="293" spans="1:6" ht="15.75" thickBot="1">
      <c r="A293" s="3"/>
      <c r="B293" s="4"/>
      <c r="C293" s="4"/>
      <c r="D293" s="4"/>
      <c r="E293" s="17"/>
      <c r="F293" s="22"/>
    </row>
    <row r="294" spans="1:6" ht="15.75" thickBot="1">
      <c r="A294" s="3"/>
      <c r="B294" s="4"/>
      <c r="C294" s="4"/>
      <c r="D294" s="4"/>
      <c r="E294" s="17"/>
      <c r="F294" s="22"/>
    </row>
    <row r="295" spans="1:6" ht="15.75" thickBot="1">
      <c r="A295" s="3"/>
      <c r="B295" s="4"/>
      <c r="C295" s="4"/>
      <c r="D295" s="4"/>
      <c r="E295" s="17"/>
      <c r="F295" s="22"/>
    </row>
    <row r="296" spans="1:6" ht="15.75" thickBot="1">
      <c r="A296" s="3"/>
      <c r="B296" s="4"/>
      <c r="C296" s="4"/>
      <c r="D296" s="4"/>
      <c r="E296" s="17"/>
      <c r="F296" s="22"/>
    </row>
    <row r="297" spans="1:6" ht="15.75" thickBot="1">
      <c r="A297" s="3"/>
      <c r="B297" s="4"/>
      <c r="C297" s="4"/>
      <c r="D297" s="4"/>
      <c r="E297" s="17"/>
      <c r="F297" s="22"/>
    </row>
    <row r="298" spans="1:6" ht="15.75" thickBot="1">
      <c r="A298" s="3"/>
      <c r="B298" s="4"/>
      <c r="C298" s="4"/>
      <c r="D298" s="4"/>
      <c r="E298" s="17"/>
      <c r="F298" s="22"/>
    </row>
    <row r="299" spans="1:6" ht="15.75" thickBot="1">
      <c r="A299" s="3"/>
      <c r="B299" s="4"/>
      <c r="C299" s="4"/>
      <c r="D299" s="4"/>
      <c r="E299" s="17"/>
      <c r="F299" s="22"/>
    </row>
    <row r="300" spans="1:6" ht="15.75" thickBot="1">
      <c r="A300" s="3"/>
      <c r="B300" s="4"/>
      <c r="C300" s="4"/>
      <c r="D300" s="4"/>
      <c r="E300" s="17"/>
      <c r="F300" s="22"/>
    </row>
    <row r="301" spans="1:6" ht="15.75" thickBot="1">
      <c r="A301" s="3"/>
      <c r="B301" s="4"/>
      <c r="C301" s="4"/>
      <c r="D301" s="4"/>
      <c r="E301" s="17"/>
      <c r="F301" s="22"/>
    </row>
    <row r="302" spans="1:6" ht="15.75" thickBot="1">
      <c r="A302" s="3"/>
      <c r="B302" s="4"/>
      <c r="C302" s="4"/>
      <c r="D302" s="4"/>
      <c r="E302" s="17"/>
      <c r="F302" s="22"/>
    </row>
    <row r="303" spans="1:6" ht="15.75" thickBot="1">
      <c r="A303" s="3"/>
      <c r="B303" s="4"/>
      <c r="C303" s="4"/>
      <c r="D303" s="4"/>
      <c r="E303" s="17"/>
      <c r="F303" s="22"/>
    </row>
    <row r="304" spans="1:6" ht="15.75" thickBot="1">
      <c r="A304" s="3"/>
      <c r="B304" s="4"/>
      <c r="C304" s="4"/>
      <c r="D304" s="4"/>
      <c r="E304" s="17"/>
      <c r="F304" s="22"/>
    </row>
    <row r="305" spans="1:6" ht="15.75" thickBot="1">
      <c r="A305" s="3"/>
      <c r="B305" s="4"/>
      <c r="C305" s="4"/>
      <c r="D305" s="4"/>
      <c r="E305" s="17"/>
      <c r="F305" s="22"/>
    </row>
    <row r="306" spans="1:6" ht="15.75" thickBot="1">
      <c r="A306" s="3"/>
      <c r="B306" s="4"/>
      <c r="C306" s="4"/>
      <c r="D306" s="4"/>
      <c r="E306" s="17"/>
      <c r="F306" s="22"/>
    </row>
    <row r="307" spans="1:6" ht="15.75" thickBot="1">
      <c r="A307" s="3"/>
      <c r="B307" s="4"/>
      <c r="C307" s="4"/>
      <c r="D307" s="4"/>
      <c r="E307" s="17"/>
      <c r="F307" s="22"/>
    </row>
    <row r="308" spans="1:6" ht="15.75" thickBot="1">
      <c r="A308" s="3"/>
      <c r="B308" s="4"/>
      <c r="C308" s="4"/>
      <c r="D308" s="4"/>
      <c r="E308" s="17"/>
      <c r="F308" s="22"/>
    </row>
    <row r="309" spans="1:6" ht="15.75" thickBot="1">
      <c r="A309" s="3"/>
      <c r="B309" s="4"/>
      <c r="C309" s="4"/>
      <c r="D309" s="4"/>
      <c r="E309" s="17"/>
      <c r="F309" s="22"/>
    </row>
    <row r="310" spans="1:6" ht="15.75" thickBot="1">
      <c r="A310" s="3"/>
      <c r="B310" s="4"/>
      <c r="C310" s="4"/>
      <c r="D310" s="4"/>
      <c r="E310" s="17"/>
      <c r="F310" s="22"/>
    </row>
    <row r="311" spans="1:6" ht="15.75" thickBot="1">
      <c r="A311" s="3"/>
      <c r="B311" s="4"/>
      <c r="C311" s="4"/>
      <c r="D311" s="4"/>
      <c r="E311" s="17"/>
      <c r="F311" s="22"/>
    </row>
    <row r="312" spans="1:6" ht="15.75" thickBot="1">
      <c r="A312" s="3"/>
      <c r="B312" s="4"/>
      <c r="C312" s="4"/>
      <c r="D312" s="4"/>
      <c r="E312" s="17"/>
      <c r="F312" s="22"/>
    </row>
    <row r="313" spans="1:6" ht="15.75" thickBot="1">
      <c r="A313" s="3"/>
      <c r="B313" s="4"/>
      <c r="C313" s="4"/>
      <c r="D313" s="4"/>
      <c r="E313" s="17"/>
      <c r="F313" s="22"/>
    </row>
    <row r="314" spans="1:6" ht="15.75" thickBot="1">
      <c r="A314" s="3"/>
      <c r="B314" s="4"/>
      <c r="C314" s="4"/>
      <c r="D314" s="4"/>
      <c r="E314" s="17"/>
      <c r="F314" s="22"/>
    </row>
    <row r="315" spans="1:6" ht="15.75" thickBot="1">
      <c r="A315" s="3"/>
      <c r="B315" s="4"/>
      <c r="C315" s="4"/>
      <c r="D315" s="4"/>
      <c r="E315" s="17"/>
      <c r="F315" s="22"/>
    </row>
    <row r="316" spans="1:6" ht="15.75" thickBot="1">
      <c r="A316" s="3"/>
      <c r="B316" s="4"/>
      <c r="C316" s="4"/>
      <c r="D316" s="4"/>
      <c r="E316" s="17"/>
      <c r="F316" s="22"/>
    </row>
    <row r="317" spans="1:6" ht="15.75" thickBot="1">
      <c r="A317" s="3"/>
      <c r="B317" s="4"/>
      <c r="C317" s="4"/>
      <c r="D317" s="4"/>
      <c r="E317" s="17"/>
      <c r="F317" s="22"/>
    </row>
    <row r="318" spans="1:6" ht="15.75" thickBot="1">
      <c r="A318" s="3"/>
      <c r="B318" s="4"/>
      <c r="C318" s="4"/>
      <c r="D318" s="4"/>
      <c r="E318" s="17"/>
      <c r="F318" s="22"/>
    </row>
    <row r="319" spans="1:6" ht="15.75" thickBot="1">
      <c r="A319" s="3"/>
      <c r="B319" s="4"/>
      <c r="C319" s="4"/>
      <c r="D319" s="4"/>
      <c r="E319" s="17"/>
      <c r="F319" s="22"/>
    </row>
    <row r="320" spans="1:6" ht="15.75" thickBot="1">
      <c r="A320" s="3"/>
      <c r="B320" s="4"/>
      <c r="C320" s="4"/>
      <c r="D320" s="4"/>
      <c r="E320" s="17"/>
      <c r="F320" s="22"/>
    </row>
    <row r="321" spans="1:6" ht="15.75" thickBot="1">
      <c r="A321" s="3"/>
      <c r="B321" s="4"/>
      <c r="C321" s="4"/>
      <c r="D321" s="4"/>
      <c r="E321" s="17"/>
      <c r="F321" s="22"/>
    </row>
    <row r="322" spans="1:6" ht="15.75" thickBot="1">
      <c r="A322" s="3"/>
      <c r="B322" s="4"/>
      <c r="C322" s="4"/>
      <c r="D322" s="4"/>
      <c r="E322" s="17"/>
      <c r="F322" s="22"/>
    </row>
    <row r="323" spans="1:6" ht="15.75" thickBot="1">
      <c r="A323" s="3"/>
      <c r="B323" s="4"/>
      <c r="C323" s="4"/>
      <c r="D323" s="4"/>
      <c r="E323" s="17"/>
      <c r="F323" s="22"/>
    </row>
    <row r="324" spans="1:6" ht="15.75" thickBot="1">
      <c r="A324" s="3"/>
      <c r="B324" s="4"/>
      <c r="C324" s="4"/>
      <c r="D324" s="4"/>
      <c r="E324" s="17"/>
      <c r="F324" s="22"/>
    </row>
    <row r="325" spans="1:6" ht="15.75" thickBot="1">
      <c r="A325" s="3"/>
      <c r="B325" s="4"/>
      <c r="C325" s="4"/>
      <c r="D325" s="4"/>
      <c r="E325" s="17"/>
      <c r="F325" s="22"/>
    </row>
    <row r="326" spans="1:6" ht="15.75" thickBot="1">
      <c r="A326" s="3"/>
      <c r="B326" s="4"/>
      <c r="C326" s="4"/>
      <c r="D326" s="4"/>
      <c r="E326" s="17"/>
      <c r="F326" s="22"/>
    </row>
    <row r="327" spans="1:6" ht="15.75" thickBot="1">
      <c r="A327" s="3"/>
      <c r="B327" s="4"/>
      <c r="C327" s="4"/>
      <c r="D327" s="4"/>
      <c r="E327" s="17"/>
      <c r="F327" s="22"/>
    </row>
    <row r="328" spans="1:6" ht="15.75" thickBot="1">
      <c r="A328" s="3"/>
      <c r="B328" s="4"/>
      <c r="C328" s="4"/>
      <c r="D328" s="4"/>
      <c r="E328" s="17"/>
      <c r="F328" s="22"/>
    </row>
    <row r="329" spans="1:6" ht="15.75" thickBot="1">
      <c r="A329" s="3"/>
      <c r="B329" s="4"/>
      <c r="C329" s="4"/>
      <c r="D329" s="4"/>
      <c r="E329" s="17"/>
      <c r="F329" s="22"/>
    </row>
    <row r="330" spans="1:6" ht="15.75" thickBot="1">
      <c r="A330" s="3"/>
      <c r="B330" s="4"/>
      <c r="C330" s="4"/>
      <c r="D330" s="4"/>
      <c r="E330" s="17"/>
      <c r="F330" s="22"/>
    </row>
    <row r="331" spans="1:6" ht="15.75" thickBot="1">
      <c r="A331" s="3"/>
      <c r="B331" s="4"/>
      <c r="C331" s="4"/>
      <c r="D331" s="4"/>
      <c r="E331" s="17"/>
      <c r="F331" s="22"/>
    </row>
    <row r="332" spans="1:6" ht="15.75" thickBot="1">
      <c r="A332" s="3"/>
      <c r="B332" s="4"/>
      <c r="C332" s="4"/>
      <c r="D332" s="4"/>
      <c r="E332" s="17"/>
      <c r="F332" s="22"/>
    </row>
    <row r="333" spans="1:6" ht="15.75" thickBot="1">
      <c r="A333" s="3"/>
      <c r="B333" s="4"/>
      <c r="C333" s="4"/>
      <c r="D333" s="4"/>
      <c r="E333" s="17"/>
      <c r="F333" s="22"/>
    </row>
    <row r="334" spans="1:6" ht="15.75" thickBot="1">
      <c r="A334" s="3"/>
      <c r="B334" s="4"/>
      <c r="C334" s="4"/>
      <c r="D334" s="4"/>
      <c r="E334" s="17"/>
      <c r="F334" s="22"/>
    </row>
    <row r="335" spans="1:6" ht="15.75" thickBot="1">
      <c r="A335" s="3"/>
      <c r="B335" s="4"/>
      <c r="C335" s="4"/>
      <c r="D335" s="4"/>
      <c r="E335" s="17"/>
      <c r="F335" s="22"/>
    </row>
    <row r="336" spans="1:6" ht="15.75" thickBot="1">
      <c r="A336" s="3"/>
      <c r="B336" s="4"/>
      <c r="C336" s="4"/>
      <c r="D336" s="4"/>
      <c r="E336" s="17"/>
      <c r="F336" s="22"/>
    </row>
    <row r="337" spans="1:6" ht="15.75" thickBot="1">
      <c r="A337" s="3"/>
      <c r="B337" s="4"/>
      <c r="C337" s="4"/>
      <c r="D337" s="4"/>
      <c r="E337" s="17"/>
      <c r="F337" s="22"/>
    </row>
    <row r="338" spans="1:6" ht="15.75" thickBot="1">
      <c r="A338" s="3"/>
      <c r="B338" s="4"/>
      <c r="C338" s="4"/>
      <c r="D338" s="4"/>
      <c r="E338" s="17"/>
      <c r="F338" s="22"/>
    </row>
    <row r="339" spans="1:6" ht="15.75" thickBot="1">
      <c r="A339" s="3"/>
      <c r="B339" s="4"/>
      <c r="C339" s="4"/>
      <c r="D339" s="4"/>
      <c r="E339" s="17"/>
      <c r="F339" s="22"/>
    </row>
    <row r="340" spans="1:6" ht="15.75" thickBot="1">
      <c r="A340" s="3"/>
      <c r="B340" s="4"/>
      <c r="C340" s="4"/>
      <c r="D340" s="4"/>
      <c r="E340" s="17"/>
      <c r="F340" s="22"/>
    </row>
    <row r="341" spans="1:6" ht="15.75" thickBot="1">
      <c r="A341" s="3"/>
      <c r="B341" s="4"/>
      <c r="C341" s="4"/>
      <c r="D341" s="4"/>
      <c r="E341" s="17"/>
      <c r="F341" s="22"/>
    </row>
    <row r="342" spans="1:6" ht="15.75" thickBot="1">
      <c r="A342" s="3"/>
      <c r="B342" s="4"/>
      <c r="C342" s="4"/>
      <c r="D342" s="4"/>
      <c r="E342" s="17"/>
      <c r="F342" s="22"/>
    </row>
    <row r="343" spans="1:6" ht="15.75" thickBot="1">
      <c r="A343" s="3"/>
      <c r="B343" s="4"/>
      <c r="C343" s="4"/>
      <c r="D343" s="4"/>
      <c r="E343" s="17"/>
      <c r="F343" s="22"/>
    </row>
    <row r="344" spans="1:6" ht="15.75" thickBot="1">
      <c r="A344" s="3"/>
      <c r="B344" s="4"/>
      <c r="C344" s="4"/>
      <c r="D344" s="4"/>
      <c r="E344" s="17"/>
      <c r="F344" s="22"/>
    </row>
    <row r="345" spans="1:6" ht="15.75" thickBot="1">
      <c r="A345" s="3"/>
      <c r="B345" s="4"/>
      <c r="C345" s="4"/>
      <c r="D345" s="4"/>
      <c r="E345" s="17"/>
      <c r="F345" s="22"/>
    </row>
    <row r="346" spans="1:6" ht="15.75" thickBot="1">
      <c r="A346" s="3"/>
      <c r="B346" s="4"/>
      <c r="C346" s="4"/>
      <c r="D346" s="4"/>
      <c r="E346" s="17"/>
      <c r="F346" s="22"/>
    </row>
    <row r="347" spans="1:6" ht="15.75" thickBot="1">
      <c r="A347" s="3"/>
      <c r="B347" s="4"/>
      <c r="C347" s="4"/>
      <c r="D347" s="4"/>
      <c r="E347" s="17"/>
      <c r="F347" s="22"/>
    </row>
    <row r="348" spans="1:6" ht="15.75" thickBot="1">
      <c r="A348" s="3"/>
      <c r="B348" s="4"/>
      <c r="C348" s="4"/>
      <c r="D348" s="4"/>
      <c r="E348" s="17"/>
      <c r="F348" s="22"/>
    </row>
    <row r="349" spans="1:6" ht="15.75" thickBot="1">
      <c r="A349" s="3"/>
      <c r="B349" s="4"/>
      <c r="C349" s="4"/>
      <c r="D349" s="4"/>
      <c r="E349" s="17"/>
      <c r="F349" s="22"/>
    </row>
    <row r="350" spans="1:6" ht="15.75" thickBot="1">
      <c r="A350" s="3"/>
      <c r="B350" s="4"/>
      <c r="C350" s="4"/>
      <c r="D350" s="4"/>
      <c r="E350" s="17"/>
      <c r="F350" s="22"/>
    </row>
    <row r="351" spans="1:6" ht="15.75" thickBot="1">
      <c r="A351" s="3"/>
      <c r="B351" s="4"/>
      <c r="C351" s="4"/>
      <c r="D351" s="4"/>
      <c r="E351" s="17"/>
      <c r="F351" s="22"/>
    </row>
    <row r="352" spans="1:6" ht="15.75" thickBot="1">
      <c r="A352" s="3"/>
      <c r="B352" s="4"/>
      <c r="C352" s="4"/>
      <c r="D352" s="4"/>
      <c r="E352" s="17"/>
      <c r="F352" s="22"/>
    </row>
    <row r="353" spans="1:6" ht="15.75" thickBot="1">
      <c r="A353" s="3"/>
      <c r="B353" s="4"/>
      <c r="C353" s="4"/>
      <c r="D353" s="4"/>
      <c r="E353" s="17"/>
      <c r="F353" s="22"/>
    </row>
    <row r="354" spans="1:6" ht="15.75" thickBot="1">
      <c r="A354" s="3"/>
      <c r="B354" s="4"/>
      <c r="C354" s="4"/>
      <c r="D354" s="4"/>
      <c r="E354" s="17"/>
      <c r="F354" s="22"/>
    </row>
    <row r="355" spans="1:6" ht="15.75" thickBot="1">
      <c r="A355" s="3"/>
      <c r="B355" s="4"/>
      <c r="C355" s="4"/>
      <c r="D355" s="4"/>
      <c r="E355" s="17"/>
      <c r="F355" s="22"/>
    </row>
    <row r="356" spans="1:6" ht="15.75" thickBot="1">
      <c r="A356" s="3"/>
      <c r="B356" s="4"/>
      <c r="C356" s="4"/>
      <c r="D356" s="4"/>
      <c r="E356" s="17"/>
      <c r="F356" s="22"/>
    </row>
    <row r="357" spans="1:6" ht="15.75" thickBot="1">
      <c r="A357" s="3"/>
      <c r="B357" s="4"/>
      <c r="C357" s="4"/>
      <c r="D357" s="4"/>
      <c r="E357" s="17"/>
      <c r="F357" s="22"/>
    </row>
    <row r="358" spans="1:6" ht="15.75" thickBot="1">
      <c r="A358" s="3"/>
      <c r="B358" s="4"/>
      <c r="C358" s="4"/>
      <c r="D358" s="4"/>
      <c r="E358" s="17"/>
      <c r="F358" s="22"/>
    </row>
    <row r="359" spans="1:6" ht="15.75" thickBot="1">
      <c r="A359" s="3"/>
      <c r="B359" s="4"/>
      <c r="C359" s="4"/>
      <c r="D359" s="4"/>
      <c r="E359" s="17"/>
      <c r="F359" s="22"/>
    </row>
    <row r="360" spans="1:6" ht="15.75" thickBot="1">
      <c r="A360" s="3"/>
      <c r="B360" s="4"/>
      <c r="C360" s="4"/>
      <c r="D360" s="4"/>
      <c r="E360" s="17"/>
      <c r="F360" s="22"/>
    </row>
    <row r="361" spans="1:6" ht="15.75" thickBot="1">
      <c r="A361" s="3"/>
      <c r="B361" s="4"/>
      <c r="C361" s="4"/>
      <c r="D361" s="4"/>
      <c r="E361" s="17"/>
      <c r="F361" s="22"/>
    </row>
    <row r="362" spans="1:6" ht="15.75" thickBot="1">
      <c r="A362" s="3"/>
      <c r="B362" s="4"/>
      <c r="C362" s="4"/>
      <c r="D362" s="4"/>
      <c r="E362" s="17"/>
      <c r="F362" s="22"/>
    </row>
    <row r="363" spans="1:6" ht="15.75" thickBot="1">
      <c r="A363" s="3"/>
      <c r="B363" s="4"/>
      <c r="C363" s="4"/>
      <c r="D363" s="4"/>
      <c r="E363" s="17"/>
      <c r="F363" s="22"/>
    </row>
    <row r="364" spans="1:6" ht="15.75" thickBot="1">
      <c r="A364" s="3"/>
      <c r="B364" s="4"/>
      <c r="C364" s="4"/>
      <c r="D364" s="4"/>
      <c r="E364" s="17"/>
      <c r="F364" s="22"/>
    </row>
    <row r="365" spans="1:6" ht="15.75" thickBot="1">
      <c r="A365" s="3"/>
      <c r="B365" s="4"/>
      <c r="C365" s="4"/>
      <c r="D365" s="4"/>
      <c r="E365" s="17"/>
      <c r="F365" s="22"/>
    </row>
    <row r="366" spans="1:6" ht="15.75" thickBot="1">
      <c r="A366" s="3"/>
      <c r="B366" s="4"/>
      <c r="C366" s="4"/>
      <c r="D366" s="4"/>
      <c r="E366" s="17"/>
      <c r="F366" s="22"/>
    </row>
    <row r="367" spans="1:6" ht="15.75" thickBot="1">
      <c r="A367" s="3"/>
      <c r="B367" s="4"/>
      <c r="C367" s="4"/>
      <c r="D367" s="4"/>
      <c r="E367" s="17"/>
      <c r="F367" s="22"/>
    </row>
    <row r="368" spans="1:6" ht="15.75" thickBot="1">
      <c r="A368" s="3"/>
      <c r="B368" s="4"/>
      <c r="C368" s="4"/>
      <c r="D368" s="4"/>
      <c r="E368" s="17"/>
      <c r="F368" s="22"/>
    </row>
    <row r="369" spans="1:6" ht="15.75" thickBot="1">
      <c r="A369" s="3"/>
      <c r="B369" s="4"/>
      <c r="C369" s="4"/>
      <c r="D369" s="4"/>
      <c r="E369" s="17"/>
      <c r="F369" s="22"/>
    </row>
    <row r="370" spans="1:6" ht="15.75" thickBot="1">
      <c r="A370" s="3"/>
      <c r="B370" s="4"/>
      <c r="C370" s="4"/>
      <c r="D370" s="4"/>
      <c r="E370" s="17"/>
      <c r="F370" s="22"/>
    </row>
    <row r="371" spans="1:6" ht="15.75" thickBot="1">
      <c r="A371" s="3"/>
      <c r="B371" s="4"/>
      <c r="C371" s="4"/>
      <c r="D371" s="4"/>
      <c r="E371" s="17"/>
      <c r="F371" s="22"/>
    </row>
    <row r="372" spans="1:6" ht="15.75" thickBot="1">
      <c r="A372" s="3"/>
      <c r="B372" s="4"/>
      <c r="C372" s="4"/>
      <c r="D372" s="4"/>
      <c r="E372" s="17"/>
      <c r="F372" s="22"/>
    </row>
    <row r="373" spans="1:6" ht="15.75" thickBot="1">
      <c r="A373" s="3"/>
      <c r="B373" s="4"/>
      <c r="C373" s="4"/>
      <c r="D373" s="4"/>
      <c r="E373" s="17"/>
      <c r="F373" s="22"/>
    </row>
    <row r="374" spans="1:6" ht="15.75" thickBot="1">
      <c r="A374" s="3"/>
      <c r="B374" s="4"/>
      <c r="C374" s="4"/>
      <c r="D374" s="4"/>
      <c r="E374" s="17"/>
      <c r="F374" s="22"/>
    </row>
    <row r="375" spans="1:6" ht="15.75" thickBot="1">
      <c r="A375" s="3"/>
      <c r="B375" s="4"/>
      <c r="C375" s="4"/>
      <c r="D375" s="4"/>
      <c r="E375" s="17"/>
      <c r="F375" s="22"/>
    </row>
    <row r="376" spans="1:6" ht="15.75" thickBot="1">
      <c r="A376" s="3"/>
      <c r="B376" s="4"/>
      <c r="C376" s="4"/>
      <c r="D376" s="4"/>
      <c r="E376" s="17"/>
      <c r="F376" s="22"/>
    </row>
    <row r="377" spans="1:6" ht="15.75" thickBot="1">
      <c r="A377" s="3"/>
      <c r="B377" s="4"/>
      <c r="C377" s="4"/>
      <c r="D377" s="4"/>
      <c r="E377" s="17"/>
      <c r="F377" s="22"/>
    </row>
    <row r="378" spans="1:6" ht="15.75" thickBot="1">
      <c r="A378" s="3"/>
      <c r="B378" s="4"/>
      <c r="C378" s="4"/>
      <c r="D378" s="4"/>
      <c r="E378" s="17"/>
      <c r="F378" s="22"/>
    </row>
    <row r="379" spans="1:6" ht="15.75" thickBot="1">
      <c r="A379" s="3"/>
      <c r="B379" s="4"/>
      <c r="C379" s="4"/>
      <c r="D379" s="4"/>
      <c r="E379" s="17"/>
      <c r="F379" s="22"/>
    </row>
    <row r="380" spans="1:6" ht="15.75" thickBot="1">
      <c r="A380" s="3"/>
      <c r="B380" s="4"/>
      <c r="C380" s="4"/>
      <c r="D380" s="4"/>
      <c r="E380" s="17"/>
      <c r="F380" s="22"/>
    </row>
    <row r="381" spans="1:6" ht="15.75" thickBot="1">
      <c r="A381" s="3"/>
      <c r="B381" s="4"/>
      <c r="C381" s="4"/>
      <c r="D381" s="4"/>
      <c r="E381" s="17"/>
      <c r="F381" s="22"/>
    </row>
    <row r="382" spans="1:6" ht="15.75" thickBot="1">
      <c r="A382" s="3"/>
      <c r="B382" s="4"/>
      <c r="C382" s="4"/>
      <c r="D382" s="4"/>
      <c r="E382" s="17"/>
      <c r="F382" s="22"/>
    </row>
    <row r="383" spans="1:6" ht="15.75" thickBot="1">
      <c r="A383" s="3"/>
      <c r="B383" s="4"/>
      <c r="C383" s="4"/>
      <c r="D383" s="4"/>
      <c r="E383" s="17"/>
      <c r="F383" s="22"/>
    </row>
    <row r="384" spans="1:6" ht="15.75" thickBot="1">
      <c r="A384" s="3"/>
      <c r="B384" s="4"/>
      <c r="C384" s="4"/>
      <c r="D384" s="4"/>
      <c r="E384" s="17"/>
      <c r="F384" s="22"/>
    </row>
    <row r="385" spans="1:6" ht="15.75" thickBot="1">
      <c r="A385" s="3"/>
      <c r="B385" s="4"/>
      <c r="C385" s="4"/>
      <c r="D385" s="4"/>
      <c r="E385" s="17"/>
      <c r="F385" s="22"/>
    </row>
    <row r="386" spans="1:6" ht="15.75" thickBot="1">
      <c r="A386" s="3"/>
      <c r="B386" s="4"/>
      <c r="C386" s="4"/>
      <c r="D386" s="4"/>
      <c r="E386" s="17"/>
      <c r="F386" s="22"/>
    </row>
    <row r="387" spans="1:6" ht="15.75" thickBot="1">
      <c r="A387" s="3"/>
      <c r="B387" s="4"/>
      <c r="C387" s="4"/>
      <c r="D387" s="4"/>
      <c r="E387" s="17"/>
      <c r="F387" s="22"/>
    </row>
    <row r="388" spans="1:6" ht="15.75" thickBot="1">
      <c r="A388" s="3"/>
      <c r="B388" s="4"/>
      <c r="C388" s="4"/>
      <c r="D388" s="4"/>
      <c r="E388" s="17"/>
      <c r="F388" s="22"/>
    </row>
    <row r="389" spans="1:6" ht="15.75" thickBot="1">
      <c r="A389" s="3"/>
      <c r="B389" s="4"/>
      <c r="C389" s="4"/>
      <c r="D389" s="4"/>
      <c r="E389" s="17"/>
      <c r="F389" s="22"/>
    </row>
    <row r="390" spans="1:6" ht="15.75" thickBot="1">
      <c r="A390" s="3"/>
      <c r="B390" s="4"/>
      <c r="C390" s="4"/>
      <c r="D390" s="4"/>
      <c r="E390" s="17"/>
      <c r="F390" s="22"/>
    </row>
    <row r="391" spans="1:6" ht="15.75" thickBot="1">
      <c r="A391" s="3"/>
      <c r="B391" s="4"/>
      <c r="C391" s="4"/>
      <c r="D391" s="4"/>
      <c r="E391" s="17"/>
      <c r="F391" s="22"/>
    </row>
    <row r="392" spans="1:6" ht="15.75" thickBot="1">
      <c r="A392" s="3"/>
      <c r="B392" s="4"/>
      <c r="C392" s="4"/>
      <c r="D392" s="4"/>
      <c r="E392" s="17"/>
      <c r="F392" s="22"/>
    </row>
    <row r="393" spans="1:6" ht="15.75" thickBot="1">
      <c r="A393" s="3"/>
      <c r="B393" s="4"/>
      <c r="C393" s="4"/>
      <c r="D393" s="4"/>
      <c r="E393" s="17"/>
      <c r="F393" s="22"/>
    </row>
    <row r="394" spans="1:6" ht="15.75" thickBot="1">
      <c r="A394" s="3"/>
      <c r="B394" s="4"/>
      <c r="C394" s="4"/>
      <c r="D394" s="4"/>
      <c r="E394" s="17"/>
      <c r="F394" s="22"/>
    </row>
    <row r="395" spans="1:6" ht="15.75" thickBot="1">
      <c r="A395" s="3"/>
      <c r="B395" s="4"/>
      <c r="C395" s="4"/>
      <c r="D395" s="4"/>
      <c r="E395" s="17"/>
      <c r="F395" s="22"/>
    </row>
    <row r="396" spans="1:6" ht="15.75" thickBot="1">
      <c r="A396" s="3"/>
      <c r="B396" s="4"/>
      <c r="C396" s="4"/>
      <c r="D396" s="4"/>
      <c r="E396" s="17"/>
      <c r="F396" s="22"/>
    </row>
    <row r="397" spans="1:6" ht="15.75" thickBot="1">
      <c r="A397" s="3"/>
      <c r="B397" s="4"/>
      <c r="C397" s="4"/>
      <c r="D397" s="4"/>
      <c r="E397" s="17"/>
      <c r="F397" s="22"/>
    </row>
    <row r="398" spans="1:6" ht="15.75" thickBot="1">
      <c r="A398" s="3"/>
      <c r="B398" s="4"/>
      <c r="C398" s="4"/>
      <c r="D398" s="4"/>
      <c r="E398" s="17"/>
      <c r="F398" s="22"/>
    </row>
    <row r="399" spans="1:6" ht="15.75" thickBot="1">
      <c r="A399" s="3"/>
      <c r="B399" s="4"/>
      <c r="C399" s="4"/>
      <c r="D399" s="4"/>
      <c r="E399" s="17"/>
      <c r="F399" s="22"/>
    </row>
    <row r="400" spans="1:6" ht="15.75" thickBot="1">
      <c r="A400" s="3"/>
      <c r="B400" s="4"/>
      <c r="C400" s="4"/>
      <c r="D400" s="4"/>
      <c r="E400" s="17"/>
      <c r="F400" s="22"/>
    </row>
    <row r="401" spans="1:6" ht="15.75" thickBot="1">
      <c r="A401" s="3"/>
      <c r="B401" s="4"/>
      <c r="C401" s="4"/>
      <c r="D401" s="4"/>
      <c r="E401" s="17"/>
      <c r="F401" s="22"/>
    </row>
    <row r="402" spans="1:6" ht="15.75" thickBot="1">
      <c r="A402" s="3"/>
      <c r="B402" s="4"/>
      <c r="C402" s="4"/>
      <c r="D402" s="4"/>
      <c r="E402" s="17"/>
      <c r="F402" s="22"/>
    </row>
    <row r="403" spans="1:6" ht="15.75" thickBot="1">
      <c r="A403" s="3"/>
      <c r="B403" s="4"/>
      <c r="C403" s="4"/>
      <c r="D403" s="4"/>
      <c r="E403" s="17"/>
      <c r="F403" s="22"/>
    </row>
    <row r="404" spans="1:6" ht="15.75" thickBot="1">
      <c r="A404" s="3"/>
      <c r="B404" s="4"/>
      <c r="C404" s="4"/>
      <c r="D404" s="4"/>
      <c r="E404" s="17"/>
      <c r="F404" s="22"/>
    </row>
    <row r="405" spans="1:6" ht="15.75" thickBot="1">
      <c r="A405" s="3"/>
      <c r="B405" s="4"/>
      <c r="C405" s="4"/>
      <c r="D405" s="4"/>
      <c r="E405" s="17"/>
      <c r="F405" s="22"/>
    </row>
    <row r="406" spans="1:6" ht="15.75" thickBot="1">
      <c r="A406" s="3"/>
      <c r="B406" s="4"/>
      <c r="C406" s="4"/>
      <c r="D406" s="4"/>
      <c r="E406" s="17"/>
      <c r="F406" s="22"/>
    </row>
    <row r="407" spans="1:6" ht="15.75" thickBot="1">
      <c r="A407" s="3"/>
      <c r="B407" s="4"/>
      <c r="C407" s="4"/>
      <c r="D407" s="4"/>
      <c r="E407" s="17"/>
      <c r="F407" s="22"/>
    </row>
    <row r="408" spans="1:6" ht="15.75" thickBot="1">
      <c r="A408" s="3"/>
      <c r="B408" s="4"/>
      <c r="C408" s="4"/>
      <c r="D408" s="4"/>
      <c r="E408" s="17"/>
      <c r="F408" s="22"/>
    </row>
    <row r="409" spans="1:6" ht="15.75" thickBot="1">
      <c r="A409" s="3"/>
      <c r="B409" s="4"/>
      <c r="C409" s="4"/>
      <c r="D409" s="4"/>
      <c r="E409" s="17"/>
      <c r="F409" s="22"/>
    </row>
    <row r="410" spans="1:6" ht="15.75" thickBot="1">
      <c r="A410" s="3"/>
      <c r="B410" s="4"/>
      <c r="C410" s="4"/>
      <c r="D410" s="4"/>
      <c r="E410" s="17"/>
      <c r="F410" s="22"/>
    </row>
    <row r="411" spans="1:6" ht="15.75" thickBot="1">
      <c r="A411" s="3"/>
      <c r="B411" s="4"/>
      <c r="C411" s="4"/>
      <c r="D411" s="4"/>
      <c r="E411" s="17"/>
      <c r="F411" s="22"/>
    </row>
    <row r="412" spans="1:6" ht="15.75" thickBot="1">
      <c r="A412" s="3"/>
      <c r="B412" s="4"/>
      <c r="C412" s="4"/>
      <c r="D412" s="4"/>
      <c r="E412" s="17"/>
      <c r="F412" s="22"/>
    </row>
    <row r="413" spans="1:6" ht="15.75" thickBot="1">
      <c r="A413" s="3"/>
      <c r="B413" s="4"/>
      <c r="C413" s="4"/>
      <c r="D413" s="4"/>
      <c r="E413" s="17"/>
      <c r="F413" s="22"/>
    </row>
    <row r="414" spans="1:6" ht="15.75" thickBot="1">
      <c r="A414" s="3"/>
      <c r="B414" s="4"/>
      <c r="C414" s="4"/>
      <c r="D414" s="4"/>
      <c r="E414" s="17"/>
      <c r="F414" s="22"/>
    </row>
    <row r="415" spans="1:6" ht="15.75" thickBot="1">
      <c r="A415" s="3"/>
      <c r="B415" s="4"/>
      <c r="C415" s="4"/>
      <c r="D415" s="4"/>
      <c r="E415" s="17"/>
      <c r="F415" s="22"/>
    </row>
    <row r="416" spans="1:6" ht="15.75" thickBot="1">
      <c r="A416" s="3"/>
      <c r="B416" s="4"/>
      <c r="C416" s="4"/>
      <c r="D416" s="4"/>
      <c r="E416" s="17"/>
      <c r="F416" s="22"/>
    </row>
    <row r="417" spans="1:6" ht="15.75" thickBot="1">
      <c r="A417" s="3"/>
      <c r="B417" s="4"/>
      <c r="C417" s="4"/>
      <c r="D417" s="4"/>
      <c r="E417" s="17"/>
      <c r="F417" s="22"/>
    </row>
    <row r="418" spans="1:6" ht="15.75" thickBot="1">
      <c r="A418" s="3"/>
      <c r="B418" s="4"/>
      <c r="C418" s="4"/>
      <c r="D418" s="4"/>
      <c r="E418" s="17"/>
      <c r="F418" s="22"/>
    </row>
    <row r="419" spans="1:6" ht="15.75" thickBot="1">
      <c r="A419" s="3"/>
      <c r="B419" s="4"/>
      <c r="C419" s="4"/>
      <c r="D419" s="4"/>
      <c r="E419" s="17"/>
      <c r="F419" s="22"/>
    </row>
    <row r="420" spans="1:6" ht="15.75" thickBot="1">
      <c r="A420" s="3"/>
      <c r="B420" s="4"/>
      <c r="C420" s="4"/>
      <c r="D420" s="4"/>
      <c r="E420" s="17"/>
      <c r="F420" s="22"/>
    </row>
    <row r="421" spans="1:6" ht="15.75" thickBot="1">
      <c r="A421" s="3"/>
      <c r="B421" s="4"/>
      <c r="C421" s="4"/>
      <c r="D421" s="4"/>
      <c r="E421" s="17"/>
      <c r="F421" s="22"/>
    </row>
    <row r="422" spans="1:6" ht="15.75" thickBot="1">
      <c r="A422" s="3"/>
      <c r="B422" s="4"/>
      <c r="C422" s="4"/>
      <c r="D422" s="4"/>
      <c r="E422" s="17"/>
      <c r="F422" s="22"/>
    </row>
    <row r="423" spans="1:6" ht="15.75" thickBot="1">
      <c r="A423" s="3"/>
      <c r="B423" s="4"/>
      <c r="C423" s="4"/>
      <c r="D423" s="4"/>
      <c r="E423" s="17"/>
      <c r="F423" s="22"/>
    </row>
    <row r="424" spans="1:6" ht="15.75" thickBot="1">
      <c r="A424" s="3"/>
      <c r="B424" s="4"/>
      <c r="C424" s="4"/>
      <c r="D424" s="4"/>
      <c r="E424" s="17"/>
      <c r="F424" s="22"/>
    </row>
    <row r="425" spans="1:6" ht="15.75" thickBot="1">
      <c r="A425" s="3"/>
      <c r="B425" s="4"/>
      <c r="C425" s="4"/>
      <c r="D425" s="4"/>
      <c r="E425" s="17"/>
      <c r="F425" s="22"/>
    </row>
    <row r="426" spans="1:6" ht="15.75" thickBot="1">
      <c r="A426" s="3"/>
      <c r="B426" s="4"/>
      <c r="C426" s="4"/>
      <c r="D426" s="4"/>
      <c r="E426" s="17"/>
      <c r="F426" s="22"/>
    </row>
    <row r="427" spans="1:6" ht="15.75" thickBot="1">
      <c r="A427" s="3"/>
      <c r="B427" s="4"/>
      <c r="C427" s="4"/>
      <c r="D427" s="4"/>
      <c r="E427" s="17"/>
      <c r="F427" s="22"/>
    </row>
    <row r="428" spans="1:6" ht="15.75" thickBot="1">
      <c r="A428" s="3"/>
      <c r="B428" s="4"/>
      <c r="C428" s="4"/>
      <c r="D428" s="4"/>
      <c r="E428" s="17"/>
      <c r="F428" s="22"/>
    </row>
    <row r="429" spans="1:6" ht="15.75" thickBot="1">
      <c r="A429" s="3"/>
      <c r="B429" s="4"/>
      <c r="C429" s="4"/>
      <c r="D429" s="4"/>
      <c r="E429" s="17"/>
      <c r="F429" s="22"/>
    </row>
    <row r="430" spans="1:6" ht="15.75" thickBot="1">
      <c r="A430" s="3"/>
      <c r="B430" s="4"/>
      <c r="C430" s="4"/>
      <c r="D430" s="4"/>
      <c r="E430" s="17"/>
      <c r="F430" s="22"/>
    </row>
    <row r="431" spans="1:6" ht="15.75" thickBot="1">
      <c r="A431" s="3"/>
      <c r="B431" s="4"/>
      <c r="C431" s="4"/>
      <c r="D431" s="4"/>
      <c r="E431" s="17"/>
      <c r="F431" s="22"/>
    </row>
    <row r="432" spans="1:6" ht="15.75" thickBot="1">
      <c r="A432" s="3"/>
      <c r="B432" s="4"/>
      <c r="C432" s="4"/>
      <c r="D432" s="4"/>
      <c r="E432" s="17"/>
      <c r="F432" s="22"/>
    </row>
    <row r="433" spans="1:6" ht="15.75" thickBot="1">
      <c r="A433" s="3"/>
      <c r="B433" s="4"/>
      <c r="C433" s="4"/>
      <c r="D433" s="4"/>
      <c r="E433" s="17"/>
      <c r="F433" s="22"/>
    </row>
    <row r="434" spans="1:6" ht="15.75" thickBot="1">
      <c r="A434" s="3"/>
      <c r="B434" s="4"/>
      <c r="C434" s="4"/>
      <c r="D434" s="4"/>
      <c r="E434" s="17"/>
      <c r="F434" s="22"/>
    </row>
    <row r="435" spans="1:6" ht="15.75" thickBot="1">
      <c r="A435" s="3"/>
      <c r="B435" s="4"/>
      <c r="C435" s="4"/>
      <c r="D435" s="4"/>
      <c r="E435" s="17"/>
      <c r="F435" s="22"/>
    </row>
    <row r="436" spans="1:6" ht="15.75" thickBot="1">
      <c r="A436" s="3"/>
      <c r="B436" s="4"/>
      <c r="C436" s="4"/>
      <c r="D436" s="4"/>
      <c r="E436" s="17"/>
      <c r="F436" s="22"/>
    </row>
    <row r="437" spans="1:6" ht="15.75" thickBot="1">
      <c r="A437" s="3"/>
      <c r="B437" s="4"/>
      <c r="C437" s="4"/>
      <c r="D437" s="4"/>
      <c r="E437" s="17"/>
      <c r="F437" s="22"/>
    </row>
    <row r="438" spans="1:6" ht="15.75" thickBot="1">
      <c r="A438" s="3"/>
      <c r="B438" s="4"/>
      <c r="C438" s="4"/>
      <c r="D438" s="4"/>
      <c r="E438" s="17"/>
      <c r="F438" s="22"/>
    </row>
    <row r="439" spans="1:6" ht="15.75" thickBot="1">
      <c r="A439" s="3"/>
      <c r="B439" s="4"/>
      <c r="C439" s="4"/>
      <c r="D439" s="4"/>
      <c r="E439" s="17"/>
      <c r="F439" s="22"/>
    </row>
    <row r="440" spans="1:6" ht="15.75" thickBot="1">
      <c r="A440" s="3"/>
      <c r="B440" s="4"/>
      <c r="C440" s="4"/>
      <c r="D440" s="4"/>
      <c r="E440" s="17"/>
      <c r="F440" s="22"/>
    </row>
    <row r="441" spans="1:6" ht="15.75" thickBot="1">
      <c r="A441" s="3"/>
      <c r="B441" s="4"/>
      <c r="C441" s="4"/>
      <c r="D441" s="4"/>
      <c r="E441" s="17"/>
      <c r="F441" s="22"/>
    </row>
    <row r="442" spans="1:6" ht="15.75" thickBot="1">
      <c r="A442" s="3"/>
      <c r="B442" s="4"/>
      <c r="C442" s="4"/>
      <c r="D442" s="4"/>
      <c r="E442" s="17"/>
      <c r="F442" s="22"/>
    </row>
    <row r="443" spans="1:6" ht="15.75" thickBot="1">
      <c r="A443" s="3"/>
      <c r="B443" s="4"/>
      <c r="C443" s="4"/>
      <c r="D443" s="4"/>
      <c r="E443" s="17"/>
      <c r="F443" s="22"/>
    </row>
    <row r="444" spans="1:6" ht="15.75" thickBot="1">
      <c r="A444" s="3"/>
      <c r="B444" s="4"/>
      <c r="C444" s="4"/>
      <c r="D444" s="4"/>
      <c r="E444" s="17"/>
      <c r="F444" s="22"/>
    </row>
    <row r="445" spans="1:6" ht="15.75" thickBot="1">
      <c r="A445" s="3"/>
      <c r="B445" s="4"/>
      <c r="C445" s="4"/>
      <c r="D445" s="4"/>
      <c r="E445" s="17"/>
      <c r="F445" s="22"/>
    </row>
    <row r="446" spans="1:6" ht="15.75" thickBot="1">
      <c r="A446" s="3"/>
      <c r="B446" s="4"/>
      <c r="C446" s="4"/>
      <c r="D446" s="4"/>
      <c r="E446" s="17"/>
      <c r="F446" s="22"/>
    </row>
    <row r="447" spans="1:6" ht="15.75" thickBot="1">
      <c r="A447" s="3"/>
      <c r="B447" s="4"/>
      <c r="C447" s="4"/>
      <c r="D447" s="4"/>
      <c r="E447" s="17"/>
      <c r="F447" s="22"/>
    </row>
    <row r="448" spans="1:6" ht="15.75" thickBot="1">
      <c r="A448" s="3"/>
      <c r="B448" s="4"/>
      <c r="C448" s="4"/>
      <c r="D448" s="4"/>
      <c r="E448" s="17"/>
      <c r="F448" s="22"/>
    </row>
    <row r="449" spans="1:6" ht="15.75" thickBot="1">
      <c r="A449" s="3"/>
      <c r="B449" s="4"/>
      <c r="C449" s="4"/>
      <c r="D449" s="4"/>
      <c r="E449" s="17"/>
      <c r="F449" s="22"/>
    </row>
    <row r="450" spans="1:6" ht="15.75" thickBot="1">
      <c r="A450" s="3"/>
      <c r="B450" s="4"/>
      <c r="C450" s="4"/>
      <c r="D450" s="4"/>
      <c r="E450" s="17"/>
      <c r="F450" s="22"/>
    </row>
    <row r="451" spans="1:6" ht="15.75" thickBot="1">
      <c r="A451" s="3"/>
      <c r="B451" s="4"/>
      <c r="C451" s="4"/>
      <c r="D451" s="4"/>
      <c r="E451" s="17"/>
      <c r="F451" s="22"/>
    </row>
    <row r="452" spans="1:6" ht="15.75" thickBot="1">
      <c r="A452" s="3"/>
      <c r="B452" s="4"/>
      <c r="C452" s="4"/>
      <c r="D452" s="4"/>
      <c r="E452" s="17"/>
      <c r="F452" s="22"/>
    </row>
    <row r="453" spans="1:6" ht="15.75" thickBot="1">
      <c r="A453" s="3"/>
      <c r="B453" s="4"/>
      <c r="C453" s="4"/>
      <c r="D453" s="4"/>
      <c r="E453" s="17"/>
      <c r="F453" s="22"/>
    </row>
    <row r="454" spans="1:6" ht="15.75" thickBot="1">
      <c r="A454" s="3"/>
      <c r="B454" s="4"/>
      <c r="C454" s="4"/>
      <c r="D454" s="4"/>
      <c r="E454" s="17"/>
      <c r="F454" s="22"/>
    </row>
    <row r="455" spans="1:6" ht="15.75" thickBot="1">
      <c r="A455" s="3"/>
      <c r="B455" s="4"/>
      <c r="C455" s="4"/>
      <c r="D455" s="4"/>
      <c r="E455" s="17"/>
      <c r="F455" s="22"/>
    </row>
    <row r="456" spans="1:6" ht="15.75" thickBot="1">
      <c r="A456" s="3"/>
      <c r="B456" s="4"/>
      <c r="C456" s="4"/>
      <c r="D456" s="4"/>
      <c r="E456" s="17"/>
      <c r="F456" s="22"/>
    </row>
    <row r="457" spans="1:6" ht="15.75" thickBot="1">
      <c r="A457" s="3"/>
      <c r="B457" s="4"/>
      <c r="C457" s="4"/>
      <c r="D457" s="4"/>
      <c r="E457" s="17"/>
      <c r="F457" s="22"/>
    </row>
    <row r="458" spans="1:6" ht="15.75" thickBot="1">
      <c r="A458" s="3"/>
      <c r="B458" s="4"/>
      <c r="C458" s="4"/>
      <c r="D458" s="4"/>
      <c r="E458" s="17"/>
      <c r="F458" s="22"/>
    </row>
    <row r="459" spans="1:6" ht="15.75" thickBot="1">
      <c r="A459" s="3"/>
      <c r="B459" s="4"/>
      <c r="C459" s="4"/>
      <c r="D459" s="4"/>
      <c r="E459" s="17"/>
      <c r="F459" s="22"/>
    </row>
    <row r="460" spans="1:6" ht="15.75" thickBot="1">
      <c r="A460" s="3"/>
      <c r="B460" s="4"/>
      <c r="C460" s="4"/>
      <c r="D460" s="4"/>
      <c r="E460" s="17"/>
      <c r="F460" s="22"/>
    </row>
    <row r="461" spans="1:6" ht="15.75" thickBot="1">
      <c r="A461" s="3"/>
      <c r="B461" s="4"/>
      <c r="C461" s="4"/>
      <c r="D461" s="4"/>
      <c r="E461" s="17"/>
      <c r="F461" s="22"/>
    </row>
    <row r="462" spans="1:6" ht="15.75" thickBot="1">
      <c r="A462" s="3"/>
      <c r="B462" s="4"/>
      <c r="C462" s="4"/>
      <c r="D462" s="4"/>
      <c r="E462" s="17"/>
      <c r="F462" s="22"/>
    </row>
    <row r="463" spans="1:6" ht="15.75" thickBot="1">
      <c r="A463" s="3"/>
      <c r="B463" s="4"/>
      <c r="C463" s="4"/>
      <c r="D463" s="4"/>
      <c r="E463" s="17"/>
      <c r="F463" s="22"/>
    </row>
    <row r="464" spans="1:6" ht="15.75" thickBot="1">
      <c r="A464" s="3"/>
      <c r="B464" s="4"/>
      <c r="C464" s="4"/>
      <c r="D464" s="4"/>
      <c r="E464" s="17"/>
      <c r="F464" s="22"/>
    </row>
    <row r="465" spans="1:6" ht="15.75" thickBot="1">
      <c r="A465" s="3"/>
      <c r="B465" s="4"/>
      <c r="C465" s="4"/>
      <c r="D465" s="4"/>
      <c r="E465" s="17"/>
      <c r="F465" s="22"/>
    </row>
    <row r="466" spans="1:6" ht="15.75" thickBot="1">
      <c r="A466" s="3"/>
      <c r="B466" s="4"/>
      <c r="C466" s="4"/>
      <c r="D466" s="4"/>
      <c r="E466" s="17"/>
      <c r="F466" s="22"/>
    </row>
    <row r="467" spans="1:6" ht="15.75" thickBot="1">
      <c r="A467" s="3"/>
      <c r="B467" s="4"/>
      <c r="C467" s="4"/>
      <c r="D467" s="4"/>
      <c r="E467" s="17"/>
      <c r="F467" s="22"/>
    </row>
    <row r="468" spans="1:6" ht="15.75" thickBot="1">
      <c r="A468" s="3"/>
      <c r="B468" s="4"/>
      <c r="C468" s="4"/>
      <c r="D468" s="4"/>
      <c r="E468" s="17"/>
      <c r="F468" s="22"/>
    </row>
    <row r="469" spans="1:6" ht="15.75" thickBot="1">
      <c r="A469" s="3"/>
      <c r="B469" s="4"/>
      <c r="C469" s="4"/>
      <c r="D469" s="4"/>
      <c r="E469" s="17"/>
      <c r="F469" s="22"/>
    </row>
    <row r="470" spans="1:6" ht="15.75" thickBot="1">
      <c r="A470" s="3"/>
      <c r="B470" s="4"/>
      <c r="C470" s="4"/>
      <c r="D470" s="4"/>
      <c r="E470" s="17"/>
      <c r="F470" s="22"/>
    </row>
    <row r="471" spans="1:6" ht="15.75" thickBot="1">
      <c r="A471" s="3"/>
      <c r="B471" s="4"/>
      <c r="C471" s="4"/>
      <c r="D471" s="4"/>
      <c r="E471" s="17"/>
      <c r="F471" s="22"/>
    </row>
    <row r="472" spans="1:6" ht="15.75" thickBot="1">
      <c r="A472" s="3"/>
      <c r="B472" s="4"/>
      <c r="C472" s="4"/>
      <c r="D472" s="4"/>
      <c r="E472" s="17"/>
      <c r="F472" s="22"/>
    </row>
    <row r="473" spans="1:6" ht="15.75" thickBot="1">
      <c r="A473" s="3"/>
      <c r="B473" s="4"/>
      <c r="C473" s="4"/>
      <c r="D473" s="4"/>
      <c r="E473" s="17"/>
      <c r="F473" s="22"/>
    </row>
    <row r="474" spans="1:6" ht="15.75" thickBot="1">
      <c r="A474" s="3"/>
      <c r="B474" s="4"/>
      <c r="C474" s="4"/>
      <c r="D474" s="4"/>
      <c r="E474" s="17"/>
      <c r="F474" s="22"/>
    </row>
    <row r="475" spans="1:6" ht="15.75" thickBot="1">
      <c r="A475" s="3"/>
      <c r="B475" s="4"/>
      <c r="C475" s="4"/>
      <c r="D475" s="4"/>
      <c r="E475" s="17"/>
      <c r="F475" s="22"/>
    </row>
    <row r="476" spans="1:6" ht="15.75" thickBot="1">
      <c r="A476" s="3"/>
      <c r="B476" s="4"/>
      <c r="C476" s="4"/>
      <c r="D476" s="4"/>
      <c r="E476" s="17"/>
      <c r="F476" s="22"/>
    </row>
    <row r="477" spans="1:6" ht="15.75" thickBot="1">
      <c r="A477" s="3"/>
      <c r="B477" s="4"/>
      <c r="C477" s="4"/>
      <c r="D477" s="4"/>
      <c r="E477" s="17"/>
      <c r="F477" s="22"/>
    </row>
    <row r="478" spans="1:6" ht="15.75" thickBot="1">
      <c r="A478" s="3"/>
      <c r="B478" s="4"/>
      <c r="C478" s="4"/>
      <c r="D478" s="4"/>
      <c r="E478" s="17"/>
      <c r="F478" s="22"/>
    </row>
    <row r="479" spans="1:6" ht="15.75" thickBot="1">
      <c r="A479" s="3"/>
      <c r="B479" s="4"/>
      <c r="C479" s="4"/>
      <c r="D479" s="4"/>
      <c r="E479" s="17"/>
      <c r="F479" s="22"/>
    </row>
    <row r="480" spans="1:6" ht="15.75" thickBot="1">
      <c r="A480" s="3"/>
      <c r="B480" s="4"/>
      <c r="C480" s="4"/>
      <c r="D480" s="4"/>
      <c r="E480" s="17"/>
      <c r="F480" s="22"/>
    </row>
    <row r="481" spans="1:6" ht="15.75" thickBot="1">
      <c r="A481" s="3"/>
      <c r="B481" s="4"/>
      <c r="C481" s="4"/>
      <c r="D481" s="4"/>
      <c r="E481" s="17"/>
      <c r="F481" s="22"/>
    </row>
    <row r="482" spans="1:6" ht="15.75" thickBot="1">
      <c r="A482" s="3"/>
      <c r="B482" s="4"/>
      <c r="C482" s="4"/>
      <c r="D482" s="4"/>
      <c r="E482" s="17"/>
      <c r="F482" s="22"/>
    </row>
    <row r="483" spans="1:6" ht="15.75" thickBot="1">
      <c r="A483" s="3"/>
      <c r="B483" s="4"/>
      <c r="C483" s="4"/>
      <c r="D483" s="4"/>
      <c r="E483" s="17"/>
      <c r="F483" s="22"/>
    </row>
    <row r="484" spans="1:6" ht="15.75" thickBot="1">
      <c r="A484" s="3"/>
      <c r="B484" s="4"/>
      <c r="C484" s="4"/>
      <c r="D484" s="4"/>
      <c r="E484" s="17"/>
      <c r="F484" s="22"/>
    </row>
    <row r="485" spans="1:6" ht="15.75" thickBot="1">
      <c r="A485" s="3"/>
      <c r="B485" s="4"/>
      <c r="C485" s="4"/>
      <c r="D485" s="4"/>
      <c r="E485" s="17"/>
      <c r="F485" s="22"/>
    </row>
    <row r="486" spans="1:6" ht="15.75" thickBot="1">
      <c r="A486" s="3"/>
      <c r="B486" s="4"/>
      <c r="C486" s="4"/>
      <c r="D486" s="4"/>
      <c r="E486" s="17"/>
      <c r="F486" s="22"/>
    </row>
    <row r="487" spans="1:6" ht="15.75" thickBot="1">
      <c r="A487" s="3"/>
      <c r="B487" s="4"/>
      <c r="C487" s="4"/>
      <c r="D487" s="4"/>
      <c r="E487" s="17"/>
      <c r="F487" s="22"/>
    </row>
    <row r="488" spans="1:6" ht="15.75" thickBot="1">
      <c r="A488" s="3"/>
      <c r="B488" s="4"/>
      <c r="C488" s="4"/>
      <c r="D488" s="4"/>
      <c r="E488" s="17"/>
      <c r="F488" s="22"/>
    </row>
    <row r="489" spans="1:6" ht="15.75" thickBot="1">
      <c r="A489" s="3"/>
      <c r="B489" s="4"/>
      <c r="C489" s="4"/>
      <c r="D489" s="4"/>
      <c r="E489" s="17"/>
      <c r="F489" s="22"/>
    </row>
    <row r="490" spans="1:6" ht="15.75" thickBot="1">
      <c r="A490" s="3"/>
      <c r="B490" s="4"/>
      <c r="C490" s="4"/>
      <c r="D490" s="4"/>
      <c r="E490" s="17"/>
      <c r="F490" s="22"/>
    </row>
    <row r="491" spans="1:6" ht="15.75" thickBot="1">
      <c r="A491" s="3"/>
      <c r="B491" s="4"/>
      <c r="C491" s="4"/>
      <c r="D491" s="4"/>
      <c r="E491" s="17"/>
      <c r="F491" s="22"/>
    </row>
    <row r="492" spans="1:6" ht="15.75" thickBot="1">
      <c r="A492" s="3"/>
      <c r="B492" s="4"/>
      <c r="C492" s="4"/>
      <c r="D492" s="4"/>
      <c r="E492" s="17"/>
      <c r="F492" s="22"/>
    </row>
    <row r="493" spans="1:6" ht="15.75" thickBot="1">
      <c r="A493" s="3"/>
      <c r="B493" s="4"/>
      <c r="C493" s="4"/>
      <c r="D493" s="4"/>
      <c r="E493" s="17"/>
      <c r="F493" s="22"/>
    </row>
    <row r="494" spans="1:6" ht="15.75" thickBot="1">
      <c r="A494" s="3"/>
      <c r="B494" s="4"/>
      <c r="C494" s="4"/>
      <c r="D494" s="4"/>
      <c r="E494" s="17"/>
      <c r="F494" s="22"/>
    </row>
    <row r="495" spans="1:6" ht="15.75" thickBot="1">
      <c r="A495" s="3"/>
      <c r="B495" s="4"/>
      <c r="C495" s="4"/>
      <c r="D495" s="4"/>
      <c r="E495" s="17"/>
      <c r="F495" s="22"/>
    </row>
    <row r="496" spans="1:6" ht="15.75" thickBot="1">
      <c r="A496" s="3"/>
      <c r="B496" s="4"/>
      <c r="C496" s="4"/>
      <c r="D496" s="4"/>
      <c r="E496" s="17"/>
      <c r="F496" s="22"/>
    </row>
    <row r="497" spans="1:6" ht="15.75" thickBot="1">
      <c r="A497" s="3"/>
      <c r="B497" s="4"/>
      <c r="C497" s="4"/>
      <c r="D497" s="4"/>
      <c r="E497" s="17"/>
      <c r="F497" s="22"/>
    </row>
    <row r="498" spans="1:6" ht="15.75" thickBot="1">
      <c r="A498" s="3"/>
      <c r="B498" s="4"/>
      <c r="C498" s="4"/>
      <c r="D498" s="4"/>
      <c r="E498" s="17"/>
      <c r="F498" s="22"/>
    </row>
    <row r="499" spans="1:6" ht="15.75" thickBot="1">
      <c r="A499" s="3"/>
      <c r="B499" s="4"/>
      <c r="C499" s="4"/>
      <c r="D499" s="4"/>
      <c r="E499" s="17"/>
      <c r="F499" s="22"/>
    </row>
    <row r="500" spans="1:6" ht="15.75" thickBot="1">
      <c r="A500" s="3"/>
      <c r="B500" s="4"/>
      <c r="C500" s="4"/>
      <c r="D500" s="4"/>
      <c r="E500" s="17"/>
      <c r="F500" s="22"/>
    </row>
    <row r="501" spans="1:6" ht="15.75" thickBot="1">
      <c r="A501" s="3"/>
      <c r="B501" s="4"/>
      <c r="C501" s="4"/>
      <c r="D501" s="4"/>
      <c r="E501" s="17"/>
      <c r="F501" s="22"/>
    </row>
    <row r="502" spans="1:6" ht="15.75" thickBot="1">
      <c r="A502" s="3"/>
      <c r="B502" s="4"/>
      <c r="C502" s="4"/>
      <c r="D502" s="4"/>
      <c r="E502" s="17"/>
      <c r="F502" s="22"/>
    </row>
    <row r="503" spans="1:6" ht="15.75" thickBot="1">
      <c r="A503" s="3"/>
      <c r="B503" s="4"/>
      <c r="C503" s="4"/>
      <c r="D503" s="4"/>
      <c r="E503" s="17"/>
      <c r="F503" s="22"/>
    </row>
    <row r="504" spans="1:6" ht="15.75" thickBot="1">
      <c r="A504" s="3"/>
      <c r="B504" s="4"/>
      <c r="C504" s="4"/>
      <c r="D504" s="4"/>
      <c r="E504" s="17"/>
      <c r="F504" s="22"/>
    </row>
    <row r="505" spans="1:6" ht="15.75" thickBot="1">
      <c r="A505" s="3"/>
      <c r="B505" s="4"/>
      <c r="C505" s="4"/>
      <c r="D505" s="4"/>
      <c r="E505" s="17"/>
      <c r="F505" s="22"/>
    </row>
    <row r="506" spans="1:6" ht="15.75" thickBot="1">
      <c r="A506" s="3"/>
      <c r="B506" s="4"/>
      <c r="C506" s="4"/>
      <c r="D506" s="4"/>
      <c r="E506" s="17"/>
      <c r="F506" s="22"/>
    </row>
    <row r="507" spans="1:6" ht="15.75" thickBot="1">
      <c r="A507" s="3"/>
      <c r="B507" s="4"/>
      <c r="C507" s="4"/>
      <c r="D507" s="4"/>
      <c r="E507" s="17"/>
      <c r="F507" s="22"/>
    </row>
    <row r="508" spans="1:6" ht="15.75" thickBot="1">
      <c r="A508" s="3"/>
      <c r="B508" s="4"/>
      <c r="C508" s="4"/>
      <c r="D508" s="4"/>
      <c r="E508" s="17"/>
      <c r="F508" s="22"/>
    </row>
    <row r="509" spans="1:6" ht="15.75" thickBot="1">
      <c r="A509" s="3"/>
      <c r="B509" s="4"/>
      <c r="C509" s="4"/>
      <c r="D509" s="4"/>
      <c r="E509" s="17"/>
      <c r="F509" s="22"/>
    </row>
    <row r="510" spans="1:6" ht="15.75" thickBot="1">
      <c r="A510" s="3"/>
      <c r="B510" s="4"/>
      <c r="C510" s="4"/>
      <c r="D510" s="4"/>
      <c r="E510" s="17"/>
      <c r="F510" s="22"/>
    </row>
    <row r="511" spans="1:6" ht="15.75" thickBot="1">
      <c r="A511" s="3"/>
      <c r="B511" s="4"/>
      <c r="C511" s="4"/>
      <c r="D511" s="4"/>
      <c r="E511" s="17"/>
      <c r="F511" s="22"/>
    </row>
    <row r="512" spans="1:6" ht="15.75" thickBot="1">
      <c r="A512" s="3"/>
      <c r="B512" s="4"/>
      <c r="C512" s="4"/>
      <c r="D512" s="4"/>
      <c r="E512" s="17"/>
      <c r="F512" s="22"/>
    </row>
    <row r="513" spans="1:6" ht="15.75" thickBot="1">
      <c r="A513" s="3"/>
      <c r="B513" s="4"/>
      <c r="C513" s="4"/>
      <c r="D513" s="4"/>
      <c r="E513" s="17"/>
      <c r="F513" s="22"/>
    </row>
    <row r="514" spans="1:6" ht="15.75" thickBot="1">
      <c r="A514" s="3"/>
      <c r="B514" s="4"/>
      <c r="C514" s="4"/>
      <c r="D514" s="4"/>
      <c r="E514" s="17"/>
      <c r="F514" s="22"/>
    </row>
    <row r="515" spans="1:6" ht="15.75" thickBot="1">
      <c r="A515" s="3"/>
      <c r="B515" s="4"/>
      <c r="C515" s="4"/>
      <c r="D515" s="4"/>
      <c r="E515" s="17"/>
      <c r="F515" s="22"/>
    </row>
    <row r="516" spans="1:6" ht="15.75" thickBot="1">
      <c r="A516" s="3"/>
      <c r="B516" s="4"/>
      <c r="C516" s="4"/>
      <c r="D516" s="4"/>
      <c r="E516" s="17"/>
      <c r="F516" s="22"/>
    </row>
    <row r="517" spans="1:6" ht="15.75" thickBot="1">
      <c r="A517" s="3"/>
      <c r="B517" s="4"/>
      <c r="C517" s="4"/>
      <c r="D517" s="4"/>
      <c r="E517" s="17"/>
      <c r="F517" s="22"/>
    </row>
    <row r="518" spans="1:6" ht="15.75" thickBot="1">
      <c r="A518" s="3"/>
      <c r="B518" s="4"/>
      <c r="C518" s="4"/>
      <c r="D518" s="4"/>
      <c r="E518" s="17"/>
      <c r="F518" s="22"/>
    </row>
    <row r="519" spans="1:6" ht="15.75" thickBot="1">
      <c r="A519" s="3"/>
      <c r="B519" s="4"/>
      <c r="C519" s="4"/>
      <c r="D519" s="4"/>
      <c r="E519" s="17"/>
      <c r="F519" s="22"/>
    </row>
    <row r="520" spans="1:6" ht="15.75" thickBot="1">
      <c r="A520" s="3"/>
      <c r="B520" s="4"/>
      <c r="C520" s="4"/>
      <c r="D520" s="4"/>
      <c r="E520" s="17"/>
      <c r="F520" s="22"/>
    </row>
    <row r="521" spans="1:6" ht="15.75" thickBot="1">
      <c r="A521" s="3"/>
      <c r="B521" s="4"/>
      <c r="C521" s="4"/>
      <c r="D521" s="4"/>
      <c r="E521" s="17"/>
      <c r="F521" s="22"/>
    </row>
    <row r="522" spans="1:6" ht="15.75" thickBot="1">
      <c r="A522" s="3"/>
      <c r="B522" s="4"/>
      <c r="C522" s="4"/>
      <c r="D522" s="4"/>
      <c r="E522" s="17"/>
      <c r="F522" s="22"/>
    </row>
    <row r="523" spans="1:6" ht="15.75" thickBot="1">
      <c r="A523" s="3"/>
      <c r="B523" s="4"/>
      <c r="C523" s="4"/>
      <c r="D523" s="4"/>
      <c r="E523" s="17"/>
      <c r="F523" s="22"/>
    </row>
    <row r="524" spans="1:6" ht="15.75" thickBot="1">
      <c r="A524" s="3"/>
      <c r="B524" s="4"/>
      <c r="C524" s="4"/>
      <c r="D524" s="4"/>
      <c r="E524" s="17"/>
      <c r="F524" s="22"/>
    </row>
    <row r="525" spans="1:6" ht="15.75" thickBot="1">
      <c r="A525" s="3"/>
      <c r="B525" s="4"/>
      <c r="C525" s="4"/>
      <c r="D525" s="4"/>
      <c r="E525" s="17"/>
      <c r="F525" s="22"/>
    </row>
    <row r="526" spans="1:6" ht="15.75" thickBot="1">
      <c r="A526" s="3"/>
      <c r="B526" s="4"/>
      <c r="C526" s="4"/>
      <c r="D526" s="4"/>
      <c r="E526" s="17"/>
      <c r="F526" s="22"/>
    </row>
    <row r="527" spans="1:6" ht="15.75" thickBot="1">
      <c r="A527" s="3"/>
      <c r="B527" s="4"/>
      <c r="C527" s="4"/>
      <c r="D527" s="4"/>
      <c r="E527" s="17"/>
      <c r="F527" s="22"/>
    </row>
    <row r="528" spans="1:6" ht="15.75" thickBot="1">
      <c r="A528" s="3"/>
      <c r="B528" s="4"/>
      <c r="C528" s="4"/>
      <c r="D528" s="4"/>
      <c r="E528" s="17"/>
      <c r="F528" s="22"/>
    </row>
    <row r="529" spans="1:6" ht="15.75" thickBot="1">
      <c r="A529" s="3"/>
      <c r="B529" s="4"/>
      <c r="C529" s="4"/>
      <c r="D529" s="4"/>
      <c r="E529" s="17"/>
      <c r="F529" s="22"/>
    </row>
    <row r="530" spans="1:6" ht="15.75" thickBot="1">
      <c r="A530" s="3"/>
      <c r="B530" s="4"/>
      <c r="C530" s="4"/>
      <c r="D530" s="4"/>
      <c r="E530" s="17"/>
      <c r="F530" s="22"/>
    </row>
    <row r="531" spans="1:6" ht="15.75" thickBot="1">
      <c r="A531" s="3"/>
      <c r="B531" s="4"/>
      <c r="C531" s="4"/>
      <c r="D531" s="4"/>
      <c r="E531" s="17"/>
      <c r="F531" s="22"/>
    </row>
    <row r="532" spans="1:6" ht="15.75" thickBot="1">
      <c r="A532" s="3"/>
      <c r="B532" s="4"/>
      <c r="C532" s="4"/>
      <c r="D532" s="4"/>
      <c r="E532" s="17"/>
      <c r="F532" s="22"/>
    </row>
    <row r="533" spans="1:6" ht="15.75" thickBot="1">
      <c r="A533" s="3"/>
      <c r="B533" s="4"/>
      <c r="C533" s="4"/>
      <c r="D533" s="4"/>
      <c r="E533" s="17"/>
      <c r="F533" s="22"/>
    </row>
    <row r="534" spans="1:6" ht="15.75" thickBot="1">
      <c r="A534" s="3"/>
      <c r="B534" s="4"/>
      <c r="C534" s="4"/>
      <c r="D534" s="4"/>
      <c r="E534" s="17"/>
      <c r="F534" s="22"/>
    </row>
    <row r="535" spans="1:6" ht="15.75" thickBot="1">
      <c r="A535" s="3"/>
      <c r="B535" s="4"/>
      <c r="C535" s="4"/>
      <c r="D535" s="4"/>
      <c r="E535" s="17"/>
      <c r="F535" s="22"/>
    </row>
    <row r="536" spans="1:6" ht="15.75" thickBot="1">
      <c r="A536" s="3"/>
      <c r="B536" s="4"/>
      <c r="C536" s="4"/>
      <c r="D536" s="4"/>
      <c r="E536" s="17"/>
      <c r="F536" s="22"/>
    </row>
    <row r="537" spans="1:6" ht="15.75" thickBot="1">
      <c r="A537" s="3"/>
      <c r="B537" s="4"/>
      <c r="C537" s="4"/>
      <c r="D537" s="4"/>
      <c r="E537" s="17"/>
      <c r="F537" s="22"/>
    </row>
    <row r="538" spans="1:6" ht="15.75" thickBot="1">
      <c r="A538" s="3"/>
      <c r="B538" s="4"/>
      <c r="C538" s="4"/>
      <c r="D538" s="4"/>
      <c r="E538" s="17"/>
      <c r="F538" s="22"/>
    </row>
    <row r="539" spans="1:6" ht="15.75" thickBot="1">
      <c r="A539" s="3"/>
      <c r="B539" s="4"/>
      <c r="C539" s="4"/>
      <c r="D539" s="4"/>
      <c r="E539" s="17"/>
      <c r="F539" s="22"/>
    </row>
    <row r="540" spans="1:6" ht="15.75" thickBot="1">
      <c r="A540" s="3"/>
      <c r="B540" s="4"/>
      <c r="C540" s="4"/>
      <c r="D540" s="4"/>
      <c r="E540" s="17"/>
      <c r="F540" s="22"/>
    </row>
    <row r="541" spans="1:6" ht="15.75" thickBot="1">
      <c r="A541" s="3"/>
      <c r="B541" s="4"/>
      <c r="C541" s="4"/>
      <c r="D541" s="4"/>
      <c r="E541" s="17"/>
      <c r="F541" s="22"/>
    </row>
    <row r="542" spans="1:6" ht="15.75" thickBot="1">
      <c r="A542" s="3"/>
      <c r="B542" s="4"/>
      <c r="C542" s="4"/>
      <c r="D542" s="4"/>
      <c r="E542" s="17"/>
      <c r="F542" s="22"/>
    </row>
    <row r="543" spans="1:6" ht="15.75" thickBot="1">
      <c r="A543" s="3"/>
      <c r="B543" s="4"/>
      <c r="C543" s="4"/>
      <c r="D543" s="4"/>
      <c r="E543" s="17"/>
      <c r="F543" s="22"/>
    </row>
    <row r="544" spans="1:6" ht="15.75" thickBot="1">
      <c r="A544" s="3"/>
      <c r="B544" s="4"/>
      <c r="C544" s="4"/>
      <c r="D544" s="4"/>
      <c r="E544" s="17"/>
      <c r="F544" s="22"/>
    </row>
    <row r="545" spans="1:6" ht="15.75" thickBot="1">
      <c r="A545" s="3"/>
      <c r="B545" s="4"/>
      <c r="C545" s="4"/>
      <c r="D545" s="4"/>
      <c r="E545" s="17"/>
      <c r="F545" s="22"/>
    </row>
    <row r="546" spans="1:6" ht="15.75" thickBot="1">
      <c r="A546" s="3"/>
      <c r="B546" s="4"/>
      <c r="C546" s="4"/>
      <c r="D546" s="4"/>
      <c r="E546" s="17"/>
      <c r="F546" s="22"/>
    </row>
    <row r="547" spans="1:6" ht="15.75" thickBot="1">
      <c r="A547" s="3"/>
      <c r="B547" s="4"/>
      <c r="C547" s="4"/>
      <c r="D547" s="4"/>
      <c r="E547" s="17"/>
      <c r="F547" s="22"/>
    </row>
    <row r="548" spans="1:6" ht="15.75" thickBot="1">
      <c r="A548" s="3"/>
      <c r="B548" s="4"/>
      <c r="C548" s="4"/>
      <c r="D548" s="4"/>
      <c r="E548" s="17"/>
      <c r="F548" s="22"/>
    </row>
    <row r="549" spans="1:6" ht="15.75" thickBot="1">
      <c r="A549" s="3"/>
      <c r="B549" s="4"/>
      <c r="C549" s="4"/>
      <c r="D549" s="4"/>
      <c r="E549" s="17"/>
      <c r="F549" s="22"/>
    </row>
    <row r="550" spans="1:6" ht="15.75" thickBot="1">
      <c r="A550" s="3"/>
      <c r="B550" s="4"/>
      <c r="C550" s="4"/>
      <c r="D550" s="4"/>
      <c r="E550" s="17"/>
      <c r="F550" s="22"/>
    </row>
    <row r="551" spans="1:6" ht="15.75" thickBot="1">
      <c r="A551" s="3"/>
      <c r="B551" s="4"/>
      <c r="C551" s="4"/>
      <c r="D551" s="4"/>
      <c r="E551" s="17"/>
      <c r="F551" s="22"/>
    </row>
    <row r="552" spans="1:6" ht="15.75" thickBot="1">
      <c r="A552" s="3"/>
      <c r="B552" s="4"/>
      <c r="C552" s="4"/>
      <c r="D552" s="4"/>
      <c r="E552" s="17"/>
      <c r="F552" s="22"/>
    </row>
    <row r="553" spans="1:6" ht="15.75" thickBot="1">
      <c r="A553" s="3"/>
      <c r="B553" s="4"/>
      <c r="C553" s="4"/>
      <c r="D553" s="4"/>
      <c r="E553" s="17"/>
      <c r="F553" s="22"/>
    </row>
    <row r="554" spans="1:6" ht="15.75" thickBot="1">
      <c r="A554" s="3"/>
      <c r="B554" s="4"/>
      <c r="C554" s="4"/>
      <c r="D554" s="4"/>
      <c r="E554" s="17"/>
      <c r="F554" s="22"/>
    </row>
    <row r="555" spans="1:6" ht="15.75" thickBot="1">
      <c r="A555" s="3"/>
      <c r="B555" s="4"/>
      <c r="C555" s="4"/>
      <c r="D555" s="4"/>
      <c r="E555" s="17"/>
      <c r="F555" s="22"/>
    </row>
    <row r="556" spans="1:6" ht="15.75" thickBot="1">
      <c r="A556" s="3"/>
      <c r="B556" s="4"/>
      <c r="C556" s="4"/>
      <c r="D556" s="4"/>
      <c r="E556" s="17"/>
      <c r="F556" s="22"/>
    </row>
    <row r="557" spans="1:6" ht="15.75" thickBot="1">
      <c r="A557" s="3"/>
      <c r="B557" s="4"/>
      <c r="C557" s="4"/>
      <c r="D557" s="4"/>
      <c r="E557" s="17"/>
      <c r="F557" s="22"/>
    </row>
    <row r="558" spans="1:6" ht="15.75" thickBot="1">
      <c r="A558" s="3"/>
      <c r="B558" s="4"/>
      <c r="C558" s="4"/>
      <c r="D558" s="4"/>
      <c r="E558" s="17"/>
      <c r="F558" s="22"/>
    </row>
    <row r="559" spans="1:6" ht="15.75" thickBot="1">
      <c r="A559" s="3"/>
      <c r="B559" s="4"/>
      <c r="C559" s="4"/>
      <c r="D559" s="4"/>
      <c r="E559" s="17"/>
      <c r="F559" s="22"/>
    </row>
    <row r="560" spans="1:6" ht="15.75" thickBot="1">
      <c r="A560" s="3"/>
      <c r="B560" s="4"/>
      <c r="C560" s="4"/>
      <c r="D560" s="4"/>
      <c r="E560" s="17"/>
      <c r="F560" s="22"/>
    </row>
    <row r="561" spans="1:6" ht="15.75" thickBot="1">
      <c r="A561" s="3"/>
      <c r="B561" s="4"/>
      <c r="C561" s="4"/>
      <c r="D561" s="4"/>
      <c r="E561" s="17"/>
      <c r="F561" s="22"/>
    </row>
    <row r="562" spans="1:6" ht="15.75" thickBot="1">
      <c r="A562" s="3"/>
      <c r="B562" s="4"/>
      <c r="C562" s="4"/>
      <c r="D562" s="4"/>
      <c r="E562" s="17"/>
      <c r="F562" s="22"/>
    </row>
    <row r="563" spans="1:6" ht="15.75" thickBot="1">
      <c r="A563" s="3"/>
      <c r="B563" s="4"/>
      <c r="C563" s="4"/>
      <c r="D563" s="4"/>
      <c r="E563" s="17"/>
      <c r="F563" s="22"/>
    </row>
    <row r="564" spans="1:6" ht="15.75" thickBot="1">
      <c r="A564" s="3"/>
      <c r="B564" s="4"/>
      <c r="C564" s="4"/>
      <c r="D564" s="4"/>
      <c r="E564" s="17"/>
      <c r="F564" s="22"/>
    </row>
    <row r="565" spans="1:6" ht="15.75" thickBot="1">
      <c r="A565" s="3"/>
      <c r="B565" s="4"/>
      <c r="C565" s="4"/>
      <c r="D565" s="4"/>
      <c r="E565" s="17"/>
      <c r="F565" s="22"/>
    </row>
    <row r="566" spans="1:6" ht="15.75" thickBot="1">
      <c r="A566" s="3"/>
      <c r="B566" s="4"/>
      <c r="C566" s="4"/>
      <c r="D566" s="4"/>
      <c r="E566" s="17"/>
      <c r="F566" s="22"/>
    </row>
    <row r="567" spans="1:6" ht="15.75" thickBot="1">
      <c r="A567" s="3"/>
      <c r="B567" s="4"/>
      <c r="C567" s="4"/>
      <c r="D567" s="4"/>
      <c r="E567" s="17"/>
      <c r="F567" s="22"/>
    </row>
    <row r="568" spans="1:6" ht="15.75" thickBot="1">
      <c r="A568" s="3"/>
      <c r="B568" s="4"/>
      <c r="C568" s="4"/>
      <c r="D568" s="4"/>
      <c r="E568" s="17"/>
      <c r="F568" s="22"/>
    </row>
    <row r="569" spans="1:6" ht="15.75" thickBot="1">
      <c r="A569" s="3"/>
      <c r="B569" s="4"/>
      <c r="C569" s="4"/>
      <c r="D569" s="4"/>
      <c r="E569" s="17"/>
      <c r="F569" s="22"/>
    </row>
    <row r="570" spans="1:6" ht="15.75" thickBot="1">
      <c r="A570" s="3"/>
      <c r="B570" s="4"/>
      <c r="C570" s="4"/>
      <c r="D570" s="4"/>
      <c r="E570" s="17"/>
      <c r="F570" s="22"/>
    </row>
    <row r="571" spans="1:6" ht="15.75" thickBot="1">
      <c r="A571" s="3"/>
      <c r="B571" s="4"/>
      <c r="C571" s="4"/>
      <c r="D571" s="4"/>
      <c r="E571" s="17"/>
      <c r="F571" s="22"/>
    </row>
    <row r="572" spans="1:6" ht="15.75" thickBot="1">
      <c r="A572" s="3"/>
      <c r="B572" s="4"/>
      <c r="C572" s="4"/>
      <c r="D572" s="4"/>
      <c r="E572" s="17"/>
      <c r="F572" s="22"/>
    </row>
    <row r="573" spans="1:6" ht="15.75" thickBot="1">
      <c r="A573" s="3"/>
      <c r="B573" s="4"/>
      <c r="C573" s="4"/>
      <c r="D573" s="4"/>
      <c r="E573" s="17"/>
      <c r="F573" s="22"/>
    </row>
    <row r="574" spans="1:6" ht="15.75" thickBot="1">
      <c r="A574" s="3"/>
      <c r="B574" s="4"/>
      <c r="C574" s="4"/>
      <c r="D574" s="4"/>
      <c r="E574" s="17"/>
      <c r="F574" s="22"/>
    </row>
    <row r="575" spans="1:6" ht="15.75" thickBot="1">
      <c r="A575" s="3"/>
      <c r="B575" s="4"/>
      <c r="C575" s="4"/>
      <c r="D575" s="4"/>
      <c r="E575" s="17"/>
      <c r="F575" s="22"/>
    </row>
    <row r="576" spans="1:6" ht="15.75" thickBot="1">
      <c r="A576" s="3"/>
      <c r="B576" s="4"/>
      <c r="C576" s="4"/>
      <c r="D576" s="4"/>
      <c r="E576" s="17"/>
      <c r="F576" s="22"/>
    </row>
    <row r="577" spans="1:6" ht="15.75" thickBot="1">
      <c r="A577" s="3"/>
      <c r="B577" s="4"/>
      <c r="C577" s="4"/>
      <c r="D577" s="4"/>
      <c r="E577" s="17"/>
      <c r="F577" s="22"/>
    </row>
    <row r="578" spans="1:6" ht="15.75" thickBot="1">
      <c r="A578" s="3"/>
      <c r="B578" s="4"/>
      <c r="C578" s="4"/>
      <c r="D578" s="4"/>
      <c r="E578" s="17"/>
      <c r="F578" s="22"/>
    </row>
    <row r="579" spans="1:6" ht="15.75" thickBot="1">
      <c r="A579" s="3"/>
      <c r="B579" s="4"/>
      <c r="C579" s="4"/>
      <c r="D579" s="4"/>
      <c r="E579" s="17"/>
      <c r="F579" s="22"/>
    </row>
    <row r="580" spans="1:6" ht="15.75" thickBot="1">
      <c r="A580" s="3"/>
      <c r="B580" s="4"/>
      <c r="C580" s="4"/>
      <c r="D580" s="4"/>
      <c r="E580" s="17"/>
      <c r="F580" s="22"/>
    </row>
    <row r="581" spans="1:6" ht="15.75" thickBot="1">
      <c r="A581" s="3"/>
      <c r="B581" s="4"/>
      <c r="C581" s="4"/>
      <c r="D581" s="4"/>
      <c r="E581" s="17"/>
      <c r="F581" s="22"/>
    </row>
    <row r="582" spans="1:6" ht="15.75" thickBot="1">
      <c r="A582" s="3"/>
      <c r="B582" s="4"/>
      <c r="C582" s="4"/>
      <c r="D582" s="4"/>
      <c r="E582" s="17"/>
      <c r="F582" s="22"/>
    </row>
    <row r="583" spans="1:6" ht="15.75" thickBot="1">
      <c r="A583" s="3"/>
      <c r="B583" s="4"/>
      <c r="C583" s="4"/>
      <c r="D583" s="4"/>
      <c r="E583" s="17"/>
      <c r="F583" s="22"/>
    </row>
    <row r="584" spans="1:6" ht="15.75" thickBot="1">
      <c r="A584" s="3"/>
      <c r="B584" s="4"/>
      <c r="C584" s="4"/>
      <c r="D584" s="4"/>
      <c r="E584" s="17"/>
      <c r="F584" s="22"/>
    </row>
    <row r="585" spans="1:6" ht="15.75" thickBot="1">
      <c r="A585" s="3"/>
      <c r="B585" s="4"/>
      <c r="C585" s="4"/>
      <c r="D585" s="4"/>
      <c r="E585" s="17"/>
      <c r="F585" s="22"/>
    </row>
    <row r="586" spans="1:6" ht="15.75" thickBot="1">
      <c r="A586" s="3"/>
      <c r="B586" s="4"/>
      <c r="C586" s="4"/>
      <c r="D586" s="4"/>
      <c r="E586" s="17"/>
      <c r="F586" s="22"/>
    </row>
    <row r="587" spans="1:6" ht="15.75" thickBot="1">
      <c r="A587" s="3"/>
      <c r="B587" s="4"/>
      <c r="C587" s="4"/>
      <c r="D587" s="4"/>
      <c r="E587" s="17"/>
      <c r="F587" s="22"/>
    </row>
    <row r="588" spans="1:6" ht="15.75" thickBot="1">
      <c r="A588" s="3"/>
      <c r="B588" s="4"/>
      <c r="C588" s="4"/>
      <c r="D588" s="4"/>
      <c r="E588" s="17"/>
      <c r="F588" s="22"/>
    </row>
    <row r="589" spans="1:6" ht="15.75" thickBot="1">
      <c r="A589" s="3"/>
      <c r="B589" s="4"/>
      <c r="C589" s="4"/>
      <c r="D589" s="4"/>
      <c r="E589" s="17"/>
      <c r="F589" s="22"/>
    </row>
    <row r="590" spans="1:6" ht="15.75" thickBot="1">
      <c r="A590" s="3"/>
      <c r="B590" s="4"/>
      <c r="C590" s="4"/>
      <c r="D590" s="4"/>
      <c r="E590" s="17"/>
      <c r="F590" s="22"/>
    </row>
    <row r="591" spans="1:6" ht="15.75" thickBot="1">
      <c r="A591" s="3"/>
      <c r="B591" s="4"/>
      <c r="C591" s="4"/>
      <c r="D591" s="4"/>
      <c r="E591" s="17"/>
      <c r="F591" s="22"/>
    </row>
    <row r="592" spans="1:6" ht="15.75" thickBot="1">
      <c r="A592" s="3"/>
      <c r="B592" s="4"/>
      <c r="C592" s="4"/>
      <c r="D592" s="4"/>
      <c r="E592" s="17"/>
      <c r="F592" s="22"/>
    </row>
    <row r="593" spans="1:6" ht="15.75" thickBot="1">
      <c r="A593" s="3"/>
      <c r="B593" s="4"/>
      <c r="C593" s="4"/>
      <c r="D593" s="4"/>
      <c r="E593" s="17"/>
      <c r="F593" s="22"/>
    </row>
    <row r="594" spans="1:6" ht="15.75" thickBot="1">
      <c r="A594" s="3"/>
      <c r="B594" s="4"/>
      <c r="C594" s="4"/>
      <c r="D594" s="4"/>
      <c r="E594" s="17"/>
      <c r="F594" s="22"/>
    </row>
    <row r="595" spans="1:6" ht="15.75" thickBot="1">
      <c r="A595" s="3"/>
      <c r="B595" s="4"/>
      <c r="C595" s="4"/>
      <c r="D595" s="4"/>
      <c r="E595" s="17"/>
      <c r="F595" s="22"/>
    </row>
    <row r="596" spans="1:6" ht="15.75" thickBot="1">
      <c r="A596" s="3"/>
      <c r="B596" s="4"/>
      <c r="C596" s="4"/>
      <c r="D596" s="4"/>
      <c r="E596" s="17"/>
      <c r="F596" s="22"/>
    </row>
    <row r="597" spans="1:6" ht="15.75" thickBot="1">
      <c r="A597" s="3"/>
      <c r="B597" s="4"/>
      <c r="C597" s="4"/>
      <c r="D597" s="4"/>
      <c r="E597" s="17"/>
      <c r="F597" s="22"/>
    </row>
    <row r="598" spans="1:6" ht="15.75" thickBot="1">
      <c r="A598" s="3"/>
      <c r="B598" s="4"/>
      <c r="C598" s="4"/>
      <c r="D598" s="4"/>
      <c r="E598" s="17"/>
      <c r="F598" s="22"/>
    </row>
    <row r="599" spans="1:6" ht="15.75" thickBot="1">
      <c r="A599" s="3"/>
      <c r="B599" s="4"/>
      <c r="C599" s="4"/>
      <c r="D599" s="4"/>
      <c r="E599" s="17"/>
      <c r="F599" s="22"/>
    </row>
    <row r="600" spans="1:6" ht="15.75" thickBot="1">
      <c r="A600" s="3"/>
      <c r="B600" s="4"/>
      <c r="C600" s="4"/>
      <c r="D600" s="4"/>
      <c r="E600" s="17"/>
      <c r="F600" s="22"/>
    </row>
    <row r="601" spans="1:6" ht="15.75" thickBot="1">
      <c r="A601" s="3"/>
      <c r="B601" s="4"/>
      <c r="C601" s="4"/>
      <c r="D601" s="4"/>
      <c r="E601" s="17"/>
      <c r="F601" s="22"/>
    </row>
    <row r="602" spans="1:6" ht="15.75" thickBot="1">
      <c r="A602" s="3"/>
      <c r="B602" s="4"/>
      <c r="C602" s="4"/>
      <c r="D602" s="4"/>
      <c r="E602" s="17"/>
      <c r="F602" s="22"/>
    </row>
    <row r="603" spans="1:6" ht="15.75" thickBot="1">
      <c r="A603" s="3"/>
      <c r="B603" s="4"/>
      <c r="C603" s="4"/>
      <c r="D603" s="4"/>
      <c r="E603" s="17"/>
      <c r="F603" s="22"/>
    </row>
    <row r="604" spans="1:6" ht="15.75" thickBot="1">
      <c r="A604" s="3"/>
      <c r="B604" s="4"/>
      <c r="C604" s="4"/>
      <c r="D604" s="4"/>
      <c r="E604" s="17"/>
      <c r="F604" s="22"/>
    </row>
    <row r="605" spans="1:6" ht="15.75" thickBot="1">
      <c r="A605" s="3"/>
      <c r="B605" s="4"/>
      <c r="C605" s="4"/>
      <c r="D605" s="4"/>
      <c r="E605" s="17"/>
      <c r="F605" s="22"/>
    </row>
    <row r="606" spans="1:6" ht="15.75" thickBot="1">
      <c r="A606" s="3"/>
      <c r="B606" s="4"/>
      <c r="C606" s="4"/>
      <c r="D606" s="4"/>
      <c r="E606" s="17"/>
      <c r="F606" s="22"/>
    </row>
    <row r="607" spans="1:6" ht="15.75" thickBot="1">
      <c r="A607" s="3"/>
      <c r="B607" s="4"/>
      <c r="C607" s="4"/>
      <c r="D607" s="4"/>
      <c r="E607" s="17"/>
      <c r="F607" s="22"/>
    </row>
    <row r="608" spans="1:6" ht="15.75" thickBot="1">
      <c r="A608" s="3"/>
      <c r="B608" s="4"/>
      <c r="C608" s="4"/>
      <c r="D608" s="4"/>
      <c r="E608" s="17"/>
      <c r="F608" s="22"/>
    </row>
    <row r="609" spans="1:6" ht="15.75" thickBot="1">
      <c r="A609" s="3"/>
      <c r="B609" s="4"/>
      <c r="C609" s="4"/>
      <c r="D609" s="4"/>
      <c r="E609" s="17"/>
      <c r="F609" s="22"/>
    </row>
    <row r="610" spans="1:6" ht="15.75" thickBot="1">
      <c r="A610" s="3"/>
      <c r="B610" s="4"/>
      <c r="C610" s="4"/>
      <c r="D610" s="4"/>
      <c r="E610" s="17"/>
      <c r="F610" s="22"/>
    </row>
    <row r="611" spans="1:6" ht="15.75" thickBot="1">
      <c r="A611" s="3"/>
      <c r="B611" s="4"/>
      <c r="C611" s="4"/>
      <c r="D611" s="4"/>
      <c r="E611" s="17"/>
      <c r="F611" s="22"/>
    </row>
    <row r="612" spans="1:6" ht="15.75" thickBot="1">
      <c r="A612" s="3"/>
      <c r="B612" s="4"/>
      <c r="C612" s="4"/>
      <c r="D612" s="4"/>
      <c r="E612" s="17"/>
      <c r="F612" s="22"/>
    </row>
    <row r="613" spans="1:6" ht="15.75" thickBot="1">
      <c r="A613" s="3"/>
      <c r="B613" s="4"/>
      <c r="C613" s="4"/>
      <c r="D613" s="4"/>
      <c r="E613" s="17"/>
      <c r="F613" s="22"/>
    </row>
    <row r="614" spans="1:6" ht="15.75" thickBot="1">
      <c r="A614" s="3"/>
      <c r="B614" s="4"/>
      <c r="C614" s="4"/>
      <c r="D614" s="4"/>
      <c r="E614" s="17"/>
      <c r="F614" s="22"/>
    </row>
    <row r="615" spans="1:6" ht="15.75" thickBot="1">
      <c r="A615" s="3"/>
      <c r="B615" s="4"/>
      <c r="C615" s="4"/>
      <c r="D615" s="4"/>
      <c r="E615" s="17"/>
      <c r="F615" s="22"/>
    </row>
    <row r="616" spans="1:6" ht="15.75" thickBot="1">
      <c r="A616" s="3"/>
      <c r="B616" s="4"/>
      <c r="C616" s="4"/>
      <c r="D616" s="4"/>
      <c r="E616" s="17"/>
      <c r="F616" s="22"/>
    </row>
    <row r="617" spans="1:6" ht="15.75" thickBot="1">
      <c r="A617" s="3"/>
      <c r="B617" s="4"/>
      <c r="C617" s="4"/>
      <c r="D617" s="4"/>
      <c r="E617" s="17"/>
      <c r="F617" s="22"/>
    </row>
    <row r="618" spans="1:6" ht="15.75" thickBot="1">
      <c r="A618" s="3"/>
      <c r="B618" s="4"/>
      <c r="C618" s="4"/>
      <c r="D618" s="4"/>
      <c r="E618" s="17"/>
      <c r="F618" s="22"/>
    </row>
    <row r="619" spans="1:6" ht="15.75" thickBot="1">
      <c r="A619" s="3"/>
      <c r="B619" s="4"/>
      <c r="C619" s="4"/>
      <c r="D619" s="4"/>
      <c r="E619" s="17"/>
      <c r="F619" s="22"/>
    </row>
    <row r="620" spans="1:6" ht="15.75" thickBot="1">
      <c r="A620" s="3"/>
      <c r="B620" s="4"/>
      <c r="C620" s="4"/>
      <c r="D620" s="4"/>
      <c r="E620" s="17"/>
      <c r="F620" s="22"/>
    </row>
    <row r="621" spans="1:6" ht="15.75" thickBot="1">
      <c r="A621" s="3"/>
      <c r="B621" s="4"/>
      <c r="C621" s="4"/>
      <c r="D621" s="4"/>
      <c r="E621" s="17"/>
      <c r="F621" s="22"/>
    </row>
    <row r="622" spans="1:6" ht="15.75" thickBot="1">
      <c r="A622" s="3"/>
      <c r="B622" s="4"/>
      <c r="C622" s="4"/>
      <c r="D622" s="4"/>
      <c r="E622" s="17"/>
      <c r="F622" s="22"/>
    </row>
    <row r="623" spans="1:6" ht="15.75" thickBot="1">
      <c r="A623" s="3"/>
      <c r="B623" s="4"/>
      <c r="C623" s="4"/>
      <c r="D623" s="4"/>
      <c r="E623" s="17"/>
      <c r="F623" s="22"/>
    </row>
    <row r="624" spans="1:6" ht="15.75" thickBot="1">
      <c r="A624" s="3"/>
      <c r="B624" s="4"/>
      <c r="C624" s="4"/>
      <c r="D624" s="4"/>
      <c r="E624" s="17"/>
      <c r="F624" s="22"/>
    </row>
    <row r="625" spans="1:6" ht="15.75" thickBot="1">
      <c r="A625" s="3"/>
      <c r="B625" s="4"/>
      <c r="C625" s="4"/>
      <c r="D625" s="4"/>
      <c r="E625" s="17"/>
      <c r="F625" s="22"/>
    </row>
    <row r="626" spans="1:6" ht="15.75" thickBot="1">
      <c r="A626" s="3"/>
      <c r="B626" s="4"/>
      <c r="C626" s="4"/>
      <c r="D626" s="4"/>
      <c r="E626" s="17"/>
      <c r="F626" s="22"/>
    </row>
    <row r="627" spans="1:6" ht="15.75" thickBot="1">
      <c r="A627" s="3"/>
      <c r="B627" s="4"/>
      <c r="C627" s="4"/>
      <c r="D627" s="4"/>
      <c r="E627" s="17"/>
      <c r="F627" s="22"/>
    </row>
    <row r="628" spans="1:6" ht="15.75" thickBot="1">
      <c r="A628" s="3"/>
      <c r="B628" s="4"/>
      <c r="C628" s="4"/>
      <c r="D628" s="4"/>
      <c r="E628" s="17"/>
      <c r="F628" s="22"/>
    </row>
    <row r="629" spans="1:6" ht="15.75" thickBot="1">
      <c r="A629" s="3"/>
      <c r="B629" s="4"/>
      <c r="C629" s="4"/>
      <c r="D629" s="4"/>
      <c r="E629" s="17"/>
      <c r="F629" s="22"/>
    </row>
    <row r="630" spans="1:6" ht="15.75" thickBot="1">
      <c r="A630" s="3"/>
      <c r="B630" s="4"/>
      <c r="C630" s="4"/>
      <c r="D630" s="4"/>
      <c r="E630" s="17"/>
      <c r="F630" s="22"/>
    </row>
    <row r="631" spans="1:6" ht="15.75" thickBot="1">
      <c r="A631" s="3"/>
      <c r="B631" s="4"/>
      <c r="C631" s="4"/>
      <c r="D631" s="4"/>
      <c r="E631" s="17"/>
      <c r="F631" s="22"/>
    </row>
    <row r="632" spans="1:6" ht="15.75" thickBot="1">
      <c r="A632" s="3"/>
      <c r="B632" s="4"/>
      <c r="C632" s="4"/>
      <c r="D632" s="4"/>
      <c r="E632" s="17"/>
      <c r="F632" s="22"/>
    </row>
    <row r="633" spans="1:6" ht="15.75" thickBot="1">
      <c r="A633" s="3"/>
      <c r="B633" s="4"/>
      <c r="C633" s="4"/>
      <c r="D633" s="4"/>
      <c r="E633" s="17"/>
      <c r="F633" s="22"/>
    </row>
    <row r="634" spans="1:6" ht="15.75" thickBot="1">
      <c r="A634" s="3"/>
      <c r="B634" s="4"/>
      <c r="C634" s="4"/>
      <c r="D634" s="4"/>
      <c r="E634" s="17"/>
      <c r="F634" s="22"/>
    </row>
    <row r="635" spans="1:6" ht="15.75" thickBot="1">
      <c r="A635" s="3"/>
      <c r="B635" s="4"/>
      <c r="C635" s="4"/>
      <c r="D635" s="4"/>
      <c r="E635" s="17"/>
      <c r="F635" s="22"/>
    </row>
    <row r="636" spans="1:6" ht="15.75" thickBot="1">
      <c r="A636" s="3"/>
      <c r="B636" s="4"/>
      <c r="C636" s="4"/>
      <c r="D636" s="4"/>
      <c r="E636" s="17"/>
      <c r="F636" s="22"/>
    </row>
    <row r="637" spans="1:6" ht="15.75" thickBot="1">
      <c r="A637" s="3"/>
      <c r="B637" s="4"/>
      <c r="C637" s="4"/>
      <c r="D637" s="4"/>
      <c r="E637" s="17"/>
      <c r="F637" s="22"/>
    </row>
    <row r="638" spans="1:6" ht="15.75" thickBot="1">
      <c r="A638" s="3"/>
      <c r="B638" s="4"/>
      <c r="C638" s="4"/>
      <c r="D638" s="4"/>
      <c r="E638" s="17"/>
      <c r="F638" s="22"/>
    </row>
    <row r="639" spans="1:6" ht="15.75" thickBot="1">
      <c r="A639" s="3"/>
      <c r="B639" s="4"/>
      <c r="C639" s="4"/>
      <c r="D639" s="4"/>
      <c r="E639" s="17"/>
      <c r="F639" s="22"/>
    </row>
    <row r="640" spans="1:6" ht="15.75" thickBot="1">
      <c r="A640" s="3"/>
      <c r="B640" s="4"/>
      <c r="C640" s="4"/>
      <c r="D640" s="4"/>
      <c r="E640" s="17"/>
      <c r="F640" s="22"/>
    </row>
    <row r="641" spans="1:6" ht="15.75" thickBot="1">
      <c r="A641" s="3"/>
      <c r="B641" s="4"/>
      <c r="C641" s="4"/>
      <c r="D641" s="4"/>
      <c r="E641" s="17"/>
      <c r="F641" s="22"/>
    </row>
    <row r="642" spans="1:6" ht="15.75" thickBot="1">
      <c r="A642" s="3"/>
      <c r="B642" s="4"/>
      <c r="C642" s="4"/>
      <c r="D642" s="4"/>
      <c r="E642" s="17"/>
      <c r="F642" s="22"/>
    </row>
    <row r="643" spans="1:6" ht="15.75" thickBot="1">
      <c r="A643" s="3"/>
      <c r="B643" s="4"/>
      <c r="C643" s="4"/>
      <c r="D643" s="4"/>
      <c r="E643" s="17"/>
      <c r="F643" s="22"/>
    </row>
    <row r="644" spans="1:6" ht="15.75" thickBot="1">
      <c r="A644" s="3"/>
      <c r="B644" s="4"/>
      <c r="C644" s="4"/>
      <c r="D644" s="4"/>
      <c r="E644" s="17"/>
      <c r="F644" s="22"/>
    </row>
    <row r="645" spans="1:6" ht="15.75" thickBot="1">
      <c r="A645" s="3"/>
      <c r="B645" s="4"/>
      <c r="C645" s="4"/>
      <c r="D645" s="4"/>
      <c r="E645" s="17"/>
      <c r="F645" s="22"/>
    </row>
    <row r="646" spans="1:6" ht="15.75" thickBot="1">
      <c r="A646" s="3"/>
      <c r="B646" s="4"/>
      <c r="C646" s="4"/>
      <c r="D646" s="4"/>
      <c r="E646" s="17"/>
      <c r="F646" s="22"/>
    </row>
    <row r="647" spans="1:6" ht="15.75" thickBot="1">
      <c r="A647" s="3"/>
      <c r="B647" s="4"/>
      <c r="C647" s="4"/>
      <c r="D647" s="4"/>
      <c r="E647" s="17"/>
      <c r="F647" s="22"/>
    </row>
    <row r="648" spans="1:6" ht="15.75" thickBot="1">
      <c r="A648" s="3"/>
      <c r="B648" s="4"/>
      <c r="C648" s="4"/>
      <c r="D648" s="4"/>
      <c r="E648" s="17"/>
      <c r="F648" s="22"/>
    </row>
    <row r="649" spans="1:6" ht="15.75" thickBot="1">
      <c r="A649" s="3"/>
      <c r="B649" s="4"/>
      <c r="C649" s="4"/>
      <c r="D649" s="4"/>
      <c r="E649" s="17"/>
      <c r="F649" s="22"/>
    </row>
    <row r="650" spans="1:6" ht="15.75" thickBot="1">
      <c r="A650" s="3"/>
      <c r="B650" s="4"/>
      <c r="C650" s="4"/>
      <c r="D650" s="4"/>
      <c r="E650" s="17"/>
      <c r="F650" s="22"/>
    </row>
    <row r="651" spans="1:6" ht="15.75" thickBot="1">
      <c r="A651" s="3"/>
      <c r="B651" s="4"/>
      <c r="C651" s="4"/>
      <c r="D651" s="4"/>
      <c r="E651" s="17"/>
      <c r="F651" s="22"/>
    </row>
    <row r="652" spans="1:6" ht="15.75" thickBot="1">
      <c r="A652" s="3"/>
      <c r="B652" s="4"/>
      <c r="C652" s="4"/>
      <c r="D652" s="4"/>
      <c r="E652" s="17"/>
      <c r="F652" s="22"/>
    </row>
    <row r="653" spans="1:6" ht="15.75" thickBot="1">
      <c r="A653" s="3"/>
      <c r="B653" s="4"/>
      <c r="C653" s="4"/>
      <c r="D653" s="4"/>
      <c r="E653" s="17"/>
      <c r="F653" s="22"/>
    </row>
    <row r="654" spans="1:6" ht="15.75" thickBot="1">
      <c r="A654" s="3"/>
      <c r="B654" s="4"/>
      <c r="C654" s="4"/>
      <c r="D654" s="4"/>
      <c r="E654" s="17"/>
      <c r="F654" s="22"/>
    </row>
    <row r="655" spans="1:6" ht="15.75" thickBot="1">
      <c r="A655" s="3"/>
      <c r="B655" s="4"/>
      <c r="C655" s="4"/>
      <c r="D655" s="4"/>
      <c r="E655" s="17"/>
      <c r="F655" s="22"/>
    </row>
    <row r="656" spans="1:6" ht="15.75" thickBot="1">
      <c r="A656" s="3"/>
      <c r="B656" s="4"/>
      <c r="C656" s="4"/>
      <c r="D656" s="4"/>
      <c r="E656" s="17"/>
      <c r="F656" s="22"/>
    </row>
    <row r="657" spans="1:6" ht="15.75" thickBot="1">
      <c r="A657" s="3"/>
      <c r="B657" s="4"/>
      <c r="C657" s="4"/>
      <c r="D657" s="4"/>
      <c r="E657" s="17"/>
      <c r="F657" s="22"/>
    </row>
    <row r="658" spans="1:6" ht="15.75" thickBot="1">
      <c r="A658" s="3"/>
      <c r="B658" s="4"/>
      <c r="C658" s="4"/>
      <c r="D658" s="4"/>
      <c r="E658" s="17"/>
      <c r="F658" s="22"/>
    </row>
    <row r="659" spans="1:6" ht="15.75" thickBot="1">
      <c r="A659" s="3"/>
      <c r="B659" s="4"/>
      <c r="C659" s="4"/>
      <c r="D659" s="4"/>
      <c r="E659" s="17"/>
      <c r="F659" s="22"/>
    </row>
    <row r="660" spans="1:6" ht="15.75" thickBot="1">
      <c r="A660" s="3"/>
      <c r="B660" s="4"/>
      <c r="C660" s="4"/>
      <c r="D660" s="4"/>
      <c r="E660" s="17"/>
      <c r="F660" s="22"/>
    </row>
    <row r="661" spans="1:6" ht="15.75" thickBot="1">
      <c r="A661" s="3"/>
      <c r="B661" s="4"/>
      <c r="C661" s="4"/>
      <c r="D661" s="4"/>
      <c r="E661" s="17"/>
      <c r="F661" s="22"/>
    </row>
    <row r="662" spans="1:6" ht="15.75" thickBot="1">
      <c r="A662" s="3"/>
      <c r="B662" s="4"/>
      <c r="C662" s="4"/>
      <c r="D662" s="4"/>
      <c r="E662" s="17"/>
      <c r="F662" s="22"/>
    </row>
    <row r="663" spans="1:6" ht="15.75" thickBot="1">
      <c r="A663" s="3"/>
      <c r="B663" s="4"/>
      <c r="C663" s="4"/>
      <c r="D663" s="4"/>
      <c r="E663" s="17"/>
      <c r="F663" s="22"/>
    </row>
    <row r="664" spans="1:6" ht="15.75" thickBot="1">
      <c r="A664" s="3"/>
      <c r="B664" s="4"/>
      <c r="C664" s="4"/>
      <c r="D664" s="4"/>
      <c r="E664" s="17"/>
      <c r="F664" s="22"/>
    </row>
    <row r="665" spans="1:6" ht="15.75" thickBot="1">
      <c r="A665" s="3"/>
      <c r="B665" s="4"/>
      <c r="C665" s="4"/>
      <c r="D665" s="4"/>
      <c r="E665" s="17"/>
      <c r="F665" s="22"/>
    </row>
    <row r="666" spans="1:6" ht="15.75" thickBot="1">
      <c r="A666" s="3"/>
      <c r="B666" s="4"/>
      <c r="C666" s="4"/>
      <c r="D666" s="4"/>
      <c r="E666" s="17"/>
      <c r="F666" s="22"/>
    </row>
    <row r="667" spans="1:6" ht="15.75" thickBot="1">
      <c r="A667" s="3"/>
      <c r="B667" s="4"/>
      <c r="C667" s="4"/>
      <c r="D667" s="4"/>
      <c r="E667" s="17"/>
      <c r="F667" s="22"/>
    </row>
    <row r="668" spans="1:6" ht="15.75" thickBot="1">
      <c r="A668" s="3"/>
      <c r="B668" s="4"/>
      <c r="C668" s="4"/>
      <c r="D668" s="4"/>
      <c r="E668" s="17"/>
      <c r="F668" s="22"/>
    </row>
    <row r="669" spans="1:6" ht="15.75" thickBot="1">
      <c r="A669" s="3"/>
      <c r="B669" s="4"/>
      <c r="C669" s="4"/>
      <c r="D669" s="4"/>
      <c r="E669" s="17"/>
      <c r="F669" s="22"/>
    </row>
    <row r="670" spans="1:6" ht="15.75" thickBot="1">
      <c r="A670" s="3"/>
      <c r="B670" s="4"/>
      <c r="C670" s="4"/>
      <c r="D670" s="4"/>
      <c r="E670" s="17"/>
      <c r="F670" s="22"/>
    </row>
    <row r="671" spans="1:6" ht="15.75" thickBot="1">
      <c r="A671" s="3"/>
      <c r="B671" s="4"/>
      <c r="C671" s="4"/>
      <c r="D671" s="4"/>
      <c r="E671" s="17"/>
      <c r="F671" s="22"/>
    </row>
    <row r="672" spans="1:6" ht="15.75" thickBot="1">
      <c r="A672" s="3"/>
      <c r="B672" s="4"/>
      <c r="C672" s="4"/>
      <c r="D672" s="4"/>
      <c r="E672" s="17"/>
      <c r="F672" s="22"/>
    </row>
    <row r="673" spans="1:6" ht="15.75" thickBot="1">
      <c r="A673" s="3"/>
      <c r="B673" s="4"/>
      <c r="C673" s="4"/>
      <c r="D673" s="4"/>
      <c r="E673" s="17"/>
      <c r="F673" s="22"/>
    </row>
    <row r="674" spans="1:6" ht="15.75" thickBot="1">
      <c r="A674" s="3"/>
      <c r="B674" s="4"/>
      <c r="C674" s="4"/>
      <c r="D674" s="4"/>
      <c r="E674" s="17"/>
      <c r="F674" s="22"/>
    </row>
    <row r="675" spans="1:6" ht="15.75" thickBot="1">
      <c r="A675" s="3"/>
      <c r="B675" s="4"/>
      <c r="C675" s="4"/>
      <c r="D675" s="4"/>
      <c r="E675" s="17"/>
      <c r="F675" s="22"/>
    </row>
    <row r="676" spans="1:6" ht="15.75" thickBot="1">
      <c r="A676" s="3"/>
      <c r="B676" s="4"/>
      <c r="C676" s="4"/>
      <c r="D676" s="4"/>
      <c r="E676" s="17"/>
      <c r="F676" s="22"/>
    </row>
    <row r="677" spans="1:6" ht="15.75" thickBot="1">
      <c r="A677" s="3"/>
      <c r="B677" s="4"/>
      <c r="C677" s="4"/>
      <c r="D677" s="4"/>
      <c r="E677" s="17"/>
      <c r="F677" s="22"/>
    </row>
    <row r="678" spans="1:6" ht="15.75" thickBot="1">
      <c r="A678" s="3"/>
      <c r="B678" s="4"/>
      <c r="C678" s="4"/>
      <c r="D678" s="4"/>
      <c r="E678" s="17"/>
      <c r="F678" s="22"/>
    </row>
    <row r="679" spans="1:6" ht="15.75" thickBot="1">
      <c r="A679" s="3"/>
      <c r="B679" s="4"/>
      <c r="C679" s="4"/>
      <c r="D679" s="4"/>
      <c r="E679" s="17"/>
      <c r="F679" s="22"/>
    </row>
    <row r="680" spans="1:6" ht="15.75" thickBot="1">
      <c r="A680" s="3"/>
      <c r="B680" s="4"/>
      <c r="C680" s="4"/>
      <c r="D680" s="4"/>
      <c r="E680" s="17"/>
      <c r="F680" s="22"/>
    </row>
    <row r="681" spans="1:6" ht="15.75" thickBot="1">
      <c r="A681" s="3"/>
      <c r="B681" s="4"/>
      <c r="C681" s="4"/>
      <c r="D681" s="4"/>
      <c r="E681" s="17"/>
      <c r="F681" s="22"/>
    </row>
    <row r="682" spans="1:6" ht="15.75" thickBot="1">
      <c r="A682" s="3"/>
      <c r="B682" s="4"/>
      <c r="C682" s="4"/>
      <c r="D682" s="4"/>
      <c r="E682" s="17"/>
      <c r="F682" s="22"/>
    </row>
    <row r="683" spans="1:6" ht="15.75" thickBot="1">
      <c r="A683" s="3"/>
      <c r="B683" s="4"/>
      <c r="C683" s="4"/>
      <c r="D683" s="4"/>
      <c r="E683" s="17"/>
      <c r="F683" s="22"/>
    </row>
    <row r="684" spans="1:6" ht="15.75" thickBot="1">
      <c r="A684" s="3"/>
      <c r="B684" s="4"/>
      <c r="C684" s="4"/>
      <c r="D684" s="4"/>
      <c r="E684" s="17"/>
      <c r="F684" s="22"/>
    </row>
    <row r="685" spans="1:6" ht="15.75" thickBot="1">
      <c r="A685" s="3"/>
      <c r="B685" s="4"/>
      <c r="C685" s="4"/>
      <c r="D685" s="4"/>
      <c r="E685" s="17"/>
      <c r="F685" s="22"/>
    </row>
    <row r="686" spans="1:6" ht="15.75" thickBot="1">
      <c r="A686" s="3"/>
      <c r="B686" s="4"/>
      <c r="C686" s="4"/>
      <c r="D686" s="4"/>
      <c r="E686" s="17"/>
      <c r="F686" s="22"/>
    </row>
    <row r="687" spans="1:6" ht="15.75" thickBot="1">
      <c r="A687" s="3"/>
      <c r="B687" s="4"/>
      <c r="C687" s="4"/>
      <c r="D687" s="4"/>
      <c r="E687" s="17"/>
      <c r="F687" s="22"/>
    </row>
    <row r="688" spans="1:6" ht="15.75" thickBot="1">
      <c r="A688" s="3"/>
      <c r="B688" s="4"/>
      <c r="C688" s="4"/>
      <c r="D688" s="4"/>
      <c r="E688" s="17"/>
      <c r="F688" s="22"/>
    </row>
    <row r="689" spans="1:6" ht="15.75" thickBot="1">
      <c r="A689" s="3"/>
      <c r="B689" s="4"/>
      <c r="C689" s="4"/>
      <c r="D689" s="4"/>
      <c r="E689" s="17"/>
      <c r="F689" s="22"/>
    </row>
    <row r="690" spans="1:6" ht="15.75" thickBot="1">
      <c r="A690" s="3"/>
      <c r="B690" s="4"/>
      <c r="C690" s="4"/>
      <c r="D690" s="4"/>
      <c r="E690" s="17"/>
      <c r="F690" s="22"/>
    </row>
    <row r="691" spans="1:6" ht="15.75" thickBot="1">
      <c r="A691" s="3"/>
      <c r="B691" s="4"/>
      <c r="C691" s="4"/>
      <c r="D691" s="4"/>
      <c r="E691" s="17"/>
      <c r="F691" s="22"/>
    </row>
    <row r="692" spans="1:6" ht="15.75" thickBot="1">
      <c r="A692" s="3"/>
      <c r="B692" s="4"/>
      <c r="C692" s="4"/>
      <c r="D692" s="4"/>
      <c r="E692" s="17"/>
      <c r="F692" s="22"/>
    </row>
    <row r="693" spans="1:6" ht="15.75" thickBot="1">
      <c r="A693" s="3"/>
      <c r="B693" s="4"/>
      <c r="C693" s="4"/>
      <c r="D693" s="4"/>
      <c r="E693" s="17"/>
      <c r="F693" s="22"/>
    </row>
    <row r="694" spans="1:6" ht="15.75" thickBot="1">
      <c r="A694" s="3"/>
      <c r="B694" s="4"/>
      <c r="C694" s="4"/>
      <c r="D694" s="4"/>
      <c r="E694" s="17"/>
      <c r="F694" s="22"/>
    </row>
    <row r="695" spans="1:6" ht="15.75" thickBot="1">
      <c r="A695" s="3"/>
      <c r="B695" s="4"/>
      <c r="C695" s="4"/>
      <c r="D695" s="4"/>
      <c r="E695" s="17"/>
      <c r="F695" s="22"/>
    </row>
    <row r="696" spans="1:6" ht="15.75" thickBot="1">
      <c r="A696" s="3"/>
      <c r="B696" s="4"/>
      <c r="C696" s="4"/>
      <c r="D696" s="4"/>
      <c r="E696" s="17"/>
      <c r="F696" s="22"/>
    </row>
    <row r="697" spans="1:6" ht="15.75" thickBot="1">
      <c r="A697" s="3"/>
      <c r="B697" s="4"/>
      <c r="C697" s="4"/>
      <c r="D697" s="4"/>
      <c r="E697" s="17"/>
      <c r="F697" s="22"/>
    </row>
    <row r="698" spans="1:6" ht="15.75" thickBot="1">
      <c r="A698" s="3"/>
      <c r="B698" s="4"/>
      <c r="C698" s="4"/>
      <c r="D698" s="4"/>
      <c r="E698" s="17"/>
      <c r="F698" s="22"/>
    </row>
    <row r="699" spans="1:6" ht="15.75" thickBot="1">
      <c r="A699" s="3"/>
      <c r="B699" s="4"/>
      <c r="C699" s="4"/>
      <c r="D699" s="4"/>
      <c r="E699" s="17"/>
      <c r="F699" s="22"/>
    </row>
    <row r="700" spans="1:6" ht="15.75" thickBot="1">
      <c r="A700" s="3"/>
      <c r="B700" s="4"/>
      <c r="C700" s="4"/>
      <c r="D700" s="4"/>
      <c r="E700" s="17"/>
      <c r="F700" s="22"/>
    </row>
    <row r="701" spans="1:6" ht="15.75" thickBot="1">
      <c r="A701" s="3"/>
      <c r="B701" s="4"/>
      <c r="C701" s="4"/>
      <c r="D701" s="4"/>
      <c r="E701" s="17"/>
      <c r="F701" s="22"/>
    </row>
    <row r="702" spans="1:6" ht="15.75" thickBot="1">
      <c r="A702" s="3"/>
      <c r="B702" s="4"/>
      <c r="C702" s="4"/>
      <c r="D702" s="4"/>
      <c r="E702" s="17"/>
      <c r="F702" s="22"/>
    </row>
    <row r="703" spans="1:6" ht="15.75" thickBot="1">
      <c r="A703" s="3"/>
      <c r="B703" s="4"/>
      <c r="C703" s="4"/>
      <c r="D703" s="4"/>
      <c r="E703" s="17"/>
      <c r="F703" s="22"/>
    </row>
    <row r="704" spans="1:6" ht="15.75" thickBot="1">
      <c r="A704" s="3"/>
      <c r="B704" s="4"/>
      <c r="C704" s="4"/>
      <c r="D704" s="4"/>
      <c r="E704" s="17"/>
      <c r="F704" s="22"/>
    </row>
    <row r="705" spans="1:6" ht="15.75" thickBot="1">
      <c r="A705" s="3"/>
      <c r="B705" s="4"/>
      <c r="C705" s="4"/>
      <c r="D705" s="4"/>
      <c r="E705" s="17"/>
      <c r="F705" s="22"/>
    </row>
    <row r="706" spans="1:6" ht="15.75" thickBot="1">
      <c r="A706" s="3"/>
      <c r="B706" s="4"/>
      <c r="C706" s="4"/>
      <c r="D706" s="4"/>
      <c r="E706" s="17"/>
      <c r="F706" s="22"/>
    </row>
    <row r="707" spans="1:6" ht="15.75" thickBot="1">
      <c r="A707" s="3"/>
      <c r="B707" s="4"/>
      <c r="C707" s="4"/>
      <c r="D707" s="4"/>
      <c r="E707" s="17"/>
      <c r="F707" s="22"/>
    </row>
    <row r="708" spans="1:6" ht="15.75" thickBot="1">
      <c r="A708" s="3"/>
      <c r="B708" s="4"/>
      <c r="C708" s="4"/>
      <c r="D708" s="4"/>
      <c r="E708" s="17"/>
      <c r="F708" s="22"/>
    </row>
    <row r="709" spans="1:6" ht="15.75" thickBot="1">
      <c r="A709" s="3"/>
      <c r="B709" s="4"/>
      <c r="C709" s="4"/>
      <c r="D709" s="4"/>
      <c r="E709" s="17"/>
      <c r="F709" s="22"/>
    </row>
    <row r="710" spans="1:6" ht="15.75" thickBot="1">
      <c r="A710" s="3"/>
      <c r="B710" s="4"/>
      <c r="C710" s="4"/>
      <c r="D710" s="4"/>
      <c r="E710" s="17"/>
      <c r="F710" s="22"/>
    </row>
    <row r="711" spans="1:6" ht="15.75" thickBot="1">
      <c r="A711" s="3"/>
      <c r="B711" s="4"/>
      <c r="C711" s="4"/>
      <c r="D711" s="4"/>
      <c r="E711" s="17"/>
      <c r="F711" s="22"/>
    </row>
    <row r="712" spans="1:6" ht="15.75" thickBot="1">
      <c r="A712" s="3"/>
      <c r="B712" s="4"/>
      <c r="C712" s="4"/>
      <c r="D712" s="4"/>
      <c r="E712" s="17"/>
      <c r="F712" s="22"/>
    </row>
    <row r="713" spans="1:6" ht="15.75" thickBot="1">
      <c r="A713" s="3"/>
      <c r="B713" s="4"/>
      <c r="C713" s="4"/>
      <c r="D713" s="4"/>
      <c r="E713" s="17"/>
      <c r="F713" s="22"/>
    </row>
    <row r="714" spans="1:6" ht="15.75" thickBot="1">
      <c r="A714" s="3"/>
      <c r="B714" s="4"/>
      <c r="C714" s="4"/>
      <c r="D714" s="4"/>
      <c r="E714" s="17"/>
      <c r="F714" s="22"/>
    </row>
    <row r="715" spans="1:6" ht="15.75" thickBot="1">
      <c r="A715" s="3"/>
      <c r="B715" s="4"/>
      <c r="C715" s="4"/>
      <c r="D715" s="4"/>
      <c r="E715" s="17"/>
      <c r="F715" s="22"/>
    </row>
    <row r="716" spans="1:6" ht="15.75" thickBot="1">
      <c r="A716" s="3"/>
      <c r="B716" s="4"/>
      <c r="C716" s="4"/>
      <c r="D716" s="4"/>
      <c r="E716" s="17"/>
      <c r="F716" s="22"/>
    </row>
    <row r="717" spans="1:6" ht="15.75" thickBot="1">
      <c r="A717" s="3"/>
      <c r="B717" s="4"/>
      <c r="C717" s="4"/>
      <c r="D717" s="4"/>
      <c r="E717" s="17"/>
      <c r="F717" s="22"/>
    </row>
    <row r="718" spans="1:6" ht="15.75" thickBot="1">
      <c r="A718" s="3"/>
      <c r="B718" s="4"/>
      <c r="C718" s="4"/>
      <c r="D718" s="4"/>
      <c r="E718" s="17"/>
      <c r="F718" s="22"/>
    </row>
    <row r="719" spans="1:6" ht="15.75" thickBot="1">
      <c r="A719" s="3"/>
      <c r="B719" s="4"/>
      <c r="C719" s="4"/>
      <c r="D719" s="4"/>
      <c r="E719" s="17"/>
      <c r="F719" s="22"/>
    </row>
    <row r="720" spans="1:6" ht="15.75" thickBot="1">
      <c r="A720" s="3"/>
      <c r="B720" s="4"/>
      <c r="C720" s="4"/>
      <c r="D720" s="4"/>
      <c r="E720" s="17"/>
      <c r="F720" s="22"/>
    </row>
    <row r="721" spans="1:6" ht="15.75" thickBot="1">
      <c r="A721" s="3"/>
      <c r="B721" s="4"/>
      <c r="C721" s="4"/>
      <c r="D721" s="4"/>
      <c r="E721" s="17"/>
      <c r="F721" s="22"/>
    </row>
    <row r="722" spans="1:6" ht="15.75" thickBot="1">
      <c r="A722" s="3"/>
      <c r="B722" s="4"/>
      <c r="C722" s="4"/>
      <c r="D722" s="4"/>
      <c r="E722" s="17"/>
      <c r="F722" s="22"/>
    </row>
    <row r="723" spans="1:6" ht="15.75" thickBot="1">
      <c r="A723" s="3"/>
      <c r="B723" s="4"/>
      <c r="C723" s="4"/>
      <c r="D723" s="4"/>
      <c r="E723" s="17"/>
      <c r="F723" s="22"/>
    </row>
    <row r="724" spans="1:6" ht="15.75" thickBot="1">
      <c r="A724" s="3"/>
      <c r="B724" s="4"/>
      <c r="C724" s="4"/>
      <c r="D724" s="4"/>
      <c r="E724" s="17"/>
      <c r="F724" s="22"/>
    </row>
    <row r="725" spans="1:6" ht="15.75" thickBot="1">
      <c r="A725" s="3"/>
      <c r="B725" s="4"/>
      <c r="C725" s="4"/>
      <c r="D725" s="4"/>
      <c r="E725" s="17"/>
      <c r="F725" s="22"/>
    </row>
    <row r="726" spans="1:6" ht="15.75" thickBot="1">
      <c r="A726" s="3"/>
      <c r="B726" s="4"/>
      <c r="C726" s="4"/>
      <c r="D726" s="4"/>
      <c r="E726" s="17"/>
      <c r="F726" s="22"/>
    </row>
    <row r="727" spans="1:6" ht="15.75" thickBot="1">
      <c r="A727" s="3"/>
      <c r="B727" s="4"/>
      <c r="C727" s="4"/>
      <c r="D727" s="4"/>
      <c r="E727" s="17"/>
      <c r="F727" s="22"/>
    </row>
    <row r="728" spans="1:6" ht="15.75" thickBot="1">
      <c r="A728" s="3"/>
      <c r="B728" s="4"/>
      <c r="C728" s="4"/>
      <c r="D728" s="4"/>
      <c r="E728" s="17"/>
      <c r="F728" s="22"/>
    </row>
    <row r="729" spans="1:6" ht="15.75" thickBot="1">
      <c r="A729" s="3"/>
      <c r="B729" s="4"/>
      <c r="C729" s="4"/>
      <c r="D729" s="4"/>
      <c r="E729" s="17"/>
      <c r="F729" s="22"/>
    </row>
    <row r="730" spans="1:6" ht="15.75" thickBot="1">
      <c r="A730" s="3"/>
      <c r="B730" s="4"/>
      <c r="C730" s="4"/>
      <c r="D730" s="4"/>
      <c r="E730" s="17"/>
      <c r="F730" s="22"/>
    </row>
    <row r="731" spans="1:6" ht="15.75" thickBot="1">
      <c r="A731" s="3"/>
      <c r="B731" s="4"/>
      <c r="C731" s="4"/>
      <c r="D731" s="4"/>
      <c r="E731" s="17"/>
      <c r="F731" s="22"/>
    </row>
    <row r="732" spans="1:6" ht="15.75" thickBot="1">
      <c r="A732" s="3"/>
      <c r="B732" s="4"/>
      <c r="C732" s="4"/>
      <c r="D732" s="4"/>
      <c r="E732" s="17"/>
      <c r="F732" s="22"/>
    </row>
    <row r="733" spans="1:6" ht="15.75" thickBot="1">
      <c r="A733" s="3"/>
      <c r="B733" s="4"/>
      <c r="C733" s="4"/>
      <c r="D733" s="4"/>
      <c r="E733" s="17"/>
      <c r="F733" s="22"/>
    </row>
    <row r="734" spans="1:6" ht="15.75" thickBot="1">
      <c r="A734" s="3"/>
      <c r="B734" s="4"/>
      <c r="C734" s="4"/>
      <c r="D734" s="4"/>
      <c r="E734" s="17"/>
      <c r="F734" s="22"/>
    </row>
    <row r="735" spans="1:6" ht="15.75" thickBot="1">
      <c r="A735" s="3"/>
      <c r="B735" s="4"/>
      <c r="C735" s="4"/>
      <c r="D735" s="4"/>
      <c r="E735" s="17"/>
      <c r="F735" s="22"/>
    </row>
    <row r="736" spans="1:6" ht="15.75" thickBot="1">
      <c r="A736" s="3"/>
      <c r="B736" s="4"/>
      <c r="C736" s="4"/>
      <c r="D736" s="4"/>
      <c r="E736" s="17"/>
      <c r="F736" s="22"/>
    </row>
    <row r="737" spans="1:6" ht="15.75" thickBot="1">
      <c r="A737" s="3"/>
      <c r="B737" s="4"/>
      <c r="C737" s="4"/>
      <c r="D737" s="4"/>
      <c r="E737" s="17"/>
      <c r="F737" s="22"/>
    </row>
    <row r="738" spans="1:6" ht="15.75" thickBot="1">
      <c r="A738" s="3"/>
      <c r="B738" s="4"/>
      <c r="C738" s="4"/>
      <c r="D738" s="4"/>
      <c r="E738" s="17"/>
      <c r="F738" s="22"/>
    </row>
    <row r="739" spans="1:6" ht="15.75" thickBot="1">
      <c r="A739" s="3"/>
      <c r="B739" s="4"/>
      <c r="C739" s="4"/>
      <c r="D739" s="4"/>
      <c r="E739" s="17"/>
      <c r="F739" s="22"/>
    </row>
    <row r="740" spans="1:6" ht="15.75" thickBot="1">
      <c r="A740" s="3"/>
      <c r="B740" s="4"/>
      <c r="C740" s="4"/>
      <c r="D740" s="4"/>
      <c r="E740" s="17"/>
      <c r="F740" s="22"/>
    </row>
    <row r="741" spans="1:6" ht="15.75" thickBot="1">
      <c r="A741" s="3"/>
      <c r="B741" s="4"/>
      <c r="C741" s="4"/>
      <c r="D741" s="4"/>
      <c r="E741" s="17"/>
      <c r="F741" s="22"/>
    </row>
    <row r="742" spans="1:6" ht="15.75" thickBot="1">
      <c r="A742" s="3"/>
      <c r="B742" s="4"/>
      <c r="C742" s="4"/>
      <c r="D742" s="4"/>
      <c r="E742" s="17"/>
      <c r="F742" s="22"/>
    </row>
    <row r="743" spans="1:6" ht="15.75" thickBot="1">
      <c r="A743" s="3"/>
      <c r="B743" s="4"/>
      <c r="C743" s="4"/>
      <c r="D743" s="4"/>
      <c r="E743" s="17"/>
      <c r="F743" s="22"/>
    </row>
    <row r="744" spans="1:6" ht="15.75" thickBot="1">
      <c r="A744" s="3"/>
      <c r="B744" s="4"/>
      <c r="C744" s="4"/>
      <c r="D744" s="4"/>
      <c r="E744" s="17"/>
      <c r="F744" s="22"/>
    </row>
    <row r="745" spans="1:6" ht="15.75" thickBot="1">
      <c r="A745" s="3"/>
      <c r="B745" s="4"/>
      <c r="C745" s="4"/>
      <c r="D745" s="4"/>
      <c r="E745" s="17"/>
      <c r="F745" s="22"/>
    </row>
    <row r="746" spans="1:6" ht="15.75" thickBot="1">
      <c r="A746" s="3"/>
      <c r="B746" s="4"/>
      <c r="C746" s="4"/>
      <c r="D746" s="4"/>
      <c r="E746" s="17"/>
      <c r="F746" s="22"/>
    </row>
    <row r="747" spans="1:6" ht="15.75" thickBot="1">
      <c r="A747" s="3"/>
      <c r="B747" s="4"/>
      <c r="C747" s="4"/>
      <c r="D747" s="4"/>
      <c r="E747" s="17"/>
      <c r="F747" s="22"/>
    </row>
    <row r="748" spans="1:6" ht="15.75" thickBot="1">
      <c r="A748" s="3"/>
      <c r="B748" s="4"/>
      <c r="C748" s="4"/>
      <c r="D748" s="4"/>
      <c r="E748" s="17"/>
      <c r="F748" s="22"/>
    </row>
    <row r="749" spans="1:6" ht="15.75" thickBot="1">
      <c r="A749" s="3"/>
      <c r="B749" s="4"/>
      <c r="C749" s="4"/>
      <c r="D749" s="4"/>
      <c r="E749" s="17"/>
      <c r="F749" s="22"/>
    </row>
    <row r="750" spans="1:6" ht="15.75" thickBot="1">
      <c r="A750" s="3"/>
      <c r="B750" s="4"/>
      <c r="C750" s="4"/>
      <c r="D750" s="4"/>
      <c r="E750" s="17"/>
      <c r="F750" s="22"/>
    </row>
    <row r="751" spans="1:6" ht="15.75" thickBot="1">
      <c r="A751" s="3"/>
      <c r="B751" s="4"/>
      <c r="C751" s="4"/>
      <c r="D751" s="4"/>
      <c r="E751" s="17"/>
      <c r="F751" s="22"/>
    </row>
    <row r="752" spans="1:6" ht="15.75" thickBot="1">
      <c r="A752" s="3"/>
      <c r="B752" s="4"/>
      <c r="C752" s="4"/>
      <c r="D752" s="4"/>
      <c r="E752" s="17"/>
      <c r="F752" s="22"/>
    </row>
    <row r="753" spans="1:6" ht="15.75" thickBot="1">
      <c r="A753" s="3"/>
      <c r="B753" s="4"/>
      <c r="C753" s="4"/>
      <c r="D753" s="4"/>
      <c r="E753" s="17"/>
      <c r="F753" s="22"/>
    </row>
    <row r="754" spans="1:6" ht="15.75" thickBot="1">
      <c r="A754" s="3"/>
      <c r="B754" s="4"/>
      <c r="C754" s="4"/>
      <c r="D754" s="4"/>
      <c r="E754" s="17"/>
      <c r="F754" s="22"/>
    </row>
    <row r="755" spans="1:6" ht="15.75" thickBot="1">
      <c r="A755" s="3"/>
      <c r="B755" s="4"/>
      <c r="C755" s="4"/>
      <c r="D755" s="4"/>
      <c r="E755" s="17"/>
      <c r="F755" s="22"/>
    </row>
    <row r="756" spans="1:6" ht="15.75" thickBot="1">
      <c r="A756" s="3"/>
      <c r="B756" s="4"/>
      <c r="C756" s="4"/>
      <c r="D756" s="4"/>
      <c r="E756" s="17"/>
      <c r="F756" s="22"/>
    </row>
    <row r="757" spans="1:6" ht="15.75" thickBot="1">
      <c r="A757" s="3"/>
      <c r="B757" s="4"/>
      <c r="C757" s="4"/>
      <c r="D757" s="4"/>
      <c r="E757" s="17"/>
      <c r="F757" s="22"/>
    </row>
    <row r="758" spans="1:6" ht="15.75" thickBot="1">
      <c r="A758" s="3"/>
      <c r="B758" s="4"/>
      <c r="C758" s="4"/>
      <c r="D758" s="4"/>
      <c r="E758" s="17"/>
      <c r="F758" s="22"/>
    </row>
    <row r="759" spans="1:6" ht="15.75" thickBot="1">
      <c r="A759" s="3"/>
      <c r="B759" s="4"/>
      <c r="C759" s="4"/>
      <c r="D759" s="4"/>
      <c r="E759" s="17"/>
      <c r="F759" s="22"/>
    </row>
    <row r="760" spans="1:6" ht="15.75" thickBot="1">
      <c r="A760" s="3"/>
      <c r="B760" s="4"/>
      <c r="C760" s="4"/>
      <c r="D760" s="4"/>
      <c r="E760" s="17"/>
      <c r="F760" s="22"/>
    </row>
    <row r="761" spans="1:6" ht="15.75" thickBot="1">
      <c r="A761" s="3"/>
      <c r="B761" s="4"/>
      <c r="C761" s="4"/>
      <c r="D761" s="4"/>
      <c r="E761" s="17"/>
      <c r="F761" s="22"/>
    </row>
    <row r="762" spans="1:6" ht="15.75" thickBot="1">
      <c r="A762" s="3"/>
      <c r="B762" s="4"/>
      <c r="C762" s="4"/>
      <c r="D762" s="4"/>
      <c r="E762" s="17"/>
      <c r="F762" s="22"/>
    </row>
    <row r="763" spans="1:6" ht="15.75" thickBot="1">
      <c r="A763" s="3"/>
      <c r="B763" s="4"/>
      <c r="C763" s="4"/>
      <c r="D763" s="4"/>
      <c r="E763" s="17"/>
      <c r="F763" s="22"/>
    </row>
    <row r="764" spans="1:6" ht="15.75" thickBot="1">
      <c r="A764" s="3"/>
      <c r="B764" s="4"/>
      <c r="C764" s="4"/>
      <c r="D764" s="4"/>
      <c r="E764" s="17"/>
      <c r="F764" s="22"/>
    </row>
    <row r="765" spans="1:6" ht="15.75" thickBot="1">
      <c r="A765" s="3"/>
      <c r="B765" s="4"/>
      <c r="C765" s="4"/>
      <c r="D765" s="4"/>
      <c r="E765" s="17"/>
      <c r="F765" s="22"/>
    </row>
    <row r="766" spans="1:6" ht="15.75" thickBot="1">
      <c r="A766" s="3"/>
      <c r="B766" s="4"/>
      <c r="C766" s="4"/>
      <c r="D766" s="4"/>
      <c r="E766" s="17"/>
      <c r="F766" s="22"/>
    </row>
    <row r="767" spans="1:6" ht="15.75" thickBot="1">
      <c r="A767" s="3"/>
      <c r="B767" s="4"/>
      <c r="C767" s="4"/>
      <c r="D767" s="4"/>
      <c r="E767" s="17"/>
      <c r="F767" s="22"/>
    </row>
    <row r="768" spans="1:6" ht="15.75" thickBot="1">
      <c r="A768" s="3"/>
      <c r="B768" s="4"/>
      <c r="C768" s="4"/>
      <c r="D768" s="4"/>
      <c r="E768" s="17"/>
      <c r="F768" s="22"/>
    </row>
    <row r="769" spans="1:6" ht="15.75" thickBot="1">
      <c r="A769" s="3"/>
      <c r="B769" s="4"/>
      <c r="C769" s="4"/>
      <c r="D769" s="4"/>
      <c r="E769" s="17"/>
      <c r="F769" s="22"/>
    </row>
    <row r="770" spans="1:6" ht="15.75" thickBot="1">
      <c r="A770" s="3"/>
      <c r="B770" s="4"/>
      <c r="C770" s="4"/>
      <c r="D770" s="4"/>
      <c r="E770" s="17"/>
      <c r="F770" s="22"/>
    </row>
    <row r="771" spans="1:6" ht="15.75" thickBot="1">
      <c r="A771" s="3"/>
      <c r="B771" s="4"/>
      <c r="C771" s="4"/>
      <c r="D771" s="4"/>
      <c r="E771" s="17"/>
      <c r="F771" s="22"/>
    </row>
    <row r="772" spans="1:6" ht="15.75" thickBot="1">
      <c r="A772" s="3"/>
      <c r="B772" s="4"/>
      <c r="C772" s="4"/>
      <c r="D772" s="4"/>
      <c r="E772" s="17"/>
      <c r="F772" s="22"/>
    </row>
    <row r="773" spans="1:6" ht="15.75" thickBot="1">
      <c r="A773" s="3"/>
      <c r="B773" s="4"/>
      <c r="C773" s="4"/>
      <c r="D773" s="4"/>
      <c r="E773" s="17"/>
      <c r="F773" s="22"/>
    </row>
    <row r="774" spans="1:6" ht="15.75" thickBot="1">
      <c r="A774" s="3"/>
      <c r="B774" s="4"/>
      <c r="C774" s="4"/>
      <c r="D774" s="4"/>
      <c r="E774" s="17"/>
      <c r="F774" s="22"/>
    </row>
    <row r="775" spans="1:6" ht="15.75" thickBot="1">
      <c r="A775" s="3"/>
      <c r="B775" s="4"/>
      <c r="C775" s="4"/>
      <c r="D775" s="4"/>
      <c r="E775" s="17"/>
      <c r="F775" s="22"/>
    </row>
    <row r="776" spans="1:6" ht="15.75" thickBot="1">
      <c r="A776" s="3"/>
      <c r="B776" s="4"/>
      <c r="C776" s="4"/>
      <c r="D776" s="4"/>
      <c r="E776" s="17"/>
      <c r="F776" s="22"/>
    </row>
    <row r="777" spans="1:6" ht="15.75" thickBot="1">
      <c r="A777" s="3"/>
      <c r="B777" s="4"/>
      <c r="C777" s="4"/>
      <c r="D777" s="4"/>
      <c r="E777" s="17"/>
      <c r="F777" s="22"/>
    </row>
    <row r="778" spans="1:6" ht="15.75" thickBot="1">
      <c r="A778" s="3"/>
      <c r="B778" s="4"/>
      <c r="C778" s="4"/>
      <c r="D778" s="4"/>
      <c r="E778" s="17"/>
      <c r="F778" s="22"/>
    </row>
    <row r="779" spans="1:6" ht="15.75" thickBot="1">
      <c r="A779" s="3"/>
      <c r="B779" s="4"/>
      <c r="C779" s="4"/>
      <c r="D779" s="4"/>
      <c r="E779" s="17"/>
      <c r="F779" s="22"/>
    </row>
    <row r="780" spans="1:6" ht="15.75" thickBot="1">
      <c r="A780" s="3"/>
      <c r="B780" s="4"/>
      <c r="C780" s="4"/>
      <c r="D780" s="4"/>
      <c r="E780" s="17"/>
      <c r="F780" s="22"/>
    </row>
    <row r="781" spans="1:6" ht="15.75" thickBot="1">
      <c r="A781" s="3"/>
      <c r="B781" s="4"/>
      <c r="C781" s="4"/>
      <c r="D781" s="4"/>
      <c r="E781" s="17"/>
      <c r="F781" s="22"/>
    </row>
    <row r="782" spans="1:6" ht="15.75" thickBot="1">
      <c r="A782" s="3"/>
      <c r="B782" s="4"/>
      <c r="C782" s="4"/>
      <c r="D782" s="4"/>
      <c r="E782" s="17"/>
      <c r="F782" s="22"/>
    </row>
    <row r="783" spans="1:6" ht="15.75" thickBot="1">
      <c r="A783" s="3"/>
      <c r="B783" s="4"/>
      <c r="C783" s="4"/>
      <c r="D783" s="4"/>
      <c r="E783" s="17"/>
      <c r="F783" s="22"/>
    </row>
    <row r="784" spans="1:6" ht="15.75" thickBot="1">
      <c r="A784" s="3"/>
      <c r="B784" s="4"/>
      <c r="C784" s="4"/>
      <c r="D784" s="4"/>
      <c r="E784" s="17"/>
      <c r="F784" s="22"/>
    </row>
    <row r="785" spans="1:6" ht="15.75" thickBot="1">
      <c r="A785" s="3"/>
      <c r="B785" s="4"/>
      <c r="C785" s="4"/>
      <c r="D785" s="4"/>
      <c r="E785" s="17"/>
      <c r="F785" s="22"/>
    </row>
    <row r="786" spans="1:6" ht="15.75" thickBot="1">
      <c r="A786" s="3"/>
      <c r="B786" s="4"/>
      <c r="C786" s="4"/>
      <c r="D786" s="4"/>
      <c r="E786" s="17"/>
      <c r="F786" s="22"/>
    </row>
    <row r="787" spans="1:6" ht="15.75" thickBot="1">
      <c r="A787" s="3"/>
      <c r="B787" s="4"/>
      <c r="C787" s="4"/>
      <c r="D787" s="4"/>
      <c r="E787" s="17"/>
      <c r="F787" s="22"/>
    </row>
    <row r="788" spans="1:6" ht="15.75" thickBot="1">
      <c r="A788" s="3"/>
      <c r="B788" s="4"/>
      <c r="C788" s="4"/>
      <c r="D788" s="4"/>
      <c r="E788" s="17"/>
      <c r="F788" s="22"/>
    </row>
    <row r="789" spans="1:6" ht="15.75" thickBot="1">
      <c r="A789" s="3"/>
      <c r="B789" s="4"/>
      <c r="C789" s="4"/>
      <c r="D789" s="4"/>
      <c r="E789" s="17"/>
      <c r="F789" s="22"/>
    </row>
    <row r="790" spans="1:6" ht="15.75" thickBot="1">
      <c r="A790" s="3"/>
      <c r="B790" s="4"/>
      <c r="C790" s="4"/>
      <c r="D790" s="4"/>
      <c r="E790" s="17"/>
      <c r="F790" s="22"/>
    </row>
    <row r="791" spans="1:6" ht="15.75" thickBot="1">
      <c r="A791" s="3"/>
      <c r="B791" s="4"/>
      <c r="C791" s="4"/>
      <c r="D791" s="4"/>
      <c r="E791" s="17"/>
      <c r="F791" s="22"/>
    </row>
    <row r="792" spans="1:6" ht="15.75" thickBot="1">
      <c r="A792" s="3"/>
      <c r="B792" s="4"/>
      <c r="C792" s="4"/>
      <c r="D792" s="4"/>
      <c r="E792" s="17"/>
      <c r="F792" s="22"/>
    </row>
    <row r="793" spans="1:6" ht="15.75" thickBot="1">
      <c r="A793" s="3"/>
      <c r="B793" s="4"/>
      <c r="C793" s="4"/>
      <c r="D793" s="4"/>
      <c r="E793" s="17"/>
      <c r="F793" s="22"/>
    </row>
    <row r="794" spans="1:6" ht="15.75" thickBot="1">
      <c r="A794" s="3"/>
      <c r="B794" s="4"/>
      <c r="C794" s="4"/>
      <c r="D794" s="4"/>
      <c r="E794" s="17"/>
      <c r="F794" s="22"/>
    </row>
    <row r="795" spans="1:6" ht="15.75" thickBot="1">
      <c r="A795" s="3"/>
      <c r="B795" s="4"/>
      <c r="C795" s="4"/>
      <c r="D795" s="4"/>
      <c r="E795" s="17"/>
      <c r="F795" s="22"/>
    </row>
    <row r="796" spans="1:6" ht="15.75" thickBot="1">
      <c r="A796" s="3"/>
      <c r="B796" s="4"/>
      <c r="C796" s="4"/>
      <c r="D796" s="4"/>
      <c r="E796" s="17"/>
      <c r="F796" s="22"/>
    </row>
    <row r="797" spans="1:6" ht="15.75" thickBot="1">
      <c r="A797" s="3"/>
      <c r="B797" s="4"/>
      <c r="C797" s="4"/>
      <c r="D797" s="4"/>
      <c r="E797" s="17"/>
      <c r="F797" s="22"/>
    </row>
    <row r="798" spans="1:6" ht="15.75" thickBot="1">
      <c r="A798" s="3"/>
      <c r="B798" s="4"/>
      <c r="C798" s="4"/>
      <c r="D798" s="4"/>
      <c r="E798" s="17"/>
      <c r="F798" s="22"/>
    </row>
    <row r="799" spans="1:6" ht="15.75" thickBot="1">
      <c r="A799" s="3"/>
      <c r="B799" s="4"/>
      <c r="C799" s="4"/>
      <c r="D799" s="4"/>
      <c r="E799" s="17"/>
      <c r="F799" s="22"/>
    </row>
    <row r="800" spans="1:6" ht="15.75" thickBot="1">
      <c r="A800" s="3"/>
      <c r="B800" s="4"/>
      <c r="C800" s="4"/>
      <c r="D800" s="4"/>
      <c r="E800" s="17"/>
      <c r="F800" s="22"/>
    </row>
    <row r="801" spans="1:6" ht="15.75" thickBot="1">
      <c r="A801" s="3"/>
      <c r="B801" s="4"/>
      <c r="C801" s="4"/>
      <c r="D801" s="4"/>
      <c r="E801" s="17"/>
      <c r="F801" s="22"/>
    </row>
    <row r="802" spans="1:6" ht="15.75" thickBot="1">
      <c r="A802" s="3"/>
      <c r="B802" s="4"/>
      <c r="C802" s="4"/>
      <c r="D802" s="4"/>
      <c r="E802" s="17"/>
      <c r="F802" s="22"/>
    </row>
    <row r="803" spans="1:6" ht="15.75" thickBot="1">
      <c r="A803" s="3"/>
      <c r="B803" s="4"/>
      <c r="C803" s="4"/>
      <c r="D803" s="4"/>
      <c r="E803" s="17"/>
      <c r="F803" s="22"/>
    </row>
    <row r="804" spans="1:6" ht="15.75" thickBot="1">
      <c r="A804" s="3"/>
      <c r="B804" s="4"/>
      <c r="C804" s="4"/>
      <c r="D804" s="4"/>
      <c r="E804" s="17"/>
      <c r="F804" s="22"/>
    </row>
    <row r="805" spans="1:6" ht="15.75" thickBot="1">
      <c r="A805" s="3"/>
      <c r="B805" s="4"/>
      <c r="C805" s="4"/>
      <c r="D805" s="4"/>
      <c r="E805" s="17"/>
      <c r="F805" s="22"/>
    </row>
    <row r="806" spans="1:6" ht="15.75" thickBot="1">
      <c r="A806" s="3"/>
      <c r="B806" s="4"/>
      <c r="C806" s="4"/>
      <c r="D806" s="4"/>
      <c r="E806" s="17"/>
      <c r="F806" s="22"/>
    </row>
    <row r="807" spans="1:6" ht="15.75" thickBot="1">
      <c r="A807" s="3"/>
      <c r="B807" s="4"/>
      <c r="C807" s="4"/>
      <c r="D807" s="4"/>
      <c r="E807" s="17"/>
      <c r="F807" s="22"/>
    </row>
    <row r="808" spans="1:6" ht="15.75" thickBot="1">
      <c r="A808" s="3"/>
      <c r="B808" s="4"/>
      <c r="C808" s="4"/>
      <c r="D808" s="4"/>
      <c r="E808" s="17"/>
      <c r="F808" s="22"/>
    </row>
    <row r="809" spans="1:6" ht="15.75" thickBot="1">
      <c r="A809" s="3"/>
      <c r="B809" s="4"/>
      <c r="C809" s="4"/>
      <c r="D809" s="4"/>
      <c r="E809" s="17"/>
      <c r="F809" s="22"/>
    </row>
    <row r="810" spans="1:6" ht="15.75" thickBot="1">
      <c r="A810" s="3"/>
      <c r="B810" s="4"/>
      <c r="C810" s="4"/>
      <c r="D810" s="4"/>
      <c r="E810" s="17"/>
      <c r="F810" s="22"/>
    </row>
    <row r="811" spans="1:6" ht="15.75" thickBot="1">
      <c r="A811" s="3"/>
      <c r="B811" s="4"/>
      <c r="C811" s="4"/>
      <c r="D811" s="4"/>
      <c r="E811" s="17"/>
      <c r="F811" s="22"/>
    </row>
    <row r="812" spans="1:6" ht="15.75" thickBot="1">
      <c r="A812" s="3"/>
      <c r="B812" s="4"/>
      <c r="C812" s="4"/>
      <c r="D812" s="4"/>
      <c r="E812" s="17"/>
      <c r="F812" s="22"/>
    </row>
    <row r="813" spans="1:6" ht="15.75" thickBot="1">
      <c r="A813" s="3"/>
      <c r="B813" s="4"/>
      <c r="C813" s="4"/>
      <c r="D813" s="4"/>
      <c r="E813" s="17"/>
      <c r="F813" s="22"/>
    </row>
    <row r="814" spans="1:6" ht="15.75" thickBot="1">
      <c r="A814" s="3"/>
      <c r="B814" s="4"/>
      <c r="C814" s="4"/>
      <c r="D814" s="4"/>
      <c r="E814" s="17"/>
      <c r="F814" s="22"/>
    </row>
    <row r="815" spans="1:6" ht="15.75" thickBot="1">
      <c r="A815" s="3"/>
      <c r="B815" s="4"/>
      <c r="C815" s="4"/>
      <c r="D815" s="4"/>
      <c r="E815" s="17"/>
      <c r="F815" s="22"/>
    </row>
    <row r="816" spans="1:6" ht="15.75" thickBot="1">
      <c r="A816" s="3"/>
      <c r="B816" s="4"/>
      <c r="C816" s="4"/>
      <c r="D816" s="4"/>
      <c r="E816" s="17"/>
      <c r="F816" s="22"/>
    </row>
    <row r="817" spans="1:6" ht="15.75" thickBot="1">
      <c r="A817" s="3"/>
      <c r="B817" s="4"/>
      <c r="C817" s="4"/>
      <c r="D817" s="4"/>
      <c r="E817" s="17"/>
      <c r="F817" s="22"/>
    </row>
    <row r="818" spans="1:6" ht="15.75" thickBot="1">
      <c r="A818" s="3"/>
      <c r="B818" s="4"/>
      <c r="C818" s="4"/>
      <c r="D818" s="4"/>
      <c r="E818" s="17"/>
      <c r="F818" s="22"/>
    </row>
    <row r="819" spans="1:6" ht="15.75" thickBot="1">
      <c r="A819" s="3"/>
      <c r="B819" s="4"/>
      <c r="C819" s="4"/>
      <c r="D819" s="4"/>
      <c r="E819" s="17"/>
      <c r="F819" s="22"/>
    </row>
    <row r="820" spans="1:6" ht="15.75" thickBot="1">
      <c r="A820" s="3"/>
      <c r="B820" s="4"/>
      <c r="C820" s="4"/>
      <c r="D820" s="4"/>
      <c r="E820" s="17"/>
      <c r="F820" s="22"/>
    </row>
    <row r="821" spans="1:6" ht="15.75" thickBot="1">
      <c r="A821" s="3"/>
      <c r="B821" s="4"/>
      <c r="C821" s="4"/>
      <c r="D821" s="4"/>
      <c r="E821" s="17"/>
      <c r="F821" s="22"/>
    </row>
    <row r="822" spans="1:6" ht="15.75" thickBot="1">
      <c r="A822" s="3"/>
      <c r="B822" s="4"/>
      <c r="C822" s="4"/>
      <c r="D822" s="4"/>
      <c r="E822" s="17"/>
      <c r="F822" s="22"/>
    </row>
    <row r="823" spans="1:6" ht="15.75" thickBot="1">
      <c r="A823" s="3"/>
      <c r="B823" s="4"/>
      <c r="C823" s="4"/>
      <c r="D823" s="4"/>
      <c r="E823" s="17"/>
      <c r="F823" s="22"/>
    </row>
    <row r="824" spans="1:6" ht="15.75" thickBot="1">
      <c r="A824" s="3"/>
      <c r="B824" s="4"/>
      <c r="C824" s="4"/>
      <c r="D824" s="4"/>
      <c r="E824" s="17"/>
      <c r="F824" s="22"/>
    </row>
    <row r="825" spans="1:6" ht="15.75" thickBot="1">
      <c r="A825" s="3"/>
      <c r="B825" s="4"/>
      <c r="C825" s="4"/>
      <c r="D825" s="4"/>
      <c r="E825" s="17"/>
      <c r="F825" s="22"/>
    </row>
    <row r="826" spans="1:6" ht="15.75" thickBot="1">
      <c r="A826" s="3"/>
      <c r="B826" s="4"/>
      <c r="C826" s="4"/>
      <c r="D826" s="4"/>
      <c r="E826" s="17"/>
      <c r="F826" s="22"/>
    </row>
    <row r="827" spans="1:6" ht="15.75" thickBot="1">
      <c r="A827" s="3"/>
      <c r="B827" s="4"/>
      <c r="C827" s="4"/>
      <c r="D827" s="4"/>
      <c r="E827" s="17"/>
      <c r="F827" s="22"/>
    </row>
    <row r="828" spans="1:6" ht="15.75" thickBot="1">
      <c r="A828" s="3"/>
      <c r="B828" s="4"/>
      <c r="C828" s="4"/>
      <c r="D828" s="4"/>
      <c r="E828" s="17"/>
      <c r="F828" s="22"/>
    </row>
    <row r="829" spans="1:6" ht="15.75" thickBot="1">
      <c r="A829" s="3"/>
      <c r="B829" s="4"/>
      <c r="C829" s="4"/>
      <c r="D829" s="4"/>
      <c r="E829" s="17"/>
      <c r="F829" s="22"/>
    </row>
    <row r="830" spans="1:6" ht="15.75" thickBot="1">
      <c r="A830" s="3"/>
      <c r="B830" s="4"/>
      <c r="C830" s="4"/>
      <c r="D830" s="4"/>
      <c r="E830" s="17"/>
      <c r="F830" s="22"/>
    </row>
    <row r="831" spans="1:6" ht="15.75" thickBot="1">
      <c r="A831" s="3"/>
      <c r="B831" s="4"/>
      <c r="C831" s="4"/>
      <c r="D831" s="4"/>
      <c r="E831" s="17"/>
      <c r="F831" s="22"/>
    </row>
    <row r="832" spans="1:6" ht="15.75" thickBot="1">
      <c r="A832" s="3"/>
      <c r="B832" s="4"/>
      <c r="C832" s="4"/>
      <c r="D832" s="4"/>
      <c r="E832" s="17"/>
      <c r="F832" s="22"/>
    </row>
    <row r="833" spans="1:6" ht="15.75" thickBot="1">
      <c r="A833" s="3"/>
      <c r="B833" s="4"/>
      <c r="C833" s="4"/>
      <c r="D833" s="4"/>
      <c r="E833" s="17"/>
      <c r="F833" s="22"/>
    </row>
    <row r="834" spans="1:6" ht="15.75" thickBot="1">
      <c r="A834" s="3"/>
      <c r="B834" s="4"/>
      <c r="C834" s="4"/>
      <c r="D834" s="4"/>
      <c r="E834" s="17"/>
      <c r="F834" s="22"/>
    </row>
    <row r="835" spans="1:6" ht="15.75" thickBot="1">
      <c r="A835" s="3"/>
      <c r="B835" s="4"/>
      <c r="C835" s="4"/>
      <c r="D835" s="4"/>
      <c r="E835" s="17"/>
      <c r="F835" s="22"/>
    </row>
    <row r="836" spans="1:6" ht="15.75" thickBot="1">
      <c r="A836" s="3"/>
      <c r="B836" s="4"/>
      <c r="C836" s="4"/>
      <c r="D836" s="4"/>
      <c r="E836" s="17"/>
      <c r="F836" s="22"/>
    </row>
    <row r="837" spans="1:6" ht="15.75" thickBot="1">
      <c r="A837" s="3"/>
      <c r="B837" s="4"/>
      <c r="C837" s="4"/>
      <c r="D837" s="4"/>
      <c r="E837" s="17"/>
      <c r="F837" s="22"/>
    </row>
    <row r="838" spans="1:6" ht="15.75" thickBot="1">
      <c r="A838" s="3"/>
      <c r="B838" s="4"/>
      <c r="C838" s="4"/>
      <c r="D838" s="4"/>
      <c r="E838" s="17"/>
      <c r="F838" s="22"/>
    </row>
    <row r="839" spans="1:6" ht="15.75" thickBot="1">
      <c r="A839" s="3"/>
      <c r="B839" s="4"/>
      <c r="C839" s="4"/>
      <c r="D839" s="4"/>
      <c r="E839" s="17"/>
      <c r="F839" s="22"/>
    </row>
    <row r="840" spans="1:6" ht="15.75" thickBot="1">
      <c r="A840" s="3"/>
      <c r="B840" s="4"/>
      <c r="C840" s="4"/>
      <c r="D840" s="4"/>
      <c r="E840" s="17"/>
      <c r="F840" s="22"/>
    </row>
    <row r="841" spans="1:6" ht="15.75" thickBot="1">
      <c r="A841" s="3"/>
      <c r="B841" s="4"/>
      <c r="C841" s="4"/>
      <c r="D841" s="4"/>
      <c r="E841" s="17"/>
      <c r="F841" s="22"/>
    </row>
    <row r="842" spans="1:6" ht="15.75" thickBot="1">
      <c r="A842" s="3"/>
      <c r="B842" s="4"/>
      <c r="C842" s="4"/>
      <c r="D842" s="4"/>
      <c r="E842" s="17"/>
      <c r="F842" s="22"/>
    </row>
    <row r="843" spans="1:6" ht="15.75" thickBot="1">
      <c r="A843" s="3"/>
      <c r="B843" s="4"/>
      <c r="C843" s="4"/>
      <c r="D843" s="4"/>
      <c r="E843" s="17"/>
      <c r="F843" s="22"/>
    </row>
    <row r="844" spans="1:6" ht="15.75" thickBot="1">
      <c r="A844" s="3"/>
      <c r="B844" s="4"/>
      <c r="C844" s="4"/>
      <c r="D844" s="4"/>
      <c r="E844" s="17"/>
      <c r="F844" s="22"/>
    </row>
    <row r="845" spans="1:6" ht="15.75" thickBot="1">
      <c r="A845" s="3"/>
      <c r="B845" s="4"/>
      <c r="C845" s="4"/>
      <c r="D845" s="4"/>
      <c r="E845" s="17"/>
      <c r="F845" s="22"/>
    </row>
    <row r="846" spans="1:6" ht="15.75" thickBot="1">
      <c r="A846" s="3"/>
      <c r="B846" s="4"/>
      <c r="C846" s="4"/>
      <c r="D846" s="4"/>
      <c r="E846" s="17"/>
      <c r="F846" s="22"/>
    </row>
    <row r="847" spans="1:6" ht="15.75" thickBot="1">
      <c r="A847" s="3"/>
      <c r="B847" s="4"/>
      <c r="C847" s="4"/>
      <c r="D847" s="4"/>
      <c r="E847" s="17"/>
      <c r="F847" s="22"/>
    </row>
    <row r="848" spans="1:6" ht="15.75" thickBot="1">
      <c r="A848" s="3"/>
      <c r="B848" s="4"/>
      <c r="C848" s="4"/>
      <c r="D848" s="4"/>
      <c r="E848" s="17"/>
      <c r="F848" s="22"/>
    </row>
    <row r="849" spans="1:6" ht="15.75" thickBot="1">
      <c r="A849" s="3"/>
      <c r="B849" s="4"/>
      <c r="C849" s="4"/>
      <c r="D849" s="4"/>
      <c r="E849" s="17"/>
      <c r="F849" s="22"/>
    </row>
    <row r="850" spans="1:6" ht="15.75" thickBot="1">
      <c r="A850" s="3"/>
      <c r="B850" s="4"/>
      <c r="C850" s="4"/>
      <c r="D850" s="4"/>
      <c r="E850" s="17"/>
      <c r="F850" s="22"/>
    </row>
    <row r="851" spans="1:6" ht="15.75" thickBot="1">
      <c r="A851" s="3"/>
      <c r="B851" s="4"/>
      <c r="C851" s="4"/>
      <c r="D851" s="4"/>
      <c r="E851" s="17"/>
      <c r="F851" s="22"/>
    </row>
    <row r="852" spans="1:6" ht="15.75" thickBot="1">
      <c r="A852" s="3"/>
      <c r="B852" s="4"/>
      <c r="C852" s="4"/>
      <c r="D852" s="4"/>
      <c r="E852" s="17"/>
      <c r="F852" s="22"/>
    </row>
    <row r="853" spans="1:6" ht="15.75" thickBot="1">
      <c r="A853" s="3"/>
      <c r="B853" s="4"/>
      <c r="C853" s="4"/>
      <c r="D853" s="4"/>
      <c r="E853" s="17"/>
      <c r="F853" s="22"/>
    </row>
    <row r="854" spans="1:6" ht="15.75" thickBot="1">
      <c r="A854" s="3"/>
      <c r="B854" s="4"/>
      <c r="C854" s="4"/>
      <c r="D854" s="4"/>
      <c r="E854" s="17"/>
      <c r="F854" s="22"/>
    </row>
    <row r="855" spans="1:6" ht="15.75" thickBot="1">
      <c r="A855" s="3"/>
      <c r="B855" s="4"/>
      <c r="C855" s="4"/>
      <c r="D855" s="4"/>
      <c r="E855" s="17"/>
      <c r="F855" s="22"/>
    </row>
    <row r="856" spans="1:6" ht="15.75" thickBot="1">
      <c r="A856" s="3"/>
      <c r="B856" s="4"/>
      <c r="C856" s="4"/>
      <c r="D856" s="4"/>
      <c r="E856" s="17"/>
      <c r="F856" s="22"/>
    </row>
    <row r="857" spans="1:6" ht="15.75" thickBot="1">
      <c r="A857" s="3"/>
      <c r="B857" s="4"/>
      <c r="C857" s="4"/>
      <c r="D857" s="4"/>
      <c r="E857" s="17"/>
      <c r="F857" s="22"/>
    </row>
    <row r="858" spans="1:6" ht="15.75" thickBot="1">
      <c r="A858" s="3"/>
      <c r="B858" s="4"/>
      <c r="C858" s="4"/>
      <c r="D858" s="4"/>
      <c r="E858" s="17"/>
      <c r="F858" s="22"/>
    </row>
    <row r="859" spans="1:6" ht="15.75" thickBot="1">
      <c r="A859" s="3"/>
      <c r="B859" s="4"/>
      <c r="C859" s="4"/>
      <c r="D859" s="4"/>
      <c r="E859" s="17"/>
      <c r="F859" s="22"/>
    </row>
    <row r="860" spans="1:6" ht="15.75" thickBot="1">
      <c r="A860" s="3"/>
      <c r="B860" s="4"/>
      <c r="C860" s="4"/>
      <c r="D860" s="4"/>
      <c r="E860" s="17"/>
      <c r="F860" s="22"/>
    </row>
    <row r="861" spans="1:6" ht="15.75" thickBot="1">
      <c r="A861" s="3"/>
      <c r="B861" s="4"/>
      <c r="C861" s="4"/>
      <c r="D861" s="4"/>
      <c r="E861" s="17"/>
      <c r="F861" s="22"/>
    </row>
    <row r="862" spans="1:6" ht="15.75" thickBot="1">
      <c r="A862" s="3"/>
      <c r="B862" s="4"/>
      <c r="C862" s="4"/>
      <c r="D862" s="4"/>
      <c r="E862" s="17"/>
      <c r="F862" s="22"/>
    </row>
    <row r="863" spans="1:6" ht="15.75" thickBot="1">
      <c r="A863" s="3"/>
      <c r="B863" s="4"/>
      <c r="C863" s="4"/>
      <c r="D863" s="4"/>
      <c r="E863" s="17"/>
      <c r="F863" s="22"/>
    </row>
    <row r="864" spans="1:6" ht="15.75" thickBot="1">
      <c r="A864" s="3"/>
      <c r="B864" s="4"/>
      <c r="C864" s="4"/>
      <c r="D864" s="4"/>
      <c r="E864" s="17"/>
      <c r="F864" s="22"/>
    </row>
    <row r="865" spans="1:6" ht="15.75" thickBot="1">
      <c r="A865" s="3"/>
      <c r="B865" s="4"/>
      <c r="C865" s="4"/>
      <c r="D865" s="4"/>
      <c r="E865" s="17"/>
      <c r="F865" s="22"/>
    </row>
    <row r="866" spans="1:6" ht="15.75" thickBot="1">
      <c r="A866" s="3"/>
      <c r="B866" s="4"/>
      <c r="C866" s="4"/>
      <c r="D866" s="4"/>
      <c r="E866" s="17"/>
      <c r="F866" s="22"/>
    </row>
    <row r="867" spans="1:6" ht="15.75" thickBot="1">
      <c r="A867" s="3"/>
      <c r="B867" s="4"/>
      <c r="C867" s="4"/>
      <c r="D867" s="4"/>
      <c r="E867" s="17"/>
      <c r="F867" s="22"/>
    </row>
    <row r="868" spans="1:6" ht="15.75" thickBot="1">
      <c r="A868" s="3"/>
      <c r="B868" s="4"/>
      <c r="C868" s="4"/>
      <c r="D868" s="4"/>
      <c r="E868" s="17"/>
      <c r="F868" s="22"/>
    </row>
    <row r="869" spans="1:6" ht="15.75" thickBot="1">
      <c r="A869" s="3"/>
      <c r="B869" s="4"/>
      <c r="C869" s="4"/>
      <c r="D869" s="4"/>
      <c r="E869" s="17"/>
      <c r="F869" s="22"/>
    </row>
    <row r="870" spans="1:6" ht="15.75" thickBot="1">
      <c r="A870" s="3"/>
      <c r="B870" s="4"/>
      <c r="C870" s="4"/>
      <c r="D870" s="4"/>
      <c r="E870" s="17"/>
      <c r="F870" s="22"/>
    </row>
    <row r="871" spans="1:6" ht="15.75" thickBot="1">
      <c r="A871" s="3"/>
      <c r="B871" s="4"/>
      <c r="C871" s="4"/>
      <c r="D871" s="4"/>
      <c r="E871" s="17"/>
      <c r="F871" s="22"/>
    </row>
    <row r="872" spans="1:6" ht="15.75" thickBot="1">
      <c r="A872" s="3"/>
      <c r="B872" s="4"/>
      <c r="C872" s="4"/>
      <c r="D872" s="4"/>
      <c r="E872" s="17"/>
      <c r="F872" s="22"/>
    </row>
    <row r="873" spans="1:6" ht="15.75" thickBot="1">
      <c r="A873" s="3"/>
      <c r="B873" s="4"/>
      <c r="C873" s="4"/>
      <c r="D873" s="4"/>
      <c r="E873" s="17"/>
      <c r="F873" s="22"/>
    </row>
    <row r="874" spans="1:6" ht="15.75" thickBot="1">
      <c r="A874" s="3"/>
      <c r="B874" s="4"/>
      <c r="C874" s="4"/>
      <c r="D874" s="4"/>
      <c r="E874" s="17"/>
      <c r="F874" s="22"/>
    </row>
    <row r="875" spans="1:6" ht="15.75" thickBot="1">
      <c r="A875" s="3"/>
      <c r="B875" s="4"/>
      <c r="C875" s="4"/>
      <c r="D875" s="4"/>
      <c r="E875" s="17"/>
      <c r="F875" s="22"/>
    </row>
    <row r="876" spans="1:6" ht="15.75" thickBot="1">
      <c r="A876" s="3"/>
      <c r="B876" s="4"/>
      <c r="C876" s="4"/>
      <c r="D876" s="4"/>
      <c r="E876" s="17"/>
      <c r="F876" s="22"/>
    </row>
    <row r="877" spans="1:6" ht="15.75" thickBot="1">
      <c r="A877" s="3"/>
      <c r="B877" s="4"/>
      <c r="C877" s="4"/>
      <c r="D877" s="4"/>
      <c r="E877" s="17"/>
      <c r="F877" s="22"/>
    </row>
    <row r="878" spans="1:6" ht="15.75" thickBot="1">
      <c r="A878" s="3"/>
      <c r="B878" s="4"/>
      <c r="C878" s="4"/>
      <c r="D878" s="4"/>
      <c r="E878" s="17"/>
      <c r="F878" s="22"/>
    </row>
    <row r="879" spans="1:6" ht="15.75" thickBot="1">
      <c r="A879" s="3"/>
      <c r="B879" s="4"/>
      <c r="C879" s="4"/>
      <c r="D879" s="4"/>
      <c r="E879" s="17"/>
      <c r="F879" s="22"/>
    </row>
    <row r="880" spans="1:6" ht="15.75" thickBot="1">
      <c r="A880" s="3"/>
      <c r="B880" s="4"/>
      <c r="C880" s="4"/>
      <c r="D880" s="4"/>
      <c r="E880" s="17"/>
      <c r="F880" s="22"/>
    </row>
    <row r="881" spans="1:6" ht="15.75" thickBot="1">
      <c r="A881" s="3"/>
      <c r="B881" s="4"/>
      <c r="C881" s="4"/>
      <c r="D881" s="4"/>
      <c r="E881" s="17"/>
      <c r="F881" s="22"/>
    </row>
    <row r="882" spans="1:6" ht="15.75" thickBot="1">
      <c r="A882" s="3"/>
      <c r="B882" s="4"/>
      <c r="C882" s="4"/>
      <c r="D882" s="4"/>
      <c r="E882" s="17"/>
      <c r="F882" s="22"/>
    </row>
    <row r="883" spans="1:6" ht="15.75" thickBot="1">
      <c r="A883" s="3"/>
      <c r="B883" s="4"/>
      <c r="C883" s="4"/>
      <c r="D883" s="4"/>
      <c r="E883" s="17"/>
      <c r="F883" s="22"/>
    </row>
    <row r="884" spans="1:6" ht="15.75" thickBot="1">
      <c r="A884" s="3"/>
      <c r="B884" s="4"/>
      <c r="C884" s="4"/>
      <c r="D884" s="4"/>
      <c r="E884" s="17"/>
      <c r="F884" s="22"/>
    </row>
    <row r="885" spans="1:6" ht="15.75" thickBot="1">
      <c r="A885" s="3"/>
      <c r="B885" s="4"/>
      <c r="C885" s="4"/>
      <c r="D885" s="4"/>
      <c r="E885" s="17"/>
      <c r="F885" s="22"/>
    </row>
    <row r="886" spans="1:6" ht="15.75" thickBot="1">
      <c r="A886" s="3"/>
      <c r="B886" s="4"/>
      <c r="C886" s="4"/>
      <c r="D886" s="4"/>
      <c r="E886" s="17"/>
      <c r="F886" s="22"/>
    </row>
    <row r="887" spans="1:6" ht="15.75" thickBot="1">
      <c r="A887" s="3"/>
      <c r="B887" s="4"/>
      <c r="C887" s="4"/>
      <c r="D887" s="4"/>
      <c r="E887" s="17"/>
      <c r="F887" s="22"/>
    </row>
    <row r="888" spans="1:6" ht="15.75" thickBot="1">
      <c r="A888" s="3"/>
      <c r="B888" s="4"/>
      <c r="C888" s="4"/>
      <c r="D888" s="4"/>
      <c r="E888" s="17"/>
      <c r="F888" s="22"/>
    </row>
    <row r="889" spans="1:6" ht="15.75" thickBot="1">
      <c r="A889" s="3"/>
      <c r="B889" s="4"/>
      <c r="C889" s="4"/>
      <c r="D889" s="4"/>
      <c r="E889" s="17"/>
      <c r="F889" s="22"/>
    </row>
    <row r="890" spans="1:6" ht="15.75" thickBot="1">
      <c r="A890" s="3"/>
      <c r="B890" s="4"/>
      <c r="C890" s="4"/>
      <c r="D890" s="4"/>
      <c r="E890" s="17"/>
      <c r="F890" s="22"/>
    </row>
    <row r="891" spans="1:6" ht="15.75" thickBot="1">
      <c r="A891" s="3"/>
      <c r="B891" s="4"/>
      <c r="C891" s="4"/>
      <c r="D891" s="4"/>
      <c r="E891" s="17"/>
      <c r="F891" s="22"/>
    </row>
    <row r="892" spans="1:6" ht="15.75" thickBot="1">
      <c r="A892" s="3"/>
      <c r="B892" s="4"/>
      <c r="C892" s="4"/>
      <c r="D892" s="4"/>
      <c r="E892" s="17"/>
      <c r="F892" s="22"/>
    </row>
    <row r="893" spans="1:6" ht="15.75" thickBot="1">
      <c r="A893" s="3"/>
      <c r="B893" s="4"/>
      <c r="C893" s="4"/>
      <c r="D893" s="4"/>
      <c r="E893" s="17"/>
      <c r="F893" s="22"/>
    </row>
    <row r="894" spans="1:6" ht="15.75" thickBot="1">
      <c r="A894" s="3"/>
      <c r="B894" s="4"/>
      <c r="C894" s="4"/>
      <c r="D894" s="4"/>
      <c r="E894" s="17"/>
      <c r="F894" s="22"/>
    </row>
    <row r="895" spans="1:6" ht="15.75" thickBot="1">
      <c r="A895" s="3"/>
      <c r="B895" s="4"/>
      <c r="C895" s="4"/>
      <c r="D895" s="4"/>
      <c r="E895" s="17"/>
      <c r="F895" s="22"/>
    </row>
    <row r="896" spans="1:6" ht="15.75" thickBot="1">
      <c r="A896" s="3"/>
      <c r="B896" s="4"/>
      <c r="C896" s="4"/>
      <c r="D896" s="4"/>
      <c r="E896" s="17"/>
      <c r="F896" s="22"/>
    </row>
    <row r="897" spans="1:6" ht="15.75" thickBot="1">
      <c r="A897" s="3"/>
      <c r="B897" s="4"/>
      <c r="C897" s="4"/>
      <c r="D897" s="4"/>
      <c r="E897" s="17"/>
      <c r="F897" s="22"/>
    </row>
    <row r="898" spans="1:6" ht="15.75" thickBot="1">
      <c r="A898" s="3"/>
      <c r="B898" s="4"/>
      <c r="C898" s="4"/>
      <c r="D898" s="4"/>
      <c r="E898" s="17"/>
      <c r="F898" s="22"/>
    </row>
    <row r="899" spans="1:6" ht="15.75" thickBot="1">
      <c r="A899" s="3"/>
      <c r="B899" s="4"/>
      <c r="C899" s="4"/>
      <c r="D899" s="4"/>
      <c r="E899" s="17"/>
      <c r="F899" s="22"/>
    </row>
    <row r="900" spans="1:6" ht="15.75" thickBot="1">
      <c r="A900" s="3"/>
      <c r="B900" s="4"/>
      <c r="C900" s="4"/>
      <c r="D900" s="4"/>
      <c r="E900" s="17"/>
      <c r="F900" s="22"/>
    </row>
    <row r="901" spans="1:6" ht="15.75" thickBot="1">
      <c r="A901" s="3"/>
      <c r="B901" s="4"/>
      <c r="C901" s="4"/>
      <c r="D901" s="4"/>
      <c r="E901" s="17"/>
      <c r="F901" s="22"/>
    </row>
    <row r="902" spans="1:6" ht="15.75" thickBot="1">
      <c r="A902" s="3"/>
      <c r="B902" s="4"/>
      <c r="C902" s="4"/>
      <c r="D902" s="4"/>
      <c r="E902" s="17"/>
      <c r="F902" s="22"/>
    </row>
    <row r="903" spans="1:6" ht="15.75" thickBot="1">
      <c r="A903" s="3"/>
      <c r="B903" s="4"/>
      <c r="C903" s="4"/>
      <c r="D903" s="4"/>
      <c r="E903" s="17"/>
      <c r="F903" s="22"/>
    </row>
    <row r="904" spans="1:6" ht="15.75" thickBot="1">
      <c r="A904" s="3"/>
      <c r="B904" s="4"/>
      <c r="C904" s="4"/>
      <c r="D904" s="4"/>
      <c r="E904" s="17"/>
      <c r="F904" s="22"/>
    </row>
    <row r="905" spans="1:6" ht="15.75" thickBot="1">
      <c r="A905" s="3"/>
      <c r="B905" s="4"/>
      <c r="C905" s="4"/>
      <c r="D905" s="4"/>
      <c r="E905" s="17"/>
      <c r="F905" s="22"/>
    </row>
    <row r="906" spans="1:6" ht="15.75" thickBot="1">
      <c r="A906" s="3"/>
      <c r="B906" s="4"/>
      <c r="C906" s="4"/>
      <c r="D906" s="4"/>
      <c r="E906" s="17"/>
      <c r="F906" s="22"/>
    </row>
    <row r="907" spans="1:6" ht="15.75" thickBot="1">
      <c r="A907" s="3"/>
      <c r="B907" s="4"/>
      <c r="C907" s="4"/>
      <c r="D907" s="4"/>
      <c r="E907" s="17"/>
      <c r="F907" s="22"/>
    </row>
    <row r="908" spans="1:6" ht="15.75" thickBot="1">
      <c r="A908" s="3"/>
      <c r="B908" s="4"/>
      <c r="C908" s="4"/>
      <c r="D908" s="4"/>
      <c r="E908" s="17"/>
      <c r="F908" s="22"/>
    </row>
    <row r="909" spans="1:6" ht="15.75" thickBot="1">
      <c r="A909" s="3"/>
      <c r="B909" s="4"/>
      <c r="C909" s="4"/>
      <c r="D909" s="4"/>
      <c r="E909" s="17"/>
      <c r="F909" s="22"/>
    </row>
    <row r="910" spans="1:6" ht="15.75" thickBot="1">
      <c r="A910" s="3"/>
      <c r="B910" s="4"/>
      <c r="C910" s="4"/>
      <c r="D910" s="4"/>
      <c r="E910" s="17"/>
      <c r="F910" s="22"/>
    </row>
    <row r="911" spans="1:6" ht="15.75" thickBot="1">
      <c r="A911" s="3"/>
      <c r="B911" s="4"/>
      <c r="C911" s="4"/>
      <c r="D911" s="4"/>
      <c r="E911" s="17"/>
      <c r="F911" s="22"/>
    </row>
    <row r="912" spans="1:6" ht="15.75" thickBot="1">
      <c r="A912" s="3"/>
      <c r="B912" s="4"/>
      <c r="C912" s="4"/>
      <c r="D912" s="4"/>
      <c r="E912" s="17"/>
      <c r="F912" s="22"/>
    </row>
    <row r="913" spans="1:6" ht="15.75" thickBot="1">
      <c r="A913" s="3"/>
      <c r="B913" s="4"/>
      <c r="C913" s="4"/>
      <c r="D913" s="4"/>
      <c r="E913" s="17"/>
      <c r="F913" s="22"/>
    </row>
    <row r="914" spans="1:6" ht="15.75" thickBot="1">
      <c r="A914" s="3"/>
      <c r="B914" s="4"/>
      <c r="C914" s="4"/>
      <c r="D914" s="4"/>
      <c r="E914" s="17"/>
      <c r="F914" s="22"/>
    </row>
    <row r="915" spans="1:6" ht="15.75" thickBot="1">
      <c r="A915" s="3"/>
      <c r="B915" s="4"/>
      <c r="C915" s="4"/>
      <c r="D915" s="4"/>
      <c r="E915" s="17"/>
      <c r="F915" s="22"/>
    </row>
    <row r="916" spans="1:6" ht="15.75" thickBot="1">
      <c r="A916" s="3"/>
      <c r="B916" s="4"/>
      <c r="C916" s="4"/>
      <c r="D916" s="4"/>
      <c r="E916" s="17"/>
      <c r="F916" s="22"/>
    </row>
    <row r="917" spans="1:6" ht="15.75" thickBot="1">
      <c r="A917" s="3"/>
      <c r="B917" s="4"/>
      <c r="C917" s="4"/>
      <c r="D917" s="4"/>
      <c r="E917" s="17"/>
      <c r="F917" s="22"/>
    </row>
    <row r="918" spans="1:6" ht="15.75" thickBot="1">
      <c r="A918" s="3"/>
      <c r="B918" s="4"/>
      <c r="C918" s="4"/>
      <c r="D918" s="4"/>
      <c r="E918" s="17"/>
      <c r="F918" s="22"/>
    </row>
    <row r="919" spans="1:6" ht="15.75" thickBot="1">
      <c r="A919" s="3"/>
      <c r="B919" s="4"/>
      <c r="C919" s="4"/>
      <c r="D919" s="4"/>
      <c r="E919" s="17"/>
      <c r="F919" s="22"/>
    </row>
    <row r="920" spans="1:6" ht="15.75" thickBot="1">
      <c r="A920" s="3"/>
      <c r="B920" s="4"/>
      <c r="C920" s="4"/>
      <c r="D920" s="4"/>
      <c r="E920" s="17"/>
      <c r="F920" s="22"/>
    </row>
    <row r="921" spans="1:6" ht="15.75" thickBot="1">
      <c r="A921" s="3"/>
      <c r="B921" s="4"/>
      <c r="C921" s="4"/>
      <c r="D921" s="4"/>
      <c r="E921" s="17"/>
      <c r="F921" s="22"/>
    </row>
    <row r="922" spans="1:6" ht="15.75" thickBot="1">
      <c r="A922" s="3"/>
      <c r="B922" s="4"/>
      <c r="C922" s="4"/>
      <c r="D922" s="4"/>
      <c r="E922" s="17"/>
      <c r="F922" s="22"/>
    </row>
    <row r="923" spans="1:6" ht="15.75" thickBot="1">
      <c r="A923" s="3"/>
      <c r="B923" s="4"/>
      <c r="C923" s="4"/>
      <c r="D923" s="4"/>
      <c r="E923" s="17"/>
      <c r="F923" s="22"/>
    </row>
    <row r="924" spans="1:6" ht="15.75" thickBot="1">
      <c r="A924" s="3"/>
      <c r="B924" s="4"/>
      <c r="C924" s="4"/>
      <c r="D924" s="4"/>
      <c r="E924" s="17"/>
      <c r="F924" s="22"/>
    </row>
    <row r="925" spans="1:6" ht="15.75" thickBot="1">
      <c r="A925" s="3"/>
      <c r="B925" s="4"/>
      <c r="C925" s="4"/>
      <c r="D925" s="4"/>
      <c r="E925" s="17"/>
      <c r="F925" s="22"/>
    </row>
    <row r="926" spans="1:6" ht="15.75" thickBot="1">
      <c r="A926" s="3"/>
      <c r="B926" s="4"/>
      <c r="C926" s="4"/>
      <c r="D926" s="4"/>
      <c r="E926" s="17"/>
      <c r="F926" s="22"/>
    </row>
    <row r="927" spans="1:6" ht="15.75" thickBot="1">
      <c r="A927" s="3"/>
      <c r="B927" s="4"/>
      <c r="C927" s="4"/>
      <c r="D927" s="4"/>
      <c r="E927" s="17"/>
      <c r="F927" s="22"/>
    </row>
    <row r="928" spans="1:6" ht="15.75" thickBot="1">
      <c r="A928" s="3"/>
      <c r="B928" s="4"/>
      <c r="C928" s="4"/>
      <c r="D928" s="4"/>
      <c r="E928" s="17"/>
      <c r="F928" s="22"/>
    </row>
    <row r="929" spans="1:6" ht="15.75" thickBot="1">
      <c r="A929" s="3"/>
      <c r="B929" s="4"/>
      <c r="C929" s="4"/>
      <c r="D929" s="4"/>
      <c r="E929" s="17"/>
      <c r="F929" s="22"/>
    </row>
    <row r="930" spans="1:6" ht="15.75" thickBot="1">
      <c r="A930" s="3"/>
      <c r="B930" s="4"/>
      <c r="C930" s="4"/>
      <c r="D930" s="4"/>
      <c r="E930" s="17"/>
      <c r="F930" s="22"/>
    </row>
    <row r="931" spans="1:6" ht="15.75" thickBot="1">
      <c r="A931" s="3"/>
      <c r="B931" s="4"/>
      <c r="C931" s="4"/>
      <c r="D931" s="4"/>
      <c r="E931" s="17"/>
      <c r="F931" s="22"/>
    </row>
    <row r="932" spans="1:6" ht="15.75" thickBot="1">
      <c r="A932" s="3"/>
      <c r="B932" s="4"/>
      <c r="C932" s="4"/>
      <c r="D932" s="4"/>
      <c r="E932" s="17"/>
      <c r="F932" s="22"/>
    </row>
    <row r="933" spans="1:6" ht="15.75" thickBot="1">
      <c r="A933" s="3"/>
      <c r="B933" s="4"/>
      <c r="C933" s="4"/>
      <c r="D933" s="4"/>
      <c r="E933" s="17"/>
      <c r="F933" s="22"/>
    </row>
    <row r="934" spans="1:6" ht="15.75" thickBot="1">
      <c r="A934" s="3"/>
      <c r="B934" s="4"/>
      <c r="C934" s="4"/>
      <c r="D934" s="4"/>
      <c r="E934" s="17"/>
      <c r="F934" s="22"/>
    </row>
    <row r="935" spans="1:6" ht="15.75" thickBot="1">
      <c r="A935" s="3"/>
      <c r="B935" s="4"/>
      <c r="C935" s="4"/>
      <c r="D935" s="4"/>
      <c r="E935" s="17"/>
      <c r="F935" s="22"/>
    </row>
    <row r="936" spans="1:6" ht="15.75" thickBot="1">
      <c r="A936" s="3"/>
      <c r="B936" s="4"/>
      <c r="C936" s="4"/>
      <c r="D936" s="4"/>
      <c r="E936" s="17"/>
      <c r="F936" s="22"/>
    </row>
    <row r="937" spans="1:6" ht="15.75" thickBot="1">
      <c r="A937" s="3"/>
      <c r="B937" s="4"/>
      <c r="C937" s="4"/>
      <c r="D937" s="4"/>
      <c r="E937" s="17"/>
      <c r="F937" s="22"/>
    </row>
    <row r="938" spans="1:6" ht="15.75" thickBot="1">
      <c r="A938" s="3"/>
      <c r="B938" s="4"/>
      <c r="C938" s="4"/>
      <c r="D938" s="4"/>
      <c r="E938" s="17"/>
      <c r="F938" s="22"/>
    </row>
    <row r="939" spans="1:6" ht="15.75" thickBot="1">
      <c r="A939" s="3"/>
      <c r="B939" s="4"/>
      <c r="C939" s="4"/>
      <c r="D939" s="4"/>
      <c r="E939" s="17"/>
      <c r="F939" s="22"/>
    </row>
    <row r="940" spans="1:6" ht="15.75" thickBot="1">
      <c r="A940" s="3"/>
      <c r="B940" s="4"/>
      <c r="C940" s="4"/>
      <c r="D940" s="4"/>
      <c r="E940" s="17"/>
      <c r="F940" s="22"/>
    </row>
    <row r="941" spans="1:6" ht="15.75" thickBot="1">
      <c r="A941" s="3"/>
      <c r="B941" s="4"/>
      <c r="C941" s="4"/>
      <c r="D941" s="4"/>
      <c r="E941" s="17"/>
      <c r="F941" s="22"/>
    </row>
    <row r="942" spans="1:6" ht="15.75" thickBot="1">
      <c r="A942" s="3"/>
      <c r="B942" s="4"/>
      <c r="C942" s="4"/>
      <c r="D942" s="4"/>
      <c r="E942" s="17"/>
      <c r="F942" s="22"/>
    </row>
    <row r="943" spans="1:6" ht="15.75" thickBot="1">
      <c r="A943" s="3"/>
      <c r="B943" s="4"/>
      <c r="C943" s="4"/>
      <c r="D943" s="4"/>
      <c r="E943" s="17"/>
      <c r="F943" s="22"/>
    </row>
    <row r="944" spans="1:6" ht="15.75" thickBot="1">
      <c r="A944" s="3"/>
      <c r="B944" s="4"/>
      <c r="C944" s="4"/>
      <c r="D944" s="4"/>
      <c r="E944" s="17"/>
      <c r="F944" s="22"/>
    </row>
    <row r="945" spans="1:6" ht="15.75" thickBot="1">
      <c r="A945" s="3"/>
      <c r="B945" s="4"/>
      <c r="C945" s="4"/>
      <c r="D945" s="4"/>
      <c r="E945" s="17"/>
      <c r="F945" s="22"/>
    </row>
    <row r="946" spans="1:6" ht="15.75" thickBot="1">
      <c r="A946" s="3"/>
      <c r="B946" s="4"/>
      <c r="C946" s="4"/>
      <c r="D946" s="4"/>
      <c r="E946" s="17"/>
      <c r="F946" s="22"/>
    </row>
    <row r="947" spans="1:6" ht="15.75" thickBot="1">
      <c r="A947" s="3"/>
      <c r="B947" s="4"/>
      <c r="C947" s="4"/>
      <c r="D947" s="4"/>
      <c r="E947" s="17"/>
      <c r="F947" s="22"/>
    </row>
    <row r="948" spans="1:6" ht="15.75" thickBot="1">
      <c r="A948" s="3"/>
      <c r="B948" s="4"/>
      <c r="C948" s="4"/>
      <c r="D948" s="4"/>
      <c r="E948" s="17"/>
      <c r="F948" s="22"/>
    </row>
    <row r="949" spans="1:6" ht="15.75" thickBot="1">
      <c r="A949" s="3"/>
      <c r="B949" s="4"/>
      <c r="C949" s="4"/>
      <c r="D949" s="4"/>
      <c r="E949" s="17"/>
      <c r="F949" s="22"/>
    </row>
    <row r="950" spans="1:6" ht="15.75" thickBot="1">
      <c r="A950" s="3"/>
      <c r="B950" s="4"/>
      <c r="C950" s="4"/>
      <c r="D950" s="4"/>
      <c r="E950" s="17"/>
      <c r="F950" s="22"/>
    </row>
    <row r="951" spans="1:6" ht="15.75" thickBot="1">
      <c r="A951" s="3"/>
      <c r="B951" s="4"/>
      <c r="C951" s="4"/>
      <c r="D951" s="4"/>
      <c r="E951" s="17"/>
      <c r="F951" s="22"/>
    </row>
    <row r="952" spans="1:6" ht="15.75" thickBot="1">
      <c r="A952" s="3"/>
      <c r="B952" s="4"/>
      <c r="C952" s="4"/>
      <c r="D952" s="4"/>
      <c r="E952" s="17"/>
      <c r="F952" s="22"/>
    </row>
    <row r="953" spans="1:6" ht="15.75" thickBot="1">
      <c r="A953" s="3"/>
      <c r="B953" s="4"/>
      <c r="C953" s="4"/>
      <c r="D953" s="4"/>
      <c r="E953" s="17"/>
      <c r="F953" s="22"/>
    </row>
    <row r="954" spans="1:6" ht="15.75" thickBot="1">
      <c r="A954" s="3"/>
      <c r="B954" s="4"/>
      <c r="C954" s="4"/>
      <c r="D954" s="4"/>
      <c r="E954" s="17"/>
      <c r="F954" s="22"/>
    </row>
    <row r="955" spans="1:6" ht="15.75" thickBot="1">
      <c r="A955" s="3"/>
      <c r="B955" s="4"/>
      <c r="C955" s="4"/>
      <c r="D955" s="4"/>
      <c r="E955" s="17"/>
      <c r="F955" s="22"/>
    </row>
    <row r="956" spans="1:6" ht="15.75" thickBot="1">
      <c r="A956" s="3"/>
      <c r="B956" s="4"/>
      <c r="C956" s="4"/>
      <c r="D956" s="4"/>
      <c r="E956" s="17"/>
      <c r="F956" s="22"/>
    </row>
    <row r="957" spans="1:6" ht="15.75" thickBot="1">
      <c r="A957" s="3"/>
      <c r="B957" s="4"/>
      <c r="C957" s="4"/>
      <c r="D957" s="4"/>
      <c r="E957" s="17"/>
      <c r="F957" s="22"/>
    </row>
    <row r="958" spans="1:6" ht="15.75" thickBot="1">
      <c r="A958" s="3"/>
      <c r="B958" s="4"/>
      <c r="C958" s="4"/>
      <c r="D958" s="4"/>
      <c r="E958" s="17"/>
      <c r="F958" s="22"/>
    </row>
    <row r="959" spans="1:6" ht="15.75" thickBot="1">
      <c r="A959" s="3"/>
      <c r="B959" s="4"/>
      <c r="C959" s="4"/>
      <c r="D959" s="4"/>
      <c r="E959" s="17"/>
      <c r="F959" s="22"/>
    </row>
    <row r="960" spans="1:6" ht="15.75" thickBot="1">
      <c r="A960" s="3"/>
      <c r="B960" s="4"/>
      <c r="C960" s="4"/>
      <c r="D960" s="4"/>
      <c r="E960" s="17"/>
      <c r="F960" s="22"/>
    </row>
    <row r="961" spans="1:6" ht="15.75" thickBot="1">
      <c r="A961" s="3"/>
      <c r="B961" s="4"/>
      <c r="C961" s="4"/>
      <c r="D961" s="4"/>
      <c r="E961" s="17"/>
      <c r="F961" s="22"/>
    </row>
    <row r="962" spans="1:6" ht="15.75" thickBot="1">
      <c r="A962" s="3"/>
      <c r="B962" s="4"/>
      <c r="C962" s="4"/>
      <c r="D962" s="4"/>
      <c r="E962" s="17"/>
      <c r="F962" s="22"/>
    </row>
    <row r="963" spans="1:6" ht="15.75" thickBot="1">
      <c r="A963" s="3"/>
      <c r="B963" s="4"/>
      <c r="C963" s="4"/>
      <c r="D963" s="4"/>
      <c r="E963" s="17"/>
      <c r="F963" s="22"/>
    </row>
    <row r="964" spans="1:6" ht="15.75" thickBot="1">
      <c r="A964" s="3"/>
      <c r="B964" s="4"/>
      <c r="C964" s="4"/>
      <c r="D964" s="4"/>
      <c r="E964" s="17"/>
      <c r="F964" s="22"/>
    </row>
    <row r="965" spans="1:6" ht="15.75" thickBot="1">
      <c r="A965" s="3"/>
      <c r="B965" s="4"/>
      <c r="C965" s="4"/>
      <c r="D965" s="4"/>
      <c r="E965" s="17"/>
      <c r="F965" s="22"/>
    </row>
    <row r="966" spans="1:6" ht="15.75" thickBot="1">
      <c r="A966" s="3"/>
      <c r="B966" s="4"/>
      <c r="C966" s="4"/>
      <c r="D966" s="4"/>
      <c r="E966" s="17"/>
      <c r="F966" s="22"/>
    </row>
    <row r="967" spans="1:6" ht="15.75" thickBot="1">
      <c r="A967" s="3"/>
      <c r="B967" s="4"/>
      <c r="C967" s="4"/>
      <c r="D967" s="4"/>
      <c r="E967" s="17"/>
      <c r="F967" s="22"/>
    </row>
    <row r="968" spans="1:6" ht="15.75" thickBot="1">
      <c r="A968" s="3"/>
      <c r="B968" s="4"/>
      <c r="C968" s="4"/>
      <c r="D968" s="4"/>
      <c r="E968" s="17"/>
      <c r="F968" s="22"/>
    </row>
    <row r="969" spans="1:6" ht="15.75" thickBot="1">
      <c r="A969" s="3"/>
      <c r="B969" s="4"/>
      <c r="C969" s="4"/>
      <c r="D969" s="4"/>
      <c r="E969" s="17"/>
      <c r="F969" s="22"/>
    </row>
    <row r="970" spans="1:6" ht="15.75" thickBot="1">
      <c r="A970" s="3"/>
      <c r="B970" s="4"/>
      <c r="C970" s="4"/>
      <c r="D970" s="4"/>
      <c r="E970" s="17"/>
      <c r="F970" s="22"/>
    </row>
    <row r="971" spans="1:6" ht="15.75" thickBot="1">
      <c r="A971" s="3"/>
      <c r="B971" s="4"/>
      <c r="C971" s="4"/>
      <c r="D971" s="4"/>
      <c r="E971" s="17"/>
      <c r="F971" s="22"/>
    </row>
    <row r="972" spans="1:6" ht="15.75" thickBot="1">
      <c r="A972" s="3"/>
      <c r="B972" s="4"/>
      <c r="C972" s="4"/>
      <c r="D972" s="4"/>
      <c r="E972" s="17"/>
      <c r="F972" s="22"/>
    </row>
    <row r="973" spans="1:6" ht="15.75" thickBot="1">
      <c r="A973" s="3"/>
      <c r="B973" s="4"/>
      <c r="C973" s="4"/>
      <c r="D973" s="4"/>
      <c r="E973" s="17"/>
      <c r="F973" s="22"/>
    </row>
    <row r="974" spans="1:6" ht="15.75" thickBot="1">
      <c r="A974" s="3"/>
      <c r="B974" s="4"/>
      <c r="C974" s="4"/>
      <c r="D974" s="4"/>
      <c r="E974" s="17"/>
      <c r="F974" s="22"/>
    </row>
    <row r="975" spans="1:6" ht="15.75" thickBot="1">
      <c r="A975" s="3"/>
      <c r="B975" s="4"/>
      <c r="C975" s="4"/>
      <c r="D975" s="4"/>
      <c r="E975" s="17"/>
      <c r="F975" s="22"/>
    </row>
    <row r="976" spans="1:6" ht="15.75" thickBot="1">
      <c r="A976" s="3"/>
      <c r="B976" s="4"/>
      <c r="C976" s="4"/>
      <c r="D976" s="4"/>
      <c r="E976" s="17"/>
      <c r="F976" s="22"/>
    </row>
    <row r="977" spans="1:6" ht="15.75" thickBot="1">
      <c r="A977" s="3"/>
      <c r="B977" s="4"/>
      <c r="C977" s="4"/>
      <c r="D977" s="4"/>
      <c r="E977" s="17"/>
      <c r="F977" s="22"/>
    </row>
    <row r="978" spans="1:6" ht="15.75" thickBot="1">
      <c r="A978" s="3"/>
      <c r="B978" s="4"/>
      <c r="C978" s="4"/>
      <c r="D978" s="4"/>
      <c r="E978" s="17"/>
      <c r="F978" s="22"/>
    </row>
    <row r="979" spans="1:6" ht="15.75" thickBot="1">
      <c r="A979" s="3"/>
      <c r="B979" s="4"/>
      <c r="C979" s="4"/>
      <c r="D979" s="4"/>
      <c r="E979" s="17"/>
      <c r="F979" s="22"/>
    </row>
    <row r="980" spans="1:6" ht="15.75" thickBot="1">
      <c r="A980" s="3"/>
      <c r="B980" s="4"/>
      <c r="C980" s="4"/>
      <c r="D980" s="4"/>
      <c r="E980" s="17"/>
      <c r="F980" s="22"/>
    </row>
    <row r="981" spans="1:6" ht="15.75" thickBot="1">
      <c r="A981" s="3"/>
      <c r="B981" s="4"/>
      <c r="C981" s="4"/>
      <c r="D981" s="4"/>
      <c r="E981" s="17"/>
      <c r="F981" s="22"/>
    </row>
    <row r="982" spans="1:6" ht="15.75" thickBot="1">
      <c r="A982" s="3"/>
      <c r="B982" s="4"/>
      <c r="C982" s="4"/>
      <c r="D982" s="4"/>
      <c r="E982" s="17"/>
      <c r="F982" s="22"/>
    </row>
    <row r="983" spans="1:6" ht="15.75" thickBot="1">
      <c r="A983" s="3"/>
      <c r="B983" s="4"/>
      <c r="C983" s="4"/>
      <c r="D983" s="4"/>
      <c r="E983" s="17"/>
      <c r="F983" s="22"/>
    </row>
    <row r="984" spans="1:6" ht="15.75" thickBot="1">
      <c r="A984" s="3"/>
      <c r="B984" s="4"/>
      <c r="C984" s="4"/>
      <c r="D984" s="4"/>
      <c r="E984" s="17"/>
      <c r="F984" s="22"/>
    </row>
    <row r="985" spans="1:6" ht="15.75" thickBot="1">
      <c r="A985" s="3"/>
      <c r="B985" s="4"/>
      <c r="C985" s="4"/>
      <c r="D985" s="4"/>
      <c r="E985" s="17"/>
      <c r="F985" s="22"/>
    </row>
    <row r="986" spans="1:6" ht="15.75" thickBot="1">
      <c r="A986" s="3"/>
      <c r="B986" s="4"/>
      <c r="C986" s="4"/>
      <c r="D986" s="4"/>
      <c r="E986" s="17"/>
      <c r="F986" s="22"/>
    </row>
    <row r="987" spans="1:6" ht="15.75" thickBot="1">
      <c r="A987" s="3"/>
      <c r="B987" s="4"/>
      <c r="C987" s="4"/>
      <c r="D987" s="4"/>
      <c r="E987" s="17"/>
      <c r="F987" s="22"/>
    </row>
    <row r="988" spans="1:6" ht="15.75" thickBot="1">
      <c r="A988" s="3"/>
      <c r="B988" s="4"/>
      <c r="C988" s="4"/>
      <c r="D988" s="4"/>
      <c r="E988" s="17"/>
      <c r="F988" s="22"/>
    </row>
    <row r="989" spans="1:6" ht="15.75" thickBot="1">
      <c r="A989" s="3"/>
      <c r="B989" s="4"/>
      <c r="C989" s="4"/>
      <c r="D989" s="4"/>
      <c r="E989" s="17"/>
      <c r="F989" s="22"/>
    </row>
    <row r="990" spans="1:6" ht="15.75" thickBot="1">
      <c r="A990" s="3"/>
      <c r="B990" s="4"/>
      <c r="C990" s="4"/>
      <c r="D990" s="4"/>
      <c r="E990" s="17"/>
      <c r="F990" s="22"/>
    </row>
    <row r="991" spans="1:6" ht="15.75" thickBot="1">
      <c r="A991" s="3"/>
      <c r="B991" s="4"/>
      <c r="C991" s="4"/>
      <c r="D991" s="4"/>
      <c r="E991" s="17"/>
      <c r="F991" s="22"/>
    </row>
    <row r="992" spans="1:6" ht="15.75" thickBot="1">
      <c r="A992" s="3"/>
      <c r="B992" s="4"/>
      <c r="C992" s="4"/>
      <c r="D992" s="4"/>
      <c r="E992" s="17"/>
      <c r="F992" s="22"/>
    </row>
    <row r="993" spans="1:6" ht="15.75" thickBot="1">
      <c r="A993" s="3"/>
      <c r="B993" s="4"/>
      <c r="C993" s="4"/>
      <c r="D993" s="4"/>
      <c r="E993" s="17"/>
      <c r="F993" s="22"/>
    </row>
    <row r="994" spans="1:6" ht="15.75" thickBot="1">
      <c r="A994" s="3"/>
      <c r="B994" s="4"/>
      <c r="C994" s="4"/>
      <c r="D994" s="4"/>
      <c r="E994" s="17"/>
      <c r="F994" s="22"/>
    </row>
    <row r="995" spans="1:6" ht="15.75" thickBot="1">
      <c r="A995" s="3"/>
      <c r="B995" s="4"/>
      <c r="C995" s="4"/>
      <c r="D995" s="4"/>
      <c r="E995" s="17"/>
      <c r="F995" s="22"/>
    </row>
    <row r="996" spans="1:6" ht="15.75" thickBot="1">
      <c r="A996" s="3"/>
      <c r="B996" s="4"/>
      <c r="C996" s="4"/>
      <c r="D996" s="4"/>
      <c r="E996" s="17"/>
      <c r="F996" s="22"/>
    </row>
    <row r="997" spans="1:6" ht="15.75" thickBot="1">
      <c r="A997" s="3"/>
      <c r="B997" s="4"/>
      <c r="C997" s="4"/>
      <c r="D997" s="4"/>
      <c r="E997" s="17"/>
      <c r="F997" s="22"/>
    </row>
    <row r="998" spans="1:6" ht="15.75" thickBot="1">
      <c r="A998" s="3"/>
      <c r="B998" s="4"/>
      <c r="C998" s="4"/>
      <c r="D998" s="4"/>
      <c r="E998" s="17"/>
      <c r="F998" s="22"/>
    </row>
    <row r="999" spans="1:6" ht="15.75" thickBot="1">
      <c r="A999" s="3"/>
      <c r="B999" s="4"/>
      <c r="C999" s="4"/>
      <c r="D999" s="4"/>
      <c r="E999" s="17"/>
      <c r="F999" s="22"/>
    </row>
    <row r="1000" spans="1:6" ht="15.75" thickBot="1">
      <c r="A1000" s="3"/>
      <c r="B1000" s="4"/>
      <c r="C1000" s="4"/>
      <c r="D1000" s="4"/>
      <c r="E1000" s="17"/>
      <c r="F1000" s="22"/>
    </row>
    <row r="1001" spans="1:6" ht="15.75" thickBot="1">
      <c r="A1001" s="3"/>
      <c r="B1001" s="4"/>
      <c r="C1001" s="4"/>
      <c r="D1001" s="4"/>
      <c r="E1001" s="17"/>
      <c r="F1001" s="22"/>
    </row>
    <row r="1002" spans="1:6" ht="15.75" thickBot="1">
      <c r="A1002" s="3"/>
      <c r="B1002" s="4"/>
      <c r="C1002" s="4"/>
      <c r="D1002" s="4"/>
      <c r="E1002" s="17"/>
      <c r="F1002" s="22"/>
    </row>
    <row r="1003" spans="1:6" ht="15.75" thickBot="1">
      <c r="A1003" s="3"/>
      <c r="B1003" s="4"/>
      <c r="C1003" s="4"/>
      <c r="D1003" s="4"/>
      <c r="E1003" s="17"/>
      <c r="F1003" s="22"/>
    </row>
  </sheetData>
  <sortState xmlns:xlrd2="http://schemas.microsoft.com/office/spreadsheetml/2017/richdata2" ref="A3:E173">
    <sortCondition ref="E3:E173"/>
    <sortCondition ref="C3:C173"/>
  </sortState>
  <mergeCells count="3">
    <mergeCell ref="A1:E1"/>
    <mergeCell ref="G1:I1"/>
    <mergeCell ref="K1:M1"/>
  </mergeCells>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80"/>
  <sheetViews>
    <sheetView topLeftCell="A6" workbookViewId="0">
      <selection activeCell="A81" sqref="A81"/>
    </sheetView>
  </sheetViews>
  <sheetFormatPr defaultColWidth="34.28515625" defaultRowHeight="15"/>
  <cols>
    <col min="1" max="1" width="4.7109375" bestFit="1" customWidth="1"/>
    <col min="2" max="2" width="6.7109375" bestFit="1" customWidth="1"/>
    <col min="3" max="3" width="23.5703125" bestFit="1" customWidth="1"/>
    <col min="4" max="4" width="8.140625" bestFit="1" customWidth="1"/>
    <col min="5" max="5" width="8.5703125" bestFit="1" customWidth="1"/>
    <col min="6" max="6" width="15.5703125" bestFit="1" customWidth="1"/>
    <col min="7" max="7" width="4.7109375" bestFit="1" customWidth="1"/>
    <col min="8" max="8" width="6.7109375" bestFit="1" customWidth="1"/>
    <col min="9" max="9" width="17.42578125" bestFit="1" customWidth="1"/>
  </cols>
  <sheetData>
    <row r="1" spans="1:26" ht="27" thickBot="1">
      <c r="A1" s="26" t="s">
        <v>374</v>
      </c>
      <c r="B1" s="27" t="s">
        <v>465</v>
      </c>
      <c r="C1" s="27" t="s">
        <v>375</v>
      </c>
      <c r="D1" s="27" t="s">
        <v>376</v>
      </c>
      <c r="E1" s="27" t="s">
        <v>377</v>
      </c>
      <c r="F1" s="27" t="s">
        <v>378</v>
      </c>
      <c r="G1" s="26" t="s">
        <v>374</v>
      </c>
      <c r="H1" s="27" t="s">
        <v>465</v>
      </c>
      <c r="I1" s="28"/>
      <c r="J1" s="28"/>
      <c r="K1" s="28"/>
      <c r="L1" s="28"/>
      <c r="M1" s="28"/>
      <c r="N1" s="28"/>
      <c r="O1" s="28"/>
      <c r="P1" s="28"/>
      <c r="Q1" s="28"/>
      <c r="R1" s="28"/>
      <c r="S1" s="28"/>
      <c r="T1" s="28"/>
      <c r="U1" s="28"/>
      <c r="V1" s="28"/>
      <c r="W1" s="28"/>
      <c r="X1" s="28"/>
      <c r="Y1" s="28"/>
      <c r="Z1" s="28"/>
    </row>
    <row r="2" spans="1:26" ht="27" thickBot="1">
      <c r="A2" s="29">
        <v>1</v>
      </c>
      <c r="B2" s="29">
        <v>1</v>
      </c>
      <c r="C2" s="28" t="s">
        <v>468</v>
      </c>
      <c r="D2" s="28" t="s">
        <v>10</v>
      </c>
      <c r="E2" s="28" t="s">
        <v>35</v>
      </c>
      <c r="F2" s="28" t="s">
        <v>0</v>
      </c>
      <c r="G2" s="29">
        <v>1</v>
      </c>
      <c r="H2" s="29">
        <v>1</v>
      </c>
      <c r="I2" s="30" t="s">
        <v>467</v>
      </c>
      <c r="J2" s="28"/>
      <c r="K2" s="28"/>
      <c r="L2" s="28"/>
      <c r="M2" s="28"/>
      <c r="N2" s="28"/>
      <c r="O2" s="28"/>
      <c r="P2" s="28"/>
      <c r="Q2" s="28"/>
      <c r="R2" s="28"/>
      <c r="S2" s="28"/>
      <c r="T2" s="28"/>
      <c r="U2" s="28"/>
      <c r="V2" s="28"/>
      <c r="W2" s="28"/>
      <c r="X2" s="28"/>
      <c r="Y2" s="28"/>
      <c r="Z2" s="28"/>
    </row>
    <row r="3" spans="1:26" ht="15.75" thickBot="1">
      <c r="A3" s="29">
        <v>2</v>
      </c>
      <c r="B3" s="29">
        <v>1</v>
      </c>
      <c r="C3" s="28" t="s">
        <v>61</v>
      </c>
      <c r="D3" s="28" t="s">
        <v>10</v>
      </c>
      <c r="E3" s="28" t="s">
        <v>32</v>
      </c>
      <c r="F3" s="28" t="s">
        <v>181</v>
      </c>
      <c r="G3" s="29">
        <v>2</v>
      </c>
      <c r="H3" s="29">
        <v>1</v>
      </c>
      <c r="I3" s="28"/>
      <c r="J3" s="28"/>
      <c r="K3" s="28"/>
      <c r="L3" s="28"/>
      <c r="M3" s="28"/>
      <c r="N3" s="28"/>
      <c r="O3" s="28"/>
      <c r="P3" s="28"/>
      <c r="Q3" s="28"/>
      <c r="R3" s="28"/>
      <c r="S3" s="28"/>
      <c r="T3" s="28"/>
      <c r="U3" s="28"/>
      <c r="V3" s="28"/>
      <c r="W3" s="28"/>
      <c r="X3" s="28"/>
      <c r="Y3" s="28"/>
      <c r="Z3" s="28"/>
    </row>
    <row r="4" spans="1:26" ht="15.75" thickBot="1">
      <c r="A4" s="29">
        <v>3</v>
      </c>
      <c r="B4" s="29">
        <v>1</v>
      </c>
      <c r="C4" s="28" t="s">
        <v>167</v>
      </c>
      <c r="D4" s="28" t="s">
        <v>10</v>
      </c>
      <c r="E4" s="28" t="s">
        <v>15</v>
      </c>
      <c r="F4" s="28" t="s">
        <v>385</v>
      </c>
      <c r="G4" s="29">
        <v>3</v>
      </c>
      <c r="H4" s="29">
        <v>1</v>
      </c>
      <c r="I4" s="28"/>
      <c r="J4" s="28"/>
      <c r="K4" s="28"/>
      <c r="L4" s="28"/>
      <c r="M4" s="28"/>
      <c r="N4" s="28"/>
      <c r="O4" s="28"/>
      <c r="P4" s="28"/>
      <c r="Q4" s="28"/>
      <c r="R4" s="28"/>
      <c r="S4" s="28"/>
      <c r="T4" s="28"/>
      <c r="U4" s="28"/>
      <c r="V4" s="28"/>
      <c r="W4" s="28"/>
      <c r="X4" s="28"/>
      <c r="Y4" s="28"/>
      <c r="Z4" s="28"/>
    </row>
    <row r="5" spans="1:26" ht="15.75" thickBot="1">
      <c r="A5" s="29">
        <v>4</v>
      </c>
      <c r="B5" s="29">
        <v>1</v>
      </c>
      <c r="C5" s="28" t="s">
        <v>466</v>
      </c>
      <c r="D5" s="28" t="s">
        <v>10</v>
      </c>
      <c r="E5" s="28" t="s">
        <v>11</v>
      </c>
      <c r="F5" s="28" t="s">
        <v>471</v>
      </c>
      <c r="G5" s="29">
        <v>4</v>
      </c>
      <c r="H5" s="29">
        <v>1</v>
      </c>
      <c r="I5" s="28"/>
      <c r="J5" s="28"/>
      <c r="K5" s="28"/>
      <c r="L5" s="28"/>
      <c r="M5" s="28"/>
      <c r="N5" s="28"/>
      <c r="O5" s="28"/>
      <c r="P5" s="28"/>
      <c r="Q5" s="28"/>
      <c r="R5" s="28"/>
      <c r="S5" s="28"/>
      <c r="T5" s="28"/>
      <c r="U5" s="28"/>
      <c r="V5" s="28"/>
      <c r="W5" s="28"/>
      <c r="X5" s="28"/>
      <c r="Y5" s="28"/>
      <c r="Z5" s="28"/>
    </row>
    <row r="6" spans="1:26" ht="15.75" thickBot="1">
      <c r="A6" s="29">
        <v>5</v>
      </c>
      <c r="B6" s="29">
        <v>1</v>
      </c>
      <c r="C6" s="28" t="s">
        <v>125</v>
      </c>
      <c r="D6" s="28" t="s">
        <v>2</v>
      </c>
      <c r="E6" s="28" t="s">
        <v>6</v>
      </c>
      <c r="F6" s="28" t="s">
        <v>469</v>
      </c>
      <c r="G6" s="29">
        <v>5</v>
      </c>
      <c r="H6" s="29">
        <v>1</v>
      </c>
      <c r="I6" s="28"/>
      <c r="J6" s="28"/>
      <c r="K6" s="28"/>
      <c r="L6" s="28"/>
      <c r="M6" s="28"/>
      <c r="N6" s="28"/>
      <c r="O6" s="28"/>
      <c r="P6" s="28"/>
      <c r="Q6" s="28"/>
      <c r="R6" s="28"/>
      <c r="S6" s="28"/>
      <c r="T6" s="28"/>
      <c r="U6" s="28"/>
      <c r="V6" s="28"/>
      <c r="W6" s="28"/>
      <c r="X6" s="28"/>
      <c r="Y6" s="28"/>
      <c r="Z6" s="28"/>
    </row>
    <row r="7" spans="1:26" ht="15.75" thickBot="1">
      <c r="A7" s="29">
        <v>6</v>
      </c>
      <c r="B7" s="29">
        <v>1</v>
      </c>
      <c r="C7" s="28" t="s">
        <v>528</v>
      </c>
      <c r="D7" s="28" t="s">
        <v>2</v>
      </c>
      <c r="E7" s="28" t="s">
        <v>71</v>
      </c>
      <c r="F7" s="28" t="s">
        <v>37</v>
      </c>
      <c r="G7" s="29">
        <v>6</v>
      </c>
      <c r="H7" s="29">
        <v>1</v>
      </c>
      <c r="I7" s="28"/>
      <c r="J7" s="28"/>
      <c r="K7" s="28"/>
      <c r="L7" s="28"/>
      <c r="M7" s="28"/>
      <c r="N7" s="28"/>
      <c r="O7" s="28"/>
      <c r="P7" s="28"/>
      <c r="Q7" s="28"/>
      <c r="R7" s="28"/>
      <c r="S7" s="28"/>
      <c r="T7" s="28"/>
      <c r="U7" s="28"/>
      <c r="V7" s="28"/>
      <c r="W7" s="28"/>
      <c r="X7" s="28"/>
      <c r="Y7" s="28"/>
      <c r="Z7" s="28"/>
    </row>
    <row r="8" spans="1:26" ht="15.75" thickBot="1">
      <c r="A8" s="29">
        <v>7</v>
      </c>
      <c r="B8" s="29">
        <v>1</v>
      </c>
      <c r="C8" s="28" t="s">
        <v>161</v>
      </c>
      <c r="D8" s="28" t="s">
        <v>2</v>
      </c>
      <c r="E8" s="28" t="s">
        <v>82</v>
      </c>
      <c r="F8" s="28" t="s">
        <v>114</v>
      </c>
      <c r="G8" s="29">
        <v>7</v>
      </c>
      <c r="H8" s="29">
        <v>1</v>
      </c>
      <c r="I8" s="28"/>
      <c r="J8" s="28"/>
      <c r="K8" s="28"/>
      <c r="L8" s="28"/>
      <c r="M8" s="28"/>
      <c r="N8" s="28"/>
      <c r="O8" s="28"/>
      <c r="P8" s="28"/>
      <c r="Q8" s="28"/>
      <c r="R8" s="28"/>
      <c r="S8" s="28"/>
      <c r="T8" s="28"/>
      <c r="U8" s="28"/>
      <c r="V8" s="28"/>
      <c r="W8" s="28"/>
      <c r="X8" s="28"/>
      <c r="Y8" s="28"/>
      <c r="Z8" s="28"/>
    </row>
    <row r="9" spans="1:26" ht="15.75" thickBot="1">
      <c r="A9" s="29">
        <v>8</v>
      </c>
      <c r="B9" s="29">
        <v>1</v>
      </c>
      <c r="C9" s="28" t="s">
        <v>151</v>
      </c>
      <c r="D9" s="28" t="s">
        <v>10</v>
      </c>
      <c r="E9" s="28" t="s">
        <v>120</v>
      </c>
      <c r="F9" s="28" t="s">
        <v>470</v>
      </c>
      <c r="G9" s="29">
        <v>8</v>
      </c>
      <c r="H9" s="29">
        <v>1</v>
      </c>
      <c r="I9" s="28"/>
      <c r="J9" s="28"/>
      <c r="K9" s="28"/>
      <c r="L9" s="28"/>
      <c r="M9" s="28"/>
      <c r="N9" s="28"/>
      <c r="O9" s="28"/>
      <c r="P9" s="28"/>
      <c r="Q9" s="28"/>
      <c r="R9" s="28"/>
      <c r="S9" s="28"/>
      <c r="T9" s="28"/>
      <c r="U9" s="28"/>
      <c r="V9" s="28"/>
      <c r="W9" s="28"/>
      <c r="X9" s="28"/>
      <c r="Y9" s="28"/>
      <c r="Z9" s="28"/>
    </row>
    <row r="10" spans="1:26" ht="15.75" thickBot="1">
      <c r="A10" s="29">
        <v>9</v>
      </c>
      <c r="B10" s="29">
        <v>1</v>
      </c>
      <c r="C10" s="28" t="s">
        <v>59</v>
      </c>
      <c r="D10" s="28" t="s">
        <v>2</v>
      </c>
      <c r="E10" s="28" t="s">
        <v>60</v>
      </c>
      <c r="F10" s="28" t="s">
        <v>58</v>
      </c>
      <c r="G10" s="29">
        <v>9</v>
      </c>
      <c r="H10" s="29">
        <v>1</v>
      </c>
      <c r="I10" s="28"/>
      <c r="J10" s="28"/>
      <c r="K10" s="28"/>
      <c r="L10" s="28"/>
      <c r="M10" s="28"/>
      <c r="N10" s="28"/>
      <c r="O10" s="28"/>
      <c r="P10" s="28"/>
      <c r="Q10" s="28"/>
      <c r="R10" s="28"/>
      <c r="S10" s="28"/>
      <c r="T10" s="28"/>
      <c r="U10" s="28"/>
      <c r="V10" s="28"/>
      <c r="W10" s="28"/>
      <c r="X10" s="28"/>
      <c r="Y10" s="28"/>
      <c r="Z10" s="28"/>
    </row>
    <row r="11" spans="1:26" ht="15.75" thickBot="1">
      <c r="A11" s="31">
        <v>10</v>
      </c>
      <c r="B11" s="31">
        <v>1</v>
      </c>
      <c r="C11" s="33" t="s">
        <v>168</v>
      </c>
      <c r="D11" s="33" t="s">
        <v>2</v>
      </c>
      <c r="E11" s="33" t="s">
        <v>13</v>
      </c>
      <c r="F11" s="33" t="s">
        <v>97</v>
      </c>
      <c r="G11" s="31">
        <v>10</v>
      </c>
      <c r="H11" s="31">
        <v>1</v>
      </c>
      <c r="I11" s="28"/>
      <c r="J11" s="28"/>
      <c r="K11" s="28"/>
      <c r="L11" s="28"/>
      <c r="M11" s="28"/>
      <c r="N11" s="28"/>
      <c r="O11" s="28"/>
      <c r="P11" s="28"/>
      <c r="Q11" s="28"/>
      <c r="R11" s="28"/>
      <c r="S11" s="28"/>
      <c r="T11" s="28"/>
      <c r="U11" s="28"/>
      <c r="V11" s="28"/>
      <c r="W11" s="28"/>
      <c r="X11" s="28"/>
      <c r="Y11" s="28"/>
      <c r="Z11" s="28"/>
    </row>
    <row r="12" spans="1:26" ht="15.75" thickBot="1">
      <c r="A12" s="29">
        <v>11</v>
      </c>
      <c r="B12" s="29">
        <v>2</v>
      </c>
      <c r="C12" s="28" t="s">
        <v>44</v>
      </c>
      <c r="D12" s="28" t="s">
        <v>27</v>
      </c>
      <c r="E12" s="28" t="s">
        <v>13</v>
      </c>
      <c r="F12" s="28" t="s">
        <v>97</v>
      </c>
      <c r="G12" s="29">
        <v>11</v>
      </c>
      <c r="H12" s="29">
        <v>2</v>
      </c>
      <c r="I12" s="28"/>
      <c r="J12" s="28"/>
      <c r="K12" s="28"/>
      <c r="L12" s="28"/>
      <c r="M12" s="28"/>
      <c r="N12" s="28"/>
      <c r="O12" s="28"/>
      <c r="P12" s="28"/>
      <c r="Q12" s="28"/>
      <c r="R12" s="28"/>
      <c r="S12" s="28"/>
      <c r="T12" s="28"/>
      <c r="U12" s="28"/>
      <c r="V12" s="28"/>
      <c r="W12" s="28"/>
      <c r="X12" s="28"/>
      <c r="Y12" s="28"/>
      <c r="Z12" s="28"/>
    </row>
    <row r="13" spans="1:26" ht="15.75" thickBot="1">
      <c r="A13" s="29">
        <v>12</v>
      </c>
      <c r="B13" s="29">
        <v>2</v>
      </c>
      <c r="C13" s="28" t="s">
        <v>1</v>
      </c>
      <c r="D13" s="28" t="s">
        <v>2</v>
      </c>
      <c r="E13" s="28" t="s">
        <v>8</v>
      </c>
      <c r="F13" s="28" t="s">
        <v>58</v>
      </c>
      <c r="G13" s="29">
        <v>12</v>
      </c>
      <c r="H13" s="29">
        <v>2</v>
      </c>
      <c r="I13" s="28"/>
      <c r="J13" s="28"/>
      <c r="K13" s="28"/>
      <c r="L13" s="28"/>
      <c r="M13" s="28"/>
      <c r="N13" s="28"/>
      <c r="O13" s="28"/>
      <c r="P13" s="28"/>
      <c r="Q13" s="28"/>
      <c r="R13" s="28"/>
      <c r="S13" s="28"/>
      <c r="T13" s="28"/>
      <c r="U13" s="28"/>
      <c r="V13" s="28"/>
      <c r="W13" s="28"/>
      <c r="X13" s="28"/>
      <c r="Y13" s="28"/>
      <c r="Z13" s="28"/>
    </row>
    <row r="14" spans="1:26" ht="15.75" thickBot="1">
      <c r="A14" s="29">
        <v>13</v>
      </c>
      <c r="B14" s="29">
        <v>2</v>
      </c>
      <c r="C14" s="28" t="s">
        <v>83</v>
      </c>
      <c r="D14" s="28" t="s">
        <v>10</v>
      </c>
      <c r="E14" s="28" t="s">
        <v>84</v>
      </c>
      <c r="F14" s="28" t="s">
        <v>470</v>
      </c>
      <c r="G14" s="29">
        <v>13</v>
      </c>
      <c r="H14" s="29">
        <v>2</v>
      </c>
      <c r="I14" s="28"/>
      <c r="J14" s="28"/>
      <c r="K14" s="28"/>
      <c r="L14" s="28"/>
      <c r="M14" s="28"/>
      <c r="N14" s="28"/>
      <c r="O14" s="28"/>
      <c r="P14" s="28"/>
      <c r="Q14" s="28"/>
      <c r="R14" s="28"/>
      <c r="S14" s="28"/>
      <c r="T14" s="28"/>
      <c r="U14" s="28"/>
      <c r="V14" s="28"/>
      <c r="W14" s="28"/>
      <c r="X14" s="28"/>
      <c r="Y14" s="28"/>
      <c r="Z14" s="28"/>
    </row>
    <row r="15" spans="1:26" ht="15.75" thickBot="1">
      <c r="A15" s="29">
        <v>14</v>
      </c>
      <c r="B15" s="29">
        <v>2</v>
      </c>
      <c r="C15" s="28" t="s">
        <v>40</v>
      </c>
      <c r="D15" s="28" t="s">
        <v>10</v>
      </c>
      <c r="E15" s="28" t="s">
        <v>41</v>
      </c>
      <c r="F15" s="28" t="s">
        <v>114</v>
      </c>
      <c r="G15" s="29">
        <v>14</v>
      </c>
      <c r="H15" s="29">
        <v>2</v>
      </c>
      <c r="I15" s="28"/>
      <c r="J15" s="28"/>
      <c r="K15" s="28"/>
      <c r="L15" s="28"/>
      <c r="M15" s="28"/>
      <c r="N15" s="28"/>
      <c r="O15" s="28"/>
      <c r="P15" s="28"/>
      <c r="Q15" s="28"/>
      <c r="R15" s="28"/>
      <c r="S15" s="28"/>
      <c r="T15" s="28"/>
      <c r="U15" s="28"/>
      <c r="V15" s="28"/>
      <c r="W15" s="28"/>
      <c r="X15" s="28"/>
      <c r="Y15" s="28"/>
      <c r="Z15" s="28"/>
    </row>
    <row r="16" spans="1:26" ht="15.75" thickBot="1">
      <c r="A16" s="29">
        <v>15</v>
      </c>
      <c r="B16" s="29">
        <v>2</v>
      </c>
      <c r="C16" s="28" t="s">
        <v>115</v>
      </c>
      <c r="D16" s="28" t="s">
        <v>2</v>
      </c>
      <c r="E16" s="28" t="s">
        <v>43</v>
      </c>
      <c r="F16" s="28" t="s">
        <v>37</v>
      </c>
      <c r="G16" s="29">
        <v>15</v>
      </c>
      <c r="H16" s="29">
        <v>2</v>
      </c>
      <c r="I16" s="28"/>
      <c r="J16" s="28"/>
      <c r="K16" s="28"/>
      <c r="L16" s="28"/>
      <c r="M16" s="28"/>
      <c r="N16" s="28"/>
      <c r="O16" s="28"/>
      <c r="P16" s="28"/>
      <c r="Q16" s="28"/>
      <c r="R16" s="28"/>
      <c r="S16" s="28"/>
      <c r="T16" s="28"/>
      <c r="U16" s="28"/>
      <c r="V16" s="28"/>
      <c r="W16" s="28"/>
      <c r="X16" s="28"/>
      <c r="Y16" s="28"/>
      <c r="Z16" s="28"/>
    </row>
    <row r="17" spans="1:26" ht="15.75" thickBot="1">
      <c r="A17" s="29">
        <v>16</v>
      </c>
      <c r="B17" s="29">
        <v>2</v>
      </c>
      <c r="C17" s="28" t="s">
        <v>169</v>
      </c>
      <c r="D17" s="28" t="s">
        <v>10</v>
      </c>
      <c r="E17" s="28" t="s">
        <v>19</v>
      </c>
      <c r="F17" s="28" t="s">
        <v>469</v>
      </c>
      <c r="G17" s="29">
        <v>16</v>
      </c>
      <c r="H17" s="29">
        <v>2</v>
      </c>
      <c r="I17" s="28"/>
      <c r="J17" s="28"/>
      <c r="K17" s="28"/>
      <c r="L17" s="28"/>
      <c r="M17" s="28"/>
      <c r="N17" s="28"/>
      <c r="O17" s="28"/>
      <c r="P17" s="28"/>
      <c r="Q17" s="28"/>
      <c r="R17" s="28"/>
      <c r="S17" s="28"/>
      <c r="T17" s="28"/>
      <c r="U17" s="28"/>
      <c r="V17" s="28"/>
      <c r="W17" s="28"/>
      <c r="X17" s="28"/>
      <c r="Y17" s="28"/>
      <c r="Z17" s="28"/>
    </row>
    <row r="18" spans="1:26" ht="15.75" thickBot="1">
      <c r="A18" s="29">
        <v>17</v>
      </c>
      <c r="B18" s="29">
        <v>2</v>
      </c>
      <c r="C18" s="28" t="s">
        <v>57</v>
      </c>
      <c r="D18" s="28" t="s">
        <v>2</v>
      </c>
      <c r="E18" s="28" t="s">
        <v>30</v>
      </c>
      <c r="F18" s="28" t="s">
        <v>471</v>
      </c>
      <c r="G18" s="29">
        <v>17</v>
      </c>
      <c r="H18" s="29">
        <v>2</v>
      </c>
      <c r="I18" s="28"/>
      <c r="J18" s="28"/>
      <c r="K18" s="28"/>
      <c r="L18" s="28"/>
      <c r="M18" s="28"/>
      <c r="N18" s="28"/>
      <c r="O18" s="28"/>
      <c r="P18" s="28"/>
      <c r="Q18" s="28"/>
      <c r="R18" s="28"/>
      <c r="S18" s="28"/>
      <c r="T18" s="28"/>
      <c r="U18" s="28"/>
      <c r="V18" s="28"/>
      <c r="W18" s="28"/>
      <c r="X18" s="28"/>
      <c r="Y18" s="28"/>
      <c r="Z18" s="28"/>
    </row>
    <row r="19" spans="1:26" ht="15.75" thickBot="1">
      <c r="A19" s="29">
        <v>18</v>
      </c>
      <c r="B19" s="29">
        <v>2</v>
      </c>
      <c r="C19" s="28" t="s">
        <v>80</v>
      </c>
      <c r="D19" s="28" t="s">
        <v>2</v>
      </c>
      <c r="E19" s="28" t="s">
        <v>19</v>
      </c>
      <c r="F19" s="28" t="s">
        <v>385</v>
      </c>
      <c r="G19" s="29">
        <v>18</v>
      </c>
      <c r="H19" s="29">
        <v>2</v>
      </c>
      <c r="I19" s="28"/>
      <c r="J19" s="28"/>
      <c r="K19" s="28"/>
      <c r="L19" s="28"/>
      <c r="M19" s="28"/>
      <c r="N19" s="28"/>
      <c r="O19" s="28"/>
      <c r="P19" s="28"/>
      <c r="Q19" s="28"/>
      <c r="R19" s="28"/>
      <c r="S19" s="28"/>
      <c r="T19" s="28"/>
      <c r="U19" s="28"/>
      <c r="V19" s="28"/>
      <c r="W19" s="28"/>
      <c r="X19" s="28"/>
      <c r="Y19" s="28"/>
      <c r="Z19" s="28"/>
    </row>
    <row r="20" spans="1:26" ht="15.75" thickBot="1">
      <c r="A20" s="29">
        <v>19</v>
      </c>
      <c r="B20" s="29">
        <v>2</v>
      </c>
      <c r="C20" s="28" t="s">
        <v>64</v>
      </c>
      <c r="D20" s="28" t="s">
        <v>2</v>
      </c>
      <c r="E20" s="28" t="s">
        <v>25</v>
      </c>
      <c r="F20" s="28" t="s">
        <v>181</v>
      </c>
      <c r="G20" s="29">
        <v>19</v>
      </c>
      <c r="H20" s="29">
        <v>2</v>
      </c>
      <c r="I20" s="28"/>
      <c r="J20" s="28"/>
      <c r="K20" s="28"/>
      <c r="L20" s="28"/>
      <c r="M20" s="28"/>
      <c r="N20" s="28"/>
      <c r="O20" s="28"/>
      <c r="P20" s="28"/>
      <c r="Q20" s="28"/>
      <c r="R20" s="28"/>
      <c r="S20" s="28"/>
      <c r="T20" s="28"/>
      <c r="U20" s="28"/>
      <c r="V20" s="28"/>
      <c r="W20" s="28"/>
      <c r="X20" s="28"/>
      <c r="Y20" s="28"/>
      <c r="Z20" s="28"/>
    </row>
    <row r="21" spans="1:26" ht="15.75" thickBot="1">
      <c r="A21" s="31">
        <v>20</v>
      </c>
      <c r="B21" s="31">
        <v>2</v>
      </c>
      <c r="C21" s="33" t="s">
        <v>99</v>
      </c>
      <c r="D21" s="33" t="s">
        <v>2</v>
      </c>
      <c r="E21" s="33" t="s">
        <v>120</v>
      </c>
      <c r="F21" s="33" t="s">
        <v>0</v>
      </c>
      <c r="G21" s="31">
        <v>20</v>
      </c>
      <c r="H21" s="31">
        <v>2</v>
      </c>
      <c r="I21" s="28"/>
      <c r="J21" s="28"/>
      <c r="K21" s="28"/>
      <c r="L21" s="28"/>
      <c r="M21" s="28"/>
      <c r="N21" s="28"/>
      <c r="O21" s="28"/>
      <c r="P21" s="28"/>
      <c r="Q21" s="28"/>
      <c r="R21" s="28"/>
      <c r="S21" s="28"/>
      <c r="T21" s="28"/>
      <c r="U21" s="28"/>
      <c r="V21" s="28"/>
      <c r="W21" s="28"/>
      <c r="X21" s="28"/>
      <c r="Y21" s="28"/>
      <c r="Z21" s="28"/>
    </row>
    <row r="22" spans="1:26" ht="15.75" thickBot="1">
      <c r="A22" s="29">
        <v>21</v>
      </c>
      <c r="B22" s="29">
        <v>3</v>
      </c>
      <c r="C22" s="28" t="s">
        <v>118</v>
      </c>
      <c r="D22" s="28" t="s">
        <v>2</v>
      </c>
      <c r="E22" s="28" t="s">
        <v>41</v>
      </c>
      <c r="F22" s="28" t="s">
        <v>0</v>
      </c>
      <c r="G22" s="29">
        <v>21</v>
      </c>
      <c r="H22" s="29">
        <v>3</v>
      </c>
      <c r="I22" s="28"/>
      <c r="J22" s="28"/>
      <c r="K22" s="28"/>
      <c r="L22" s="28"/>
      <c r="M22" s="28"/>
      <c r="N22" s="28"/>
      <c r="O22" s="28"/>
      <c r="P22" s="28"/>
      <c r="Q22" s="28"/>
      <c r="R22" s="28"/>
      <c r="S22" s="28"/>
      <c r="T22" s="28"/>
      <c r="U22" s="28"/>
      <c r="V22" s="28"/>
      <c r="W22" s="28"/>
      <c r="X22" s="28"/>
      <c r="Y22" s="28"/>
      <c r="Z22" s="28"/>
    </row>
    <row r="23" spans="1:26" ht="15.75" thickBot="1">
      <c r="A23" s="29">
        <v>22</v>
      </c>
      <c r="B23" s="29">
        <v>3</v>
      </c>
      <c r="C23" s="28" t="s">
        <v>154</v>
      </c>
      <c r="D23" s="28" t="s">
        <v>10</v>
      </c>
      <c r="E23" s="28" t="s">
        <v>60</v>
      </c>
      <c r="F23" s="28" t="s">
        <v>181</v>
      </c>
      <c r="G23" s="29">
        <v>22</v>
      </c>
      <c r="H23" s="29">
        <v>3</v>
      </c>
      <c r="I23" s="28"/>
      <c r="J23" s="28"/>
      <c r="K23" s="28"/>
      <c r="L23" s="28"/>
      <c r="M23" s="28"/>
      <c r="N23" s="28"/>
      <c r="O23" s="28"/>
      <c r="P23" s="28"/>
      <c r="Q23" s="28"/>
      <c r="R23" s="28"/>
      <c r="S23" s="28"/>
      <c r="T23" s="28"/>
      <c r="U23" s="28"/>
      <c r="V23" s="28"/>
      <c r="W23" s="28"/>
      <c r="X23" s="28"/>
      <c r="Y23" s="28"/>
      <c r="Z23" s="28"/>
    </row>
    <row r="24" spans="1:26" ht="15.75" thickBot="1">
      <c r="A24" s="29">
        <v>23</v>
      </c>
      <c r="B24" s="29">
        <v>3</v>
      </c>
      <c r="C24" s="28" t="s">
        <v>150</v>
      </c>
      <c r="D24" s="28" t="s">
        <v>2</v>
      </c>
      <c r="E24" s="28" t="s">
        <v>15</v>
      </c>
      <c r="F24" s="28" t="s">
        <v>385</v>
      </c>
      <c r="G24" s="29">
        <v>23</v>
      </c>
      <c r="H24" s="29">
        <v>3</v>
      </c>
      <c r="I24" s="28"/>
      <c r="J24" s="28"/>
      <c r="K24" s="28"/>
      <c r="L24" s="28"/>
      <c r="M24" s="28"/>
      <c r="N24" s="28"/>
      <c r="O24" s="28"/>
      <c r="P24" s="28"/>
      <c r="Q24" s="28"/>
      <c r="R24" s="28"/>
      <c r="S24" s="28"/>
      <c r="T24" s="28"/>
      <c r="U24" s="28"/>
      <c r="V24" s="28"/>
      <c r="W24" s="28"/>
      <c r="X24" s="28"/>
      <c r="Y24" s="28"/>
      <c r="Z24" s="28"/>
    </row>
    <row r="25" spans="1:26" ht="15.75" thickBot="1">
      <c r="A25" s="29">
        <v>24</v>
      </c>
      <c r="B25" s="29">
        <v>3</v>
      </c>
      <c r="C25" s="28" t="s">
        <v>128</v>
      </c>
      <c r="D25" s="28" t="s">
        <v>2</v>
      </c>
      <c r="E25" s="28" t="s">
        <v>28</v>
      </c>
      <c r="F25" s="28" t="s">
        <v>471</v>
      </c>
      <c r="G25" s="29">
        <v>24</v>
      </c>
      <c r="H25" s="29">
        <v>3</v>
      </c>
      <c r="I25" s="28"/>
      <c r="J25" s="28"/>
      <c r="K25" s="28"/>
      <c r="L25" s="28"/>
      <c r="M25" s="28"/>
      <c r="N25" s="28"/>
      <c r="O25" s="28"/>
      <c r="P25" s="28"/>
      <c r="Q25" s="28"/>
      <c r="R25" s="28"/>
      <c r="S25" s="28"/>
      <c r="T25" s="28"/>
      <c r="U25" s="28"/>
      <c r="V25" s="28"/>
      <c r="W25" s="28"/>
      <c r="X25" s="28"/>
      <c r="Y25" s="28"/>
      <c r="Z25" s="28"/>
    </row>
    <row r="26" spans="1:26" ht="15.75" thickBot="1">
      <c r="A26" s="29">
        <v>25</v>
      </c>
      <c r="B26" s="29">
        <v>3</v>
      </c>
      <c r="C26" s="28" t="s">
        <v>105</v>
      </c>
      <c r="D26" s="28" t="s">
        <v>27</v>
      </c>
      <c r="E26" s="28" t="s">
        <v>23</v>
      </c>
      <c r="F26" s="28" t="s">
        <v>469</v>
      </c>
      <c r="G26" s="29">
        <v>25</v>
      </c>
      <c r="H26" s="29">
        <v>3</v>
      </c>
      <c r="I26" s="28"/>
      <c r="J26" s="28"/>
      <c r="K26" s="28"/>
      <c r="L26" s="28"/>
      <c r="M26" s="28"/>
      <c r="N26" s="28"/>
      <c r="O26" s="28"/>
      <c r="P26" s="28"/>
      <c r="Q26" s="28"/>
      <c r="R26" s="28"/>
      <c r="S26" s="28"/>
      <c r="T26" s="28"/>
      <c r="U26" s="28"/>
      <c r="V26" s="28"/>
      <c r="W26" s="28"/>
      <c r="X26" s="28"/>
      <c r="Y26" s="28"/>
      <c r="Z26" s="28"/>
    </row>
    <row r="27" spans="1:26" ht="15.75" thickBot="1">
      <c r="A27" s="29">
        <v>26</v>
      </c>
      <c r="B27" s="29">
        <v>3</v>
      </c>
      <c r="C27" s="28" t="s">
        <v>62</v>
      </c>
      <c r="D27" s="28" t="s">
        <v>10</v>
      </c>
      <c r="E27" s="28" t="s">
        <v>63</v>
      </c>
      <c r="F27" s="28" t="s">
        <v>37</v>
      </c>
      <c r="G27" s="29">
        <v>26</v>
      </c>
      <c r="H27" s="29">
        <v>3</v>
      </c>
      <c r="I27" s="28"/>
      <c r="J27" s="28"/>
      <c r="K27" s="28"/>
      <c r="L27" s="28"/>
      <c r="M27" s="28"/>
      <c r="N27" s="28"/>
      <c r="O27" s="28"/>
      <c r="P27" s="28"/>
      <c r="Q27" s="28"/>
      <c r="R27" s="28"/>
      <c r="S27" s="28"/>
      <c r="T27" s="28"/>
      <c r="U27" s="28"/>
      <c r="V27" s="28"/>
      <c r="W27" s="28"/>
      <c r="X27" s="28"/>
      <c r="Y27" s="28"/>
      <c r="Z27" s="28"/>
    </row>
    <row r="28" spans="1:26" ht="15.75" thickBot="1">
      <c r="A28" s="29">
        <v>27</v>
      </c>
      <c r="B28" s="29">
        <v>3</v>
      </c>
      <c r="C28" s="28" t="s">
        <v>433</v>
      </c>
      <c r="D28" s="28" t="s">
        <v>10</v>
      </c>
      <c r="E28" s="28" t="s">
        <v>73</v>
      </c>
      <c r="F28" s="28" t="s">
        <v>114</v>
      </c>
      <c r="G28" s="29">
        <v>27</v>
      </c>
      <c r="H28" s="29">
        <v>3</v>
      </c>
      <c r="I28" s="28"/>
      <c r="J28" s="28"/>
      <c r="K28" s="28"/>
      <c r="L28" s="28"/>
      <c r="M28" s="28"/>
      <c r="N28" s="28"/>
      <c r="O28" s="28"/>
      <c r="P28" s="28"/>
      <c r="Q28" s="28"/>
      <c r="R28" s="28"/>
      <c r="S28" s="28"/>
      <c r="T28" s="28"/>
      <c r="U28" s="28"/>
      <c r="V28" s="28"/>
      <c r="W28" s="28"/>
      <c r="X28" s="28"/>
      <c r="Y28" s="28"/>
      <c r="Z28" s="28"/>
    </row>
    <row r="29" spans="1:26" ht="15.75" thickBot="1">
      <c r="A29" s="29">
        <v>28</v>
      </c>
      <c r="B29" s="29">
        <v>3</v>
      </c>
      <c r="C29" s="28" t="s">
        <v>384</v>
      </c>
      <c r="D29" s="28" t="s">
        <v>2</v>
      </c>
      <c r="E29" s="28" t="s">
        <v>23</v>
      </c>
      <c r="F29" s="28" t="s">
        <v>470</v>
      </c>
      <c r="G29" s="29">
        <v>28</v>
      </c>
      <c r="H29" s="29">
        <v>3</v>
      </c>
      <c r="I29" s="28"/>
      <c r="J29" s="28"/>
      <c r="K29" s="28"/>
      <c r="L29" s="28"/>
      <c r="M29" s="28"/>
      <c r="N29" s="28"/>
      <c r="O29" s="28"/>
      <c r="P29" s="28"/>
      <c r="Q29" s="28"/>
      <c r="R29" s="28"/>
      <c r="S29" s="28"/>
      <c r="T29" s="28"/>
      <c r="U29" s="28"/>
      <c r="V29" s="28"/>
      <c r="W29" s="28"/>
      <c r="X29" s="28"/>
      <c r="Y29" s="28"/>
      <c r="Z29" s="28"/>
    </row>
    <row r="30" spans="1:26" ht="15.75" thickBot="1">
      <c r="A30" s="29">
        <v>29</v>
      </c>
      <c r="B30" s="29">
        <v>3</v>
      </c>
      <c r="C30" s="28" t="s">
        <v>580</v>
      </c>
      <c r="D30" s="28" t="s">
        <v>10</v>
      </c>
      <c r="E30" s="28" t="s">
        <v>107</v>
      </c>
      <c r="F30" s="28" t="s">
        <v>58</v>
      </c>
      <c r="G30" s="29">
        <v>29</v>
      </c>
      <c r="H30" s="29">
        <v>3</v>
      </c>
      <c r="I30" s="28"/>
      <c r="J30" s="28"/>
      <c r="K30" s="28"/>
      <c r="L30" s="28"/>
      <c r="M30" s="28"/>
      <c r="N30" s="28"/>
      <c r="O30" s="28"/>
      <c r="P30" s="28"/>
      <c r="Q30" s="28"/>
      <c r="R30" s="28"/>
      <c r="S30" s="28"/>
      <c r="T30" s="28"/>
      <c r="U30" s="28"/>
      <c r="V30" s="28"/>
      <c r="W30" s="28"/>
      <c r="X30" s="28"/>
      <c r="Y30" s="28"/>
      <c r="Z30" s="28"/>
    </row>
    <row r="31" spans="1:26" ht="15.75" thickBot="1">
      <c r="A31" s="31">
        <v>30</v>
      </c>
      <c r="B31" s="31">
        <v>3</v>
      </c>
      <c r="C31" s="33" t="s">
        <v>484</v>
      </c>
      <c r="D31" s="33" t="s">
        <v>10</v>
      </c>
      <c r="E31" s="33" t="s">
        <v>30</v>
      </c>
      <c r="F31" s="33" t="s">
        <v>97</v>
      </c>
      <c r="G31" s="31">
        <v>30</v>
      </c>
      <c r="H31" s="31">
        <v>3</v>
      </c>
      <c r="I31" s="28"/>
      <c r="J31" s="28"/>
      <c r="K31" s="28"/>
      <c r="L31" s="28"/>
      <c r="M31" s="28"/>
      <c r="N31" s="28"/>
      <c r="O31" s="28"/>
      <c r="P31" s="28"/>
      <c r="Q31" s="28"/>
      <c r="R31" s="28"/>
      <c r="S31" s="28"/>
      <c r="T31" s="28"/>
      <c r="U31" s="28"/>
      <c r="V31" s="28"/>
      <c r="W31" s="28"/>
      <c r="X31" s="28"/>
      <c r="Y31" s="28"/>
      <c r="Z31" s="28"/>
    </row>
    <row r="32" spans="1:26" ht="15.75" thickBot="1">
      <c r="A32" s="29">
        <v>31</v>
      </c>
      <c r="B32" s="29">
        <v>4</v>
      </c>
      <c r="C32" s="28" t="s">
        <v>581</v>
      </c>
      <c r="D32" s="28" t="s">
        <v>10</v>
      </c>
      <c r="E32" s="28" t="s">
        <v>8</v>
      </c>
      <c r="F32" s="28" t="s">
        <v>97</v>
      </c>
      <c r="G32" s="29">
        <v>31</v>
      </c>
      <c r="H32" s="29">
        <v>4</v>
      </c>
      <c r="I32" s="28"/>
      <c r="J32" s="28"/>
      <c r="K32" s="28"/>
      <c r="L32" s="28"/>
      <c r="M32" s="28"/>
      <c r="N32" s="28"/>
      <c r="O32" s="28"/>
      <c r="P32" s="28"/>
      <c r="Q32" s="28"/>
      <c r="R32" s="28"/>
      <c r="S32" s="28"/>
      <c r="T32" s="28"/>
      <c r="U32" s="28"/>
      <c r="V32" s="28"/>
      <c r="W32" s="28"/>
      <c r="X32" s="28"/>
      <c r="Y32" s="28"/>
      <c r="Z32" s="28"/>
    </row>
    <row r="33" spans="1:26" ht="15.75" thickBot="1">
      <c r="A33" s="29">
        <v>32</v>
      </c>
      <c r="B33" s="29">
        <v>4</v>
      </c>
      <c r="C33" s="28" t="s">
        <v>66</v>
      </c>
      <c r="D33" s="28" t="s">
        <v>10</v>
      </c>
      <c r="E33" s="28" t="s">
        <v>49</v>
      </c>
      <c r="F33" s="28" t="s">
        <v>58</v>
      </c>
      <c r="G33" s="29">
        <v>32</v>
      </c>
      <c r="H33" s="29">
        <v>4</v>
      </c>
      <c r="I33" s="28"/>
      <c r="J33" s="28"/>
      <c r="K33" s="28"/>
      <c r="L33" s="28"/>
      <c r="M33" s="28"/>
      <c r="N33" s="28"/>
      <c r="O33" s="28"/>
      <c r="P33" s="28"/>
      <c r="Q33" s="28"/>
      <c r="R33" s="28"/>
      <c r="S33" s="28"/>
      <c r="T33" s="28"/>
      <c r="U33" s="28"/>
      <c r="V33" s="28"/>
      <c r="W33" s="28"/>
      <c r="X33" s="28"/>
      <c r="Y33" s="28"/>
      <c r="Z33" s="28"/>
    </row>
    <row r="34" spans="1:26" ht="15.75" thickBot="1">
      <c r="A34" s="29">
        <v>33</v>
      </c>
      <c r="B34" s="29">
        <v>4</v>
      </c>
      <c r="C34" s="28" t="s">
        <v>545</v>
      </c>
      <c r="D34" s="28" t="s">
        <v>2</v>
      </c>
      <c r="E34" s="28" t="s">
        <v>84</v>
      </c>
      <c r="F34" s="28" t="s">
        <v>470</v>
      </c>
      <c r="G34" s="29">
        <v>33</v>
      </c>
      <c r="H34" s="29">
        <v>4</v>
      </c>
      <c r="I34" s="28"/>
      <c r="J34" s="28"/>
      <c r="K34" s="28"/>
      <c r="L34" s="28"/>
      <c r="M34" s="28"/>
      <c r="N34" s="28"/>
      <c r="O34" s="28"/>
      <c r="P34" s="28"/>
      <c r="Q34" s="28"/>
      <c r="R34" s="28"/>
      <c r="S34" s="28"/>
      <c r="T34" s="28"/>
      <c r="U34" s="28"/>
      <c r="V34" s="28"/>
      <c r="W34" s="28"/>
      <c r="X34" s="28"/>
      <c r="Y34" s="28"/>
      <c r="Z34" s="28"/>
    </row>
    <row r="35" spans="1:26" ht="15.75" thickBot="1">
      <c r="A35" s="29">
        <v>34</v>
      </c>
      <c r="B35" s="29">
        <v>4</v>
      </c>
      <c r="C35" s="28" t="s">
        <v>499</v>
      </c>
      <c r="D35" s="28" t="s">
        <v>2</v>
      </c>
      <c r="E35" s="28" t="s">
        <v>32</v>
      </c>
      <c r="F35" s="28" t="s">
        <v>114</v>
      </c>
      <c r="G35" s="29">
        <v>34</v>
      </c>
      <c r="H35" s="29">
        <v>4</v>
      </c>
      <c r="I35" s="28"/>
      <c r="J35" s="28"/>
      <c r="K35" s="28"/>
      <c r="L35" s="28"/>
      <c r="M35" s="28"/>
      <c r="N35" s="28"/>
      <c r="O35" s="28"/>
      <c r="P35" s="28"/>
      <c r="Q35" s="28"/>
      <c r="R35" s="28"/>
      <c r="S35" s="28"/>
      <c r="T35" s="28"/>
      <c r="U35" s="28"/>
      <c r="V35" s="28"/>
      <c r="W35" s="28"/>
      <c r="X35" s="28"/>
      <c r="Y35" s="28"/>
      <c r="Z35" s="28"/>
    </row>
    <row r="36" spans="1:26" ht="15.75" thickBot="1">
      <c r="A36" s="29">
        <v>35</v>
      </c>
      <c r="B36" s="29">
        <v>4</v>
      </c>
      <c r="C36" s="28" t="s">
        <v>415</v>
      </c>
      <c r="D36" s="28" t="s">
        <v>2</v>
      </c>
      <c r="E36" s="28" t="s">
        <v>84</v>
      </c>
      <c r="F36" s="28" t="s">
        <v>37</v>
      </c>
      <c r="G36" s="29">
        <v>35</v>
      </c>
      <c r="H36" s="29">
        <v>4</v>
      </c>
      <c r="I36" s="28"/>
      <c r="J36" s="28"/>
      <c r="K36" s="28"/>
      <c r="L36" s="28"/>
      <c r="M36" s="28"/>
      <c r="N36" s="28"/>
      <c r="O36" s="28"/>
      <c r="P36" s="28"/>
      <c r="Q36" s="28"/>
      <c r="R36" s="28"/>
      <c r="S36" s="28"/>
      <c r="T36" s="28"/>
      <c r="U36" s="28"/>
      <c r="V36" s="28"/>
      <c r="W36" s="28"/>
      <c r="X36" s="28"/>
      <c r="Y36" s="28"/>
      <c r="Z36" s="28"/>
    </row>
    <row r="37" spans="1:26" ht="15.75" thickBot="1">
      <c r="A37" s="29">
        <v>36</v>
      </c>
      <c r="B37" s="29">
        <v>4</v>
      </c>
      <c r="C37" s="28" t="s">
        <v>582</v>
      </c>
      <c r="D37" s="28" t="s">
        <v>10</v>
      </c>
      <c r="E37" s="28" t="s">
        <v>21</v>
      </c>
      <c r="F37" s="28" t="s">
        <v>469</v>
      </c>
      <c r="G37" s="29">
        <v>36</v>
      </c>
      <c r="H37" s="29">
        <v>4</v>
      </c>
      <c r="I37" s="28"/>
      <c r="J37" s="28"/>
      <c r="K37" s="28"/>
      <c r="L37" s="28"/>
      <c r="M37" s="28"/>
      <c r="N37" s="28"/>
      <c r="O37" s="28"/>
      <c r="P37" s="28"/>
      <c r="Q37" s="28"/>
      <c r="R37" s="28"/>
      <c r="S37" s="28"/>
      <c r="T37" s="28"/>
      <c r="U37" s="28"/>
      <c r="V37" s="28"/>
      <c r="W37" s="28"/>
      <c r="X37" s="28"/>
      <c r="Y37" s="28"/>
      <c r="Z37" s="28"/>
    </row>
    <row r="38" spans="1:26" ht="15.75" thickBot="1">
      <c r="A38" s="29">
        <v>37</v>
      </c>
      <c r="B38" s="29">
        <v>4</v>
      </c>
      <c r="C38" s="28" t="s">
        <v>437</v>
      </c>
      <c r="D38" s="28" t="s">
        <v>10</v>
      </c>
      <c r="E38" s="28" t="s">
        <v>46</v>
      </c>
      <c r="F38" s="28" t="s">
        <v>471</v>
      </c>
      <c r="G38" s="29">
        <v>37</v>
      </c>
      <c r="H38" s="29">
        <v>4</v>
      </c>
      <c r="I38" s="28"/>
      <c r="J38" s="28"/>
      <c r="K38" s="28"/>
      <c r="L38" s="28"/>
      <c r="M38" s="28"/>
      <c r="N38" s="28"/>
      <c r="O38" s="28"/>
      <c r="P38" s="28"/>
      <c r="Q38" s="28"/>
      <c r="R38" s="28"/>
      <c r="S38" s="28"/>
      <c r="T38" s="28"/>
      <c r="U38" s="28"/>
      <c r="V38" s="28"/>
      <c r="W38" s="28"/>
      <c r="X38" s="28"/>
      <c r="Y38" s="28"/>
      <c r="Z38" s="28"/>
    </row>
    <row r="39" spans="1:26" ht="15.75" thickBot="1">
      <c r="A39" s="29">
        <v>38</v>
      </c>
      <c r="B39" s="29">
        <v>4</v>
      </c>
      <c r="C39" s="28" t="s">
        <v>566</v>
      </c>
      <c r="D39" s="28" t="s">
        <v>10</v>
      </c>
      <c r="E39" s="28" t="s">
        <v>34</v>
      </c>
      <c r="F39" s="28" t="s">
        <v>385</v>
      </c>
      <c r="G39" s="29">
        <v>38</v>
      </c>
      <c r="H39" s="29">
        <v>4</v>
      </c>
      <c r="I39" s="28"/>
      <c r="J39" s="28"/>
      <c r="K39" s="28"/>
      <c r="L39" s="28"/>
      <c r="M39" s="28"/>
      <c r="N39" s="28"/>
      <c r="O39" s="28"/>
      <c r="P39" s="28"/>
      <c r="Q39" s="28"/>
      <c r="R39" s="28"/>
      <c r="S39" s="28"/>
      <c r="T39" s="28"/>
      <c r="U39" s="28"/>
      <c r="V39" s="28"/>
      <c r="W39" s="28"/>
      <c r="X39" s="28"/>
      <c r="Y39" s="28"/>
      <c r="Z39" s="28"/>
    </row>
    <row r="40" spans="1:26" ht="15.75" thickBot="1">
      <c r="A40" s="29">
        <v>39</v>
      </c>
      <c r="B40" s="29">
        <v>4</v>
      </c>
      <c r="C40" s="28" t="s">
        <v>195</v>
      </c>
      <c r="D40" s="28" t="s">
        <v>10</v>
      </c>
      <c r="E40" s="28" t="s">
        <v>30</v>
      </c>
      <c r="F40" s="28" t="s">
        <v>181</v>
      </c>
      <c r="G40" s="29">
        <v>39</v>
      </c>
      <c r="H40" s="29">
        <v>4</v>
      </c>
      <c r="I40" s="28"/>
      <c r="J40" s="28"/>
      <c r="K40" s="28"/>
      <c r="L40" s="28"/>
      <c r="M40" s="28"/>
      <c r="N40" s="28"/>
      <c r="O40" s="28"/>
      <c r="P40" s="28"/>
      <c r="Q40" s="28"/>
      <c r="R40" s="28"/>
      <c r="S40" s="28"/>
      <c r="T40" s="28"/>
      <c r="U40" s="28"/>
      <c r="V40" s="28"/>
      <c r="W40" s="28"/>
      <c r="X40" s="28"/>
      <c r="Y40" s="28"/>
      <c r="Z40" s="28"/>
    </row>
    <row r="41" spans="1:26" ht="15.75" thickBot="1">
      <c r="A41" s="31">
        <v>40</v>
      </c>
      <c r="B41" s="31">
        <v>4</v>
      </c>
      <c r="C41" s="33" t="s">
        <v>178</v>
      </c>
      <c r="D41" s="33" t="s">
        <v>27</v>
      </c>
      <c r="E41" s="33" t="s">
        <v>19</v>
      </c>
      <c r="F41" s="33" t="s">
        <v>0</v>
      </c>
      <c r="G41" s="31">
        <v>40</v>
      </c>
      <c r="H41" s="31">
        <v>4</v>
      </c>
      <c r="I41" s="28"/>
      <c r="J41" s="28"/>
      <c r="K41" s="28"/>
      <c r="L41" s="28"/>
      <c r="M41" s="28"/>
      <c r="N41" s="28"/>
      <c r="O41" s="28"/>
      <c r="P41" s="28"/>
      <c r="Q41" s="28"/>
      <c r="R41" s="28"/>
      <c r="S41" s="28"/>
      <c r="T41" s="28"/>
      <c r="U41" s="28"/>
      <c r="V41" s="28"/>
      <c r="W41" s="28"/>
      <c r="X41" s="28"/>
      <c r="Y41" s="28"/>
      <c r="Z41" s="28"/>
    </row>
    <row r="42" spans="1:26" ht="15.75" thickBot="1">
      <c r="A42" s="29">
        <v>41</v>
      </c>
      <c r="B42" s="29">
        <v>5</v>
      </c>
      <c r="C42" s="28" t="s">
        <v>428</v>
      </c>
      <c r="D42" s="28" t="s">
        <v>2</v>
      </c>
      <c r="E42" s="28" t="s">
        <v>30</v>
      </c>
      <c r="F42" s="28" t="s">
        <v>0</v>
      </c>
      <c r="G42" s="29">
        <v>41</v>
      </c>
      <c r="H42" s="29">
        <v>5</v>
      </c>
      <c r="I42" s="28"/>
      <c r="J42" s="28"/>
      <c r="K42" s="28"/>
      <c r="L42" s="28"/>
      <c r="M42" s="28"/>
      <c r="N42" s="28"/>
      <c r="O42" s="28"/>
      <c r="P42" s="28"/>
      <c r="Q42" s="28"/>
      <c r="R42" s="28"/>
      <c r="S42" s="28"/>
      <c r="T42" s="28"/>
      <c r="U42" s="28"/>
      <c r="V42" s="28"/>
      <c r="W42" s="28"/>
      <c r="X42" s="28"/>
      <c r="Y42" s="28"/>
      <c r="Z42" s="28"/>
    </row>
    <row r="43" spans="1:26" ht="15.75" thickBot="1">
      <c r="A43" s="29">
        <v>42</v>
      </c>
      <c r="B43" s="29">
        <v>5</v>
      </c>
      <c r="C43" s="30" t="s">
        <v>16</v>
      </c>
      <c r="D43" s="28" t="s">
        <v>2</v>
      </c>
      <c r="E43" s="28" t="s">
        <v>17</v>
      </c>
      <c r="F43" s="28" t="s">
        <v>181</v>
      </c>
      <c r="G43" s="29">
        <v>42</v>
      </c>
      <c r="H43" s="29">
        <v>5</v>
      </c>
      <c r="I43" s="28"/>
      <c r="J43" s="28"/>
      <c r="K43" s="28"/>
      <c r="L43" s="28"/>
      <c r="M43" s="28"/>
      <c r="N43" s="28"/>
      <c r="O43" s="28"/>
      <c r="P43" s="28"/>
      <c r="Q43" s="28"/>
      <c r="R43" s="28"/>
      <c r="S43" s="28"/>
      <c r="T43" s="28"/>
      <c r="U43" s="28"/>
      <c r="V43" s="28"/>
      <c r="W43" s="28"/>
      <c r="X43" s="28"/>
      <c r="Y43" s="28"/>
      <c r="Z43" s="28"/>
    </row>
    <row r="44" spans="1:26" ht="15.75" thickBot="1">
      <c r="A44" s="29">
        <v>43</v>
      </c>
      <c r="B44" s="29">
        <v>5</v>
      </c>
      <c r="C44" s="28" t="s">
        <v>184</v>
      </c>
      <c r="D44" s="28" t="s">
        <v>2</v>
      </c>
      <c r="E44" s="28" t="s">
        <v>71</v>
      </c>
      <c r="F44" s="28" t="s">
        <v>385</v>
      </c>
      <c r="G44" s="29">
        <v>43</v>
      </c>
      <c r="H44" s="29">
        <v>5</v>
      </c>
      <c r="I44" s="28"/>
      <c r="J44" s="28"/>
      <c r="K44" s="28"/>
      <c r="L44" s="28"/>
      <c r="M44" s="28"/>
      <c r="N44" s="28"/>
      <c r="O44" s="28"/>
      <c r="P44" s="28"/>
      <c r="Q44" s="28"/>
      <c r="R44" s="28"/>
      <c r="S44" s="28"/>
      <c r="T44" s="28"/>
      <c r="U44" s="28"/>
      <c r="V44" s="28"/>
      <c r="W44" s="28"/>
      <c r="X44" s="28"/>
      <c r="Y44" s="28"/>
      <c r="Z44" s="28"/>
    </row>
    <row r="45" spans="1:26" ht="15.75" thickBot="1">
      <c r="A45" s="29">
        <v>44</v>
      </c>
      <c r="B45" s="29">
        <v>5</v>
      </c>
      <c r="C45" s="28" t="s">
        <v>575</v>
      </c>
      <c r="D45" s="28" t="s">
        <v>10</v>
      </c>
      <c r="E45" s="28" t="s">
        <v>91</v>
      </c>
      <c r="F45" s="28" t="s">
        <v>471</v>
      </c>
      <c r="G45" s="29">
        <v>44</v>
      </c>
      <c r="H45" s="29">
        <v>5</v>
      </c>
      <c r="I45" s="28"/>
      <c r="J45" s="28"/>
      <c r="K45" s="28"/>
      <c r="L45" s="28"/>
      <c r="M45" s="28"/>
      <c r="N45" s="28"/>
      <c r="O45" s="28"/>
      <c r="P45" s="28"/>
      <c r="Q45" s="28"/>
      <c r="R45" s="28"/>
      <c r="S45" s="28"/>
      <c r="T45" s="28"/>
      <c r="U45" s="28"/>
      <c r="V45" s="28"/>
      <c r="W45" s="28"/>
      <c r="X45" s="28"/>
      <c r="Y45" s="28"/>
      <c r="Z45" s="28"/>
    </row>
    <row r="46" spans="1:26" ht="15.75" thickBot="1">
      <c r="A46" s="29">
        <v>45</v>
      </c>
      <c r="B46" s="29">
        <v>5</v>
      </c>
      <c r="C46" s="28" t="s">
        <v>418</v>
      </c>
      <c r="D46" s="28" t="s">
        <v>5</v>
      </c>
      <c r="E46" s="28" t="s">
        <v>17</v>
      </c>
      <c r="F46" s="28" t="s">
        <v>469</v>
      </c>
      <c r="G46" s="29">
        <v>45</v>
      </c>
      <c r="H46" s="29">
        <v>5</v>
      </c>
      <c r="I46" s="28"/>
      <c r="J46" s="28"/>
      <c r="K46" s="28"/>
      <c r="L46" s="28"/>
      <c r="M46" s="28"/>
      <c r="N46" s="28"/>
      <c r="O46" s="28"/>
      <c r="P46" s="28"/>
      <c r="Q46" s="28"/>
      <c r="R46" s="28"/>
      <c r="S46" s="28"/>
      <c r="T46" s="28"/>
      <c r="U46" s="28"/>
      <c r="V46" s="28"/>
      <c r="W46" s="28"/>
      <c r="X46" s="28"/>
      <c r="Y46" s="28"/>
      <c r="Z46" s="28"/>
    </row>
    <row r="47" spans="1:26" ht="15.75" thickBot="1">
      <c r="A47" s="29">
        <v>46</v>
      </c>
      <c r="B47" s="29">
        <v>5</v>
      </c>
      <c r="C47" s="28" t="s">
        <v>129</v>
      </c>
      <c r="D47" s="28" t="s">
        <v>27</v>
      </c>
      <c r="E47" s="28" t="s">
        <v>43</v>
      </c>
      <c r="F47" s="28" t="s">
        <v>37</v>
      </c>
      <c r="G47" s="29">
        <v>46</v>
      </c>
      <c r="H47" s="29">
        <v>5</v>
      </c>
      <c r="I47" s="28"/>
      <c r="J47" s="28"/>
      <c r="K47" s="28"/>
      <c r="L47" s="28"/>
      <c r="M47" s="28"/>
      <c r="N47" s="28"/>
      <c r="O47" s="28"/>
      <c r="P47" s="28"/>
      <c r="Q47" s="28"/>
      <c r="R47" s="28"/>
      <c r="S47" s="28"/>
      <c r="T47" s="28"/>
      <c r="U47" s="28"/>
      <c r="V47" s="28"/>
      <c r="W47" s="28"/>
      <c r="X47" s="28"/>
      <c r="Y47" s="28"/>
      <c r="Z47" s="28"/>
    </row>
    <row r="48" spans="1:26" ht="15.75" thickBot="1">
      <c r="A48" s="29">
        <v>47</v>
      </c>
      <c r="B48" s="29">
        <v>5</v>
      </c>
      <c r="C48" s="28" t="s">
        <v>457</v>
      </c>
      <c r="D48" s="28" t="s">
        <v>10</v>
      </c>
      <c r="E48" s="28" t="s">
        <v>107</v>
      </c>
      <c r="F48" s="28" t="s">
        <v>114</v>
      </c>
      <c r="G48" s="29">
        <v>47</v>
      </c>
      <c r="H48" s="29">
        <v>5</v>
      </c>
      <c r="I48" s="28"/>
      <c r="J48" s="28"/>
      <c r="K48" s="28"/>
      <c r="L48" s="28"/>
      <c r="M48" s="28"/>
      <c r="N48" s="28"/>
      <c r="O48" s="28"/>
      <c r="P48" s="28"/>
      <c r="Q48" s="28"/>
      <c r="R48" s="28"/>
      <c r="S48" s="28"/>
      <c r="T48" s="28"/>
      <c r="U48" s="28"/>
      <c r="V48" s="28"/>
      <c r="W48" s="28"/>
      <c r="X48" s="28"/>
      <c r="Y48" s="28"/>
      <c r="Z48" s="28"/>
    </row>
    <row r="49" spans="1:26" ht="15.75" thickBot="1">
      <c r="A49" s="29">
        <v>48</v>
      </c>
      <c r="B49" s="29">
        <v>5</v>
      </c>
      <c r="C49" s="28" t="s">
        <v>4</v>
      </c>
      <c r="D49" s="28" t="s">
        <v>5</v>
      </c>
      <c r="E49" s="28" t="s">
        <v>6</v>
      </c>
      <c r="F49" s="28" t="s">
        <v>470</v>
      </c>
      <c r="G49" s="29">
        <v>48</v>
      </c>
      <c r="H49" s="29">
        <v>5</v>
      </c>
      <c r="I49" s="28"/>
      <c r="J49" s="28"/>
      <c r="K49" s="28"/>
      <c r="L49" s="28"/>
      <c r="M49" s="28"/>
      <c r="N49" s="28"/>
      <c r="O49" s="28"/>
      <c r="P49" s="28"/>
      <c r="Q49" s="28"/>
      <c r="R49" s="28"/>
      <c r="S49" s="28"/>
      <c r="T49" s="28"/>
      <c r="U49" s="28"/>
      <c r="V49" s="28"/>
      <c r="W49" s="28"/>
      <c r="X49" s="28"/>
      <c r="Y49" s="28"/>
      <c r="Z49" s="28"/>
    </row>
    <row r="50" spans="1:26" ht="15.75" thickBot="1">
      <c r="A50" s="29">
        <v>49</v>
      </c>
      <c r="B50" s="29">
        <v>5</v>
      </c>
      <c r="C50" s="28" t="s">
        <v>416</v>
      </c>
      <c r="D50" s="28" t="s">
        <v>27</v>
      </c>
      <c r="E50" s="28" t="s">
        <v>35</v>
      </c>
      <c r="F50" s="28" t="s">
        <v>58</v>
      </c>
      <c r="G50" s="29">
        <v>49</v>
      </c>
      <c r="H50" s="29">
        <v>5</v>
      </c>
      <c r="I50" s="28"/>
      <c r="J50" s="28"/>
      <c r="K50" s="28"/>
      <c r="L50" s="28"/>
      <c r="M50" s="28"/>
      <c r="N50" s="28"/>
      <c r="O50" s="28"/>
      <c r="P50" s="28"/>
      <c r="Q50" s="28"/>
      <c r="R50" s="28"/>
      <c r="S50" s="28"/>
      <c r="T50" s="28"/>
      <c r="U50" s="28"/>
      <c r="V50" s="28"/>
      <c r="W50" s="28"/>
      <c r="X50" s="28"/>
      <c r="Y50" s="28"/>
      <c r="Z50" s="28"/>
    </row>
    <row r="51" spans="1:26" ht="15.75" thickBot="1">
      <c r="A51" s="31">
        <v>50</v>
      </c>
      <c r="B51" s="31">
        <v>5</v>
      </c>
      <c r="C51" s="33" t="s">
        <v>411</v>
      </c>
      <c r="D51" s="33" t="s">
        <v>2</v>
      </c>
      <c r="E51" s="33" t="s">
        <v>73</v>
      </c>
      <c r="F51" s="33" t="s">
        <v>97</v>
      </c>
      <c r="G51" s="31">
        <v>50</v>
      </c>
      <c r="H51" s="31">
        <v>5</v>
      </c>
      <c r="I51" s="28"/>
      <c r="J51" s="28"/>
      <c r="K51" s="28"/>
      <c r="L51" s="28"/>
      <c r="M51" s="28"/>
      <c r="N51" s="28"/>
      <c r="O51" s="28"/>
      <c r="P51" s="28"/>
      <c r="Q51" s="28"/>
      <c r="R51" s="28"/>
      <c r="S51" s="28"/>
      <c r="T51" s="28"/>
      <c r="U51" s="28"/>
      <c r="V51" s="28"/>
      <c r="W51" s="28"/>
      <c r="X51" s="28"/>
      <c r="Y51" s="28"/>
      <c r="Z51" s="28"/>
    </row>
    <row r="52" spans="1:26" ht="15.75" thickBot="1">
      <c r="A52" s="29">
        <v>51</v>
      </c>
      <c r="B52" s="29">
        <v>6</v>
      </c>
      <c r="C52" s="28" t="s">
        <v>583</v>
      </c>
      <c r="D52" s="28" t="s">
        <v>10</v>
      </c>
      <c r="E52" s="28" t="s">
        <v>23</v>
      </c>
      <c r="F52" s="28" t="s">
        <v>97</v>
      </c>
      <c r="G52" s="29">
        <v>51</v>
      </c>
      <c r="H52" s="29">
        <v>6</v>
      </c>
      <c r="I52" s="28"/>
      <c r="J52" s="28"/>
      <c r="K52" s="28"/>
      <c r="L52" s="28"/>
      <c r="M52" s="28"/>
      <c r="N52" s="28"/>
      <c r="O52" s="28"/>
      <c r="P52" s="28"/>
      <c r="Q52" s="28"/>
      <c r="R52" s="28"/>
      <c r="S52" s="28"/>
      <c r="T52" s="28"/>
      <c r="U52" s="28"/>
      <c r="V52" s="28"/>
      <c r="W52" s="28"/>
      <c r="X52" s="28"/>
      <c r="Y52" s="28"/>
      <c r="Z52" s="28"/>
    </row>
    <row r="53" spans="1:26" ht="15.75" thickBot="1">
      <c r="A53" s="29">
        <v>52</v>
      </c>
      <c r="B53" s="29">
        <v>6</v>
      </c>
      <c r="C53" s="28" t="s">
        <v>477</v>
      </c>
      <c r="D53" s="28" t="s">
        <v>10</v>
      </c>
      <c r="E53" s="28" t="s">
        <v>34</v>
      </c>
      <c r="F53" s="28" t="s">
        <v>58</v>
      </c>
      <c r="G53" s="29">
        <v>52</v>
      </c>
      <c r="H53" s="29">
        <v>6</v>
      </c>
      <c r="I53" s="28"/>
      <c r="J53" s="28"/>
      <c r="K53" s="28"/>
      <c r="L53" s="28"/>
      <c r="M53" s="28"/>
      <c r="N53" s="28"/>
      <c r="O53" s="28"/>
      <c r="P53" s="28"/>
      <c r="Q53" s="28"/>
      <c r="R53" s="28"/>
      <c r="S53" s="28"/>
      <c r="T53" s="28"/>
      <c r="U53" s="28"/>
      <c r="V53" s="28"/>
      <c r="W53" s="28"/>
      <c r="X53" s="28"/>
      <c r="Y53" s="28"/>
      <c r="Z53" s="28"/>
    </row>
    <row r="54" spans="1:26" ht="15.75" thickBot="1">
      <c r="A54" s="29">
        <v>53</v>
      </c>
      <c r="B54" s="29">
        <v>6</v>
      </c>
      <c r="C54" s="28" t="s">
        <v>138</v>
      </c>
      <c r="D54" s="28" t="s">
        <v>2</v>
      </c>
      <c r="E54" s="28" t="s">
        <v>107</v>
      </c>
      <c r="F54" s="28" t="s">
        <v>470</v>
      </c>
      <c r="G54" s="29">
        <v>53</v>
      </c>
      <c r="H54" s="29">
        <v>6</v>
      </c>
      <c r="I54" s="28"/>
      <c r="J54" s="28"/>
      <c r="K54" s="28"/>
      <c r="L54" s="28"/>
      <c r="M54" s="28"/>
      <c r="N54" s="28"/>
      <c r="O54" s="28"/>
      <c r="P54" s="28"/>
      <c r="Q54" s="28"/>
      <c r="R54" s="28"/>
      <c r="S54" s="28"/>
      <c r="T54" s="28"/>
      <c r="U54" s="28"/>
      <c r="V54" s="28"/>
      <c r="W54" s="28"/>
      <c r="X54" s="28"/>
      <c r="Y54" s="28"/>
      <c r="Z54" s="28"/>
    </row>
    <row r="55" spans="1:26" ht="15.75" thickBot="1">
      <c r="A55" s="29">
        <v>54</v>
      </c>
      <c r="B55" s="29">
        <v>6</v>
      </c>
      <c r="C55" s="28" t="s">
        <v>119</v>
      </c>
      <c r="D55" s="28" t="s">
        <v>2</v>
      </c>
      <c r="E55" s="28" t="s">
        <v>13</v>
      </c>
      <c r="F55" s="28" t="s">
        <v>114</v>
      </c>
      <c r="G55" s="29">
        <v>54</v>
      </c>
      <c r="H55" s="29">
        <v>6</v>
      </c>
      <c r="I55" s="28"/>
      <c r="J55" s="28"/>
      <c r="K55" s="28"/>
      <c r="L55" s="28"/>
      <c r="M55" s="28"/>
      <c r="N55" s="28"/>
      <c r="O55" s="28"/>
      <c r="P55" s="28"/>
      <c r="Q55" s="28"/>
      <c r="R55" s="28"/>
      <c r="S55" s="28"/>
      <c r="T55" s="28"/>
      <c r="U55" s="28"/>
      <c r="V55" s="28"/>
      <c r="W55" s="28"/>
      <c r="X55" s="28"/>
      <c r="Y55" s="28"/>
      <c r="Z55" s="28"/>
    </row>
    <row r="56" spans="1:26" ht="15.75" thickBot="1">
      <c r="A56" s="29">
        <v>55</v>
      </c>
      <c r="B56" s="29">
        <v>6</v>
      </c>
      <c r="C56" s="28" t="s">
        <v>52</v>
      </c>
      <c r="D56" s="28" t="s">
        <v>2</v>
      </c>
      <c r="E56" s="28" t="s">
        <v>11</v>
      </c>
      <c r="F56" s="28" t="s">
        <v>37</v>
      </c>
      <c r="G56" s="29">
        <v>55</v>
      </c>
      <c r="H56" s="29">
        <v>6</v>
      </c>
      <c r="I56" s="28"/>
      <c r="J56" s="28"/>
      <c r="K56" s="28"/>
      <c r="L56" s="28"/>
      <c r="M56" s="28"/>
      <c r="N56" s="28"/>
      <c r="O56" s="28"/>
      <c r="P56" s="28"/>
      <c r="Q56" s="28"/>
      <c r="R56" s="28"/>
      <c r="S56" s="28"/>
      <c r="T56" s="28"/>
      <c r="U56" s="28"/>
      <c r="V56" s="28"/>
      <c r="W56" s="28"/>
      <c r="X56" s="28"/>
      <c r="Y56" s="28"/>
      <c r="Z56" s="28"/>
    </row>
    <row r="57" spans="1:26" ht="15.75" thickBot="1">
      <c r="A57" s="29">
        <v>56</v>
      </c>
      <c r="B57" s="29">
        <v>6</v>
      </c>
      <c r="C57" s="28" t="s">
        <v>584</v>
      </c>
      <c r="D57" s="28" t="s">
        <v>10</v>
      </c>
      <c r="E57" s="28" t="s">
        <v>135</v>
      </c>
      <c r="F57" s="28" t="s">
        <v>469</v>
      </c>
      <c r="G57" s="29">
        <v>56</v>
      </c>
      <c r="H57" s="29">
        <v>6</v>
      </c>
      <c r="I57" s="28"/>
      <c r="J57" s="28"/>
      <c r="K57" s="28"/>
      <c r="L57" s="28"/>
      <c r="M57" s="28"/>
      <c r="N57" s="28"/>
      <c r="O57" s="28"/>
      <c r="P57" s="28"/>
      <c r="Q57" s="28"/>
      <c r="R57" s="28"/>
      <c r="S57" s="28"/>
      <c r="T57" s="28"/>
      <c r="U57" s="28"/>
      <c r="V57" s="28"/>
      <c r="W57" s="28"/>
      <c r="X57" s="28"/>
      <c r="Y57" s="28"/>
      <c r="Z57" s="28"/>
    </row>
    <row r="58" spans="1:26" ht="15.75" thickBot="1">
      <c r="A58" s="29">
        <v>57</v>
      </c>
      <c r="B58" s="29">
        <v>6</v>
      </c>
      <c r="C58" s="28" t="s">
        <v>569</v>
      </c>
      <c r="D58" s="28" t="s">
        <v>2</v>
      </c>
      <c r="E58" s="28" t="s">
        <v>137</v>
      </c>
      <c r="F58" s="28" t="s">
        <v>471</v>
      </c>
      <c r="G58" s="29">
        <v>57</v>
      </c>
      <c r="H58" s="29">
        <v>6</v>
      </c>
      <c r="I58" s="28"/>
      <c r="J58" s="28"/>
      <c r="K58" s="28"/>
      <c r="L58" s="28"/>
      <c r="M58" s="28"/>
      <c r="N58" s="28"/>
      <c r="O58" s="28"/>
      <c r="P58" s="28"/>
      <c r="Q58" s="28"/>
      <c r="R58" s="28"/>
      <c r="S58" s="28"/>
      <c r="T58" s="28"/>
      <c r="U58" s="28"/>
      <c r="V58" s="28"/>
      <c r="W58" s="28"/>
      <c r="X58" s="28"/>
      <c r="Y58" s="28"/>
      <c r="Z58" s="28"/>
    </row>
    <row r="59" spans="1:26" ht="15.75" thickBot="1">
      <c r="A59" s="29">
        <v>58</v>
      </c>
      <c r="B59" s="29">
        <v>6</v>
      </c>
      <c r="C59" s="30" t="s">
        <v>481</v>
      </c>
      <c r="D59" s="28" t="s">
        <v>10</v>
      </c>
      <c r="E59" s="28" t="s">
        <v>28</v>
      </c>
      <c r="F59" s="28" t="s">
        <v>385</v>
      </c>
      <c r="G59" s="29">
        <v>58</v>
      </c>
      <c r="H59" s="29">
        <v>6</v>
      </c>
      <c r="I59" s="28"/>
      <c r="J59" s="28"/>
      <c r="K59" s="28"/>
      <c r="L59" s="28"/>
      <c r="M59" s="28"/>
      <c r="N59" s="28"/>
      <c r="O59" s="28"/>
      <c r="P59" s="28"/>
      <c r="Q59" s="28"/>
      <c r="R59" s="28"/>
      <c r="S59" s="28"/>
      <c r="T59" s="28"/>
      <c r="U59" s="28"/>
      <c r="V59" s="28"/>
      <c r="W59" s="28"/>
      <c r="X59" s="28"/>
      <c r="Y59" s="28"/>
      <c r="Z59" s="28"/>
    </row>
    <row r="60" spans="1:26" ht="15.75" thickBot="1">
      <c r="A60" s="29">
        <v>59</v>
      </c>
      <c r="B60" s="29">
        <v>6</v>
      </c>
      <c r="C60" s="28" t="s">
        <v>546</v>
      </c>
      <c r="D60" s="28" t="s">
        <v>10</v>
      </c>
      <c r="E60" s="28" t="s">
        <v>25</v>
      </c>
      <c r="F60" s="28" t="s">
        <v>181</v>
      </c>
      <c r="G60" s="29">
        <v>59</v>
      </c>
      <c r="H60" s="29">
        <v>6</v>
      </c>
      <c r="I60" s="28"/>
      <c r="J60" s="28"/>
      <c r="K60" s="28"/>
      <c r="L60" s="28"/>
      <c r="M60" s="28"/>
      <c r="N60" s="28"/>
      <c r="O60" s="28"/>
      <c r="P60" s="28"/>
      <c r="Q60" s="28"/>
      <c r="R60" s="28"/>
      <c r="S60" s="28"/>
      <c r="T60" s="28"/>
      <c r="U60" s="28"/>
      <c r="V60" s="28"/>
      <c r="W60" s="28"/>
      <c r="X60" s="28"/>
      <c r="Y60" s="28"/>
      <c r="Z60" s="28"/>
    </row>
    <row r="61" spans="1:26" ht="15.75" thickBot="1">
      <c r="A61" s="31">
        <v>60</v>
      </c>
      <c r="B61" s="31">
        <v>6</v>
      </c>
      <c r="C61" s="33" t="s">
        <v>136</v>
      </c>
      <c r="D61" s="33" t="s">
        <v>2</v>
      </c>
      <c r="E61" s="33" t="s">
        <v>137</v>
      </c>
      <c r="F61" s="33" t="s">
        <v>0</v>
      </c>
      <c r="G61" s="31">
        <v>60</v>
      </c>
      <c r="H61" s="31">
        <v>6</v>
      </c>
      <c r="I61" s="28"/>
      <c r="J61" s="28"/>
      <c r="K61" s="28"/>
      <c r="L61" s="28"/>
      <c r="M61" s="28"/>
      <c r="N61" s="28"/>
      <c r="O61" s="28"/>
      <c r="P61" s="28"/>
      <c r="Q61" s="28"/>
      <c r="R61" s="28"/>
      <c r="S61" s="28"/>
      <c r="T61" s="28"/>
      <c r="U61" s="28"/>
      <c r="V61" s="28"/>
      <c r="W61" s="28"/>
      <c r="X61" s="28"/>
      <c r="Y61" s="28"/>
      <c r="Z61" s="28"/>
    </row>
    <row r="62" spans="1:26" ht="15.75" thickBot="1">
      <c r="A62" s="29">
        <v>61</v>
      </c>
      <c r="B62" s="29">
        <v>7</v>
      </c>
      <c r="C62" s="28" t="s">
        <v>480</v>
      </c>
      <c r="D62" s="28" t="s">
        <v>10</v>
      </c>
      <c r="E62" s="28" t="s">
        <v>17</v>
      </c>
      <c r="F62" s="28" t="s">
        <v>0</v>
      </c>
      <c r="G62" s="29">
        <v>61</v>
      </c>
      <c r="H62" s="29">
        <v>7</v>
      </c>
      <c r="I62" s="28"/>
      <c r="J62" s="28"/>
      <c r="K62" s="28"/>
      <c r="L62" s="28"/>
      <c r="M62" s="28"/>
      <c r="N62" s="28"/>
      <c r="O62" s="28"/>
      <c r="P62" s="28"/>
      <c r="Q62" s="28"/>
      <c r="R62" s="28"/>
      <c r="S62" s="28"/>
      <c r="T62" s="28"/>
      <c r="U62" s="28"/>
      <c r="V62" s="28"/>
      <c r="W62" s="28"/>
      <c r="X62" s="28"/>
      <c r="Y62" s="28"/>
      <c r="Z62" s="28"/>
    </row>
    <row r="63" spans="1:26" ht="15.75" thickBot="1">
      <c r="A63" s="29">
        <v>62</v>
      </c>
      <c r="B63" s="29">
        <v>7</v>
      </c>
      <c r="C63" s="30" t="s">
        <v>174</v>
      </c>
      <c r="D63" s="28" t="s">
        <v>10</v>
      </c>
      <c r="E63" s="28" t="s">
        <v>137</v>
      </c>
      <c r="F63" s="28" t="s">
        <v>181</v>
      </c>
      <c r="G63" s="29">
        <v>62</v>
      </c>
      <c r="H63" s="29">
        <v>7</v>
      </c>
      <c r="I63" s="28"/>
      <c r="J63" s="28"/>
      <c r="K63" s="28"/>
      <c r="L63" s="28"/>
      <c r="M63" s="28"/>
      <c r="N63" s="28"/>
      <c r="O63" s="28"/>
      <c r="P63" s="28"/>
      <c r="Q63" s="28"/>
      <c r="R63" s="28"/>
      <c r="S63" s="28"/>
      <c r="T63" s="28"/>
      <c r="U63" s="28"/>
      <c r="V63" s="28"/>
      <c r="W63" s="28"/>
      <c r="X63" s="28"/>
      <c r="Y63" s="28"/>
      <c r="Z63" s="28"/>
    </row>
    <row r="64" spans="1:26" ht="15.75" thickBot="1">
      <c r="A64" s="29">
        <v>63</v>
      </c>
      <c r="B64" s="29">
        <v>7</v>
      </c>
      <c r="C64" s="28" t="s">
        <v>175</v>
      </c>
      <c r="D64" s="28" t="s">
        <v>2</v>
      </c>
      <c r="E64" s="28" t="s">
        <v>49</v>
      </c>
      <c r="F64" s="28" t="s">
        <v>385</v>
      </c>
      <c r="G64" s="29">
        <v>63</v>
      </c>
      <c r="H64" s="29">
        <v>7</v>
      </c>
      <c r="I64" s="28"/>
      <c r="J64" s="28"/>
      <c r="K64" s="28"/>
      <c r="L64" s="28"/>
      <c r="M64" s="28"/>
      <c r="N64" s="28"/>
      <c r="O64" s="28"/>
      <c r="P64" s="28"/>
      <c r="Q64" s="28"/>
      <c r="R64" s="28"/>
      <c r="S64" s="28"/>
      <c r="T64" s="28"/>
      <c r="U64" s="28"/>
      <c r="V64" s="28"/>
      <c r="W64" s="28"/>
      <c r="X64" s="28"/>
      <c r="Y64" s="28"/>
      <c r="Z64" s="28"/>
    </row>
    <row r="65" spans="1:26" ht="15.75" thickBot="1">
      <c r="A65" s="29">
        <v>64</v>
      </c>
      <c r="B65" s="29">
        <v>7</v>
      </c>
      <c r="C65" s="28" t="s">
        <v>409</v>
      </c>
      <c r="D65" s="28" t="s">
        <v>27</v>
      </c>
      <c r="E65" s="28" t="s">
        <v>82</v>
      </c>
      <c r="F65" s="28" t="s">
        <v>471</v>
      </c>
      <c r="G65" s="29">
        <v>64</v>
      </c>
      <c r="H65" s="29">
        <v>7</v>
      </c>
      <c r="I65" s="28"/>
      <c r="J65" s="28"/>
      <c r="K65" s="28"/>
      <c r="L65" s="28"/>
      <c r="M65" s="28"/>
      <c r="N65" s="28"/>
      <c r="O65" s="28"/>
      <c r="P65" s="28"/>
      <c r="Q65" s="28"/>
      <c r="R65" s="28"/>
      <c r="S65" s="28"/>
      <c r="T65" s="28"/>
      <c r="U65" s="28"/>
      <c r="V65" s="28"/>
      <c r="W65" s="28"/>
      <c r="X65" s="28"/>
      <c r="Y65" s="28"/>
      <c r="Z65" s="28"/>
    </row>
    <row r="66" spans="1:26" ht="15.75" thickBot="1">
      <c r="A66" s="29">
        <v>65</v>
      </c>
      <c r="B66" s="29">
        <v>7</v>
      </c>
      <c r="C66" s="30" t="s">
        <v>142</v>
      </c>
      <c r="D66" s="28" t="s">
        <v>2</v>
      </c>
      <c r="E66" s="28" t="s">
        <v>41</v>
      </c>
      <c r="F66" s="28" t="s">
        <v>469</v>
      </c>
      <c r="G66" s="29">
        <v>65</v>
      </c>
      <c r="H66" s="29">
        <v>7</v>
      </c>
      <c r="I66" s="28"/>
      <c r="J66" s="28"/>
      <c r="K66" s="28"/>
      <c r="L66" s="28"/>
      <c r="M66" s="28"/>
      <c r="N66" s="28"/>
      <c r="O66" s="28"/>
      <c r="P66" s="28"/>
      <c r="Q66" s="28"/>
      <c r="R66" s="28"/>
      <c r="S66" s="28"/>
      <c r="T66" s="28"/>
      <c r="U66" s="28"/>
      <c r="V66" s="28"/>
      <c r="W66" s="28"/>
      <c r="X66" s="28"/>
      <c r="Y66" s="28"/>
      <c r="Z66" s="28"/>
    </row>
    <row r="67" spans="1:26" ht="15.75" thickBot="1">
      <c r="A67" s="29">
        <v>66</v>
      </c>
      <c r="B67" s="29">
        <v>7</v>
      </c>
      <c r="C67" s="28" t="s">
        <v>551</v>
      </c>
      <c r="D67" s="28" t="s">
        <v>5</v>
      </c>
      <c r="E67" s="28" t="s">
        <v>71</v>
      </c>
      <c r="F67" s="28" t="s">
        <v>37</v>
      </c>
      <c r="G67" s="29">
        <v>66</v>
      </c>
      <c r="H67" s="29">
        <v>7</v>
      </c>
      <c r="I67" s="28"/>
      <c r="J67" s="28"/>
      <c r="K67" s="28"/>
      <c r="L67" s="28"/>
      <c r="M67" s="28"/>
      <c r="N67" s="28"/>
      <c r="O67" s="28"/>
      <c r="P67" s="28"/>
      <c r="Q67" s="28"/>
      <c r="R67" s="28"/>
      <c r="S67" s="28"/>
      <c r="T67" s="28"/>
      <c r="U67" s="28"/>
      <c r="V67" s="28"/>
      <c r="W67" s="28"/>
      <c r="X67" s="28"/>
      <c r="Y67" s="28"/>
      <c r="Z67" s="28"/>
    </row>
    <row r="68" spans="1:26" ht="15.75" thickBot="1">
      <c r="A68" s="29">
        <v>67</v>
      </c>
      <c r="B68" s="29">
        <v>7</v>
      </c>
      <c r="C68" s="28" t="s">
        <v>585</v>
      </c>
      <c r="D68" s="28" t="s">
        <v>10</v>
      </c>
      <c r="E68" s="28" t="s">
        <v>120</v>
      </c>
      <c r="F68" s="28" t="s">
        <v>114</v>
      </c>
      <c r="G68" s="29">
        <v>67</v>
      </c>
      <c r="H68" s="29">
        <v>7</v>
      </c>
      <c r="I68" s="28"/>
      <c r="J68" s="28"/>
      <c r="K68" s="28"/>
      <c r="L68" s="28"/>
      <c r="M68" s="28"/>
      <c r="N68" s="28"/>
      <c r="O68" s="28"/>
      <c r="P68" s="28"/>
      <c r="Q68" s="28"/>
      <c r="R68" s="28"/>
      <c r="S68" s="28"/>
      <c r="T68" s="28"/>
      <c r="U68" s="28"/>
      <c r="V68" s="28"/>
      <c r="W68" s="28"/>
      <c r="X68" s="28"/>
      <c r="Y68" s="28"/>
      <c r="Z68" s="28"/>
    </row>
    <row r="69" spans="1:26" ht="15.75" thickBot="1">
      <c r="A69" s="29">
        <v>68</v>
      </c>
      <c r="B69" s="29">
        <v>7</v>
      </c>
      <c r="C69" s="28" t="s">
        <v>76</v>
      </c>
      <c r="D69" s="28" t="s">
        <v>2</v>
      </c>
      <c r="E69" s="28" t="s">
        <v>28</v>
      </c>
      <c r="F69" s="28" t="s">
        <v>470</v>
      </c>
      <c r="G69" s="29">
        <v>68</v>
      </c>
      <c r="H69" s="29">
        <v>7</v>
      </c>
      <c r="I69" s="28"/>
      <c r="J69" s="28"/>
      <c r="K69" s="28"/>
      <c r="L69" s="28"/>
      <c r="M69" s="28"/>
      <c r="N69" s="28"/>
      <c r="O69" s="28"/>
      <c r="P69" s="28"/>
      <c r="Q69" s="28"/>
      <c r="R69" s="28"/>
      <c r="S69" s="28"/>
      <c r="T69" s="28"/>
      <c r="U69" s="28"/>
      <c r="V69" s="28"/>
      <c r="W69" s="28"/>
      <c r="X69" s="28"/>
      <c r="Y69" s="28"/>
      <c r="Z69" s="28"/>
    </row>
    <row r="70" spans="1:26" ht="15.75" thickBot="1">
      <c r="A70" s="29">
        <v>69</v>
      </c>
      <c r="B70" s="29">
        <v>7</v>
      </c>
      <c r="C70" s="28" t="s">
        <v>427</v>
      </c>
      <c r="D70" s="28" t="s">
        <v>10</v>
      </c>
      <c r="E70" s="28" t="s">
        <v>19</v>
      </c>
      <c r="F70" s="28" t="s">
        <v>58</v>
      </c>
      <c r="G70" s="29">
        <v>69</v>
      </c>
      <c r="H70" s="29">
        <v>7</v>
      </c>
      <c r="I70" s="28"/>
      <c r="J70" s="28"/>
      <c r="K70" s="28"/>
      <c r="L70" s="28"/>
      <c r="M70" s="28"/>
      <c r="N70" s="28"/>
      <c r="O70" s="28"/>
      <c r="P70" s="28"/>
      <c r="Q70" s="28"/>
      <c r="R70" s="28"/>
      <c r="S70" s="28"/>
      <c r="T70" s="28"/>
      <c r="U70" s="28"/>
      <c r="V70" s="28"/>
      <c r="W70" s="28"/>
      <c r="X70" s="28"/>
      <c r="Y70" s="28"/>
      <c r="Z70" s="28"/>
    </row>
    <row r="71" spans="1:26" ht="15.75" thickBot="1">
      <c r="A71" s="31">
        <v>70</v>
      </c>
      <c r="B71" s="31">
        <v>7</v>
      </c>
      <c r="C71" s="33" t="s">
        <v>586</v>
      </c>
      <c r="D71" s="33" t="s">
        <v>2</v>
      </c>
      <c r="E71" s="33" t="s">
        <v>32</v>
      </c>
      <c r="F71" s="33" t="s">
        <v>97</v>
      </c>
      <c r="G71" s="31">
        <v>70</v>
      </c>
      <c r="H71" s="31">
        <v>7</v>
      </c>
      <c r="I71" s="28"/>
      <c r="J71" s="28"/>
      <c r="K71" s="28"/>
      <c r="L71" s="28"/>
      <c r="M71" s="28"/>
      <c r="N71" s="28"/>
      <c r="O71" s="28"/>
      <c r="P71" s="28"/>
      <c r="Q71" s="28"/>
      <c r="R71" s="28"/>
      <c r="S71" s="28"/>
      <c r="T71" s="28"/>
      <c r="U71" s="28"/>
      <c r="V71" s="28"/>
      <c r="W71" s="28"/>
      <c r="X71" s="28"/>
      <c r="Y71" s="28"/>
      <c r="Z71" s="28"/>
    </row>
    <row r="72" spans="1:26" ht="15.75" thickBot="1">
      <c r="A72" s="29">
        <v>71</v>
      </c>
      <c r="B72" s="29">
        <v>8</v>
      </c>
      <c r="C72" s="30" t="s">
        <v>454</v>
      </c>
      <c r="D72" s="28" t="s">
        <v>10</v>
      </c>
      <c r="E72" s="28" t="s">
        <v>82</v>
      </c>
      <c r="F72" s="28" t="s">
        <v>97</v>
      </c>
      <c r="G72" s="29">
        <v>71</v>
      </c>
      <c r="H72" s="29">
        <v>8</v>
      </c>
      <c r="I72" s="28"/>
      <c r="J72" s="28"/>
      <c r="K72" s="28"/>
      <c r="L72" s="28"/>
      <c r="M72" s="28"/>
      <c r="N72" s="28"/>
      <c r="O72" s="28"/>
      <c r="P72" s="28"/>
      <c r="Q72" s="28"/>
      <c r="R72" s="28"/>
      <c r="S72" s="28"/>
      <c r="T72" s="28"/>
      <c r="U72" s="28"/>
      <c r="V72" s="28"/>
      <c r="W72" s="28"/>
      <c r="X72" s="28"/>
      <c r="Y72" s="28"/>
      <c r="Z72" s="28"/>
    </row>
    <row r="73" spans="1:26" ht="15.75" thickBot="1">
      <c r="A73" s="29">
        <v>72</v>
      </c>
      <c r="B73" s="29">
        <v>8</v>
      </c>
      <c r="C73" s="30" t="s">
        <v>425</v>
      </c>
      <c r="D73" s="28" t="s">
        <v>2</v>
      </c>
      <c r="E73" s="28" t="s">
        <v>120</v>
      </c>
      <c r="F73" s="28" t="s">
        <v>58</v>
      </c>
      <c r="G73" s="29">
        <v>72</v>
      </c>
      <c r="H73" s="29">
        <v>8</v>
      </c>
      <c r="I73" s="28"/>
      <c r="J73" s="28"/>
      <c r="K73" s="28"/>
      <c r="L73" s="28"/>
      <c r="M73" s="28"/>
      <c r="N73" s="28"/>
      <c r="O73" s="28"/>
      <c r="P73" s="28"/>
      <c r="Q73" s="28"/>
      <c r="R73" s="28"/>
      <c r="S73" s="28"/>
      <c r="T73" s="28"/>
      <c r="U73" s="28"/>
      <c r="V73" s="28"/>
      <c r="W73" s="28"/>
      <c r="X73" s="28"/>
      <c r="Y73" s="28"/>
      <c r="Z73" s="28"/>
    </row>
    <row r="74" spans="1:26" ht="15.75" thickBot="1">
      <c r="A74" s="29">
        <v>73</v>
      </c>
      <c r="B74" s="29">
        <v>8</v>
      </c>
      <c r="C74" s="28" t="s">
        <v>488</v>
      </c>
      <c r="D74" s="28" t="s">
        <v>10</v>
      </c>
      <c r="E74" s="28" t="s">
        <v>73</v>
      </c>
      <c r="F74" s="28" t="s">
        <v>470</v>
      </c>
      <c r="G74" s="29">
        <v>73</v>
      </c>
      <c r="H74" s="29">
        <v>8</v>
      </c>
      <c r="I74" s="28"/>
      <c r="J74" s="28"/>
      <c r="K74" s="28"/>
      <c r="L74" s="28"/>
      <c r="M74" s="28"/>
      <c r="N74" s="28"/>
      <c r="O74" s="28"/>
      <c r="P74" s="28"/>
      <c r="Q74" s="28"/>
      <c r="R74" s="28"/>
      <c r="S74" s="28"/>
      <c r="T74" s="28"/>
      <c r="U74" s="28"/>
      <c r="V74" s="28"/>
      <c r="W74" s="28"/>
      <c r="X74" s="28"/>
      <c r="Y74" s="28"/>
      <c r="Z74" s="28"/>
    </row>
    <row r="75" spans="1:26" ht="15.75" thickBot="1">
      <c r="A75" s="29">
        <v>74</v>
      </c>
      <c r="B75" s="29">
        <v>8</v>
      </c>
      <c r="C75" s="30" t="s">
        <v>451</v>
      </c>
      <c r="D75" s="28" t="s">
        <v>2</v>
      </c>
      <c r="E75" s="28" t="s">
        <v>3</v>
      </c>
      <c r="F75" s="28" t="s">
        <v>114</v>
      </c>
      <c r="G75" s="29">
        <v>74</v>
      </c>
      <c r="H75" s="29">
        <v>8</v>
      </c>
      <c r="I75" s="28"/>
      <c r="J75" s="28"/>
      <c r="K75" s="28"/>
      <c r="L75" s="28"/>
      <c r="M75" s="28"/>
      <c r="N75" s="28"/>
      <c r="O75" s="28"/>
      <c r="P75" s="28"/>
      <c r="Q75" s="28"/>
      <c r="R75" s="28"/>
      <c r="S75" s="28"/>
      <c r="T75" s="28"/>
      <c r="U75" s="28"/>
      <c r="V75" s="28"/>
      <c r="W75" s="28"/>
      <c r="X75" s="28"/>
      <c r="Y75" s="28"/>
      <c r="Z75" s="28"/>
    </row>
    <row r="76" spans="1:26" ht="15.75" thickBot="1">
      <c r="A76" s="29">
        <v>75</v>
      </c>
      <c r="B76" s="29">
        <v>8</v>
      </c>
      <c r="C76" s="28" t="s">
        <v>463</v>
      </c>
      <c r="D76" s="28" t="s">
        <v>2</v>
      </c>
      <c r="E76" s="28" t="s">
        <v>17</v>
      </c>
      <c r="F76" s="28" t="s">
        <v>37</v>
      </c>
      <c r="G76" s="29">
        <v>75</v>
      </c>
      <c r="H76" s="29">
        <v>8</v>
      </c>
      <c r="I76" s="28"/>
      <c r="J76" s="28"/>
      <c r="K76" s="28"/>
      <c r="L76" s="28"/>
      <c r="M76" s="28"/>
      <c r="N76" s="28"/>
      <c r="O76" s="28"/>
      <c r="P76" s="28"/>
      <c r="Q76" s="28"/>
      <c r="R76" s="28"/>
      <c r="S76" s="28"/>
      <c r="T76" s="28"/>
      <c r="U76" s="28"/>
      <c r="V76" s="28"/>
      <c r="W76" s="28"/>
      <c r="X76" s="28"/>
      <c r="Y76" s="28"/>
      <c r="Z76" s="28"/>
    </row>
    <row r="77" spans="1:26" ht="15.75" thickBot="1">
      <c r="A77" s="29">
        <v>76</v>
      </c>
      <c r="B77" s="29">
        <v>8</v>
      </c>
      <c r="C77" s="28" t="s">
        <v>164</v>
      </c>
      <c r="D77" s="28" t="s">
        <v>10</v>
      </c>
      <c r="E77" s="28" t="s">
        <v>82</v>
      </c>
      <c r="F77" s="28" t="s">
        <v>469</v>
      </c>
      <c r="G77" s="29">
        <v>76</v>
      </c>
      <c r="H77" s="29">
        <v>8</v>
      </c>
      <c r="I77" s="28"/>
      <c r="J77" s="28"/>
      <c r="K77" s="28"/>
      <c r="L77" s="28"/>
      <c r="M77" s="28"/>
      <c r="N77" s="28"/>
      <c r="O77" s="28"/>
      <c r="P77" s="28"/>
      <c r="Q77" s="28"/>
      <c r="R77" s="28"/>
      <c r="S77" s="28"/>
      <c r="T77" s="28"/>
      <c r="U77" s="28"/>
      <c r="V77" s="28"/>
      <c r="W77" s="28"/>
      <c r="X77" s="28"/>
      <c r="Y77" s="28"/>
      <c r="Z77" s="28"/>
    </row>
    <row r="78" spans="1:26" ht="15.75" thickBot="1">
      <c r="A78" s="29">
        <v>77</v>
      </c>
      <c r="B78" s="29">
        <v>8</v>
      </c>
      <c r="C78" s="28" t="s">
        <v>47</v>
      </c>
      <c r="D78" s="28" t="s">
        <v>5</v>
      </c>
      <c r="E78" s="28" t="s">
        <v>30</v>
      </c>
      <c r="F78" s="28" t="s">
        <v>471</v>
      </c>
      <c r="G78" s="29">
        <v>77</v>
      </c>
      <c r="H78" s="29">
        <v>8</v>
      </c>
      <c r="I78" s="28"/>
      <c r="J78" s="28"/>
      <c r="K78" s="28"/>
      <c r="L78" s="28"/>
      <c r="M78" s="28"/>
      <c r="N78" s="28"/>
      <c r="O78" s="28"/>
      <c r="P78" s="28"/>
      <c r="Q78" s="28"/>
      <c r="R78" s="28"/>
      <c r="S78" s="28"/>
      <c r="T78" s="28"/>
      <c r="U78" s="28"/>
      <c r="V78" s="28"/>
      <c r="W78" s="28"/>
      <c r="X78" s="28"/>
      <c r="Y78" s="28"/>
      <c r="Z78" s="28"/>
    </row>
    <row r="79" spans="1:26" ht="15.75" thickBot="1">
      <c r="A79" s="29">
        <v>78</v>
      </c>
      <c r="B79" s="29">
        <v>8</v>
      </c>
      <c r="C79" s="28" t="s">
        <v>116</v>
      </c>
      <c r="D79" s="28" t="s">
        <v>10</v>
      </c>
      <c r="E79" s="28" t="s">
        <v>17</v>
      </c>
      <c r="F79" s="28" t="s">
        <v>385</v>
      </c>
      <c r="G79" s="29">
        <v>78</v>
      </c>
      <c r="H79" s="29">
        <v>8</v>
      </c>
      <c r="I79" s="28"/>
      <c r="J79" s="28"/>
      <c r="K79" s="28"/>
      <c r="L79" s="28"/>
      <c r="M79" s="28"/>
      <c r="N79" s="28"/>
      <c r="O79" s="28"/>
      <c r="P79" s="28"/>
      <c r="Q79" s="28"/>
      <c r="R79" s="28"/>
      <c r="S79" s="28"/>
      <c r="T79" s="28"/>
      <c r="U79" s="28"/>
      <c r="V79" s="28"/>
      <c r="W79" s="28"/>
      <c r="X79" s="28"/>
      <c r="Y79" s="28"/>
      <c r="Z79" s="28"/>
    </row>
    <row r="80" spans="1:26" ht="15.75" thickBot="1">
      <c r="A80" s="29">
        <v>79</v>
      </c>
      <c r="B80" s="29">
        <v>8</v>
      </c>
      <c r="C80" s="28" t="s">
        <v>529</v>
      </c>
      <c r="D80" s="28" t="s">
        <v>2</v>
      </c>
      <c r="E80" s="28" t="s">
        <v>135</v>
      </c>
      <c r="F80" s="28" t="s">
        <v>181</v>
      </c>
      <c r="G80" s="29">
        <v>79</v>
      </c>
      <c r="H80" s="29">
        <v>8</v>
      </c>
      <c r="I80" s="28"/>
      <c r="J80" s="28"/>
      <c r="K80" s="28"/>
      <c r="L80" s="28"/>
      <c r="M80" s="28"/>
      <c r="N80" s="28"/>
      <c r="O80" s="28"/>
      <c r="P80" s="28"/>
      <c r="Q80" s="28"/>
      <c r="R80" s="28"/>
      <c r="S80" s="28"/>
      <c r="T80" s="28"/>
      <c r="U80" s="28"/>
      <c r="V80" s="28"/>
      <c r="W80" s="28"/>
      <c r="X80" s="28"/>
      <c r="Y80" s="28"/>
      <c r="Z80" s="28"/>
    </row>
    <row r="81" spans="1:26" ht="15.75" thickBot="1">
      <c r="A81" s="31">
        <v>80</v>
      </c>
      <c r="B81" s="31">
        <v>8</v>
      </c>
      <c r="C81" s="33" t="s">
        <v>442</v>
      </c>
      <c r="D81" s="33" t="s">
        <v>2</v>
      </c>
      <c r="E81" s="33" t="s">
        <v>587</v>
      </c>
      <c r="F81" s="33" t="s">
        <v>0</v>
      </c>
      <c r="G81" s="31">
        <v>80</v>
      </c>
      <c r="H81" s="31">
        <v>8</v>
      </c>
      <c r="I81" s="28"/>
      <c r="J81" s="28"/>
      <c r="K81" s="28"/>
      <c r="L81" s="28"/>
      <c r="M81" s="28"/>
      <c r="N81" s="28"/>
      <c r="O81" s="28"/>
      <c r="P81" s="28"/>
      <c r="Q81" s="28"/>
      <c r="R81" s="28"/>
      <c r="S81" s="28"/>
      <c r="T81" s="28"/>
      <c r="U81" s="28"/>
      <c r="V81" s="28"/>
      <c r="W81" s="28"/>
      <c r="X81" s="28"/>
      <c r="Y81" s="28"/>
      <c r="Z81" s="28"/>
    </row>
    <row r="82" spans="1:26" ht="15.75" thickBot="1">
      <c r="A82" s="29">
        <v>81</v>
      </c>
      <c r="B82" s="29">
        <v>9</v>
      </c>
      <c r="C82" s="30" t="s">
        <v>542</v>
      </c>
      <c r="D82" s="28" t="s">
        <v>10</v>
      </c>
      <c r="E82" s="28" t="s">
        <v>13</v>
      </c>
      <c r="F82" s="28" t="s">
        <v>0</v>
      </c>
      <c r="G82" s="29">
        <v>81</v>
      </c>
      <c r="H82" s="29">
        <v>9</v>
      </c>
      <c r="I82" s="28"/>
      <c r="J82" s="28"/>
      <c r="K82" s="28"/>
      <c r="L82" s="28"/>
      <c r="M82" s="28"/>
      <c r="N82" s="28"/>
      <c r="O82" s="28"/>
      <c r="P82" s="28"/>
      <c r="Q82" s="28"/>
      <c r="R82" s="28"/>
      <c r="S82" s="28"/>
      <c r="T82" s="28"/>
      <c r="U82" s="28"/>
      <c r="V82" s="28"/>
      <c r="W82" s="28"/>
      <c r="X82" s="28"/>
      <c r="Y82" s="28"/>
      <c r="Z82" s="28"/>
    </row>
    <row r="83" spans="1:26" ht="15.75" thickBot="1">
      <c r="A83" s="29">
        <v>82</v>
      </c>
      <c r="B83" s="29">
        <v>9</v>
      </c>
      <c r="C83" s="28" t="s">
        <v>153</v>
      </c>
      <c r="D83" s="28" t="s">
        <v>5</v>
      </c>
      <c r="E83" s="28" t="s">
        <v>60</v>
      </c>
      <c r="F83" s="28" t="s">
        <v>181</v>
      </c>
      <c r="G83" s="29">
        <v>82</v>
      </c>
      <c r="H83" s="29">
        <v>9</v>
      </c>
      <c r="I83" s="28"/>
      <c r="J83" s="28"/>
      <c r="K83" s="28"/>
      <c r="L83" s="28"/>
      <c r="M83" s="28"/>
      <c r="N83" s="28"/>
      <c r="O83" s="28"/>
      <c r="P83" s="28"/>
      <c r="Q83" s="28"/>
      <c r="R83" s="28"/>
      <c r="S83" s="28"/>
      <c r="T83" s="28"/>
      <c r="U83" s="28"/>
      <c r="V83" s="28"/>
      <c r="W83" s="28"/>
      <c r="X83" s="28"/>
      <c r="Y83" s="28"/>
      <c r="Z83" s="28"/>
    </row>
    <row r="84" spans="1:26" ht="15.75" thickBot="1">
      <c r="A84" s="29">
        <v>83</v>
      </c>
      <c r="B84" s="29">
        <v>9</v>
      </c>
      <c r="C84" s="28" t="s">
        <v>24</v>
      </c>
      <c r="D84" s="28" t="s">
        <v>5</v>
      </c>
      <c r="E84" s="28" t="s">
        <v>25</v>
      </c>
      <c r="F84" s="28" t="s">
        <v>385</v>
      </c>
      <c r="G84" s="29">
        <v>83</v>
      </c>
      <c r="H84" s="29">
        <v>9</v>
      </c>
      <c r="I84" s="28"/>
      <c r="J84" s="28"/>
      <c r="K84" s="28"/>
      <c r="L84" s="28"/>
      <c r="M84" s="28"/>
      <c r="N84" s="28"/>
      <c r="O84" s="28"/>
      <c r="P84" s="28"/>
      <c r="Q84" s="28"/>
      <c r="R84" s="28"/>
      <c r="S84" s="28"/>
      <c r="T84" s="28"/>
      <c r="U84" s="28"/>
      <c r="V84" s="28"/>
      <c r="W84" s="28"/>
      <c r="X84" s="28"/>
      <c r="Y84" s="28"/>
      <c r="Z84" s="28"/>
    </row>
    <row r="85" spans="1:26" ht="15.75" thickBot="1">
      <c r="A85" s="29">
        <v>84</v>
      </c>
      <c r="B85" s="29">
        <v>9</v>
      </c>
      <c r="C85" s="30" t="s">
        <v>113</v>
      </c>
      <c r="D85" s="28" t="s">
        <v>10</v>
      </c>
      <c r="E85" s="28" t="s">
        <v>25</v>
      </c>
      <c r="F85" s="28" t="s">
        <v>471</v>
      </c>
      <c r="G85" s="29">
        <v>84</v>
      </c>
      <c r="H85" s="29">
        <v>9</v>
      </c>
      <c r="I85" s="28"/>
      <c r="J85" s="28"/>
      <c r="K85" s="28"/>
      <c r="L85" s="28"/>
      <c r="M85" s="28"/>
      <c r="N85" s="28"/>
      <c r="O85" s="28"/>
      <c r="P85" s="28"/>
      <c r="Q85" s="28"/>
      <c r="R85" s="28"/>
      <c r="S85" s="28"/>
      <c r="T85" s="28"/>
      <c r="U85" s="28"/>
      <c r="V85" s="28"/>
      <c r="W85" s="28"/>
      <c r="X85" s="28"/>
      <c r="Y85" s="28"/>
      <c r="Z85" s="28"/>
    </row>
    <row r="86" spans="1:26" ht="15.75" thickBot="1">
      <c r="A86" s="29">
        <v>85</v>
      </c>
      <c r="B86" s="29">
        <v>9</v>
      </c>
      <c r="C86" s="30" t="s">
        <v>462</v>
      </c>
      <c r="D86" s="28" t="s">
        <v>2</v>
      </c>
      <c r="E86" s="28" t="s">
        <v>120</v>
      </c>
      <c r="F86" s="28" t="s">
        <v>469</v>
      </c>
      <c r="G86" s="29">
        <v>85</v>
      </c>
      <c r="H86" s="29">
        <v>9</v>
      </c>
      <c r="I86" s="28"/>
      <c r="J86" s="28"/>
      <c r="K86" s="28"/>
      <c r="L86" s="28"/>
      <c r="M86" s="28"/>
      <c r="N86" s="28"/>
      <c r="O86" s="28"/>
      <c r="P86" s="28"/>
      <c r="Q86" s="28"/>
      <c r="R86" s="28"/>
      <c r="S86" s="28"/>
      <c r="T86" s="28"/>
      <c r="U86" s="28"/>
      <c r="V86" s="28"/>
      <c r="W86" s="28"/>
      <c r="X86" s="28"/>
      <c r="Y86" s="28"/>
      <c r="Z86" s="28"/>
    </row>
    <row r="87" spans="1:26" ht="15.75" thickBot="1">
      <c r="A87" s="29">
        <v>86</v>
      </c>
      <c r="B87" s="29">
        <v>9</v>
      </c>
      <c r="C87" s="30" t="s">
        <v>570</v>
      </c>
      <c r="D87" s="28" t="s">
        <v>10</v>
      </c>
      <c r="E87" s="28" t="s">
        <v>71</v>
      </c>
      <c r="F87" s="28" t="s">
        <v>37</v>
      </c>
      <c r="G87" s="29">
        <v>86</v>
      </c>
      <c r="H87" s="29">
        <v>9</v>
      </c>
      <c r="I87" s="28"/>
      <c r="J87" s="28"/>
      <c r="K87" s="28"/>
      <c r="L87" s="28"/>
      <c r="M87" s="28"/>
      <c r="N87" s="28"/>
      <c r="O87" s="28"/>
      <c r="P87" s="28"/>
      <c r="Q87" s="28"/>
      <c r="R87" s="28"/>
      <c r="S87" s="28"/>
      <c r="T87" s="28"/>
      <c r="U87" s="28"/>
      <c r="V87" s="28"/>
      <c r="W87" s="28"/>
      <c r="X87" s="28"/>
      <c r="Y87" s="28"/>
      <c r="Z87" s="28"/>
    </row>
    <row r="88" spans="1:26" ht="15.75" thickBot="1">
      <c r="A88" s="29">
        <v>87</v>
      </c>
      <c r="B88" s="29">
        <v>9</v>
      </c>
      <c r="C88" s="28" t="s">
        <v>556</v>
      </c>
      <c r="D88" s="28" t="s">
        <v>27</v>
      </c>
      <c r="E88" s="28" t="s">
        <v>71</v>
      </c>
      <c r="F88" s="28" t="s">
        <v>114</v>
      </c>
      <c r="G88" s="29">
        <v>87</v>
      </c>
      <c r="H88" s="29">
        <v>9</v>
      </c>
      <c r="I88" s="28"/>
      <c r="J88" s="28"/>
      <c r="K88" s="28"/>
      <c r="L88" s="28"/>
      <c r="M88" s="28"/>
      <c r="N88" s="28"/>
      <c r="O88" s="28"/>
      <c r="P88" s="28"/>
      <c r="Q88" s="28"/>
      <c r="R88" s="28"/>
      <c r="S88" s="28"/>
      <c r="T88" s="28"/>
      <c r="U88" s="28"/>
      <c r="V88" s="28"/>
      <c r="W88" s="28"/>
      <c r="X88" s="28"/>
      <c r="Y88" s="28"/>
      <c r="Z88" s="28"/>
    </row>
    <row r="89" spans="1:26" ht="15.75" thickBot="1">
      <c r="A89" s="29">
        <v>88</v>
      </c>
      <c r="B89" s="29">
        <v>9</v>
      </c>
      <c r="C89" s="30" t="s">
        <v>486</v>
      </c>
      <c r="D89" s="28" t="s">
        <v>27</v>
      </c>
      <c r="E89" s="28" t="s">
        <v>107</v>
      </c>
      <c r="F89" s="28" t="s">
        <v>470</v>
      </c>
      <c r="G89" s="29">
        <v>88</v>
      </c>
      <c r="H89" s="29">
        <v>9</v>
      </c>
      <c r="I89" s="28"/>
      <c r="J89" s="28"/>
      <c r="K89" s="28"/>
      <c r="L89" s="28"/>
      <c r="M89" s="28"/>
      <c r="N89" s="28"/>
      <c r="O89" s="28"/>
      <c r="P89" s="28"/>
      <c r="Q89" s="28"/>
      <c r="R89" s="28"/>
      <c r="S89" s="28"/>
      <c r="T89" s="28"/>
      <c r="U89" s="28"/>
      <c r="V89" s="28"/>
      <c r="W89" s="28"/>
      <c r="X89" s="28"/>
      <c r="Y89" s="28"/>
      <c r="Z89" s="28"/>
    </row>
    <row r="90" spans="1:26" ht="15.75" thickBot="1">
      <c r="A90" s="29">
        <v>89</v>
      </c>
      <c r="B90" s="29">
        <v>9</v>
      </c>
      <c r="C90" s="30" t="s">
        <v>501</v>
      </c>
      <c r="D90" s="28" t="s">
        <v>2</v>
      </c>
      <c r="E90" s="28" t="s">
        <v>19</v>
      </c>
      <c r="F90" s="28" t="s">
        <v>58</v>
      </c>
      <c r="G90" s="29">
        <v>89</v>
      </c>
      <c r="H90" s="29">
        <v>9</v>
      </c>
      <c r="I90" s="28"/>
      <c r="J90" s="28"/>
      <c r="K90" s="28"/>
      <c r="L90" s="28"/>
      <c r="M90" s="28"/>
      <c r="N90" s="28"/>
      <c r="O90" s="28"/>
      <c r="P90" s="28"/>
      <c r="Q90" s="28"/>
      <c r="R90" s="28"/>
      <c r="S90" s="28"/>
      <c r="T90" s="28"/>
      <c r="U90" s="28"/>
      <c r="V90" s="28"/>
      <c r="W90" s="28"/>
      <c r="X90" s="28"/>
      <c r="Y90" s="28"/>
      <c r="Z90" s="28"/>
    </row>
    <row r="91" spans="1:26" ht="15.75" thickBot="1">
      <c r="A91" s="31">
        <v>90</v>
      </c>
      <c r="B91" s="31">
        <v>9</v>
      </c>
      <c r="C91" s="33" t="s">
        <v>158</v>
      </c>
      <c r="D91" s="33" t="s">
        <v>2</v>
      </c>
      <c r="E91" s="33" t="s">
        <v>3</v>
      </c>
      <c r="F91" s="33" t="s">
        <v>97</v>
      </c>
      <c r="G91" s="31">
        <v>90</v>
      </c>
      <c r="H91" s="31">
        <v>9</v>
      </c>
      <c r="I91" s="28"/>
      <c r="J91" s="28"/>
      <c r="K91" s="28"/>
      <c r="L91" s="28"/>
      <c r="M91" s="28"/>
      <c r="N91" s="28"/>
      <c r="O91" s="28"/>
      <c r="P91" s="28"/>
      <c r="Q91" s="28"/>
      <c r="R91" s="28"/>
      <c r="S91" s="28"/>
      <c r="T91" s="28"/>
      <c r="U91" s="28"/>
      <c r="V91" s="28"/>
      <c r="W91" s="28"/>
      <c r="X91" s="28"/>
      <c r="Y91" s="28"/>
      <c r="Z91" s="28"/>
    </row>
    <row r="92" spans="1:26" ht="15.75" thickBot="1">
      <c r="A92" s="29">
        <v>91</v>
      </c>
      <c r="B92" s="29">
        <v>10</v>
      </c>
      <c r="C92" s="28" t="s">
        <v>515</v>
      </c>
      <c r="D92" s="28" t="s">
        <v>2</v>
      </c>
      <c r="E92" s="28" t="s">
        <v>6</v>
      </c>
      <c r="F92" s="28" t="s">
        <v>97</v>
      </c>
      <c r="G92" s="29">
        <v>91</v>
      </c>
      <c r="H92" s="29">
        <v>10</v>
      </c>
      <c r="I92" s="28"/>
      <c r="J92" s="28"/>
      <c r="K92" s="28"/>
      <c r="L92" s="28"/>
      <c r="M92" s="28"/>
      <c r="N92" s="28"/>
      <c r="O92" s="28"/>
      <c r="P92" s="28"/>
      <c r="Q92" s="28"/>
      <c r="R92" s="28"/>
      <c r="S92" s="28"/>
      <c r="T92" s="28"/>
      <c r="U92" s="28"/>
      <c r="V92" s="28"/>
      <c r="W92" s="28"/>
      <c r="X92" s="28"/>
      <c r="Y92" s="28"/>
      <c r="Z92" s="28"/>
    </row>
    <row r="93" spans="1:26" ht="15.75" thickBot="1">
      <c r="A93" s="29">
        <v>92</v>
      </c>
      <c r="B93" s="29">
        <v>10</v>
      </c>
      <c r="C93" s="28" t="s">
        <v>588</v>
      </c>
      <c r="D93" s="28" t="s">
        <v>2</v>
      </c>
      <c r="E93" s="28" t="s">
        <v>6</v>
      </c>
      <c r="F93" s="28" t="s">
        <v>58</v>
      </c>
      <c r="G93" s="29">
        <v>92</v>
      </c>
      <c r="H93" s="29">
        <v>10</v>
      </c>
      <c r="I93" s="28"/>
      <c r="J93" s="28"/>
      <c r="K93" s="28"/>
      <c r="L93" s="28"/>
      <c r="M93" s="28"/>
      <c r="N93" s="28"/>
      <c r="O93" s="28"/>
      <c r="P93" s="28"/>
      <c r="Q93" s="28"/>
      <c r="R93" s="28"/>
      <c r="S93" s="28"/>
      <c r="T93" s="28"/>
      <c r="U93" s="28"/>
      <c r="V93" s="28"/>
      <c r="W93" s="28"/>
      <c r="X93" s="28"/>
      <c r="Y93" s="28"/>
      <c r="Z93" s="28"/>
    </row>
    <row r="94" spans="1:26" ht="15.75" thickBot="1">
      <c r="A94" s="29">
        <v>93</v>
      </c>
      <c r="B94" s="29">
        <v>10</v>
      </c>
      <c r="C94" s="28" t="s">
        <v>519</v>
      </c>
      <c r="D94" s="28" t="s">
        <v>2</v>
      </c>
      <c r="E94" s="28" t="s">
        <v>34</v>
      </c>
      <c r="F94" s="28" t="s">
        <v>470</v>
      </c>
      <c r="G94" s="29">
        <v>93</v>
      </c>
      <c r="H94" s="29">
        <v>10</v>
      </c>
      <c r="I94" s="28"/>
      <c r="J94" s="28"/>
      <c r="K94" s="28"/>
      <c r="L94" s="28"/>
      <c r="M94" s="28"/>
      <c r="N94" s="28"/>
      <c r="O94" s="28"/>
      <c r="P94" s="28"/>
      <c r="Q94" s="28"/>
      <c r="R94" s="28"/>
      <c r="S94" s="28"/>
      <c r="T94" s="28"/>
      <c r="U94" s="28"/>
      <c r="V94" s="28"/>
      <c r="W94" s="28"/>
      <c r="X94" s="28"/>
      <c r="Y94" s="28"/>
      <c r="Z94" s="28"/>
    </row>
    <row r="95" spans="1:26" ht="15.75" thickBot="1">
      <c r="A95" s="29">
        <v>94</v>
      </c>
      <c r="B95" s="29">
        <v>10</v>
      </c>
      <c r="C95" s="28" t="s">
        <v>495</v>
      </c>
      <c r="D95" s="28" t="s">
        <v>2</v>
      </c>
      <c r="E95" s="28" t="s">
        <v>15</v>
      </c>
      <c r="F95" s="28" t="s">
        <v>114</v>
      </c>
      <c r="G95" s="29">
        <v>94</v>
      </c>
      <c r="H95" s="29">
        <v>10</v>
      </c>
      <c r="I95" s="28"/>
      <c r="J95" s="28"/>
      <c r="K95" s="28"/>
      <c r="L95" s="28"/>
      <c r="M95" s="28"/>
      <c r="N95" s="28"/>
      <c r="O95" s="28"/>
      <c r="P95" s="28"/>
      <c r="Q95" s="28"/>
      <c r="R95" s="28"/>
      <c r="S95" s="28"/>
      <c r="T95" s="28"/>
      <c r="U95" s="28"/>
      <c r="V95" s="28"/>
      <c r="W95" s="28"/>
      <c r="X95" s="28"/>
      <c r="Y95" s="28"/>
      <c r="Z95" s="28"/>
    </row>
    <row r="96" spans="1:26" ht="15.75" thickBot="1">
      <c r="A96" s="29">
        <v>95</v>
      </c>
      <c r="B96" s="29">
        <v>10</v>
      </c>
      <c r="C96" s="28" t="s">
        <v>543</v>
      </c>
      <c r="D96" s="28" t="s">
        <v>10</v>
      </c>
      <c r="E96" s="28" t="s">
        <v>46</v>
      </c>
      <c r="F96" s="28" t="s">
        <v>37</v>
      </c>
      <c r="G96" s="29">
        <v>95</v>
      </c>
      <c r="H96" s="29">
        <v>10</v>
      </c>
      <c r="I96" s="28"/>
      <c r="J96" s="28"/>
      <c r="K96" s="28"/>
      <c r="L96" s="28"/>
      <c r="M96" s="28"/>
      <c r="N96" s="28"/>
      <c r="O96" s="28"/>
      <c r="P96" s="28"/>
      <c r="Q96" s="28"/>
      <c r="R96" s="28"/>
      <c r="S96" s="28"/>
      <c r="T96" s="28"/>
      <c r="U96" s="28"/>
      <c r="V96" s="28"/>
      <c r="W96" s="28"/>
      <c r="X96" s="28"/>
      <c r="Y96" s="28"/>
      <c r="Z96" s="28"/>
    </row>
    <row r="97" spans="1:26" ht="15.75" thickBot="1">
      <c r="A97" s="29">
        <v>96</v>
      </c>
      <c r="B97" s="29">
        <v>10</v>
      </c>
      <c r="C97" s="28" t="s">
        <v>589</v>
      </c>
      <c r="D97" s="28" t="s">
        <v>2</v>
      </c>
      <c r="E97" s="28" t="s">
        <v>35</v>
      </c>
      <c r="F97" s="28" t="s">
        <v>469</v>
      </c>
      <c r="G97" s="29">
        <v>96</v>
      </c>
      <c r="H97" s="29">
        <v>10</v>
      </c>
      <c r="I97" s="28"/>
      <c r="J97" s="28"/>
      <c r="K97" s="28"/>
      <c r="L97" s="28"/>
      <c r="M97" s="28"/>
      <c r="N97" s="28"/>
      <c r="O97" s="28"/>
      <c r="P97" s="28"/>
      <c r="Q97" s="28"/>
      <c r="R97" s="28"/>
      <c r="S97" s="28"/>
      <c r="T97" s="28"/>
      <c r="U97" s="28"/>
      <c r="V97" s="28"/>
      <c r="W97" s="28"/>
      <c r="X97" s="28"/>
      <c r="Y97" s="28"/>
      <c r="Z97" s="28"/>
    </row>
    <row r="98" spans="1:26" ht="15.75" thickBot="1">
      <c r="A98" s="29">
        <v>97</v>
      </c>
      <c r="B98" s="29">
        <v>10</v>
      </c>
      <c r="C98" s="28" t="s">
        <v>191</v>
      </c>
      <c r="D98" s="28" t="s">
        <v>10</v>
      </c>
      <c r="E98" s="28" t="s">
        <v>23</v>
      </c>
      <c r="F98" s="28" t="s">
        <v>471</v>
      </c>
      <c r="G98" s="29">
        <v>97</v>
      </c>
      <c r="H98" s="29">
        <v>10</v>
      </c>
      <c r="I98" s="28"/>
      <c r="J98" s="28"/>
      <c r="K98" s="28"/>
      <c r="L98" s="28"/>
      <c r="M98" s="28"/>
      <c r="N98" s="28"/>
      <c r="O98" s="28"/>
      <c r="P98" s="28"/>
      <c r="Q98" s="28"/>
      <c r="R98" s="28"/>
      <c r="S98" s="28"/>
      <c r="T98" s="28"/>
      <c r="U98" s="28"/>
      <c r="V98" s="28"/>
      <c r="W98" s="28"/>
      <c r="X98" s="28"/>
      <c r="Y98" s="28"/>
      <c r="Z98" s="28"/>
    </row>
    <row r="99" spans="1:26" ht="15.75" thickBot="1">
      <c r="A99" s="29">
        <v>98</v>
      </c>
      <c r="B99" s="29">
        <v>10</v>
      </c>
      <c r="C99" s="28" t="s">
        <v>573</v>
      </c>
      <c r="D99" s="28" t="s">
        <v>2</v>
      </c>
      <c r="E99" s="28" t="s">
        <v>17</v>
      </c>
      <c r="F99" s="28" t="s">
        <v>385</v>
      </c>
      <c r="G99" s="29">
        <v>98</v>
      </c>
      <c r="H99" s="29">
        <v>10</v>
      </c>
      <c r="I99" s="28"/>
      <c r="J99" s="28"/>
      <c r="K99" s="28"/>
      <c r="L99" s="28"/>
      <c r="M99" s="28"/>
      <c r="N99" s="28"/>
      <c r="O99" s="28"/>
      <c r="P99" s="28"/>
      <c r="Q99" s="28"/>
      <c r="R99" s="28"/>
      <c r="S99" s="28"/>
      <c r="T99" s="28"/>
      <c r="U99" s="28"/>
      <c r="V99" s="28"/>
      <c r="W99" s="28"/>
      <c r="X99" s="28"/>
      <c r="Y99" s="28"/>
      <c r="Z99" s="28"/>
    </row>
    <row r="100" spans="1:26" ht="15.75" thickBot="1">
      <c r="A100" s="29">
        <v>99</v>
      </c>
      <c r="B100" s="29">
        <v>10</v>
      </c>
      <c r="C100" s="28" t="s">
        <v>590</v>
      </c>
      <c r="D100" s="28" t="s">
        <v>27</v>
      </c>
      <c r="E100" s="28" t="s">
        <v>3</v>
      </c>
      <c r="F100" s="28" t="s">
        <v>181</v>
      </c>
      <c r="G100" s="29">
        <v>99</v>
      </c>
      <c r="H100" s="29">
        <v>10</v>
      </c>
      <c r="I100" s="28"/>
      <c r="J100" s="28"/>
      <c r="K100" s="28"/>
      <c r="L100" s="28"/>
      <c r="M100" s="28"/>
      <c r="N100" s="28"/>
      <c r="O100" s="28"/>
      <c r="P100" s="28"/>
      <c r="Q100" s="28"/>
      <c r="R100" s="28"/>
      <c r="S100" s="28"/>
      <c r="T100" s="28"/>
      <c r="U100" s="28"/>
      <c r="V100" s="28"/>
      <c r="W100" s="28"/>
      <c r="X100" s="28"/>
      <c r="Y100" s="28"/>
      <c r="Z100" s="28"/>
    </row>
    <row r="101" spans="1:26" ht="15.75" thickBot="1">
      <c r="A101" s="31">
        <v>100</v>
      </c>
      <c r="B101" s="31">
        <v>10</v>
      </c>
      <c r="C101" s="32" t="s">
        <v>447</v>
      </c>
      <c r="D101" s="33" t="s">
        <v>10</v>
      </c>
      <c r="E101" s="33" t="s">
        <v>6</v>
      </c>
      <c r="F101" s="33" t="s">
        <v>0</v>
      </c>
      <c r="G101" s="31">
        <v>100</v>
      </c>
      <c r="H101" s="31">
        <v>10</v>
      </c>
      <c r="I101" s="28"/>
      <c r="J101" s="28"/>
      <c r="K101" s="28"/>
      <c r="L101" s="28"/>
      <c r="M101" s="28"/>
      <c r="N101" s="28"/>
      <c r="O101" s="28"/>
      <c r="P101" s="28"/>
      <c r="Q101" s="28"/>
      <c r="R101" s="28"/>
      <c r="S101" s="28"/>
      <c r="T101" s="28"/>
      <c r="U101" s="28"/>
      <c r="V101" s="28"/>
      <c r="W101" s="28"/>
      <c r="X101" s="28"/>
      <c r="Y101" s="28"/>
      <c r="Z101" s="28"/>
    </row>
    <row r="102" spans="1:26" ht="15.75" thickBot="1">
      <c r="A102" s="29">
        <v>101</v>
      </c>
      <c r="B102" s="29">
        <v>11</v>
      </c>
      <c r="C102" s="28" t="s">
        <v>591</v>
      </c>
      <c r="D102" s="28" t="s">
        <v>10</v>
      </c>
      <c r="E102" s="28" t="s">
        <v>21</v>
      </c>
      <c r="F102" s="28" t="s">
        <v>0</v>
      </c>
      <c r="G102" s="29">
        <v>101</v>
      </c>
      <c r="H102" s="29">
        <v>11</v>
      </c>
      <c r="I102" s="28"/>
      <c r="J102" s="28"/>
      <c r="K102" s="28"/>
      <c r="L102" s="28"/>
      <c r="M102" s="28"/>
      <c r="N102" s="28"/>
      <c r="O102" s="28"/>
      <c r="P102" s="28"/>
      <c r="Q102" s="28"/>
      <c r="R102" s="28"/>
      <c r="S102" s="28"/>
      <c r="T102" s="28"/>
      <c r="U102" s="28"/>
      <c r="V102" s="28"/>
      <c r="W102" s="28"/>
      <c r="X102" s="28"/>
      <c r="Y102" s="28"/>
      <c r="Z102" s="28"/>
    </row>
    <row r="103" spans="1:26" ht="15.75" thickBot="1">
      <c r="A103" s="29">
        <v>102</v>
      </c>
      <c r="B103" s="29">
        <v>11</v>
      </c>
      <c r="C103" s="28" t="s">
        <v>592</v>
      </c>
      <c r="D103" s="28" t="s">
        <v>2</v>
      </c>
      <c r="E103" s="28" t="s">
        <v>30</v>
      </c>
      <c r="F103" s="28" t="s">
        <v>181</v>
      </c>
      <c r="G103" s="29">
        <v>102</v>
      </c>
      <c r="H103" s="29">
        <v>11</v>
      </c>
      <c r="I103" s="28"/>
      <c r="J103" s="28"/>
      <c r="K103" s="28"/>
      <c r="L103" s="28"/>
      <c r="M103" s="28"/>
      <c r="N103" s="28"/>
      <c r="O103" s="28"/>
      <c r="P103" s="28"/>
      <c r="Q103" s="28"/>
      <c r="R103" s="28"/>
      <c r="S103" s="28"/>
      <c r="T103" s="28"/>
      <c r="U103" s="28"/>
      <c r="V103" s="28"/>
      <c r="W103" s="28"/>
      <c r="X103" s="28"/>
      <c r="Y103" s="28"/>
      <c r="Z103" s="28"/>
    </row>
    <row r="104" spans="1:26" ht="15.75" thickBot="1">
      <c r="A104" s="29">
        <v>103</v>
      </c>
      <c r="B104" s="29">
        <v>11</v>
      </c>
      <c r="C104" s="28" t="s">
        <v>102</v>
      </c>
      <c r="D104" s="28" t="s">
        <v>2</v>
      </c>
      <c r="E104" s="28" t="s">
        <v>11</v>
      </c>
      <c r="F104" s="28" t="s">
        <v>385</v>
      </c>
      <c r="G104" s="29">
        <v>103</v>
      </c>
      <c r="H104" s="29">
        <v>11</v>
      </c>
      <c r="I104" s="28"/>
      <c r="J104" s="28"/>
      <c r="K104" s="28"/>
      <c r="L104" s="28"/>
      <c r="M104" s="28"/>
      <c r="N104" s="28"/>
      <c r="O104" s="28"/>
      <c r="P104" s="28"/>
      <c r="Q104" s="28"/>
      <c r="R104" s="28"/>
      <c r="S104" s="28"/>
      <c r="T104" s="28"/>
      <c r="U104" s="28"/>
      <c r="V104" s="28"/>
      <c r="W104" s="28"/>
      <c r="X104" s="28"/>
      <c r="Y104" s="28"/>
      <c r="Z104" s="28"/>
    </row>
    <row r="105" spans="1:26" ht="15.75" thickBot="1">
      <c r="A105" s="29">
        <v>104</v>
      </c>
      <c r="B105" s="29">
        <v>11</v>
      </c>
      <c r="C105" s="28" t="s">
        <v>100</v>
      </c>
      <c r="D105" s="28" t="s">
        <v>2</v>
      </c>
      <c r="E105" s="28" t="s">
        <v>35</v>
      </c>
      <c r="F105" s="28" t="s">
        <v>471</v>
      </c>
      <c r="G105" s="29">
        <v>104</v>
      </c>
      <c r="H105" s="29">
        <v>11</v>
      </c>
      <c r="I105" s="28"/>
      <c r="J105" s="28"/>
      <c r="K105" s="28"/>
      <c r="L105" s="28"/>
      <c r="M105" s="28"/>
      <c r="N105" s="28"/>
      <c r="O105" s="28"/>
      <c r="P105" s="28"/>
      <c r="Q105" s="28"/>
      <c r="R105" s="28"/>
      <c r="S105" s="28"/>
      <c r="T105" s="28"/>
      <c r="U105" s="28"/>
      <c r="V105" s="28"/>
      <c r="W105" s="28"/>
      <c r="X105" s="28"/>
      <c r="Y105" s="28"/>
      <c r="Z105" s="28"/>
    </row>
    <row r="106" spans="1:26" ht="15.75" thickBot="1">
      <c r="A106" s="29">
        <v>105</v>
      </c>
      <c r="B106" s="29">
        <v>11</v>
      </c>
      <c r="C106" s="28" t="s">
        <v>475</v>
      </c>
      <c r="D106" s="28" t="s">
        <v>10</v>
      </c>
      <c r="E106" s="28" t="s">
        <v>56</v>
      </c>
      <c r="F106" s="28" t="s">
        <v>469</v>
      </c>
      <c r="G106" s="29">
        <v>105</v>
      </c>
      <c r="H106" s="29">
        <v>11</v>
      </c>
      <c r="I106" s="28"/>
      <c r="J106" s="28"/>
      <c r="K106" s="28"/>
      <c r="L106" s="28"/>
      <c r="M106" s="28"/>
      <c r="N106" s="28"/>
      <c r="O106" s="28"/>
      <c r="P106" s="28"/>
      <c r="Q106" s="28"/>
      <c r="R106" s="28"/>
      <c r="S106" s="28"/>
      <c r="T106" s="28"/>
      <c r="U106" s="28"/>
      <c r="V106" s="28"/>
      <c r="W106" s="28"/>
      <c r="X106" s="28"/>
      <c r="Y106" s="28"/>
      <c r="Z106" s="28"/>
    </row>
    <row r="107" spans="1:26" ht="15.75" thickBot="1">
      <c r="A107" s="29">
        <v>106</v>
      </c>
      <c r="B107" s="29">
        <v>11</v>
      </c>
      <c r="C107" s="28" t="s">
        <v>571</v>
      </c>
      <c r="D107" s="28" t="s">
        <v>10</v>
      </c>
      <c r="E107" s="28" t="s">
        <v>135</v>
      </c>
      <c r="F107" s="28" t="s">
        <v>37</v>
      </c>
      <c r="G107" s="29">
        <v>106</v>
      </c>
      <c r="H107" s="29">
        <v>11</v>
      </c>
      <c r="I107" s="28"/>
      <c r="J107" s="28"/>
      <c r="K107" s="28"/>
      <c r="L107" s="28"/>
      <c r="M107" s="28"/>
      <c r="N107" s="28"/>
      <c r="O107" s="28"/>
      <c r="P107" s="28"/>
      <c r="Q107" s="28"/>
      <c r="R107" s="28"/>
      <c r="S107" s="28"/>
      <c r="T107" s="28"/>
      <c r="U107" s="28"/>
      <c r="V107" s="28"/>
      <c r="W107" s="28"/>
      <c r="X107" s="28"/>
      <c r="Y107" s="28"/>
      <c r="Z107" s="28"/>
    </row>
    <row r="108" spans="1:26" ht="15.75" thickBot="1">
      <c r="A108" s="29">
        <v>107</v>
      </c>
      <c r="B108" s="29">
        <v>11</v>
      </c>
      <c r="C108" s="28" t="s">
        <v>540</v>
      </c>
      <c r="D108" s="28" t="s">
        <v>5</v>
      </c>
      <c r="E108" s="28" t="s">
        <v>21</v>
      </c>
      <c r="F108" s="28" t="s">
        <v>114</v>
      </c>
      <c r="G108" s="29">
        <v>107</v>
      </c>
      <c r="H108" s="29">
        <v>11</v>
      </c>
      <c r="I108" s="28"/>
      <c r="J108" s="28"/>
      <c r="K108" s="28"/>
      <c r="L108" s="28"/>
      <c r="M108" s="28"/>
      <c r="N108" s="28"/>
      <c r="O108" s="28"/>
      <c r="P108" s="28"/>
      <c r="Q108" s="28"/>
      <c r="R108" s="28"/>
      <c r="S108" s="28"/>
      <c r="T108" s="28"/>
      <c r="U108" s="28"/>
      <c r="V108" s="28"/>
      <c r="W108" s="28"/>
      <c r="X108" s="28"/>
      <c r="Y108" s="28"/>
      <c r="Z108" s="28"/>
    </row>
    <row r="109" spans="1:26" ht="15.75" thickBot="1">
      <c r="A109" s="29">
        <v>108</v>
      </c>
      <c r="B109" s="29">
        <v>11</v>
      </c>
      <c r="C109" s="28" t="s">
        <v>26</v>
      </c>
      <c r="D109" s="28" t="s">
        <v>27</v>
      </c>
      <c r="E109" s="28" t="s">
        <v>25</v>
      </c>
      <c r="F109" s="28" t="s">
        <v>470</v>
      </c>
      <c r="G109" s="29">
        <v>108</v>
      </c>
      <c r="H109" s="29">
        <v>11</v>
      </c>
      <c r="I109" s="28"/>
      <c r="J109" s="28"/>
      <c r="K109" s="28"/>
      <c r="L109" s="28"/>
      <c r="M109" s="28"/>
      <c r="N109" s="28"/>
      <c r="O109" s="28"/>
      <c r="P109" s="28"/>
      <c r="Q109" s="28"/>
      <c r="R109" s="28"/>
      <c r="S109" s="28"/>
      <c r="T109" s="28"/>
      <c r="U109" s="28"/>
      <c r="V109" s="28"/>
      <c r="W109" s="28"/>
      <c r="X109" s="28"/>
      <c r="Y109" s="28"/>
      <c r="Z109" s="28"/>
    </row>
    <row r="110" spans="1:26" ht="15.75" thickBot="1">
      <c r="A110" s="29">
        <v>109</v>
      </c>
      <c r="B110" s="29">
        <v>11</v>
      </c>
      <c r="C110" s="28" t="s">
        <v>514</v>
      </c>
      <c r="D110" s="28" t="s">
        <v>2</v>
      </c>
      <c r="E110" s="28" t="s">
        <v>107</v>
      </c>
      <c r="F110" s="28" t="s">
        <v>58</v>
      </c>
      <c r="G110" s="29">
        <v>109</v>
      </c>
      <c r="H110" s="29">
        <v>11</v>
      </c>
      <c r="I110" s="28"/>
      <c r="J110" s="28"/>
      <c r="K110" s="28"/>
      <c r="L110" s="28"/>
      <c r="M110" s="28"/>
      <c r="N110" s="28"/>
      <c r="O110" s="28"/>
      <c r="P110" s="28"/>
      <c r="Q110" s="28"/>
      <c r="R110" s="28"/>
      <c r="S110" s="28"/>
      <c r="T110" s="28"/>
      <c r="U110" s="28"/>
      <c r="V110" s="28"/>
      <c r="W110" s="28"/>
      <c r="X110" s="28"/>
      <c r="Y110" s="28"/>
      <c r="Z110" s="28"/>
    </row>
    <row r="111" spans="1:26" ht="15.75" thickBot="1">
      <c r="A111" s="31">
        <v>110</v>
      </c>
      <c r="B111" s="31">
        <v>11</v>
      </c>
      <c r="C111" s="33" t="s">
        <v>31</v>
      </c>
      <c r="D111" s="33" t="s">
        <v>2</v>
      </c>
      <c r="E111" s="33" t="s">
        <v>25</v>
      </c>
      <c r="F111" s="33" t="s">
        <v>97</v>
      </c>
      <c r="G111" s="31">
        <v>110</v>
      </c>
      <c r="H111" s="31">
        <v>11</v>
      </c>
      <c r="I111" s="28"/>
      <c r="J111" s="28"/>
      <c r="K111" s="28"/>
      <c r="L111" s="28"/>
      <c r="M111" s="28"/>
      <c r="N111" s="28"/>
      <c r="O111" s="28"/>
      <c r="P111" s="28"/>
      <c r="Q111" s="28"/>
      <c r="R111" s="28"/>
      <c r="S111" s="28"/>
      <c r="T111" s="28"/>
      <c r="U111" s="28"/>
      <c r="V111" s="28"/>
      <c r="W111" s="28"/>
      <c r="X111" s="28"/>
      <c r="Y111" s="28"/>
      <c r="Z111" s="28"/>
    </row>
    <row r="112" spans="1:26" ht="15.75" thickBot="1">
      <c r="A112" s="29">
        <v>111</v>
      </c>
      <c r="B112" s="29">
        <v>12</v>
      </c>
      <c r="C112" s="28" t="s">
        <v>593</v>
      </c>
      <c r="D112" s="28" t="s">
        <v>10</v>
      </c>
      <c r="E112" s="28" t="s">
        <v>56</v>
      </c>
      <c r="F112" s="28" t="s">
        <v>97</v>
      </c>
      <c r="G112" s="29">
        <v>111</v>
      </c>
      <c r="H112" s="29">
        <v>12</v>
      </c>
      <c r="I112" s="28"/>
      <c r="J112" s="28"/>
      <c r="K112" s="28"/>
      <c r="L112" s="28"/>
      <c r="M112" s="28"/>
      <c r="N112" s="28"/>
      <c r="O112" s="28"/>
      <c r="P112" s="28"/>
      <c r="Q112" s="28"/>
      <c r="R112" s="28"/>
      <c r="S112" s="28"/>
      <c r="T112" s="28"/>
      <c r="U112" s="28"/>
      <c r="V112" s="28"/>
      <c r="W112" s="28"/>
      <c r="X112" s="28"/>
      <c r="Y112" s="28"/>
      <c r="Z112" s="28"/>
    </row>
    <row r="113" spans="1:26" ht="15.75" thickBot="1">
      <c r="A113" s="29">
        <v>112</v>
      </c>
      <c r="B113" s="29">
        <v>12</v>
      </c>
      <c r="C113" s="28" t="s">
        <v>594</v>
      </c>
      <c r="D113" s="28" t="s">
        <v>10</v>
      </c>
      <c r="E113" s="28" t="s">
        <v>30</v>
      </c>
      <c r="F113" s="28" t="s">
        <v>58</v>
      </c>
      <c r="G113" s="29">
        <v>112</v>
      </c>
      <c r="H113" s="29">
        <v>12</v>
      </c>
      <c r="I113" s="28"/>
      <c r="J113" s="28"/>
      <c r="K113" s="28"/>
      <c r="L113" s="28"/>
      <c r="M113" s="28"/>
      <c r="N113" s="28"/>
      <c r="O113" s="28"/>
      <c r="P113" s="28"/>
      <c r="Q113" s="28"/>
      <c r="R113" s="28"/>
      <c r="S113" s="28"/>
      <c r="T113" s="28"/>
      <c r="U113" s="28"/>
      <c r="V113" s="28"/>
      <c r="W113" s="28"/>
      <c r="X113" s="28"/>
      <c r="Y113" s="28"/>
      <c r="Z113" s="28"/>
    </row>
    <row r="114" spans="1:26" ht="15.75" thickBot="1">
      <c r="A114" s="29">
        <v>113</v>
      </c>
      <c r="B114" s="29">
        <v>12</v>
      </c>
      <c r="C114" s="30" t="s">
        <v>504</v>
      </c>
      <c r="D114" s="28" t="s">
        <v>2</v>
      </c>
      <c r="E114" s="28" t="s">
        <v>60</v>
      </c>
      <c r="F114" s="28" t="s">
        <v>470</v>
      </c>
      <c r="G114" s="29">
        <v>113</v>
      </c>
      <c r="H114" s="29">
        <v>12</v>
      </c>
      <c r="I114" s="28"/>
      <c r="J114" s="28"/>
      <c r="K114" s="28"/>
      <c r="L114" s="28"/>
      <c r="M114" s="28"/>
      <c r="N114" s="28"/>
      <c r="O114" s="28"/>
      <c r="P114" s="28"/>
      <c r="Q114" s="28"/>
      <c r="R114" s="28"/>
      <c r="S114" s="28"/>
      <c r="T114" s="28"/>
      <c r="U114" s="28"/>
      <c r="V114" s="28"/>
      <c r="W114" s="28"/>
      <c r="X114" s="28"/>
      <c r="Y114" s="28"/>
      <c r="Z114" s="28"/>
    </row>
    <row r="115" spans="1:26" ht="15.75" thickBot="1">
      <c r="A115" s="29">
        <v>114</v>
      </c>
      <c r="B115" s="29">
        <v>12</v>
      </c>
      <c r="C115" s="30" t="s">
        <v>503</v>
      </c>
      <c r="D115" s="28" t="s">
        <v>2</v>
      </c>
      <c r="E115" s="28" t="s">
        <v>43</v>
      </c>
      <c r="F115" s="28" t="s">
        <v>114</v>
      </c>
      <c r="G115" s="29">
        <v>114</v>
      </c>
      <c r="H115" s="29">
        <v>12</v>
      </c>
      <c r="I115" s="28"/>
      <c r="J115" s="28"/>
      <c r="K115" s="28"/>
      <c r="L115" s="28"/>
      <c r="M115" s="28"/>
      <c r="N115" s="28"/>
      <c r="O115" s="28"/>
      <c r="P115" s="28"/>
      <c r="Q115" s="28"/>
      <c r="R115" s="28"/>
      <c r="S115" s="28"/>
      <c r="T115" s="28"/>
      <c r="U115" s="28"/>
      <c r="V115" s="28"/>
      <c r="W115" s="28"/>
      <c r="X115" s="28"/>
      <c r="Y115" s="28"/>
      <c r="Z115" s="28"/>
    </row>
    <row r="116" spans="1:26" ht="15.75" thickBot="1">
      <c r="A116" s="29">
        <v>115</v>
      </c>
      <c r="B116" s="29">
        <v>12</v>
      </c>
      <c r="C116" s="28" t="s">
        <v>12</v>
      </c>
      <c r="D116" s="28" t="s">
        <v>10</v>
      </c>
      <c r="E116" s="28" t="s">
        <v>71</v>
      </c>
      <c r="F116" s="28" t="s">
        <v>37</v>
      </c>
      <c r="G116" s="29">
        <v>115</v>
      </c>
      <c r="H116" s="29">
        <v>12</v>
      </c>
      <c r="I116" s="28"/>
      <c r="J116" s="28"/>
      <c r="K116" s="28"/>
      <c r="L116" s="28"/>
      <c r="M116" s="28"/>
      <c r="N116" s="28"/>
      <c r="O116" s="28"/>
      <c r="P116" s="28"/>
      <c r="Q116" s="28"/>
      <c r="R116" s="28"/>
      <c r="S116" s="28"/>
      <c r="T116" s="28"/>
      <c r="U116" s="28"/>
      <c r="V116" s="28"/>
      <c r="W116" s="28"/>
      <c r="X116" s="28"/>
      <c r="Y116" s="28"/>
      <c r="Z116" s="28"/>
    </row>
    <row r="117" spans="1:26" ht="15.75" thickBot="1">
      <c r="A117" s="29">
        <v>116</v>
      </c>
      <c r="B117" s="29">
        <v>12</v>
      </c>
      <c r="C117" s="28" t="s">
        <v>187</v>
      </c>
      <c r="D117" s="28" t="s">
        <v>2</v>
      </c>
      <c r="E117" s="28" t="s">
        <v>34</v>
      </c>
      <c r="F117" s="28" t="s">
        <v>469</v>
      </c>
      <c r="G117" s="29">
        <v>116</v>
      </c>
      <c r="H117" s="29">
        <v>12</v>
      </c>
      <c r="I117" s="28"/>
      <c r="J117" s="28"/>
      <c r="K117" s="28"/>
      <c r="L117" s="28"/>
      <c r="M117" s="28"/>
      <c r="N117" s="28"/>
      <c r="O117" s="28"/>
      <c r="P117" s="28"/>
      <c r="Q117" s="28"/>
      <c r="R117" s="28"/>
      <c r="S117" s="28"/>
      <c r="T117" s="28"/>
      <c r="U117" s="28"/>
      <c r="V117" s="28"/>
      <c r="W117" s="28"/>
      <c r="X117" s="28"/>
      <c r="Y117" s="28"/>
      <c r="Z117" s="28"/>
    </row>
    <row r="118" spans="1:26" ht="15.75" thickBot="1">
      <c r="A118" s="29">
        <v>117</v>
      </c>
      <c r="B118" s="29">
        <v>12</v>
      </c>
      <c r="C118" s="28" t="s">
        <v>650</v>
      </c>
      <c r="D118" s="28" t="s">
        <v>2</v>
      </c>
      <c r="E118" s="28" t="s">
        <v>73</v>
      </c>
      <c r="F118" s="28" t="s">
        <v>471</v>
      </c>
      <c r="G118" s="29">
        <v>117</v>
      </c>
      <c r="H118" s="29">
        <v>12</v>
      </c>
      <c r="I118" s="28"/>
      <c r="J118" s="28"/>
      <c r="K118" s="28"/>
      <c r="L118" s="28"/>
      <c r="M118" s="28"/>
      <c r="N118" s="28"/>
      <c r="O118" s="28"/>
      <c r="P118" s="28"/>
      <c r="Q118" s="28"/>
      <c r="R118" s="28"/>
      <c r="S118" s="28"/>
      <c r="T118" s="28"/>
      <c r="U118" s="28"/>
      <c r="V118" s="28"/>
      <c r="W118" s="28"/>
      <c r="X118" s="28"/>
      <c r="Y118" s="28"/>
      <c r="Z118" s="28"/>
    </row>
    <row r="119" spans="1:26" ht="15.75" thickBot="1">
      <c r="A119" s="29">
        <v>118</v>
      </c>
      <c r="B119" s="29">
        <v>12</v>
      </c>
      <c r="C119" s="28" t="s">
        <v>134</v>
      </c>
      <c r="D119" s="28" t="s">
        <v>10</v>
      </c>
      <c r="E119" s="28" t="s">
        <v>2</v>
      </c>
      <c r="F119" s="28" t="s">
        <v>385</v>
      </c>
      <c r="G119" s="29">
        <v>118</v>
      </c>
      <c r="H119" s="29">
        <v>12</v>
      </c>
      <c r="I119" s="28"/>
      <c r="J119" s="28"/>
      <c r="K119" s="28"/>
      <c r="L119" s="28"/>
      <c r="M119" s="28"/>
      <c r="N119" s="28"/>
      <c r="O119" s="28"/>
      <c r="P119" s="28"/>
      <c r="Q119" s="28"/>
      <c r="R119" s="28"/>
      <c r="S119" s="28"/>
      <c r="T119" s="28"/>
      <c r="U119" s="28"/>
      <c r="V119" s="28"/>
      <c r="W119" s="28"/>
      <c r="X119" s="28"/>
      <c r="Y119" s="28"/>
      <c r="Z119" s="28"/>
    </row>
    <row r="120" spans="1:26" ht="15.75" thickBot="1">
      <c r="A120" s="29">
        <v>119</v>
      </c>
      <c r="B120" s="29">
        <v>12</v>
      </c>
      <c r="C120" s="28" t="s">
        <v>517</v>
      </c>
      <c r="D120" s="28" t="s">
        <v>2</v>
      </c>
      <c r="E120" s="28" t="s">
        <v>3</v>
      </c>
      <c r="F120" s="28" t="s">
        <v>181</v>
      </c>
      <c r="G120" s="29">
        <v>119</v>
      </c>
      <c r="H120" s="29">
        <v>12</v>
      </c>
      <c r="I120" s="28"/>
      <c r="J120" s="28"/>
      <c r="K120" s="28"/>
      <c r="L120" s="28"/>
      <c r="M120" s="28"/>
      <c r="N120" s="28"/>
      <c r="O120" s="28"/>
      <c r="P120" s="28"/>
      <c r="Q120" s="28"/>
      <c r="R120" s="28"/>
      <c r="S120" s="28"/>
      <c r="T120" s="28"/>
      <c r="U120" s="28"/>
      <c r="V120" s="28"/>
      <c r="W120" s="28"/>
      <c r="X120" s="28"/>
      <c r="Y120" s="28"/>
      <c r="Z120" s="28"/>
    </row>
    <row r="121" spans="1:26" ht="15.75" thickBot="1">
      <c r="A121" s="31">
        <v>120</v>
      </c>
      <c r="B121" s="31">
        <v>12</v>
      </c>
      <c r="C121" s="33" t="s">
        <v>595</v>
      </c>
      <c r="D121" s="33" t="s">
        <v>2</v>
      </c>
      <c r="E121" s="33" t="s">
        <v>23</v>
      </c>
      <c r="F121" s="33" t="s">
        <v>0</v>
      </c>
      <c r="G121" s="31">
        <v>120</v>
      </c>
      <c r="H121" s="31">
        <v>12</v>
      </c>
      <c r="I121" s="28"/>
      <c r="J121" s="28"/>
      <c r="K121" s="28"/>
      <c r="L121" s="28"/>
      <c r="M121" s="28"/>
      <c r="N121" s="28"/>
      <c r="O121" s="28"/>
      <c r="P121" s="28"/>
      <c r="Q121" s="28"/>
      <c r="R121" s="28"/>
      <c r="S121" s="28"/>
      <c r="T121" s="28"/>
      <c r="U121" s="28"/>
      <c r="V121" s="28"/>
      <c r="W121" s="28"/>
      <c r="X121" s="28"/>
      <c r="Y121" s="28"/>
      <c r="Z121" s="28"/>
    </row>
    <row r="122" spans="1:26" ht="15.75" thickBot="1">
      <c r="A122" s="29">
        <v>121</v>
      </c>
      <c r="B122" s="29">
        <v>13</v>
      </c>
      <c r="C122" s="28" t="s">
        <v>460</v>
      </c>
      <c r="D122" s="28" t="s">
        <v>5</v>
      </c>
      <c r="E122" s="28" t="s">
        <v>23</v>
      </c>
      <c r="F122" s="28" t="s">
        <v>0</v>
      </c>
      <c r="G122" s="29">
        <v>121</v>
      </c>
      <c r="H122" s="29">
        <v>13</v>
      </c>
      <c r="I122" s="28"/>
      <c r="J122" s="28"/>
      <c r="K122" s="28"/>
      <c r="L122" s="28"/>
      <c r="M122" s="28"/>
      <c r="N122" s="28"/>
      <c r="O122" s="28"/>
      <c r="P122" s="28"/>
      <c r="Q122" s="28"/>
      <c r="R122" s="28"/>
      <c r="S122" s="28"/>
      <c r="T122" s="28"/>
      <c r="U122" s="28"/>
      <c r="V122" s="28"/>
      <c r="W122" s="28"/>
      <c r="X122" s="28"/>
      <c r="Y122" s="28"/>
      <c r="Z122" s="28"/>
    </row>
    <row r="123" spans="1:26" ht="15.75" thickBot="1">
      <c r="A123" s="29">
        <v>122</v>
      </c>
      <c r="B123" s="29">
        <v>13</v>
      </c>
      <c r="C123" s="28" t="s">
        <v>548</v>
      </c>
      <c r="D123" s="28" t="s">
        <v>36</v>
      </c>
      <c r="E123" s="28" t="s">
        <v>107</v>
      </c>
      <c r="F123" s="28" t="s">
        <v>181</v>
      </c>
      <c r="G123" s="29">
        <v>122</v>
      </c>
      <c r="H123" s="29">
        <v>13</v>
      </c>
      <c r="I123" s="28"/>
      <c r="J123" s="28"/>
      <c r="K123" s="28"/>
      <c r="L123" s="28"/>
      <c r="M123" s="28"/>
      <c r="N123" s="28"/>
      <c r="O123" s="28"/>
      <c r="P123" s="28"/>
      <c r="Q123" s="28"/>
      <c r="R123" s="28"/>
      <c r="S123" s="28"/>
      <c r="T123" s="28"/>
      <c r="U123" s="28"/>
      <c r="V123" s="28"/>
      <c r="W123" s="28"/>
      <c r="X123" s="28"/>
      <c r="Y123" s="28"/>
      <c r="Z123" s="28"/>
    </row>
    <row r="124" spans="1:26" ht="15.75" thickBot="1">
      <c r="A124" s="29">
        <v>123</v>
      </c>
      <c r="B124" s="29">
        <v>13</v>
      </c>
      <c r="C124" s="28" t="s">
        <v>444</v>
      </c>
      <c r="D124" s="28" t="s">
        <v>10</v>
      </c>
      <c r="E124" s="28" t="s">
        <v>43</v>
      </c>
      <c r="F124" s="28" t="s">
        <v>385</v>
      </c>
      <c r="G124" s="29">
        <v>123</v>
      </c>
      <c r="H124" s="29">
        <v>13</v>
      </c>
      <c r="I124" s="28"/>
      <c r="J124" s="28"/>
      <c r="K124" s="28"/>
      <c r="L124" s="28"/>
      <c r="M124" s="28"/>
      <c r="N124" s="28"/>
      <c r="O124" s="28"/>
      <c r="P124" s="28"/>
      <c r="Q124" s="28"/>
      <c r="R124" s="28"/>
      <c r="S124" s="28"/>
      <c r="T124" s="28"/>
      <c r="U124" s="28"/>
      <c r="V124" s="28"/>
      <c r="W124" s="28"/>
      <c r="X124" s="28"/>
      <c r="Y124" s="28"/>
      <c r="Z124" s="28"/>
    </row>
    <row r="125" spans="1:26" ht="15.75" thickBot="1">
      <c r="A125" s="29">
        <v>124</v>
      </c>
      <c r="B125" s="29">
        <v>13</v>
      </c>
      <c r="C125" s="28" t="s">
        <v>596</v>
      </c>
      <c r="D125" s="28" t="s">
        <v>5</v>
      </c>
      <c r="E125" s="28" t="s">
        <v>137</v>
      </c>
      <c r="F125" s="28" t="s">
        <v>471</v>
      </c>
      <c r="G125" s="29">
        <v>124</v>
      </c>
      <c r="H125" s="29">
        <v>13</v>
      </c>
      <c r="I125" s="28"/>
      <c r="J125" s="28"/>
      <c r="K125" s="28"/>
      <c r="L125" s="28"/>
      <c r="M125" s="28"/>
      <c r="N125" s="28"/>
      <c r="O125" s="28"/>
      <c r="P125" s="28"/>
      <c r="Q125" s="28"/>
      <c r="R125" s="28"/>
      <c r="S125" s="28"/>
      <c r="T125" s="28"/>
      <c r="U125" s="28"/>
      <c r="V125" s="28"/>
      <c r="W125" s="28"/>
      <c r="X125" s="28"/>
      <c r="Y125" s="28"/>
      <c r="Z125" s="28"/>
    </row>
    <row r="126" spans="1:26" ht="15.75" thickBot="1">
      <c r="A126" s="29">
        <v>125</v>
      </c>
      <c r="B126" s="29">
        <v>13</v>
      </c>
      <c r="C126" s="28" t="s">
        <v>109</v>
      </c>
      <c r="D126" s="28" t="s">
        <v>10</v>
      </c>
      <c r="E126" s="28" t="s">
        <v>49</v>
      </c>
      <c r="F126" s="28" t="s">
        <v>469</v>
      </c>
      <c r="G126" s="29">
        <v>125</v>
      </c>
      <c r="H126" s="29">
        <v>13</v>
      </c>
      <c r="I126" s="28"/>
      <c r="J126" s="28"/>
      <c r="K126" s="28"/>
      <c r="L126" s="28"/>
      <c r="M126" s="28"/>
      <c r="N126" s="28"/>
      <c r="O126" s="28"/>
      <c r="P126" s="28"/>
      <c r="Q126" s="28"/>
      <c r="R126" s="28"/>
      <c r="S126" s="28"/>
      <c r="T126" s="28"/>
      <c r="U126" s="28"/>
      <c r="V126" s="28"/>
      <c r="W126" s="28"/>
      <c r="X126" s="28"/>
      <c r="Y126" s="28"/>
      <c r="Z126" s="28"/>
    </row>
    <row r="127" spans="1:26" ht="15.75" thickBot="1">
      <c r="A127" s="29">
        <v>126</v>
      </c>
      <c r="B127" s="29">
        <v>13</v>
      </c>
      <c r="C127" s="30" t="s">
        <v>510</v>
      </c>
      <c r="D127" s="28" t="s">
        <v>10</v>
      </c>
      <c r="E127" s="28" t="s">
        <v>3</v>
      </c>
      <c r="F127" s="28" t="s">
        <v>37</v>
      </c>
      <c r="G127" s="29">
        <v>126</v>
      </c>
      <c r="H127" s="29">
        <v>13</v>
      </c>
      <c r="I127" s="28"/>
      <c r="J127" s="28"/>
      <c r="K127" s="28"/>
      <c r="L127" s="28"/>
      <c r="M127" s="28"/>
      <c r="N127" s="28"/>
      <c r="O127" s="28"/>
      <c r="P127" s="28"/>
      <c r="Q127" s="28"/>
      <c r="R127" s="28"/>
      <c r="S127" s="28"/>
      <c r="T127" s="28"/>
      <c r="U127" s="28"/>
      <c r="V127" s="28"/>
      <c r="W127" s="28"/>
      <c r="X127" s="28"/>
      <c r="Y127" s="28"/>
      <c r="Z127" s="28"/>
    </row>
    <row r="128" spans="1:26" ht="15.75" thickBot="1">
      <c r="A128" s="29">
        <v>127</v>
      </c>
      <c r="B128" s="29">
        <v>13</v>
      </c>
      <c r="C128" s="28" t="s">
        <v>597</v>
      </c>
      <c r="D128" s="28" t="s">
        <v>10</v>
      </c>
      <c r="E128" s="28" t="s">
        <v>13</v>
      </c>
      <c r="F128" s="28" t="s">
        <v>114</v>
      </c>
      <c r="G128" s="29">
        <v>127</v>
      </c>
      <c r="H128" s="29">
        <v>13</v>
      </c>
      <c r="I128" s="28"/>
      <c r="J128" s="28"/>
      <c r="K128" s="28"/>
      <c r="L128" s="28"/>
      <c r="M128" s="28"/>
      <c r="N128" s="28"/>
      <c r="O128" s="28"/>
      <c r="P128" s="28"/>
      <c r="Q128" s="28"/>
      <c r="R128" s="28"/>
      <c r="S128" s="28"/>
      <c r="T128" s="28"/>
      <c r="U128" s="28"/>
      <c r="V128" s="28"/>
      <c r="W128" s="28"/>
      <c r="X128" s="28"/>
      <c r="Y128" s="28"/>
      <c r="Z128" s="28"/>
    </row>
    <row r="129" spans="1:26" ht="15.75" thickBot="1">
      <c r="A129" s="29">
        <v>128</v>
      </c>
      <c r="B129" s="29">
        <v>13</v>
      </c>
      <c r="C129" s="28" t="s">
        <v>18</v>
      </c>
      <c r="D129" s="28" t="s">
        <v>2</v>
      </c>
      <c r="E129" s="28" t="s">
        <v>8</v>
      </c>
      <c r="F129" s="28" t="s">
        <v>470</v>
      </c>
      <c r="G129" s="29">
        <v>128</v>
      </c>
      <c r="H129" s="29">
        <v>13</v>
      </c>
      <c r="I129" s="28"/>
      <c r="J129" s="28"/>
      <c r="K129" s="28"/>
      <c r="L129" s="28"/>
      <c r="M129" s="28"/>
      <c r="N129" s="28"/>
      <c r="O129" s="28"/>
      <c r="P129" s="28"/>
      <c r="Q129" s="28"/>
      <c r="R129" s="28"/>
      <c r="S129" s="28"/>
      <c r="T129" s="28"/>
      <c r="U129" s="28"/>
      <c r="V129" s="28"/>
      <c r="W129" s="28"/>
      <c r="X129" s="28"/>
      <c r="Y129" s="28"/>
      <c r="Z129" s="28"/>
    </row>
    <row r="130" spans="1:26" ht="15.75" thickBot="1">
      <c r="A130" s="29">
        <v>129</v>
      </c>
      <c r="B130" s="29">
        <v>13</v>
      </c>
      <c r="C130" s="28" t="s">
        <v>189</v>
      </c>
      <c r="D130" s="28" t="s">
        <v>5</v>
      </c>
      <c r="E130" s="28" t="s">
        <v>32</v>
      </c>
      <c r="F130" s="28" t="s">
        <v>58</v>
      </c>
      <c r="G130" s="29">
        <v>129</v>
      </c>
      <c r="H130" s="29">
        <v>13</v>
      </c>
      <c r="I130" s="28"/>
      <c r="J130" s="28"/>
      <c r="K130" s="28"/>
      <c r="L130" s="28"/>
      <c r="M130" s="28"/>
      <c r="N130" s="28"/>
      <c r="O130" s="28"/>
      <c r="P130" s="28"/>
      <c r="Q130" s="28"/>
      <c r="R130" s="28"/>
      <c r="S130" s="28"/>
      <c r="T130" s="28"/>
      <c r="U130" s="28"/>
      <c r="V130" s="28"/>
      <c r="W130" s="28"/>
      <c r="X130" s="28"/>
      <c r="Y130" s="28"/>
      <c r="Z130" s="28"/>
    </row>
    <row r="131" spans="1:26" ht="15.75" thickBot="1">
      <c r="A131" s="31">
        <v>130</v>
      </c>
      <c r="B131" s="31">
        <v>13</v>
      </c>
      <c r="C131" s="33" t="s">
        <v>598</v>
      </c>
      <c r="D131" s="33" t="s">
        <v>36</v>
      </c>
      <c r="E131" s="33" t="s">
        <v>63</v>
      </c>
      <c r="F131" s="33" t="s">
        <v>97</v>
      </c>
      <c r="G131" s="31">
        <v>130</v>
      </c>
      <c r="H131" s="31">
        <v>13</v>
      </c>
      <c r="I131" s="28"/>
      <c r="J131" s="28"/>
      <c r="K131" s="28"/>
      <c r="L131" s="28"/>
      <c r="M131" s="28"/>
      <c r="N131" s="28"/>
      <c r="O131" s="28"/>
      <c r="P131" s="28"/>
      <c r="Q131" s="28"/>
      <c r="R131" s="28"/>
      <c r="S131" s="28"/>
      <c r="T131" s="28"/>
      <c r="U131" s="28"/>
      <c r="V131" s="28"/>
      <c r="W131" s="28"/>
      <c r="X131" s="28"/>
      <c r="Y131" s="28"/>
      <c r="Z131" s="28"/>
    </row>
    <row r="132" spans="1:26" ht="15.75" thickBot="1">
      <c r="A132" s="29">
        <v>131</v>
      </c>
      <c r="B132" s="29">
        <v>14</v>
      </c>
      <c r="C132" s="28" t="s">
        <v>547</v>
      </c>
      <c r="D132" s="28" t="s">
        <v>10</v>
      </c>
      <c r="E132" s="28" t="s">
        <v>3</v>
      </c>
      <c r="F132" s="28" t="s">
        <v>97</v>
      </c>
      <c r="G132" s="29">
        <v>131</v>
      </c>
      <c r="H132" s="29">
        <v>14</v>
      </c>
      <c r="I132" s="28"/>
      <c r="J132" s="28"/>
      <c r="K132" s="28"/>
      <c r="L132" s="28"/>
      <c r="M132" s="28"/>
      <c r="N132" s="28"/>
      <c r="O132" s="28"/>
      <c r="P132" s="28"/>
      <c r="Q132" s="28"/>
      <c r="R132" s="28"/>
      <c r="S132" s="28"/>
      <c r="T132" s="28"/>
      <c r="U132" s="28"/>
      <c r="V132" s="28"/>
      <c r="W132" s="28"/>
      <c r="X132" s="28"/>
      <c r="Y132" s="28"/>
      <c r="Z132" s="28"/>
    </row>
    <row r="133" spans="1:26" ht="15.75" thickBot="1">
      <c r="A133" s="29">
        <v>132</v>
      </c>
      <c r="B133" s="29">
        <v>14</v>
      </c>
      <c r="C133" s="28" t="s">
        <v>599</v>
      </c>
      <c r="D133" s="28" t="s">
        <v>10</v>
      </c>
      <c r="E133" s="28" t="s">
        <v>137</v>
      </c>
      <c r="F133" s="28" t="s">
        <v>58</v>
      </c>
      <c r="G133" s="29">
        <v>132</v>
      </c>
      <c r="H133" s="29">
        <v>14</v>
      </c>
      <c r="I133" s="28"/>
      <c r="J133" s="28"/>
      <c r="K133" s="28"/>
      <c r="L133" s="28"/>
      <c r="M133" s="28"/>
      <c r="N133" s="28"/>
      <c r="O133" s="28"/>
      <c r="P133" s="28"/>
      <c r="Q133" s="28"/>
      <c r="R133" s="28"/>
      <c r="S133" s="28"/>
      <c r="T133" s="28"/>
      <c r="U133" s="28"/>
      <c r="V133" s="28"/>
      <c r="W133" s="28"/>
      <c r="X133" s="28"/>
      <c r="Y133" s="28"/>
      <c r="Z133" s="28"/>
    </row>
    <row r="134" spans="1:26" ht="15.75" thickBot="1">
      <c r="A134" s="29">
        <v>133</v>
      </c>
      <c r="B134" s="29">
        <v>14</v>
      </c>
      <c r="C134" s="28" t="s">
        <v>461</v>
      </c>
      <c r="D134" s="28" t="s">
        <v>27</v>
      </c>
      <c r="E134" s="28" t="s">
        <v>60</v>
      </c>
      <c r="F134" s="28" t="s">
        <v>470</v>
      </c>
      <c r="G134" s="29">
        <v>133</v>
      </c>
      <c r="H134" s="29">
        <v>14</v>
      </c>
      <c r="I134" s="28"/>
      <c r="J134" s="28"/>
      <c r="K134" s="28"/>
      <c r="L134" s="28"/>
      <c r="M134" s="28"/>
      <c r="N134" s="28"/>
      <c r="O134" s="28"/>
      <c r="P134" s="28"/>
      <c r="Q134" s="28"/>
      <c r="R134" s="28"/>
      <c r="S134" s="28"/>
      <c r="T134" s="28"/>
      <c r="U134" s="28"/>
      <c r="V134" s="28"/>
      <c r="W134" s="28"/>
      <c r="X134" s="28"/>
      <c r="Y134" s="28"/>
      <c r="Z134" s="28"/>
    </row>
    <row r="135" spans="1:26" ht="15.75" thickBot="1">
      <c r="A135" s="29">
        <v>134</v>
      </c>
      <c r="B135" s="29">
        <v>14</v>
      </c>
      <c r="C135" s="28" t="s">
        <v>81</v>
      </c>
      <c r="D135" s="28" t="s">
        <v>5</v>
      </c>
      <c r="E135" s="28" t="s">
        <v>82</v>
      </c>
      <c r="F135" s="28" t="s">
        <v>114</v>
      </c>
      <c r="G135" s="29">
        <v>134</v>
      </c>
      <c r="H135" s="29">
        <v>14</v>
      </c>
      <c r="I135" s="28"/>
      <c r="J135" s="28"/>
      <c r="K135" s="28"/>
      <c r="L135" s="28"/>
      <c r="M135" s="28"/>
      <c r="N135" s="28"/>
      <c r="O135" s="28"/>
      <c r="P135" s="28"/>
      <c r="Q135" s="28"/>
      <c r="R135" s="28"/>
      <c r="S135" s="28"/>
      <c r="T135" s="28"/>
      <c r="U135" s="28"/>
      <c r="V135" s="28"/>
      <c r="W135" s="28"/>
      <c r="X135" s="28"/>
      <c r="Y135" s="28"/>
      <c r="Z135" s="28"/>
    </row>
    <row r="136" spans="1:26" ht="15.75" thickBot="1">
      <c r="A136" s="29">
        <v>135</v>
      </c>
      <c r="B136" s="29">
        <v>14</v>
      </c>
      <c r="C136" s="28" t="s">
        <v>600</v>
      </c>
      <c r="D136" s="28" t="s">
        <v>10</v>
      </c>
      <c r="E136" s="28" t="s">
        <v>91</v>
      </c>
      <c r="F136" s="28" t="s">
        <v>37</v>
      </c>
      <c r="G136" s="29">
        <v>135</v>
      </c>
      <c r="H136" s="29">
        <v>14</v>
      </c>
      <c r="I136" s="28"/>
      <c r="J136" s="28"/>
      <c r="K136" s="28"/>
      <c r="L136" s="28"/>
      <c r="M136" s="28"/>
      <c r="N136" s="28"/>
      <c r="O136" s="28"/>
      <c r="P136" s="28"/>
      <c r="Q136" s="28"/>
      <c r="R136" s="28"/>
      <c r="S136" s="28"/>
      <c r="T136" s="28"/>
      <c r="U136" s="28"/>
      <c r="V136" s="28"/>
      <c r="W136" s="28"/>
      <c r="X136" s="28"/>
      <c r="Y136" s="28"/>
      <c r="Z136" s="28"/>
    </row>
    <row r="137" spans="1:26" ht="15.75" thickBot="1">
      <c r="A137" s="29">
        <v>136</v>
      </c>
      <c r="B137" s="29">
        <v>14</v>
      </c>
      <c r="C137" s="28" t="s">
        <v>172</v>
      </c>
      <c r="D137" s="28" t="s">
        <v>5</v>
      </c>
      <c r="E137" s="28" t="s">
        <v>73</v>
      </c>
      <c r="F137" s="28" t="s">
        <v>469</v>
      </c>
      <c r="G137" s="29">
        <v>136</v>
      </c>
      <c r="H137" s="29">
        <v>14</v>
      </c>
      <c r="I137" s="28"/>
      <c r="J137" s="28"/>
      <c r="K137" s="28"/>
      <c r="L137" s="28"/>
      <c r="M137" s="28"/>
      <c r="N137" s="28"/>
      <c r="O137" s="28"/>
      <c r="P137" s="28"/>
      <c r="Q137" s="28"/>
      <c r="R137" s="28"/>
      <c r="S137" s="28"/>
      <c r="T137" s="28"/>
      <c r="U137" s="28"/>
      <c r="V137" s="28"/>
      <c r="W137" s="28"/>
      <c r="X137" s="28"/>
      <c r="Y137" s="28"/>
      <c r="Z137" s="28"/>
    </row>
    <row r="138" spans="1:26" ht="15.75" thickBot="1">
      <c r="A138" s="29">
        <v>137</v>
      </c>
      <c r="B138" s="29">
        <v>14</v>
      </c>
      <c r="C138" s="28" t="s">
        <v>601</v>
      </c>
      <c r="D138" s="28" t="s">
        <v>2</v>
      </c>
      <c r="E138" s="28" t="s">
        <v>21</v>
      </c>
      <c r="F138" s="28" t="s">
        <v>471</v>
      </c>
      <c r="G138" s="29">
        <v>137</v>
      </c>
      <c r="H138" s="29">
        <v>14</v>
      </c>
      <c r="I138" s="28"/>
      <c r="J138" s="28"/>
      <c r="K138" s="28"/>
      <c r="L138" s="28"/>
      <c r="M138" s="28"/>
      <c r="N138" s="28"/>
      <c r="O138" s="28"/>
      <c r="P138" s="28"/>
      <c r="Q138" s="28"/>
      <c r="R138" s="28"/>
      <c r="S138" s="28"/>
      <c r="T138" s="28"/>
      <c r="U138" s="28"/>
      <c r="V138" s="28"/>
      <c r="W138" s="28"/>
      <c r="X138" s="28"/>
      <c r="Y138" s="28"/>
      <c r="Z138" s="28"/>
    </row>
    <row r="139" spans="1:26" ht="15.75" thickBot="1">
      <c r="A139" s="29">
        <v>138</v>
      </c>
      <c r="B139" s="29">
        <v>14</v>
      </c>
      <c r="C139" s="30" t="s">
        <v>520</v>
      </c>
      <c r="D139" s="28" t="s">
        <v>27</v>
      </c>
      <c r="E139" s="28" t="s">
        <v>135</v>
      </c>
      <c r="F139" s="28" t="s">
        <v>385</v>
      </c>
      <c r="G139" s="29">
        <v>138</v>
      </c>
      <c r="H139" s="29">
        <v>14</v>
      </c>
      <c r="I139" s="28"/>
      <c r="J139" s="28"/>
      <c r="K139" s="28"/>
      <c r="L139" s="28"/>
      <c r="M139" s="28"/>
      <c r="N139" s="28"/>
      <c r="O139" s="28"/>
      <c r="P139" s="28"/>
      <c r="Q139" s="28"/>
      <c r="R139" s="28"/>
      <c r="S139" s="28"/>
      <c r="T139" s="28"/>
      <c r="U139" s="28"/>
      <c r="V139" s="28"/>
      <c r="W139" s="28"/>
      <c r="X139" s="28"/>
      <c r="Y139" s="28"/>
      <c r="Z139" s="28"/>
    </row>
    <row r="140" spans="1:26" ht="15.75" thickBot="1">
      <c r="A140" s="29">
        <v>139</v>
      </c>
      <c r="B140" s="29">
        <v>14</v>
      </c>
      <c r="C140" s="28" t="s">
        <v>539</v>
      </c>
      <c r="D140" s="28" t="s">
        <v>2</v>
      </c>
      <c r="E140" s="28" t="s">
        <v>82</v>
      </c>
      <c r="F140" s="28" t="s">
        <v>181</v>
      </c>
      <c r="G140" s="29">
        <v>139</v>
      </c>
      <c r="H140" s="29">
        <v>14</v>
      </c>
      <c r="I140" s="28"/>
      <c r="J140" s="28"/>
      <c r="K140" s="28"/>
      <c r="L140" s="28"/>
      <c r="M140" s="28"/>
      <c r="N140" s="28"/>
      <c r="O140" s="28"/>
      <c r="P140" s="28"/>
      <c r="Q140" s="28"/>
      <c r="R140" s="28"/>
      <c r="S140" s="28"/>
      <c r="T140" s="28"/>
      <c r="U140" s="28"/>
      <c r="V140" s="28"/>
      <c r="W140" s="28"/>
      <c r="X140" s="28"/>
      <c r="Y140" s="28"/>
      <c r="Z140" s="28"/>
    </row>
    <row r="141" spans="1:26" ht="15.75" thickBot="1">
      <c r="A141" s="31">
        <v>140</v>
      </c>
      <c r="B141" s="31">
        <v>14</v>
      </c>
      <c r="C141" s="33" t="s">
        <v>391</v>
      </c>
      <c r="D141" s="33" t="s">
        <v>5</v>
      </c>
      <c r="E141" s="33" t="s">
        <v>120</v>
      </c>
      <c r="F141" s="33" t="s">
        <v>0</v>
      </c>
      <c r="G141" s="31">
        <v>140</v>
      </c>
      <c r="H141" s="31">
        <v>14</v>
      </c>
      <c r="I141" s="28"/>
      <c r="J141" s="28"/>
      <c r="K141" s="28"/>
      <c r="L141" s="28"/>
      <c r="M141" s="28"/>
      <c r="N141" s="28"/>
      <c r="O141" s="28"/>
      <c r="P141" s="28"/>
      <c r="Q141" s="28"/>
      <c r="R141" s="28"/>
      <c r="S141" s="28"/>
      <c r="T141" s="28"/>
      <c r="U141" s="28"/>
      <c r="V141" s="28"/>
      <c r="W141" s="28"/>
      <c r="X141" s="28"/>
      <c r="Y141" s="28"/>
      <c r="Z141" s="28"/>
    </row>
    <row r="142" spans="1:26" ht="15.75" thickBot="1">
      <c r="A142" s="29">
        <v>141</v>
      </c>
      <c r="B142" s="29">
        <v>15</v>
      </c>
      <c r="C142" s="28" t="s">
        <v>602</v>
      </c>
      <c r="D142" s="28" t="s">
        <v>2</v>
      </c>
      <c r="E142" s="28" t="s">
        <v>13</v>
      </c>
      <c r="F142" s="28" t="s">
        <v>0</v>
      </c>
      <c r="G142" s="29">
        <v>141</v>
      </c>
      <c r="H142" s="29">
        <v>15</v>
      </c>
      <c r="I142" s="28"/>
      <c r="J142" s="28"/>
      <c r="K142" s="28"/>
      <c r="L142" s="28"/>
      <c r="M142" s="28"/>
      <c r="N142" s="28"/>
      <c r="O142" s="28"/>
      <c r="P142" s="28"/>
      <c r="Q142" s="28"/>
      <c r="R142" s="28"/>
      <c r="S142" s="28"/>
      <c r="T142" s="28"/>
      <c r="U142" s="28"/>
      <c r="V142" s="28"/>
      <c r="W142" s="28"/>
      <c r="X142" s="28"/>
      <c r="Y142" s="28"/>
      <c r="Z142" s="28"/>
    </row>
    <row r="143" spans="1:26" ht="15.75" thickBot="1">
      <c r="A143" s="29">
        <v>142</v>
      </c>
      <c r="B143" s="29">
        <v>15</v>
      </c>
      <c r="C143" s="28" t="s">
        <v>603</v>
      </c>
      <c r="D143" s="28" t="s">
        <v>10</v>
      </c>
      <c r="E143" s="28" t="s">
        <v>43</v>
      </c>
      <c r="F143" s="28" t="s">
        <v>181</v>
      </c>
      <c r="G143" s="29">
        <v>142</v>
      </c>
      <c r="H143" s="29">
        <v>15</v>
      </c>
      <c r="I143" s="28"/>
      <c r="J143" s="28"/>
      <c r="K143" s="28"/>
      <c r="L143" s="28"/>
      <c r="M143" s="28"/>
      <c r="N143" s="28"/>
      <c r="O143" s="28"/>
      <c r="P143" s="28"/>
      <c r="Q143" s="28"/>
      <c r="R143" s="28"/>
      <c r="S143" s="28"/>
      <c r="T143" s="28"/>
      <c r="U143" s="28"/>
      <c r="V143" s="28"/>
      <c r="W143" s="28"/>
      <c r="X143" s="28"/>
      <c r="Y143" s="28"/>
      <c r="Z143" s="28"/>
    </row>
    <row r="144" spans="1:26" ht="15.75" thickBot="1">
      <c r="A144" s="29">
        <v>143</v>
      </c>
      <c r="B144" s="29">
        <v>15</v>
      </c>
      <c r="C144" s="28" t="s">
        <v>604</v>
      </c>
      <c r="D144" s="28" t="s">
        <v>36</v>
      </c>
      <c r="E144" s="28" t="s">
        <v>120</v>
      </c>
      <c r="F144" s="28" t="s">
        <v>385</v>
      </c>
      <c r="G144" s="29">
        <v>143</v>
      </c>
      <c r="H144" s="29">
        <v>15</v>
      </c>
      <c r="I144" s="28"/>
      <c r="J144" s="28"/>
      <c r="K144" s="28"/>
      <c r="L144" s="28"/>
      <c r="M144" s="28"/>
      <c r="N144" s="28"/>
      <c r="O144" s="28"/>
      <c r="P144" s="28"/>
      <c r="Q144" s="28"/>
      <c r="R144" s="28"/>
      <c r="S144" s="28"/>
      <c r="T144" s="28"/>
      <c r="U144" s="28"/>
      <c r="V144" s="28"/>
      <c r="W144" s="28"/>
      <c r="X144" s="28"/>
      <c r="Y144" s="28"/>
      <c r="Z144" s="28"/>
    </row>
    <row r="145" spans="1:26" ht="15.75" thickBot="1">
      <c r="A145" s="29">
        <v>144</v>
      </c>
      <c r="B145" s="29">
        <v>15</v>
      </c>
      <c r="C145" s="30" t="s">
        <v>441</v>
      </c>
      <c r="D145" s="28" t="s">
        <v>10</v>
      </c>
      <c r="E145" s="28" t="s">
        <v>135</v>
      </c>
      <c r="F145" s="28" t="s">
        <v>471</v>
      </c>
      <c r="G145" s="29">
        <v>144</v>
      </c>
      <c r="H145" s="29">
        <v>15</v>
      </c>
      <c r="I145" s="28"/>
      <c r="J145" s="28"/>
      <c r="K145" s="28"/>
      <c r="L145" s="28"/>
      <c r="M145" s="28"/>
      <c r="N145" s="28"/>
      <c r="O145" s="28"/>
      <c r="P145" s="28"/>
      <c r="Q145" s="28"/>
      <c r="R145" s="28"/>
      <c r="S145" s="28"/>
      <c r="T145" s="28"/>
      <c r="U145" s="28"/>
      <c r="V145" s="28"/>
      <c r="W145" s="28"/>
      <c r="X145" s="28"/>
      <c r="Y145" s="28"/>
      <c r="Z145" s="28"/>
    </row>
    <row r="146" spans="1:26" ht="15.75" thickBot="1">
      <c r="A146" s="29">
        <v>145</v>
      </c>
      <c r="B146" s="29">
        <v>15</v>
      </c>
      <c r="C146" s="28" t="s">
        <v>605</v>
      </c>
      <c r="D146" s="28" t="s">
        <v>36</v>
      </c>
      <c r="E146" s="28" t="s">
        <v>21</v>
      </c>
      <c r="F146" s="28" t="s">
        <v>469</v>
      </c>
      <c r="G146" s="29">
        <v>145</v>
      </c>
      <c r="H146" s="29">
        <v>15</v>
      </c>
      <c r="I146" s="28"/>
      <c r="J146" s="28"/>
      <c r="K146" s="28"/>
      <c r="L146" s="28"/>
      <c r="M146" s="28"/>
      <c r="N146" s="28"/>
      <c r="O146" s="28"/>
      <c r="P146" s="28"/>
      <c r="Q146" s="28"/>
      <c r="R146" s="28"/>
      <c r="S146" s="28"/>
      <c r="T146" s="28"/>
      <c r="U146" s="28"/>
      <c r="V146" s="28"/>
      <c r="W146" s="28"/>
      <c r="X146" s="28"/>
      <c r="Y146" s="28"/>
      <c r="Z146" s="28"/>
    </row>
    <row r="147" spans="1:26" ht="15.75" thickBot="1">
      <c r="A147" s="29">
        <v>146</v>
      </c>
      <c r="B147" s="29">
        <v>15</v>
      </c>
      <c r="C147" s="28" t="s">
        <v>558</v>
      </c>
      <c r="D147" s="28" t="s">
        <v>10</v>
      </c>
      <c r="E147" s="28" t="s">
        <v>19</v>
      </c>
      <c r="F147" s="28" t="s">
        <v>37</v>
      </c>
      <c r="G147" s="29">
        <v>146</v>
      </c>
      <c r="H147" s="29">
        <v>15</v>
      </c>
      <c r="I147" s="28"/>
      <c r="J147" s="28"/>
      <c r="K147" s="28"/>
      <c r="L147" s="28"/>
      <c r="M147" s="28"/>
      <c r="N147" s="28"/>
      <c r="O147" s="28"/>
      <c r="P147" s="28"/>
      <c r="Q147" s="28"/>
      <c r="R147" s="28"/>
      <c r="S147" s="28"/>
      <c r="T147" s="28"/>
      <c r="U147" s="28"/>
      <c r="V147" s="28"/>
      <c r="W147" s="28"/>
      <c r="X147" s="28"/>
      <c r="Y147" s="28"/>
      <c r="Z147" s="28"/>
    </row>
    <row r="148" spans="1:26" ht="15.75" thickBot="1">
      <c r="A148" s="29">
        <v>147</v>
      </c>
      <c r="B148" s="29">
        <v>15</v>
      </c>
      <c r="C148" s="28" t="s">
        <v>67</v>
      </c>
      <c r="D148" s="28" t="s">
        <v>27</v>
      </c>
      <c r="E148" s="28" t="s">
        <v>49</v>
      </c>
      <c r="F148" s="28" t="s">
        <v>114</v>
      </c>
      <c r="G148" s="29">
        <v>147</v>
      </c>
      <c r="H148" s="29">
        <v>15</v>
      </c>
      <c r="I148" s="28"/>
      <c r="J148" s="28"/>
      <c r="K148" s="28"/>
      <c r="L148" s="28"/>
      <c r="M148" s="28"/>
      <c r="N148" s="28"/>
      <c r="O148" s="28"/>
      <c r="P148" s="28"/>
      <c r="Q148" s="28"/>
      <c r="R148" s="28"/>
      <c r="S148" s="28"/>
      <c r="T148" s="28"/>
      <c r="U148" s="28"/>
      <c r="V148" s="28"/>
      <c r="W148" s="28"/>
      <c r="X148" s="28"/>
      <c r="Y148" s="28"/>
      <c r="Z148" s="28"/>
    </row>
    <row r="149" spans="1:26" ht="27" thickBot="1">
      <c r="A149" s="29">
        <v>148</v>
      </c>
      <c r="B149" s="29">
        <v>15</v>
      </c>
      <c r="C149" s="28" t="s">
        <v>502</v>
      </c>
      <c r="D149" s="28" t="s">
        <v>36</v>
      </c>
      <c r="E149" s="28" t="s">
        <v>19</v>
      </c>
      <c r="F149" s="28" t="s">
        <v>470</v>
      </c>
      <c r="G149" s="29">
        <v>148</v>
      </c>
      <c r="H149" s="29">
        <v>15</v>
      </c>
      <c r="I149" s="28"/>
      <c r="J149" s="28"/>
      <c r="K149" s="28"/>
      <c r="L149" s="28"/>
      <c r="M149" s="28"/>
      <c r="N149" s="28"/>
      <c r="O149" s="28"/>
      <c r="P149" s="28"/>
      <c r="Q149" s="28"/>
      <c r="R149" s="28"/>
      <c r="S149" s="28"/>
      <c r="T149" s="28"/>
      <c r="U149" s="28"/>
      <c r="V149" s="28"/>
      <c r="W149" s="28"/>
      <c r="X149" s="28"/>
      <c r="Y149" s="28"/>
      <c r="Z149" s="28"/>
    </row>
    <row r="150" spans="1:26" ht="15.75" thickBot="1">
      <c r="A150" s="29">
        <v>149</v>
      </c>
      <c r="B150" s="29">
        <v>15</v>
      </c>
      <c r="C150" s="28" t="s">
        <v>606</v>
      </c>
      <c r="D150" s="28" t="s">
        <v>10</v>
      </c>
      <c r="E150" s="28" t="s">
        <v>607</v>
      </c>
      <c r="F150" s="28" t="s">
        <v>58</v>
      </c>
      <c r="G150" s="29">
        <v>149</v>
      </c>
      <c r="H150" s="29">
        <v>15</v>
      </c>
      <c r="I150" s="28"/>
      <c r="J150" s="28"/>
      <c r="K150" s="28"/>
      <c r="L150" s="28"/>
      <c r="M150" s="28"/>
      <c r="N150" s="28"/>
      <c r="O150" s="28"/>
      <c r="P150" s="28"/>
      <c r="Q150" s="28"/>
      <c r="R150" s="28"/>
      <c r="S150" s="28"/>
      <c r="T150" s="28"/>
      <c r="U150" s="28"/>
      <c r="V150" s="28"/>
      <c r="W150" s="28"/>
      <c r="X150" s="28"/>
      <c r="Y150" s="28"/>
      <c r="Z150" s="28"/>
    </row>
    <row r="151" spans="1:26" ht="15.75" thickBot="1">
      <c r="A151" s="31">
        <v>150</v>
      </c>
      <c r="B151" s="31">
        <v>15</v>
      </c>
      <c r="C151" s="32" t="s">
        <v>559</v>
      </c>
      <c r="D151" s="33" t="s">
        <v>5</v>
      </c>
      <c r="E151" s="33" t="s">
        <v>13</v>
      </c>
      <c r="F151" s="33" t="s">
        <v>97</v>
      </c>
      <c r="G151" s="31">
        <v>150</v>
      </c>
      <c r="H151" s="31">
        <v>15</v>
      </c>
      <c r="I151" s="28"/>
      <c r="J151" s="28"/>
      <c r="K151" s="28"/>
      <c r="L151" s="28"/>
      <c r="M151" s="28"/>
      <c r="N151" s="28"/>
      <c r="O151" s="28"/>
      <c r="P151" s="28"/>
      <c r="Q151" s="28"/>
      <c r="R151" s="28"/>
      <c r="S151" s="28"/>
      <c r="T151" s="28"/>
      <c r="U151" s="28"/>
      <c r="V151" s="28"/>
      <c r="W151" s="28"/>
      <c r="X151" s="28"/>
      <c r="Y151" s="28"/>
      <c r="Z151" s="28"/>
    </row>
    <row r="152" spans="1:26" ht="15.75" thickBot="1">
      <c r="A152" s="29">
        <v>151</v>
      </c>
      <c r="B152" s="29">
        <v>16</v>
      </c>
      <c r="C152" s="28" t="s">
        <v>608</v>
      </c>
      <c r="D152" s="28" t="s">
        <v>27</v>
      </c>
      <c r="E152" s="28" t="s">
        <v>23</v>
      </c>
      <c r="F152" s="28" t="s">
        <v>97</v>
      </c>
      <c r="G152" s="29">
        <v>151</v>
      </c>
      <c r="H152" s="29">
        <v>16</v>
      </c>
      <c r="I152" s="28"/>
      <c r="J152" s="28"/>
      <c r="K152" s="28"/>
      <c r="L152" s="28"/>
      <c r="M152" s="28"/>
      <c r="N152" s="28"/>
      <c r="O152" s="28"/>
      <c r="P152" s="28"/>
      <c r="Q152" s="28"/>
      <c r="R152" s="28"/>
      <c r="S152" s="28"/>
      <c r="T152" s="28"/>
      <c r="U152" s="28"/>
      <c r="V152" s="28"/>
      <c r="W152" s="28"/>
      <c r="X152" s="28"/>
      <c r="Y152" s="28"/>
      <c r="Z152" s="28"/>
    </row>
    <row r="153" spans="1:26" ht="15.75" thickBot="1">
      <c r="A153" s="29">
        <v>152</v>
      </c>
      <c r="B153" s="29">
        <v>16</v>
      </c>
      <c r="C153" s="28" t="s">
        <v>609</v>
      </c>
      <c r="D153" s="28" t="s">
        <v>36</v>
      </c>
      <c r="E153" s="28" t="s">
        <v>56</v>
      </c>
      <c r="F153" s="28" t="s">
        <v>58</v>
      </c>
      <c r="G153" s="29">
        <v>152</v>
      </c>
      <c r="H153" s="29">
        <v>16</v>
      </c>
      <c r="I153" s="28"/>
      <c r="J153" s="28"/>
      <c r="K153" s="28"/>
      <c r="L153" s="28"/>
      <c r="M153" s="28"/>
      <c r="N153" s="28"/>
      <c r="O153" s="28"/>
      <c r="P153" s="28"/>
      <c r="Q153" s="28"/>
      <c r="R153" s="28"/>
      <c r="S153" s="28"/>
      <c r="T153" s="28"/>
      <c r="U153" s="28"/>
      <c r="V153" s="28"/>
      <c r="W153" s="28"/>
      <c r="X153" s="28"/>
      <c r="Y153" s="28"/>
      <c r="Z153" s="28"/>
    </row>
    <row r="154" spans="1:26" ht="15.75" thickBot="1">
      <c r="A154" s="29">
        <v>153</v>
      </c>
      <c r="B154" s="29">
        <v>16</v>
      </c>
      <c r="C154" s="28" t="s">
        <v>450</v>
      </c>
      <c r="D154" s="28" t="s">
        <v>2</v>
      </c>
      <c r="E154" s="28" t="s">
        <v>60</v>
      </c>
      <c r="F154" s="28" t="s">
        <v>470</v>
      </c>
      <c r="G154" s="29">
        <v>153</v>
      </c>
      <c r="H154" s="29">
        <v>16</v>
      </c>
      <c r="I154" s="28"/>
      <c r="J154" s="28"/>
      <c r="K154" s="28"/>
      <c r="L154" s="28"/>
      <c r="M154" s="28"/>
      <c r="N154" s="28"/>
      <c r="O154" s="28"/>
      <c r="P154" s="28"/>
      <c r="Q154" s="28"/>
      <c r="R154" s="28"/>
      <c r="S154" s="28"/>
      <c r="T154" s="28"/>
      <c r="U154" s="28"/>
      <c r="V154" s="28"/>
      <c r="W154" s="28"/>
      <c r="X154" s="28"/>
      <c r="Y154" s="28"/>
      <c r="Z154" s="28"/>
    </row>
    <row r="155" spans="1:26" ht="15.75" thickBot="1">
      <c r="A155" s="29">
        <v>154</v>
      </c>
      <c r="B155" s="29">
        <v>16</v>
      </c>
      <c r="C155" s="28" t="s">
        <v>610</v>
      </c>
      <c r="D155" s="28" t="s">
        <v>36</v>
      </c>
      <c r="E155" s="28" t="s">
        <v>15</v>
      </c>
      <c r="F155" s="28" t="s">
        <v>114</v>
      </c>
      <c r="G155" s="29">
        <v>154</v>
      </c>
      <c r="H155" s="29">
        <v>16</v>
      </c>
      <c r="I155" s="28"/>
      <c r="J155" s="28"/>
      <c r="K155" s="28"/>
      <c r="L155" s="28"/>
      <c r="M155" s="28"/>
      <c r="N155" s="28"/>
      <c r="O155" s="28"/>
      <c r="P155" s="28"/>
      <c r="Q155" s="28"/>
      <c r="R155" s="28"/>
      <c r="S155" s="28"/>
      <c r="T155" s="28"/>
      <c r="U155" s="28"/>
      <c r="V155" s="28"/>
      <c r="W155" s="28"/>
      <c r="X155" s="28"/>
      <c r="Y155" s="28"/>
      <c r="Z155" s="28"/>
    </row>
    <row r="156" spans="1:26" ht="15.75" thickBot="1">
      <c r="A156" s="29">
        <v>155</v>
      </c>
      <c r="B156" s="29">
        <v>16</v>
      </c>
      <c r="C156" s="28" t="s">
        <v>68</v>
      </c>
      <c r="D156" s="28" t="s">
        <v>5</v>
      </c>
      <c r="E156" s="28" t="s">
        <v>43</v>
      </c>
      <c r="F156" s="28" t="s">
        <v>37</v>
      </c>
      <c r="G156" s="29">
        <v>155</v>
      </c>
      <c r="H156" s="29">
        <v>16</v>
      </c>
      <c r="I156" s="28"/>
      <c r="J156" s="28"/>
      <c r="K156" s="28"/>
      <c r="L156" s="28"/>
      <c r="M156" s="28"/>
      <c r="N156" s="28"/>
      <c r="O156" s="28"/>
      <c r="P156" s="28"/>
      <c r="Q156" s="28"/>
      <c r="R156" s="28"/>
      <c r="S156" s="28"/>
      <c r="T156" s="28"/>
      <c r="U156" s="28"/>
      <c r="V156" s="28"/>
      <c r="W156" s="28"/>
      <c r="X156" s="28"/>
      <c r="Y156" s="28"/>
      <c r="Z156" s="28"/>
    </row>
    <row r="157" spans="1:26" ht="15.75" thickBot="1">
      <c r="A157" s="29">
        <v>156</v>
      </c>
      <c r="B157" s="29">
        <v>16</v>
      </c>
      <c r="C157" s="28" t="s">
        <v>611</v>
      </c>
      <c r="D157" s="28" t="s">
        <v>2</v>
      </c>
      <c r="E157" s="28" t="s">
        <v>49</v>
      </c>
      <c r="F157" s="28" t="s">
        <v>469</v>
      </c>
      <c r="G157" s="29">
        <v>156</v>
      </c>
      <c r="H157" s="29">
        <v>16</v>
      </c>
      <c r="I157" s="28"/>
      <c r="J157" s="28"/>
      <c r="K157" s="28"/>
      <c r="L157" s="28"/>
      <c r="M157" s="28"/>
      <c r="N157" s="28"/>
      <c r="O157" s="28"/>
      <c r="P157" s="28"/>
      <c r="Q157" s="28"/>
      <c r="R157" s="28"/>
      <c r="S157" s="28"/>
      <c r="T157" s="28"/>
      <c r="U157" s="28"/>
      <c r="V157" s="28"/>
      <c r="W157" s="28"/>
      <c r="X157" s="28"/>
      <c r="Y157" s="28"/>
      <c r="Z157" s="28"/>
    </row>
    <row r="158" spans="1:26" ht="15.75" thickBot="1">
      <c r="A158" s="29">
        <v>157</v>
      </c>
      <c r="B158" s="29">
        <v>16</v>
      </c>
      <c r="C158" s="28" t="s">
        <v>612</v>
      </c>
      <c r="D158" s="28" t="s">
        <v>10</v>
      </c>
      <c r="E158" s="28" t="s">
        <v>41</v>
      </c>
      <c r="F158" s="28" t="s">
        <v>471</v>
      </c>
      <c r="G158" s="29">
        <v>157</v>
      </c>
      <c r="H158" s="29">
        <v>16</v>
      </c>
      <c r="I158" s="28"/>
      <c r="J158" s="28"/>
      <c r="K158" s="28"/>
      <c r="L158" s="28"/>
      <c r="M158" s="28"/>
      <c r="N158" s="28"/>
      <c r="O158" s="28"/>
      <c r="P158" s="28"/>
      <c r="Q158" s="28"/>
      <c r="R158" s="28"/>
      <c r="S158" s="28"/>
      <c r="T158" s="28"/>
      <c r="U158" s="28"/>
      <c r="V158" s="28"/>
      <c r="W158" s="28"/>
      <c r="X158" s="28"/>
      <c r="Y158" s="28"/>
      <c r="Z158" s="28"/>
    </row>
    <row r="159" spans="1:26" ht="15.75" thickBot="1">
      <c r="A159" s="29">
        <v>158</v>
      </c>
      <c r="B159" s="29">
        <v>16</v>
      </c>
      <c r="C159" s="28" t="s">
        <v>613</v>
      </c>
      <c r="D159" s="28" t="s">
        <v>5</v>
      </c>
      <c r="E159" s="28" t="s">
        <v>107</v>
      </c>
      <c r="F159" s="28" t="s">
        <v>385</v>
      </c>
      <c r="G159" s="29">
        <v>158</v>
      </c>
      <c r="H159" s="29">
        <v>16</v>
      </c>
      <c r="I159" s="28"/>
      <c r="J159" s="28"/>
      <c r="K159" s="28"/>
      <c r="L159" s="28"/>
      <c r="M159" s="28"/>
      <c r="N159" s="28"/>
      <c r="O159" s="28"/>
      <c r="P159" s="28"/>
      <c r="Q159" s="28"/>
      <c r="R159" s="28"/>
      <c r="S159" s="28"/>
      <c r="T159" s="28"/>
      <c r="U159" s="28"/>
      <c r="V159" s="28"/>
      <c r="W159" s="28"/>
      <c r="X159" s="28"/>
      <c r="Y159" s="28"/>
      <c r="Z159" s="28"/>
    </row>
    <row r="160" spans="1:26" ht="15.75" thickBot="1">
      <c r="A160" s="29">
        <v>159</v>
      </c>
      <c r="B160" s="29">
        <v>16</v>
      </c>
      <c r="C160" s="28" t="s">
        <v>614</v>
      </c>
      <c r="D160" s="28" t="s">
        <v>2</v>
      </c>
      <c r="E160" s="28" t="s">
        <v>34</v>
      </c>
      <c r="F160" s="28" t="s">
        <v>181</v>
      </c>
      <c r="G160" s="29">
        <v>159</v>
      </c>
      <c r="H160" s="29">
        <v>16</v>
      </c>
      <c r="I160" s="28"/>
      <c r="J160" s="28"/>
      <c r="K160" s="28"/>
      <c r="L160" s="28"/>
      <c r="M160" s="28"/>
      <c r="N160" s="28"/>
      <c r="O160" s="28"/>
      <c r="P160" s="28"/>
      <c r="Q160" s="28"/>
      <c r="R160" s="28"/>
      <c r="S160" s="28"/>
      <c r="T160" s="28"/>
      <c r="U160" s="28"/>
      <c r="V160" s="28"/>
      <c r="W160" s="28"/>
      <c r="X160" s="28"/>
      <c r="Y160" s="28"/>
      <c r="Z160" s="28"/>
    </row>
    <row r="161" spans="1:26" ht="15.75" thickBot="1">
      <c r="A161" s="29">
        <v>160</v>
      </c>
      <c r="B161" s="29">
        <v>16</v>
      </c>
      <c r="C161" s="28" t="s">
        <v>487</v>
      </c>
      <c r="D161" s="28" t="s">
        <v>2</v>
      </c>
      <c r="E161" s="28" t="s">
        <v>46</v>
      </c>
      <c r="F161" s="28" t="s">
        <v>0</v>
      </c>
      <c r="G161" s="29">
        <v>160</v>
      </c>
      <c r="H161" s="29">
        <v>16</v>
      </c>
      <c r="I161" s="28"/>
      <c r="J161" s="28"/>
      <c r="K161" s="28"/>
      <c r="L161" s="28"/>
      <c r="M161" s="28"/>
      <c r="N161" s="28"/>
      <c r="O161" s="28"/>
      <c r="P161" s="28"/>
      <c r="Q161" s="28"/>
      <c r="R161" s="28"/>
      <c r="S161" s="28"/>
      <c r="T161" s="28"/>
      <c r="U161" s="28"/>
      <c r="V161" s="28"/>
      <c r="W161" s="28"/>
      <c r="X161" s="28"/>
      <c r="Y161" s="28"/>
      <c r="Z161" s="28"/>
    </row>
    <row r="162" spans="1:26" ht="15.75" thickBo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75" thickBo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75" thickBo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75" thickBo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75" thickBo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thickBo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thickBo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thickBo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thickBo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thickBo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thickBo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thickBo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75" thickBo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thickBo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75" thickBo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75" thickBo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thickBo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thickBo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75" thickBo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75" thickBo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thickBo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thickBo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thickBo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thickBo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thickBo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thickBo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thickBo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75" thickBo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75" thickBo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75" thickBo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75" thickBo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75" thickBo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75" thickBo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75" thickBo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75" thickBo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75" thickBo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75" thickBo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75" thickBo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thickBo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75" thickBo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thickBo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75" thickBo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75" thickBo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75" thickBo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75" thickBo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75" thickBo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75" thickBo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75" thickBo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75" thickBo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75" thickBo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75" thickBo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thickBo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75" thickBo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75" thickBo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thickBo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75" thickBo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75" thickBo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75" thickBo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75" thickBo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thickBo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75" thickBo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75" thickBo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75" thickBo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thickBo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75" thickBo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75" thickBo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75" thickBo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75" thickBo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75" thickBo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thickBo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75" thickBo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75" thickBo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75" thickBo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75" thickBo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75" thickBo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75" thickBo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75" thickBo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75" thickBo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75" thickBo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75" thickBo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75" thickBo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thickBo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75" thickBo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75" thickBo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75" thickBo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75" thickBo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75" thickBo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75" thickBo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75" thickBo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75" thickBo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75" thickBo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75" thickBo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75" thickBo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75" thickBo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75" thickBo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75" thickBo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75" thickBo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75" thickBo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75" thickBo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75" thickBo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75" thickBo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75" thickBo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75" thickBo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75" thickBo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75" thickBo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75" thickBo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75" thickBo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75" thickBo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75" thickBo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75" thickBo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75" thickBo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75" thickBo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75" thickBo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75" thickBo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75" thickBo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75" thickBo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75" thickBo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75" thickBo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75" thickBo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75" thickBo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75" thickBo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75" thickBo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75" thickBo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75" thickBo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75" thickBo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75" thickBo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75" thickBo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75" thickBo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75" thickBo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75" thickBo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75" thickBo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75" thickBo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75" thickBo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75" thickBo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75" thickBo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75" thickBo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75" thickBo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75" thickBo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75" thickBo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75" thickBo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75" thickBo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75" thickBo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75" thickBo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75" thickBo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75" thickBo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75" thickBo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75" thickBo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75" thickBo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75" thickBo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75" thickBo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75" thickBo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75" thickBo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75" thickBo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75" thickBo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75" thickBo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75" thickBo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75" thickBo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75" thickBo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75" thickBo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75" thickBo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75" thickBo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75" thickBo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75" thickBo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75" thickBo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75" thickBo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75" thickBo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75" thickBo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75" thickBo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75" thickBo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75" thickBo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75" thickBo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75" thickBo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75" thickBo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75" thickBo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75" thickBo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75" thickBo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75" thickBo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75" thickBo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75" thickBo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75" thickBo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75" thickBo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75" thickBo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75" thickBo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75" thickBo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75" thickBo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75" thickBo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75" thickBo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75" thickBo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75" thickBo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75" thickBo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75" thickBo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75" thickBo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75" thickBo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75" thickBo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75" thickBo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75" thickBo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75" thickBo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75" thickBo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75" thickBo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75" thickBo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75" thickBo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75" thickBo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75" thickBo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75" thickBo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75" thickBo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75" thickBo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75" thickBo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75" thickBo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75" thickBo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75" thickBo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75" thickBo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75" thickBo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75" thickBo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75" thickBo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75" thickBo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75" thickBo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75" thickBo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75" thickBo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75" thickBo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75" thickBo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75" thickBo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75" thickBo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75" thickBo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75" thickBo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75" thickBo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75" thickBo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75" thickBo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75" thickBo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75" thickBo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75" thickBo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75" thickBo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75" thickBo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75" thickBo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75" thickBo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75" thickBo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75" thickBo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75" thickBo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75" thickBo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75" thickBo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75" thickBo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75" thickBo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75" thickBo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75" thickBo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75" thickBo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75" thickBo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75" thickBo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75" thickBo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75" thickBo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75" thickBo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75" thickBo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75" thickBo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75" thickBo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75" thickBo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75" thickBo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75" thickBo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75" thickBo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75" thickBo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75" thickBo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75" thickBo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75" thickBo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75" thickBo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75" thickBo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75" thickBo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75" thickBo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75" thickBo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75" thickBo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75" thickBo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75" thickBo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75" thickBo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75" thickBo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75" thickBo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75" thickBo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75" thickBo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75" thickBo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75" thickBo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75" thickBo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75" thickBo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75" thickBo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75" thickBo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75" thickBo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75" thickBo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75" thickBo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75" thickBo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75" thickBo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75" thickBo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75" thickBo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75" thickBo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75" thickBo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75" thickBo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75" thickBo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75" thickBo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75" thickBo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75" thickBo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75" thickBo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75" thickBo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75" thickBo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75" thickBo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75" thickBo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75" thickBo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75" thickBo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75" thickBo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75" thickBo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75" thickBo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75" thickBo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75" thickBo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75" thickBo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75" thickBo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75" thickBo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75" thickBo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75" thickBo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75" thickBo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75" thickBo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75" thickBo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75" thickBo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75" thickBo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75" thickBo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75" thickBo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75" thickBo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75" thickBo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75" thickBo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75" thickBo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75" thickBo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75" thickBo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75" thickBo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75" thickBo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75" thickBo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75" thickBo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75" thickBo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75" thickBo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75" thickBo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75" thickBo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75" thickBo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75" thickBo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75" thickBo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75" thickBo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75" thickBo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75" thickBo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75" thickBo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75" thickBo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75" thickBo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75" thickBo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75" thickBo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75" thickBo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75" thickBo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75" thickBo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75" thickBo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75" thickBo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75" thickBo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75" thickBo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75" thickBo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75" thickBo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75" thickBo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75" thickBo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75" thickBo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75" thickBo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75" thickBo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75" thickBo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75" thickBo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75" thickBo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75" thickBo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75" thickBo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75" thickBo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75" thickBo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75" thickBo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75" thickBo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75" thickBo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75" thickBo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75" thickBo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75" thickBo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75" thickBo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75" thickBo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75" thickBo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75" thickBo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75" thickBo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75" thickBo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75" thickBo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75" thickBo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75" thickBo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75" thickBo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75" thickBo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75" thickBo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75" thickBo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75" thickBo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75" thickBo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75" thickBo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75" thickBo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75" thickBo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75" thickBo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75" thickBo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75" thickBo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75" thickBo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75" thickBo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75" thickBo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75" thickBo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75" thickBo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75" thickBo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75" thickBo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75" thickBo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75" thickBo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75" thickBo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75" thickBo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75" thickBo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75" thickBo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75" thickBo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75" thickBo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75" thickBo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75" thickBo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75" thickBo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75" thickBo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75" thickBo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75" thickBo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75" thickBo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75" thickBo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75" thickBo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75" thickBo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75" thickBo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75" thickBo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75" thickBo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75" thickBo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75" thickBo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75" thickBo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75" thickBo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75" thickBo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75" thickBo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75" thickBo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75" thickBo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75" thickBo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75" thickBo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75" thickBo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75" thickBo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75" thickBo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75" thickBo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75" thickBo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75" thickBo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75" thickBo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75" thickBo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75" thickBo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75" thickBo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75" thickBo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75" thickBo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75" thickBo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75" thickBo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75" thickBo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75" thickBo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75" thickBo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75" thickBo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75" thickBo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75" thickBo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75" thickBo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75" thickBo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75" thickBo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75" thickBo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75" thickBo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75" thickBo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75" thickBo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75" thickBo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75" thickBo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75" thickBo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75" thickBo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75" thickBo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75" thickBo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75" thickBo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75" thickBo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75" thickBo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75" thickBo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75" thickBo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75" thickBo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75" thickBo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75" thickBo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75" thickBo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75" thickBo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75" thickBo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75" thickBo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75" thickBo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75" thickBo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75" thickBo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75" thickBo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75" thickBo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75" thickBo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75" thickBo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75" thickBo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75" thickBo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75" thickBo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75" thickBo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75" thickBo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75" thickBo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75" thickBo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75" thickBo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75" thickBo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75" thickBo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75" thickBo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75" thickBo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75" thickBo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75" thickBo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75" thickBo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75" thickBo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75" thickBo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75" thickBo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75" thickBo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75" thickBo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75" thickBo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75" thickBo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75" thickBo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75" thickBo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75" thickBo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75" thickBo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75" thickBo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75" thickBo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75" thickBo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75" thickBo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75" thickBo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75" thickBo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75" thickBo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75" thickBo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75" thickBo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75" thickBo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75" thickBo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75" thickBo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75" thickBo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75" thickBo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75" thickBo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75" thickBo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75" thickBo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75" thickBo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75" thickBo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75" thickBo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75" thickBo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75" thickBo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75" thickBo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75" thickBo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75" thickBo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75" thickBo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75" thickBo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75" thickBo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75" thickBo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75" thickBo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75" thickBo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75" thickBo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75" thickBo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75" thickBo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75" thickBo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75" thickBo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75" thickBo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75" thickBo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75" thickBo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75" thickBo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75" thickBo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75" thickBo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75" thickBo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75" thickBo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75" thickBo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75" thickBo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75" thickBo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75" thickBo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75" thickBo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75" thickBo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75" thickBo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75" thickBo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75" thickBo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75" thickBo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75" thickBo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75" thickBo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75" thickBo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75" thickBo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75" thickBo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75" thickBo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75" thickBo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75" thickBo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75" thickBo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75" thickBo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75" thickBo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75" thickBo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75" thickBo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75" thickBo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75" thickBo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75" thickBo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75" thickBo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75" thickBo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75" thickBo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75" thickBo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75" thickBo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75" thickBo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75" thickBo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75" thickBo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75" thickBo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75" thickBo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75" thickBo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75" thickBo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75" thickBo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75" thickBo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75" thickBo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75" thickBo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75" thickBo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75" thickBo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75" thickBo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75" thickBo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75" thickBo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75" thickBo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75" thickBo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75" thickBo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75" thickBo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75" thickBo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75" thickBo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75" thickBo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75" thickBo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75" thickBo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75" thickBo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75" thickBo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75" thickBo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75" thickBo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75" thickBo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75" thickBo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75" thickBo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75" thickBo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75" thickBo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75" thickBo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75" thickBo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75" thickBo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75" thickBo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75" thickBo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75" thickBo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75" thickBo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75" thickBo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75" thickBo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75" thickBo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75" thickBo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75" thickBo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75" thickBo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75" thickBo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75" thickBo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75" thickBo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75" thickBo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75" thickBo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75" thickBo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75" thickBo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75" thickBo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75" thickBo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75" thickBo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75" thickBo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75" thickBo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75" thickBo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75" thickBo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75" thickBo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75" thickBo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75" thickBo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75" thickBo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75" thickBo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75" thickBo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75" thickBo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75" thickBo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75" thickBo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75" thickBo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75" thickBo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75" thickBo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75" thickBo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75" thickBo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75" thickBo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75" thickBo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75" thickBo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75" thickBo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75" thickBo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75" thickBo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75" thickBo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75" thickBo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75" thickBo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75" thickBo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75" thickBo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75" thickBo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75" thickBo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75" thickBo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75" thickBo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75" thickBo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75" thickBo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75" thickBo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75" thickBo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75" thickBo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75" thickBo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75" thickBo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75" thickBo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75" thickBo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75" thickBo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75" thickBo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75" thickBo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75" thickBo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75" thickBo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75" thickBo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75" thickBo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75" thickBo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75" thickBo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75" thickBo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75" thickBo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75" thickBo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75" thickBo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75" thickBo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75" thickBo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75" thickBo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75" thickBo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75" thickBo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75" thickBo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75" thickBo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75" thickBo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75" thickBo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75" thickBo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75" thickBo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75" thickBo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75" thickBo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75" thickBo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75" thickBo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75" thickBo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75" thickBo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75" thickBo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75" thickBo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75" thickBo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75" thickBo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75" thickBo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75" thickBo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75" thickBo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75" thickBo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75" thickBo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75" thickBo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75" thickBo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75" thickBo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75" thickBo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75" thickBo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75" thickBo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75" thickBo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75" thickBo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75" thickBo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75" thickBo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75" thickBo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75" thickBo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75" thickBo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75" thickBo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75" thickBo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75" thickBo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75" thickBo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75" thickBo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75" thickBo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75" thickBo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75" thickBo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75" thickBo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75" thickBo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75" thickBo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75" thickBo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75" thickBo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75" thickBo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75" thickBo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75" thickBo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75" thickBo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75" thickBo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75" thickBo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75" thickBo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75" thickBo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75" thickBo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75" thickBo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75" thickBo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75" thickBo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75" thickBo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75" thickBo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75" thickBo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75" thickBo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75" thickBo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75" thickBo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75" thickBo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75" thickBo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75" thickBo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75" thickBo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75" thickBo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75" thickBo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75" thickBo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75" thickBo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75" thickBo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75" thickBo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75" thickBo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75" thickBo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75" thickBo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75" thickBo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75" thickBo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75" thickBo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75" thickBo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75" thickBo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75" thickBo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75" thickBo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75" thickBo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75" thickBo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75" thickBo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75" thickBo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75" thickBo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75" thickBo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75" thickBo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75" thickBo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75" thickBo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75" thickBo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75" thickBo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75" thickBo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75" thickBo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75" thickBo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75" thickBo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75" thickBo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75" thickBo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75" thickBo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75" thickBo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75" thickBo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75" thickBo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75" thickBo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75" thickBo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75" thickBo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75" thickBo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75" thickBo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75" thickBo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75" thickBo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75" thickBo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75" thickBo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75" thickBo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75" thickBo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75" thickBo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75" thickBo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75" thickBo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75" thickBo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sheetData>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80"/>
  <sheetViews>
    <sheetView topLeftCell="A66" workbookViewId="0">
      <selection activeCell="G6" sqref="G6"/>
    </sheetView>
  </sheetViews>
  <sheetFormatPr defaultColWidth="34.28515625" defaultRowHeight="15"/>
  <cols>
    <col min="1" max="1" width="4.7109375" bestFit="1" customWidth="1"/>
    <col min="2" max="2" width="6.7109375" bestFit="1" customWidth="1"/>
    <col min="3" max="3" width="23.5703125" bestFit="1" customWidth="1"/>
    <col min="4" max="4" width="8.140625" bestFit="1" customWidth="1"/>
    <col min="5" max="5" width="8.5703125" bestFit="1" customWidth="1"/>
    <col min="6" max="6" width="15.5703125" bestFit="1" customWidth="1"/>
    <col min="7" max="7" width="4.7109375" bestFit="1" customWidth="1"/>
    <col min="8" max="8" width="6.7109375" bestFit="1" customWidth="1"/>
    <col min="9" max="9" width="17.42578125" bestFit="1" customWidth="1"/>
  </cols>
  <sheetData>
    <row r="1" spans="1:26" ht="27" thickBot="1">
      <c r="A1" s="26" t="s">
        <v>374</v>
      </c>
      <c r="B1" s="27" t="s">
        <v>465</v>
      </c>
      <c r="C1" s="27" t="s">
        <v>375</v>
      </c>
      <c r="D1" s="27" t="s">
        <v>376</v>
      </c>
      <c r="E1" s="27" t="s">
        <v>377</v>
      </c>
      <c r="F1" s="27" t="s">
        <v>378</v>
      </c>
      <c r="G1" s="26" t="s">
        <v>374</v>
      </c>
      <c r="H1" s="27" t="s">
        <v>465</v>
      </c>
      <c r="I1" s="28"/>
      <c r="J1" s="28"/>
      <c r="K1" s="28"/>
      <c r="L1" s="28"/>
      <c r="M1" s="28"/>
      <c r="N1" s="28"/>
      <c r="O1" s="28"/>
      <c r="P1" s="28"/>
      <c r="Q1" s="28"/>
      <c r="R1" s="28"/>
      <c r="S1" s="28"/>
      <c r="T1" s="28"/>
      <c r="U1" s="28"/>
      <c r="V1" s="28"/>
      <c r="W1" s="28"/>
      <c r="X1" s="28"/>
      <c r="Y1" s="28"/>
      <c r="Z1" s="28"/>
    </row>
    <row r="2" spans="1:26" ht="27" thickBot="1">
      <c r="A2" s="29">
        <v>1</v>
      </c>
      <c r="B2" s="29">
        <v>1</v>
      </c>
      <c r="C2" s="28" t="s">
        <v>466</v>
      </c>
      <c r="D2" s="28" t="s">
        <v>10</v>
      </c>
      <c r="E2" s="28" t="s">
        <v>379</v>
      </c>
      <c r="F2" s="28" t="s">
        <v>97</v>
      </c>
      <c r="G2" s="29">
        <v>1</v>
      </c>
      <c r="H2" s="29">
        <v>1</v>
      </c>
      <c r="I2" s="30" t="s">
        <v>467</v>
      </c>
      <c r="J2" s="28"/>
      <c r="K2" s="28"/>
      <c r="L2" s="28"/>
      <c r="M2" s="28"/>
      <c r="N2" s="28"/>
      <c r="O2" s="28"/>
      <c r="P2" s="28"/>
      <c r="Q2" s="28"/>
      <c r="R2" s="28"/>
      <c r="S2" s="28"/>
      <c r="T2" s="28"/>
      <c r="U2" s="28"/>
      <c r="V2" s="28"/>
      <c r="W2" s="28"/>
      <c r="X2" s="28"/>
      <c r="Y2" s="28"/>
      <c r="Z2" s="28"/>
    </row>
    <row r="3" spans="1:26" ht="15.75" thickBot="1">
      <c r="A3" s="29">
        <v>2</v>
      </c>
      <c r="B3" s="29">
        <v>1</v>
      </c>
      <c r="C3" s="28" t="s">
        <v>1</v>
      </c>
      <c r="D3" s="28" t="s">
        <v>2</v>
      </c>
      <c r="E3" s="28" t="s">
        <v>379</v>
      </c>
      <c r="F3" s="28" t="s">
        <v>114</v>
      </c>
      <c r="G3" s="29">
        <v>2</v>
      </c>
      <c r="H3" s="29">
        <v>1</v>
      </c>
      <c r="I3" s="28"/>
      <c r="J3" s="28"/>
      <c r="K3" s="28"/>
      <c r="L3" s="28"/>
      <c r="M3" s="28"/>
      <c r="N3" s="28"/>
      <c r="O3" s="28"/>
      <c r="P3" s="28"/>
      <c r="Q3" s="28"/>
      <c r="R3" s="28"/>
      <c r="S3" s="28"/>
      <c r="T3" s="28"/>
      <c r="U3" s="28"/>
      <c r="V3" s="28"/>
      <c r="W3" s="28"/>
      <c r="X3" s="28"/>
      <c r="Y3" s="28"/>
      <c r="Z3" s="28"/>
    </row>
    <row r="4" spans="1:26" ht="15.75" thickBot="1">
      <c r="A4" s="29">
        <v>3</v>
      </c>
      <c r="B4" s="29">
        <v>1</v>
      </c>
      <c r="C4" s="28" t="s">
        <v>468</v>
      </c>
      <c r="D4" s="28" t="s">
        <v>10</v>
      </c>
      <c r="E4" s="28" t="s">
        <v>35</v>
      </c>
      <c r="F4" s="28" t="s">
        <v>181</v>
      </c>
      <c r="G4" s="29">
        <v>3</v>
      </c>
      <c r="H4" s="29">
        <v>1</v>
      </c>
      <c r="I4" s="28"/>
      <c r="J4" s="28"/>
      <c r="K4" s="28"/>
      <c r="L4" s="28"/>
      <c r="M4" s="28"/>
      <c r="N4" s="28"/>
      <c r="O4" s="28"/>
      <c r="P4" s="28"/>
      <c r="Q4" s="28"/>
      <c r="R4" s="28"/>
      <c r="S4" s="28"/>
      <c r="T4" s="28"/>
      <c r="U4" s="28"/>
      <c r="V4" s="28"/>
      <c r="W4" s="28"/>
      <c r="X4" s="28"/>
      <c r="Y4" s="28"/>
      <c r="Z4" s="28"/>
    </row>
    <row r="5" spans="1:26" ht="15.75" thickBot="1">
      <c r="A5" s="29">
        <v>4</v>
      </c>
      <c r="B5" s="29">
        <v>1</v>
      </c>
      <c r="C5" s="28" t="s">
        <v>528</v>
      </c>
      <c r="D5" s="28" t="s">
        <v>2</v>
      </c>
      <c r="E5" s="28" t="s">
        <v>35</v>
      </c>
      <c r="F5" s="28" t="s">
        <v>469</v>
      </c>
      <c r="G5" s="29">
        <v>4</v>
      </c>
      <c r="H5" s="29">
        <v>1</v>
      </c>
      <c r="I5" s="28"/>
      <c r="J5" s="28"/>
      <c r="K5" s="28"/>
      <c r="L5" s="28"/>
      <c r="M5" s="28"/>
      <c r="N5" s="28"/>
      <c r="O5" s="28"/>
      <c r="P5" s="28"/>
      <c r="Q5" s="28"/>
      <c r="R5" s="28"/>
      <c r="S5" s="28"/>
      <c r="T5" s="28"/>
      <c r="U5" s="28"/>
      <c r="V5" s="28"/>
      <c r="W5" s="28"/>
      <c r="X5" s="28"/>
      <c r="Y5" s="28"/>
      <c r="Z5" s="28"/>
    </row>
    <row r="6" spans="1:26" ht="15.75" thickBot="1">
      <c r="A6" s="29">
        <v>5</v>
      </c>
      <c r="B6" s="29">
        <v>1</v>
      </c>
      <c r="C6" s="28" t="s">
        <v>169</v>
      </c>
      <c r="D6" s="28" t="s">
        <v>10</v>
      </c>
      <c r="E6" s="28" t="s">
        <v>432</v>
      </c>
      <c r="F6" s="28" t="s">
        <v>0</v>
      </c>
      <c r="G6" s="29">
        <v>5</v>
      </c>
      <c r="H6" s="29">
        <v>1</v>
      </c>
      <c r="I6" s="28"/>
      <c r="J6" s="28"/>
      <c r="K6" s="28"/>
      <c r="L6" s="28"/>
      <c r="M6" s="28"/>
      <c r="N6" s="28"/>
      <c r="O6" s="28"/>
      <c r="P6" s="28"/>
      <c r="Q6" s="28"/>
      <c r="R6" s="28"/>
      <c r="S6" s="28"/>
      <c r="T6" s="28"/>
      <c r="U6" s="28"/>
      <c r="V6" s="28"/>
      <c r="W6" s="28"/>
      <c r="X6" s="28"/>
      <c r="Y6" s="28"/>
      <c r="Z6" s="28"/>
    </row>
    <row r="7" spans="1:26" ht="15.75" thickBot="1">
      <c r="A7" s="29">
        <v>6</v>
      </c>
      <c r="B7" s="29">
        <v>1</v>
      </c>
      <c r="C7" s="28" t="s">
        <v>59</v>
      </c>
      <c r="D7" s="28" t="s">
        <v>2</v>
      </c>
      <c r="E7" s="28" t="s">
        <v>60</v>
      </c>
      <c r="F7" s="28" t="s">
        <v>58</v>
      </c>
      <c r="G7" s="29">
        <v>6</v>
      </c>
      <c r="H7" s="29">
        <v>1</v>
      </c>
      <c r="I7" s="28"/>
      <c r="J7" s="28"/>
      <c r="K7" s="28"/>
      <c r="L7" s="28"/>
      <c r="M7" s="28"/>
      <c r="N7" s="28"/>
      <c r="O7" s="28"/>
      <c r="P7" s="28"/>
      <c r="Q7" s="28"/>
      <c r="R7" s="28"/>
      <c r="S7" s="28"/>
      <c r="T7" s="28"/>
      <c r="U7" s="28"/>
      <c r="V7" s="28"/>
      <c r="W7" s="28"/>
      <c r="X7" s="28"/>
      <c r="Y7" s="28"/>
      <c r="Z7" s="28"/>
    </row>
    <row r="8" spans="1:26" ht="15.75" thickBot="1">
      <c r="A8" s="29">
        <v>7</v>
      </c>
      <c r="B8" s="29">
        <v>1</v>
      </c>
      <c r="C8" s="28" t="s">
        <v>61</v>
      </c>
      <c r="D8" s="28" t="s">
        <v>10</v>
      </c>
      <c r="E8" s="28" t="s">
        <v>32</v>
      </c>
      <c r="F8" s="28" t="s">
        <v>37</v>
      </c>
      <c r="G8" s="29">
        <v>7</v>
      </c>
      <c r="H8" s="29">
        <v>1</v>
      </c>
      <c r="I8" s="28"/>
      <c r="J8" s="28"/>
      <c r="K8" s="28"/>
      <c r="L8" s="28"/>
      <c r="M8" s="28"/>
      <c r="N8" s="28"/>
      <c r="O8" s="28"/>
      <c r="P8" s="28"/>
      <c r="Q8" s="28"/>
      <c r="R8" s="28"/>
      <c r="S8" s="28"/>
      <c r="T8" s="28"/>
      <c r="U8" s="28"/>
      <c r="V8" s="28"/>
      <c r="W8" s="28"/>
      <c r="X8" s="28"/>
      <c r="Y8" s="28"/>
      <c r="Z8" s="28"/>
    </row>
    <row r="9" spans="1:26" ht="15.75" thickBot="1">
      <c r="A9" s="29">
        <v>8</v>
      </c>
      <c r="B9" s="29">
        <v>1</v>
      </c>
      <c r="C9" s="30" t="s">
        <v>167</v>
      </c>
      <c r="D9" s="28" t="s">
        <v>10</v>
      </c>
      <c r="E9" s="28" t="s">
        <v>15</v>
      </c>
      <c r="F9" s="28" t="s">
        <v>470</v>
      </c>
      <c r="G9" s="29">
        <v>8</v>
      </c>
      <c r="H9" s="29">
        <v>1</v>
      </c>
      <c r="I9" s="28"/>
      <c r="J9" s="28"/>
      <c r="K9" s="28"/>
      <c r="L9" s="28"/>
      <c r="M9" s="28"/>
      <c r="N9" s="28"/>
      <c r="O9" s="28"/>
      <c r="P9" s="28"/>
      <c r="Q9" s="28"/>
      <c r="R9" s="28"/>
      <c r="S9" s="28"/>
      <c r="T9" s="28"/>
      <c r="U9" s="28"/>
      <c r="V9" s="28"/>
      <c r="W9" s="28"/>
      <c r="X9" s="28"/>
      <c r="Y9" s="28"/>
      <c r="Z9" s="28"/>
    </row>
    <row r="10" spans="1:26" ht="15.75" thickBot="1">
      <c r="A10" s="29">
        <v>9</v>
      </c>
      <c r="B10" s="29">
        <v>1</v>
      </c>
      <c r="C10" s="28" t="s">
        <v>62</v>
      </c>
      <c r="D10" s="28" t="s">
        <v>10</v>
      </c>
      <c r="E10" s="28" t="s">
        <v>63</v>
      </c>
      <c r="F10" s="28" t="s">
        <v>385</v>
      </c>
      <c r="G10" s="29">
        <v>9</v>
      </c>
      <c r="H10" s="29">
        <v>1</v>
      </c>
      <c r="I10" s="28"/>
      <c r="J10" s="28"/>
      <c r="K10" s="28"/>
      <c r="L10" s="28"/>
      <c r="M10" s="28"/>
      <c r="N10" s="28"/>
      <c r="O10" s="28"/>
      <c r="P10" s="28"/>
      <c r="Q10" s="28"/>
      <c r="R10" s="28"/>
      <c r="S10" s="28"/>
      <c r="T10" s="28"/>
      <c r="U10" s="28"/>
      <c r="V10" s="28"/>
      <c r="W10" s="28"/>
      <c r="X10" s="28"/>
      <c r="Y10" s="28"/>
      <c r="Z10" s="28"/>
    </row>
    <row r="11" spans="1:26" ht="15.75" thickBot="1">
      <c r="A11" s="31">
        <v>10</v>
      </c>
      <c r="B11" s="31">
        <v>1</v>
      </c>
      <c r="C11" s="32" t="s">
        <v>552</v>
      </c>
      <c r="D11" s="33" t="s">
        <v>10</v>
      </c>
      <c r="E11" s="33" t="s">
        <v>120</v>
      </c>
      <c r="F11" s="33" t="s">
        <v>471</v>
      </c>
      <c r="G11" s="31">
        <v>10</v>
      </c>
      <c r="H11" s="31">
        <v>1</v>
      </c>
      <c r="I11" s="28"/>
      <c r="J11" s="28"/>
      <c r="K11" s="28"/>
      <c r="L11" s="28"/>
      <c r="M11" s="28"/>
      <c r="N11" s="28"/>
      <c r="O11" s="28"/>
      <c r="P11" s="28"/>
      <c r="Q11" s="28"/>
      <c r="R11" s="28"/>
      <c r="S11" s="28"/>
      <c r="T11" s="28"/>
      <c r="U11" s="28"/>
      <c r="V11" s="28"/>
      <c r="W11" s="28"/>
      <c r="X11" s="28"/>
      <c r="Y11" s="28"/>
      <c r="Z11" s="28"/>
    </row>
    <row r="12" spans="1:26" ht="15.75" thickBot="1">
      <c r="A12" s="29">
        <v>11</v>
      </c>
      <c r="B12" s="29">
        <v>2</v>
      </c>
      <c r="C12" s="28" t="s">
        <v>40</v>
      </c>
      <c r="D12" s="28" t="s">
        <v>10</v>
      </c>
      <c r="E12" s="28" t="s">
        <v>41</v>
      </c>
      <c r="F12" s="28" t="s">
        <v>471</v>
      </c>
      <c r="G12" s="29">
        <v>11</v>
      </c>
      <c r="H12" s="29">
        <v>2</v>
      </c>
      <c r="I12" s="28"/>
      <c r="J12" s="28"/>
      <c r="K12" s="28"/>
      <c r="L12" s="28"/>
      <c r="M12" s="28"/>
      <c r="N12" s="28"/>
      <c r="O12" s="28"/>
      <c r="P12" s="28"/>
      <c r="Q12" s="28"/>
      <c r="R12" s="28"/>
      <c r="S12" s="28"/>
      <c r="T12" s="28"/>
      <c r="U12" s="28"/>
      <c r="V12" s="28"/>
      <c r="W12" s="28"/>
      <c r="X12" s="28"/>
      <c r="Y12" s="28"/>
      <c r="Z12" s="28"/>
    </row>
    <row r="13" spans="1:26" ht="15.75" thickBot="1">
      <c r="A13" s="29">
        <v>12</v>
      </c>
      <c r="B13" s="29">
        <v>2</v>
      </c>
      <c r="C13" s="28" t="s">
        <v>182</v>
      </c>
      <c r="D13" s="28" t="s">
        <v>27</v>
      </c>
      <c r="E13" s="28" t="s">
        <v>30</v>
      </c>
      <c r="F13" s="28" t="s">
        <v>385</v>
      </c>
      <c r="G13" s="29">
        <v>12</v>
      </c>
      <c r="H13" s="29">
        <v>2</v>
      </c>
      <c r="I13" s="28"/>
      <c r="J13" s="28"/>
      <c r="K13" s="28"/>
      <c r="L13" s="28"/>
      <c r="M13" s="28"/>
      <c r="N13" s="28"/>
      <c r="O13" s="28"/>
      <c r="P13" s="28"/>
      <c r="Q13" s="28"/>
      <c r="R13" s="28"/>
      <c r="S13" s="28"/>
      <c r="T13" s="28"/>
      <c r="U13" s="28"/>
      <c r="V13" s="28"/>
      <c r="W13" s="28"/>
      <c r="X13" s="28"/>
      <c r="Y13" s="28"/>
      <c r="Z13" s="28"/>
    </row>
    <row r="14" spans="1:26" ht="15.75" thickBot="1">
      <c r="A14" s="29">
        <v>13</v>
      </c>
      <c r="B14" s="29">
        <v>2</v>
      </c>
      <c r="C14" s="28" t="s">
        <v>115</v>
      </c>
      <c r="D14" s="28" t="s">
        <v>2</v>
      </c>
      <c r="E14" s="28" t="s">
        <v>43</v>
      </c>
      <c r="F14" s="28" t="s">
        <v>470</v>
      </c>
      <c r="G14" s="29">
        <v>13</v>
      </c>
      <c r="H14" s="29">
        <v>2</v>
      </c>
      <c r="I14" s="28"/>
      <c r="J14" s="28"/>
      <c r="K14" s="28"/>
      <c r="L14" s="28"/>
      <c r="M14" s="28"/>
      <c r="N14" s="28"/>
      <c r="O14" s="28"/>
      <c r="P14" s="28"/>
      <c r="Q14" s="28"/>
      <c r="R14" s="28"/>
      <c r="S14" s="28"/>
      <c r="T14" s="28"/>
      <c r="U14" s="28"/>
      <c r="V14" s="28"/>
      <c r="W14" s="28"/>
      <c r="X14" s="28"/>
      <c r="Y14" s="28"/>
      <c r="Z14" s="28"/>
    </row>
    <row r="15" spans="1:26" ht="15.75" thickBot="1">
      <c r="A15" s="29">
        <v>14</v>
      </c>
      <c r="B15" s="29">
        <v>2</v>
      </c>
      <c r="C15" s="28" t="s">
        <v>80</v>
      </c>
      <c r="D15" s="28" t="s">
        <v>2</v>
      </c>
      <c r="E15" s="28" t="s">
        <v>472</v>
      </c>
      <c r="F15" s="28" t="s">
        <v>37</v>
      </c>
      <c r="G15" s="29">
        <v>14</v>
      </c>
      <c r="H15" s="29">
        <v>2</v>
      </c>
      <c r="I15" s="28"/>
      <c r="J15" s="28"/>
      <c r="K15" s="28"/>
      <c r="L15" s="28"/>
      <c r="M15" s="28"/>
      <c r="N15" s="28"/>
      <c r="O15" s="28"/>
      <c r="P15" s="28"/>
      <c r="Q15" s="28"/>
      <c r="R15" s="28"/>
      <c r="S15" s="28"/>
      <c r="T15" s="28"/>
      <c r="U15" s="28"/>
      <c r="V15" s="28"/>
      <c r="W15" s="28"/>
      <c r="X15" s="28"/>
      <c r="Y15" s="28"/>
      <c r="Z15" s="28"/>
    </row>
    <row r="16" spans="1:26" ht="15.75" thickBot="1">
      <c r="A16" s="29">
        <v>15</v>
      </c>
      <c r="B16" s="29">
        <v>2</v>
      </c>
      <c r="C16" s="28" t="s">
        <v>473</v>
      </c>
      <c r="D16" s="28" t="s">
        <v>10</v>
      </c>
      <c r="E16" s="28" t="s">
        <v>84</v>
      </c>
      <c r="F16" s="28" t="s">
        <v>58</v>
      </c>
      <c r="G16" s="29">
        <v>15</v>
      </c>
      <c r="H16" s="29">
        <v>2</v>
      </c>
      <c r="I16" s="28"/>
      <c r="J16" s="28"/>
      <c r="K16" s="28"/>
      <c r="L16" s="28"/>
      <c r="M16" s="28"/>
      <c r="N16" s="28"/>
      <c r="O16" s="28"/>
      <c r="P16" s="28"/>
      <c r="Q16" s="28"/>
      <c r="R16" s="28"/>
      <c r="S16" s="28"/>
      <c r="T16" s="28"/>
      <c r="U16" s="28"/>
      <c r="V16" s="28"/>
      <c r="W16" s="28"/>
      <c r="X16" s="28"/>
      <c r="Y16" s="28"/>
      <c r="Z16" s="28"/>
    </row>
    <row r="17" spans="1:26" ht="15.75" thickBot="1">
      <c r="A17" s="29">
        <v>16</v>
      </c>
      <c r="B17" s="29">
        <v>2</v>
      </c>
      <c r="C17" s="28" t="s">
        <v>415</v>
      </c>
      <c r="D17" s="28" t="s">
        <v>2</v>
      </c>
      <c r="E17" s="28" t="s">
        <v>84</v>
      </c>
      <c r="F17" s="28" t="s">
        <v>0</v>
      </c>
      <c r="G17" s="29">
        <v>16</v>
      </c>
      <c r="H17" s="29">
        <v>2</v>
      </c>
      <c r="I17" s="28"/>
      <c r="J17" s="28"/>
      <c r="K17" s="28"/>
      <c r="L17" s="28"/>
      <c r="M17" s="28"/>
      <c r="N17" s="28"/>
      <c r="O17" s="28"/>
      <c r="P17" s="28"/>
      <c r="Q17" s="28"/>
      <c r="R17" s="28"/>
      <c r="S17" s="28"/>
      <c r="T17" s="28"/>
      <c r="U17" s="28"/>
      <c r="V17" s="28"/>
      <c r="W17" s="28"/>
      <c r="X17" s="28"/>
      <c r="Y17" s="28"/>
      <c r="Z17" s="28"/>
    </row>
    <row r="18" spans="1:26" ht="15.75" thickBot="1">
      <c r="A18" s="29">
        <v>17</v>
      </c>
      <c r="B18" s="29">
        <v>2</v>
      </c>
      <c r="C18" s="28" t="s">
        <v>154</v>
      </c>
      <c r="D18" s="28" t="s">
        <v>10</v>
      </c>
      <c r="E18" s="28" t="s">
        <v>60</v>
      </c>
      <c r="F18" s="28" t="s">
        <v>469</v>
      </c>
      <c r="G18" s="29">
        <v>17</v>
      </c>
      <c r="H18" s="29">
        <v>2</v>
      </c>
      <c r="I18" s="28"/>
      <c r="J18" s="28"/>
      <c r="K18" s="28"/>
      <c r="L18" s="28"/>
      <c r="M18" s="28"/>
      <c r="N18" s="28"/>
      <c r="O18" s="28"/>
      <c r="P18" s="28"/>
      <c r="Q18" s="28"/>
      <c r="R18" s="28"/>
      <c r="S18" s="28"/>
      <c r="T18" s="28"/>
      <c r="U18" s="28"/>
      <c r="V18" s="28"/>
      <c r="W18" s="28"/>
      <c r="X18" s="28"/>
      <c r="Y18" s="28"/>
      <c r="Z18" s="28"/>
    </row>
    <row r="19" spans="1:26" ht="15.75" thickBot="1">
      <c r="A19" s="29">
        <v>18</v>
      </c>
      <c r="B19" s="29">
        <v>2</v>
      </c>
      <c r="C19" s="28" t="s">
        <v>118</v>
      </c>
      <c r="D19" s="28" t="s">
        <v>2</v>
      </c>
      <c r="E19" s="28" t="s">
        <v>41</v>
      </c>
      <c r="F19" s="28" t="s">
        <v>181</v>
      </c>
      <c r="G19" s="29">
        <v>18</v>
      </c>
      <c r="H19" s="29">
        <v>2</v>
      </c>
      <c r="I19" s="28"/>
      <c r="J19" s="28"/>
      <c r="K19" s="28"/>
      <c r="L19" s="28"/>
      <c r="M19" s="28"/>
      <c r="N19" s="28"/>
      <c r="O19" s="28"/>
      <c r="P19" s="28"/>
      <c r="Q19" s="28"/>
      <c r="R19" s="28"/>
      <c r="S19" s="28"/>
      <c r="T19" s="28"/>
      <c r="U19" s="28"/>
      <c r="V19" s="28"/>
      <c r="W19" s="28"/>
      <c r="X19" s="28"/>
      <c r="Y19" s="28"/>
      <c r="Z19" s="28"/>
    </row>
    <row r="20" spans="1:26" ht="15.75" thickBot="1">
      <c r="A20" s="29">
        <v>19</v>
      </c>
      <c r="B20" s="29">
        <v>2</v>
      </c>
      <c r="C20" s="28" t="s">
        <v>168</v>
      </c>
      <c r="D20" s="28" t="s">
        <v>2</v>
      </c>
      <c r="E20" s="28" t="s">
        <v>13</v>
      </c>
      <c r="F20" s="28" t="s">
        <v>114</v>
      </c>
      <c r="G20" s="29">
        <v>19</v>
      </c>
      <c r="H20" s="29">
        <v>2</v>
      </c>
      <c r="I20" s="28"/>
      <c r="J20" s="28"/>
      <c r="K20" s="28"/>
      <c r="L20" s="28"/>
      <c r="M20" s="28"/>
      <c r="N20" s="28"/>
      <c r="O20" s="28"/>
      <c r="P20" s="28"/>
      <c r="Q20" s="28"/>
      <c r="R20" s="28"/>
      <c r="S20" s="28"/>
      <c r="T20" s="28"/>
      <c r="U20" s="28"/>
      <c r="V20" s="28"/>
      <c r="W20" s="28"/>
      <c r="X20" s="28"/>
      <c r="Y20" s="28"/>
      <c r="Z20" s="28"/>
    </row>
    <row r="21" spans="1:26" ht="15.75" thickBot="1">
      <c r="A21" s="31">
        <v>20</v>
      </c>
      <c r="B21" s="31">
        <v>2</v>
      </c>
      <c r="C21" s="33" t="s">
        <v>184</v>
      </c>
      <c r="D21" s="33" t="s">
        <v>2</v>
      </c>
      <c r="E21" s="33" t="s">
        <v>71</v>
      </c>
      <c r="F21" s="33" t="s">
        <v>97</v>
      </c>
      <c r="G21" s="31">
        <v>20</v>
      </c>
      <c r="H21" s="31">
        <v>2</v>
      </c>
      <c r="I21" s="28"/>
      <c r="J21" s="28"/>
      <c r="K21" s="28"/>
      <c r="L21" s="28"/>
      <c r="M21" s="28"/>
      <c r="N21" s="28"/>
      <c r="O21" s="28"/>
      <c r="P21" s="28"/>
      <c r="Q21" s="28"/>
      <c r="R21" s="28"/>
      <c r="S21" s="28"/>
      <c r="T21" s="28"/>
      <c r="U21" s="28"/>
      <c r="V21" s="28"/>
      <c r="W21" s="28"/>
      <c r="X21" s="28"/>
      <c r="Y21" s="28"/>
      <c r="Z21" s="28"/>
    </row>
    <row r="22" spans="1:26" ht="15.75" thickBot="1">
      <c r="A22" s="29">
        <v>21</v>
      </c>
      <c r="B22" s="29">
        <v>3</v>
      </c>
      <c r="C22" s="28" t="s">
        <v>64</v>
      </c>
      <c r="D22" s="28" t="s">
        <v>2</v>
      </c>
      <c r="E22" s="28" t="s">
        <v>25</v>
      </c>
      <c r="F22" s="28" t="s">
        <v>97</v>
      </c>
      <c r="G22" s="29">
        <v>21</v>
      </c>
      <c r="H22" s="29">
        <v>3</v>
      </c>
      <c r="I22" s="28"/>
      <c r="J22" s="28"/>
      <c r="K22" s="28"/>
      <c r="L22" s="28"/>
      <c r="M22" s="28"/>
      <c r="N22" s="28"/>
      <c r="O22" s="28"/>
      <c r="P22" s="28"/>
      <c r="Q22" s="28"/>
      <c r="R22" s="28"/>
      <c r="S22" s="28"/>
      <c r="T22" s="28"/>
      <c r="U22" s="28"/>
      <c r="V22" s="28"/>
      <c r="W22" s="28"/>
      <c r="X22" s="28"/>
      <c r="Y22" s="28"/>
      <c r="Z22" s="28"/>
    </row>
    <row r="23" spans="1:26" ht="15.75" thickBot="1">
      <c r="A23" s="29">
        <v>22</v>
      </c>
      <c r="B23" s="29">
        <v>3</v>
      </c>
      <c r="C23" s="28" t="s">
        <v>4</v>
      </c>
      <c r="D23" s="28" t="s">
        <v>5</v>
      </c>
      <c r="E23" s="28" t="s">
        <v>6</v>
      </c>
      <c r="F23" s="28" t="s">
        <v>114</v>
      </c>
      <c r="G23" s="29">
        <v>22</v>
      </c>
      <c r="H23" s="29">
        <v>3</v>
      </c>
      <c r="I23" s="28"/>
      <c r="J23" s="28"/>
      <c r="K23" s="28"/>
      <c r="L23" s="28"/>
      <c r="M23" s="28"/>
      <c r="N23" s="28"/>
      <c r="O23" s="28"/>
      <c r="P23" s="28"/>
      <c r="Q23" s="28"/>
      <c r="R23" s="28"/>
      <c r="S23" s="28"/>
      <c r="T23" s="28"/>
      <c r="U23" s="28"/>
      <c r="V23" s="28"/>
      <c r="W23" s="28"/>
      <c r="X23" s="28"/>
      <c r="Y23" s="28"/>
      <c r="Z23" s="28"/>
    </row>
    <row r="24" spans="1:26" ht="15.75" thickBot="1">
      <c r="A24" s="29">
        <v>23</v>
      </c>
      <c r="B24" s="29">
        <v>3</v>
      </c>
      <c r="C24" s="30" t="s">
        <v>185</v>
      </c>
      <c r="D24" s="28" t="s">
        <v>2</v>
      </c>
      <c r="E24" s="28" t="s">
        <v>73</v>
      </c>
      <c r="F24" s="28" t="s">
        <v>181</v>
      </c>
      <c r="G24" s="29">
        <v>23</v>
      </c>
      <c r="H24" s="29">
        <v>3</v>
      </c>
      <c r="I24" s="28"/>
      <c r="J24" s="28"/>
      <c r="K24" s="28"/>
      <c r="L24" s="28"/>
      <c r="M24" s="28"/>
      <c r="N24" s="28"/>
      <c r="O24" s="28"/>
      <c r="P24" s="28"/>
      <c r="Q24" s="28"/>
      <c r="R24" s="28"/>
      <c r="S24" s="28"/>
      <c r="T24" s="28"/>
      <c r="U24" s="28"/>
      <c r="V24" s="28"/>
      <c r="W24" s="28"/>
      <c r="X24" s="28"/>
      <c r="Y24" s="28"/>
      <c r="Z24" s="28"/>
    </row>
    <row r="25" spans="1:26" ht="15.75" thickBot="1">
      <c r="A25" s="29">
        <v>24</v>
      </c>
      <c r="B25" s="29">
        <v>3</v>
      </c>
      <c r="C25" s="28" t="s">
        <v>475</v>
      </c>
      <c r="D25" s="28" t="s">
        <v>10</v>
      </c>
      <c r="E25" s="28" t="s">
        <v>56</v>
      </c>
      <c r="F25" s="28" t="s">
        <v>469</v>
      </c>
      <c r="G25" s="29">
        <v>24</v>
      </c>
      <c r="H25" s="29">
        <v>3</v>
      </c>
      <c r="I25" s="28"/>
      <c r="J25" s="28"/>
      <c r="K25" s="28"/>
      <c r="L25" s="28"/>
      <c r="M25" s="28"/>
      <c r="N25" s="28"/>
      <c r="O25" s="28"/>
      <c r="P25" s="28"/>
      <c r="Q25" s="28"/>
      <c r="R25" s="28"/>
      <c r="S25" s="28"/>
      <c r="T25" s="28"/>
      <c r="U25" s="28"/>
      <c r="V25" s="28"/>
      <c r="W25" s="28"/>
      <c r="X25" s="28"/>
      <c r="Y25" s="28"/>
      <c r="Z25" s="28"/>
    </row>
    <row r="26" spans="1:26" ht="15.75" thickBot="1">
      <c r="A26" s="29">
        <v>25</v>
      </c>
      <c r="B26" s="29">
        <v>3</v>
      </c>
      <c r="C26" s="28" t="s">
        <v>136</v>
      </c>
      <c r="D26" s="28" t="s">
        <v>2</v>
      </c>
      <c r="E26" s="28" t="s">
        <v>137</v>
      </c>
      <c r="F26" s="28" t="s">
        <v>0</v>
      </c>
      <c r="G26" s="29">
        <v>25</v>
      </c>
      <c r="H26" s="29">
        <v>3</v>
      </c>
      <c r="I26" s="28"/>
      <c r="J26" s="28"/>
      <c r="K26" s="28"/>
      <c r="L26" s="28"/>
      <c r="M26" s="28"/>
      <c r="N26" s="28"/>
      <c r="O26" s="28"/>
      <c r="P26" s="28"/>
      <c r="Q26" s="28"/>
      <c r="R26" s="28"/>
      <c r="S26" s="28"/>
      <c r="T26" s="28"/>
      <c r="U26" s="28"/>
      <c r="V26" s="28"/>
      <c r="W26" s="28"/>
      <c r="X26" s="28"/>
      <c r="Y26" s="28"/>
      <c r="Z26" s="28"/>
    </row>
    <row r="27" spans="1:26" ht="15.75" thickBot="1">
      <c r="A27" s="29">
        <v>26</v>
      </c>
      <c r="B27" s="29">
        <v>3</v>
      </c>
      <c r="C27" s="28" t="s">
        <v>150</v>
      </c>
      <c r="D27" s="28" t="s">
        <v>2</v>
      </c>
      <c r="E27" s="28" t="s">
        <v>8</v>
      </c>
      <c r="F27" s="28" t="s">
        <v>58</v>
      </c>
      <c r="G27" s="29">
        <v>26</v>
      </c>
      <c r="H27" s="29">
        <v>3</v>
      </c>
      <c r="I27" s="28"/>
      <c r="J27" s="28"/>
      <c r="K27" s="28"/>
      <c r="L27" s="28"/>
      <c r="M27" s="28"/>
      <c r="N27" s="28"/>
      <c r="O27" s="28"/>
      <c r="P27" s="28"/>
      <c r="Q27" s="28"/>
      <c r="R27" s="28"/>
      <c r="S27" s="28"/>
      <c r="T27" s="28"/>
      <c r="U27" s="28"/>
      <c r="V27" s="28"/>
      <c r="W27" s="28"/>
      <c r="X27" s="28"/>
      <c r="Y27" s="28"/>
      <c r="Z27" s="28"/>
    </row>
    <row r="28" spans="1:26" ht="15.75" thickBot="1">
      <c r="A28" s="29">
        <v>27</v>
      </c>
      <c r="B28" s="29">
        <v>3</v>
      </c>
      <c r="C28" s="28" t="s">
        <v>116</v>
      </c>
      <c r="D28" s="28" t="s">
        <v>10</v>
      </c>
      <c r="E28" s="28" t="s">
        <v>17</v>
      </c>
      <c r="F28" s="28" t="s">
        <v>37</v>
      </c>
      <c r="G28" s="29">
        <v>27</v>
      </c>
      <c r="H28" s="29">
        <v>3</v>
      </c>
      <c r="I28" s="28"/>
      <c r="J28" s="28"/>
      <c r="K28" s="28"/>
      <c r="L28" s="28"/>
      <c r="M28" s="28"/>
      <c r="N28" s="28"/>
      <c r="O28" s="28"/>
      <c r="P28" s="28"/>
      <c r="Q28" s="28"/>
      <c r="R28" s="28"/>
      <c r="S28" s="28"/>
      <c r="T28" s="28"/>
      <c r="U28" s="28"/>
      <c r="V28" s="28"/>
      <c r="W28" s="28"/>
      <c r="X28" s="28"/>
      <c r="Y28" s="28"/>
      <c r="Z28" s="28"/>
    </row>
    <row r="29" spans="1:26" ht="15.75" thickBot="1">
      <c r="A29" s="29">
        <v>28</v>
      </c>
      <c r="B29" s="29">
        <v>3</v>
      </c>
      <c r="C29" s="28" t="s">
        <v>39</v>
      </c>
      <c r="D29" s="28" t="s">
        <v>2</v>
      </c>
      <c r="E29" s="28" t="s">
        <v>34</v>
      </c>
      <c r="F29" s="28" t="s">
        <v>470</v>
      </c>
      <c r="G29" s="29">
        <v>28</v>
      </c>
      <c r="H29" s="29">
        <v>3</v>
      </c>
      <c r="I29" s="28"/>
      <c r="J29" s="28"/>
      <c r="K29" s="28"/>
      <c r="L29" s="28"/>
      <c r="M29" s="28"/>
      <c r="N29" s="28"/>
      <c r="O29" s="28"/>
      <c r="P29" s="28"/>
      <c r="Q29" s="28"/>
      <c r="R29" s="28"/>
      <c r="S29" s="28"/>
      <c r="T29" s="28"/>
      <c r="U29" s="28"/>
      <c r="V29" s="28"/>
      <c r="W29" s="28"/>
      <c r="X29" s="28"/>
      <c r="Y29" s="28"/>
      <c r="Z29" s="28"/>
    </row>
    <row r="30" spans="1:26" ht="15.75" thickBot="1">
      <c r="A30" s="29">
        <v>29</v>
      </c>
      <c r="B30" s="29">
        <v>3</v>
      </c>
      <c r="C30" s="28" t="s">
        <v>100</v>
      </c>
      <c r="D30" s="28" t="s">
        <v>2</v>
      </c>
      <c r="E30" s="28" t="s">
        <v>28</v>
      </c>
      <c r="F30" s="28" t="s">
        <v>385</v>
      </c>
      <c r="G30" s="29">
        <v>29</v>
      </c>
      <c r="H30" s="29">
        <v>3</v>
      </c>
      <c r="I30" s="28"/>
      <c r="J30" s="28"/>
      <c r="K30" s="28"/>
      <c r="L30" s="28"/>
      <c r="M30" s="28"/>
      <c r="N30" s="28"/>
      <c r="O30" s="28"/>
      <c r="P30" s="28"/>
      <c r="Q30" s="28"/>
      <c r="R30" s="28"/>
      <c r="S30" s="28"/>
      <c r="T30" s="28"/>
      <c r="U30" s="28"/>
      <c r="V30" s="28"/>
      <c r="W30" s="28"/>
      <c r="X30" s="28"/>
      <c r="Y30" s="28"/>
      <c r="Z30" s="28"/>
    </row>
    <row r="31" spans="1:26" ht="15.75" thickBot="1">
      <c r="A31" s="31">
        <v>30</v>
      </c>
      <c r="B31" s="31">
        <v>3</v>
      </c>
      <c r="C31" s="33" t="s">
        <v>99</v>
      </c>
      <c r="D31" s="33" t="s">
        <v>2</v>
      </c>
      <c r="E31" s="33" t="s">
        <v>120</v>
      </c>
      <c r="F31" s="33" t="s">
        <v>471</v>
      </c>
      <c r="G31" s="31">
        <v>30</v>
      </c>
      <c r="H31" s="31">
        <v>3</v>
      </c>
      <c r="I31" s="28"/>
      <c r="J31" s="28"/>
      <c r="K31" s="28"/>
      <c r="L31" s="28"/>
      <c r="M31" s="28"/>
      <c r="N31" s="28"/>
      <c r="O31" s="28"/>
      <c r="P31" s="28"/>
      <c r="Q31" s="28"/>
      <c r="R31" s="28"/>
      <c r="S31" s="28"/>
      <c r="T31" s="28"/>
      <c r="U31" s="28"/>
      <c r="V31" s="28"/>
      <c r="W31" s="28"/>
      <c r="X31" s="28"/>
      <c r="Y31" s="28"/>
      <c r="Z31" s="28"/>
    </row>
    <row r="32" spans="1:26" ht="15.75" thickBot="1">
      <c r="A32" s="29">
        <v>31</v>
      </c>
      <c r="B32" s="29">
        <v>4</v>
      </c>
      <c r="C32" s="28" t="s">
        <v>554</v>
      </c>
      <c r="D32" s="28" t="s">
        <v>2</v>
      </c>
      <c r="E32" s="28" t="s">
        <v>28</v>
      </c>
      <c r="F32" s="28" t="s">
        <v>471</v>
      </c>
      <c r="G32" s="29">
        <v>31</v>
      </c>
      <c r="H32" s="29">
        <v>4</v>
      </c>
      <c r="I32" s="28"/>
      <c r="J32" s="28"/>
      <c r="K32" s="28"/>
      <c r="L32" s="28"/>
      <c r="M32" s="28"/>
      <c r="N32" s="28"/>
      <c r="O32" s="28"/>
      <c r="P32" s="28"/>
      <c r="Q32" s="28"/>
      <c r="R32" s="28"/>
      <c r="S32" s="28"/>
      <c r="T32" s="28"/>
      <c r="U32" s="28"/>
      <c r="V32" s="28"/>
      <c r="W32" s="28"/>
      <c r="X32" s="28"/>
      <c r="Y32" s="28"/>
      <c r="Z32" s="28"/>
    </row>
    <row r="33" spans="1:26" ht="15.75" thickBot="1">
      <c r="A33" s="29">
        <v>32</v>
      </c>
      <c r="B33" s="29">
        <v>4</v>
      </c>
      <c r="C33" s="28" t="s">
        <v>138</v>
      </c>
      <c r="D33" s="28" t="s">
        <v>2</v>
      </c>
      <c r="E33" s="28" t="s">
        <v>107</v>
      </c>
      <c r="F33" s="28" t="s">
        <v>385</v>
      </c>
      <c r="G33" s="29">
        <v>32</v>
      </c>
      <c r="H33" s="29">
        <v>4</v>
      </c>
      <c r="I33" s="28"/>
      <c r="J33" s="28"/>
      <c r="K33" s="28"/>
      <c r="L33" s="28"/>
      <c r="M33" s="28"/>
      <c r="N33" s="28"/>
      <c r="O33" s="28"/>
      <c r="P33" s="28"/>
      <c r="Q33" s="28"/>
      <c r="R33" s="28"/>
      <c r="S33" s="28"/>
      <c r="T33" s="28"/>
      <c r="U33" s="28"/>
      <c r="V33" s="28"/>
      <c r="W33" s="28"/>
      <c r="X33" s="28"/>
      <c r="Y33" s="28"/>
      <c r="Z33" s="28"/>
    </row>
    <row r="34" spans="1:26" ht="15.75" thickBot="1">
      <c r="A34" s="29">
        <v>33</v>
      </c>
      <c r="B34" s="29">
        <v>4</v>
      </c>
      <c r="C34" s="28" t="s">
        <v>152</v>
      </c>
      <c r="D34" s="28" t="s">
        <v>27</v>
      </c>
      <c r="E34" s="28" t="s">
        <v>32</v>
      </c>
      <c r="F34" s="28" t="s">
        <v>470</v>
      </c>
      <c r="G34" s="29">
        <v>33</v>
      </c>
      <c r="H34" s="29">
        <v>4</v>
      </c>
      <c r="I34" s="28"/>
      <c r="J34" s="28"/>
      <c r="K34" s="28"/>
      <c r="L34" s="28"/>
      <c r="M34" s="28"/>
      <c r="N34" s="28"/>
      <c r="O34" s="28"/>
      <c r="P34" s="28"/>
      <c r="Q34" s="28"/>
      <c r="R34" s="28"/>
      <c r="S34" s="28"/>
      <c r="T34" s="28"/>
      <c r="U34" s="28"/>
      <c r="V34" s="28"/>
      <c r="W34" s="28"/>
      <c r="X34" s="28"/>
      <c r="Y34" s="28"/>
      <c r="Z34" s="28"/>
    </row>
    <row r="35" spans="1:26" ht="15.75" thickBot="1">
      <c r="A35" s="29">
        <v>34</v>
      </c>
      <c r="B35" s="29">
        <v>4</v>
      </c>
      <c r="C35" s="30" t="s">
        <v>44</v>
      </c>
      <c r="D35" s="28" t="s">
        <v>27</v>
      </c>
      <c r="E35" s="28" t="s">
        <v>13</v>
      </c>
      <c r="F35" s="28" t="s">
        <v>37</v>
      </c>
      <c r="G35" s="29">
        <v>34</v>
      </c>
      <c r="H35" s="29">
        <v>4</v>
      </c>
      <c r="I35" s="28"/>
      <c r="J35" s="28"/>
      <c r="K35" s="28"/>
      <c r="L35" s="28"/>
      <c r="M35" s="28"/>
      <c r="N35" s="28"/>
      <c r="O35" s="28"/>
      <c r="P35" s="28"/>
      <c r="Q35" s="28"/>
      <c r="R35" s="28"/>
      <c r="S35" s="28"/>
      <c r="T35" s="28"/>
      <c r="U35" s="28"/>
      <c r="V35" s="28"/>
      <c r="W35" s="28"/>
      <c r="X35" s="28"/>
      <c r="Y35" s="28"/>
      <c r="Z35" s="28"/>
    </row>
    <row r="36" spans="1:26" ht="15.75" thickBot="1">
      <c r="A36" s="29">
        <v>35</v>
      </c>
      <c r="B36" s="29">
        <v>4</v>
      </c>
      <c r="C36" s="28" t="s">
        <v>412</v>
      </c>
      <c r="D36" s="28" t="s">
        <v>10</v>
      </c>
      <c r="E36" s="28" t="s">
        <v>21</v>
      </c>
      <c r="F36" s="28" t="s">
        <v>58</v>
      </c>
      <c r="G36" s="29">
        <v>35</v>
      </c>
      <c r="H36" s="29">
        <v>4</v>
      </c>
      <c r="I36" s="28"/>
      <c r="J36" s="28"/>
      <c r="K36" s="28"/>
      <c r="L36" s="28"/>
      <c r="M36" s="28"/>
      <c r="N36" s="28"/>
      <c r="O36" s="28"/>
      <c r="P36" s="28"/>
      <c r="Q36" s="28"/>
      <c r="R36" s="28"/>
      <c r="S36" s="28"/>
      <c r="T36" s="28"/>
      <c r="U36" s="28"/>
      <c r="V36" s="28"/>
      <c r="W36" s="28"/>
      <c r="X36" s="28"/>
      <c r="Y36" s="28"/>
      <c r="Z36" s="28"/>
    </row>
    <row r="37" spans="1:26" ht="15.75" thickBot="1">
      <c r="A37" s="29">
        <v>36</v>
      </c>
      <c r="B37" s="29">
        <v>4</v>
      </c>
      <c r="C37" s="30" t="s">
        <v>12</v>
      </c>
      <c r="D37" s="28" t="s">
        <v>10</v>
      </c>
      <c r="E37" s="28" t="s">
        <v>13</v>
      </c>
      <c r="F37" s="28" t="s">
        <v>0</v>
      </c>
      <c r="G37" s="29">
        <v>36</v>
      </c>
      <c r="H37" s="29">
        <v>4</v>
      </c>
      <c r="I37" s="28"/>
      <c r="J37" s="28"/>
      <c r="K37" s="28"/>
      <c r="L37" s="28"/>
      <c r="M37" s="28"/>
      <c r="N37" s="28"/>
      <c r="O37" s="28"/>
      <c r="P37" s="28"/>
      <c r="Q37" s="28"/>
      <c r="R37" s="28"/>
      <c r="S37" s="28"/>
      <c r="T37" s="28"/>
      <c r="U37" s="28"/>
      <c r="V37" s="28"/>
      <c r="W37" s="28"/>
      <c r="X37" s="28"/>
      <c r="Y37" s="28"/>
      <c r="Z37" s="28"/>
    </row>
    <row r="38" spans="1:26" ht="15.75" thickBot="1">
      <c r="A38" s="29">
        <v>37</v>
      </c>
      <c r="B38" s="29">
        <v>4</v>
      </c>
      <c r="C38" s="28" t="s">
        <v>477</v>
      </c>
      <c r="D38" s="28" t="s">
        <v>10</v>
      </c>
      <c r="E38" s="28" t="s">
        <v>34</v>
      </c>
      <c r="F38" s="28" t="s">
        <v>469</v>
      </c>
      <c r="G38" s="29">
        <v>37</v>
      </c>
      <c r="H38" s="29">
        <v>4</v>
      </c>
      <c r="I38" s="28"/>
      <c r="J38" s="28"/>
      <c r="K38" s="28"/>
      <c r="L38" s="28"/>
      <c r="M38" s="28"/>
      <c r="N38" s="28"/>
      <c r="O38" s="28"/>
      <c r="P38" s="28"/>
      <c r="Q38" s="28"/>
      <c r="R38" s="28"/>
      <c r="S38" s="28"/>
      <c r="T38" s="28"/>
      <c r="U38" s="28"/>
      <c r="V38" s="28"/>
      <c r="W38" s="28"/>
      <c r="X38" s="28"/>
      <c r="Y38" s="28"/>
      <c r="Z38" s="28"/>
    </row>
    <row r="39" spans="1:26" ht="15.75" thickBot="1">
      <c r="A39" s="29">
        <v>38</v>
      </c>
      <c r="B39" s="29">
        <v>4</v>
      </c>
      <c r="C39" s="28" t="s">
        <v>66</v>
      </c>
      <c r="D39" s="28" t="s">
        <v>10</v>
      </c>
      <c r="E39" s="28" t="s">
        <v>49</v>
      </c>
      <c r="F39" s="28" t="s">
        <v>181</v>
      </c>
      <c r="G39" s="29">
        <v>38</v>
      </c>
      <c r="H39" s="29">
        <v>4</v>
      </c>
      <c r="I39" s="28"/>
      <c r="J39" s="28"/>
      <c r="K39" s="28"/>
      <c r="L39" s="28"/>
      <c r="M39" s="28"/>
      <c r="N39" s="28"/>
      <c r="O39" s="28"/>
      <c r="P39" s="28"/>
      <c r="Q39" s="28"/>
      <c r="R39" s="28"/>
      <c r="S39" s="28"/>
      <c r="T39" s="28"/>
      <c r="U39" s="28"/>
      <c r="V39" s="28"/>
      <c r="W39" s="28"/>
      <c r="X39" s="28"/>
      <c r="Y39" s="28"/>
      <c r="Z39" s="28"/>
    </row>
    <row r="40" spans="1:26" ht="15.75" thickBot="1">
      <c r="A40" s="29">
        <v>39</v>
      </c>
      <c r="B40" s="29">
        <v>4</v>
      </c>
      <c r="C40" s="28" t="s">
        <v>109</v>
      </c>
      <c r="D40" s="28" t="s">
        <v>10</v>
      </c>
      <c r="E40" s="28" t="s">
        <v>49</v>
      </c>
      <c r="F40" s="28" t="s">
        <v>114</v>
      </c>
      <c r="G40" s="29">
        <v>39</v>
      </c>
      <c r="H40" s="29">
        <v>4</v>
      </c>
      <c r="I40" s="28"/>
      <c r="J40" s="28"/>
      <c r="K40" s="28"/>
      <c r="L40" s="28"/>
      <c r="M40" s="28"/>
      <c r="N40" s="28"/>
      <c r="O40" s="28"/>
      <c r="P40" s="28"/>
      <c r="Q40" s="28"/>
      <c r="R40" s="28"/>
      <c r="S40" s="28"/>
      <c r="T40" s="28"/>
      <c r="U40" s="28"/>
      <c r="V40" s="28"/>
      <c r="W40" s="28"/>
      <c r="X40" s="28"/>
      <c r="Y40" s="28"/>
      <c r="Z40" s="28"/>
    </row>
    <row r="41" spans="1:26" ht="15.75" thickBot="1">
      <c r="A41" s="31">
        <v>40</v>
      </c>
      <c r="B41" s="31">
        <v>4</v>
      </c>
      <c r="C41" s="33" t="s">
        <v>134</v>
      </c>
      <c r="D41" s="33" t="s">
        <v>10</v>
      </c>
      <c r="E41" s="33" t="s">
        <v>71</v>
      </c>
      <c r="F41" s="33" t="s">
        <v>97</v>
      </c>
      <c r="G41" s="31">
        <v>40</v>
      </c>
      <c r="H41" s="31">
        <v>4</v>
      </c>
      <c r="I41" s="28"/>
      <c r="J41" s="28"/>
      <c r="K41" s="28"/>
      <c r="L41" s="28"/>
      <c r="M41" s="28"/>
      <c r="N41" s="28"/>
      <c r="O41" s="28"/>
      <c r="P41" s="28"/>
      <c r="Q41" s="28"/>
      <c r="R41" s="28"/>
      <c r="S41" s="28"/>
      <c r="T41" s="28"/>
      <c r="U41" s="28"/>
      <c r="V41" s="28"/>
      <c r="W41" s="28"/>
      <c r="X41" s="28"/>
      <c r="Y41" s="28"/>
      <c r="Z41" s="28"/>
    </row>
    <row r="42" spans="1:26" ht="15.75" thickBot="1">
      <c r="A42" s="29">
        <v>41</v>
      </c>
      <c r="B42" s="29">
        <v>5</v>
      </c>
      <c r="C42" s="28" t="s">
        <v>187</v>
      </c>
      <c r="D42" s="28" t="s">
        <v>2</v>
      </c>
      <c r="E42" s="28" t="s">
        <v>34</v>
      </c>
      <c r="F42" s="28" t="s">
        <v>97</v>
      </c>
      <c r="G42" s="29">
        <v>41</v>
      </c>
      <c r="H42" s="29">
        <v>5</v>
      </c>
      <c r="I42" s="28"/>
      <c r="J42" s="28"/>
      <c r="K42" s="28"/>
      <c r="L42" s="28"/>
      <c r="M42" s="28"/>
      <c r="N42" s="28"/>
      <c r="O42" s="28"/>
      <c r="P42" s="28"/>
      <c r="Q42" s="28"/>
      <c r="R42" s="28"/>
      <c r="S42" s="28"/>
      <c r="T42" s="28"/>
      <c r="U42" s="28"/>
      <c r="V42" s="28"/>
      <c r="W42" s="28"/>
      <c r="X42" s="28"/>
      <c r="Y42" s="28"/>
      <c r="Z42" s="28"/>
    </row>
    <row r="43" spans="1:26" ht="15.75" thickBot="1">
      <c r="A43" s="29">
        <v>42</v>
      </c>
      <c r="B43" s="29">
        <v>5</v>
      </c>
      <c r="C43" s="28" t="s">
        <v>170</v>
      </c>
      <c r="D43" s="28" t="s">
        <v>10</v>
      </c>
      <c r="E43" s="28" t="s">
        <v>82</v>
      </c>
      <c r="F43" s="28" t="s">
        <v>114</v>
      </c>
      <c r="G43" s="29">
        <v>42</v>
      </c>
      <c r="H43" s="29">
        <v>5</v>
      </c>
      <c r="I43" s="28"/>
      <c r="J43" s="28"/>
      <c r="K43" s="28"/>
      <c r="L43" s="28"/>
      <c r="M43" s="28"/>
      <c r="N43" s="28"/>
      <c r="O43" s="28"/>
      <c r="P43" s="28"/>
      <c r="Q43" s="28"/>
      <c r="R43" s="28"/>
      <c r="S43" s="28"/>
      <c r="T43" s="28"/>
      <c r="U43" s="28"/>
      <c r="V43" s="28"/>
      <c r="W43" s="28"/>
      <c r="X43" s="28"/>
      <c r="Y43" s="28"/>
      <c r="Z43" s="28"/>
    </row>
    <row r="44" spans="1:26" ht="15.75" thickBot="1">
      <c r="A44" s="29">
        <v>43</v>
      </c>
      <c r="B44" s="29">
        <v>5</v>
      </c>
      <c r="C44" s="28" t="s">
        <v>175</v>
      </c>
      <c r="D44" s="28" t="s">
        <v>2</v>
      </c>
      <c r="E44" s="28" t="s">
        <v>49</v>
      </c>
      <c r="F44" s="28" t="s">
        <v>181</v>
      </c>
      <c r="G44" s="29">
        <v>43</v>
      </c>
      <c r="H44" s="29">
        <v>5</v>
      </c>
      <c r="I44" s="28"/>
      <c r="J44" s="28"/>
      <c r="K44" s="28"/>
      <c r="L44" s="28"/>
      <c r="M44" s="28"/>
      <c r="N44" s="28"/>
      <c r="O44" s="28"/>
      <c r="P44" s="28"/>
      <c r="Q44" s="28"/>
      <c r="R44" s="28"/>
      <c r="S44" s="28"/>
      <c r="T44" s="28"/>
      <c r="U44" s="28"/>
      <c r="V44" s="28"/>
      <c r="W44" s="28"/>
      <c r="X44" s="28"/>
      <c r="Y44" s="28"/>
      <c r="Z44" s="28"/>
    </row>
    <row r="45" spans="1:26" ht="15.75" thickBot="1">
      <c r="A45" s="29">
        <v>44</v>
      </c>
      <c r="B45" s="29">
        <v>5</v>
      </c>
      <c r="C45" s="28" t="s">
        <v>47</v>
      </c>
      <c r="D45" s="28" t="s">
        <v>5</v>
      </c>
      <c r="E45" s="28" t="s">
        <v>30</v>
      </c>
      <c r="F45" s="28" t="s">
        <v>469</v>
      </c>
      <c r="G45" s="29">
        <v>44</v>
      </c>
      <c r="H45" s="29">
        <v>5</v>
      </c>
      <c r="I45" s="28"/>
      <c r="J45" s="28"/>
      <c r="K45" s="28"/>
      <c r="L45" s="28"/>
      <c r="M45" s="28"/>
      <c r="N45" s="28"/>
      <c r="O45" s="28"/>
      <c r="P45" s="28"/>
      <c r="Q45" s="28"/>
      <c r="R45" s="28"/>
      <c r="S45" s="28"/>
      <c r="T45" s="28"/>
      <c r="U45" s="28"/>
      <c r="V45" s="28"/>
      <c r="W45" s="28"/>
      <c r="X45" s="28"/>
      <c r="Y45" s="28"/>
      <c r="Z45" s="28"/>
    </row>
    <row r="46" spans="1:26" ht="15.75" thickBot="1">
      <c r="A46" s="29">
        <v>45</v>
      </c>
      <c r="B46" s="29">
        <v>5</v>
      </c>
      <c r="C46" s="28" t="s">
        <v>418</v>
      </c>
      <c r="D46" s="28" t="s">
        <v>5</v>
      </c>
      <c r="E46" s="28" t="s">
        <v>17</v>
      </c>
      <c r="F46" s="28" t="s">
        <v>0</v>
      </c>
      <c r="G46" s="29">
        <v>45</v>
      </c>
      <c r="H46" s="29">
        <v>5</v>
      </c>
      <c r="I46" s="28"/>
      <c r="J46" s="28"/>
      <c r="K46" s="28"/>
      <c r="L46" s="28"/>
      <c r="M46" s="28"/>
      <c r="N46" s="28"/>
      <c r="O46" s="28"/>
      <c r="P46" s="28"/>
      <c r="Q46" s="28"/>
      <c r="R46" s="28"/>
      <c r="S46" s="28"/>
      <c r="T46" s="28"/>
      <c r="U46" s="28"/>
      <c r="V46" s="28"/>
      <c r="W46" s="28"/>
      <c r="X46" s="28"/>
      <c r="Y46" s="28"/>
      <c r="Z46" s="28"/>
    </row>
    <row r="47" spans="1:26" ht="15.75" thickBot="1">
      <c r="A47" s="29">
        <v>46</v>
      </c>
      <c r="B47" s="29">
        <v>5</v>
      </c>
      <c r="C47" s="28" t="s">
        <v>433</v>
      </c>
      <c r="D47" s="28" t="s">
        <v>10</v>
      </c>
      <c r="E47" s="28" t="s">
        <v>73</v>
      </c>
      <c r="F47" s="28" t="s">
        <v>58</v>
      </c>
      <c r="G47" s="29">
        <v>46</v>
      </c>
      <c r="H47" s="29">
        <v>5</v>
      </c>
      <c r="I47" s="28"/>
      <c r="J47" s="28"/>
      <c r="K47" s="28"/>
      <c r="L47" s="28"/>
      <c r="M47" s="28"/>
      <c r="N47" s="28"/>
      <c r="O47" s="28"/>
      <c r="P47" s="28"/>
      <c r="Q47" s="28"/>
      <c r="R47" s="28"/>
      <c r="S47" s="28"/>
      <c r="T47" s="28"/>
      <c r="U47" s="28"/>
      <c r="V47" s="28"/>
      <c r="W47" s="28"/>
      <c r="X47" s="28"/>
      <c r="Y47" s="28"/>
      <c r="Z47" s="28"/>
    </row>
    <row r="48" spans="1:26" ht="15.75" thickBot="1">
      <c r="A48" s="29">
        <v>47</v>
      </c>
      <c r="B48" s="29">
        <v>5</v>
      </c>
      <c r="C48" s="28" t="s">
        <v>479</v>
      </c>
      <c r="D48" s="28" t="s">
        <v>10</v>
      </c>
      <c r="E48" s="28" t="s">
        <v>30</v>
      </c>
      <c r="F48" s="28" t="s">
        <v>37</v>
      </c>
      <c r="G48" s="29">
        <v>47</v>
      </c>
      <c r="H48" s="29">
        <v>5</v>
      </c>
      <c r="I48" s="28"/>
      <c r="J48" s="28"/>
      <c r="K48" s="28"/>
      <c r="L48" s="28"/>
      <c r="M48" s="28"/>
      <c r="N48" s="28"/>
      <c r="O48" s="28"/>
      <c r="P48" s="28"/>
      <c r="Q48" s="28"/>
      <c r="R48" s="28"/>
      <c r="S48" s="28"/>
      <c r="T48" s="28"/>
      <c r="U48" s="28"/>
      <c r="V48" s="28"/>
      <c r="W48" s="28"/>
      <c r="X48" s="28"/>
      <c r="Y48" s="28"/>
      <c r="Z48" s="28"/>
    </row>
    <row r="49" spans="1:26" ht="15.75" thickBot="1">
      <c r="A49" s="29">
        <v>48</v>
      </c>
      <c r="B49" s="29">
        <v>5</v>
      </c>
      <c r="C49" s="28" t="s">
        <v>188</v>
      </c>
      <c r="D49" s="28" t="s">
        <v>10</v>
      </c>
      <c r="E49" s="28" t="s">
        <v>60</v>
      </c>
      <c r="F49" s="28" t="s">
        <v>470</v>
      </c>
      <c r="G49" s="29">
        <v>48</v>
      </c>
      <c r="H49" s="29">
        <v>5</v>
      </c>
      <c r="I49" s="28"/>
      <c r="J49" s="28"/>
      <c r="K49" s="28"/>
      <c r="L49" s="28"/>
      <c r="M49" s="28"/>
      <c r="N49" s="28"/>
      <c r="O49" s="28"/>
      <c r="P49" s="28"/>
      <c r="Q49" s="28"/>
      <c r="R49" s="28"/>
      <c r="S49" s="28"/>
      <c r="T49" s="28"/>
      <c r="U49" s="28"/>
      <c r="V49" s="28"/>
      <c r="W49" s="28"/>
      <c r="X49" s="28"/>
      <c r="Y49" s="28"/>
      <c r="Z49" s="28"/>
    </row>
    <row r="50" spans="1:26" ht="15.75" thickBot="1">
      <c r="A50" s="29">
        <v>49</v>
      </c>
      <c r="B50" s="29">
        <v>5</v>
      </c>
      <c r="C50" s="28" t="s">
        <v>7</v>
      </c>
      <c r="D50" s="28" t="s">
        <v>2</v>
      </c>
      <c r="E50" s="28" t="s">
        <v>21</v>
      </c>
      <c r="F50" s="28" t="s">
        <v>385</v>
      </c>
      <c r="G50" s="29">
        <v>49</v>
      </c>
      <c r="H50" s="29">
        <v>5</v>
      </c>
      <c r="I50" s="28"/>
      <c r="J50" s="28"/>
      <c r="K50" s="28"/>
      <c r="L50" s="28"/>
      <c r="M50" s="28"/>
      <c r="N50" s="28"/>
      <c r="O50" s="28"/>
      <c r="P50" s="28"/>
      <c r="Q50" s="28"/>
      <c r="R50" s="28"/>
      <c r="S50" s="28"/>
      <c r="T50" s="28"/>
      <c r="U50" s="28"/>
      <c r="V50" s="28"/>
      <c r="W50" s="28"/>
      <c r="X50" s="28"/>
      <c r="Y50" s="28"/>
      <c r="Z50" s="28"/>
    </row>
    <row r="51" spans="1:26" ht="15.75" thickBot="1">
      <c r="A51" s="31">
        <v>50</v>
      </c>
      <c r="B51" s="31">
        <v>5</v>
      </c>
      <c r="C51" s="33" t="s">
        <v>445</v>
      </c>
      <c r="D51" s="33" t="s">
        <v>2</v>
      </c>
      <c r="E51" s="33" t="s">
        <v>135</v>
      </c>
      <c r="F51" s="33" t="s">
        <v>471</v>
      </c>
      <c r="G51" s="31">
        <v>50</v>
      </c>
      <c r="H51" s="31">
        <v>5</v>
      </c>
      <c r="I51" s="28"/>
      <c r="J51" s="28"/>
      <c r="K51" s="28"/>
      <c r="L51" s="28"/>
      <c r="M51" s="28"/>
      <c r="N51" s="28"/>
      <c r="O51" s="28"/>
      <c r="P51" s="28"/>
      <c r="Q51" s="28"/>
      <c r="R51" s="28"/>
      <c r="S51" s="28"/>
      <c r="T51" s="28"/>
      <c r="U51" s="28"/>
      <c r="V51" s="28"/>
      <c r="W51" s="28"/>
      <c r="X51" s="28"/>
      <c r="Y51" s="28"/>
      <c r="Z51" s="28"/>
    </row>
    <row r="52" spans="1:26" ht="15.75" thickBot="1">
      <c r="A52" s="29">
        <v>51</v>
      </c>
      <c r="B52" s="29">
        <v>6</v>
      </c>
      <c r="C52" s="28" t="s">
        <v>67</v>
      </c>
      <c r="D52" s="28" t="s">
        <v>27</v>
      </c>
      <c r="E52" s="28" t="s">
        <v>49</v>
      </c>
      <c r="F52" s="28" t="s">
        <v>471</v>
      </c>
      <c r="G52" s="29">
        <v>51</v>
      </c>
      <c r="H52" s="29">
        <v>6</v>
      </c>
      <c r="I52" s="28"/>
      <c r="J52" s="28"/>
      <c r="K52" s="28"/>
      <c r="L52" s="28"/>
      <c r="M52" s="28"/>
      <c r="N52" s="28"/>
      <c r="O52" s="28"/>
      <c r="P52" s="28"/>
      <c r="Q52" s="28"/>
      <c r="R52" s="28"/>
      <c r="S52" s="28"/>
      <c r="T52" s="28"/>
      <c r="U52" s="28"/>
      <c r="V52" s="28"/>
      <c r="W52" s="28"/>
      <c r="X52" s="28"/>
      <c r="Y52" s="28"/>
      <c r="Z52" s="28"/>
    </row>
    <row r="53" spans="1:26" ht="15.75" thickBot="1">
      <c r="A53" s="29">
        <v>52</v>
      </c>
      <c r="B53" s="29">
        <v>6</v>
      </c>
      <c r="C53" s="28" t="s">
        <v>384</v>
      </c>
      <c r="D53" s="28" t="s">
        <v>2</v>
      </c>
      <c r="E53" s="28" t="s">
        <v>23</v>
      </c>
      <c r="F53" s="28" t="s">
        <v>385</v>
      </c>
      <c r="G53" s="29">
        <v>52</v>
      </c>
      <c r="H53" s="29">
        <v>6</v>
      </c>
      <c r="I53" s="28"/>
      <c r="J53" s="28"/>
      <c r="K53" s="28"/>
      <c r="L53" s="28"/>
      <c r="M53" s="28"/>
      <c r="N53" s="28"/>
      <c r="O53" s="28"/>
      <c r="P53" s="28"/>
      <c r="Q53" s="28"/>
      <c r="R53" s="28"/>
      <c r="S53" s="28"/>
      <c r="T53" s="28"/>
      <c r="U53" s="28"/>
      <c r="V53" s="28"/>
      <c r="W53" s="28"/>
      <c r="X53" s="28"/>
      <c r="Y53" s="28"/>
      <c r="Z53" s="28"/>
    </row>
    <row r="54" spans="1:26" ht="15.75" thickBot="1">
      <c r="A54" s="29">
        <v>53</v>
      </c>
      <c r="B54" s="29">
        <v>6</v>
      </c>
      <c r="C54" s="30" t="s">
        <v>172</v>
      </c>
      <c r="D54" s="28" t="s">
        <v>5</v>
      </c>
      <c r="E54" s="28" t="s">
        <v>73</v>
      </c>
      <c r="F54" s="28" t="s">
        <v>470</v>
      </c>
      <c r="G54" s="29">
        <v>53</v>
      </c>
      <c r="H54" s="29">
        <v>6</v>
      </c>
      <c r="I54" s="28"/>
      <c r="J54" s="28"/>
      <c r="K54" s="28"/>
      <c r="L54" s="28"/>
      <c r="M54" s="28"/>
      <c r="N54" s="28"/>
      <c r="O54" s="28"/>
      <c r="P54" s="28"/>
      <c r="Q54" s="28"/>
      <c r="R54" s="28"/>
      <c r="S54" s="28"/>
      <c r="T54" s="28"/>
      <c r="U54" s="28"/>
      <c r="V54" s="28"/>
      <c r="W54" s="28"/>
      <c r="X54" s="28"/>
      <c r="Y54" s="28"/>
      <c r="Z54" s="28"/>
    </row>
    <row r="55" spans="1:26" ht="15.75" thickBot="1">
      <c r="A55" s="29">
        <v>54</v>
      </c>
      <c r="B55" s="29">
        <v>6</v>
      </c>
      <c r="C55" s="28" t="s">
        <v>133</v>
      </c>
      <c r="D55" s="28" t="s">
        <v>10</v>
      </c>
      <c r="E55" s="28" t="s">
        <v>8</v>
      </c>
      <c r="F55" s="28" t="s">
        <v>37</v>
      </c>
      <c r="G55" s="29">
        <v>54</v>
      </c>
      <c r="H55" s="29">
        <v>6</v>
      </c>
      <c r="I55" s="28"/>
      <c r="J55" s="28"/>
      <c r="K55" s="28"/>
      <c r="L55" s="28"/>
      <c r="M55" s="28"/>
      <c r="N55" s="28"/>
      <c r="O55" s="28"/>
      <c r="P55" s="28"/>
      <c r="Q55" s="28"/>
      <c r="R55" s="28"/>
      <c r="S55" s="28"/>
      <c r="T55" s="28"/>
      <c r="U55" s="28"/>
      <c r="V55" s="28"/>
      <c r="W55" s="28"/>
      <c r="X55" s="28"/>
      <c r="Y55" s="28"/>
      <c r="Z55" s="28"/>
    </row>
    <row r="56" spans="1:26" ht="15.75" thickBot="1">
      <c r="A56" s="29">
        <v>55</v>
      </c>
      <c r="B56" s="29">
        <v>6</v>
      </c>
      <c r="C56" s="30" t="s">
        <v>389</v>
      </c>
      <c r="D56" s="28" t="s">
        <v>2</v>
      </c>
      <c r="E56" s="28" t="s">
        <v>17</v>
      </c>
      <c r="F56" s="28" t="s">
        <v>58</v>
      </c>
      <c r="G56" s="29">
        <v>55</v>
      </c>
      <c r="H56" s="29">
        <v>6</v>
      </c>
      <c r="I56" s="28"/>
      <c r="J56" s="28"/>
      <c r="K56" s="28"/>
      <c r="L56" s="28"/>
      <c r="M56" s="28"/>
      <c r="N56" s="28"/>
      <c r="O56" s="28"/>
      <c r="P56" s="28"/>
      <c r="Q56" s="28"/>
      <c r="R56" s="28"/>
      <c r="S56" s="28"/>
      <c r="T56" s="28"/>
      <c r="U56" s="28"/>
      <c r="V56" s="28"/>
      <c r="W56" s="28"/>
      <c r="X56" s="28"/>
      <c r="Y56" s="28"/>
      <c r="Z56" s="28"/>
    </row>
    <row r="57" spans="1:26" ht="15.75" thickBot="1">
      <c r="A57" s="29">
        <v>56</v>
      </c>
      <c r="B57" s="29">
        <v>6</v>
      </c>
      <c r="C57" s="28" t="s">
        <v>480</v>
      </c>
      <c r="D57" s="28" t="s">
        <v>10</v>
      </c>
      <c r="E57" s="28" t="s">
        <v>71</v>
      </c>
      <c r="F57" s="28" t="s">
        <v>0</v>
      </c>
      <c r="G57" s="29">
        <v>56</v>
      </c>
      <c r="H57" s="29">
        <v>6</v>
      </c>
      <c r="I57" s="28"/>
      <c r="J57" s="28"/>
      <c r="K57" s="28"/>
      <c r="L57" s="28"/>
      <c r="M57" s="28"/>
      <c r="N57" s="28"/>
      <c r="O57" s="28"/>
      <c r="P57" s="28"/>
      <c r="Q57" s="28"/>
      <c r="R57" s="28"/>
      <c r="S57" s="28"/>
      <c r="T57" s="28"/>
      <c r="U57" s="28"/>
      <c r="V57" s="28"/>
      <c r="W57" s="28"/>
      <c r="X57" s="28"/>
      <c r="Y57" s="28"/>
      <c r="Z57" s="28"/>
    </row>
    <row r="58" spans="1:26" ht="15.75" thickBot="1">
      <c r="A58" s="29">
        <v>57</v>
      </c>
      <c r="B58" s="29">
        <v>6</v>
      </c>
      <c r="C58" s="28" t="s">
        <v>171</v>
      </c>
      <c r="D58" s="28" t="s">
        <v>27</v>
      </c>
      <c r="E58" s="28" t="s">
        <v>6</v>
      </c>
      <c r="F58" s="28" t="s">
        <v>469</v>
      </c>
      <c r="G58" s="29">
        <v>57</v>
      </c>
      <c r="H58" s="29">
        <v>6</v>
      </c>
      <c r="I58" s="28"/>
      <c r="J58" s="28"/>
      <c r="K58" s="28"/>
      <c r="L58" s="28"/>
      <c r="M58" s="28"/>
      <c r="N58" s="28"/>
      <c r="O58" s="28"/>
      <c r="P58" s="28"/>
      <c r="Q58" s="28"/>
      <c r="R58" s="28"/>
      <c r="S58" s="28"/>
      <c r="T58" s="28"/>
      <c r="U58" s="28"/>
      <c r="V58" s="28"/>
      <c r="W58" s="28"/>
      <c r="X58" s="28"/>
      <c r="Y58" s="28"/>
      <c r="Z58" s="28"/>
    </row>
    <row r="59" spans="1:26" ht="15.75" thickBot="1">
      <c r="A59" s="29">
        <v>58</v>
      </c>
      <c r="B59" s="29">
        <v>6</v>
      </c>
      <c r="C59" s="28" t="s">
        <v>52</v>
      </c>
      <c r="D59" s="28" t="s">
        <v>2</v>
      </c>
      <c r="E59" s="28" t="s">
        <v>11</v>
      </c>
      <c r="F59" s="28" t="s">
        <v>181</v>
      </c>
      <c r="G59" s="29">
        <v>58</v>
      </c>
      <c r="H59" s="29">
        <v>6</v>
      </c>
      <c r="I59" s="28"/>
      <c r="J59" s="28"/>
      <c r="K59" s="28"/>
      <c r="L59" s="28"/>
      <c r="M59" s="28"/>
      <c r="N59" s="28"/>
      <c r="O59" s="28"/>
      <c r="P59" s="28"/>
      <c r="Q59" s="28"/>
      <c r="R59" s="28"/>
      <c r="S59" s="28"/>
      <c r="T59" s="28"/>
      <c r="U59" s="28"/>
      <c r="V59" s="28"/>
      <c r="W59" s="28"/>
      <c r="X59" s="28"/>
      <c r="Y59" s="28"/>
      <c r="Z59" s="28"/>
    </row>
    <row r="60" spans="1:26" ht="15.75" thickBot="1">
      <c r="A60" s="29">
        <v>59</v>
      </c>
      <c r="B60" s="29">
        <v>6</v>
      </c>
      <c r="C60" s="28" t="s">
        <v>457</v>
      </c>
      <c r="D60" s="28" t="s">
        <v>10</v>
      </c>
      <c r="E60" s="28" t="s">
        <v>71</v>
      </c>
      <c r="F60" s="28" t="s">
        <v>114</v>
      </c>
      <c r="G60" s="29">
        <v>59</v>
      </c>
      <c r="H60" s="29">
        <v>6</v>
      </c>
      <c r="I60" s="28"/>
      <c r="J60" s="28"/>
      <c r="K60" s="28"/>
      <c r="L60" s="28"/>
      <c r="M60" s="28"/>
      <c r="N60" s="28"/>
      <c r="O60" s="28"/>
      <c r="P60" s="28"/>
      <c r="Q60" s="28"/>
      <c r="R60" s="28"/>
      <c r="S60" s="28"/>
      <c r="T60" s="28"/>
      <c r="U60" s="28"/>
      <c r="V60" s="28"/>
      <c r="W60" s="28"/>
      <c r="X60" s="28"/>
      <c r="Y60" s="28"/>
      <c r="Z60" s="28"/>
    </row>
    <row r="61" spans="1:26" ht="15.75" thickBot="1">
      <c r="A61" s="31">
        <v>60</v>
      </c>
      <c r="B61" s="31">
        <v>6</v>
      </c>
      <c r="C61" s="33" t="s">
        <v>444</v>
      </c>
      <c r="D61" s="33" t="s">
        <v>10</v>
      </c>
      <c r="E61" s="33" t="s">
        <v>43</v>
      </c>
      <c r="F61" s="33" t="s">
        <v>97</v>
      </c>
      <c r="G61" s="31">
        <v>60</v>
      </c>
      <c r="H61" s="31">
        <v>6</v>
      </c>
      <c r="I61" s="28"/>
      <c r="J61" s="28"/>
      <c r="K61" s="28"/>
      <c r="L61" s="28"/>
      <c r="M61" s="28"/>
      <c r="N61" s="28"/>
      <c r="O61" s="28"/>
      <c r="P61" s="28"/>
      <c r="Q61" s="28"/>
      <c r="R61" s="28"/>
      <c r="S61" s="28"/>
      <c r="T61" s="28"/>
      <c r="U61" s="28"/>
      <c r="V61" s="28"/>
      <c r="W61" s="28"/>
      <c r="X61" s="28"/>
      <c r="Y61" s="28"/>
      <c r="Z61" s="28"/>
    </row>
    <row r="62" spans="1:26" ht="15.75" thickBot="1">
      <c r="A62" s="29">
        <v>61</v>
      </c>
      <c r="B62" s="29">
        <v>7</v>
      </c>
      <c r="C62" s="30" t="s">
        <v>105</v>
      </c>
      <c r="D62" s="28" t="s">
        <v>27</v>
      </c>
      <c r="E62" s="28" t="s">
        <v>23</v>
      </c>
      <c r="F62" s="28" t="s">
        <v>97</v>
      </c>
      <c r="G62" s="29">
        <v>61</v>
      </c>
      <c r="H62" s="29">
        <v>7</v>
      </c>
      <c r="I62" s="28"/>
      <c r="J62" s="28"/>
      <c r="K62" s="28"/>
      <c r="L62" s="28"/>
      <c r="M62" s="28"/>
      <c r="N62" s="28"/>
      <c r="O62" s="28"/>
      <c r="P62" s="28"/>
      <c r="Q62" s="28"/>
      <c r="R62" s="28"/>
      <c r="S62" s="28"/>
      <c r="T62" s="28"/>
      <c r="U62" s="28"/>
      <c r="V62" s="28"/>
      <c r="W62" s="28"/>
      <c r="X62" s="28"/>
      <c r="Y62" s="28"/>
      <c r="Z62" s="28"/>
    </row>
    <row r="63" spans="1:26" ht="15.75" thickBot="1">
      <c r="A63" s="29">
        <v>62</v>
      </c>
      <c r="B63" s="29">
        <v>7</v>
      </c>
      <c r="C63" s="28" t="s">
        <v>481</v>
      </c>
      <c r="D63" s="28" t="s">
        <v>10</v>
      </c>
      <c r="E63" s="28" t="s">
        <v>28</v>
      </c>
      <c r="F63" s="28" t="s">
        <v>114</v>
      </c>
      <c r="G63" s="29">
        <v>62</v>
      </c>
      <c r="H63" s="29">
        <v>7</v>
      </c>
      <c r="I63" s="28"/>
      <c r="J63" s="28"/>
      <c r="K63" s="28"/>
      <c r="L63" s="28"/>
      <c r="M63" s="28"/>
      <c r="N63" s="28"/>
      <c r="O63" s="28"/>
      <c r="P63" s="28"/>
      <c r="Q63" s="28"/>
      <c r="R63" s="28"/>
      <c r="S63" s="28"/>
      <c r="T63" s="28"/>
      <c r="U63" s="28"/>
      <c r="V63" s="28"/>
      <c r="W63" s="28"/>
      <c r="X63" s="28"/>
      <c r="Y63" s="28"/>
      <c r="Z63" s="28"/>
    </row>
    <row r="64" spans="1:26" ht="15.75" thickBot="1">
      <c r="A64" s="29">
        <v>63</v>
      </c>
      <c r="B64" s="29">
        <v>7</v>
      </c>
      <c r="C64" s="28" t="s">
        <v>463</v>
      </c>
      <c r="D64" s="28" t="s">
        <v>2</v>
      </c>
      <c r="E64" s="28" t="s">
        <v>17</v>
      </c>
      <c r="F64" s="28" t="s">
        <v>181</v>
      </c>
      <c r="G64" s="29">
        <v>63</v>
      </c>
      <c r="H64" s="29">
        <v>7</v>
      </c>
      <c r="I64" s="28"/>
      <c r="J64" s="28"/>
      <c r="K64" s="28"/>
      <c r="L64" s="28"/>
      <c r="M64" s="28"/>
      <c r="N64" s="28"/>
      <c r="O64" s="28"/>
      <c r="P64" s="28"/>
      <c r="Q64" s="28"/>
      <c r="R64" s="28"/>
      <c r="S64" s="28"/>
      <c r="T64" s="28"/>
      <c r="U64" s="28"/>
      <c r="V64" s="28"/>
      <c r="W64" s="28"/>
      <c r="X64" s="28"/>
      <c r="Y64" s="28"/>
      <c r="Z64" s="28"/>
    </row>
    <row r="65" spans="1:26" ht="15.75" thickBot="1">
      <c r="A65" s="29">
        <v>64</v>
      </c>
      <c r="B65" s="29">
        <v>7</v>
      </c>
      <c r="C65" s="28" t="s">
        <v>102</v>
      </c>
      <c r="D65" s="28" t="s">
        <v>2</v>
      </c>
      <c r="E65" s="28" t="s">
        <v>91</v>
      </c>
      <c r="F65" s="28" t="s">
        <v>469</v>
      </c>
      <c r="G65" s="29">
        <v>64</v>
      </c>
      <c r="H65" s="29">
        <v>7</v>
      </c>
      <c r="I65" s="28"/>
      <c r="J65" s="28"/>
      <c r="K65" s="28"/>
      <c r="L65" s="28"/>
      <c r="M65" s="28"/>
      <c r="N65" s="28"/>
      <c r="O65" s="28"/>
      <c r="P65" s="28"/>
      <c r="Q65" s="28"/>
      <c r="R65" s="28"/>
      <c r="S65" s="28"/>
      <c r="T65" s="28"/>
      <c r="U65" s="28"/>
      <c r="V65" s="28"/>
      <c r="W65" s="28"/>
      <c r="X65" s="28"/>
      <c r="Y65" s="28"/>
      <c r="Z65" s="28"/>
    </row>
    <row r="66" spans="1:26" ht="15.75" thickBot="1">
      <c r="A66" s="29">
        <v>65</v>
      </c>
      <c r="B66" s="29">
        <v>7</v>
      </c>
      <c r="C66" s="28" t="s">
        <v>31</v>
      </c>
      <c r="D66" s="28" t="s">
        <v>2</v>
      </c>
      <c r="E66" s="28" t="s">
        <v>32</v>
      </c>
      <c r="F66" s="28" t="s">
        <v>0</v>
      </c>
      <c r="G66" s="29">
        <v>65</v>
      </c>
      <c r="H66" s="29">
        <v>7</v>
      </c>
      <c r="I66" s="28"/>
      <c r="J66" s="28"/>
      <c r="K66" s="28"/>
      <c r="L66" s="28"/>
      <c r="M66" s="28"/>
      <c r="N66" s="28"/>
      <c r="O66" s="28"/>
      <c r="P66" s="28"/>
      <c r="Q66" s="28"/>
      <c r="R66" s="28"/>
      <c r="S66" s="28"/>
      <c r="T66" s="28"/>
      <c r="U66" s="28"/>
      <c r="V66" s="28"/>
      <c r="W66" s="28"/>
      <c r="X66" s="28"/>
      <c r="Y66" s="28"/>
      <c r="Z66" s="28"/>
    </row>
    <row r="67" spans="1:26" ht="15.75" thickBot="1">
      <c r="A67" s="29">
        <v>66</v>
      </c>
      <c r="B67" s="29">
        <v>7</v>
      </c>
      <c r="C67" s="28" t="s">
        <v>482</v>
      </c>
      <c r="D67" s="28" t="s">
        <v>10</v>
      </c>
      <c r="E67" s="28" t="s">
        <v>91</v>
      </c>
      <c r="F67" s="28" t="s">
        <v>58</v>
      </c>
      <c r="G67" s="29">
        <v>66</v>
      </c>
      <c r="H67" s="29">
        <v>7</v>
      </c>
      <c r="I67" s="28"/>
      <c r="J67" s="28"/>
      <c r="K67" s="28"/>
      <c r="L67" s="28"/>
      <c r="M67" s="28"/>
      <c r="N67" s="28"/>
      <c r="O67" s="28"/>
      <c r="P67" s="28"/>
      <c r="Q67" s="28"/>
      <c r="R67" s="28"/>
      <c r="S67" s="28"/>
      <c r="T67" s="28"/>
      <c r="U67" s="28"/>
      <c r="V67" s="28"/>
      <c r="W67" s="28"/>
      <c r="X67" s="28"/>
      <c r="Y67" s="28"/>
      <c r="Z67" s="28"/>
    </row>
    <row r="68" spans="1:26" ht="15.75" thickBot="1">
      <c r="A68" s="29">
        <v>67</v>
      </c>
      <c r="B68" s="29">
        <v>7</v>
      </c>
      <c r="C68" s="28" t="s">
        <v>119</v>
      </c>
      <c r="D68" s="28" t="s">
        <v>2</v>
      </c>
      <c r="E68" s="28" t="s">
        <v>13</v>
      </c>
      <c r="F68" s="28" t="s">
        <v>37</v>
      </c>
      <c r="G68" s="29">
        <v>67</v>
      </c>
      <c r="H68" s="29">
        <v>7</v>
      </c>
      <c r="I68" s="28"/>
      <c r="J68" s="28"/>
      <c r="K68" s="28"/>
      <c r="L68" s="28"/>
      <c r="M68" s="28"/>
      <c r="N68" s="28"/>
      <c r="O68" s="28"/>
      <c r="P68" s="28"/>
      <c r="Q68" s="28"/>
      <c r="R68" s="28"/>
      <c r="S68" s="28"/>
      <c r="T68" s="28"/>
      <c r="U68" s="28"/>
      <c r="V68" s="28"/>
      <c r="W68" s="28"/>
      <c r="X68" s="28"/>
      <c r="Y68" s="28"/>
      <c r="Z68" s="28"/>
    </row>
    <row r="69" spans="1:26" ht="15.75" thickBot="1">
      <c r="A69" s="29">
        <v>68</v>
      </c>
      <c r="B69" s="29">
        <v>7</v>
      </c>
      <c r="C69" s="28" t="s">
        <v>157</v>
      </c>
      <c r="D69" s="28" t="s">
        <v>2</v>
      </c>
      <c r="E69" s="28" t="s">
        <v>135</v>
      </c>
      <c r="F69" s="28" t="s">
        <v>470</v>
      </c>
      <c r="G69" s="29">
        <v>68</v>
      </c>
      <c r="H69" s="29">
        <v>7</v>
      </c>
      <c r="I69" s="28"/>
      <c r="J69" s="28"/>
      <c r="K69" s="28"/>
      <c r="L69" s="28"/>
      <c r="M69" s="28"/>
      <c r="N69" s="28"/>
      <c r="O69" s="28"/>
      <c r="P69" s="28"/>
      <c r="Q69" s="28"/>
      <c r="R69" s="28"/>
      <c r="S69" s="28"/>
      <c r="T69" s="28"/>
      <c r="U69" s="28"/>
      <c r="V69" s="28"/>
      <c r="W69" s="28"/>
      <c r="X69" s="28"/>
      <c r="Y69" s="28"/>
      <c r="Z69" s="28"/>
    </row>
    <row r="70" spans="1:26" ht="15.75" thickBot="1">
      <c r="A70" s="29">
        <v>69</v>
      </c>
      <c r="B70" s="29">
        <v>7</v>
      </c>
      <c r="C70" s="28" t="s">
        <v>193</v>
      </c>
      <c r="D70" s="28" t="s">
        <v>2</v>
      </c>
      <c r="E70" s="28" t="s">
        <v>35</v>
      </c>
      <c r="F70" s="28" t="s">
        <v>385</v>
      </c>
      <c r="G70" s="29">
        <v>69</v>
      </c>
      <c r="H70" s="29">
        <v>7</v>
      </c>
      <c r="I70" s="28"/>
      <c r="J70" s="28"/>
      <c r="K70" s="28"/>
      <c r="L70" s="28"/>
      <c r="M70" s="28"/>
      <c r="N70" s="28"/>
      <c r="O70" s="28"/>
      <c r="P70" s="28"/>
      <c r="Q70" s="28"/>
      <c r="R70" s="28"/>
      <c r="S70" s="28"/>
      <c r="T70" s="28"/>
      <c r="U70" s="28"/>
      <c r="V70" s="28"/>
      <c r="W70" s="28"/>
      <c r="X70" s="28"/>
      <c r="Y70" s="28"/>
      <c r="Z70" s="28"/>
    </row>
    <row r="71" spans="1:26" ht="15.75" thickBot="1">
      <c r="A71" s="31">
        <v>70</v>
      </c>
      <c r="B71" s="31">
        <v>7</v>
      </c>
      <c r="C71" s="33" t="s">
        <v>189</v>
      </c>
      <c r="D71" s="33" t="s">
        <v>5</v>
      </c>
      <c r="E71" s="33" t="s">
        <v>32</v>
      </c>
      <c r="F71" s="33" t="s">
        <v>471</v>
      </c>
      <c r="G71" s="31">
        <v>70</v>
      </c>
      <c r="H71" s="31">
        <v>7</v>
      </c>
      <c r="I71" s="28"/>
      <c r="J71" s="28"/>
      <c r="K71" s="28"/>
      <c r="L71" s="28"/>
      <c r="M71" s="28"/>
      <c r="N71" s="28"/>
      <c r="O71" s="28"/>
      <c r="P71" s="28"/>
      <c r="Q71" s="28"/>
      <c r="R71" s="28"/>
      <c r="S71" s="28"/>
      <c r="T71" s="28"/>
      <c r="U71" s="28"/>
      <c r="V71" s="28"/>
      <c r="W71" s="28"/>
      <c r="X71" s="28"/>
      <c r="Y71" s="28"/>
      <c r="Z71" s="28"/>
    </row>
    <row r="72" spans="1:26" ht="15.75" thickBot="1">
      <c r="A72" s="29">
        <v>71</v>
      </c>
      <c r="B72" s="29">
        <v>8</v>
      </c>
      <c r="C72" s="28" t="s">
        <v>51</v>
      </c>
      <c r="D72" s="28" t="s">
        <v>10</v>
      </c>
      <c r="E72" s="28" t="s">
        <v>6</v>
      </c>
      <c r="F72" s="28" t="s">
        <v>471</v>
      </c>
      <c r="G72" s="29">
        <v>71</v>
      </c>
      <c r="H72" s="29">
        <v>8</v>
      </c>
      <c r="I72" s="28"/>
      <c r="J72" s="28"/>
      <c r="K72" s="28"/>
      <c r="L72" s="28"/>
      <c r="M72" s="28"/>
      <c r="N72" s="28"/>
      <c r="O72" s="28"/>
      <c r="P72" s="28"/>
      <c r="Q72" s="28"/>
      <c r="R72" s="28"/>
      <c r="S72" s="28"/>
      <c r="T72" s="28"/>
      <c r="U72" s="28"/>
      <c r="V72" s="28"/>
      <c r="W72" s="28"/>
      <c r="X72" s="28"/>
      <c r="Y72" s="28"/>
      <c r="Z72" s="28"/>
    </row>
    <row r="73" spans="1:26" ht="15.75" thickBot="1">
      <c r="A73" s="29">
        <v>72</v>
      </c>
      <c r="B73" s="29">
        <v>8</v>
      </c>
      <c r="C73" s="28" t="s">
        <v>484</v>
      </c>
      <c r="D73" s="28" t="s">
        <v>10</v>
      </c>
      <c r="E73" s="28" t="s">
        <v>30</v>
      </c>
      <c r="F73" s="28" t="s">
        <v>385</v>
      </c>
      <c r="G73" s="29">
        <v>72</v>
      </c>
      <c r="H73" s="29">
        <v>8</v>
      </c>
      <c r="I73" s="28"/>
      <c r="J73" s="28"/>
      <c r="K73" s="28"/>
      <c r="L73" s="28"/>
      <c r="M73" s="28"/>
      <c r="N73" s="28"/>
      <c r="O73" s="28"/>
      <c r="P73" s="28"/>
      <c r="Q73" s="28"/>
      <c r="R73" s="28"/>
      <c r="S73" s="28"/>
      <c r="T73" s="28"/>
      <c r="U73" s="28"/>
      <c r="V73" s="28"/>
      <c r="W73" s="28"/>
      <c r="X73" s="28"/>
      <c r="Y73" s="28"/>
      <c r="Z73" s="28"/>
    </row>
    <row r="74" spans="1:26" ht="15.75" thickBot="1">
      <c r="A74" s="29">
        <v>73</v>
      </c>
      <c r="B74" s="29">
        <v>8</v>
      </c>
      <c r="C74" s="28" t="s">
        <v>70</v>
      </c>
      <c r="D74" s="28" t="s">
        <v>10</v>
      </c>
      <c r="E74" s="28" t="s">
        <v>11</v>
      </c>
      <c r="F74" s="28" t="s">
        <v>470</v>
      </c>
      <c r="G74" s="29">
        <v>73</v>
      </c>
      <c r="H74" s="29">
        <v>8</v>
      </c>
      <c r="I74" s="28"/>
      <c r="J74" s="28"/>
      <c r="K74" s="28"/>
      <c r="L74" s="28"/>
      <c r="M74" s="28"/>
      <c r="N74" s="28"/>
      <c r="O74" s="28"/>
      <c r="P74" s="28"/>
      <c r="Q74" s="28"/>
      <c r="R74" s="28"/>
      <c r="S74" s="28"/>
      <c r="T74" s="28"/>
      <c r="U74" s="28"/>
      <c r="V74" s="28"/>
      <c r="W74" s="28"/>
      <c r="X74" s="28"/>
      <c r="Y74" s="28"/>
      <c r="Z74" s="28"/>
    </row>
    <row r="75" spans="1:26" ht="15.75" thickBot="1">
      <c r="A75" s="29">
        <v>74</v>
      </c>
      <c r="B75" s="29">
        <v>8</v>
      </c>
      <c r="C75" s="28" t="s">
        <v>81</v>
      </c>
      <c r="D75" s="28" t="s">
        <v>5</v>
      </c>
      <c r="E75" s="28" t="s">
        <v>82</v>
      </c>
      <c r="F75" s="28" t="s">
        <v>37</v>
      </c>
      <c r="G75" s="29">
        <v>74</v>
      </c>
      <c r="H75" s="29">
        <v>8</v>
      </c>
      <c r="I75" s="28"/>
      <c r="J75" s="28"/>
      <c r="K75" s="28"/>
      <c r="L75" s="28"/>
      <c r="M75" s="28"/>
      <c r="N75" s="28"/>
      <c r="O75" s="28"/>
      <c r="P75" s="28"/>
      <c r="Q75" s="28"/>
      <c r="R75" s="28"/>
      <c r="S75" s="28"/>
      <c r="T75" s="28"/>
      <c r="U75" s="28"/>
      <c r="V75" s="28"/>
      <c r="W75" s="28"/>
      <c r="X75" s="28"/>
      <c r="Y75" s="28"/>
      <c r="Z75" s="28"/>
    </row>
    <row r="76" spans="1:26" ht="15.75" thickBot="1">
      <c r="A76" s="29">
        <v>75</v>
      </c>
      <c r="B76" s="29">
        <v>8</v>
      </c>
      <c r="C76" s="30" t="s">
        <v>174</v>
      </c>
      <c r="D76" s="28" t="s">
        <v>10</v>
      </c>
      <c r="E76" s="28" t="s">
        <v>137</v>
      </c>
      <c r="F76" s="28" t="s">
        <v>58</v>
      </c>
      <c r="G76" s="29">
        <v>75</v>
      </c>
      <c r="H76" s="29">
        <v>8</v>
      </c>
      <c r="I76" s="28"/>
      <c r="J76" s="28"/>
      <c r="K76" s="28"/>
      <c r="L76" s="28"/>
      <c r="M76" s="28"/>
      <c r="N76" s="28"/>
      <c r="O76" s="28"/>
      <c r="P76" s="28"/>
      <c r="Q76" s="28"/>
      <c r="R76" s="28"/>
      <c r="S76" s="28"/>
      <c r="T76" s="28"/>
      <c r="U76" s="28"/>
      <c r="V76" s="28"/>
      <c r="W76" s="28"/>
      <c r="X76" s="28"/>
      <c r="Y76" s="28"/>
      <c r="Z76" s="28"/>
    </row>
    <row r="77" spans="1:26" ht="15.75" thickBot="1">
      <c r="A77" s="29">
        <v>76</v>
      </c>
      <c r="B77" s="29">
        <v>8</v>
      </c>
      <c r="C77" s="28" t="s">
        <v>486</v>
      </c>
      <c r="D77" s="28" t="s">
        <v>27</v>
      </c>
      <c r="E77" s="28" t="s">
        <v>107</v>
      </c>
      <c r="F77" s="28" t="s">
        <v>0</v>
      </c>
      <c r="G77" s="29">
        <v>76</v>
      </c>
      <c r="H77" s="29">
        <v>8</v>
      </c>
      <c r="I77" s="28"/>
      <c r="J77" s="28"/>
      <c r="K77" s="28"/>
      <c r="L77" s="28"/>
      <c r="M77" s="28"/>
      <c r="N77" s="28"/>
      <c r="O77" s="28"/>
      <c r="P77" s="28"/>
      <c r="Q77" s="28"/>
      <c r="R77" s="28"/>
      <c r="S77" s="28"/>
      <c r="T77" s="28"/>
      <c r="U77" s="28"/>
      <c r="V77" s="28"/>
      <c r="W77" s="28"/>
      <c r="X77" s="28"/>
      <c r="Y77" s="28"/>
      <c r="Z77" s="28"/>
    </row>
    <row r="78" spans="1:26" ht="15.75" thickBot="1">
      <c r="A78" s="29">
        <v>77</v>
      </c>
      <c r="B78" s="29">
        <v>8</v>
      </c>
      <c r="C78" s="30" t="s">
        <v>142</v>
      </c>
      <c r="D78" s="28" t="s">
        <v>2</v>
      </c>
      <c r="E78" s="28" t="s">
        <v>41</v>
      </c>
      <c r="F78" s="28" t="s">
        <v>469</v>
      </c>
      <c r="G78" s="29">
        <v>77</v>
      </c>
      <c r="H78" s="29">
        <v>8</v>
      </c>
      <c r="I78" s="28"/>
      <c r="J78" s="28"/>
      <c r="K78" s="28"/>
      <c r="L78" s="28"/>
      <c r="M78" s="28"/>
      <c r="N78" s="28"/>
      <c r="O78" s="28"/>
      <c r="P78" s="28"/>
      <c r="Q78" s="28"/>
      <c r="R78" s="28"/>
      <c r="S78" s="28"/>
      <c r="T78" s="28"/>
      <c r="U78" s="28"/>
      <c r="V78" s="28"/>
      <c r="W78" s="28"/>
      <c r="X78" s="28"/>
      <c r="Y78" s="28"/>
      <c r="Z78" s="28"/>
    </row>
    <row r="79" spans="1:26" ht="15.75" thickBot="1">
      <c r="A79" s="29">
        <v>78</v>
      </c>
      <c r="B79" s="29">
        <v>8</v>
      </c>
      <c r="C79" s="28" t="s">
        <v>416</v>
      </c>
      <c r="D79" s="28" t="s">
        <v>27</v>
      </c>
      <c r="E79" s="28" t="s">
        <v>35</v>
      </c>
      <c r="F79" s="28" t="s">
        <v>181</v>
      </c>
      <c r="G79" s="29">
        <v>78</v>
      </c>
      <c r="H79" s="29">
        <v>8</v>
      </c>
      <c r="I79" s="28"/>
      <c r="J79" s="28"/>
      <c r="K79" s="28"/>
      <c r="L79" s="28"/>
      <c r="M79" s="28"/>
      <c r="N79" s="28"/>
      <c r="O79" s="28"/>
      <c r="P79" s="28"/>
      <c r="Q79" s="28"/>
      <c r="R79" s="28"/>
      <c r="S79" s="28"/>
      <c r="T79" s="28"/>
      <c r="U79" s="28"/>
      <c r="V79" s="28"/>
      <c r="W79" s="28"/>
      <c r="X79" s="28"/>
      <c r="Y79" s="28"/>
      <c r="Z79" s="28"/>
    </row>
    <row r="80" spans="1:26" ht="15.75" thickBot="1">
      <c r="A80" s="29">
        <v>79</v>
      </c>
      <c r="B80" s="29">
        <v>8</v>
      </c>
      <c r="C80" s="28" t="s">
        <v>140</v>
      </c>
      <c r="D80" s="28" t="s">
        <v>27</v>
      </c>
      <c r="E80" s="28" t="s">
        <v>41</v>
      </c>
      <c r="F80" s="28" t="s">
        <v>114</v>
      </c>
      <c r="G80" s="29">
        <v>79</v>
      </c>
      <c r="H80" s="29">
        <v>8</v>
      </c>
      <c r="I80" s="28"/>
      <c r="J80" s="28"/>
      <c r="K80" s="28"/>
      <c r="L80" s="28"/>
      <c r="M80" s="28"/>
      <c r="N80" s="28"/>
      <c r="O80" s="28"/>
      <c r="P80" s="28"/>
      <c r="Q80" s="28"/>
      <c r="R80" s="28"/>
      <c r="S80" s="28"/>
      <c r="T80" s="28"/>
      <c r="U80" s="28"/>
      <c r="V80" s="28"/>
      <c r="W80" s="28"/>
      <c r="X80" s="28"/>
      <c r="Y80" s="28"/>
      <c r="Z80" s="28"/>
    </row>
    <row r="81" spans="1:26" ht="15.75" thickBot="1">
      <c r="A81" s="31">
        <v>80</v>
      </c>
      <c r="B81" s="31">
        <v>8</v>
      </c>
      <c r="C81" s="33" t="s">
        <v>487</v>
      </c>
      <c r="D81" s="33" t="s">
        <v>2</v>
      </c>
      <c r="E81" s="33" t="s">
        <v>46</v>
      </c>
      <c r="F81" s="33" t="s">
        <v>97</v>
      </c>
      <c r="G81" s="31">
        <v>80</v>
      </c>
      <c r="H81" s="31">
        <v>8</v>
      </c>
      <c r="I81" s="28"/>
      <c r="J81" s="28"/>
      <c r="K81" s="28"/>
      <c r="L81" s="28"/>
      <c r="M81" s="28"/>
      <c r="N81" s="28"/>
      <c r="O81" s="28"/>
      <c r="P81" s="28"/>
      <c r="Q81" s="28"/>
      <c r="R81" s="28"/>
      <c r="S81" s="28"/>
      <c r="T81" s="28"/>
      <c r="U81" s="28"/>
      <c r="V81" s="28"/>
      <c r="W81" s="28"/>
      <c r="X81" s="28"/>
      <c r="Y81" s="28"/>
      <c r="Z81" s="28"/>
    </row>
    <row r="82" spans="1:26" ht="15.75" thickBot="1">
      <c r="A82" s="29">
        <v>81</v>
      </c>
      <c r="B82" s="29">
        <v>9</v>
      </c>
      <c r="C82" s="30" t="s">
        <v>454</v>
      </c>
      <c r="D82" s="28" t="s">
        <v>10</v>
      </c>
      <c r="E82" s="28" t="s">
        <v>82</v>
      </c>
      <c r="F82" s="28" t="s">
        <v>97</v>
      </c>
      <c r="G82" s="29">
        <v>81</v>
      </c>
      <c r="H82" s="29">
        <v>9</v>
      </c>
      <c r="I82" s="28"/>
      <c r="J82" s="28"/>
      <c r="K82" s="28"/>
      <c r="L82" s="28"/>
      <c r="M82" s="28"/>
      <c r="N82" s="28"/>
      <c r="O82" s="28"/>
      <c r="P82" s="28"/>
      <c r="Q82" s="28"/>
      <c r="R82" s="28"/>
      <c r="S82" s="28"/>
      <c r="T82" s="28"/>
      <c r="U82" s="28"/>
      <c r="V82" s="28"/>
      <c r="W82" s="28"/>
      <c r="X82" s="28"/>
      <c r="Y82" s="28"/>
      <c r="Z82" s="28"/>
    </row>
    <row r="83" spans="1:26" ht="15.75" thickBot="1">
      <c r="A83" s="29">
        <v>82</v>
      </c>
      <c r="B83" s="29">
        <v>9</v>
      </c>
      <c r="C83" s="30" t="s">
        <v>125</v>
      </c>
      <c r="D83" s="28" t="s">
        <v>2</v>
      </c>
      <c r="E83" s="28" t="s">
        <v>6</v>
      </c>
      <c r="F83" s="28" t="s">
        <v>114</v>
      </c>
      <c r="G83" s="29">
        <v>82</v>
      </c>
      <c r="H83" s="29">
        <v>9</v>
      </c>
      <c r="I83" s="28"/>
      <c r="J83" s="28"/>
      <c r="K83" s="28"/>
      <c r="L83" s="28"/>
      <c r="M83" s="28"/>
      <c r="N83" s="28"/>
      <c r="O83" s="28"/>
      <c r="P83" s="28"/>
      <c r="Q83" s="28"/>
      <c r="R83" s="28"/>
      <c r="S83" s="28"/>
      <c r="T83" s="28"/>
      <c r="U83" s="28"/>
      <c r="V83" s="28"/>
      <c r="W83" s="28"/>
      <c r="X83" s="28"/>
      <c r="Y83" s="28"/>
      <c r="Z83" s="28"/>
    </row>
    <row r="84" spans="1:26" ht="15.75" thickBot="1">
      <c r="A84" s="29">
        <v>83</v>
      </c>
      <c r="B84" s="29">
        <v>9</v>
      </c>
      <c r="C84" s="30" t="s">
        <v>191</v>
      </c>
      <c r="D84" s="28" t="s">
        <v>10</v>
      </c>
      <c r="E84" s="28" t="s">
        <v>107</v>
      </c>
      <c r="F84" s="28" t="s">
        <v>181</v>
      </c>
      <c r="G84" s="29">
        <v>83</v>
      </c>
      <c r="H84" s="29">
        <v>9</v>
      </c>
      <c r="I84" s="28"/>
      <c r="J84" s="28"/>
      <c r="K84" s="28"/>
      <c r="L84" s="28"/>
      <c r="M84" s="28"/>
      <c r="N84" s="28"/>
      <c r="O84" s="28"/>
      <c r="P84" s="28"/>
      <c r="Q84" s="28"/>
      <c r="R84" s="28"/>
      <c r="S84" s="28"/>
      <c r="T84" s="28"/>
      <c r="U84" s="28"/>
      <c r="V84" s="28"/>
      <c r="W84" s="28"/>
      <c r="X84" s="28"/>
      <c r="Y84" s="28"/>
      <c r="Z84" s="28"/>
    </row>
    <row r="85" spans="1:26" ht="15.75" thickBot="1">
      <c r="A85" s="29">
        <v>84</v>
      </c>
      <c r="B85" s="29">
        <v>9</v>
      </c>
      <c r="C85" s="28" t="s">
        <v>488</v>
      </c>
      <c r="D85" s="28" t="s">
        <v>10</v>
      </c>
      <c r="E85" s="28" t="s">
        <v>73</v>
      </c>
      <c r="F85" s="28" t="s">
        <v>469</v>
      </c>
      <c r="G85" s="29">
        <v>84</v>
      </c>
      <c r="H85" s="29">
        <v>9</v>
      </c>
      <c r="I85" s="28"/>
      <c r="J85" s="28"/>
      <c r="K85" s="28"/>
      <c r="L85" s="28"/>
      <c r="M85" s="28"/>
      <c r="N85" s="28"/>
      <c r="O85" s="28"/>
      <c r="P85" s="28"/>
      <c r="Q85" s="28"/>
      <c r="R85" s="28"/>
      <c r="S85" s="28"/>
      <c r="T85" s="28"/>
      <c r="U85" s="28"/>
      <c r="V85" s="28"/>
      <c r="W85" s="28"/>
      <c r="X85" s="28"/>
      <c r="Y85" s="28"/>
      <c r="Z85" s="28"/>
    </row>
    <row r="86" spans="1:26" ht="15.75" thickBot="1">
      <c r="A86" s="29">
        <v>85</v>
      </c>
      <c r="B86" s="29">
        <v>9</v>
      </c>
      <c r="C86" s="28" t="s">
        <v>130</v>
      </c>
      <c r="D86" s="28" t="s">
        <v>2</v>
      </c>
      <c r="E86" s="28" t="s">
        <v>23</v>
      </c>
      <c r="F86" s="28" t="s">
        <v>0</v>
      </c>
      <c r="G86" s="29">
        <v>85</v>
      </c>
      <c r="H86" s="29">
        <v>9</v>
      </c>
      <c r="I86" s="28"/>
      <c r="J86" s="28"/>
      <c r="K86" s="28"/>
      <c r="L86" s="28"/>
      <c r="M86" s="28"/>
      <c r="N86" s="28"/>
      <c r="O86" s="28"/>
      <c r="P86" s="28"/>
      <c r="Q86" s="28"/>
      <c r="R86" s="28"/>
      <c r="S86" s="28"/>
      <c r="T86" s="28"/>
      <c r="U86" s="28"/>
      <c r="V86" s="28"/>
      <c r="W86" s="28"/>
      <c r="X86" s="28"/>
      <c r="Y86" s="28"/>
      <c r="Z86" s="28"/>
    </row>
    <row r="87" spans="1:26" ht="15.75" thickBot="1">
      <c r="A87" s="29">
        <v>86</v>
      </c>
      <c r="B87" s="29">
        <v>9</v>
      </c>
      <c r="C87" s="28" t="s">
        <v>117</v>
      </c>
      <c r="D87" s="28" t="s">
        <v>27</v>
      </c>
      <c r="E87" s="28" t="s">
        <v>91</v>
      </c>
      <c r="F87" s="28" t="s">
        <v>58</v>
      </c>
      <c r="G87" s="29">
        <v>86</v>
      </c>
      <c r="H87" s="29">
        <v>9</v>
      </c>
      <c r="I87" s="28"/>
      <c r="J87" s="28"/>
      <c r="K87" s="28"/>
      <c r="L87" s="28"/>
      <c r="M87" s="28"/>
      <c r="N87" s="28"/>
      <c r="O87" s="28"/>
      <c r="P87" s="28"/>
      <c r="Q87" s="28"/>
      <c r="R87" s="28"/>
      <c r="S87" s="28"/>
      <c r="T87" s="28"/>
      <c r="U87" s="28"/>
      <c r="V87" s="28"/>
      <c r="W87" s="28"/>
      <c r="X87" s="28"/>
      <c r="Y87" s="28"/>
      <c r="Z87" s="28"/>
    </row>
    <row r="88" spans="1:26" ht="15.75" thickBot="1">
      <c r="A88" s="29">
        <v>87</v>
      </c>
      <c r="B88" s="29">
        <v>9</v>
      </c>
      <c r="C88" s="28" t="s">
        <v>57</v>
      </c>
      <c r="D88" s="28" t="s">
        <v>2</v>
      </c>
      <c r="E88" s="28" t="s">
        <v>30</v>
      </c>
      <c r="F88" s="28" t="s">
        <v>37</v>
      </c>
      <c r="G88" s="29">
        <v>87</v>
      </c>
      <c r="H88" s="29">
        <v>9</v>
      </c>
      <c r="I88" s="28"/>
      <c r="J88" s="28"/>
      <c r="K88" s="28"/>
      <c r="L88" s="28"/>
      <c r="M88" s="28"/>
      <c r="N88" s="28"/>
      <c r="O88" s="28"/>
      <c r="P88" s="28"/>
      <c r="Q88" s="28"/>
      <c r="R88" s="28"/>
      <c r="S88" s="28"/>
      <c r="T88" s="28"/>
      <c r="U88" s="28"/>
      <c r="V88" s="28"/>
      <c r="W88" s="28"/>
      <c r="X88" s="28"/>
      <c r="Y88" s="28"/>
      <c r="Z88" s="28"/>
    </row>
    <row r="89" spans="1:26" ht="15.75" thickBot="1">
      <c r="A89" s="29">
        <v>88</v>
      </c>
      <c r="B89" s="29">
        <v>9</v>
      </c>
      <c r="C89" s="28" t="s">
        <v>425</v>
      </c>
      <c r="D89" s="28" t="s">
        <v>2</v>
      </c>
      <c r="E89" s="28" t="s">
        <v>120</v>
      </c>
      <c r="F89" s="28" t="s">
        <v>470</v>
      </c>
      <c r="G89" s="29">
        <v>88</v>
      </c>
      <c r="H89" s="29">
        <v>9</v>
      </c>
      <c r="I89" s="28"/>
      <c r="J89" s="28"/>
      <c r="K89" s="28"/>
      <c r="L89" s="28"/>
      <c r="M89" s="28"/>
      <c r="N89" s="28"/>
      <c r="O89" s="28"/>
      <c r="P89" s="28"/>
      <c r="Q89" s="28"/>
      <c r="R89" s="28"/>
      <c r="S89" s="28"/>
      <c r="T89" s="28"/>
      <c r="U89" s="28"/>
      <c r="V89" s="28"/>
      <c r="W89" s="28"/>
      <c r="X89" s="28"/>
      <c r="Y89" s="28"/>
      <c r="Z89" s="28"/>
    </row>
    <row r="90" spans="1:26" ht="15.75" thickBot="1">
      <c r="A90" s="29">
        <v>89</v>
      </c>
      <c r="B90" s="29">
        <v>9</v>
      </c>
      <c r="C90" s="28" t="s">
        <v>132</v>
      </c>
      <c r="D90" s="28" t="s">
        <v>2</v>
      </c>
      <c r="E90" s="28" t="s">
        <v>8</v>
      </c>
      <c r="F90" s="28" t="s">
        <v>385</v>
      </c>
      <c r="G90" s="29">
        <v>89</v>
      </c>
      <c r="H90" s="29">
        <v>9</v>
      </c>
      <c r="I90" s="28"/>
      <c r="J90" s="28"/>
      <c r="K90" s="28"/>
      <c r="L90" s="28"/>
      <c r="M90" s="28"/>
      <c r="N90" s="28"/>
      <c r="O90" s="28"/>
      <c r="P90" s="28"/>
      <c r="Q90" s="28"/>
      <c r="R90" s="28"/>
      <c r="S90" s="28"/>
      <c r="T90" s="28"/>
      <c r="U90" s="28"/>
      <c r="V90" s="28"/>
      <c r="W90" s="28"/>
      <c r="X90" s="28"/>
      <c r="Y90" s="28"/>
      <c r="Z90" s="28"/>
    </row>
    <row r="91" spans="1:26" ht="15.75" thickBot="1">
      <c r="A91" s="31">
        <v>90</v>
      </c>
      <c r="B91" s="31">
        <v>9</v>
      </c>
      <c r="C91" s="33" t="s">
        <v>489</v>
      </c>
      <c r="D91" s="33" t="s">
        <v>36</v>
      </c>
      <c r="E91" s="33" t="s">
        <v>63</v>
      </c>
      <c r="F91" s="33" t="s">
        <v>471</v>
      </c>
      <c r="G91" s="31">
        <v>90</v>
      </c>
      <c r="H91" s="31">
        <v>9</v>
      </c>
      <c r="I91" s="28"/>
      <c r="J91" s="28"/>
      <c r="K91" s="28"/>
      <c r="L91" s="28"/>
      <c r="M91" s="28"/>
      <c r="N91" s="28"/>
      <c r="O91" s="28"/>
      <c r="P91" s="28"/>
      <c r="Q91" s="28"/>
      <c r="R91" s="28"/>
      <c r="S91" s="28"/>
      <c r="T91" s="28"/>
      <c r="U91" s="28"/>
      <c r="V91" s="28"/>
      <c r="W91" s="28"/>
      <c r="X91" s="28"/>
      <c r="Y91" s="28"/>
      <c r="Z91" s="28"/>
    </row>
    <row r="92" spans="1:26" ht="15.75" thickBot="1">
      <c r="A92" s="29">
        <v>91</v>
      </c>
      <c r="B92" s="29">
        <v>10</v>
      </c>
      <c r="C92" s="28" t="s">
        <v>113</v>
      </c>
      <c r="D92" s="28" t="s">
        <v>10</v>
      </c>
      <c r="E92" s="28" t="s">
        <v>25</v>
      </c>
      <c r="F92" s="28" t="s">
        <v>471</v>
      </c>
      <c r="G92" s="29">
        <v>91</v>
      </c>
      <c r="H92" s="29">
        <v>10</v>
      </c>
      <c r="I92" s="28"/>
      <c r="J92" s="28"/>
      <c r="K92" s="28"/>
      <c r="L92" s="28"/>
      <c r="M92" s="28"/>
      <c r="N92" s="28"/>
      <c r="O92" s="28"/>
      <c r="P92" s="28"/>
      <c r="Q92" s="28"/>
      <c r="R92" s="28"/>
      <c r="S92" s="28"/>
      <c r="T92" s="28"/>
      <c r="U92" s="28"/>
      <c r="V92" s="28"/>
      <c r="W92" s="28"/>
      <c r="X92" s="28"/>
      <c r="Y92" s="28"/>
      <c r="Z92" s="28"/>
    </row>
    <row r="93" spans="1:26" ht="15.75" thickBot="1">
      <c r="A93" s="29">
        <v>92</v>
      </c>
      <c r="B93" s="29">
        <v>10</v>
      </c>
      <c r="C93" s="30" t="s">
        <v>437</v>
      </c>
      <c r="D93" s="28" t="s">
        <v>10</v>
      </c>
      <c r="E93" s="28" t="s">
        <v>46</v>
      </c>
      <c r="F93" s="28" t="s">
        <v>385</v>
      </c>
      <c r="G93" s="29">
        <v>92</v>
      </c>
      <c r="H93" s="29">
        <v>10</v>
      </c>
      <c r="I93" s="28"/>
      <c r="J93" s="28"/>
      <c r="K93" s="28"/>
      <c r="L93" s="28"/>
      <c r="M93" s="28"/>
      <c r="N93" s="28"/>
      <c r="O93" s="28"/>
      <c r="P93" s="28"/>
      <c r="Q93" s="28"/>
      <c r="R93" s="28"/>
      <c r="S93" s="28"/>
      <c r="T93" s="28"/>
      <c r="U93" s="28"/>
      <c r="V93" s="28"/>
      <c r="W93" s="28"/>
      <c r="X93" s="28"/>
      <c r="Y93" s="28"/>
      <c r="Z93" s="28"/>
    </row>
    <row r="94" spans="1:26" ht="15.75" thickBot="1">
      <c r="A94" s="29">
        <v>93</v>
      </c>
      <c r="B94" s="29">
        <v>10</v>
      </c>
      <c r="C94" s="28" t="s">
        <v>490</v>
      </c>
      <c r="D94" s="28" t="s">
        <v>2</v>
      </c>
      <c r="E94" s="28" t="s">
        <v>63</v>
      </c>
      <c r="F94" s="28" t="s">
        <v>470</v>
      </c>
      <c r="G94" s="29">
        <v>93</v>
      </c>
      <c r="H94" s="29">
        <v>10</v>
      </c>
      <c r="I94" s="28"/>
      <c r="J94" s="28"/>
      <c r="K94" s="28"/>
      <c r="L94" s="28"/>
      <c r="M94" s="28"/>
      <c r="N94" s="28"/>
      <c r="O94" s="28"/>
      <c r="P94" s="28"/>
      <c r="Q94" s="28"/>
      <c r="R94" s="28"/>
      <c r="S94" s="28"/>
      <c r="T94" s="28"/>
      <c r="U94" s="28"/>
      <c r="V94" s="28"/>
      <c r="W94" s="28"/>
      <c r="X94" s="28"/>
      <c r="Y94" s="28"/>
      <c r="Z94" s="28"/>
    </row>
    <row r="95" spans="1:26" ht="15.75" thickBot="1">
      <c r="A95" s="29">
        <v>94</v>
      </c>
      <c r="B95" s="29">
        <v>10</v>
      </c>
      <c r="C95" s="30" t="s">
        <v>428</v>
      </c>
      <c r="D95" s="28" t="s">
        <v>2</v>
      </c>
      <c r="E95" s="28" t="s">
        <v>71</v>
      </c>
      <c r="F95" s="28" t="s">
        <v>37</v>
      </c>
      <c r="G95" s="29">
        <v>94</v>
      </c>
      <c r="H95" s="29">
        <v>10</v>
      </c>
      <c r="I95" s="28"/>
      <c r="J95" s="28"/>
      <c r="K95" s="28"/>
      <c r="L95" s="28"/>
      <c r="M95" s="28"/>
      <c r="N95" s="28"/>
      <c r="O95" s="28"/>
      <c r="P95" s="28"/>
      <c r="Q95" s="28"/>
      <c r="R95" s="28"/>
      <c r="S95" s="28"/>
      <c r="T95" s="28"/>
      <c r="U95" s="28"/>
      <c r="V95" s="28"/>
      <c r="W95" s="28"/>
      <c r="X95" s="28"/>
      <c r="Y95" s="28"/>
      <c r="Z95" s="28"/>
    </row>
    <row r="96" spans="1:26" ht="15.75" thickBot="1">
      <c r="A96" s="29">
        <v>95</v>
      </c>
      <c r="B96" s="29">
        <v>10</v>
      </c>
      <c r="C96" s="28" t="s">
        <v>491</v>
      </c>
      <c r="D96" s="28" t="s">
        <v>36</v>
      </c>
      <c r="E96" s="28" t="s">
        <v>23</v>
      </c>
      <c r="F96" s="28" t="s">
        <v>58</v>
      </c>
      <c r="G96" s="29">
        <v>95</v>
      </c>
      <c r="H96" s="29">
        <v>10</v>
      </c>
      <c r="I96" s="28"/>
      <c r="J96" s="28"/>
      <c r="K96" s="28"/>
      <c r="L96" s="28"/>
      <c r="M96" s="28"/>
      <c r="N96" s="28"/>
      <c r="O96" s="28"/>
      <c r="P96" s="28"/>
      <c r="Q96" s="28"/>
      <c r="R96" s="28"/>
      <c r="S96" s="28"/>
      <c r="T96" s="28"/>
      <c r="U96" s="28"/>
      <c r="V96" s="28"/>
      <c r="W96" s="28"/>
      <c r="X96" s="28"/>
      <c r="Y96" s="28"/>
      <c r="Z96" s="28"/>
    </row>
    <row r="97" spans="1:26" ht="15.75" thickBot="1">
      <c r="A97" s="29">
        <v>96</v>
      </c>
      <c r="B97" s="29">
        <v>10</v>
      </c>
      <c r="C97" s="28" t="s">
        <v>447</v>
      </c>
      <c r="D97" s="28" t="s">
        <v>10</v>
      </c>
      <c r="E97" s="28" t="s">
        <v>6</v>
      </c>
      <c r="F97" s="28" t="s">
        <v>0</v>
      </c>
      <c r="G97" s="29">
        <v>96</v>
      </c>
      <c r="H97" s="29">
        <v>10</v>
      </c>
      <c r="I97" s="28"/>
      <c r="J97" s="28"/>
      <c r="K97" s="28"/>
      <c r="L97" s="28"/>
      <c r="M97" s="28"/>
      <c r="N97" s="28"/>
      <c r="O97" s="28"/>
      <c r="P97" s="28"/>
      <c r="Q97" s="28"/>
      <c r="R97" s="28"/>
      <c r="S97" s="28"/>
      <c r="T97" s="28"/>
      <c r="U97" s="28"/>
      <c r="V97" s="28"/>
      <c r="W97" s="28"/>
      <c r="X97" s="28"/>
      <c r="Y97" s="28"/>
      <c r="Z97" s="28"/>
    </row>
    <row r="98" spans="1:26" ht="15.75" thickBot="1">
      <c r="A98" s="29">
        <v>97</v>
      </c>
      <c r="B98" s="29">
        <v>10</v>
      </c>
      <c r="C98" s="28" t="s">
        <v>462</v>
      </c>
      <c r="D98" s="28" t="s">
        <v>2</v>
      </c>
      <c r="E98" s="28" t="s">
        <v>120</v>
      </c>
      <c r="F98" s="28" t="s">
        <v>469</v>
      </c>
      <c r="G98" s="29">
        <v>97</v>
      </c>
      <c r="H98" s="29">
        <v>10</v>
      </c>
      <c r="I98" s="28"/>
      <c r="J98" s="28"/>
      <c r="K98" s="28"/>
      <c r="L98" s="28"/>
      <c r="M98" s="28"/>
      <c r="N98" s="28"/>
      <c r="O98" s="28"/>
      <c r="P98" s="28"/>
      <c r="Q98" s="28"/>
      <c r="R98" s="28"/>
      <c r="S98" s="28"/>
      <c r="T98" s="28"/>
      <c r="U98" s="28"/>
      <c r="V98" s="28"/>
      <c r="W98" s="28"/>
      <c r="X98" s="28"/>
      <c r="Y98" s="28"/>
      <c r="Z98" s="28"/>
    </row>
    <row r="99" spans="1:26" ht="15.75" thickBot="1">
      <c r="A99" s="29">
        <v>98</v>
      </c>
      <c r="B99" s="29">
        <v>10</v>
      </c>
      <c r="C99" s="28" t="s">
        <v>492</v>
      </c>
      <c r="D99" s="28" t="s">
        <v>36</v>
      </c>
      <c r="E99" s="28" t="s">
        <v>41</v>
      </c>
      <c r="F99" s="28" t="s">
        <v>181</v>
      </c>
      <c r="G99" s="29">
        <v>98</v>
      </c>
      <c r="H99" s="29">
        <v>10</v>
      </c>
      <c r="I99" s="28"/>
      <c r="J99" s="28"/>
      <c r="K99" s="28"/>
      <c r="L99" s="28"/>
      <c r="M99" s="28"/>
      <c r="N99" s="28"/>
      <c r="O99" s="28"/>
      <c r="P99" s="28"/>
      <c r="Q99" s="28"/>
      <c r="R99" s="28"/>
      <c r="S99" s="28"/>
      <c r="T99" s="28"/>
      <c r="U99" s="28"/>
      <c r="V99" s="28"/>
      <c r="W99" s="28"/>
      <c r="X99" s="28"/>
      <c r="Y99" s="28"/>
      <c r="Z99" s="28"/>
    </row>
    <row r="100" spans="1:26" ht="15.75" thickBot="1">
      <c r="A100" s="29">
        <v>99</v>
      </c>
      <c r="B100" s="29">
        <v>10</v>
      </c>
      <c r="C100" s="30" t="s">
        <v>451</v>
      </c>
      <c r="D100" s="28" t="s">
        <v>2</v>
      </c>
      <c r="E100" s="28" t="s">
        <v>3</v>
      </c>
      <c r="F100" s="28" t="s">
        <v>114</v>
      </c>
      <c r="G100" s="29">
        <v>99</v>
      </c>
      <c r="H100" s="29">
        <v>10</v>
      </c>
      <c r="I100" s="28"/>
      <c r="J100" s="28"/>
      <c r="K100" s="28"/>
      <c r="L100" s="28"/>
      <c r="M100" s="28"/>
      <c r="N100" s="28"/>
      <c r="O100" s="28"/>
      <c r="P100" s="28"/>
      <c r="Q100" s="28"/>
      <c r="R100" s="28"/>
      <c r="S100" s="28"/>
      <c r="T100" s="28"/>
      <c r="U100" s="28"/>
      <c r="V100" s="28"/>
      <c r="W100" s="28"/>
      <c r="X100" s="28"/>
      <c r="Y100" s="28"/>
      <c r="Z100" s="28"/>
    </row>
    <row r="101" spans="1:26" ht="15.75" thickBot="1">
      <c r="A101" s="31">
        <v>100</v>
      </c>
      <c r="B101" s="31">
        <v>10</v>
      </c>
      <c r="C101" s="33" t="s">
        <v>493</v>
      </c>
      <c r="D101" s="33" t="s">
        <v>2</v>
      </c>
      <c r="E101" s="33" t="s">
        <v>11</v>
      </c>
      <c r="F101" s="33" t="s">
        <v>97</v>
      </c>
      <c r="G101" s="31">
        <v>100</v>
      </c>
      <c r="H101" s="31">
        <v>10</v>
      </c>
      <c r="I101" s="28"/>
      <c r="J101" s="28"/>
      <c r="K101" s="28"/>
      <c r="L101" s="28"/>
      <c r="M101" s="28"/>
      <c r="N101" s="28"/>
      <c r="O101" s="28"/>
      <c r="P101" s="28"/>
      <c r="Q101" s="28"/>
      <c r="R101" s="28"/>
      <c r="S101" s="28"/>
      <c r="T101" s="28"/>
      <c r="U101" s="28"/>
      <c r="V101" s="28"/>
      <c r="W101" s="28"/>
      <c r="X101" s="28"/>
      <c r="Y101" s="28"/>
      <c r="Z101" s="28"/>
    </row>
    <row r="102" spans="1:26" ht="15.75" thickBot="1">
      <c r="A102" s="29">
        <v>101</v>
      </c>
      <c r="B102" s="29">
        <v>11</v>
      </c>
      <c r="C102" s="28" t="s">
        <v>442</v>
      </c>
      <c r="D102" s="28" t="s">
        <v>2</v>
      </c>
      <c r="E102" s="28" t="s">
        <v>63</v>
      </c>
      <c r="F102" s="28" t="s">
        <v>97</v>
      </c>
      <c r="G102" s="29">
        <v>101</v>
      </c>
      <c r="H102" s="29">
        <v>11</v>
      </c>
      <c r="I102" s="28"/>
      <c r="J102" s="28"/>
      <c r="K102" s="28"/>
      <c r="L102" s="28"/>
      <c r="M102" s="28"/>
      <c r="N102" s="28"/>
      <c r="O102" s="28"/>
      <c r="P102" s="28"/>
      <c r="Q102" s="28"/>
      <c r="R102" s="28"/>
      <c r="S102" s="28"/>
      <c r="T102" s="28"/>
      <c r="U102" s="28"/>
      <c r="V102" s="28"/>
      <c r="W102" s="28"/>
      <c r="X102" s="28"/>
      <c r="Y102" s="28"/>
      <c r="Z102" s="28"/>
    </row>
    <row r="103" spans="1:26" ht="15.75" thickBot="1">
      <c r="A103" s="29">
        <v>102</v>
      </c>
      <c r="B103" s="29">
        <v>11</v>
      </c>
      <c r="C103" s="28" t="s">
        <v>495</v>
      </c>
      <c r="D103" s="28" t="s">
        <v>2</v>
      </c>
      <c r="E103" s="28" t="s">
        <v>15</v>
      </c>
      <c r="F103" s="28" t="s">
        <v>114</v>
      </c>
      <c r="G103" s="29">
        <v>102</v>
      </c>
      <c r="H103" s="29">
        <v>11</v>
      </c>
      <c r="I103" s="28"/>
      <c r="J103" s="28"/>
      <c r="K103" s="28"/>
      <c r="L103" s="28"/>
      <c r="M103" s="28"/>
      <c r="N103" s="28"/>
      <c r="O103" s="28"/>
      <c r="P103" s="28"/>
      <c r="Q103" s="28"/>
      <c r="R103" s="28"/>
      <c r="S103" s="28"/>
      <c r="T103" s="28"/>
      <c r="U103" s="28"/>
      <c r="V103" s="28"/>
      <c r="W103" s="28"/>
      <c r="X103" s="28"/>
      <c r="Y103" s="28"/>
      <c r="Z103" s="28"/>
    </row>
    <row r="104" spans="1:26" ht="15.75" thickBot="1">
      <c r="A104" s="29">
        <v>103</v>
      </c>
      <c r="B104" s="29">
        <v>11</v>
      </c>
      <c r="C104" s="28" t="s">
        <v>89</v>
      </c>
      <c r="D104" s="28" t="s">
        <v>2</v>
      </c>
      <c r="E104" s="28" t="s">
        <v>6</v>
      </c>
      <c r="F104" s="28" t="s">
        <v>181</v>
      </c>
      <c r="G104" s="29">
        <v>103</v>
      </c>
      <c r="H104" s="29">
        <v>11</v>
      </c>
      <c r="I104" s="28"/>
      <c r="J104" s="28"/>
      <c r="K104" s="28"/>
      <c r="L104" s="28"/>
      <c r="M104" s="28"/>
      <c r="N104" s="28"/>
      <c r="O104" s="28"/>
      <c r="P104" s="28"/>
      <c r="Q104" s="28"/>
      <c r="R104" s="28"/>
      <c r="S104" s="28"/>
      <c r="T104" s="28"/>
      <c r="U104" s="28"/>
      <c r="V104" s="28"/>
      <c r="W104" s="28"/>
      <c r="X104" s="28"/>
      <c r="Y104" s="28"/>
      <c r="Z104" s="28"/>
    </row>
    <row r="105" spans="1:26" ht="15.75" thickBot="1">
      <c r="A105" s="29">
        <v>104</v>
      </c>
      <c r="B105" s="29">
        <v>11</v>
      </c>
      <c r="C105" s="28" t="s">
        <v>496</v>
      </c>
      <c r="D105" s="28" t="s">
        <v>36</v>
      </c>
      <c r="E105" s="28" t="s">
        <v>120</v>
      </c>
      <c r="F105" s="28" t="s">
        <v>469</v>
      </c>
      <c r="G105" s="29">
        <v>104</v>
      </c>
      <c r="H105" s="29">
        <v>11</v>
      </c>
      <c r="I105" s="28"/>
      <c r="J105" s="28"/>
      <c r="K105" s="28"/>
      <c r="L105" s="28"/>
      <c r="M105" s="28"/>
      <c r="N105" s="28"/>
      <c r="O105" s="28"/>
      <c r="P105" s="28"/>
      <c r="Q105" s="28"/>
      <c r="R105" s="28"/>
      <c r="S105" s="28"/>
      <c r="T105" s="28"/>
      <c r="U105" s="28"/>
      <c r="V105" s="28"/>
      <c r="W105" s="28"/>
      <c r="X105" s="28"/>
      <c r="Y105" s="28"/>
      <c r="Z105" s="28"/>
    </row>
    <row r="106" spans="1:26" ht="15.75" thickBot="1">
      <c r="A106" s="29">
        <v>105</v>
      </c>
      <c r="B106" s="29">
        <v>11</v>
      </c>
      <c r="C106" s="28" t="s">
        <v>497</v>
      </c>
      <c r="D106" s="28" t="s">
        <v>10</v>
      </c>
      <c r="E106" s="28" t="s">
        <v>135</v>
      </c>
      <c r="F106" s="28" t="s">
        <v>0</v>
      </c>
      <c r="G106" s="29">
        <v>105</v>
      </c>
      <c r="H106" s="29">
        <v>11</v>
      </c>
      <c r="I106" s="28"/>
      <c r="J106" s="28"/>
      <c r="K106" s="28"/>
      <c r="L106" s="28"/>
      <c r="M106" s="28"/>
      <c r="N106" s="28"/>
      <c r="O106" s="28"/>
      <c r="P106" s="28"/>
      <c r="Q106" s="28"/>
      <c r="R106" s="28"/>
      <c r="S106" s="28"/>
      <c r="T106" s="28"/>
      <c r="U106" s="28"/>
      <c r="V106" s="28"/>
      <c r="W106" s="28"/>
      <c r="X106" s="28"/>
      <c r="Y106" s="28"/>
      <c r="Z106" s="28"/>
    </row>
    <row r="107" spans="1:26" ht="15.75" thickBot="1">
      <c r="A107" s="29">
        <v>106</v>
      </c>
      <c r="B107" s="29">
        <v>11</v>
      </c>
      <c r="C107" s="28" t="s">
        <v>85</v>
      </c>
      <c r="D107" s="28" t="s">
        <v>2</v>
      </c>
      <c r="E107" s="28" t="s">
        <v>56</v>
      </c>
      <c r="F107" s="28" t="s">
        <v>58</v>
      </c>
      <c r="G107" s="29">
        <v>106</v>
      </c>
      <c r="H107" s="29">
        <v>11</v>
      </c>
      <c r="I107" s="28"/>
      <c r="J107" s="28"/>
      <c r="K107" s="28"/>
      <c r="L107" s="28"/>
      <c r="M107" s="28"/>
      <c r="N107" s="28"/>
      <c r="O107" s="28"/>
      <c r="P107" s="28"/>
      <c r="Q107" s="28"/>
      <c r="R107" s="28"/>
      <c r="S107" s="28"/>
      <c r="T107" s="28"/>
      <c r="U107" s="28"/>
      <c r="V107" s="28"/>
      <c r="W107" s="28"/>
      <c r="X107" s="28"/>
      <c r="Y107" s="28"/>
      <c r="Z107" s="28"/>
    </row>
    <row r="108" spans="1:26" ht="15.75" thickBot="1">
      <c r="A108" s="29">
        <v>107</v>
      </c>
      <c r="B108" s="29">
        <v>11</v>
      </c>
      <c r="C108" s="28" t="s">
        <v>498</v>
      </c>
      <c r="D108" s="28" t="s">
        <v>10</v>
      </c>
      <c r="E108" s="28" t="s">
        <v>135</v>
      </c>
      <c r="F108" s="28" t="s">
        <v>37</v>
      </c>
      <c r="G108" s="29">
        <v>107</v>
      </c>
      <c r="H108" s="29">
        <v>11</v>
      </c>
      <c r="I108" s="28"/>
      <c r="J108" s="28"/>
      <c r="K108" s="28"/>
      <c r="L108" s="28"/>
      <c r="M108" s="28"/>
      <c r="N108" s="28"/>
      <c r="O108" s="28"/>
      <c r="P108" s="28"/>
      <c r="Q108" s="28"/>
      <c r="R108" s="28"/>
      <c r="S108" s="28"/>
      <c r="T108" s="28"/>
      <c r="U108" s="28"/>
      <c r="V108" s="28"/>
      <c r="W108" s="28"/>
      <c r="X108" s="28"/>
      <c r="Y108" s="28"/>
      <c r="Z108" s="28"/>
    </row>
    <row r="109" spans="1:26" ht="15.75" thickBot="1">
      <c r="A109" s="29">
        <v>108</v>
      </c>
      <c r="B109" s="29">
        <v>11</v>
      </c>
      <c r="C109" s="28" t="s">
        <v>499</v>
      </c>
      <c r="D109" s="28" t="s">
        <v>2</v>
      </c>
      <c r="E109" s="28" t="s">
        <v>32</v>
      </c>
      <c r="F109" s="28" t="s">
        <v>470</v>
      </c>
      <c r="G109" s="29">
        <v>108</v>
      </c>
      <c r="H109" s="29">
        <v>11</v>
      </c>
      <c r="I109" s="28"/>
      <c r="J109" s="28"/>
      <c r="K109" s="28"/>
      <c r="L109" s="28"/>
      <c r="M109" s="28"/>
      <c r="N109" s="28"/>
      <c r="O109" s="28"/>
      <c r="P109" s="28"/>
      <c r="Q109" s="28"/>
      <c r="R109" s="28"/>
      <c r="S109" s="28"/>
      <c r="T109" s="28"/>
      <c r="U109" s="28"/>
      <c r="V109" s="28"/>
      <c r="W109" s="28"/>
      <c r="X109" s="28"/>
      <c r="Y109" s="28"/>
      <c r="Z109" s="28"/>
    </row>
    <row r="110" spans="1:26" ht="15.75" thickBot="1">
      <c r="A110" s="29">
        <v>109</v>
      </c>
      <c r="B110" s="29">
        <v>11</v>
      </c>
      <c r="C110" s="30" t="s">
        <v>92</v>
      </c>
      <c r="D110" s="28" t="s">
        <v>10</v>
      </c>
      <c r="E110" s="28" t="s">
        <v>23</v>
      </c>
      <c r="F110" s="28" t="s">
        <v>385</v>
      </c>
      <c r="G110" s="29">
        <v>109</v>
      </c>
      <c r="H110" s="29">
        <v>11</v>
      </c>
      <c r="I110" s="28"/>
      <c r="J110" s="28"/>
      <c r="K110" s="28"/>
      <c r="L110" s="28"/>
      <c r="M110" s="28"/>
      <c r="N110" s="28"/>
      <c r="O110" s="28"/>
      <c r="P110" s="28"/>
      <c r="Q110" s="28"/>
      <c r="R110" s="28"/>
      <c r="S110" s="28"/>
      <c r="T110" s="28"/>
      <c r="U110" s="28"/>
      <c r="V110" s="28"/>
      <c r="W110" s="28"/>
      <c r="X110" s="28"/>
      <c r="Y110" s="28"/>
      <c r="Z110" s="28"/>
    </row>
    <row r="111" spans="1:26" ht="15.75" thickBot="1">
      <c r="A111" s="31">
        <v>110</v>
      </c>
      <c r="B111" s="31">
        <v>11</v>
      </c>
      <c r="C111" s="32" t="s">
        <v>161</v>
      </c>
      <c r="D111" s="33" t="s">
        <v>2</v>
      </c>
      <c r="E111" s="33" t="s">
        <v>82</v>
      </c>
      <c r="F111" s="33" t="s">
        <v>471</v>
      </c>
      <c r="G111" s="31">
        <v>110</v>
      </c>
      <c r="H111" s="31">
        <v>11</v>
      </c>
      <c r="I111" s="28"/>
      <c r="J111" s="28"/>
      <c r="K111" s="28"/>
      <c r="L111" s="28"/>
      <c r="M111" s="28"/>
      <c r="N111" s="28"/>
      <c r="O111" s="28"/>
      <c r="P111" s="28"/>
      <c r="Q111" s="28"/>
      <c r="R111" s="28"/>
      <c r="S111" s="28"/>
      <c r="T111" s="28"/>
      <c r="U111" s="28"/>
      <c r="V111" s="28"/>
      <c r="W111" s="28"/>
      <c r="X111" s="28"/>
      <c r="Y111" s="28"/>
      <c r="Z111" s="28"/>
    </row>
    <row r="112" spans="1:26" ht="15.75" thickBot="1">
      <c r="A112" s="29">
        <v>111</v>
      </c>
      <c r="B112" s="29">
        <v>12</v>
      </c>
      <c r="C112" s="28" t="s">
        <v>103</v>
      </c>
      <c r="D112" s="28" t="s">
        <v>10</v>
      </c>
      <c r="E112" s="28" t="s">
        <v>91</v>
      </c>
      <c r="F112" s="28" t="s">
        <v>471</v>
      </c>
      <c r="G112" s="29">
        <v>111</v>
      </c>
      <c r="H112" s="29">
        <v>12</v>
      </c>
      <c r="I112" s="28"/>
      <c r="J112" s="28"/>
      <c r="K112" s="28"/>
      <c r="L112" s="28"/>
      <c r="M112" s="28"/>
      <c r="N112" s="28"/>
      <c r="O112" s="28"/>
      <c r="P112" s="28"/>
      <c r="Q112" s="28"/>
      <c r="R112" s="28"/>
      <c r="S112" s="28"/>
      <c r="T112" s="28"/>
      <c r="U112" s="28"/>
      <c r="V112" s="28"/>
      <c r="W112" s="28"/>
      <c r="X112" s="28"/>
      <c r="Y112" s="28"/>
      <c r="Z112" s="28"/>
    </row>
    <row r="113" spans="1:26" ht="15.75" thickBot="1">
      <c r="A113" s="29">
        <v>112</v>
      </c>
      <c r="B113" s="29">
        <v>12</v>
      </c>
      <c r="C113" s="28" t="s">
        <v>460</v>
      </c>
      <c r="D113" s="28" t="s">
        <v>5</v>
      </c>
      <c r="E113" s="28" t="s">
        <v>23</v>
      </c>
      <c r="F113" s="28" t="s">
        <v>385</v>
      </c>
      <c r="G113" s="29">
        <v>112</v>
      </c>
      <c r="H113" s="29">
        <v>12</v>
      </c>
      <c r="I113" s="28"/>
      <c r="J113" s="28"/>
      <c r="K113" s="28"/>
      <c r="L113" s="28"/>
      <c r="M113" s="28"/>
      <c r="N113" s="28"/>
      <c r="O113" s="28"/>
      <c r="P113" s="28"/>
      <c r="Q113" s="28"/>
      <c r="R113" s="28"/>
      <c r="S113" s="28"/>
      <c r="T113" s="28"/>
      <c r="U113" s="28"/>
      <c r="V113" s="28"/>
      <c r="W113" s="28"/>
      <c r="X113" s="28"/>
      <c r="Y113" s="28"/>
      <c r="Z113" s="28"/>
    </row>
    <row r="114" spans="1:26" ht="15.75" thickBot="1">
      <c r="A114" s="29">
        <v>113</v>
      </c>
      <c r="B114" s="29">
        <v>12</v>
      </c>
      <c r="C114" s="28" t="s">
        <v>438</v>
      </c>
      <c r="D114" s="28" t="s">
        <v>27</v>
      </c>
      <c r="E114" s="28" t="s">
        <v>25</v>
      </c>
      <c r="F114" s="28" t="s">
        <v>470</v>
      </c>
      <c r="G114" s="29">
        <v>113</v>
      </c>
      <c r="H114" s="29">
        <v>12</v>
      </c>
      <c r="I114" s="28"/>
      <c r="J114" s="28"/>
      <c r="K114" s="28"/>
      <c r="L114" s="28"/>
      <c r="M114" s="28"/>
      <c r="N114" s="28"/>
      <c r="O114" s="28"/>
      <c r="P114" s="28"/>
      <c r="Q114" s="28"/>
      <c r="R114" s="28"/>
      <c r="S114" s="28"/>
      <c r="T114" s="28"/>
      <c r="U114" s="28"/>
      <c r="V114" s="28"/>
      <c r="W114" s="28"/>
      <c r="X114" s="28"/>
      <c r="Y114" s="28"/>
      <c r="Z114" s="28"/>
    </row>
    <row r="115" spans="1:26" ht="15.75" thickBot="1">
      <c r="A115" s="29">
        <v>114</v>
      </c>
      <c r="B115" s="29">
        <v>12</v>
      </c>
      <c r="C115" s="28" t="s">
        <v>128</v>
      </c>
      <c r="D115" s="28" t="s">
        <v>2</v>
      </c>
      <c r="E115" s="28" t="s">
        <v>28</v>
      </c>
      <c r="F115" s="28" t="s">
        <v>37</v>
      </c>
      <c r="G115" s="29">
        <v>114</v>
      </c>
      <c r="H115" s="29">
        <v>12</v>
      </c>
      <c r="I115" s="28"/>
      <c r="J115" s="28"/>
      <c r="K115" s="28"/>
      <c r="L115" s="28"/>
      <c r="M115" s="28"/>
      <c r="N115" s="28"/>
      <c r="O115" s="28"/>
      <c r="P115" s="28"/>
      <c r="Q115" s="28"/>
      <c r="R115" s="28"/>
      <c r="S115" s="28"/>
      <c r="T115" s="28"/>
      <c r="U115" s="28"/>
      <c r="V115" s="28"/>
      <c r="W115" s="28"/>
      <c r="X115" s="28"/>
      <c r="Y115" s="28"/>
      <c r="Z115" s="28"/>
    </row>
    <row r="116" spans="1:26" ht="15.75" thickBot="1">
      <c r="A116" s="29">
        <v>115</v>
      </c>
      <c r="B116" s="29">
        <v>12</v>
      </c>
      <c r="C116" s="28" t="s">
        <v>127</v>
      </c>
      <c r="D116" s="28" t="s">
        <v>10</v>
      </c>
      <c r="E116" s="28" t="s">
        <v>84</v>
      </c>
      <c r="F116" s="28" t="s">
        <v>58</v>
      </c>
      <c r="G116" s="29">
        <v>115</v>
      </c>
      <c r="H116" s="29">
        <v>12</v>
      </c>
      <c r="I116" s="28"/>
      <c r="J116" s="28"/>
      <c r="K116" s="28"/>
      <c r="L116" s="28"/>
      <c r="M116" s="28"/>
      <c r="N116" s="28"/>
      <c r="O116" s="28"/>
      <c r="P116" s="28"/>
      <c r="Q116" s="28"/>
      <c r="R116" s="28"/>
      <c r="S116" s="28"/>
      <c r="T116" s="28"/>
      <c r="U116" s="28"/>
      <c r="V116" s="28"/>
      <c r="W116" s="28"/>
      <c r="X116" s="28"/>
      <c r="Y116" s="28"/>
      <c r="Z116" s="28"/>
    </row>
    <row r="117" spans="1:26" ht="15.75" thickBot="1">
      <c r="A117" s="29">
        <v>116</v>
      </c>
      <c r="B117" s="29">
        <v>12</v>
      </c>
      <c r="C117" s="30" t="s">
        <v>29</v>
      </c>
      <c r="D117" s="28" t="s">
        <v>2</v>
      </c>
      <c r="E117" s="28" t="s">
        <v>30</v>
      </c>
      <c r="F117" s="28" t="s">
        <v>0</v>
      </c>
      <c r="G117" s="29">
        <v>116</v>
      </c>
      <c r="H117" s="29">
        <v>12</v>
      </c>
      <c r="I117" s="28"/>
      <c r="J117" s="28"/>
      <c r="K117" s="28"/>
      <c r="L117" s="28"/>
      <c r="M117" s="28"/>
      <c r="N117" s="28"/>
      <c r="O117" s="28"/>
      <c r="P117" s="28"/>
      <c r="Q117" s="28"/>
      <c r="R117" s="28"/>
      <c r="S117" s="28"/>
      <c r="T117" s="28"/>
      <c r="U117" s="28"/>
      <c r="V117" s="28"/>
      <c r="W117" s="28"/>
      <c r="X117" s="28"/>
      <c r="Y117" s="28"/>
      <c r="Z117" s="28"/>
    </row>
    <row r="118" spans="1:26" ht="15.75" thickBot="1">
      <c r="A118" s="29">
        <v>117</v>
      </c>
      <c r="B118" s="29">
        <v>12</v>
      </c>
      <c r="C118" s="28" t="s">
        <v>195</v>
      </c>
      <c r="D118" s="28" t="s">
        <v>10</v>
      </c>
      <c r="E118" s="28" t="s">
        <v>30</v>
      </c>
      <c r="F118" s="28" t="s">
        <v>469</v>
      </c>
      <c r="G118" s="29">
        <v>117</v>
      </c>
      <c r="H118" s="29">
        <v>12</v>
      </c>
      <c r="I118" s="28"/>
      <c r="J118" s="28"/>
      <c r="K118" s="28"/>
      <c r="L118" s="28"/>
      <c r="M118" s="28"/>
      <c r="N118" s="28"/>
      <c r="O118" s="28"/>
      <c r="P118" s="28"/>
      <c r="Q118" s="28"/>
      <c r="R118" s="28"/>
      <c r="S118" s="28"/>
      <c r="T118" s="28"/>
      <c r="U118" s="28"/>
      <c r="V118" s="28"/>
      <c r="W118" s="28"/>
      <c r="X118" s="28"/>
      <c r="Y118" s="28"/>
      <c r="Z118" s="28"/>
    </row>
    <row r="119" spans="1:26" ht="15.75" thickBot="1">
      <c r="A119" s="29">
        <v>118</v>
      </c>
      <c r="B119" s="29">
        <v>12</v>
      </c>
      <c r="C119" s="28" t="s">
        <v>139</v>
      </c>
      <c r="D119" s="28" t="s">
        <v>10</v>
      </c>
      <c r="E119" s="28" t="s">
        <v>28</v>
      </c>
      <c r="F119" s="28" t="s">
        <v>181</v>
      </c>
      <c r="G119" s="29">
        <v>118</v>
      </c>
      <c r="H119" s="29">
        <v>12</v>
      </c>
      <c r="I119" s="28"/>
      <c r="J119" s="28"/>
      <c r="K119" s="28"/>
      <c r="L119" s="28"/>
      <c r="M119" s="28"/>
      <c r="N119" s="28"/>
      <c r="O119" s="28"/>
      <c r="P119" s="28"/>
      <c r="Q119" s="28"/>
      <c r="R119" s="28"/>
      <c r="S119" s="28"/>
      <c r="T119" s="28"/>
      <c r="U119" s="28"/>
      <c r="V119" s="28"/>
      <c r="W119" s="28"/>
      <c r="X119" s="28"/>
      <c r="Y119" s="28"/>
      <c r="Z119" s="28"/>
    </row>
    <row r="120" spans="1:26" ht="15.75" thickBot="1">
      <c r="A120" s="29">
        <v>119</v>
      </c>
      <c r="B120" s="29">
        <v>12</v>
      </c>
      <c r="C120" s="28" t="s">
        <v>501</v>
      </c>
      <c r="D120" s="28" t="s">
        <v>2</v>
      </c>
      <c r="E120" s="28" t="s">
        <v>19</v>
      </c>
      <c r="F120" s="28" t="s">
        <v>114</v>
      </c>
      <c r="G120" s="29">
        <v>119</v>
      </c>
      <c r="H120" s="29">
        <v>12</v>
      </c>
      <c r="I120" s="28"/>
      <c r="J120" s="28"/>
      <c r="K120" s="28"/>
      <c r="L120" s="28"/>
      <c r="M120" s="28"/>
      <c r="N120" s="28"/>
      <c r="O120" s="28"/>
      <c r="P120" s="28"/>
      <c r="Q120" s="28"/>
      <c r="R120" s="28"/>
      <c r="S120" s="28"/>
      <c r="T120" s="28"/>
      <c r="U120" s="28"/>
      <c r="V120" s="28"/>
      <c r="W120" s="28"/>
      <c r="X120" s="28"/>
      <c r="Y120" s="28"/>
      <c r="Z120" s="28"/>
    </row>
    <row r="121" spans="1:26" ht="27" thickBot="1">
      <c r="A121" s="31">
        <v>120</v>
      </c>
      <c r="B121" s="31">
        <v>12</v>
      </c>
      <c r="C121" s="33" t="s">
        <v>502</v>
      </c>
      <c r="D121" s="33" t="s">
        <v>36</v>
      </c>
      <c r="E121" s="33" t="s">
        <v>19</v>
      </c>
      <c r="F121" s="33" t="s">
        <v>97</v>
      </c>
      <c r="G121" s="31">
        <v>120</v>
      </c>
      <c r="H121" s="31">
        <v>12</v>
      </c>
      <c r="I121" s="28"/>
      <c r="J121" s="28"/>
      <c r="K121" s="28"/>
      <c r="L121" s="28"/>
      <c r="M121" s="28"/>
      <c r="N121" s="28"/>
      <c r="O121" s="28"/>
      <c r="P121" s="28"/>
      <c r="Q121" s="28"/>
      <c r="R121" s="28"/>
      <c r="S121" s="28"/>
      <c r="T121" s="28"/>
      <c r="U121" s="28"/>
      <c r="V121" s="28"/>
      <c r="W121" s="28"/>
      <c r="X121" s="28"/>
      <c r="Y121" s="28"/>
      <c r="Z121" s="28"/>
    </row>
    <row r="122" spans="1:26" ht="15.75" thickBot="1">
      <c r="A122" s="29">
        <v>121</v>
      </c>
      <c r="B122" s="29">
        <v>13</v>
      </c>
      <c r="C122" s="28" t="s">
        <v>411</v>
      </c>
      <c r="D122" s="28" t="s">
        <v>2</v>
      </c>
      <c r="E122" s="28" t="s">
        <v>73</v>
      </c>
      <c r="F122" s="28" t="s">
        <v>97</v>
      </c>
      <c r="G122" s="29">
        <v>121</v>
      </c>
      <c r="H122" s="29">
        <v>13</v>
      </c>
      <c r="I122" s="28"/>
      <c r="J122" s="28"/>
      <c r="K122" s="28"/>
      <c r="L122" s="28"/>
      <c r="M122" s="28"/>
      <c r="N122" s="28"/>
      <c r="O122" s="28"/>
      <c r="P122" s="28"/>
      <c r="Q122" s="28"/>
      <c r="R122" s="28"/>
      <c r="S122" s="28"/>
      <c r="T122" s="28"/>
      <c r="U122" s="28"/>
      <c r="V122" s="28"/>
      <c r="W122" s="28"/>
      <c r="X122" s="28"/>
      <c r="Y122" s="28"/>
      <c r="Z122" s="28"/>
    </row>
    <row r="123" spans="1:26" ht="15.75" thickBot="1">
      <c r="A123" s="29">
        <v>122</v>
      </c>
      <c r="B123" s="29">
        <v>13</v>
      </c>
      <c r="C123" s="28" t="s">
        <v>503</v>
      </c>
      <c r="D123" s="28" t="s">
        <v>2</v>
      </c>
      <c r="E123" s="28" t="s">
        <v>43</v>
      </c>
      <c r="F123" s="28" t="s">
        <v>114</v>
      </c>
      <c r="G123" s="29">
        <v>122</v>
      </c>
      <c r="H123" s="29">
        <v>13</v>
      </c>
      <c r="I123" s="28"/>
      <c r="J123" s="28"/>
      <c r="K123" s="28"/>
      <c r="L123" s="28"/>
      <c r="M123" s="28"/>
      <c r="N123" s="28"/>
      <c r="O123" s="28"/>
      <c r="P123" s="28"/>
      <c r="Q123" s="28"/>
      <c r="R123" s="28"/>
      <c r="S123" s="28"/>
      <c r="T123" s="28"/>
      <c r="U123" s="28"/>
      <c r="V123" s="28"/>
      <c r="W123" s="28"/>
      <c r="X123" s="28"/>
      <c r="Y123" s="28"/>
      <c r="Z123" s="28"/>
    </row>
    <row r="124" spans="1:26" ht="15.75" thickBot="1">
      <c r="A124" s="29">
        <v>123</v>
      </c>
      <c r="B124" s="29">
        <v>13</v>
      </c>
      <c r="C124" s="28" t="s">
        <v>504</v>
      </c>
      <c r="D124" s="28" t="s">
        <v>2</v>
      </c>
      <c r="E124" s="28" t="s">
        <v>60</v>
      </c>
      <c r="F124" s="28" t="s">
        <v>181</v>
      </c>
      <c r="G124" s="29">
        <v>123</v>
      </c>
      <c r="H124" s="29">
        <v>13</v>
      </c>
      <c r="I124" s="28"/>
      <c r="J124" s="28"/>
      <c r="K124" s="28"/>
      <c r="L124" s="28"/>
      <c r="M124" s="28"/>
      <c r="N124" s="28"/>
      <c r="O124" s="28"/>
      <c r="P124" s="28"/>
      <c r="Q124" s="28"/>
      <c r="R124" s="28"/>
      <c r="S124" s="28"/>
      <c r="T124" s="28"/>
      <c r="U124" s="28"/>
      <c r="V124" s="28"/>
      <c r="W124" s="28"/>
      <c r="X124" s="28"/>
      <c r="Y124" s="28"/>
      <c r="Z124" s="28"/>
    </row>
    <row r="125" spans="1:26" ht="15.75" thickBot="1">
      <c r="A125" s="29">
        <v>124</v>
      </c>
      <c r="B125" s="29">
        <v>13</v>
      </c>
      <c r="C125" s="30" t="s">
        <v>147</v>
      </c>
      <c r="D125" s="28" t="s">
        <v>5</v>
      </c>
      <c r="E125" s="28" t="s">
        <v>41</v>
      </c>
      <c r="F125" s="28" t="s">
        <v>469</v>
      </c>
      <c r="G125" s="29">
        <v>124</v>
      </c>
      <c r="H125" s="29">
        <v>13</v>
      </c>
      <c r="I125" s="28"/>
      <c r="J125" s="28"/>
      <c r="K125" s="28"/>
      <c r="L125" s="28"/>
      <c r="M125" s="28"/>
      <c r="N125" s="28"/>
      <c r="O125" s="28"/>
      <c r="P125" s="28"/>
      <c r="Q125" s="28"/>
      <c r="R125" s="28"/>
      <c r="S125" s="28"/>
      <c r="T125" s="28"/>
      <c r="U125" s="28"/>
      <c r="V125" s="28"/>
      <c r="W125" s="28"/>
      <c r="X125" s="28"/>
      <c r="Y125" s="28"/>
      <c r="Z125" s="28"/>
    </row>
    <row r="126" spans="1:26" ht="15.75" thickBot="1">
      <c r="A126" s="29">
        <v>125</v>
      </c>
      <c r="B126" s="29">
        <v>13</v>
      </c>
      <c r="C126" s="28" t="s">
        <v>505</v>
      </c>
      <c r="D126" s="28" t="s">
        <v>36</v>
      </c>
      <c r="E126" s="28" t="s">
        <v>21</v>
      </c>
      <c r="F126" s="28" t="s">
        <v>0</v>
      </c>
      <c r="G126" s="29">
        <v>125</v>
      </c>
      <c r="H126" s="29">
        <v>13</v>
      </c>
      <c r="I126" s="28"/>
      <c r="J126" s="28"/>
      <c r="K126" s="28"/>
      <c r="L126" s="28"/>
      <c r="M126" s="28"/>
      <c r="N126" s="28"/>
      <c r="O126" s="28"/>
      <c r="P126" s="28"/>
      <c r="Q126" s="28"/>
      <c r="R126" s="28"/>
      <c r="S126" s="28"/>
      <c r="T126" s="28"/>
      <c r="U126" s="28"/>
      <c r="V126" s="28"/>
      <c r="W126" s="28"/>
      <c r="X126" s="28"/>
      <c r="Y126" s="28"/>
      <c r="Z126" s="28"/>
    </row>
    <row r="127" spans="1:26" ht="15.75" thickBot="1">
      <c r="A127" s="29">
        <v>126</v>
      </c>
      <c r="B127" s="29">
        <v>13</v>
      </c>
      <c r="C127" s="28" t="s">
        <v>24</v>
      </c>
      <c r="D127" s="28" t="s">
        <v>5</v>
      </c>
      <c r="E127" s="28" t="s">
        <v>25</v>
      </c>
      <c r="F127" s="28" t="s">
        <v>58</v>
      </c>
      <c r="G127" s="29">
        <v>126</v>
      </c>
      <c r="H127" s="29">
        <v>13</v>
      </c>
      <c r="I127" s="28"/>
      <c r="J127" s="28"/>
      <c r="K127" s="28"/>
      <c r="L127" s="28"/>
      <c r="M127" s="28"/>
      <c r="N127" s="28"/>
      <c r="O127" s="28"/>
      <c r="P127" s="28"/>
      <c r="Q127" s="28"/>
      <c r="R127" s="28"/>
      <c r="S127" s="28"/>
      <c r="T127" s="28"/>
      <c r="U127" s="28"/>
      <c r="V127" s="28"/>
      <c r="W127" s="28"/>
      <c r="X127" s="28"/>
      <c r="Y127" s="28"/>
      <c r="Z127" s="28"/>
    </row>
    <row r="128" spans="1:26" ht="15.75" thickBot="1">
      <c r="A128" s="29">
        <v>127</v>
      </c>
      <c r="B128" s="29">
        <v>13</v>
      </c>
      <c r="C128" s="28" t="s">
        <v>9</v>
      </c>
      <c r="D128" s="28" t="s">
        <v>10</v>
      </c>
      <c r="E128" s="28" t="s">
        <v>11</v>
      </c>
      <c r="F128" s="28" t="s">
        <v>37</v>
      </c>
      <c r="G128" s="29">
        <v>127</v>
      </c>
      <c r="H128" s="29">
        <v>13</v>
      </c>
      <c r="I128" s="28"/>
      <c r="J128" s="28"/>
      <c r="K128" s="28"/>
      <c r="L128" s="28"/>
      <c r="M128" s="28"/>
      <c r="N128" s="28"/>
      <c r="O128" s="28"/>
      <c r="P128" s="28"/>
      <c r="Q128" s="28"/>
      <c r="R128" s="28"/>
      <c r="S128" s="28"/>
      <c r="T128" s="28"/>
      <c r="U128" s="28"/>
      <c r="V128" s="28"/>
      <c r="W128" s="28"/>
      <c r="X128" s="28"/>
      <c r="Y128" s="28"/>
      <c r="Z128" s="28"/>
    </row>
    <row r="129" spans="1:26" ht="15.75" thickBot="1">
      <c r="A129" s="29">
        <v>128</v>
      </c>
      <c r="B129" s="29">
        <v>13</v>
      </c>
      <c r="C129" s="28" t="s">
        <v>506</v>
      </c>
      <c r="D129" s="28" t="s">
        <v>36</v>
      </c>
      <c r="E129" s="28" t="s">
        <v>17</v>
      </c>
      <c r="F129" s="28" t="s">
        <v>470</v>
      </c>
      <c r="G129" s="29">
        <v>128</v>
      </c>
      <c r="H129" s="29">
        <v>13</v>
      </c>
      <c r="I129" s="28"/>
      <c r="J129" s="28"/>
      <c r="K129" s="28"/>
      <c r="L129" s="28"/>
      <c r="M129" s="28"/>
      <c r="N129" s="28"/>
      <c r="O129" s="28"/>
      <c r="P129" s="28"/>
      <c r="Q129" s="28"/>
      <c r="R129" s="28"/>
      <c r="S129" s="28"/>
      <c r="T129" s="28"/>
      <c r="U129" s="28"/>
      <c r="V129" s="28"/>
      <c r="W129" s="28"/>
      <c r="X129" s="28"/>
      <c r="Y129" s="28"/>
      <c r="Z129" s="28"/>
    </row>
    <row r="130" spans="1:26" ht="15.75" thickBot="1">
      <c r="A130" s="29">
        <v>129</v>
      </c>
      <c r="B130" s="29">
        <v>13</v>
      </c>
      <c r="C130" s="28" t="s">
        <v>94</v>
      </c>
      <c r="D130" s="28" t="s">
        <v>2</v>
      </c>
      <c r="E130" s="28" t="s">
        <v>91</v>
      </c>
      <c r="F130" s="28" t="s">
        <v>385</v>
      </c>
      <c r="G130" s="29">
        <v>129</v>
      </c>
      <c r="H130" s="29">
        <v>13</v>
      </c>
      <c r="I130" s="28"/>
      <c r="J130" s="28"/>
      <c r="K130" s="28"/>
      <c r="L130" s="28"/>
      <c r="M130" s="28"/>
      <c r="N130" s="28"/>
      <c r="O130" s="28"/>
      <c r="P130" s="28"/>
      <c r="Q130" s="28"/>
      <c r="R130" s="28"/>
      <c r="S130" s="28"/>
      <c r="T130" s="28"/>
      <c r="U130" s="28"/>
      <c r="V130" s="28"/>
      <c r="W130" s="28"/>
      <c r="X130" s="28"/>
      <c r="Y130" s="28"/>
      <c r="Z130" s="28"/>
    </row>
    <row r="131" spans="1:26" ht="15.75" thickBot="1">
      <c r="A131" s="31">
        <v>130</v>
      </c>
      <c r="B131" s="31">
        <v>13</v>
      </c>
      <c r="C131" s="33" t="s">
        <v>507</v>
      </c>
      <c r="D131" s="33" t="s">
        <v>10</v>
      </c>
      <c r="E131" s="33" t="s">
        <v>23</v>
      </c>
      <c r="F131" s="33" t="s">
        <v>471</v>
      </c>
      <c r="G131" s="31">
        <v>130</v>
      </c>
      <c r="H131" s="31">
        <v>13</v>
      </c>
      <c r="I131" s="28"/>
      <c r="J131" s="28"/>
      <c r="K131" s="28"/>
      <c r="L131" s="28"/>
      <c r="M131" s="28"/>
      <c r="N131" s="28"/>
      <c r="O131" s="28"/>
      <c r="P131" s="28"/>
      <c r="Q131" s="28"/>
      <c r="R131" s="28"/>
      <c r="S131" s="28"/>
      <c r="T131" s="28"/>
      <c r="U131" s="28"/>
      <c r="V131" s="28"/>
      <c r="W131" s="28"/>
      <c r="X131" s="28"/>
      <c r="Y131" s="28"/>
      <c r="Z131" s="28"/>
    </row>
    <row r="132" spans="1:26" ht="15.75" thickBot="1">
      <c r="A132" s="29">
        <v>131</v>
      </c>
      <c r="B132" s="29">
        <v>14</v>
      </c>
      <c r="C132" s="28" t="s">
        <v>508</v>
      </c>
      <c r="D132" s="28" t="s">
        <v>5</v>
      </c>
      <c r="E132" s="28" t="s">
        <v>135</v>
      </c>
      <c r="F132" s="28" t="s">
        <v>471</v>
      </c>
      <c r="G132" s="29">
        <v>131</v>
      </c>
      <c r="H132" s="29">
        <v>14</v>
      </c>
      <c r="I132" s="28"/>
      <c r="J132" s="28"/>
      <c r="K132" s="28"/>
      <c r="L132" s="28"/>
      <c r="M132" s="28"/>
      <c r="N132" s="28"/>
      <c r="O132" s="28"/>
      <c r="P132" s="28"/>
      <c r="Q132" s="28"/>
      <c r="R132" s="28"/>
      <c r="S132" s="28"/>
      <c r="T132" s="28"/>
      <c r="U132" s="28"/>
      <c r="V132" s="28"/>
      <c r="W132" s="28"/>
      <c r="X132" s="28"/>
      <c r="Y132" s="28"/>
      <c r="Z132" s="28"/>
    </row>
    <row r="133" spans="1:26" ht="15.75" thickBot="1">
      <c r="A133" s="29">
        <v>132</v>
      </c>
      <c r="B133" s="29">
        <v>14</v>
      </c>
      <c r="C133" s="28" t="s">
        <v>509</v>
      </c>
      <c r="D133" s="28" t="s">
        <v>5</v>
      </c>
      <c r="E133" s="28" t="s">
        <v>28</v>
      </c>
      <c r="F133" s="28" t="s">
        <v>385</v>
      </c>
      <c r="G133" s="29">
        <v>132</v>
      </c>
      <c r="H133" s="29">
        <v>14</v>
      </c>
      <c r="I133" s="28"/>
      <c r="J133" s="28"/>
      <c r="K133" s="28"/>
      <c r="L133" s="28"/>
      <c r="M133" s="28"/>
      <c r="N133" s="28"/>
      <c r="O133" s="28"/>
      <c r="P133" s="28"/>
      <c r="Q133" s="28"/>
      <c r="R133" s="28"/>
      <c r="S133" s="28"/>
      <c r="T133" s="28"/>
      <c r="U133" s="28"/>
      <c r="V133" s="28"/>
      <c r="W133" s="28"/>
      <c r="X133" s="28"/>
      <c r="Y133" s="28"/>
      <c r="Z133" s="28"/>
    </row>
    <row r="134" spans="1:26" ht="15.75" thickBot="1">
      <c r="A134" s="29">
        <v>133</v>
      </c>
      <c r="B134" s="29">
        <v>14</v>
      </c>
      <c r="C134" s="28" t="s">
        <v>408</v>
      </c>
      <c r="D134" s="28" t="s">
        <v>2</v>
      </c>
      <c r="E134" s="28" t="s">
        <v>46</v>
      </c>
      <c r="F134" s="28" t="s">
        <v>470</v>
      </c>
      <c r="G134" s="29">
        <v>133</v>
      </c>
      <c r="H134" s="29">
        <v>14</v>
      </c>
      <c r="I134" s="28"/>
      <c r="J134" s="28"/>
      <c r="K134" s="28"/>
      <c r="L134" s="28"/>
      <c r="M134" s="28"/>
      <c r="N134" s="28"/>
      <c r="O134" s="28"/>
      <c r="P134" s="28"/>
      <c r="Q134" s="28"/>
      <c r="R134" s="28"/>
      <c r="S134" s="28"/>
      <c r="T134" s="28"/>
      <c r="U134" s="28"/>
      <c r="V134" s="28"/>
      <c r="W134" s="28"/>
      <c r="X134" s="28"/>
      <c r="Y134" s="28"/>
      <c r="Z134" s="28"/>
    </row>
    <row r="135" spans="1:26" ht="15.75" thickBot="1">
      <c r="A135" s="29">
        <v>134</v>
      </c>
      <c r="B135" s="29">
        <v>14</v>
      </c>
      <c r="C135" s="28" t="s">
        <v>510</v>
      </c>
      <c r="D135" s="28" t="s">
        <v>10</v>
      </c>
      <c r="E135" s="28" t="s">
        <v>3</v>
      </c>
      <c r="F135" s="28" t="s">
        <v>37</v>
      </c>
      <c r="G135" s="29">
        <v>134</v>
      </c>
      <c r="H135" s="29">
        <v>14</v>
      </c>
      <c r="I135" s="28"/>
      <c r="J135" s="28"/>
      <c r="K135" s="28"/>
      <c r="L135" s="28"/>
      <c r="M135" s="28"/>
      <c r="N135" s="28"/>
      <c r="O135" s="28"/>
      <c r="P135" s="28"/>
      <c r="Q135" s="28"/>
      <c r="R135" s="28"/>
      <c r="S135" s="28"/>
      <c r="T135" s="28"/>
      <c r="U135" s="28"/>
      <c r="V135" s="28"/>
      <c r="W135" s="28"/>
      <c r="X135" s="28"/>
      <c r="Y135" s="28"/>
      <c r="Z135" s="28"/>
    </row>
    <row r="136" spans="1:26" ht="15.75" thickBot="1">
      <c r="A136" s="29">
        <v>135</v>
      </c>
      <c r="B136" s="29">
        <v>14</v>
      </c>
      <c r="C136" s="28" t="s">
        <v>153</v>
      </c>
      <c r="D136" s="28" t="s">
        <v>5</v>
      </c>
      <c r="E136" s="28" t="s">
        <v>60</v>
      </c>
      <c r="F136" s="28" t="s">
        <v>58</v>
      </c>
      <c r="G136" s="29">
        <v>135</v>
      </c>
      <c r="H136" s="29">
        <v>14</v>
      </c>
      <c r="I136" s="28"/>
      <c r="J136" s="28"/>
      <c r="K136" s="28"/>
      <c r="L136" s="28"/>
      <c r="M136" s="28"/>
      <c r="N136" s="28"/>
      <c r="O136" s="28"/>
      <c r="P136" s="28"/>
      <c r="Q136" s="28"/>
      <c r="R136" s="28"/>
      <c r="S136" s="28"/>
      <c r="T136" s="28"/>
      <c r="U136" s="28"/>
      <c r="V136" s="28"/>
      <c r="W136" s="28"/>
      <c r="X136" s="28"/>
      <c r="Y136" s="28"/>
      <c r="Z136" s="28"/>
    </row>
    <row r="137" spans="1:26" ht="15.75" thickBot="1">
      <c r="A137" s="29">
        <v>136</v>
      </c>
      <c r="B137" s="29">
        <v>14</v>
      </c>
      <c r="C137" s="28" t="s">
        <v>431</v>
      </c>
      <c r="D137" s="28" t="s">
        <v>5</v>
      </c>
      <c r="E137" s="28" t="s">
        <v>91</v>
      </c>
      <c r="F137" s="28" t="s">
        <v>0</v>
      </c>
      <c r="G137" s="29">
        <v>136</v>
      </c>
      <c r="H137" s="29">
        <v>14</v>
      </c>
      <c r="I137" s="28"/>
      <c r="J137" s="28"/>
      <c r="K137" s="28"/>
      <c r="L137" s="28"/>
      <c r="M137" s="28"/>
      <c r="N137" s="28"/>
      <c r="O137" s="28"/>
      <c r="P137" s="28"/>
      <c r="Q137" s="28"/>
      <c r="R137" s="28"/>
      <c r="S137" s="28"/>
      <c r="T137" s="28"/>
      <c r="U137" s="28"/>
      <c r="V137" s="28"/>
      <c r="W137" s="28"/>
      <c r="X137" s="28"/>
      <c r="Y137" s="28"/>
      <c r="Z137" s="28"/>
    </row>
    <row r="138" spans="1:26" ht="15.75" thickBot="1">
      <c r="A138" s="29">
        <v>137</v>
      </c>
      <c r="B138" s="29">
        <v>14</v>
      </c>
      <c r="C138" s="28" t="s">
        <v>511</v>
      </c>
      <c r="D138" s="28" t="s">
        <v>10</v>
      </c>
      <c r="E138" s="28" t="s">
        <v>43</v>
      </c>
      <c r="F138" s="28" t="s">
        <v>469</v>
      </c>
      <c r="G138" s="29">
        <v>137</v>
      </c>
      <c r="H138" s="29">
        <v>14</v>
      </c>
      <c r="I138" s="28"/>
      <c r="J138" s="28"/>
      <c r="K138" s="28"/>
      <c r="L138" s="28"/>
      <c r="M138" s="28"/>
      <c r="N138" s="28"/>
      <c r="O138" s="28"/>
      <c r="P138" s="28"/>
      <c r="Q138" s="28"/>
      <c r="R138" s="28"/>
      <c r="S138" s="28"/>
      <c r="T138" s="28"/>
      <c r="U138" s="28"/>
      <c r="V138" s="28"/>
      <c r="W138" s="28"/>
      <c r="X138" s="28"/>
      <c r="Y138" s="28"/>
      <c r="Z138" s="28"/>
    </row>
    <row r="139" spans="1:26" ht="15.75" thickBot="1">
      <c r="A139" s="29">
        <v>138</v>
      </c>
      <c r="B139" s="29">
        <v>14</v>
      </c>
      <c r="C139" s="28" t="s">
        <v>74</v>
      </c>
      <c r="D139" s="28" t="s">
        <v>5</v>
      </c>
      <c r="E139" s="28" t="s">
        <v>3</v>
      </c>
      <c r="F139" s="28" t="s">
        <v>181</v>
      </c>
      <c r="G139" s="29">
        <v>138</v>
      </c>
      <c r="H139" s="29">
        <v>14</v>
      </c>
      <c r="I139" s="28"/>
      <c r="J139" s="28"/>
      <c r="K139" s="28"/>
      <c r="L139" s="28"/>
      <c r="M139" s="28"/>
      <c r="N139" s="28"/>
      <c r="O139" s="28"/>
      <c r="P139" s="28"/>
      <c r="Q139" s="28"/>
      <c r="R139" s="28"/>
      <c r="S139" s="28"/>
      <c r="T139" s="28"/>
      <c r="U139" s="28"/>
      <c r="V139" s="28"/>
      <c r="W139" s="28"/>
      <c r="X139" s="28"/>
      <c r="Y139" s="28"/>
      <c r="Z139" s="28"/>
    </row>
    <row r="140" spans="1:26" ht="15.75" thickBot="1">
      <c r="A140" s="29">
        <v>139</v>
      </c>
      <c r="B140" s="29">
        <v>14</v>
      </c>
      <c r="C140" s="28" t="s">
        <v>512</v>
      </c>
      <c r="D140" s="28" t="s">
        <v>36</v>
      </c>
      <c r="E140" s="28" t="s">
        <v>107</v>
      </c>
      <c r="F140" s="28" t="s">
        <v>114</v>
      </c>
      <c r="G140" s="29">
        <v>139</v>
      </c>
      <c r="H140" s="29">
        <v>14</v>
      </c>
      <c r="I140" s="28"/>
      <c r="J140" s="28"/>
      <c r="K140" s="28"/>
      <c r="L140" s="28"/>
      <c r="M140" s="28"/>
      <c r="N140" s="28"/>
      <c r="O140" s="28"/>
      <c r="P140" s="28"/>
      <c r="Q140" s="28"/>
      <c r="R140" s="28"/>
      <c r="S140" s="28"/>
      <c r="T140" s="28"/>
      <c r="U140" s="28"/>
      <c r="V140" s="28"/>
      <c r="W140" s="28"/>
      <c r="X140" s="28"/>
      <c r="Y140" s="28"/>
      <c r="Z140" s="28"/>
    </row>
    <row r="141" spans="1:26" ht="15.75" thickBot="1">
      <c r="A141" s="31">
        <v>140</v>
      </c>
      <c r="B141" s="31">
        <v>14</v>
      </c>
      <c r="C141" s="33" t="s">
        <v>513</v>
      </c>
      <c r="D141" s="33" t="s">
        <v>2</v>
      </c>
      <c r="E141" s="33" t="s">
        <v>49</v>
      </c>
      <c r="F141" s="33" t="s">
        <v>97</v>
      </c>
      <c r="G141" s="31">
        <v>140</v>
      </c>
      <c r="H141" s="31">
        <v>14</v>
      </c>
      <c r="I141" s="28"/>
      <c r="J141" s="28"/>
      <c r="K141" s="28"/>
      <c r="L141" s="28"/>
      <c r="M141" s="28"/>
      <c r="N141" s="28"/>
      <c r="O141" s="28"/>
      <c r="P141" s="28"/>
      <c r="Q141" s="28"/>
      <c r="R141" s="28"/>
      <c r="S141" s="28"/>
      <c r="T141" s="28"/>
      <c r="U141" s="28"/>
      <c r="V141" s="28"/>
      <c r="W141" s="28"/>
      <c r="X141" s="28"/>
      <c r="Y141" s="28"/>
      <c r="Z141" s="28"/>
    </row>
    <row r="142" spans="1:26" ht="15.75" thickBot="1">
      <c r="A142" s="29">
        <v>141</v>
      </c>
      <c r="B142" s="29">
        <v>15</v>
      </c>
      <c r="C142" s="28" t="s">
        <v>514</v>
      </c>
      <c r="D142" s="28" t="s">
        <v>2</v>
      </c>
      <c r="E142" s="28" t="s">
        <v>107</v>
      </c>
      <c r="F142" s="28" t="s">
        <v>97</v>
      </c>
      <c r="G142" s="29">
        <v>141</v>
      </c>
      <c r="H142" s="29">
        <v>15</v>
      </c>
      <c r="I142" s="28"/>
      <c r="J142" s="28"/>
      <c r="K142" s="28"/>
      <c r="L142" s="28"/>
      <c r="M142" s="28"/>
      <c r="N142" s="28"/>
      <c r="O142" s="28"/>
      <c r="P142" s="28"/>
      <c r="Q142" s="28"/>
      <c r="R142" s="28"/>
      <c r="S142" s="28"/>
      <c r="T142" s="28"/>
      <c r="U142" s="28"/>
      <c r="V142" s="28"/>
      <c r="W142" s="28"/>
      <c r="X142" s="28"/>
      <c r="Y142" s="28"/>
      <c r="Z142" s="28"/>
    </row>
    <row r="143" spans="1:26" ht="15.75" thickBot="1">
      <c r="A143" s="29">
        <v>142</v>
      </c>
      <c r="B143" s="29">
        <v>15</v>
      </c>
      <c r="C143" s="28" t="s">
        <v>515</v>
      </c>
      <c r="D143" s="28" t="s">
        <v>2</v>
      </c>
      <c r="E143" s="28" t="s">
        <v>6</v>
      </c>
      <c r="F143" s="28" t="s">
        <v>114</v>
      </c>
      <c r="G143" s="29">
        <v>142</v>
      </c>
      <c r="H143" s="29">
        <v>15</v>
      </c>
      <c r="I143" s="28"/>
      <c r="J143" s="28"/>
      <c r="K143" s="28"/>
      <c r="L143" s="28"/>
      <c r="M143" s="28"/>
      <c r="N143" s="28"/>
      <c r="O143" s="28"/>
      <c r="P143" s="28"/>
      <c r="Q143" s="28"/>
      <c r="R143" s="28"/>
      <c r="S143" s="28"/>
      <c r="T143" s="28"/>
      <c r="U143" s="28"/>
      <c r="V143" s="28"/>
      <c r="W143" s="28"/>
      <c r="X143" s="28"/>
      <c r="Y143" s="28"/>
      <c r="Z143" s="28"/>
    </row>
    <row r="144" spans="1:26" ht="15.75" thickBot="1">
      <c r="A144" s="29">
        <v>143</v>
      </c>
      <c r="B144" s="29">
        <v>15</v>
      </c>
      <c r="C144" s="28" t="s">
        <v>516</v>
      </c>
      <c r="D144" s="28" t="s">
        <v>2</v>
      </c>
      <c r="E144" s="28"/>
      <c r="F144" s="28" t="s">
        <v>181</v>
      </c>
      <c r="G144" s="29">
        <v>143</v>
      </c>
      <c r="H144" s="29">
        <v>15</v>
      </c>
      <c r="I144" s="28"/>
      <c r="J144" s="28"/>
      <c r="K144" s="28"/>
      <c r="L144" s="28"/>
      <c r="M144" s="28"/>
      <c r="N144" s="28"/>
      <c r="O144" s="28"/>
      <c r="P144" s="28"/>
      <c r="Q144" s="28"/>
      <c r="R144" s="28"/>
      <c r="S144" s="28"/>
      <c r="T144" s="28"/>
      <c r="U144" s="28"/>
      <c r="V144" s="28"/>
      <c r="W144" s="28"/>
      <c r="X144" s="28"/>
      <c r="Y144" s="28"/>
      <c r="Z144" s="28"/>
    </row>
    <row r="145" spans="1:26" ht="15.75" thickBot="1">
      <c r="A145" s="29">
        <v>144</v>
      </c>
      <c r="B145" s="29">
        <v>15</v>
      </c>
      <c r="C145" s="28" t="s">
        <v>101</v>
      </c>
      <c r="D145" s="28" t="s">
        <v>10</v>
      </c>
      <c r="E145" s="28" t="s">
        <v>6</v>
      </c>
      <c r="F145" s="28" t="s">
        <v>469</v>
      </c>
      <c r="G145" s="29">
        <v>144</v>
      </c>
      <c r="H145" s="29">
        <v>15</v>
      </c>
      <c r="I145" s="28"/>
      <c r="J145" s="28"/>
      <c r="K145" s="28"/>
      <c r="L145" s="28"/>
      <c r="M145" s="28"/>
      <c r="N145" s="28"/>
      <c r="O145" s="28"/>
      <c r="P145" s="28"/>
      <c r="Q145" s="28"/>
      <c r="R145" s="28"/>
      <c r="S145" s="28"/>
      <c r="T145" s="28"/>
      <c r="U145" s="28"/>
      <c r="V145" s="28"/>
      <c r="W145" s="28"/>
      <c r="X145" s="28"/>
      <c r="Y145" s="28"/>
      <c r="Z145" s="28"/>
    </row>
    <row r="146" spans="1:26" ht="15.75" thickBot="1">
      <c r="A146" s="29">
        <v>145</v>
      </c>
      <c r="B146" s="29">
        <v>15</v>
      </c>
      <c r="C146" s="28" t="s">
        <v>106</v>
      </c>
      <c r="D146" s="28" t="s">
        <v>2</v>
      </c>
      <c r="E146" s="28" t="s">
        <v>82</v>
      </c>
      <c r="F146" s="28" t="s">
        <v>0</v>
      </c>
      <c r="G146" s="29">
        <v>145</v>
      </c>
      <c r="H146" s="29">
        <v>15</v>
      </c>
      <c r="I146" s="28"/>
      <c r="J146" s="28"/>
      <c r="K146" s="28"/>
      <c r="L146" s="28"/>
      <c r="M146" s="28"/>
      <c r="N146" s="28"/>
      <c r="O146" s="28"/>
      <c r="P146" s="28"/>
      <c r="Q146" s="28"/>
      <c r="R146" s="28"/>
      <c r="S146" s="28"/>
      <c r="T146" s="28"/>
      <c r="U146" s="28"/>
      <c r="V146" s="28"/>
      <c r="W146" s="28"/>
      <c r="X146" s="28"/>
      <c r="Y146" s="28"/>
      <c r="Z146" s="28"/>
    </row>
    <row r="147" spans="1:26" ht="15.75" thickBot="1">
      <c r="A147" s="29">
        <v>146</v>
      </c>
      <c r="B147" s="29">
        <v>15</v>
      </c>
      <c r="C147" s="28" t="s">
        <v>517</v>
      </c>
      <c r="D147" s="28" t="s">
        <v>2</v>
      </c>
      <c r="E147" s="28" t="s">
        <v>3</v>
      </c>
      <c r="F147" s="28" t="s">
        <v>58</v>
      </c>
      <c r="G147" s="29">
        <v>146</v>
      </c>
      <c r="H147" s="29">
        <v>15</v>
      </c>
      <c r="I147" s="28"/>
      <c r="J147" s="28"/>
      <c r="K147" s="28"/>
      <c r="L147" s="28"/>
      <c r="M147" s="28"/>
      <c r="N147" s="28"/>
      <c r="O147" s="28"/>
      <c r="P147" s="28"/>
      <c r="Q147" s="28"/>
      <c r="R147" s="28"/>
      <c r="S147" s="28"/>
      <c r="T147" s="28"/>
      <c r="U147" s="28"/>
      <c r="V147" s="28"/>
      <c r="W147" s="28"/>
      <c r="X147" s="28"/>
      <c r="Y147" s="28"/>
      <c r="Z147" s="28"/>
    </row>
    <row r="148" spans="1:26" ht="15.75" thickBot="1">
      <c r="A148" s="29">
        <v>147</v>
      </c>
      <c r="B148" s="29">
        <v>15</v>
      </c>
      <c r="C148" s="28" t="s">
        <v>518</v>
      </c>
      <c r="D148" s="28" t="s">
        <v>2</v>
      </c>
      <c r="E148" s="28" t="s">
        <v>46</v>
      </c>
      <c r="F148" s="28" t="s">
        <v>37</v>
      </c>
      <c r="G148" s="29">
        <v>147</v>
      </c>
      <c r="H148" s="29">
        <v>15</v>
      </c>
      <c r="I148" s="28"/>
      <c r="J148" s="28"/>
      <c r="K148" s="28"/>
      <c r="L148" s="28"/>
      <c r="M148" s="28"/>
      <c r="N148" s="28"/>
      <c r="O148" s="28"/>
      <c r="P148" s="28"/>
      <c r="Q148" s="28"/>
      <c r="R148" s="28"/>
      <c r="S148" s="28"/>
      <c r="T148" s="28"/>
      <c r="U148" s="28"/>
      <c r="V148" s="28"/>
      <c r="W148" s="28"/>
      <c r="X148" s="28"/>
      <c r="Y148" s="28"/>
      <c r="Z148" s="28"/>
    </row>
    <row r="149" spans="1:26" ht="15.75" thickBot="1">
      <c r="A149" s="29">
        <v>148</v>
      </c>
      <c r="B149" s="29">
        <v>15</v>
      </c>
      <c r="C149" s="28" t="s">
        <v>519</v>
      </c>
      <c r="D149" s="28" t="s">
        <v>2</v>
      </c>
      <c r="E149" s="28" t="s">
        <v>34</v>
      </c>
      <c r="F149" s="28" t="s">
        <v>470</v>
      </c>
      <c r="G149" s="29">
        <v>148</v>
      </c>
      <c r="H149" s="29">
        <v>15</v>
      </c>
      <c r="I149" s="28"/>
      <c r="J149" s="28"/>
      <c r="K149" s="28"/>
      <c r="L149" s="28"/>
      <c r="M149" s="28"/>
      <c r="N149" s="28"/>
      <c r="O149" s="28"/>
      <c r="P149" s="28"/>
      <c r="Q149" s="28"/>
      <c r="R149" s="28"/>
      <c r="S149" s="28"/>
      <c r="T149" s="28"/>
      <c r="U149" s="28"/>
      <c r="V149" s="28"/>
      <c r="W149" s="28"/>
      <c r="X149" s="28"/>
      <c r="Y149" s="28"/>
      <c r="Z149" s="28"/>
    </row>
    <row r="150" spans="1:26" ht="15.75" thickBot="1">
      <c r="A150" s="29">
        <v>149</v>
      </c>
      <c r="B150" s="29">
        <v>15</v>
      </c>
      <c r="C150" s="28" t="s">
        <v>520</v>
      </c>
      <c r="D150" s="28" t="s">
        <v>27</v>
      </c>
      <c r="E150" s="28" t="s">
        <v>135</v>
      </c>
      <c r="F150" s="28" t="s">
        <v>385</v>
      </c>
      <c r="G150" s="29">
        <v>149</v>
      </c>
      <c r="H150" s="29">
        <v>15</v>
      </c>
      <c r="I150" s="28"/>
      <c r="J150" s="28"/>
      <c r="K150" s="28"/>
      <c r="L150" s="28"/>
      <c r="M150" s="28"/>
      <c r="N150" s="28"/>
      <c r="O150" s="28"/>
      <c r="P150" s="28"/>
      <c r="Q150" s="28"/>
      <c r="R150" s="28"/>
      <c r="S150" s="28"/>
      <c r="T150" s="28"/>
      <c r="U150" s="28"/>
      <c r="V150" s="28"/>
      <c r="W150" s="28"/>
      <c r="X150" s="28"/>
      <c r="Y150" s="28"/>
      <c r="Z150" s="28"/>
    </row>
    <row r="151" spans="1:26" ht="15.75" thickBot="1">
      <c r="A151" s="31">
        <v>150</v>
      </c>
      <c r="B151" s="31">
        <v>15</v>
      </c>
      <c r="C151" s="33" t="s">
        <v>42</v>
      </c>
      <c r="D151" s="33" t="s">
        <v>10</v>
      </c>
      <c r="E151" s="33" t="s">
        <v>8</v>
      </c>
      <c r="F151" s="33" t="s">
        <v>471</v>
      </c>
      <c r="G151" s="31">
        <v>150</v>
      </c>
      <c r="H151" s="31">
        <v>15</v>
      </c>
      <c r="I151" s="28"/>
      <c r="J151" s="28"/>
      <c r="K151" s="28"/>
      <c r="L151" s="28"/>
      <c r="M151" s="28"/>
      <c r="N151" s="28"/>
      <c r="O151" s="28"/>
      <c r="P151" s="28"/>
      <c r="Q151" s="28"/>
      <c r="R151" s="28"/>
      <c r="S151" s="28"/>
      <c r="T151" s="28"/>
      <c r="U151" s="28"/>
      <c r="V151" s="28"/>
      <c r="W151" s="28"/>
      <c r="X151" s="28"/>
      <c r="Y151" s="28"/>
      <c r="Z151" s="28"/>
    </row>
    <row r="152" spans="1:26" ht="15.75" thickBot="1">
      <c r="A152" s="29">
        <v>151</v>
      </c>
      <c r="B152" s="29">
        <v>16</v>
      </c>
      <c r="C152" s="28" t="s">
        <v>441</v>
      </c>
      <c r="D152" s="28" t="s">
        <v>10</v>
      </c>
      <c r="E152" s="28" t="s">
        <v>135</v>
      </c>
      <c r="F152" s="28" t="s">
        <v>471</v>
      </c>
      <c r="G152" s="29">
        <v>151</v>
      </c>
      <c r="H152" s="29">
        <v>16</v>
      </c>
      <c r="I152" s="28"/>
      <c r="J152" s="28"/>
      <c r="K152" s="28"/>
      <c r="L152" s="28"/>
      <c r="M152" s="28"/>
      <c r="N152" s="28"/>
      <c r="O152" s="28"/>
      <c r="P152" s="28"/>
      <c r="Q152" s="28"/>
      <c r="R152" s="28"/>
      <c r="S152" s="28"/>
      <c r="T152" s="28"/>
      <c r="U152" s="28"/>
      <c r="V152" s="28"/>
      <c r="W152" s="28"/>
      <c r="X152" s="28"/>
      <c r="Y152" s="28"/>
      <c r="Z152" s="28"/>
    </row>
    <row r="153" spans="1:26" ht="15.75" thickBot="1">
      <c r="A153" s="29">
        <v>152</v>
      </c>
      <c r="B153" s="29">
        <v>16</v>
      </c>
      <c r="C153" s="28" t="s">
        <v>521</v>
      </c>
      <c r="D153" s="28" t="s">
        <v>36</v>
      </c>
      <c r="E153" s="28" t="s">
        <v>34</v>
      </c>
      <c r="F153" s="28" t="s">
        <v>385</v>
      </c>
      <c r="G153" s="29">
        <v>152</v>
      </c>
      <c r="H153" s="29">
        <v>16</v>
      </c>
      <c r="I153" s="28"/>
      <c r="J153" s="28"/>
      <c r="K153" s="28"/>
      <c r="L153" s="28"/>
      <c r="M153" s="28"/>
      <c r="N153" s="28"/>
      <c r="O153" s="28"/>
      <c r="P153" s="28"/>
      <c r="Q153" s="28"/>
      <c r="R153" s="28"/>
      <c r="S153" s="28"/>
      <c r="T153" s="28"/>
      <c r="U153" s="28"/>
      <c r="V153" s="28"/>
      <c r="W153" s="28"/>
      <c r="X153" s="28"/>
      <c r="Y153" s="28"/>
      <c r="Z153" s="28"/>
    </row>
    <row r="154" spans="1:26" ht="15.75" thickBot="1">
      <c r="A154" s="29">
        <v>153</v>
      </c>
      <c r="B154" s="29">
        <v>16</v>
      </c>
      <c r="C154" s="28" t="s">
        <v>579</v>
      </c>
      <c r="D154" s="28" t="s">
        <v>2</v>
      </c>
      <c r="E154" s="28" t="s">
        <v>82</v>
      </c>
      <c r="F154" s="28" t="s">
        <v>470</v>
      </c>
      <c r="G154" s="29">
        <v>153</v>
      </c>
      <c r="H154" s="29">
        <v>16</v>
      </c>
      <c r="I154" s="28"/>
      <c r="J154" s="28"/>
      <c r="K154" s="28"/>
      <c r="L154" s="28"/>
      <c r="M154" s="28"/>
      <c r="N154" s="28"/>
      <c r="O154" s="28"/>
      <c r="P154" s="28"/>
      <c r="Q154" s="28"/>
      <c r="R154" s="28"/>
      <c r="S154" s="28"/>
      <c r="T154" s="28"/>
      <c r="U154" s="28"/>
      <c r="V154" s="28"/>
      <c r="W154" s="28"/>
      <c r="X154" s="28"/>
      <c r="Y154" s="28"/>
      <c r="Z154" s="28"/>
    </row>
    <row r="155" spans="1:26" ht="15.75" thickBot="1">
      <c r="A155" s="29">
        <v>154</v>
      </c>
      <c r="B155" s="29">
        <v>16</v>
      </c>
      <c r="C155" s="28" t="s">
        <v>575</v>
      </c>
      <c r="D155" s="28" t="s">
        <v>10</v>
      </c>
      <c r="E155" s="28" t="s">
        <v>91</v>
      </c>
      <c r="F155" s="28" t="s">
        <v>37</v>
      </c>
      <c r="G155" s="29">
        <v>154</v>
      </c>
      <c r="H155" s="29">
        <v>16</v>
      </c>
      <c r="I155" s="28"/>
      <c r="J155" s="28"/>
      <c r="K155" s="28"/>
      <c r="L155" s="28"/>
      <c r="M155" s="28"/>
      <c r="N155" s="28"/>
      <c r="O155" s="28"/>
      <c r="P155" s="28"/>
      <c r="Q155" s="28"/>
      <c r="R155" s="28"/>
      <c r="S155" s="28"/>
      <c r="T155" s="28"/>
      <c r="U155" s="28"/>
      <c r="V155" s="28"/>
      <c r="W155" s="28"/>
      <c r="X155" s="28"/>
      <c r="Y155" s="28"/>
      <c r="Z155" s="28"/>
    </row>
    <row r="156" spans="1:26" ht="15.75" thickBot="1">
      <c r="A156" s="29">
        <v>155</v>
      </c>
      <c r="B156" s="29">
        <v>16</v>
      </c>
      <c r="C156" s="28" t="s">
        <v>177</v>
      </c>
      <c r="D156" s="28" t="s">
        <v>2</v>
      </c>
      <c r="E156" s="28" t="s">
        <v>84</v>
      </c>
      <c r="F156" s="28" t="s">
        <v>58</v>
      </c>
      <c r="G156" s="29">
        <v>155</v>
      </c>
      <c r="H156" s="29">
        <v>16</v>
      </c>
      <c r="I156" s="28"/>
      <c r="J156" s="28"/>
      <c r="K156" s="28"/>
      <c r="L156" s="28"/>
      <c r="M156" s="28"/>
      <c r="N156" s="28"/>
      <c r="O156" s="28"/>
      <c r="P156" s="28"/>
      <c r="Q156" s="28"/>
      <c r="R156" s="28"/>
      <c r="S156" s="28"/>
      <c r="T156" s="28"/>
      <c r="U156" s="28"/>
      <c r="V156" s="28"/>
      <c r="W156" s="28"/>
      <c r="X156" s="28"/>
      <c r="Y156" s="28"/>
      <c r="Z156" s="28"/>
    </row>
    <row r="157" spans="1:26" ht="15.75" thickBot="1">
      <c r="A157" s="29">
        <v>156</v>
      </c>
      <c r="B157" s="29">
        <v>16</v>
      </c>
      <c r="C157" s="28" t="s">
        <v>524</v>
      </c>
      <c r="D157" s="28"/>
      <c r="E157" s="28" t="s">
        <v>25</v>
      </c>
      <c r="F157" s="28" t="s">
        <v>0</v>
      </c>
      <c r="G157" s="29">
        <v>156</v>
      </c>
      <c r="H157" s="29">
        <v>16</v>
      </c>
      <c r="I157" s="28"/>
      <c r="J157" s="28"/>
      <c r="K157" s="28"/>
      <c r="L157" s="28"/>
      <c r="M157" s="28"/>
      <c r="N157" s="28"/>
      <c r="O157" s="28"/>
      <c r="P157" s="28"/>
      <c r="Q157" s="28"/>
      <c r="R157" s="28"/>
      <c r="S157" s="28"/>
      <c r="T157" s="28"/>
      <c r="U157" s="28"/>
      <c r="V157" s="28"/>
      <c r="W157" s="28"/>
      <c r="X157" s="28"/>
      <c r="Y157" s="28"/>
      <c r="Z157" s="28"/>
    </row>
    <row r="158" spans="1:26" ht="15.75" thickBot="1">
      <c r="A158" s="29">
        <v>157</v>
      </c>
      <c r="B158" s="29">
        <v>16</v>
      </c>
      <c r="C158" s="28" t="s">
        <v>166</v>
      </c>
      <c r="D158" s="28" t="s">
        <v>2</v>
      </c>
      <c r="E158" s="28" t="s">
        <v>525</v>
      </c>
      <c r="F158" s="28" t="s">
        <v>469</v>
      </c>
      <c r="G158" s="29">
        <v>157</v>
      </c>
      <c r="H158" s="29">
        <v>16</v>
      </c>
      <c r="I158" s="28"/>
      <c r="J158" s="28"/>
      <c r="K158" s="28"/>
      <c r="L158" s="28"/>
      <c r="M158" s="28"/>
      <c r="N158" s="28"/>
      <c r="O158" s="28"/>
      <c r="P158" s="28"/>
      <c r="Q158" s="28"/>
      <c r="R158" s="28"/>
      <c r="S158" s="28"/>
      <c r="T158" s="28"/>
      <c r="U158" s="28"/>
      <c r="V158" s="28"/>
      <c r="W158" s="28"/>
      <c r="X158" s="28"/>
      <c r="Y158" s="28"/>
      <c r="Z158" s="28"/>
    </row>
    <row r="159" spans="1:26" ht="15.75" thickBot="1">
      <c r="A159" s="29">
        <v>158</v>
      </c>
      <c r="B159" s="29">
        <v>16</v>
      </c>
      <c r="C159" s="28" t="s">
        <v>526</v>
      </c>
      <c r="D159" s="28" t="s">
        <v>10</v>
      </c>
      <c r="E159" s="28" t="s">
        <v>28</v>
      </c>
      <c r="F159" s="28" t="s">
        <v>181</v>
      </c>
      <c r="G159" s="29">
        <v>158</v>
      </c>
      <c r="H159" s="29">
        <v>16</v>
      </c>
      <c r="I159" s="28"/>
      <c r="J159" s="28"/>
      <c r="K159" s="28"/>
      <c r="L159" s="28"/>
      <c r="M159" s="28"/>
      <c r="N159" s="28"/>
      <c r="O159" s="28"/>
      <c r="P159" s="28"/>
      <c r="Q159" s="28"/>
      <c r="R159" s="28"/>
      <c r="S159" s="28"/>
      <c r="T159" s="28"/>
      <c r="U159" s="28"/>
      <c r="V159" s="28"/>
      <c r="W159" s="28"/>
      <c r="X159" s="28"/>
      <c r="Y159" s="28"/>
      <c r="Z159" s="28"/>
    </row>
    <row r="160" spans="1:26" ht="15.75" thickBot="1">
      <c r="A160" s="29">
        <v>159</v>
      </c>
      <c r="B160" s="29">
        <v>16</v>
      </c>
      <c r="C160" s="28" t="s">
        <v>527</v>
      </c>
      <c r="D160" s="28" t="s">
        <v>10</v>
      </c>
      <c r="E160" s="28" t="s">
        <v>8</v>
      </c>
      <c r="F160" s="28" t="s">
        <v>114</v>
      </c>
      <c r="G160" s="29">
        <v>159</v>
      </c>
      <c r="H160" s="29">
        <v>16</v>
      </c>
      <c r="I160" s="28"/>
      <c r="J160" s="28"/>
      <c r="K160" s="28"/>
      <c r="L160" s="28"/>
      <c r="M160" s="28"/>
      <c r="N160" s="28"/>
      <c r="O160" s="28"/>
      <c r="P160" s="28"/>
      <c r="Q160" s="28"/>
      <c r="R160" s="28"/>
      <c r="S160" s="28"/>
      <c r="T160" s="28"/>
      <c r="U160" s="28"/>
      <c r="V160" s="28"/>
      <c r="W160" s="28"/>
      <c r="X160" s="28"/>
      <c r="Y160" s="28"/>
      <c r="Z160" s="28"/>
    </row>
    <row r="161" spans="1:26" ht="15.75" thickBot="1">
      <c r="A161" s="29">
        <v>160</v>
      </c>
      <c r="B161" s="29">
        <v>16</v>
      </c>
      <c r="C161" s="28" t="s">
        <v>559</v>
      </c>
      <c r="D161" s="28" t="s">
        <v>5</v>
      </c>
      <c r="E161" s="28" t="s">
        <v>13</v>
      </c>
      <c r="F161" s="28" t="s">
        <v>97</v>
      </c>
      <c r="G161" s="29">
        <v>160</v>
      </c>
      <c r="H161" s="29">
        <v>16</v>
      </c>
      <c r="I161" s="28"/>
      <c r="J161" s="28"/>
      <c r="K161" s="28"/>
      <c r="L161" s="28"/>
      <c r="M161" s="28"/>
      <c r="N161" s="28"/>
      <c r="O161" s="28"/>
      <c r="P161" s="28"/>
      <c r="Q161" s="28"/>
      <c r="R161" s="28"/>
      <c r="S161" s="28"/>
      <c r="T161" s="28"/>
      <c r="U161" s="28"/>
      <c r="V161" s="28"/>
      <c r="W161" s="28"/>
      <c r="X161" s="28"/>
      <c r="Y161" s="28"/>
      <c r="Z161" s="28"/>
    </row>
    <row r="162" spans="1:26" ht="15.75" thickBo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75" thickBo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75" thickBo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75" thickBo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75" thickBo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thickBo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thickBo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thickBo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thickBo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thickBo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thickBo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thickBo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75" thickBo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thickBo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75" thickBo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75" thickBo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thickBo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thickBo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75" thickBo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75" thickBo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thickBo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thickBo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thickBo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thickBo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thickBo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thickBo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thickBo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75" thickBo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75" thickBo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75" thickBo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75" thickBo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75" thickBo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75" thickBo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75" thickBo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75" thickBo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75" thickBo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75" thickBo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75" thickBo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thickBo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75" thickBo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thickBo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75" thickBo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75" thickBo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75" thickBo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75" thickBo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75" thickBo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75" thickBo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75" thickBo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75" thickBo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75" thickBo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75" thickBo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thickBo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75" thickBo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75" thickBo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thickBo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75" thickBo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75" thickBo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75" thickBo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75" thickBo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thickBo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75" thickBo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75" thickBo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75" thickBo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thickBo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75" thickBo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75" thickBo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75" thickBo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75" thickBo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75" thickBo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thickBo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75" thickBo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75" thickBo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75" thickBo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75" thickBo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75" thickBo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75" thickBo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75" thickBo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75" thickBo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75" thickBo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75" thickBo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75" thickBo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thickBo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75" thickBo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75" thickBo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75" thickBo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75" thickBo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75" thickBo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75" thickBo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75" thickBo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75" thickBo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75" thickBo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75" thickBo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75" thickBo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75" thickBo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75" thickBo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75" thickBo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75" thickBo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75" thickBo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75" thickBo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75" thickBo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75" thickBo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75" thickBo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75" thickBo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75" thickBo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75" thickBo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75" thickBo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75" thickBo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75" thickBo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75" thickBo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75" thickBo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75" thickBo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75" thickBo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75" thickBo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75" thickBo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75" thickBo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75" thickBo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75" thickBo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75" thickBo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75" thickBo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75" thickBo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75" thickBo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75" thickBo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75" thickBo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75" thickBo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75" thickBo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75" thickBo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75" thickBo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75" thickBo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75" thickBo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75" thickBo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75" thickBo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75" thickBo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75" thickBo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75" thickBo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75" thickBo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75" thickBo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75" thickBo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75" thickBo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75" thickBo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75" thickBo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75" thickBo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75" thickBo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75" thickBo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75" thickBo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75" thickBo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75" thickBo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75" thickBo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75" thickBo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75" thickBo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75" thickBo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75" thickBo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75" thickBo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75" thickBo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75" thickBo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75" thickBo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75" thickBo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75" thickBo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75" thickBo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75" thickBo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75" thickBo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75" thickBo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75" thickBo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75" thickBo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75" thickBo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75" thickBo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75" thickBo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75" thickBo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75" thickBo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75" thickBo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75" thickBo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75" thickBo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75" thickBo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75" thickBo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75" thickBo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75" thickBo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75" thickBo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75" thickBo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75" thickBo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75" thickBo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75" thickBo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75" thickBo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75" thickBo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75" thickBo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75" thickBo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75" thickBo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75" thickBo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75" thickBo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75" thickBo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75" thickBo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75" thickBo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75" thickBo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75" thickBo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75" thickBo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75" thickBo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75" thickBo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75" thickBo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75" thickBo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75" thickBo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75" thickBo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75" thickBo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75" thickBo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75" thickBo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75" thickBo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75" thickBo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75" thickBo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75" thickBo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75" thickBo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75" thickBo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75" thickBo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75" thickBo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75" thickBo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75" thickBo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75" thickBo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75" thickBo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75" thickBo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75" thickBo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75" thickBo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75" thickBo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75" thickBo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75" thickBo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75" thickBo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75" thickBo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75" thickBo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75" thickBo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75" thickBo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75" thickBo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75" thickBo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75" thickBo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75" thickBo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75" thickBo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75" thickBo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75" thickBo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75" thickBo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75" thickBo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75" thickBo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75" thickBo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75" thickBo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75" thickBo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75" thickBo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75" thickBo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75" thickBo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75" thickBo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75" thickBo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75" thickBo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75" thickBo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75" thickBo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75" thickBo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75" thickBo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75" thickBo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75" thickBo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75" thickBo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75" thickBo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75" thickBo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75" thickBo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75" thickBo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75" thickBo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75" thickBo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75" thickBo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75" thickBo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75" thickBo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75" thickBo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75" thickBo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75" thickBo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75" thickBo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75" thickBo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75" thickBo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75" thickBo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75" thickBo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75" thickBo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75" thickBo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75" thickBo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75" thickBo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75" thickBo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75" thickBo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75" thickBo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75" thickBo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75" thickBo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75" thickBo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75" thickBo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75" thickBo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75" thickBo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75" thickBo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75" thickBo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75" thickBo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75" thickBo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75" thickBo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75" thickBo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75" thickBo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75" thickBo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75" thickBo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75" thickBo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75" thickBo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75" thickBo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75" thickBo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75" thickBo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75" thickBo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75" thickBo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75" thickBo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75" thickBo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75" thickBo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75" thickBo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75" thickBo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75" thickBo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75" thickBo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75" thickBo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75" thickBo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75" thickBo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75" thickBo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75" thickBo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75" thickBo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75" thickBo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75" thickBo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75" thickBo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75" thickBo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75" thickBo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75" thickBo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75" thickBo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75" thickBo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75" thickBo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75" thickBo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75" thickBo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75" thickBo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75" thickBo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75" thickBo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75" thickBo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75" thickBo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75" thickBo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75" thickBo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75" thickBo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75" thickBo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75" thickBo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75" thickBo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75" thickBo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75" thickBo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75" thickBo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75" thickBo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75" thickBo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75" thickBo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75" thickBo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75" thickBo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75" thickBo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75" thickBo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75" thickBo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75" thickBo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75" thickBo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75" thickBo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75" thickBo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75" thickBo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75" thickBo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75" thickBo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75" thickBo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75" thickBo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75" thickBo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75" thickBo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75" thickBo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75" thickBo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75" thickBo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75" thickBo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75" thickBo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75" thickBo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75" thickBo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75" thickBo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75" thickBo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75" thickBo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75" thickBo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75" thickBo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75" thickBo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75" thickBo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75" thickBo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75" thickBo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75" thickBo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75" thickBo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75" thickBo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75" thickBo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75" thickBo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75" thickBo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75" thickBo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75" thickBo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75" thickBo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75" thickBo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75" thickBo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75" thickBo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75" thickBo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75" thickBo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75" thickBo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75" thickBo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75" thickBo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75" thickBo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75" thickBo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75" thickBo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75" thickBo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75" thickBo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75" thickBo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75" thickBo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75" thickBo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75" thickBo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75" thickBo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75" thickBo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75" thickBo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75" thickBo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75" thickBo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75" thickBo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75" thickBo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75" thickBo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75" thickBo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75" thickBo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75" thickBo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75" thickBo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75" thickBo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75" thickBo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75" thickBo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75" thickBo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75" thickBo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75" thickBo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75" thickBo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75" thickBo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75" thickBo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75" thickBo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75" thickBo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75" thickBo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75" thickBo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75" thickBo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75" thickBo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75" thickBo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75" thickBo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75" thickBo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75" thickBo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75" thickBo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75" thickBo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75" thickBo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75" thickBo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75" thickBo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75" thickBo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75" thickBo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75" thickBo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75" thickBo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75" thickBo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75" thickBo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75" thickBo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75" thickBo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75" thickBo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75" thickBo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75" thickBo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75" thickBo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75" thickBo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75" thickBo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75" thickBo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75" thickBo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75" thickBo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75" thickBo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75" thickBo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75" thickBo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75" thickBo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75" thickBo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75" thickBo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75" thickBo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75" thickBo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75" thickBo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75" thickBo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75" thickBo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75" thickBo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75" thickBo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75" thickBo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75" thickBo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75" thickBo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75" thickBo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75" thickBo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75" thickBo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75" thickBo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75" thickBo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75" thickBo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75" thickBo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75" thickBo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75" thickBo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75" thickBo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75" thickBo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75" thickBo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75" thickBo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75" thickBo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75" thickBo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75" thickBo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75" thickBo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75" thickBo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75" thickBo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75" thickBo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75" thickBo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75" thickBo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75" thickBo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75" thickBo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75" thickBo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75" thickBo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75" thickBo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75" thickBo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75" thickBo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75" thickBo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75" thickBo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75" thickBo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75" thickBo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75" thickBo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75" thickBo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75" thickBo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75" thickBo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75" thickBo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75" thickBo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75" thickBo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75" thickBo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75" thickBo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75" thickBo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75" thickBo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75" thickBo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75" thickBo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75" thickBo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75" thickBo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75" thickBo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75" thickBo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75" thickBo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75" thickBo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75" thickBo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75" thickBo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75" thickBo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75" thickBo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75" thickBo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75" thickBo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75" thickBo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75" thickBo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75" thickBo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75" thickBo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75" thickBo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75" thickBo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75" thickBo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75" thickBo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75" thickBo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75" thickBo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75" thickBo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75" thickBo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75" thickBo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75" thickBo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75" thickBo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75" thickBo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75" thickBo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75" thickBo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75" thickBo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75" thickBo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75" thickBo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75" thickBo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75" thickBo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75" thickBo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75" thickBo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75" thickBo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75" thickBo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75" thickBo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75" thickBo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75" thickBo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75" thickBo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75" thickBo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75" thickBo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75" thickBo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75" thickBo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75" thickBo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75" thickBo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75" thickBo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75" thickBo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75" thickBo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75" thickBo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75" thickBo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75" thickBo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75" thickBo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75" thickBo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75" thickBo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75" thickBo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75" thickBo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75" thickBo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75" thickBo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75" thickBo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75" thickBo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75" thickBo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75" thickBo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75" thickBo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75" thickBo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75" thickBo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75" thickBo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75" thickBo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75" thickBo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75" thickBo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75" thickBo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75" thickBo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75" thickBo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75" thickBo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75" thickBo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75" thickBo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75" thickBo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75" thickBo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75" thickBo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75" thickBo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75" thickBo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75" thickBo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75" thickBo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75" thickBo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75" thickBo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75" thickBo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75" thickBo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75" thickBo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75" thickBo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75" thickBo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75" thickBo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75" thickBo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75" thickBo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75" thickBo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75" thickBo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75" thickBo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75" thickBo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75" thickBo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75" thickBo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75" thickBo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75" thickBo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75" thickBo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75" thickBo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75" thickBo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75" thickBo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75" thickBo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75" thickBo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75" thickBo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75" thickBo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75" thickBo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75" thickBo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75" thickBo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75" thickBo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75" thickBo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75" thickBo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75" thickBo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75" thickBo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75" thickBo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75" thickBo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75" thickBo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75" thickBo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75" thickBo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75" thickBo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75" thickBo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75" thickBo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75" thickBo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75" thickBo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75" thickBo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75" thickBo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75" thickBo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75" thickBo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75" thickBo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75" thickBo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75" thickBo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75" thickBo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75" thickBo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75" thickBo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75" thickBo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75" thickBo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75" thickBo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75" thickBo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75" thickBo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75" thickBo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75" thickBo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75" thickBo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75" thickBo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75" thickBo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75" thickBo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75" thickBo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75" thickBo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75" thickBo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75" thickBo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75" thickBo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75" thickBo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75" thickBo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75" thickBo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75" thickBo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75" thickBo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75" thickBo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75" thickBo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75" thickBo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75" thickBo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75" thickBo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75" thickBo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75" thickBo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75" thickBo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75" thickBo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75" thickBo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75" thickBo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75" thickBo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75" thickBo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75" thickBo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75" thickBo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75" thickBo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75" thickBo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75" thickBo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75" thickBo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75" thickBo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75" thickBo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75" thickBo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75" thickBo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75" thickBo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75" thickBo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75" thickBo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75" thickBo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75" thickBo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75" thickBo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75" thickBo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75" thickBo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75" thickBo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75" thickBo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75" thickBo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75" thickBo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75" thickBo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75" thickBo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75" thickBo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75" thickBo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75" thickBo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75" thickBo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75" thickBo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75" thickBo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75" thickBo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75" thickBo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75" thickBo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75" thickBo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75" thickBo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75" thickBo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75" thickBo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75" thickBo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75" thickBo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75" thickBo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75" thickBo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75" thickBo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75" thickBo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75" thickBo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75" thickBo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75" thickBo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75" thickBo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75" thickBo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75" thickBo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75" thickBo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75" thickBo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75" thickBo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75" thickBo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75" thickBo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75" thickBo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75" thickBo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75" thickBo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75" thickBo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75" thickBo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75" thickBo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75" thickBo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75" thickBo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75" thickBo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75" thickBo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75" thickBo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75" thickBo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75" thickBo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75" thickBo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75" thickBo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75" thickBo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75" thickBo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75" thickBo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75" thickBo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75" thickBo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75" thickBo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75" thickBo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75" thickBo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75" thickBo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75" thickBo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75" thickBo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75" thickBo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75" thickBo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75" thickBo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75" thickBo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75" thickBo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75" thickBo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75" thickBo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75" thickBo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75" thickBo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75" thickBo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75" thickBo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75" thickBo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75" thickBo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75" thickBo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75" thickBo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75" thickBo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75" thickBo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75" thickBo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75" thickBo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75" thickBo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75" thickBo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75" thickBo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75" thickBo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75" thickBo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75" thickBo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75" thickBo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75" thickBo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75" thickBo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75" thickBo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75" thickBo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75" thickBo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75" thickBo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75" thickBo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75" thickBo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75" thickBo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75" thickBo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75" thickBo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75" thickBo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75" thickBo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75" thickBo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75" thickBo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75" thickBo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75" thickBo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75" thickBo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75" thickBo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75" thickBo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75" thickBo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75" thickBo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75" thickBo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75" thickBo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75" thickBo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75" thickBo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75" thickBo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75" thickBo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sheetData>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980"/>
  <sheetViews>
    <sheetView topLeftCell="A67" workbookViewId="0">
      <selection activeCell="G6" sqref="G6"/>
    </sheetView>
  </sheetViews>
  <sheetFormatPr defaultColWidth="34.28515625" defaultRowHeight="15"/>
  <cols>
    <col min="1" max="1" width="4.7109375" bestFit="1" customWidth="1"/>
    <col min="2" max="2" width="6.7109375" bestFit="1" customWidth="1"/>
    <col min="3" max="3" width="23.5703125" bestFit="1" customWidth="1"/>
    <col min="4" max="4" width="8.140625" bestFit="1" customWidth="1"/>
    <col min="5" max="5" width="8.5703125" bestFit="1" customWidth="1"/>
    <col min="6" max="6" width="15.5703125" bestFit="1" customWidth="1"/>
    <col min="7" max="7" width="4.7109375" bestFit="1" customWidth="1"/>
    <col min="8" max="8" width="17.42578125" bestFit="1" customWidth="1"/>
  </cols>
  <sheetData>
    <row r="1" spans="1:25" ht="27" thickBot="1">
      <c r="A1" s="35" t="s">
        <v>374</v>
      </c>
      <c r="B1" s="36" t="s">
        <v>465</v>
      </c>
      <c r="C1" s="36" t="s">
        <v>375</v>
      </c>
      <c r="D1" s="36" t="s">
        <v>376</v>
      </c>
      <c r="E1" s="36" t="s">
        <v>377</v>
      </c>
      <c r="F1" s="36" t="s">
        <v>378</v>
      </c>
      <c r="G1" s="35" t="s">
        <v>374</v>
      </c>
      <c r="H1" s="37"/>
      <c r="I1" s="28"/>
      <c r="J1" s="28"/>
      <c r="K1" s="28"/>
      <c r="L1" s="28"/>
      <c r="M1" s="28"/>
      <c r="N1" s="28"/>
      <c r="O1" s="28"/>
      <c r="P1" s="28"/>
      <c r="Q1" s="28"/>
      <c r="R1" s="28"/>
      <c r="S1" s="28"/>
      <c r="T1" s="28"/>
      <c r="U1" s="28"/>
      <c r="V1" s="28"/>
      <c r="W1" s="28"/>
      <c r="X1" s="28"/>
      <c r="Y1" s="28"/>
    </row>
    <row r="2" spans="1:25" ht="27" thickBot="1">
      <c r="A2" s="39">
        <v>1</v>
      </c>
      <c r="B2" s="39">
        <v>1</v>
      </c>
      <c r="C2" s="40" t="s">
        <v>528</v>
      </c>
      <c r="D2" s="40" t="s">
        <v>2</v>
      </c>
      <c r="E2" s="40" t="s">
        <v>35</v>
      </c>
      <c r="F2" s="40" t="s">
        <v>469</v>
      </c>
      <c r="G2" s="39">
        <v>4</v>
      </c>
      <c r="H2" s="41" t="s">
        <v>467</v>
      </c>
      <c r="I2" s="34"/>
      <c r="J2" s="28"/>
      <c r="K2" s="28"/>
      <c r="L2" s="28"/>
      <c r="M2" s="28"/>
      <c r="N2" s="28"/>
      <c r="O2" s="28"/>
      <c r="P2" s="28"/>
      <c r="Q2" s="28"/>
      <c r="R2" s="28"/>
      <c r="S2" s="28"/>
      <c r="T2" s="28"/>
      <c r="U2" s="28"/>
      <c r="V2" s="28"/>
      <c r="W2" s="28"/>
      <c r="X2" s="28"/>
      <c r="Y2" s="28"/>
    </row>
    <row r="3" spans="1:25" ht="15.75" thickBot="1">
      <c r="A3" s="39">
        <v>2</v>
      </c>
      <c r="B3" s="39">
        <v>2</v>
      </c>
      <c r="C3" s="40" t="s">
        <v>154</v>
      </c>
      <c r="D3" s="40" t="s">
        <v>10</v>
      </c>
      <c r="E3" s="40" t="s">
        <v>60</v>
      </c>
      <c r="F3" s="40" t="s">
        <v>469</v>
      </c>
      <c r="G3" s="39">
        <v>17</v>
      </c>
      <c r="H3" s="40"/>
      <c r="I3" s="34"/>
      <c r="J3" s="28"/>
      <c r="K3" s="28"/>
      <c r="L3" s="28"/>
      <c r="M3" s="28"/>
      <c r="N3" s="28"/>
      <c r="O3" s="28"/>
      <c r="P3" s="28"/>
      <c r="Q3" s="28"/>
      <c r="R3" s="28"/>
      <c r="S3" s="28"/>
      <c r="T3" s="28"/>
      <c r="U3" s="28"/>
      <c r="V3" s="28"/>
      <c r="W3" s="28"/>
      <c r="X3" s="28"/>
      <c r="Y3" s="28"/>
    </row>
    <row r="4" spans="1:25" ht="15.75" thickBot="1">
      <c r="A4" s="39">
        <v>3</v>
      </c>
      <c r="B4" s="39">
        <v>3</v>
      </c>
      <c r="C4" s="40" t="s">
        <v>475</v>
      </c>
      <c r="D4" s="40" t="s">
        <v>10</v>
      </c>
      <c r="E4" s="40" t="s">
        <v>56</v>
      </c>
      <c r="F4" s="40" t="s">
        <v>469</v>
      </c>
      <c r="G4" s="39">
        <v>24</v>
      </c>
      <c r="H4" s="40"/>
      <c r="I4" s="34"/>
      <c r="J4" s="28"/>
      <c r="K4" s="28"/>
      <c r="L4" s="28"/>
      <c r="M4" s="28"/>
      <c r="N4" s="28"/>
      <c r="O4" s="28"/>
      <c r="P4" s="28"/>
      <c r="Q4" s="28"/>
      <c r="R4" s="28"/>
      <c r="S4" s="28"/>
      <c r="T4" s="28"/>
      <c r="U4" s="28"/>
      <c r="V4" s="28"/>
      <c r="W4" s="28"/>
      <c r="X4" s="28"/>
      <c r="Y4" s="28"/>
    </row>
    <row r="5" spans="1:25" ht="15.75" thickBot="1">
      <c r="A5" s="39">
        <v>4</v>
      </c>
      <c r="B5" s="39">
        <v>4</v>
      </c>
      <c r="C5" s="40" t="s">
        <v>477</v>
      </c>
      <c r="D5" s="40" t="s">
        <v>10</v>
      </c>
      <c r="E5" s="40" t="s">
        <v>34</v>
      </c>
      <c r="F5" s="40" t="s">
        <v>469</v>
      </c>
      <c r="G5" s="39">
        <v>37</v>
      </c>
      <c r="H5" s="40"/>
      <c r="I5" s="34"/>
      <c r="J5" s="28"/>
      <c r="K5" s="28"/>
      <c r="L5" s="28"/>
      <c r="M5" s="28"/>
      <c r="N5" s="28"/>
      <c r="O5" s="28"/>
      <c r="P5" s="28"/>
      <c r="Q5" s="28"/>
      <c r="R5" s="28"/>
      <c r="S5" s="28"/>
      <c r="T5" s="28"/>
      <c r="U5" s="28"/>
      <c r="V5" s="28"/>
      <c r="W5" s="28"/>
      <c r="X5" s="28"/>
      <c r="Y5" s="28"/>
    </row>
    <row r="6" spans="1:25" ht="15.75" thickBot="1">
      <c r="A6" s="39">
        <v>5</v>
      </c>
      <c r="B6" s="39">
        <v>5</v>
      </c>
      <c r="C6" s="40" t="s">
        <v>47</v>
      </c>
      <c r="D6" s="40" t="s">
        <v>5</v>
      </c>
      <c r="E6" s="40" t="s">
        <v>30</v>
      </c>
      <c r="F6" s="40" t="s">
        <v>469</v>
      </c>
      <c r="G6" s="39">
        <v>44</v>
      </c>
      <c r="H6" s="40"/>
      <c r="I6" s="34"/>
      <c r="J6" s="28"/>
      <c r="K6" s="28"/>
      <c r="L6" s="28"/>
      <c r="M6" s="28"/>
      <c r="N6" s="28"/>
      <c r="O6" s="28"/>
      <c r="P6" s="28"/>
      <c r="Q6" s="28"/>
      <c r="R6" s="28"/>
      <c r="S6" s="28"/>
      <c r="T6" s="28"/>
      <c r="U6" s="28"/>
      <c r="V6" s="28"/>
      <c r="W6" s="28"/>
      <c r="X6" s="28"/>
      <c r="Y6" s="28"/>
    </row>
    <row r="7" spans="1:25" ht="15.75" thickBot="1">
      <c r="A7" s="39">
        <v>6</v>
      </c>
      <c r="B7" s="39">
        <v>6</v>
      </c>
      <c r="C7" s="40" t="s">
        <v>171</v>
      </c>
      <c r="D7" s="40" t="s">
        <v>27</v>
      </c>
      <c r="E7" s="40" t="s">
        <v>6</v>
      </c>
      <c r="F7" s="40" t="s">
        <v>469</v>
      </c>
      <c r="G7" s="39">
        <v>57</v>
      </c>
      <c r="H7" s="40"/>
      <c r="I7" s="34"/>
      <c r="J7" s="28"/>
      <c r="K7" s="28"/>
      <c r="L7" s="28"/>
      <c r="M7" s="28"/>
      <c r="N7" s="28"/>
      <c r="O7" s="28"/>
      <c r="P7" s="28"/>
      <c r="Q7" s="28"/>
      <c r="R7" s="28"/>
      <c r="S7" s="28"/>
      <c r="T7" s="28"/>
      <c r="U7" s="28"/>
      <c r="V7" s="28"/>
      <c r="W7" s="28"/>
      <c r="X7" s="28"/>
      <c r="Y7" s="28"/>
    </row>
    <row r="8" spans="1:25" ht="15.75" thickBot="1">
      <c r="A8" s="39">
        <v>7</v>
      </c>
      <c r="B8" s="39">
        <v>7</v>
      </c>
      <c r="C8" s="40" t="s">
        <v>102</v>
      </c>
      <c r="D8" s="40" t="s">
        <v>2</v>
      </c>
      <c r="E8" s="40" t="s">
        <v>91</v>
      </c>
      <c r="F8" s="40" t="s">
        <v>469</v>
      </c>
      <c r="G8" s="39">
        <v>64</v>
      </c>
      <c r="H8" s="40"/>
      <c r="I8" s="34"/>
      <c r="J8" s="28"/>
      <c r="K8" s="28"/>
      <c r="L8" s="28"/>
      <c r="M8" s="28"/>
      <c r="N8" s="28"/>
      <c r="O8" s="28"/>
      <c r="P8" s="28"/>
      <c r="Q8" s="28"/>
      <c r="R8" s="28"/>
      <c r="S8" s="28"/>
      <c r="T8" s="28"/>
      <c r="U8" s="28"/>
      <c r="V8" s="28"/>
      <c r="W8" s="28"/>
      <c r="X8" s="28"/>
      <c r="Y8" s="28"/>
    </row>
    <row r="9" spans="1:25" ht="15.75" thickBot="1">
      <c r="A9" s="39">
        <v>8</v>
      </c>
      <c r="B9" s="39">
        <v>8</v>
      </c>
      <c r="C9" s="41" t="s">
        <v>142</v>
      </c>
      <c r="D9" s="40" t="s">
        <v>2</v>
      </c>
      <c r="E9" s="40" t="s">
        <v>41</v>
      </c>
      <c r="F9" s="40" t="s">
        <v>469</v>
      </c>
      <c r="G9" s="39">
        <v>77</v>
      </c>
      <c r="H9" s="40"/>
      <c r="I9" s="34"/>
      <c r="J9" s="28"/>
      <c r="K9" s="28"/>
      <c r="L9" s="28"/>
      <c r="M9" s="28"/>
      <c r="N9" s="28"/>
      <c r="O9" s="28"/>
      <c r="P9" s="28"/>
      <c r="Q9" s="28"/>
      <c r="R9" s="28"/>
      <c r="S9" s="28"/>
      <c r="T9" s="28"/>
      <c r="U9" s="28"/>
      <c r="V9" s="28"/>
      <c r="W9" s="28"/>
      <c r="X9" s="28"/>
      <c r="Y9" s="28"/>
    </row>
    <row r="10" spans="1:25" ht="15.75" thickBot="1">
      <c r="A10" s="39">
        <v>9</v>
      </c>
      <c r="B10" s="39">
        <v>9</v>
      </c>
      <c r="C10" s="40" t="s">
        <v>488</v>
      </c>
      <c r="D10" s="40" t="s">
        <v>10</v>
      </c>
      <c r="E10" s="40" t="s">
        <v>73</v>
      </c>
      <c r="F10" s="40" t="s">
        <v>469</v>
      </c>
      <c r="G10" s="39">
        <v>84</v>
      </c>
      <c r="H10" s="40"/>
      <c r="I10" s="34"/>
      <c r="J10" s="28"/>
      <c r="K10" s="28"/>
      <c r="L10" s="28"/>
      <c r="M10" s="28"/>
      <c r="N10" s="28"/>
      <c r="O10" s="28"/>
      <c r="P10" s="28"/>
      <c r="Q10" s="28"/>
      <c r="R10" s="28"/>
      <c r="S10" s="28"/>
      <c r="T10" s="28"/>
      <c r="U10" s="28"/>
      <c r="V10" s="28"/>
      <c r="W10" s="28"/>
      <c r="X10" s="28"/>
      <c r="Y10" s="28"/>
    </row>
    <row r="11" spans="1:25" ht="15.75" thickBot="1">
      <c r="A11" s="39">
        <v>10</v>
      </c>
      <c r="B11" s="39">
        <v>10</v>
      </c>
      <c r="C11" s="40" t="s">
        <v>462</v>
      </c>
      <c r="D11" s="40" t="s">
        <v>2</v>
      </c>
      <c r="E11" s="40" t="s">
        <v>120</v>
      </c>
      <c r="F11" s="40" t="s">
        <v>469</v>
      </c>
      <c r="G11" s="39">
        <v>97</v>
      </c>
      <c r="H11" s="40"/>
      <c r="I11" s="34"/>
      <c r="J11" s="28"/>
      <c r="K11" s="28"/>
      <c r="L11" s="28"/>
      <c r="M11" s="28"/>
      <c r="N11" s="28"/>
      <c r="O11" s="28"/>
      <c r="P11" s="28"/>
      <c r="Q11" s="28"/>
      <c r="R11" s="28"/>
      <c r="S11" s="28"/>
      <c r="T11" s="28"/>
      <c r="U11" s="28"/>
      <c r="V11" s="28"/>
      <c r="W11" s="28"/>
      <c r="X11" s="28"/>
      <c r="Y11" s="28"/>
    </row>
    <row r="12" spans="1:25" ht="15.75" thickBot="1">
      <c r="A12" s="39">
        <v>11</v>
      </c>
      <c r="B12" s="39">
        <v>11</v>
      </c>
      <c r="C12" s="40" t="s">
        <v>496</v>
      </c>
      <c r="D12" s="40" t="s">
        <v>36</v>
      </c>
      <c r="E12" s="40" t="s">
        <v>120</v>
      </c>
      <c r="F12" s="40" t="s">
        <v>469</v>
      </c>
      <c r="G12" s="39">
        <v>104</v>
      </c>
      <c r="H12" s="40"/>
      <c r="I12" s="34"/>
      <c r="J12" s="28"/>
      <c r="K12" s="28"/>
      <c r="L12" s="28"/>
      <c r="M12" s="28"/>
      <c r="N12" s="28"/>
      <c r="O12" s="28"/>
      <c r="P12" s="28"/>
      <c r="Q12" s="28"/>
      <c r="R12" s="28"/>
      <c r="S12" s="28"/>
      <c r="T12" s="28"/>
      <c r="U12" s="28"/>
      <c r="V12" s="28"/>
      <c r="W12" s="28"/>
      <c r="X12" s="28"/>
      <c r="Y12" s="28"/>
    </row>
    <row r="13" spans="1:25" ht="15.75" thickBot="1">
      <c r="A13" s="39">
        <v>12</v>
      </c>
      <c r="B13" s="39">
        <v>12</v>
      </c>
      <c r="C13" s="40" t="s">
        <v>195</v>
      </c>
      <c r="D13" s="40" t="s">
        <v>10</v>
      </c>
      <c r="E13" s="40" t="s">
        <v>30</v>
      </c>
      <c r="F13" s="40" t="s">
        <v>469</v>
      </c>
      <c r="G13" s="39">
        <v>117</v>
      </c>
      <c r="H13" s="40"/>
      <c r="I13" s="34"/>
      <c r="J13" s="28"/>
      <c r="K13" s="28"/>
      <c r="L13" s="28"/>
      <c r="M13" s="28"/>
      <c r="N13" s="28"/>
      <c r="O13" s="28"/>
      <c r="P13" s="28"/>
      <c r="Q13" s="28"/>
      <c r="R13" s="28"/>
      <c r="S13" s="28"/>
      <c r="T13" s="28"/>
      <c r="U13" s="28"/>
      <c r="V13" s="28"/>
      <c r="W13" s="28"/>
      <c r="X13" s="28"/>
      <c r="Y13" s="28"/>
    </row>
    <row r="14" spans="1:25" ht="15.75" thickBot="1">
      <c r="A14" s="39">
        <v>13</v>
      </c>
      <c r="B14" s="39">
        <v>13</v>
      </c>
      <c r="C14" s="41" t="s">
        <v>147</v>
      </c>
      <c r="D14" s="40" t="s">
        <v>5</v>
      </c>
      <c r="E14" s="40" t="s">
        <v>41</v>
      </c>
      <c r="F14" s="40" t="s">
        <v>469</v>
      </c>
      <c r="G14" s="39">
        <v>124</v>
      </c>
      <c r="H14" s="40"/>
      <c r="I14" s="34"/>
      <c r="J14" s="28"/>
      <c r="K14" s="28"/>
      <c r="L14" s="28"/>
      <c r="M14" s="28"/>
      <c r="N14" s="28"/>
      <c r="O14" s="28"/>
      <c r="P14" s="28"/>
      <c r="Q14" s="28"/>
      <c r="R14" s="28"/>
      <c r="S14" s="28"/>
      <c r="T14" s="28"/>
      <c r="U14" s="28"/>
      <c r="V14" s="28"/>
      <c r="W14" s="28"/>
      <c r="X14" s="28"/>
      <c r="Y14" s="28"/>
    </row>
    <row r="15" spans="1:25" ht="15.75" thickBot="1">
      <c r="A15" s="39">
        <v>14</v>
      </c>
      <c r="B15" s="39">
        <v>14</v>
      </c>
      <c r="C15" s="40" t="s">
        <v>511</v>
      </c>
      <c r="D15" s="40" t="s">
        <v>10</v>
      </c>
      <c r="E15" s="40" t="s">
        <v>43</v>
      </c>
      <c r="F15" s="40" t="s">
        <v>469</v>
      </c>
      <c r="G15" s="39">
        <v>137</v>
      </c>
      <c r="H15" s="40"/>
      <c r="I15" s="34"/>
      <c r="J15" s="28"/>
      <c r="K15" s="28"/>
      <c r="L15" s="28"/>
      <c r="M15" s="28"/>
      <c r="N15" s="28"/>
      <c r="O15" s="28"/>
      <c r="P15" s="28"/>
      <c r="Q15" s="28"/>
      <c r="R15" s="28"/>
      <c r="S15" s="28"/>
      <c r="T15" s="28"/>
      <c r="U15" s="28"/>
      <c r="V15" s="28"/>
      <c r="W15" s="28"/>
      <c r="X15" s="28"/>
      <c r="Y15" s="28"/>
    </row>
    <row r="16" spans="1:25" ht="15.75" thickBot="1">
      <c r="A16" s="39">
        <v>15</v>
      </c>
      <c r="B16" s="39">
        <v>15</v>
      </c>
      <c r="C16" s="40" t="s">
        <v>101</v>
      </c>
      <c r="D16" s="40" t="s">
        <v>10</v>
      </c>
      <c r="E16" s="40" t="s">
        <v>6</v>
      </c>
      <c r="F16" s="40" t="s">
        <v>469</v>
      </c>
      <c r="G16" s="39">
        <v>144</v>
      </c>
      <c r="H16" s="40"/>
      <c r="I16" s="34"/>
      <c r="J16" s="28"/>
      <c r="K16" s="28"/>
      <c r="L16" s="28"/>
      <c r="M16" s="28"/>
      <c r="N16" s="28"/>
      <c r="O16" s="28"/>
      <c r="P16" s="28"/>
      <c r="Q16" s="28"/>
      <c r="R16" s="28"/>
      <c r="S16" s="28"/>
      <c r="T16" s="28"/>
      <c r="U16" s="28"/>
      <c r="V16" s="28"/>
      <c r="W16" s="28"/>
      <c r="X16" s="28"/>
      <c r="Y16" s="28"/>
    </row>
    <row r="17" spans="1:25" ht="15.75" thickBot="1">
      <c r="A17" s="39">
        <v>16</v>
      </c>
      <c r="B17" s="42">
        <v>16</v>
      </c>
      <c r="C17" s="43" t="s">
        <v>166</v>
      </c>
      <c r="D17" s="43" t="s">
        <v>2</v>
      </c>
      <c r="E17" s="43" t="s">
        <v>525</v>
      </c>
      <c r="F17" s="43" t="s">
        <v>469</v>
      </c>
      <c r="G17" s="42">
        <v>157</v>
      </c>
      <c r="H17" s="40"/>
      <c r="I17" s="34"/>
      <c r="J17" s="28"/>
      <c r="K17" s="28"/>
      <c r="L17" s="28"/>
      <c r="M17" s="28"/>
      <c r="N17" s="28"/>
      <c r="O17" s="28"/>
      <c r="P17" s="28"/>
      <c r="Q17" s="28"/>
      <c r="R17" s="28"/>
      <c r="S17" s="28"/>
      <c r="T17" s="28"/>
      <c r="U17" s="28"/>
      <c r="V17" s="28"/>
      <c r="W17" s="28"/>
      <c r="X17" s="28"/>
      <c r="Y17" s="28"/>
    </row>
    <row r="18" spans="1:25" ht="15.75" thickBot="1">
      <c r="A18" s="39">
        <v>17</v>
      </c>
      <c r="B18" s="39">
        <v>1</v>
      </c>
      <c r="C18" s="40" t="s">
        <v>169</v>
      </c>
      <c r="D18" s="40" t="s">
        <v>10</v>
      </c>
      <c r="E18" s="40" t="s">
        <v>432</v>
      </c>
      <c r="F18" s="40" t="s">
        <v>0</v>
      </c>
      <c r="G18" s="39">
        <v>5</v>
      </c>
      <c r="H18" s="40"/>
      <c r="I18" s="34"/>
      <c r="J18" s="28"/>
      <c r="K18" s="28"/>
      <c r="L18" s="28"/>
      <c r="M18" s="28"/>
      <c r="N18" s="28"/>
      <c r="O18" s="28"/>
      <c r="P18" s="28"/>
      <c r="Q18" s="28"/>
      <c r="R18" s="28"/>
      <c r="S18" s="28"/>
      <c r="T18" s="28"/>
      <c r="U18" s="28"/>
      <c r="V18" s="28"/>
      <c r="W18" s="28"/>
      <c r="X18" s="28"/>
      <c r="Y18" s="28"/>
    </row>
    <row r="19" spans="1:25" ht="15.75" thickBot="1">
      <c r="A19" s="39">
        <v>18</v>
      </c>
      <c r="B19" s="39">
        <v>2</v>
      </c>
      <c r="C19" s="40" t="s">
        <v>415</v>
      </c>
      <c r="D19" s="40" t="s">
        <v>2</v>
      </c>
      <c r="E19" s="40" t="s">
        <v>84</v>
      </c>
      <c r="F19" s="40" t="s">
        <v>0</v>
      </c>
      <c r="G19" s="39">
        <v>16</v>
      </c>
      <c r="H19" s="40"/>
      <c r="I19" s="34"/>
      <c r="J19" s="28"/>
      <c r="K19" s="28"/>
      <c r="L19" s="28"/>
      <c r="M19" s="28"/>
      <c r="N19" s="28"/>
      <c r="O19" s="28"/>
      <c r="P19" s="28"/>
      <c r="Q19" s="28"/>
      <c r="R19" s="28"/>
      <c r="S19" s="28"/>
      <c r="T19" s="28"/>
      <c r="U19" s="28"/>
      <c r="V19" s="28"/>
      <c r="W19" s="28"/>
      <c r="X19" s="28"/>
      <c r="Y19" s="28"/>
    </row>
    <row r="20" spans="1:25" ht="15.75" thickBot="1">
      <c r="A20" s="39">
        <v>19</v>
      </c>
      <c r="B20" s="39">
        <v>3</v>
      </c>
      <c r="C20" s="40" t="s">
        <v>136</v>
      </c>
      <c r="D20" s="40" t="s">
        <v>2</v>
      </c>
      <c r="E20" s="40" t="s">
        <v>137</v>
      </c>
      <c r="F20" s="40" t="s">
        <v>0</v>
      </c>
      <c r="G20" s="39">
        <v>25</v>
      </c>
      <c r="H20" s="40"/>
      <c r="I20" s="34"/>
      <c r="J20" s="28"/>
      <c r="K20" s="28"/>
      <c r="L20" s="28"/>
      <c r="M20" s="28"/>
      <c r="N20" s="28"/>
      <c r="O20" s="28"/>
      <c r="P20" s="28"/>
      <c r="Q20" s="28"/>
      <c r="R20" s="28"/>
      <c r="S20" s="28"/>
      <c r="T20" s="28"/>
      <c r="U20" s="28"/>
      <c r="V20" s="28"/>
      <c r="W20" s="28"/>
      <c r="X20" s="28"/>
      <c r="Y20" s="28"/>
    </row>
    <row r="21" spans="1:25" ht="15.75" thickBot="1">
      <c r="A21" s="39">
        <v>20</v>
      </c>
      <c r="B21" s="39">
        <v>4</v>
      </c>
      <c r="C21" s="41" t="s">
        <v>12</v>
      </c>
      <c r="D21" s="40" t="s">
        <v>10</v>
      </c>
      <c r="E21" s="40" t="s">
        <v>13</v>
      </c>
      <c r="F21" s="40" t="s">
        <v>0</v>
      </c>
      <c r="G21" s="39">
        <v>36</v>
      </c>
      <c r="H21" s="40"/>
      <c r="I21" s="34"/>
      <c r="J21" s="28"/>
      <c r="K21" s="28"/>
      <c r="L21" s="28"/>
      <c r="M21" s="28"/>
      <c r="N21" s="28"/>
      <c r="O21" s="28"/>
      <c r="P21" s="28"/>
      <c r="Q21" s="28"/>
      <c r="R21" s="28"/>
      <c r="S21" s="28"/>
      <c r="T21" s="28"/>
      <c r="U21" s="28"/>
      <c r="V21" s="28"/>
      <c r="W21" s="28"/>
      <c r="X21" s="28"/>
      <c r="Y21" s="28"/>
    </row>
    <row r="22" spans="1:25" ht="15.75" thickBot="1">
      <c r="A22" s="39">
        <v>21</v>
      </c>
      <c r="B22" s="39">
        <v>5</v>
      </c>
      <c r="C22" s="40" t="s">
        <v>418</v>
      </c>
      <c r="D22" s="40" t="s">
        <v>5</v>
      </c>
      <c r="E22" s="40" t="s">
        <v>17</v>
      </c>
      <c r="F22" s="40" t="s">
        <v>0</v>
      </c>
      <c r="G22" s="39">
        <v>45</v>
      </c>
      <c r="H22" s="40"/>
      <c r="I22" s="34"/>
      <c r="J22" s="28"/>
      <c r="K22" s="28"/>
      <c r="L22" s="28"/>
      <c r="M22" s="28"/>
      <c r="N22" s="28"/>
      <c r="O22" s="28"/>
      <c r="P22" s="28"/>
      <c r="Q22" s="28"/>
      <c r="R22" s="28"/>
      <c r="S22" s="28"/>
      <c r="T22" s="28"/>
      <c r="U22" s="28"/>
      <c r="V22" s="28"/>
      <c r="W22" s="28"/>
      <c r="X22" s="28"/>
      <c r="Y22" s="28"/>
    </row>
    <row r="23" spans="1:25" ht="15.75" thickBot="1">
      <c r="A23" s="39">
        <v>22</v>
      </c>
      <c r="B23" s="39">
        <v>6</v>
      </c>
      <c r="C23" s="40" t="s">
        <v>480</v>
      </c>
      <c r="D23" s="40" t="s">
        <v>10</v>
      </c>
      <c r="E23" s="40" t="s">
        <v>71</v>
      </c>
      <c r="F23" s="40" t="s">
        <v>0</v>
      </c>
      <c r="G23" s="39">
        <v>56</v>
      </c>
      <c r="H23" s="40"/>
      <c r="I23" s="34"/>
      <c r="J23" s="28"/>
      <c r="K23" s="28"/>
      <c r="L23" s="28"/>
      <c r="M23" s="28"/>
      <c r="N23" s="28"/>
      <c r="O23" s="28"/>
      <c r="P23" s="28"/>
      <c r="Q23" s="28"/>
      <c r="R23" s="28"/>
      <c r="S23" s="28"/>
      <c r="T23" s="28"/>
      <c r="U23" s="28"/>
      <c r="V23" s="28"/>
      <c r="W23" s="28"/>
      <c r="X23" s="28"/>
      <c r="Y23" s="28"/>
    </row>
    <row r="24" spans="1:25" ht="15.75" thickBot="1">
      <c r="A24" s="39">
        <v>23</v>
      </c>
      <c r="B24" s="39">
        <v>7</v>
      </c>
      <c r="C24" s="40" t="s">
        <v>31</v>
      </c>
      <c r="D24" s="40" t="s">
        <v>2</v>
      </c>
      <c r="E24" s="40" t="s">
        <v>32</v>
      </c>
      <c r="F24" s="40" t="s">
        <v>0</v>
      </c>
      <c r="G24" s="39">
        <v>65</v>
      </c>
      <c r="H24" s="40"/>
      <c r="I24" s="34"/>
      <c r="J24" s="28"/>
      <c r="K24" s="28"/>
      <c r="L24" s="28"/>
      <c r="M24" s="28"/>
      <c r="N24" s="28"/>
      <c r="O24" s="28"/>
      <c r="P24" s="28"/>
      <c r="Q24" s="28"/>
      <c r="R24" s="28"/>
      <c r="S24" s="28"/>
      <c r="T24" s="28"/>
      <c r="U24" s="28"/>
      <c r="V24" s="28"/>
      <c r="W24" s="28"/>
      <c r="X24" s="28"/>
      <c r="Y24" s="28"/>
    </row>
    <row r="25" spans="1:25" ht="15.75" thickBot="1">
      <c r="A25" s="39">
        <v>24</v>
      </c>
      <c r="B25" s="39">
        <v>8</v>
      </c>
      <c r="C25" s="40" t="s">
        <v>486</v>
      </c>
      <c r="D25" s="40" t="s">
        <v>27</v>
      </c>
      <c r="E25" s="40" t="s">
        <v>107</v>
      </c>
      <c r="F25" s="40" t="s">
        <v>0</v>
      </c>
      <c r="G25" s="39">
        <v>76</v>
      </c>
      <c r="H25" s="40"/>
      <c r="I25" s="34"/>
      <c r="J25" s="28"/>
      <c r="K25" s="28"/>
      <c r="L25" s="28"/>
      <c r="M25" s="28"/>
      <c r="N25" s="28"/>
      <c r="O25" s="28"/>
      <c r="P25" s="28"/>
      <c r="Q25" s="28"/>
      <c r="R25" s="28"/>
      <c r="S25" s="28"/>
      <c r="T25" s="28"/>
      <c r="U25" s="28"/>
      <c r="V25" s="28"/>
      <c r="W25" s="28"/>
      <c r="X25" s="28"/>
      <c r="Y25" s="28"/>
    </row>
    <row r="26" spans="1:25" ht="15.75" thickBot="1">
      <c r="A26" s="39">
        <v>25</v>
      </c>
      <c r="B26" s="39">
        <v>9</v>
      </c>
      <c r="C26" s="40" t="s">
        <v>130</v>
      </c>
      <c r="D26" s="40" t="s">
        <v>2</v>
      </c>
      <c r="E26" s="40" t="s">
        <v>23</v>
      </c>
      <c r="F26" s="40" t="s">
        <v>0</v>
      </c>
      <c r="G26" s="39">
        <v>85</v>
      </c>
      <c r="H26" s="40"/>
      <c r="I26" s="34"/>
      <c r="J26" s="28"/>
      <c r="K26" s="28"/>
      <c r="L26" s="28"/>
      <c r="M26" s="28"/>
      <c r="N26" s="28"/>
      <c r="O26" s="28"/>
      <c r="P26" s="28"/>
      <c r="Q26" s="28"/>
      <c r="R26" s="28"/>
      <c r="S26" s="28"/>
      <c r="T26" s="28"/>
      <c r="U26" s="28"/>
      <c r="V26" s="28"/>
      <c r="W26" s="28"/>
      <c r="X26" s="28"/>
      <c r="Y26" s="28"/>
    </row>
    <row r="27" spans="1:25" ht="15.75" thickBot="1">
      <c r="A27" s="39">
        <v>26</v>
      </c>
      <c r="B27" s="39">
        <v>10</v>
      </c>
      <c r="C27" s="40" t="s">
        <v>447</v>
      </c>
      <c r="D27" s="40" t="s">
        <v>10</v>
      </c>
      <c r="E27" s="40" t="s">
        <v>6</v>
      </c>
      <c r="F27" s="40" t="s">
        <v>0</v>
      </c>
      <c r="G27" s="39">
        <v>96</v>
      </c>
      <c r="H27" s="40"/>
      <c r="I27" s="34"/>
      <c r="J27" s="28"/>
      <c r="K27" s="28"/>
      <c r="L27" s="28"/>
      <c r="M27" s="28"/>
      <c r="N27" s="28"/>
      <c r="O27" s="28"/>
      <c r="P27" s="28"/>
      <c r="Q27" s="28"/>
      <c r="R27" s="28"/>
      <c r="S27" s="28"/>
      <c r="T27" s="28"/>
      <c r="U27" s="28"/>
      <c r="V27" s="28"/>
      <c r="W27" s="28"/>
      <c r="X27" s="28"/>
      <c r="Y27" s="28"/>
    </row>
    <row r="28" spans="1:25" ht="15.75" thickBot="1">
      <c r="A28" s="39">
        <v>27</v>
      </c>
      <c r="B28" s="39">
        <v>11</v>
      </c>
      <c r="C28" s="40" t="s">
        <v>497</v>
      </c>
      <c r="D28" s="40" t="s">
        <v>10</v>
      </c>
      <c r="E28" s="40" t="s">
        <v>135</v>
      </c>
      <c r="F28" s="40" t="s">
        <v>0</v>
      </c>
      <c r="G28" s="39">
        <v>105</v>
      </c>
      <c r="H28" s="40"/>
      <c r="I28" s="34"/>
      <c r="J28" s="28"/>
      <c r="K28" s="28"/>
      <c r="L28" s="28"/>
      <c r="M28" s="28"/>
      <c r="N28" s="28"/>
      <c r="O28" s="28"/>
      <c r="P28" s="28"/>
      <c r="Q28" s="28"/>
      <c r="R28" s="28"/>
      <c r="S28" s="28"/>
      <c r="T28" s="28"/>
      <c r="U28" s="28"/>
      <c r="V28" s="28"/>
      <c r="W28" s="28"/>
      <c r="X28" s="28"/>
      <c r="Y28" s="28"/>
    </row>
    <row r="29" spans="1:25" ht="15.75" thickBot="1">
      <c r="A29" s="39">
        <v>28</v>
      </c>
      <c r="B29" s="39">
        <v>12</v>
      </c>
      <c r="C29" s="41" t="s">
        <v>29</v>
      </c>
      <c r="D29" s="40" t="s">
        <v>2</v>
      </c>
      <c r="E29" s="40" t="s">
        <v>30</v>
      </c>
      <c r="F29" s="40" t="s">
        <v>0</v>
      </c>
      <c r="G29" s="39">
        <v>116</v>
      </c>
      <c r="H29" s="40"/>
      <c r="I29" s="34"/>
      <c r="J29" s="28"/>
      <c r="K29" s="28"/>
      <c r="L29" s="28"/>
      <c r="M29" s="28"/>
      <c r="N29" s="28"/>
      <c r="O29" s="28"/>
      <c r="P29" s="28"/>
      <c r="Q29" s="28"/>
      <c r="R29" s="28"/>
      <c r="S29" s="28"/>
      <c r="T29" s="28"/>
      <c r="U29" s="28"/>
      <c r="V29" s="28"/>
      <c r="W29" s="28"/>
      <c r="X29" s="28"/>
      <c r="Y29" s="28"/>
    </row>
    <row r="30" spans="1:25" ht="15.75" thickBot="1">
      <c r="A30" s="39">
        <v>29</v>
      </c>
      <c r="B30" s="39">
        <v>13</v>
      </c>
      <c r="C30" s="40" t="s">
        <v>505</v>
      </c>
      <c r="D30" s="40" t="s">
        <v>36</v>
      </c>
      <c r="E30" s="40" t="s">
        <v>21</v>
      </c>
      <c r="F30" s="40" t="s">
        <v>0</v>
      </c>
      <c r="G30" s="39">
        <v>125</v>
      </c>
      <c r="H30" s="40"/>
      <c r="I30" s="34"/>
      <c r="J30" s="28"/>
      <c r="K30" s="28"/>
      <c r="L30" s="28"/>
      <c r="M30" s="28"/>
      <c r="N30" s="28"/>
      <c r="O30" s="28"/>
      <c r="P30" s="28"/>
      <c r="Q30" s="28"/>
      <c r="R30" s="28"/>
      <c r="S30" s="28"/>
      <c r="T30" s="28"/>
      <c r="U30" s="28"/>
      <c r="V30" s="28"/>
      <c r="W30" s="28"/>
      <c r="X30" s="28"/>
      <c r="Y30" s="28"/>
    </row>
    <row r="31" spans="1:25" ht="15.75" thickBot="1">
      <c r="A31" s="39">
        <v>30</v>
      </c>
      <c r="B31" s="39">
        <v>14</v>
      </c>
      <c r="C31" s="40" t="s">
        <v>431</v>
      </c>
      <c r="D31" s="40" t="s">
        <v>5</v>
      </c>
      <c r="E31" s="40" t="s">
        <v>91</v>
      </c>
      <c r="F31" s="40" t="s">
        <v>0</v>
      </c>
      <c r="G31" s="39">
        <v>136</v>
      </c>
      <c r="H31" s="40"/>
      <c r="I31" s="34"/>
      <c r="J31" s="28"/>
      <c r="K31" s="28"/>
      <c r="L31" s="28"/>
      <c r="M31" s="28"/>
      <c r="N31" s="28"/>
      <c r="O31" s="28"/>
      <c r="P31" s="28"/>
      <c r="Q31" s="28"/>
      <c r="R31" s="28"/>
      <c r="S31" s="28"/>
      <c r="T31" s="28"/>
      <c r="U31" s="28"/>
      <c r="V31" s="28"/>
      <c r="W31" s="28"/>
      <c r="X31" s="28"/>
      <c r="Y31" s="28"/>
    </row>
    <row r="32" spans="1:25" ht="15.75" thickBot="1">
      <c r="A32" s="39">
        <v>31</v>
      </c>
      <c r="B32" s="39">
        <v>15</v>
      </c>
      <c r="C32" s="40" t="s">
        <v>106</v>
      </c>
      <c r="D32" s="40" t="s">
        <v>2</v>
      </c>
      <c r="E32" s="40" t="s">
        <v>82</v>
      </c>
      <c r="F32" s="40" t="s">
        <v>0</v>
      </c>
      <c r="G32" s="39">
        <v>145</v>
      </c>
      <c r="H32" s="40"/>
      <c r="I32" s="34"/>
      <c r="J32" s="28"/>
      <c r="K32" s="28"/>
      <c r="L32" s="28"/>
      <c r="M32" s="28"/>
      <c r="N32" s="28"/>
      <c r="O32" s="28"/>
      <c r="P32" s="28"/>
      <c r="Q32" s="28"/>
      <c r="R32" s="28"/>
      <c r="S32" s="28"/>
      <c r="T32" s="28"/>
      <c r="U32" s="28"/>
      <c r="V32" s="28"/>
      <c r="W32" s="28"/>
      <c r="X32" s="28"/>
      <c r="Y32" s="28"/>
    </row>
    <row r="33" spans="1:25" ht="15.75" thickBot="1">
      <c r="A33" s="42">
        <v>32</v>
      </c>
      <c r="B33" s="42">
        <v>16</v>
      </c>
      <c r="C33" s="43" t="s">
        <v>524</v>
      </c>
      <c r="D33" s="43"/>
      <c r="E33" s="43" t="s">
        <v>25</v>
      </c>
      <c r="F33" s="43" t="s">
        <v>0</v>
      </c>
      <c r="G33" s="42">
        <v>156</v>
      </c>
      <c r="H33" s="40"/>
      <c r="I33" s="34"/>
      <c r="J33" s="28"/>
      <c r="K33" s="28"/>
      <c r="L33" s="28"/>
      <c r="M33" s="28"/>
      <c r="N33" s="28"/>
      <c r="O33" s="28"/>
      <c r="P33" s="28"/>
      <c r="Q33" s="28"/>
      <c r="R33" s="28"/>
      <c r="S33" s="28"/>
      <c r="T33" s="28"/>
      <c r="U33" s="28"/>
      <c r="V33" s="28"/>
      <c r="W33" s="28"/>
      <c r="X33" s="28"/>
      <c r="Y33" s="28"/>
    </row>
    <row r="34" spans="1:25" ht="15.75" thickBot="1">
      <c r="A34" s="39">
        <v>33</v>
      </c>
      <c r="B34" s="39">
        <v>1</v>
      </c>
      <c r="C34" s="41" t="s">
        <v>167</v>
      </c>
      <c r="D34" s="40" t="s">
        <v>10</v>
      </c>
      <c r="E34" s="40" t="s">
        <v>15</v>
      </c>
      <c r="F34" s="40" t="s">
        <v>470</v>
      </c>
      <c r="G34" s="39">
        <v>8</v>
      </c>
      <c r="H34" s="40"/>
      <c r="I34" s="34"/>
      <c r="J34" s="28"/>
      <c r="K34" s="28"/>
      <c r="L34" s="28"/>
      <c r="M34" s="28"/>
      <c r="N34" s="28"/>
      <c r="O34" s="28"/>
      <c r="P34" s="28"/>
      <c r="Q34" s="28"/>
      <c r="R34" s="28"/>
      <c r="S34" s="28"/>
      <c r="T34" s="28"/>
      <c r="U34" s="28"/>
      <c r="V34" s="28"/>
      <c r="W34" s="28"/>
      <c r="X34" s="28"/>
      <c r="Y34" s="28"/>
    </row>
    <row r="35" spans="1:25" ht="15.75" thickBot="1">
      <c r="A35" s="39">
        <v>34</v>
      </c>
      <c r="B35" s="39">
        <v>2</v>
      </c>
      <c r="C35" s="40" t="s">
        <v>115</v>
      </c>
      <c r="D35" s="40" t="s">
        <v>2</v>
      </c>
      <c r="E35" s="40" t="s">
        <v>43</v>
      </c>
      <c r="F35" s="40" t="s">
        <v>470</v>
      </c>
      <c r="G35" s="39">
        <v>13</v>
      </c>
      <c r="H35" s="40"/>
      <c r="I35" s="34"/>
      <c r="J35" s="28"/>
      <c r="K35" s="28"/>
      <c r="L35" s="28"/>
      <c r="M35" s="28"/>
      <c r="N35" s="28"/>
      <c r="O35" s="28"/>
      <c r="P35" s="28"/>
      <c r="Q35" s="28"/>
      <c r="R35" s="28"/>
      <c r="S35" s="28"/>
      <c r="T35" s="28"/>
      <c r="U35" s="28"/>
      <c r="V35" s="28"/>
      <c r="W35" s="28"/>
      <c r="X35" s="28"/>
      <c r="Y35" s="28"/>
    </row>
    <row r="36" spans="1:25" ht="15.75" thickBot="1">
      <c r="A36" s="39">
        <v>35</v>
      </c>
      <c r="B36" s="39">
        <v>3</v>
      </c>
      <c r="C36" s="40" t="s">
        <v>476</v>
      </c>
      <c r="D36" s="40" t="s">
        <v>2</v>
      </c>
      <c r="E36" s="40" t="s">
        <v>34</v>
      </c>
      <c r="F36" s="40" t="s">
        <v>470</v>
      </c>
      <c r="G36" s="39">
        <v>28</v>
      </c>
      <c r="H36" s="40"/>
      <c r="I36" s="34"/>
      <c r="J36" s="28"/>
      <c r="K36" s="28"/>
      <c r="L36" s="28"/>
      <c r="M36" s="28"/>
      <c r="N36" s="28"/>
      <c r="O36" s="28"/>
      <c r="P36" s="28"/>
      <c r="Q36" s="28"/>
      <c r="R36" s="28"/>
      <c r="S36" s="28"/>
      <c r="T36" s="28"/>
      <c r="U36" s="28"/>
      <c r="V36" s="28"/>
      <c r="W36" s="28"/>
      <c r="X36" s="28"/>
      <c r="Y36" s="28"/>
    </row>
    <row r="37" spans="1:25" ht="15.75" thickBot="1">
      <c r="A37" s="39">
        <v>36</v>
      </c>
      <c r="B37" s="39">
        <v>4</v>
      </c>
      <c r="C37" s="40" t="s">
        <v>152</v>
      </c>
      <c r="D37" s="40" t="s">
        <v>27</v>
      </c>
      <c r="E37" s="40" t="s">
        <v>32</v>
      </c>
      <c r="F37" s="40" t="s">
        <v>470</v>
      </c>
      <c r="G37" s="39">
        <v>33</v>
      </c>
      <c r="H37" s="40"/>
      <c r="I37" s="34"/>
      <c r="J37" s="28"/>
      <c r="K37" s="28"/>
      <c r="L37" s="28"/>
      <c r="M37" s="28"/>
      <c r="N37" s="28"/>
      <c r="O37" s="28"/>
      <c r="P37" s="28"/>
      <c r="Q37" s="28"/>
      <c r="R37" s="28"/>
      <c r="S37" s="28"/>
      <c r="T37" s="28"/>
      <c r="U37" s="28"/>
      <c r="V37" s="28"/>
      <c r="W37" s="28"/>
      <c r="X37" s="28"/>
      <c r="Y37" s="28"/>
    </row>
    <row r="38" spans="1:25" ht="15.75" thickBot="1">
      <c r="A38" s="39">
        <v>37</v>
      </c>
      <c r="B38" s="39">
        <v>5</v>
      </c>
      <c r="C38" s="40" t="s">
        <v>188</v>
      </c>
      <c r="D38" s="40" t="s">
        <v>10</v>
      </c>
      <c r="E38" s="40" t="s">
        <v>60</v>
      </c>
      <c r="F38" s="40" t="s">
        <v>470</v>
      </c>
      <c r="G38" s="39">
        <v>48</v>
      </c>
      <c r="H38" s="40"/>
      <c r="I38" s="34"/>
      <c r="J38" s="28"/>
      <c r="K38" s="28"/>
      <c r="L38" s="28"/>
      <c r="M38" s="28"/>
      <c r="N38" s="28"/>
      <c r="O38" s="28"/>
      <c r="P38" s="28"/>
      <c r="Q38" s="28"/>
      <c r="R38" s="28"/>
      <c r="S38" s="28"/>
      <c r="T38" s="28"/>
      <c r="U38" s="28"/>
      <c r="V38" s="28"/>
      <c r="W38" s="28"/>
      <c r="X38" s="28"/>
      <c r="Y38" s="28"/>
    </row>
    <row r="39" spans="1:25" ht="15.75" thickBot="1">
      <c r="A39" s="39">
        <v>38</v>
      </c>
      <c r="B39" s="39">
        <v>6</v>
      </c>
      <c r="C39" s="41" t="s">
        <v>172</v>
      </c>
      <c r="D39" s="40" t="s">
        <v>5</v>
      </c>
      <c r="E39" s="40" t="s">
        <v>73</v>
      </c>
      <c r="F39" s="40" t="s">
        <v>470</v>
      </c>
      <c r="G39" s="39">
        <v>53</v>
      </c>
      <c r="H39" s="40"/>
      <c r="I39" s="34"/>
      <c r="J39" s="28"/>
      <c r="K39" s="28"/>
      <c r="L39" s="28"/>
      <c r="M39" s="28"/>
      <c r="N39" s="28"/>
      <c r="O39" s="28"/>
      <c r="P39" s="28"/>
      <c r="Q39" s="28"/>
      <c r="R39" s="28"/>
      <c r="S39" s="28"/>
      <c r="T39" s="28"/>
      <c r="U39" s="28"/>
      <c r="V39" s="28"/>
      <c r="W39" s="28"/>
      <c r="X39" s="28"/>
      <c r="Y39" s="28"/>
    </row>
    <row r="40" spans="1:25" ht="15.75" thickBot="1">
      <c r="A40" s="39">
        <v>39</v>
      </c>
      <c r="B40" s="39">
        <v>7</v>
      </c>
      <c r="C40" s="40" t="s">
        <v>157</v>
      </c>
      <c r="D40" s="40" t="s">
        <v>2</v>
      </c>
      <c r="E40" s="40" t="s">
        <v>135</v>
      </c>
      <c r="F40" s="40" t="s">
        <v>470</v>
      </c>
      <c r="G40" s="39">
        <v>68</v>
      </c>
      <c r="H40" s="40"/>
      <c r="I40" s="34"/>
      <c r="J40" s="28"/>
      <c r="K40" s="28"/>
      <c r="L40" s="28"/>
      <c r="M40" s="28"/>
      <c r="N40" s="28"/>
      <c r="O40" s="28"/>
      <c r="P40" s="28"/>
      <c r="Q40" s="28"/>
      <c r="R40" s="28"/>
      <c r="S40" s="28"/>
      <c r="T40" s="28"/>
      <c r="U40" s="28"/>
      <c r="V40" s="28"/>
      <c r="W40" s="28"/>
      <c r="X40" s="28"/>
      <c r="Y40" s="28"/>
    </row>
    <row r="41" spans="1:25" ht="15.75" thickBot="1">
      <c r="A41" s="39">
        <v>40</v>
      </c>
      <c r="B41" s="39">
        <v>8</v>
      </c>
      <c r="C41" s="40" t="s">
        <v>485</v>
      </c>
      <c r="D41" s="40" t="s">
        <v>10</v>
      </c>
      <c r="E41" s="40" t="s">
        <v>11</v>
      </c>
      <c r="F41" s="40" t="s">
        <v>470</v>
      </c>
      <c r="G41" s="39">
        <v>73</v>
      </c>
      <c r="H41" s="40"/>
      <c r="I41" s="34"/>
      <c r="J41" s="28"/>
      <c r="K41" s="28"/>
      <c r="L41" s="28"/>
      <c r="M41" s="28"/>
      <c r="N41" s="28"/>
      <c r="O41" s="28"/>
      <c r="P41" s="28"/>
      <c r="Q41" s="28"/>
      <c r="R41" s="28"/>
      <c r="S41" s="28"/>
      <c r="T41" s="28"/>
      <c r="U41" s="28"/>
      <c r="V41" s="28"/>
      <c r="W41" s="28"/>
      <c r="X41" s="28"/>
      <c r="Y41" s="28"/>
    </row>
    <row r="42" spans="1:25" ht="15.75" thickBot="1">
      <c r="A42" s="39">
        <v>41</v>
      </c>
      <c r="B42" s="39">
        <v>9</v>
      </c>
      <c r="C42" s="40" t="s">
        <v>425</v>
      </c>
      <c r="D42" s="40" t="s">
        <v>2</v>
      </c>
      <c r="E42" s="40" t="s">
        <v>120</v>
      </c>
      <c r="F42" s="40" t="s">
        <v>470</v>
      </c>
      <c r="G42" s="39">
        <v>88</v>
      </c>
      <c r="H42" s="40"/>
      <c r="I42" s="34"/>
      <c r="J42" s="28"/>
      <c r="K42" s="28"/>
      <c r="L42" s="28"/>
      <c r="M42" s="28"/>
      <c r="N42" s="28"/>
      <c r="O42" s="28"/>
      <c r="P42" s="28"/>
      <c r="Q42" s="28"/>
      <c r="R42" s="28"/>
      <c r="S42" s="28"/>
      <c r="T42" s="28"/>
      <c r="U42" s="28"/>
      <c r="V42" s="28"/>
      <c r="W42" s="28"/>
      <c r="X42" s="28"/>
      <c r="Y42" s="28"/>
    </row>
    <row r="43" spans="1:25" ht="15.75" thickBot="1">
      <c r="A43" s="39">
        <v>42</v>
      </c>
      <c r="B43" s="39">
        <v>10</v>
      </c>
      <c r="C43" s="40" t="s">
        <v>490</v>
      </c>
      <c r="D43" s="40" t="s">
        <v>2</v>
      </c>
      <c r="E43" s="40" t="s">
        <v>63</v>
      </c>
      <c r="F43" s="40" t="s">
        <v>470</v>
      </c>
      <c r="G43" s="39">
        <v>93</v>
      </c>
      <c r="H43" s="40"/>
      <c r="I43" s="34"/>
      <c r="J43" s="28"/>
      <c r="K43" s="28"/>
      <c r="L43" s="28"/>
      <c r="M43" s="28"/>
      <c r="N43" s="28"/>
      <c r="O43" s="28"/>
      <c r="P43" s="28"/>
      <c r="Q43" s="28"/>
      <c r="R43" s="28"/>
      <c r="S43" s="28"/>
      <c r="T43" s="28"/>
      <c r="U43" s="28"/>
      <c r="V43" s="28"/>
      <c r="W43" s="28"/>
      <c r="X43" s="28"/>
      <c r="Y43" s="28"/>
    </row>
    <row r="44" spans="1:25" ht="15.75" thickBot="1">
      <c r="A44" s="39">
        <v>43</v>
      </c>
      <c r="B44" s="39">
        <v>11</v>
      </c>
      <c r="C44" s="40" t="s">
        <v>499</v>
      </c>
      <c r="D44" s="40" t="s">
        <v>2</v>
      </c>
      <c r="E44" s="40" t="s">
        <v>32</v>
      </c>
      <c r="F44" s="40" t="s">
        <v>470</v>
      </c>
      <c r="G44" s="39">
        <v>108</v>
      </c>
      <c r="H44" s="40"/>
      <c r="I44" s="34"/>
      <c r="J44" s="28"/>
      <c r="K44" s="28"/>
      <c r="L44" s="28"/>
      <c r="M44" s="28"/>
      <c r="N44" s="28"/>
      <c r="O44" s="28"/>
      <c r="P44" s="28"/>
      <c r="Q44" s="28"/>
      <c r="R44" s="28"/>
      <c r="S44" s="28"/>
      <c r="T44" s="28"/>
      <c r="U44" s="28"/>
      <c r="V44" s="28"/>
      <c r="W44" s="28"/>
      <c r="X44" s="28"/>
      <c r="Y44" s="28"/>
    </row>
    <row r="45" spans="1:25" ht="15.75" thickBot="1">
      <c r="A45" s="39">
        <v>44</v>
      </c>
      <c r="B45" s="39">
        <v>12</v>
      </c>
      <c r="C45" s="40" t="s">
        <v>438</v>
      </c>
      <c r="D45" s="40" t="s">
        <v>27</v>
      </c>
      <c r="E45" s="40" t="s">
        <v>25</v>
      </c>
      <c r="F45" s="40" t="s">
        <v>470</v>
      </c>
      <c r="G45" s="39">
        <v>113</v>
      </c>
      <c r="H45" s="40"/>
      <c r="I45" s="34"/>
      <c r="J45" s="28"/>
      <c r="K45" s="28"/>
      <c r="L45" s="28"/>
      <c r="M45" s="28"/>
      <c r="N45" s="28"/>
      <c r="O45" s="28"/>
      <c r="P45" s="28"/>
      <c r="Q45" s="28"/>
      <c r="R45" s="28"/>
      <c r="S45" s="28"/>
      <c r="T45" s="28"/>
      <c r="U45" s="28"/>
      <c r="V45" s="28"/>
      <c r="W45" s="28"/>
      <c r="X45" s="28"/>
      <c r="Y45" s="28"/>
    </row>
    <row r="46" spans="1:25" ht="15.75" thickBot="1">
      <c r="A46" s="39">
        <v>45</v>
      </c>
      <c r="B46" s="39">
        <v>13</v>
      </c>
      <c r="C46" s="40" t="s">
        <v>506</v>
      </c>
      <c r="D46" s="40" t="s">
        <v>36</v>
      </c>
      <c r="E46" s="40" t="s">
        <v>17</v>
      </c>
      <c r="F46" s="40" t="s">
        <v>470</v>
      </c>
      <c r="G46" s="39">
        <v>128</v>
      </c>
      <c r="H46" s="40"/>
      <c r="I46" s="34"/>
      <c r="J46" s="28"/>
      <c r="K46" s="28"/>
      <c r="L46" s="28"/>
      <c r="M46" s="28"/>
      <c r="N46" s="28"/>
      <c r="O46" s="28"/>
      <c r="P46" s="28"/>
      <c r="Q46" s="28"/>
      <c r="R46" s="28"/>
      <c r="S46" s="28"/>
      <c r="T46" s="28"/>
      <c r="U46" s="28"/>
      <c r="V46" s="28"/>
      <c r="W46" s="28"/>
      <c r="X46" s="28"/>
      <c r="Y46" s="28"/>
    </row>
    <row r="47" spans="1:25" ht="15.75" thickBot="1">
      <c r="A47" s="39">
        <v>46</v>
      </c>
      <c r="B47" s="39">
        <v>14</v>
      </c>
      <c r="C47" s="40" t="s">
        <v>408</v>
      </c>
      <c r="D47" s="40" t="s">
        <v>2</v>
      </c>
      <c r="E47" s="40" t="s">
        <v>46</v>
      </c>
      <c r="F47" s="40" t="s">
        <v>470</v>
      </c>
      <c r="G47" s="39">
        <v>133</v>
      </c>
      <c r="H47" s="40"/>
      <c r="I47" s="34"/>
      <c r="J47" s="28"/>
      <c r="K47" s="28"/>
      <c r="L47" s="28"/>
      <c r="M47" s="28"/>
      <c r="N47" s="28"/>
      <c r="O47" s="28"/>
      <c r="P47" s="28"/>
      <c r="Q47" s="28"/>
      <c r="R47" s="28"/>
      <c r="S47" s="28"/>
      <c r="T47" s="28"/>
      <c r="U47" s="28"/>
      <c r="V47" s="28"/>
      <c r="W47" s="28"/>
      <c r="X47" s="28"/>
      <c r="Y47" s="28"/>
    </row>
    <row r="48" spans="1:25" ht="15.75" thickBot="1">
      <c r="A48" s="39">
        <v>47</v>
      </c>
      <c r="B48" s="39">
        <v>15</v>
      </c>
      <c r="C48" s="40" t="s">
        <v>519</v>
      </c>
      <c r="D48" s="40" t="s">
        <v>2</v>
      </c>
      <c r="E48" s="40" t="s">
        <v>34</v>
      </c>
      <c r="F48" s="40" t="s">
        <v>470</v>
      </c>
      <c r="G48" s="39">
        <v>148</v>
      </c>
      <c r="H48" s="40"/>
      <c r="I48" s="34"/>
      <c r="J48" s="28"/>
      <c r="K48" s="28"/>
      <c r="L48" s="28"/>
      <c r="M48" s="28"/>
      <c r="N48" s="28"/>
      <c r="O48" s="28"/>
      <c r="P48" s="28"/>
      <c r="Q48" s="28"/>
      <c r="R48" s="28"/>
      <c r="S48" s="28"/>
      <c r="T48" s="28"/>
      <c r="U48" s="28"/>
      <c r="V48" s="28"/>
      <c r="W48" s="28"/>
      <c r="X48" s="28"/>
      <c r="Y48" s="28"/>
    </row>
    <row r="49" spans="1:25" ht="15.75" thickBot="1">
      <c r="A49" s="42">
        <v>48</v>
      </c>
      <c r="B49" s="42">
        <v>16</v>
      </c>
      <c r="C49" s="43" t="s">
        <v>522</v>
      </c>
      <c r="D49" s="43" t="s">
        <v>2</v>
      </c>
      <c r="E49" s="43" t="s">
        <v>82</v>
      </c>
      <c r="F49" s="43" t="s">
        <v>470</v>
      </c>
      <c r="G49" s="42">
        <v>153</v>
      </c>
      <c r="H49" s="40"/>
      <c r="I49" s="34"/>
      <c r="J49" s="28"/>
      <c r="K49" s="28"/>
      <c r="L49" s="28"/>
      <c r="M49" s="28"/>
      <c r="N49" s="28"/>
      <c r="O49" s="28"/>
      <c r="P49" s="28"/>
      <c r="Q49" s="28"/>
      <c r="R49" s="28"/>
      <c r="S49" s="28"/>
      <c r="T49" s="28"/>
      <c r="U49" s="28"/>
      <c r="V49" s="28"/>
      <c r="W49" s="28"/>
      <c r="X49" s="28"/>
      <c r="Y49" s="28"/>
    </row>
    <row r="50" spans="1:25" ht="15.75" thickBot="1">
      <c r="A50" s="39">
        <v>49</v>
      </c>
      <c r="B50" s="39">
        <v>1</v>
      </c>
      <c r="C50" s="40" t="s">
        <v>1</v>
      </c>
      <c r="D50" s="40" t="s">
        <v>2</v>
      </c>
      <c r="E50" s="40" t="s">
        <v>379</v>
      </c>
      <c r="F50" s="40" t="s">
        <v>114</v>
      </c>
      <c r="G50" s="39">
        <v>2</v>
      </c>
      <c r="H50" s="40"/>
      <c r="I50" s="34"/>
      <c r="J50" s="28"/>
      <c r="K50" s="28"/>
      <c r="L50" s="28"/>
      <c r="M50" s="28"/>
      <c r="N50" s="28"/>
      <c r="O50" s="28"/>
      <c r="P50" s="28"/>
      <c r="Q50" s="28"/>
      <c r="R50" s="28"/>
      <c r="S50" s="28"/>
      <c r="T50" s="28"/>
      <c r="U50" s="28"/>
      <c r="V50" s="28"/>
      <c r="W50" s="28"/>
      <c r="X50" s="28"/>
      <c r="Y50" s="28"/>
    </row>
    <row r="51" spans="1:25" ht="15.75" thickBot="1">
      <c r="A51" s="39">
        <v>50</v>
      </c>
      <c r="B51" s="39">
        <v>2</v>
      </c>
      <c r="C51" s="40" t="s">
        <v>168</v>
      </c>
      <c r="D51" s="40" t="s">
        <v>2</v>
      </c>
      <c r="E51" s="40" t="s">
        <v>13</v>
      </c>
      <c r="F51" s="40" t="s">
        <v>114</v>
      </c>
      <c r="G51" s="39">
        <v>19</v>
      </c>
      <c r="H51" s="40"/>
      <c r="I51" s="34"/>
      <c r="J51" s="28"/>
      <c r="K51" s="28"/>
      <c r="L51" s="28"/>
      <c r="M51" s="28"/>
      <c r="N51" s="28"/>
      <c r="O51" s="28"/>
      <c r="P51" s="28"/>
      <c r="Q51" s="28"/>
      <c r="R51" s="28"/>
      <c r="S51" s="28"/>
      <c r="T51" s="28"/>
      <c r="U51" s="28"/>
      <c r="V51" s="28"/>
      <c r="W51" s="28"/>
      <c r="X51" s="28"/>
      <c r="Y51" s="28"/>
    </row>
    <row r="52" spans="1:25" ht="15.75" thickBot="1">
      <c r="A52" s="39">
        <v>51</v>
      </c>
      <c r="B52" s="39">
        <v>3</v>
      </c>
      <c r="C52" s="40" t="s">
        <v>474</v>
      </c>
      <c r="D52" s="40" t="s">
        <v>5</v>
      </c>
      <c r="E52" s="40" t="s">
        <v>6</v>
      </c>
      <c r="F52" s="40" t="s">
        <v>114</v>
      </c>
      <c r="G52" s="39">
        <v>22</v>
      </c>
      <c r="H52" s="40"/>
      <c r="I52" s="34"/>
      <c r="J52" s="28"/>
      <c r="K52" s="28"/>
      <c r="L52" s="28"/>
      <c r="M52" s="28"/>
      <c r="N52" s="28"/>
      <c r="O52" s="28"/>
      <c r="P52" s="28"/>
      <c r="Q52" s="28"/>
      <c r="R52" s="28"/>
      <c r="S52" s="28"/>
      <c r="T52" s="28"/>
      <c r="U52" s="28"/>
      <c r="V52" s="28"/>
      <c r="W52" s="28"/>
      <c r="X52" s="28"/>
      <c r="Y52" s="28"/>
    </row>
    <row r="53" spans="1:25" ht="15.75" thickBot="1">
      <c r="A53" s="39">
        <v>52</v>
      </c>
      <c r="B53" s="39">
        <v>4</v>
      </c>
      <c r="C53" s="40" t="s">
        <v>109</v>
      </c>
      <c r="D53" s="40" t="s">
        <v>10</v>
      </c>
      <c r="E53" s="40" t="s">
        <v>49</v>
      </c>
      <c r="F53" s="40" t="s">
        <v>114</v>
      </c>
      <c r="G53" s="39">
        <v>39</v>
      </c>
      <c r="H53" s="40"/>
      <c r="I53" s="34"/>
      <c r="J53" s="28"/>
      <c r="K53" s="28"/>
      <c r="L53" s="28"/>
      <c r="M53" s="28"/>
      <c r="N53" s="28"/>
      <c r="O53" s="28"/>
      <c r="P53" s="28"/>
      <c r="Q53" s="28"/>
      <c r="R53" s="28"/>
      <c r="S53" s="28"/>
      <c r="T53" s="28"/>
      <c r="U53" s="28"/>
      <c r="V53" s="28"/>
      <c r="W53" s="28"/>
      <c r="X53" s="28"/>
      <c r="Y53" s="28"/>
    </row>
    <row r="54" spans="1:25" ht="15.75" thickBot="1">
      <c r="A54" s="39">
        <v>53</v>
      </c>
      <c r="B54" s="39">
        <v>5</v>
      </c>
      <c r="C54" s="40" t="s">
        <v>170</v>
      </c>
      <c r="D54" s="40" t="s">
        <v>10</v>
      </c>
      <c r="E54" s="40" t="s">
        <v>82</v>
      </c>
      <c r="F54" s="40" t="s">
        <v>114</v>
      </c>
      <c r="G54" s="39">
        <v>42</v>
      </c>
      <c r="H54" s="40"/>
      <c r="I54" s="34"/>
      <c r="J54" s="28"/>
      <c r="K54" s="28"/>
      <c r="L54" s="28"/>
      <c r="M54" s="28"/>
      <c r="N54" s="28"/>
      <c r="O54" s="28"/>
      <c r="P54" s="28"/>
      <c r="Q54" s="28"/>
      <c r="R54" s="28"/>
      <c r="S54" s="28"/>
      <c r="T54" s="28"/>
      <c r="U54" s="28"/>
      <c r="V54" s="28"/>
      <c r="W54" s="28"/>
      <c r="X54" s="28"/>
      <c r="Y54" s="28"/>
    </row>
    <row r="55" spans="1:25" ht="15.75" thickBot="1">
      <c r="A55" s="39">
        <v>54</v>
      </c>
      <c r="B55" s="39">
        <v>6</v>
      </c>
      <c r="C55" s="40" t="s">
        <v>457</v>
      </c>
      <c r="D55" s="40" t="s">
        <v>10</v>
      </c>
      <c r="E55" s="40" t="s">
        <v>71</v>
      </c>
      <c r="F55" s="40" t="s">
        <v>114</v>
      </c>
      <c r="G55" s="39">
        <v>59</v>
      </c>
      <c r="H55" s="40"/>
      <c r="I55" s="34"/>
      <c r="J55" s="28"/>
      <c r="K55" s="28"/>
      <c r="L55" s="28"/>
      <c r="M55" s="28"/>
      <c r="N55" s="28"/>
      <c r="O55" s="28"/>
      <c r="P55" s="28"/>
      <c r="Q55" s="28"/>
      <c r="R55" s="28"/>
      <c r="S55" s="28"/>
      <c r="T55" s="28"/>
      <c r="U55" s="28"/>
      <c r="V55" s="28"/>
      <c r="W55" s="28"/>
      <c r="X55" s="28"/>
      <c r="Y55" s="28"/>
    </row>
    <row r="56" spans="1:25" ht="15.75" thickBot="1">
      <c r="A56" s="39">
        <v>55</v>
      </c>
      <c r="B56" s="39">
        <v>7</v>
      </c>
      <c r="C56" s="40" t="s">
        <v>481</v>
      </c>
      <c r="D56" s="40" t="s">
        <v>10</v>
      </c>
      <c r="E56" s="40" t="s">
        <v>28</v>
      </c>
      <c r="F56" s="40" t="s">
        <v>114</v>
      </c>
      <c r="G56" s="39">
        <v>62</v>
      </c>
      <c r="H56" s="40"/>
      <c r="I56" s="34"/>
      <c r="J56" s="28"/>
      <c r="K56" s="28"/>
      <c r="L56" s="28"/>
      <c r="M56" s="28"/>
      <c r="N56" s="28"/>
      <c r="O56" s="28"/>
      <c r="P56" s="28"/>
      <c r="Q56" s="28"/>
      <c r="R56" s="28"/>
      <c r="S56" s="28"/>
      <c r="T56" s="28"/>
      <c r="U56" s="28"/>
      <c r="V56" s="28"/>
      <c r="W56" s="28"/>
      <c r="X56" s="28"/>
      <c r="Y56" s="28"/>
    </row>
    <row r="57" spans="1:25" ht="15.75" thickBot="1">
      <c r="A57" s="39">
        <v>56</v>
      </c>
      <c r="B57" s="39">
        <v>8</v>
      </c>
      <c r="C57" s="40" t="s">
        <v>140</v>
      </c>
      <c r="D57" s="40" t="s">
        <v>27</v>
      </c>
      <c r="E57" s="40" t="s">
        <v>41</v>
      </c>
      <c r="F57" s="40" t="s">
        <v>114</v>
      </c>
      <c r="G57" s="39">
        <v>79</v>
      </c>
      <c r="H57" s="40"/>
      <c r="I57" s="34"/>
      <c r="J57" s="28"/>
      <c r="K57" s="28"/>
      <c r="L57" s="28"/>
      <c r="M57" s="28"/>
      <c r="N57" s="28"/>
      <c r="O57" s="28"/>
      <c r="P57" s="28"/>
      <c r="Q57" s="28"/>
      <c r="R57" s="28"/>
      <c r="S57" s="28"/>
      <c r="T57" s="28"/>
      <c r="U57" s="28"/>
      <c r="V57" s="28"/>
      <c r="W57" s="28"/>
      <c r="X57" s="28"/>
      <c r="Y57" s="28"/>
    </row>
    <row r="58" spans="1:25" ht="15.75" thickBot="1">
      <c r="A58" s="39">
        <v>57</v>
      </c>
      <c r="B58" s="39">
        <v>9</v>
      </c>
      <c r="C58" s="41" t="s">
        <v>125</v>
      </c>
      <c r="D58" s="40" t="s">
        <v>2</v>
      </c>
      <c r="E58" s="40" t="s">
        <v>6</v>
      </c>
      <c r="F58" s="40" t="s">
        <v>114</v>
      </c>
      <c r="G58" s="39">
        <v>82</v>
      </c>
      <c r="H58" s="40"/>
      <c r="I58" s="34"/>
      <c r="J58" s="28"/>
      <c r="K58" s="28"/>
      <c r="L58" s="28"/>
      <c r="M58" s="28"/>
      <c r="N58" s="28"/>
      <c r="O58" s="28"/>
      <c r="P58" s="28"/>
      <c r="Q58" s="28"/>
      <c r="R58" s="28"/>
      <c r="S58" s="28"/>
      <c r="T58" s="28"/>
      <c r="U58" s="28"/>
      <c r="V58" s="28"/>
      <c r="W58" s="28"/>
      <c r="X58" s="28"/>
      <c r="Y58" s="28"/>
    </row>
    <row r="59" spans="1:25" ht="15.75" thickBot="1">
      <c r="A59" s="39">
        <v>58</v>
      </c>
      <c r="B59" s="39">
        <v>10</v>
      </c>
      <c r="C59" s="41" t="s">
        <v>451</v>
      </c>
      <c r="D59" s="40" t="s">
        <v>2</v>
      </c>
      <c r="E59" s="40" t="s">
        <v>3</v>
      </c>
      <c r="F59" s="40" t="s">
        <v>114</v>
      </c>
      <c r="G59" s="39">
        <v>99</v>
      </c>
      <c r="H59" s="40"/>
      <c r="I59" s="34"/>
      <c r="J59" s="28"/>
      <c r="K59" s="28"/>
      <c r="L59" s="28"/>
      <c r="M59" s="28"/>
      <c r="N59" s="28"/>
      <c r="O59" s="28"/>
      <c r="P59" s="28"/>
      <c r="Q59" s="28"/>
      <c r="R59" s="28"/>
      <c r="S59" s="28"/>
      <c r="T59" s="28"/>
      <c r="U59" s="28"/>
      <c r="V59" s="28"/>
      <c r="W59" s="28"/>
      <c r="X59" s="28"/>
      <c r="Y59" s="28"/>
    </row>
    <row r="60" spans="1:25" ht="15.75" thickBot="1">
      <c r="A60" s="39">
        <v>59</v>
      </c>
      <c r="B60" s="39">
        <v>11</v>
      </c>
      <c r="C60" s="40" t="s">
        <v>495</v>
      </c>
      <c r="D60" s="40" t="s">
        <v>2</v>
      </c>
      <c r="E60" s="40" t="s">
        <v>15</v>
      </c>
      <c r="F60" s="40" t="s">
        <v>114</v>
      </c>
      <c r="G60" s="39">
        <v>102</v>
      </c>
      <c r="H60" s="40"/>
      <c r="I60" s="34"/>
      <c r="J60" s="28"/>
      <c r="K60" s="28"/>
      <c r="L60" s="28"/>
      <c r="M60" s="28"/>
      <c r="N60" s="28"/>
      <c r="O60" s="28"/>
      <c r="P60" s="28"/>
      <c r="Q60" s="28"/>
      <c r="R60" s="28"/>
      <c r="S60" s="28"/>
      <c r="T60" s="28"/>
      <c r="U60" s="28"/>
      <c r="V60" s="28"/>
      <c r="W60" s="28"/>
      <c r="X60" s="28"/>
      <c r="Y60" s="28"/>
    </row>
    <row r="61" spans="1:25" ht="15.75" thickBot="1">
      <c r="A61" s="39">
        <v>60</v>
      </c>
      <c r="B61" s="39">
        <v>12</v>
      </c>
      <c r="C61" s="40" t="s">
        <v>501</v>
      </c>
      <c r="D61" s="40" t="s">
        <v>2</v>
      </c>
      <c r="E61" s="40" t="s">
        <v>19</v>
      </c>
      <c r="F61" s="40" t="s">
        <v>114</v>
      </c>
      <c r="G61" s="39">
        <v>119</v>
      </c>
      <c r="H61" s="40"/>
      <c r="I61" s="34"/>
      <c r="J61" s="28"/>
      <c r="K61" s="28"/>
      <c r="L61" s="28"/>
      <c r="M61" s="28"/>
      <c r="N61" s="28"/>
      <c r="O61" s="28"/>
      <c r="P61" s="28"/>
      <c r="Q61" s="28"/>
      <c r="R61" s="28"/>
      <c r="S61" s="28"/>
      <c r="T61" s="28"/>
      <c r="U61" s="28"/>
      <c r="V61" s="28"/>
      <c r="W61" s="28"/>
      <c r="X61" s="28"/>
      <c r="Y61" s="28"/>
    </row>
    <row r="62" spans="1:25" ht="15.75" thickBot="1">
      <c r="A62" s="39">
        <v>61</v>
      </c>
      <c r="B62" s="39">
        <v>13</v>
      </c>
      <c r="C62" s="40" t="s">
        <v>503</v>
      </c>
      <c r="D62" s="40" t="s">
        <v>2</v>
      </c>
      <c r="E62" s="40" t="s">
        <v>43</v>
      </c>
      <c r="F62" s="40" t="s">
        <v>114</v>
      </c>
      <c r="G62" s="39">
        <v>122</v>
      </c>
      <c r="H62" s="40"/>
      <c r="I62" s="34"/>
      <c r="J62" s="28"/>
      <c r="K62" s="28"/>
      <c r="L62" s="28"/>
      <c r="M62" s="28"/>
      <c r="N62" s="28"/>
      <c r="O62" s="28"/>
      <c r="P62" s="28"/>
      <c r="Q62" s="28"/>
      <c r="R62" s="28"/>
      <c r="S62" s="28"/>
      <c r="T62" s="28"/>
      <c r="U62" s="28"/>
      <c r="V62" s="28"/>
      <c r="W62" s="28"/>
      <c r="X62" s="28"/>
      <c r="Y62" s="28"/>
    </row>
    <row r="63" spans="1:25" ht="15.75" thickBot="1">
      <c r="A63" s="39">
        <v>62</v>
      </c>
      <c r="B63" s="39">
        <v>14</v>
      </c>
      <c r="C63" s="40" t="s">
        <v>512</v>
      </c>
      <c r="D63" s="40" t="s">
        <v>36</v>
      </c>
      <c r="E63" s="40" t="s">
        <v>107</v>
      </c>
      <c r="F63" s="40" t="s">
        <v>114</v>
      </c>
      <c r="G63" s="39">
        <v>139</v>
      </c>
      <c r="H63" s="40"/>
      <c r="I63" s="34"/>
      <c r="J63" s="28"/>
      <c r="K63" s="28"/>
      <c r="L63" s="28"/>
      <c r="M63" s="28"/>
      <c r="N63" s="28"/>
      <c r="O63" s="28"/>
      <c r="P63" s="28"/>
      <c r="Q63" s="28"/>
      <c r="R63" s="28"/>
      <c r="S63" s="28"/>
      <c r="T63" s="28"/>
      <c r="U63" s="28"/>
      <c r="V63" s="28"/>
      <c r="W63" s="28"/>
      <c r="X63" s="28"/>
      <c r="Y63" s="28"/>
    </row>
    <row r="64" spans="1:25" ht="15.75" thickBot="1">
      <c r="A64" s="39">
        <v>63</v>
      </c>
      <c r="B64" s="39">
        <v>15</v>
      </c>
      <c r="C64" s="40" t="s">
        <v>515</v>
      </c>
      <c r="D64" s="40" t="s">
        <v>2</v>
      </c>
      <c r="E64" s="40" t="s">
        <v>6</v>
      </c>
      <c r="F64" s="40" t="s">
        <v>114</v>
      </c>
      <c r="G64" s="39">
        <v>142</v>
      </c>
      <c r="H64" s="40"/>
      <c r="I64" s="34"/>
      <c r="J64" s="28"/>
      <c r="K64" s="28"/>
      <c r="L64" s="28"/>
      <c r="M64" s="28"/>
      <c r="N64" s="28"/>
      <c r="O64" s="28"/>
      <c r="P64" s="28"/>
      <c r="Q64" s="28"/>
      <c r="R64" s="28"/>
      <c r="S64" s="28"/>
      <c r="T64" s="28"/>
      <c r="U64" s="28"/>
      <c r="V64" s="28"/>
      <c r="W64" s="28"/>
      <c r="X64" s="28"/>
      <c r="Y64" s="28"/>
    </row>
    <row r="65" spans="1:25" ht="15.75" thickBot="1">
      <c r="A65" s="42">
        <v>64</v>
      </c>
      <c r="B65" s="42">
        <v>16</v>
      </c>
      <c r="C65" s="43" t="s">
        <v>527</v>
      </c>
      <c r="D65" s="43" t="s">
        <v>10</v>
      </c>
      <c r="E65" s="43" t="s">
        <v>8</v>
      </c>
      <c r="F65" s="43" t="s">
        <v>114</v>
      </c>
      <c r="G65" s="42">
        <v>159</v>
      </c>
      <c r="H65" s="40"/>
      <c r="I65" s="34"/>
      <c r="J65" s="28"/>
      <c r="K65" s="28"/>
      <c r="L65" s="28"/>
      <c r="M65" s="28"/>
      <c r="N65" s="28"/>
      <c r="O65" s="28"/>
      <c r="P65" s="28"/>
      <c r="Q65" s="28"/>
      <c r="R65" s="28"/>
      <c r="S65" s="28"/>
      <c r="T65" s="28"/>
      <c r="U65" s="28"/>
      <c r="V65" s="28"/>
      <c r="W65" s="28"/>
      <c r="X65" s="28"/>
      <c r="Y65" s="28"/>
    </row>
    <row r="66" spans="1:25" ht="15.75" thickBot="1">
      <c r="A66" s="39">
        <v>65</v>
      </c>
      <c r="B66" s="39">
        <v>1</v>
      </c>
      <c r="C66" s="40" t="s">
        <v>59</v>
      </c>
      <c r="D66" s="40" t="s">
        <v>2</v>
      </c>
      <c r="E66" s="40" t="s">
        <v>60</v>
      </c>
      <c r="F66" s="40" t="s">
        <v>58</v>
      </c>
      <c r="G66" s="39">
        <v>6</v>
      </c>
      <c r="H66" s="40"/>
      <c r="I66" s="34"/>
      <c r="J66" s="28"/>
      <c r="K66" s="28"/>
      <c r="L66" s="28"/>
      <c r="M66" s="28"/>
      <c r="N66" s="28"/>
      <c r="O66" s="28"/>
      <c r="P66" s="28"/>
      <c r="Q66" s="28"/>
      <c r="R66" s="28"/>
      <c r="S66" s="28"/>
      <c r="T66" s="28"/>
      <c r="U66" s="28"/>
      <c r="V66" s="28"/>
      <c r="W66" s="28"/>
      <c r="X66" s="28"/>
      <c r="Y66" s="28"/>
    </row>
    <row r="67" spans="1:25" ht="15.75" thickBot="1">
      <c r="A67" s="39">
        <v>66</v>
      </c>
      <c r="B67" s="39">
        <v>2</v>
      </c>
      <c r="C67" s="40" t="s">
        <v>473</v>
      </c>
      <c r="D67" s="40" t="s">
        <v>10</v>
      </c>
      <c r="E67" s="40" t="s">
        <v>84</v>
      </c>
      <c r="F67" s="40" t="s">
        <v>58</v>
      </c>
      <c r="G67" s="39">
        <v>15</v>
      </c>
      <c r="H67" s="40"/>
      <c r="I67" s="34"/>
      <c r="J67" s="28"/>
      <c r="K67" s="28"/>
      <c r="L67" s="28"/>
      <c r="M67" s="28"/>
      <c r="N67" s="28"/>
      <c r="O67" s="28"/>
      <c r="P67" s="28"/>
      <c r="Q67" s="28"/>
      <c r="R67" s="28"/>
      <c r="S67" s="28"/>
      <c r="T67" s="28"/>
      <c r="U67" s="28"/>
      <c r="V67" s="28"/>
      <c r="W67" s="28"/>
      <c r="X67" s="28"/>
      <c r="Y67" s="28"/>
    </row>
    <row r="68" spans="1:25" ht="15.75" thickBot="1">
      <c r="A68" s="39">
        <v>67</v>
      </c>
      <c r="B68" s="39">
        <v>3</v>
      </c>
      <c r="C68" s="40" t="s">
        <v>150</v>
      </c>
      <c r="D68" s="40" t="s">
        <v>2</v>
      </c>
      <c r="E68" s="40" t="s">
        <v>8</v>
      </c>
      <c r="F68" s="40" t="s">
        <v>58</v>
      </c>
      <c r="G68" s="39">
        <v>26</v>
      </c>
      <c r="H68" s="40"/>
      <c r="I68" s="34"/>
      <c r="J68" s="28"/>
      <c r="K68" s="28"/>
      <c r="L68" s="28"/>
      <c r="M68" s="28"/>
      <c r="N68" s="28"/>
      <c r="O68" s="28"/>
      <c r="P68" s="28"/>
      <c r="Q68" s="28"/>
      <c r="R68" s="28"/>
      <c r="S68" s="28"/>
      <c r="T68" s="28"/>
      <c r="U68" s="28"/>
      <c r="V68" s="28"/>
      <c r="W68" s="28"/>
      <c r="X68" s="28"/>
      <c r="Y68" s="28"/>
    </row>
    <row r="69" spans="1:25" ht="15.75" thickBot="1">
      <c r="A69" s="39">
        <v>68</v>
      </c>
      <c r="B69" s="39">
        <v>4</v>
      </c>
      <c r="C69" s="40" t="s">
        <v>412</v>
      </c>
      <c r="D69" s="40" t="s">
        <v>10</v>
      </c>
      <c r="E69" s="40" t="s">
        <v>21</v>
      </c>
      <c r="F69" s="40" t="s">
        <v>58</v>
      </c>
      <c r="G69" s="39">
        <v>35</v>
      </c>
      <c r="H69" s="40"/>
      <c r="I69" s="34"/>
      <c r="J69" s="28"/>
      <c r="K69" s="28"/>
      <c r="L69" s="28"/>
      <c r="M69" s="28"/>
      <c r="N69" s="28"/>
      <c r="O69" s="28"/>
      <c r="P69" s="28"/>
      <c r="Q69" s="28"/>
      <c r="R69" s="28"/>
      <c r="S69" s="28"/>
      <c r="T69" s="28"/>
      <c r="U69" s="28"/>
      <c r="V69" s="28"/>
      <c r="W69" s="28"/>
      <c r="X69" s="28"/>
      <c r="Y69" s="28"/>
    </row>
    <row r="70" spans="1:25" ht="15.75" thickBot="1">
      <c r="A70" s="39">
        <v>69</v>
      </c>
      <c r="B70" s="39">
        <v>5</v>
      </c>
      <c r="C70" s="40" t="s">
        <v>433</v>
      </c>
      <c r="D70" s="40" t="s">
        <v>10</v>
      </c>
      <c r="E70" s="40" t="s">
        <v>73</v>
      </c>
      <c r="F70" s="40" t="s">
        <v>58</v>
      </c>
      <c r="G70" s="39">
        <v>46</v>
      </c>
      <c r="H70" s="40"/>
      <c r="I70" s="34"/>
      <c r="J70" s="28"/>
      <c r="K70" s="28"/>
      <c r="L70" s="28"/>
      <c r="M70" s="28"/>
      <c r="N70" s="28"/>
      <c r="O70" s="28"/>
      <c r="P70" s="28"/>
      <c r="Q70" s="28"/>
      <c r="R70" s="28"/>
      <c r="S70" s="28"/>
      <c r="T70" s="28"/>
      <c r="U70" s="28"/>
      <c r="V70" s="28"/>
      <c r="W70" s="28"/>
      <c r="X70" s="28"/>
      <c r="Y70" s="28"/>
    </row>
    <row r="71" spans="1:25" ht="15.75" thickBot="1">
      <c r="A71" s="39">
        <v>70</v>
      </c>
      <c r="B71" s="39">
        <v>6</v>
      </c>
      <c r="C71" s="41" t="s">
        <v>389</v>
      </c>
      <c r="D71" s="40" t="s">
        <v>2</v>
      </c>
      <c r="E71" s="40" t="s">
        <v>17</v>
      </c>
      <c r="F71" s="40" t="s">
        <v>58</v>
      </c>
      <c r="G71" s="39">
        <v>55</v>
      </c>
      <c r="H71" s="40"/>
      <c r="I71" s="34"/>
      <c r="J71" s="28"/>
      <c r="K71" s="28"/>
      <c r="L71" s="28"/>
      <c r="M71" s="28"/>
      <c r="N71" s="28"/>
      <c r="O71" s="28"/>
      <c r="P71" s="28"/>
      <c r="Q71" s="28"/>
      <c r="R71" s="28"/>
      <c r="S71" s="28"/>
      <c r="T71" s="28"/>
      <c r="U71" s="28"/>
      <c r="V71" s="28"/>
      <c r="W71" s="28"/>
      <c r="X71" s="28"/>
      <c r="Y71" s="28"/>
    </row>
    <row r="72" spans="1:25" ht="15.75" thickBot="1">
      <c r="A72" s="39">
        <v>71</v>
      </c>
      <c r="B72" s="39">
        <v>7</v>
      </c>
      <c r="C72" s="40" t="s">
        <v>482</v>
      </c>
      <c r="D72" s="40" t="s">
        <v>10</v>
      </c>
      <c r="E72" s="40" t="s">
        <v>91</v>
      </c>
      <c r="F72" s="40" t="s">
        <v>58</v>
      </c>
      <c r="G72" s="39">
        <v>66</v>
      </c>
      <c r="H72" s="40"/>
      <c r="I72" s="34"/>
      <c r="J72" s="28"/>
      <c r="K72" s="28"/>
      <c r="L72" s="28"/>
      <c r="M72" s="28"/>
      <c r="N72" s="28"/>
      <c r="O72" s="28"/>
      <c r="P72" s="28"/>
      <c r="Q72" s="28"/>
      <c r="R72" s="28"/>
      <c r="S72" s="28"/>
      <c r="T72" s="28"/>
      <c r="U72" s="28"/>
      <c r="V72" s="28"/>
      <c r="W72" s="28"/>
      <c r="X72" s="28"/>
      <c r="Y72" s="28"/>
    </row>
    <row r="73" spans="1:25" ht="15.75" thickBot="1">
      <c r="A73" s="39">
        <v>72</v>
      </c>
      <c r="B73" s="39">
        <v>8</v>
      </c>
      <c r="C73" s="41" t="s">
        <v>174</v>
      </c>
      <c r="D73" s="40" t="s">
        <v>10</v>
      </c>
      <c r="E73" s="40" t="s">
        <v>137</v>
      </c>
      <c r="F73" s="40" t="s">
        <v>58</v>
      </c>
      <c r="G73" s="39">
        <v>75</v>
      </c>
      <c r="H73" s="40"/>
      <c r="I73" s="34"/>
      <c r="J73" s="28"/>
      <c r="K73" s="28"/>
      <c r="L73" s="28"/>
      <c r="M73" s="28"/>
      <c r="N73" s="28"/>
      <c r="O73" s="28"/>
      <c r="P73" s="28"/>
      <c r="Q73" s="28"/>
      <c r="R73" s="28"/>
      <c r="S73" s="28"/>
      <c r="T73" s="28"/>
      <c r="U73" s="28"/>
      <c r="V73" s="28"/>
      <c r="W73" s="28"/>
      <c r="X73" s="28"/>
      <c r="Y73" s="28"/>
    </row>
    <row r="74" spans="1:25" ht="15.75" thickBot="1">
      <c r="A74" s="39">
        <v>73</v>
      </c>
      <c r="B74" s="39">
        <v>9</v>
      </c>
      <c r="C74" s="40" t="s">
        <v>117</v>
      </c>
      <c r="D74" s="40" t="s">
        <v>27</v>
      </c>
      <c r="E74" s="40" t="s">
        <v>91</v>
      </c>
      <c r="F74" s="40" t="s">
        <v>58</v>
      </c>
      <c r="G74" s="39">
        <v>86</v>
      </c>
      <c r="H74" s="40"/>
      <c r="I74" s="34"/>
      <c r="J74" s="28"/>
      <c r="K74" s="28"/>
      <c r="L74" s="28"/>
      <c r="M74" s="28"/>
      <c r="N74" s="28"/>
      <c r="O74" s="28"/>
      <c r="P74" s="28"/>
      <c r="Q74" s="28"/>
      <c r="R74" s="28"/>
      <c r="S74" s="28"/>
      <c r="T74" s="28"/>
      <c r="U74" s="28"/>
      <c r="V74" s="28"/>
      <c r="W74" s="28"/>
      <c r="X74" s="28"/>
      <c r="Y74" s="28"/>
    </row>
    <row r="75" spans="1:25" ht="15.75" thickBot="1">
      <c r="A75" s="39">
        <v>74</v>
      </c>
      <c r="B75" s="39">
        <v>10</v>
      </c>
      <c r="C75" s="40" t="s">
        <v>491</v>
      </c>
      <c r="D75" s="40" t="s">
        <v>36</v>
      </c>
      <c r="E75" s="40" t="s">
        <v>23</v>
      </c>
      <c r="F75" s="40" t="s">
        <v>58</v>
      </c>
      <c r="G75" s="39">
        <v>95</v>
      </c>
      <c r="H75" s="40"/>
      <c r="I75" s="34"/>
      <c r="J75" s="28"/>
      <c r="K75" s="28"/>
      <c r="L75" s="28"/>
      <c r="M75" s="28"/>
      <c r="N75" s="28"/>
      <c r="O75" s="28"/>
      <c r="P75" s="28"/>
      <c r="Q75" s="28"/>
      <c r="R75" s="28"/>
      <c r="S75" s="28"/>
      <c r="T75" s="28"/>
      <c r="U75" s="28"/>
      <c r="V75" s="28"/>
      <c r="W75" s="28"/>
      <c r="X75" s="28"/>
      <c r="Y75" s="28"/>
    </row>
    <row r="76" spans="1:25" ht="15.75" thickBot="1">
      <c r="A76" s="39">
        <v>75</v>
      </c>
      <c r="B76" s="39">
        <v>11</v>
      </c>
      <c r="C76" s="40" t="s">
        <v>85</v>
      </c>
      <c r="D76" s="40" t="s">
        <v>2</v>
      </c>
      <c r="E76" s="40" t="s">
        <v>56</v>
      </c>
      <c r="F76" s="40" t="s">
        <v>58</v>
      </c>
      <c r="G76" s="39">
        <v>106</v>
      </c>
      <c r="H76" s="40"/>
      <c r="I76" s="34"/>
      <c r="J76" s="28"/>
      <c r="K76" s="28"/>
      <c r="L76" s="28"/>
      <c r="M76" s="28"/>
      <c r="N76" s="28"/>
      <c r="O76" s="28"/>
      <c r="P76" s="28"/>
      <c r="Q76" s="28"/>
      <c r="R76" s="28"/>
      <c r="S76" s="28"/>
      <c r="T76" s="28"/>
      <c r="U76" s="28"/>
      <c r="V76" s="28"/>
      <c r="W76" s="28"/>
      <c r="X76" s="28"/>
      <c r="Y76" s="28"/>
    </row>
    <row r="77" spans="1:25" ht="15.75" thickBot="1">
      <c r="A77" s="39">
        <v>76</v>
      </c>
      <c r="B77" s="39">
        <v>12</v>
      </c>
      <c r="C77" s="40" t="s">
        <v>500</v>
      </c>
      <c r="D77" s="40" t="s">
        <v>10</v>
      </c>
      <c r="E77" s="40" t="s">
        <v>84</v>
      </c>
      <c r="F77" s="40" t="s">
        <v>58</v>
      </c>
      <c r="G77" s="39">
        <v>115</v>
      </c>
      <c r="H77" s="40"/>
      <c r="I77" s="34"/>
      <c r="J77" s="28"/>
      <c r="K77" s="28"/>
      <c r="L77" s="28"/>
      <c r="M77" s="28"/>
      <c r="N77" s="28"/>
      <c r="O77" s="28"/>
      <c r="P77" s="28"/>
      <c r="Q77" s="28"/>
      <c r="R77" s="28"/>
      <c r="S77" s="28"/>
      <c r="T77" s="28"/>
      <c r="U77" s="28"/>
      <c r="V77" s="28"/>
      <c r="W77" s="28"/>
      <c r="X77" s="28"/>
      <c r="Y77" s="28"/>
    </row>
    <row r="78" spans="1:25" ht="15.75" thickBot="1">
      <c r="A78" s="39">
        <v>77</v>
      </c>
      <c r="B78" s="39">
        <v>13</v>
      </c>
      <c r="C78" s="40" t="s">
        <v>24</v>
      </c>
      <c r="D78" s="40" t="s">
        <v>5</v>
      </c>
      <c r="E78" s="40" t="s">
        <v>25</v>
      </c>
      <c r="F78" s="40" t="s">
        <v>58</v>
      </c>
      <c r="G78" s="39">
        <v>126</v>
      </c>
      <c r="H78" s="40"/>
      <c r="I78" s="34"/>
      <c r="J78" s="28"/>
      <c r="K78" s="28"/>
      <c r="L78" s="28"/>
      <c r="M78" s="28"/>
      <c r="N78" s="28"/>
      <c r="O78" s="28"/>
      <c r="P78" s="28"/>
      <c r="Q78" s="28"/>
      <c r="R78" s="28"/>
      <c r="S78" s="28"/>
      <c r="T78" s="28"/>
      <c r="U78" s="28"/>
      <c r="V78" s="28"/>
      <c r="W78" s="28"/>
      <c r="X78" s="28"/>
      <c r="Y78" s="28"/>
    </row>
    <row r="79" spans="1:25" ht="15.75" thickBot="1">
      <c r="A79" s="39">
        <v>78</v>
      </c>
      <c r="B79" s="39">
        <v>14</v>
      </c>
      <c r="C79" s="40" t="s">
        <v>153</v>
      </c>
      <c r="D79" s="40" t="s">
        <v>5</v>
      </c>
      <c r="E79" s="40" t="s">
        <v>60</v>
      </c>
      <c r="F79" s="40" t="s">
        <v>58</v>
      </c>
      <c r="G79" s="39">
        <v>135</v>
      </c>
      <c r="H79" s="40"/>
      <c r="I79" s="34"/>
      <c r="J79" s="28"/>
      <c r="K79" s="28"/>
      <c r="L79" s="28"/>
      <c r="M79" s="28"/>
      <c r="N79" s="28"/>
      <c r="O79" s="28"/>
      <c r="P79" s="28"/>
      <c r="Q79" s="28"/>
      <c r="R79" s="28"/>
      <c r="S79" s="28"/>
      <c r="T79" s="28"/>
      <c r="U79" s="28"/>
      <c r="V79" s="28"/>
      <c r="W79" s="28"/>
      <c r="X79" s="28"/>
      <c r="Y79" s="28"/>
    </row>
    <row r="80" spans="1:25" ht="15.75" thickBot="1">
      <c r="A80" s="39">
        <v>79</v>
      </c>
      <c r="B80" s="39">
        <v>15</v>
      </c>
      <c r="C80" s="40" t="s">
        <v>517</v>
      </c>
      <c r="D80" s="40" t="s">
        <v>2</v>
      </c>
      <c r="E80" s="40" t="s">
        <v>3</v>
      </c>
      <c r="F80" s="40" t="s">
        <v>58</v>
      </c>
      <c r="G80" s="39">
        <v>146</v>
      </c>
      <c r="H80" s="40"/>
      <c r="I80" s="34"/>
      <c r="J80" s="28"/>
      <c r="K80" s="28"/>
      <c r="L80" s="28"/>
      <c r="M80" s="28"/>
      <c r="N80" s="28"/>
      <c r="O80" s="28"/>
      <c r="P80" s="28"/>
      <c r="Q80" s="28"/>
      <c r="R80" s="28"/>
      <c r="S80" s="28"/>
      <c r="T80" s="28"/>
      <c r="U80" s="28"/>
      <c r="V80" s="28"/>
      <c r="W80" s="28"/>
      <c r="X80" s="28"/>
      <c r="Y80" s="28"/>
    </row>
    <row r="81" spans="1:25" ht="15.75" thickBot="1">
      <c r="A81" s="42">
        <v>80</v>
      </c>
      <c r="B81" s="42">
        <v>16</v>
      </c>
      <c r="C81" s="43" t="s">
        <v>177</v>
      </c>
      <c r="D81" s="43" t="s">
        <v>2</v>
      </c>
      <c r="E81" s="43" t="s">
        <v>84</v>
      </c>
      <c r="F81" s="43" t="s">
        <v>58</v>
      </c>
      <c r="G81" s="42">
        <v>155</v>
      </c>
      <c r="H81" s="40"/>
      <c r="I81" s="34"/>
      <c r="J81" s="28"/>
      <c r="K81" s="28"/>
      <c r="L81" s="28"/>
      <c r="M81" s="28"/>
      <c r="N81" s="28"/>
      <c r="O81" s="28"/>
      <c r="P81" s="28"/>
      <c r="Q81" s="28"/>
      <c r="R81" s="28"/>
      <c r="S81" s="28"/>
      <c r="T81" s="28"/>
      <c r="U81" s="28"/>
      <c r="V81" s="28"/>
      <c r="W81" s="28"/>
      <c r="X81" s="28"/>
      <c r="Y81" s="28"/>
    </row>
    <row r="82" spans="1:25" ht="15.75" thickBot="1">
      <c r="A82" s="39">
        <v>81</v>
      </c>
      <c r="B82" s="39">
        <v>1</v>
      </c>
      <c r="C82" s="40" t="s">
        <v>466</v>
      </c>
      <c r="D82" s="40" t="s">
        <v>10</v>
      </c>
      <c r="E82" s="40" t="s">
        <v>379</v>
      </c>
      <c r="F82" s="40" t="s">
        <v>97</v>
      </c>
      <c r="G82" s="39">
        <v>1</v>
      </c>
      <c r="H82" s="40"/>
      <c r="I82" s="34"/>
      <c r="J82" s="28"/>
      <c r="K82" s="28"/>
      <c r="L82" s="28"/>
      <c r="M82" s="28"/>
      <c r="N82" s="28"/>
      <c r="O82" s="28"/>
      <c r="P82" s="28"/>
      <c r="Q82" s="28"/>
      <c r="R82" s="28"/>
      <c r="S82" s="28"/>
      <c r="T82" s="28"/>
      <c r="U82" s="28"/>
      <c r="V82" s="28"/>
      <c r="W82" s="28"/>
      <c r="X82" s="28"/>
      <c r="Y82" s="28"/>
    </row>
    <row r="83" spans="1:25" ht="15.75" thickBot="1">
      <c r="A83" s="39">
        <v>82</v>
      </c>
      <c r="B83" s="39">
        <v>2</v>
      </c>
      <c r="C83" s="40" t="s">
        <v>184</v>
      </c>
      <c r="D83" s="40" t="s">
        <v>2</v>
      </c>
      <c r="E83" s="40" t="s">
        <v>71</v>
      </c>
      <c r="F83" s="40" t="s">
        <v>97</v>
      </c>
      <c r="G83" s="39">
        <v>20</v>
      </c>
      <c r="H83" s="40"/>
      <c r="I83" s="34"/>
      <c r="J83" s="28"/>
      <c r="K83" s="28"/>
      <c r="L83" s="28"/>
      <c r="M83" s="28"/>
      <c r="N83" s="28"/>
      <c r="O83" s="28"/>
      <c r="P83" s="28"/>
      <c r="Q83" s="28"/>
      <c r="R83" s="28"/>
      <c r="S83" s="28"/>
      <c r="T83" s="28"/>
      <c r="U83" s="28"/>
      <c r="V83" s="28"/>
      <c r="W83" s="28"/>
      <c r="X83" s="28"/>
      <c r="Y83" s="28"/>
    </row>
    <row r="84" spans="1:25" ht="15.75" thickBot="1">
      <c r="A84" s="39">
        <v>83</v>
      </c>
      <c r="B84" s="39">
        <v>3</v>
      </c>
      <c r="C84" s="40" t="s">
        <v>64</v>
      </c>
      <c r="D84" s="40" t="s">
        <v>2</v>
      </c>
      <c r="E84" s="40" t="s">
        <v>25</v>
      </c>
      <c r="F84" s="40" t="s">
        <v>97</v>
      </c>
      <c r="G84" s="39">
        <v>21</v>
      </c>
      <c r="H84" s="40"/>
      <c r="I84" s="34"/>
      <c r="J84" s="28"/>
      <c r="K84" s="28"/>
      <c r="L84" s="28"/>
      <c r="M84" s="28"/>
      <c r="N84" s="28"/>
      <c r="O84" s="28"/>
      <c r="P84" s="28"/>
      <c r="Q84" s="28"/>
      <c r="R84" s="28"/>
      <c r="S84" s="28"/>
      <c r="T84" s="28"/>
      <c r="U84" s="28"/>
      <c r="V84" s="28"/>
      <c r="W84" s="28"/>
      <c r="X84" s="28"/>
      <c r="Y84" s="28"/>
    </row>
    <row r="85" spans="1:25" ht="15.75" thickBot="1">
      <c r="A85" s="39">
        <v>84</v>
      </c>
      <c r="B85" s="39">
        <v>4</v>
      </c>
      <c r="C85" s="40" t="s">
        <v>134</v>
      </c>
      <c r="D85" s="40" t="s">
        <v>10</v>
      </c>
      <c r="E85" s="40" t="s">
        <v>71</v>
      </c>
      <c r="F85" s="40" t="s">
        <v>97</v>
      </c>
      <c r="G85" s="39">
        <v>40</v>
      </c>
      <c r="H85" s="40"/>
      <c r="I85" s="34"/>
      <c r="J85" s="28"/>
      <c r="K85" s="28"/>
      <c r="L85" s="28"/>
      <c r="M85" s="28"/>
      <c r="N85" s="28"/>
      <c r="O85" s="28"/>
      <c r="P85" s="28"/>
      <c r="Q85" s="28"/>
      <c r="R85" s="28"/>
      <c r="S85" s="28"/>
      <c r="T85" s="28"/>
      <c r="U85" s="28"/>
      <c r="V85" s="28"/>
      <c r="W85" s="28"/>
      <c r="X85" s="28"/>
      <c r="Y85" s="28"/>
    </row>
    <row r="86" spans="1:25" ht="15.75" thickBot="1">
      <c r="A86" s="39">
        <v>85</v>
      </c>
      <c r="B86" s="39">
        <v>5</v>
      </c>
      <c r="C86" s="40" t="s">
        <v>478</v>
      </c>
      <c r="D86" s="40" t="s">
        <v>2</v>
      </c>
      <c r="E86" s="40" t="s">
        <v>34</v>
      </c>
      <c r="F86" s="40" t="s">
        <v>97</v>
      </c>
      <c r="G86" s="39">
        <v>41</v>
      </c>
      <c r="H86" s="40"/>
      <c r="I86" s="34"/>
      <c r="J86" s="28"/>
      <c r="K86" s="28"/>
      <c r="L86" s="28"/>
      <c r="M86" s="28"/>
      <c r="N86" s="28"/>
      <c r="O86" s="28"/>
      <c r="P86" s="28"/>
      <c r="Q86" s="28"/>
      <c r="R86" s="28"/>
      <c r="S86" s="28"/>
      <c r="T86" s="28"/>
      <c r="U86" s="28"/>
      <c r="V86" s="28"/>
      <c r="W86" s="28"/>
      <c r="X86" s="28"/>
      <c r="Y86" s="28"/>
    </row>
    <row r="87" spans="1:25" ht="15.75" thickBot="1">
      <c r="A87" s="39">
        <v>86</v>
      </c>
      <c r="B87" s="39">
        <v>6</v>
      </c>
      <c r="C87" s="40" t="s">
        <v>444</v>
      </c>
      <c r="D87" s="40" t="s">
        <v>10</v>
      </c>
      <c r="E87" s="40" t="s">
        <v>43</v>
      </c>
      <c r="F87" s="40" t="s">
        <v>97</v>
      </c>
      <c r="G87" s="39">
        <v>60</v>
      </c>
      <c r="H87" s="40"/>
      <c r="I87" s="34"/>
      <c r="J87" s="28"/>
      <c r="K87" s="28"/>
      <c r="L87" s="28"/>
      <c r="M87" s="28"/>
      <c r="N87" s="28"/>
      <c r="O87" s="28"/>
      <c r="P87" s="28"/>
      <c r="Q87" s="28"/>
      <c r="R87" s="28"/>
      <c r="S87" s="28"/>
      <c r="T87" s="28"/>
      <c r="U87" s="28"/>
      <c r="V87" s="28"/>
      <c r="W87" s="28"/>
      <c r="X87" s="28"/>
      <c r="Y87" s="28"/>
    </row>
    <row r="88" spans="1:25" ht="15.75" thickBot="1">
      <c r="A88" s="39">
        <v>87</v>
      </c>
      <c r="B88" s="39">
        <v>7</v>
      </c>
      <c r="C88" s="41" t="s">
        <v>105</v>
      </c>
      <c r="D88" s="40" t="s">
        <v>27</v>
      </c>
      <c r="E88" s="40" t="s">
        <v>23</v>
      </c>
      <c r="F88" s="40" t="s">
        <v>97</v>
      </c>
      <c r="G88" s="39">
        <v>61</v>
      </c>
      <c r="H88" s="40"/>
      <c r="I88" s="34"/>
      <c r="J88" s="28"/>
      <c r="K88" s="28"/>
      <c r="L88" s="28"/>
      <c r="M88" s="28"/>
      <c r="N88" s="28"/>
      <c r="O88" s="28"/>
      <c r="P88" s="28"/>
      <c r="Q88" s="28"/>
      <c r="R88" s="28"/>
      <c r="S88" s="28"/>
      <c r="T88" s="28"/>
      <c r="U88" s="28"/>
      <c r="V88" s="28"/>
      <c r="W88" s="28"/>
      <c r="X88" s="28"/>
      <c r="Y88" s="28"/>
    </row>
    <row r="89" spans="1:25" ht="15.75" thickBot="1">
      <c r="A89" s="39">
        <v>88</v>
      </c>
      <c r="B89" s="39">
        <v>8</v>
      </c>
      <c r="C89" s="40" t="s">
        <v>487</v>
      </c>
      <c r="D89" s="40" t="s">
        <v>2</v>
      </c>
      <c r="E89" s="40" t="s">
        <v>46</v>
      </c>
      <c r="F89" s="40" t="s">
        <v>97</v>
      </c>
      <c r="G89" s="39">
        <v>80</v>
      </c>
      <c r="H89" s="40"/>
      <c r="I89" s="34"/>
      <c r="J89" s="28"/>
      <c r="K89" s="28"/>
      <c r="L89" s="28"/>
      <c r="M89" s="28"/>
      <c r="N89" s="28"/>
      <c r="O89" s="28"/>
      <c r="P89" s="28"/>
      <c r="Q89" s="28"/>
      <c r="R89" s="28"/>
      <c r="S89" s="28"/>
      <c r="T89" s="28"/>
      <c r="U89" s="28"/>
      <c r="V89" s="28"/>
      <c r="W89" s="28"/>
      <c r="X89" s="28"/>
      <c r="Y89" s="28"/>
    </row>
    <row r="90" spans="1:25" ht="15.75" thickBot="1">
      <c r="A90" s="39">
        <v>89</v>
      </c>
      <c r="B90" s="39">
        <v>9</v>
      </c>
      <c r="C90" s="41" t="s">
        <v>454</v>
      </c>
      <c r="D90" s="40" t="s">
        <v>10</v>
      </c>
      <c r="E90" s="40" t="s">
        <v>82</v>
      </c>
      <c r="F90" s="40" t="s">
        <v>97</v>
      </c>
      <c r="G90" s="39">
        <v>81</v>
      </c>
      <c r="H90" s="40"/>
      <c r="I90" s="34"/>
      <c r="J90" s="28"/>
      <c r="K90" s="28"/>
      <c r="L90" s="28"/>
      <c r="M90" s="28"/>
      <c r="N90" s="28"/>
      <c r="O90" s="28"/>
      <c r="P90" s="28"/>
      <c r="Q90" s="28"/>
      <c r="R90" s="28"/>
      <c r="S90" s="28"/>
      <c r="T90" s="28"/>
      <c r="U90" s="28"/>
      <c r="V90" s="28"/>
      <c r="W90" s="28"/>
      <c r="X90" s="28"/>
      <c r="Y90" s="28"/>
    </row>
    <row r="91" spans="1:25" ht="15.75" thickBot="1">
      <c r="A91" s="39">
        <v>90</v>
      </c>
      <c r="B91" s="39">
        <v>10</v>
      </c>
      <c r="C91" s="40" t="s">
        <v>493</v>
      </c>
      <c r="D91" s="40" t="s">
        <v>2</v>
      </c>
      <c r="E91" s="40" t="s">
        <v>11</v>
      </c>
      <c r="F91" s="40" t="s">
        <v>97</v>
      </c>
      <c r="G91" s="39">
        <v>100</v>
      </c>
      <c r="H91" s="40"/>
      <c r="I91" s="34"/>
      <c r="J91" s="28"/>
      <c r="K91" s="28"/>
      <c r="L91" s="28"/>
      <c r="M91" s="28"/>
      <c r="N91" s="28"/>
      <c r="O91" s="28"/>
      <c r="P91" s="28"/>
      <c r="Q91" s="28"/>
      <c r="R91" s="28"/>
      <c r="S91" s="28"/>
      <c r="T91" s="28"/>
      <c r="U91" s="28"/>
      <c r="V91" s="28"/>
      <c r="W91" s="28"/>
      <c r="X91" s="28"/>
      <c r="Y91" s="28"/>
    </row>
    <row r="92" spans="1:25" ht="15.75" thickBot="1">
      <c r="A92" s="39">
        <v>91</v>
      </c>
      <c r="B92" s="39">
        <v>11</v>
      </c>
      <c r="C92" s="40" t="s">
        <v>494</v>
      </c>
      <c r="D92" s="40" t="s">
        <v>2</v>
      </c>
      <c r="E92" s="40" t="s">
        <v>63</v>
      </c>
      <c r="F92" s="40" t="s">
        <v>97</v>
      </c>
      <c r="G92" s="39">
        <v>101</v>
      </c>
      <c r="H92" s="40"/>
      <c r="I92" s="34"/>
      <c r="J92" s="28"/>
      <c r="K92" s="28"/>
      <c r="L92" s="28"/>
      <c r="M92" s="28"/>
      <c r="N92" s="28"/>
      <c r="O92" s="28"/>
      <c r="P92" s="28"/>
      <c r="Q92" s="28"/>
      <c r="R92" s="28"/>
      <c r="S92" s="28"/>
      <c r="T92" s="28"/>
      <c r="U92" s="28"/>
      <c r="V92" s="28"/>
      <c r="W92" s="28"/>
      <c r="X92" s="28"/>
      <c r="Y92" s="28"/>
    </row>
    <row r="93" spans="1:25" ht="27" thickBot="1">
      <c r="A93" s="39">
        <v>92</v>
      </c>
      <c r="B93" s="39">
        <v>12</v>
      </c>
      <c r="C93" s="40" t="s">
        <v>502</v>
      </c>
      <c r="D93" s="40" t="s">
        <v>36</v>
      </c>
      <c r="E93" s="40" t="s">
        <v>19</v>
      </c>
      <c r="F93" s="40" t="s">
        <v>97</v>
      </c>
      <c r="G93" s="39">
        <v>120</v>
      </c>
      <c r="H93" s="40"/>
      <c r="I93" s="34"/>
      <c r="J93" s="28"/>
      <c r="K93" s="28"/>
      <c r="L93" s="28"/>
      <c r="M93" s="28"/>
      <c r="N93" s="28"/>
      <c r="O93" s="28"/>
      <c r="P93" s="28"/>
      <c r="Q93" s="28"/>
      <c r="R93" s="28"/>
      <c r="S93" s="28"/>
      <c r="T93" s="28"/>
      <c r="U93" s="28"/>
      <c r="V93" s="28"/>
      <c r="W93" s="28"/>
      <c r="X93" s="28"/>
      <c r="Y93" s="28"/>
    </row>
    <row r="94" spans="1:25" ht="15.75" thickBot="1">
      <c r="A94" s="39">
        <v>93</v>
      </c>
      <c r="B94" s="39">
        <v>13</v>
      </c>
      <c r="C94" s="40" t="s">
        <v>411</v>
      </c>
      <c r="D94" s="40" t="s">
        <v>2</v>
      </c>
      <c r="E94" s="40" t="s">
        <v>73</v>
      </c>
      <c r="F94" s="40" t="s">
        <v>97</v>
      </c>
      <c r="G94" s="39">
        <v>121</v>
      </c>
      <c r="H94" s="40"/>
      <c r="I94" s="34"/>
      <c r="J94" s="28"/>
      <c r="K94" s="28"/>
      <c r="L94" s="28"/>
      <c r="M94" s="28"/>
      <c r="N94" s="28"/>
      <c r="O94" s="28"/>
      <c r="P94" s="28"/>
      <c r="Q94" s="28"/>
      <c r="R94" s="28"/>
      <c r="S94" s="28"/>
      <c r="T94" s="28"/>
      <c r="U94" s="28"/>
      <c r="V94" s="28"/>
      <c r="W94" s="28"/>
      <c r="X94" s="28"/>
      <c r="Y94" s="28"/>
    </row>
    <row r="95" spans="1:25" ht="15.75" thickBot="1">
      <c r="A95" s="39">
        <v>94</v>
      </c>
      <c r="B95" s="39">
        <v>14</v>
      </c>
      <c r="C95" s="40" t="s">
        <v>513</v>
      </c>
      <c r="D95" s="40" t="s">
        <v>2</v>
      </c>
      <c r="E95" s="40" t="s">
        <v>49</v>
      </c>
      <c r="F95" s="40" t="s">
        <v>97</v>
      </c>
      <c r="G95" s="39">
        <v>140</v>
      </c>
      <c r="H95" s="40"/>
      <c r="I95" s="34"/>
      <c r="J95" s="28"/>
      <c r="K95" s="28"/>
      <c r="L95" s="28"/>
      <c r="M95" s="28"/>
      <c r="N95" s="28"/>
      <c r="O95" s="28"/>
      <c r="P95" s="28"/>
      <c r="Q95" s="28"/>
      <c r="R95" s="28"/>
      <c r="S95" s="28"/>
      <c r="T95" s="28"/>
      <c r="U95" s="28"/>
      <c r="V95" s="28"/>
      <c r="W95" s="28"/>
      <c r="X95" s="28"/>
      <c r="Y95" s="28"/>
    </row>
    <row r="96" spans="1:25" ht="15.75" thickBot="1">
      <c r="A96" s="39">
        <v>95</v>
      </c>
      <c r="B96" s="39">
        <v>15</v>
      </c>
      <c r="C96" s="40" t="s">
        <v>514</v>
      </c>
      <c r="D96" s="40" t="s">
        <v>2</v>
      </c>
      <c r="E96" s="40" t="s">
        <v>107</v>
      </c>
      <c r="F96" s="40" t="s">
        <v>97</v>
      </c>
      <c r="G96" s="39">
        <v>141</v>
      </c>
      <c r="H96" s="40"/>
      <c r="I96" s="34"/>
      <c r="J96" s="28"/>
      <c r="K96" s="28"/>
      <c r="L96" s="28"/>
      <c r="M96" s="28"/>
      <c r="N96" s="28"/>
      <c r="O96" s="28"/>
      <c r="P96" s="28"/>
      <c r="Q96" s="28"/>
      <c r="R96" s="28"/>
      <c r="S96" s="28"/>
      <c r="T96" s="28"/>
      <c r="U96" s="28"/>
      <c r="V96" s="28"/>
      <c r="W96" s="28"/>
      <c r="X96" s="28"/>
      <c r="Y96" s="28"/>
    </row>
    <row r="97" spans="1:25" ht="15.75" thickBot="1">
      <c r="A97" s="42">
        <v>96</v>
      </c>
      <c r="B97" s="42">
        <v>16</v>
      </c>
      <c r="C97" s="43" t="s">
        <v>559</v>
      </c>
      <c r="D97" s="43" t="s">
        <v>5</v>
      </c>
      <c r="E97" s="43" t="s">
        <v>13</v>
      </c>
      <c r="F97" s="43" t="s">
        <v>97</v>
      </c>
      <c r="G97" s="42">
        <v>160</v>
      </c>
      <c r="H97" s="40"/>
      <c r="I97" s="34"/>
      <c r="J97" s="28"/>
      <c r="K97" s="28"/>
      <c r="L97" s="28"/>
      <c r="M97" s="28"/>
      <c r="N97" s="28"/>
      <c r="O97" s="28"/>
      <c r="P97" s="28"/>
      <c r="Q97" s="28"/>
      <c r="R97" s="28"/>
      <c r="S97" s="28"/>
      <c r="T97" s="28"/>
      <c r="U97" s="28"/>
      <c r="V97" s="28"/>
      <c r="W97" s="28"/>
      <c r="X97" s="28"/>
      <c r="Y97" s="28"/>
    </row>
    <row r="98" spans="1:25" ht="15.75" thickBot="1">
      <c r="A98" s="39">
        <v>97</v>
      </c>
      <c r="B98" s="39">
        <v>1</v>
      </c>
      <c r="C98" s="40" t="s">
        <v>468</v>
      </c>
      <c r="D98" s="40" t="s">
        <v>10</v>
      </c>
      <c r="E98" s="40" t="s">
        <v>35</v>
      </c>
      <c r="F98" s="40" t="s">
        <v>181</v>
      </c>
      <c r="G98" s="39">
        <v>3</v>
      </c>
      <c r="H98" s="40"/>
      <c r="I98" s="34"/>
      <c r="J98" s="28"/>
      <c r="K98" s="28"/>
      <c r="L98" s="28"/>
      <c r="M98" s="28"/>
      <c r="N98" s="28"/>
      <c r="O98" s="28"/>
      <c r="P98" s="28"/>
      <c r="Q98" s="28"/>
      <c r="R98" s="28"/>
      <c r="S98" s="28"/>
      <c r="T98" s="28"/>
      <c r="U98" s="28"/>
      <c r="V98" s="28"/>
      <c r="W98" s="28"/>
      <c r="X98" s="28"/>
      <c r="Y98" s="28"/>
    </row>
    <row r="99" spans="1:25" ht="15.75" thickBot="1">
      <c r="A99" s="39">
        <v>98</v>
      </c>
      <c r="B99" s="39">
        <v>2</v>
      </c>
      <c r="C99" s="40" t="s">
        <v>118</v>
      </c>
      <c r="D99" s="40" t="s">
        <v>2</v>
      </c>
      <c r="E99" s="40" t="s">
        <v>41</v>
      </c>
      <c r="F99" s="40" t="s">
        <v>181</v>
      </c>
      <c r="G99" s="39">
        <v>18</v>
      </c>
      <c r="H99" s="40"/>
      <c r="I99" s="34"/>
      <c r="J99" s="28"/>
      <c r="K99" s="28"/>
      <c r="L99" s="28"/>
      <c r="M99" s="28"/>
      <c r="N99" s="28"/>
      <c r="O99" s="28"/>
      <c r="P99" s="28"/>
      <c r="Q99" s="28"/>
      <c r="R99" s="28"/>
      <c r="S99" s="28"/>
      <c r="T99" s="28"/>
      <c r="U99" s="28"/>
      <c r="V99" s="28"/>
      <c r="W99" s="28"/>
      <c r="X99" s="28"/>
      <c r="Y99" s="28"/>
    </row>
    <row r="100" spans="1:25" ht="15.75" thickBot="1">
      <c r="A100" s="39">
        <v>99</v>
      </c>
      <c r="B100" s="39">
        <v>3</v>
      </c>
      <c r="C100" s="41" t="s">
        <v>185</v>
      </c>
      <c r="D100" s="40" t="s">
        <v>2</v>
      </c>
      <c r="E100" s="40" t="s">
        <v>73</v>
      </c>
      <c r="F100" s="40" t="s">
        <v>181</v>
      </c>
      <c r="G100" s="39">
        <v>23</v>
      </c>
      <c r="H100" s="40"/>
      <c r="I100" s="34"/>
      <c r="J100" s="28"/>
      <c r="K100" s="28"/>
      <c r="L100" s="28"/>
      <c r="M100" s="28"/>
      <c r="N100" s="28"/>
      <c r="O100" s="28"/>
      <c r="P100" s="28"/>
      <c r="Q100" s="28"/>
      <c r="R100" s="28"/>
      <c r="S100" s="28"/>
      <c r="T100" s="28"/>
      <c r="U100" s="28"/>
      <c r="V100" s="28"/>
      <c r="W100" s="28"/>
      <c r="X100" s="28"/>
      <c r="Y100" s="28"/>
    </row>
    <row r="101" spans="1:25" ht="15.75" thickBot="1">
      <c r="A101" s="39">
        <v>100</v>
      </c>
      <c r="B101" s="39">
        <v>4</v>
      </c>
      <c r="C101" s="40" t="s">
        <v>66</v>
      </c>
      <c r="D101" s="40" t="s">
        <v>10</v>
      </c>
      <c r="E101" s="40" t="s">
        <v>49</v>
      </c>
      <c r="F101" s="40" t="s">
        <v>181</v>
      </c>
      <c r="G101" s="39">
        <v>38</v>
      </c>
      <c r="H101" s="40"/>
      <c r="I101" s="34"/>
      <c r="J101" s="28"/>
      <c r="K101" s="28"/>
      <c r="L101" s="28"/>
      <c r="M101" s="28"/>
      <c r="N101" s="28"/>
      <c r="O101" s="28"/>
      <c r="P101" s="28"/>
      <c r="Q101" s="28"/>
      <c r="R101" s="28"/>
      <c r="S101" s="28"/>
      <c r="T101" s="28"/>
      <c r="U101" s="28"/>
      <c r="V101" s="28"/>
      <c r="W101" s="28"/>
      <c r="X101" s="28"/>
      <c r="Y101" s="28"/>
    </row>
    <row r="102" spans="1:25" ht="15.75" thickBot="1">
      <c r="A102" s="39">
        <v>101</v>
      </c>
      <c r="B102" s="39">
        <v>5</v>
      </c>
      <c r="C102" s="40" t="s">
        <v>175</v>
      </c>
      <c r="D102" s="40" t="s">
        <v>2</v>
      </c>
      <c r="E102" s="40" t="s">
        <v>49</v>
      </c>
      <c r="F102" s="40" t="s">
        <v>181</v>
      </c>
      <c r="G102" s="39">
        <v>43</v>
      </c>
      <c r="H102" s="40"/>
      <c r="I102" s="34"/>
      <c r="J102" s="28"/>
      <c r="K102" s="28"/>
      <c r="L102" s="28"/>
      <c r="M102" s="28"/>
      <c r="N102" s="28"/>
      <c r="O102" s="28"/>
      <c r="P102" s="28"/>
      <c r="Q102" s="28"/>
      <c r="R102" s="28"/>
      <c r="S102" s="28"/>
      <c r="T102" s="28"/>
      <c r="U102" s="28"/>
      <c r="V102" s="28"/>
      <c r="W102" s="28"/>
      <c r="X102" s="28"/>
      <c r="Y102" s="28"/>
    </row>
    <row r="103" spans="1:25" ht="15.75" thickBot="1">
      <c r="A103" s="39">
        <v>102</v>
      </c>
      <c r="B103" s="39">
        <v>6</v>
      </c>
      <c r="C103" s="40" t="s">
        <v>52</v>
      </c>
      <c r="D103" s="40" t="s">
        <v>2</v>
      </c>
      <c r="E103" s="40" t="s">
        <v>11</v>
      </c>
      <c r="F103" s="40" t="s">
        <v>181</v>
      </c>
      <c r="G103" s="39">
        <v>58</v>
      </c>
      <c r="H103" s="40"/>
      <c r="I103" s="34"/>
      <c r="J103" s="28"/>
      <c r="K103" s="28"/>
      <c r="L103" s="28"/>
      <c r="M103" s="28"/>
      <c r="N103" s="28"/>
      <c r="O103" s="28"/>
      <c r="P103" s="28"/>
      <c r="Q103" s="28"/>
      <c r="R103" s="28"/>
      <c r="S103" s="28"/>
      <c r="T103" s="28"/>
      <c r="U103" s="28"/>
      <c r="V103" s="28"/>
      <c r="W103" s="28"/>
      <c r="X103" s="28"/>
      <c r="Y103" s="28"/>
    </row>
    <row r="104" spans="1:25" ht="15.75" thickBot="1">
      <c r="A104" s="39">
        <v>103</v>
      </c>
      <c r="B104" s="39">
        <v>7</v>
      </c>
      <c r="C104" s="40" t="s">
        <v>463</v>
      </c>
      <c r="D104" s="40" t="s">
        <v>2</v>
      </c>
      <c r="E104" s="40" t="s">
        <v>17</v>
      </c>
      <c r="F104" s="40" t="s">
        <v>181</v>
      </c>
      <c r="G104" s="39">
        <v>63</v>
      </c>
      <c r="H104" s="40"/>
      <c r="I104" s="34"/>
      <c r="J104" s="28"/>
      <c r="K104" s="28"/>
      <c r="L104" s="28"/>
      <c r="M104" s="28"/>
      <c r="N104" s="28"/>
      <c r="O104" s="28"/>
      <c r="P104" s="28"/>
      <c r="Q104" s="28"/>
      <c r="R104" s="28"/>
      <c r="S104" s="28"/>
      <c r="T104" s="28"/>
      <c r="U104" s="28"/>
      <c r="V104" s="28"/>
      <c r="W104" s="28"/>
      <c r="X104" s="28"/>
      <c r="Y104" s="28"/>
    </row>
    <row r="105" spans="1:25" ht="15.75" thickBot="1">
      <c r="A105" s="39">
        <v>104</v>
      </c>
      <c r="B105" s="39">
        <v>8</v>
      </c>
      <c r="C105" s="40" t="s">
        <v>416</v>
      </c>
      <c r="D105" s="40" t="s">
        <v>27</v>
      </c>
      <c r="E105" s="40" t="s">
        <v>35</v>
      </c>
      <c r="F105" s="40" t="s">
        <v>181</v>
      </c>
      <c r="G105" s="39">
        <v>78</v>
      </c>
      <c r="H105" s="40"/>
      <c r="I105" s="34"/>
      <c r="J105" s="28"/>
      <c r="K105" s="28"/>
      <c r="L105" s="28"/>
      <c r="M105" s="28"/>
      <c r="N105" s="28"/>
      <c r="O105" s="28"/>
      <c r="P105" s="28"/>
      <c r="Q105" s="28"/>
      <c r="R105" s="28"/>
      <c r="S105" s="28"/>
      <c r="T105" s="28"/>
      <c r="U105" s="28"/>
      <c r="V105" s="28"/>
      <c r="W105" s="28"/>
      <c r="X105" s="28"/>
      <c r="Y105" s="28"/>
    </row>
    <row r="106" spans="1:25" ht="15.75" thickBot="1">
      <c r="A106" s="39">
        <v>105</v>
      </c>
      <c r="B106" s="39">
        <v>9</v>
      </c>
      <c r="C106" s="41" t="s">
        <v>191</v>
      </c>
      <c r="D106" s="40" t="s">
        <v>10</v>
      </c>
      <c r="E106" s="40" t="s">
        <v>107</v>
      </c>
      <c r="F106" s="40" t="s">
        <v>181</v>
      </c>
      <c r="G106" s="39">
        <v>83</v>
      </c>
      <c r="H106" s="40"/>
      <c r="I106" s="34"/>
      <c r="J106" s="28"/>
      <c r="K106" s="28"/>
      <c r="L106" s="28"/>
      <c r="M106" s="28"/>
      <c r="N106" s="28"/>
      <c r="O106" s="28"/>
      <c r="P106" s="28"/>
      <c r="Q106" s="28"/>
      <c r="R106" s="28"/>
      <c r="S106" s="28"/>
      <c r="T106" s="28"/>
      <c r="U106" s="28"/>
      <c r="V106" s="28"/>
      <c r="W106" s="28"/>
      <c r="X106" s="28"/>
      <c r="Y106" s="28"/>
    </row>
    <row r="107" spans="1:25" ht="15.75" thickBot="1">
      <c r="A107" s="39">
        <v>106</v>
      </c>
      <c r="B107" s="39">
        <v>10</v>
      </c>
      <c r="C107" s="40" t="s">
        <v>492</v>
      </c>
      <c r="D107" s="40" t="s">
        <v>36</v>
      </c>
      <c r="E107" s="40" t="s">
        <v>41</v>
      </c>
      <c r="F107" s="40" t="s">
        <v>181</v>
      </c>
      <c r="G107" s="39">
        <v>98</v>
      </c>
      <c r="H107" s="40"/>
      <c r="I107" s="34"/>
      <c r="J107" s="28"/>
      <c r="K107" s="28"/>
      <c r="L107" s="28"/>
      <c r="M107" s="28"/>
      <c r="N107" s="28"/>
      <c r="O107" s="28"/>
      <c r="P107" s="28"/>
      <c r="Q107" s="28"/>
      <c r="R107" s="28"/>
      <c r="S107" s="28"/>
      <c r="T107" s="28"/>
      <c r="U107" s="28"/>
      <c r="V107" s="28"/>
      <c r="W107" s="28"/>
      <c r="X107" s="28"/>
      <c r="Y107" s="28"/>
    </row>
    <row r="108" spans="1:25" ht="15.75" thickBot="1">
      <c r="A108" s="39">
        <v>107</v>
      </c>
      <c r="B108" s="39">
        <v>11</v>
      </c>
      <c r="C108" s="40" t="s">
        <v>89</v>
      </c>
      <c r="D108" s="40" t="s">
        <v>2</v>
      </c>
      <c r="E108" s="40" t="s">
        <v>6</v>
      </c>
      <c r="F108" s="40" t="s">
        <v>181</v>
      </c>
      <c r="G108" s="39">
        <v>103</v>
      </c>
      <c r="H108" s="40"/>
      <c r="I108" s="34"/>
      <c r="J108" s="28"/>
      <c r="K108" s="28"/>
      <c r="L108" s="28"/>
      <c r="M108" s="28"/>
      <c r="N108" s="28"/>
      <c r="O108" s="28"/>
      <c r="P108" s="28"/>
      <c r="Q108" s="28"/>
      <c r="R108" s="28"/>
      <c r="S108" s="28"/>
      <c r="T108" s="28"/>
      <c r="U108" s="28"/>
      <c r="V108" s="28"/>
      <c r="W108" s="28"/>
      <c r="X108" s="28"/>
      <c r="Y108" s="28"/>
    </row>
    <row r="109" spans="1:25" ht="15.75" thickBot="1">
      <c r="A109" s="39">
        <v>108</v>
      </c>
      <c r="B109" s="39">
        <v>12</v>
      </c>
      <c r="C109" s="40" t="s">
        <v>139</v>
      </c>
      <c r="D109" s="40" t="s">
        <v>10</v>
      </c>
      <c r="E109" s="40" t="s">
        <v>28</v>
      </c>
      <c r="F109" s="40" t="s">
        <v>181</v>
      </c>
      <c r="G109" s="39">
        <v>118</v>
      </c>
      <c r="H109" s="40"/>
      <c r="I109" s="34"/>
      <c r="J109" s="28"/>
      <c r="K109" s="28"/>
      <c r="L109" s="28"/>
      <c r="M109" s="28"/>
      <c r="N109" s="28"/>
      <c r="O109" s="28"/>
      <c r="P109" s="28"/>
      <c r="Q109" s="28"/>
      <c r="R109" s="28"/>
      <c r="S109" s="28"/>
      <c r="T109" s="28"/>
      <c r="U109" s="28"/>
      <c r="V109" s="28"/>
      <c r="W109" s="28"/>
      <c r="X109" s="28"/>
      <c r="Y109" s="28"/>
    </row>
    <row r="110" spans="1:25" ht="15.75" thickBot="1">
      <c r="A110" s="39">
        <v>109</v>
      </c>
      <c r="B110" s="39">
        <v>13</v>
      </c>
      <c r="C110" s="40" t="s">
        <v>504</v>
      </c>
      <c r="D110" s="40" t="s">
        <v>2</v>
      </c>
      <c r="E110" s="40" t="s">
        <v>60</v>
      </c>
      <c r="F110" s="40" t="s">
        <v>181</v>
      </c>
      <c r="G110" s="39">
        <v>123</v>
      </c>
      <c r="H110" s="40"/>
      <c r="I110" s="34"/>
      <c r="J110" s="28"/>
      <c r="K110" s="28"/>
      <c r="L110" s="28"/>
      <c r="M110" s="28"/>
      <c r="N110" s="28"/>
      <c r="O110" s="28"/>
      <c r="P110" s="28"/>
      <c r="Q110" s="28"/>
      <c r="R110" s="28"/>
      <c r="S110" s="28"/>
      <c r="T110" s="28"/>
      <c r="U110" s="28"/>
      <c r="V110" s="28"/>
      <c r="W110" s="28"/>
      <c r="X110" s="28"/>
      <c r="Y110" s="28"/>
    </row>
    <row r="111" spans="1:25" ht="15.75" thickBot="1">
      <c r="A111" s="39">
        <v>110</v>
      </c>
      <c r="B111" s="39">
        <v>14</v>
      </c>
      <c r="C111" s="40" t="s">
        <v>74</v>
      </c>
      <c r="D111" s="40" t="s">
        <v>5</v>
      </c>
      <c r="E111" s="40" t="s">
        <v>3</v>
      </c>
      <c r="F111" s="40" t="s">
        <v>181</v>
      </c>
      <c r="G111" s="39">
        <v>138</v>
      </c>
      <c r="H111" s="40"/>
      <c r="I111" s="34"/>
      <c r="J111" s="28"/>
      <c r="K111" s="28"/>
      <c r="L111" s="28"/>
      <c r="M111" s="28"/>
      <c r="N111" s="28"/>
      <c r="O111" s="28"/>
      <c r="P111" s="28"/>
      <c r="Q111" s="28"/>
      <c r="R111" s="28"/>
      <c r="S111" s="28"/>
      <c r="T111" s="28"/>
      <c r="U111" s="28"/>
      <c r="V111" s="28"/>
      <c r="W111" s="28"/>
      <c r="X111" s="28"/>
      <c r="Y111" s="28"/>
    </row>
    <row r="112" spans="1:25" ht="15.75" thickBot="1">
      <c r="A112" s="39">
        <v>111</v>
      </c>
      <c r="B112" s="39">
        <v>15</v>
      </c>
      <c r="C112" s="40" t="s">
        <v>516</v>
      </c>
      <c r="D112" s="40" t="s">
        <v>2</v>
      </c>
      <c r="E112" s="40"/>
      <c r="F112" s="40" t="s">
        <v>181</v>
      </c>
      <c r="G112" s="39">
        <v>143</v>
      </c>
      <c r="H112" s="40"/>
      <c r="I112" s="34"/>
      <c r="J112" s="28"/>
      <c r="K112" s="28"/>
      <c r="L112" s="28"/>
      <c r="M112" s="28"/>
      <c r="N112" s="28"/>
      <c r="O112" s="28"/>
      <c r="P112" s="28"/>
      <c r="Q112" s="28"/>
      <c r="R112" s="28"/>
      <c r="S112" s="28"/>
      <c r="T112" s="28"/>
      <c r="U112" s="28"/>
      <c r="V112" s="28"/>
      <c r="W112" s="28"/>
      <c r="X112" s="28"/>
      <c r="Y112" s="28"/>
    </row>
    <row r="113" spans="1:25" ht="15.75" thickBot="1">
      <c r="A113" s="42">
        <v>112</v>
      </c>
      <c r="B113" s="42">
        <v>16</v>
      </c>
      <c r="C113" s="43" t="s">
        <v>526</v>
      </c>
      <c r="D113" s="43" t="s">
        <v>10</v>
      </c>
      <c r="E113" s="43" t="s">
        <v>28</v>
      </c>
      <c r="F113" s="43" t="s">
        <v>181</v>
      </c>
      <c r="G113" s="42">
        <v>158</v>
      </c>
      <c r="H113" s="40"/>
      <c r="I113" s="34"/>
      <c r="J113" s="28"/>
      <c r="K113" s="28"/>
      <c r="L113" s="28"/>
      <c r="M113" s="28"/>
      <c r="N113" s="28"/>
      <c r="O113" s="28"/>
      <c r="P113" s="28"/>
      <c r="Q113" s="28"/>
      <c r="R113" s="28"/>
      <c r="S113" s="28"/>
      <c r="T113" s="28"/>
      <c r="U113" s="28"/>
      <c r="V113" s="28"/>
      <c r="W113" s="28"/>
      <c r="X113" s="28"/>
      <c r="Y113" s="28"/>
    </row>
    <row r="114" spans="1:25" ht="15.75" thickBot="1">
      <c r="A114" s="39">
        <v>113</v>
      </c>
      <c r="B114" s="39">
        <v>1</v>
      </c>
      <c r="C114" s="40" t="s">
        <v>62</v>
      </c>
      <c r="D114" s="40" t="s">
        <v>10</v>
      </c>
      <c r="E114" s="40" t="s">
        <v>63</v>
      </c>
      <c r="F114" s="40" t="s">
        <v>385</v>
      </c>
      <c r="G114" s="39">
        <v>9</v>
      </c>
      <c r="H114" s="40"/>
      <c r="I114" s="34"/>
      <c r="J114" s="28"/>
      <c r="K114" s="28"/>
      <c r="L114" s="28"/>
      <c r="M114" s="28"/>
      <c r="N114" s="28"/>
      <c r="O114" s="28"/>
      <c r="P114" s="28"/>
      <c r="Q114" s="28"/>
      <c r="R114" s="28"/>
      <c r="S114" s="28"/>
      <c r="T114" s="28"/>
      <c r="U114" s="28"/>
      <c r="V114" s="28"/>
      <c r="W114" s="28"/>
      <c r="X114" s="28"/>
      <c r="Y114" s="28"/>
    </row>
    <row r="115" spans="1:25" ht="15.75" thickBot="1">
      <c r="A115" s="39">
        <v>114</v>
      </c>
      <c r="B115" s="39">
        <v>2</v>
      </c>
      <c r="C115" s="40" t="s">
        <v>182</v>
      </c>
      <c r="D115" s="40" t="s">
        <v>27</v>
      </c>
      <c r="E115" s="40" t="s">
        <v>30</v>
      </c>
      <c r="F115" s="40" t="s">
        <v>385</v>
      </c>
      <c r="G115" s="39">
        <v>12</v>
      </c>
      <c r="H115" s="40"/>
      <c r="I115" s="34"/>
      <c r="J115" s="28"/>
      <c r="K115" s="28"/>
      <c r="L115" s="28"/>
      <c r="M115" s="28"/>
      <c r="N115" s="28"/>
      <c r="O115" s="28"/>
      <c r="P115" s="28"/>
      <c r="Q115" s="28"/>
      <c r="R115" s="28"/>
      <c r="S115" s="28"/>
      <c r="T115" s="28"/>
      <c r="U115" s="28"/>
      <c r="V115" s="28"/>
      <c r="W115" s="28"/>
      <c r="X115" s="28"/>
      <c r="Y115" s="28"/>
    </row>
    <row r="116" spans="1:25" ht="15.75" thickBot="1">
      <c r="A116" s="39">
        <v>115</v>
      </c>
      <c r="B116" s="39">
        <v>3</v>
      </c>
      <c r="C116" s="40" t="s">
        <v>100</v>
      </c>
      <c r="D116" s="40" t="s">
        <v>2</v>
      </c>
      <c r="E116" s="40" t="s">
        <v>28</v>
      </c>
      <c r="F116" s="40" t="s">
        <v>385</v>
      </c>
      <c r="G116" s="39">
        <v>29</v>
      </c>
      <c r="H116" s="40"/>
      <c r="I116" s="34"/>
      <c r="J116" s="28"/>
      <c r="K116" s="28"/>
      <c r="L116" s="28"/>
      <c r="M116" s="28"/>
      <c r="N116" s="28"/>
      <c r="O116" s="28"/>
      <c r="P116" s="28"/>
      <c r="Q116" s="28"/>
      <c r="R116" s="28"/>
      <c r="S116" s="28"/>
      <c r="T116" s="28"/>
      <c r="U116" s="28"/>
      <c r="V116" s="28"/>
      <c r="W116" s="28"/>
      <c r="X116" s="28"/>
      <c r="Y116" s="28"/>
    </row>
    <row r="117" spans="1:25" ht="15.75" thickBot="1">
      <c r="A117" s="39">
        <v>116</v>
      </c>
      <c r="B117" s="39">
        <v>4</v>
      </c>
      <c r="C117" s="40" t="s">
        <v>138</v>
      </c>
      <c r="D117" s="40" t="s">
        <v>2</v>
      </c>
      <c r="E117" s="40" t="s">
        <v>107</v>
      </c>
      <c r="F117" s="40" t="s">
        <v>385</v>
      </c>
      <c r="G117" s="39">
        <v>32</v>
      </c>
      <c r="H117" s="40"/>
      <c r="I117" s="34"/>
      <c r="J117" s="28"/>
      <c r="K117" s="28"/>
      <c r="L117" s="28"/>
      <c r="M117" s="28"/>
      <c r="N117" s="28"/>
      <c r="O117" s="28"/>
      <c r="P117" s="28"/>
      <c r="Q117" s="28"/>
      <c r="R117" s="28"/>
      <c r="S117" s="28"/>
      <c r="T117" s="28"/>
      <c r="U117" s="28"/>
      <c r="V117" s="28"/>
      <c r="W117" s="28"/>
      <c r="X117" s="28"/>
      <c r="Y117" s="28"/>
    </row>
    <row r="118" spans="1:25" ht="15.75" thickBot="1">
      <c r="A118" s="39">
        <v>117</v>
      </c>
      <c r="B118" s="39">
        <v>5</v>
      </c>
      <c r="C118" s="40" t="s">
        <v>7</v>
      </c>
      <c r="D118" s="40" t="s">
        <v>2</v>
      </c>
      <c r="E118" s="40" t="s">
        <v>21</v>
      </c>
      <c r="F118" s="40" t="s">
        <v>385</v>
      </c>
      <c r="G118" s="39">
        <v>49</v>
      </c>
      <c r="H118" s="40"/>
      <c r="I118" s="34"/>
      <c r="J118" s="28"/>
      <c r="K118" s="28"/>
      <c r="L118" s="28"/>
      <c r="M118" s="28"/>
      <c r="N118" s="28"/>
      <c r="O118" s="28"/>
      <c r="P118" s="28"/>
      <c r="Q118" s="28"/>
      <c r="R118" s="28"/>
      <c r="S118" s="28"/>
      <c r="T118" s="28"/>
      <c r="U118" s="28"/>
      <c r="V118" s="28"/>
      <c r="W118" s="28"/>
      <c r="X118" s="28"/>
      <c r="Y118" s="28"/>
    </row>
    <row r="119" spans="1:25" ht="15.75" thickBot="1">
      <c r="A119" s="39">
        <v>118</v>
      </c>
      <c r="B119" s="39">
        <v>6</v>
      </c>
      <c r="C119" s="40" t="s">
        <v>384</v>
      </c>
      <c r="D119" s="40" t="s">
        <v>2</v>
      </c>
      <c r="E119" s="40" t="s">
        <v>23</v>
      </c>
      <c r="F119" s="40" t="s">
        <v>385</v>
      </c>
      <c r="G119" s="39">
        <v>52</v>
      </c>
      <c r="H119" s="40"/>
      <c r="I119" s="34"/>
      <c r="J119" s="28"/>
      <c r="K119" s="28"/>
      <c r="L119" s="28"/>
      <c r="M119" s="28"/>
      <c r="N119" s="28"/>
      <c r="O119" s="28"/>
      <c r="P119" s="28"/>
      <c r="Q119" s="28"/>
      <c r="R119" s="28"/>
      <c r="S119" s="28"/>
      <c r="T119" s="28"/>
      <c r="U119" s="28"/>
      <c r="V119" s="28"/>
      <c r="W119" s="28"/>
      <c r="X119" s="28"/>
      <c r="Y119" s="28"/>
    </row>
    <row r="120" spans="1:25" ht="15.75" thickBot="1">
      <c r="A120" s="39">
        <v>119</v>
      </c>
      <c r="B120" s="39">
        <v>7</v>
      </c>
      <c r="C120" s="40" t="s">
        <v>578</v>
      </c>
      <c r="D120" s="40" t="s">
        <v>2</v>
      </c>
      <c r="E120" s="40" t="s">
        <v>35</v>
      </c>
      <c r="F120" s="40" t="s">
        <v>385</v>
      </c>
      <c r="G120" s="39">
        <v>69</v>
      </c>
      <c r="H120" s="40"/>
      <c r="I120" s="34"/>
      <c r="J120" s="28"/>
      <c r="K120" s="28"/>
      <c r="L120" s="28"/>
      <c r="M120" s="28"/>
      <c r="N120" s="28"/>
      <c r="O120" s="28"/>
      <c r="P120" s="28"/>
      <c r="Q120" s="28"/>
      <c r="R120" s="28"/>
      <c r="S120" s="28"/>
      <c r="T120" s="28"/>
      <c r="U120" s="28"/>
      <c r="V120" s="28"/>
      <c r="W120" s="28"/>
      <c r="X120" s="28"/>
      <c r="Y120" s="28"/>
    </row>
    <row r="121" spans="1:25" ht="15.75" thickBot="1">
      <c r="A121" s="39">
        <v>120</v>
      </c>
      <c r="B121" s="39">
        <v>8</v>
      </c>
      <c r="C121" s="40" t="s">
        <v>484</v>
      </c>
      <c r="D121" s="40" t="s">
        <v>10</v>
      </c>
      <c r="E121" s="40" t="s">
        <v>30</v>
      </c>
      <c r="F121" s="40" t="s">
        <v>385</v>
      </c>
      <c r="G121" s="39">
        <v>72</v>
      </c>
      <c r="H121" s="40"/>
      <c r="I121" s="34"/>
      <c r="J121" s="28"/>
      <c r="K121" s="28"/>
      <c r="L121" s="28"/>
      <c r="M121" s="28"/>
      <c r="N121" s="28"/>
      <c r="O121" s="28"/>
      <c r="P121" s="28"/>
      <c r="Q121" s="28"/>
      <c r="R121" s="28"/>
      <c r="S121" s="28"/>
      <c r="T121" s="28"/>
      <c r="U121" s="28"/>
      <c r="V121" s="28"/>
      <c r="W121" s="28"/>
      <c r="X121" s="28"/>
      <c r="Y121" s="28"/>
    </row>
    <row r="122" spans="1:25" ht="15.75" thickBot="1">
      <c r="A122" s="39">
        <v>121</v>
      </c>
      <c r="B122" s="39">
        <v>9</v>
      </c>
      <c r="C122" s="40" t="s">
        <v>132</v>
      </c>
      <c r="D122" s="40" t="s">
        <v>2</v>
      </c>
      <c r="E122" s="40" t="s">
        <v>8</v>
      </c>
      <c r="F122" s="40" t="s">
        <v>385</v>
      </c>
      <c r="G122" s="39">
        <v>89</v>
      </c>
      <c r="H122" s="40"/>
      <c r="I122" s="34"/>
      <c r="J122" s="28"/>
      <c r="K122" s="28"/>
      <c r="L122" s="28"/>
      <c r="M122" s="28"/>
      <c r="N122" s="28"/>
      <c r="O122" s="28"/>
      <c r="P122" s="28"/>
      <c r="Q122" s="28"/>
      <c r="R122" s="28"/>
      <c r="S122" s="28"/>
      <c r="T122" s="28"/>
      <c r="U122" s="28"/>
      <c r="V122" s="28"/>
      <c r="W122" s="28"/>
      <c r="X122" s="28"/>
      <c r="Y122" s="28"/>
    </row>
    <row r="123" spans="1:25" ht="15.75" thickBot="1">
      <c r="A123" s="39">
        <v>122</v>
      </c>
      <c r="B123" s="39">
        <v>10</v>
      </c>
      <c r="C123" s="41" t="s">
        <v>437</v>
      </c>
      <c r="D123" s="40" t="s">
        <v>10</v>
      </c>
      <c r="E123" s="40" t="s">
        <v>46</v>
      </c>
      <c r="F123" s="40" t="s">
        <v>385</v>
      </c>
      <c r="G123" s="39">
        <v>92</v>
      </c>
      <c r="H123" s="40"/>
      <c r="I123" s="34"/>
      <c r="J123" s="28"/>
      <c r="K123" s="28"/>
      <c r="L123" s="28"/>
      <c r="M123" s="28"/>
      <c r="N123" s="28"/>
      <c r="O123" s="28"/>
      <c r="P123" s="28"/>
      <c r="Q123" s="28"/>
      <c r="R123" s="28"/>
      <c r="S123" s="28"/>
      <c r="T123" s="28"/>
      <c r="U123" s="28"/>
      <c r="V123" s="28"/>
      <c r="W123" s="28"/>
      <c r="X123" s="28"/>
      <c r="Y123" s="28"/>
    </row>
    <row r="124" spans="1:25" ht="15.75" thickBot="1">
      <c r="A124" s="39">
        <v>123</v>
      </c>
      <c r="B124" s="39">
        <v>11</v>
      </c>
      <c r="C124" s="41" t="s">
        <v>92</v>
      </c>
      <c r="D124" s="40" t="s">
        <v>10</v>
      </c>
      <c r="E124" s="40" t="s">
        <v>23</v>
      </c>
      <c r="F124" s="40" t="s">
        <v>385</v>
      </c>
      <c r="G124" s="39">
        <v>109</v>
      </c>
      <c r="H124" s="40"/>
      <c r="I124" s="34"/>
      <c r="J124" s="28"/>
      <c r="K124" s="28"/>
      <c r="L124" s="28"/>
      <c r="M124" s="28"/>
      <c r="N124" s="28"/>
      <c r="O124" s="28"/>
      <c r="P124" s="28"/>
      <c r="Q124" s="28"/>
      <c r="R124" s="28"/>
      <c r="S124" s="28"/>
      <c r="T124" s="28"/>
      <c r="U124" s="28"/>
      <c r="V124" s="28"/>
      <c r="W124" s="28"/>
      <c r="X124" s="28"/>
      <c r="Y124" s="28"/>
    </row>
    <row r="125" spans="1:25" ht="15.75" thickBot="1">
      <c r="A125" s="39">
        <v>124</v>
      </c>
      <c r="B125" s="39">
        <v>12</v>
      </c>
      <c r="C125" s="40" t="s">
        <v>460</v>
      </c>
      <c r="D125" s="40" t="s">
        <v>5</v>
      </c>
      <c r="E125" s="40" t="s">
        <v>23</v>
      </c>
      <c r="F125" s="40" t="s">
        <v>385</v>
      </c>
      <c r="G125" s="39">
        <v>112</v>
      </c>
      <c r="H125" s="40"/>
      <c r="I125" s="34"/>
      <c r="J125" s="28"/>
      <c r="K125" s="28"/>
      <c r="L125" s="28"/>
      <c r="M125" s="28"/>
      <c r="N125" s="28"/>
      <c r="O125" s="28"/>
      <c r="P125" s="28"/>
      <c r="Q125" s="28"/>
      <c r="R125" s="28"/>
      <c r="S125" s="28"/>
      <c r="T125" s="28"/>
      <c r="U125" s="28"/>
      <c r="V125" s="28"/>
      <c r="W125" s="28"/>
      <c r="X125" s="28"/>
      <c r="Y125" s="28"/>
    </row>
    <row r="126" spans="1:25" ht="15.75" thickBot="1">
      <c r="A126" s="39">
        <v>125</v>
      </c>
      <c r="B126" s="39">
        <v>13</v>
      </c>
      <c r="C126" s="40" t="s">
        <v>94</v>
      </c>
      <c r="D126" s="40" t="s">
        <v>2</v>
      </c>
      <c r="E126" s="40" t="s">
        <v>91</v>
      </c>
      <c r="F126" s="40" t="s">
        <v>385</v>
      </c>
      <c r="G126" s="39">
        <v>129</v>
      </c>
      <c r="H126" s="40"/>
      <c r="I126" s="34"/>
      <c r="J126" s="28"/>
      <c r="K126" s="28"/>
      <c r="L126" s="28"/>
      <c r="M126" s="28"/>
      <c r="N126" s="28"/>
      <c r="O126" s="28"/>
      <c r="P126" s="28"/>
      <c r="Q126" s="28"/>
      <c r="R126" s="28"/>
      <c r="S126" s="28"/>
      <c r="T126" s="28"/>
      <c r="U126" s="28"/>
      <c r="V126" s="28"/>
      <c r="W126" s="28"/>
      <c r="X126" s="28"/>
      <c r="Y126" s="28"/>
    </row>
    <row r="127" spans="1:25" ht="15.75" thickBot="1">
      <c r="A127" s="39">
        <v>126</v>
      </c>
      <c r="B127" s="39">
        <v>14</v>
      </c>
      <c r="C127" s="40" t="s">
        <v>509</v>
      </c>
      <c r="D127" s="40" t="s">
        <v>5</v>
      </c>
      <c r="E127" s="40" t="s">
        <v>28</v>
      </c>
      <c r="F127" s="40" t="s">
        <v>385</v>
      </c>
      <c r="G127" s="39">
        <v>132</v>
      </c>
      <c r="H127" s="40"/>
      <c r="I127" s="34"/>
      <c r="J127" s="28"/>
      <c r="K127" s="28"/>
      <c r="L127" s="28"/>
      <c r="M127" s="28"/>
      <c r="N127" s="28"/>
      <c r="O127" s="28"/>
      <c r="P127" s="28"/>
      <c r="Q127" s="28"/>
      <c r="R127" s="28"/>
      <c r="S127" s="28"/>
      <c r="T127" s="28"/>
      <c r="U127" s="28"/>
      <c r="V127" s="28"/>
      <c r="W127" s="28"/>
      <c r="X127" s="28"/>
      <c r="Y127" s="28"/>
    </row>
    <row r="128" spans="1:25" ht="15.75" thickBot="1">
      <c r="A128" s="39">
        <v>127</v>
      </c>
      <c r="B128" s="39">
        <v>15</v>
      </c>
      <c r="C128" s="40" t="s">
        <v>520</v>
      </c>
      <c r="D128" s="40" t="s">
        <v>27</v>
      </c>
      <c r="E128" s="40" t="s">
        <v>135</v>
      </c>
      <c r="F128" s="40" t="s">
        <v>385</v>
      </c>
      <c r="G128" s="39">
        <v>149</v>
      </c>
      <c r="H128" s="40"/>
      <c r="I128" s="34"/>
      <c r="J128" s="28"/>
      <c r="K128" s="28"/>
      <c r="L128" s="28"/>
      <c r="M128" s="28"/>
      <c r="N128" s="28"/>
      <c r="O128" s="28"/>
      <c r="P128" s="28"/>
      <c r="Q128" s="28"/>
      <c r="R128" s="28"/>
      <c r="S128" s="28"/>
      <c r="T128" s="28"/>
      <c r="U128" s="28"/>
      <c r="V128" s="28"/>
      <c r="W128" s="28"/>
      <c r="X128" s="28"/>
      <c r="Y128" s="28"/>
    </row>
    <row r="129" spans="1:25" ht="15.75" thickBot="1">
      <c r="A129" s="42">
        <v>128</v>
      </c>
      <c r="B129" s="42">
        <v>16</v>
      </c>
      <c r="C129" s="43" t="s">
        <v>521</v>
      </c>
      <c r="D129" s="43" t="s">
        <v>36</v>
      </c>
      <c r="E129" s="43" t="s">
        <v>34</v>
      </c>
      <c r="F129" s="43" t="s">
        <v>385</v>
      </c>
      <c r="G129" s="42">
        <v>152</v>
      </c>
      <c r="H129" s="40"/>
      <c r="I129" s="34"/>
      <c r="J129" s="28"/>
      <c r="K129" s="28"/>
      <c r="L129" s="28"/>
      <c r="M129" s="28"/>
      <c r="N129" s="28"/>
      <c r="O129" s="28"/>
      <c r="P129" s="28"/>
      <c r="Q129" s="28"/>
      <c r="R129" s="28"/>
      <c r="S129" s="28"/>
      <c r="T129" s="28"/>
      <c r="U129" s="28"/>
      <c r="V129" s="28"/>
      <c r="W129" s="28"/>
      <c r="X129" s="28"/>
      <c r="Y129" s="28"/>
    </row>
    <row r="130" spans="1:25" ht="15.75" thickBot="1">
      <c r="A130" s="39">
        <v>129</v>
      </c>
      <c r="B130" s="39">
        <v>1</v>
      </c>
      <c r="C130" s="40" t="s">
        <v>61</v>
      </c>
      <c r="D130" s="40" t="s">
        <v>10</v>
      </c>
      <c r="E130" s="40" t="s">
        <v>32</v>
      </c>
      <c r="F130" s="40" t="s">
        <v>37</v>
      </c>
      <c r="G130" s="39">
        <v>7</v>
      </c>
      <c r="H130" s="40"/>
      <c r="I130" s="34"/>
      <c r="J130" s="28"/>
      <c r="K130" s="28"/>
      <c r="L130" s="28"/>
      <c r="M130" s="28"/>
      <c r="N130" s="28"/>
      <c r="O130" s="28"/>
      <c r="P130" s="28"/>
      <c r="Q130" s="28"/>
      <c r="R130" s="28"/>
      <c r="S130" s="28"/>
      <c r="T130" s="28"/>
      <c r="U130" s="28"/>
      <c r="V130" s="28"/>
      <c r="W130" s="28"/>
      <c r="X130" s="28"/>
      <c r="Y130" s="28"/>
    </row>
    <row r="131" spans="1:25" ht="15.75" thickBot="1">
      <c r="A131" s="39">
        <v>130</v>
      </c>
      <c r="B131" s="39">
        <v>2</v>
      </c>
      <c r="C131" s="40" t="s">
        <v>80</v>
      </c>
      <c r="D131" s="40" t="s">
        <v>2</v>
      </c>
      <c r="E131" s="40" t="s">
        <v>472</v>
      </c>
      <c r="F131" s="40" t="s">
        <v>37</v>
      </c>
      <c r="G131" s="39">
        <v>14</v>
      </c>
      <c r="H131" s="40"/>
      <c r="I131" s="34"/>
      <c r="J131" s="28"/>
      <c r="K131" s="28"/>
      <c r="L131" s="28"/>
      <c r="M131" s="28"/>
      <c r="N131" s="28"/>
      <c r="O131" s="28"/>
      <c r="P131" s="28"/>
      <c r="Q131" s="28"/>
      <c r="R131" s="28"/>
      <c r="S131" s="28"/>
      <c r="T131" s="28"/>
      <c r="U131" s="28"/>
      <c r="V131" s="28"/>
      <c r="W131" s="28"/>
      <c r="X131" s="28"/>
      <c r="Y131" s="28"/>
    </row>
    <row r="132" spans="1:25" ht="15.75" thickBot="1">
      <c r="A132" s="39">
        <v>131</v>
      </c>
      <c r="B132" s="39">
        <v>3</v>
      </c>
      <c r="C132" s="40" t="s">
        <v>116</v>
      </c>
      <c r="D132" s="40" t="s">
        <v>10</v>
      </c>
      <c r="E132" s="40" t="s">
        <v>17</v>
      </c>
      <c r="F132" s="40" t="s">
        <v>37</v>
      </c>
      <c r="G132" s="39">
        <v>27</v>
      </c>
      <c r="H132" s="40"/>
      <c r="I132" s="34"/>
      <c r="J132" s="28"/>
      <c r="K132" s="28"/>
      <c r="L132" s="28"/>
      <c r="M132" s="28"/>
      <c r="N132" s="28"/>
      <c r="O132" s="28"/>
      <c r="P132" s="28"/>
      <c r="Q132" s="28"/>
      <c r="R132" s="28"/>
      <c r="S132" s="28"/>
      <c r="T132" s="28"/>
      <c r="U132" s="28"/>
      <c r="V132" s="28"/>
      <c r="W132" s="28"/>
      <c r="X132" s="28"/>
      <c r="Y132" s="28"/>
    </row>
    <row r="133" spans="1:25" ht="15.75" thickBot="1">
      <c r="A133" s="39">
        <v>132</v>
      </c>
      <c r="B133" s="39">
        <v>4</v>
      </c>
      <c r="C133" s="41" t="s">
        <v>44</v>
      </c>
      <c r="D133" s="40" t="s">
        <v>27</v>
      </c>
      <c r="E133" s="40" t="s">
        <v>13</v>
      </c>
      <c r="F133" s="40" t="s">
        <v>37</v>
      </c>
      <c r="G133" s="39">
        <v>34</v>
      </c>
      <c r="H133" s="40"/>
      <c r="I133" s="34"/>
      <c r="J133" s="28"/>
      <c r="K133" s="28"/>
      <c r="L133" s="28"/>
      <c r="M133" s="28"/>
      <c r="N133" s="28"/>
      <c r="O133" s="28"/>
      <c r="P133" s="28"/>
      <c r="Q133" s="28"/>
      <c r="R133" s="28"/>
      <c r="S133" s="28"/>
      <c r="T133" s="28"/>
      <c r="U133" s="28"/>
      <c r="V133" s="28"/>
      <c r="W133" s="28"/>
      <c r="X133" s="28"/>
      <c r="Y133" s="28"/>
    </row>
    <row r="134" spans="1:25" ht="15.75" thickBot="1">
      <c r="A134" s="39">
        <v>133</v>
      </c>
      <c r="B134" s="39">
        <v>5</v>
      </c>
      <c r="C134" s="40" t="s">
        <v>479</v>
      </c>
      <c r="D134" s="40" t="s">
        <v>10</v>
      </c>
      <c r="E134" s="40" t="s">
        <v>30</v>
      </c>
      <c r="F134" s="40" t="s">
        <v>37</v>
      </c>
      <c r="G134" s="39">
        <v>47</v>
      </c>
      <c r="H134" s="40"/>
      <c r="I134" s="34"/>
      <c r="J134" s="28"/>
      <c r="K134" s="28"/>
      <c r="L134" s="28"/>
      <c r="M134" s="28"/>
      <c r="N134" s="28"/>
      <c r="O134" s="28"/>
      <c r="P134" s="28"/>
      <c r="Q134" s="28"/>
      <c r="R134" s="28"/>
      <c r="S134" s="28"/>
      <c r="T134" s="28"/>
      <c r="U134" s="28"/>
      <c r="V134" s="28"/>
      <c r="W134" s="28"/>
      <c r="X134" s="28"/>
      <c r="Y134" s="28"/>
    </row>
    <row r="135" spans="1:25" ht="15.75" thickBot="1">
      <c r="A135" s="39">
        <v>134</v>
      </c>
      <c r="B135" s="39">
        <v>6</v>
      </c>
      <c r="C135" s="40" t="s">
        <v>133</v>
      </c>
      <c r="D135" s="40" t="s">
        <v>10</v>
      </c>
      <c r="E135" s="40" t="s">
        <v>8</v>
      </c>
      <c r="F135" s="40" t="s">
        <v>37</v>
      </c>
      <c r="G135" s="39">
        <v>54</v>
      </c>
      <c r="H135" s="40"/>
      <c r="I135" s="34"/>
      <c r="J135" s="28"/>
      <c r="K135" s="28"/>
      <c r="L135" s="28"/>
      <c r="M135" s="28"/>
      <c r="N135" s="28"/>
      <c r="O135" s="28"/>
      <c r="P135" s="28"/>
      <c r="Q135" s="28"/>
      <c r="R135" s="28"/>
      <c r="S135" s="28"/>
      <c r="T135" s="28"/>
      <c r="U135" s="28"/>
      <c r="V135" s="28"/>
      <c r="W135" s="28"/>
      <c r="X135" s="28"/>
      <c r="Y135" s="28"/>
    </row>
    <row r="136" spans="1:25" ht="15.75" thickBot="1">
      <c r="A136" s="39">
        <v>135</v>
      </c>
      <c r="B136" s="39">
        <v>7</v>
      </c>
      <c r="C136" s="40" t="s">
        <v>119</v>
      </c>
      <c r="D136" s="40" t="s">
        <v>2</v>
      </c>
      <c r="E136" s="40" t="s">
        <v>13</v>
      </c>
      <c r="F136" s="40" t="s">
        <v>37</v>
      </c>
      <c r="G136" s="39">
        <v>67</v>
      </c>
      <c r="H136" s="40"/>
      <c r="I136" s="34"/>
      <c r="J136" s="28"/>
      <c r="K136" s="28"/>
      <c r="L136" s="28"/>
      <c r="M136" s="28"/>
      <c r="N136" s="28"/>
      <c r="O136" s="28"/>
      <c r="P136" s="28"/>
      <c r="Q136" s="28"/>
      <c r="R136" s="28"/>
      <c r="S136" s="28"/>
      <c r="T136" s="28"/>
      <c r="U136" s="28"/>
      <c r="V136" s="28"/>
      <c r="W136" s="28"/>
      <c r="X136" s="28"/>
      <c r="Y136" s="28"/>
    </row>
    <row r="137" spans="1:25" ht="15.75" thickBot="1">
      <c r="A137" s="39">
        <v>136</v>
      </c>
      <c r="B137" s="39">
        <v>8</v>
      </c>
      <c r="C137" s="40" t="s">
        <v>81</v>
      </c>
      <c r="D137" s="40" t="s">
        <v>5</v>
      </c>
      <c r="E137" s="40" t="s">
        <v>82</v>
      </c>
      <c r="F137" s="40" t="s">
        <v>37</v>
      </c>
      <c r="G137" s="39">
        <v>74</v>
      </c>
      <c r="H137" s="40"/>
      <c r="I137" s="34"/>
      <c r="J137" s="28"/>
      <c r="K137" s="28"/>
      <c r="L137" s="28"/>
      <c r="M137" s="28"/>
      <c r="N137" s="28"/>
      <c r="O137" s="28"/>
      <c r="P137" s="28"/>
      <c r="Q137" s="28"/>
      <c r="R137" s="28"/>
      <c r="S137" s="28"/>
      <c r="T137" s="28"/>
      <c r="U137" s="28"/>
      <c r="V137" s="28"/>
      <c r="W137" s="28"/>
      <c r="X137" s="28"/>
      <c r="Y137" s="28"/>
    </row>
    <row r="138" spans="1:25" ht="15.75" thickBot="1">
      <c r="A138" s="39">
        <v>137</v>
      </c>
      <c r="B138" s="39">
        <v>9</v>
      </c>
      <c r="C138" s="40" t="s">
        <v>57</v>
      </c>
      <c r="D138" s="40" t="s">
        <v>2</v>
      </c>
      <c r="E138" s="40" t="s">
        <v>30</v>
      </c>
      <c r="F138" s="40" t="s">
        <v>37</v>
      </c>
      <c r="G138" s="39">
        <v>87</v>
      </c>
      <c r="H138" s="40"/>
      <c r="I138" s="34"/>
      <c r="J138" s="28"/>
      <c r="K138" s="28"/>
      <c r="L138" s="28"/>
      <c r="M138" s="28"/>
      <c r="N138" s="28"/>
      <c r="O138" s="28"/>
      <c r="P138" s="28"/>
      <c r="Q138" s="28"/>
      <c r="R138" s="28"/>
      <c r="S138" s="28"/>
      <c r="T138" s="28"/>
      <c r="U138" s="28"/>
      <c r="V138" s="28"/>
      <c r="W138" s="28"/>
      <c r="X138" s="28"/>
      <c r="Y138" s="28"/>
    </row>
    <row r="139" spans="1:25" ht="15.75" thickBot="1">
      <c r="A139" s="39">
        <v>138</v>
      </c>
      <c r="B139" s="39">
        <v>10</v>
      </c>
      <c r="C139" s="41" t="s">
        <v>428</v>
      </c>
      <c r="D139" s="40" t="s">
        <v>2</v>
      </c>
      <c r="E139" s="40" t="s">
        <v>71</v>
      </c>
      <c r="F139" s="40" t="s">
        <v>37</v>
      </c>
      <c r="G139" s="39">
        <v>94</v>
      </c>
      <c r="H139" s="40"/>
      <c r="I139" s="34"/>
      <c r="J139" s="28"/>
      <c r="K139" s="28"/>
      <c r="L139" s="28"/>
      <c r="M139" s="28"/>
      <c r="N139" s="28"/>
      <c r="O139" s="28"/>
      <c r="P139" s="28"/>
      <c r="Q139" s="28"/>
      <c r="R139" s="28"/>
      <c r="S139" s="28"/>
      <c r="T139" s="28"/>
      <c r="U139" s="28"/>
      <c r="V139" s="28"/>
      <c r="W139" s="28"/>
      <c r="X139" s="28"/>
      <c r="Y139" s="28"/>
    </row>
    <row r="140" spans="1:25" ht="15.75" thickBot="1">
      <c r="A140" s="39">
        <v>139</v>
      </c>
      <c r="B140" s="39">
        <v>11</v>
      </c>
      <c r="C140" s="40" t="s">
        <v>498</v>
      </c>
      <c r="D140" s="40" t="s">
        <v>10</v>
      </c>
      <c r="E140" s="40" t="s">
        <v>135</v>
      </c>
      <c r="F140" s="40" t="s">
        <v>37</v>
      </c>
      <c r="G140" s="39">
        <v>107</v>
      </c>
      <c r="H140" s="40"/>
      <c r="I140" s="34"/>
      <c r="J140" s="28"/>
      <c r="K140" s="28"/>
      <c r="L140" s="28"/>
      <c r="M140" s="28"/>
      <c r="N140" s="28"/>
      <c r="O140" s="28"/>
      <c r="P140" s="28"/>
      <c r="Q140" s="28"/>
      <c r="R140" s="28"/>
      <c r="S140" s="28"/>
      <c r="T140" s="28"/>
      <c r="U140" s="28"/>
      <c r="V140" s="28"/>
      <c r="W140" s="28"/>
      <c r="X140" s="28"/>
      <c r="Y140" s="28"/>
    </row>
    <row r="141" spans="1:25" ht="15.75" thickBot="1">
      <c r="A141" s="39">
        <v>140</v>
      </c>
      <c r="B141" s="39">
        <v>12</v>
      </c>
      <c r="C141" s="40" t="s">
        <v>128</v>
      </c>
      <c r="D141" s="40" t="s">
        <v>2</v>
      </c>
      <c r="E141" s="40" t="s">
        <v>28</v>
      </c>
      <c r="F141" s="40" t="s">
        <v>37</v>
      </c>
      <c r="G141" s="39">
        <v>114</v>
      </c>
      <c r="H141" s="40"/>
      <c r="I141" s="34"/>
      <c r="J141" s="28"/>
      <c r="K141" s="28"/>
      <c r="L141" s="28"/>
      <c r="M141" s="28"/>
      <c r="N141" s="28"/>
      <c r="O141" s="28"/>
      <c r="P141" s="28"/>
      <c r="Q141" s="28"/>
      <c r="R141" s="28"/>
      <c r="S141" s="28"/>
      <c r="T141" s="28"/>
      <c r="U141" s="28"/>
      <c r="V141" s="28"/>
      <c r="W141" s="28"/>
      <c r="X141" s="28"/>
      <c r="Y141" s="28"/>
    </row>
    <row r="142" spans="1:25" ht="15.75" thickBot="1">
      <c r="A142" s="39">
        <v>141</v>
      </c>
      <c r="B142" s="39">
        <v>13</v>
      </c>
      <c r="C142" s="40" t="s">
        <v>9</v>
      </c>
      <c r="D142" s="40" t="s">
        <v>10</v>
      </c>
      <c r="E142" s="40" t="s">
        <v>11</v>
      </c>
      <c r="F142" s="40" t="s">
        <v>37</v>
      </c>
      <c r="G142" s="39">
        <v>127</v>
      </c>
      <c r="H142" s="40"/>
      <c r="I142" s="34"/>
      <c r="J142" s="28"/>
      <c r="K142" s="28"/>
      <c r="L142" s="28"/>
      <c r="M142" s="28"/>
      <c r="N142" s="28"/>
      <c r="O142" s="28"/>
      <c r="P142" s="28"/>
      <c r="Q142" s="28"/>
      <c r="R142" s="28"/>
      <c r="S142" s="28"/>
      <c r="T142" s="28"/>
      <c r="U142" s="28"/>
      <c r="V142" s="28"/>
      <c r="W142" s="28"/>
      <c r="X142" s="28"/>
      <c r="Y142" s="28"/>
    </row>
    <row r="143" spans="1:25" ht="15.75" thickBot="1">
      <c r="A143" s="39">
        <v>142</v>
      </c>
      <c r="B143" s="39">
        <v>14</v>
      </c>
      <c r="C143" s="40" t="s">
        <v>510</v>
      </c>
      <c r="D143" s="40" t="s">
        <v>10</v>
      </c>
      <c r="E143" s="40" t="s">
        <v>3</v>
      </c>
      <c r="F143" s="40" t="s">
        <v>37</v>
      </c>
      <c r="G143" s="39">
        <v>134</v>
      </c>
      <c r="H143" s="40"/>
      <c r="I143" s="34"/>
      <c r="J143" s="28"/>
      <c r="K143" s="28"/>
      <c r="L143" s="28"/>
      <c r="M143" s="28"/>
      <c r="N143" s="28"/>
      <c r="O143" s="28"/>
      <c r="P143" s="28"/>
      <c r="Q143" s="28"/>
      <c r="R143" s="28"/>
      <c r="S143" s="28"/>
      <c r="T143" s="28"/>
      <c r="U143" s="28"/>
      <c r="V143" s="28"/>
      <c r="W143" s="28"/>
      <c r="X143" s="28"/>
      <c r="Y143" s="28"/>
    </row>
    <row r="144" spans="1:25" ht="15.75" thickBot="1">
      <c r="A144" s="39">
        <v>143</v>
      </c>
      <c r="B144" s="39">
        <v>15</v>
      </c>
      <c r="C144" s="40" t="s">
        <v>518</v>
      </c>
      <c r="D144" s="40" t="s">
        <v>2</v>
      </c>
      <c r="E144" s="40" t="s">
        <v>46</v>
      </c>
      <c r="F144" s="40" t="s">
        <v>37</v>
      </c>
      <c r="G144" s="39">
        <v>147</v>
      </c>
      <c r="H144" s="40"/>
      <c r="I144" s="34"/>
      <c r="J144" s="28"/>
      <c r="K144" s="28"/>
      <c r="L144" s="28"/>
      <c r="M144" s="28"/>
      <c r="N144" s="28"/>
      <c r="O144" s="28"/>
      <c r="P144" s="28"/>
      <c r="Q144" s="28"/>
      <c r="R144" s="28"/>
      <c r="S144" s="28"/>
      <c r="T144" s="28"/>
      <c r="U144" s="28"/>
      <c r="V144" s="28"/>
      <c r="W144" s="28"/>
      <c r="X144" s="28"/>
      <c r="Y144" s="28"/>
    </row>
    <row r="145" spans="1:25" ht="15.75" thickBot="1">
      <c r="A145" s="42">
        <v>144</v>
      </c>
      <c r="B145" s="42">
        <v>16</v>
      </c>
      <c r="C145" s="43" t="s">
        <v>523</v>
      </c>
      <c r="D145" s="43" t="s">
        <v>10</v>
      </c>
      <c r="E145" s="43" t="s">
        <v>91</v>
      </c>
      <c r="F145" s="43" t="s">
        <v>37</v>
      </c>
      <c r="G145" s="42">
        <v>154</v>
      </c>
      <c r="H145" s="43"/>
      <c r="I145" s="34"/>
      <c r="J145" s="28"/>
      <c r="K145" s="28"/>
      <c r="L145" s="28"/>
      <c r="M145" s="28"/>
      <c r="N145" s="28"/>
      <c r="O145" s="28"/>
      <c r="P145" s="28"/>
      <c r="Q145" s="28"/>
      <c r="R145" s="28"/>
      <c r="S145" s="28"/>
      <c r="T145" s="28"/>
      <c r="U145" s="28"/>
      <c r="V145" s="28"/>
      <c r="W145" s="28"/>
      <c r="X145" s="28"/>
      <c r="Y145" s="28"/>
    </row>
    <row r="146" spans="1:25" ht="15.75" thickBot="1">
      <c r="A146" s="39">
        <v>145</v>
      </c>
      <c r="B146" s="39">
        <v>1</v>
      </c>
      <c r="C146" s="41" t="s">
        <v>151</v>
      </c>
      <c r="D146" s="40" t="s">
        <v>10</v>
      </c>
      <c r="E146" s="40" t="s">
        <v>120</v>
      </c>
      <c r="F146" s="40" t="s">
        <v>471</v>
      </c>
      <c r="G146" s="39">
        <v>10</v>
      </c>
      <c r="H146" s="40"/>
      <c r="I146" s="34"/>
      <c r="J146" s="28"/>
      <c r="K146" s="28"/>
      <c r="L146" s="28"/>
      <c r="M146" s="28"/>
      <c r="N146" s="28"/>
      <c r="O146" s="28"/>
      <c r="P146" s="28"/>
      <c r="Q146" s="28"/>
      <c r="R146" s="28"/>
      <c r="S146" s="28"/>
      <c r="T146" s="28"/>
      <c r="U146" s="28"/>
      <c r="V146" s="28"/>
      <c r="W146" s="28"/>
      <c r="X146" s="28"/>
      <c r="Y146" s="28"/>
    </row>
    <row r="147" spans="1:25" ht="15.75" thickBot="1">
      <c r="A147" s="39">
        <v>146</v>
      </c>
      <c r="B147" s="39">
        <v>2</v>
      </c>
      <c r="C147" s="40" t="s">
        <v>40</v>
      </c>
      <c r="D147" s="40" t="s">
        <v>10</v>
      </c>
      <c r="E147" s="40" t="s">
        <v>41</v>
      </c>
      <c r="F147" s="40" t="s">
        <v>471</v>
      </c>
      <c r="G147" s="39">
        <v>11</v>
      </c>
      <c r="H147" s="40"/>
      <c r="I147" s="34"/>
      <c r="J147" s="28"/>
      <c r="K147" s="28"/>
      <c r="L147" s="28"/>
      <c r="M147" s="28"/>
      <c r="N147" s="28"/>
      <c r="O147" s="28"/>
      <c r="P147" s="28"/>
      <c r="Q147" s="28"/>
      <c r="R147" s="28"/>
      <c r="S147" s="28"/>
      <c r="T147" s="28"/>
      <c r="U147" s="28"/>
      <c r="V147" s="28"/>
      <c r="W147" s="28"/>
      <c r="X147" s="28"/>
      <c r="Y147" s="28"/>
    </row>
    <row r="148" spans="1:25" ht="15.75" thickBot="1">
      <c r="A148" s="39">
        <v>147</v>
      </c>
      <c r="B148" s="39">
        <v>3</v>
      </c>
      <c r="C148" s="40" t="s">
        <v>99</v>
      </c>
      <c r="D148" s="40" t="s">
        <v>2</v>
      </c>
      <c r="E148" s="40" t="s">
        <v>120</v>
      </c>
      <c r="F148" s="40" t="s">
        <v>471</v>
      </c>
      <c r="G148" s="39">
        <v>30</v>
      </c>
      <c r="H148" s="40"/>
      <c r="I148" s="34"/>
      <c r="J148" s="28"/>
      <c r="K148" s="28"/>
      <c r="L148" s="28"/>
      <c r="M148" s="28"/>
      <c r="N148" s="28"/>
      <c r="O148" s="28"/>
      <c r="P148" s="28"/>
      <c r="Q148" s="28"/>
      <c r="R148" s="28"/>
      <c r="S148" s="28"/>
      <c r="T148" s="28"/>
      <c r="U148" s="28"/>
      <c r="V148" s="28"/>
      <c r="W148" s="28"/>
      <c r="X148" s="28"/>
      <c r="Y148" s="28"/>
    </row>
    <row r="149" spans="1:25" ht="15.75" thickBot="1">
      <c r="A149" s="39">
        <v>148</v>
      </c>
      <c r="B149" s="39">
        <v>4</v>
      </c>
      <c r="C149" s="40" t="s">
        <v>455</v>
      </c>
      <c r="D149" s="40" t="s">
        <v>2</v>
      </c>
      <c r="E149" s="40" t="s">
        <v>28</v>
      </c>
      <c r="F149" s="40" t="s">
        <v>471</v>
      </c>
      <c r="G149" s="39">
        <v>31</v>
      </c>
      <c r="H149" s="40"/>
      <c r="I149" s="34"/>
      <c r="J149" s="28"/>
      <c r="K149" s="28"/>
      <c r="L149" s="28"/>
      <c r="M149" s="28"/>
      <c r="N149" s="28"/>
      <c r="O149" s="28"/>
      <c r="P149" s="28"/>
      <c r="Q149" s="28"/>
      <c r="R149" s="28"/>
      <c r="S149" s="28"/>
      <c r="T149" s="28"/>
      <c r="U149" s="28"/>
      <c r="V149" s="28"/>
      <c r="W149" s="28"/>
      <c r="X149" s="28"/>
      <c r="Y149" s="28"/>
    </row>
    <row r="150" spans="1:25" ht="15.75" thickBot="1">
      <c r="A150" s="39">
        <v>149</v>
      </c>
      <c r="B150" s="39">
        <v>5</v>
      </c>
      <c r="C150" s="40" t="s">
        <v>445</v>
      </c>
      <c r="D150" s="40" t="s">
        <v>2</v>
      </c>
      <c r="E150" s="40" t="s">
        <v>135</v>
      </c>
      <c r="F150" s="40" t="s">
        <v>471</v>
      </c>
      <c r="G150" s="39">
        <v>50</v>
      </c>
      <c r="H150" s="40"/>
      <c r="I150" s="34"/>
      <c r="J150" s="28"/>
      <c r="K150" s="28"/>
      <c r="L150" s="28"/>
      <c r="M150" s="28"/>
      <c r="N150" s="28"/>
      <c r="O150" s="28"/>
      <c r="P150" s="28"/>
      <c r="Q150" s="28"/>
      <c r="R150" s="28"/>
      <c r="S150" s="28"/>
      <c r="T150" s="28"/>
      <c r="U150" s="28"/>
      <c r="V150" s="28"/>
      <c r="W150" s="28"/>
      <c r="X150" s="28"/>
      <c r="Y150" s="28"/>
    </row>
    <row r="151" spans="1:25" ht="15.75" thickBot="1">
      <c r="A151" s="39">
        <v>150</v>
      </c>
      <c r="B151" s="39">
        <v>6</v>
      </c>
      <c r="C151" s="40" t="s">
        <v>67</v>
      </c>
      <c r="D151" s="40" t="s">
        <v>27</v>
      </c>
      <c r="E151" s="40" t="s">
        <v>49</v>
      </c>
      <c r="F151" s="40" t="s">
        <v>471</v>
      </c>
      <c r="G151" s="39">
        <v>51</v>
      </c>
      <c r="H151" s="40"/>
      <c r="I151" s="34"/>
      <c r="J151" s="28"/>
      <c r="K151" s="28"/>
      <c r="L151" s="28"/>
      <c r="M151" s="28"/>
      <c r="N151" s="28"/>
      <c r="O151" s="28"/>
      <c r="P151" s="28"/>
      <c r="Q151" s="28"/>
      <c r="R151" s="28"/>
      <c r="S151" s="28"/>
      <c r="T151" s="28"/>
      <c r="U151" s="28"/>
      <c r="V151" s="28"/>
      <c r="W151" s="28"/>
      <c r="X151" s="28"/>
      <c r="Y151" s="28"/>
    </row>
    <row r="152" spans="1:25" ht="15.75" thickBot="1">
      <c r="A152" s="39">
        <v>151</v>
      </c>
      <c r="B152" s="39">
        <v>7</v>
      </c>
      <c r="C152" s="40" t="s">
        <v>189</v>
      </c>
      <c r="D152" s="40" t="s">
        <v>5</v>
      </c>
      <c r="E152" s="40" t="s">
        <v>32</v>
      </c>
      <c r="F152" s="40" t="s">
        <v>471</v>
      </c>
      <c r="G152" s="39">
        <v>70</v>
      </c>
      <c r="H152" s="40"/>
      <c r="I152" s="34"/>
      <c r="J152" s="28"/>
      <c r="K152" s="28"/>
      <c r="L152" s="28"/>
      <c r="M152" s="28"/>
      <c r="N152" s="28"/>
      <c r="O152" s="28"/>
      <c r="P152" s="28"/>
      <c r="Q152" s="28"/>
      <c r="R152" s="28"/>
      <c r="S152" s="28"/>
      <c r="T152" s="28"/>
      <c r="U152" s="28"/>
      <c r="V152" s="28"/>
      <c r="W152" s="28"/>
      <c r="X152" s="28"/>
      <c r="Y152" s="28"/>
    </row>
    <row r="153" spans="1:25" ht="15.75" thickBot="1">
      <c r="A153" s="39">
        <v>152</v>
      </c>
      <c r="B153" s="39">
        <v>8</v>
      </c>
      <c r="C153" s="40" t="s">
        <v>483</v>
      </c>
      <c r="D153" s="40" t="s">
        <v>10</v>
      </c>
      <c r="E153" s="40" t="s">
        <v>6</v>
      </c>
      <c r="F153" s="40" t="s">
        <v>471</v>
      </c>
      <c r="G153" s="39">
        <v>71</v>
      </c>
      <c r="H153" s="40"/>
      <c r="I153" s="34"/>
      <c r="J153" s="28"/>
      <c r="K153" s="28"/>
      <c r="L153" s="28"/>
      <c r="M153" s="28"/>
      <c r="N153" s="28"/>
      <c r="O153" s="28"/>
      <c r="P153" s="28"/>
      <c r="Q153" s="28"/>
      <c r="R153" s="28"/>
      <c r="S153" s="28"/>
      <c r="T153" s="28"/>
      <c r="U153" s="28"/>
      <c r="V153" s="28"/>
      <c r="W153" s="28"/>
      <c r="X153" s="28"/>
      <c r="Y153" s="28"/>
    </row>
    <row r="154" spans="1:25" ht="15.75" thickBot="1">
      <c r="A154" s="39">
        <v>153</v>
      </c>
      <c r="B154" s="39">
        <v>9</v>
      </c>
      <c r="C154" s="40" t="s">
        <v>489</v>
      </c>
      <c r="D154" s="40" t="s">
        <v>36</v>
      </c>
      <c r="E154" s="40" t="s">
        <v>63</v>
      </c>
      <c r="F154" s="40" t="s">
        <v>471</v>
      </c>
      <c r="G154" s="39">
        <v>90</v>
      </c>
      <c r="H154" s="40"/>
      <c r="I154" s="34"/>
      <c r="J154" s="28"/>
      <c r="K154" s="28"/>
      <c r="L154" s="28"/>
      <c r="M154" s="28"/>
      <c r="N154" s="28"/>
      <c r="O154" s="28"/>
      <c r="P154" s="28"/>
      <c r="Q154" s="28"/>
      <c r="R154" s="28"/>
      <c r="S154" s="28"/>
      <c r="T154" s="28"/>
      <c r="U154" s="28"/>
      <c r="V154" s="28"/>
      <c r="W154" s="28"/>
      <c r="X154" s="28"/>
      <c r="Y154" s="28"/>
    </row>
    <row r="155" spans="1:25" ht="15.75" thickBot="1">
      <c r="A155" s="39">
        <v>154</v>
      </c>
      <c r="B155" s="39">
        <v>10</v>
      </c>
      <c r="C155" s="40" t="s">
        <v>113</v>
      </c>
      <c r="D155" s="40" t="s">
        <v>10</v>
      </c>
      <c r="E155" s="40" t="s">
        <v>25</v>
      </c>
      <c r="F155" s="40" t="s">
        <v>471</v>
      </c>
      <c r="G155" s="39">
        <v>91</v>
      </c>
      <c r="H155" s="40"/>
      <c r="I155" s="34"/>
      <c r="J155" s="28"/>
      <c r="K155" s="28"/>
      <c r="L155" s="28"/>
      <c r="M155" s="28"/>
      <c r="N155" s="28"/>
      <c r="O155" s="28"/>
      <c r="P155" s="28"/>
      <c r="Q155" s="28"/>
      <c r="R155" s="28"/>
      <c r="S155" s="28"/>
      <c r="T155" s="28"/>
      <c r="U155" s="28"/>
      <c r="V155" s="28"/>
      <c r="W155" s="28"/>
      <c r="X155" s="28"/>
      <c r="Y155" s="28"/>
    </row>
    <row r="156" spans="1:25" ht="15.75" thickBot="1">
      <c r="A156" s="39">
        <v>155</v>
      </c>
      <c r="B156" s="39">
        <v>11</v>
      </c>
      <c r="C156" s="41" t="s">
        <v>161</v>
      </c>
      <c r="D156" s="40" t="s">
        <v>2</v>
      </c>
      <c r="E156" s="40" t="s">
        <v>82</v>
      </c>
      <c r="F156" s="40" t="s">
        <v>471</v>
      </c>
      <c r="G156" s="39">
        <v>110</v>
      </c>
      <c r="H156" s="40"/>
      <c r="I156" s="34"/>
      <c r="J156" s="28"/>
      <c r="K156" s="28"/>
      <c r="L156" s="28"/>
      <c r="M156" s="28"/>
      <c r="N156" s="28"/>
      <c r="O156" s="28"/>
      <c r="P156" s="28"/>
      <c r="Q156" s="28"/>
      <c r="R156" s="28"/>
      <c r="S156" s="28"/>
      <c r="T156" s="28"/>
      <c r="U156" s="28"/>
      <c r="V156" s="28"/>
      <c r="W156" s="28"/>
      <c r="X156" s="28"/>
      <c r="Y156" s="28"/>
    </row>
    <row r="157" spans="1:25" ht="15.75" thickBot="1">
      <c r="A157" s="39">
        <v>156</v>
      </c>
      <c r="B157" s="39">
        <v>12</v>
      </c>
      <c r="C157" s="40" t="s">
        <v>103</v>
      </c>
      <c r="D157" s="40" t="s">
        <v>10</v>
      </c>
      <c r="E157" s="40" t="s">
        <v>91</v>
      </c>
      <c r="F157" s="40" t="s">
        <v>471</v>
      </c>
      <c r="G157" s="39">
        <v>111</v>
      </c>
      <c r="H157" s="40"/>
      <c r="I157" s="34"/>
      <c r="J157" s="28"/>
      <c r="K157" s="28"/>
      <c r="L157" s="28"/>
      <c r="M157" s="28"/>
      <c r="N157" s="28"/>
      <c r="O157" s="28"/>
      <c r="P157" s="28"/>
      <c r="Q157" s="28"/>
      <c r="R157" s="28"/>
      <c r="S157" s="28"/>
      <c r="T157" s="28"/>
      <c r="U157" s="28"/>
      <c r="V157" s="28"/>
      <c r="W157" s="28"/>
      <c r="X157" s="28"/>
      <c r="Y157" s="28"/>
    </row>
    <row r="158" spans="1:25" ht="15.75" thickBot="1">
      <c r="A158" s="39">
        <v>157</v>
      </c>
      <c r="B158" s="39">
        <v>13</v>
      </c>
      <c r="C158" s="40" t="s">
        <v>507</v>
      </c>
      <c r="D158" s="40" t="s">
        <v>10</v>
      </c>
      <c r="E158" s="40" t="s">
        <v>23</v>
      </c>
      <c r="F158" s="40" t="s">
        <v>471</v>
      </c>
      <c r="G158" s="39">
        <v>130</v>
      </c>
      <c r="H158" s="40"/>
      <c r="I158" s="34"/>
      <c r="J158" s="28"/>
      <c r="K158" s="28"/>
      <c r="L158" s="28"/>
      <c r="M158" s="28"/>
      <c r="N158" s="28"/>
      <c r="O158" s="28"/>
      <c r="P158" s="28"/>
      <c r="Q158" s="28"/>
      <c r="R158" s="28"/>
      <c r="S158" s="28"/>
      <c r="T158" s="28"/>
      <c r="U158" s="28"/>
      <c r="V158" s="28"/>
      <c r="W158" s="28"/>
      <c r="X158" s="28"/>
      <c r="Y158" s="28"/>
    </row>
    <row r="159" spans="1:25" ht="15.75" thickBot="1">
      <c r="A159" s="39">
        <v>158</v>
      </c>
      <c r="B159" s="39">
        <v>14</v>
      </c>
      <c r="C159" s="40" t="s">
        <v>508</v>
      </c>
      <c r="D159" s="40" t="s">
        <v>5</v>
      </c>
      <c r="E159" s="40" t="s">
        <v>135</v>
      </c>
      <c r="F159" s="40" t="s">
        <v>471</v>
      </c>
      <c r="G159" s="39">
        <v>131</v>
      </c>
      <c r="H159" s="40"/>
      <c r="I159" s="34"/>
      <c r="J159" s="28"/>
      <c r="K159" s="28"/>
      <c r="L159" s="28"/>
      <c r="M159" s="28"/>
      <c r="N159" s="28"/>
      <c r="O159" s="28"/>
      <c r="P159" s="28"/>
      <c r="Q159" s="28"/>
      <c r="R159" s="28"/>
      <c r="S159" s="28"/>
      <c r="T159" s="28"/>
      <c r="U159" s="28"/>
      <c r="V159" s="28"/>
      <c r="W159" s="28"/>
      <c r="X159" s="28"/>
      <c r="Y159" s="28"/>
    </row>
    <row r="160" spans="1:25" ht="15.75" thickBot="1">
      <c r="A160" s="39">
        <v>159</v>
      </c>
      <c r="B160" s="39">
        <v>15</v>
      </c>
      <c r="C160" s="40" t="s">
        <v>42</v>
      </c>
      <c r="D160" s="40" t="s">
        <v>10</v>
      </c>
      <c r="E160" s="40" t="s">
        <v>8</v>
      </c>
      <c r="F160" s="40" t="s">
        <v>471</v>
      </c>
      <c r="G160" s="39">
        <v>150</v>
      </c>
      <c r="H160" s="40"/>
      <c r="I160" s="34"/>
      <c r="J160" s="28"/>
      <c r="K160" s="28"/>
      <c r="L160" s="28"/>
      <c r="M160" s="28"/>
      <c r="N160" s="28"/>
      <c r="O160" s="28"/>
      <c r="P160" s="28"/>
      <c r="Q160" s="28"/>
      <c r="R160" s="28"/>
      <c r="S160" s="28"/>
      <c r="T160" s="28"/>
      <c r="U160" s="28"/>
      <c r="V160" s="28"/>
      <c r="W160" s="28"/>
      <c r="X160" s="28"/>
      <c r="Y160" s="28"/>
    </row>
    <row r="161" spans="1:25" ht="15.75" thickBot="1">
      <c r="A161" s="39">
        <v>160</v>
      </c>
      <c r="B161" s="39">
        <v>16</v>
      </c>
      <c r="C161" s="40" t="s">
        <v>441</v>
      </c>
      <c r="D161" s="40" t="s">
        <v>10</v>
      </c>
      <c r="E161" s="40" t="s">
        <v>135</v>
      </c>
      <c r="F161" s="40" t="s">
        <v>471</v>
      </c>
      <c r="G161" s="39">
        <v>151</v>
      </c>
      <c r="H161" s="40"/>
      <c r="I161" s="34"/>
      <c r="J161" s="28"/>
      <c r="K161" s="28"/>
      <c r="L161" s="28"/>
      <c r="M161" s="28"/>
      <c r="N161" s="28"/>
      <c r="O161" s="28"/>
      <c r="P161" s="28"/>
      <c r="Q161" s="28"/>
      <c r="R161" s="28"/>
      <c r="S161" s="28"/>
      <c r="T161" s="28"/>
      <c r="U161" s="28"/>
      <c r="V161" s="28"/>
      <c r="W161" s="28"/>
      <c r="X161" s="28"/>
      <c r="Y161" s="28"/>
    </row>
    <row r="162" spans="1:25" ht="15.75" thickBot="1">
      <c r="A162" s="38"/>
      <c r="B162" s="38"/>
      <c r="C162" s="38"/>
      <c r="D162" s="38"/>
      <c r="E162" s="38"/>
      <c r="F162" s="38"/>
      <c r="G162" s="38"/>
      <c r="H162" s="38"/>
      <c r="I162" s="28"/>
      <c r="J162" s="28"/>
      <c r="K162" s="28"/>
      <c r="L162" s="28"/>
      <c r="M162" s="28"/>
      <c r="N162" s="28"/>
      <c r="O162" s="28"/>
      <c r="P162" s="28"/>
      <c r="Q162" s="28"/>
      <c r="R162" s="28"/>
      <c r="S162" s="28"/>
      <c r="T162" s="28"/>
      <c r="U162" s="28"/>
      <c r="V162" s="28"/>
      <c r="W162" s="28"/>
      <c r="X162" s="28"/>
      <c r="Y162" s="28"/>
    </row>
    <row r="163" spans="1:25" ht="15.75" thickBo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row>
    <row r="164" spans="1:25" ht="15.75" thickBo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row>
    <row r="165" spans="1:25" ht="15.75" thickBo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row>
    <row r="166" spans="1:25" ht="15.75" thickBo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row>
    <row r="167" spans="1:25" ht="15.75" thickBo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row>
    <row r="168" spans="1:25" ht="15.75" thickBo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row>
    <row r="169" spans="1:25" ht="15.75" thickBo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row>
    <row r="170" spans="1:25" ht="15.75" thickBo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row>
    <row r="171" spans="1:25" ht="15.75" thickBo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row>
    <row r="172" spans="1:25" ht="15.75" thickBo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row>
    <row r="173" spans="1:25" ht="15.75" thickBo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row>
    <row r="174" spans="1:25" ht="15.75" thickBo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row>
    <row r="175" spans="1:25" ht="15.75" thickBo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row>
    <row r="176" spans="1:25" ht="15.75" thickBo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row>
    <row r="177" spans="1:25" ht="15.75" thickBo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row>
    <row r="178" spans="1:25" ht="15.75" thickBo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row>
    <row r="179" spans="1:25" ht="15.75" thickBo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row>
    <row r="180" spans="1:25" ht="15.75" thickBo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row>
    <row r="181" spans="1:25" ht="15.75" thickBo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row>
    <row r="182" spans="1:25" ht="15.75" thickBo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row>
    <row r="183" spans="1:25" ht="15.75" thickBo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row>
    <row r="184" spans="1:25" ht="15.75" thickBo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row>
    <row r="185" spans="1:25" ht="15.75" thickBo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row>
    <row r="186" spans="1:25" ht="15.75" thickBo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row>
    <row r="187" spans="1:25" ht="15.75" thickBo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row>
    <row r="188" spans="1:25" ht="15.75" thickBo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row>
    <row r="189" spans="1:25" ht="15.75" thickBo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row>
    <row r="190" spans="1:25" ht="15.75" thickBo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row>
    <row r="191" spans="1:25" ht="15.75" thickBo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row>
    <row r="192" spans="1:25" ht="15.75" thickBo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row>
    <row r="193" spans="1:25" ht="15.75" thickBo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row>
    <row r="194" spans="1:25" ht="15.75" thickBo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row>
    <row r="195" spans="1:25" ht="15.75" thickBo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row>
    <row r="196" spans="1:25" ht="15.75" thickBo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row>
    <row r="197" spans="1:25" ht="15.75" thickBo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row>
    <row r="198" spans="1:25" ht="15.75" thickBo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row>
    <row r="199" spans="1:25" ht="15.75" thickBo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row>
    <row r="200" spans="1:25" ht="15.75" thickBo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row>
    <row r="201" spans="1:25" ht="15.75" thickBo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row>
    <row r="202" spans="1:25" ht="15.75" thickBo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row>
    <row r="203" spans="1:25" ht="15.75" thickBo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row>
    <row r="204" spans="1:25" ht="15.75" thickBo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row>
    <row r="205" spans="1:25" ht="15.75" thickBo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row>
    <row r="206" spans="1:25" ht="15.75" thickBo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row>
    <row r="207" spans="1:25" ht="15.75" thickBo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row>
    <row r="208" spans="1:25" ht="15.75" thickBo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row>
    <row r="209" spans="1:25" ht="15.75" thickBo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row>
    <row r="210" spans="1:25" ht="15.75" thickBo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row>
    <row r="211" spans="1:25" ht="15.75" thickBo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row>
    <row r="212" spans="1:25" ht="15.75" thickBo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row>
    <row r="213" spans="1:25" ht="15.75" thickBo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row>
    <row r="214" spans="1:25" ht="15.75" thickBo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row>
    <row r="215" spans="1:25" ht="15.75" thickBo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row>
    <row r="216" spans="1:25" ht="15.75" thickBo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row>
    <row r="217" spans="1:25" ht="15.75" thickBo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row>
    <row r="218" spans="1:25" ht="15.75" thickBo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row>
    <row r="219" spans="1:25" ht="15.75" thickBo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0" spans="1:25" ht="15.75" thickBo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row>
    <row r="221" spans="1:25" ht="15.75" thickBo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row>
    <row r="222" spans="1:25" ht="15.75" thickBo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row>
    <row r="223" spans="1:25" ht="15.75" thickBo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row>
    <row r="224" spans="1:25" ht="15.75" thickBo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row>
    <row r="225" spans="1:25" ht="15.75" thickBo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row>
    <row r="226" spans="1:25" ht="15.75" thickBo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row>
    <row r="227" spans="1:25" ht="15.75" thickBo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row>
    <row r="228" spans="1:25" ht="15.75" thickBo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row>
    <row r="229" spans="1:25" ht="15.75" thickBo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row>
    <row r="230" spans="1:25" ht="15.75" thickBo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row>
    <row r="231" spans="1:25" ht="15.75" thickBo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row>
    <row r="232" spans="1:25" ht="15.75" thickBo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row>
    <row r="233" spans="1:25" ht="15.75" thickBo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row>
    <row r="234" spans="1:25" ht="15.75" thickBo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row>
    <row r="235" spans="1:25" ht="15.75" thickBo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row>
    <row r="236" spans="1:25" ht="15.75" thickBo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row>
    <row r="237" spans="1:25" ht="15.75" thickBo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row>
    <row r="238" spans="1:25" ht="15.75" thickBo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row>
    <row r="239" spans="1:25" ht="15.75" thickBo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row>
    <row r="240" spans="1:25" ht="15.75" thickBo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row>
    <row r="241" spans="1:25" ht="15.75" thickBo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row>
    <row r="242" spans="1:25" ht="15.75" thickBo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row>
    <row r="243" spans="1:25" ht="15.75" thickBo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row>
    <row r="244" spans="1:25" ht="15.75" thickBo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row>
    <row r="245" spans="1:25" ht="15.75" thickBo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row>
    <row r="246" spans="1:25" ht="15.75" thickBo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row>
    <row r="247" spans="1:25" ht="15.75" thickBo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row>
    <row r="248" spans="1:25" ht="15.75" thickBo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row>
    <row r="249" spans="1:25" ht="15.75" thickBo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row>
    <row r="250" spans="1:25" ht="15.75" thickBo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row>
    <row r="251" spans="1:25" ht="15.75" thickBo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row>
    <row r="252" spans="1:25" ht="15.75" thickBo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row>
    <row r="253" spans="1:25" ht="15.75" thickBo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row>
    <row r="254" spans="1:25" ht="15.75" thickBo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row>
    <row r="255" spans="1:25" ht="15.75" thickBo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6" spans="1:25" ht="15.75" thickBo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row>
    <row r="257" spans="1:25" ht="15.75" thickBo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row>
    <row r="258" spans="1:25" ht="15.75" thickBo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row>
    <row r="259" spans="1:25" ht="15.75" thickBo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row>
    <row r="260" spans="1:25" ht="15.75" thickBo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row>
    <row r="261" spans="1:25" ht="15.75" thickBo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row>
    <row r="262" spans="1:25" ht="15.75" thickBo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row>
    <row r="263" spans="1:25" ht="15.75" thickBo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row>
    <row r="264" spans="1:25" ht="15.75" thickBo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row>
    <row r="265" spans="1:25" ht="15.75" thickBo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row>
    <row r="266" spans="1:25" ht="15.75" thickBo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row>
    <row r="267" spans="1:25" ht="15.75" thickBo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row>
    <row r="268" spans="1:25" ht="15.75" thickBo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row>
    <row r="269" spans="1:25" ht="15.75" thickBo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row>
    <row r="270" spans="1:25" ht="15.75" thickBo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row>
    <row r="271" spans="1:25" ht="15.75" thickBo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row>
    <row r="272" spans="1:25" ht="15.75" thickBo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row>
    <row r="273" spans="1:25" ht="15.75" thickBo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row>
    <row r="274" spans="1:25" ht="15.75" thickBo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row>
    <row r="275" spans="1:25" ht="15.75" thickBo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row>
    <row r="276" spans="1:25" ht="15.75" thickBo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row>
    <row r="277" spans="1:25" ht="15.75" thickBo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row>
    <row r="278" spans="1:25" ht="15.75" thickBo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row>
    <row r="279" spans="1:25" ht="15.75" thickBo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0" spans="1:25" ht="15.75" thickBo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row>
    <row r="281" spans="1:25" ht="15.75" thickBo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row>
    <row r="282" spans="1:25" ht="15.75" thickBo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row>
    <row r="283" spans="1:25" ht="15.75" thickBo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row>
    <row r="284" spans="1:25" ht="15.75" thickBo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row>
    <row r="285" spans="1:25" ht="15.75" thickBo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row>
    <row r="286" spans="1:25" ht="15.75" thickBo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row>
    <row r="287" spans="1:25" ht="15.75" thickBo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row>
    <row r="288" spans="1:25" ht="15.75" thickBo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row>
    <row r="289" spans="1:25" ht="15.75" thickBo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row>
    <row r="290" spans="1:25" ht="15.75" thickBo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row>
    <row r="291" spans="1:25" ht="15.75" thickBo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row>
    <row r="292" spans="1:25" ht="15.75" thickBo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row>
    <row r="293" spans="1:25" ht="15.75" thickBo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row>
    <row r="294" spans="1:25" ht="15.75" thickBo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row>
    <row r="295" spans="1:25" ht="15.75" thickBo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row>
    <row r="296" spans="1:25" ht="15.75" thickBo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row>
    <row r="297" spans="1:25" ht="15.75" thickBo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row>
    <row r="298" spans="1:25" ht="15.75" thickBo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row>
    <row r="299" spans="1:25" ht="15.75" thickBo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row>
    <row r="300" spans="1:25" ht="15.75" thickBo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row>
    <row r="301" spans="1:25" ht="15.75" thickBo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row>
    <row r="302" spans="1:25" ht="15.75" thickBo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row>
    <row r="303" spans="1:25" ht="15.75" thickBo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row>
    <row r="304" spans="1:25" ht="15.75" thickBo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row>
    <row r="305" spans="1:25" ht="15.75" thickBo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row>
    <row r="306" spans="1:25" ht="15.75" thickBo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row>
    <row r="307" spans="1:25" ht="15.75" thickBo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row>
    <row r="308" spans="1:25" ht="15.75" thickBo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row>
    <row r="309" spans="1:25" ht="15.75" thickBo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row>
    <row r="310" spans="1:25" ht="15.75" thickBo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row>
    <row r="311" spans="1:25" ht="15.75" thickBo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row>
    <row r="312" spans="1:25" ht="15.75" thickBo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row>
    <row r="313" spans="1:25" ht="15.75" thickBo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row>
    <row r="314" spans="1:25" ht="15.75" thickBo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row>
    <row r="315" spans="1:25" ht="15.75" thickBo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row>
    <row r="316" spans="1:25" ht="15.75" thickBo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row>
    <row r="317" spans="1:25" ht="15.75" thickBo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row>
    <row r="318" spans="1:25" ht="15.75" thickBo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row>
    <row r="319" spans="1:25" ht="15.75" thickBo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0" spans="1:25" ht="15.75" thickBo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row>
    <row r="321" spans="1:25" ht="15.75" thickBo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2" spans="1:25" ht="15.75" thickBo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row>
    <row r="323" spans="1:25" ht="15.75" thickBo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row>
    <row r="324" spans="1:25" ht="15.75" thickBo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row>
    <row r="325" spans="1:25" ht="15.75" thickBo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row>
    <row r="326" spans="1:25" ht="15.75" thickBo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row>
    <row r="327" spans="1:25" ht="15.75" thickBo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row>
    <row r="328" spans="1:25" ht="15.75" thickBo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row>
    <row r="329" spans="1:25" ht="15.75" thickBo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row>
    <row r="330" spans="1:25" ht="15.75" thickBo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row>
    <row r="331" spans="1:25" ht="15.75" thickBo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row>
    <row r="332" spans="1:25" ht="15.75" thickBo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row>
    <row r="333" spans="1:25" ht="15.75" thickBo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row>
    <row r="334" spans="1:25" ht="15.75" thickBo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row>
    <row r="335" spans="1:25" ht="15.75" thickBo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row>
    <row r="336" spans="1:25" ht="15.75" thickBo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row>
    <row r="337" spans="1:25" ht="15.75" thickBo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row>
    <row r="338" spans="1:25" ht="15.75" thickBo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row>
    <row r="339" spans="1:25" ht="15.75" thickBo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row>
    <row r="340" spans="1:25" ht="15.75" thickBo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row>
    <row r="341" spans="1:25" ht="15.75" thickBo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2" spans="1:25" ht="15.75" thickBo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row>
    <row r="343" spans="1:25" ht="15.75" thickBo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row>
    <row r="344" spans="1:25" ht="15.75" thickBo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row>
    <row r="345" spans="1:25" ht="15.75" thickBo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row>
    <row r="346" spans="1:25" ht="15.75" thickBo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row>
    <row r="347" spans="1:25" ht="15.75" thickBo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row>
    <row r="348" spans="1:25" ht="15.75" thickBo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row>
    <row r="349" spans="1:25" ht="15.75" thickBo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row>
    <row r="350" spans="1:25" ht="15.75" thickBo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row>
    <row r="351" spans="1:25" ht="15.75" thickBo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row>
    <row r="352" spans="1:25" ht="15.75" thickBo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row>
    <row r="353" spans="1:25" ht="15.75" thickBo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4" spans="1:25" ht="15.75" thickBo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row>
    <row r="355" spans="1:25" ht="15.75" thickBo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row>
    <row r="356" spans="1:25" ht="15.75" thickBo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row>
    <row r="357" spans="1:25" ht="15.75" thickBo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row>
    <row r="358" spans="1:25" ht="15.75" thickBo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row>
    <row r="359" spans="1:25" ht="15.75" thickBo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row>
    <row r="360" spans="1:25" ht="15.75" thickBo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row>
    <row r="361" spans="1:25" ht="15.75" thickBo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row>
    <row r="362" spans="1:25" ht="15.75" thickBo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row>
    <row r="363" spans="1:25" ht="15.75" thickBo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row>
    <row r="364" spans="1:25" ht="15.75" thickBo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row>
    <row r="365" spans="1:25" ht="15.75" thickBo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row>
    <row r="366" spans="1:25" ht="15.75" thickBo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row>
    <row r="367" spans="1:25" ht="15.75" thickBo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row>
    <row r="368" spans="1:25" ht="15.75" thickBo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row>
    <row r="369" spans="1:25" ht="15.75" thickBo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row>
    <row r="370" spans="1:25" ht="15.75" thickBo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row>
    <row r="371" spans="1:25" ht="15.75" thickBo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row>
    <row r="372" spans="1:25" ht="15.75" thickBo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row>
    <row r="373" spans="1:25" ht="15.75" thickBo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row>
    <row r="374" spans="1:25" ht="15.75" thickBo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row>
    <row r="375" spans="1:25" ht="15.75" thickBo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6" spans="1:25" ht="15.75" thickBo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row>
    <row r="377" spans="1:25" ht="15.75" thickBo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row>
    <row r="378" spans="1:25" ht="15.75" thickBo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row>
    <row r="379" spans="1:25" ht="15.75" thickBo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row>
    <row r="380" spans="1:25" ht="15.75" thickBo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row>
    <row r="381" spans="1:25" ht="15.75" thickBo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row>
    <row r="382" spans="1:25" ht="15.75" thickBo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row>
    <row r="383" spans="1:25" ht="15.75" thickBo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row>
    <row r="384" spans="1:25" ht="15.75" thickBo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row>
    <row r="385" spans="1:25" ht="15.75" thickBo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row>
    <row r="386" spans="1:25" ht="15.75" thickBo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row>
    <row r="387" spans="1:25" ht="15.75" thickBo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row>
    <row r="388" spans="1:25" ht="15.75" thickBo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row>
    <row r="389" spans="1:25" ht="15.75" thickBo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row>
    <row r="390" spans="1:25" ht="15.75" thickBo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row>
    <row r="391" spans="1:25" ht="15.75" thickBo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row>
    <row r="392" spans="1:25" ht="15.75" thickBo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row>
    <row r="393" spans="1:25" ht="15.75" thickBo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row>
    <row r="394" spans="1:25" ht="15.75" thickBo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row>
    <row r="395" spans="1:25" ht="15.75" thickBo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row>
    <row r="396" spans="1:25" ht="15.75" thickBo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row>
    <row r="397" spans="1:25" ht="15.75" thickBo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row>
    <row r="398" spans="1:25" ht="15.75" thickBo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row>
    <row r="399" spans="1:25" ht="15.75" thickBo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0" spans="1:25" ht="15.75" thickBo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row>
    <row r="401" spans="1:25" ht="15.75" thickBo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row>
    <row r="402" spans="1:25" ht="15.75" thickBo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row>
    <row r="403" spans="1:25" ht="15.75" thickBo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row>
    <row r="404" spans="1:25" ht="15.75" thickBo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row>
    <row r="405" spans="1:25" ht="15.75" thickBo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row>
    <row r="406" spans="1:25" ht="15.75" thickBo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row>
    <row r="407" spans="1:25" ht="15.75" thickBo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row>
    <row r="408" spans="1:25" ht="15.75" thickBo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row>
    <row r="409" spans="1:25" ht="15.75" thickBo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row>
    <row r="410" spans="1:25" ht="15.75" thickBo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row>
    <row r="411" spans="1:25" ht="15.75" thickBo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row>
    <row r="412" spans="1:25" ht="15.75" thickBo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row>
    <row r="413" spans="1:25" ht="15.75" thickBo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4" spans="1:25" ht="15.75" thickBo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row>
    <row r="415" spans="1:25" ht="15.75" thickBo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row>
    <row r="416" spans="1:25" ht="15.75" thickBo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row>
    <row r="417" spans="1:25" ht="15.75" thickBo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row>
    <row r="418" spans="1:25" ht="15.75" thickBo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row>
    <row r="419" spans="1:25" ht="15.75" thickBo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0" spans="1:25" ht="15.75" thickBo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row>
    <row r="421" spans="1:25" ht="15.75" thickBo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row>
    <row r="422" spans="1:25" ht="15.75" thickBo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row>
    <row r="423" spans="1:25" ht="15.75" thickBo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row>
    <row r="424" spans="1:25" ht="15.75" thickBo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row>
    <row r="425" spans="1:25" ht="15.75" thickBo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row>
    <row r="426" spans="1:25" ht="15.75" thickBo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row>
    <row r="427" spans="1:25" ht="15.75" thickBo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row>
    <row r="428" spans="1:25" ht="15.75" thickBo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row>
    <row r="429" spans="1:25" ht="15.75" thickBo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row>
    <row r="430" spans="1:25" ht="15.75" thickBo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row>
    <row r="431" spans="1:25" ht="15.75" thickBo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row>
    <row r="432" spans="1:25" ht="15.75" thickBo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row>
    <row r="433" spans="1:25" ht="15.75" thickBo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row>
    <row r="434" spans="1:25" ht="15.75" thickBo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row>
    <row r="435" spans="1:25" ht="15.75" thickBo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row>
    <row r="436" spans="1:25" ht="15.75" thickBo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row>
    <row r="437" spans="1:25" ht="15.75" thickBo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row>
    <row r="438" spans="1:25" ht="15.75" thickBo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row>
    <row r="439" spans="1:25" ht="15.75" thickBo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row>
    <row r="440" spans="1:25" ht="15.75" thickBo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row>
    <row r="441" spans="1:25" ht="15.75" thickBo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row>
    <row r="442" spans="1:25" ht="15.75" thickBo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row>
    <row r="443" spans="1:25" ht="15.75" thickBo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4" spans="1:25" ht="15.75" thickBo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row>
    <row r="445" spans="1:25" ht="15.75" thickBo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row>
    <row r="446" spans="1:25" ht="15.75" thickBo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row>
    <row r="447" spans="1:25" ht="15.75" thickBo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row>
    <row r="448" spans="1:25" ht="15.75" thickBo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row>
    <row r="449" spans="1:25" ht="15.75" thickBo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row>
    <row r="450" spans="1:25" ht="15.75" thickBo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row>
    <row r="451" spans="1:25" ht="15.75" thickBo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row>
    <row r="452" spans="1:25" ht="15.75" thickBo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row>
    <row r="453" spans="1:25" ht="15.75" thickBo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row>
    <row r="454" spans="1:25" ht="15.75" thickBo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row>
    <row r="455" spans="1:25" ht="15.75" thickBo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row>
    <row r="456" spans="1:25" ht="15.75" thickBo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row>
    <row r="457" spans="1:25" ht="15.75" thickBo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row>
    <row r="458" spans="1:25" ht="15.75" thickBo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row>
    <row r="459" spans="1:25" ht="15.75" thickBo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row>
    <row r="460" spans="1:25" ht="15.75" thickBo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row>
    <row r="461" spans="1:25" ht="15.75" thickBo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row>
    <row r="462" spans="1:25" ht="15.75" thickBo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row>
    <row r="463" spans="1:25" ht="15.75" thickBo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row>
    <row r="464" spans="1:25" ht="15.75" thickBo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row>
    <row r="465" spans="1:25" ht="15.75" thickBo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row>
    <row r="466" spans="1:25" ht="15.75" thickBo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row>
    <row r="467" spans="1:25" ht="15.75" thickBo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row>
    <row r="468" spans="1:25" ht="15.75" thickBo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row>
    <row r="469" spans="1:25" ht="15.75" thickBo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row>
    <row r="470" spans="1:25" ht="15.75" thickBo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row>
    <row r="471" spans="1:25" ht="15.75" thickBo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row>
    <row r="472" spans="1:25" ht="15.75" thickBo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row>
    <row r="473" spans="1:25" ht="15.75" thickBo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row>
    <row r="474" spans="1:25" ht="15.75" thickBo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row>
    <row r="475" spans="1:25" ht="15.75" thickBo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row>
    <row r="476" spans="1:25" ht="15.75" thickBo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row>
    <row r="477" spans="1:25" ht="15.75" thickBo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row>
    <row r="478" spans="1:25" ht="15.75" thickBo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row>
    <row r="479" spans="1:25" ht="15.75" thickBo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row>
    <row r="480" spans="1:25" ht="15.75" thickBo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row>
    <row r="481" spans="1:25" ht="15.75" thickBo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row>
    <row r="482" spans="1:25" ht="15.75" thickBo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row>
    <row r="483" spans="1:25" ht="15.75" thickBo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row>
    <row r="484" spans="1:25" ht="15.75" thickBo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row>
    <row r="485" spans="1:25" ht="15.75" thickBo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row>
    <row r="486" spans="1:25" ht="15.75" thickBo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row>
    <row r="487" spans="1:25" ht="15.75" thickBo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row>
    <row r="488" spans="1:25" ht="15.75" thickBo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row>
    <row r="489" spans="1:25" ht="15.75" thickBo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row>
    <row r="490" spans="1:25" ht="15.75" thickBo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row>
    <row r="491" spans="1:25" ht="15.75" thickBo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row>
    <row r="492" spans="1:25" ht="15.75" thickBo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row>
    <row r="493" spans="1:25" ht="15.75" thickBo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row>
    <row r="494" spans="1:25" ht="15.75" thickBo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row>
    <row r="495" spans="1:25" ht="15.75" thickBo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row>
    <row r="496" spans="1:25" ht="15.75" thickBo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row>
    <row r="497" spans="1:25" ht="15.75" thickBo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row>
    <row r="498" spans="1:25" ht="15.75" thickBo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row>
    <row r="499" spans="1:25" ht="15.75" thickBo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row>
    <row r="500" spans="1:25" ht="15.75" thickBo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row>
    <row r="501" spans="1:25" ht="15.75" thickBo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row>
    <row r="502" spans="1:25" ht="15.75" thickBo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row>
    <row r="503" spans="1:25" ht="15.75" thickBo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row>
    <row r="504" spans="1:25" ht="15.75" thickBo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row>
    <row r="505" spans="1:25" ht="15.75" thickBo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row>
    <row r="506" spans="1:25" ht="15.75" thickBo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row>
    <row r="507" spans="1:25" ht="15.75" thickBo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row>
    <row r="508" spans="1:25" ht="15.75" thickBo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row>
    <row r="509" spans="1:25" ht="15.75" thickBo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row>
    <row r="510" spans="1:25" ht="15.75" thickBo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row>
    <row r="511" spans="1:25" ht="15.75" thickBo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row>
    <row r="512" spans="1:25" ht="15.75" thickBo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row>
    <row r="513" spans="1:25" ht="15.75" thickBo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row>
    <row r="514" spans="1:25" ht="15.75" thickBo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row>
    <row r="515" spans="1:25" ht="15.75" thickBo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row>
    <row r="516" spans="1:25" ht="15.75" thickBo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row>
    <row r="517" spans="1:25" ht="15.75" thickBo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row>
    <row r="518" spans="1:25" ht="15.75" thickBo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row>
    <row r="519" spans="1:25" ht="15.75" thickBo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row>
    <row r="520" spans="1:25" ht="15.75" thickBo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row>
    <row r="521" spans="1:25" ht="15.75" thickBo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row>
    <row r="522" spans="1:25" ht="15.75" thickBo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row>
    <row r="523" spans="1:25" ht="15.75" thickBo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row>
    <row r="524" spans="1:25" ht="15.75" thickBo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row>
    <row r="525" spans="1:25" ht="15.75" thickBo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row>
    <row r="526" spans="1:25" ht="15.75" thickBo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row>
    <row r="527" spans="1:25" ht="15.75" thickBo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row>
    <row r="528" spans="1:25" ht="15.75" thickBo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row>
    <row r="529" spans="1:25" ht="15.75" thickBo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row>
    <row r="530" spans="1:25" ht="15.75" thickBo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row>
    <row r="531" spans="1:25" ht="15.75" thickBo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row>
    <row r="532" spans="1:25" ht="15.75" thickBo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row>
    <row r="533" spans="1:25" ht="15.75" thickBo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row>
    <row r="534" spans="1:25" ht="15.75" thickBo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row>
    <row r="535" spans="1:25" ht="15.75" thickBo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row>
    <row r="536" spans="1:25" ht="15.75" thickBo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row>
    <row r="537" spans="1:25" ht="15.75" thickBo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row>
    <row r="538" spans="1:25" ht="15.75" thickBo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row>
    <row r="539" spans="1:25" ht="15.75" thickBo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row>
    <row r="540" spans="1:25" ht="15.75" thickBo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row>
    <row r="541" spans="1:25" ht="15.75" thickBo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row>
    <row r="542" spans="1:25" ht="15.75" thickBo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row>
    <row r="543" spans="1:25" ht="15.75" thickBo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row>
    <row r="544" spans="1:25" ht="15.75" thickBo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row>
    <row r="545" spans="1:25" ht="15.75" thickBo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row>
    <row r="546" spans="1:25" ht="15.75" thickBo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row>
    <row r="547" spans="1:25" ht="15.75" thickBo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row>
    <row r="548" spans="1:25" ht="15.75" thickBo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row>
    <row r="549" spans="1:25" ht="15.75" thickBo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row>
    <row r="550" spans="1:25" ht="15.75" thickBo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row>
    <row r="551" spans="1:25" ht="15.75" thickBo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row>
    <row r="552" spans="1:25" ht="15.75" thickBo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row>
    <row r="553" spans="1:25" ht="15.75" thickBo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row>
    <row r="554" spans="1:25" ht="15.75" thickBo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row>
    <row r="555" spans="1:25" ht="15.75" thickBo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row>
    <row r="556" spans="1:25" ht="15.75" thickBo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row>
    <row r="557" spans="1:25" ht="15.75" thickBo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row>
    <row r="558" spans="1:25" ht="15.75" thickBo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row>
    <row r="559" spans="1:25" ht="15.75" thickBo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row>
    <row r="560" spans="1:25" ht="15.75" thickBo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row>
    <row r="561" spans="1:25" ht="15.75" thickBo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row>
    <row r="562" spans="1:25" ht="15.75" thickBo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row>
    <row r="563" spans="1:25" ht="15.75" thickBo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row>
    <row r="564" spans="1:25" ht="15.75" thickBo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row>
    <row r="565" spans="1:25" ht="15.75" thickBo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row>
    <row r="566" spans="1:25" ht="15.75" thickBo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row>
    <row r="567" spans="1:25" ht="15.75" thickBo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row>
    <row r="568" spans="1:25" ht="15.75" thickBo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row>
    <row r="569" spans="1:25" ht="15.75" thickBo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row>
    <row r="570" spans="1:25" ht="15.75" thickBo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row>
    <row r="571" spans="1:25" ht="15.75" thickBo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row>
    <row r="572" spans="1:25" ht="15.75" thickBo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row>
    <row r="573" spans="1:25" ht="15.75" thickBo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row>
    <row r="574" spans="1:25" ht="15.75" thickBo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row>
    <row r="575" spans="1:25" ht="15.75" thickBo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row>
    <row r="576" spans="1:25" ht="15.75" thickBo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row>
    <row r="577" spans="1:25" ht="15.75" thickBo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row>
    <row r="578" spans="1:25" ht="15.75" thickBo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row>
    <row r="579" spans="1:25" ht="15.75" thickBo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row>
    <row r="580" spans="1:25" ht="15.75" thickBo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row>
    <row r="581" spans="1:25" ht="15.75" thickBo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row>
    <row r="582" spans="1:25" ht="15.75" thickBo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row>
    <row r="583" spans="1:25" ht="15.75" thickBo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row>
    <row r="584" spans="1:25" ht="15.75" thickBo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row>
    <row r="585" spans="1:25" ht="15.75" thickBo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row>
    <row r="586" spans="1:25" ht="15.75" thickBo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row>
    <row r="587" spans="1:25" ht="15.75" thickBo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row>
    <row r="588" spans="1:25" ht="15.75" thickBo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row>
    <row r="589" spans="1:25" ht="15.75" thickBo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row>
    <row r="590" spans="1:25" ht="15.75" thickBo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row>
    <row r="591" spans="1:25" ht="15.75" thickBo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row>
    <row r="592" spans="1:25" ht="15.75" thickBo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row>
    <row r="593" spans="1:25" ht="15.75" thickBo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row>
    <row r="594" spans="1:25" ht="15.75" thickBo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row>
    <row r="595" spans="1:25" ht="15.75" thickBo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row>
    <row r="596" spans="1:25" ht="15.75" thickBo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row>
    <row r="597" spans="1:25" ht="15.75" thickBo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row>
    <row r="598" spans="1:25" ht="15.75" thickBo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row>
    <row r="599" spans="1:25" ht="15.75" thickBo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row>
    <row r="600" spans="1:25" ht="15.75" thickBo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row>
    <row r="601" spans="1:25" ht="15.75" thickBo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row>
    <row r="602" spans="1:25" ht="15.75" thickBo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row>
    <row r="603" spans="1:25" ht="15.75" thickBo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row>
    <row r="604" spans="1:25" ht="15.75" thickBo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row>
    <row r="605" spans="1:25" ht="15.75" thickBo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row>
    <row r="606" spans="1:25" ht="15.75" thickBo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row>
    <row r="607" spans="1:25" ht="15.75" thickBo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row>
    <row r="608" spans="1:25" ht="15.75" thickBo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row>
    <row r="609" spans="1:25" ht="15.75" thickBo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row>
    <row r="610" spans="1:25" ht="15.75" thickBo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row>
    <row r="611" spans="1:25" ht="15.75" thickBo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row>
    <row r="612" spans="1:25" ht="15.75" thickBo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row>
    <row r="613" spans="1:25" ht="15.75" thickBo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row>
    <row r="614" spans="1:25" ht="15.75" thickBo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row>
    <row r="615" spans="1:25" ht="15.75" thickBo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row>
    <row r="616" spans="1:25" ht="15.75" thickBo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row>
    <row r="617" spans="1:25" ht="15.75" thickBo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row>
    <row r="618" spans="1:25" ht="15.75" thickBo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row>
    <row r="619" spans="1:25" ht="15.75" thickBo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row>
    <row r="620" spans="1:25" ht="15.75" thickBo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row>
    <row r="621" spans="1:25" ht="15.75" thickBo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row>
    <row r="622" spans="1:25" ht="15.75" thickBo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row>
    <row r="623" spans="1:25" ht="15.75" thickBo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row>
    <row r="624" spans="1:25" ht="15.75" thickBo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row>
    <row r="625" spans="1:25" ht="15.75" thickBo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row>
    <row r="626" spans="1:25" ht="15.75" thickBo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row>
    <row r="627" spans="1:25" ht="15.75" thickBo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row>
    <row r="628" spans="1:25" ht="15.75" thickBo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row>
    <row r="629" spans="1:25" ht="15.75" thickBo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row>
    <row r="630" spans="1:25" ht="15.75" thickBo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row>
    <row r="631" spans="1:25" ht="15.75" thickBo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row>
    <row r="632" spans="1:25" ht="15.75" thickBo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row>
    <row r="633" spans="1:25" ht="15.75" thickBo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row>
    <row r="634" spans="1:25" ht="15.75" thickBo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row>
    <row r="635" spans="1:25" ht="15.75" thickBo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row>
    <row r="636" spans="1:25" ht="15.75" thickBo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row>
    <row r="637" spans="1:25" ht="15.75" thickBo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row>
    <row r="638" spans="1:25" ht="15.75" thickBo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row>
    <row r="639" spans="1:25" ht="15.75" thickBo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row>
    <row r="640" spans="1:25" ht="15.75" thickBo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row>
    <row r="641" spans="1:25" ht="15.75" thickBo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row>
    <row r="642" spans="1:25" ht="15.75" thickBo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row>
    <row r="643" spans="1:25" ht="15.75" thickBo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row>
    <row r="644" spans="1:25" ht="15.75" thickBo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row>
    <row r="645" spans="1:25" ht="15.75" thickBo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row>
    <row r="646" spans="1:25" ht="15.75" thickBo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row>
    <row r="647" spans="1:25" ht="15.75" thickBo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row>
    <row r="648" spans="1:25" ht="15.75" thickBo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row>
    <row r="649" spans="1:25" ht="15.75" thickBo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row>
    <row r="650" spans="1:25" ht="15.75" thickBo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row>
    <row r="651" spans="1:25" ht="15.75" thickBo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row>
    <row r="652" spans="1:25" ht="15.75" thickBo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row>
    <row r="653" spans="1:25" ht="15.75" thickBo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row>
    <row r="654" spans="1:25" ht="15.75" thickBo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row>
    <row r="655" spans="1:25" ht="15.75" thickBo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row>
    <row r="656" spans="1:25" ht="15.75" thickBo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row>
    <row r="657" spans="1:25" ht="15.75" thickBo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row>
    <row r="658" spans="1:25" ht="15.75" thickBo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row>
    <row r="659" spans="1:25" ht="15.75" thickBo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row>
    <row r="660" spans="1:25" ht="15.75" thickBo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row>
    <row r="661" spans="1:25" ht="15.75" thickBo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row>
    <row r="662" spans="1:25" ht="15.75" thickBo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row>
    <row r="663" spans="1:25" ht="15.75" thickBo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row>
    <row r="664" spans="1:25" ht="15.75" thickBo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row>
    <row r="665" spans="1:25" ht="15.75" thickBo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row>
    <row r="666" spans="1:25" ht="15.75" thickBo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row>
    <row r="667" spans="1:25" ht="15.75" thickBo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row>
    <row r="668" spans="1:25" ht="15.75" thickBo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row>
    <row r="669" spans="1:25" ht="15.75" thickBo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row>
    <row r="670" spans="1:25" ht="15.75" thickBo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row>
    <row r="671" spans="1:25" ht="15.75" thickBo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row>
    <row r="672" spans="1:25" ht="15.75" thickBo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row>
    <row r="673" spans="1:25" ht="15.75" thickBo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row>
    <row r="674" spans="1:25" ht="15.75" thickBo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row>
    <row r="675" spans="1:25" ht="15.75" thickBo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row>
    <row r="676" spans="1:25" ht="15.75" thickBo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row>
    <row r="677" spans="1:25" ht="15.75" thickBo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row>
    <row r="678" spans="1:25" ht="15.75" thickBo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row>
    <row r="679" spans="1:25" ht="15.75" thickBo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row>
    <row r="680" spans="1:25" ht="15.75" thickBo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row>
    <row r="681" spans="1:25" ht="15.75" thickBo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row>
    <row r="682" spans="1:25" ht="15.75" thickBo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row>
    <row r="683" spans="1:25" ht="15.75" thickBo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row>
    <row r="684" spans="1:25" ht="15.75" thickBo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row>
    <row r="685" spans="1:25" ht="15.75" thickBo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row>
    <row r="686" spans="1:25" ht="15.75" thickBo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row>
    <row r="687" spans="1:25" ht="15.75" thickBo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row>
    <row r="688" spans="1:25" ht="15.75" thickBo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row>
    <row r="689" spans="1:25" ht="15.75" thickBo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row>
    <row r="690" spans="1:25" ht="15.75" thickBo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row>
    <row r="691" spans="1:25" ht="15.75" thickBo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row>
    <row r="692" spans="1:25" ht="15.75" thickBo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row>
    <row r="693" spans="1:25" ht="15.75" thickBo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row>
    <row r="694" spans="1:25" ht="15.75" thickBo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row>
    <row r="695" spans="1:25" ht="15.75" thickBo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row>
    <row r="696" spans="1:25" ht="15.75" thickBo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row>
    <row r="697" spans="1:25" ht="15.75" thickBo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row>
    <row r="698" spans="1:25" ht="15.75" thickBo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row>
    <row r="699" spans="1:25" ht="15.75" thickBo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row>
    <row r="700" spans="1:25" ht="15.75" thickBo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row>
    <row r="701" spans="1:25" ht="15.75" thickBo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row>
    <row r="702" spans="1:25" ht="15.75" thickBo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row>
    <row r="703" spans="1:25" ht="15.75" thickBo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row>
    <row r="704" spans="1:25" ht="15.75" thickBo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row>
    <row r="705" spans="1:25" ht="15.75" thickBo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row>
    <row r="706" spans="1:25" ht="15.75" thickBo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row>
    <row r="707" spans="1:25" ht="15.75" thickBo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row>
    <row r="708" spans="1:25" ht="15.75" thickBo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row>
    <row r="709" spans="1:25" ht="15.75" thickBo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row>
    <row r="710" spans="1:25" ht="15.75" thickBo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row>
    <row r="711" spans="1:25" ht="15.75" thickBo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row>
    <row r="712" spans="1:25" ht="15.75" thickBo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row>
    <row r="713" spans="1:25" ht="15.75" thickBo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row>
    <row r="714" spans="1:25" ht="15.75" thickBo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row>
    <row r="715" spans="1:25" ht="15.75" thickBo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row>
    <row r="716" spans="1:25" ht="15.75" thickBo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row>
    <row r="717" spans="1:25" ht="15.75" thickBo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row>
    <row r="718" spans="1:25" ht="15.75" thickBo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row>
    <row r="719" spans="1:25" ht="15.75" thickBo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row>
    <row r="720" spans="1:25" ht="15.75" thickBo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row>
    <row r="721" spans="1:25" ht="15.75" thickBo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row>
    <row r="722" spans="1:25" ht="15.75" thickBo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row>
    <row r="723" spans="1:25" ht="15.75" thickBo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row>
    <row r="724" spans="1:25" ht="15.75" thickBo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row>
    <row r="725" spans="1:25" ht="15.75" thickBo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row>
    <row r="726" spans="1:25" ht="15.75" thickBo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row>
    <row r="727" spans="1:25" ht="15.75" thickBo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row>
    <row r="728" spans="1:25" ht="15.75" thickBo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row>
    <row r="729" spans="1:25" ht="15.75" thickBo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row>
    <row r="730" spans="1:25" ht="15.75" thickBo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row>
    <row r="731" spans="1:25" ht="15.75" thickBo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row>
    <row r="732" spans="1:25" ht="15.75" thickBo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row>
    <row r="733" spans="1:25" ht="15.75" thickBo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row>
    <row r="734" spans="1:25" ht="15.75" thickBo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row>
    <row r="735" spans="1:25" ht="15.75" thickBo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row>
    <row r="736" spans="1:25" ht="15.75" thickBo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row>
    <row r="737" spans="1:25" ht="15.75" thickBo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row>
    <row r="738" spans="1:25" ht="15.75" thickBo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row>
    <row r="739" spans="1:25" ht="15.75" thickBo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row>
    <row r="740" spans="1:25" ht="15.75" thickBo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row>
    <row r="741" spans="1:25" ht="15.75" thickBo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row>
    <row r="742" spans="1:25" ht="15.75" thickBo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row>
    <row r="743" spans="1:25" ht="15.75" thickBo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row>
    <row r="744" spans="1:25" ht="15.75" thickBo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row>
    <row r="745" spans="1:25" ht="15.75" thickBo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row>
    <row r="746" spans="1:25" ht="15.75" thickBo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row>
    <row r="747" spans="1:25" ht="15.75" thickBo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row>
    <row r="748" spans="1:25" ht="15.75" thickBo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row>
    <row r="749" spans="1:25" ht="15.75" thickBo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row>
    <row r="750" spans="1:25" ht="15.75" thickBo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row>
    <row r="751" spans="1:25" ht="15.75" thickBo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row>
    <row r="752" spans="1:25" ht="15.75" thickBo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row>
    <row r="753" spans="1:25" ht="15.75" thickBo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row>
    <row r="754" spans="1:25" ht="15.75" thickBo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row>
    <row r="755" spans="1:25" ht="15.75" thickBo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row>
    <row r="756" spans="1:25" ht="15.75" thickBo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row>
    <row r="757" spans="1:25" ht="15.75" thickBo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row>
    <row r="758" spans="1:25" ht="15.75" thickBo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row>
    <row r="759" spans="1:25" ht="15.75" thickBo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row>
    <row r="760" spans="1:25" ht="15.75" thickBo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row>
    <row r="761" spans="1:25" ht="15.75" thickBo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row>
    <row r="762" spans="1:25" ht="15.75" thickBo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row>
    <row r="763" spans="1:25" ht="15.75" thickBo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row>
    <row r="764" spans="1:25" ht="15.75" thickBo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row>
    <row r="765" spans="1:25" ht="15.75" thickBo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row>
    <row r="766" spans="1:25" ht="15.75" thickBo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row>
    <row r="767" spans="1:25" ht="15.75" thickBo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row>
    <row r="768" spans="1:25" ht="15.75" thickBo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row>
    <row r="769" spans="1:25" ht="15.75" thickBo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row>
    <row r="770" spans="1:25" ht="15.75" thickBo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row>
    <row r="771" spans="1:25" ht="15.75" thickBo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row>
    <row r="772" spans="1:25" ht="15.75" thickBo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row>
    <row r="773" spans="1:25" ht="15.75" thickBo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row>
    <row r="774" spans="1:25" ht="15.75" thickBo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row>
    <row r="775" spans="1:25" ht="15.75" thickBo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row>
    <row r="776" spans="1:25" ht="15.75" thickBo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row>
    <row r="777" spans="1:25" ht="15.75" thickBo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row>
    <row r="778" spans="1:25" ht="15.75" thickBo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row>
    <row r="779" spans="1:25" ht="15.75" thickBo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row>
    <row r="780" spans="1:25" ht="15.75" thickBo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row>
    <row r="781" spans="1:25" ht="15.75" thickBo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row>
    <row r="782" spans="1:25" ht="15.75" thickBo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row>
    <row r="783" spans="1:25" ht="15.75" thickBo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row>
    <row r="784" spans="1:25" ht="15.75" thickBo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row>
    <row r="785" spans="1:25" ht="15.75" thickBo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row>
    <row r="786" spans="1:25" ht="15.75" thickBo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row>
    <row r="787" spans="1:25" ht="15.75" thickBo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row>
    <row r="788" spans="1:25" ht="15.75" thickBo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row>
    <row r="789" spans="1:25" ht="15.75" thickBo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row>
    <row r="790" spans="1:25" ht="15.75" thickBo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row>
    <row r="791" spans="1:25" ht="15.75" thickBo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row>
    <row r="792" spans="1:25" ht="15.75" thickBo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row>
    <row r="793" spans="1:25" ht="15.75" thickBo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row>
    <row r="794" spans="1:25" ht="15.75" thickBo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row>
    <row r="795" spans="1:25" ht="15.75" thickBo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row>
    <row r="796" spans="1:25" ht="15.75" thickBo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row>
    <row r="797" spans="1:25" ht="15.75" thickBo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row>
    <row r="798" spans="1:25" ht="15.75" thickBo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row>
    <row r="799" spans="1:25" ht="15.75" thickBo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row>
    <row r="800" spans="1:25" ht="15.75" thickBo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row>
    <row r="801" spans="1:25" ht="15.75" thickBo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row>
    <row r="802" spans="1:25" ht="15.75" thickBo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row>
    <row r="803" spans="1:25" ht="15.75" thickBo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row>
    <row r="804" spans="1:25" ht="15.75" thickBo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row>
    <row r="805" spans="1:25" ht="15.75" thickBo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row>
    <row r="806" spans="1:25" ht="15.75" thickBo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row>
    <row r="807" spans="1:25" ht="15.75" thickBo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row>
    <row r="808" spans="1:25" ht="15.75" thickBo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row>
    <row r="809" spans="1:25" ht="15.75" thickBo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row>
    <row r="810" spans="1:25" ht="15.75" thickBo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row>
    <row r="811" spans="1:25" ht="15.75" thickBo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row>
    <row r="812" spans="1:25" ht="15.75" thickBo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row>
    <row r="813" spans="1:25" ht="15.75" thickBo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row>
    <row r="814" spans="1:25" ht="15.75" thickBo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row>
    <row r="815" spans="1:25" ht="15.75" thickBo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row>
    <row r="816" spans="1:25" ht="15.75" thickBo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row>
    <row r="817" spans="1:25" ht="15.75" thickBo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row>
    <row r="818" spans="1:25" ht="15.75" thickBo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row>
    <row r="819" spans="1:25" ht="15.75" thickBo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row>
    <row r="820" spans="1:25" ht="15.75" thickBo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row>
    <row r="821" spans="1:25" ht="15.75" thickBo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row>
    <row r="822" spans="1:25" ht="15.75" thickBo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row>
    <row r="823" spans="1:25" ht="15.75" thickBo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row>
    <row r="824" spans="1:25" ht="15.75" thickBo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row>
    <row r="825" spans="1:25" ht="15.75" thickBo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row>
    <row r="826" spans="1:25" ht="15.75" thickBo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row>
    <row r="827" spans="1:25" ht="15.75" thickBo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row>
    <row r="828" spans="1:25" ht="15.75" thickBo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row>
    <row r="829" spans="1:25" ht="15.75" thickBo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row>
    <row r="830" spans="1:25" ht="15.75" thickBo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row>
    <row r="831" spans="1:25" ht="15.75" thickBo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row>
    <row r="832" spans="1:25" ht="15.75" thickBo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row>
    <row r="833" spans="1:25" ht="15.75" thickBo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row>
    <row r="834" spans="1:25" ht="15.75" thickBo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row>
    <row r="835" spans="1:25" ht="15.75" thickBo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row>
    <row r="836" spans="1:25" ht="15.75" thickBo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row>
    <row r="837" spans="1:25" ht="15.75" thickBo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row>
    <row r="838" spans="1:25" ht="15.75" thickBo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row>
    <row r="839" spans="1:25" ht="15.75" thickBo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row>
    <row r="840" spans="1:25" ht="15.75" thickBo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row>
    <row r="841" spans="1:25" ht="15.75" thickBo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row>
    <row r="842" spans="1:25" ht="15.75" thickBo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row>
    <row r="843" spans="1:25" ht="15.75" thickBo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row>
    <row r="844" spans="1:25" ht="15.75" thickBo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row>
    <row r="845" spans="1:25" ht="15.75" thickBo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row>
    <row r="846" spans="1:25" ht="15.75" thickBo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row>
    <row r="847" spans="1:25" ht="15.75" thickBo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row>
    <row r="848" spans="1:25" ht="15.75" thickBo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row>
    <row r="849" spans="1:25" ht="15.75" thickBo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row>
    <row r="850" spans="1:25" ht="15.75" thickBo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row>
    <row r="851" spans="1:25" ht="15.75" thickBo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row>
    <row r="852" spans="1:25" ht="15.75" thickBo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row>
    <row r="853" spans="1:25" ht="15.75" thickBo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row>
    <row r="854" spans="1:25" ht="15.75" thickBo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row>
    <row r="855" spans="1:25" ht="15.75" thickBo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row>
    <row r="856" spans="1:25" ht="15.75" thickBo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row>
    <row r="857" spans="1:25" ht="15.75" thickBo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row>
    <row r="858" spans="1:25" ht="15.75" thickBo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row>
    <row r="859" spans="1:25" ht="15.75" thickBo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row>
    <row r="860" spans="1:25" ht="15.75" thickBo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row>
    <row r="861" spans="1:25" ht="15.75" thickBo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row>
    <row r="862" spans="1:25" ht="15.75" thickBo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row>
    <row r="863" spans="1:25" ht="15.75" thickBo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row>
    <row r="864" spans="1:25" ht="15.75" thickBo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row>
    <row r="865" spans="1:25" ht="15.75" thickBo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row>
    <row r="866" spans="1:25" ht="15.75" thickBo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row>
    <row r="867" spans="1:25" ht="15.75" thickBo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row>
    <row r="868" spans="1:25" ht="15.75" thickBo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row>
    <row r="869" spans="1:25" ht="15.75" thickBo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row>
    <row r="870" spans="1:25" ht="15.75" thickBo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row>
    <row r="871" spans="1:25" ht="15.75" thickBo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row>
    <row r="872" spans="1:25" ht="15.75" thickBo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row>
    <row r="873" spans="1:25" ht="15.75" thickBo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row>
    <row r="874" spans="1:25" ht="15.75" thickBo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row>
    <row r="875" spans="1:25" ht="15.75" thickBo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row>
    <row r="876" spans="1:25" ht="15.75" thickBo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row>
    <row r="877" spans="1:25" ht="15.75" thickBo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row>
    <row r="878" spans="1:25" ht="15.75" thickBo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row>
    <row r="879" spans="1:25" ht="15.75" thickBo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row>
    <row r="880" spans="1:25" ht="15.75" thickBo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row>
    <row r="881" spans="1:25" ht="15.75" thickBo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row>
    <row r="882" spans="1:25" ht="15.75" thickBo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row>
    <row r="883" spans="1:25" ht="15.75" thickBo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row>
    <row r="884" spans="1:25" ht="15.75" thickBo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row>
    <row r="885" spans="1:25" ht="15.75" thickBo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row>
    <row r="886" spans="1:25" ht="15.75" thickBo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row>
    <row r="887" spans="1:25" ht="15.75" thickBo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row>
    <row r="888" spans="1:25" ht="15.75" thickBo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row>
    <row r="889" spans="1:25" ht="15.75" thickBo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row>
    <row r="890" spans="1:25" ht="15.75" thickBo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row>
    <row r="891" spans="1:25" ht="15.75" thickBo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row>
    <row r="892" spans="1:25" ht="15.75" thickBo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row>
    <row r="893" spans="1:25" ht="15.75" thickBo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row>
    <row r="894" spans="1:25" ht="15.75" thickBo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row>
    <row r="895" spans="1:25" ht="15.75" thickBo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row>
    <row r="896" spans="1:25" ht="15.75" thickBo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row>
    <row r="897" spans="1:25" ht="15.75" thickBo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row>
    <row r="898" spans="1:25" ht="15.75" thickBo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row>
    <row r="899" spans="1:25" ht="15.75" thickBo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row>
    <row r="900" spans="1:25" ht="15.75" thickBo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row>
    <row r="901" spans="1:25" ht="15.75" thickBo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row>
    <row r="902" spans="1:25" ht="15.75" thickBo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row>
    <row r="903" spans="1:25" ht="15.75" thickBo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row>
    <row r="904" spans="1:25" ht="15.75" thickBo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row>
    <row r="905" spans="1:25" ht="15.75" thickBo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row>
    <row r="906" spans="1:25" ht="15.75" thickBo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row>
    <row r="907" spans="1:25" ht="15.75" thickBo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row>
    <row r="908" spans="1:25" ht="15.75" thickBo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row>
    <row r="909" spans="1:25" ht="15.75" thickBo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row>
    <row r="910" spans="1:25" ht="15.75" thickBo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row>
    <row r="911" spans="1:25" ht="15.75" thickBo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row>
    <row r="912" spans="1:25" ht="15.75" thickBo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row>
    <row r="913" spans="1:25" ht="15.75" thickBo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row>
    <row r="914" spans="1:25" ht="15.75" thickBo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row>
    <row r="915" spans="1:25" ht="15.75" thickBo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row>
    <row r="916" spans="1:25" ht="15.75" thickBo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row>
    <row r="917" spans="1:25" ht="15.75" thickBo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row>
    <row r="918" spans="1:25" ht="15.75" thickBo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row>
    <row r="919" spans="1:25" ht="15.75" thickBo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row>
    <row r="920" spans="1:25" ht="15.75" thickBo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row>
    <row r="921" spans="1:25" ht="15.75" thickBo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row>
    <row r="922" spans="1:25" ht="15.75" thickBo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row>
    <row r="923" spans="1:25" ht="15.75" thickBo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row>
    <row r="924" spans="1:25" ht="15.75" thickBo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row>
    <row r="925" spans="1:25" ht="15.75" thickBo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row>
    <row r="926" spans="1:25" ht="15.75" thickBo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row>
    <row r="927" spans="1:25" ht="15.75" thickBo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row>
    <row r="928" spans="1:25" ht="15.75" thickBo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row>
    <row r="929" spans="1:25" ht="15.75" thickBo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row>
    <row r="930" spans="1:25" ht="15.75" thickBo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row>
    <row r="931" spans="1:25" ht="15.75" thickBo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row>
    <row r="932" spans="1:25" ht="15.75" thickBo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row>
    <row r="933" spans="1:25" ht="15.75" thickBo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row>
    <row r="934" spans="1:25" ht="15.75" thickBo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row>
    <row r="935" spans="1:25" ht="15.75" thickBo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row>
    <row r="936" spans="1:25" ht="15.75" thickBo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row>
    <row r="937" spans="1:25" ht="15.75" thickBo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row>
    <row r="938" spans="1:25" ht="15.75" thickBo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row>
    <row r="939" spans="1:25" ht="15.75" thickBo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row>
    <row r="940" spans="1:25" ht="15.75" thickBo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row>
    <row r="941" spans="1:25" ht="15.75" thickBo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row>
    <row r="942" spans="1:25" ht="15.75" thickBo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row>
    <row r="943" spans="1:25" ht="15.75" thickBo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row>
    <row r="944" spans="1:25" ht="15.75" thickBo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row>
    <row r="945" spans="1:25" ht="15.75" thickBo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row>
    <row r="946" spans="1:25" ht="15.75" thickBo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row>
    <row r="947" spans="1:25" ht="15.75" thickBo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row>
    <row r="948" spans="1:25" ht="15.75" thickBo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row>
    <row r="949" spans="1:25" ht="15.75" thickBo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row>
    <row r="950" spans="1:25" ht="15.75" thickBo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row>
    <row r="951" spans="1:25" ht="15.75" thickBo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row>
    <row r="952" spans="1:25" ht="15.75" thickBo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row>
    <row r="953" spans="1:25" ht="15.75" thickBo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row>
    <row r="954" spans="1:25" ht="15.75" thickBo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row>
    <row r="955" spans="1:25" ht="15.75" thickBo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row>
    <row r="956" spans="1:25" ht="15.75" thickBo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row>
    <row r="957" spans="1:25" ht="15.75" thickBo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row>
    <row r="958" spans="1:25" ht="15.75" thickBo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row>
    <row r="959" spans="1:25" ht="15.75" thickBo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row>
    <row r="960" spans="1:25" ht="15.75" thickBo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row>
    <row r="961" spans="1:25" ht="15.75" thickBo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row>
    <row r="962" spans="1:25" ht="15.75" thickBo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row>
    <row r="963" spans="1:25" ht="15.75" thickBo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row>
    <row r="964" spans="1:25" ht="15.75" thickBo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row>
    <row r="965" spans="1:25" ht="15.75" thickBo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row>
    <row r="966" spans="1:25" ht="15.75" thickBo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row>
    <row r="967" spans="1:25" ht="15.75" thickBo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row>
    <row r="968" spans="1:25" ht="15.75" thickBo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row>
    <row r="969" spans="1:25" ht="15.75" thickBo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row>
    <row r="970" spans="1:25" ht="15.75" thickBo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row>
    <row r="971" spans="1:25" ht="15.75" thickBo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row>
    <row r="972" spans="1:25" ht="15.75" thickBo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row>
    <row r="973" spans="1:25" ht="15.75" thickBo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row>
    <row r="974" spans="1:25" ht="15.75" thickBo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row>
    <row r="975" spans="1:25" ht="15.75" thickBo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row>
    <row r="976" spans="1:25" ht="15.75" thickBo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row>
    <row r="977" spans="1:25" ht="15.75" thickBo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row>
    <row r="978" spans="1:25" ht="15.75" thickBo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row>
    <row r="979" spans="1:25" ht="15.75" thickBo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row>
    <row r="980" spans="1:25" ht="15.75" thickBo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row>
  </sheetData>
  <sortState xmlns:xlrd2="http://schemas.microsoft.com/office/spreadsheetml/2017/richdata2" ref="B2:G161">
    <sortCondition ref="F2:F161"/>
    <sortCondition ref="G2:G161"/>
  </sortState>
  <pageMargins left="0.7" right="0.7" top="0.75" bottom="0.75" header="0.3" footer="0.3"/>
  <pageSetup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53"/>
  <sheetViews>
    <sheetView workbookViewId="0">
      <selection activeCell="G6" sqref="G6"/>
    </sheetView>
  </sheetViews>
  <sheetFormatPr defaultRowHeight="15"/>
  <cols>
    <col min="1" max="1" width="56.7109375" bestFit="1" customWidth="1"/>
  </cols>
  <sheetData>
    <row r="1" spans="1:1">
      <c r="A1" t="s">
        <v>197</v>
      </c>
    </row>
    <row r="3" spans="1:1">
      <c r="A3" t="s">
        <v>198</v>
      </c>
    </row>
    <row r="5" spans="1:1">
      <c r="A5" t="s">
        <v>199</v>
      </c>
    </row>
    <row r="7" spans="1:1">
      <c r="A7" t="s">
        <v>200</v>
      </c>
    </row>
    <row r="9" spans="1:1">
      <c r="A9" t="s">
        <v>201</v>
      </c>
    </row>
    <row r="11" spans="1:1">
      <c r="A11" t="s">
        <v>202</v>
      </c>
    </row>
    <row r="13" spans="1:1">
      <c r="A13" t="s">
        <v>203</v>
      </c>
    </row>
    <row r="15" spans="1:1">
      <c r="A15" t="s">
        <v>204</v>
      </c>
    </row>
    <row r="17" spans="1:1">
      <c r="A17" t="s">
        <v>205</v>
      </c>
    </row>
    <row r="19" spans="1:1">
      <c r="A19" t="s">
        <v>206</v>
      </c>
    </row>
    <row r="21" spans="1:1">
      <c r="A21" t="s">
        <v>207</v>
      </c>
    </row>
    <row r="23" spans="1:1">
      <c r="A23" t="s">
        <v>208</v>
      </c>
    </row>
    <row r="25" spans="1:1">
      <c r="A25" t="s">
        <v>209</v>
      </c>
    </row>
    <row r="27" spans="1:1">
      <c r="A27" t="s">
        <v>210</v>
      </c>
    </row>
    <row r="29" spans="1:1">
      <c r="A29" t="s">
        <v>211</v>
      </c>
    </row>
    <row r="31" spans="1:1">
      <c r="A31" t="s">
        <v>212</v>
      </c>
    </row>
    <row r="33" spans="1:1">
      <c r="A33" t="s">
        <v>213</v>
      </c>
    </row>
    <row r="35" spans="1:1">
      <c r="A35" t="s">
        <v>214</v>
      </c>
    </row>
    <row r="37" spans="1:1">
      <c r="A37" t="s">
        <v>215</v>
      </c>
    </row>
    <row r="39" spans="1:1">
      <c r="A39" t="s">
        <v>216</v>
      </c>
    </row>
    <row r="41" spans="1:1">
      <c r="A41" t="s">
        <v>217</v>
      </c>
    </row>
    <row r="43" spans="1:1">
      <c r="A43" t="s">
        <v>218</v>
      </c>
    </row>
    <row r="45" spans="1:1">
      <c r="A45" t="s">
        <v>219</v>
      </c>
    </row>
    <row r="47" spans="1:1">
      <c r="A47" t="s">
        <v>220</v>
      </c>
    </row>
    <row r="49" spans="1:1">
      <c r="A49" t="s">
        <v>221</v>
      </c>
    </row>
    <row r="51" spans="1:1">
      <c r="A51" t="s">
        <v>222</v>
      </c>
    </row>
    <row r="53" spans="1:1">
      <c r="A53" t="s">
        <v>223</v>
      </c>
    </row>
    <row r="55" spans="1:1">
      <c r="A55" t="s">
        <v>224</v>
      </c>
    </row>
    <row r="57" spans="1:1">
      <c r="A57" t="s">
        <v>225</v>
      </c>
    </row>
    <row r="59" spans="1:1">
      <c r="A59" t="s">
        <v>226</v>
      </c>
    </row>
    <row r="61" spans="1:1">
      <c r="A61" t="s">
        <v>227</v>
      </c>
    </row>
    <row r="63" spans="1:1">
      <c r="A63" t="s">
        <v>228</v>
      </c>
    </row>
    <row r="65" spans="1:1">
      <c r="A65" t="s">
        <v>229</v>
      </c>
    </row>
    <row r="67" spans="1:1">
      <c r="A67" t="s">
        <v>230</v>
      </c>
    </row>
    <row r="69" spans="1:1">
      <c r="A69" t="s">
        <v>231</v>
      </c>
    </row>
    <row r="71" spans="1:1">
      <c r="A71" s="11" t="s">
        <v>232</v>
      </c>
    </row>
    <row r="73" spans="1:1">
      <c r="A73" s="11" t="s">
        <v>233</v>
      </c>
    </row>
    <row r="75" spans="1:1">
      <c r="A75" t="s">
        <v>234</v>
      </c>
    </row>
    <row r="77" spans="1:1">
      <c r="A77" t="s">
        <v>235</v>
      </c>
    </row>
    <row r="79" spans="1:1">
      <c r="A79" t="s">
        <v>236</v>
      </c>
    </row>
    <row r="81" spans="1:1">
      <c r="A81" t="s">
        <v>237</v>
      </c>
    </row>
    <row r="83" spans="1:1">
      <c r="A83" t="s">
        <v>238</v>
      </c>
    </row>
    <row r="85" spans="1:1">
      <c r="A85" s="11" t="s">
        <v>239</v>
      </c>
    </row>
    <row r="87" spans="1:1">
      <c r="A87" t="s">
        <v>240</v>
      </c>
    </row>
    <row r="89" spans="1:1">
      <c r="A89" t="s">
        <v>241</v>
      </c>
    </row>
    <row r="91" spans="1:1">
      <c r="A91" t="s">
        <v>242</v>
      </c>
    </row>
    <row r="93" spans="1:1">
      <c r="A93" t="s">
        <v>243</v>
      </c>
    </row>
    <row r="95" spans="1:1">
      <c r="A95" s="11" t="s">
        <v>244</v>
      </c>
    </row>
    <row r="97" spans="1:1">
      <c r="A97" t="s">
        <v>245</v>
      </c>
    </row>
    <row r="99" spans="1:1">
      <c r="A99" t="s">
        <v>246</v>
      </c>
    </row>
    <row r="101" spans="1:1">
      <c r="A101" t="s">
        <v>247</v>
      </c>
    </row>
    <row r="103" spans="1:1">
      <c r="A103" t="s">
        <v>248</v>
      </c>
    </row>
    <row r="105" spans="1:1">
      <c r="A105" t="s">
        <v>249</v>
      </c>
    </row>
    <row r="107" spans="1:1">
      <c r="A107" s="11" t="s">
        <v>250</v>
      </c>
    </row>
    <row r="109" spans="1:1">
      <c r="A109" t="s">
        <v>251</v>
      </c>
    </row>
    <row r="111" spans="1:1">
      <c r="A111" t="s">
        <v>252</v>
      </c>
    </row>
    <row r="113" spans="1:1">
      <c r="A113" t="s">
        <v>253</v>
      </c>
    </row>
    <row r="115" spans="1:1">
      <c r="A115" t="s">
        <v>254</v>
      </c>
    </row>
    <row r="117" spans="1:1">
      <c r="A117" t="s">
        <v>255</v>
      </c>
    </row>
    <row r="119" spans="1:1">
      <c r="A119" t="s">
        <v>256</v>
      </c>
    </row>
    <row r="121" spans="1:1">
      <c r="A121" t="s">
        <v>257</v>
      </c>
    </row>
    <row r="123" spans="1:1">
      <c r="A123" t="s">
        <v>258</v>
      </c>
    </row>
    <row r="125" spans="1:1">
      <c r="A125" t="s">
        <v>259</v>
      </c>
    </row>
    <row r="127" spans="1:1">
      <c r="A127" t="s">
        <v>260</v>
      </c>
    </row>
    <row r="129" spans="1:1">
      <c r="A129" t="s">
        <v>261</v>
      </c>
    </row>
    <row r="131" spans="1:1">
      <c r="A131" t="s">
        <v>262</v>
      </c>
    </row>
    <row r="133" spans="1:1">
      <c r="A133" t="s">
        <v>263</v>
      </c>
    </row>
    <row r="135" spans="1:1">
      <c r="A135" t="s">
        <v>264</v>
      </c>
    </row>
    <row r="137" spans="1:1">
      <c r="A137" s="11" t="s">
        <v>265</v>
      </c>
    </row>
    <row r="139" spans="1:1">
      <c r="A139" s="11" t="s">
        <v>266</v>
      </c>
    </row>
    <row r="141" spans="1:1">
      <c r="A141" t="s">
        <v>267</v>
      </c>
    </row>
    <row r="143" spans="1:1">
      <c r="A143" t="s">
        <v>268</v>
      </c>
    </row>
    <row r="145" spans="1:1">
      <c r="A145" t="s">
        <v>269</v>
      </c>
    </row>
    <row r="147" spans="1:1">
      <c r="A147" t="s">
        <v>270</v>
      </c>
    </row>
    <row r="149" spans="1:1">
      <c r="A149" t="s">
        <v>271</v>
      </c>
    </row>
    <row r="151" spans="1:1">
      <c r="A151" t="s">
        <v>272</v>
      </c>
    </row>
    <row r="153" spans="1:1">
      <c r="A153" t="s">
        <v>273</v>
      </c>
    </row>
    <row r="155" spans="1:1">
      <c r="A155" t="s">
        <v>274</v>
      </c>
    </row>
    <row r="157" spans="1:1">
      <c r="A157" t="s">
        <v>275</v>
      </c>
    </row>
    <row r="159" spans="1:1">
      <c r="A159" t="s">
        <v>276</v>
      </c>
    </row>
    <row r="161" spans="1:1">
      <c r="A161" t="s">
        <v>277</v>
      </c>
    </row>
    <row r="163" spans="1:1">
      <c r="A163" t="s">
        <v>278</v>
      </c>
    </row>
    <row r="165" spans="1:1">
      <c r="A165" t="s">
        <v>279</v>
      </c>
    </row>
    <row r="167" spans="1:1">
      <c r="A167" t="s">
        <v>280</v>
      </c>
    </row>
    <row r="169" spans="1:1">
      <c r="A169" t="s">
        <v>281</v>
      </c>
    </row>
    <row r="171" spans="1:1">
      <c r="A171" t="s">
        <v>282</v>
      </c>
    </row>
    <row r="173" spans="1:1">
      <c r="A173" t="s">
        <v>283</v>
      </c>
    </row>
    <row r="175" spans="1:1">
      <c r="A175" t="s">
        <v>284</v>
      </c>
    </row>
    <row r="177" spans="1:1">
      <c r="A177" t="s">
        <v>285</v>
      </c>
    </row>
    <row r="179" spans="1:1">
      <c r="A179" t="s">
        <v>286</v>
      </c>
    </row>
    <row r="181" spans="1:1">
      <c r="A181" t="s">
        <v>287</v>
      </c>
    </row>
    <row r="183" spans="1:1">
      <c r="A183" t="s">
        <v>288</v>
      </c>
    </row>
    <row r="185" spans="1:1">
      <c r="A185" t="s">
        <v>289</v>
      </c>
    </row>
    <row r="187" spans="1:1">
      <c r="A187" t="s">
        <v>290</v>
      </c>
    </row>
    <row r="189" spans="1:1">
      <c r="A189" t="s">
        <v>291</v>
      </c>
    </row>
    <row r="191" spans="1:1">
      <c r="A191" s="11" t="s">
        <v>292</v>
      </c>
    </row>
    <row r="193" spans="1:1">
      <c r="A193" t="s">
        <v>293</v>
      </c>
    </row>
    <row r="195" spans="1:1">
      <c r="A195" t="s">
        <v>294</v>
      </c>
    </row>
    <row r="197" spans="1:1">
      <c r="A197" s="11" t="s">
        <v>295</v>
      </c>
    </row>
    <row r="199" spans="1:1">
      <c r="A199" t="s">
        <v>296</v>
      </c>
    </row>
    <row r="201" spans="1:1">
      <c r="A201" t="s">
        <v>297</v>
      </c>
    </row>
    <row r="203" spans="1:1">
      <c r="A203" s="11" t="s">
        <v>298</v>
      </c>
    </row>
    <row r="205" spans="1:1">
      <c r="A205" t="s">
        <v>299</v>
      </c>
    </row>
    <row r="207" spans="1:1">
      <c r="A207" t="s">
        <v>300</v>
      </c>
    </row>
    <row r="209" spans="1:1">
      <c r="A209" t="s">
        <v>301</v>
      </c>
    </row>
    <row r="211" spans="1:1">
      <c r="A211" s="11" t="s">
        <v>302</v>
      </c>
    </row>
    <row r="213" spans="1:1">
      <c r="A213" s="11" t="s">
        <v>303</v>
      </c>
    </row>
    <row r="215" spans="1:1">
      <c r="A215" s="11" t="s">
        <v>304</v>
      </c>
    </row>
    <row r="217" spans="1:1">
      <c r="A217" s="11" t="s">
        <v>305</v>
      </c>
    </row>
    <row r="219" spans="1:1">
      <c r="A219" t="s">
        <v>306</v>
      </c>
    </row>
    <row r="221" spans="1:1">
      <c r="A221" s="11" t="s">
        <v>307</v>
      </c>
    </row>
    <row r="223" spans="1:1">
      <c r="A223" t="s">
        <v>308</v>
      </c>
    </row>
    <row r="225" spans="1:1">
      <c r="A225" t="s">
        <v>309</v>
      </c>
    </row>
    <row r="227" spans="1:1">
      <c r="A227" t="s">
        <v>310</v>
      </c>
    </row>
    <row r="229" spans="1:1">
      <c r="A229" t="s">
        <v>311</v>
      </c>
    </row>
    <row r="231" spans="1:1">
      <c r="A231" s="11" t="s">
        <v>312</v>
      </c>
    </row>
    <row r="233" spans="1:1">
      <c r="A233" t="s">
        <v>313</v>
      </c>
    </row>
    <row r="235" spans="1:1">
      <c r="A235" t="s">
        <v>314</v>
      </c>
    </row>
    <row r="237" spans="1:1">
      <c r="A237" t="s">
        <v>315</v>
      </c>
    </row>
    <row r="239" spans="1:1">
      <c r="A239" t="s">
        <v>316</v>
      </c>
    </row>
    <row r="241" spans="1:1">
      <c r="A241" t="s">
        <v>317</v>
      </c>
    </row>
    <row r="243" spans="1:1">
      <c r="A243" t="s">
        <v>318</v>
      </c>
    </row>
    <row r="245" spans="1:1">
      <c r="A245" t="s">
        <v>319</v>
      </c>
    </row>
    <row r="247" spans="1:1">
      <c r="A247" t="s">
        <v>320</v>
      </c>
    </row>
    <row r="249" spans="1:1">
      <c r="A249" t="s">
        <v>321</v>
      </c>
    </row>
    <row r="251" spans="1:1">
      <c r="A251" s="11" t="s">
        <v>322</v>
      </c>
    </row>
    <row r="253" spans="1:1">
      <c r="A253" t="s">
        <v>323</v>
      </c>
    </row>
    <row r="255" spans="1:1">
      <c r="A255" t="s">
        <v>324</v>
      </c>
    </row>
    <row r="257" spans="1:1">
      <c r="A257" s="11" t="s">
        <v>325</v>
      </c>
    </row>
    <row r="259" spans="1:1">
      <c r="A259" t="s">
        <v>326</v>
      </c>
    </row>
    <row r="261" spans="1:1">
      <c r="A261" t="s">
        <v>327</v>
      </c>
    </row>
    <row r="263" spans="1:1">
      <c r="A263" t="s">
        <v>328</v>
      </c>
    </row>
    <row r="265" spans="1:1">
      <c r="A265" t="s">
        <v>329</v>
      </c>
    </row>
    <row r="267" spans="1:1">
      <c r="A267" t="s">
        <v>330</v>
      </c>
    </row>
    <row r="269" spans="1:1">
      <c r="A269" t="s">
        <v>331</v>
      </c>
    </row>
    <row r="271" spans="1:1">
      <c r="A271" t="s">
        <v>332</v>
      </c>
    </row>
    <row r="273" spans="1:1">
      <c r="A273" t="s">
        <v>333</v>
      </c>
    </row>
    <row r="275" spans="1:1">
      <c r="A275" t="s">
        <v>334</v>
      </c>
    </row>
    <row r="277" spans="1:1">
      <c r="A277" t="s">
        <v>335</v>
      </c>
    </row>
    <row r="279" spans="1:1">
      <c r="A279" t="s">
        <v>336</v>
      </c>
    </row>
    <row r="281" spans="1:1">
      <c r="A281" t="s">
        <v>337</v>
      </c>
    </row>
    <row r="283" spans="1:1">
      <c r="A283" t="s">
        <v>338</v>
      </c>
    </row>
    <row r="285" spans="1:1">
      <c r="A285" t="s">
        <v>339</v>
      </c>
    </row>
    <row r="287" spans="1:1">
      <c r="A287" t="s">
        <v>340</v>
      </c>
    </row>
    <row r="289" spans="1:1">
      <c r="A289" t="s">
        <v>341</v>
      </c>
    </row>
    <row r="291" spans="1:1">
      <c r="A291" t="s">
        <v>342</v>
      </c>
    </row>
    <row r="293" spans="1:1">
      <c r="A293" t="s">
        <v>343</v>
      </c>
    </row>
    <row r="295" spans="1:1">
      <c r="A295" t="s">
        <v>344</v>
      </c>
    </row>
    <row r="297" spans="1:1">
      <c r="A297" s="11" t="s">
        <v>345</v>
      </c>
    </row>
    <row r="299" spans="1:1">
      <c r="A299" t="s">
        <v>346</v>
      </c>
    </row>
    <row r="301" spans="1:1">
      <c r="A301" t="s">
        <v>347</v>
      </c>
    </row>
    <row r="303" spans="1:1">
      <c r="A303" t="s">
        <v>348</v>
      </c>
    </row>
    <row r="305" spans="1:1">
      <c r="A305" t="s">
        <v>349</v>
      </c>
    </row>
    <row r="307" spans="1:1">
      <c r="A307" t="s">
        <v>350</v>
      </c>
    </row>
    <row r="309" spans="1:1">
      <c r="A309" t="s">
        <v>351</v>
      </c>
    </row>
    <row r="311" spans="1:1">
      <c r="A311" t="s">
        <v>352</v>
      </c>
    </row>
    <row r="313" spans="1:1">
      <c r="A313" t="s">
        <v>353</v>
      </c>
    </row>
    <row r="315" spans="1:1">
      <c r="A315" t="s">
        <v>354</v>
      </c>
    </row>
    <row r="317" spans="1:1">
      <c r="A317" t="s">
        <v>355</v>
      </c>
    </row>
    <row r="319" spans="1:1">
      <c r="A319" t="s">
        <v>356</v>
      </c>
    </row>
    <row r="321" spans="1:1">
      <c r="A321" t="s">
        <v>357</v>
      </c>
    </row>
    <row r="323" spans="1:1">
      <c r="A323" t="s">
        <v>358</v>
      </c>
    </row>
    <row r="325" spans="1:1">
      <c r="A325" t="s">
        <v>359</v>
      </c>
    </row>
    <row r="327" spans="1:1">
      <c r="A327" t="s">
        <v>360</v>
      </c>
    </row>
    <row r="329" spans="1:1">
      <c r="A329" t="s">
        <v>361</v>
      </c>
    </row>
    <row r="331" spans="1:1">
      <c r="A331" t="s">
        <v>362</v>
      </c>
    </row>
    <row r="333" spans="1:1">
      <c r="A333" t="s">
        <v>363</v>
      </c>
    </row>
    <row r="335" spans="1:1">
      <c r="A335" t="s">
        <v>364</v>
      </c>
    </row>
    <row r="337" spans="1:1">
      <c r="A337" t="s">
        <v>365</v>
      </c>
    </row>
    <row r="339" spans="1:1">
      <c r="A339" t="s">
        <v>366</v>
      </c>
    </row>
    <row r="341" spans="1:1">
      <c r="A341" t="s">
        <v>367</v>
      </c>
    </row>
    <row r="343" spans="1:1">
      <c r="A343" t="s">
        <v>368</v>
      </c>
    </row>
    <row r="345" spans="1:1">
      <c r="A345" t="s">
        <v>369</v>
      </c>
    </row>
    <row r="347" spans="1:1">
      <c r="A347" t="s">
        <v>370</v>
      </c>
    </row>
    <row r="349" spans="1:1">
      <c r="A349" t="s">
        <v>371</v>
      </c>
    </row>
    <row r="351" spans="1:1">
      <c r="A351" t="s">
        <v>372</v>
      </c>
    </row>
    <row r="353" spans="1:1">
      <c r="A353" t="s">
        <v>373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991"/>
  <sheetViews>
    <sheetView workbookViewId="0">
      <selection activeCell="G6" sqref="G6"/>
    </sheetView>
  </sheetViews>
  <sheetFormatPr defaultColWidth="17.140625" defaultRowHeight="15"/>
  <cols>
    <col min="1" max="1" width="8.85546875" style="1" bestFit="1" customWidth="1"/>
    <col min="2" max="2" width="18.28515625" style="2" customWidth="1"/>
    <col min="3" max="3" width="12.42578125" style="2" bestFit="1" customWidth="1"/>
    <col min="4" max="4" width="10.140625" style="2" bestFit="1" customWidth="1"/>
    <col min="5" max="5" width="19.5703125" style="2" bestFit="1" customWidth="1"/>
    <col min="6" max="16384" width="17.140625" style="2"/>
  </cols>
  <sheetData>
    <row r="1" spans="1:24" ht="15.75" thickBot="1">
      <c r="A1" s="9" t="s">
        <v>374</v>
      </c>
      <c r="B1" s="10" t="s">
        <v>375</v>
      </c>
      <c r="C1" s="10" t="s">
        <v>376</v>
      </c>
      <c r="D1" s="10" t="s">
        <v>377</v>
      </c>
      <c r="E1" s="10" t="s">
        <v>378</v>
      </c>
    </row>
    <row r="2" spans="1:24" ht="15.75" thickBot="1">
      <c r="A2" s="7">
        <v>7</v>
      </c>
      <c r="B2" s="8" t="s">
        <v>132</v>
      </c>
      <c r="C2" s="8" t="s">
        <v>2</v>
      </c>
      <c r="D2" s="8" t="s">
        <v>6</v>
      </c>
      <c r="E2" s="8" t="s">
        <v>131</v>
      </c>
      <c r="F2" s="4"/>
      <c r="G2" s="4"/>
      <c r="H2" s="4"/>
      <c r="I2" s="4"/>
      <c r="J2" s="4"/>
      <c r="K2" s="4"/>
      <c r="L2" s="4"/>
      <c r="M2" s="4"/>
      <c r="N2" s="4"/>
      <c r="O2" s="4"/>
      <c r="P2" s="4"/>
      <c r="Q2" s="4"/>
      <c r="R2" s="4"/>
      <c r="S2" s="4"/>
      <c r="T2" s="4"/>
      <c r="U2" s="4"/>
      <c r="V2" s="4"/>
      <c r="W2" s="4"/>
      <c r="X2" s="4"/>
    </row>
    <row r="3" spans="1:24" ht="15.75" thickBot="1">
      <c r="A3" s="3">
        <v>14</v>
      </c>
      <c r="B3" s="4" t="s">
        <v>133</v>
      </c>
      <c r="C3" s="4" t="s">
        <v>10</v>
      </c>
      <c r="D3" s="4" t="s">
        <v>8</v>
      </c>
      <c r="E3" s="4" t="s">
        <v>131</v>
      </c>
      <c r="F3" s="4"/>
      <c r="G3" s="4"/>
      <c r="H3" s="4"/>
      <c r="I3" s="4"/>
      <c r="J3" s="4"/>
      <c r="K3" s="4"/>
      <c r="L3" s="4"/>
      <c r="M3" s="4"/>
      <c r="N3" s="4"/>
      <c r="O3" s="4"/>
      <c r="P3" s="4"/>
      <c r="Q3" s="4"/>
      <c r="R3" s="4"/>
      <c r="S3" s="4"/>
      <c r="T3" s="4"/>
      <c r="U3" s="4"/>
      <c r="V3" s="4"/>
      <c r="W3" s="4"/>
      <c r="X3" s="4"/>
    </row>
    <row r="4" spans="1:24" ht="15.75" thickBot="1">
      <c r="A4" s="3">
        <v>27</v>
      </c>
      <c r="B4" s="4" t="s">
        <v>134</v>
      </c>
      <c r="C4" s="4" t="s">
        <v>10</v>
      </c>
      <c r="D4" s="4" t="s">
        <v>135</v>
      </c>
      <c r="E4" s="4" t="s">
        <v>131</v>
      </c>
      <c r="F4" s="4"/>
      <c r="G4" s="4"/>
      <c r="H4" s="4"/>
      <c r="I4" s="4"/>
      <c r="J4" s="4"/>
      <c r="K4" s="4"/>
      <c r="L4" s="4"/>
      <c r="M4" s="4"/>
      <c r="N4" s="4"/>
      <c r="O4" s="4"/>
      <c r="P4" s="4"/>
      <c r="Q4" s="4"/>
      <c r="R4" s="4"/>
      <c r="S4" s="4"/>
      <c r="T4" s="4"/>
      <c r="U4" s="4"/>
      <c r="V4" s="4"/>
      <c r="W4" s="4"/>
      <c r="X4" s="4"/>
    </row>
    <row r="5" spans="1:24" ht="15.75" thickBot="1">
      <c r="A5" s="3">
        <v>34</v>
      </c>
      <c r="B5" s="4" t="s">
        <v>136</v>
      </c>
      <c r="C5" s="4" t="s">
        <v>2</v>
      </c>
      <c r="D5" s="4" t="s">
        <v>137</v>
      </c>
      <c r="E5" s="4" t="s">
        <v>131</v>
      </c>
      <c r="F5" s="4"/>
      <c r="G5" s="4"/>
      <c r="H5" s="4"/>
      <c r="I5" s="4"/>
      <c r="J5" s="4"/>
      <c r="K5" s="4"/>
      <c r="L5" s="4"/>
      <c r="M5" s="4"/>
      <c r="N5" s="4"/>
      <c r="O5" s="4"/>
      <c r="P5" s="4"/>
      <c r="Q5" s="4"/>
      <c r="R5" s="4"/>
      <c r="S5" s="4"/>
      <c r="T5" s="4"/>
      <c r="U5" s="4"/>
      <c r="V5" s="4"/>
      <c r="W5" s="4"/>
      <c r="X5" s="4"/>
    </row>
    <row r="6" spans="1:24" ht="15.75" thickBot="1">
      <c r="A6" s="3">
        <v>47</v>
      </c>
      <c r="B6" s="4" t="s">
        <v>138</v>
      </c>
      <c r="C6" s="4" t="s">
        <v>2</v>
      </c>
      <c r="D6" s="4" t="s">
        <v>63</v>
      </c>
      <c r="E6" s="4" t="s">
        <v>131</v>
      </c>
      <c r="F6" s="4"/>
      <c r="G6" s="4"/>
      <c r="H6" s="4"/>
      <c r="I6" s="4"/>
      <c r="J6" s="4"/>
      <c r="K6" s="4"/>
      <c r="L6" s="4"/>
      <c r="M6" s="4"/>
      <c r="N6" s="4"/>
      <c r="O6" s="4"/>
      <c r="P6" s="4"/>
      <c r="Q6" s="4"/>
      <c r="R6" s="4"/>
      <c r="S6" s="4"/>
      <c r="T6" s="4"/>
      <c r="U6" s="4"/>
      <c r="V6" s="4"/>
      <c r="W6" s="4"/>
      <c r="X6" s="4"/>
    </row>
    <row r="7" spans="1:24" ht="15.75" thickBot="1">
      <c r="A7" s="3">
        <v>54</v>
      </c>
      <c r="B7" s="4" t="s">
        <v>139</v>
      </c>
      <c r="C7" s="4" t="s">
        <v>10</v>
      </c>
      <c r="D7" s="4" t="s">
        <v>28</v>
      </c>
      <c r="E7" s="4" t="s">
        <v>131</v>
      </c>
      <c r="F7" s="4"/>
      <c r="G7" s="4"/>
      <c r="H7" s="4"/>
      <c r="I7" s="4"/>
      <c r="J7" s="4"/>
      <c r="K7" s="4"/>
      <c r="L7" s="4"/>
      <c r="M7" s="4"/>
      <c r="N7" s="4"/>
      <c r="O7" s="4"/>
      <c r="P7" s="4"/>
      <c r="Q7" s="4"/>
      <c r="R7" s="4"/>
      <c r="S7" s="4"/>
      <c r="T7" s="4"/>
      <c r="U7" s="4"/>
      <c r="V7" s="4"/>
      <c r="W7" s="4"/>
      <c r="X7" s="4"/>
    </row>
    <row r="8" spans="1:24" ht="15.75" thickBot="1">
      <c r="A8" s="3">
        <v>67</v>
      </c>
      <c r="B8" s="4" t="s">
        <v>140</v>
      </c>
      <c r="C8" s="4" t="s">
        <v>27</v>
      </c>
      <c r="D8" s="4" t="s">
        <v>41</v>
      </c>
      <c r="E8" s="4" t="s">
        <v>131</v>
      </c>
      <c r="F8" s="4"/>
      <c r="G8" s="4"/>
      <c r="H8" s="4"/>
      <c r="I8" s="4"/>
      <c r="J8" s="4"/>
      <c r="K8" s="4"/>
      <c r="L8" s="4"/>
      <c r="M8" s="4"/>
      <c r="N8" s="4"/>
      <c r="O8" s="4"/>
      <c r="P8" s="4"/>
      <c r="Q8" s="4"/>
      <c r="R8" s="4"/>
      <c r="S8" s="4"/>
      <c r="T8" s="4"/>
      <c r="U8" s="4"/>
      <c r="V8" s="4"/>
      <c r="W8" s="4"/>
      <c r="X8" s="4"/>
    </row>
    <row r="9" spans="1:24" ht="15.75" thickBot="1">
      <c r="A9" s="3">
        <v>74</v>
      </c>
      <c r="B9" s="4" t="s">
        <v>141</v>
      </c>
      <c r="C9" s="4" t="s">
        <v>2</v>
      </c>
      <c r="D9" s="4" t="s">
        <v>35</v>
      </c>
      <c r="E9" s="4" t="s">
        <v>131</v>
      </c>
      <c r="F9" s="4"/>
      <c r="G9" s="4"/>
      <c r="H9" s="4"/>
      <c r="I9" s="4"/>
      <c r="J9" s="4"/>
      <c r="K9" s="4"/>
      <c r="L9" s="4"/>
      <c r="M9" s="4"/>
      <c r="N9" s="4"/>
      <c r="O9" s="4"/>
      <c r="P9" s="4"/>
      <c r="Q9" s="4"/>
      <c r="R9" s="4"/>
      <c r="S9" s="4"/>
      <c r="T9" s="4"/>
      <c r="U9" s="4"/>
      <c r="V9" s="4"/>
      <c r="W9" s="4"/>
      <c r="X9" s="4"/>
    </row>
    <row r="10" spans="1:24" ht="15.75" thickBot="1">
      <c r="A10" s="3">
        <v>87</v>
      </c>
      <c r="B10" s="4" t="s">
        <v>142</v>
      </c>
      <c r="C10" s="4" t="s">
        <v>2</v>
      </c>
      <c r="D10" s="4" t="s">
        <v>41</v>
      </c>
      <c r="E10" s="4" t="s">
        <v>131</v>
      </c>
      <c r="F10" s="4"/>
      <c r="G10" s="4"/>
      <c r="H10" s="4"/>
      <c r="I10" s="4"/>
      <c r="J10" s="4"/>
      <c r="K10" s="4"/>
      <c r="L10" s="4"/>
      <c r="M10" s="4"/>
      <c r="N10" s="4"/>
      <c r="O10" s="4"/>
      <c r="P10" s="4"/>
      <c r="Q10" s="4"/>
      <c r="R10" s="4"/>
      <c r="S10" s="4"/>
      <c r="T10" s="4"/>
      <c r="U10" s="4"/>
      <c r="V10" s="4"/>
      <c r="W10" s="4"/>
      <c r="X10" s="4"/>
    </row>
    <row r="11" spans="1:24" ht="15.75" thickBot="1">
      <c r="A11" s="3">
        <v>94</v>
      </c>
      <c r="B11" s="4" t="s">
        <v>143</v>
      </c>
      <c r="C11" s="4" t="s">
        <v>2</v>
      </c>
      <c r="D11" s="4" t="s">
        <v>107</v>
      </c>
      <c r="E11" s="4" t="s">
        <v>131</v>
      </c>
      <c r="F11" s="4"/>
      <c r="G11" s="4"/>
      <c r="H11" s="4"/>
      <c r="I11" s="4"/>
      <c r="J11" s="4"/>
      <c r="K11" s="4"/>
      <c r="L11" s="4"/>
      <c r="M11" s="4"/>
      <c r="N11" s="4"/>
      <c r="O11" s="4"/>
      <c r="P11" s="4"/>
      <c r="Q11" s="4"/>
      <c r="R11" s="4"/>
      <c r="S11" s="4"/>
      <c r="T11" s="4"/>
      <c r="U11" s="4"/>
      <c r="V11" s="4"/>
      <c r="W11" s="4"/>
      <c r="X11" s="4"/>
    </row>
    <row r="12" spans="1:24" ht="15.75" thickBot="1">
      <c r="A12" s="3">
        <v>107</v>
      </c>
      <c r="B12" s="4" t="s">
        <v>144</v>
      </c>
      <c r="C12" s="4" t="s">
        <v>10</v>
      </c>
      <c r="D12" s="4" t="s">
        <v>23</v>
      </c>
      <c r="E12" s="4" t="s">
        <v>131</v>
      </c>
      <c r="F12" s="4"/>
      <c r="G12" s="4"/>
      <c r="H12" s="4"/>
      <c r="I12" s="4"/>
      <c r="J12" s="4"/>
      <c r="K12" s="4"/>
      <c r="L12" s="4"/>
      <c r="M12" s="4"/>
      <c r="N12" s="4"/>
      <c r="O12" s="4"/>
      <c r="P12" s="4"/>
      <c r="Q12" s="4"/>
      <c r="R12" s="4"/>
      <c r="S12" s="4"/>
      <c r="T12" s="4"/>
      <c r="U12" s="4"/>
      <c r="V12" s="4"/>
      <c r="W12" s="4"/>
      <c r="X12" s="4"/>
    </row>
    <row r="13" spans="1:24" ht="15.75" thickBot="1">
      <c r="A13" s="3">
        <v>114</v>
      </c>
      <c r="B13" s="4" t="s">
        <v>145</v>
      </c>
      <c r="C13" s="4" t="s">
        <v>10</v>
      </c>
      <c r="D13" s="4" t="s">
        <v>23</v>
      </c>
      <c r="E13" s="4" t="s">
        <v>131</v>
      </c>
      <c r="F13" s="4"/>
      <c r="G13" s="4"/>
      <c r="H13" s="4"/>
      <c r="I13" s="4"/>
      <c r="J13" s="4"/>
      <c r="K13" s="4"/>
      <c r="L13" s="4"/>
      <c r="M13" s="4"/>
      <c r="N13" s="4"/>
      <c r="O13" s="4"/>
      <c r="P13" s="4"/>
      <c r="Q13" s="4"/>
      <c r="R13" s="4"/>
      <c r="S13" s="4"/>
      <c r="T13" s="4"/>
      <c r="U13" s="4"/>
      <c r="V13" s="4"/>
      <c r="W13" s="4"/>
      <c r="X13" s="4"/>
    </row>
    <row r="14" spans="1:24" ht="15.75" thickBot="1">
      <c r="A14" s="3">
        <v>127</v>
      </c>
      <c r="B14" s="4" t="s">
        <v>146</v>
      </c>
      <c r="C14" s="4" t="s">
        <v>2</v>
      </c>
      <c r="D14" s="4" t="s">
        <v>71</v>
      </c>
      <c r="E14" s="4" t="s">
        <v>131</v>
      </c>
      <c r="F14" s="4"/>
      <c r="G14" s="4"/>
      <c r="H14" s="4"/>
      <c r="I14" s="4"/>
      <c r="J14" s="4"/>
      <c r="K14" s="4"/>
      <c r="L14" s="4"/>
      <c r="M14" s="4"/>
      <c r="N14" s="4"/>
      <c r="O14" s="4"/>
      <c r="P14" s="4"/>
      <c r="Q14" s="4"/>
      <c r="R14" s="4"/>
      <c r="S14" s="4"/>
      <c r="T14" s="4"/>
      <c r="U14" s="4"/>
      <c r="V14" s="4"/>
      <c r="W14" s="4"/>
      <c r="X14" s="4"/>
    </row>
    <row r="15" spans="1:24" ht="15.75" thickBot="1">
      <c r="A15" s="3">
        <v>134</v>
      </c>
      <c r="B15" s="4" t="s">
        <v>147</v>
      </c>
      <c r="C15" s="4" t="s">
        <v>5</v>
      </c>
      <c r="D15" s="4" t="s">
        <v>91</v>
      </c>
      <c r="E15" s="4" t="s">
        <v>131</v>
      </c>
      <c r="F15" s="4"/>
      <c r="G15" s="4"/>
      <c r="H15" s="4"/>
      <c r="I15" s="4"/>
      <c r="J15" s="4"/>
      <c r="K15" s="4"/>
      <c r="L15" s="4"/>
      <c r="M15" s="4"/>
      <c r="N15" s="4"/>
      <c r="O15" s="4"/>
      <c r="P15" s="4"/>
      <c r="Q15" s="4"/>
      <c r="R15" s="4"/>
      <c r="S15" s="4"/>
      <c r="T15" s="4"/>
      <c r="U15" s="4"/>
      <c r="V15" s="4"/>
      <c r="W15" s="4"/>
      <c r="X15" s="4"/>
    </row>
    <row r="16" spans="1:24" ht="15.75" thickBot="1">
      <c r="A16" s="3">
        <v>147</v>
      </c>
      <c r="B16" s="4" t="s">
        <v>148</v>
      </c>
      <c r="C16" s="4" t="s">
        <v>2</v>
      </c>
      <c r="D16" s="4" t="s">
        <v>13</v>
      </c>
      <c r="E16" s="4" t="s">
        <v>131</v>
      </c>
      <c r="F16" s="4"/>
      <c r="G16" s="4"/>
      <c r="H16" s="4"/>
      <c r="I16" s="4"/>
      <c r="J16" s="4"/>
      <c r="K16" s="4"/>
      <c r="L16" s="4"/>
      <c r="M16" s="4"/>
      <c r="N16" s="4"/>
      <c r="O16" s="4"/>
      <c r="P16" s="4"/>
      <c r="Q16" s="4"/>
      <c r="R16" s="4"/>
      <c r="S16" s="4"/>
      <c r="T16" s="4"/>
      <c r="U16" s="4"/>
      <c r="V16" s="4"/>
      <c r="W16" s="4"/>
      <c r="X16" s="4"/>
    </row>
    <row r="17" spans="1:24" ht="15.75" thickBot="1">
      <c r="A17" s="3">
        <v>154</v>
      </c>
      <c r="B17" s="4" t="s">
        <v>137</v>
      </c>
      <c r="C17" s="4" t="s">
        <v>36</v>
      </c>
      <c r="D17" s="4" t="s">
        <v>137</v>
      </c>
      <c r="E17" s="4" t="s">
        <v>131</v>
      </c>
      <c r="F17" s="4"/>
      <c r="G17" s="4"/>
      <c r="H17" s="4"/>
      <c r="I17" s="4"/>
      <c r="J17" s="4"/>
      <c r="K17" s="4"/>
      <c r="L17" s="4"/>
      <c r="M17" s="4"/>
      <c r="N17" s="4"/>
      <c r="O17" s="4"/>
      <c r="P17" s="4"/>
      <c r="Q17" s="4"/>
      <c r="R17" s="4"/>
      <c r="S17" s="4"/>
      <c r="T17" s="4"/>
      <c r="U17" s="4"/>
      <c r="V17" s="4"/>
      <c r="W17" s="4"/>
      <c r="X17" s="4"/>
    </row>
    <row r="18" spans="1:24" ht="15.75" thickBot="1">
      <c r="A18" s="3">
        <v>9</v>
      </c>
      <c r="B18" s="4" t="s">
        <v>166</v>
      </c>
      <c r="C18" s="4" t="s">
        <v>2</v>
      </c>
      <c r="D18" s="4" t="s">
        <v>15</v>
      </c>
      <c r="E18" s="4" t="s">
        <v>165</v>
      </c>
      <c r="F18" s="4"/>
      <c r="G18" s="4"/>
      <c r="H18" s="4"/>
      <c r="I18" s="4"/>
      <c r="J18" s="4"/>
      <c r="K18" s="4"/>
      <c r="L18" s="4"/>
      <c r="M18" s="4"/>
      <c r="N18" s="4"/>
      <c r="O18" s="4"/>
      <c r="P18" s="4"/>
      <c r="Q18" s="4"/>
      <c r="R18" s="4"/>
      <c r="S18" s="4"/>
      <c r="T18" s="4"/>
      <c r="U18" s="4"/>
      <c r="V18" s="4"/>
      <c r="W18" s="4"/>
      <c r="X18" s="4"/>
    </row>
    <row r="19" spans="1:24" ht="15.75" thickBot="1">
      <c r="A19" s="3">
        <v>12</v>
      </c>
      <c r="B19" s="4" t="s">
        <v>167</v>
      </c>
      <c r="C19" s="4" t="s">
        <v>10</v>
      </c>
      <c r="D19" s="4" t="s">
        <v>15</v>
      </c>
      <c r="E19" s="4" t="s">
        <v>165</v>
      </c>
      <c r="F19" s="4"/>
      <c r="G19" s="4"/>
      <c r="H19" s="4"/>
      <c r="I19" s="4"/>
      <c r="J19" s="4"/>
      <c r="K19" s="4"/>
      <c r="L19" s="4"/>
      <c r="M19" s="4"/>
      <c r="N19" s="4"/>
      <c r="O19" s="4"/>
      <c r="P19" s="4"/>
      <c r="Q19" s="4"/>
      <c r="R19" s="4"/>
      <c r="S19" s="4"/>
      <c r="T19" s="4"/>
      <c r="U19" s="4"/>
      <c r="V19" s="4"/>
      <c r="W19" s="4"/>
      <c r="X19" s="4"/>
    </row>
    <row r="20" spans="1:24" ht="15.75" thickBot="1">
      <c r="A20" s="3">
        <v>29</v>
      </c>
      <c r="B20" s="4" t="s">
        <v>168</v>
      </c>
      <c r="C20" s="4" t="s">
        <v>2</v>
      </c>
      <c r="D20" s="4" t="s">
        <v>13</v>
      </c>
      <c r="E20" s="4" t="s">
        <v>165</v>
      </c>
      <c r="F20" s="4"/>
      <c r="G20" s="4"/>
      <c r="H20" s="4"/>
      <c r="I20" s="4"/>
      <c r="J20" s="4"/>
      <c r="K20" s="4"/>
      <c r="L20" s="4"/>
      <c r="M20" s="4"/>
      <c r="N20" s="4"/>
      <c r="O20" s="4"/>
      <c r="P20" s="4"/>
      <c r="Q20" s="4"/>
      <c r="R20" s="4"/>
      <c r="S20" s="4"/>
      <c r="T20" s="4"/>
      <c r="U20" s="4"/>
      <c r="V20" s="4"/>
      <c r="W20" s="4"/>
      <c r="X20" s="4"/>
    </row>
    <row r="21" spans="1:24" ht="15.75" thickBot="1">
      <c r="A21" s="3">
        <v>32</v>
      </c>
      <c r="B21" s="4" t="s">
        <v>169</v>
      </c>
      <c r="C21" s="4" t="s">
        <v>10</v>
      </c>
      <c r="D21" s="4" t="s">
        <v>19</v>
      </c>
      <c r="E21" s="4" t="s">
        <v>165</v>
      </c>
      <c r="F21" s="4"/>
      <c r="G21" s="4"/>
      <c r="H21" s="4"/>
      <c r="I21" s="4"/>
      <c r="J21" s="4"/>
      <c r="K21" s="4"/>
      <c r="L21" s="4"/>
      <c r="M21" s="4"/>
      <c r="N21" s="4"/>
      <c r="O21" s="4"/>
      <c r="P21" s="4"/>
      <c r="Q21" s="4"/>
      <c r="R21" s="4"/>
      <c r="S21" s="4"/>
      <c r="T21" s="4"/>
      <c r="U21" s="4"/>
      <c r="V21" s="4"/>
      <c r="W21" s="4"/>
      <c r="X21" s="4"/>
    </row>
    <row r="22" spans="1:24" ht="15.75" thickBot="1">
      <c r="A22" s="3">
        <v>49</v>
      </c>
      <c r="B22" s="4" t="s">
        <v>170</v>
      </c>
      <c r="C22" s="4" t="s">
        <v>10</v>
      </c>
      <c r="D22" s="4" t="s">
        <v>82</v>
      </c>
      <c r="E22" s="4" t="s">
        <v>165</v>
      </c>
      <c r="F22" s="4"/>
      <c r="G22" s="4"/>
      <c r="H22" s="4"/>
      <c r="I22" s="4"/>
      <c r="J22" s="4"/>
      <c r="K22" s="4"/>
      <c r="L22" s="4"/>
      <c r="M22" s="4"/>
      <c r="N22" s="4"/>
      <c r="O22" s="4"/>
      <c r="P22" s="4"/>
      <c r="Q22" s="4"/>
      <c r="R22" s="4"/>
      <c r="S22" s="4"/>
      <c r="T22" s="4"/>
      <c r="U22" s="4"/>
      <c r="V22" s="4"/>
      <c r="W22" s="4"/>
      <c r="X22" s="4"/>
    </row>
    <row r="23" spans="1:24" ht="15.75" thickBot="1">
      <c r="A23" s="3">
        <v>52</v>
      </c>
      <c r="B23" s="4" t="s">
        <v>171</v>
      </c>
      <c r="C23" s="4" t="s">
        <v>27</v>
      </c>
      <c r="D23" s="4" t="s">
        <v>73</v>
      </c>
      <c r="E23" s="4" t="s">
        <v>165</v>
      </c>
      <c r="F23" s="4"/>
      <c r="G23" s="4"/>
      <c r="H23" s="4"/>
      <c r="I23" s="4"/>
      <c r="J23" s="4"/>
      <c r="K23" s="4"/>
      <c r="L23" s="4"/>
      <c r="M23" s="4"/>
      <c r="N23" s="4"/>
      <c r="O23" s="4"/>
      <c r="P23" s="4"/>
      <c r="Q23" s="4"/>
      <c r="R23" s="4"/>
      <c r="S23" s="4"/>
      <c r="T23" s="4"/>
      <c r="U23" s="4"/>
      <c r="V23" s="4"/>
      <c r="W23" s="4"/>
      <c r="X23" s="4"/>
    </row>
    <row r="24" spans="1:24" ht="15.75" thickBot="1">
      <c r="A24" s="3">
        <v>69</v>
      </c>
      <c r="B24" s="4" t="s">
        <v>172</v>
      </c>
      <c r="C24" s="4" t="s">
        <v>5</v>
      </c>
      <c r="D24" s="4" t="s">
        <v>73</v>
      </c>
      <c r="E24" s="4" t="s">
        <v>165</v>
      </c>
      <c r="F24" s="4"/>
      <c r="G24" s="4"/>
      <c r="H24" s="4"/>
      <c r="I24" s="4"/>
      <c r="J24" s="4"/>
      <c r="K24" s="4"/>
      <c r="L24" s="4"/>
      <c r="M24" s="4"/>
      <c r="N24" s="4"/>
      <c r="O24" s="4"/>
      <c r="P24" s="4"/>
      <c r="Q24" s="4"/>
      <c r="R24" s="4"/>
      <c r="S24" s="4"/>
      <c r="T24" s="4"/>
      <c r="U24" s="4"/>
      <c r="V24" s="4"/>
      <c r="W24" s="4"/>
      <c r="X24" s="4"/>
    </row>
    <row r="25" spans="1:24" ht="15.75" thickBot="1">
      <c r="A25" s="3">
        <v>72</v>
      </c>
      <c r="B25" s="4" t="s">
        <v>173</v>
      </c>
      <c r="C25" s="4" t="s">
        <v>2</v>
      </c>
      <c r="D25" s="4" t="s">
        <v>82</v>
      </c>
      <c r="E25" s="4" t="s">
        <v>165</v>
      </c>
      <c r="F25" s="4"/>
      <c r="G25" s="4"/>
      <c r="H25" s="4"/>
      <c r="I25" s="4"/>
      <c r="J25" s="4"/>
      <c r="K25" s="4"/>
      <c r="L25" s="4"/>
      <c r="M25" s="4"/>
      <c r="N25" s="4"/>
      <c r="O25" s="4"/>
      <c r="P25" s="4"/>
      <c r="Q25" s="4"/>
      <c r="R25" s="4"/>
      <c r="S25" s="4"/>
      <c r="T25" s="4"/>
      <c r="U25" s="4"/>
      <c r="V25" s="4"/>
      <c r="W25" s="4"/>
      <c r="X25" s="4"/>
    </row>
    <row r="26" spans="1:24" ht="15.75" thickBot="1">
      <c r="A26" s="3">
        <v>89</v>
      </c>
      <c r="B26" s="4" t="s">
        <v>174</v>
      </c>
      <c r="C26" s="4" t="s">
        <v>10</v>
      </c>
      <c r="D26" s="4" t="s">
        <v>137</v>
      </c>
      <c r="E26" s="4" t="s">
        <v>165</v>
      </c>
      <c r="F26" s="4"/>
      <c r="G26" s="4"/>
      <c r="H26" s="4"/>
      <c r="I26" s="4"/>
      <c r="J26" s="4"/>
      <c r="K26" s="4"/>
      <c r="L26" s="4"/>
      <c r="M26" s="4"/>
      <c r="N26" s="4"/>
      <c r="O26" s="4"/>
      <c r="P26" s="4"/>
      <c r="Q26" s="4"/>
      <c r="R26" s="4"/>
      <c r="S26" s="4"/>
      <c r="T26" s="4"/>
      <c r="U26" s="4"/>
      <c r="V26" s="4"/>
      <c r="W26" s="4"/>
      <c r="X26" s="4"/>
    </row>
    <row r="27" spans="1:24" ht="15.75" thickBot="1">
      <c r="A27" s="3">
        <v>92</v>
      </c>
      <c r="B27" s="4" t="s">
        <v>175</v>
      </c>
      <c r="C27" s="4" t="s">
        <v>2</v>
      </c>
      <c r="D27" s="4" t="s">
        <v>49</v>
      </c>
      <c r="E27" s="4" t="s">
        <v>165</v>
      </c>
      <c r="F27" s="4"/>
      <c r="G27" s="4"/>
      <c r="H27" s="4"/>
      <c r="I27" s="4"/>
      <c r="J27" s="4"/>
      <c r="K27" s="4"/>
      <c r="L27" s="4"/>
      <c r="M27" s="4"/>
      <c r="N27" s="4"/>
      <c r="O27" s="4"/>
      <c r="P27" s="4"/>
      <c r="Q27" s="4"/>
      <c r="R27" s="4"/>
      <c r="S27" s="4"/>
      <c r="T27" s="4"/>
      <c r="U27" s="4"/>
      <c r="V27" s="4"/>
      <c r="W27" s="4"/>
      <c r="X27" s="4"/>
    </row>
    <row r="28" spans="1:24" ht="15.75" thickBot="1">
      <c r="A28" s="3">
        <v>109</v>
      </c>
      <c r="B28" s="4" t="s">
        <v>176</v>
      </c>
      <c r="C28" s="4" t="s">
        <v>2</v>
      </c>
      <c r="D28" s="4" t="s">
        <v>137</v>
      </c>
      <c r="E28" s="4" t="s">
        <v>165</v>
      </c>
      <c r="F28" s="4"/>
      <c r="G28" s="4"/>
      <c r="H28" s="4"/>
      <c r="I28" s="4"/>
      <c r="J28" s="4"/>
      <c r="K28" s="4"/>
      <c r="L28" s="4"/>
      <c r="M28" s="4"/>
      <c r="N28" s="4"/>
      <c r="O28" s="4"/>
      <c r="P28" s="4"/>
      <c r="Q28" s="4"/>
      <c r="R28" s="4"/>
      <c r="S28" s="4"/>
      <c r="T28" s="4"/>
      <c r="U28" s="4"/>
      <c r="V28" s="4"/>
      <c r="W28" s="4"/>
      <c r="X28" s="4"/>
    </row>
    <row r="29" spans="1:24" ht="15.75" thickBot="1">
      <c r="A29" s="3">
        <v>112</v>
      </c>
      <c r="B29" s="4" t="s">
        <v>177</v>
      </c>
      <c r="C29" s="4" t="s">
        <v>2</v>
      </c>
      <c r="D29" s="4" t="s">
        <v>84</v>
      </c>
      <c r="E29" s="4" t="s">
        <v>165</v>
      </c>
      <c r="F29" s="4"/>
      <c r="G29" s="4"/>
      <c r="H29" s="4"/>
      <c r="I29" s="4"/>
      <c r="J29" s="4"/>
      <c r="K29" s="4"/>
      <c r="L29" s="4"/>
      <c r="M29" s="4"/>
      <c r="N29" s="4"/>
      <c r="O29" s="4"/>
      <c r="P29" s="4"/>
      <c r="Q29" s="4"/>
      <c r="R29" s="4"/>
      <c r="S29" s="4"/>
      <c r="T29" s="4"/>
      <c r="U29" s="4"/>
      <c r="V29" s="4"/>
      <c r="W29" s="4"/>
      <c r="X29" s="4"/>
    </row>
    <row r="30" spans="1:24" ht="15.75" thickBot="1">
      <c r="A30" s="3">
        <v>129</v>
      </c>
      <c r="B30" s="4" t="s">
        <v>178</v>
      </c>
      <c r="C30" s="4" t="s">
        <v>27</v>
      </c>
      <c r="D30" s="4" t="s">
        <v>19</v>
      </c>
      <c r="E30" s="4" t="s">
        <v>165</v>
      </c>
      <c r="F30" s="4"/>
      <c r="G30" s="4"/>
      <c r="H30" s="4"/>
      <c r="I30" s="4"/>
      <c r="J30" s="4"/>
      <c r="K30" s="4"/>
      <c r="L30" s="4"/>
      <c r="M30" s="4"/>
      <c r="N30" s="4"/>
      <c r="O30" s="4"/>
      <c r="P30" s="4"/>
      <c r="Q30" s="4"/>
      <c r="R30" s="4"/>
      <c r="S30" s="4"/>
      <c r="T30" s="4"/>
      <c r="U30" s="4"/>
      <c r="V30" s="4"/>
      <c r="W30" s="4"/>
      <c r="X30" s="4"/>
    </row>
    <row r="31" spans="1:24" ht="15.75" thickBot="1">
      <c r="A31" s="3">
        <v>132</v>
      </c>
      <c r="B31" s="4" t="s">
        <v>179</v>
      </c>
      <c r="C31" s="4" t="s">
        <v>2</v>
      </c>
      <c r="D31" s="4" t="s">
        <v>71</v>
      </c>
      <c r="E31" s="4" t="s">
        <v>165</v>
      </c>
      <c r="F31" s="4"/>
      <c r="G31" s="4"/>
      <c r="H31" s="4"/>
      <c r="I31" s="4"/>
      <c r="J31" s="4"/>
      <c r="K31" s="4"/>
      <c r="L31" s="4"/>
      <c r="M31" s="4"/>
      <c r="N31" s="4"/>
      <c r="O31" s="4"/>
      <c r="P31" s="4"/>
      <c r="Q31" s="4"/>
      <c r="R31" s="4"/>
      <c r="S31" s="4"/>
      <c r="T31" s="4"/>
      <c r="U31" s="4"/>
      <c r="V31" s="4"/>
      <c r="W31" s="4"/>
      <c r="X31" s="4"/>
    </row>
    <row r="32" spans="1:24" ht="15.75" thickBot="1">
      <c r="A32" s="3">
        <v>149</v>
      </c>
      <c r="B32" s="4" t="s">
        <v>180</v>
      </c>
      <c r="C32" s="4" t="s">
        <v>10</v>
      </c>
      <c r="D32" s="4" t="s">
        <v>91</v>
      </c>
      <c r="E32" s="4" t="s">
        <v>165</v>
      </c>
      <c r="F32" s="4"/>
      <c r="G32" s="4"/>
      <c r="H32" s="4"/>
      <c r="I32" s="4"/>
      <c r="J32" s="4"/>
      <c r="K32" s="4"/>
      <c r="L32" s="4"/>
      <c r="M32" s="4"/>
      <c r="N32" s="4"/>
      <c r="O32" s="4"/>
      <c r="P32" s="4"/>
      <c r="Q32" s="4"/>
      <c r="R32" s="4"/>
      <c r="S32" s="4"/>
      <c r="T32" s="4"/>
      <c r="U32" s="4"/>
      <c r="V32" s="4"/>
      <c r="W32" s="4"/>
      <c r="X32" s="4"/>
    </row>
    <row r="33" spans="1:24" ht="15.75" thickBot="1">
      <c r="A33" s="3">
        <v>152</v>
      </c>
      <c r="B33" s="4" t="s">
        <v>32</v>
      </c>
      <c r="C33" s="4" t="s">
        <v>36</v>
      </c>
      <c r="D33" s="4" t="s">
        <v>32</v>
      </c>
      <c r="E33" s="4" t="s">
        <v>165</v>
      </c>
      <c r="F33" s="4"/>
      <c r="G33" s="4"/>
      <c r="H33" s="4"/>
      <c r="I33" s="4"/>
      <c r="J33" s="4"/>
      <c r="K33" s="4"/>
      <c r="L33" s="4"/>
      <c r="M33" s="4"/>
      <c r="N33" s="4"/>
      <c r="O33" s="4"/>
      <c r="P33" s="4"/>
      <c r="Q33" s="4"/>
      <c r="R33" s="4"/>
      <c r="S33" s="4"/>
      <c r="T33" s="4"/>
      <c r="U33" s="4"/>
      <c r="V33" s="4"/>
      <c r="W33" s="4"/>
      <c r="X33" s="4"/>
    </row>
    <row r="34" spans="1:24" ht="15.75" thickBot="1">
      <c r="A34" s="3">
        <v>4</v>
      </c>
      <c r="B34" s="4" t="s">
        <v>79</v>
      </c>
      <c r="C34" s="4" t="s">
        <v>10</v>
      </c>
      <c r="D34" s="4" t="s">
        <v>56</v>
      </c>
      <c r="E34" s="5" t="s">
        <v>78</v>
      </c>
      <c r="F34" s="4"/>
      <c r="G34" s="4"/>
      <c r="H34" s="4"/>
      <c r="I34" s="4"/>
      <c r="J34" s="4"/>
      <c r="K34" s="4"/>
      <c r="L34" s="4"/>
      <c r="M34" s="4"/>
      <c r="N34" s="4"/>
      <c r="O34" s="4"/>
      <c r="P34" s="4"/>
      <c r="Q34" s="4"/>
      <c r="R34" s="4"/>
      <c r="S34" s="4"/>
      <c r="T34" s="4"/>
      <c r="U34" s="4"/>
      <c r="V34" s="4"/>
      <c r="W34" s="4"/>
      <c r="X34" s="4"/>
    </row>
    <row r="35" spans="1:24" ht="15.75" thickBot="1">
      <c r="A35" s="3">
        <v>17</v>
      </c>
      <c r="B35" s="4" t="s">
        <v>80</v>
      </c>
      <c r="C35" s="4" t="s">
        <v>2</v>
      </c>
      <c r="D35" s="4" t="s">
        <v>19</v>
      </c>
      <c r="E35" s="5" t="s">
        <v>78</v>
      </c>
      <c r="F35" s="4"/>
      <c r="G35" s="4"/>
      <c r="H35" s="4"/>
      <c r="I35" s="4"/>
      <c r="J35" s="4"/>
      <c r="K35" s="4"/>
      <c r="L35" s="4"/>
      <c r="M35" s="4"/>
      <c r="N35" s="4"/>
      <c r="O35" s="4"/>
      <c r="P35" s="4"/>
      <c r="Q35" s="4"/>
      <c r="R35" s="4"/>
      <c r="S35" s="4"/>
      <c r="T35" s="4"/>
      <c r="U35" s="4"/>
      <c r="V35" s="4"/>
      <c r="W35" s="4"/>
      <c r="X35" s="4"/>
    </row>
    <row r="36" spans="1:24" ht="15.75" thickBot="1">
      <c r="A36" s="3">
        <v>24</v>
      </c>
      <c r="B36" s="4" t="s">
        <v>81</v>
      </c>
      <c r="C36" s="4" t="s">
        <v>5</v>
      </c>
      <c r="D36" s="4" t="s">
        <v>82</v>
      </c>
      <c r="E36" s="5" t="s">
        <v>78</v>
      </c>
      <c r="F36" s="4"/>
      <c r="G36" s="4"/>
      <c r="H36" s="4"/>
      <c r="I36" s="4"/>
      <c r="J36" s="4"/>
      <c r="K36" s="4"/>
      <c r="L36" s="4"/>
      <c r="M36" s="4"/>
      <c r="N36" s="4"/>
      <c r="O36" s="4"/>
      <c r="P36" s="4"/>
      <c r="Q36" s="4"/>
      <c r="R36" s="4"/>
      <c r="S36" s="4"/>
      <c r="T36" s="4"/>
      <c r="U36" s="4"/>
      <c r="V36" s="4"/>
      <c r="W36" s="4"/>
      <c r="X36" s="4"/>
    </row>
    <row r="37" spans="1:24" ht="15.75" thickBot="1">
      <c r="A37" s="3">
        <v>37</v>
      </c>
      <c r="B37" s="4" t="s">
        <v>83</v>
      </c>
      <c r="C37" s="4" t="s">
        <v>10</v>
      </c>
      <c r="D37" s="4" t="s">
        <v>84</v>
      </c>
      <c r="E37" s="5" t="s">
        <v>78</v>
      </c>
      <c r="F37" s="4"/>
      <c r="G37" s="4"/>
      <c r="H37" s="4"/>
      <c r="I37" s="4"/>
      <c r="J37" s="4"/>
      <c r="K37" s="4"/>
      <c r="L37" s="4"/>
      <c r="M37" s="4"/>
      <c r="N37" s="4"/>
      <c r="O37" s="4"/>
      <c r="P37" s="4"/>
      <c r="Q37" s="4"/>
      <c r="R37" s="4"/>
      <c r="S37" s="4"/>
      <c r="T37" s="4"/>
      <c r="U37" s="4"/>
      <c r="V37" s="4"/>
      <c r="W37" s="4"/>
      <c r="X37" s="4"/>
    </row>
    <row r="38" spans="1:24" ht="15.75" thickBot="1">
      <c r="A38" s="3">
        <v>44</v>
      </c>
      <c r="B38" s="4" t="s">
        <v>85</v>
      </c>
      <c r="C38" s="4" t="s">
        <v>2</v>
      </c>
      <c r="D38" s="4" t="s">
        <v>32</v>
      </c>
      <c r="E38" s="5" t="s">
        <v>78</v>
      </c>
      <c r="F38" s="4"/>
      <c r="G38" s="4"/>
      <c r="H38" s="4"/>
      <c r="I38" s="4"/>
      <c r="J38" s="4"/>
      <c r="K38" s="4"/>
      <c r="L38" s="4"/>
      <c r="M38" s="4"/>
      <c r="N38" s="4"/>
      <c r="O38" s="4"/>
      <c r="P38" s="4"/>
      <c r="Q38" s="4"/>
      <c r="R38" s="4"/>
      <c r="S38" s="4"/>
      <c r="T38" s="4"/>
      <c r="U38" s="4"/>
      <c r="V38" s="4"/>
      <c r="W38" s="4"/>
      <c r="X38" s="4"/>
    </row>
    <row r="39" spans="1:24" ht="15.75" thickBot="1">
      <c r="A39" s="3">
        <v>57</v>
      </c>
      <c r="B39" s="4" t="s">
        <v>86</v>
      </c>
      <c r="C39" s="4" t="s">
        <v>10</v>
      </c>
      <c r="D39" s="4" t="s">
        <v>35</v>
      </c>
      <c r="E39" s="5" t="s">
        <v>78</v>
      </c>
      <c r="F39" s="4"/>
      <c r="G39" s="4"/>
      <c r="H39" s="4"/>
      <c r="I39" s="4"/>
      <c r="J39" s="4"/>
      <c r="K39" s="4"/>
      <c r="L39" s="4"/>
      <c r="M39" s="4"/>
      <c r="N39" s="4"/>
      <c r="O39" s="4"/>
      <c r="P39" s="4"/>
      <c r="Q39" s="4"/>
      <c r="R39" s="4"/>
      <c r="S39" s="4"/>
      <c r="T39" s="4"/>
      <c r="U39" s="4"/>
      <c r="V39" s="4"/>
      <c r="W39" s="4"/>
      <c r="X39" s="4"/>
    </row>
    <row r="40" spans="1:24" ht="15.75" thickBot="1">
      <c r="A40" s="3">
        <v>64</v>
      </c>
      <c r="B40" s="4" t="s">
        <v>87</v>
      </c>
      <c r="C40" s="4" t="s">
        <v>27</v>
      </c>
      <c r="D40" s="4" t="s">
        <v>84</v>
      </c>
      <c r="E40" s="5" t="s">
        <v>78</v>
      </c>
      <c r="F40" s="4"/>
      <c r="G40" s="4"/>
      <c r="H40" s="4"/>
      <c r="I40" s="4"/>
      <c r="J40" s="4"/>
      <c r="K40" s="4"/>
      <c r="L40" s="4"/>
      <c r="M40" s="4"/>
      <c r="N40" s="4"/>
      <c r="O40" s="4"/>
      <c r="P40" s="4"/>
      <c r="Q40" s="4"/>
      <c r="R40" s="4"/>
      <c r="S40" s="4"/>
      <c r="T40" s="4"/>
      <c r="U40" s="4"/>
      <c r="V40" s="4"/>
      <c r="W40" s="4"/>
      <c r="X40" s="4"/>
    </row>
    <row r="41" spans="1:24" ht="15.75" thickBot="1">
      <c r="A41" s="3">
        <v>77</v>
      </c>
      <c r="B41" s="4" t="s">
        <v>88</v>
      </c>
      <c r="C41" s="4" t="s">
        <v>10</v>
      </c>
      <c r="D41" s="4" t="s">
        <v>30</v>
      </c>
      <c r="E41" s="5" t="s">
        <v>78</v>
      </c>
      <c r="F41" s="4"/>
      <c r="G41" s="4"/>
      <c r="H41" s="4"/>
      <c r="I41" s="4"/>
      <c r="J41" s="4"/>
      <c r="K41" s="4"/>
      <c r="L41" s="4"/>
      <c r="M41" s="4"/>
      <c r="N41" s="4"/>
      <c r="O41" s="4"/>
      <c r="P41" s="4"/>
      <c r="Q41" s="4"/>
      <c r="R41" s="4"/>
      <c r="S41" s="4"/>
      <c r="T41" s="4"/>
      <c r="U41" s="4"/>
      <c r="V41" s="4"/>
      <c r="W41" s="4"/>
      <c r="X41" s="4"/>
    </row>
    <row r="42" spans="1:24" ht="15.75" thickBot="1">
      <c r="A42" s="3">
        <v>84</v>
      </c>
      <c r="B42" s="4" t="s">
        <v>89</v>
      </c>
      <c r="C42" s="4" t="s">
        <v>2</v>
      </c>
      <c r="D42" s="4" t="s">
        <v>6</v>
      </c>
      <c r="E42" s="5" t="s">
        <v>78</v>
      </c>
      <c r="F42" s="4"/>
      <c r="G42" s="4"/>
      <c r="H42" s="4"/>
      <c r="I42" s="4"/>
      <c r="J42" s="4"/>
      <c r="K42" s="4"/>
      <c r="L42" s="4"/>
      <c r="M42" s="4"/>
      <c r="N42" s="4"/>
      <c r="O42" s="4"/>
      <c r="P42" s="4"/>
      <c r="Q42" s="4"/>
      <c r="R42" s="4"/>
      <c r="S42" s="4"/>
      <c r="T42" s="4"/>
      <c r="U42" s="4"/>
      <c r="V42" s="4"/>
      <c r="W42" s="4"/>
      <c r="X42" s="4"/>
    </row>
    <row r="43" spans="1:24" ht="15.75" thickBot="1">
      <c r="A43" s="3">
        <v>97</v>
      </c>
      <c r="B43" s="4" t="s">
        <v>90</v>
      </c>
      <c r="C43" s="4" t="s">
        <v>2</v>
      </c>
      <c r="D43" s="4" t="s">
        <v>91</v>
      </c>
      <c r="E43" s="5" t="s">
        <v>78</v>
      </c>
      <c r="F43" s="4"/>
      <c r="G43" s="4"/>
      <c r="H43" s="4"/>
      <c r="I43" s="4"/>
      <c r="J43" s="4"/>
      <c r="K43" s="4"/>
      <c r="L43" s="4"/>
      <c r="M43" s="4"/>
      <c r="N43" s="4"/>
      <c r="O43" s="4"/>
      <c r="P43" s="4"/>
      <c r="Q43" s="4"/>
      <c r="R43" s="4"/>
      <c r="S43" s="4"/>
      <c r="T43" s="4"/>
      <c r="U43" s="4"/>
      <c r="V43" s="4"/>
      <c r="W43" s="4"/>
      <c r="X43" s="4"/>
    </row>
    <row r="44" spans="1:24" ht="15.75" thickBot="1">
      <c r="A44" s="3">
        <v>104</v>
      </c>
      <c r="B44" s="4" t="s">
        <v>92</v>
      </c>
      <c r="C44" s="4" t="s">
        <v>10</v>
      </c>
      <c r="D44" s="4" t="s">
        <v>46</v>
      </c>
      <c r="E44" s="5" t="s">
        <v>78</v>
      </c>
      <c r="F44" s="4"/>
      <c r="G44" s="4"/>
      <c r="H44" s="4"/>
      <c r="I44" s="4"/>
      <c r="J44" s="4"/>
      <c r="K44" s="4"/>
      <c r="L44" s="4"/>
      <c r="M44" s="4"/>
      <c r="N44" s="4"/>
      <c r="O44" s="4"/>
      <c r="P44" s="4"/>
      <c r="Q44" s="4"/>
      <c r="R44" s="4"/>
      <c r="S44" s="4"/>
      <c r="T44" s="4"/>
      <c r="U44" s="4"/>
      <c r="V44" s="4"/>
      <c r="W44" s="4"/>
      <c r="X44" s="4"/>
    </row>
    <row r="45" spans="1:24" ht="15.75" thickBot="1">
      <c r="A45" s="3">
        <v>117</v>
      </c>
      <c r="B45" s="4" t="s">
        <v>93</v>
      </c>
      <c r="C45" s="4" t="s">
        <v>27</v>
      </c>
      <c r="D45" s="4" t="s">
        <v>43</v>
      </c>
      <c r="E45" s="5" t="s">
        <v>78</v>
      </c>
      <c r="F45" s="4"/>
      <c r="G45" s="4"/>
      <c r="H45" s="4"/>
      <c r="I45" s="4"/>
      <c r="J45" s="4"/>
      <c r="K45" s="4"/>
      <c r="L45" s="4"/>
      <c r="M45" s="4"/>
      <c r="N45" s="4"/>
      <c r="O45" s="4"/>
      <c r="P45" s="4"/>
      <c r="Q45" s="4"/>
      <c r="R45" s="4"/>
      <c r="S45" s="4"/>
      <c r="T45" s="4"/>
      <c r="U45" s="4"/>
      <c r="V45" s="4"/>
      <c r="W45" s="4"/>
      <c r="X45" s="4"/>
    </row>
    <row r="46" spans="1:24" ht="15.75" thickBot="1">
      <c r="A46" s="3">
        <v>124</v>
      </c>
      <c r="B46" s="4" t="s">
        <v>73</v>
      </c>
      <c r="C46" s="4" t="s">
        <v>36</v>
      </c>
      <c r="D46" s="4" t="s">
        <v>73</v>
      </c>
      <c r="E46" s="5" t="s">
        <v>78</v>
      </c>
      <c r="F46" s="4"/>
      <c r="G46" s="4"/>
      <c r="H46" s="4"/>
      <c r="I46" s="4"/>
      <c r="J46" s="4"/>
      <c r="K46" s="4"/>
      <c r="L46" s="4"/>
      <c r="M46" s="4"/>
      <c r="N46" s="4"/>
      <c r="O46" s="4"/>
      <c r="P46" s="4"/>
      <c r="Q46" s="4"/>
      <c r="R46" s="4"/>
      <c r="S46" s="4"/>
      <c r="T46" s="4"/>
      <c r="U46" s="4"/>
      <c r="V46" s="4"/>
      <c r="W46" s="4"/>
      <c r="X46" s="4"/>
    </row>
    <row r="47" spans="1:24" ht="15.75" thickBot="1">
      <c r="A47" s="3">
        <v>137</v>
      </c>
      <c r="B47" s="4" t="s">
        <v>94</v>
      </c>
      <c r="C47" s="4" t="s">
        <v>2</v>
      </c>
      <c r="D47" s="4" t="s">
        <v>91</v>
      </c>
      <c r="E47" s="5" t="s">
        <v>78</v>
      </c>
      <c r="F47" s="4"/>
      <c r="G47" s="4"/>
      <c r="H47" s="4"/>
      <c r="I47" s="4"/>
      <c r="J47" s="4"/>
      <c r="K47" s="4"/>
      <c r="L47" s="4"/>
      <c r="M47" s="4"/>
      <c r="N47" s="4"/>
      <c r="O47" s="4"/>
      <c r="P47" s="4"/>
      <c r="Q47" s="4"/>
      <c r="R47" s="4"/>
      <c r="S47" s="4"/>
      <c r="T47" s="4"/>
      <c r="U47" s="4"/>
      <c r="V47" s="4"/>
      <c r="W47" s="4"/>
      <c r="X47" s="4"/>
    </row>
    <row r="48" spans="1:24" ht="15.75" thickBot="1">
      <c r="A48" s="3">
        <v>144</v>
      </c>
      <c r="B48" s="4" t="s">
        <v>95</v>
      </c>
      <c r="C48" s="4" t="s">
        <v>10</v>
      </c>
      <c r="D48" s="4" t="s">
        <v>17</v>
      </c>
      <c r="E48" s="5" t="s">
        <v>78</v>
      </c>
      <c r="F48" s="4"/>
      <c r="G48" s="4"/>
      <c r="H48" s="4"/>
      <c r="I48" s="4"/>
      <c r="J48" s="4"/>
      <c r="K48" s="4"/>
      <c r="L48" s="4"/>
      <c r="M48" s="4"/>
      <c r="N48" s="4"/>
      <c r="O48" s="4"/>
      <c r="P48" s="4"/>
      <c r="Q48" s="4"/>
      <c r="R48" s="4"/>
      <c r="S48" s="4"/>
      <c r="T48" s="4"/>
      <c r="U48" s="4"/>
      <c r="V48" s="4"/>
      <c r="W48" s="4"/>
      <c r="X48" s="4"/>
    </row>
    <row r="49" spans="1:24" ht="15.75" thickBot="1">
      <c r="A49" s="3">
        <v>157</v>
      </c>
      <c r="B49" s="4" t="s">
        <v>96</v>
      </c>
      <c r="C49" s="4" t="s">
        <v>5</v>
      </c>
      <c r="D49" s="4" t="s">
        <v>28</v>
      </c>
      <c r="E49" s="5" t="s">
        <v>78</v>
      </c>
      <c r="F49" s="4"/>
      <c r="G49" s="4"/>
      <c r="H49" s="4"/>
      <c r="I49" s="4"/>
      <c r="J49" s="4"/>
      <c r="K49" s="4"/>
      <c r="L49" s="4"/>
      <c r="M49" s="4"/>
      <c r="N49" s="4"/>
      <c r="O49" s="4"/>
      <c r="P49" s="4"/>
      <c r="Q49" s="4"/>
      <c r="R49" s="4"/>
      <c r="S49" s="4"/>
      <c r="T49" s="4"/>
      <c r="U49" s="4"/>
      <c r="V49" s="4"/>
      <c r="W49" s="4"/>
      <c r="X49" s="4"/>
    </row>
    <row r="50" spans="1:24" ht="15.75" thickBot="1">
      <c r="A50" s="3">
        <v>1</v>
      </c>
      <c r="B50" s="4" t="s">
        <v>1</v>
      </c>
      <c r="C50" s="4" t="s">
        <v>2</v>
      </c>
      <c r="D50" s="4" t="s">
        <v>3</v>
      </c>
      <c r="E50" s="4" t="s">
        <v>0</v>
      </c>
      <c r="F50" s="4"/>
      <c r="G50" s="4"/>
      <c r="H50" s="4"/>
      <c r="I50" s="4"/>
      <c r="J50" s="4"/>
      <c r="K50" s="4"/>
      <c r="L50" s="4"/>
      <c r="M50" s="4"/>
      <c r="N50" s="4"/>
      <c r="O50" s="4"/>
      <c r="P50" s="4"/>
      <c r="Q50" s="4"/>
      <c r="R50" s="4"/>
      <c r="S50" s="4"/>
      <c r="T50" s="4"/>
      <c r="U50" s="4"/>
      <c r="V50" s="4"/>
      <c r="W50" s="4"/>
      <c r="X50" s="4"/>
    </row>
    <row r="51" spans="1:24" ht="15.75" thickBot="1">
      <c r="A51" s="3">
        <v>20</v>
      </c>
      <c r="B51" s="4" t="s">
        <v>4</v>
      </c>
      <c r="C51" s="4" t="s">
        <v>5</v>
      </c>
      <c r="D51" s="4" t="s">
        <v>6</v>
      </c>
      <c r="E51" s="4" t="s">
        <v>0</v>
      </c>
      <c r="F51" s="4"/>
      <c r="G51" s="4"/>
      <c r="H51" s="4"/>
      <c r="I51" s="4"/>
      <c r="J51" s="4"/>
      <c r="K51" s="4"/>
      <c r="L51" s="4"/>
      <c r="M51" s="4"/>
      <c r="N51" s="4"/>
      <c r="O51" s="4"/>
      <c r="P51" s="4"/>
      <c r="Q51" s="4"/>
      <c r="R51" s="4"/>
      <c r="S51" s="4"/>
      <c r="T51" s="4"/>
      <c r="U51" s="4"/>
      <c r="V51" s="4"/>
      <c r="W51" s="4"/>
      <c r="X51" s="4"/>
    </row>
    <row r="52" spans="1:24" ht="15.75" thickBot="1">
      <c r="A52" s="3">
        <v>21</v>
      </c>
      <c r="B52" s="4" t="s">
        <v>7</v>
      </c>
      <c r="C52" s="4" t="s">
        <v>2</v>
      </c>
      <c r="D52" s="4" t="s">
        <v>8</v>
      </c>
      <c r="E52" s="4" t="s">
        <v>0</v>
      </c>
      <c r="F52" s="4"/>
      <c r="G52" s="4"/>
      <c r="H52" s="4"/>
      <c r="I52" s="4"/>
      <c r="J52" s="4"/>
      <c r="K52" s="4"/>
      <c r="L52" s="4"/>
      <c r="M52" s="4"/>
      <c r="N52" s="4"/>
      <c r="O52" s="4"/>
      <c r="P52" s="4"/>
      <c r="Q52" s="4"/>
      <c r="R52" s="4"/>
      <c r="S52" s="4"/>
      <c r="T52" s="4"/>
      <c r="U52" s="4"/>
      <c r="V52" s="4"/>
      <c r="W52" s="4"/>
      <c r="X52" s="4"/>
    </row>
    <row r="53" spans="1:24" ht="15.75" thickBot="1">
      <c r="A53" s="3">
        <v>40</v>
      </c>
      <c r="B53" s="4" t="s">
        <v>9</v>
      </c>
      <c r="C53" s="4" t="s">
        <v>10</v>
      </c>
      <c r="D53" s="4" t="s">
        <v>11</v>
      </c>
      <c r="E53" s="4" t="s">
        <v>0</v>
      </c>
      <c r="F53" s="4"/>
      <c r="G53" s="4"/>
      <c r="H53" s="4"/>
      <c r="I53" s="4"/>
      <c r="J53" s="4"/>
      <c r="K53" s="4"/>
      <c r="L53" s="4"/>
      <c r="M53" s="4"/>
      <c r="N53" s="4"/>
      <c r="O53" s="4"/>
      <c r="P53" s="4"/>
      <c r="Q53" s="4"/>
      <c r="R53" s="4"/>
      <c r="S53" s="4"/>
      <c r="T53" s="4"/>
      <c r="U53" s="4"/>
      <c r="V53" s="4"/>
      <c r="W53" s="4"/>
      <c r="X53" s="4"/>
    </row>
    <row r="54" spans="1:24" ht="15.75" thickBot="1">
      <c r="A54" s="3">
        <v>41</v>
      </c>
      <c r="B54" s="4" t="s">
        <v>12</v>
      </c>
      <c r="C54" s="4" t="s">
        <v>10</v>
      </c>
      <c r="D54" s="4" t="s">
        <v>13</v>
      </c>
      <c r="E54" s="4" t="s">
        <v>0</v>
      </c>
      <c r="F54" s="4"/>
      <c r="G54" s="4"/>
      <c r="H54" s="4"/>
      <c r="I54" s="4"/>
      <c r="J54" s="4"/>
      <c r="K54" s="4"/>
      <c r="L54" s="4"/>
      <c r="M54" s="4"/>
      <c r="N54" s="4"/>
      <c r="O54" s="4"/>
      <c r="P54" s="4"/>
      <c r="Q54" s="4"/>
      <c r="R54" s="4"/>
      <c r="S54" s="4"/>
      <c r="T54" s="4"/>
      <c r="U54" s="4"/>
      <c r="V54" s="4"/>
      <c r="W54" s="4"/>
      <c r="X54" s="4"/>
    </row>
    <row r="55" spans="1:24" ht="15.75" thickBot="1">
      <c r="A55" s="3">
        <v>60</v>
      </c>
      <c r="B55" s="4" t="s">
        <v>14</v>
      </c>
      <c r="C55" s="4" t="s">
        <v>10</v>
      </c>
      <c r="D55" s="4" t="s">
        <v>15</v>
      </c>
      <c r="E55" s="4" t="s">
        <v>0</v>
      </c>
      <c r="F55" s="4"/>
      <c r="G55" s="4"/>
      <c r="H55" s="4"/>
      <c r="I55" s="4"/>
      <c r="J55" s="4"/>
      <c r="K55" s="4"/>
      <c r="L55" s="4"/>
      <c r="M55" s="4"/>
      <c r="N55" s="4"/>
      <c r="O55" s="4"/>
      <c r="P55" s="4"/>
      <c r="Q55" s="4"/>
      <c r="R55" s="4"/>
      <c r="S55" s="4"/>
      <c r="T55" s="4"/>
      <c r="U55" s="4"/>
      <c r="V55" s="4"/>
      <c r="W55" s="4"/>
      <c r="X55" s="4"/>
    </row>
    <row r="56" spans="1:24" ht="15.75" thickBot="1">
      <c r="A56" s="3">
        <v>61</v>
      </c>
      <c r="B56" s="4" t="s">
        <v>16</v>
      </c>
      <c r="C56" s="4" t="s">
        <v>2</v>
      </c>
      <c r="D56" s="4" t="s">
        <v>17</v>
      </c>
      <c r="E56" s="4" t="s">
        <v>0</v>
      </c>
      <c r="F56" s="4"/>
      <c r="G56" s="4"/>
      <c r="H56" s="4"/>
      <c r="I56" s="4"/>
      <c r="J56" s="4"/>
      <c r="K56" s="4"/>
      <c r="L56" s="4"/>
      <c r="M56" s="4"/>
      <c r="N56" s="4"/>
      <c r="O56" s="4"/>
      <c r="P56" s="4"/>
      <c r="Q56" s="4"/>
      <c r="R56" s="4"/>
      <c r="S56" s="4"/>
      <c r="T56" s="4"/>
      <c r="U56" s="4"/>
      <c r="V56" s="4"/>
      <c r="W56" s="4"/>
      <c r="X56" s="4"/>
    </row>
    <row r="57" spans="1:24" ht="15.75" thickBot="1">
      <c r="A57" s="3">
        <v>80</v>
      </c>
      <c r="B57" s="4" t="s">
        <v>18</v>
      </c>
      <c r="C57" s="4" t="s">
        <v>2</v>
      </c>
      <c r="D57" s="4" t="s">
        <v>19</v>
      </c>
      <c r="E57" s="4" t="s">
        <v>0</v>
      </c>
      <c r="F57" s="4"/>
      <c r="G57" s="4"/>
      <c r="H57" s="4"/>
      <c r="I57" s="4"/>
      <c r="J57" s="4"/>
      <c r="K57" s="4"/>
      <c r="L57" s="4"/>
      <c r="M57" s="4"/>
      <c r="N57" s="4"/>
      <c r="O57" s="4"/>
      <c r="P57" s="4"/>
      <c r="Q57" s="4"/>
      <c r="R57" s="4"/>
      <c r="S57" s="4"/>
      <c r="T57" s="4"/>
      <c r="U57" s="4"/>
      <c r="V57" s="4"/>
      <c r="W57" s="4"/>
      <c r="X57" s="4"/>
    </row>
    <row r="58" spans="1:24" ht="15.75" thickBot="1">
      <c r="A58" s="3">
        <v>81</v>
      </c>
      <c r="B58" s="4" t="s">
        <v>20</v>
      </c>
      <c r="C58" s="4" t="s">
        <v>10</v>
      </c>
      <c r="D58" s="4" t="s">
        <v>21</v>
      </c>
      <c r="E58" s="4" t="s">
        <v>0</v>
      </c>
      <c r="F58" s="4"/>
      <c r="G58" s="4"/>
      <c r="H58" s="4"/>
      <c r="I58" s="4"/>
      <c r="J58" s="4"/>
      <c r="K58" s="4"/>
      <c r="L58" s="4"/>
      <c r="M58" s="4"/>
      <c r="N58" s="4"/>
      <c r="O58" s="4"/>
      <c r="P58" s="4"/>
      <c r="Q58" s="4"/>
      <c r="R58" s="4"/>
      <c r="S58" s="4"/>
      <c r="T58" s="4"/>
      <c r="U58" s="4"/>
      <c r="V58" s="4"/>
      <c r="W58" s="4"/>
      <c r="X58" s="4"/>
    </row>
    <row r="59" spans="1:24" ht="15.75" thickBot="1">
      <c r="A59" s="3">
        <v>100</v>
      </c>
      <c r="B59" s="4" t="s">
        <v>22</v>
      </c>
      <c r="C59" s="4" t="s">
        <v>2</v>
      </c>
      <c r="D59" s="4" t="s">
        <v>23</v>
      </c>
      <c r="E59" s="4" t="s">
        <v>0</v>
      </c>
      <c r="F59" s="4"/>
      <c r="G59" s="4"/>
      <c r="H59" s="4"/>
      <c r="I59" s="4"/>
      <c r="J59" s="4"/>
      <c r="K59" s="4"/>
      <c r="L59" s="4"/>
      <c r="M59" s="4"/>
      <c r="N59" s="4"/>
      <c r="O59" s="4"/>
      <c r="P59" s="4"/>
      <c r="Q59" s="4"/>
      <c r="R59" s="4"/>
      <c r="S59" s="4"/>
      <c r="T59" s="4"/>
      <c r="U59" s="4"/>
      <c r="V59" s="4"/>
      <c r="W59" s="4"/>
      <c r="X59" s="4"/>
    </row>
    <row r="60" spans="1:24" ht="15.75" thickBot="1">
      <c r="A60" s="3">
        <v>101</v>
      </c>
      <c r="B60" s="4" t="s">
        <v>24</v>
      </c>
      <c r="C60" s="4" t="s">
        <v>5</v>
      </c>
      <c r="D60" s="4" t="s">
        <v>25</v>
      </c>
      <c r="E60" s="4" t="s">
        <v>0</v>
      </c>
      <c r="F60" s="4"/>
      <c r="G60" s="4"/>
      <c r="H60" s="4"/>
      <c r="I60" s="4"/>
      <c r="J60" s="4"/>
      <c r="K60" s="4"/>
      <c r="L60" s="4"/>
      <c r="M60" s="4"/>
      <c r="N60" s="4"/>
      <c r="O60" s="4"/>
      <c r="P60" s="4"/>
      <c r="Q60" s="4"/>
      <c r="R60" s="4"/>
      <c r="S60" s="4"/>
      <c r="T60" s="4"/>
      <c r="U60" s="4"/>
      <c r="V60" s="4"/>
      <c r="W60" s="4"/>
      <c r="X60" s="4"/>
    </row>
    <row r="61" spans="1:24" ht="15.75" thickBot="1">
      <c r="A61" s="3">
        <v>120</v>
      </c>
      <c r="B61" s="4" t="s">
        <v>26</v>
      </c>
      <c r="C61" s="4" t="s">
        <v>27</v>
      </c>
      <c r="D61" s="4" t="s">
        <v>28</v>
      </c>
      <c r="E61" s="4" t="s">
        <v>0</v>
      </c>
      <c r="F61" s="4"/>
      <c r="G61" s="4"/>
      <c r="H61" s="4"/>
      <c r="I61" s="4"/>
      <c r="J61" s="4"/>
      <c r="K61" s="4"/>
      <c r="L61" s="4"/>
      <c r="M61" s="4"/>
      <c r="N61" s="4"/>
      <c r="O61" s="4"/>
      <c r="P61" s="4"/>
      <c r="Q61" s="4"/>
      <c r="R61" s="4"/>
      <c r="S61" s="4"/>
      <c r="T61" s="4"/>
      <c r="U61" s="4"/>
      <c r="V61" s="4"/>
      <c r="W61" s="4"/>
      <c r="X61" s="4"/>
    </row>
    <row r="62" spans="1:24" ht="15.75" thickBot="1">
      <c r="A62" s="3">
        <v>121</v>
      </c>
      <c r="B62" s="4" t="s">
        <v>29</v>
      </c>
      <c r="C62" s="4" t="s">
        <v>2</v>
      </c>
      <c r="D62" s="4" t="s">
        <v>30</v>
      </c>
      <c r="E62" s="4" t="s">
        <v>0</v>
      </c>
      <c r="F62" s="4"/>
      <c r="G62" s="4"/>
      <c r="H62" s="4"/>
      <c r="I62" s="4"/>
      <c r="J62" s="4"/>
      <c r="K62" s="4"/>
      <c r="L62" s="4"/>
      <c r="M62" s="4"/>
      <c r="N62" s="4"/>
      <c r="O62" s="4"/>
      <c r="P62" s="4"/>
      <c r="Q62" s="4"/>
      <c r="R62" s="4"/>
      <c r="S62" s="4"/>
      <c r="T62" s="4"/>
      <c r="U62" s="4"/>
      <c r="V62" s="4"/>
      <c r="W62" s="4"/>
      <c r="X62" s="4"/>
    </row>
    <row r="63" spans="1:24" ht="15.75" thickBot="1">
      <c r="A63" s="3">
        <v>140</v>
      </c>
      <c r="B63" s="4" t="s">
        <v>31</v>
      </c>
      <c r="C63" s="4" t="s">
        <v>2</v>
      </c>
      <c r="D63" s="4" t="s">
        <v>32</v>
      </c>
      <c r="E63" s="4" t="s">
        <v>0</v>
      </c>
      <c r="F63" s="4"/>
      <c r="G63" s="4"/>
      <c r="H63" s="4"/>
      <c r="I63" s="4"/>
      <c r="J63" s="4"/>
      <c r="K63" s="4"/>
      <c r="L63" s="4"/>
      <c r="M63" s="4"/>
      <c r="N63" s="4"/>
      <c r="O63" s="4"/>
      <c r="P63" s="4"/>
      <c r="Q63" s="4"/>
      <c r="R63" s="4"/>
      <c r="S63" s="4"/>
      <c r="T63" s="4"/>
      <c r="U63" s="4"/>
      <c r="V63" s="4"/>
      <c r="W63" s="4"/>
      <c r="X63" s="4"/>
    </row>
    <row r="64" spans="1:24" ht="15.75" thickBot="1">
      <c r="A64" s="3">
        <v>6</v>
      </c>
      <c r="B64" s="4" t="s">
        <v>115</v>
      </c>
      <c r="C64" s="4" t="s">
        <v>2</v>
      </c>
      <c r="D64" s="4" t="s">
        <v>43</v>
      </c>
      <c r="E64" s="4" t="s">
        <v>114</v>
      </c>
      <c r="F64" s="4"/>
      <c r="G64" s="4"/>
      <c r="H64" s="4"/>
      <c r="I64" s="4"/>
      <c r="J64" s="4"/>
      <c r="K64" s="4"/>
      <c r="L64" s="4"/>
      <c r="M64" s="4"/>
      <c r="N64" s="4"/>
      <c r="O64" s="4"/>
      <c r="P64" s="4"/>
      <c r="Q64" s="4"/>
      <c r="R64" s="4"/>
      <c r="S64" s="4"/>
      <c r="T64" s="4"/>
      <c r="U64" s="4"/>
      <c r="V64" s="4"/>
      <c r="W64" s="4"/>
      <c r="X64" s="4"/>
    </row>
    <row r="65" spans="1:24" ht="15.75" thickBot="1">
      <c r="A65" s="3">
        <v>15</v>
      </c>
      <c r="B65" s="4" t="s">
        <v>116</v>
      </c>
      <c r="C65" s="4" t="s">
        <v>10</v>
      </c>
      <c r="D65" s="4" t="s">
        <v>17</v>
      </c>
      <c r="E65" s="4" t="s">
        <v>114</v>
      </c>
      <c r="F65" s="4"/>
      <c r="G65" s="4"/>
      <c r="H65" s="4"/>
      <c r="I65" s="4"/>
      <c r="J65" s="4"/>
      <c r="K65" s="4"/>
      <c r="L65" s="4"/>
      <c r="M65" s="4"/>
      <c r="N65" s="4"/>
      <c r="O65" s="4"/>
      <c r="P65" s="4"/>
      <c r="Q65" s="4"/>
      <c r="R65" s="4"/>
      <c r="S65" s="4"/>
      <c r="T65" s="4"/>
      <c r="U65" s="4"/>
      <c r="V65" s="4"/>
      <c r="W65" s="4"/>
      <c r="X65" s="4"/>
    </row>
    <row r="66" spans="1:24" ht="15.75" thickBot="1">
      <c r="A66" s="3">
        <v>26</v>
      </c>
      <c r="B66" s="4" t="s">
        <v>117</v>
      </c>
      <c r="C66" s="4" t="s">
        <v>27</v>
      </c>
      <c r="D66" s="4" t="s">
        <v>91</v>
      </c>
      <c r="E66" s="4" t="s">
        <v>114</v>
      </c>
      <c r="F66" s="4"/>
      <c r="G66" s="4"/>
      <c r="H66" s="4"/>
      <c r="I66" s="4"/>
      <c r="J66" s="4"/>
      <c r="K66" s="4"/>
      <c r="L66" s="4"/>
      <c r="M66" s="4"/>
      <c r="N66" s="4"/>
      <c r="O66" s="4"/>
      <c r="P66" s="4"/>
      <c r="Q66" s="4"/>
      <c r="R66" s="4"/>
      <c r="S66" s="4"/>
      <c r="T66" s="4"/>
      <c r="U66" s="4"/>
      <c r="V66" s="4"/>
      <c r="W66" s="4"/>
      <c r="X66" s="4"/>
    </row>
    <row r="67" spans="1:24" ht="15.75" thickBot="1">
      <c r="A67" s="3">
        <v>35</v>
      </c>
      <c r="B67" s="4" t="s">
        <v>118</v>
      </c>
      <c r="C67" s="4" t="s">
        <v>2</v>
      </c>
      <c r="D67" s="4" t="s">
        <v>41</v>
      </c>
      <c r="E67" s="4" t="s">
        <v>114</v>
      </c>
      <c r="F67" s="4"/>
      <c r="G67" s="4"/>
      <c r="H67" s="4"/>
      <c r="I67" s="4"/>
      <c r="J67" s="4"/>
      <c r="K67" s="4"/>
      <c r="L67" s="4"/>
      <c r="M67" s="4"/>
      <c r="N67" s="4"/>
      <c r="O67" s="4"/>
      <c r="P67" s="4"/>
      <c r="Q67" s="4"/>
      <c r="R67" s="4"/>
      <c r="S67" s="4"/>
      <c r="T67" s="4"/>
      <c r="U67" s="4"/>
      <c r="V67" s="4"/>
      <c r="W67" s="4"/>
      <c r="X67" s="4"/>
    </row>
    <row r="68" spans="1:24" ht="15.75" thickBot="1">
      <c r="A68" s="3">
        <v>46</v>
      </c>
      <c r="B68" s="4" t="s">
        <v>119</v>
      </c>
      <c r="C68" s="4" t="s">
        <v>2</v>
      </c>
      <c r="D68" s="4" t="s">
        <v>120</v>
      </c>
      <c r="E68" s="4" t="s">
        <v>114</v>
      </c>
      <c r="F68" s="4"/>
      <c r="G68" s="4"/>
      <c r="H68" s="4"/>
      <c r="I68" s="4"/>
      <c r="J68" s="4"/>
      <c r="K68" s="4"/>
      <c r="L68" s="4"/>
      <c r="M68" s="4"/>
      <c r="N68" s="4"/>
      <c r="O68" s="4"/>
      <c r="P68" s="4"/>
      <c r="Q68" s="4"/>
      <c r="R68" s="4"/>
      <c r="S68" s="4"/>
      <c r="T68" s="4"/>
      <c r="U68" s="4"/>
      <c r="V68" s="4"/>
      <c r="W68" s="4"/>
      <c r="X68" s="4"/>
    </row>
    <row r="69" spans="1:24" ht="15.75" thickBot="1">
      <c r="A69" s="3">
        <v>55</v>
      </c>
      <c r="B69" s="4" t="s">
        <v>121</v>
      </c>
      <c r="C69" s="4" t="s">
        <v>10</v>
      </c>
      <c r="D69" s="4" t="s">
        <v>34</v>
      </c>
      <c r="E69" s="4" t="s">
        <v>114</v>
      </c>
      <c r="F69" s="4"/>
      <c r="G69" s="4"/>
      <c r="H69" s="4"/>
      <c r="I69" s="4"/>
      <c r="J69" s="4"/>
      <c r="K69" s="4"/>
      <c r="L69" s="4"/>
      <c r="M69" s="4"/>
      <c r="N69" s="4"/>
      <c r="O69" s="4"/>
      <c r="P69" s="4"/>
      <c r="Q69" s="4"/>
      <c r="R69" s="4"/>
      <c r="S69" s="4"/>
      <c r="T69" s="4"/>
      <c r="U69" s="4"/>
      <c r="V69" s="4"/>
      <c r="W69" s="4"/>
      <c r="X69" s="4"/>
    </row>
    <row r="70" spans="1:24" ht="15.75" thickBot="1">
      <c r="A70" s="3">
        <v>66</v>
      </c>
      <c r="B70" s="4" t="s">
        <v>122</v>
      </c>
      <c r="C70" s="4" t="s">
        <v>10</v>
      </c>
      <c r="D70" s="4" t="s">
        <v>28</v>
      </c>
      <c r="E70" s="4" t="s">
        <v>114</v>
      </c>
      <c r="F70" s="4"/>
      <c r="G70" s="4"/>
      <c r="H70" s="4"/>
      <c r="I70" s="4"/>
      <c r="J70" s="4"/>
      <c r="K70" s="4"/>
      <c r="L70" s="4"/>
      <c r="M70" s="4"/>
      <c r="N70" s="4"/>
      <c r="O70" s="4"/>
      <c r="P70" s="4"/>
      <c r="Q70" s="4"/>
      <c r="R70" s="4"/>
      <c r="S70" s="4"/>
      <c r="T70" s="4"/>
      <c r="U70" s="4"/>
      <c r="V70" s="4"/>
      <c r="W70" s="4"/>
      <c r="X70" s="4"/>
    </row>
    <row r="71" spans="1:24" ht="15.75" thickBot="1">
      <c r="A71" s="3">
        <v>75</v>
      </c>
      <c r="B71" s="4" t="s">
        <v>123</v>
      </c>
      <c r="C71" s="4" t="s">
        <v>5</v>
      </c>
      <c r="D71" s="4" t="s">
        <v>8</v>
      </c>
      <c r="E71" s="4" t="s">
        <v>114</v>
      </c>
      <c r="F71" s="4"/>
      <c r="G71" s="4"/>
      <c r="H71" s="4"/>
      <c r="I71" s="4"/>
      <c r="J71" s="4"/>
      <c r="K71" s="4"/>
      <c r="L71" s="4"/>
      <c r="M71" s="4"/>
      <c r="N71" s="4"/>
      <c r="O71" s="4"/>
      <c r="P71" s="4"/>
      <c r="Q71" s="4"/>
      <c r="R71" s="4"/>
      <c r="S71" s="4"/>
      <c r="T71" s="4"/>
      <c r="U71" s="4"/>
      <c r="V71" s="4"/>
      <c r="W71" s="4"/>
      <c r="X71" s="4"/>
    </row>
    <row r="72" spans="1:24" ht="15.75" thickBot="1">
      <c r="A72" s="3">
        <v>86</v>
      </c>
      <c r="B72" s="4" t="s">
        <v>124</v>
      </c>
      <c r="C72" s="4" t="s">
        <v>10</v>
      </c>
      <c r="D72" s="4" t="s">
        <v>3</v>
      </c>
      <c r="E72" s="4" t="s">
        <v>114</v>
      </c>
      <c r="F72" s="4"/>
      <c r="G72" s="4"/>
      <c r="H72" s="4"/>
      <c r="I72" s="4"/>
      <c r="J72" s="4"/>
      <c r="K72" s="4"/>
      <c r="L72" s="4"/>
      <c r="M72" s="4"/>
      <c r="N72" s="4"/>
      <c r="O72" s="4"/>
      <c r="P72" s="4"/>
      <c r="Q72" s="4"/>
      <c r="R72" s="4"/>
      <c r="S72" s="4"/>
      <c r="T72" s="4"/>
      <c r="U72" s="4"/>
      <c r="V72" s="4"/>
      <c r="W72" s="4"/>
      <c r="X72" s="4"/>
    </row>
    <row r="73" spans="1:24" ht="15.75" thickBot="1">
      <c r="A73" s="3">
        <v>95</v>
      </c>
      <c r="B73" s="4" t="s">
        <v>125</v>
      </c>
      <c r="C73" s="4" t="s">
        <v>2</v>
      </c>
      <c r="D73" s="4" t="s">
        <v>6</v>
      </c>
      <c r="E73" s="4" t="s">
        <v>114</v>
      </c>
      <c r="F73" s="4"/>
      <c r="G73" s="4"/>
      <c r="H73" s="4"/>
      <c r="I73" s="4"/>
      <c r="J73" s="4"/>
      <c r="K73" s="4"/>
      <c r="L73" s="4"/>
      <c r="M73" s="4"/>
      <c r="N73" s="4"/>
      <c r="O73" s="4"/>
      <c r="P73" s="4"/>
      <c r="Q73" s="4"/>
      <c r="R73" s="4"/>
      <c r="S73" s="4"/>
      <c r="T73" s="4"/>
      <c r="U73" s="4"/>
      <c r="V73" s="4"/>
      <c r="W73" s="4"/>
      <c r="X73" s="4"/>
    </row>
    <row r="74" spans="1:24" ht="15.75" thickBot="1">
      <c r="A74" s="3">
        <v>106</v>
      </c>
      <c r="B74" s="4" t="s">
        <v>126</v>
      </c>
      <c r="C74" s="4" t="s">
        <v>27</v>
      </c>
      <c r="D74" s="4" t="s">
        <v>6</v>
      </c>
      <c r="E74" s="4" t="s">
        <v>114</v>
      </c>
      <c r="F74" s="4"/>
      <c r="G74" s="4"/>
      <c r="H74" s="4"/>
      <c r="I74" s="4"/>
      <c r="J74" s="4"/>
      <c r="K74" s="4"/>
      <c r="L74" s="4"/>
      <c r="M74" s="4"/>
      <c r="N74" s="4"/>
      <c r="O74" s="4"/>
      <c r="P74" s="4"/>
      <c r="Q74" s="4"/>
      <c r="R74" s="4"/>
      <c r="S74" s="4"/>
      <c r="T74" s="4"/>
      <c r="U74" s="4"/>
      <c r="V74" s="4"/>
      <c r="W74" s="4"/>
      <c r="X74" s="4"/>
    </row>
    <row r="75" spans="1:24" ht="15.75" thickBot="1">
      <c r="A75" s="3">
        <v>115</v>
      </c>
      <c r="B75" s="4" t="s">
        <v>127</v>
      </c>
      <c r="C75" s="4" t="s">
        <v>10</v>
      </c>
      <c r="D75" s="4" t="s">
        <v>84</v>
      </c>
      <c r="E75" s="4" t="s">
        <v>114</v>
      </c>
      <c r="F75" s="4"/>
      <c r="G75" s="4"/>
      <c r="H75" s="4"/>
      <c r="I75" s="4"/>
      <c r="J75" s="4"/>
      <c r="K75" s="4"/>
      <c r="L75" s="4"/>
      <c r="M75" s="4"/>
      <c r="N75" s="4"/>
      <c r="O75" s="4"/>
      <c r="P75" s="4"/>
      <c r="Q75" s="4"/>
      <c r="R75" s="4"/>
      <c r="S75" s="4"/>
      <c r="T75" s="4"/>
      <c r="U75" s="4"/>
      <c r="V75" s="4"/>
      <c r="W75" s="4"/>
      <c r="X75" s="4"/>
    </row>
    <row r="76" spans="1:24" ht="15.75" thickBot="1">
      <c r="A76" s="3">
        <v>126</v>
      </c>
      <c r="B76" s="4" t="s">
        <v>128</v>
      </c>
      <c r="C76" s="4" t="s">
        <v>2</v>
      </c>
      <c r="D76" s="4" t="s">
        <v>28</v>
      </c>
      <c r="E76" s="4" t="s">
        <v>114</v>
      </c>
      <c r="F76" s="4"/>
      <c r="G76" s="4"/>
      <c r="H76" s="4"/>
      <c r="I76" s="4"/>
      <c r="J76" s="4"/>
      <c r="K76" s="4"/>
      <c r="L76" s="4"/>
      <c r="M76" s="4"/>
      <c r="N76" s="4"/>
      <c r="O76" s="4"/>
      <c r="P76" s="4"/>
      <c r="Q76" s="4"/>
      <c r="R76" s="4"/>
      <c r="S76" s="4"/>
      <c r="T76" s="4"/>
      <c r="U76" s="4"/>
      <c r="V76" s="4"/>
      <c r="W76" s="4"/>
      <c r="X76" s="4"/>
    </row>
    <row r="77" spans="1:24" ht="15.75" thickBot="1">
      <c r="A77" s="3">
        <v>135</v>
      </c>
      <c r="B77" s="4" t="s">
        <v>129</v>
      </c>
      <c r="C77" s="4" t="s">
        <v>27</v>
      </c>
      <c r="D77" s="4" t="s">
        <v>43</v>
      </c>
      <c r="E77" s="4" t="s">
        <v>114</v>
      </c>
      <c r="F77" s="4"/>
      <c r="G77" s="4"/>
      <c r="H77" s="4"/>
      <c r="I77" s="4"/>
      <c r="J77" s="4"/>
      <c r="K77" s="4"/>
      <c r="L77" s="4"/>
      <c r="M77" s="4"/>
      <c r="N77" s="4"/>
      <c r="O77" s="4"/>
      <c r="P77" s="4"/>
      <c r="Q77" s="4"/>
      <c r="R77" s="4"/>
      <c r="S77" s="4"/>
      <c r="T77" s="4"/>
      <c r="U77" s="4"/>
      <c r="V77" s="4"/>
      <c r="W77" s="4"/>
      <c r="X77" s="4"/>
    </row>
    <row r="78" spans="1:24" ht="15.75" thickBot="1">
      <c r="A78" s="3">
        <v>146</v>
      </c>
      <c r="B78" s="4" t="s">
        <v>130</v>
      </c>
      <c r="C78" s="4" t="s">
        <v>2</v>
      </c>
      <c r="D78" s="4" t="s">
        <v>23</v>
      </c>
      <c r="E78" s="4" t="s">
        <v>114</v>
      </c>
      <c r="F78" s="4"/>
      <c r="G78" s="4"/>
      <c r="H78" s="4"/>
      <c r="I78" s="4"/>
      <c r="J78" s="4"/>
      <c r="K78" s="4"/>
      <c r="L78" s="4"/>
      <c r="M78" s="4"/>
      <c r="N78" s="4"/>
      <c r="O78" s="4"/>
      <c r="P78" s="4"/>
      <c r="Q78" s="4"/>
      <c r="R78" s="4"/>
      <c r="S78" s="4"/>
      <c r="T78" s="4"/>
      <c r="U78" s="4"/>
      <c r="V78" s="4"/>
      <c r="W78" s="4"/>
      <c r="X78" s="4"/>
    </row>
    <row r="79" spans="1:24" ht="15.75" thickBot="1">
      <c r="A79" s="3">
        <v>155</v>
      </c>
      <c r="B79" s="4" t="s">
        <v>120</v>
      </c>
      <c r="C79" s="4" t="s">
        <v>36</v>
      </c>
      <c r="D79" s="4" t="s">
        <v>120</v>
      </c>
      <c r="E79" s="4" t="s">
        <v>114</v>
      </c>
      <c r="F79" s="4"/>
      <c r="G79" s="4"/>
      <c r="H79" s="4"/>
      <c r="I79" s="4"/>
      <c r="J79" s="4"/>
      <c r="K79" s="4"/>
      <c r="L79" s="4"/>
      <c r="M79" s="4"/>
      <c r="N79" s="4"/>
      <c r="O79" s="4"/>
      <c r="P79" s="4"/>
      <c r="Q79" s="4"/>
      <c r="R79" s="4"/>
      <c r="S79" s="4"/>
      <c r="T79" s="4"/>
      <c r="U79" s="4"/>
      <c r="V79" s="4"/>
      <c r="W79" s="4"/>
      <c r="X79" s="4"/>
    </row>
    <row r="80" spans="1:24" ht="15.75" thickBot="1">
      <c r="A80" s="3">
        <v>8</v>
      </c>
      <c r="B80" s="4" t="s">
        <v>150</v>
      </c>
      <c r="C80" s="4" t="s">
        <v>2</v>
      </c>
      <c r="D80" s="4" t="s">
        <v>8</v>
      </c>
      <c r="E80" s="4" t="s">
        <v>149</v>
      </c>
      <c r="F80" s="4"/>
      <c r="G80" s="4"/>
      <c r="H80" s="4"/>
      <c r="I80" s="4"/>
      <c r="J80" s="4"/>
      <c r="K80" s="4"/>
      <c r="L80" s="4"/>
      <c r="M80" s="4"/>
      <c r="N80" s="4"/>
      <c r="O80" s="4"/>
      <c r="P80" s="4"/>
      <c r="Q80" s="4"/>
      <c r="R80" s="4"/>
      <c r="S80" s="4"/>
      <c r="T80" s="4"/>
      <c r="U80" s="4"/>
      <c r="V80" s="4"/>
      <c r="W80" s="4"/>
      <c r="X80" s="4"/>
    </row>
    <row r="81" spans="1:24" ht="15.75" thickBot="1">
      <c r="A81" s="3">
        <v>13</v>
      </c>
      <c r="B81" s="4" t="s">
        <v>151</v>
      </c>
      <c r="C81" s="4" t="s">
        <v>10</v>
      </c>
      <c r="D81" s="4" t="s">
        <v>120</v>
      </c>
      <c r="E81" s="4" t="s">
        <v>149</v>
      </c>
      <c r="F81" s="4"/>
      <c r="G81" s="4"/>
      <c r="H81" s="4"/>
      <c r="I81" s="4"/>
      <c r="J81" s="4"/>
      <c r="K81" s="4"/>
      <c r="L81" s="4"/>
      <c r="M81" s="4"/>
      <c r="N81" s="4"/>
      <c r="O81" s="4"/>
      <c r="P81" s="4"/>
      <c r="Q81" s="4"/>
      <c r="R81" s="4"/>
      <c r="S81" s="4"/>
      <c r="T81" s="4"/>
      <c r="U81" s="4"/>
      <c r="V81" s="4"/>
      <c r="W81" s="4"/>
      <c r="X81" s="4"/>
    </row>
    <row r="82" spans="1:24" ht="15.75" thickBot="1">
      <c r="A82" s="3">
        <v>28</v>
      </c>
      <c r="B82" s="4" t="s">
        <v>152</v>
      </c>
      <c r="C82" s="4" t="s">
        <v>27</v>
      </c>
      <c r="D82" s="4" t="s">
        <v>32</v>
      </c>
      <c r="E82" s="4" t="s">
        <v>149</v>
      </c>
      <c r="F82" s="4"/>
      <c r="G82" s="4"/>
      <c r="H82" s="4"/>
      <c r="I82" s="4"/>
      <c r="J82" s="4"/>
      <c r="K82" s="4"/>
      <c r="L82" s="4"/>
      <c r="M82" s="4"/>
      <c r="N82" s="4"/>
      <c r="O82" s="4"/>
      <c r="P82" s="4"/>
      <c r="Q82" s="4"/>
      <c r="R82" s="4"/>
      <c r="S82" s="4"/>
      <c r="T82" s="4"/>
      <c r="U82" s="4"/>
      <c r="V82" s="4"/>
      <c r="W82" s="4"/>
      <c r="X82" s="4"/>
    </row>
    <row r="83" spans="1:24" ht="15.75" thickBot="1">
      <c r="A83" s="3">
        <v>33</v>
      </c>
      <c r="B83" s="4" t="s">
        <v>153</v>
      </c>
      <c r="C83" s="4" t="s">
        <v>5</v>
      </c>
      <c r="D83" s="4" t="s">
        <v>60</v>
      </c>
      <c r="E83" s="4" t="s">
        <v>149</v>
      </c>
      <c r="F83" s="4"/>
      <c r="G83" s="4"/>
      <c r="H83" s="4"/>
      <c r="I83" s="4"/>
      <c r="J83" s="4"/>
      <c r="K83" s="4"/>
      <c r="L83" s="4"/>
      <c r="M83" s="4"/>
      <c r="N83" s="4"/>
      <c r="O83" s="4"/>
      <c r="P83" s="4"/>
      <c r="Q83" s="4"/>
      <c r="R83" s="4"/>
      <c r="S83" s="4"/>
      <c r="T83" s="4"/>
      <c r="U83" s="4"/>
      <c r="V83" s="4"/>
      <c r="W83" s="4"/>
      <c r="X83" s="4"/>
    </row>
    <row r="84" spans="1:24" ht="15.75" thickBot="1">
      <c r="A84" s="3">
        <v>48</v>
      </c>
      <c r="B84" s="4" t="s">
        <v>154</v>
      </c>
      <c r="C84" s="4" t="s">
        <v>10</v>
      </c>
      <c r="D84" s="4" t="s">
        <v>60</v>
      </c>
      <c r="E84" s="4" t="s">
        <v>149</v>
      </c>
      <c r="F84" s="4"/>
      <c r="G84" s="4"/>
      <c r="H84" s="4"/>
      <c r="I84" s="4"/>
      <c r="J84" s="4"/>
      <c r="K84" s="4"/>
      <c r="L84" s="4"/>
      <c r="M84" s="4"/>
      <c r="N84" s="4"/>
      <c r="O84" s="4"/>
      <c r="P84" s="4"/>
      <c r="Q84" s="4"/>
      <c r="R84" s="4"/>
      <c r="S84" s="4"/>
      <c r="T84" s="4"/>
      <c r="U84" s="4"/>
      <c r="V84" s="4"/>
      <c r="W84" s="4"/>
      <c r="X84" s="4"/>
    </row>
    <row r="85" spans="1:24" ht="15.75" thickBot="1">
      <c r="A85" s="3">
        <v>53</v>
      </c>
      <c r="B85" s="4" t="s">
        <v>155</v>
      </c>
      <c r="C85" s="4" t="s">
        <v>10</v>
      </c>
      <c r="D85" s="4" t="s">
        <v>21</v>
      </c>
      <c r="E85" s="4" t="s">
        <v>149</v>
      </c>
      <c r="F85" s="4"/>
      <c r="G85" s="4"/>
      <c r="H85" s="4"/>
      <c r="I85" s="4"/>
      <c r="J85" s="4"/>
      <c r="K85" s="4"/>
      <c r="L85" s="4"/>
      <c r="M85" s="4"/>
      <c r="N85" s="4"/>
      <c r="O85" s="4"/>
      <c r="P85" s="4"/>
      <c r="Q85" s="4"/>
      <c r="R85" s="4"/>
      <c r="S85" s="4"/>
      <c r="T85" s="4"/>
      <c r="U85" s="4"/>
      <c r="V85" s="4"/>
      <c r="W85" s="4"/>
      <c r="X85" s="4"/>
    </row>
    <row r="86" spans="1:24" ht="15.75" thickBot="1">
      <c r="A86" s="3">
        <v>68</v>
      </c>
      <c r="B86" s="4" t="s">
        <v>156</v>
      </c>
      <c r="C86" s="4" t="s">
        <v>10</v>
      </c>
      <c r="D86" s="4" t="s">
        <v>73</v>
      </c>
      <c r="E86" s="4" t="s">
        <v>149</v>
      </c>
      <c r="F86" s="4"/>
      <c r="G86" s="4"/>
      <c r="H86" s="4"/>
      <c r="I86" s="4"/>
      <c r="J86" s="4"/>
      <c r="K86" s="4"/>
      <c r="L86" s="4"/>
      <c r="M86" s="4"/>
      <c r="N86" s="4"/>
      <c r="O86" s="4"/>
      <c r="P86" s="4"/>
      <c r="Q86" s="4"/>
      <c r="R86" s="4"/>
      <c r="S86" s="4"/>
      <c r="T86" s="4"/>
      <c r="U86" s="4"/>
      <c r="V86" s="4"/>
      <c r="W86" s="4"/>
      <c r="X86" s="4"/>
    </row>
    <row r="87" spans="1:24" ht="15.75" thickBot="1">
      <c r="A87" s="3">
        <v>73</v>
      </c>
      <c r="B87" s="4" t="s">
        <v>157</v>
      </c>
      <c r="C87" s="4" t="s">
        <v>2</v>
      </c>
      <c r="D87" s="4" t="s">
        <v>135</v>
      </c>
      <c r="E87" s="4" t="s">
        <v>149</v>
      </c>
      <c r="F87" s="4"/>
      <c r="G87" s="4"/>
      <c r="H87" s="4"/>
      <c r="I87" s="4"/>
      <c r="J87" s="4"/>
      <c r="K87" s="4"/>
      <c r="L87" s="4"/>
      <c r="M87" s="4"/>
      <c r="N87" s="4"/>
      <c r="O87" s="4"/>
      <c r="P87" s="4"/>
      <c r="Q87" s="4"/>
      <c r="R87" s="4"/>
      <c r="S87" s="4"/>
      <c r="T87" s="4"/>
      <c r="U87" s="4"/>
      <c r="V87" s="4"/>
      <c r="W87" s="4"/>
      <c r="X87" s="4"/>
    </row>
    <row r="88" spans="1:24" ht="15.75" thickBot="1">
      <c r="A88" s="3">
        <v>88</v>
      </c>
      <c r="B88" s="4" t="s">
        <v>158</v>
      </c>
      <c r="C88" s="4" t="s">
        <v>2</v>
      </c>
      <c r="D88" s="4" t="s">
        <v>25</v>
      </c>
      <c r="E88" s="4" t="s">
        <v>149</v>
      </c>
      <c r="F88" s="4"/>
      <c r="G88" s="4"/>
      <c r="H88" s="4"/>
      <c r="I88" s="4"/>
      <c r="J88" s="4"/>
      <c r="K88" s="4"/>
      <c r="L88" s="4"/>
      <c r="M88" s="4"/>
      <c r="N88" s="4"/>
      <c r="O88" s="4"/>
      <c r="P88" s="4"/>
      <c r="Q88" s="4"/>
      <c r="R88" s="4"/>
      <c r="S88" s="4"/>
      <c r="T88" s="4"/>
      <c r="U88" s="4"/>
      <c r="V88" s="4"/>
      <c r="W88" s="4"/>
      <c r="X88" s="4"/>
    </row>
    <row r="89" spans="1:24" ht="15.75" thickBot="1">
      <c r="A89" s="3">
        <v>93</v>
      </c>
      <c r="B89" s="4" t="s">
        <v>159</v>
      </c>
      <c r="C89" s="4" t="s">
        <v>10</v>
      </c>
      <c r="D89" s="4" t="s">
        <v>71</v>
      </c>
      <c r="E89" s="4" t="s">
        <v>149</v>
      </c>
      <c r="F89" s="4"/>
      <c r="G89" s="4"/>
      <c r="H89" s="4"/>
      <c r="I89" s="4"/>
      <c r="J89" s="4"/>
      <c r="K89" s="4"/>
      <c r="L89" s="4"/>
      <c r="M89" s="4"/>
      <c r="N89" s="4"/>
      <c r="O89" s="4"/>
      <c r="P89" s="4"/>
      <c r="Q89" s="4"/>
      <c r="R89" s="4"/>
      <c r="S89" s="4"/>
      <c r="T89" s="4"/>
      <c r="U89" s="4"/>
      <c r="V89" s="4"/>
      <c r="W89" s="4"/>
      <c r="X89" s="4"/>
    </row>
    <row r="90" spans="1:24" ht="15.75" thickBot="1">
      <c r="A90" s="3">
        <v>108</v>
      </c>
      <c r="B90" s="4" t="s">
        <v>160</v>
      </c>
      <c r="C90" s="4" t="s">
        <v>10</v>
      </c>
      <c r="D90" s="4" t="s">
        <v>11</v>
      </c>
      <c r="E90" s="4" t="s">
        <v>149</v>
      </c>
      <c r="F90" s="4"/>
      <c r="G90" s="4"/>
      <c r="H90" s="4"/>
      <c r="I90" s="4"/>
      <c r="J90" s="4"/>
      <c r="K90" s="4"/>
      <c r="L90" s="4"/>
      <c r="M90" s="4"/>
      <c r="N90" s="4"/>
      <c r="O90" s="4"/>
      <c r="P90" s="4"/>
      <c r="Q90" s="4"/>
      <c r="R90" s="4"/>
      <c r="S90" s="4"/>
      <c r="T90" s="4"/>
      <c r="U90" s="4"/>
      <c r="V90" s="4"/>
      <c r="W90" s="4"/>
      <c r="X90" s="4"/>
    </row>
    <row r="91" spans="1:24" ht="15.75" thickBot="1">
      <c r="A91" s="3">
        <v>113</v>
      </c>
      <c r="B91" s="4" t="s">
        <v>161</v>
      </c>
      <c r="C91" s="4" t="s">
        <v>2</v>
      </c>
      <c r="D91" s="4" t="s">
        <v>82</v>
      </c>
      <c r="E91" s="4" t="s">
        <v>149</v>
      </c>
      <c r="F91" s="4"/>
      <c r="G91" s="4"/>
      <c r="H91" s="4"/>
      <c r="I91" s="4"/>
      <c r="J91" s="4"/>
      <c r="K91" s="4"/>
      <c r="L91" s="4"/>
      <c r="M91" s="4"/>
      <c r="N91" s="4"/>
      <c r="O91" s="4"/>
      <c r="P91" s="4"/>
      <c r="Q91" s="4"/>
      <c r="R91" s="4"/>
      <c r="S91" s="4"/>
      <c r="T91" s="4"/>
      <c r="U91" s="4"/>
      <c r="V91" s="4"/>
      <c r="W91" s="4"/>
      <c r="X91" s="4"/>
    </row>
    <row r="92" spans="1:24" ht="15.75" thickBot="1">
      <c r="A92" s="3">
        <v>128</v>
      </c>
      <c r="B92" s="4" t="s">
        <v>162</v>
      </c>
      <c r="C92" s="4" t="s">
        <v>5</v>
      </c>
      <c r="D92" s="4" t="s">
        <v>15</v>
      </c>
      <c r="E92" s="4" t="s">
        <v>149</v>
      </c>
      <c r="F92" s="4"/>
      <c r="G92" s="4"/>
      <c r="H92" s="4"/>
      <c r="I92" s="4"/>
      <c r="J92" s="4"/>
      <c r="K92" s="4"/>
      <c r="L92" s="4"/>
      <c r="M92" s="4"/>
      <c r="N92" s="4"/>
      <c r="O92" s="4"/>
      <c r="P92" s="4"/>
      <c r="Q92" s="4"/>
      <c r="R92" s="4"/>
      <c r="S92" s="4"/>
      <c r="T92" s="4"/>
      <c r="U92" s="4"/>
      <c r="V92" s="4"/>
      <c r="W92" s="4"/>
      <c r="X92" s="4"/>
    </row>
    <row r="93" spans="1:24" ht="15.75" thickBot="1">
      <c r="A93" s="3">
        <v>133</v>
      </c>
      <c r="B93" s="4" t="s">
        <v>30</v>
      </c>
      <c r="C93" s="4" t="s">
        <v>36</v>
      </c>
      <c r="D93" s="4" t="s">
        <v>30</v>
      </c>
      <c r="E93" s="4" t="s">
        <v>149</v>
      </c>
      <c r="F93" s="4"/>
      <c r="G93" s="4"/>
      <c r="H93" s="4"/>
      <c r="I93" s="4"/>
      <c r="J93" s="4"/>
      <c r="K93" s="4"/>
      <c r="L93" s="4"/>
      <c r="M93" s="4"/>
      <c r="N93" s="4"/>
      <c r="O93" s="4"/>
      <c r="P93" s="4"/>
      <c r="Q93" s="4"/>
      <c r="R93" s="4"/>
      <c r="S93" s="4"/>
      <c r="T93" s="4"/>
      <c r="U93" s="4"/>
      <c r="V93" s="4"/>
      <c r="W93" s="4"/>
      <c r="X93" s="4"/>
    </row>
    <row r="94" spans="1:24" ht="15.75" thickBot="1">
      <c r="A94" s="3">
        <v>148</v>
      </c>
      <c r="B94" s="4" t="s">
        <v>163</v>
      </c>
      <c r="C94" s="4" t="s">
        <v>27</v>
      </c>
      <c r="D94" s="4" t="s">
        <v>15</v>
      </c>
      <c r="E94" s="4" t="s">
        <v>149</v>
      </c>
      <c r="F94" s="4"/>
      <c r="G94" s="4"/>
      <c r="H94" s="4"/>
      <c r="I94" s="4"/>
      <c r="J94" s="4"/>
      <c r="K94" s="4"/>
      <c r="L94" s="4"/>
      <c r="M94" s="4"/>
      <c r="N94" s="4"/>
      <c r="O94" s="4"/>
      <c r="P94" s="4"/>
      <c r="Q94" s="4"/>
      <c r="R94" s="4"/>
      <c r="S94" s="4"/>
      <c r="T94" s="4"/>
      <c r="U94" s="4"/>
      <c r="V94" s="4"/>
      <c r="W94" s="4"/>
      <c r="X94" s="4"/>
    </row>
    <row r="95" spans="1:24" ht="15.75" thickBot="1">
      <c r="A95" s="3">
        <v>153</v>
      </c>
      <c r="B95" s="4" t="s">
        <v>164</v>
      </c>
      <c r="C95" s="4" t="s">
        <v>10</v>
      </c>
      <c r="D95" s="4" t="s">
        <v>41</v>
      </c>
      <c r="E95" s="4" t="s">
        <v>149</v>
      </c>
      <c r="F95" s="4"/>
      <c r="G95" s="4"/>
      <c r="H95" s="4"/>
      <c r="I95" s="4"/>
      <c r="J95" s="4"/>
      <c r="K95" s="4"/>
      <c r="L95" s="4"/>
      <c r="M95" s="4"/>
      <c r="N95" s="4"/>
      <c r="O95" s="4"/>
      <c r="P95" s="4"/>
      <c r="Q95" s="4"/>
      <c r="R95" s="4"/>
      <c r="S95" s="4"/>
      <c r="T95" s="4"/>
      <c r="U95" s="4"/>
      <c r="V95" s="4"/>
      <c r="W95" s="4"/>
      <c r="X95" s="4"/>
    </row>
    <row r="96" spans="1:24" ht="15.75" thickBot="1">
      <c r="A96" s="3">
        <v>3</v>
      </c>
      <c r="B96" s="4" t="s">
        <v>59</v>
      </c>
      <c r="C96" s="4" t="s">
        <v>2</v>
      </c>
      <c r="D96" s="4" t="s">
        <v>60</v>
      </c>
      <c r="E96" s="4" t="s">
        <v>58</v>
      </c>
      <c r="F96" s="4"/>
      <c r="G96" s="4"/>
      <c r="H96" s="4"/>
      <c r="I96" s="4"/>
      <c r="J96" s="4"/>
      <c r="K96" s="4"/>
      <c r="L96" s="4"/>
      <c r="M96" s="4"/>
      <c r="N96" s="4"/>
      <c r="O96" s="4"/>
      <c r="P96" s="4"/>
      <c r="Q96" s="4"/>
      <c r="R96" s="4"/>
      <c r="S96" s="4"/>
      <c r="T96" s="4"/>
      <c r="U96" s="4"/>
      <c r="V96" s="4"/>
      <c r="W96" s="4"/>
      <c r="X96" s="4"/>
    </row>
    <row r="97" spans="1:24" ht="15.75" thickBot="1">
      <c r="A97" s="3">
        <v>18</v>
      </c>
      <c r="B97" s="4" t="s">
        <v>61</v>
      </c>
      <c r="C97" s="4" t="s">
        <v>10</v>
      </c>
      <c r="D97" s="4" t="s">
        <v>32</v>
      </c>
      <c r="E97" s="4" t="s">
        <v>58</v>
      </c>
      <c r="F97" s="4"/>
      <c r="G97" s="4"/>
      <c r="H97" s="4"/>
      <c r="I97" s="4"/>
      <c r="J97" s="4"/>
      <c r="K97" s="4"/>
      <c r="L97" s="4"/>
      <c r="M97" s="4"/>
      <c r="N97" s="4"/>
      <c r="O97" s="4"/>
      <c r="P97" s="4"/>
      <c r="Q97" s="4"/>
      <c r="R97" s="4"/>
      <c r="S97" s="4"/>
      <c r="T97" s="4"/>
      <c r="U97" s="4"/>
      <c r="V97" s="4"/>
      <c r="W97" s="4"/>
      <c r="X97" s="4"/>
    </row>
    <row r="98" spans="1:24" ht="15.75" thickBot="1">
      <c r="A98" s="3">
        <v>23</v>
      </c>
      <c r="B98" s="4" t="s">
        <v>62</v>
      </c>
      <c r="C98" s="4" t="s">
        <v>10</v>
      </c>
      <c r="D98" s="4" t="s">
        <v>63</v>
      </c>
      <c r="E98" s="4" t="s">
        <v>58</v>
      </c>
      <c r="F98" s="4"/>
      <c r="G98" s="4"/>
      <c r="H98" s="4"/>
      <c r="I98" s="4"/>
      <c r="J98" s="4"/>
      <c r="K98" s="4"/>
      <c r="L98" s="4"/>
      <c r="M98" s="4"/>
      <c r="N98" s="4"/>
      <c r="O98" s="4"/>
      <c r="P98" s="4"/>
      <c r="Q98" s="4"/>
      <c r="R98" s="4"/>
      <c r="S98" s="4"/>
      <c r="T98" s="4"/>
      <c r="U98" s="4"/>
      <c r="V98" s="4"/>
      <c r="W98" s="4"/>
      <c r="X98" s="4"/>
    </row>
    <row r="99" spans="1:24" ht="15.75" thickBot="1">
      <c r="A99" s="3">
        <v>38</v>
      </c>
      <c r="B99" s="4" t="s">
        <v>64</v>
      </c>
      <c r="C99" s="4" t="s">
        <v>2</v>
      </c>
      <c r="D99" s="4" t="s">
        <v>25</v>
      </c>
      <c r="E99" s="4" t="s">
        <v>58</v>
      </c>
      <c r="F99" s="4"/>
      <c r="G99" s="4"/>
      <c r="H99" s="4"/>
      <c r="I99" s="4"/>
      <c r="J99" s="4"/>
      <c r="K99" s="4"/>
      <c r="L99" s="4"/>
      <c r="M99" s="4"/>
      <c r="N99" s="4"/>
      <c r="O99" s="4"/>
      <c r="P99" s="4"/>
      <c r="Q99" s="4"/>
      <c r="R99" s="4"/>
      <c r="S99" s="4"/>
      <c r="T99" s="4"/>
      <c r="U99" s="4"/>
      <c r="V99" s="4"/>
      <c r="W99" s="4"/>
      <c r="X99" s="4"/>
    </row>
    <row r="100" spans="1:24" ht="15.75" thickBot="1">
      <c r="A100" s="3">
        <v>43</v>
      </c>
      <c r="B100" s="4" t="s">
        <v>65</v>
      </c>
      <c r="C100" s="4" t="s">
        <v>2</v>
      </c>
      <c r="D100" s="4" t="s">
        <v>3</v>
      </c>
      <c r="E100" s="4" t="s">
        <v>58</v>
      </c>
      <c r="F100" s="4"/>
      <c r="G100" s="4"/>
      <c r="H100" s="4"/>
      <c r="I100" s="4"/>
      <c r="J100" s="4"/>
      <c r="K100" s="4"/>
      <c r="L100" s="4"/>
      <c r="M100" s="4"/>
      <c r="N100" s="4"/>
      <c r="O100" s="4"/>
      <c r="P100" s="4"/>
      <c r="Q100" s="4"/>
      <c r="R100" s="4"/>
      <c r="S100" s="4"/>
      <c r="T100" s="4"/>
      <c r="U100" s="4"/>
      <c r="V100" s="4"/>
      <c r="W100" s="4"/>
      <c r="X100" s="4"/>
    </row>
    <row r="101" spans="1:24" ht="15.75" thickBot="1">
      <c r="A101" s="3">
        <v>58</v>
      </c>
      <c r="B101" s="4" t="s">
        <v>66</v>
      </c>
      <c r="C101" s="4" t="s">
        <v>10</v>
      </c>
      <c r="D101" s="4" t="s">
        <v>49</v>
      </c>
      <c r="E101" s="4" t="s">
        <v>58</v>
      </c>
      <c r="F101" s="4"/>
      <c r="G101" s="4"/>
      <c r="H101" s="4"/>
      <c r="I101" s="4"/>
      <c r="J101" s="4"/>
      <c r="K101" s="4"/>
      <c r="L101" s="4"/>
      <c r="M101" s="4"/>
      <c r="N101" s="4"/>
      <c r="O101" s="4"/>
      <c r="P101" s="4"/>
      <c r="Q101" s="4"/>
      <c r="R101" s="4"/>
      <c r="S101" s="4"/>
      <c r="T101" s="4"/>
      <c r="U101" s="4"/>
      <c r="V101" s="4"/>
      <c r="W101" s="4"/>
      <c r="X101" s="4"/>
    </row>
    <row r="102" spans="1:24" ht="15.75" thickBot="1">
      <c r="A102" s="3">
        <v>63</v>
      </c>
      <c r="B102" s="4" t="s">
        <v>67</v>
      </c>
      <c r="C102" s="4" t="s">
        <v>27</v>
      </c>
      <c r="D102" s="4" t="s">
        <v>49</v>
      </c>
      <c r="E102" s="4" t="s">
        <v>58</v>
      </c>
      <c r="F102" s="4"/>
      <c r="G102" s="4"/>
      <c r="H102" s="4"/>
      <c r="I102" s="4"/>
      <c r="J102" s="4"/>
      <c r="K102" s="4"/>
      <c r="L102" s="4"/>
      <c r="M102" s="4"/>
      <c r="N102" s="4"/>
      <c r="O102" s="4"/>
      <c r="P102" s="4"/>
      <c r="Q102" s="4"/>
      <c r="R102" s="4"/>
      <c r="S102" s="4"/>
      <c r="T102" s="4"/>
      <c r="U102" s="4"/>
      <c r="V102" s="4"/>
      <c r="W102" s="4"/>
      <c r="X102" s="4"/>
    </row>
    <row r="103" spans="1:24" ht="15.75" thickBot="1">
      <c r="A103" s="3">
        <v>78</v>
      </c>
      <c r="B103" s="4" t="s">
        <v>68</v>
      </c>
      <c r="C103" s="4" t="s">
        <v>5</v>
      </c>
      <c r="D103" s="4" t="s">
        <v>43</v>
      </c>
      <c r="E103" s="4" t="s">
        <v>58</v>
      </c>
      <c r="F103" s="4"/>
      <c r="G103" s="4"/>
      <c r="H103" s="4"/>
      <c r="I103" s="4"/>
      <c r="J103" s="4"/>
      <c r="K103" s="4"/>
      <c r="L103" s="4"/>
      <c r="M103" s="4"/>
      <c r="N103" s="4"/>
      <c r="O103" s="4"/>
      <c r="P103" s="4"/>
      <c r="Q103" s="4"/>
      <c r="R103" s="4"/>
      <c r="S103" s="4"/>
      <c r="T103" s="4"/>
      <c r="U103" s="4"/>
      <c r="V103" s="4"/>
      <c r="W103" s="4"/>
      <c r="X103" s="4"/>
    </row>
    <row r="104" spans="1:24" ht="15.75" thickBot="1">
      <c r="A104" s="3">
        <v>83</v>
      </c>
      <c r="B104" s="4" t="s">
        <v>69</v>
      </c>
      <c r="C104" s="4" t="s">
        <v>2</v>
      </c>
      <c r="D104" s="4" t="s">
        <v>43</v>
      </c>
      <c r="E104" s="4" t="s">
        <v>58</v>
      </c>
      <c r="F104" s="4"/>
      <c r="G104" s="4"/>
      <c r="H104" s="4"/>
      <c r="I104" s="4"/>
      <c r="J104" s="4"/>
      <c r="K104" s="4"/>
      <c r="L104" s="4"/>
      <c r="M104" s="4"/>
      <c r="N104" s="4"/>
      <c r="O104" s="4"/>
      <c r="P104" s="4"/>
      <c r="Q104" s="4"/>
      <c r="R104" s="4"/>
      <c r="S104" s="4"/>
      <c r="T104" s="4"/>
      <c r="U104" s="4"/>
      <c r="V104" s="4"/>
      <c r="W104" s="4"/>
      <c r="X104" s="4"/>
    </row>
    <row r="105" spans="1:24" ht="15.75" thickBot="1">
      <c r="A105" s="3">
        <v>98</v>
      </c>
      <c r="B105" s="4" t="s">
        <v>70</v>
      </c>
      <c r="C105" s="4" t="s">
        <v>10</v>
      </c>
      <c r="D105" s="4" t="s">
        <v>71</v>
      </c>
      <c r="E105" s="4" t="s">
        <v>58</v>
      </c>
      <c r="F105" s="4"/>
      <c r="G105" s="4"/>
      <c r="H105" s="4"/>
      <c r="I105" s="4"/>
      <c r="J105" s="4"/>
      <c r="K105" s="4"/>
      <c r="L105" s="4"/>
      <c r="M105" s="4"/>
      <c r="N105" s="4"/>
      <c r="O105" s="4"/>
      <c r="P105" s="4"/>
      <c r="Q105" s="4"/>
      <c r="R105" s="4"/>
      <c r="S105" s="4"/>
      <c r="T105" s="4"/>
      <c r="U105" s="4"/>
      <c r="V105" s="4"/>
      <c r="W105" s="4"/>
      <c r="X105" s="4"/>
    </row>
    <row r="106" spans="1:24" ht="15.75" thickBot="1">
      <c r="A106" s="3">
        <v>103</v>
      </c>
      <c r="B106" s="4" t="s">
        <v>72</v>
      </c>
      <c r="C106" s="4" t="s">
        <v>10</v>
      </c>
      <c r="D106" s="4" t="s">
        <v>73</v>
      </c>
      <c r="E106" s="4" t="s">
        <v>58</v>
      </c>
      <c r="F106" s="4"/>
      <c r="G106" s="4"/>
      <c r="H106" s="4"/>
      <c r="I106" s="4"/>
      <c r="J106" s="4"/>
      <c r="K106" s="4"/>
      <c r="L106" s="4"/>
      <c r="M106" s="4"/>
      <c r="N106" s="4"/>
      <c r="O106" s="4"/>
      <c r="P106" s="4"/>
      <c r="Q106" s="4"/>
      <c r="R106" s="4"/>
      <c r="S106" s="4"/>
      <c r="T106" s="4"/>
      <c r="U106" s="4"/>
      <c r="V106" s="4"/>
      <c r="W106" s="4"/>
      <c r="X106" s="4"/>
    </row>
    <row r="107" spans="1:24" ht="15.75" thickBot="1">
      <c r="A107" s="3">
        <v>118</v>
      </c>
      <c r="B107" s="4" t="s">
        <v>74</v>
      </c>
      <c r="C107" s="4" t="s">
        <v>5</v>
      </c>
      <c r="D107" s="4" t="s">
        <v>3</v>
      </c>
      <c r="E107" s="4" t="s">
        <v>58</v>
      </c>
      <c r="F107" s="4"/>
      <c r="G107" s="4"/>
      <c r="H107" s="4"/>
      <c r="I107" s="4"/>
      <c r="J107" s="4"/>
      <c r="K107" s="4"/>
      <c r="L107" s="4"/>
      <c r="M107" s="4"/>
      <c r="N107" s="4"/>
      <c r="O107" s="4"/>
      <c r="P107" s="4"/>
      <c r="Q107" s="4"/>
      <c r="R107" s="4"/>
      <c r="S107" s="4"/>
      <c r="T107" s="4"/>
      <c r="U107" s="4"/>
      <c r="V107" s="4"/>
      <c r="W107" s="4"/>
      <c r="X107" s="4"/>
    </row>
    <row r="108" spans="1:24" ht="15.75" thickBot="1">
      <c r="A108" s="3">
        <v>123</v>
      </c>
      <c r="B108" s="4" t="s">
        <v>75</v>
      </c>
      <c r="C108" s="4" t="s">
        <v>10</v>
      </c>
      <c r="D108" s="4" t="s">
        <v>32</v>
      </c>
      <c r="E108" s="4" t="s">
        <v>58</v>
      </c>
      <c r="F108" s="4"/>
      <c r="G108" s="4"/>
      <c r="H108" s="4"/>
      <c r="I108" s="4"/>
      <c r="J108" s="4"/>
      <c r="K108" s="4"/>
      <c r="L108" s="4"/>
      <c r="M108" s="4"/>
      <c r="N108" s="4"/>
      <c r="O108" s="4"/>
      <c r="P108" s="4"/>
      <c r="Q108" s="4"/>
      <c r="R108" s="4"/>
      <c r="S108" s="4"/>
      <c r="T108" s="4"/>
      <c r="U108" s="4"/>
      <c r="V108" s="4"/>
      <c r="W108" s="4"/>
      <c r="X108" s="4"/>
    </row>
    <row r="109" spans="1:24" ht="15.75" thickBot="1">
      <c r="A109" s="3">
        <v>138</v>
      </c>
      <c r="B109" s="4" t="s">
        <v>76</v>
      </c>
      <c r="C109" s="4" t="s">
        <v>2</v>
      </c>
      <c r="D109" s="4" t="s">
        <v>28</v>
      </c>
      <c r="E109" s="4" t="s">
        <v>58</v>
      </c>
      <c r="F109" s="4"/>
      <c r="G109" s="4"/>
      <c r="H109" s="4"/>
      <c r="I109" s="4"/>
      <c r="J109" s="4"/>
      <c r="K109" s="4"/>
      <c r="L109" s="4"/>
      <c r="M109" s="4"/>
      <c r="N109" s="4"/>
      <c r="O109" s="4"/>
      <c r="P109" s="4"/>
      <c r="Q109" s="4"/>
      <c r="R109" s="4"/>
      <c r="S109" s="4"/>
      <c r="T109" s="4"/>
      <c r="U109" s="4"/>
      <c r="V109" s="4"/>
      <c r="W109" s="4"/>
      <c r="X109" s="4"/>
    </row>
    <row r="110" spans="1:24" ht="15.75" thickBot="1">
      <c r="A110" s="3">
        <v>143</v>
      </c>
      <c r="B110" s="4" t="s">
        <v>41</v>
      </c>
      <c r="C110" s="4" t="s">
        <v>36</v>
      </c>
      <c r="D110" s="4" t="s">
        <v>41</v>
      </c>
      <c r="E110" s="4" t="s">
        <v>58</v>
      </c>
      <c r="F110" s="4"/>
      <c r="G110" s="4"/>
      <c r="H110" s="4"/>
      <c r="I110" s="4"/>
      <c r="J110" s="4"/>
      <c r="K110" s="4"/>
      <c r="L110" s="4"/>
      <c r="M110" s="4"/>
      <c r="N110" s="4"/>
      <c r="O110" s="4"/>
      <c r="P110" s="4"/>
      <c r="Q110" s="4"/>
      <c r="R110" s="4"/>
      <c r="S110" s="4"/>
      <c r="T110" s="4"/>
      <c r="U110" s="4"/>
      <c r="V110" s="4"/>
      <c r="W110" s="4"/>
      <c r="X110" s="4"/>
    </row>
    <row r="111" spans="1:24" ht="15.75" thickBot="1">
      <c r="A111" s="3">
        <v>158</v>
      </c>
      <c r="B111" s="4" t="s">
        <v>77</v>
      </c>
      <c r="C111" s="4" t="s">
        <v>2</v>
      </c>
      <c r="D111" s="4" t="s">
        <v>60</v>
      </c>
      <c r="E111" s="4" t="s">
        <v>58</v>
      </c>
      <c r="F111" s="4"/>
      <c r="G111" s="4"/>
      <c r="H111" s="4"/>
      <c r="I111" s="4"/>
      <c r="J111" s="4"/>
      <c r="K111" s="4"/>
      <c r="L111" s="4"/>
      <c r="M111" s="4"/>
      <c r="N111" s="4"/>
      <c r="O111" s="4"/>
      <c r="P111" s="4"/>
      <c r="Q111" s="4"/>
      <c r="R111" s="4"/>
      <c r="S111" s="4"/>
      <c r="T111" s="4"/>
      <c r="U111" s="4"/>
      <c r="V111" s="4"/>
      <c r="W111" s="4"/>
      <c r="X111" s="4"/>
    </row>
    <row r="112" spans="1:24" ht="15.75" thickBot="1">
      <c r="A112" s="3">
        <v>5</v>
      </c>
      <c r="B112" s="4" t="s">
        <v>98</v>
      </c>
      <c r="C112" s="4" t="s">
        <v>2</v>
      </c>
      <c r="D112" s="4" t="s">
        <v>84</v>
      </c>
      <c r="E112" s="4" t="s">
        <v>97</v>
      </c>
      <c r="F112" s="4"/>
      <c r="G112" s="4"/>
      <c r="H112" s="4"/>
      <c r="I112" s="4"/>
      <c r="J112" s="4"/>
      <c r="K112" s="4"/>
      <c r="L112" s="4"/>
      <c r="M112" s="4"/>
      <c r="N112" s="4"/>
      <c r="O112" s="4"/>
      <c r="P112" s="4"/>
      <c r="Q112" s="4"/>
      <c r="R112" s="4"/>
      <c r="S112" s="4"/>
      <c r="T112" s="4"/>
      <c r="U112" s="4"/>
      <c r="V112" s="4"/>
      <c r="W112" s="4"/>
      <c r="X112" s="4"/>
    </row>
    <row r="113" spans="1:24" ht="15.75" thickBot="1">
      <c r="A113" s="3">
        <v>16</v>
      </c>
      <c r="B113" s="4" t="s">
        <v>99</v>
      </c>
      <c r="C113" s="4" t="s">
        <v>2</v>
      </c>
      <c r="D113" s="4" t="s">
        <v>30</v>
      </c>
      <c r="E113" s="4" t="s">
        <v>97</v>
      </c>
      <c r="F113" s="4"/>
      <c r="G113" s="4"/>
      <c r="H113" s="4"/>
      <c r="I113" s="4"/>
      <c r="J113" s="4"/>
      <c r="K113" s="4"/>
      <c r="L113" s="4"/>
      <c r="M113" s="4"/>
      <c r="N113" s="4"/>
      <c r="O113" s="4"/>
      <c r="P113" s="4"/>
      <c r="Q113" s="4"/>
      <c r="R113" s="4"/>
      <c r="S113" s="4"/>
      <c r="T113" s="4"/>
      <c r="U113" s="4"/>
      <c r="V113" s="4"/>
      <c r="W113" s="4"/>
      <c r="X113" s="4"/>
    </row>
    <row r="114" spans="1:24" ht="15.75" thickBot="1">
      <c r="A114" s="3">
        <v>25</v>
      </c>
      <c r="B114" s="4" t="s">
        <v>100</v>
      </c>
      <c r="C114" s="4" t="s">
        <v>2</v>
      </c>
      <c r="D114" s="4" t="s">
        <v>28</v>
      </c>
      <c r="E114" s="4" t="s">
        <v>97</v>
      </c>
      <c r="F114" s="4"/>
      <c r="G114" s="4"/>
      <c r="H114" s="4"/>
      <c r="I114" s="4"/>
      <c r="J114" s="4"/>
      <c r="K114" s="4"/>
      <c r="L114" s="4"/>
      <c r="M114" s="4"/>
      <c r="N114" s="4"/>
      <c r="O114" s="4"/>
      <c r="P114" s="4"/>
      <c r="Q114" s="4"/>
      <c r="R114" s="4"/>
      <c r="S114" s="4"/>
      <c r="T114" s="4"/>
      <c r="U114" s="4"/>
      <c r="V114" s="4"/>
      <c r="W114" s="4"/>
      <c r="X114" s="4"/>
    </row>
    <row r="115" spans="1:24" ht="15.75" thickBot="1">
      <c r="A115" s="3">
        <v>36</v>
      </c>
      <c r="B115" s="4" t="s">
        <v>101</v>
      </c>
      <c r="C115" s="4" t="s">
        <v>10</v>
      </c>
      <c r="D115" s="4" t="s">
        <v>6</v>
      </c>
      <c r="E115" s="4" t="s">
        <v>97</v>
      </c>
      <c r="F115" s="4"/>
      <c r="G115" s="4"/>
      <c r="H115" s="4"/>
      <c r="I115" s="4"/>
      <c r="J115" s="4"/>
      <c r="K115" s="4"/>
      <c r="L115" s="4"/>
      <c r="M115" s="4"/>
      <c r="N115" s="4"/>
      <c r="O115" s="4"/>
      <c r="P115" s="4"/>
      <c r="Q115" s="4"/>
      <c r="R115" s="4"/>
      <c r="S115" s="4"/>
      <c r="T115" s="4"/>
      <c r="U115" s="4"/>
      <c r="V115" s="4"/>
      <c r="W115" s="4"/>
      <c r="X115" s="4"/>
    </row>
    <row r="116" spans="1:24" ht="15.75" thickBot="1">
      <c r="A116" s="3">
        <v>45</v>
      </c>
      <c r="B116" s="4" t="s">
        <v>102</v>
      </c>
      <c r="C116" s="4" t="s">
        <v>2</v>
      </c>
      <c r="D116" s="4" t="s">
        <v>91</v>
      </c>
      <c r="E116" s="4" t="s">
        <v>97</v>
      </c>
      <c r="F116" s="4"/>
      <c r="G116" s="4"/>
      <c r="H116" s="4"/>
      <c r="I116" s="4"/>
      <c r="J116" s="4"/>
      <c r="K116" s="4"/>
      <c r="L116" s="4"/>
      <c r="M116" s="4"/>
      <c r="N116" s="4"/>
      <c r="O116" s="4"/>
      <c r="P116" s="4"/>
      <c r="Q116" s="4"/>
      <c r="R116" s="4"/>
      <c r="S116" s="4"/>
      <c r="T116" s="4"/>
      <c r="U116" s="4"/>
      <c r="V116" s="4"/>
      <c r="W116" s="4"/>
      <c r="X116" s="4"/>
    </row>
    <row r="117" spans="1:24" ht="15.75" thickBot="1">
      <c r="A117" s="3">
        <v>56</v>
      </c>
      <c r="B117" s="4" t="s">
        <v>103</v>
      </c>
      <c r="C117" s="4" t="s">
        <v>10</v>
      </c>
      <c r="D117" s="4" t="s">
        <v>82</v>
      </c>
      <c r="E117" s="4" t="s">
        <v>97</v>
      </c>
      <c r="F117" s="4"/>
      <c r="G117" s="4"/>
      <c r="H117" s="4"/>
      <c r="I117" s="4"/>
      <c r="J117" s="4"/>
      <c r="K117" s="4"/>
      <c r="L117" s="4"/>
      <c r="M117" s="4"/>
      <c r="N117" s="4"/>
      <c r="O117" s="4"/>
      <c r="P117" s="4"/>
      <c r="Q117" s="4"/>
      <c r="R117" s="4"/>
      <c r="S117" s="4"/>
      <c r="T117" s="4"/>
      <c r="U117" s="4"/>
      <c r="V117" s="4"/>
      <c r="W117" s="4"/>
      <c r="X117" s="4"/>
    </row>
    <row r="118" spans="1:24" ht="15.75" thickBot="1">
      <c r="A118" s="3">
        <v>65</v>
      </c>
      <c r="B118" s="4" t="s">
        <v>104</v>
      </c>
      <c r="C118" s="4" t="s">
        <v>2</v>
      </c>
      <c r="D118" s="4" t="s">
        <v>21</v>
      </c>
      <c r="E118" s="4" t="s">
        <v>97</v>
      </c>
      <c r="F118" s="4"/>
      <c r="G118" s="4"/>
      <c r="H118" s="4"/>
      <c r="I118" s="4"/>
      <c r="J118" s="4"/>
      <c r="K118" s="4"/>
      <c r="L118" s="4"/>
      <c r="M118" s="4"/>
      <c r="N118" s="4"/>
      <c r="O118" s="4"/>
      <c r="P118" s="4"/>
      <c r="Q118" s="4"/>
      <c r="R118" s="4"/>
      <c r="S118" s="4"/>
      <c r="T118" s="4"/>
      <c r="U118" s="4"/>
      <c r="V118" s="4"/>
      <c r="W118" s="4"/>
      <c r="X118" s="4"/>
    </row>
    <row r="119" spans="1:24" ht="15.75" thickBot="1">
      <c r="A119" s="3">
        <v>76</v>
      </c>
      <c r="B119" s="4" t="s">
        <v>105</v>
      </c>
      <c r="C119" s="4" t="s">
        <v>27</v>
      </c>
      <c r="D119" s="4" t="s">
        <v>23</v>
      </c>
      <c r="E119" s="4" t="s">
        <v>97</v>
      </c>
      <c r="F119" s="4"/>
      <c r="G119" s="4"/>
      <c r="H119" s="4"/>
      <c r="I119" s="4"/>
      <c r="J119" s="4"/>
      <c r="K119" s="4"/>
      <c r="L119" s="4"/>
      <c r="M119" s="4"/>
      <c r="N119" s="4"/>
      <c r="O119" s="4"/>
      <c r="P119" s="4"/>
      <c r="Q119" s="4"/>
      <c r="R119" s="4"/>
      <c r="S119" s="4"/>
      <c r="T119" s="4"/>
      <c r="U119" s="4"/>
      <c r="V119" s="4"/>
      <c r="W119" s="4"/>
      <c r="X119" s="4"/>
    </row>
    <row r="120" spans="1:24" ht="15.75" thickBot="1">
      <c r="A120" s="3">
        <v>85</v>
      </c>
      <c r="B120" s="4" t="s">
        <v>106</v>
      </c>
      <c r="C120" s="4" t="s">
        <v>2</v>
      </c>
      <c r="D120" s="4" t="s">
        <v>107</v>
      </c>
      <c r="E120" s="4" t="s">
        <v>97</v>
      </c>
      <c r="F120" s="4"/>
      <c r="G120" s="4"/>
      <c r="H120" s="4"/>
      <c r="I120" s="4"/>
      <c r="J120" s="4"/>
      <c r="K120" s="4"/>
      <c r="L120" s="4"/>
      <c r="M120" s="4"/>
      <c r="N120" s="4"/>
      <c r="O120" s="4"/>
      <c r="P120" s="4"/>
      <c r="Q120" s="4"/>
      <c r="R120" s="4"/>
      <c r="S120" s="4"/>
      <c r="T120" s="4"/>
      <c r="U120" s="4"/>
      <c r="V120" s="4"/>
      <c r="W120" s="4"/>
      <c r="X120" s="4"/>
    </row>
    <row r="121" spans="1:24" ht="15.75" thickBot="1">
      <c r="A121" s="3">
        <v>96</v>
      </c>
      <c r="B121" s="4" t="s">
        <v>108</v>
      </c>
      <c r="C121" s="4" t="s">
        <v>5</v>
      </c>
      <c r="D121" s="4" t="s">
        <v>49</v>
      </c>
      <c r="E121" s="4" t="s">
        <v>97</v>
      </c>
      <c r="F121" s="4"/>
      <c r="G121" s="4"/>
      <c r="H121" s="4"/>
      <c r="I121" s="4"/>
      <c r="J121" s="4"/>
      <c r="K121" s="4"/>
      <c r="L121" s="4"/>
      <c r="M121" s="4"/>
      <c r="N121" s="4"/>
      <c r="O121" s="4"/>
      <c r="P121" s="4"/>
      <c r="Q121" s="4"/>
      <c r="R121" s="4"/>
      <c r="S121" s="4"/>
      <c r="T121" s="4"/>
      <c r="U121" s="4"/>
      <c r="V121" s="4"/>
      <c r="W121" s="4"/>
      <c r="X121" s="4"/>
    </row>
    <row r="122" spans="1:24" ht="15.75" thickBot="1">
      <c r="A122" s="3">
        <v>105</v>
      </c>
      <c r="B122" s="4" t="s">
        <v>109</v>
      </c>
      <c r="C122" s="4" t="s">
        <v>10</v>
      </c>
      <c r="D122" s="4" t="s">
        <v>30</v>
      </c>
      <c r="E122" s="4" t="s">
        <v>97</v>
      </c>
      <c r="F122" s="4"/>
      <c r="G122" s="4"/>
      <c r="H122" s="4"/>
      <c r="I122" s="4"/>
      <c r="J122" s="4"/>
      <c r="K122" s="4"/>
      <c r="L122" s="4"/>
      <c r="M122" s="4"/>
      <c r="N122" s="4"/>
      <c r="O122" s="4"/>
      <c r="P122" s="4"/>
      <c r="Q122" s="4"/>
      <c r="R122" s="4"/>
      <c r="S122" s="4"/>
      <c r="T122" s="4"/>
      <c r="U122" s="4"/>
      <c r="V122" s="4"/>
      <c r="W122" s="4"/>
      <c r="X122" s="4"/>
    </row>
    <row r="123" spans="1:24" ht="15.75" thickBot="1">
      <c r="A123" s="3">
        <v>116</v>
      </c>
      <c r="B123" s="4" t="s">
        <v>110</v>
      </c>
      <c r="C123" s="4" t="s">
        <v>10</v>
      </c>
      <c r="D123" s="4" t="s">
        <v>13</v>
      </c>
      <c r="E123" s="4" t="s">
        <v>97</v>
      </c>
      <c r="F123" s="4"/>
      <c r="G123" s="4"/>
      <c r="H123" s="4"/>
      <c r="I123" s="4"/>
      <c r="J123" s="4"/>
      <c r="K123" s="4"/>
      <c r="L123" s="4"/>
      <c r="M123" s="4"/>
      <c r="N123" s="4"/>
      <c r="O123" s="4"/>
      <c r="P123" s="4"/>
      <c r="Q123" s="4"/>
      <c r="R123" s="4"/>
      <c r="S123" s="4"/>
      <c r="T123" s="4"/>
      <c r="U123" s="4"/>
      <c r="V123" s="4"/>
      <c r="W123" s="4"/>
      <c r="X123" s="4"/>
    </row>
    <row r="124" spans="1:24" ht="15.75" thickBot="1">
      <c r="A124" s="3">
        <v>125</v>
      </c>
      <c r="B124" s="4" t="s">
        <v>111</v>
      </c>
      <c r="C124" s="4" t="s">
        <v>10</v>
      </c>
      <c r="D124" s="4" t="s">
        <v>43</v>
      </c>
      <c r="E124" s="4" t="s">
        <v>97</v>
      </c>
      <c r="F124" s="4"/>
      <c r="G124" s="4"/>
      <c r="H124" s="4"/>
      <c r="I124" s="4"/>
      <c r="J124" s="4"/>
      <c r="K124" s="4"/>
      <c r="L124" s="4"/>
      <c r="M124" s="4"/>
      <c r="N124" s="4"/>
      <c r="O124" s="4"/>
      <c r="P124" s="4"/>
      <c r="Q124" s="4"/>
      <c r="R124" s="4"/>
      <c r="S124" s="4"/>
      <c r="T124" s="4"/>
      <c r="U124" s="4"/>
      <c r="V124" s="4"/>
      <c r="W124" s="4"/>
      <c r="X124" s="4"/>
    </row>
    <row r="125" spans="1:24" ht="15.75" thickBot="1">
      <c r="A125" s="3">
        <v>136</v>
      </c>
      <c r="B125" s="4" t="s">
        <v>17</v>
      </c>
      <c r="C125" s="4" t="s">
        <v>36</v>
      </c>
      <c r="D125" s="4" t="s">
        <v>17</v>
      </c>
      <c r="E125" s="4" t="s">
        <v>97</v>
      </c>
      <c r="F125" s="4"/>
      <c r="G125" s="4"/>
      <c r="H125" s="4"/>
      <c r="I125" s="4"/>
      <c r="J125" s="4"/>
      <c r="K125" s="4"/>
      <c r="L125" s="4"/>
      <c r="M125" s="4"/>
      <c r="N125" s="4"/>
      <c r="O125" s="4"/>
      <c r="P125" s="4"/>
      <c r="Q125" s="4"/>
      <c r="R125" s="4"/>
      <c r="S125" s="4"/>
      <c r="T125" s="4"/>
      <c r="U125" s="4"/>
      <c r="V125" s="4"/>
      <c r="W125" s="4"/>
      <c r="X125" s="4"/>
    </row>
    <row r="126" spans="1:24" ht="15.75" thickBot="1">
      <c r="A126" s="3">
        <v>145</v>
      </c>
      <c r="B126" s="4" t="s">
        <v>112</v>
      </c>
      <c r="C126" s="4" t="s">
        <v>10</v>
      </c>
      <c r="D126" s="4" t="s">
        <v>34</v>
      </c>
      <c r="E126" s="4" t="s">
        <v>97</v>
      </c>
      <c r="F126" s="4"/>
      <c r="G126" s="4"/>
      <c r="H126" s="4"/>
      <c r="I126" s="4"/>
      <c r="J126" s="4"/>
      <c r="K126" s="4"/>
      <c r="L126" s="4"/>
      <c r="M126" s="4"/>
      <c r="N126" s="4"/>
      <c r="O126" s="4"/>
      <c r="P126" s="4"/>
      <c r="Q126" s="4"/>
      <c r="R126" s="4"/>
      <c r="S126" s="4"/>
      <c r="T126" s="4"/>
      <c r="U126" s="4"/>
      <c r="V126" s="4"/>
      <c r="W126" s="4"/>
      <c r="X126" s="4"/>
    </row>
    <row r="127" spans="1:24" ht="15.75" thickBot="1">
      <c r="A127" s="3">
        <v>156</v>
      </c>
      <c r="B127" s="4" t="s">
        <v>113</v>
      </c>
      <c r="C127" s="4" t="s">
        <v>10</v>
      </c>
      <c r="D127" s="4" t="s">
        <v>25</v>
      </c>
      <c r="E127" s="4" t="s">
        <v>97</v>
      </c>
      <c r="F127" s="4"/>
      <c r="G127" s="4"/>
      <c r="H127" s="4"/>
      <c r="I127" s="4"/>
      <c r="J127" s="4"/>
      <c r="K127" s="4"/>
      <c r="L127" s="4"/>
      <c r="M127" s="4"/>
      <c r="N127" s="4"/>
      <c r="O127" s="4"/>
      <c r="P127" s="4"/>
      <c r="Q127" s="4"/>
      <c r="R127" s="4"/>
      <c r="S127" s="4"/>
      <c r="T127" s="4"/>
      <c r="U127" s="4"/>
      <c r="V127" s="4"/>
      <c r="W127" s="4"/>
      <c r="X127" s="4"/>
    </row>
    <row r="128" spans="1:24" ht="15.75" thickBot="1">
      <c r="A128" s="3">
        <v>10</v>
      </c>
      <c r="B128" s="4" t="s">
        <v>182</v>
      </c>
      <c r="C128" s="4" t="s">
        <v>27</v>
      </c>
      <c r="D128" s="4" t="s">
        <v>30</v>
      </c>
      <c r="E128" s="4" t="s">
        <v>181</v>
      </c>
      <c r="F128" s="4"/>
      <c r="G128" s="4"/>
      <c r="H128" s="4"/>
      <c r="I128" s="4"/>
      <c r="J128" s="4"/>
      <c r="K128" s="4"/>
      <c r="L128" s="4"/>
      <c r="M128" s="4"/>
      <c r="N128" s="4"/>
      <c r="O128" s="4"/>
      <c r="P128" s="4"/>
      <c r="Q128" s="4"/>
      <c r="R128" s="4"/>
      <c r="S128" s="4"/>
      <c r="T128" s="4"/>
      <c r="U128" s="4"/>
      <c r="V128" s="4"/>
      <c r="W128" s="4"/>
      <c r="X128" s="4"/>
    </row>
    <row r="129" spans="1:24" ht="15.75" thickBot="1">
      <c r="A129" s="3">
        <v>11</v>
      </c>
      <c r="B129" s="4" t="s">
        <v>183</v>
      </c>
      <c r="C129" s="4" t="s">
        <v>10</v>
      </c>
      <c r="D129" s="4" t="s">
        <v>49</v>
      </c>
      <c r="E129" s="4" t="s">
        <v>181</v>
      </c>
      <c r="F129" s="4"/>
      <c r="G129" s="4"/>
      <c r="H129" s="4"/>
      <c r="I129" s="4"/>
      <c r="J129" s="4"/>
      <c r="K129" s="4"/>
      <c r="L129" s="4"/>
      <c r="M129" s="4"/>
      <c r="N129" s="4"/>
      <c r="O129" s="4"/>
      <c r="P129" s="4"/>
      <c r="Q129" s="4"/>
      <c r="R129" s="4"/>
      <c r="S129" s="4"/>
      <c r="T129" s="4"/>
      <c r="U129" s="4"/>
      <c r="V129" s="4"/>
      <c r="W129" s="4"/>
      <c r="X129" s="4"/>
    </row>
    <row r="130" spans="1:24" ht="15.75" thickBot="1">
      <c r="A130" s="3">
        <v>30</v>
      </c>
      <c r="B130" s="4" t="s">
        <v>184</v>
      </c>
      <c r="C130" s="4" t="s">
        <v>2</v>
      </c>
      <c r="D130" s="4" t="s">
        <v>46</v>
      </c>
      <c r="E130" s="4" t="s">
        <v>181</v>
      </c>
      <c r="F130" s="4"/>
      <c r="G130" s="4"/>
      <c r="H130" s="4"/>
      <c r="I130" s="4"/>
      <c r="J130" s="4"/>
      <c r="K130" s="4"/>
      <c r="L130" s="4"/>
      <c r="M130" s="4"/>
      <c r="N130" s="4"/>
      <c r="O130" s="4"/>
      <c r="P130" s="4"/>
      <c r="Q130" s="4"/>
      <c r="R130" s="4"/>
      <c r="S130" s="4"/>
      <c r="T130" s="4"/>
      <c r="U130" s="4"/>
      <c r="V130" s="4"/>
      <c r="W130" s="4"/>
      <c r="X130" s="4"/>
    </row>
    <row r="131" spans="1:24" ht="15.75" thickBot="1">
      <c r="A131" s="3">
        <v>31</v>
      </c>
      <c r="B131" s="4" t="s">
        <v>185</v>
      </c>
      <c r="C131" s="4" t="s">
        <v>2</v>
      </c>
      <c r="D131" s="4" t="s">
        <v>73</v>
      </c>
      <c r="E131" s="4" t="s">
        <v>181</v>
      </c>
      <c r="F131" s="4"/>
      <c r="G131" s="4"/>
      <c r="H131" s="4"/>
      <c r="I131" s="4"/>
      <c r="J131" s="4"/>
      <c r="K131" s="4"/>
      <c r="L131" s="4"/>
      <c r="M131" s="4"/>
      <c r="N131" s="4"/>
      <c r="O131" s="4"/>
      <c r="P131" s="4"/>
      <c r="Q131" s="4"/>
      <c r="R131" s="4"/>
      <c r="S131" s="4"/>
      <c r="T131" s="4"/>
      <c r="U131" s="4"/>
      <c r="V131" s="4"/>
      <c r="W131" s="4"/>
      <c r="X131" s="4"/>
    </row>
    <row r="132" spans="1:24" ht="15.75" thickBot="1">
      <c r="A132" s="3">
        <v>50</v>
      </c>
      <c r="B132" s="4" t="s">
        <v>186</v>
      </c>
      <c r="C132" s="4" t="s">
        <v>10</v>
      </c>
      <c r="D132" s="4" t="s">
        <v>25</v>
      </c>
      <c r="E132" s="4" t="s">
        <v>181</v>
      </c>
      <c r="F132" s="4"/>
      <c r="G132" s="4"/>
      <c r="H132" s="4"/>
      <c r="I132" s="4"/>
      <c r="J132" s="4"/>
      <c r="K132" s="4"/>
      <c r="L132" s="4"/>
      <c r="M132" s="4"/>
      <c r="N132" s="4"/>
      <c r="O132" s="4"/>
      <c r="P132" s="4"/>
      <c r="Q132" s="4"/>
      <c r="R132" s="4"/>
      <c r="S132" s="4"/>
      <c r="T132" s="4"/>
      <c r="U132" s="4"/>
      <c r="V132" s="4"/>
      <c r="W132" s="4"/>
      <c r="X132" s="4"/>
    </row>
    <row r="133" spans="1:24" ht="15.75" thickBot="1">
      <c r="A133" s="3">
        <v>51</v>
      </c>
      <c r="B133" s="4" t="s">
        <v>187</v>
      </c>
      <c r="C133" s="4" t="s">
        <v>2</v>
      </c>
      <c r="D133" s="4" t="s">
        <v>34</v>
      </c>
      <c r="E133" s="4" t="s">
        <v>181</v>
      </c>
      <c r="F133" s="4"/>
      <c r="G133" s="4"/>
      <c r="H133" s="4"/>
      <c r="I133" s="4"/>
      <c r="J133" s="4"/>
      <c r="K133" s="4"/>
      <c r="L133" s="4"/>
      <c r="M133" s="4"/>
      <c r="N133" s="4"/>
      <c r="O133" s="4"/>
      <c r="P133" s="4"/>
      <c r="Q133" s="4"/>
      <c r="R133" s="4"/>
      <c r="S133" s="4"/>
      <c r="T133" s="4"/>
      <c r="U133" s="4"/>
      <c r="V133" s="4"/>
      <c r="W133" s="4"/>
      <c r="X133" s="4"/>
    </row>
    <row r="134" spans="1:24" ht="15.75" thickBot="1">
      <c r="A134" s="3">
        <v>70</v>
      </c>
      <c r="B134" s="4" t="s">
        <v>188</v>
      </c>
      <c r="C134" s="4" t="s">
        <v>10</v>
      </c>
      <c r="D134" s="4" t="s">
        <v>60</v>
      </c>
      <c r="E134" s="4" t="s">
        <v>181</v>
      </c>
      <c r="F134" s="4"/>
      <c r="G134" s="4"/>
      <c r="H134" s="4"/>
      <c r="I134" s="4"/>
      <c r="J134" s="4"/>
      <c r="K134" s="4"/>
      <c r="L134" s="4"/>
      <c r="M134" s="4"/>
      <c r="N134" s="4"/>
      <c r="O134" s="4"/>
      <c r="P134" s="4"/>
      <c r="Q134" s="4"/>
      <c r="R134" s="4"/>
      <c r="S134" s="4"/>
      <c r="T134" s="4"/>
      <c r="U134" s="4"/>
      <c r="V134" s="4"/>
      <c r="W134" s="4"/>
      <c r="X134" s="4"/>
    </row>
    <row r="135" spans="1:24" ht="15.75" thickBot="1">
      <c r="A135" s="3">
        <v>71</v>
      </c>
      <c r="B135" s="4" t="s">
        <v>189</v>
      </c>
      <c r="C135" s="4" t="s">
        <v>5</v>
      </c>
      <c r="D135" s="4" t="s">
        <v>32</v>
      </c>
      <c r="E135" s="4" t="s">
        <v>181</v>
      </c>
      <c r="F135" s="4"/>
      <c r="G135" s="4"/>
      <c r="H135" s="4"/>
      <c r="I135" s="4"/>
      <c r="J135" s="4"/>
      <c r="K135" s="4"/>
      <c r="L135" s="4"/>
      <c r="M135" s="4"/>
      <c r="N135" s="4"/>
      <c r="O135" s="4"/>
      <c r="P135" s="4"/>
      <c r="Q135" s="4"/>
      <c r="R135" s="4"/>
      <c r="S135" s="4"/>
      <c r="T135" s="4"/>
      <c r="U135" s="4"/>
      <c r="V135" s="4"/>
      <c r="W135" s="4"/>
      <c r="X135" s="4"/>
    </row>
    <row r="136" spans="1:24" ht="15.75" thickBot="1">
      <c r="A136" s="3">
        <v>90</v>
      </c>
      <c r="B136" s="4" t="s">
        <v>190</v>
      </c>
      <c r="C136" s="4" t="s">
        <v>2</v>
      </c>
      <c r="D136" s="4" t="s">
        <v>56</v>
      </c>
      <c r="E136" s="4" t="s">
        <v>181</v>
      </c>
      <c r="F136" s="4"/>
      <c r="G136" s="4"/>
      <c r="H136" s="4"/>
      <c r="I136" s="4"/>
      <c r="J136" s="4"/>
      <c r="K136" s="4"/>
      <c r="L136" s="4"/>
      <c r="M136" s="4"/>
      <c r="N136" s="4"/>
      <c r="O136" s="4"/>
      <c r="P136" s="4"/>
      <c r="Q136" s="4"/>
      <c r="R136" s="4"/>
      <c r="S136" s="4"/>
      <c r="T136" s="4"/>
      <c r="U136" s="4"/>
      <c r="V136" s="4"/>
      <c r="W136" s="4"/>
      <c r="X136" s="4"/>
    </row>
    <row r="137" spans="1:24" ht="15.75" thickBot="1">
      <c r="A137" s="3">
        <v>91</v>
      </c>
      <c r="B137" s="4" t="s">
        <v>191</v>
      </c>
      <c r="C137" s="4" t="s">
        <v>10</v>
      </c>
      <c r="D137" s="4" t="s">
        <v>107</v>
      </c>
      <c r="E137" s="4" t="s">
        <v>181</v>
      </c>
      <c r="F137" s="4"/>
      <c r="G137" s="4"/>
      <c r="H137" s="4"/>
      <c r="I137" s="4"/>
      <c r="J137" s="4"/>
      <c r="K137" s="4"/>
      <c r="L137" s="4"/>
      <c r="M137" s="4"/>
      <c r="N137" s="4"/>
      <c r="O137" s="4"/>
      <c r="P137" s="4"/>
      <c r="Q137" s="4"/>
      <c r="R137" s="4"/>
      <c r="S137" s="4"/>
      <c r="T137" s="4"/>
      <c r="U137" s="4"/>
      <c r="V137" s="4"/>
      <c r="W137" s="4"/>
      <c r="X137" s="4"/>
    </row>
    <row r="138" spans="1:24" ht="15.75" thickBot="1">
      <c r="A138" s="3">
        <v>110</v>
      </c>
      <c r="B138" s="4" t="s">
        <v>192</v>
      </c>
      <c r="C138" s="4" t="s">
        <v>10</v>
      </c>
      <c r="D138" s="4" t="s">
        <v>73</v>
      </c>
      <c r="E138" s="4" t="s">
        <v>181</v>
      </c>
      <c r="F138" s="4"/>
      <c r="G138" s="4"/>
      <c r="H138" s="4"/>
      <c r="I138" s="4"/>
      <c r="J138" s="4"/>
      <c r="K138" s="4"/>
      <c r="L138" s="4"/>
      <c r="M138" s="4"/>
      <c r="N138" s="4"/>
      <c r="O138" s="4"/>
      <c r="P138" s="4"/>
      <c r="Q138" s="4"/>
      <c r="R138" s="4"/>
      <c r="S138" s="4"/>
      <c r="T138" s="4"/>
      <c r="U138" s="4"/>
      <c r="V138" s="4"/>
      <c r="W138" s="4"/>
      <c r="X138" s="4"/>
    </row>
    <row r="139" spans="1:24" ht="15.75" thickBot="1">
      <c r="A139" s="3">
        <v>111</v>
      </c>
      <c r="B139" s="4" t="s">
        <v>193</v>
      </c>
      <c r="C139" s="4" t="s">
        <v>2</v>
      </c>
      <c r="D139" s="4" t="s">
        <v>35</v>
      </c>
      <c r="E139" s="4" t="s">
        <v>181</v>
      </c>
      <c r="F139" s="4"/>
      <c r="G139" s="4"/>
      <c r="H139" s="4"/>
      <c r="I139" s="4"/>
      <c r="J139" s="4"/>
      <c r="K139" s="4"/>
      <c r="L139" s="4"/>
      <c r="M139" s="4"/>
      <c r="N139" s="4"/>
      <c r="O139" s="4"/>
      <c r="P139" s="4"/>
      <c r="Q139" s="4"/>
      <c r="R139" s="4"/>
      <c r="S139" s="4"/>
      <c r="T139" s="4"/>
      <c r="U139" s="4"/>
      <c r="V139" s="4"/>
      <c r="W139" s="4"/>
      <c r="X139" s="4"/>
    </row>
    <row r="140" spans="1:24" ht="15.75" thickBot="1">
      <c r="A140" s="3">
        <v>130</v>
      </c>
      <c r="B140" s="4" t="s">
        <v>13</v>
      </c>
      <c r="C140" s="4" t="s">
        <v>36</v>
      </c>
      <c r="D140" s="4" t="s">
        <v>13</v>
      </c>
      <c r="E140" s="4" t="s">
        <v>181</v>
      </c>
      <c r="F140" s="4"/>
      <c r="G140" s="4"/>
      <c r="H140" s="4"/>
      <c r="I140" s="4"/>
      <c r="J140" s="4"/>
      <c r="K140" s="4"/>
      <c r="L140" s="4"/>
      <c r="M140" s="4"/>
      <c r="N140" s="4"/>
      <c r="O140" s="4"/>
      <c r="P140" s="4"/>
      <c r="Q140" s="4"/>
      <c r="R140" s="4"/>
      <c r="S140" s="4"/>
      <c r="T140" s="4"/>
      <c r="U140" s="4"/>
      <c r="V140" s="4"/>
      <c r="W140" s="4"/>
      <c r="X140" s="4"/>
    </row>
    <row r="141" spans="1:24" ht="15.75" thickBot="1">
      <c r="A141" s="3">
        <v>131</v>
      </c>
      <c r="B141" s="4" t="s">
        <v>194</v>
      </c>
      <c r="C141" s="4" t="s">
        <v>2</v>
      </c>
      <c r="D141" s="4" t="s">
        <v>49</v>
      </c>
      <c r="E141" s="4" t="s">
        <v>181</v>
      </c>
      <c r="F141" s="4"/>
      <c r="G141" s="4"/>
      <c r="H141" s="4"/>
      <c r="I141" s="4"/>
      <c r="J141" s="4"/>
      <c r="K141" s="4"/>
      <c r="L141" s="4"/>
      <c r="M141" s="4"/>
      <c r="N141" s="4"/>
      <c r="O141" s="4"/>
      <c r="P141" s="4"/>
      <c r="Q141" s="4"/>
      <c r="R141" s="4"/>
      <c r="S141" s="4"/>
      <c r="T141" s="4"/>
      <c r="U141" s="4"/>
      <c r="V141" s="4"/>
      <c r="W141" s="4"/>
      <c r="X141" s="4"/>
    </row>
    <row r="142" spans="1:24" ht="15.75" thickBot="1">
      <c r="A142" s="3">
        <v>150</v>
      </c>
      <c r="B142" s="4" t="s">
        <v>195</v>
      </c>
      <c r="C142" s="4" t="s">
        <v>10</v>
      </c>
      <c r="D142" s="4" t="s">
        <v>30</v>
      </c>
      <c r="E142" s="4" t="s">
        <v>181</v>
      </c>
      <c r="F142" s="4"/>
      <c r="G142" s="4"/>
      <c r="H142" s="4"/>
      <c r="I142" s="4"/>
      <c r="J142" s="4"/>
      <c r="K142" s="4"/>
      <c r="L142" s="4"/>
      <c r="M142" s="4"/>
      <c r="N142" s="4"/>
      <c r="O142" s="4"/>
      <c r="P142" s="4"/>
      <c r="Q142" s="4"/>
      <c r="R142" s="4"/>
      <c r="S142" s="4"/>
      <c r="T142" s="4"/>
      <c r="U142" s="4"/>
      <c r="V142" s="4"/>
      <c r="W142" s="4"/>
      <c r="X142" s="4"/>
    </row>
    <row r="143" spans="1:24" ht="15.75" thickBot="1">
      <c r="A143" s="3">
        <v>151</v>
      </c>
      <c r="B143" s="4" t="s">
        <v>196</v>
      </c>
      <c r="C143" s="4" t="s">
        <v>10</v>
      </c>
      <c r="D143" s="4" t="s">
        <v>91</v>
      </c>
      <c r="E143" s="4" t="s">
        <v>181</v>
      </c>
      <c r="F143" s="4"/>
      <c r="G143" s="4"/>
      <c r="H143" s="4"/>
      <c r="I143" s="4"/>
      <c r="J143" s="4"/>
      <c r="K143" s="4"/>
      <c r="L143" s="4"/>
      <c r="M143" s="4"/>
      <c r="N143" s="4"/>
      <c r="O143" s="4"/>
      <c r="P143" s="4"/>
      <c r="Q143" s="4"/>
      <c r="R143" s="4"/>
      <c r="S143" s="4"/>
      <c r="T143" s="4"/>
      <c r="U143" s="4"/>
      <c r="V143" s="4"/>
      <c r="W143" s="4"/>
      <c r="X143" s="4"/>
    </row>
    <row r="144" spans="1:24" ht="15.75" thickBot="1">
      <c r="A144" s="3">
        <v>2</v>
      </c>
      <c r="B144" s="4" t="s">
        <v>38</v>
      </c>
      <c r="C144" s="4" t="s">
        <v>2</v>
      </c>
      <c r="D144" s="4" t="s">
        <v>35</v>
      </c>
      <c r="E144" s="4" t="s">
        <v>37</v>
      </c>
      <c r="F144" s="4"/>
      <c r="G144" s="4"/>
      <c r="H144" s="4"/>
      <c r="I144" s="4"/>
      <c r="J144" s="4"/>
      <c r="K144" s="4"/>
      <c r="L144" s="4"/>
      <c r="M144" s="4"/>
      <c r="N144" s="4"/>
      <c r="O144" s="4"/>
      <c r="P144" s="4"/>
      <c r="Q144" s="4"/>
      <c r="R144" s="4"/>
      <c r="S144" s="4"/>
      <c r="T144" s="4"/>
      <c r="U144" s="4"/>
      <c r="V144" s="4"/>
      <c r="W144" s="4"/>
      <c r="X144" s="4"/>
    </row>
    <row r="145" spans="1:24" ht="15.75" thickBot="1">
      <c r="A145" s="3">
        <v>19</v>
      </c>
      <c r="B145" s="4" t="s">
        <v>39</v>
      </c>
      <c r="C145" s="4" t="s">
        <v>2</v>
      </c>
      <c r="D145" s="4" t="s">
        <v>34</v>
      </c>
      <c r="E145" s="4" t="s">
        <v>37</v>
      </c>
      <c r="F145" s="4"/>
      <c r="G145" s="4"/>
      <c r="H145" s="4"/>
      <c r="I145" s="4"/>
      <c r="J145" s="4"/>
      <c r="K145" s="4"/>
      <c r="L145" s="4"/>
      <c r="M145" s="4"/>
      <c r="N145" s="4"/>
      <c r="O145" s="4"/>
      <c r="P145" s="4"/>
      <c r="Q145" s="4"/>
      <c r="R145" s="4"/>
      <c r="S145" s="4"/>
      <c r="T145" s="4"/>
      <c r="U145" s="4"/>
      <c r="V145" s="4"/>
      <c r="W145" s="4"/>
      <c r="X145" s="4"/>
    </row>
    <row r="146" spans="1:24" ht="15.75" thickBot="1">
      <c r="A146" s="3">
        <v>22</v>
      </c>
      <c r="B146" s="4" t="s">
        <v>40</v>
      </c>
      <c r="C146" s="4" t="s">
        <v>10</v>
      </c>
      <c r="D146" s="4" t="s">
        <v>41</v>
      </c>
      <c r="E146" s="4" t="s">
        <v>37</v>
      </c>
      <c r="F146" s="4"/>
      <c r="G146" s="4"/>
      <c r="H146" s="4"/>
      <c r="I146" s="4"/>
      <c r="J146" s="4"/>
      <c r="K146" s="4"/>
      <c r="L146" s="4"/>
      <c r="M146" s="4"/>
      <c r="N146" s="4"/>
      <c r="O146" s="4"/>
      <c r="P146" s="4"/>
      <c r="Q146" s="4"/>
      <c r="R146" s="4"/>
      <c r="S146" s="4"/>
      <c r="T146" s="4"/>
      <c r="U146" s="4"/>
      <c r="V146" s="4"/>
      <c r="W146" s="4"/>
      <c r="X146" s="4"/>
    </row>
    <row r="147" spans="1:24" ht="15.75" thickBot="1">
      <c r="A147" s="3">
        <v>39</v>
      </c>
      <c r="B147" s="4" t="s">
        <v>42</v>
      </c>
      <c r="C147" s="4" t="s">
        <v>10</v>
      </c>
      <c r="D147" s="4" t="s">
        <v>43</v>
      </c>
      <c r="E147" s="4" t="s">
        <v>37</v>
      </c>
      <c r="F147" s="4"/>
      <c r="G147" s="4"/>
      <c r="H147" s="4"/>
      <c r="I147" s="4"/>
      <c r="J147" s="4"/>
      <c r="K147" s="4"/>
      <c r="L147" s="4"/>
      <c r="M147" s="4"/>
      <c r="N147" s="4"/>
      <c r="O147" s="4"/>
      <c r="P147" s="4"/>
      <c r="Q147" s="4"/>
      <c r="R147" s="4"/>
      <c r="S147" s="4"/>
      <c r="T147" s="4"/>
      <c r="U147" s="4"/>
      <c r="V147" s="4"/>
      <c r="W147" s="4"/>
      <c r="X147" s="4"/>
    </row>
    <row r="148" spans="1:24" ht="15.75" thickBot="1">
      <c r="A148" s="3">
        <v>42</v>
      </c>
      <c r="B148" s="4" t="s">
        <v>44</v>
      </c>
      <c r="C148" s="4" t="s">
        <v>27</v>
      </c>
      <c r="D148" s="4" t="s">
        <v>13</v>
      </c>
      <c r="E148" s="4" t="s">
        <v>37</v>
      </c>
      <c r="F148" s="4"/>
      <c r="G148" s="4"/>
      <c r="H148" s="4"/>
      <c r="I148" s="4"/>
      <c r="J148" s="4"/>
      <c r="K148" s="4"/>
      <c r="L148" s="4"/>
      <c r="M148" s="4"/>
      <c r="N148" s="4"/>
      <c r="O148" s="4"/>
      <c r="P148" s="4"/>
      <c r="Q148" s="4"/>
      <c r="R148" s="4"/>
      <c r="S148" s="4"/>
      <c r="T148" s="4"/>
      <c r="U148" s="4"/>
      <c r="V148" s="4"/>
      <c r="W148" s="4"/>
      <c r="X148" s="4"/>
    </row>
    <row r="149" spans="1:24" ht="15.75" thickBot="1">
      <c r="A149" s="3">
        <v>59</v>
      </c>
      <c r="B149" s="4" t="s">
        <v>45</v>
      </c>
      <c r="C149" s="4" t="s">
        <v>2</v>
      </c>
      <c r="D149" s="4" t="s">
        <v>46</v>
      </c>
      <c r="E149" s="4" t="s">
        <v>37</v>
      </c>
      <c r="F149" s="4"/>
      <c r="G149" s="4"/>
      <c r="H149" s="4"/>
      <c r="I149" s="4"/>
      <c r="J149" s="4"/>
      <c r="K149" s="4"/>
      <c r="L149" s="4"/>
      <c r="M149" s="4"/>
      <c r="N149" s="4"/>
      <c r="O149" s="4"/>
      <c r="P149" s="4"/>
      <c r="Q149" s="4"/>
      <c r="R149" s="4"/>
      <c r="S149" s="4"/>
      <c r="T149" s="4"/>
      <c r="U149" s="4"/>
      <c r="V149" s="4"/>
      <c r="W149" s="4"/>
      <c r="X149" s="4"/>
    </row>
    <row r="150" spans="1:24" ht="15.75" thickBot="1">
      <c r="A150" s="3">
        <v>62</v>
      </c>
      <c r="B150" s="4" t="s">
        <v>47</v>
      </c>
      <c r="C150" s="4" t="s">
        <v>5</v>
      </c>
      <c r="D150" s="4" t="s">
        <v>30</v>
      </c>
      <c r="E150" s="4" t="s">
        <v>37</v>
      </c>
      <c r="F150" s="4"/>
      <c r="G150" s="4"/>
      <c r="H150" s="4"/>
      <c r="I150" s="4"/>
      <c r="J150" s="4"/>
      <c r="K150" s="4"/>
      <c r="L150" s="4"/>
      <c r="M150" s="4"/>
      <c r="N150" s="4"/>
      <c r="O150" s="4"/>
      <c r="P150" s="4"/>
      <c r="Q150" s="4"/>
      <c r="R150" s="4"/>
      <c r="S150" s="4"/>
      <c r="T150" s="4"/>
      <c r="U150" s="4"/>
      <c r="V150" s="4"/>
      <c r="W150" s="4"/>
      <c r="X150" s="4"/>
    </row>
    <row r="151" spans="1:24" ht="15.75" thickBot="1">
      <c r="A151" s="3">
        <v>79</v>
      </c>
      <c r="B151" s="4" t="s">
        <v>48</v>
      </c>
      <c r="C151" s="4" t="s">
        <v>2</v>
      </c>
      <c r="D151" s="4" t="s">
        <v>49</v>
      </c>
      <c r="E151" s="4" t="s">
        <v>37</v>
      </c>
      <c r="F151" s="4"/>
      <c r="G151" s="4"/>
      <c r="H151" s="4"/>
      <c r="I151" s="4"/>
      <c r="J151" s="4"/>
      <c r="K151" s="4"/>
      <c r="L151" s="4"/>
      <c r="M151" s="4"/>
      <c r="N151" s="4"/>
      <c r="O151" s="4"/>
      <c r="P151" s="4"/>
      <c r="Q151" s="4"/>
      <c r="R151" s="4"/>
      <c r="S151" s="4"/>
      <c r="T151" s="4"/>
      <c r="U151" s="4"/>
      <c r="V151" s="4"/>
      <c r="W151" s="4"/>
      <c r="X151" s="4"/>
    </row>
    <row r="152" spans="1:24" ht="15.75" thickBot="1">
      <c r="A152" s="3">
        <v>82</v>
      </c>
      <c r="B152" s="4" t="s">
        <v>50</v>
      </c>
      <c r="C152" s="4" t="s">
        <v>10</v>
      </c>
      <c r="D152" s="4" t="s">
        <v>30</v>
      </c>
      <c r="E152" s="4" t="s">
        <v>37</v>
      </c>
      <c r="F152" s="4"/>
      <c r="G152" s="4"/>
      <c r="H152" s="4"/>
      <c r="I152" s="4"/>
      <c r="J152" s="4"/>
      <c r="K152" s="4"/>
      <c r="L152" s="4"/>
      <c r="M152" s="4"/>
      <c r="N152" s="4"/>
      <c r="O152" s="4"/>
      <c r="P152" s="4"/>
      <c r="Q152" s="4"/>
      <c r="R152" s="4"/>
      <c r="S152" s="4"/>
      <c r="T152" s="4"/>
      <c r="U152" s="4"/>
      <c r="V152" s="4"/>
      <c r="W152" s="4"/>
      <c r="X152" s="4"/>
    </row>
    <row r="153" spans="1:24" ht="15.75" thickBot="1">
      <c r="A153" s="3">
        <v>99</v>
      </c>
      <c r="B153" s="4" t="s">
        <v>51</v>
      </c>
      <c r="C153" s="4" t="s">
        <v>10</v>
      </c>
      <c r="D153" s="4" t="s">
        <v>6</v>
      </c>
      <c r="E153" s="4" t="s">
        <v>37</v>
      </c>
      <c r="F153" s="4"/>
      <c r="G153" s="4"/>
      <c r="H153" s="4"/>
      <c r="I153" s="4"/>
      <c r="J153" s="4"/>
      <c r="K153" s="4"/>
      <c r="L153" s="4"/>
      <c r="M153" s="4"/>
      <c r="N153" s="4"/>
      <c r="O153" s="4"/>
      <c r="P153" s="4"/>
      <c r="Q153" s="4"/>
      <c r="R153" s="4"/>
      <c r="S153" s="4"/>
      <c r="T153" s="4"/>
      <c r="U153" s="4"/>
      <c r="V153" s="4"/>
      <c r="W153" s="4"/>
      <c r="X153" s="4"/>
    </row>
    <row r="154" spans="1:24" ht="15.75" thickBot="1">
      <c r="A154" s="3">
        <v>102</v>
      </c>
      <c r="B154" s="4" t="s">
        <v>34</v>
      </c>
      <c r="C154" s="4" t="s">
        <v>36</v>
      </c>
      <c r="D154" s="4" t="s">
        <v>34</v>
      </c>
      <c r="E154" s="4" t="s">
        <v>37</v>
      </c>
      <c r="F154" s="4"/>
      <c r="G154" s="4"/>
      <c r="H154" s="4"/>
      <c r="I154" s="4"/>
      <c r="J154" s="4"/>
      <c r="K154" s="4"/>
      <c r="L154" s="4"/>
      <c r="M154" s="4"/>
      <c r="N154" s="4"/>
      <c r="O154" s="4"/>
      <c r="P154" s="4"/>
      <c r="Q154" s="4"/>
      <c r="R154" s="4"/>
      <c r="S154" s="4"/>
      <c r="T154" s="4"/>
      <c r="U154" s="4"/>
      <c r="V154" s="4"/>
      <c r="W154" s="4"/>
      <c r="X154" s="4"/>
    </row>
    <row r="155" spans="1:24" ht="15.75" thickBot="1">
      <c r="A155" s="3">
        <v>119</v>
      </c>
      <c r="B155" s="4" t="s">
        <v>52</v>
      </c>
      <c r="C155" s="4" t="s">
        <v>2</v>
      </c>
      <c r="D155" s="4" t="s">
        <v>11</v>
      </c>
      <c r="E155" s="4" t="s">
        <v>37</v>
      </c>
      <c r="F155" s="4"/>
      <c r="G155" s="4"/>
      <c r="H155" s="4"/>
      <c r="I155" s="4"/>
      <c r="J155" s="4"/>
      <c r="K155" s="4"/>
      <c r="L155" s="4"/>
      <c r="M155" s="4"/>
      <c r="N155" s="4"/>
      <c r="O155" s="4"/>
      <c r="P155" s="4"/>
      <c r="Q155" s="4"/>
      <c r="R155" s="4"/>
      <c r="S155" s="4"/>
      <c r="T155" s="4"/>
      <c r="U155" s="4"/>
      <c r="V155" s="4"/>
      <c r="W155" s="4"/>
      <c r="X155" s="4"/>
    </row>
    <row r="156" spans="1:24" ht="15.75" thickBot="1">
      <c r="A156" s="3">
        <v>122</v>
      </c>
      <c r="B156" s="4" t="s">
        <v>53</v>
      </c>
      <c r="C156" s="4" t="s">
        <v>10</v>
      </c>
      <c r="D156" s="4" t="s">
        <v>35</v>
      </c>
      <c r="E156" s="4" t="s">
        <v>37</v>
      </c>
      <c r="F156" s="4"/>
      <c r="G156" s="4"/>
      <c r="H156" s="4"/>
      <c r="I156" s="4"/>
      <c r="J156" s="4"/>
      <c r="K156" s="4"/>
      <c r="L156" s="4"/>
      <c r="M156" s="4"/>
      <c r="N156" s="4"/>
      <c r="O156" s="4"/>
      <c r="P156" s="4"/>
      <c r="Q156" s="4"/>
      <c r="R156" s="4"/>
      <c r="S156" s="4"/>
      <c r="T156" s="4"/>
      <c r="U156" s="4"/>
      <c r="V156" s="4"/>
      <c r="W156" s="4"/>
      <c r="X156" s="4"/>
    </row>
    <row r="157" spans="1:24" ht="27" thickBot="1">
      <c r="A157" s="3">
        <v>139</v>
      </c>
      <c r="B157" s="4" t="s">
        <v>54</v>
      </c>
      <c r="C157" s="4" t="s">
        <v>10</v>
      </c>
      <c r="D157" s="4" t="s">
        <v>8</v>
      </c>
      <c r="E157" s="4" t="s">
        <v>37</v>
      </c>
      <c r="F157" s="4"/>
      <c r="G157" s="4"/>
      <c r="H157" s="4"/>
      <c r="I157" s="4"/>
      <c r="J157" s="4"/>
      <c r="K157" s="4"/>
      <c r="L157" s="4"/>
      <c r="M157" s="4"/>
      <c r="N157" s="4"/>
      <c r="O157" s="4"/>
      <c r="P157" s="4"/>
      <c r="Q157" s="4"/>
      <c r="R157" s="4"/>
      <c r="S157" s="4"/>
      <c r="T157" s="4"/>
      <c r="U157" s="4"/>
      <c r="V157" s="4"/>
      <c r="W157" s="4"/>
      <c r="X157" s="4"/>
    </row>
    <row r="158" spans="1:24" ht="15.75" thickBot="1">
      <c r="A158" s="3">
        <v>142</v>
      </c>
      <c r="B158" s="4" t="s">
        <v>55</v>
      </c>
      <c r="C158" s="4" t="s">
        <v>2</v>
      </c>
      <c r="D158" s="4" t="s">
        <v>56</v>
      </c>
      <c r="E158" s="4" t="s">
        <v>37</v>
      </c>
      <c r="F158" s="4"/>
      <c r="G158" s="4"/>
      <c r="H158" s="4"/>
      <c r="I158" s="4"/>
      <c r="J158" s="4"/>
      <c r="K158" s="4"/>
      <c r="L158" s="4"/>
      <c r="M158" s="4"/>
      <c r="N158" s="4"/>
      <c r="O158" s="4"/>
      <c r="P158" s="4"/>
      <c r="Q158" s="4"/>
      <c r="R158" s="4"/>
      <c r="S158" s="4"/>
      <c r="T158" s="4"/>
      <c r="U158" s="4"/>
      <c r="V158" s="4"/>
      <c r="W158" s="4"/>
      <c r="X158" s="4"/>
    </row>
    <row r="159" spans="1:24" ht="15.75" thickBot="1">
      <c r="A159" s="3">
        <v>159</v>
      </c>
      <c r="B159" s="4" t="s">
        <v>57</v>
      </c>
      <c r="C159" s="4" t="s">
        <v>2</v>
      </c>
      <c r="D159" s="4" t="s">
        <v>30</v>
      </c>
      <c r="E159" s="4" t="s">
        <v>37</v>
      </c>
      <c r="F159" s="4"/>
      <c r="G159" s="4"/>
      <c r="H159" s="4"/>
      <c r="I159" s="4"/>
      <c r="J159" s="4"/>
      <c r="K159" s="4"/>
      <c r="L159" s="4"/>
      <c r="M159" s="4"/>
      <c r="N159" s="4"/>
      <c r="O159" s="4"/>
      <c r="P159" s="4"/>
      <c r="Q159" s="4"/>
      <c r="R159" s="4"/>
      <c r="S159" s="4"/>
      <c r="T159" s="4"/>
      <c r="U159" s="4"/>
      <c r="V159" s="4"/>
      <c r="W159" s="4"/>
      <c r="X159" s="4"/>
    </row>
    <row r="160" spans="1:24" ht="27" thickBot="1">
      <c r="A160" s="3">
        <v>141</v>
      </c>
      <c r="B160" s="4" t="s">
        <v>33</v>
      </c>
      <c r="C160" s="4" t="s">
        <v>10</v>
      </c>
      <c r="D160" s="4" t="s">
        <v>34</v>
      </c>
      <c r="E160" s="4"/>
      <c r="F160" s="4"/>
      <c r="G160" s="4"/>
      <c r="H160" s="4"/>
      <c r="I160" s="4"/>
      <c r="J160" s="4"/>
      <c r="K160" s="4"/>
      <c r="L160" s="4"/>
      <c r="M160" s="4"/>
      <c r="N160" s="4"/>
      <c r="O160" s="4"/>
      <c r="P160" s="4"/>
      <c r="Q160" s="4"/>
      <c r="R160" s="4"/>
      <c r="S160" s="4"/>
      <c r="T160" s="4"/>
      <c r="U160" s="4"/>
      <c r="V160" s="4"/>
      <c r="W160" s="4"/>
      <c r="X160" s="4"/>
    </row>
    <row r="161" spans="1:24" ht="15.75" thickBot="1">
      <c r="A161" s="3">
        <v>160</v>
      </c>
      <c r="B161" s="4" t="s">
        <v>35</v>
      </c>
      <c r="C161" s="4" t="s">
        <v>36</v>
      </c>
      <c r="D161" s="4" t="s">
        <v>35</v>
      </c>
      <c r="E161" s="4"/>
      <c r="F161" s="4"/>
      <c r="G161" s="4"/>
      <c r="H161" s="4"/>
      <c r="I161" s="4"/>
      <c r="J161" s="4"/>
      <c r="K161" s="4"/>
      <c r="L161" s="4"/>
      <c r="M161" s="4"/>
      <c r="N161" s="4"/>
      <c r="O161" s="4"/>
      <c r="P161" s="4"/>
      <c r="Q161" s="4"/>
      <c r="R161" s="4"/>
      <c r="S161" s="4"/>
      <c r="T161" s="4"/>
      <c r="U161" s="4"/>
      <c r="V161" s="4"/>
      <c r="W161" s="4"/>
      <c r="X161" s="4"/>
    </row>
    <row r="162" spans="1:24" ht="15.75" thickBot="1">
      <c r="A162" s="3"/>
      <c r="B162" s="4"/>
      <c r="C162" s="4"/>
      <c r="D162" s="4"/>
      <c r="E162" s="4"/>
      <c r="F162" s="4"/>
      <c r="G162" s="4"/>
      <c r="H162" s="4"/>
      <c r="I162" s="4"/>
      <c r="J162" s="4"/>
      <c r="K162" s="4"/>
      <c r="L162" s="4"/>
      <c r="M162" s="4"/>
      <c r="N162" s="4"/>
      <c r="O162" s="4"/>
      <c r="P162" s="4"/>
      <c r="Q162" s="4"/>
      <c r="R162" s="4"/>
      <c r="S162" s="4"/>
      <c r="T162" s="4"/>
      <c r="U162" s="4"/>
      <c r="V162" s="4"/>
      <c r="W162" s="4"/>
      <c r="X162" s="4"/>
    </row>
    <row r="163" spans="1:24" ht="15.75" thickBot="1">
      <c r="A163" s="3"/>
      <c r="B163" s="4"/>
      <c r="C163" s="4"/>
      <c r="D163" s="4"/>
      <c r="E163" s="4"/>
      <c r="F163" s="4"/>
      <c r="G163" s="4"/>
      <c r="H163" s="4"/>
      <c r="I163" s="4"/>
      <c r="J163" s="4"/>
      <c r="K163" s="4"/>
      <c r="L163" s="4"/>
      <c r="M163" s="4"/>
      <c r="N163" s="4"/>
      <c r="O163" s="4"/>
      <c r="P163" s="4"/>
      <c r="Q163" s="4"/>
      <c r="R163" s="4"/>
      <c r="S163" s="4"/>
      <c r="T163" s="4"/>
      <c r="U163" s="4"/>
      <c r="V163" s="4"/>
      <c r="W163" s="4"/>
      <c r="X163" s="4"/>
    </row>
    <row r="164" spans="1:24" ht="15.75" thickBot="1">
      <c r="A164" s="3"/>
      <c r="B164" s="4"/>
      <c r="C164" s="4"/>
      <c r="D164" s="4"/>
      <c r="E164" s="4"/>
      <c r="F164" s="4"/>
      <c r="G164" s="4"/>
      <c r="H164" s="4"/>
      <c r="I164" s="4"/>
      <c r="J164" s="4"/>
      <c r="K164" s="4"/>
      <c r="L164" s="4"/>
      <c r="M164" s="4"/>
      <c r="N164" s="4"/>
      <c r="O164" s="4"/>
      <c r="P164" s="4"/>
      <c r="Q164" s="4"/>
      <c r="R164" s="4"/>
      <c r="S164" s="4"/>
      <c r="T164" s="4"/>
      <c r="U164" s="4"/>
      <c r="V164" s="4"/>
      <c r="W164" s="4"/>
      <c r="X164" s="4"/>
    </row>
    <row r="165" spans="1:24" ht="15.75" thickBot="1">
      <c r="A165" s="3"/>
      <c r="B165" s="4"/>
      <c r="C165" s="4"/>
      <c r="D165" s="4"/>
      <c r="E165" s="4"/>
      <c r="F165" s="4"/>
      <c r="G165" s="4"/>
      <c r="H165" s="4"/>
      <c r="I165" s="4"/>
      <c r="J165" s="4"/>
      <c r="K165" s="4"/>
      <c r="L165" s="4"/>
      <c r="M165" s="4"/>
      <c r="N165" s="4"/>
      <c r="O165" s="4"/>
      <c r="P165" s="4"/>
      <c r="Q165" s="4"/>
      <c r="R165" s="4"/>
      <c r="S165" s="4"/>
      <c r="T165" s="4"/>
      <c r="U165" s="4"/>
      <c r="V165" s="4"/>
      <c r="W165" s="4"/>
      <c r="X165" s="4"/>
    </row>
    <row r="166" spans="1:24" ht="15.75" thickBot="1">
      <c r="A166" s="3"/>
      <c r="B166" s="4"/>
      <c r="C166" s="4"/>
      <c r="D166" s="4"/>
      <c r="E166" s="4"/>
      <c r="F166" s="4"/>
      <c r="G166" s="4"/>
      <c r="H166" s="4"/>
      <c r="I166" s="4"/>
      <c r="J166" s="4"/>
      <c r="K166" s="4"/>
      <c r="L166" s="4"/>
      <c r="M166" s="4"/>
      <c r="N166" s="4"/>
      <c r="O166" s="4"/>
      <c r="P166" s="4"/>
      <c r="Q166" s="4"/>
      <c r="R166" s="4"/>
      <c r="S166" s="4"/>
      <c r="T166" s="4"/>
      <c r="U166" s="4"/>
      <c r="V166" s="4"/>
      <c r="W166" s="4"/>
      <c r="X166" s="4"/>
    </row>
    <row r="167" spans="1:24" ht="15.75" thickBot="1">
      <c r="A167" s="3"/>
      <c r="B167" s="4"/>
      <c r="C167" s="4"/>
      <c r="D167" s="4"/>
      <c r="E167" s="4"/>
      <c r="F167" s="4"/>
      <c r="G167" s="4"/>
      <c r="H167" s="4"/>
      <c r="I167" s="4"/>
      <c r="J167" s="4"/>
      <c r="K167" s="4"/>
      <c r="L167" s="4"/>
      <c r="M167" s="4"/>
      <c r="N167" s="4"/>
      <c r="O167" s="4"/>
      <c r="P167" s="4"/>
      <c r="Q167" s="4"/>
      <c r="R167" s="4"/>
      <c r="S167" s="4"/>
      <c r="T167" s="4"/>
      <c r="U167" s="4"/>
      <c r="V167" s="4"/>
      <c r="W167" s="4"/>
      <c r="X167" s="4"/>
    </row>
    <row r="168" spans="1:24" ht="15.75" thickBot="1">
      <c r="A168" s="3"/>
      <c r="B168" s="4"/>
      <c r="C168" s="4"/>
      <c r="D168" s="4"/>
      <c r="E168" s="4"/>
      <c r="F168" s="4"/>
      <c r="G168" s="4"/>
      <c r="H168" s="4"/>
      <c r="I168" s="4"/>
      <c r="J168" s="4"/>
      <c r="K168" s="4"/>
      <c r="L168" s="4"/>
      <c r="M168" s="4"/>
      <c r="N168" s="4"/>
      <c r="O168" s="4"/>
      <c r="P168" s="4"/>
      <c r="Q168" s="4"/>
      <c r="R168" s="4"/>
      <c r="S168" s="4"/>
      <c r="T168" s="4"/>
      <c r="U168" s="4"/>
      <c r="V168" s="4"/>
      <c r="W168" s="4"/>
      <c r="X168" s="4"/>
    </row>
    <row r="169" spans="1:24" ht="15.75" thickBot="1">
      <c r="A169" s="3"/>
      <c r="B169" s="4"/>
      <c r="C169" s="4"/>
      <c r="D169" s="4"/>
      <c r="E169" s="4"/>
      <c r="F169" s="4"/>
      <c r="G169" s="4"/>
      <c r="H169" s="4"/>
      <c r="I169" s="4"/>
      <c r="J169" s="4"/>
      <c r="K169" s="4"/>
      <c r="L169" s="4"/>
      <c r="M169" s="4"/>
      <c r="N169" s="4"/>
      <c r="O169" s="4"/>
      <c r="P169" s="4"/>
      <c r="Q169" s="4"/>
      <c r="R169" s="4"/>
      <c r="S169" s="4"/>
      <c r="T169" s="4"/>
      <c r="U169" s="4"/>
      <c r="V169" s="4"/>
      <c r="W169" s="4"/>
      <c r="X169" s="4"/>
    </row>
    <row r="170" spans="1:24" ht="15.75" thickBot="1">
      <c r="A170" s="3"/>
      <c r="B170" s="4"/>
      <c r="C170" s="4"/>
      <c r="D170" s="4"/>
      <c r="E170" s="4"/>
      <c r="F170" s="4"/>
      <c r="G170" s="4"/>
      <c r="H170" s="4"/>
      <c r="I170" s="4"/>
      <c r="J170" s="4"/>
      <c r="K170" s="4"/>
      <c r="L170" s="4"/>
      <c r="M170" s="4"/>
      <c r="N170" s="4"/>
      <c r="O170" s="4"/>
      <c r="P170" s="4"/>
      <c r="Q170" s="4"/>
      <c r="R170" s="4"/>
      <c r="S170" s="4"/>
      <c r="T170" s="4"/>
      <c r="U170" s="4"/>
      <c r="V170" s="4"/>
      <c r="W170" s="4"/>
      <c r="X170" s="4"/>
    </row>
    <row r="171" spans="1:24" ht="15.75" thickBot="1">
      <c r="A171" s="3"/>
      <c r="B171" s="4"/>
      <c r="C171" s="4"/>
      <c r="D171" s="4"/>
      <c r="E171" s="4"/>
      <c r="F171" s="4"/>
      <c r="G171" s="4"/>
      <c r="H171" s="4"/>
      <c r="I171" s="4"/>
      <c r="J171" s="4"/>
      <c r="K171" s="4"/>
      <c r="L171" s="4"/>
      <c r="M171" s="4"/>
      <c r="N171" s="4"/>
      <c r="O171" s="4"/>
      <c r="P171" s="4"/>
      <c r="Q171" s="4"/>
      <c r="R171" s="4"/>
      <c r="S171" s="4"/>
      <c r="T171" s="4"/>
      <c r="U171" s="4"/>
      <c r="V171" s="4"/>
      <c r="W171" s="4"/>
      <c r="X171" s="4"/>
    </row>
    <row r="172" spans="1:24" ht="15.75" thickBot="1">
      <c r="A172" s="3"/>
      <c r="B172" s="4"/>
      <c r="C172" s="4"/>
      <c r="D172" s="4"/>
      <c r="E172" s="4"/>
      <c r="F172" s="4"/>
      <c r="G172" s="4"/>
      <c r="H172" s="4"/>
      <c r="I172" s="4"/>
      <c r="J172" s="4"/>
      <c r="K172" s="4"/>
      <c r="L172" s="4"/>
      <c r="M172" s="4"/>
      <c r="N172" s="4"/>
      <c r="O172" s="4"/>
      <c r="P172" s="4"/>
      <c r="Q172" s="4"/>
      <c r="R172" s="4"/>
      <c r="S172" s="4"/>
      <c r="T172" s="4"/>
      <c r="U172" s="4"/>
      <c r="V172" s="4"/>
      <c r="W172" s="4"/>
      <c r="X172" s="4"/>
    </row>
    <row r="173" spans="1:24" ht="15.75" thickBot="1">
      <c r="A173" s="3"/>
      <c r="B173" s="4"/>
      <c r="C173" s="4"/>
      <c r="D173" s="4"/>
      <c r="E173" s="4"/>
      <c r="F173" s="4"/>
      <c r="G173" s="4"/>
      <c r="H173" s="4"/>
      <c r="I173" s="4"/>
      <c r="J173" s="4"/>
      <c r="K173" s="4"/>
      <c r="L173" s="4"/>
      <c r="M173" s="4"/>
      <c r="N173" s="4"/>
      <c r="O173" s="4"/>
      <c r="P173" s="4"/>
      <c r="Q173" s="4"/>
      <c r="R173" s="4"/>
      <c r="S173" s="4"/>
      <c r="T173" s="4"/>
      <c r="U173" s="4"/>
      <c r="V173" s="4"/>
      <c r="W173" s="4"/>
      <c r="X173" s="4"/>
    </row>
    <row r="174" spans="1:24" ht="15.75" thickBot="1">
      <c r="A174" s="3"/>
      <c r="B174" s="4"/>
      <c r="C174" s="4"/>
      <c r="D174" s="4"/>
      <c r="E174" s="4"/>
      <c r="F174" s="4"/>
      <c r="G174" s="4"/>
      <c r="H174" s="4"/>
      <c r="I174" s="4"/>
      <c r="J174" s="4"/>
      <c r="K174" s="4"/>
      <c r="L174" s="4"/>
      <c r="M174" s="4"/>
      <c r="N174" s="4"/>
      <c r="O174" s="4"/>
      <c r="P174" s="4"/>
      <c r="Q174" s="4"/>
      <c r="R174" s="4"/>
      <c r="S174" s="4"/>
      <c r="T174" s="4"/>
      <c r="U174" s="4"/>
      <c r="V174" s="4"/>
      <c r="W174" s="4"/>
      <c r="X174" s="4"/>
    </row>
    <row r="175" spans="1:24" ht="15.75" thickBot="1">
      <c r="A175" s="3"/>
      <c r="B175" s="4"/>
      <c r="C175" s="4"/>
      <c r="D175" s="4"/>
      <c r="E175" s="4"/>
      <c r="F175" s="4"/>
      <c r="G175" s="4"/>
      <c r="H175" s="4"/>
      <c r="I175" s="4"/>
      <c r="J175" s="4"/>
      <c r="K175" s="4"/>
      <c r="L175" s="4"/>
      <c r="M175" s="4"/>
      <c r="N175" s="4"/>
      <c r="O175" s="4"/>
      <c r="P175" s="4"/>
      <c r="Q175" s="4"/>
      <c r="R175" s="4"/>
      <c r="S175" s="4"/>
      <c r="T175" s="4"/>
      <c r="U175" s="4"/>
      <c r="V175" s="4"/>
      <c r="W175" s="4"/>
      <c r="X175" s="4"/>
    </row>
    <row r="176" spans="1:24" ht="15.75" thickBot="1">
      <c r="A176" s="3"/>
      <c r="B176" s="4"/>
      <c r="C176" s="4"/>
      <c r="D176" s="4"/>
      <c r="E176" s="4"/>
      <c r="F176" s="4"/>
      <c r="G176" s="4"/>
      <c r="H176" s="4"/>
      <c r="I176" s="4"/>
      <c r="J176" s="4"/>
      <c r="K176" s="4"/>
      <c r="L176" s="4"/>
      <c r="M176" s="4"/>
      <c r="N176" s="4"/>
      <c r="O176" s="4"/>
      <c r="P176" s="4"/>
      <c r="Q176" s="4"/>
      <c r="R176" s="4"/>
      <c r="S176" s="4"/>
      <c r="T176" s="4"/>
      <c r="U176" s="4"/>
      <c r="V176" s="4"/>
      <c r="W176" s="4"/>
      <c r="X176" s="4"/>
    </row>
    <row r="177" spans="1:24" ht="15.75" thickBot="1">
      <c r="A177" s="3"/>
      <c r="B177" s="4"/>
      <c r="C177" s="4"/>
      <c r="D177" s="4"/>
      <c r="E177" s="4"/>
      <c r="F177" s="4"/>
      <c r="G177" s="4"/>
      <c r="H177" s="4"/>
      <c r="I177" s="4"/>
      <c r="J177" s="4"/>
      <c r="K177" s="4"/>
      <c r="L177" s="4"/>
      <c r="M177" s="4"/>
      <c r="N177" s="4"/>
      <c r="O177" s="4"/>
      <c r="P177" s="4"/>
      <c r="Q177" s="4"/>
      <c r="R177" s="4"/>
      <c r="S177" s="4"/>
      <c r="T177" s="4"/>
      <c r="U177" s="4"/>
      <c r="V177" s="4"/>
      <c r="W177" s="4"/>
      <c r="X177" s="4"/>
    </row>
    <row r="178" spans="1:24" ht="15.75" thickBot="1">
      <c r="A178" s="3"/>
      <c r="B178" s="4"/>
      <c r="C178" s="4"/>
      <c r="D178" s="4"/>
      <c r="E178" s="4"/>
      <c r="F178" s="4"/>
      <c r="G178" s="4"/>
      <c r="H178" s="4"/>
      <c r="I178" s="4"/>
      <c r="J178" s="4"/>
      <c r="K178" s="4"/>
      <c r="L178" s="4"/>
      <c r="M178" s="4"/>
      <c r="N178" s="4"/>
      <c r="O178" s="4"/>
      <c r="P178" s="4"/>
      <c r="Q178" s="4"/>
      <c r="R178" s="4"/>
      <c r="S178" s="4"/>
      <c r="T178" s="4"/>
      <c r="U178" s="4"/>
      <c r="V178" s="4"/>
      <c r="W178" s="4"/>
      <c r="X178" s="4"/>
    </row>
    <row r="179" spans="1:24" ht="15.75" thickBot="1">
      <c r="A179" s="3"/>
      <c r="B179" s="4"/>
      <c r="C179" s="4"/>
      <c r="D179" s="4"/>
      <c r="E179" s="4"/>
      <c r="F179" s="4"/>
      <c r="G179" s="4"/>
      <c r="H179" s="4"/>
      <c r="I179" s="4"/>
      <c r="J179" s="4"/>
      <c r="K179" s="4"/>
      <c r="L179" s="4"/>
      <c r="M179" s="4"/>
      <c r="N179" s="4"/>
      <c r="O179" s="4"/>
      <c r="P179" s="4"/>
      <c r="Q179" s="4"/>
      <c r="R179" s="4"/>
      <c r="S179" s="4"/>
      <c r="T179" s="4"/>
      <c r="U179" s="4"/>
      <c r="V179" s="4"/>
      <c r="W179" s="4"/>
      <c r="X179" s="4"/>
    </row>
    <row r="180" spans="1:24" ht="15.75" thickBot="1">
      <c r="A180" s="3"/>
      <c r="B180" s="4"/>
      <c r="C180" s="4"/>
      <c r="D180" s="4"/>
      <c r="E180" s="4"/>
      <c r="F180" s="4"/>
      <c r="G180" s="4"/>
      <c r="H180" s="4"/>
      <c r="I180" s="4"/>
      <c r="J180" s="4"/>
      <c r="K180" s="4"/>
      <c r="L180" s="4"/>
      <c r="M180" s="4"/>
      <c r="N180" s="4"/>
      <c r="O180" s="4"/>
      <c r="P180" s="4"/>
      <c r="Q180" s="4"/>
      <c r="R180" s="4"/>
      <c r="S180" s="4"/>
      <c r="T180" s="4"/>
      <c r="U180" s="4"/>
      <c r="V180" s="4"/>
      <c r="W180" s="4"/>
      <c r="X180" s="4"/>
    </row>
    <row r="181" spans="1:24" ht="15.75" thickBot="1">
      <c r="A181" s="3"/>
      <c r="B181" s="4"/>
      <c r="C181" s="4"/>
      <c r="D181" s="4"/>
      <c r="E181" s="4"/>
      <c r="F181" s="4"/>
      <c r="G181" s="4"/>
      <c r="H181" s="4"/>
      <c r="I181" s="4"/>
      <c r="J181" s="4"/>
      <c r="K181" s="4"/>
      <c r="L181" s="4"/>
      <c r="M181" s="4"/>
      <c r="N181" s="4"/>
      <c r="O181" s="4"/>
      <c r="P181" s="4"/>
      <c r="Q181" s="4"/>
      <c r="R181" s="4"/>
      <c r="S181" s="4"/>
      <c r="T181" s="4"/>
      <c r="U181" s="4"/>
      <c r="V181" s="4"/>
      <c r="W181" s="4"/>
      <c r="X181" s="4"/>
    </row>
    <row r="182" spans="1:24" ht="15.75" thickBot="1">
      <c r="A182" s="3"/>
      <c r="B182" s="4"/>
      <c r="C182" s="4"/>
      <c r="D182" s="4"/>
      <c r="E182" s="4"/>
      <c r="F182" s="4"/>
      <c r="G182" s="4"/>
      <c r="H182" s="4"/>
      <c r="I182" s="4"/>
      <c r="J182" s="4"/>
      <c r="K182" s="4"/>
      <c r="L182" s="4"/>
      <c r="M182" s="4"/>
      <c r="N182" s="4"/>
      <c r="O182" s="4"/>
      <c r="P182" s="4"/>
      <c r="Q182" s="4"/>
      <c r="R182" s="4"/>
      <c r="S182" s="4"/>
      <c r="T182" s="4"/>
      <c r="U182" s="4"/>
      <c r="V182" s="4"/>
      <c r="W182" s="4"/>
      <c r="X182" s="4"/>
    </row>
    <row r="183" spans="1:24" ht="15.75" thickBot="1">
      <c r="A183" s="3"/>
      <c r="B183" s="4"/>
      <c r="C183" s="4"/>
      <c r="D183" s="4"/>
      <c r="E183" s="4"/>
      <c r="F183" s="4"/>
      <c r="G183" s="4"/>
      <c r="H183" s="4"/>
      <c r="I183" s="4"/>
      <c r="J183" s="4"/>
      <c r="K183" s="4"/>
      <c r="L183" s="4"/>
      <c r="M183" s="4"/>
      <c r="N183" s="4"/>
      <c r="O183" s="4"/>
      <c r="P183" s="4"/>
      <c r="Q183" s="4"/>
      <c r="R183" s="4"/>
      <c r="S183" s="4"/>
      <c r="T183" s="4"/>
      <c r="U183" s="4"/>
      <c r="V183" s="4"/>
      <c r="W183" s="4"/>
      <c r="X183" s="4"/>
    </row>
    <row r="184" spans="1:24" ht="15.75" thickBot="1">
      <c r="A184" s="3"/>
      <c r="B184" s="4"/>
      <c r="C184" s="4"/>
      <c r="D184" s="4"/>
      <c r="E184" s="4"/>
      <c r="F184" s="4"/>
      <c r="G184" s="4"/>
      <c r="H184" s="4"/>
      <c r="I184" s="4"/>
      <c r="J184" s="4"/>
      <c r="K184" s="4"/>
      <c r="L184" s="4"/>
      <c r="M184" s="4"/>
      <c r="N184" s="4"/>
      <c r="O184" s="4"/>
      <c r="P184" s="4"/>
      <c r="Q184" s="4"/>
      <c r="R184" s="4"/>
      <c r="S184" s="4"/>
      <c r="T184" s="4"/>
      <c r="U184" s="4"/>
      <c r="V184" s="4"/>
      <c r="W184" s="4"/>
      <c r="X184" s="4"/>
    </row>
    <row r="185" spans="1:24" ht="15.75" thickBot="1">
      <c r="A185" s="3"/>
      <c r="B185" s="4"/>
      <c r="C185" s="4"/>
      <c r="D185" s="4"/>
      <c r="E185" s="4"/>
      <c r="F185" s="4"/>
      <c r="G185" s="4"/>
      <c r="H185" s="4"/>
      <c r="I185" s="4"/>
      <c r="J185" s="4"/>
      <c r="K185" s="4"/>
      <c r="L185" s="4"/>
      <c r="M185" s="4"/>
      <c r="N185" s="4"/>
      <c r="O185" s="4"/>
      <c r="P185" s="4"/>
      <c r="Q185" s="4"/>
      <c r="R185" s="4"/>
      <c r="S185" s="4"/>
      <c r="T185" s="4"/>
      <c r="U185" s="4"/>
      <c r="V185" s="4"/>
      <c r="W185" s="4"/>
      <c r="X185" s="4"/>
    </row>
    <row r="186" spans="1:24" ht="15.75" thickBot="1">
      <c r="A186" s="3"/>
      <c r="B186" s="4"/>
      <c r="C186" s="4"/>
      <c r="D186" s="4"/>
      <c r="E186" s="4"/>
      <c r="F186" s="4"/>
      <c r="G186" s="4"/>
      <c r="H186" s="4"/>
      <c r="I186" s="4"/>
      <c r="J186" s="4"/>
      <c r="K186" s="4"/>
      <c r="L186" s="4"/>
      <c r="M186" s="4"/>
      <c r="N186" s="4"/>
      <c r="O186" s="4"/>
      <c r="P186" s="4"/>
      <c r="Q186" s="4"/>
      <c r="R186" s="4"/>
      <c r="S186" s="4"/>
      <c r="T186" s="4"/>
      <c r="U186" s="4"/>
      <c r="V186" s="4"/>
      <c r="W186" s="4"/>
      <c r="X186" s="4"/>
    </row>
    <row r="187" spans="1:24" ht="15.75" thickBot="1">
      <c r="A187" s="3"/>
      <c r="B187" s="4"/>
      <c r="C187" s="4"/>
      <c r="D187" s="4"/>
      <c r="E187" s="4"/>
      <c r="F187" s="4"/>
      <c r="G187" s="4"/>
      <c r="H187" s="4"/>
      <c r="I187" s="4"/>
      <c r="J187" s="4"/>
      <c r="K187" s="4"/>
      <c r="L187" s="4"/>
      <c r="M187" s="4"/>
      <c r="N187" s="4"/>
      <c r="O187" s="4"/>
      <c r="P187" s="4"/>
      <c r="Q187" s="4"/>
      <c r="R187" s="4"/>
      <c r="S187" s="4"/>
      <c r="T187" s="4"/>
      <c r="U187" s="4"/>
      <c r="V187" s="4"/>
      <c r="W187" s="4"/>
      <c r="X187" s="4"/>
    </row>
    <row r="188" spans="1:24" ht="15.75" thickBot="1">
      <c r="A188" s="3"/>
      <c r="B188" s="4"/>
      <c r="C188" s="4"/>
      <c r="D188" s="4"/>
      <c r="E188" s="4"/>
      <c r="F188" s="4"/>
      <c r="G188" s="4"/>
      <c r="H188" s="4"/>
      <c r="I188" s="4"/>
      <c r="J188" s="4"/>
      <c r="K188" s="4"/>
      <c r="L188" s="4"/>
      <c r="M188" s="4"/>
      <c r="N188" s="4"/>
      <c r="O188" s="4"/>
      <c r="P188" s="4"/>
      <c r="Q188" s="4"/>
      <c r="R188" s="4"/>
      <c r="S188" s="4"/>
      <c r="T188" s="4"/>
      <c r="U188" s="4"/>
      <c r="V188" s="4"/>
      <c r="W188" s="4"/>
      <c r="X188" s="4"/>
    </row>
    <row r="189" spans="1:24" ht="15.75" thickBot="1">
      <c r="A189" s="3"/>
      <c r="B189" s="4"/>
      <c r="C189" s="4"/>
      <c r="D189" s="4"/>
      <c r="E189" s="4"/>
      <c r="F189" s="4"/>
      <c r="G189" s="4"/>
      <c r="H189" s="4"/>
      <c r="I189" s="4"/>
      <c r="J189" s="4"/>
      <c r="K189" s="4"/>
      <c r="L189" s="4"/>
      <c r="M189" s="4"/>
      <c r="N189" s="4"/>
      <c r="O189" s="4"/>
      <c r="P189" s="4"/>
      <c r="Q189" s="4"/>
      <c r="R189" s="4"/>
      <c r="S189" s="4"/>
      <c r="T189" s="4"/>
      <c r="U189" s="4"/>
      <c r="V189" s="4"/>
      <c r="W189" s="4"/>
      <c r="X189" s="4"/>
    </row>
    <row r="190" spans="1:24" ht="15.75" thickBot="1">
      <c r="A190" s="3"/>
      <c r="B190" s="4"/>
      <c r="C190" s="4"/>
      <c r="D190" s="4"/>
      <c r="E190" s="4"/>
      <c r="F190" s="4"/>
      <c r="G190" s="4"/>
      <c r="H190" s="4"/>
      <c r="I190" s="4"/>
      <c r="J190" s="4"/>
      <c r="K190" s="4"/>
      <c r="L190" s="4"/>
      <c r="M190" s="4"/>
      <c r="N190" s="4"/>
      <c r="O190" s="4"/>
      <c r="P190" s="4"/>
      <c r="Q190" s="4"/>
      <c r="R190" s="4"/>
      <c r="S190" s="4"/>
      <c r="T190" s="4"/>
      <c r="U190" s="4"/>
      <c r="V190" s="4"/>
      <c r="W190" s="4"/>
      <c r="X190" s="4"/>
    </row>
    <row r="191" spans="1:24" ht="15.75" thickBot="1">
      <c r="A191" s="3"/>
      <c r="B191" s="4"/>
      <c r="C191" s="4"/>
      <c r="D191" s="4"/>
      <c r="E191" s="4"/>
      <c r="F191" s="4"/>
      <c r="G191" s="4"/>
      <c r="H191" s="4"/>
      <c r="I191" s="4"/>
      <c r="J191" s="4"/>
      <c r="K191" s="4"/>
      <c r="L191" s="4"/>
      <c r="M191" s="4"/>
      <c r="N191" s="4"/>
      <c r="O191" s="4"/>
      <c r="P191" s="4"/>
      <c r="Q191" s="4"/>
      <c r="R191" s="4"/>
      <c r="S191" s="4"/>
      <c r="T191" s="4"/>
      <c r="U191" s="4"/>
      <c r="V191" s="4"/>
      <c r="W191" s="4"/>
      <c r="X191" s="4"/>
    </row>
    <row r="192" spans="1:24" ht="15.75" thickBot="1">
      <c r="A192" s="3"/>
      <c r="B192" s="4"/>
      <c r="C192" s="4"/>
      <c r="D192" s="4"/>
      <c r="E192" s="4"/>
      <c r="F192" s="4"/>
      <c r="G192" s="4"/>
      <c r="H192" s="4"/>
      <c r="I192" s="4"/>
      <c r="J192" s="4"/>
      <c r="K192" s="4"/>
      <c r="L192" s="4"/>
      <c r="M192" s="4"/>
      <c r="N192" s="4"/>
      <c r="O192" s="4"/>
      <c r="P192" s="4"/>
      <c r="Q192" s="4"/>
      <c r="R192" s="4"/>
      <c r="S192" s="4"/>
      <c r="T192" s="4"/>
      <c r="U192" s="4"/>
      <c r="V192" s="4"/>
      <c r="W192" s="4"/>
      <c r="X192" s="4"/>
    </row>
    <row r="193" spans="1:24" ht="15.75" thickBot="1">
      <c r="A193" s="3"/>
      <c r="B193" s="4"/>
      <c r="C193" s="4"/>
      <c r="D193" s="4"/>
      <c r="E193" s="4"/>
      <c r="F193" s="4"/>
      <c r="G193" s="4"/>
      <c r="H193" s="4"/>
      <c r="I193" s="4"/>
      <c r="J193" s="4"/>
      <c r="K193" s="4"/>
      <c r="L193" s="4"/>
      <c r="M193" s="4"/>
      <c r="N193" s="4"/>
      <c r="O193" s="4"/>
      <c r="P193" s="4"/>
      <c r="Q193" s="4"/>
      <c r="R193" s="4"/>
      <c r="S193" s="4"/>
      <c r="T193" s="4"/>
      <c r="U193" s="4"/>
      <c r="V193" s="4"/>
      <c r="W193" s="4"/>
      <c r="X193" s="4"/>
    </row>
    <row r="194" spans="1:24" ht="15.75" thickBot="1">
      <c r="A194" s="3"/>
      <c r="B194" s="4"/>
      <c r="C194" s="4"/>
      <c r="D194" s="4"/>
      <c r="E194" s="4"/>
      <c r="F194" s="4"/>
      <c r="G194" s="4"/>
      <c r="H194" s="4"/>
      <c r="I194" s="4"/>
      <c r="J194" s="4"/>
      <c r="K194" s="4"/>
      <c r="L194" s="4"/>
      <c r="M194" s="4"/>
      <c r="N194" s="4"/>
      <c r="O194" s="4"/>
      <c r="P194" s="4"/>
      <c r="Q194" s="4"/>
      <c r="R194" s="4"/>
      <c r="S194" s="4"/>
      <c r="T194" s="4"/>
      <c r="U194" s="4"/>
      <c r="V194" s="4"/>
      <c r="W194" s="4"/>
      <c r="X194" s="4"/>
    </row>
    <row r="195" spans="1:24" ht="15.75" thickBot="1">
      <c r="A195" s="3"/>
      <c r="B195" s="4"/>
      <c r="C195" s="4"/>
      <c r="D195" s="4"/>
      <c r="E195" s="4"/>
      <c r="F195" s="4"/>
      <c r="G195" s="4"/>
      <c r="H195" s="4"/>
      <c r="I195" s="4"/>
      <c r="J195" s="4"/>
      <c r="K195" s="4"/>
      <c r="L195" s="4"/>
      <c r="M195" s="4"/>
      <c r="N195" s="4"/>
      <c r="O195" s="4"/>
      <c r="P195" s="4"/>
      <c r="Q195" s="4"/>
      <c r="R195" s="4"/>
      <c r="S195" s="4"/>
      <c r="T195" s="4"/>
      <c r="U195" s="4"/>
      <c r="V195" s="4"/>
      <c r="W195" s="4"/>
      <c r="X195" s="4"/>
    </row>
    <row r="196" spans="1:24" ht="15.75" thickBot="1">
      <c r="A196" s="3"/>
      <c r="B196" s="4"/>
      <c r="C196" s="4"/>
      <c r="D196" s="4"/>
      <c r="E196" s="4"/>
      <c r="F196" s="4"/>
      <c r="G196" s="4"/>
      <c r="H196" s="4"/>
      <c r="I196" s="4"/>
      <c r="J196" s="4"/>
      <c r="K196" s="4"/>
      <c r="L196" s="4"/>
      <c r="M196" s="4"/>
      <c r="N196" s="4"/>
      <c r="O196" s="4"/>
      <c r="P196" s="4"/>
      <c r="Q196" s="4"/>
      <c r="R196" s="4"/>
      <c r="S196" s="4"/>
      <c r="T196" s="4"/>
      <c r="U196" s="4"/>
      <c r="V196" s="4"/>
      <c r="W196" s="4"/>
      <c r="X196" s="4"/>
    </row>
    <row r="197" spans="1:24" ht="15.75" thickBot="1">
      <c r="A197" s="3"/>
      <c r="B197" s="4"/>
      <c r="C197" s="4"/>
      <c r="D197" s="4"/>
      <c r="E197" s="4"/>
      <c r="F197" s="4"/>
      <c r="G197" s="4"/>
      <c r="H197" s="4"/>
      <c r="I197" s="4"/>
      <c r="J197" s="4"/>
      <c r="K197" s="4"/>
      <c r="L197" s="4"/>
      <c r="M197" s="4"/>
      <c r="N197" s="4"/>
      <c r="O197" s="4"/>
      <c r="P197" s="4"/>
      <c r="Q197" s="4"/>
      <c r="R197" s="4"/>
      <c r="S197" s="4"/>
      <c r="T197" s="4"/>
      <c r="U197" s="4"/>
      <c r="V197" s="4"/>
      <c r="W197" s="4"/>
      <c r="X197" s="4"/>
    </row>
    <row r="198" spans="1:24" ht="15.75" thickBot="1">
      <c r="A198" s="3"/>
      <c r="B198" s="4"/>
      <c r="C198" s="4"/>
      <c r="D198" s="4"/>
      <c r="E198" s="4"/>
      <c r="F198" s="4"/>
      <c r="G198" s="4"/>
      <c r="H198" s="4"/>
      <c r="I198" s="4"/>
      <c r="J198" s="4"/>
      <c r="K198" s="4"/>
      <c r="L198" s="4"/>
      <c r="M198" s="4"/>
      <c r="N198" s="4"/>
      <c r="O198" s="4"/>
      <c r="P198" s="4"/>
      <c r="Q198" s="4"/>
      <c r="R198" s="4"/>
      <c r="S198" s="4"/>
      <c r="T198" s="4"/>
      <c r="U198" s="4"/>
      <c r="V198" s="4"/>
      <c r="W198" s="4"/>
      <c r="X198" s="4"/>
    </row>
    <row r="199" spans="1:24" ht="15.75" thickBot="1">
      <c r="A199" s="3"/>
      <c r="B199" s="4"/>
      <c r="C199" s="4"/>
      <c r="D199" s="4"/>
      <c r="E199" s="4"/>
      <c r="F199" s="4"/>
      <c r="G199" s="4"/>
      <c r="H199" s="4"/>
      <c r="I199" s="4"/>
      <c r="J199" s="4"/>
      <c r="K199" s="4"/>
      <c r="L199" s="4"/>
      <c r="M199" s="4"/>
      <c r="N199" s="4"/>
      <c r="O199" s="4"/>
      <c r="P199" s="4"/>
      <c r="Q199" s="4"/>
      <c r="R199" s="4"/>
      <c r="S199" s="4"/>
      <c r="T199" s="4"/>
      <c r="U199" s="4"/>
      <c r="V199" s="4"/>
      <c r="W199" s="4"/>
      <c r="X199" s="4"/>
    </row>
    <row r="200" spans="1:24" ht="15.75" thickBot="1">
      <c r="A200" s="3"/>
      <c r="B200" s="4"/>
      <c r="C200" s="4"/>
      <c r="D200" s="4"/>
      <c r="E200" s="4"/>
      <c r="F200" s="4"/>
      <c r="G200" s="4"/>
      <c r="H200" s="4"/>
      <c r="I200" s="4"/>
      <c r="J200" s="4"/>
      <c r="K200" s="4"/>
      <c r="L200" s="4"/>
      <c r="M200" s="4"/>
      <c r="N200" s="4"/>
      <c r="O200" s="4"/>
      <c r="P200" s="4"/>
      <c r="Q200" s="4"/>
      <c r="R200" s="4"/>
      <c r="S200" s="4"/>
      <c r="T200" s="4"/>
      <c r="U200" s="4"/>
      <c r="V200" s="4"/>
      <c r="W200" s="4"/>
      <c r="X200" s="4"/>
    </row>
    <row r="201" spans="1:24" ht="15.75" thickBot="1">
      <c r="A201" s="3"/>
      <c r="B201" s="4"/>
      <c r="C201" s="4"/>
      <c r="D201" s="4"/>
      <c r="E201" s="4"/>
      <c r="F201" s="4"/>
      <c r="G201" s="4"/>
      <c r="H201" s="4"/>
      <c r="I201" s="4"/>
      <c r="J201" s="4"/>
      <c r="K201" s="4"/>
      <c r="L201" s="4"/>
      <c r="M201" s="4"/>
      <c r="N201" s="4"/>
      <c r="O201" s="4"/>
      <c r="P201" s="4"/>
      <c r="Q201" s="4"/>
      <c r="R201" s="4"/>
      <c r="S201" s="4"/>
      <c r="T201" s="4"/>
      <c r="U201" s="4"/>
      <c r="V201" s="4"/>
      <c r="W201" s="4"/>
      <c r="X201" s="4"/>
    </row>
    <row r="202" spans="1:24" ht="15.75" thickBot="1">
      <c r="A202" s="3"/>
      <c r="B202" s="4"/>
      <c r="C202" s="4"/>
      <c r="D202" s="4"/>
      <c r="E202" s="4"/>
      <c r="F202" s="4"/>
      <c r="G202" s="4"/>
      <c r="H202" s="4"/>
      <c r="I202" s="4"/>
      <c r="J202" s="4"/>
      <c r="K202" s="4"/>
      <c r="L202" s="4"/>
      <c r="M202" s="4"/>
      <c r="N202" s="4"/>
      <c r="O202" s="4"/>
      <c r="P202" s="4"/>
      <c r="Q202" s="4"/>
      <c r="R202" s="4"/>
      <c r="S202" s="4"/>
      <c r="T202" s="4"/>
      <c r="U202" s="4"/>
      <c r="V202" s="4"/>
      <c r="W202" s="4"/>
      <c r="X202" s="4"/>
    </row>
    <row r="203" spans="1:24" ht="15.75" thickBot="1">
      <c r="A203" s="3"/>
      <c r="B203" s="4"/>
      <c r="C203" s="4"/>
      <c r="D203" s="4"/>
      <c r="E203" s="4"/>
      <c r="F203" s="4"/>
      <c r="G203" s="4"/>
      <c r="H203" s="4"/>
      <c r="I203" s="4"/>
      <c r="J203" s="4"/>
      <c r="K203" s="4"/>
      <c r="L203" s="4"/>
      <c r="M203" s="4"/>
      <c r="N203" s="4"/>
      <c r="O203" s="4"/>
      <c r="P203" s="4"/>
      <c r="Q203" s="4"/>
      <c r="R203" s="4"/>
      <c r="S203" s="4"/>
      <c r="T203" s="4"/>
      <c r="U203" s="4"/>
      <c r="V203" s="4"/>
      <c r="W203" s="4"/>
      <c r="X203" s="4"/>
    </row>
    <row r="204" spans="1:24" ht="15.75" thickBot="1">
      <c r="A204" s="3"/>
      <c r="B204" s="4"/>
      <c r="C204" s="4"/>
      <c r="D204" s="4"/>
      <c r="E204" s="4"/>
      <c r="F204" s="4"/>
      <c r="G204" s="4"/>
      <c r="H204" s="4"/>
      <c r="I204" s="4"/>
      <c r="J204" s="4"/>
      <c r="K204" s="4"/>
      <c r="L204" s="4"/>
      <c r="M204" s="4"/>
      <c r="N204" s="4"/>
      <c r="O204" s="4"/>
      <c r="P204" s="4"/>
      <c r="Q204" s="4"/>
      <c r="R204" s="4"/>
      <c r="S204" s="4"/>
      <c r="T204" s="4"/>
      <c r="U204" s="4"/>
      <c r="V204" s="4"/>
      <c r="W204" s="4"/>
      <c r="X204" s="4"/>
    </row>
    <row r="205" spans="1:24" ht="15.75" thickBot="1">
      <c r="A205" s="3"/>
      <c r="B205" s="4"/>
      <c r="C205" s="4"/>
      <c r="D205" s="4"/>
      <c r="E205" s="4"/>
      <c r="F205" s="4"/>
      <c r="G205" s="4"/>
      <c r="H205" s="4"/>
      <c r="I205" s="4"/>
      <c r="J205" s="4"/>
      <c r="K205" s="4"/>
      <c r="L205" s="4"/>
      <c r="M205" s="4"/>
      <c r="N205" s="4"/>
      <c r="O205" s="4"/>
      <c r="P205" s="4"/>
      <c r="Q205" s="4"/>
      <c r="R205" s="4"/>
      <c r="S205" s="4"/>
      <c r="T205" s="4"/>
      <c r="U205" s="4"/>
      <c r="V205" s="4"/>
      <c r="W205" s="4"/>
      <c r="X205" s="4"/>
    </row>
    <row r="206" spans="1:24" ht="15.75" thickBot="1">
      <c r="A206" s="3"/>
      <c r="B206" s="4"/>
      <c r="C206" s="4"/>
      <c r="D206" s="4"/>
      <c r="E206" s="4"/>
      <c r="F206" s="4"/>
      <c r="G206" s="4"/>
      <c r="H206" s="4"/>
      <c r="I206" s="4"/>
      <c r="J206" s="4"/>
      <c r="K206" s="4"/>
      <c r="L206" s="4"/>
      <c r="M206" s="4"/>
      <c r="N206" s="4"/>
      <c r="O206" s="4"/>
      <c r="P206" s="4"/>
      <c r="Q206" s="4"/>
      <c r="R206" s="4"/>
      <c r="S206" s="4"/>
      <c r="T206" s="4"/>
      <c r="U206" s="4"/>
      <c r="V206" s="4"/>
      <c r="W206" s="4"/>
      <c r="X206" s="4"/>
    </row>
    <row r="207" spans="1:24" ht="15.75" thickBot="1">
      <c r="A207" s="3"/>
      <c r="B207" s="4"/>
      <c r="C207" s="4"/>
      <c r="D207" s="4"/>
      <c r="E207" s="4"/>
      <c r="F207" s="4"/>
      <c r="G207" s="4"/>
      <c r="H207" s="4"/>
      <c r="I207" s="4"/>
      <c r="J207" s="4"/>
      <c r="K207" s="4"/>
      <c r="L207" s="4"/>
      <c r="M207" s="4"/>
      <c r="N207" s="4"/>
      <c r="O207" s="4"/>
      <c r="P207" s="4"/>
      <c r="Q207" s="4"/>
      <c r="R207" s="4"/>
      <c r="S207" s="4"/>
      <c r="T207" s="4"/>
      <c r="U207" s="4"/>
      <c r="V207" s="4"/>
      <c r="W207" s="4"/>
      <c r="X207" s="4"/>
    </row>
    <row r="208" spans="1:24" ht="15.75" thickBot="1">
      <c r="A208" s="3"/>
      <c r="B208" s="4"/>
      <c r="C208" s="4"/>
      <c r="D208" s="4"/>
      <c r="E208" s="4"/>
      <c r="F208" s="4"/>
      <c r="G208" s="4"/>
      <c r="H208" s="4"/>
      <c r="I208" s="4"/>
      <c r="J208" s="4"/>
      <c r="K208" s="4"/>
      <c r="L208" s="4"/>
      <c r="M208" s="4"/>
      <c r="N208" s="4"/>
      <c r="O208" s="4"/>
      <c r="P208" s="4"/>
      <c r="Q208" s="4"/>
      <c r="R208" s="4"/>
      <c r="S208" s="4"/>
      <c r="T208" s="4"/>
      <c r="U208" s="4"/>
      <c r="V208" s="4"/>
      <c r="W208" s="4"/>
      <c r="X208" s="4"/>
    </row>
    <row r="209" spans="1:24" ht="15.75" thickBot="1">
      <c r="A209" s="3"/>
      <c r="B209" s="4"/>
      <c r="C209" s="4"/>
      <c r="D209" s="4"/>
      <c r="E209" s="4"/>
      <c r="F209" s="4"/>
      <c r="G209" s="4"/>
      <c r="H209" s="4"/>
      <c r="I209" s="4"/>
      <c r="J209" s="4"/>
      <c r="K209" s="4"/>
      <c r="L209" s="4"/>
      <c r="M209" s="4"/>
      <c r="N209" s="4"/>
      <c r="O209" s="4"/>
      <c r="P209" s="4"/>
      <c r="Q209" s="4"/>
      <c r="R209" s="4"/>
      <c r="S209" s="4"/>
      <c r="T209" s="4"/>
      <c r="U209" s="4"/>
      <c r="V209" s="4"/>
      <c r="W209" s="4"/>
      <c r="X209" s="4"/>
    </row>
    <row r="210" spans="1:24" ht="15.75" thickBot="1">
      <c r="A210" s="3"/>
      <c r="B210" s="4"/>
      <c r="C210" s="4"/>
      <c r="D210" s="4"/>
      <c r="E210" s="4"/>
      <c r="F210" s="4"/>
      <c r="G210" s="4"/>
      <c r="H210" s="4"/>
      <c r="I210" s="4"/>
      <c r="J210" s="4"/>
      <c r="K210" s="4"/>
      <c r="L210" s="4"/>
      <c r="M210" s="4"/>
      <c r="N210" s="4"/>
      <c r="O210" s="4"/>
      <c r="P210" s="4"/>
      <c r="Q210" s="4"/>
      <c r="R210" s="4"/>
      <c r="S210" s="4"/>
      <c r="T210" s="4"/>
      <c r="U210" s="4"/>
      <c r="V210" s="4"/>
      <c r="W210" s="4"/>
      <c r="X210" s="4"/>
    </row>
    <row r="211" spans="1:24" ht="15.75" thickBot="1">
      <c r="A211" s="3"/>
      <c r="B211" s="4"/>
      <c r="C211" s="4"/>
      <c r="D211" s="4"/>
      <c r="E211" s="4"/>
      <c r="F211" s="4"/>
      <c r="G211" s="4"/>
      <c r="H211" s="4"/>
      <c r="I211" s="4"/>
      <c r="J211" s="4"/>
      <c r="K211" s="4"/>
      <c r="L211" s="4"/>
      <c r="M211" s="4"/>
      <c r="N211" s="4"/>
      <c r="O211" s="4"/>
      <c r="P211" s="4"/>
      <c r="Q211" s="4"/>
      <c r="R211" s="4"/>
      <c r="S211" s="4"/>
      <c r="T211" s="4"/>
      <c r="U211" s="4"/>
      <c r="V211" s="4"/>
      <c r="W211" s="4"/>
      <c r="X211" s="4"/>
    </row>
    <row r="212" spans="1:24" ht="15.75" thickBot="1">
      <c r="A212" s="3"/>
      <c r="B212" s="4"/>
      <c r="C212" s="4"/>
      <c r="D212" s="4"/>
      <c r="E212" s="4"/>
      <c r="F212" s="4"/>
      <c r="G212" s="4"/>
      <c r="H212" s="4"/>
      <c r="I212" s="4"/>
      <c r="J212" s="4"/>
      <c r="K212" s="4"/>
      <c r="L212" s="4"/>
      <c r="M212" s="4"/>
      <c r="N212" s="4"/>
      <c r="O212" s="4"/>
      <c r="P212" s="4"/>
      <c r="Q212" s="4"/>
      <c r="R212" s="4"/>
      <c r="S212" s="4"/>
      <c r="T212" s="4"/>
      <c r="U212" s="4"/>
      <c r="V212" s="4"/>
      <c r="W212" s="4"/>
      <c r="X212" s="4"/>
    </row>
    <row r="213" spans="1:24" ht="15.75" thickBot="1">
      <c r="A213" s="3"/>
      <c r="B213" s="4"/>
      <c r="C213" s="4"/>
      <c r="D213" s="4"/>
      <c r="E213" s="4"/>
      <c r="F213" s="4"/>
      <c r="G213" s="4"/>
      <c r="H213" s="4"/>
      <c r="I213" s="4"/>
      <c r="J213" s="4"/>
      <c r="K213" s="4"/>
      <c r="L213" s="4"/>
      <c r="M213" s="4"/>
      <c r="N213" s="4"/>
      <c r="O213" s="4"/>
      <c r="P213" s="4"/>
      <c r="Q213" s="4"/>
      <c r="R213" s="4"/>
      <c r="S213" s="4"/>
      <c r="T213" s="4"/>
      <c r="U213" s="4"/>
      <c r="V213" s="4"/>
      <c r="W213" s="4"/>
      <c r="X213" s="4"/>
    </row>
    <row r="214" spans="1:24" ht="15.75" thickBot="1">
      <c r="A214" s="3"/>
      <c r="B214" s="4"/>
      <c r="C214" s="4"/>
      <c r="D214" s="4"/>
      <c r="E214" s="4"/>
      <c r="F214" s="4"/>
      <c r="G214" s="4"/>
      <c r="H214" s="4"/>
      <c r="I214" s="4"/>
      <c r="J214" s="4"/>
      <c r="K214" s="4"/>
      <c r="L214" s="4"/>
      <c r="M214" s="4"/>
      <c r="N214" s="4"/>
      <c r="O214" s="4"/>
      <c r="P214" s="4"/>
      <c r="Q214" s="4"/>
      <c r="R214" s="4"/>
      <c r="S214" s="4"/>
      <c r="T214" s="4"/>
      <c r="U214" s="4"/>
      <c r="V214" s="4"/>
      <c r="W214" s="4"/>
      <c r="X214" s="4"/>
    </row>
    <row r="215" spans="1:24" ht="15.75" thickBot="1">
      <c r="A215" s="3"/>
      <c r="B215" s="4"/>
      <c r="C215" s="4"/>
      <c r="D215" s="4"/>
      <c r="E215" s="4"/>
      <c r="F215" s="4"/>
      <c r="G215" s="4"/>
      <c r="H215" s="4"/>
      <c r="I215" s="4"/>
      <c r="J215" s="4"/>
      <c r="K215" s="4"/>
      <c r="L215" s="4"/>
      <c r="M215" s="4"/>
      <c r="N215" s="4"/>
      <c r="O215" s="4"/>
      <c r="P215" s="4"/>
      <c r="Q215" s="4"/>
      <c r="R215" s="4"/>
      <c r="S215" s="4"/>
      <c r="T215" s="4"/>
      <c r="U215" s="4"/>
      <c r="V215" s="4"/>
      <c r="W215" s="4"/>
      <c r="X215" s="4"/>
    </row>
    <row r="216" spans="1:24" ht="15.75" thickBot="1">
      <c r="A216" s="3"/>
      <c r="B216" s="4"/>
      <c r="C216" s="4"/>
      <c r="D216" s="4"/>
      <c r="E216" s="4"/>
      <c r="F216" s="4"/>
      <c r="G216" s="4"/>
      <c r="H216" s="4"/>
      <c r="I216" s="4"/>
      <c r="J216" s="4"/>
      <c r="K216" s="4"/>
      <c r="L216" s="4"/>
      <c r="M216" s="4"/>
      <c r="N216" s="4"/>
      <c r="O216" s="4"/>
      <c r="P216" s="4"/>
      <c r="Q216" s="4"/>
      <c r="R216" s="4"/>
      <c r="S216" s="4"/>
      <c r="T216" s="4"/>
      <c r="U216" s="4"/>
      <c r="V216" s="4"/>
      <c r="W216" s="4"/>
      <c r="X216" s="4"/>
    </row>
    <row r="217" spans="1:24" ht="15.75" thickBot="1">
      <c r="A217" s="3"/>
      <c r="B217" s="4"/>
      <c r="C217" s="4"/>
      <c r="D217" s="4"/>
      <c r="E217" s="4"/>
      <c r="F217" s="4"/>
      <c r="G217" s="4"/>
      <c r="H217" s="4"/>
      <c r="I217" s="4"/>
      <c r="J217" s="4"/>
      <c r="K217" s="4"/>
      <c r="L217" s="4"/>
      <c r="M217" s="4"/>
      <c r="N217" s="4"/>
      <c r="O217" s="4"/>
      <c r="P217" s="4"/>
      <c r="Q217" s="4"/>
      <c r="R217" s="4"/>
      <c r="S217" s="4"/>
      <c r="T217" s="4"/>
      <c r="U217" s="4"/>
      <c r="V217" s="4"/>
      <c r="W217" s="4"/>
      <c r="X217" s="4"/>
    </row>
    <row r="218" spans="1:24" ht="15.75" thickBot="1">
      <c r="A218" s="3"/>
      <c r="B218" s="4"/>
      <c r="C218" s="4"/>
      <c r="D218" s="4"/>
      <c r="E218" s="4"/>
      <c r="F218" s="4"/>
      <c r="G218" s="4"/>
      <c r="H218" s="4"/>
      <c r="I218" s="4"/>
      <c r="J218" s="4"/>
      <c r="K218" s="4"/>
      <c r="L218" s="4"/>
      <c r="M218" s="4"/>
      <c r="N218" s="4"/>
      <c r="O218" s="4"/>
      <c r="P218" s="4"/>
      <c r="Q218" s="4"/>
      <c r="R218" s="4"/>
      <c r="S218" s="4"/>
      <c r="T218" s="4"/>
      <c r="U218" s="4"/>
      <c r="V218" s="4"/>
      <c r="W218" s="4"/>
      <c r="X218" s="4"/>
    </row>
    <row r="219" spans="1:24" ht="15.75" thickBot="1">
      <c r="A219" s="3"/>
      <c r="B219" s="4"/>
      <c r="C219" s="4"/>
      <c r="D219" s="4"/>
      <c r="E219" s="4"/>
      <c r="F219" s="4"/>
      <c r="G219" s="4"/>
      <c r="H219" s="4"/>
      <c r="I219" s="4"/>
      <c r="J219" s="4"/>
      <c r="K219" s="4"/>
      <c r="L219" s="4"/>
      <c r="M219" s="4"/>
      <c r="N219" s="4"/>
      <c r="O219" s="4"/>
      <c r="P219" s="4"/>
      <c r="Q219" s="4"/>
      <c r="R219" s="4"/>
      <c r="S219" s="4"/>
      <c r="T219" s="4"/>
      <c r="U219" s="4"/>
      <c r="V219" s="4"/>
      <c r="W219" s="4"/>
      <c r="X219" s="4"/>
    </row>
    <row r="220" spans="1:24" ht="15.75" thickBot="1">
      <c r="A220" s="3"/>
      <c r="B220" s="4"/>
      <c r="C220" s="4"/>
      <c r="D220" s="4"/>
      <c r="E220" s="4"/>
      <c r="F220" s="4"/>
      <c r="G220" s="4"/>
      <c r="H220" s="4"/>
      <c r="I220" s="4"/>
      <c r="J220" s="4"/>
      <c r="K220" s="4"/>
      <c r="L220" s="4"/>
      <c r="M220" s="4"/>
      <c r="N220" s="4"/>
      <c r="O220" s="4"/>
      <c r="P220" s="4"/>
      <c r="Q220" s="4"/>
      <c r="R220" s="4"/>
      <c r="S220" s="4"/>
      <c r="T220" s="4"/>
      <c r="U220" s="4"/>
      <c r="V220" s="4"/>
      <c r="W220" s="4"/>
      <c r="X220" s="4"/>
    </row>
    <row r="221" spans="1:24" ht="15.75" thickBot="1">
      <c r="A221" s="3"/>
      <c r="B221" s="4"/>
      <c r="C221" s="4"/>
      <c r="D221" s="4"/>
      <c r="E221" s="4"/>
      <c r="F221" s="4"/>
      <c r="G221" s="4"/>
      <c r="H221" s="4"/>
      <c r="I221" s="4"/>
      <c r="J221" s="4"/>
      <c r="K221" s="4"/>
      <c r="L221" s="4"/>
      <c r="M221" s="4"/>
      <c r="N221" s="4"/>
      <c r="O221" s="4"/>
      <c r="P221" s="4"/>
      <c r="Q221" s="4"/>
      <c r="R221" s="4"/>
      <c r="S221" s="4"/>
      <c r="T221" s="4"/>
      <c r="U221" s="4"/>
      <c r="V221" s="4"/>
      <c r="W221" s="4"/>
      <c r="X221" s="4"/>
    </row>
    <row r="222" spans="1:24" ht="15.75" thickBot="1">
      <c r="A222" s="3"/>
      <c r="B222" s="4"/>
      <c r="C222" s="4"/>
      <c r="D222" s="4"/>
      <c r="E222" s="4"/>
      <c r="F222" s="4"/>
      <c r="G222" s="4"/>
      <c r="H222" s="4"/>
      <c r="I222" s="4"/>
      <c r="J222" s="4"/>
      <c r="K222" s="4"/>
      <c r="L222" s="4"/>
      <c r="M222" s="4"/>
      <c r="N222" s="4"/>
      <c r="O222" s="4"/>
      <c r="P222" s="4"/>
      <c r="Q222" s="4"/>
      <c r="R222" s="4"/>
      <c r="S222" s="4"/>
      <c r="T222" s="4"/>
      <c r="U222" s="4"/>
      <c r="V222" s="4"/>
      <c r="W222" s="4"/>
      <c r="X222" s="4"/>
    </row>
    <row r="223" spans="1:24" ht="15.75" thickBot="1">
      <c r="A223" s="3"/>
      <c r="B223" s="4"/>
      <c r="C223" s="4"/>
      <c r="D223" s="4"/>
      <c r="E223" s="4"/>
      <c r="F223" s="4"/>
      <c r="G223" s="4"/>
      <c r="H223" s="4"/>
      <c r="I223" s="4"/>
      <c r="J223" s="4"/>
      <c r="K223" s="4"/>
      <c r="L223" s="4"/>
      <c r="M223" s="4"/>
      <c r="N223" s="4"/>
      <c r="O223" s="4"/>
      <c r="P223" s="4"/>
      <c r="Q223" s="4"/>
      <c r="R223" s="4"/>
      <c r="S223" s="4"/>
      <c r="T223" s="4"/>
      <c r="U223" s="4"/>
      <c r="V223" s="4"/>
      <c r="W223" s="4"/>
      <c r="X223" s="4"/>
    </row>
    <row r="224" spans="1:24" ht="15.75" thickBot="1">
      <c r="A224" s="3"/>
      <c r="B224" s="4"/>
      <c r="C224" s="4"/>
      <c r="D224" s="4"/>
      <c r="E224" s="4"/>
      <c r="F224" s="4"/>
      <c r="G224" s="4"/>
      <c r="H224" s="4"/>
      <c r="I224" s="4"/>
      <c r="J224" s="4"/>
      <c r="K224" s="4"/>
      <c r="L224" s="4"/>
      <c r="M224" s="4"/>
      <c r="N224" s="4"/>
      <c r="O224" s="4"/>
      <c r="P224" s="4"/>
      <c r="Q224" s="4"/>
      <c r="R224" s="4"/>
      <c r="S224" s="4"/>
      <c r="T224" s="4"/>
      <c r="U224" s="4"/>
      <c r="V224" s="4"/>
      <c r="W224" s="4"/>
      <c r="X224" s="4"/>
    </row>
    <row r="225" spans="1:24" ht="15.75" thickBot="1">
      <c r="A225" s="3"/>
      <c r="B225" s="4"/>
      <c r="C225" s="4"/>
      <c r="D225" s="4"/>
      <c r="E225" s="4"/>
      <c r="F225" s="4"/>
      <c r="G225" s="4"/>
      <c r="H225" s="4"/>
      <c r="I225" s="4"/>
      <c r="J225" s="4"/>
      <c r="K225" s="4"/>
      <c r="L225" s="4"/>
      <c r="M225" s="4"/>
      <c r="N225" s="4"/>
      <c r="O225" s="4"/>
      <c r="P225" s="4"/>
      <c r="Q225" s="4"/>
      <c r="R225" s="4"/>
      <c r="S225" s="4"/>
      <c r="T225" s="4"/>
      <c r="U225" s="4"/>
      <c r="V225" s="4"/>
      <c r="W225" s="4"/>
      <c r="X225" s="4"/>
    </row>
    <row r="226" spans="1:24" ht="15.75" thickBot="1">
      <c r="A226" s="3"/>
      <c r="B226" s="4"/>
      <c r="C226" s="4"/>
      <c r="D226" s="4"/>
      <c r="E226" s="4"/>
      <c r="F226" s="4"/>
      <c r="G226" s="4"/>
      <c r="H226" s="4"/>
      <c r="I226" s="4"/>
      <c r="J226" s="4"/>
      <c r="K226" s="4"/>
      <c r="L226" s="4"/>
      <c r="M226" s="4"/>
      <c r="N226" s="4"/>
      <c r="O226" s="4"/>
      <c r="P226" s="4"/>
      <c r="Q226" s="4"/>
      <c r="R226" s="4"/>
      <c r="S226" s="4"/>
      <c r="T226" s="4"/>
      <c r="U226" s="4"/>
      <c r="V226" s="4"/>
      <c r="W226" s="4"/>
      <c r="X226" s="4"/>
    </row>
    <row r="227" spans="1:24" ht="15.75" thickBot="1">
      <c r="A227" s="3"/>
      <c r="B227" s="4"/>
      <c r="C227" s="4"/>
      <c r="D227" s="4"/>
      <c r="E227" s="4"/>
      <c r="F227" s="4"/>
      <c r="G227" s="4"/>
      <c r="H227" s="4"/>
      <c r="I227" s="4"/>
      <c r="J227" s="4"/>
      <c r="K227" s="4"/>
      <c r="L227" s="4"/>
      <c r="M227" s="4"/>
      <c r="N227" s="4"/>
      <c r="O227" s="4"/>
      <c r="P227" s="4"/>
      <c r="Q227" s="4"/>
      <c r="R227" s="4"/>
      <c r="S227" s="4"/>
      <c r="T227" s="4"/>
      <c r="U227" s="4"/>
      <c r="V227" s="4"/>
      <c r="W227" s="4"/>
      <c r="X227" s="4"/>
    </row>
    <row r="228" spans="1:24" ht="15.75" thickBot="1">
      <c r="A228" s="3"/>
      <c r="B228" s="4"/>
      <c r="C228" s="4"/>
      <c r="D228" s="4"/>
      <c r="E228" s="4"/>
      <c r="F228" s="4"/>
      <c r="G228" s="4"/>
      <c r="H228" s="4"/>
      <c r="I228" s="4"/>
      <c r="J228" s="4"/>
      <c r="K228" s="4"/>
      <c r="L228" s="4"/>
      <c r="M228" s="4"/>
      <c r="N228" s="4"/>
      <c r="O228" s="4"/>
      <c r="P228" s="4"/>
      <c r="Q228" s="4"/>
      <c r="R228" s="4"/>
      <c r="S228" s="4"/>
      <c r="T228" s="4"/>
      <c r="U228" s="4"/>
      <c r="V228" s="4"/>
      <c r="W228" s="4"/>
      <c r="X228" s="4"/>
    </row>
    <row r="229" spans="1:24" ht="15.75" thickBot="1">
      <c r="A229" s="3"/>
      <c r="B229" s="4"/>
      <c r="C229" s="4"/>
      <c r="D229" s="4"/>
      <c r="E229" s="4"/>
      <c r="F229" s="4"/>
      <c r="G229" s="4"/>
      <c r="H229" s="4"/>
      <c r="I229" s="4"/>
      <c r="J229" s="4"/>
      <c r="K229" s="4"/>
      <c r="L229" s="4"/>
      <c r="M229" s="4"/>
      <c r="N229" s="4"/>
      <c r="O229" s="4"/>
      <c r="P229" s="4"/>
      <c r="Q229" s="4"/>
      <c r="R229" s="4"/>
      <c r="S229" s="4"/>
      <c r="T229" s="4"/>
      <c r="U229" s="4"/>
      <c r="V229" s="4"/>
      <c r="W229" s="4"/>
      <c r="X229" s="4"/>
    </row>
    <row r="230" spans="1:24" ht="15.75" thickBot="1">
      <c r="A230" s="3"/>
      <c r="B230" s="4"/>
      <c r="C230" s="4"/>
      <c r="D230" s="4"/>
      <c r="E230" s="4"/>
      <c r="F230" s="4"/>
      <c r="G230" s="4"/>
      <c r="H230" s="4"/>
      <c r="I230" s="4"/>
      <c r="J230" s="4"/>
      <c r="K230" s="4"/>
      <c r="L230" s="4"/>
      <c r="M230" s="4"/>
      <c r="N230" s="4"/>
      <c r="O230" s="4"/>
      <c r="P230" s="4"/>
      <c r="Q230" s="4"/>
      <c r="R230" s="4"/>
      <c r="S230" s="4"/>
      <c r="T230" s="4"/>
      <c r="U230" s="4"/>
      <c r="V230" s="4"/>
      <c r="W230" s="4"/>
      <c r="X230" s="4"/>
    </row>
    <row r="231" spans="1:24" ht="15.75" thickBot="1">
      <c r="A231" s="3"/>
      <c r="B231" s="4"/>
      <c r="C231" s="4"/>
      <c r="D231" s="4"/>
      <c r="E231" s="4"/>
      <c r="F231" s="4"/>
      <c r="G231" s="4"/>
      <c r="H231" s="4"/>
      <c r="I231" s="4"/>
      <c r="J231" s="4"/>
      <c r="K231" s="4"/>
      <c r="L231" s="4"/>
      <c r="M231" s="4"/>
      <c r="N231" s="4"/>
      <c r="O231" s="4"/>
      <c r="P231" s="4"/>
      <c r="Q231" s="4"/>
      <c r="R231" s="4"/>
      <c r="S231" s="4"/>
      <c r="T231" s="4"/>
      <c r="U231" s="4"/>
      <c r="V231" s="4"/>
      <c r="W231" s="4"/>
      <c r="X231" s="4"/>
    </row>
    <row r="232" spans="1:24" ht="15.75" thickBot="1">
      <c r="A232" s="3"/>
      <c r="B232" s="4"/>
      <c r="C232" s="4"/>
      <c r="D232" s="4"/>
      <c r="E232" s="4"/>
      <c r="F232" s="4"/>
      <c r="G232" s="4"/>
      <c r="H232" s="4"/>
      <c r="I232" s="4"/>
      <c r="J232" s="4"/>
      <c r="K232" s="4"/>
      <c r="L232" s="4"/>
      <c r="M232" s="4"/>
      <c r="N232" s="4"/>
      <c r="O232" s="4"/>
      <c r="P232" s="4"/>
      <c r="Q232" s="4"/>
      <c r="R232" s="4"/>
      <c r="S232" s="4"/>
      <c r="T232" s="4"/>
      <c r="U232" s="4"/>
      <c r="V232" s="4"/>
      <c r="W232" s="4"/>
      <c r="X232" s="4"/>
    </row>
    <row r="233" spans="1:24" ht="15.75" thickBot="1">
      <c r="A233" s="3"/>
      <c r="B233" s="4"/>
      <c r="C233" s="4"/>
      <c r="D233" s="4"/>
      <c r="E233" s="4"/>
      <c r="F233" s="4"/>
      <c r="G233" s="4"/>
      <c r="H233" s="4"/>
      <c r="I233" s="4"/>
      <c r="J233" s="4"/>
      <c r="K233" s="4"/>
      <c r="L233" s="4"/>
      <c r="M233" s="4"/>
      <c r="N233" s="4"/>
      <c r="O233" s="4"/>
      <c r="P233" s="4"/>
      <c r="Q233" s="4"/>
      <c r="R233" s="4"/>
      <c r="S233" s="4"/>
      <c r="T233" s="4"/>
      <c r="U233" s="4"/>
      <c r="V233" s="4"/>
      <c r="W233" s="4"/>
      <c r="X233" s="4"/>
    </row>
    <row r="234" spans="1:24" ht="15.75" thickBot="1">
      <c r="A234" s="3"/>
      <c r="B234" s="4"/>
      <c r="C234" s="4"/>
      <c r="D234" s="4"/>
      <c r="E234" s="4"/>
      <c r="F234" s="4"/>
      <c r="G234" s="4"/>
      <c r="H234" s="4"/>
      <c r="I234" s="4"/>
      <c r="J234" s="4"/>
      <c r="K234" s="4"/>
      <c r="L234" s="4"/>
      <c r="M234" s="4"/>
      <c r="N234" s="4"/>
      <c r="O234" s="4"/>
      <c r="P234" s="4"/>
      <c r="Q234" s="4"/>
      <c r="R234" s="4"/>
      <c r="S234" s="4"/>
      <c r="T234" s="4"/>
      <c r="U234" s="4"/>
      <c r="V234" s="4"/>
      <c r="W234" s="4"/>
      <c r="X234" s="4"/>
    </row>
    <row r="235" spans="1:24" ht="15.75" thickBot="1">
      <c r="A235" s="3"/>
      <c r="B235" s="4"/>
      <c r="C235" s="4"/>
      <c r="D235" s="4"/>
      <c r="E235" s="4"/>
      <c r="F235" s="4"/>
      <c r="G235" s="4"/>
      <c r="H235" s="4"/>
      <c r="I235" s="4"/>
      <c r="J235" s="4"/>
      <c r="K235" s="4"/>
      <c r="L235" s="4"/>
      <c r="M235" s="4"/>
      <c r="N235" s="4"/>
      <c r="O235" s="4"/>
      <c r="P235" s="4"/>
      <c r="Q235" s="4"/>
      <c r="R235" s="4"/>
      <c r="S235" s="4"/>
      <c r="T235" s="4"/>
      <c r="U235" s="4"/>
      <c r="V235" s="4"/>
      <c r="W235" s="4"/>
      <c r="X235" s="4"/>
    </row>
    <row r="236" spans="1:24" ht="15.75" thickBot="1">
      <c r="A236" s="3"/>
      <c r="B236" s="4"/>
      <c r="C236" s="4"/>
      <c r="D236" s="4"/>
      <c r="E236" s="4"/>
      <c r="F236" s="4"/>
      <c r="G236" s="4"/>
      <c r="H236" s="4"/>
      <c r="I236" s="4"/>
      <c r="J236" s="4"/>
      <c r="K236" s="4"/>
      <c r="L236" s="4"/>
      <c r="M236" s="4"/>
      <c r="N236" s="4"/>
      <c r="O236" s="4"/>
      <c r="P236" s="4"/>
      <c r="Q236" s="4"/>
      <c r="R236" s="4"/>
      <c r="S236" s="4"/>
      <c r="T236" s="4"/>
      <c r="U236" s="4"/>
      <c r="V236" s="4"/>
      <c r="W236" s="4"/>
      <c r="X236" s="4"/>
    </row>
    <row r="237" spans="1:24" ht="15.75" thickBot="1">
      <c r="A237" s="3"/>
      <c r="B237" s="4"/>
      <c r="C237" s="4"/>
      <c r="D237" s="4"/>
      <c r="E237" s="4"/>
      <c r="F237" s="4"/>
      <c r="G237" s="4"/>
      <c r="H237" s="4"/>
      <c r="I237" s="4"/>
      <c r="J237" s="4"/>
      <c r="K237" s="4"/>
      <c r="L237" s="4"/>
      <c r="M237" s="4"/>
      <c r="N237" s="4"/>
      <c r="O237" s="4"/>
      <c r="P237" s="4"/>
      <c r="Q237" s="4"/>
      <c r="R237" s="4"/>
      <c r="S237" s="4"/>
      <c r="T237" s="4"/>
      <c r="U237" s="4"/>
      <c r="V237" s="4"/>
      <c r="W237" s="4"/>
      <c r="X237" s="4"/>
    </row>
    <row r="238" spans="1:24" ht="15.75" thickBot="1">
      <c r="A238" s="3"/>
      <c r="B238" s="4"/>
      <c r="C238" s="4"/>
      <c r="D238" s="4"/>
      <c r="E238" s="4"/>
      <c r="F238" s="4"/>
      <c r="G238" s="4"/>
      <c r="H238" s="4"/>
      <c r="I238" s="4"/>
      <c r="J238" s="4"/>
      <c r="K238" s="4"/>
      <c r="L238" s="4"/>
      <c r="M238" s="4"/>
      <c r="N238" s="4"/>
      <c r="O238" s="4"/>
      <c r="P238" s="4"/>
      <c r="Q238" s="4"/>
      <c r="R238" s="4"/>
      <c r="S238" s="4"/>
      <c r="T238" s="4"/>
      <c r="U238" s="4"/>
      <c r="V238" s="4"/>
      <c r="W238" s="4"/>
      <c r="X238" s="4"/>
    </row>
    <row r="239" spans="1:24" ht="15.75" thickBot="1">
      <c r="A239" s="3"/>
      <c r="B239" s="4"/>
      <c r="C239" s="4"/>
      <c r="D239" s="4"/>
      <c r="E239" s="4"/>
      <c r="F239" s="4"/>
      <c r="G239" s="4"/>
      <c r="H239" s="4"/>
      <c r="I239" s="4"/>
      <c r="J239" s="4"/>
      <c r="K239" s="4"/>
      <c r="L239" s="4"/>
      <c r="M239" s="4"/>
      <c r="N239" s="4"/>
      <c r="O239" s="4"/>
      <c r="P239" s="4"/>
      <c r="Q239" s="4"/>
      <c r="R239" s="4"/>
      <c r="S239" s="4"/>
      <c r="T239" s="4"/>
      <c r="U239" s="4"/>
      <c r="V239" s="4"/>
      <c r="W239" s="4"/>
      <c r="X239" s="4"/>
    </row>
    <row r="240" spans="1:24" ht="15.75" thickBot="1">
      <c r="A240" s="3"/>
      <c r="B240" s="4"/>
      <c r="C240" s="4"/>
      <c r="D240" s="4"/>
      <c r="E240" s="4"/>
      <c r="F240" s="4"/>
      <c r="G240" s="4"/>
      <c r="H240" s="4"/>
      <c r="I240" s="4"/>
      <c r="J240" s="4"/>
      <c r="K240" s="4"/>
      <c r="L240" s="4"/>
      <c r="M240" s="4"/>
      <c r="N240" s="4"/>
      <c r="O240" s="4"/>
      <c r="P240" s="4"/>
      <c r="Q240" s="4"/>
      <c r="R240" s="4"/>
      <c r="S240" s="4"/>
      <c r="T240" s="4"/>
      <c r="U240" s="4"/>
      <c r="V240" s="4"/>
      <c r="W240" s="4"/>
      <c r="X240" s="4"/>
    </row>
    <row r="241" spans="1:24" ht="15.75" thickBot="1">
      <c r="A241" s="3"/>
      <c r="B241" s="4"/>
      <c r="C241" s="4"/>
      <c r="D241" s="4"/>
      <c r="E241" s="4"/>
      <c r="F241" s="4"/>
      <c r="G241" s="4"/>
      <c r="H241" s="4"/>
      <c r="I241" s="4"/>
      <c r="J241" s="4"/>
      <c r="K241" s="4"/>
      <c r="L241" s="4"/>
      <c r="M241" s="4"/>
      <c r="N241" s="4"/>
      <c r="O241" s="4"/>
      <c r="P241" s="4"/>
      <c r="Q241" s="4"/>
      <c r="R241" s="4"/>
      <c r="S241" s="4"/>
      <c r="T241" s="4"/>
      <c r="U241" s="4"/>
      <c r="V241" s="4"/>
      <c r="W241" s="4"/>
      <c r="X241" s="4"/>
    </row>
    <row r="242" spans="1:24" ht="15.75" thickBot="1">
      <c r="A242" s="3"/>
      <c r="B242" s="4"/>
      <c r="C242" s="4"/>
      <c r="D242" s="4"/>
      <c r="E242" s="4"/>
      <c r="F242" s="4"/>
      <c r="G242" s="4"/>
      <c r="H242" s="4"/>
      <c r="I242" s="4"/>
      <c r="J242" s="4"/>
      <c r="K242" s="4"/>
      <c r="L242" s="4"/>
      <c r="M242" s="4"/>
      <c r="N242" s="4"/>
      <c r="O242" s="4"/>
      <c r="P242" s="4"/>
      <c r="Q242" s="4"/>
      <c r="R242" s="4"/>
      <c r="S242" s="4"/>
      <c r="T242" s="4"/>
      <c r="U242" s="4"/>
      <c r="V242" s="4"/>
      <c r="W242" s="4"/>
      <c r="X242" s="4"/>
    </row>
    <row r="243" spans="1:24" ht="15.75" thickBot="1">
      <c r="A243" s="3"/>
      <c r="B243" s="4"/>
      <c r="C243" s="4"/>
      <c r="D243" s="4"/>
      <c r="E243" s="4"/>
      <c r="F243" s="4"/>
      <c r="G243" s="4"/>
      <c r="H243" s="4"/>
      <c r="I243" s="4"/>
      <c r="J243" s="4"/>
      <c r="K243" s="4"/>
      <c r="L243" s="4"/>
      <c r="M243" s="4"/>
      <c r="N243" s="4"/>
      <c r="O243" s="4"/>
      <c r="P243" s="4"/>
      <c r="Q243" s="4"/>
      <c r="R243" s="4"/>
      <c r="S243" s="4"/>
      <c r="T243" s="4"/>
      <c r="U243" s="4"/>
      <c r="V243" s="4"/>
      <c r="W243" s="4"/>
      <c r="X243" s="4"/>
    </row>
    <row r="244" spans="1:24" ht="15.75" thickBot="1">
      <c r="A244" s="3"/>
      <c r="B244" s="4"/>
      <c r="C244" s="4"/>
      <c r="D244" s="4"/>
      <c r="E244" s="4"/>
      <c r="F244" s="4"/>
      <c r="G244" s="4"/>
      <c r="H244" s="4"/>
      <c r="I244" s="4"/>
      <c r="J244" s="4"/>
      <c r="K244" s="4"/>
      <c r="L244" s="4"/>
      <c r="M244" s="4"/>
      <c r="N244" s="4"/>
      <c r="O244" s="4"/>
      <c r="P244" s="4"/>
      <c r="Q244" s="4"/>
      <c r="R244" s="4"/>
      <c r="S244" s="4"/>
      <c r="T244" s="4"/>
      <c r="U244" s="4"/>
      <c r="V244" s="4"/>
      <c r="W244" s="4"/>
      <c r="X244" s="4"/>
    </row>
    <row r="245" spans="1:24" ht="15.75" thickBot="1">
      <c r="A245" s="3"/>
      <c r="B245" s="4"/>
      <c r="C245" s="4"/>
      <c r="D245" s="4"/>
      <c r="E245" s="4"/>
      <c r="F245" s="4"/>
      <c r="G245" s="4"/>
      <c r="H245" s="4"/>
      <c r="I245" s="4"/>
      <c r="J245" s="4"/>
      <c r="K245" s="4"/>
      <c r="L245" s="4"/>
      <c r="M245" s="4"/>
      <c r="N245" s="4"/>
      <c r="O245" s="4"/>
      <c r="P245" s="4"/>
      <c r="Q245" s="4"/>
      <c r="R245" s="4"/>
      <c r="S245" s="4"/>
      <c r="T245" s="4"/>
      <c r="U245" s="4"/>
      <c r="V245" s="4"/>
      <c r="W245" s="4"/>
      <c r="X245" s="4"/>
    </row>
    <row r="246" spans="1:24" ht="15.75" thickBot="1">
      <c r="A246" s="3"/>
      <c r="B246" s="4"/>
      <c r="C246" s="4"/>
      <c r="D246" s="4"/>
      <c r="E246" s="4"/>
      <c r="F246" s="4"/>
      <c r="G246" s="4"/>
      <c r="H246" s="4"/>
      <c r="I246" s="4"/>
      <c r="J246" s="4"/>
      <c r="K246" s="4"/>
      <c r="L246" s="4"/>
      <c r="M246" s="4"/>
      <c r="N246" s="4"/>
      <c r="O246" s="4"/>
      <c r="P246" s="4"/>
      <c r="Q246" s="4"/>
      <c r="R246" s="4"/>
      <c r="S246" s="4"/>
      <c r="T246" s="4"/>
      <c r="U246" s="4"/>
      <c r="V246" s="4"/>
      <c r="W246" s="4"/>
      <c r="X246" s="4"/>
    </row>
    <row r="247" spans="1:24" ht="15.75" thickBot="1">
      <c r="A247" s="3"/>
      <c r="B247" s="4"/>
      <c r="C247" s="4"/>
      <c r="D247" s="4"/>
      <c r="E247" s="4"/>
      <c r="F247" s="4"/>
      <c r="G247" s="4"/>
      <c r="H247" s="4"/>
      <c r="I247" s="4"/>
      <c r="J247" s="4"/>
      <c r="K247" s="4"/>
      <c r="L247" s="4"/>
      <c r="M247" s="4"/>
      <c r="N247" s="4"/>
      <c r="O247" s="4"/>
      <c r="P247" s="4"/>
      <c r="Q247" s="4"/>
      <c r="R247" s="4"/>
      <c r="S247" s="4"/>
      <c r="T247" s="4"/>
      <c r="U247" s="4"/>
      <c r="V247" s="4"/>
      <c r="W247" s="4"/>
      <c r="X247" s="4"/>
    </row>
    <row r="248" spans="1:24" ht="15.75" thickBot="1">
      <c r="A248" s="3"/>
      <c r="B248" s="4"/>
      <c r="C248" s="4"/>
      <c r="D248" s="4"/>
      <c r="E248" s="4"/>
      <c r="F248" s="4"/>
      <c r="G248" s="4"/>
      <c r="H248" s="4"/>
      <c r="I248" s="4"/>
      <c r="J248" s="4"/>
      <c r="K248" s="4"/>
      <c r="L248" s="4"/>
      <c r="M248" s="4"/>
      <c r="N248" s="4"/>
      <c r="O248" s="4"/>
      <c r="P248" s="4"/>
      <c r="Q248" s="4"/>
      <c r="R248" s="4"/>
      <c r="S248" s="4"/>
      <c r="T248" s="4"/>
      <c r="U248" s="4"/>
      <c r="V248" s="4"/>
      <c r="W248" s="4"/>
      <c r="X248" s="4"/>
    </row>
    <row r="249" spans="1:24" ht="15.75" thickBot="1">
      <c r="A249" s="3"/>
      <c r="B249" s="4"/>
      <c r="C249" s="4"/>
      <c r="D249" s="4"/>
      <c r="E249" s="4"/>
      <c r="F249" s="4"/>
      <c r="G249" s="4"/>
      <c r="H249" s="4"/>
      <c r="I249" s="4"/>
      <c r="J249" s="4"/>
      <c r="K249" s="4"/>
      <c r="L249" s="4"/>
      <c r="M249" s="4"/>
      <c r="N249" s="4"/>
      <c r="O249" s="4"/>
      <c r="P249" s="4"/>
      <c r="Q249" s="4"/>
      <c r="R249" s="4"/>
      <c r="S249" s="4"/>
      <c r="T249" s="4"/>
      <c r="U249" s="4"/>
      <c r="V249" s="4"/>
      <c r="W249" s="4"/>
      <c r="X249" s="4"/>
    </row>
    <row r="250" spans="1:24" ht="15.75" thickBot="1">
      <c r="A250" s="3"/>
      <c r="B250" s="4"/>
      <c r="C250" s="4"/>
      <c r="D250" s="4"/>
      <c r="E250" s="4"/>
      <c r="F250" s="4"/>
      <c r="G250" s="4"/>
      <c r="H250" s="4"/>
      <c r="I250" s="4"/>
      <c r="J250" s="4"/>
      <c r="K250" s="4"/>
      <c r="L250" s="4"/>
      <c r="M250" s="4"/>
      <c r="N250" s="4"/>
      <c r="O250" s="4"/>
      <c r="P250" s="4"/>
      <c r="Q250" s="4"/>
      <c r="R250" s="4"/>
      <c r="S250" s="4"/>
      <c r="T250" s="4"/>
      <c r="U250" s="4"/>
      <c r="V250" s="4"/>
      <c r="W250" s="4"/>
      <c r="X250" s="4"/>
    </row>
    <row r="251" spans="1:24" ht="15.75" thickBot="1">
      <c r="A251" s="3"/>
      <c r="B251" s="4"/>
      <c r="C251" s="4"/>
      <c r="D251" s="4"/>
      <c r="E251" s="4"/>
      <c r="F251" s="4"/>
      <c r="G251" s="4"/>
      <c r="H251" s="4"/>
      <c r="I251" s="4"/>
      <c r="J251" s="4"/>
      <c r="K251" s="4"/>
      <c r="L251" s="4"/>
      <c r="M251" s="4"/>
      <c r="N251" s="4"/>
      <c r="O251" s="4"/>
      <c r="P251" s="4"/>
      <c r="Q251" s="4"/>
      <c r="R251" s="4"/>
      <c r="S251" s="4"/>
      <c r="T251" s="4"/>
      <c r="U251" s="4"/>
      <c r="V251" s="4"/>
      <c r="W251" s="4"/>
      <c r="X251" s="4"/>
    </row>
    <row r="252" spans="1:24" ht="15.75" thickBot="1">
      <c r="A252" s="3"/>
      <c r="B252" s="4"/>
      <c r="C252" s="4"/>
      <c r="D252" s="4"/>
      <c r="E252" s="4"/>
      <c r="F252" s="4"/>
      <c r="G252" s="4"/>
      <c r="H252" s="4"/>
      <c r="I252" s="4"/>
      <c r="J252" s="4"/>
      <c r="K252" s="4"/>
      <c r="L252" s="4"/>
      <c r="M252" s="4"/>
      <c r="N252" s="4"/>
      <c r="O252" s="4"/>
      <c r="P252" s="4"/>
      <c r="Q252" s="4"/>
      <c r="R252" s="4"/>
      <c r="S252" s="4"/>
      <c r="T252" s="4"/>
      <c r="U252" s="4"/>
      <c r="V252" s="4"/>
      <c r="W252" s="4"/>
      <c r="X252" s="4"/>
    </row>
    <row r="253" spans="1:24" ht="15.75" thickBot="1">
      <c r="A253" s="3"/>
      <c r="B253" s="4"/>
      <c r="C253" s="4"/>
      <c r="D253" s="4"/>
      <c r="E253" s="4"/>
      <c r="F253" s="4"/>
      <c r="G253" s="4"/>
      <c r="H253" s="4"/>
      <c r="I253" s="4"/>
      <c r="J253" s="4"/>
      <c r="K253" s="4"/>
      <c r="L253" s="4"/>
      <c r="M253" s="4"/>
      <c r="N253" s="4"/>
      <c r="O253" s="4"/>
      <c r="P253" s="4"/>
      <c r="Q253" s="4"/>
      <c r="R253" s="4"/>
      <c r="S253" s="4"/>
      <c r="T253" s="4"/>
      <c r="U253" s="4"/>
      <c r="V253" s="4"/>
      <c r="W253" s="4"/>
      <c r="X253" s="4"/>
    </row>
    <row r="254" spans="1:24" ht="15.75" thickBot="1">
      <c r="A254" s="3"/>
      <c r="B254" s="4"/>
      <c r="C254" s="4"/>
      <c r="D254" s="4"/>
      <c r="E254" s="4"/>
      <c r="F254" s="4"/>
      <c r="G254" s="4"/>
      <c r="H254" s="4"/>
      <c r="I254" s="4"/>
      <c r="J254" s="4"/>
      <c r="K254" s="4"/>
      <c r="L254" s="4"/>
      <c r="M254" s="4"/>
      <c r="N254" s="4"/>
      <c r="O254" s="4"/>
      <c r="P254" s="4"/>
      <c r="Q254" s="4"/>
      <c r="R254" s="4"/>
      <c r="S254" s="4"/>
      <c r="T254" s="4"/>
      <c r="U254" s="4"/>
      <c r="V254" s="4"/>
      <c r="W254" s="4"/>
      <c r="X254" s="4"/>
    </row>
    <row r="255" spans="1:24" ht="15.75" thickBot="1">
      <c r="A255" s="3"/>
      <c r="B255" s="4"/>
      <c r="C255" s="4"/>
      <c r="D255" s="4"/>
      <c r="E255" s="4"/>
      <c r="F255" s="4"/>
      <c r="G255" s="4"/>
      <c r="H255" s="4"/>
      <c r="I255" s="4"/>
      <c r="J255" s="4"/>
      <c r="K255" s="4"/>
      <c r="L255" s="4"/>
      <c r="M255" s="4"/>
      <c r="N255" s="4"/>
      <c r="O255" s="4"/>
      <c r="P255" s="4"/>
      <c r="Q255" s="4"/>
      <c r="R255" s="4"/>
      <c r="S255" s="4"/>
      <c r="T255" s="4"/>
      <c r="U255" s="4"/>
      <c r="V255" s="4"/>
      <c r="W255" s="4"/>
      <c r="X255" s="4"/>
    </row>
    <row r="256" spans="1:24" ht="15.75" thickBot="1">
      <c r="A256" s="3"/>
      <c r="B256" s="4"/>
      <c r="C256" s="4"/>
      <c r="D256" s="4"/>
      <c r="E256" s="4"/>
      <c r="F256" s="4"/>
      <c r="G256" s="4"/>
      <c r="H256" s="4"/>
      <c r="I256" s="4"/>
      <c r="J256" s="4"/>
      <c r="K256" s="4"/>
      <c r="L256" s="4"/>
      <c r="M256" s="4"/>
      <c r="N256" s="4"/>
      <c r="O256" s="4"/>
      <c r="P256" s="4"/>
      <c r="Q256" s="4"/>
      <c r="R256" s="4"/>
      <c r="S256" s="4"/>
      <c r="T256" s="4"/>
      <c r="U256" s="4"/>
      <c r="V256" s="4"/>
      <c r="W256" s="4"/>
      <c r="X256" s="4"/>
    </row>
    <row r="257" spans="1:24" ht="15.75" thickBot="1">
      <c r="A257" s="3"/>
      <c r="B257" s="4"/>
      <c r="C257" s="4"/>
      <c r="D257" s="4"/>
      <c r="E257" s="4"/>
      <c r="F257" s="4"/>
      <c r="G257" s="4"/>
      <c r="H257" s="4"/>
      <c r="I257" s="4"/>
      <c r="J257" s="4"/>
      <c r="K257" s="4"/>
      <c r="L257" s="4"/>
      <c r="M257" s="4"/>
      <c r="N257" s="4"/>
      <c r="O257" s="4"/>
      <c r="P257" s="4"/>
      <c r="Q257" s="4"/>
      <c r="R257" s="4"/>
      <c r="S257" s="4"/>
      <c r="T257" s="4"/>
      <c r="U257" s="4"/>
      <c r="V257" s="4"/>
      <c r="W257" s="4"/>
      <c r="X257" s="4"/>
    </row>
    <row r="258" spans="1:24" ht="15.75" thickBot="1">
      <c r="A258" s="3"/>
      <c r="B258" s="4"/>
      <c r="C258" s="4"/>
      <c r="D258" s="4"/>
      <c r="E258" s="4"/>
      <c r="F258" s="4"/>
      <c r="G258" s="4"/>
      <c r="H258" s="4"/>
      <c r="I258" s="4"/>
      <c r="J258" s="4"/>
      <c r="K258" s="4"/>
      <c r="L258" s="4"/>
      <c r="M258" s="4"/>
      <c r="N258" s="4"/>
      <c r="O258" s="4"/>
      <c r="P258" s="4"/>
      <c r="Q258" s="4"/>
      <c r="R258" s="4"/>
      <c r="S258" s="4"/>
      <c r="T258" s="4"/>
      <c r="U258" s="4"/>
      <c r="V258" s="4"/>
      <c r="W258" s="4"/>
      <c r="X258" s="4"/>
    </row>
    <row r="259" spans="1:24" ht="15.75" thickBot="1">
      <c r="A259" s="3"/>
      <c r="B259" s="4"/>
      <c r="C259" s="4"/>
      <c r="D259" s="4"/>
      <c r="E259" s="4"/>
      <c r="F259" s="4"/>
      <c r="G259" s="4"/>
      <c r="H259" s="4"/>
      <c r="I259" s="4"/>
      <c r="J259" s="4"/>
      <c r="K259" s="4"/>
      <c r="L259" s="4"/>
      <c r="M259" s="4"/>
      <c r="N259" s="4"/>
      <c r="O259" s="4"/>
      <c r="P259" s="4"/>
      <c r="Q259" s="4"/>
      <c r="R259" s="4"/>
      <c r="S259" s="4"/>
      <c r="T259" s="4"/>
      <c r="U259" s="4"/>
      <c r="V259" s="4"/>
      <c r="W259" s="4"/>
      <c r="X259" s="4"/>
    </row>
    <row r="260" spans="1:24" ht="15.75" thickBot="1">
      <c r="A260" s="3"/>
      <c r="B260" s="4"/>
      <c r="C260" s="4"/>
      <c r="D260" s="4"/>
      <c r="E260" s="4"/>
      <c r="F260" s="4"/>
      <c r="G260" s="4"/>
      <c r="H260" s="4"/>
      <c r="I260" s="4"/>
      <c r="J260" s="4"/>
      <c r="K260" s="4"/>
      <c r="L260" s="4"/>
      <c r="M260" s="4"/>
      <c r="N260" s="4"/>
      <c r="O260" s="4"/>
      <c r="P260" s="4"/>
      <c r="Q260" s="4"/>
      <c r="R260" s="4"/>
      <c r="S260" s="4"/>
      <c r="T260" s="4"/>
      <c r="U260" s="4"/>
      <c r="V260" s="4"/>
      <c r="W260" s="4"/>
      <c r="X260" s="4"/>
    </row>
    <row r="261" spans="1:24" ht="15.75" thickBot="1">
      <c r="A261" s="3"/>
      <c r="B261" s="4"/>
      <c r="C261" s="4"/>
      <c r="D261" s="4"/>
      <c r="E261" s="4"/>
      <c r="F261" s="4"/>
      <c r="G261" s="4"/>
      <c r="H261" s="4"/>
      <c r="I261" s="4"/>
      <c r="J261" s="4"/>
      <c r="K261" s="4"/>
      <c r="L261" s="4"/>
      <c r="M261" s="4"/>
      <c r="N261" s="4"/>
      <c r="O261" s="4"/>
      <c r="P261" s="4"/>
      <c r="Q261" s="4"/>
      <c r="R261" s="4"/>
      <c r="S261" s="4"/>
      <c r="T261" s="4"/>
      <c r="U261" s="4"/>
      <c r="V261" s="4"/>
      <c r="W261" s="4"/>
      <c r="X261" s="4"/>
    </row>
    <row r="262" spans="1:24" ht="15.75" thickBot="1">
      <c r="A262" s="3"/>
      <c r="B262" s="4"/>
      <c r="C262" s="4"/>
      <c r="D262" s="4"/>
      <c r="E262" s="4"/>
      <c r="F262" s="4"/>
      <c r="G262" s="4"/>
      <c r="H262" s="4"/>
      <c r="I262" s="4"/>
      <c r="J262" s="4"/>
      <c r="K262" s="4"/>
      <c r="L262" s="4"/>
      <c r="M262" s="4"/>
      <c r="N262" s="4"/>
      <c r="O262" s="4"/>
      <c r="P262" s="4"/>
      <c r="Q262" s="4"/>
      <c r="R262" s="4"/>
      <c r="S262" s="4"/>
      <c r="T262" s="4"/>
      <c r="U262" s="4"/>
      <c r="V262" s="4"/>
      <c r="W262" s="4"/>
      <c r="X262" s="4"/>
    </row>
    <row r="263" spans="1:24" ht="15.75" thickBot="1">
      <c r="A263" s="3"/>
      <c r="B263" s="4"/>
      <c r="C263" s="4"/>
      <c r="D263" s="4"/>
      <c r="E263" s="4"/>
      <c r="F263" s="4"/>
      <c r="G263" s="4"/>
      <c r="H263" s="4"/>
      <c r="I263" s="4"/>
      <c r="J263" s="4"/>
      <c r="K263" s="4"/>
      <c r="L263" s="4"/>
      <c r="M263" s="4"/>
      <c r="N263" s="4"/>
      <c r="O263" s="4"/>
      <c r="P263" s="4"/>
      <c r="Q263" s="4"/>
      <c r="R263" s="4"/>
      <c r="S263" s="4"/>
      <c r="T263" s="4"/>
      <c r="U263" s="4"/>
      <c r="V263" s="4"/>
      <c r="W263" s="4"/>
      <c r="X263" s="4"/>
    </row>
    <row r="264" spans="1:24" ht="15.75" thickBot="1">
      <c r="A264" s="3"/>
      <c r="B264" s="4"/>
      <c r="C264" s="4"/>
      <c r="D264" s="4"/>
      <c r="E264" s="4"/>
      <c r="F264" s="4"/>
      <c r="G264" s="4"/>
      <c r="H264" s="4"/>
      <c r="I264" s="4"/>
      <c r="J264" s="4"/>
      <c r="K264" s="4"/>
      <c r="L264" s="4"/>
      <c r="M264" s="4"/>
      <c r="N264" s="4"/>
      <c r="O264" s="4"/>
      <c r="P264" s="4"/>
      <c r="Q264" s="4"/>
      <c r="R264" s="4"/>
      <c r="S264" s="4"/>
      <c r="T264" s="4"/>
      <c r="U264" s="4"/>
      <c r="V264" s="4"/>
      <c r="W264" s="4"/>
      <c r="X264" s="4"/>
    </row>
    <row r="265" spans="1:24" ht="15.75" thickBot="1">
      <c r="A265" s="3"/>
      <c r="B265" s="4"/>
      <c r="C265" s="4"/>
      <c r="D265" s="4"/>
      <c r="E265" s="4"/>
      <c r="F265" s="4"/>
      <c r="G265" s="4"/>
      <c r="H265" s="4"/>
      <c r="I265" s="4"/>
      <c r="J265" s="4"/>
      <c r="K265" s="4"/>
      <c r="L265" s="4"/>
      <c r="M265" s="4"/>
      <c r="N265" s="4"/>
      <c r="O265" s="4"/>
      <c r="P265" s="4"/>
      <c r="Q265" s="4"/>
      <c r="R265" s="4"/>
      <c r="S265" s="4"/>
      <c r="T265" s="4"/>
      <c r="U265" s="4"/>
      <c r="V265" s="4"/>
      <c r="W265" s="4"/>
      <c r="X265" s="4"/>
    </row>
    <row r="266" spans="1:24" ht="15.75" thickBot="1">
      <c r="A266" s="3"/>
      <c r="B266" s="4"/>
      <c r="C266" s="4"/>
      <c r="D266" s="4"/>
      <c r="E266" s="4"/>
      <c r="F266" s="4"/>
      <c r="G266" s="4"/>
      <c r="H266" s="4"/>
      <c r="I266" s="4"/>
      <c r="J266" s="4"/>
      <c r="K266" s="4"/>
      <c r="L266" s="4"/>
      <c r="M266" s="4"/>
      <c r="N266" s="4"/>
      <c r="O266" s="4"/>
      <c r="P266" s="4"/>
      <c r="Q266" s="4"/>
      <c r="R266" s="4"/>
      <c r="S266" s="4"/>
      <c r="T266" s="4"/>
      <c r="U266" s="4"/>
      <c r="V266" s="4"/>
      <c r="W266" s="4"/>
      <c r="X266" s="4"/>
    </row>
    <row r="267" spans="1:24" ht="15.75" thickBot="1">
      <c r="A267" s="3"/>
      <c r="B267" s="4"/>
      <c r="C267" s="4"/>
      <c r="D267" s="4"/>
      <c r="E267" s="4"/>
      <c r="F267" s="4"/>
      <c r="G267" s="4"/>
      <c r="H267" s="4"/>
      <c r="I267" s="4"/>
      <c r="J267" s="4"/>
      <c r="K267" s="4"/>
      <c r="L267" s="4"/>
      <c r="M267" s="4"/>
      <c r="N267" s="4"/>
      <c r="O267" s="4"/>
      <c r="P267" s="4"/>
      <c r="Q267" s="4"/>
      <c r="R267" s="4"/>
      <c r="S267" s="4"/>
      <c r="T267" s="4"/>
      <c r="U267" s="4"/>
      <c r="V267" s="4"/>
      <c r="W267" s="4"/>
      <c r="X267" s="4"/>
    </row>
    <row r="268" spans="1:24" ht="15.75" thickBot="1">
      <c r="A268" s="3"/>
      <c r="B268" s="4"/>
      <c r="C268" s="4"/>
      <c r="D268" s="4"/>
      <c r="E268" s="4"/>
      <c r="F268" s="4"/>
      <c r="G268" s="4"/>
      <c r="H268" s="4"/>
      <c r="I268" s="4"/>
      <c r="J268" s="4"/>
      <c r="K268" s="4"/>
      <c r="L268" s="4"/>
      <c r="M268" s="4"/>
      <c r="N268" s="4"/>
      <c r="O268" s="4"/>
      <c r="P268" s="4"/>
      <c r="Q268" s="4"/>
      <c r="R268" s="4"/>
      <c r="S268" s="4"/>
      <c r="T268" s="4"/>
      <c r="U268" s="4"/>
      <c r="V268" s="4"/>
      <c r="W268" s="4"/>
      <c r="X268" s="4"/>
    </row>
    <row r="269" spans="1:24" ht="15.75" thickBot="1">
      <c r="A269" s="3"/>
      <c r="B269" s="4"/>
      <c r="C269" s="4"/>
      <c r="D269" s="4"/>
      <c r="E269" s="4"/>
      <c r="F269" s="4"/>
      <c r="G269" s="4"/>
      <c r="H269" s="4"/>
      <c r="I269" s="4"/>
      <c r="J269" s="4"/>
      <c r="K269" s="4"/>
      <c r="L269" s="4"/>
      <c r="M269" s="4"/>
      <c r="N269" s="4"/>
      <c r="O269" s="4"/>
      <c r="P269" s="4"/>
      <c r="Q269" s="4"/>
      <c r="R269" s="4"/>
      <c r="S269" s="4"/>
      <c r="T269" s="4"/>
      <c r="U269" s="4"/>
      <c r="V269" s="4"/>
      <c r="W269" s="4"/>
      <c r="X269" s="4"/>
    </row>
    <row r="270" spans="1:24" ht="15.75" thickBot="1">
      <c r="A270" s="3"/>
      <c r="B270" s="4"/>
      <c r="C270" s="4"/>
      <c r="D270" s="4"/>
      <c r="E270" s="4"/>
      <c r="F270" s="4"/>
      <c r="G270" s="4"/>
      <c r="H270" s="4"/>
      <c r="I270" s="4"/>
      <c r="J270" s="4"/>
      <c r="K270" s="4"/>
      <c r="L270" s="4"/>
      <c r="M270" s="4"/>
      <c r="N270" s="4"/>
      <c r="O270" s="4"/>
      <c r="P270" s="4"/>
      <c r="Q270" s="4"/>
      <c r="R270" s="4"/>
      <c r="S270" s="4"/>
      <c r="T270" s="4"/>
      <c r="U270" s="4"/>
      <c r="V270" s="4"/>
      <c r="W270" s="4"/>
      <c r="X270" s="4"/>
    </row>
    <row r="271" spans="1:24" ht="15.75" thickBot="1">
      <c r="A271" s="3"/>
      <c r="B271" s="4"/>
      <c r="C271" s="4"/>
      <c r="D271" s="4"/>
      <c r="E271" s="4"/>
      <c r="F271" s="4"/>
      <c r="G271" s="4"/>
      <c r="H271" s="4"/>
      <c r="I271" s="4"/>
      <c r="J271" s="4"/>
      <c r="K271" s="4"/>
      <c r="L271" s="4"/>
      <c r="M271" s="4"/>
      <c r="N271" s="4"/>
      <c r="O271" s="4"/>
      <c r="P271" s="4"/>
      <c r="Q271" s="4"/>
      <c r="R271" s="4"/>
      <c r="S271" s="4"/>
      <c r="T271" s="4"/>
      <c r="U271" s="4"/>
      <c r="V271" s="4"/>
      <c r="W271" s="4"/>
      <c r="X271" s="4"/>
    </row>
    <row r="272" spans="1:24" ht="15.75" thickBot="1">
      <c r="A272" s="3"/>
      <c r="B272" s="4"/>
      <c r="C272" s="4"/>
      <c r="D272" s="4"/>
      <c r="E272" s="4"/>
      <c r="F272" s="4"/>
      <c r="G272" s="4"/>
      <c r="H272" s="4"/>
      <c r="I272" s="4"/>
      <c r="J272" s="4"/>
      <c r="K272" s="4"/>
      <c r="L272" s="4"/>
      <c r="M272" s="4"/>
      <c r="N272" s="4"/>
      <c r="O272" s="4"/>
      <c r="P272" s="4"/>
      <c r="Q272" s="4"/>
      <c r="R272" s="4"/>
      <c r="S272" s="4"/>
      <c r="T272" s="4"/>
      <c r="U272" s="4"/>
      <c r="V272" s="4"/>
      <c r="W272" s="4"/>
      <c r="X272" s="4"/>
    </row>
    <row r="273" spans="1:24" ht="15.75" thickBot="1">
      <c r="A273" s="3"/>
      <c r="B273" s="4"/>
      <c r="C273" s="4"/>
      <c r="D273" s="4"/>
      <c r="E273" s="4"/>
      <c r="F273" s="4"/>
      <c r="G273" s="4"/>
      <c r="H273" s="4"/>
      <c r="I273" s="4"/>
      <c r="J273" s="4"/>
      <c r="K273" s="4"/>
      <c r="L273" s="4"/>
      <c r="M273" s="4"/>
      <c r="N273" s="4"/>
      <c r="O273" s="4"/>
      <c r="P273" s="4"/>
      <c r="Q273" s="4"/>
      <c r="R273" s="4"/>
      <c r="S273" s="4"/>
      <c r="T273" s="4"/>
      <c r="U273" s="4"/>
      <c r="V273" s="4"/>
      <c r="W273" s="4"/>
      <c r="X273" s="4"/>
    </row>
    <row r="274" spans="1:24" ht="15.75" thickBot="1">
      <c r="A274" s="3"/>
      <c r="B274" s="4"/>
      <c r="C274" s="4"/>
      <c r="D274" s="4"/>
      <c r="E274" s="4"/>
      <c r="F274" s="4"/>
      <c r="G274" s="4"/>
      <c r="H274" s="4"/>
      <c r="I274" s="4"/>
      <c r="J274" s="4"/>
      <c r="K274" s="4"/>
      <c r="L274" s="4"/>
      <c r="M274" s="4"/>
      <c r="N274" s="4"/>
      <c r="O274" s="4"/>
      <c r="P274" s="4"/>
      <c r="Q274" s="4"/>
      <c r="R274" s="4"/>
      <c r="S274" s="4"/>
      <c r="T274" s="4"/>
      <c r="U274" s="4"/>
      <c r="V274" s="4"/>
      <c r="W274" s="4"/>
      <c r="X274" s="4"/>
    </row>
    <row r="275" spans="1:24" ht="15.75" thickBot="1">
      <c r="A275" s="3"/>
      <c r="B275" s="4"/>
      <c r="C275" s="4"/>
      <c r="D275" s="4"/>
      <c r="E275" s="4"/>
      <c r="F275" s="4"/>
      <c r="G275" s="4"/>
      <c r="H275" s="4"/>
      <c r="I275" s="4"/>
      <c r="J275" s="4"/>
      <c r="K275" s="4"/>
      <c r="L275" s="4"/>
      <c r="M275" s="4"/>
      <c r="N275" s="4"/>
      <c r="O275" s="4"/>
      <c r="P275" s="4"/>
      <c r="Q275" s="4"/>
      <c r="R275" s="4"/>
      <c r="S275" s="4"/>
      <c r="T275" s="4"/>
      <c r="U275" s="4"/>
      <c r="V275" s="4"/>
      <c r="W275" s="4"/>
      <c r="X275" s="4"/>
    </row>
    <row r="276" spans="1:24" ht="15.75" thickBot="1">
      <c r="A276" s="3"/>
      <c r="B276" s="4"/>
      <c r="C276" s="4"/>
      <c r="D276" s="4"/>
      <c r="E276" s="4"/>
      <c r="F276" s="4"/>
      <c r="G276" s="4"/>
      <c r="H276" s="4"/>
      <c r="I276" s="4"/>
      <c r="J276" s="4"/>
      <c r="K276" s="4"/>
      <c r="L276" s="4"/>
      <c r="M276" s="4"/>
      <c r="N276" s="4"/>
      <c r="O276" s="4"/>
      <c r="P276" s="4"/>
      <c r="Q276" s="4"/>
      <c r="R276" s="4"/>
      <c r="S276" s="4"/>
      <c r="T276" s="4"/>
      <c r="U276" s="4"/>
      <c r="V276" s="4"/>
      <c r="W276" s="4"/>
      <c r="X276" s="4"/>
    </row>
    <row r="277" spans="1:24" ht="15.75" thickBot="1">
      <c r="A277" s="3"/>
      <c r="B277" s="4"/>
      <c r="C277" s="4"/>
      <c r="D277" s="4"/>
      <c r="E277" s="4"/>
      <c r="F277" s="4"/>
      <c r="G277" s="4"/>
      <c r="H277" s="4"/>
      <c r="I277" s="4"/>
      <c r="J277" s="4"/>
      <c r="K277" s="4"/>
      <c r="L277" s="4"/>
      <c r="M277" s="4"/>
      <c r="N277" s="4"/>
      <c r="O277" s="4"/>
      <c r="P277" s="4"/>
      <c r="Q277" s="4"/>
      <c r="R277" s="4"/>
      <c r="S277" s="4"/>
      <c r="T277" s="4"/>
      <c r="U277" s="4"/>
      <c r="V277" s="4"/>
      <c r="W277" s="4"/>
      <c r="X277" s="4"/>
    </row>
    <row r="278" spans="1:24" ht="15.75" thickBot="1">
      <c r="A278" s="3"/>
      <c r="B278" s="4"/>
      <c r="C278" s="4"/>
      <c r="D278" s="4"/>
      <c r="E278" s="4"/>
      <c r="F278" s="4"/>
      <c r="G278" s="4"/>
      <c r="H278" s="4"/>
      <c r="I278" s="4"/>
      <c r="J278" s="4"/>
      <c r="K278" s="4"/>
      <c r="L278" s="4"/>
      <c r="M278" s="4"/>
      <c r="N278" s="4"/>
      <c r="O278" s="4"/>
      <c r="P278" s="4"/>
      <c r="Q278" s="4"/>
      <c r="R278" s="4"/>
      <c r="S278" s="4"/>
      <c r="T278" s="4"/>
      <c r="U278" s="4"/>
      <c r="V278" s="4"/>
      <c r="W278" s="4"/>
      <c r="X278" s="4"/>
    </row>
    <row r="279" spans="1:24" ht="15.75" thickBot="1">
      <c r="A279" s="3"/>
      <c r="B279" s="4"/>
      <c r="C279" s="4"/>
      <c r="D279" s="4"/>
      <c r="E279" s="4"/>
      <c r="F279" s="4"/>
      <c r="G279" s="4"/>
      <c r="H279" s="4"/>
      <c r="I279" s="4"/>
      <c r="J279" s="4"/>
      <c r="K279" s="4"/>
      <c r="L279" s="4"/>
      <c r="M279" s="4"/>
      <c r="N279" s="4"/>
      <c r="O279" s="4"/>
      <c r="P279" s="4"/>
      <c r="Q279" s="4"/>
      <c r="R279" s="4"/>
      <c r="S279" s="4"/>
      <c r="T279" s="4"/>
      <c r="U279" s="4"/>
      <c r="V279" s="4"/>
      <c r="W279" s="4"/>
      <c r="X279" s="4"/>
    </row>
    <row r="280" spans="1:24" ht="15.75" thickBot="1">
      <c r="A280" s="3"/>
      <c r="B280" s="4"/>
      <c r="C280" s="4"/>
      <c r="D280" s="4"/>
      <c r="E280" s="4"/>
      <c r="F280" s="4"/>
      <c r="G280" s="4"/>
      <c r="H280" s="4"/>
      <c r="I280" s="4"/>
      <c r="J280" s="4"/>
      <c r="K280" s="4"/>
      <c r="L280" s="4"/>
      <c r="M280" s="4"/>
      <c r="N280" s="4"/>
      <c r="O280" s="4"/>
      <c r="P280" s="4"/>
      <c r="Q280" s="4"/>
      <c r="R280" s="4"/>
      <c r="S280" s="4"/>
      <c r="T280" s="4"/>
      <c r="U280" s="4"/>
      <c r="V280" s="4"/>
      <c r="W280" s="4"/>
      <c r="X280" s="4"/>
    </row>
    <row r="281" spans="1:24" ht="15.75" thickBot="1">
      <c r="A281" s="3"/>
      <c r="B281" s="4"/>
      <c r="C281" s="4"/>
      <c r="D281" s="4"/>
      <c r="E281" s="4"/>
      <c r="F281" s="4"/>
      <c r="G281" s="4"/>
      <c r="H281" s="4"/>
      <c r="I281" s="4"/>
      <c r="J281" s="4"/>
      <c r="K281" s="4"/>
      <c r="L281" s="4"/>
      <c r="M281" s="4"/>
      <c r="N281" s="4"/>
      <c r="O281" s="4"/>
      <c r="P281" s="4"/>
      <c r="Q281" s="4"/>
      <c r="R281" s="4"/>
      <c r="S281" s="4"/>
      <c r="T281" s="4"/>
      <c r="U281" s="4"/>
      <c r="V281" s="4"/>
      <c r="W281" s="4"/>
      <c r="X281" s="4"/>
    </row>
    <row r="282" spans="1:24" ht="15.75" thickBot="1">
      <c r="A282" s="3"/>
      <c r="B282" s="4"/>
      <c r="C282" s="4"/>
      <c r="D282" s="4"/>
      <c r="E282" s="4"/>
      <c r="F282" s="4"/>
      <c r="G282" s="4"/>
      <c r="H282" s="4"/>
      <c r="I282" s="4"/>
      <c r="J282" s="4"/>
      <c r="K282" s="4"/>
      <c r="L282" s="4"/>
      <c r="M282" s="4"/>
      <c r="N282" s="4"/>
      <c r="O282" s="4"/>
      <c r="P282" s="4"/>
      <c r="Q282" s="4"/>
      <c r="R282" s="4"/>
      <c r="S282" s="4"/>
      <c r="T282" s="4"/>
      <c r="U282" s="4"/>
      <c r="V282" s="4"/>
      <c r="W282" s="4"/>
      <c r="X282" s="4"/>
    </row>
    <row r="283" spans="1:24" ht="15.75" thickBot="1">
      <c r="A283" s="3"/>
      <c r="B283" s="4"/>
      <c r="C283" s="4"/>
      <c r="D283" s="4"/>
      <c r="E283" s="4"/>
      <c r="F283" s="4"/>
      <c r="G283" s="4"/>
      <c r="H283" s="4"/>
      <c r="I283" s="4"/>
      <c r="J283" s="4"/>
      <c r="K283" s="4"/>
      <c r="L283" s="4"/>
      <c r="M283" s="4"/>
      <c r="N283" s="4"/>
      <c r="O283" s="4"/>
      <c r="P283" s="4"/>
      <c r="Q283" s="4"/>
      <c r="R283" s="4"/>
      <c r="S283" s="4"/>
      <c r="T283" s="4"/>
      <c r="U283" s="4"/>
      <c r="V283" s="4"/>
      <c r="W283" s="4"/>
      <c r="X283" s="4"/>
    </row>
    <row r="284" spans="1:24" ht="15.75" thickBot="1">
      <c r="A284" s="3"/>
      <c r="B284" s="4"/>
      <c r="C284" s="4"/>
      <c r="D284" s="4"/>
      <c r="E284" s="4"/>
      <c r="F284" s="4"/>
      <c r="G284" s="4"/>
      <c r="H284" s="4"/>
      <c r="I284" s="4"/>
      <c r="J284" s="4"/>
      <c r="K284" s="4"/>
      <c r="L284" s="4"/>
      <c r="M284" s="4"/>
      <c r="N284" s="4"/>
      <c r="O284" s="4"/>
      <c r="P284" s="4"/>
      <c r="Q284" s="4"/>
      <c r="R284" s="4"/>
      <c r="S284" s="4"/>
      <c r="T284" s="4"/>
      <c r="U284" s="4"/>
      <c r="V284" s="4"/>
      <c r="W284" s="4"/>
      <c r="X284" s="4"/>
    </row>
    <row r="285" spans="1:24" ht="15.75" thickBot="1">
      <c r="A285" s="3"/>
      <c r="B285" s="4"/>
      <c r="C285" s="4"/>
      <c r="D285" s="4"/>
      <c r="E285" s="4"/>
      <c r="F285" s="4"/>
      <c r="G285" s="4"/>
      <c r="H285" s="4"/>
      <c r="I285" s="4"/>
      <c r="J285" s="4"/>
      <c r="K285" s="4"/>
      <c r="L285" s="4"/>
      <c r="M285" s="4"/>
      <c r="N285" s="4"/>
      <c r="O285" s="4"/>
      <c r="P285" s="4"/>
      <c r="Q285" s="4"/>
      <c r="R285" s="4"/>
      <c r="S285" s="4"/>
      <c r="T285" s="4"/>
      <c r="U285" s="4"/>
      <c r="V285" s="4"/>
      <c r="W285" s="4"/>
      <c r="X285" s="4"/>
    </row>
    <row r="286" spans="1:24" ht="15.75" thickBot="1">
      <c r="A286" s="3"/>
      <c r="B286" s="4"/>
      <c r="C286" s="4"/>
      <c r="D286" s="4"/>
      <c r="E286" s="4"/>
      <c r="F286" s="4"/>
      <c r="G286" s="4"/>
      <c r="H286" s="4"/>
      <c r="I286" s="4"/>
      <c r="J286" s="4"/>
      <c r="K286" s="4"/>
      <c r="L286" s="4"/>
      <c r="M286" s="4"/>
      <c r="N286" s="4"/>
      <c r="O286" s="4"/>
      <c r="P286" s="4"/>
      <c r="Q286" s="4"/>
      <c r="R286" s="4"/>
      <c r="S286" s="4"/>
      <c r="T286" s="4"/>
      <c r="U286" s="4"/>
      <c r="V286" s="4"/>
      <c r="W286" s="4"/>
      <c r="X286" s="4"/>
    </row>
    <row r="287" spans="1:24" ht="15.75" thickBot="1">
      <c r="A287" s="3"/>
      <c r="B287" s="4"/>
      <c r="C287" s="4"/>
      <c r="D287" s="4"/>
      <c r="E287" s="4"/>
      <c r="F287" s="4"/>
      <c r="G287" s="4"/>
      <c r="H287" s="4"/>
      <c r="I287" s="4"/>
      <c r="J287" s="4"/>
      <c r="K287" s="4"/>
      <c r="L287" s="4"/>
      <c r="M287" s="4"/>
      <c r="N287" s="4"/>
      <c r="O287" s="4"/>
      <c r="P287" s="4"/>
      <c r="Q287" s="4"/>
      <c r="R287" s="4"/>
      <c r="S287" s="4"/>
      <c r="T287" s="4"/>
      <c r="U287" s="4"/>
      <c r="V287" s="4"/>
      <c r="W287" s="4"/>
      <c r="X287" s="4"/>
    </row>
    <row r="288" spans="1:24" ht="15.75" thickBot="1">
      <c r="A288" s="3"/>
      <c r="B288" s="4"/>
      <c r="C288" s="4"/>
      <c r="D288" s="4"/>
      <c r="E288" s="4"/>
      <c r="F288" s="4"/>
      <c r="G288" s="4"/>
      <c r="H288" s="4"/>
      <c r="I288" s="4"/>
      <c r="J288" s="4"/>
      <c r="K288" s="4"/>
      <c r="L288" s="4"/>
      <c r="M288" s="4"/>
      <c r="N288" s="4"/>
      <c r="O288" s="4"/>
      <c r="P288" s="4"/>
      <c r="Q288" s="4"/>
      <c r="R288" s="4"/>
      <c r="S288" s="4"/>
      <c r="T288" s="4"/>
      <c r="U288" s="4"/>
      <c r="V288" s="4"/>
      <c r="W288" s="4"/>
      <c r="X288" s="4"/>
    </row>
    <row r="289" spans="1:24" ht="15.75" thickBot="1">
      <c r="A289" s="3"/>
      <c r="B289" s="4"/>
      <c r="C289" s="4"/>
      <c r="D289" s="4"/>
      <c r="E289" s="4"/>
      <c r="F289" s="4"/>
      <c r="G289" s="4"/>
      <c r="H289" s="4"/>
      <c r="I289" s="4"/>
      <c r="J289" s="4"/>
      <c r="K289" s="4"/>
      <c r="L289" s="4"/>
      <c r="M289" s="4"/>
      <c r="N289" s="4"/>
      <c r="O289" s="4"/>
      <c r="P289" s="4"/>
      <c r="Q289" s="4"/>
      <c r="R289" s="4"/>
      <c r="S289" s="4"/>
      <c r="T289" s="4"/>
      <c r="U289" s="4"/>
      <c r="V289" s="4"/>
      <c r="W289" s="4"/>
      <c r="X289" s="4"/>
    </row>
    <row r="290" spans="1:24" ht="15.75" thickBot="1">
      <c r="A290" s="3"/>
      <c r="B290" s="4"/>
      <c r="C290" s="4"/>
      <c r="D290" s="4"/>
      <c r="E290" s="4"/>
      <c r="F290" s="4"/>
      <c r="G290" s="4"/>
      <c r="H290" s="4"/>
      <c r="I290" s="4"/>
      <c r="J290" s="4"/>
      <c r="K290" s="4"/>
      <c r="L290" s="4"/>
      <c r="M290" s="4"/>
      <c r="N290" s="4"/>
      <c r="O290" s="4"/>
      <c r="P290" s="4"/>
      <c r="Q290" s="4"/>
      <c r="R290" s="4"/>
      <c r="S290" s="4"/>
      <c r="T290" s="4"/>
      <c r="U290" s="4"/>
      <c r="V290" s="4"/>
      <c r="W290" s="4"/>
      <c r="X290" s="4"/>
    </row>
    <row r="291" spans="1:24" ht="15.75" thickBot="1">
      <c r="A291" s="3"/>
      <c r="B291" s="4"/>
      <c r="C291" s="4"/>
      <c r="D291" s="4"/>
      <c r="E291" s="4"/>
      <c r="F291" s="4"/>
      <c r="G291" s="4"/>
      <c r="H291" s="4"/>
      <c r="I291" s="4"/>
      <c r="J291" s="4"/>
      <c r="K291" s="4"/>
      <c r="L291" s="4"/>
      <c r="M291" s="4"/>
      <c r="N291" s="4"/>
      <c r="O291" s="4"/>
      <c r="P291" s="4"/>
      <c r="Q291" s="4"/>
      <c r="R291" s="4"/>
      <c r="S291" s="4"/>
      <c r="T291" s="4"/>
      <c r="U291" s="4"/>
      <c r="V291" s="4"/>
      <c r="W291" s="4"/>
      <c r="X291" s="4"/>
    </row>
    <row r="292" spans="1:24" ht="15.75" thickBot="1">
      <c r="A292" s="3"/>
      <c r="B292" s="4"/>
      <c r="C292" s="4"/>
      <c r="D292" s="4"/>
      <c r="E292" s="4"/>
      <c r="F292" s="4"/>
      <c r="G292" s="4"/>
      <c r="H292" s="4"/>
      <c r="I292" s="4"/>
      <c r="J292" s="4"/>
      <c r="K292" s="4"/>
      <c r="L292" s="4"/>
      <c r="M292" s="4"/>
      <c r="N292" s="4"/>
      <c r="O292" s="4"/>
      <c r="P292" s="4"/>
      <c r="Q292" s="4"/>
      <c r="R292" s="4"/>
      <c r="S292" s="4"/>
      <c r="T292" s="4"/>
      <c r="U292" s="4"/>
      <c r="V292" s="4"/>
      <c r="W292" s="4"/>
      <c r="X292" s="4"/>
    </row>
    <row r="293" spans="1:24" ht="15.75" thickBot="1">
      <c r="A293" s="3"/>
      <c r="B293" s="4"/>
      <c r="C293" s="4"/>
      <c r="D293" s="4"/>
      <c r="E293" s="4"/>
      <c r="F293" s="4"/>
      <c r="G293" s="4"/>
      <c r="H293" s="4"/>
      <c r="I293" s="4"/>
      <c r="J293" s="4"/>
      <c r="K293" s="4"/>
      <c r="L293" s="4"/>
      <c r="M293" s="4"/>
      <c r="N293" s="4"/>
      <c r="O293" s="4"/>
      <c r="P293" s="4"/>
      <c r="Q293" s="4"/>
      <c r="R293" s="4"/>
      <c r="S293" s="4"/>
      <c r="T293" s="4"/>
      <c r="U293" s="4"/>
      <c r="V293" s="4"/>
      <c r="W293" s="4"/>
      <c r="X293" s="4"/>
    </row>
    <row r="294" spans="1:24" ht="15.75" thickBot="1">
      <c r="A294" s="3"/>
      <c r="B294" s="4"/>
      <c r="C294" s="4"/>
      <c r="D294" s="4"/>
      <c r="E294" s="4"/>
      <c r="F294" s="4"/>
      <c r="G294" s="4"/>
      <c r="H294" s="4"/>
      <c r="I294" s="4"/>
      <c r="J294" s="4"/>
      <c r="K294" s="4"/>
      <c r="L294" s="4"/>
      <c r="M294" s="4"/>
      <c r="N294" s="4"/>
      <c r="O294" s="4"/>
      <c r="P294" s="4"/>
      <c r="Q294" s="4"/>
      <c r="R294" s="4"/>
      <c r="S294" s="4"/>
      <c r="T294" s="4"/>
      <c r="U294" s="4"/>
      <c r="V294" s="4"/>
      <c r="W294" s="4"/>
      <c r="X294" s="4"/>
    </row>
    <row r="295" spans="1:24" ht="15.75" thickBot="1">
      <c r="A295" s="3"/>
      <c r="B295" s="4"/>
      <c r="C295" s="4"/>
      <c r="D295" s="4"/>
      <c r="E295" s="4"/>
      <c r="F295" s="4"/>
      <c r="G295" s="4"/>
      <c r="H295" s="4"/>
      <c r="I295" s="4"/>
      <c r="J295" s="4"/>
      <c r="K295" s="4"/>
      <c r="L295" s="4"/>
      <c r="M295" s="4"/>
      <c r="N295" s="4"/>
      <c r="O295" s="4"/>
      <c r="P295" s="4"/>
      <c r="Q295" s="4"/>
      <c r="R295" s="4"/>
      <c r="S295" s="4"/>
      <c r="T295" s="4"/>
      <c r="U295" s="4"/>
      <c r="V295" s="4"/>
      <c r="W295" s="4"/>
      <c r="X295" s="4"/>
    </row>
    <row r="296" spans="1:24" ht="15.75" thickBot="1">
      <c r="A296" s="3"/>
      <c r="B296" s="4"/>
      <c r="C296" s="4"/>
      <c r="D296" s="4"/>
      <c r="E296" s="4"/>
      <c r="F296" s="4"/>
      <c r="G296" s="4"/>
      <c r="H296" s="4"/>
      <c r="I296" s="4"/>
      <c r="J296" s="4"/>
      <c r="K296" s="4"/>
      <c r="L296" s="4"/>
      <c r="M296" s="4"/>
      <c r="N296" s="4"/>
      <c r="O296" s="4"/>
      <c r="P296" s="4"/>
      <c r="Q296" s="4"/>
      <c r="R296" s="4"/>
      <c r="S296" s="4"/>
      <c r="T296" s="4"/>
      <c r="U296" s="4"/>
      <c r="V296" s="4"/>
      <c r="W296" s="4"/>
      <c r="X296" s="4"/>
    </row>
    <row r="297" spans="1:24" ht="15.75" thickBot="1">
      <c r="A297" s="3"/>
      <c r="B297" s="4"/>
      <c r="C297" s="4"/>
      <c r="D297" s="4"/>
      <c r="E297" s="4"/>
      <c r="F297" s="4"/>
      <c r="G297" s="4"/>
      <c r="H297" s="4"/>
      <c r="I297" s="4"/>
      <c r="J297" s="4"/>
      <c r="K297" s="4"/>
      <c r="L297" s="4"/>
      <c r="M297" s="4"/>
      <c r="N297" s="4"/>
      <c r="O297" s="4"/>
      <c r="P297" s="4"/>
      <c r="Q297" s="4"/>
      <c r="R297" s="4"/>
      <c r="S297" s="4"/>
      <c r="T297" s="4"/>
      <c r="U297" s="4"/>
      <c r="V297" s="4"/>
      <c r="W297" s="4"/>
      <c r="X297" s="4"/>
    </row>
    <row r="298" spans="1:24" ht="15.75" thickBot="1">
      <c r="A298" s="3"/>
      <c r="B298" s="4"/>
      <c r="C298" s="4"/>
      <c r="D298" s="4"/>
      <c r="E298" s="4"/>
      <c r="F298" s="4"/>
      <c r="G298" s="4"/>
      <c r="H298" s="4"/>
      <c r="I298" s="4"/>
      <c r="J298" s="4"/>
      <c r="K298" s="4"/>
      <c r="L298" s="4"/>
      <c r="M298" s="4"/>
      <c r="N298" s="4"/>
      <c r="O298" s="4"/>
      <c r="P298" s="4"/>
      <c r="Q298" s="4"/>
      <c r="R298" s="4"/>
      <c r="S298" s="4"/>
      <c r="T298" s="4"/>
      <c r="U298" s="4"/>
      <c r="V298" s="4"/>
      <c r="W298" s="4"/>
      <c r="X298" s="4"/>
    </row>
    <row r="299" spans="1:24" ht="15.75" thickBot="1">
      <c r="A299" s="3"/>
      <c r="B299" s="4"/>
      <c r="C299" s="4"/>
      <c r="D299" s="4"/>
      <c r="E299" s="4"/>
      <c r="F299" s="4"/>
      <c r="G299" s="4"/>
      <c r="H299" s="4"/>
      <c r="I299" s="4"/>
      <c r="J299" s="4"/>
      <c r="K299" s="4"/>
      <c r="L299" s="4"/>
      <c r="M299" s="4"/>
      <c r="N299" s="4"/>
      <c r="O299" s="4"/>
      <c r="P299" s="4"/>
      <c r="Q299" s="4"/>
      <c r="R299" s="4"/>
      <c r="S299" s="4"/>
      <c r="T299" s="4"/>
      <c r="U299" s="4"/>
      <c r="V299" s="4"/>
      <c r="W299" s="4"/>
      <c r="X299" s="4"/>
    </row>
    <row r="300" spans="1:24" ht="15.75" thickBot="1">
      <c r="A300" s="3"/>
      <c r="B300" s="4"/>
      <c r="C300" s="4"/>
      <c r="D300" s="4"/>
      <c r="E300" s="4"/>
      <c r="F300" s="4"/>
      <c r="G300" s="4"/>
      <c r="H300" s="4"/>
      <c r="I300" s="4"/>
      <c r="J300" s="4"/>
      <c r="K300" s="4"/>
      <c r="L300" s="4"/>
      <c r="M300" s="4"/>
      <c r="N300" s="4"/>
      <c r="O300" s="4"/>
      <c r="P300" s="4"/>
      <c r="Q300" s="4"/>
      <c r="R300" s="4"/>
      <c r="S300" s="4"/>
      <c r="T300" s="4"/>
      <c r="U300" s="4"/>
      <c r="V300" s="4"/>
      <c r="W300" s="4"/>
      <c r="X300" s="4"/>
    </row>
    <row r="301" spans="1:24" ht="15.75" thickBot="1">
      <c r="A301" s="3"/>
      <c r="B301" s="4"/>
      <c r="C301" s="4"/>
      <c r="D301" s="4"/>
      <c r="E301" s="4"/>
      <c r="F301" s="4"/>
      <c r="G301" s="4"/>
      <c r="H301" s="4"/>
      <c r="I301" s="4"/>
      <c r="J301" s="4"/>
      <c r="K301" s="4"/>
      <c r="L301" s="4"/>
      <c r="M301" s="4"/>
      <c r="N301" s="4"/>
      <c r="O301" s="4"/>
      <c r="P301" s="4"/>
      <c r="Q301" s="4"/>
      <c r="R301" s="4"/>
      <c r="S301" s="4"/>
      <c r="T301" s="4"/>
      <c r="U301" s="4"/>
      <c r="V301" s="4"/>
      <c r="W301" s="4"/>
      <c r="X301" s="4"/>
    </row>
    <row r="302" spans="1:24" ht="15.75" thickBot="1">
      <c r="A302" s="3"/>
      <c r="B302" s="4"/>
      <c r="C302" s="4"/>
      <c r="D302" s="4"/>
      <c r="E302" s="4"/>
      <c r="F302" s="4"/>
      <c r="G302" s="4"/>
      <c r="H302" s="4"/>
      <c r="I302" s="4"/>
      <c r="J302" s="4"/>
      <c r="K302" s="4"/>
      <c r="L302" s="4"/>
      <c r="M302" s="4"/>
      <c r="N302" s="4"/>
      <c r="O302" s="4"/>
      <c r="P302" s="4"/>
      <c r="Q302" s="4"/>
      <c r="R302" s="4"/>
      <c r="S302" s="4"/>
      <c r="T302" s="4"/>
      <c r="U302" s="4"/>
      <c r="V302" s="4"/>
      <c r="W302" s="4"/>
      <c r="X302" s="4"/>
    </row>
    <row r="303" spans="1:24" ht="15.75" thickBot="1">
      <c r="A303" s="3"/>
      <c r="B303" s="4"/>
      <c r="C303" s="4"/>
      <c r="D303" s="4"/>
      <c r="E303" s="4"/>
      <c r="F303" s="4"/>
      <c r="G303" s="4"/>
      <c r="H303" s="4"/>
      <c r="I303" s="4"/>
      <c r="J303" s="4"/>
      <c r="K303" s="4"/>
      <c r="L303" s="4"/>
      <c r="M303" s="4"/>
      <c r="N303" s="4"/>
      <c r="O303" s="4"/>
      <c r="P303" s="4"/>
      <c r="Q303" s="4"/>
      <c r="R303" s="4"/>
      <c r="S303" s="4"/>
      <c r="T303" s="4"/>
      <c r="U303" s="4"/>
      <c r="V303" s="4"/>
      <c r="W303" s="4"/>
      <c r="X303" s="4"/>
    </row>
    <row r="304" spans="1:24" ht="15.75" thickBot="1">
      <c r="A304" s="3"/>
      <c r="B304" s="4"/>
      <c r="C304" s="4"/>
      <c r="D304" s="4"/>
      <c r="E304" s="4"/>
      <c r="F304" s="4"/>
      <c r="G304" s="4"/>
      <c r="H304" s="4"/>
      <c r="I304" s="4"/>
      <c r="J304" s="4"/>
      <c r="K304" s="4"/>
      <c r="L304" s="4"/>
      <c r="M304" s="4"/>
      <c r="N304" s="4"/>
      <c r="O304" s="4"/>
      <c r="P304" s="4"/>
      <c r="Q304" s="4"/>
      <c r="R304" s="4"/>
      <c r="S304" s="4"/>
      <c r="T304" s="4"/>
      <c r="U304" s="4"/>
      <c r="V304" s="4"/>
      <c r="W304" s="4"/>
      <c r="X304" s="4"/>
    </row>
    <row r="305" spans="1:24" ht="15.75" thickBot="1">
      <c r="A305" s="3"/>
      <c r="B305" s="4"/>
      <c r="C305" s="4"/>
      <c r="D305" s="4"/>
      <c r="E305" s="4"/>
      <c r="F305" s="4"/>
      <c r="G305" s="4"/>
      <c r="H305" s="4"/>
      <c r="I305" s="4"/>
      <c r="J305" s="4"/>
      <c r="K305" s="4"/>
      <c r="L305" s="4"/>
      <c r="M305" s="4"/>
      <c r="N305" s="4"/>
      <c r="O305" s="4"/>
      <c r="P305" s="4"/>
      <c r="Q305" s="4"/>
      <c r="R305" s="4"/>
      <c r="S305" s="4"/>
      <c r="T305" s="4"/>
      <c r="U305" s="4"/>
      <c r="V305" s="4"/>
      <c r="W305" s="4"/>
      <c r="X305" s="4"/>
    </row>
    <row r="306" spans="1:24" ht="15.75" thickBot="1">
      <c r="A306" s="3"/>
      <c r="B306" s="4"/>
      <c r="C306" s="4"/>
      <c r="D306" s="4"/>
      <c r="E306" s="4"/>
      <c r="F306" s="4"/>
      <c r="G306" s="4"/>
      <c r="H306" s="4"/>
      <c r="I306" s="4"/>
      <c r="J306" s="4"/>
      <c r="K306" s="4"/>
      <c r="L306" s="4"/>
      <c r="M306" s="4"/>
      <c r="N306" s="4"/>
      <c r="O306" s="4"/>
      <c r="P306" s="4"/>
      <c r="Q306" s="4"/>
      <c r="R306" s="4"/>
      <c r="S306" s="4"/>
      <c r="T306" s="4"/>
      <c r="U306" s="4"/>
      <c r="V306" s="4"/>
      <c r="W306" s="4"/>
      <c r="X306" s="4"/>
    </row>
    <row r="307" spans="1:24" ht="15.75" thickBot="1">
      <c r="A307" s="3"/>
      <c r="B307" s="4"/>
      <c r="C307" s="4"/>
      <c r="D307" s="4"/>
      <c r="E307" s="4"/>
      <c r="F307" s="4"/>
      <c r="G307" s="4"/>
      <c r="H307" s="4"/>
      <c r="I307" s="4"/>
      <c r="J307" s="4"/>
      <c r="K307" s="4"/>
      <c r="L307" s="4"/>
      <c r="M307" s="4"/>
      <c r="N307" s="4"/>
      <c r="O307" s="4"/>
      <c r="P307" s="4"/>
      <c r="Q307" s="4"/>
      <c r="R307" s="4"/>
      <c r="S307" s="4"/>
      <c r="T307" s="4"/>
      <c r="U307" s="4"/>
      <c r="V307" s="4"/>
      <c r="W307" s="4"/>
      <c r="X307" s="4"/>
    </row>
    <row r="308" spans="1:24" ht="15.75" thickBot="1">
      <c r="A308" s="3"/>
      <c r="B308" s="4"/>
      <c r="C308" s="4"/>
      <c r="D308" s="4"/>
      <c r="E308" s="4"/>
      <c r="F308" s="4"/>
      <c r="G308" s="4"/>
      <c r="H308" s="4"/>
      <c r="I308" s="4"/>
      <c r="J308" s="4"/>
      <c r="K308" s="4"/>
      <c r="L308" s="4"/>
      <c r="M308" s="4"/>
      <c r="N308" s="4"/>
      <c r="O308" s="4"/>
      <c r="P308" s="4"/>
      <c r="Q308" s="4"/>
      <c r="R308" s="4"/>
      <c r="S308" s="4"/>
      <c r="T308" s="4"/>
      <c r="U308" s="4"/>
      <c r="V308" s="4"/>
      <c r="W308" s="4"/>
      <c r="X308" s="4"/>
    </row>
    <row r="309" spans="1:24" ht="15.75" thickBot="1">
      <c r="A309" s="3"/>
      <c r="B309" s="4"/>
      <c r="C309" s="4"/>
      <c r="D309" s="4"/>
      <c r="E309" s="4"/>
      <c r="F309" s="4"/>
      <c r="G309" s="4"/>
      <c r="H309" s="4"/>
      <c r="I309" s="4"/>
      <c r="J309" s="4"/>
      <c r="K309" s="4"/>
      <c r="L309" s="4"/>
      <c r="M309" s="4"/>
      <c r="N309" s="4"/>
      <c r="O309" s="4"/>
      <c r="P309" s="4"/>
      <c r="Q309" s="4"/>
      <c r="R309" s="4"/>
      <c r="S309" s="4"/>
      <c r="T309" s="4"/>
      <c r="U309" s="4"/>
      <c r="V309" s="4"/>
      <c r="W309" s="4"/>
      <c r="X309" s="4"/>
    </row>
    <row r="310" spans="1:24" ht="15.75" thickBot="1">
      <c r="A310" s="3"/>
      <c r="B310" s="4"/>
      <c r="C310" s="4"/>
      <c r="D310" s="4"/>
      <c r="E310" s="4"/>
      <c r="F310" s="4"/>
      <c r="G310" s="4"/>
      <c r="H310" s="4"/>
      <c r="I310" s="4"/>
      <c r="J310" s="4"/>
      <c r="K310" s="4"/>
      <c r="L310" s="4"/>
      <c r="M310" s="4"/>
      <c r="N310" s="4"/>
      <c r="O310" s="4"/>
      <c r="P310" s="4"/>
      <c r="Q310" s="4"/>
      <c r="R310" s="4"/>
      <c r="S310" s="4"/>
      <c r="T310" s="4"/>
      <c r="U310" s="4"/>
      <c r="V310" s="4"/>
      <c r="W310" s="4"/>
      <c r="X310" s="4"/>
    </row>
    <row r="311" spans="1:24" ht="15.75" thickBot="1">
      <c r="A311" s="3"/>
      <c r="B311" s="4"/>
      <c r="C311" s="4"/>
      <c r="D311" s="4"/>
      <c r="E311" s="4"/>
      <c r="F311" s="4"/>
      <c r="G311" s="4"/>
      <c r="H311" s="4"/>
      <c r="I311" s="4"/>
      <c r="J311" s="4"/>
      <c r="K311" s="4"/>
      <c r="L311" s="4"/>
      <c r="M311" s="4"/>
      <c r="N311" s="4"/>
      <c r="O311" s="4"/>
      <c r="P311" s="4"/>
      <c r="Q311" s="4"/>
      <c r="R311" s="4"/>
      <c r="S311" s="4"/>
      <c r="T311" s="4"/>
      <c r="U311" s="4"/>
      <c r="V311" s="4"/>
      <c r="W311" s="4"/>
      <c r="X311" s="4"/>
    </row>
    <row r="312" spans="1:24" ht="15.75" thickBot="1">
      <c r="A312" s="3"/>
      <c r="B312" s="4"/>
      <c r="C312" s="4"/>
      <c r="D312" s="4"/>
      <c r="E312" s="4"/>
      <c r="F312" s="4"/>
      <c r="G312" s="4"/>
      <c r="H312" s="4"/>
      <c r="I312" s="4"/>
      <c r="J312" s="4"/>
      <c r="K312" s="4"/>
      <c r="L312" s="4"/>
      <c r="M312" s="4"/>
      <c r="N312" s="4"/>
      <c r="O312" s="4"/>
      <c r="P312" s="4"/>
      <c r="Q312" s="4"/>
      <c r="R312" s="4"/>
      <c r="S312" s="4"/>
      <c r="T312" s="4"/>
      <c r="U312" s="4"/>
      <c r="V312" s="4"/>
      <c r="W312" s="4"/>
      <c r="X312" s="4"/>
    </row>
    <row r="313" spans="1:24" ht="15.75" thickBot="1">
      <c r="A313" s="3"/>
      <c r="B313" s="4"/>
      <c r="C313" s="4"/>
      <c r="D313" s="4"/>
      <c r="E313" s="4"/>
      <c r="F313" s="4"/>
      <c r="G313" s="4"/>
      <c r="H313" s="4"/>
      <c r="I313" s="4"/>
      <c r="J313" s="4"/>
      <c r="K313" s="4"/>
      <c r="L313" s="4"/>
      <c r="M313" s="4"/>
      <c r="N313" s="4"/>
      <c r="O313" s="4"/>
      <c r="P313" s="4"/>
      <c r="Q313" s="4"/>
      <c r="R313" s="4"/>
      <c r="S313" s="4"/>
      <c r="T313" s="4"/>
      <c r="U313" s="4"/>
      <c r="V313" s="4"/>
      <c r="W313" s="4"/>
      <c r="X313" s="4"/>
    </row>
    <row r="314" spans="1:24" ht="15.75" thickBot="1">
      <c r="A314" s="3"/>
      <c r="B314" s="4"/>
      <c r="C314" s="4"/>
      <c r="D314" s="4"/>
      <c r="E314" s="4"/>
      <c r="F314" s="4"/>
      <c r="G314" s="4"/>
      <c r="H314" s="4"/>
      <c r="I314" s="4"/>
      <c r="J314" s="4"/>
      <c r="K314" s="4"/>
      <c r="L314" s="4"/>
      <c r="M314" s="4"/>
      <c r="N314" s="4"/>
      <c r="O314" s="4"/>
      <c r="P314" s="4"/>
      <c r="Q314" s="4"/>
      <c r="R314" s="4"/>
      <c r="S314" s="4"/>
      <c r="T314" s="4"/>
      <c r="U314" s="4"/>
      <c r="V314" s="4"/>
      <c r="W314" s="4"/>
      <c r="X314" s="4"/>
    </row>
    <row r="315" spans="1:24" ht="15.75" thickBot="1">
      <c r="A315" s="3"/>
      <c r="B315" s="4"/>
      <c r="C315" s="4"/>
      <c r="D315" s="4"/>
      <c r="E315" s="4"/>
      <c r="F315" s="4"/>
      <c r="G315" s="4"/>
      <c r="H315" s="4"/>
      <c r="I315" s="4"/>
      <c r="J315" s="4"/>
      <c r="K315" s="4"/>
      <c r="L315" s="4"/>
      <c r="M315" s="4"/>
      <c r="N315" s="4"/>
      <c r="O315" s="4"/>
      <c r="P315" s="4"/>
      <c r="Q315" s="4"/>
      <c r="R315" s="4"/>
      <c r="S315" s="4"/>
      <c r="T315" s="4"/>
      <c r="U315" s="4"/>
      <c r="V315" s="4"/>
      <c r="W315" s="4"/>
      <c r="X315" s="4"/>
    </row>
    <row r="316" spans="1:24" ht="15.75" thickBot="1">
      <c r="A316" s="3"/>
      <c r="B316" s="4"/>
      <c r="C316" s="4"/>
      <c r="D316" s="4"/>
      <c r="E316" s="4"/>
      <c r="F316" s="4"/>
      <c r="G316" s="4"/>
      <c r="H316" s="4"/>
      <c r="I316" s="4"/>
      <c r="J316" s="4"/>
      <c r="K316" s="4"/>
      <c r="L316" s="4"/>
      <c r="M316" s="4"/>
      <c r="N316" s="4"/>
      <c r="O316" s="4"/>
      <c r="P316" s="4"/>
      <c r="Q316" s="4"/>
      <c r="R316" s="4"/>
      <c r="S316" s="4"/>
      <c r="T316" s="4"/>
      <c r="U316" s="4"/>
      <c r="V316" s="4"/>
      <c r="W316" s="4"/>
      <c r="X316" s="4"/>
    </row>
    <row r="317" spans="1:24" ht="15.75" thickBot="1">
      <c r="A317" s="3"/>
      <c r="B317" s="4"/>
      <c r="C317" s="4"/>
      <c r="D317" s="4"/>
      <c r="E317" s="4"/>
      <c r="F317" s="4"/>
      <c r="G317" s="4"/>
      <c r="H317" s="4"/>
      <c r="I317" s="4"/>
      <c r="J317" s="4"/>
      <c r="K317" s="4"/>
      <c r="L317" s="4"/>
      <c r="M317" s="4"/>
      <c r="N317" s="4"/>
      <c r="O317" s="4"/>
      <c r="P317" s="4"/>
      <c r="Q317" s="4"/>
      <c r="R317" s="4"/>
      <c r="S317" s="4"/>
      <c r="T317" s="4"/>
      <c r="U317" s="4"/>
      <c r="V317" s="4"/>
      <c r="W317" s="4"/>
      <c r="X317" s="4"/>
    </row>
    <row r="318" spans="1:24" ht="15.75" thickBot="1">
      <c r="A318" s="3"/>
      <c r="B318" s="4"/>
      <c r="C318" s="4"/>
      <c r="D318" s="4"/>
      <c r="E318" s="4"/>
      <c r="F318" s="4"/>
      <c r="G318" s="4"/>
      <c r="H318" s="4"/>
      <c r="I318" s="4"/>
      <c r="J318" s="4"/>
      <c r="K318" s="4"/>
      <c r="L318" s="4"/>
      <c r="M318" s="4"/>
      <c r="N318" s="4"/>
      <c r="O318" s="4"/>
      <c r="P318" s="4"/>
      <c r="Q318" s="4"/>
      <c r="R318" s="4"/>
      <c r="S318" s="4"/>
      <c r="T318" s="4"/>
      <c r="U318" s="4"/>
      <c r="V318" s="4"/>
      <c r="W318" s="4"/>
      <c r="X318" s="4"/>
    </row>
    <row r="319" spans="1:24" ht="15.75" thickBot="1">
      <c r="A319" s="3"/>
      <c r="B319" s="4"/>
      <c r="C319" s="4"/>
      <c r="D319" s="4"/>
      <c r="E319" s="4"/>
      <c r="F319" s="4"/>
      <c r="G319" s="4"/>
      <c r="H319" s="4"/>
      <c r="I319" s="4"/>
      <c r="J319" s="4"/>
      <c r="K319" s="4"/>
      <c r="L319" s="4"/>
      <c r="M319" s="4"/>
      <c r="N319" s="4"/>
      <c r="O319" s="4"/>
      <c r="P319" s="4"/>
      <c r="Q319" s="4"/>
      <c r="R319" s="4"/>
      <c r="S319" s="4"/>
      <c r="T319" s="4"/>
      <c r="U319" s="4"/>
      <c r="V319" s="4"/>
      <c r="W319" s="4"/>
      <c r="X319" s="4"/>
    </row>
    <row r="320" spans="1:24" ht="15.75" thickBot="1">
      <c r="A320" s="3"/>
      <c r="B320" s="4"/>
      <c r="C320" s="4"/>
      <c r="D320" s="4"/>
      <c r="E320" s="4"/>
      <c r="F320" s="4"/>
      <c r="G320" s="4"/>
      <c r="H320" s="4"/>
      <c r="I320" s="4"/>
      <c r="J320" s="4"/>
      <c r="K320" s="4"/>
      <c r="L320" s="4"/>
      <c r="M320" s="4"/>
      <c r="N320" s="4"/>
      <c r="O320" s="4"/>
      <c r="P320" s="4"/>
      <c r="Q320" s="4"/>
      <c r="R320" s="4"/>
      <c r="S320" s="4"/>
      <c r="T320" s="4"/>
      <c r="U320" s="4"/>
      <c r="V320" s="4"/>
      <c r="W320" s="4"/>
      <c r="X320" s="4"/>
    </row>
    <row r="321" spans="1:24" ht="15.75" thickBot="1">
      <c r="A321" s="3"/>
      <c r="B321" s="4"/>
      <c r="C321" s="4"/>
      <c r="D321" s="4"/>
      <c r="E321" s="4"/>
      <c r="F321" s="4"/>
      <c r="G321" s="4"/>
      <c r="H321" s="4"/>
      <c r="I321" s="4"/>
      <c r="J321" s="4"/>
      <c r="K321" s="4"/>
      <c r="L321" s="4"/>
      <c r="M321" s="4"/>
      <c r="N321" s="4"/>
      <c r="O321" s="4"/>
      <c r="P321" s="4"/>
      <c r="Q321" s="4"/>
      <c r="R321" s="4"/>
      <c r="S321" s="4"/>
      <c r="T321" s="4"/>
      <c r="U321" s="4"/>
      <c r="V321" s="4"/>
      <c r="W321" s="4"/>
      <c r="X321" s="4"/>
    </row>
    <row r="322" spans="1:24" ht="15.75" thickBot="1">
      <c r="A322" s="3"/>
      <c r="B322" s="4"/>
      <c r="C322" s="4"/>
      <c r="D322" s="4"/>
      <c r="E322" s="4"/>
      <c r="F322" s="4"/>
      <c r="G322" s="4"/>
      <c r="H322" s="4"/>
      <c r="I322" s="4"/>
      <c r="J322" s="4"/>
      <c r="K322" s="4"/>
      <c r="L322" s="4"/>
      <c r="M322" s="4"/>
      <c r="N322" s="4"/>
      <c r="O322" s="4"/>
      <c r="P322" s="4"/>
      <c r="Q322" s="4"/>
      <c r="R322" s="4"/>
      <c r="S322" s="4"/>
      <c r="T322" s="4"/>
      <c r="U322" s="4"/>
      <c r="V322" s="4"/>
      <c r="W322" s="4"/>
      <c r="X322" s="4"/>
    </row>
    <row r="323" spans="1:24" ht="15.75" thickBot="1">
      <c r="A323" s="3"/>
      <c r="B323" s="4"/>
      <c r="C323" s="4"/>
      <c r="D323" s="4"/>
      <c r="E323" s="4"/>
      <c r="F323" s="4"/>
      <c r="G323" s="4"/>
      <c r="H323" s="4"/>
      <c r="I323" s="4"/>
      <c r="J323" s="4"/>
      <c r="K323" s="4"/>
      <c r="L323" s="4"/>
      <c r="M323" s="4"/>
      <c r="N323" s="4"/>
      <c r="O323" s="4"/>
      <c r="P323" s="4"/>
      <c r="Q323" s="4"/>
      <c r="R323" s="4"/>
      <c r="S323" s="4"/>
      <c r="T323" s="4"/>
      <c r="U323" s="4"/>
      <c r="V323" s="4"/>
      <c r="W323" s="4"/>
      <c r="X323" s="4"/>
    </row>
    <row r="324" spans="1:24" ht="15.75" thickBot="1">
      <c r="A324" s="3"/>
      <c r="B324" s="4"/>
      <c r="C324" s="4"/>
      <c r="D324" s="4"/>
      <c r="E324" s="4"/>
      <c r="F324" s="4"/>
      <c r="G324" s="4"/>
      <c r="H324" s="4"/>
      <c r="I324" s="4"/>
      <c r="J324" s="4"/>
      <c r="K324" s="4"/>
      <c r="L324" s="4"/>
      <c r="M324" s="4"/>
      <c r="N324" s="4"/>
      <c r="O324" s="4"/>
      <c r="P324" s="4"/>
      <c r="Q324" s="4"/>
      <c r="R324" s="4"/>
      <c r="S324" s="4"/>
      <c r="T324" s="4"/>
      <c r="U324" s="4"/>
      <c r="V324" s="4"/>
      <c r="W324" s="4"/>
      <c r="X324" s="4"/>
    </row>
    <row r="325" spans="1:24" ht="15.75" thickBot="1">
      <c r="A325" s="3"/>
      <c r="B325" s="4"/>
      <c r="C325" s="4"/>
      <c r="D325" s="4"/>
      <c r="E325" s="4"/>
      <c r="F325" s="4"/>
      <c r="G325" s="4"/>
      <c r="H325" s="4"/>
      <c r="I325" s="4"/>
      <c r="J325" s="4"/>
      <c r="K325" s="4"/>
      <c r="L325" s="4"/>
      <c r="M325" s="4"/>
      <c r="N325" s="4"/>
      <c r="O325" s="4"/>
      <c r="P325" s="4"/>
      <c r="Q325" s="4"/>
      <c r="R325" s="4"/>
      <c r="S325" s="4"/>
      <c r="T325" s="4"/>
      <c r="U325" s="4"/>
      <c r="V325" s="4"/>
      <c r="W325" s="4"/>
      <c r="X325" s="4"/>
    </row>
    <row r="326" spans="1:24" ht="15.75" thickBot="1">
      <c r="A326" s="3"/>
      <c r="B326" s="4"/>
      <c r="C326" s="4"/>
      <c r="D326" s="4"/>
      <c r="E326" s="4"/>
      <c r="F326" s="4"/>
      <c r="G326" s="4"/>
      <c r="H326" s="4"/>
      <c r="I326" s="4"/>
      <c r="J326" s="4"/>
      <c r="K326" s="4"/>
      <c r="L326" s="4"/>
      <c r="M326" s="4"/>
      <c r="N326" s="4"/>
      <c r="O326" s="4"/>
      <c r="P326" s="4"/>
      <c r="Q326" s="4"/>
      <c r="R326" s="4"/>
      <c r="S326" s="4"/>
      <c r="T326" s="4"/>
      <c r="U326" s="4"/>
      <c r="V326" s="4"/>
      <c r="W326" s="4"/>
      <c r="X326" s="4"/>
    </row>
    <row r="327" spans="1:24" ht="15.75" thickBot="1">
      <c r="A327" s="3"/>
      <c r="B327" s="4"/>
      <c r="C327" s="4"/>
      <c r="D327" s="4"/>
      <c r="E327" s="4"/>
      <c r="F327" s="4"/>
      <c r="G327" s="4"/>
      <c r="H327" s="4"/>
      <c r="I327" s="4"/>
      <c r="J327" s="4"/>
      <c r="K327" s="4"/>
      <c r="L327" s="4"/>
      <c r="M327" s="4"/>
      <c r="N327" s="4"/>
      <c r="O327" s="4"/>
      <c r="P327" s="4"/>
      <c r="Q327" s="4"/>
      <c r="R327" s="4"/>
      <c r="S327" s="4"/>
      <c r="T327" s="4"/>
      <c r="U327" s="4"/>
      <c r="V327" s="4"/>
      <c r="W327" s="4"/>
      <c r="X327" s="4"/>
    </row>
    <row r="328" spans="1:24" ht="15.75" thickBot="1">
      <c r="A328" s="3"/>
      <c r="B328" s="4"/>
      <c r="C328" s="4"/>
      <c r="D328" s="4"/>
      <c r="E328" s="4"/>
      <c r="F328" s="4"/>
      <c r="G328" s="4"/>
      <c r="H328" s="4"/>
      <c r="I328" s="4"/>
      <c r="J328" s="4"/>
      <c r="K328" s="4"/>
      <c r="L328" s="4"/>
      <c r="M328" s="4"/>
      <c r="N328" s="4"/>
      <c r="O328" s="4"/>
      <c r="P328" s="4"/>
      <c r="Q328" s="4"/>
      <c r="R328" s="4"/>
      <c r="S328" s="4"/>
      <c r="T328" s="4"/>
      <c r="U328" s="4"/>
      <c r="V328" s="4"/>
      <c r="W328" s="4"/>
      <c r="X328" s="4"/>
    </row>
    <row r="329" spans="1:24" ht="15.75" thickBot="1">
      <c r="A329" s="3"/>
      <c r="B329" s="4"/>
      <c r="C329" s="4"/>
      <c r="D329" s="4"/>
      <c r="E329" s="4"/>
      <c r="F329" s="4"/>
      <c r="G329" s="4"/>
      <c r="H329" s="4"/>
      <c r="I329" s="4"/>
      <c r="J329" s="4"/>
      <c r="K329" s="4"/>
      <c r="L329" s="4"/>
      <c r="M329" s="4"/>
      <c r="N329" s="4"/>
      <c r="O329" s="4"/>
      <c r="P329" s="4"/>
      <c r="Q329" s="4"/>
      <c r="R329" s="4"/>
      <c r="S329" s="4"/>
      <c r="T329" s="4"/>
      <c r="U329" s="4"/>
      <c r="V329" s="4"/>
      <c r="W329" s="4"/>
      <c r="X329" s="4"/>
    </row>
    <row r="330" spans="1:24" ht="15.75" thickBot="1">
      <c r="A330" s="3"/>
      <c r="B330" s="4"/>
      <c r="C330" s="4"/>
      <c r="D330" s="4"/>
      <c r="E330" s="4"/>
      <c r="F330" s="4"/>
      <c r="G330" s="4"/>
      <c r="H330" s="4"/>
      <c r="I330" s="4"/>
      <c r="J330" s="4"/>
      <c r="K330" s="4"/>
      <c r="L330" s="4"/>
      <c r="M330" s="4"/>
      <c r="N330" s="4"/>
      <c r="O330" s="4"/>
      <c r="P330" s="4"/>
      <c r="Q330" s="4"/>
      <c r="R330" s="4"/>
      <c r="S330" s="4"/>
      <c r="T330" s="4"/>
      <c r="U330" s="4"/>
      <c r="V330" s="4"/>
      <c r="W330" s="4"/>
      <c r="X330" s="4"/>
    </row>
    <row r="331" spans="1:24" ht="15.75" thickBot="1">
      <c r="A331" s="3"/>
      <c r="B331" s="4"/>
      <c r="C331" s="4"/>
      <c r="D331" s="4"/>
      <c r="E331" s="4"/>
      <c r="F331" s="4"/>
      <c r="G331" s="4"/>
      <c r="H331" s="4"/>
      <c r="I331" s="4"/>
      <c r="J331" s="4"/>
      <c r="K331" s="4"/>
      <c r="L331" s="4"/>
      <c r="M331" s="4"/>
      <c r="N331" s="4"/>
      <c r="O331" s="4"/>
      <c r="P331" s="4"/>
      <c r="Q331" s="4"/>
      <c r="R331" s="4"/>
      <c r="S331" s="4"/>
      <c r="T331" s="4"/>
      <c r="U331" s="4"/>
      <c r="V331" s="4"/>
      <c r="W331" s="4"/>
      <c r="X331" s="4"/>
    </row>
    <row r="332" spans="1:24" ht="15.75" thickBot="1">
      <c r="A332" s="3"/>
      <c r="B332" s="4"/>
      <c r="C332" s="4"/>
      <c r="D332" s="4"/>
      <c r="E332" s="4"/>
      <c r="F332" s="4"/>
      <c r="G332" s="4"/>
      <c r="H332" s="4"/>
      <c r="I332" s="4"/>
      <c r="J332" s="4"/>
      <c r="K332" s="4"/>
      <c r="L332" s="4"/>
      <c r="M332" s="4"/>
      <c r="N332" s="4"/>
      <c r="O332" s="4"/>
      <c r="P332" s="4"/>
      <c r="Q332" s="4"/>
      <c r="R332" s="4"/>
      <c r="S332" s="4"/>
      <c r="T332" s="4"/>
      <c r="U332" s="4"/>
      <c r="V332" s="4"/>
      <c r="W332" s="4"/>
      <c r="X332" s="4"/>
    </row>
    <row r="333" spans="1:24" ht="15.75" thickBot="1">
      <c r="A333" s="3"/>
      <c r="B333" s="4"/>
      <c r="C333" s="4"/>
      <c r="D333" s="4"/>
      <c r="E333" s="4"/>
      <c r="F333" s="4"/>
      <c r="G333" s="4"/>
      <c r="H333" s="4"/>
      <c r="I333" s="4"/>
      <c r="J333" s="4"/>
      <c r="K333" s="4"/>
      <c r="L333" s="4"/>
      <c r="M333" s="4"/>
      <c r="N333" s="4"/>
      <c r="O333" s="4"/>
      <c r="P333" s="4"/>
      <c r="Q333" s="4"/>
      <c r="R333" s="4"/>
      <c r="S333" s="4"/>
      <c r="T333" s="4"/>
      <c r="U333" s="4"/>
      <c r="V333" s="4"/>
      <c r="W333" s="4"/>
      <c r="X333" s="4"/>
    </row>
    <row r="334" spans="1:24" ht="15.75" thickBot="1">
      <c r="A334" s="3"/>
      <c r="B334" s="4"/>
      <c r="C334" s="4"/>
      <c r="D334" s="4"/>
      <c r="E334" s="4"/>
      <c r="F334" s="4"/>
      <c r="G334" s="4"/>
      <c r="H334" s="4"/>
      <c r="I334" s="4"/>
      <c r="J334" s="4"/>
      <c r="K334" s="4"/>
      <c r="L334" s="4"/>
      <c r="M334" s="4"/>
      <c r="N334" s="4"/>
      <c r="O334" s="4"/>
      <c r="P334" s="4"/>
      <c r="Q334" s="4"/>
      <c r="R334" s="4"/>
      <c r="S334" s="4"/>
      <c r="T334" s="4"/>
      <c r="U334" s="4"/>
      <c r="V334" s="4"/>
      <c r="W334" s="4"/>
      <c r="X334" s="4"/>
    </row>
    <row r="335" spans="1:24" ht="15.75" thickBot="1">
      <c r="A335" s="3"/>
      <c r="B335" s="4"/>
      <c r="C335" s="4"/>
      <c r="D335" s="4"/>
      <c r="E335" s="4"/>
      <c r="F335" s="4"/>
      <c r="G335" s="4"/>
      <c r="H335" s="4"/>
      <c r="I335" s="4"/>
      <c r="J335" s="4"/>
      <c r="K335" s="4"/>
      <c r="L335" s="4"/>
      <c r="M335" s="4"/>
      <c r="N335" s="4"/>
      <c r="O335" s="4"/>
      <c r="P335" s="4"/>
      <c r="Q335" s="4"/>
      <c r="R335" s="4"/>
      <c r="S335" s="4"/>
      <c r="T335" s="4"/>
      <c r="U335" s="4"/>
      <c r="V335" s="4"/>
      <c r="W335" s="4"/>
      <c r="X335" s="4"/>
    </row>
    <row r="336" spans="1:24" ht="15.75" thickBot="1">
      <c r="A336" s="3"/>
      <c r="B336" s="4"/>
      <c r="C336" s="4"/>
      <c r="D336" s="4"/>
      <c r="E336" s="4"/>
      <c r="F336" s="4"/>
      <c r="G336" s="4"/>
      <c r="H336" s="4"/>
      <c r="I336" s="4"/>
      <c r="J336" s="4"/>
      <c r="K336" s="4"/>
      <c r="L336" s="4"/>
      <c r="M336" s="4"/>
      <c r="N336" s="4"/>
      <c r="O336" s="4"/>
      <c r="P336" s="4"/>
      <c r="Q336" s="4"/>
      <c r="R336" s="4"/>
      <c r="S336" s="4"/>
      <c r="T336" s="4"/>
      <c r="U336" s="4"/>
      <c r="V336" s="4"/>
      <c r="W336" s="4"/>
      <c r="X336" s="4"/>
    </row>
    <row r="337" spans="1:24" ht="15.75" thickBot="1">
      <c r="A337" s="3"/>
      <c r="B337" s="4"/>
      <c r="C337" s="4"/>
      <c r="D337" s="4"/>
      <c r="E337" s="4"/>
      <c r="F337" s="4"/>
      <c r="G337" s="4"/>
      <c r="H337" s="4"/>
      <c r="I337" s="4"/>
      <c r="J337" s="4"/>
      <c r="K337" s="4"/>
      <c r="L337" s="4"/>
      <c r="M337" s="4"/>
      <c r="N337" s="4"/>
      <c r="O337" s="4"/>
      <c r="P337" s="4"/>
      <c r="Q337" s="4"/>
      <c r="R337" s="4"/>
      <c r="S337" s="4"/>
      <c r="T337" s="4"/>
      <c r="U337" s="4"/>
      <c r="V337" s="4"/>
      <c r="W337" s="4"/>
      <c r="X337" s="4"/>
    </row>
    <row r="338" spans="1:24" ht="15.75" thickBot="1">
      <c r="A338" s="3"/>
      <c r="B338" s="4"/>
      <c r="C338" s="4"/>
      <c r="D338" s="4"/>
      <c r="E338" s="4"/>
      <c r="F338" s="4"/>
      <c r="G338" s="4"/>
      <c r="H338" s="4"/>
      <c r="I338" s="4"/>
      <c r="J338" s="4"/>
      <c r="K338" s="4"/>
      <c r="L338" s="4"/>
      <c r="M338" s="4"/>
      <c r="N338" s="4"/>
      <c r="O338" s="4"/>
      <c r="P338" s="4"/>
      <c r="Q338" s="4"/>
      <c r="R338" s="4"/>
      <c r="S338" s="4"/>
      <c r="T338" s="4"/>
      <c r="U338" s="4"/>
      <c r="V338" s="4"/>
      <c r="W338" s="4"/>
      <c r="X338" s="4"/>
    </row>
    <row r="339" spans="1:24" ht="15.75" thickBot="1">
      <c r="A339" s="3"/>
      <c r="B339" s="4"/>
      <c r="C339" s="4"/>
      <c r="D339" s="4"/>
      <c r="E339" s="4"/>
      <c r="F339" s="4"/>
      <c r="G339" s="4"/>
      <c r="H339" s="4"/>
      <c r="I339" s="4"/>
      <c r="J339" s="4"/>
      <c r="K339" s="4"/>
      <c r="L339" s="4"/>
      <c r="M339" s="4"/>
      <c r="N339" s="4"/>
      <c r="O339" s="4"/>
      <c r="P339" s="4"/>
      <c r="Q339" s="4"/>
      <c r="R339" s="4"/>
      <c r="S339" s="4"/>
      <c r="T339" s="4"/>
      <c r="U339" s="4"/>
      <c r="V339" s="4"/>
      <c r="W339" s="4"/>
      <c r="X339" s="4"/>
    </row>
    <row r="340" spans="1:24" ht="15.75" thickBot="1">
      <c r="A340" s="3"/>
      <c r="B340" s="4"/>
      <c r="C340" s="4"/>
      <c r="D340" s="4"/>
      <c r="E340" s="4"/>
      <c r="F340" s="4"/>
      <c r="G340" s="4"/>
      <c r="H340" s="4"/>
      <c r="I340" s="4"/>
      <c r="J340" s="4"/>
      <c r="K340" s="4"/>
      <c r="L340" s="4"/>
      <c r="M340" s="4"/>
      <c r="N340" s="4"/>
      <c r="O340" s="4"/>
      <c r="P340" s="4"/>
      <c r="Q340" s="4"/>
      <c r="R340" s="4"/>
      <c r="S340" s="4"/>
      <c r="T340" s="4"/>
      <c r="U340" s="4"/>
      <c r="V340" s="4"/>
      <c r="W340" s="4"/>
      <c r="X340" s="4"/>
    </row>
    <row r="341" spans="1:24" ht="15.75" thickBot="1">
      <c r="A341" s="3"/>
      <c r="B341" s="4"/>
      <c r="C341" s="4"/>
      <c r="D341" s="4"/>
      <c r="E341" s="4"/>
      <c r="F341" s="4"/>
      <c r="G341" s="4"/>
      <c r="H341" s="4"/>
      <c r="I341" s="4"/>
      <c r="J341" s="4"/>
      <c r="K341" s="4"/>
      <c r="L341" s="4"/>
      <c r="M341" s="4"/>
      <c r="N341" s="4"/>
      <c r="O341" s="4"/>
      <c r="P341" s="4"/>
      <c r="Q341" s="4"/>
      <c r="R341" s="4"/>
      <c r="S341" s="4"/>
      <c r="T341" s="4"/>
      <c r="U341" s="4"/>
      <c r="V341" s="4"/>
      <c r="W341" s="4"/>
      <c r="X341" s="4"/>
    </row>
    <row r="342" spans="1:24" ht="15.75" thickBot="1">
      <c r="A342" s="3"/>
      <c r="B342" s="4"/>
      <c r="C342" s="4"/>
      <c r="D342" s="4"/>
      <c r="E342" s="4"/>
      <c r="F342" s="4"/>
      <c r="G342" s="4"/>
      <c r="H342" s="4"/>
      <c r="I342" s="4"/>
      <c r="J342" s="4"/>
      <c r="K342" s="4"/>
      <c r="L342" s="4"/>
      <c r="M342" s="4"/>
      <c r="N342" s="4"/>
      <c r="O342" s="4"/>
      <c r="P342" s="4"/>
      <c r="Q342" s="4"/>
      <c r="R342" s="4"/>
      <c r="S342" s="4"/>
      <c r="T342" s="4"/>
      <c r="U342" s="4"/>
      <c r="V342" s="4"/>
      <c r="W342" s="4"/>
      <c r="X342" s="4"/>
    </row>
    <row r="343" spans="1:24" ht="15.75" thickBot="1">
      <c r="A343" s="3"/>
      <c r="B343" s="4"/>
      <c r="C343" s="4"/>
      <c r="D343" s="4"/>
      <c r="E343" s="4"/>
      <c r="F343" s="4"/>
      <c r="G343" s="4"/>
      <c r="H343" s="4"/>
      <c r="I343" s="4"/>
      <c r="J343" s="4"/>
      <c r="K343" s="4"/>
      <c r="L343" s="4"/>
      <c r="M343" s="4"/>
      <c r="N343" s="4"/>
      <c r="O343" s="4"/>
      <c r="P343" s="4"/>
      <c r="Q343" s="4"/>
      <c r="R343" s="4"/>
      <c r="S343" s="4"/>
      <c r="T343" s="4"/>
      <c r="U343" s="4"/>
      <c r="V343" s="4"/>
      <c r="W343" s="4"/>
      <c r="X343" s="4"/>
    </row>
    <row r="344" spans="1:24" ht="15.75" thickBot="1">
      <c r="A344" s="3"/>
      <c r="B344" s="4"/>
      <c r="C344" s="4"/>
      <c r="D344" s="4"/>
      <c r="E344" s="4"/>
      <c r="F344" s="4"/>
      <c r="G344" s="4"/>
      <c r="H344" s="4"/>
      <c r="I344" s="4"/>
      <c r="J344" s="4"/>
      <c r="K344" s="4"/>
      <c r="L344" s="4"/>
      <c r="M344" s="4"/>
      <c r="N344" s="4"/>
      <c r="O344" s="4"/>
      <c r="P344" s="4"/>
      <c r="Q344" s="4"/>
      <c r="R344" s="4"/>
      <c r="S344" s="4"/>
      <c r="T344" s="4"/>
      <c r="U344" s="4"/>
      <c r="V344" s="4"/>
      <c r="W344" s="4"/>
      <c r="X344" s="4"/>
    </row>
    <row r="345" spans="1:24" ht="15.75" thickBot="1">
      <c r="A345" s="3"/>
      <c r="B345" s="4"/>
      <c r="C345" s="4"/>
      <c r="D345" s="4"/>
      <c r="E345" s="4"/>
      <c r="F345" s="4"/>
      <c r="G345" s="4"/>
      <c r="H345" s="4"/>
      <c r="I345" s="4"/>
      <c r="J345" s="4"/>
      <c r="K345" s="4"/>
      <c r="L345" s="4"/>
      <c r="M345" s="4"/>
      <c r="N345" s="4"/>
      <c r="O345" s="4"/>
      <c r="P345" s="4"/>
      <c r="Q345" s="4"/>
      <c r="R345" s="4"/>
      <c r="S345" s="4"/>
      <c r="T345" s="4"/>
      <c r="U345" s="4"/>
      <c r="V345" s="4"/>
      <c r="W345" s="4"/>
      <c r="X345" s="4"/>
    </row>
    <row r="346" spans="1:24" ht="15.75" thickBot="1">
      <c r="A346" s="3"/>
      <c r="B346" s="4"/>
      <c r="C346" s="4"/>
      <c r="D346" s="4"/>
      <c r="E346" s="4"/>
      <c r="F346" s="4"/>
      <c r="G346" s="4"/>
      <c r="H346" s="4"/>
      <c r="I346" s="4"/>
      <c r="J346" s="4"/>
      <c r="K346" s="4"/>
      <c r="L346" s="4"/>
      <c r="M346" s="4"/>
      <c r="N346" s="4"/>
      <c r="O346" s="4"/>
      <c r="P346" s="4"/>
      <c r="Q346" s="4"/>
      <c r="R346" s="4"/>
      <c r="S346" s="4"/>
      <c r="T346" s="4"/>
      <c r="U346" s="4"/>
      <c r="V346" s="4"/>
      <c r="W346" s="4"/>
      <c r="X346" s="4"/>
    </row>
    <row r="347" spans="1:24" ht="15.75" thickBot="1">
      <c r="A347" s="3"/>
      <c r="B347" s="4"/>
      <c r="C347" s="4"/>
      <c r="D347" s="4"/>
      <c r="E347" s="4"/>
      <c r="F347" s="4"/>
      <c r="G347" s="4"/>
      <c r="H347" s="4"/>
      <c r="I347" s="4"/>
      <c r="J347" s="4"/>
      <c r="K347" s="4"/>
      <c r="L347" s="4"/>
      <c r="M347" s="4"/>
      <c r="N347" s="4"/>
      <c r="O347" s="4"/>
      <c r="P347" s="4"/>
      <c r="Q347" s="4"/>
      <c r="R347" s="4"/>
      <c r="S347" s="4"/>
      <c r="T347" s="4"/>
      <c r="U347" s="4"/>
      <c r="V347" s="4"/>
      <c r="W347" s="4"/>
      <c r="X347" s="4"/>
    </row>
    <row r="348" spans="1:24" ht="15.75" thickBot="1">
      <c r="A348" s="3"/>
      <c r="B348" s="4"/>
      <c r="C348" s="4"/>
      <c r="D348" s="4"/>
      <c r="E348" s="4"/>
      <c r="F348" s="4"/>
      <c r="G348" s="4"/>
      <c r="H348" s="4"/>
      <c r="I348" s="4"/>
      <c r="J348" s="4"/>
      <c r="K348" s="4"/>
      <c r="L348" s="4"/>
      <c r="M348" s="4"/>
      <c r="N348" s="4"/>
      <c r="O348" s="4"/>
      <c r="P348" s="4"/>
      <c r="Q348" s="4"/>
      <c r="R348" s="4"/>
      <c r="S348" s="4"/>
      <c r="T348" s="4"/>
      <c r="U348" s="4"/>
      <c r="V348" s="4"/>
      <c r="W348" s="4"/>
      <c r="X348" s="4"/>
    </row>
    <row r="349" spans="1:24" ht="15.75" thickBot="1">
      <c r="A349" s="3"/>
      <c r="B349" s="4"/>
      <c r="C349" s="4"/>
      <c r="D349" s="4"/>
      <c r="E349" s="4"/>
      <c r="F349" s="4"/>
      <c r="G349" s="4"/>
      <c r="H349" s="4"/>
      <c r="I349" s="4"/>
      <c r="J349" s="4"/>
      <c r="K349" s="4"/>
      <c r="L349" s="4"/>
      <c r="M349" s="4"/>
      <c r="N349" s="4"/>
      <c r="O349" s="4"/>
      <c r="P349" s="4"/>
      <c r="Q349" s="4"/>
      <c r="R349" s="4"/>
      <c r="S349" s="4"/>
      <c r="T349" s="4"/>
      <c r="U349" s="4"/>
      <c r="V349" s="4"/>
      <c r="W349" s="4"/>
      <c r="X349" s="4"/>
    </row>
    <row r="350" spans="1:24" ht="15.75" thickBot="1">
      <c r="A350" s="3"/>
      <c r="B350" s="4"/>
      <c r="C350" s="4"/>
      <c r="D350" s="4"/>
      <c r="E350" s="4"/>
      <c r="F350" s="4"/>
      <c r="G350" s="4"/>
      <c r="H350" s="4"/>
      <c r="I350" s="4"/>
      <c r="J350" s="4"/>
      <c r="K350" s="4"/>
      <c r="L350" s="4"/>
      <c r="M350" s="4"/>
      <c r="N350" s="4"/>
      <c r="O350" s="4"/>
      <c r="P350" s="4"/>
      <c r="Q350" s="4"/>
      <c r="R350" s="4"/>
      <c r="S350" s="4"/>
      <c r="T350" s="4"/>
      <c r="U350" s="4"/>
      <c r="V350" s="4"/>
      <c r="W350" s="4"/>
      <c r="X350" s="4"/>
    </row>
    <row r="351" spans="1:24" ht="15.75" thickBot="1">
      <c r="A351" s="3"/>
      <c r="B351" s="4"/>
      <c r="C351" s="4"/>
      <c r="D351" s="4"/>
      <c r="E351" s="4"/>
      <c r="F351" s="4"/>
      <c r="G351" s="4"/>
      <c r="H351" s="4"/>
      <c r="I351" s="4"/>
      <c r="J351" s="4"/>
      <c r="K351" s="4"/>
      <c r="L351" s="4"/>
      <c r="M351" s="4"/>
      <c r="N351" s="4"/>
      <c r="O351" s="4"/>
      <c r="P351" s="4"/>
      <c r="Q351" s="4"/>
      <c r="R351" s="4"/>
      <c r="S351" s="4"/>
      <c r="T351" s="4"/>
      <c r="U351" s="4"/>
      <c r="V351" s="4"/>
      <c r="W351" s="4"/>
      <c r="X351" s="4"/>
    </row>
    <row r="352" spans="1:24" ht="15.75" thickBot="1">
      <c r="A352" s="3"/>
      <c r="B352" s="4"/>
      <c r="C352" s="4"/>
      <c r="D352" s="4"/>
      <c r="E352" s="4"/>
      <c r="F352" s="4"/>
      <c r="G352" s="4"/>
      <c r="H352" s="4"/>
      <c r="I352" s="4"/>
      <c r="J352" s="4"/>
      <c r="K352" s="4"/>
      <c r="L352" s="4"/>
      <c r="M352" s="4"/>
      <c r="N352" s="4"/>
      <c r="O352" s="4"/>
      <c r="P352" s="4"/>
      <c r="Q352" s="4"/>
      <c r="R352" s="4"/>
      <c r="S352" s="4"/>
      <c r="T352" s="4"/>
      <c r="U352" s="4"/>
      <c r="V352" s="4"/>
      <c r="W352" s="4"/>
      <c r="X352" s="4"/>
    </row>
    <row r="353" spans="1:24" ht="15.75" thickBot="1">
      <c r="A353" s="3"/>
      <c r="B353" s="4"/>
      <c r="C353" s="4"/>
      <c r="D353" s="4"/>
      <c r="E353" s="4"/>
      <c r="F353" s="4"/>
      <c r="G353" s="4"/>
      <c r="H353" s="4"/>
      <c r="I353" s="4"/>
      <c r="J353" s="4"/>
      <c r="K353" s="4"/>
      <c r="L353" s="4"/>
      <c r="M353" s="4"/>
      <c r="N353" s="4"/>
      <c r="O353" s="4"/>
      <c r="P353" s="4"/>
      <c r="Q353" s="4"/>
      <c r="R353" s="4"/>
      <c r="S353" s="4"/>
      <c r="T353" s="4"/>
      <c r="U353" s="4"/>
      <c r="V353" s="4"/>
      <c r="W353" s="4"/>
      <c r="X353" s="4"/>
    </row>
    <row r="354" spans="1:24" ht="15.75" thickBot="1">
      <c r="A354" s="3"/>
      <c r="B354" s="4"/>
      <c r="C354" s="4"/>
      <c r="D354" s="4"/>
      <c r="E354" s="4"/>
      <c r="F354" s="4"/>
      <c r="G354" s="4"/>
      <c r="H354" s="4"/>
      <c r="I354" s="4"/>
      <c r="J354" s="4"/>
      <c r="K354" s="4"/>
      <c r="L354" s="4"/>
      <c r="M354" s="4"/>
      <c r="N354" s="4"/>
      <c r="O354" s="4"/>
      <c r="P354" s="4"/>
      <c r="Q354" s="4"/>
      <c r="R354" s="4"/>
      <c r="S354" s="4"/>
      <c r="T354" s="4"/>
      <c r="U354" s="4"/>
      <c r="V354" s="4"/>
      <c r="W354" s="4"/>
      <c r="X354" s="4"/>
    </row>
    <row r="355" spans="1:24" ht="15.75" thickBot="1">
      <c r="A355" s="3"/>
      <c r="B355" s="4"/>
      <c r="C355" s="4"/>
      <c r="D355" s="4"/>
      <c r="E355" s="4"/>
      <c r="F355" s="4"/>
      <c r="G355" s="4"/>
      <c r="H355" s="4"/>
      <c r="I355" s="4"/>
      <c r="J355" s="4"/>
      <c r="K355" s="4"/>
      <c r="L355" s="4"/>
      <c r="M355" s="4"/>
      <c r="N355" s="4"/>
      <c r="O355" s="4"/>
      <c r="P355" s="4"/>
      <c r="Q355" s="4"/>
      <c r="R355" s="4"/>
      <c r="S355" s="4"/>
      <c r="T355" s="4"/>
      <c r="U355" s="4"/>
      <c r="V355" s="4"/>
      <c r="W355" s="4"/>
      <c r="X355" s="4"/>
    </row>
    <row r="356" spans="1:24" ht="15.75" thickBot="1">
      <c r="A356" s="3"/>
      <c r="B356" s="4"/>
      <c r="C356" s="4"/>
      <c r="D356" s="4"/>
      <c r="E356" s="4"/>
      <c r="F356" s="4"/>
      <c r="G356" s="4"/>
      <c r="H356" s="4"/>
      <c r="I356" s="4"/>
      <c r="J356" s="4"/>
      <c r="K356" s="4"/>
      <c r="L356" s="4"/>
      <c r="M356" s="4"/>
      <c r="N356" s="4"/>
      <c r="O356" s="4"/>
      <c r="P356" s="4"/>
      <c r="Q356" s="4"/>
      <c r="R356" s="4"/>
      <c r="S356" s="4"/>
      <c r="T356" s="4"/>
      <c r="U356" s="4"/>
      <c r="V356" s="4"/>
      <c r="W356" s="4"/>
      <c r="X356" s="4"/>
    </row>
    <row r="357" spans="1:24" ht="15.75" thickBot="1">
      <c r="A357" s="3"/>
      <c r="B357" s="4"/>
      <c r="C357" s="4"/>
      <c r="D357" s="4"/>
      <c r="E357" s="4"/>
      <c r="F357" s="4"/>
      <c r="G357" s="4"/>
      <c r="H357" s="4"/>
      <c r="I357" s="4"/>
      <c r="J357" s="4"/>
      <c r="K357" s="4"/>
      <c r="L357" s="4"/>
      <c r="M357" s="4"/>
      <c r="N357" s="4"/>
      <c r="O357" s="4"/>
      <c r="P357" s="4"/>
      <c r="Q357" s="4"/>
      <c r="R357" s="4"/>
      <c r="S357" s="4"/>
      <c r="T357" s="4"/>
      <c r="U357" s="4"/>
      <c r="V357" s="4"/>
      <c r="W357" s="4"/>
      <c r="X357" s="4"/>
    </row>
    <row r="358" spans="1:24" ht="15.75" thickBot="1">
      <c r="A358" s="3"/>
      <c r="B358" s="4"/>
      <c r="C358" s="4"/>
      <c r="D358" s="4"/>
      <c r="E358" s="4"/>
      <c r="F358" s="4"/>
      <c r="G358" s="4"/>
      <c r="H358" s="4"/>
      <c r="I358" s="4"/>
      <c r="J358" s="4"/>
      <c r="K358" s="4"/>
      <c r="L358" s="4"/>
      <c r="M358" s="4"/>
      <c r="N358" s="4"/>
      <c r="O358" s="4"/>
      <c r="P358" s="4"/>
      <c r="Q358" s="4"/>
      <c r="R358" s="4"/>
      <c r="S358" s="4"/>
      <c r="T358" s="4"/>
      <c r="U358" s="4"/>
      <c r="V358" s="4"/>
      <c r="W358" s="4"/>
      <c r="X358" s="4"/>
    </row>
    <row r="359" spans="1:24" ht="15.75" thickBot="1">
      <c r="A359" s="3"/>
      <c r="B359" s="4"/>
      <c r="C359" s="4"/>
      <c r="D359" s="4"/>
      <c r="E359" s="4"/>
      <c r="F359" s="4"/>
      <c r="G359" s="4"/>
      <c r="H359" s="4"/>
      <c r="I359" s="4"/>
      <c r="J359" s="4"/>
      <c r="K359" s="4"/>
      <c r="L359" s="4"/>
      <c r="M359" s="4"/>
      <c r="N359" s="4"/>
      <c r="O359" s="4"/>
      <c r="P359" s="4"/>
      <c r="Q359" s="4"/>
      <c r="R359" s="4"/>
      <c r="S359" s="4"/>
      <c r="T359" s="4"/>
      <c r="U359" s="4"/>
      <c r="V359" s="4"/>
      <c r="W359" s="4"/>
      <c r="X359" s="4"/>
    </row>
    <row r="360" spans="1:24" ht="15.75" thickBot="1">
      <c r="A360" s="3"/>
      <c r="B360" s="4"/>
      <c r="C360" s="4"/>
      <c r="D360" s="4"/>
      <c r="E360" s="4"/>
      <c r="F360" s="4"/>
      <c r="G360" s="4"/>
      <c r="H360" s="4"/>
      <c r="I360" s="4"/>
      <c r="J360" s="4"/>
      <c r="K360" s="4"/>
      <c r="L360" s="4"/>
      <c r="M360" s="4"/>
      <c r="N360" s="4"/>
      <c r="O360" s="4"/>
      <c r="P360" s="4"/>
      <c r="Q360" s="4"/>
      <c r="R360" s="4"/>
      <c r="S360" s="4"/>
      <c r="T360" s="4"/>
      <c r="U360" s="4"/>
      <c r="V360" s="4"/>
      <c r="W360" s="4"/>
      <c r="X360" s="4"/>
    </row>
    <row r="361" spans="1:24" ht="15.75" thickBot="1">
      <c r="A361" s="3"/>
      <c r="B361" s="4"/>
      <c r="C361" s="4"/>
      <c r="D361" s="4"/>
      <c r="E361" s="4"/>
      <c r="F361" s="4"/>
      <c r="G361" s="4"/>
      <c r="H361" s="4"/>
      <c r="I361" s="4"/>
      <c r="J361" s="4"/>
      <c r="K361" s="4"/>
      <c r="L361" s="4"/>
      <c r="M361" s="4"/>
      <c r="N361" s="4"/>
      <c r="O361" s="4"/>
      <c r="P361" s="4"/>
      <c r="Q361" s="4"/>
      <c r="R361" s="4"/>
      <c r="S361" s="4"/>
      <c r="T361" s="4"/>
      <c r="U361" s="4"/>
      <c r="V361" s="4"/>
      <c r="W361" s="4"/>
      <c r="X361" s="4"/>
    </row>
    <row r="362" spans="1:24" ht="15.75" thickBot="1">
      <c r="A362" s="3"/>
      <c r="B362" s="4"/>
      <c r="C362" s="4"/>
      <c r="D362" s="4"/>
      <c r="E362" s="4"/>
      <c r="F362" s="4"/>
      <c r="G362" s="4"/>
      <c r="H362" s="4"/>
      <c r="I362" s="4"/>
      <c r="J362" s="4"/>
      <c r="K362" s="4"/>
      <c r="L362" s="4"/>
      <c r="M362" s="4"/>
      <c r="N362" s="4"/>
      <c r="O362" s="4"/>
      <c r="P362" s="4"/>
      <c r="Q362" s="4"/>
      <c r="R362" s="4"/>
      <c r="S362" s="4"/>
      <c r="T362" s="4"/>
      <c r="U362" s="4"/>
      <c r="V362" s="4"/>
      <c r="W362" s="4"/>
      <c r="X362" s="4"/>
    </row>
    <row r="363" spans="1:24" ht="15.75" thickBot="1">
      <c r="A363" s="3"/>
      <c r="B363" s="4"/>
      <c r="C363" s="4"/>
      <c r="D363" s="4"/>
      <c r="E363" s="4"/>
      <c r="F363" s="4"/>
      <c r="G363" s="4"/>
      <c r="H363" s="4"/>
      <c r="I363" s="4"/>
      <c r="J363" s="4"/>
      <c r="K363" s="4"/>
      <c r="L363" s="4"/>
      <c r="M363" s="4"/>
      <c r="N363" s="4"/>
      <c r="O363" s="4"/>
      <c r="P363" s="4"/>
      <c r="Q363" s="4"/>
      <c r="R363" s="4"/>
      <c r="S363" s="4"/>
      <c r="T363" s="4"/>
      <c r="U363" s="4"/>
      <c r="V363" s="4"/>
      <c r="W363" s="4"/>
      <c r="X363" s="4"/>
    </row>
    <row r="364" spans="1:24" ht="15.75" thickBot="1">
      <c r="A364" s="3"/>
      <c r="B364" s="4"/>
      <c r="C364" s="4"/>
      <c r="D364" s="4"/>
      <c r="E364" s="4"/>
      <c r="F364" s="4"/>
      <c r="G364" s="4"/>
      <c r="H364" s="4"/>
      <c r="I364" s="4"/>
      <c r="J364" s="4"/>
      <c r="K364" s="4"/>
      <c r="L364" s="4"/>
      <c r="M364" s="4"/>
      <c r="N364" s="4"/>
      <c r="O364" s="4"/>
      <c r="P364" s="4"/>
      <c r="Q364" s="4"/>
      <c r="R364" s="4"/>
      <c r="S364" s="4"/>
      <c r="T364" s="4"/>
      <c r="U364" s="4"/>
      <c r="V364" s="4"/>
      <c r="W364" s="4"/>
      <c r="X364" s="4"/>
    </row>
    <row r="365" spans="1:24" ht="15.75" thickBot="1">
      <c r="A365" s="3"/>
      <c r="B365" s="4"/>
      <c r="C365" s="4"/>
      <c r="D365" s="4"/>
      <c r="E365" s="4"/>
      <c r="F365" s="4"/>
      <c r="G365" s="4"/>
      <c r="H365" s="4"/>
      <c r="I365" s="4"/>
      <c r="J365" s="4"/>
      <c r="K365" s="4"/>
      <c r="L365" s="4"/>
      <c r="M365" s="4"/>
      <c r="N365" s="4"/>
      <c r="O365" s="4"/>
      <c r="P365" s="4"/>
      <c r="Q365" s="4"/>
      <c r="R365" s="4"/>
      <c r="S365" s="4"/>
      <c r="T365" s="4"/>
      <c r="U365" s="4"/>
      <c r="V365" s="4"/>
      <c r="W365" s="4"/>
      <c r="X365" s="4"/>
    </row>
    <row r="366" spans="1:24" ht="15.75" thickBot="1">
      <c r="A366" s="3"/>
      <c r="B366" s="4"/>
      <c r="C366" s="4"/>
      <c r="D366" s="4"/>
      <c r="E366" s="4"/>
      <c r="F366" s="4"/>
      <c r="G366" s="4"/>
      <c r="H366" s="4"/>
      <c r="I366" s="4"/>
      <c r="J366" s="4"/>
      <c r="K366" s="4"/>
      <c r="L366" s="4"/>
      <c r="M366" s="4"/>
      <c r="N366" s="4"/>
      <c r="O366" s="4"/>
      <c r="P366" s="4"/>
      <c r="Q366" s="4"/>
      <c r="R366" s="4"/>
      <c r="S366" s="4"/>
      <c r="T366" s="4"/>
      <c r="U366" s="4"/>
      <c r="V366" s="4"/>
      <c r="W366" s="4"/>
      <c r="X366" s="4"/>
    </row>
    <row r="367" spans="1:24" ht="15.75" thickBot="1">
      <c r="A367" s="3"/>
      <c r="B367" s="4"/>
      <c r="C367" s="4"/>
      <c r="D367" s="4"/>
      <c r="E367" s="4"/>
      <c r="F367" s="4"/>
      <c r="G367" s="4"/>
      <c r="H367" s="4"/>
      <c r="I367" s="4"/>
      <c r="J367" s="4"/>
      <c r="K367" s="4"/>
      <c r="L367" s="4"/>
      <c r="M367" s="4"/>
      <c r="N367" s="4"/>
      <c r="O367" s="4"/>
      <c r="P367" s="4"/>
      <c r="Q367" s="4"/>
      <c r="R367" s="4"/>
      <c r="S367" s="4"/>
      <c r="T367" s="4"/>
      <c r="U367" s="4"/>
      <c r="V367" s="4"/>
      <c r="W367" s="4"/>
      <c r="X367" s="4"/>
    </row>
    <row r="368" spans="1:24" ht="15.75" thickBot="1">
      <c r="A368" s="3"/>
      <c r="B368" s="4"/>
      <c r="C368" s="4"/>
      <c r="D368" s="4"/>
      <c r="E368" s="4"/>
      <c r="F368" s="4"/>
      <c r="G368" s="4"/>
      <c r="H368" s="4"/>
      <c r="I368" s="4"/>
      <c r="J368" s="4"/>
      <c r="K368" s="4"/>
      <c r="L368" s="4"/>
      <c r="M368" s="4"/>
      <c r="N368" s="4"/>
      <c r="O368" s="4"/>
      <c r="P368" s="4"/>
      <c r="Q368" s="4"/>
      <c r="R368" s="4"/>
      <c r="S368" s="4"/>
      <c r="T368" s="4"/>
      <c r="U368" s="4"/>
      <c r="V368" s="4"/>
      <c r="W368" s="4"/>
      <c r="X368" s="4"/>
    </row>
    <row r="369" spans="1:24" ht="15.75" thickBot="1">
      <c r="A369" s="3"/>
      <c r="B369" s="4"/>
      <c r="C369" s="4"/>
      <c r="D369" s="4"/>
      <c r="E369" s="4"/>
      <c r="F369" s="4"/>
      <c r="G369" s="4"/>
      <c r="H369" s="4"/>
      <c r="I369" s="4"/>
      <c r="J369" s="4"/>
      <c r="K369" s="4"/>
      <c r="L369" s="4"/>
      <c r="M369" s="4"/>
      <c r="N369" s="4"/>
      <c r="O369" s="4"/>
      <c r="P369" s="4"/>
      <c r="Q369" s="4"/>
      <c r="R369" s="4"/>
      <c r="S369" s="4"/>
      <c r="T369" s="4"/>
      <c r="U369" s="4"/>
      <c r="V369" s="4"/>
      <c r="W369" s="4"/>
      <c r="X369" s="4"/>
    </row>
    <row r="370" spans="1:24" ht="15.75" thickBot="1">
      <c r="A370" s="3"/>
      <c r="B370" s="4"/>
      <c r="C370" s="4"/>
      <c r="D370" s="4"/>
      <c r="E370" s="4"/>
      <c r="F370" s="4"/>
      <c r="G370" s="4"/>
      <c r="H370" s="4"/>
      <c r="I370" s="4"/>
      <c r="J370" s="4"/>
      <c r="K370" s="4"/>
      <c r="L370" s="4"/>
      <c r="M370" s="4"/>
      <c r="N370" s="4"/>
      <c r="O370" s="4"/>
      <c r="P370" s="4"/>
      <c r="Q370" s="4"/>
      <c r="R370" s="4"/>
      <c r="S370" s="4"/>
      <c r="T370" s="4"/>
      <c r="U370" s="4"/>
      <c r="V370" s="4"/>
      <c r="W370" s="4"/>
      <c r="X370" s="4"/>
    </row>
    <row r="371" spans="1:24" ht="15.75" thickBot="1">
      <c r="A371" s="3"/>
      <c r="B371" s="4"/>
      <c r="C371" s="4"/>
      <c r="D371" s="4"/>
      <c r="E371" s="4"/>
      <c r="F371" s="4"/>
      <c r="G371" s="4"/>
      <c r="H371" s="4"/>
      <c r="I371" s="4"/>
      <c r="J371" s="4"/>
      <c r="K371" s="4"/>
      <c r="L371" s="4"/>
      <c r="M371" s="4"/>
      <c r="N371" s="4"/>
      <c r="O371" s="4"/>
      <c r="P371" s="4"/>
      <c r="Q371" s="4"/>
      <c r="R371" s="4"/>
      <c r="S371" s="4"/>
      <c r="T371" s="4"/>
      <c r="U371" s="4"/>
      <c r="V371" s="4"/>
      <c r="W371" s="4"/>
      <c r="X371" s="4"/>
    </row>
    <row r="372" spans="1:24" ht="15.75" thickBot="1">
      <c r="A372" s="3"/>
      <c r="B372" s="4"/>
      <c r="C372" s="4"/>
      <c r="D372" s="4"/>
      <c r="E372" s="4"/>
      <c r="F372" s="4"/>
      <c r="G372" s="4"/>
      <c r="H372" s="4"/>
      <c r="I372" s="4"/>
      <c r="J372" s="4"/>
      <c r="K372" s="4"/>
      <c r="L372" s="4"/>
      <c r="M372" s="4"/>
      <c r="N372" s="4"/>
      <c r="O372" s="4"/>
      <c r="P372" s="4"/>
      <c r="Q372" s="4"/>
      <c r="R372" s="4"/>
      <c r="S372" s="4"/>
      <c r="T372" s="4"/>
      <c r="U372" s="4"/>
      <c r="V372" s="4"/>
      <c r="W372" s="4"/>
      <c r="X372" s="4"/>
    </row>
    <row r="373" spans="1:24" ht="15.75" thickBot="1">
      <c r="A373" s="3"/>
      <c r="B373" s="4"/>
      <c r="C373" s="4"/>
      <c r="D373" s="4"/>
      <c r="E373" s="4"/>
      <c r="F373" s="4"/>
      <c r="G373" s="4"/>
      <c r="H373" s="4"/>
      <c r="I373" s="4"/>
      <c r="J373" s="4"/>
      <c r="K373" s="4"/>
      <c r="L373" s="4"/>
      <c r="M373" s="4"/>
      <c r="N373" s="4"/>
      <c r="O373" s="4"/>
      <c r="P373" s="4"/>
      <c r="Q373" s="4"/>
      <c r="R373" s="4"/>
      <c r="S373" s="4"/>
      <c r="T373" s="4"/>
      <c r="U373" s="4"/>
      <c r="V373" s="4"/>
      <c r="W373" s="4"/>
      <c r="X373" s="4"/>
    </row>
    <row r="374" spans="1:24" ht="15.75" thickBot="1">
      <c r="A374" s="3"/>
      <c r="B374" s="4"/>
      <c r="C374" s="4"/>
      <c r="D374" s="4"/>
      <c r="E374" s="4"/>
      <c r="F374" s="4"/>
      <c r="G374" s="4"/>
      <c r="H374" s="4"/>
      <c r="I374" s="4"/>
      <c r="J374" s="4"/>
      <c r="K374" s="4"/>
      <c r="L374" s="4"/>
      <c r="M374" s="4"/>
      <c r="N374" s="4"/>
      <c r="O374" s="4"/>
      <c r="P374" s="4"/>
      <c r="Q374" s="4"/>
      <c r="R374" s="4"/>
      <c r="S374" s="4"/>
      <c r="T374" s="4"/>
      <c r="U374" s="4"/>
      <c r="V374" s="4"/>
      <c r="W374" s="4"/>
      <c r="X374" s="4"/>
    </row>
    <row r="375" spans="1:24" ht="15.75" thickBot="1">
      <c r="A375" s="3"/>
      <c r="B375" s="4"/>
      <c r="C375" s="4"/>
      <c r="D375" s="4"/>
      <c r="E375" s="4"/>
      <c r="F375" s="4"/>
      <c r="G375" s="4"/>
      <c r="H375" s="4"/>
      <c r="I375" s="4"/>
      <c r="J375" s="4"/>
      <c r="K375" s="4"/>
      <c r="L375" s="4"/>
      <c r="M375" s="4"/>
      <c r="N375" s="4"/>
      <c r="O375" s="4"/>
      <c r="P375" s="4"/>
      <c r="Q375" s="4"/>
      <c r="R375" s="4"/>
      <c r="S375" s="4"/>
      <c r="T375" s="4"/>
      <c r="U375" s="4"/>
      <c r="V375" s="4"/>
      <c r="W375" s="4"/>
      <c r="X375" s="4"/>
    </row>
    <row r="376" spans="1:24" ht="15.75" thickBot="1">
      <c r="A376" s="3"/>
      <c r="B376" s="4"/>
      <c r="C376" s="4"/>
      <c r="D376" s="4"/>
      <c r="E376" s="4"/>
      <c r="F376" s="4"/>
      <c r="G376" s="4"/>
      <c r="H376" s="4"/>
      <c r="I376" s="4"/>
      <c r="J376" s="4"/>
      <c r="K376" s="4"/>
      <c r="L376" s="4"/>
      <c r="M376" s="4"/>
      <c r="N376" s="4"/>
      <c r="O376" s="4"/>
      <c r="P376" s="4"/>
      <c r="Q376" s="4"/>
      <c r="R376" s="4"/>
      <c r="S376" s="4"/>
      <c r="T376" s="4"/>
      <c r="U376" s="4"/>
      <c r="V376" s="4"/>
      <c r="W376" s="4"/>
      <c r="X376" s="4"/>
    </row>
    <row r="377" spans="1:24" ht="15.75" thickBot="1">
      <c r="A377" s="3"/>
      <c r="B377" s="4"/>
      <c r="C377" s="4"/>
      <c r="D377" s="4"/>
      <c r="E377" s="4"/>
      <c r="F377" s="4"/>
      <c r="G377" s="4"/>
      <c r="H377" s="4"/>
      <c r="I377" s="4"/>
      <c r="J377" s="4"/>
      <c r="K377" s="4"/>
      <c r="L377" s="4"/>
      <c r="M377" s="4"/>
      <c r="N377" s="4"/>
      <c r="O377" s="4"/>
      <c r="P377" s="4"/>
      <c r="Q377" s="4"/>
      <c r="R377" s="4"/>
      <c r="S377" s="4"/>
      <c r="T377" s="4"/>
      <c r="U377" s="4"/>
      <c r="V377" s="4"/>
      <c r="W377" s="4"/>
      <c r="X377" s="4"/>
    </row>
    <row r="378" spans="1:24" ht="15.75" thickBot="1">
      <c r="A378" s="3"/>
      <c r="B378" s="4"/>
      <c r="C378" s="4"/>
      <c r="D378" s="4"/>
      <c r="E378" s="4"/>
      <c r="F378" s="4"/>
      <c r="G378" s="4"/>
      <c r="H378" s="4"/>
      <c r="I378" s="4"/>
      <c r="J378" s="4"/>
      <c r="K378" s="4"/>
      <c r="L378" s="4"/>
      <c r="M378" s="4"/>
      <c r="N378" s="4"/>
      <c r="O378" s="4"/>
      <c r="P378" s="4"/>
      <c r="Q378" s="4"/>
      <c r="R378" s="4"/>
      <c r="S378" s="4"/>
      <c r="T378" s="4"/>
      <c r="U378" s="4"/>
      <c r="V378" s="4"/>
      <c r="W378" s="4"/>
      <c r="X378" s="4"/>
    </row>
    <row r="379" spans="1:24" ht="15.75" thickBot="1">
      <c r="A379" s="3"/>
      <c r="B379" s="4"/>
      <c r="C379" s="4"/>
      <c r="D379" s="4"/>
      <c r="E379" s="4"/>
      <c r="F379" s="4"/>
      <c r="G379" s="4"/>
      <c r="H379" s="4"/>
      <c r="I379" s="4"/>
      <c r="J379" s="4"/>
      <c r="K379" s="4"/>
      <c r="L379" s="4"/>
      <c r="M379" s="4"/>
      <c r="N379" s="4"/>
      <c r="O379" s="4"/>
      <c r="P379" s="4"/>
      <c r="Q379" s="4"/>
      <c r="R379" s="4"/>
      <c r="S379" s="4"/>
      <c r="T379" s="4"/>
      <c r="U379" s="4"/>
      <c r="V379" s="4"/>
      <c r="W379" s="4"/>
      <c r="X379" s="4"/>
    </row>
    <row r="380" spans="1:24" ht="15.75" thickBot="1">
      <c r="A380" s="3"/>
      <c r="B380" s="4"/>
      <c r="C380" s="4"/>
      <c r="D380" s="4"/>
      <c r="E380" s="4"/>
      <c r="F380" s="4"/>
      <c r="G380" s="4"/>
      <c r="H380" s="4"/>
      <c r="I380" s="4"/>
      <c r="J380" s="4"/>
      <c r="K380" s="4"/>
      <c r="L380" s="4"/>
      <c r="M380" s="4"/>
      <c r="N380" s="4"/>
      <c r="O380" s="4"/>
      <c r="P380" s="4"/>
      <c r="Q380" s="4"/>
      <c r="R380" s="4"/>
      <c r="S380" s="4"/>
      <c r="T380" s="4"/>
      <c r="U380" s="4"/>
      <c r="V380" s="4"/>
      <c r="W380" s="4"/>
      <c r="X380" s="4"/>
    </row>
    <row r="381" spans="1:24" ht="15.75" thickBot="1">
      <c r="A381" s="3"/>
      <c r="B381" s="4"/>
      <c r="C381" s="4"/>
      <c r="D381" s="4"/>
      <c r="E381" s="4"/>
      <c r="F381" s="4"/>
      <c r="G381" s="4"/>
      <c r="H381" s="4"/>
      <c r="I381" s="4"/>
      <c r="J381" s="4"/>
      <c r="K381" s="4"/>
      <c r="L381" s="4"/>
      <c r="M381" s="4"/>
      <c r="N381" s="4"/>
      <c r="O381" s="4"/>
      <c r="P381" s="4"/>
      <c r="Q381" s="4"/>
      <c r="R381" s="4"/>
      <c r="S381" s="4"/>
      <c r="T381" s="4"/>
      <c r="U381" s="4"/>
      <c r="V381" s="4"/>
      <c r="W381" s="4"/>
      <c r="X381" s="4"/>
    </row>
    <row r="382" spans="1:24" ht="15.75" thickBot="1">
      <c r="A382" s="3"/>
      <c r="B382" s="4"/>
      <c r="C382" s="4"/>
      <c r="D382" s="4"/>
      <c r="E382" s="4"/>
      <c r="F382" s="4"/>
      <c r="G382" s="4"/>
      <c r="H382" s="4"/>
      <c r="I382" s="4"/>
      <c r="J382" s="4"/>
      <c r="K382" s="4"/>
      <c r="L382" s="4"/>
      <c r="M382" s="4"/>
      <c r="N382" s="4"/>
      <c r="O382" s="4"/>
      <c r="P382" s="4"/>
      <c r="Q382" s="4"/>
      <c r="R382" s="4"/>
      <c r="S382" s="4"/>
      <c r="T382" s="4"/>
      <c r="U382" s="4"/>
      <c r="V382" s="4"/>
      <c r="W382" s="4"/>
      <c r="X382" s="4"/>
    </row>
    <row r="383" spans="1:24" ht="15.75" thickBot="1">
      <c r="A383" s="3"/>
      <c r="B383" s="4"/>
      <c r="C383" s="4"/>
      <c r="D383" s="4"/>
      <c r="E383" s="4"/>
      <c r="F383" s="4"/>
      <c r="G383" s="4"/>
      <c r="H383" s="4"/>
      <c r="I383" s="4"/>
      <c r="J383" s="4"/>
      <c r="K383" s="4"/>
      <c r="L383" s="4"/>
      <c r="M383" s="4"/>
      <c r="N383" s="4"/>
      <c r="O383" s="4"/>
      <c r="P383" s="4"/>
      <c r="Q383" s="4"/>
      <c r="R383" s="4"/>
      <c r="S383" s="4"/>
      <c r="T383" s="4"/>
      <c r="U383" s="4"/>
      <c r="V383" s="4"/>
      <c r="W383" s="4"/>
      <c r="X383" s="4"/>
    </row>
    <row r="384" spans="1:24" ht="15.75" thickBot="1">
      <c r="A384" s="3"/>
      <c r="B384" s="4"/>
      <c r="C384" s="4"/>
      <c r="D384" s="4"/>
      <c r="E384" s="4"/>
      <c r="F384" s="4"/>
      <c r="G384" s="4"/>
      <c r="H384" s="4"/>
      <c r="I384" s="4"/>
      <c r="J384" s="4"/>
      <c r="K384" s="4"/>
      <c r="L384" s="4"/>
      <c r="M384" s="4"/>
      <c r="N384" s="4"/>
      <c r="O384" s="4"/>
      <c r="P384" s="4"/>
      <c r="Q384" s="4"/>
      <c r="R384" s="4"/>
      <c r="S384" s="4"/>
      <c r="T384" s="4"/>
      <c r="U384" s="4"/>
      <c r="V384" s="4"/>
      <c r="W384" s="4"/>
      <c r="X384" s="4"/>
    </row>
    <row r="385" spans="1:24" ht="15.75" thickBot="1">
      <c r="A385" s="3"/>
      <c r="B385" s="4"/>
      <c r="C385" s="4"/>
      <c r="D385" s="4"/>
      <c r="E385" s="4"/>
      <c r="F385" s="4"/>
      <c r="G385" s="4"/>
      <c r="H385" s="4"/>
      <c r="I385" s="4"/>
      <c r="J385" s="4"/>
      <c r="K385" s="4"/>
      <c r="L385" s="4"/>
      <c r="M385" s="4"/>
      <c r="N385" s="4"/>
      <c r="O385" s="4"/>
      <c r="P385" s="4"/>
      <c r="Q385" s="4"/>
      <c r="R385" s="4"/>
      <c r="S385" s="4"/>
      <c r="T385" s="4"/>
      <c r="U385" s="4"/>
      <c r="V385" s="4"/>
      <c r="W385" s="4"/>
      <c r="X385" s="4"/>
    </row>
    <row r="386" spans="1:24" ht="15.75" thickBot="1">
      <c r="A386" s="3"/>
      <c r="B386" s="4"/>
      <c r="C386" s="4"/>
      <c r="D386" s="4"/>
      <c r="E386" s="4"/>
      <c r="F386" s="4"/>
      <c r="G386" s="4"/>
      <c r="H386" s="4"/>
      <c r="I386" s="4"/>
      <c r="J386" s="4"/>
      <c r="K386" s="4"/>
      <c r="L386" s="4"/>
      <c r="M386" s="4"/>
      <c r="N386" s="4"/>
      <c r="O386" s="4"/>
      <c r="P386" s="4"/>
      <c r="Q386" s="4"/>
      <c r="R386" s="4"/>
      <c r="S386" s="4"/>
      <c r="T386" s="4"/>
      <c r="U386" s="4"/>
      <c r="V386" s="4"/>
      <c r="W386" s="4"/>
      <c r="X386" s="4"/>
    </row>
    <row r="387" spans="1:24" ht="15.75" thickBot="1">
      <c r="A387" s="3"/>
      <c r="B387" s="4"/>
      <c r="C387" s="4"/>
      <c r="D387" s="4"/>
      <c r="E387" s="4"/>
      <c r="F387" s="4"/>
      <c r="G387" s="4"/>
      <c r="H387" s="4"/>
      <c r="I387" s="4"/>
      <c r="J387" s="4"/>
      <c r="K387" s="4"/>
      <c r="L387" s="4"/>
      <c r="M387" s="4"/>
      <c r="N387" s="4"/>
      <c r="O387" s="4"/>
      <c r="P387" s="4"/>
      <c r="Q387" s="4"/>
      <c r="R387" s="4"/>
      <c r="S387" s="4"/>
      <c r="T387" s="4"/>
      <c r="U387" s="4"/>
      <c r="V387" s="4"/>
      <c r="W387" s="4"/>
      <c r="X387" s="4"/>
    </row>
    <row r="388" spans="1:24" ht="15.75" thickBot="1">
      <c r="A388" s="3"/>
      <c r="B388" s="4"/>
      <c r="C388" s="4"/>
      <c r="D388" s="4"/>
      <c r="E388" s="4"/>
      <c r="F388" s="4"/>
      <c r="G388" s="4"/>
      <c r="H388" s="4"/>
      <c r="I388" s="4"/>
      <c r="J388" s="4"/>
      <c r="K388" s="4"/>
      <c r="L388" s="4"/>
      <c r="M388" s="4"/>
      <c r="N388" s="4"/>
      <c r="O388" s="4"/>
      <c r="P388" s="4"/>
      <c r="Q388" s="4"/>
      <c r="R388" s="4"/>
      <c r="S388" s="4"/>
      <c r="T388" s="4"/>
      <c r="U388" s="4"/>
      <c r="V388" s="4"/>
      <c r="W388" s="4"/>
      <c r="X388" s="4"/>
    </row>
    <row r="389" spans="1:24" ht="15.75" thickBot="1">
      <c r="A389" s="3"/>
      <c r="B389" s="4"/>
      <c r="C389" s="4"/>
      <c r="D389" s="4"/>
      <c r="E389" s="4"/>
      <c r="F389" s="4"/>
      <c r="G389" s="4"/>
      <c r="H389" s="4"/>
      <c r="I389" s="4"/>
      <c r="J389" s="4"/>
      <c r="K389" s="4"/>
      <c r="L389" s="4"/>
      <c r="M389" s="4"/>
      <c r="N389" s="4"/>
      <c r="O389" s="4"/>
      <c r="P389" s="4"/>
      <c r="Q389" s="4"/>
      <c r="R389" s="4"/>
      <c r="S389" s="4"/>
      <c r="T389" s="4"/>
      <c r="U389" s="4"/>
      <c r="V389" s="4"/>
      <c r="W389" s="4"/>
      <c r="X389" s="4"/>
    </row>
    <row r="390" spans="1:24" ht="15.75" thickBot="1">
      <c r="A390" s="3"/>
      <c r="B390" s="4"/>
      <c r="C390" s="4"/>
      <c r="D390" s="4"/>
      <c r="E390" s="4"/>
      <c r="F390" s="4"/>
      <c r="G390" s="4"/>
      <c r="H390" s="4"/>
      <c r="I390" s="4"/>
      <c r="J390" s="4"/>
      <c r="K390" s="4"/>
      <c r="L390" s="4"/>
      <c r="M390" s="4"/>
      <c r="N390" s="4"/>
      <c r="O390" s="4"/>
      <c r="P390" s="4"/>
      <c r="Q390" s="4"/>
      <c r="R390" s="4"/>
      <c r="S390" s="4"/>
      <c r="T390" s="4"/>
      <c r="U390" s="4"/>
      <c r="V390" s="4"/>
      <c r="W390" s="4"/>
      <c r="X390" s="4"/>
    </row>
    <row r="391" spans="1:24" ht="15.75" thickBot="1">
      <c r="A391" s="3"/>
      <c r="B391" s="4"/>
      <c r="C391" s="4"/>
      <c r="D391" s="4"/>
      <c r="E391" s="4"/>
      <c r="F391" s="4"/>
      <c r="G391" s="4"/>
      <c r="H391" s="4"/>
      <c r="I391" s="4"/>
      <c r="J391" s="4"/>
      <c r="K391" s="4"/>
      <c r="L391" s="4"/>
      <c r="M391" s="4"/>
      <c r="N391" s="4"/>
      <c r="O391" s="4"/>
      <c r="P391" s="4"/>
      <c r="Q391" s="4"/>
      <c r="R391" s="4"/>
      <c r="S391" s="4"/>
      <c r="T391" s="4"/>
      <c r="U391" s="4"/>
      <c r="V391" s="4"/>
      <c r="W391" s="4"/>
      <c r="X391" s="4"/>
    </row>
    <row r="392" spans="1:24" ht="15.75" thickBot="1">
      <c r="A392" s="3"/>
      <c r="B392" s="4"/>
      <c r="C392" s="4"/>
      <c r="D392" s="4"/>
      <c r="E392" s="4"/>
      <c r="F392" s="4"/>
      <c r="G392" s="4"/>
      <c r="H392" s="4"/>
      <c r="I392" s="4"/>
      <c r="J392" s="4"/>
      <c r="K392" s="4"/>
      <c r="L392" s="4"/>
      <c r="M392" s="4"/>
      <c r="N392" s="4"/>
      <c r="O392" s="4"/>
      <c r="P392" s="4"/>
      <c r="Q392" s="4"/>
      <c r="R392" s="4"/>
      <c r="S392" s="4"/>
      <c r="T392" s="4"/>
      <c r="U392" s="4"/>
      <c r="V392" s="4"/>
      <c r="W392" s="4"/>
      <c r="X392" s="4"/>
    </row>
    <row r="393" spans="1:24" ht="15.75" thickBot="1">
      <c r="A393" s="3"/>
      <c r="B393" s="4"/>
      <c r="C393" s="4"/>
      <c r="D393" s="4"/>
      <c r="E393" s="4"/>
      <c r="F393" s="4"/>
      <c r="G393" s="4"/>
      <c r="H393" s="4"/>
      <c r="I393" s="4"/>
      <c r="J393" s="4"/>
      <c r="K393" s="4"/>
      <c r="L393" s="4"/>
      <c r="M393" s="4"/>
      <c r="N393" s="4"/>
      <c r="O393" s="4"/>
      <c r="P393" s="4"/>
      <c r="Q393" s="4"/>
      <c r="R393" s="4"/>
      <c r="S393" s="4"/>
      <c r="T393" s="4"/>
      <c r="U393" s="4"/>
      <c r="V393" s="4"/>
      <c r="W393" s="4"/>
      <c r="X393" s="4"/>
    </row>
    <row r="394" spans="1:24" ht="15.75" thickBot="1">
      <c r="A394" s="3"/>
      <c r="B394" s="4"/>
      <c r="C394" s="4"/>
      <c r="D394" s="4"/>
      <c r="E394" s="4"/>
      <c r="F394" s="4"/>
      <c r="G394" s="4"/>
      <c r="H394" s="4"/>
      <c r="I394" s="4"/>
      <c r="J394" s="4"/>
      <c r="K394" s="4"/>
      <c r="L394" s="4"/>
      <c r="M394" s="4"/>
      <c r="N394" s="4"/>
      <c r="O394" s="4"/>
      <c r="P394" s="4"/>
      <c r="Q394" s="4"/>
      <c r="R394" s="4"/>
      <c r="S394" s="4"/>
      <c r="T394" s="4"/>
      <c r="U394" s="4"/>
      <c r="V394" s="4"/>
      <c r="W394" s="4"/>
      <c r="X394" s="4"/>
    </row>
    <row r="395" spans="1:24" ht="15.75" thickBot="1">
      <c r="A395" s="3"/>
      <c r="B395" s="4"/>
      <c r="C395" s="4"/>
      <c r="D395" s="4"/>
      <c r="E395" s="4"/>
      <c r="F395" s="4"/>
      <c r="G395" s="4"/>
      <c r="H395" s="4"/>
      <c r="I395" s="4"/>
      <c r="J395" s="4"/>
      <c r="K395" s="4"/>
      <c r="L395" s="4"/>
      <c r="M395" s="4"/>
      <c r="N395" s="4"/>
      <c r="O395" s="4"/>
      <c r="P395" s="4"/>
      <c r="Q395" s="4"/>
      <c r="R395" s="4"/>
      <c r="S395" s="4"/>
      <c r="T395" s="4"/>
      <c r="U395" s="4"/>
      <c r="V395" s="4"/>
      <c r="W395" s="4"/>
      <c r="X395" s="4"/>
    </row>
    <row r="396" spans="1:24" ht="15.75" thickBot="1">
      <c r="A396" s="3"/>
      <c r="B396" s="4"/>
      <c r="C396" s="4"/>
      <c r="D396" s="4"/>
      <c r="E396" s="4"/>
      <c r="F396" s="4"/>
      <c r="G396" s="4"/>
      <c r="H396" s="4"/>
      <c r="I396" s="4"/>
      <c r="J396" s="4"/>
      <c r="K396" s="4"/>
      <c r="L396" s="4"/>
      <c r="M396" s="4"/>
      <c r="N396" s="4"/>
      <c r="O396" s="4"/>
      <c r="P396" s="4"/>
      <c r="Q396" s="4"/>
      <c r="R396" s="4"/>
      <c r="S396" s="4"/>
      <c r="T396" s="4"/>
      <c r="U396" s="4"/>
      <c r="V396" s="4"/>
      <c r="W396" s="4"/>
      <c r="X396" s="4"/>
    </row>
    <row r="397" spans="1:24" ht="15.75" thickBot="1">
      <c r="A397" s="3"/>
      <c r="B397" s="4"/>
      <c r="C397" s="4"/>
      <c r="D397" s="4"/>
      <c r="E397" s="4"/>
      <c r="F397" s="4"/>
      <c r="G397" s="4"/>
      <c r="H397" s="4"/>
      <c r="I397" s="4"/>
      <c r="J397" s="4"/>
      <c r="K397" s="4"/>
      <c r="L397" s="4"/>
      <c r="M397" s="4"/>
      <c r="N397" s="4"/>
      <c r="O397" s="4"/>
      <c r="P397" s="4"/>
      <c r="Q397" s="4"/>
      <c r="R397" s="4"/>
      <c r="S397" s="4"/>
      <c r="T397" s="4"/>
      <c r="U397" s="4"/>
      <c r="V397" s="4"/>
      <c r="W397" s="4"/>
      <c r="X397" s="4"/>
    </row>
    <row r="398" spans="1:24" ht="15.75" thickBot="1">
      <c r="A398" s="3"/>
      <c r="B398" s="4"/>
      <c r="C398" s="4"/>
      <c r="D398" s="4"/>
      <c r="E398" s="4"/>
      <c r="F398" s="4"/>
      <c r="G398" s="4"/>
      <c r="H398" s="4"/>
      <c r="I398" s="4"/>
      <c r="J398" s="4"/>
      <c r="K398" s="4"/>
      <c r="L398" s="4"/>
      <c r="M398" s="4"/>
      <c r="N398" s="4"/>
      <c r="O398" s="4"/>
      <c r="P398" s="4"/>
      <c r="Q398" s="4"/>
      <c r="R398" s="4"/>
      <c r="S398" s="4"/>
      <c r="T398" s="4"/>
      <c r="U398" s="4"/>
      <c r="V398" s="4"/>
      <c r="W398" s="4"/>
      <c r="X398" s="4"/>
    </row>
    <row r="399" spans="1:24" ht="15.75" thickBot="1">
      <c r="A399" s="3"/>
      <c r="B399" s="4"/>
      <c r="C399" s="4"/>
      <c r="D399" s="4"/>
      <c r="E399" s="4"/>
      <c r="F399" s="4"/>
      <c r="G399" s="4"/>
      <c r="H399" s="4"/>
      <c r="I399" s="4"/>
      <c r="J399" s="4"/>
      <c r="K399" s="4"/>
      <c r="L399" s="4"/>
      <c r="M399" s="4"/>
      <c r="N399" s="4"/>
      <c r="O399" s="4"/>
      <c r="P399" s="4"/>
      <c r="Q399" s="4"/>
      <c r="R399" s="4"/>
      <c r="S399" s="4"/>
      <c r="T399" s="4"/>
      <c r="U399" s="4"/>
      <c r="V399" s="4"/>
      <c r="W399" s="4"/>
      <c r="X399" s="4"/>
    </row>
    <row r="400" spans="1:24" ht="15.75" thickBot="1">
      <c r="A400" s="3"/>
      <c r="B400" s="4"/>
      <c r="C400" s="4"/>
      <c r="D400" s="4"/>
      <c r="E400" s="4"/>
      <c r="F400" s="4"/>
      <c r="G400" s="4"/>
      <c r="H400" s="4"/>
      <c r="I400" s="4"/>
      <c r="J400" s="4"/>
      <c r="K400" s="4"/>
      <c r="L400" s="4"/>
      <c r="M400" s="4"/>
      <c r="N400" s="4"/>
      <c r="O400" s="4"/>
      <c r="P400" s="4"/>
      <c r="Q400" s="4"/>
      <c r="R400" s="4"/>
      <c r="S400" s="4"/>
      <c r="T400" s="4"/>
      <c r="U400" s="4"/>
      <c r="V400" s="4"/>
      <c r="W400" s="4"/>
      <c r="X400" s="4"/>
    </row>
    <row r="401" spans="1:24" ht="15.75" thickBot="1">
      <c r="A401" s="3"/>
      <c r="B401" s="4"/>
      <c r="C401" s="4"/>
      <c r="D401" s="4"/>
      <c r="E401" s="4"/>
      <c r="F401" s="4"/>
      <c r="G401" s="4"/>
      <c r="H401" s="4"/>
      <c r="I401" s="4"/>
      <c r="J401" s="4"/>
      <c r="K401" s="4"/>
      <c r="L401" s="4"/>
      <c r="M401" s="4"/>
      <c r="N401" s="4"/>
      <c r="O401" s="4"/>
      <c r="P401" s="4"/>
      <c r="Q401" s="4"/>
      <c r="R401" s="4"/>
      <c r="S401" s="4"/>
      <c r="T401" s="4"/>
      <c r="U401" s="4"/>
      <c r="V401" s="4"/>
      <c r="W401" s="4"/>
      <c r="X401" s="4"/>
    </row>
    <row r="402" spans="1:24" ht="15.75" thickBot="1">
      <c r="A402" s="3"/>
      <c r="B402" s="4"/>
      <c r="C402" s="4"/>
      <c r="D402" s="4"/>
      <c r="E402" s="4"/>
      <c r="F402" s="4"/>
      <c r="G402" s="4"/>
      <c r="H402" s="4"/>
      <c r="I402" s="4"/>
      <c r="J402" s="4"/>
      <c r="K402" s="4"/>
      <c r="L402" s="4"/>
      <c r="M402" s="4"/>
      <c r="N402" s="4"/>
      <c r="O402" s="4"/>
      <c r="P402" s="4"/>
      <c r="Q402" s="4"/>
      <c r="R402" s="4"/>
      <c r="S402" s="4"/>
      <c r="T402" s="4"/>
      <c r="U402" s="4"/>
      <c r="V402" s="4"/>
      <c r="W402" s="4"/>
      <c r="X402" s="4"/>
    </row>
    <row r="403" spans="1:24" ht="15.75" thickBot="1">
      <c r="A403" s="3"/>
      <c r="B403" s="4"/>
      <c r="C403" s="4"/>
      <c r="D403" s="4"/>
      <c r="E403" s="4"/>
      <c r="F403" s="4"/>
      <c r="G403" s="4"/>
      <c r="H403" s="4"/>
      <c r="I403" s="4"/>
      <c r="J403" s="4"/>
      <c r="K403" s="4"/>
      <c r="L403" s="4"/>
      <c r="M403" s="4"/>
      <c r="N403" s="4"/>
      <c r="O403" s="4"/>
      <c r="P403" s="4"/>
      <c r="Q403" s="4"/>
      <c r="R403" s="4"/>
      <c r="S403" s="4"/>
      <c r="T403" s="4"/>
      <c r="U403" s="4"/>
      <c r="V403" s="4"/>
      <c r="W403" s="4"/>
      <c r="X403" s="4"/>
    </row>
    <row r="404" spans="1:24" ht="15.75" thickBot="1">
      <c r="A404" s="3"/>
      <c r="B404" s="4"/>
      <c r="C404" s="4"/>
      <c r="D404" s="4"/>
      <c r="E404" s="4"/>
      <c r="F404" s="4"/>
      <c r="G404" s="4"/>
      <c r="H404" s="4"/>
      <c r="I404" s="4"/>
      <c r="J404" s="4"/>
      <c r="K404" s="4"/>
      <c r="L404" s="4"/>
      <c r="M404" s="4"/>
      <c r="N404" s="4"/>
      <c r="O404" s="4"/>
      <c r="P404" s="4"/>
      <c r="Q404" s="4"/>
      <c r="R404" s="4"/>
      <c r="S404" s="4"/>
      <c r="T404" s="4"/>
      <c r="U404" s="4"/>
      <c r="V404" s="4"/>
      <c r="W404" s="4"/>
      <c r="X404" s="4"/>
    </row>
    <row r="405" spans="1:24" ht="15.75" thickBot="1">
      <c r="A405" s="3"/>
      <c r="B405" s="4"/>
      <c r="C405" s="4"/>
      <c r="D405" s="4"/>
      <c r="E405" s="4"/>
      <c r="F405" s="4"/>
      <c r="G405" s="4"/>
      <c r="H405" s="4"/>
      <c r="I405" s="4"/>
      <c r="J405" s="4"/>
      <c r="K405" s="4"/>
      <c r="L405" s="4"/>
      <c r="M405" s="4"/>
      <c r="N405" s="4"/>
      <c r="O405" s="4"/>
      <c r="P405" s="4"/>
      <c r="Q405" s="4"/>
      <c r="R405" s="4"/>
      <c r="S405" s="4"/>
      <c r="T405" s="4"/>
      <c r="U405" s="4"/>
      <c r="V405" s="4"/>
      <c r="W405" s="4"/>
      <c r="X405" s="4"/>
    </row>
    <row r="406" spans="1:24" ht="15.75" thickBot="1">
      <c r="A406" s="3"/>
      <c r="B406" s="4"/>
      <c r="C406" s="4"/>
      <c r="D406" s="4"/>
      <c r="E406" s="4"/>
      <c r="F406" s="4"/>
      <c r="G406" s="4"/>
      <c r="H406" s="4"/>
      <c r="I406" s="4"/>
      <c r="J406" s="4"/>
      <c r="K406" s="4"/>
      <c r="L406" s="4"/>
      <c r="M406" s="4"/>
      <c r="N406" s="4"/>
      <c r="O406" s="4"/>
      <c r="P406" s="4"/>
      <c r="Q406" s="4"/>
      <c r="R406" s="4"/>
      <c r="S406" s="4"/>
      <c r="T406" s="4"/>
      <c r="U406" s="4"/>
      <c r="V406" s="4"/>
      <c r="W406" s="4"/>
      <c r="X406" s="4"/>
    </row>
    <row r="407" spans="1:24" ht="15.75" thickBot="1">
      <c r="A407" s="3"/>
      <c r="B407" s="4"/>
      <c r="C407" s="4"/>
      <c r="D407" s="4"/>
      <c r="E407" s="4"/>
      <c r="F407" s="4"/>
      <c r="G407" s="4"/>
      <c r="H407" s="4"/>
      <c r="I407" s="4"/>
      <c r="J407" s="4"/>
      <c r="K407" s="4"/>
      <c r="L407" s="4"/>
      <c r="M407" s="4"/>
      <c r="N407" s="4"/>
      <c r="O407" s="4"/>
      <c r="P407" s="4"/>
      <c r="Q407" s="4"/>
      <c r="R407" s="4"/>
      <c r="S407" s="4"/>
      <c r="T407" s="4"/>
      <c r="U407" s="4"/>
      <c r="V407" s="4"/>
      <c r="W407" s="4"/>
      <c r="X407" s="4"/>
    </row>
    <row r="408" spans="1:24" ht="15.75" thickBot="1">
      <c r="A408" s="3"/>
      <c r="B408" s="4"/>
      <c r="C408" s="4"/>
      <c r="D408" s="4"/>
      <c r="E408" s="4"/>
      <c r="F408" s="4"/>
      <c r="G408" s="4"/>
      <c r="H408" s="4"/>
      <c r="I408" s="4"/>
      <c r="J408" s="4"/>
      <c r="K408" s="4"/>
      <c r="L408" s="4"/>
      <c r="M408" s="4"/>
      <c r="N408" s="4"/>
      <c r="O408" s="4"/>
      <c r="P408" s="4"/>
      <c r="Q408" s="4"/>
      <c r="R408" s="4"/>
      <c r="S408" s="4"/>
      <c r="T408" s="4"/>
      <c r="U408" s="4"/>
      <c r="V408" s="4"/>
      <c r="W408" s="4"/>
      <c r="X408" s="4"/>
    </row>
    <row r="409" spans="1:24" ht="15.75" thickBot="1">
      <c r="A409" s="3"/>
      <c r="B409" s="4"/>
      <c r="C409" s="4"/>
      <c r="D409" s="4"/>
      <c r="E409" s="4"/>
      <c r="F409" s="4"/>
      <c r="G409" s="4"/>
      <c r="H409" s="4"/>
      <c r="I409" s="4"/>
      <c r="J409" s="4"/>
      <c r="K409" s="4"/>
      <c r="L409" s="4"/>
      <c r="M409" s="4"/>
      <c r="N409" s="4"/>
      <c r="O409" s="4"/>
      <c r="P409" s="4"/>
      <c r="Q409" s="4"/>
      <c r="R409" s="4"/>
      <c r="S409" s="4"/>
      <c r="T409" s="4"/>
      <c r="U409" s="4"/>
      <c r="V409" s="4"/>
      <c r="W409" s="4"/>
      <c r="X409" s="4"/>
    </row>
    <row r="410" spans="1:24" ht="15.75" thickBot="1">
      <c r="A410" s="3"/>
      <c r="B410" s="4"/>
      <c r="C410" s="4"/>
      <c r="D410" s="4"/>
      <c r="E410" s="4"/>
      <c r="F410" s="4"/>
      <c r="G410" s="4"/>
      <c r="H410" s="4"/>
      <c r="I410" s="4"/>
      <c r="J410" s="4"/>
      <c r="K410" s="4"/>
      <c r="L410" s="4"/>
      <c r="M410" s="4"/>
      <c r="N410" s="4"/>
      <c r="O410" s="4"/>
      <c r="P410" s="4"/>
      <c r="Q410" s="4"/>
      <c r="R410" s="4"/>
      <c r="S410" s="4"/>
      <c r="T410" s="4"/>
      <c r="U410" s="4"/>
      <c r="V410" s="4"/>
      <c r="W410" s="4"/>
      <c r="X410" s="4"/>
    </row>
    <row r="411" spans="1:24" ht="15.75" thickBot="1">
      <c r="A411" s="3"/>
      <c r="B411" s="4"/>
      <c r="C411" s="4"/>
      <c r="D411" s="4"/>
      <c r="E411" s="4"/>
      <c r="F411" s="4"/>
      <c r="G411" s="4"/>
      <c r="H411" s="4"/>
      <c r="I411" s="4"/>
      <c r="J411" s="4"/>
      <c r="K411" s="4"/>
      <c r="L411" s="4"/>
      <c r="M411" s="4"/>
      <c r="N411" s="4"/>
      <c r="O411" s="4"/>
      <c r="P411" s="4"/>
      <c r="Q411" s="4"/>
      <c r="R411" s="4"/>
      <c r="S411" s="4"/>
      <c r="T411" s="4"/>
      <c r="U411" s="4"/>
      <c r="V411" s="4"/>
      <c r="W411" s="4"/>
      <c r="X411" s="4"/>
    </row>
    <row r="412" spans="1:24" ht="15.75" thickBot="1">
      <c r="A412" s="3"/>
      <c r="B412" s="4"/>
      <c r="C412" s="4"/>
      <c r="D412" s="4"/>
      <c r="E412" s="4"/>
      <c r="F412" s="4"/>
      <c r="G412" s="4"/>
      <c r="H412" s="4"/>
      <c r="I412" s="4"/>
      <c r="J412" s="4"/>
      <c r="K412" s="4"/>
      <c r="L412" s="4"/>
      <c r="M412" s="4"/>
      <c r="N412" s="4"/>
      <c r="O412" s="4"/>
      <c r="P412" s="4"/>
      <c r="Q412" s="4"/>
      <c r="R412" s="4"/>
      <c r="S412" s="4"/>
      <c r="T412" s="4"/>
      <c r="U412" s="4"/>
      <c r="V412" s="4"/>
      <c r="W412" s="4"/>
      <c r="X412" s="4"/>
    </row>
    <row r="413" spans="1:24" ht="15.75" thickBot="1">
      <c r="A413" s="3"/>
      <c r="B413" s="4"/>
      <c r="C413" s="4"/>
      <c r="D413" s="4"/>
      <c r="E413" s="4"/>
      <c r="F413" s="4"/>
      <c r="G413" s="4"/>
      <c r="H413" s="4"/>
      <c r="I413" s="4"/>
      <c r="J413" s="4"/>
      <c r="K413" s="4"/>
      <c r="L413" s="4"/>
      <c r="M413" s="4"/>
      <c r="N413" s="4"/>
      <c r="O413" s="4"/>
      <c r="P413" s="4"/>
      <c r="Q413" s="4"/>
      <c r="R413" s="4"/>
      <c r="S413" s="4"/>
      <c r="T413" s="4"/>
      <c r="U413" s="4"/>
      <c r="V413" s="4"/>
      <c r="W413" s="4"/>
      <c r="X413" s="4"/>
    </row>
    <row r="414" spans="1:24" ht="15.75" thickBot="1">
      <c r="A414" s="3"/>
      <c r="B414" s="4"/>
      <c r="C414" s="4"/>
      <c r="D414" s="4"/>
      <c r="E414" s="4"/>
      <c r="F414" s="4"/>
      <c r="G414" s="4"/>
      <c r="H414" s="4"/>
      <c r="I414" s="4"/>
      <c r="J414" s="4"/>
      <c r="K414" s="4"/>
      <c r="L414" s="4"/>
      <c r="M414" s="4"/>
      <c r="N414" s="4"/>
      <c r="O414" s="4"/>
      <c r="P414" s="4"/>
      <c r="Q414" s="4"/>
      <c r="R414" s="4"/>
      <c r="S414" s="4"/>
      <c r="T414" s="4"/>
      <c r="U414" s="4"/>
      <c r="V414" s="4"/>
      <c r="W414" s="4"/>
      <c r="X414" s="4"/>
    </row>
    <row r="415" spans="1:24" ht="15.75" thickBot="1">
      <c r="A415" s="3"/>
      <c r="B415" s="4"/>
      <c r="C415" s="4"/>
      <c r="D415" s="4"/>
      <c r="E415" s="4"/>
      <c r="F415" s="4"/>
      <c r="G415" s="4"/>
      <c r="H415" s="4"/>
      <c r="I415" s="4"/>
      <c r="J415" s="4"/>
      <c r="K415" s="4"/>
      <c r="L415" s="4"/>
      <c r="M415" s="4"/>
      <c r="N415" s="4"/>
      <c r="O415" s="4"/>
      <c r="P415" s="4"/>
      <c r="Q415" s="4"/>
      <c r="R415" s="4"/>
      <c r="S415" s="4"/>
      <c r="T415" s="4"/>
      <c r="U415" s="4"/>
      <c r="V415" s="4"/>
      <c r="W415" s="4"/>
      <c r="X415" s="4"/>
    </row>
    <row r="416" spans="1:24" ht="15.75" thickBot="1">
      <c r="A416" s="3"/>
      <c r="B416" s="4"/>
      <c r="C416" s="4"/>
      <c r="D416" s="4"/>
      <c r="E416" s="4"/>
      <c r="F416" s="4"/>
      <c r="G416" s="4"/>
      <c r="H416" s="4"/>
      <c r="I416" s="4"/>
      <c r="J416" s="4"/>
      <c r="K416" s="4"/>
      <c r="L416" s="4"/>
      <c r="M416" s="4"/>
      <c r="N416" s="4"/>
      <c r="O416" s="4"/>
      <c r="P416" s="4"/>
      <c r="Q416" s="4"/>
      <c r="R416" s="4"/>
      <c r="S416" s="4"/>
      <c r="T416" s="4"/>
      <c r="U416" s="4"/>
      <c r="V416" s="4"/>
      <c r="W416" s="4"/>
      <c r="X416" s="4"/>
    </row>
    <row r="417" spans="1:24" ht="15.75" thickBot="1">
      <c r="A417" s="3"/>
      <c r="B417" s="4"/>
      <c r="C417" s="4"/>
      <c r="D417" s="4"/>
      <c r="E417" s="4"/>
      <c r="F417" s="4"/>
      <c r="G417" s="4"/>
      <c r="H417" s="4"/>
      <c r="I417" s="4"/>
      <c r="J417" s="4"/>
      <c r="K417" s="4"/>
      <c r="L417" s="4"/>
      <c r="M417" s="4"/>
      <c r="N417" s="4"/>
      <c r="O417" s="4"/>
      <c r="P417" s="4"/>
      <c r="Q417" s="4"/>
      <c r="R417" s="4"/>
      <c r="S417" s="4"/>
      <c r="T417" s="4"/>
      <c r="U417" s="4"/>
      <c r="V417" s="4"/>
      <c r="W417" s="4"/>
      <c r="X417" s="4"/>
    </row>
    <row r="418" spans="1:24" ht="15.75" thickBot="1">
      <c r="A418" s="3"/>
      <c r="B418" s="4"/>
      <c r="C418" s="4"/>
      <c r="D418" s="4"/>
      <c r="E418" s="4"/>
      <c r="F418" s="4"/>
      <c r="G418" s="4"/>
      <c r="H418" s="4"/>
      <c r="I418" s="4"/>
      <c r="J418" s="4"/>
      <c r="K418" s="4"/>
      <c r="L418" s="4"/>
      <c r="M418" s="4"/>
      <c r="N418" s="4"/>
      <c r="O418" s="4"/>
      <c r="P418" s="4"/>
      <c r="Q418" s="4"/>
      <c r="R418" s="4"/>
      <c r="S418" s="4"/>
      <c r="T418" s="4"/>
      <c r="U418" s="4"/>
      <c r="V418" s="4"/>
      <c r="W418" s="4"/>
      <c r="X418" s="4"/>
    </row>
    <row r="419" spans="1:24" ht="15.75" thickBot="1">
      <c r="A419" s="3"/>
      <c r="B419" s="4"/>
      <c r="C419" s="4"/>
      <c r="D419" s="4"/>
      <c r="E419" s="4"/>
      <c r="F419" s="4"/>
      <c r="G419" s="4"/>
      <c r="H419" s="4"/>
      <c r="I419" s="4"/>
      <c r="J419" s="4"/>
      <c r="K419" s="4"/>
      <c r="L419" s="4"/>
      <c r="M419" s="4"/>
      <c r="N419" s="4"/>
      <c r="O419" s="4"/>
      <c r="P419" s="4"/>
      <c r="Q419" s="4"/>
      <c r="R419" s="4"/>
      <c r="S419" s="4"/>
      <c r="T419" s="4"/>
      <c r="U419" s="4"/>
      <c r="V419" s="4"/>
      <c r="W419" s="4"/>
      <c r="X419" s="4"/>
    </row>
    <row r="420" spans="1:24" ht="15.75" thickBot="1">
      <c r="A420" s="3"/>
      <c r="B420" s="4"/>
      <c r="C420" s="4"/>
      <c r="D420" s="4"/>
      <c r="E420" s="4"/>
      <c r="F420" s="4"/>
      <c r="G420" s="4"/>
      <c r="H420" s="4"/>
      <c r="I420" s="4"/>
      <c r="J420" s="4"/>
      <c r="K420" s="4"/>
      <c r="L420" s="4"/>
      <c r="M420" s="4"/>
      <c r="N420" s="4"/>
      <c r="O420" s="4"/>
      <c r="P420" s="4"/>
      <c r="Q420" s="4"/>
      <c r="R420" s="4"/>
      <c r="S420" s="4"/>
      <c r="T420" s="4"/>
      <c r="U420" s="4"/>
      <c r="V420" s="4"/>
      <c r="W420" s="4"/>
      <c r="X420" s="4"/>
    </row>
    <row r="421" spans="1:24" ht="15.75" thickBot="1">
      <c r="A421" s="3"/>
      <c r="B421" s="4"/>
      <c r="C421" s="4"/>
      <c r="D421" s="4"/>
      <c r="E421" s="4"/>
      <c r="F421" s="4"/>
      <c r="G421" s="4"/>
      <c r="H421" s="4"/>
      <c r="I421" s="4"/>
      <c r="J421" s="4"/>
      <c r="K421" s="4"/>
      <c r="L421" s="4"/>
      <c r="M421" s="4"/>
      <c r="N421" s="4"/>
      <c r="O421" s="4"/>
      <c r="P421" s="4"/>
      <c r="Q421" s="4"/>
      <c r="R421" s="4"/>
      <c r="S421" s="4"/>
      <c r="T421" s="4"/>
      <c r="U421" s="4"/>
      <c r="V421" s="4"/>
      <c r="W421" s="4"/>
      <c r="X421" s="4"/>
    </row>
    <row r="422" spans="1:24" ht="15.75" thickBot="1">
      <c r="A422" s="3"/>
      <c r="B422" s="4"/>
      <c r="C422" s="4"/>
      <c r="D422" s="4"/>
      <c r="E422" s="4"/>
      <c r="F422" s="4"/>
      <c r="G422" s="4"/>
      <c r="H422" s="4"/>
      <c r="I422" s="4"/>
      <c r="J422" s="4"/>
      <c r="K422" s="4"/>
      <c r="L422" s="4"/>
      <c r="M422" s="4"/>
      <c r="N422" s="4"/>
      <c r="O422" s="4"/>
      <c r="P422" s="4"/>
      <c r="Q422" s="4"/>
      <c r="R422" s="4"/>
      <c r="S422" s="4"/>
      <c r="T422" s="4"/>
      <c r="U422" s="4"/>
      <c r="V422" s="4"/>
      <c r="W422" s="4"/>
      <c r="X422" s="4"/>
    </row>
    <row r="423" spans="1:24" ht="15.75" thickBot="1">
      <c r="A423" s="3"/>
      <c r="B423" s="4"/>
      <c r="C423" s="4"/>
      <c r="D423" s="4"/>
      <c r="E423" s="4"/>
      <c r="F423" s="4"/>
      <c r="G423" s="4"/>
      <c r="H423" s="4"/>
      <c r="I423" s="4"/>
      <c r="J423" s="4"/>
      <c r="K423" s="4"/>
      <c r="L423" s="4"/>
      <c r="M423" s="4"/>
      <c r="N423" s="4"/>
      <c r="O423" s="4"/>
      <c r="P423" s="4"/>
      <c r="Q423" s="4"/>
      <c r="R423" s="4"/>
      <c r="S423" s="4"/>
      <c r="T423" s="4"/>
      <c r="U423" s="4"/>
      <c r="V423" s="4"/>
      <c r="W423" s="4"/>
      <c r="X423" s="4"/>
    </row>
    <row r="424" spans="1:24" ht="15.75" thickBot="1">
      <c r="A424" s="3"/>
      <c r="B424" s="4"/>
      <c r="C424" s="4"/>
      <c r="D424" s="4"/>
      <c r="E424" s="4"/>
      <c r="F424" s="4"/>
      <c r="G424" s="4"/>
      <c r="H424" s="4"/>
      <c r="I424" s="4"/>
      <c r="J424" s="4"/>
      <c r="K424" s="4"/>
      <c r="L424" s="4"/>
      <c r="M424" s="4"/>
      <c r="N424" s="4"/>
      <c r="O424" s="4"/>
      <c r="P424" s="4"/>
      <c r="Q424" s="4"/>
      <c r="R424" s="4"/>
      <c r="S424" s="4"/>
      <c r="T424" s="4"/>
      <c r="U424" s="4"/>
      <c r="V424" s="4"/>
      <c r="W424" s="4"/>
      <c r="X424" s="4"/>
    </row>
    <row r="425" spans="1:24" ht="15.75" thickBot="1">
      <c r="A425" s="3"/>
      <c r="B425" s="4"/>
      <c r="C425" s="4"/>
      <c r="D425" s="4"/>
      <c r="E425" s="4"/>
      <c r="F425" s="4"/>
      <c r="G425" s="4"/>
      <c r="H425" s="4"/>
      <c r="I425" s="4"/>
      <c r="J425" s="4"/>
      <c r="K425" s="4"/>
      <c r="L425" s="4"/>
      <c r="M425" s="4"/>
      <c r="N425" s="4"/>
      <c r="O425" s="4"/>
      <c r="P425" s="4"/>
      <c r="Q425" s="4"/>
      <c r="R425" s="4"/>
      <c r="S425" s="4"/>
      <c r="T425" s="4"/>
      <c r="U425" s="4"/>
      <c r="V425" s="4"/>
      <c r="W425" s="4"/>
      <c r="X425" s="4"/>
    </row>
    <row r="426" spans="1:24" ht="15.75" thickBot="1">
      <c r="A426" s="3"/>
      <c r="B426" s="4"/>
      <c r="C426" s="4"/>
      <c r="D426" s="4"/>
      <c r="E426" s="4"/>
      <c r="F426" s="4"/>
      <c r="G426" s="4"/>
      <c r="H426" s="4"/>
      <c r="I426" s="4"/>
      <c r="J426" s="4"/>
      <c r="K426" s="4"/>
      <c r="L426" s="4"/>
      <c r="M426" s="4"/>
      <c r="N426" s="4"/>
      <c r="O426" s="4"/>
      <c r="P426" s="4"/>
      <c r="Q426" s="4"/>
      <c r="R426" s="4"/>
      <c r="S426" s="4"/>
      <c r="T426" s="4"/>
      <c r="U426" s="4"/>
      <c r="V426" s="4"/>
      <c r="W426" s="4"/>
      <c r="X426" s="4"/>
    </row>
    <row r="427" spans="1:24" ht="15.75" thickBot="1">
      <c r="A427" s="3"/>
      <c r="B427" s="4"/>
      <c r="C427" s="4"/>
      <c r="D427" s="4"/>
      <c r="E427" s="4"/>
      <c r="F427" s="4"/>
      <c r="G427" s="4"/>
      <c r="H427" s="4"/>
      <c r="I427" s="4"/>
      <c r="J427" s="4"/>
      <c r="K427" s="4"/>
      <c r="L427" s="4"/>
      <c r="M427" s="4"/>
      <c r="N427" s="4"/>
      <c r="O427" s="4"/>
      <c r="P427" s="4"/>
      <c r="Q427" s="4"/>
      <c r="R427" s="4"/>
      <c r="S427" s="4"/>
      <c r="T427" s="4"/>
      <c r="U427" s="4"/>
      <c r="V427" s="4"/>
      <c r="W427" s="4"/>
      <c r="X427" s="4"/>
    </row>
    <row r="428" spans="1:24" ht="15.75" thickBot="1">
      <c r="A428" s="3"/>
      <c r="B428" s="4"/>
      <c r="C428" s="4"/>
      <c r="D428" s="4"/>
      <c r="E428" s="4"/>
      <c r="F428" s="4"/>
      <c r="G428" s="4"/>
      <c r="H428" s="4"/>
      <c r="I428" s="4"/>
      <c r="J428" s="4"/>
      <c r="K428" s="4"/>
      <c r="L428" s="4"/>
      <c r="M428" s="4"/>
      <c r="N428" s="4"/>
      <c r="O428" s="4"/>
      <c r="P428" s="4"/>
      <c r="Q428" s="4"/>
      <c r="R428" s="4"/>
      <c r="S428" s="4"/>
      <c r="T428" s="4"/>
      <c r="U428" s="4"/>
      <c r="V428" s="4"/>
      <c r="W428" s="4"/>
      <c r="X428" s="4"/>
    </row>
    <row r="429" spans="1:24" ht="15.75" thickBot="1">
      <c r="A429" s="3"/>
      <c r="B429" s="4"/>
      <c r="C429" s="4"/>
      <c r="D429" s="4"/>
      <c r="E429" s="4"/>
      <c r="F429" s="4"/>
      <c r="G429" s="4"/>
      <c r="H429" s="4"/>
      <c r="I429" s="4"/>
      <c r="J429" s="4"/>
      <c r="K429" s="4"/>
      <c r="L429" s="4"/>
      <c r="M429" s="4"/>
      <c r="N429" s="4"/>
      <c r="O429" s="4"/>
      <c r="P429" s="4"/>
      <c r="Q429" s="4"/>
      <c r="R429" s="4"/>
      <c r="S429" s="4"/>
      <c r="T429" s="4"/>
      <c r="U429" s="4"/>
      <c r="V429" s="4"/>
      <c r="W429" s="4"/>
      <c r="X429" s="4"/>
    </row>
    <row r="430" spans="1:24" ht="15.75" thickBot="1">
      <c r="A430" s="3"/>
      <c r="B430" s="4"/>
      <c r="C430" s="4"/>
      <c r="D430" s="4"/>
      <c r="E430" s="4"/>
      <c r="F430" s="4"/>
      <c r="G430" s="4"/>
      <c r="H430" s="4"/>
      <c r="I430" s="4"/>
      <c r="J430" s="4"/>
      <c r="K430" s="4"/>
      <c r="L430" s="4"/>
      <c r="M430" s="4"/>
      <c r="N430" s="4"/>
      <c r="O430" s="4"/>
      <c r="P430" s="4"/>
      <c r="Q430" s="4"/>
      <c r="R430" s="4"/>
      <c r="S430" s="4"/>
      <c r="T430" s="4"/>
      <c r="U430" s="4"/>
      <c r="V430" s="4"/>
      <c r="W430" s="4"/>
      <c r="X430" s="4"/>
    </row>
    <row r="431" spans="1:24" ht="15.75" thickBot="1">
      <c r="A431" s="3"/>
      <c r="B431" s="4"/>
      <c r="C431" s="4"/>
      <c r="D431" s="4"/>
      <c r="E431" s="4"/>
      <c r="F431" s="4"/>
      <c r="G431" s="4"/>
      <c r="H431" s="4"/>
      <c r="I431" s="4"/>
      <c r="J431" s="4"/>
      <c r="K431" s="4"/>
      <c r="L431" s="4"/>
      <c r="M431" s="4"/>
      <c r="N431" s="4"/>
      <c r="O431" s="4"/>
      <c r="P431" s="4"/>
      <c r="Q431" s="4"/>
      <c r="R431" s="4"/>
      <c r="S431" s="4"/>
      <c r="T431" s="4"/>
      <c r="U431" s="4"/>
      <c r="V431" s="4"/>
      <c r="W431" s="4"/>
      <c r="X431" s="4"/>
    </row>
    <row r="432" spans="1:24" ht="15.75" thickBot="1">
      <c r="A432" s="3"/>
      <c r="B432" s="4"/>
      <c r="C432" s="4"/>
      <c r="D432" s="4"/>
      <c r="E432" s="4"/>
      <c r="F432" s="4"/>
      <c r="G432" s="4"/>
      <c r="H432" s="4"/>
      <c r="I432" s="4"/>
      <c r="J432" s="4"/>
      <c r="K432" s="4"/>
      <c r="L432" s="4"/>
      <c r="M432" s="4"/>
      <c r="N432" s="4"/>
      <c r="O432" s="4"/>
      <c r="P432" s="4"/>
      <c r="Q432" s="4"/>
      <c r="R432" s="4"/>
      <c r="S432" s="4"/>
      <c r="T432" s="4"/>
      <c r="U432" s="4"/>
      <c r="V432" s="4"/>
      <c r="W432" s="4"/>
      <c r="X432" s="4"/>
    </row>
    <row r="433" spans="1:24" ht="15.75" thickBot="1">
      <c r="A433" s="3"/>
      <c r="B433" s="4"/>
      <c r="C433" s="4"/>
      <c r="D433" s="4"/>
      <c r="E433" s="4"/>
      <c r="F433" s="4"/>
      <c r="G433" s="4"/>
      <c r="H433" s="4"/>
      <c r="I433" s="4"/>
      <c r="J433" s="4"/>
      <c r="K433" s="4"/>
      <c r="L433" s="4"/>
      <c r="M433" s="4"/>
      <c r="N433" s="4"/>
      <c r="O433" s="4"/>
      <c r="P433" s="4"/>
      <c r="Q433" s="4"/>
      <c r="R433" s="4"/>
      <c r="S433" s="4"/>
      <c r="T433" s="4"/>
      <c r="U433" s="4"/>
      <c r="V433" s="4"/>
      <c r="W433" s="4"/>
      <c r="X433" s="4"/>
    </row>
    <row r="434" spans="1:24" ht="15.75" thickBot="1">
      <c r="A434" s="3"/>
      <c r="B434" s="4"/>
      <c r="C434" s="4"/>
      <c r="D434" s="4"/>
      <c r="E434" s="4"/>
      <c r="F434" s="4"/>
      <c r="G434" s="4"/>
      <c r="H434" s="4"/>
      <c r="I434" s="4"/>
      <c r="J434" s="4"/>
      <c r="K434" s="4"/>
      <c r="L434" s="4"/>
      <c r="M434" s="4"/>
      <c r="N434" s="4"/>
      <c r="O434" s="4"/>
      <c r="P434" s="4"/>
      <c r="Q434" s="4"/>
      <c r="R434" s="4"/>
      <c r="S434" s="4"/>
      <c r="T434" s="4"/>
      <c r="U434" s="4"/>
      <c r="V434" s="4"/>
      <c r="W434" s="4"/>
      <c r="X434" s="4"/>
    </row>
    <row r="435" spans="1:24" ht="15.75" thickBot="1">
      <c r="A435" s="3"/>
      <c r="B435" s="4"/>
      <c r="C435" s="4"/>
      <c r="D435" s="4"/>
      <c r="E435" s="4"/>
      <c r="F435" s="4"/>
      <c r="G435" s="4"/>
      <c r="H435" s="4"/>
      <c r="I435" s="4"/>
      <c r="J435" s="4"/>
      <c r="K435" s="4"/>
      <c r="L435" s="4"/>
      <c r="M435" s="4"/>
      <c r="N435" s="4"/>
      <c r="O435" s="4"/>
      <c r="P435" s="4"/>
      <c r="Q435" s="4"/>
      <c r="R435" s="4"/>
      <c r="S435" s="4"/>
      <c r="T435" s="4"/>
      <c r="U435" s="4"/>
      <c r="V435" s="4"/>
      <c r="W435" s="4"/>
      <c r="X435" s="4"/>
    </row>
    <row r="436" spans="1:24" ht="15.75" thickBot="1">
      <c r="A436" s="3"/>
      <c r="B436" s="4"/>
      <c r="C436" s="4"/>
      <c r="D436" s="4"/>
      <c r="E436" s="4"/>
      <c r="F436" s="4"/>
      <c r="G436" s="4"/>
      <c r="H436" s="4"/>
      <c r="I436" s="4"/>
      <c r="J436" s="4"/>
      <c r="K436" s="4"/>
      <c r="L436" s="4"/>
      <c r="M436" s="4"/>
      <c r="N436" s="4"/>
      <c r="O436" s="4"/>
      <c r="P436" s="4"/>
      <c r="Q436" s="4"/>
      <c r="R436" s="4"/>
      <c r="S436" s="4"/>
      <c r="T436" s="4"/>
      <c r="U436" s="4"/>
      <c r="V436" s="4"/>
      <c r="W436" s="4"/>
      <c r="X436" s="4"/>
    </row>
    <row r="437" spans="1:24" ht="15.75" thickBot="1">
      <c r="A437" s="3"/>
      <c r="B437" s="4"/>
      <c r="C437" s="4"/>
      <c r="D437" s="4"/>
      <c r="E437" s="4"/>
      <c r="F437" s="4"/>
      <c r="G437" s="4"/>
      <c r="H437" s="4"/>
      <c r="I437" s="4"/>
      <c r="J437" s="4"/>
      <c r="K437" s="4"/>
      <c r="L437" s="4"/>
      <c r="M437" s="4"/>
      <c r="N437" s="4"/>
      <c r="O437" s="4"/>
      <c r="P437" s="4"/>
      <c r="Q437" s="4"/>
      <c r="R437" s="4"/>
      <c r="S437" s="4"/>
      <c r="T437" s="4"/>
      <c r="U437" s="4"/>
      <c r="V437" s="4"/>
      <c r="W437" s="4"/>
      <c r="X437" s="4"/>
    </row>
    <row r="438" spans="1:24" ht="15.75" thickBot="1">
      <c r="A438" s="3"/>
      <c r="B438" s="4"/>
      <c r="C438" s="4"/>
      <c r="D438" s="4"/>
      <c r="E438" s="4"/>
      <c r="F438" s="4"/>
      <c r="G438" s="4"/>
      <c r="H438" s="4"/>
      <c r="I438" s="4"/>
      <c r="J438" s="4"/>
      <c r="K438" s="4"/>
      <c r="L438" s="4"/>
      <c r="M438" s="4"/>
      <c r="N438" s="4"/>
      <c r="O438" s="4"/>
      <c r="P438" s="4"/>
      <c r="Q438" s="4"/>
      <c r="R438" s="4"/>
      <c r="S438" s="4"/>
      <c r="T438" s="4"/>
      <c r="U438" s="4"/>
      <c r="V438" s="4"/>
      <c r="W438" s="4"/>
      <c r="X438" s="4"/>
    </row>
    <row r="439" spans="1:24" ht="15.75" thickBot="1">
      <c r="A439" s="3"/>
      <c r="B439" s="4"/>
      <c r="C439" s="4"/>
      <c r="D439" s="4"/>
      <c r="E439" s="4"/>
      <c r="F439" s="4"/>
      <c r="G439" s="4"/>
      <c r="H439" s="4"/>
      <c r="I439" s="4"/>
      <c r="J439" s="4"/>
      <c r="K439" s="4"/>
      <c r="L439" s="4"/>
      <c r="M439" s="4"/>
      <c r="N439" s="4"/>
      <c r="O439" s="4"/>
      <c r="P439" s="4"/>
      <c r="Q439" s="4"/>
      <c r="R439" s="4"/>
      <c r="S439" s="4"/>
      <c r="T439" s="4"/>
      <c r="U439" s="4"/>
      <c r="V439" s="4"/>
      <c r="W439" s="4"/>
      <c r="X439" s="4"/>
    </row>
    <row r="440" spans="1:24" ht="15.75" thickBot="1">
      <c r="A440" s="3"/>
      <c r="B440" s="4"/>
      <c r="C440" s="4"/>
      <c r="D440" s="4"/>
      <c r="E440" s="4"/>
      <c r="F440" s="4"/>
      <c r="G440" s="4"/>
      <c r="H440" s="4"/>
      <c r="I440" s="4"/>
      <c r="J440" s="4"/>
      <c r="K440" s="4"/>
      <c r="L440" s="4"/>
      <c r="M440" s="4"/>
      <c r="N440" s="4"/>
      <c r="O440" s="4"/>
      <c r="P440" s="4"/>
      <c r="Q440" s="4"/>
      <c r="R440" s="4"/>
      <c r="S440" s="4"/>
      <c r="T440" s="4"/>
      <c r="U440" s="4"/>
      <c r="V440" s="4"/>
      <c r="W440" s="4"/>
      <c r="X440" s="4"/>
    </row>
    <row r="441" spans="1:24" ht="15.75" thickBot="1">
      <c r="A441" s="3"/>
      <c r="B441" s="4"/>
      <c r="C441" s="4"/>
      <c r="D441" s="4"/>
      <c r="E441" s="4"/>
      <c r="F441" s="4"/>
      <c r="G441" s="4"/>
      <c r="H441" s="4"/>
      <c r="I441" s="4"/>
      <c r="J441" s="4"/>
      <c r="K441" s="4"/>
      <c r="L441" s="4"/>
      <c r="M441" s="4"/>
      <c r="N441" s="4"/>
      <c r="O441" s="4"/>
      <c r="P441" s="4"/>
      <c r="Q441" s="4"/>
      <c r="R441" s="4"/>
      <c r="S441" s="4"/>
      <c r="T441" s="4"/>
      <c r="U441" s="4"/>
      <c r="V441" s="4"/>
      <c r="W441" s="4"/>
      <c r="X441" s="4"/>
    </row>
    <row r="442" spans="1:24" ht="15.75" thickBot="1">
      <c r="A442" s="3"/>
      <c r="B442" s="4"/>
      <c r="C442" s="4"/>
      <c r="D442" s="4"/>
      <c r="E442" s="4"/>
      <c r="F442" s="4"/>
      <c r="G442" s="4"/>
      <c r="H442" s="4"/>
      <c r="I442" s="4"/>
      <c r="J442" s="4"/>
      <c r="K442" s="4"/>
      <c r="L442" s="4"/>
      <c r="M442" s="4"/>
      <c r="N442" s="4"/>
      <c r="O442" s="4"/>
      <c r="P442" s="4"/>
      <c r="Q442" s="4"/>
      <c r="R442" s="4"/>
      <c r="S442" s="4"/>
      <c r="T442" s="4"/>
      <c r="U442" s="4"/>
      <c r="V442" s="4"/>
      <c r="W442" s="4"/>
      <c r="X442" s="4"/>
    </row>
    <row r="443" spans="1:24" ht="15.75" thickBot="1">
      <c r="A443" s="3"/>
      <c r="B443" s="4"/>
      <c r="C443" s="4"/>
      <c r="D443" s="4"/>
      <c r="E443" s="4"/>
      <c r="F443" s="4"/>
      <c r="G443" s="4"/>
      <c r="H443" s="4"/>
      <c r="I443" s="4"/>
      <c r="J443" s="4"/>
      <c r="K443" s="4"/>
      <c r="L443" s="4"/>
      <c r="M443" s="4"/>
      <c r="N443" s="4"/>
      <c r="O443" s="4"/>
      <c r="P443" s="4"/>
      <c r="Q443" s="4"/>
      <c r="R443" s="4"/>
      <c r="S443" s="4"/>
      <c r="T443" s="4"/>
      <c r="U443" s="4"/>
      <c r="V443" s="4"/>
      <c r="W443" s="4"/>
      <c r="X443" s="4"/>
    </row>
    <row r="444" spans="1:24" ht="15.75" thickBot="1">
      <c r="A444" s="3"/>
      <c r="B444" s="4"/>
      <c r="C444" s="4"/>
      <c r="D444" s="4"/>
      <c r="E444" s="4"/>
      <c r="F444" s="4"/>
      <c r="G444" s="4"/>
      <c r="H444" s="4"/>
      <c r="I444" s="4"/>
      <c r="J444" s="4"/>
      <c r="K444" s="4"/>
      <c r="L444" s="4"/>
      <c r="M444" s="4"/>
      <c r="N444" s="4"/>
      <c r="O444" s="4"/>
      <c r="P444" s="4"/>
      <c r="Q444" s="4"/>
      <c r="R444" s="4"/>
      <c r="S444" s="4"/>
      <c r="T444" s="4"/>
      <c r="U444" s="4"/>
      <c r="V444" s="4"/>
      <c r="W444" s="4"/>
      <c r="X444" s="4"/>
    </row>
    <row r="445" spans="1:24" ht="15.75" thickBot="1">
      <c r="A445" s="3"/>
      <c r="B445" s="4"/>
      <c r="C445" s="4"/>
      <c r="D445" s="4"/>
      <c r="E445" s="4"/>
      <c r="F445" s="4"/>
      <c r="G445" s="4"/>
      <c r="H445" s="4"/>
      <c r="I445" s="4"/>
      <c r="J445" s="4"/>
      <c r="K445" s="4"/>
      <c r="L445" s="4"/>
      <c r="M445" s="4"/>
      <c r="N445" s="4"/>
      <c r="O445" s="4"/>
      <c r="P445" s="4"/>
      <c r="Q445" s="4"/>
      <c r="R445" s="4"/>
      <c r="S445" s="4"/>
      <c r="T445" s="4"/>
      <c r="U445" s="4"/>
      <c r="V445" s="4"/>
      <c r="W445" s="4"/>
      <c r="X445" s="4"/>
    </row>
    <row r="446" spans="1:24" ht="15.75" thickBot="1">
      <c r="A446" s="3"/>
      <c r="B446" s="4"/>
      <c r="C446" s="4"/>
      <c r="D446" s="4"/>
      <c r="E446" s="4"/>
      <c r="F446" s="4"/>
      <c r="G446" s="4"/>
      <c r="H446" s="4"/>
      <c r="I446" s="4"/>
      <c r="J446" s="4"/>
      <c r="K446" s="4"/>
      <c r="L446" s="4"/>
      <c r="M446" s="4"/>
      <c r="N446" s="4"/>
      <c r="O446" s="4"/>
      <c r="P446" s="4"/>
      <c r="Q446" s="4"/>
      <c r="R446" s="4"/>
      <c r="S446" s="4"/>
      <c r="T446" s="4"/>
      <c r="U446" s="4"/>
      <c r="V446" s="4"/>
      <c r="W446" s="4"/>
      <c r="X446" s="4"/>
    </row>
    <row r="447" spans="1:24" ht="15.75" thickBot="1">
      <c r="A447" s="3"/>
      <c r="B447" s="4"/>
      <c r="C447" s="4"/>
      <c r="D447" s="4"/>
      <c r="E447" s="4"/>
      <c r="F447" s="4"/>
      <c r="G447" s="4"/>
      <c r="H447" s="4"/>
      <c r="I447" s="4"/>
      <c r="J447" s="4"/>
      <c r="K447" s="4"/>
      <c r="L447" s="4"/>
      <c r="M447" s="4"/>
      <c r="N447" s="4"/>
      <c r="O447" s="4"/>
      <c r="P447" s="4"/>
      <c r="Q447" s="4"/>
      <c r="R447" s="4"/>
      <c r="S447" s="4"/>
      <c r="T447" s="4"/>
      <c r="U447" s="4"/>
      <c r="V447" s="4"/>
      <c r="W447" s="4"/>
      <c r="X447" s="4"/>
    </row>
    <row r="448" spans="1:24" ht="15.75" thickBot="1">
      <c r="A448" s="3"/>
      <c r="B448" s="4"/>
      <c r="C448" s="4"/>
      <c r="D448" s="4"/>
      <c r="E448" s="4"/>
      <c r="F448" s="4"/>
      <c r="G448" s="4"/>
      <c r="H448" s="4"/>
      <c r="I448" s="4"/>
      <c r="J448" s="4"/>
      <c r="K448" s="4"/>
      <c r="L448" s="4"/>
      <c r="M448" s="4"/>
      <c r="N448" s="4"/>
      <c r="O448" s="4"/>
      <c r="P448" s="4"/>
      <c r="Q448" s="4"/>
      <c r="R448" s="4"/>
      <c r="S448" s="4"/>
      <c r="T448" s="4"/>
      <c r="U448" s="4"/>
      <c r="V448" s="4"/>
      <c r="W448" s="4"/>
      <c r="X448" s="4"/>
    </row>
    <row r="449" spans="1:24" ht="15.75" thickBot="1">
      <c r="A449" s="3"/>
      <c r="B449" s="4"/>
      <c r="C449" s="4"/>
      <c r="D449" s="4"/>
      <c r="E449" s="4"/>
      <c r="F449" s="4"/>
      <c r="G449" s="4"/>
      <c r="H449" s="4"/>
      <c r="I449" s="4"/>
      <c r="J449" s="4"/>
      <c r="K449" s="4"/>
      <c r="L449" s="4"/>
      <c r="M449" s="4"/>
      <c r="N449" s="4"/>
      <c r="O449" s="4"/>
      <c r="P449" s="4"/>
      <c r="Q449" s="4"/>
      <c r="R449" s="4"/>
      <c r="S449" s="4"/>
      <c r="T449" s="4"/>
      <c r="U449" s="4"/>
      <c r="V449" s="4"/>
      <c r="W449" s="4"/>
      <c r="X449" s="4"/>
    </row>
    <row r="450" spans="1:24" ht="15.75" thickBot="1">
      <c r="A450" s="3"/>
      <c r="B450" s="4"/>
      <c r="C450" s="4"/>
      <c r="D450" s="4"/>
      <c r="E450" s="4"/>
      <c r="F450" s="4"/>
      <c r="G450" s="4"/>
      <c r="H450" s="4"/>
      <c r="I450" s="4"/>
      <c r="J450" s="4"/>
      <c r="K450" s="4"/>
      <c r="L450" s="4"/>
      <c r="M450" s="4"/>
      <c r="N450" s="4"/>
      <c r="O450" s="4"/>
      <c r="P450" s="4"/>
      <c r="Q450" s="4"/>
      <c r="R450" s="4"/>
      <c r="S450" s="4"/>
      <c r="T450" s="4"/>
      <c r="U450" s="4"/>
      <c r="V450" s="4"/>
      <c r="W450" s="4"/>
      <c r="X450" s="4"/>
    </row>
    <row r="451" spans="1:24" ht="15.75" thickBot="1">
      <c r="A451" s="3"/>
      <c r="B451" s="4"/>
      <c r="C451" s="4"/>
      <c r="D451" s="4"/>
      <c r="E451" s="4"/>
      <c r="F451" s="4"/>
      <c r="G451" s="4"/>
      <c r="H451" s="4"/>
      <c r="I451" s="4"/>
      <c r="J451" s="4"/>
      <c r="K451" s="4"/>
      <c r="L451" s="4"/>
      <c r="M451" s="4"/>
      <c r="N451" s="4"/>
      <c r="O451" s="4"/>
      <c r="P451" s="4"/>
      <c r="Q451" s="4"/>
      <c r="R451" s="4"/>
      <c r="S451" s="4"/>
      <c r="T451" s="4"/>
      <c r="U451" s="4"/>
      <c r="V451" s="4"/>
      <c r="W451" s="4"/>
      <c r="X451" s="4"/>
    </row>
    <row r="452" spans="1:24" ht="15.75" thickBot="1">
      <c r="A452" s="3"/>
      <c r="B452" s="4"/>
      <c r="C452" s="4"/>
      <c r="D452" s="4"/>
      <c r="E452" s="4"/>
      <c r="F452" s="4"/>
      <c r="G452" s="4"/>
      <c r="H452" s="4"/>
      <c r="I452" s="4"/>
      <c r="J452" s="4"/>
      <c r="K452" s="4"/>
      <c r="L452" s="4"/>
      <c r="M452" s="4"/>
      <c r="N452" s="4"/>
      <c r="O452" s="4"/>
      <c r="P452" s="4"/>
      <c r="Q452" s="4"/>
      <c r="R452" s="4"/>
      <c r="S452" s="4"/>
      <c r="T452" s="4"/>
      <c r="U452" s="4"/>
      <c r="V452" s="4"/>
      <c r="W452" s="4"/>
      <c r="X452" s="4"/>
    </row>
    <row r="453" spans="1:24" ht="15.75" thickBot="1">
      <c r="A453" s="3"/>
      <c r="B453" s="4"/>
      <c r="C453" s="4"/>
      <c r="D453" s="4"/>
      <c r="E453" s="4"/>
      <c r="F453" s="4"/>
      <c r="G453" s="4"/>
      <c r="H453" s="4"/>
      <c r="I453" s="4"/>
      <c r="J453" s="4"/>
      <c r="K453" s="4"/>
      <c r="L453" s="4"/>
      <c r="M453" s="4"/>
      <c r="N453" s="4"/>
      <c r="O453" s="4"/>
      <c r="P453" s="4"/>
      <c r="Q453" s="4"/>
      <c r="R453" s="4"/>
      <c r="S453" s="4"/>
      <c r="T453" s="4"/>
      <c r="U453" s="4"/>
      <c r="V453" s="4"/>
      <c r="W453" s="4"/>
      <c r="X453" s="4"/>
    </row>
    <row r="454" spans="1:24" ht="15.75" thickBot="1">
      <c r="A454" s="3"/>
      <c r="B454" s="4"/>
      <c r="C454" s="4"/>
      <c r="D454" s="4"/>
      <c r="E454" s="4"/>
      <c r="F454" s="4"/>
      <c r="G454" s="4"/>
      <c r="H454" s="4"/>
      <c r="I454" s="4"/>
      <c r="J454" s="4"/>
      <c r="K454" s="4"/>
      <c r="L454" s="4"/>
      <c r="M454" s="4"/>
      <c r="N454" s="4"/>
      <c r="O454" s="4"/>
      <c r="P454" s="4"/>
      <c r="Q454" s="4"/>
      <c r="R454" s="4"/>
      <c r="S454" s="4"/>
      <c r="T454" s="4"/>
      <c r="U454" s="4"/>
      <c r="V454" s="4"/>
      <c r="W454" s="4"/>
      <c r="X454" s="4"/>
    </row>
    <row r="455" spans="1:24" ht="15.75" thickBot="1">
      <c r="A455" s="3"/>
      <c r="B455" s="4"/>
      <c r="C455" s="4"/>
      <c r="D455" s="4"/>
      <c r="E455" s="4"/>
      <c r="F455" s="4"/>
      <c r="G455" s="4"/>
      <c r="H455" s="4"/>
      <c r="I455" s="4"/>
      <c r="J455" s="4"/>
      <c r="K455" s="4"/>
      <c r="L455" s="4"/>
      <c r="M455" s="4"/>
      <c r="N455" s="4"/>
      <c r="O455" s="4"/>
      <c r="P455" s="4"/>
      <c r="Q455" s="4"/>
      <c r="R455" s="4"/>
      <c r="S455" s="4"/>
      <c r="T455" s="4"/>
      <c r="U455" s="4"/>
      <c r="V455" s="4"/>
      <c r="W455" s="4"/>
      <c r="X455" s="4"/>
    </row>
    <row r="456" spans="1:24" ht="15.75" thickBot="1">
      <c r="A456" s="3"/>
      <c r="B456" s="4"/>
      <c r="C456" s="4"/>
      <c r="D456" s="4"/>
      <c r="E456" s="4"/>
      <c r="F456" s="4"/>
      <c r="G456" s="4"/>
      <c r="H456" s="4"/>
      <c r="I456" s="4"/>
      <c r="J456" s="4"/>
      <c r="K456" s="4"/>
      <c r="L456" s="4"/>
      <c r="M456" s="4"/>
      <c r="N456" s="4"/>
      <c r="O456" s="4"/>
      <c r="P456" s="4"/>
      <c r="Q456" s="4"/>
      <c r="R456" s="4"/>
      <c r="S456" s="4"/>
      <c r="T456" s="4"/>
      <c r="U456" s="4"/>
      <c r="V456" s="4"/>
      <c r="W456" s="4"/>
      <c r="X456" s="4"/>
    </row>
    <row r="457" spans="1:24" ht="15.75" thickBot="1">
      <c r="A457" s="3"/>
      <c r="B457" s="4"/>
      <c r="C457" s="4"/>
      <c r="D457" s="4"/>
      <c r="E457" s="4"/>
      <c r="F457" s="4"/>
      <c r="G457" s="4"/>
      <c r="H457" s="4"/>
      <c r="I457" s="4"/>
      <c r="J457" s="4"/>
      <c r="K457" s="4"/>
      <c r="L457" s="4"/>
      <c r="M457" s="4"/>
      <c r="N457" s="4"/>
      <c r="O457" s="4"/>
      <c r="P457" s="4"/>
      <c r="Q457" s="4"/>
      <c r="R457" s="4"/>
      <c r="S457" s="4"/>
      <c r="T457" s="4"/>
      <c r="U457" s="4"/>
      <c r="V457" s="4"/>
      <c r="W457" s="4"/>
      <c r="X457" s="4"/>
    </row>
    <row r="458" spans="1:24" ht="15.75" thickBot="1">
      <c r="A458" s="3"/>
      <c r="B458" s="4"/>
      <c r="C458" s="4"/>
      <c r="D458" s="4"/>
      <c r="E458" s="4"/>
      <c r="F458" s="4"/>
      <c r="G458" s="4"/>
      <c r="H458" s="4"/>
      <c r="I458" s="4"/>
      <c r="J458" s="4"/>
      <c r="K458" s="4"/>
      <c r="L458" s="4"/>
      <c r="M458" s="4"/>
      <c r="N458" s="4"/>
      <c r="O458" s="4"/>
      <c r="P458" s="4"/>
      <c r="Q458" s="4"/>
      <c r="R458" s="4"/>
      <c r="S458" s="4"/>
      <c r="T458" s="4"/>
      <c r="U458" s="4"/>
      <c r="V458" s="4"/>
      <c r="W458" s="4"/>
      <c r="X458" s="4"/>
    </row>
    <row r="459" spans="1:24" ht="15.75" thickBot="1">
      <c r="A459" s="3"/>
      <c r="B459" s="4"/>
      <c r="C459" s="4"/>
      <c r="D459" s="4"/>
      <c r="E459" s="4"/>
      <c r="F459" s="4"/>
      <c r="G459" s="4"/>
      <c r="H459" s="4"/>
      <c r="I459" s="4"/>
      <c r="J459" s="4"/>
      <c r="K459" s="4"/>
      <c r="L459" s="4"/>
      <c r="M459" s="4"/>
      <c r="N459" s="4"/>
      <c r="O459" s="4"/>
      <c r="P459" s="4"/>
      <c r="Q459" s="4"/>
      <c r="R459" s="4"/>
      <c r="S459" s="4"/>
      <c r="T459" s="4"/>
      <c r="U459" s="4"/>
      <c r="V459" s="4"/>
      <c r="W459" s="4"/>
      <c r="X459" s="4"/>
    </row>
    <row r="460" spans="1:24" ht="15.75" thickBot="1">
      <c r="A460" s="3"/>
      <c r="B460" s="4"/>
      <c r="C460" s="4"/>
      <c r="D460" s="4"/>
      <c r="E460" s="4"/>
      <c r="F460" s="4"/>
      <c r="G460" s="4"/>
      <c r="H460" s="4"/>
      <c r="I460" s="4"/>
      <c r="J460" s="4"/>
      <c r="K460" s="4"/>
      <c r="L460" s="4"/>
      <c r="M460" s="4"/>
      <c r="N460" s="4"/>
      <c r="O460" s="4"/>
      <c r="P460" s="4"/>
      <c r="Q460" s="4"/>
      <c r="R460" s="4"/>
      <c r="S460" s="4"/>
      <c r="T460" s="4"/>
      <c r="U460" s="4"/>
      <c r="V460" s="4"/>
      <c r="W460" s="4"/>
      <c r="X460" s="4"/>
    </row>
    <row r="461" spans="1:24" ht="15.75" thickBot="1">
      <c r="A461" s="3"/>
      <c r="B461" s="4"/>
      <c r="C461" s="4"/>
      <c r="D461" s="4"/>
      <c r="E461" s="4"/>
      <c r="F461" s="4"/>
      <c r="G461" s="4"/>
      <c r="H461" s="4"/>
      <c r="I461" s="4"/>
      <c r="J461" s="4"/>
      <c r="K461" s="4"/>
      <c r="L461" s="4"/>
      <c r="M461" s="4"/>
      <c r="N461" s="4"/>
      <c r="O461" s="4"/>
      <c r="P461" s="4"/>
      <c r="Q461" s="4"/>
      <c r="R461" s="4"/>
      <c r="S461" s="4"/>
      <c r="T461" s="4"/>
      <c r="U461" s="4"/>
      <c r="V461" s="4"/>
      <c r="W461" s="4"/>
      <c r="X461" s="4"/>
    </row>
    <row r="462" spans="1:24" ht="15.75" thickBot="1">
      <c r="A462" s="3"/>
      <c r="B462" s="4"/>
      <c r="C462" s="4"/>
      <c r="D462" s="4"/>
      <c r="E462" s="4"/>
      <c r="F462" s="4"/>
      <c r="G462" s="4"/>
      <c r="H462" s="4"/>
      <c r="I462" s="4"/>
      <c r="J462" s="4"/>
      <c r="K462" s="4"/>
      <c r="L462" s="4"/>
      <c r="M462" s="4"/>
      <c r="N462" s="4"/>
      <c r="O462" s="4"/>
      <c r="P462" s="4"/>
      <c r="Q462" s="4"/>
      <c r="R462" s="4"/>
      <c r="S462" s="4"/>
      <c r="T462" s="4"/>
      <c r="U462" s="4"/>
      <c r="V462" s="4"/>
      <c r="W462" s="4"/>
      <c r="X462" s="4"/>
    </row>
    <row r="463" spans="1:24" ht="15.75" thickBot="1">
      <c r="A463" s="3"/>
      <c r="B463" s="4"/>
      <c r="C463" s="4"/>
      <c r="D463" s="4"/>
      <c r="E463" s="4"/>
      <c r="F463" s="4"/>
      <c r="G463" s="4"/>
      <c r="H463" s="4"/>
      <c r="I463" s="4"/>
      <c r="J463" s="4"/>
      <c r="K463" s="4"/>
      <c r="L463" s="4"/>
      <c r="M463" s="4"/>
      <c r="N463" s="4"/>
      <c r="O463" s="4"/>
      <c r="P463" s="4"/>
      <c r="Q463" s="4"/>
      <c r="R463" s="4"/>
      <c r="S463" s="4"/>
      <c r="T463" s="4"/>
      <c r="U463" s="4"/>
      <c r="V463" s="4"/>
      <c r="W463" s="4"/>
      <c r="X463" s="4"/>
    </row>
    <row r="464" spans="1:24" ht="15.75" thickBot="1">
      <c r="A464" s="3"/>
      <c r="B464" s="4"/>
      <c r="C464" s="4"/>
      <c r="D464" s="4"/>
      <c r="E464" s="4"/>
      <c r="F464" s="4"/>
      <c r="G464" s="4"/>
      <c r="H464" s="4"/>
      <c r="I464" s="4"/>
      <c r="J464" s="4"/>
      <c r="K464" s="4"/>
      <c r="L464" s="4"/>
      <c r="M464" s="4"/>
      <c r="N464" s="4"/>
      <c r="O464" s="4"/>
      <c r="P464" s="4"/>
      <c r="Q464" s="4"/>
      <c r="R464" s="4"/>
      <c r="S464" s="4"/>
      <c r="T464" s="4"/>
      <c r="U464" s="4"/>
      <c r="V464" s="4"/>
      <c r="W464" s="4"/>
      <c r="X464" s="4"/>
    </row>
    <row r="465" spans="1:24" ht="15.75" thickBot="1">
      <c r="A465" s="3"/>
      <c r="B465" s="4"/>
      <c r="C465" s="4"/>
      <c r="D465" s="4"/>
      <c r="E465" s="4"/>
      <c r="F465" s="4"/>
      <c r="G465" s="4"/>
      <c r="H465" s="4"/>
      <c r="I465" s="4"/>
      <c r="J465" s="4"/>
      <c r="K465" s="4"/>
      <c r="L465" s="4"/>
      <c r="M465" s="4"/>
      <c r="N465" s="4"/>
      <c r="O465" s="4"/>
      <c r="P465" s="4"/>
      <c r="Q465" s="4"/>
      <c r="R465" s="4"/>
      <c r="S465" s="4"/>
      <c r="T465" s="4"/>
      <c r="U465" s="4"/>
      <c r="V465" s="4"/>
      <c r="W465" s="4"/>
      <c r="X465" s="4"/>
    </row>
    <row r="466" spans="1:24" ht="15.75" thickBot="1">
      <c r="A466" s="3"/>
      <c r="B466" s="4"/>
      <c r="C466" s="4"/>
      <c r="D466" s="4"/>
      <c r="E466" s="4"/>
      <c r="F466" s="4"/>
      <c r="G466" s="4"/>
      <c r="H466" s="4"/>
      <c r="I466" s="4"/>
      <c r="J466" s="4"/>
      <c r="K466" s="4"/>
      <c r="L466" s="4"/>
      <c r="M466" s="4"/>
      <c r="N466" s="4"/>
      <c r="O466" s="4"/>
      <c r="P466" s="4"/>
      <c r="Q466" s="4"/>
      <c r="R466" s="4"/>
      <c r="S466" s="4"/>
      <c r="T466" s="4"/>
      <c r="U466" s="4"/>
      <c r="V466" s="4"/>
      <c r="W466" s="4"/>
      <c r="X466" s="4"/>
    </row>
    <row r="467" spans="1:24" ht="15.75" thickBot="1">
      <c r="A467" s="3"/>
      <c r="B467" s="4"/>
      <c r="C467" s="4"/>
      <c r="D467" s="4"/>
      <c r="E467" s="4"/>
      <c r="F467" s="4"/>
      <c r="G467" s="4"/>
      <c r="H467" s="4"/>
      <c r="I467" s="4"/>
      <c r="J467" s="4"/>
      <c r="K467" s="4"/>
      <c r="L467" s="4"/>
      <c r="M467" s="4"/>
      <c r="N467" s="4"/>
      <c r="O467" s="4"/>
      <c r="P467" s="4"/>
      <c r="Q467" s="4"/>
      <c r="R467" s="4"/>
      <c r="S467" s="4"/>
      <c r="T467" s="4"/>
      <c r="U467" s="4"/>
      <c r="V467" s="4"/>
      <c r="W467" s="4"/>
      <c r="X467" s="4"/>
    </row>
    <row r="468" spans="1:24" ht="15.75" thickBot="1">
      <c r="A468" s="3"/>
      <c r="B468" s="4"/>
      <c r="C468" s="4"/>
      <c r="D468" s="4"/>
      <c r="E468" s="4"/>
      <c r="F468" s="4"/>
      <c r="G468" s="4"/>
      <c r="H468" s="4"/>
      <c r="I468" s="4"/>
      <c r="J468" s="4"/>
      <c r="K468" s="4"/>
      <c r="L468" s="4"/>
      <c r="M468" s="4"/>
      <c r="N468" s="4"/>
      <c r="O468" s="4"/>
      <c r="P468" s="4"/>
      <c r="Q468" s="4"/>
      <c r="R468" s="4"/>
      <c r="S468" s="4"/>
      <c r="T468" s="4"/>
      <c r="U468" s="4"/>
      <c r="V468" s="4"/>
      <c r="W468" s="4"/>
      <c r="X468" s="4"/>
    </row>
    <row r="469" spans="1:24" ht="15.75" thickBot="1">
      <c r="A469" s="3"/>
      <c r="B469" s="4"/>
      <c r="C469" s="4"/>
      <c r="D469" s="4"/>
      <c r="E469" s="4"/>
      <c r="F469" s="4"/>
      <c r="G469" s="4"/>
      <c r="H469" s="4"/>
      <c r="I469" s="4"/>
      <c r="J469" s="4"/>
      <c r="K469" s="4"/>
      <c r="L469" s="4"/>
      <c r="M469" s="4"/>
      <c r="N469" s="4"/>
      <c r="O469" s="4"/>
      <c r="P469" s="4"/>
      <c r="Q469" s="4"/>
      <c r="R469" s="4"/>
      <c r="S469" s="4"/>
      <c r="T469" s="4"/>
      <c r="U469" s="4"/>
      <c r="V469" s="4"/>
      <c r="W469" s="4"/>
      <c r="X469" s="4"/>
    </row>
    <row r="470" spans="1:24" ht="15.75" thickBot="1">
      <c r="A470" s="3"/>
      <c r="B470" s="4"/>
      <c r="C470" s="4"/>
      <c r="D470" s="4"/>
      <c r="E470" s="4"/>
      <c r="F470" s="4"/>
      <c r="G470" s="4"/>
      <c r="H470" s="4"/>
      <c r="I470" s="4"/>
      <c r="J470" s="4"/>
      <c r="K470" s="4"/>
      <c r="L470" s="4"/>
      <c r="M470" s="4"/>
      <c r="N470" s="4"/>
      <c r="O470" s="4"/>
      <c r="P470" s="4"/>
      <c r="Q470" s="4"/>
      <c r="R470" s="4"/>
      <c r="S470" s="4"/>
      <c r="T470" s="4"/>
      <c r="U470" s="4"/>
      <c r="V470" s="4"/>
      <c r="W470" s="4"/>
      <c r="X470" s="4"/>
    </row>
    <row r="471" spans="1:24" ht="15.75" thickBot="1">
      <c r="A471" s="3"/>
      <c r="B471" s="4"/>
      <c r="C471" s="4"/>
      <c r="D471" s="4"/>
      <c r="E471" s="4"/>
      <c r="F471" s="4"/>
      <c r="G471" s="4"/>
      <c r="H471" s="4"/>
      <c r="I471" s="4"/>
      <c r="J471" s="4"/>
      <c r="K471" s="4"/>
      <c r="L471" s="4"/>
      <c r="M471" s="4"/>
      <c r="N471" s="4"/>
      <c r="O471" s="4"/>
      <c r="P471" s="4"/>
      <c r="Q471" s="4"/>
      <c r="R471" s="4"/>
      <c r="S471" s="4"/>
      <c r="T471" s="4"/>
      <c r="U471" s="4"/>
      <c r="V471" s="4"/>
      <c r="W471" s="4"/>
      <c r="X471" s="4"/>
    </row>
    <row r="472" spans="1:24" ht="15.75" thickBot="1">
      <c r="A472" s="3"/>
      <c r="B472" s="4"/>
      <c r="C472" s="4"/>
      <c r="D472" s="4"/>
      <c r="E472" s="4"/>
      <c r="F472" s="4"/>
      <c r="G472" s="4"/>
      <c r="H472" s="4"/>
      <c r="I472" s="4"/>
      <c r="J472" s="4"/>
      <c r="K472" s="4"/>
      <c r="L472" s="4"/>
      <c r="M472" s="4"/>
      <c r="N472" s="4"/>
      <c r="O472" s="4"/>
      <c r="P472" s="4"/>
      <c r="Q472" s="4"/>
      <c r="R472" s="4"/>
      <c r="S472" s="4"/>
      <c r="T472" s="4"/>
      <c r="U472" s="4"/>
      <c r="V472" s="4"/>
      <c r="W472" s="4"/>
      <c r="X472" s="4"/>
    </row>
    <row r="473" spans="1:24" ht="15.75" thickBot="1">
      <c r="A473" s="3"/>
      <c r="B473" s="4"/>
      <c r="C473" s="4"/>
      <c r="D473" s="4"/>
      <c r="E473" s="4"/>
      <c r="F473" s="4"/>
      <c r="G473" s="4"/>
      <c r="H473" s="4"/>
      <c r="I473" s="4"/>
      <c r="J473" s="4"/>
      <c r="K473" s="4"/>
      <c r="L473" s="4"/>
      <c r="M473" s="4"/>
      <c r="N473" s="4"/>
      <c r="O473" s="4"/>
      <c r="P473" s="4"/>
      <c r="Q473" s="4"/>
      <c r="R473" s="4"/>
      <c r="S473" s="4"/>
      <c r="T473" s="4"/>
      <c r="U473" s="4"/>
      <c r="V473" s="4"/>
      <c r="W473" s="4"/>
      <c r="X473" s="4"/>
    </row>
    <row r="474" spans="1:24" ht="15.75" thickBot="1">
      <c r="A474" s="3"/>
      <c r="B474" s="4"/>
      <c r="C474" s="4"/>
      <c r="D474" s="4"/>
      <c r="E474" s="4"/>
      <c r="F474" s="4"/>
      <c r="G474" s="4"/>
      <c r="H474" s="4"/>
      <c r="I474" s="4"/>
      <c r="J474" s="4"/>
      <c r="K474" s="4"/>
      <c r="L474" s="4"/>
      <c r="M474" s="4"/>
      <c r="N474" s="4"/>
      <c r="O474" s="4"/>
      <c r="P474" s="4"/>
      <c r="Q474" s="4"/>
      <c r="R474" s="4"/>
      <c r="S474" s="4"/>
      <c r="T474" s="4"/>
      <c r="U474" s="4"/>
      <c r="V474" s="4"/>
      <c r="W474" s="4"/>
      <c r="X474" s="4"/>
    </row>
    <row r="475" spans="1:24" ht="15.75" thickBot="1">
      <c r="A475" s="3"/>
      <c r="B475" s="4"/>
      <c r="C475" s="4"/>
      <c r="D475" s="4"/>
      <c r="E475" s="4"/>
      <c r="F475" s="4"/>
      <c r="G475" s="4"/>
      <c r="H475" s="4"/>
      <c r="I475" s="4"/>
      <c r="J475" s="4"/>
      <c r="K475" s="4"/>
      <c r="L475" s="4"/>
      <c r="M475" s="4"/>
      <c r="N475" s="4"/>
      <c r="O475" s="4"/>
      <c r="P475" s="4"/>
      <c r="Q475" s="4"/>
      <c r="R475" s="4"/>
      <c r="S475" s="4"/>
      <c r="T475" s="4"/>
      <c r="U475" s="4"/>
      <c r="V475" s="4"/>
      <c r="W475" s="4"/>
      <c r="X475" s="4"/>
    </row>
    <row r="476" spans="1:24" ht="15.75" thickBot="1">
      <c r="A476" s="3"/>
      <c r="B476" s="4"/>
      <c r="C476" s="4"/>
      <c r="D476" s="4"/>
      <c r="E476" s="4"/>
      <c r="F476" s="4"/>
      <c r="G476" s="4"/>
      <c r="H476" s="4"/>
      <c r="I476" s="4"/>
      <c r="J476" s="4"/>
      <c r="K476" s="4"/>
      <c r="L476" s="4"/>
      <c r="M476" s="4"/>
      <c r="N476" s="4"/>
      <c r="O476" s="4"/>
      <c r="P476" s="4"/>
      <c r="Q476" s="4"/>
      <c r="R476" s="4"/>
      <c r="S476" s="4"/>
      <c r="T476" s="4"/>
      <c r="U476" s="4"/>
      <c r="V476" s="4"/>
      <c r="W476" s="4"/>
      <c r="X476" s="4"/>
    </row>
    <row r="477" spans="1:24" ht="15.75" thickBot="1">
      <c r="A477" s="3"/>
      <c r="B477" s="4"/>
      <c r="C477" s="4"/>
      <c r="D477" s="4"/>
      <c r="E477" s="4"/>
      <c r="F477" s="4"/>
      <c r="G477" s="4"/>
      <c r="H477" s="4"/>
      <c r="I477" s="4"/>
      <c r="J477" s="4"/>
      <c r="K477" s="4"/>
      <c r="L477" s="4"/>
      <c r="M477" s="4"/>
      <c r="N477" s="4"/>
      <c r="O477" s="4"/>
      <c r="P477" s="4"/>
      <c r="Q477" s="4"/>
      <c r="R477" s="4"/>
      <c r="S477" s="4"/>
      <c r="T477" s="4"/>
      <c r="U477" s="4"/>
      <c r="V477" s="4"/>
      <c r="W477" s="4"/>
      <c r="X477" s="4"/>
    </row>
    <row r="478" spans="1:24" ht="15.75" thickBot="1">
      <c r="A478" s="3"/>
      <c r="B478" s="4"/>
      <c r="C478" s="4"/>
      <c r="D478" s="4"/>
      <c r="E478" s="4"/>
      <c r="F478" s="4"/>
      <c r="G478" s="4"/>
      <c r="H478" s="4"/>
      <c r="I478" s="4"/>
      <c r="J478" s="4"/>
      <c r="K478" s="4"/>
      <c r="L478" s="4"/>
      <c r="M478" s="4"/>
      <c r="N478" s="4"/>
      <c r="O478" s="4"/>
      <c r="P478" s="4"/>
      <c r="Q478" s="4"/>
      <c r="R478" s="4"/>
      <c r="S478" s="4"/>
      <c r="T478" s="4"/>
      <c r="U478" s="4"/>
      <c r="V478" s="4"/>
      <c r="W478" s="4"/>
      <c r="X478" s="4"/>
    </row>
    <row r="479" spans="1:24" ht="15.75" thickBot="1">
      <c r="A479" s="3"/>
      <c r="B479" s="4"/>
      <c r="C479" s="4"/>
      <c r="D479" s="4"/>
      <c r="E479" s="4"/>
      <c r="F479" s="4"/>
      <c r="G479" s="4"/>
      <c r="H479" s="4"/>
      <c r="I479" s="4"/>
      <c r="J479" s="4"/>
      <c r="K479" s="4"/>
      <c r="L479" s="4"/>
      <c r="M479" s="4"/>
      <c r="N479" s="4"/>
      <c r="O479" s="4"/>
      <c r="P479" s="4"/>
      <c r="Q479" s="4"/>
      <c r="R479" s="4"/>
      <c r="S479" s="4"/>
      <c r="T479" s="4"/>
      <c r="U479" s="4"/>
      <c r="V479" s="4"/>
      <c r="W479" s="4"/>
      <c r="X479" s="4"/>
    </row>
    <row r="480" spans="1:24" ht="15.75" thickBot="1">
      <c r="A480" s="3"/>
      <c r="B480" s="4"/>
      <c r="C480" s="4"/>
      <c r="D480" s="4"/>
      <c r="E480" s="4"/>
      <c r="F480" s="4"/>
      <c r="G480" s="4"/>
      <c r="H480" s="4"/>
      <c r="I480" s="4"/>
      <c r="J480" s="4"/>
      <c r="K480" s="4"/>
      <c r="L480" s="4"/>
      <c r="M480" s="4"/>
      <c r="N480" s="4"/>
      <c r="O480" s="4"/>
      <c r="P480" s="4"/>
      <c r="Q480" s="4"/>
      <c r="R480" s="4"/>
      <c r="S480" s="4"/>
      <c r="T480" s="4"/>
      <c r="U480" s="4"/>
      <c r="V480" s="4"/>
      <c r="W480" s="4"/>
      <c r="X480" s="4"/>
    </row>
    <row r="481" spans="1:24" ht="15.75" thickBot="1">
      <c r="A481" s="3"/>
      <c r="B481" s="4"/>
      <c r="C481" s="4"/>
      <c r="D481" s="4"/>
      <c r="E481" s="4"/>
      <c r="F481" s="4"/>
      <c r="G481" s="4"/>
      <c r="H481" s="4"/>
      <c r="I481" s="4"/>
      <c r="J481" s="4"/>
      <c r="K481" s="4"/>
      <c r="L481" s="4"/>
      <c r="M481" s="4"/>
      <c r="N481" s="4"/>
      <c r="O481" s="4"/>
      <c r="P481" s="4"/>
      <c r="Q481" s="4"/>
      <c r="R481" s="4"/>
      <c r="S481" s="4"/>
      <c r="T481" s="4"/>
      <c r="U481" s="4"/>
      <c r="V481" s="4"/>
      <c r="W481" s="4"/>
      <c r="X481" s="4"/>
    </row>
    <row r="482" spans="1:24" ht="15.75" thickBot="1">
      <c r="A482" s="3"/>
      <c r="B482" s="4"/>
      <c r="C482" s="4"/>
      <c r="D482" s="4"/>
      <c r="E482" s="4"/>
      <c r="F482" s="4"/>
      <c r="G482" s="4"/>
      <c r="H482" s="4"/>
      <c r="I482" s="4"/>
      <c r="J482" s="4"/>
      <c r="K482" s="4"/>
      <c r="L482" s="4"/>
      <c r="M482" s="4"/>
      <c r="N482" s="4"/>
      <c r="O482" s="4"/>
      <c r="P482" s="4"/>
      <c r="Q482" s="4"/>
      <c r="R482" s="4"/>
      <c r="S482" s="4"/>
      <c r="T482" s="4"/>
      <c r="U482" s="4"/>
      <c r="V482" s="4"/>
      <c r="W482" s="4"/>
      <c r="X482" s="4"/>
    </row>
    <row r="483" spans="1:24" ht="15.75" thickBot="1">
      <c r="A483" s="3"/>
      <c r="B483" s="4"/>
      <c r="C483" s="4"/>
      <c r="D483" s="4"/>
      <c r="E483" s="4"/>
      <c r="F483" s="4"/>
      <c r="G483" s="4"/>
      <c r="H483" s="4"/>
      <c r="I483" s="4"/>
      <c r="J483" s="4"/>
      <c r="K483" s="4"/>
      <c r="L483" s="4"/>
      <c r="M483" s="4"/>
      <c r="N483" s="4"/>
      <c r="O483" s="4"/>
      <c r="P483" s="4"/>
      <c r="Q483" s="4"/>
      <c r="R483" s="4"/>
      <c r="S483" s="4"/>
      <c r="T483" s="4"/>
      <c r="U483" s="4"/>
      <c r="V483" s="4"/>
      <c r="W483" s="4"/>
      <c r="X483" s="4"/>
    </row>
    <row r="484" spans="1:24" ht="15.75" thickBot="1">
      <c r="A484" s="3"/>
      <c r="B484" s="4"/>
      <c r="C484" s="4"/>
      <c r="D484" s="4"/>
      <c r="E484" s="4"/>
      <c r="F484" s="4"/>
      <c r="G484" s="4"/>
      <c r="H484" s="4"/>
      <c r="I484" s="4"/>
      <c r="J484" s="4"/>
      <c r="K484" s="4"/>
      <c r="L484" s="4"/>
      <c r="M484" s="4"/>
      <c r="N484" s="4"/>
      <c r="O484" s="4"/>
      <c r="P484" s="4"/>
      <c r="Q484" s="4"/>
      <c r="R484" s="4"/>
      <c r="S484" s="4"/>
      <c r="T484" s="4"/>
      <c r="U484" s="4"/>
      <c r="V484" s="4"/>
      <c r="W484" s="4"/>
      <c r="X484" s="4"/>
    </row>
    <row r="485" spans="1:24" ht="15.75" thickBot="1">
      <c r="A485" s="3"/>
      <c r="B485" s="4"/>
      <c r="C485" s="4"/>
      <c r="D485" s="4"/>
      <c r="E485" s="4"/>
      <c r="F485" s="4"/>
      <c r="G485" s="4"/>
      <c r="H485" s="4"/>
      <c r="I485" s="4"/>
      <c r="J485" s="4"/>
      <c r="K485" s="4"/>
      <c r="L485" s="4"/>
      <c r="M485" s="4"/>
      <c r="N485" s="4"/>
      <c r="O485" s="4"/>
      <c r="P485" s="4"/>
      <c r="Q485" s="4"/>
      <c r="R485" s="4"/>
      <c r="S485" s="4"/>
      <c r="T485" s="4"/>
      <c r="U485" s="4"/>
      <c r="V485" s="4"/>
      <c r="W485" s="4"/>
      <c r="X485" s="4"/>
    </row>
    <row r="486" spans="1:24" ht="15.75" thickBot="1">
      <c r="A486" s="3"/>
      <c r="B486" s="4"/>
      <c r="C486" s="4"/>
      <c r="D486" s="4"/>
      <c r="E486" s="4"/>
      <c r="F486" s="4"/>
      <c r="G486" s="4"/>
      <c r="H486" s="4"/>
      <c r="I486" s="4"/>
      <c r="J486" s="4"/>
      <c r="K486" s="4"/>
      <c r="L486" s="4"/>
      <c r="M486" s="4"/>
      <c r="N486" s="4"/>
      <c r="O486" s="4"/>
      <c r="P486" s="4"/>
      <c r="Q486" s="4"/>
      <c r="R486" s="4"/>
      <c r="S486" s="4"/>
      <c r="T486" s="4"/>
      <c r="U486" s="4"/>
      <c r="V486" s="4"/>
      <c r="W486" s="4"/>
      <c r="X486" s="4"/>
    </row>
    <row r="487" spans="1:24" ht="15.75" thickBot="1">
      <c r="A487" s="3"/>
      <c r="B487" s="4"/>
      <c r="C487" s="4"/>
      <c r="D487" s="4"/>
      <c r="E487" s="4"/>
      <c r="F487" s="4"/>
      <c r="G487" s="4"/>
      <c r="H487" s="4"/>
      <c r="I487" s="4"/>
      <c r="J487" s="4"/>
      <c r="K487" s="4"/>
      <c r="L487" s="4"/>
      <c r="M487" s="4"/>
      <c r="N487" s="4"/>
      <c r="O487" s="4"/>
      <c r="P487" s="4"/>
      <c r="Q487" s="4"/>
      <c r="R487" s="4"/>
      <c r="S487" s="4"/>
      <c r="T487" s="4"/>
      <c r="U487" s="4"/>
      <c r="V487" s="4"/>
      <c r="W487" s="4"/>
      <c r="X487" s="4"/>
    </row>
    <row r="488" spans="1:24" ht="15.75" thickBot="1">
      <c r="A488" s="3"/>
      <c r="B488" s="4"/>
      <c r="C488" s="4"/>
      <c r="D488" s="4"/>
      <c r="E488" s="4"/>
      <c r="F488" s="4"/>
      <c r="G488" s="4"/>
      <c r="H488" s="4"/>
      <c r="I488" s="4"/>
      <c r="J488" s="4"/>
      <c r="K488" s="4"/>
      <c r="L488" s="4"/>
      <c r="M488" s="4"/>
      <c r="N488" s="4"/>
      <c r="O488" s="4"/>
      <c r="P488" s="4"/>
      <c r="Q488" s="4"/>
      <c r="R488" s="4"/>
      <c r="S488" s="4"/>
      <c r="T488" s="4"/>
      <c r="U488" s="4"/>
      <c r="V488" s="4"/>
      <c r="W488" s="4"/>
      <c r="X488" s="4"/>
    </row>
    <row r="489" spans="1:24" ht="15.75" thickBot="1">
      <c r="A489" s="3"/>
      <c r="B489" s="4"/>
      <c r="C489" s="4"/>
      <c r="D489" s="4"/>
      <c r="E489" s="4"/>
      <c r="F489" s="4"/>
      <c r="G489" s="4"/>
      <c r="H489" s="4"/>
      <c r="I489" s="4"/>
      <c r="J489" s="4"/>
      <c r="K489" s="4"/>
      <c r="L489" s="4"/>
      <c r="M489" s="4"/>
      <c r="N489" s="4"/>
      <c r="O489" s="4"/>
      <c r="P489" s="4"/>
      <c r="Q489" s="4"/>
      <c r="R489" s="4"/>
      <c r="S489" s="4"/>
      <c r="T489" s="4"/>
      <c r="U489" s="4"/>
      <c r="V489" s="4"/>
      <c r="W489" s="4"/>
      <c r="X489" s="4"/>
    </row>
    <row r="490" spans="1:24" ht="15.75" thickBot="1">
      <c r="A490" s="3"/>
      <c r="B490" s="4"/>
      <c r="C490" s="4"/>
      <c r="D490" s="4"/>
      <c r="E490" s="4"/>
      <c r="F490" s="4"/>
      <c r="G490" s="4"/>
      <c r="H490" s="4"/>
      <c r="I490" s="4"/>
      <c r="J490" s="4"/>
      <c r="K490" s="4"/>
      <c r="L490" s="4"/>
      <c r="M490" s="4"/>
      <c r="N490" s="4"/>
      <c r="O490" s="4"/>
      <c r="P490" s="4"/>
      <c r="Q490" s="4"/>
      <c r="R490" s="4"/>
      <c r="S490" s="4"/>
      <c r="T490" s="4"/>
      <c r="U490" s="4"/>
      <c r="V490" s="4"/>
      <c r="W490" s="4"/>
      <c r="X490" s="4"/>
    </row>
    <row r="491" spans="1:24" ht="15.75" thickBot="1">
      <c r="A491" s="3"/>
      <c r="B491" s="4"/>
      <c r="C491" s="4"/>
      <c r="D491" s="4"/>
      <c r="E491" s="4"/>
      <c r="F491" s="4"/>
      <c r="G491" s="4"/>
      <c r="H491" s="4"/>
      <c r="I491" s="4"/>
      <c r="J491" s="4"/>
      <c r="K491" s="4"/>
      <c r="L491" s="4"/>
      <c r="M491" s="4"/>
      <c r="N491" s="4"/>
      <c r="O491" s="4"/>
      <c r="P491" s="4"/>
      <c r="Q491" s="4"/>
      <c r="R491" s="4"/>
      <c r="S491" s="4"/>
      <c r="T491" s="4"/>
      <c r="U491" s="4"/>
      <c r="V491" s="4"/>
      <c r="W491" s="4"/>
      <c r="X491" s="4"/>
    </row>
    <row r="492" spans="1:24" ht="15.75" thickBot="1">
      <c r="A492" s="3"/>
      <c r="B492" s="4"/>
      <c r="C492" s="4"/>
      <c r="D492" s="4"/>
      <c r="E492" s="4"/>
      <c r="F492" s="4"/>
      <c r="G492" s="4"/>
      <c r="H492" s="4"/>
      <c r="I492" s="4"/>
      <c r="J492" s="4"/>
      <c r="K492" s="4"/>
      <c r="L492" s="4"/>
      <c r="M492" s="4"/>
      <c r="N492" s="4"/>
      <c r="O492" s="4"/>
      <c r="P492" s="4"/>
      <c r="Q492" s="4"/>
      <c r="R492" s="4"/>
      <c r="S492" s="4"/>
      <c r="T492" s="4"/>
      <c r="U492" s="4"/>
      <c r="V492" s="4"/>
      <c r="W492" s="4"/>
      <c r="X492" s="4"/>
    </row>
    <row r="493" spans="1:24" ht="15.75" thickBot="1">
      <c r="A493" s="3"/>
      <c r="B493" s="4"/>
      <c r="C493" s="4"/>
      <c r="D493" s="4"/>
      <c r="E493" s="4"/>
      <c r="F493" s="4"/>
      <c r="G493" s="4"/>
      <c r="H493" s="4"/>
      <c r="I493" s="4"/>
      <c r="J493" s="4"/>
      <c r="K493" s="4"/>
      <c r="L493" s="4"/>
      <c r="M493" s="4"/>
      <c r="N493" s="4"/>
      <c r="O493" s="4"/>
      <c r="P493" s="4"/>
      <c r="Q493" s="4"/>
      <c r="R493" s="4"/>
      <c r="S493" s="4"/>
      <c r="T493" s="4"/>
      <c r="U493" s="4"/>
      <c r="V493" s="4"/>
      <c r="W493" s="4"/>
      <c r="X493" s="4"/>
    </row>
    <row r="494" spans="1:24" ht="15.75" thickBot="1">
      <c r="A494" s="3"/>
      <c r="B494" s="4"/>
      <c r="C494" s="4"/>
      <c r="D494" s="4"/>
      <c r="E494" s="4"/>
      <c r="F494" s="4"/>
      <c r="G494" s="4"/>
      <c r="H494" s="4"/>
      <c r="I494" s="4"/>
      <c r="J494" s="4"/>
      <c r="K494" s="4"/>
      <c r="L494" s="4"/>
      <c r="M494" s="4"/>
      <c r="N494" s="4"/>
      <c r="O494" s="4"/>
      <c r="P494" s="4"/>
      <c r="Q494" s="4"/>
      <c r="R494" s="4"/>
      <c r="S494" s="4"/>
      <c r="T494" s="4"/>
      <c r="U494" s="4"/>
      <c r="V494" s="4"/>
      <c r="W494" s="4"/>
      <c r="X494" s="4"/>
    </row>
    <row r="495" spans="1:24" ht="15.75" thickBot="1">
      <c r="A495" s="3"/>
      <c r="B495" s="4"/>
      <c r="C495" s="4"/>
      <c r="D495" s="4"/>
      <c r="E495" s="4"/>
      <c r="F495" s="4"/>
      <c r="G495" s="4"/>
      <c r="H495" s="4"/>
      <c r="I495" s="4"/>
      <c r="J495" s="4"/>
      <c r="K495" s="4"/>
      <c r="L495" s="4"/>
      <c r="M495" s="4"/>
      <c r="N495" s="4"/>
      <c r="O495" s="4"/>
      <c r="P495" s="4"/>
      <c r="Q495" s="4"/>
      <c r="R495" s="4"/>
      <c r="S495" s="4"/>
      <c r="T495" s="4"/>
      <c r="U495" s="4"/>
      <c r="V495" s="4"/>
      <c r="W495" s="4"/>
      <c r="X495" s="4"/>
    </row>
    <row r="496" spans="1:24" ht="15.75" thickBot="1">
      <c r="A496" s="3"/>
      <c r="B496" s="4"/>
      <c r="C496" s="4"/>
      <c r="D496" s="4"/>
      <c r="E496" s="4"/>
      <c r="F496" s="4"/>
      <c r="G496" s="4"/>
      <c r="H496" s="4"/>
      <c r="I496" s="4"/>
      <c r="J496" s="4"/>
      <c r="K496" s="4"/>
      <c r="L496" s="4"/>
      <c r="M496" s="4"/>
      <c r="N496" s="4"/>
      <c r="O496" s="4"/>
      <c r="P496" s="4"/>
      <c r="Q496" s="4"/>
      <c r="R496" s="4"/>
      <c r="S496" s="4"/>
      <c r="T496" s="4"/>
      <c r="U496" s="4"/>
      <c r="V496" s="4"/>
      <c r="W496" s="4"/>
      <c r="X496" s="4"/>
    </row>
    <row r="497" spans="1:24" ht="15.75" thickBot="1">
      <c r="A497" s="3"/>
      <c r="B497" s="4"/>
      <c r="C497" s="4"/>
      <c r="D497" s="4"/>
      <c r="E497" s="4"/>
      <c r="F497" s="4"/>
      <c r="G497" s="4"/>
      <c r="H497" s="4"/>
      <c r="I497" s="4"/>
      <c r="J497" s="4"/>
      <c r="K497" s="4"/>
      <c r="L497" s="4"/>
      <c r="M497" s="4"/>
      <c r="N497" s="4"/>
      <c r="O497" s="4"/>
      <c r="P497" s="4"/>
      <c r="Q497" s="4"/>
      <c r="R497" s="4"/>
      <c r="S497" s="4"/>
      <c r="T497" s="4"/>
      <c r="U497" s="4"/>
      <c r="V497" s="4"/>
      <c r="W497" s="4"/>
      <c r="X497" s="4"/>
    </row>
    <row r="498" spans="1:24" ht="15.75" thickBot="1">
      <c r="A498" s="3"/>
      <c r="B498" s="4"/>
      <c r="C498" s="4"/>
      <c r="D498" s="4"/>
      <c r="E498" s="4"/>
      <c r="F498" s="4"/>
      <c r="G498" s="4"/>
      <c r="H498" s="4"/>
      <c r="I498" s="4"/>
      <c r="J498" s="4"/>
      <c r="K498" s="4"/>
      <c r="L498" s="4"/>
      <c r="M498" s="4"/>
      <c r="N498" s="4"/>
      <c r="O498" s="4"/>
      <c r="P498" s="4"/>
      <c r="Q498" s="4"/>
      <c r="R498" s="4"/>
      <c r="S498" s="4"/>
      <c r="T498" s="4"/>
      <c r="U498" s="4"/>
      <c r="V498" s="4"/>
      <c r="W498" s="4"/>
      <c r="X498" s="4"/>
    </row>
    <row r="499" spans="1:24" ht="15.75" thickBot="1">
      <c r="A499" s="3"/>
      <c r="B499" s="4"/>
      <c r="C499" s="4"/>
      <c r="D499" s="4"/>
      <c r="E499" s="4"/>
      <c r="F499" s="4"/>
      <c r="G499" s="4"/>
      <c r="H499" s="4"/>
      <c r="I499" s="4"/>
      <c r="J499" s="4"/>
      <c r="K499" s="4"/>
      <c r="L499" s="4"/>
      <c r="M499" s="4"/>
      <c r="N499" s="4"/>
      <c r="O499" s="4"/>
      <c r="P499" s="4"/>
      <c r="Q499" s="4"/>
      <c r="R499" s="4"/>
      <c r="S499" s="4"/>
      <c r="T499" s="4"/>
      <c r="U499" s="4"/>
      <c r="V499" s="4"/>
      <c r="W499" s="4"/>
      <c r="X499" s="4"/>
    </row>
    <row r="500" spans="1:24" ht="15.75" thickBot="1">
      <c r="A500" s="3"/>
      <c r="B500" s="4"/>
      <c r="C500" s="4"/>
      <c r="D500" s="4"/>
      <c r="E500" s="4"/>
      <c r="F500" s="4"/>
      <c r="G500" s="4"/>
      <c r="H500" s="4"/>
      <c r="I500" s="4"/>
      <c r="J500" s="4"/>
      <c r="K500" s="4"/>
      <c r="L500" s="4"/>
      <c r="M500" s="4"/>
      <c r="N500" s="4"/>
      <c r="O500" s="4"/>
      <c r="P500" s="4"/>
      <c r="Q500" s="4"/>
      <c r="R500" s="4"/>
      <c r="S500" s="4"/>
      <c r="T500" s="4"/>
      <c r="U500" s="4"/>
      <c r="V500" s="4"/>
      <c r="W500" s="4"/>
      <c r="X500" s="4"/>
    </row>
    <row r="501" spans="1:24" ht="15.75" thickBot="1">
      <c r="A501" s="3"/>
      <c r="B501" s="4"/>
      <c r="C501" s="4"/>
      <c r="D501" s="4"/>
      <c r="E501" s="4"/>
      <c r="F501" s="4"/>
      <c r="G501" s="4"/>
      <c r="H501" s="4"/>
      <c r="I501" s="4"/>
      <c r="J501" s="4"/>
      <c r="K501" s="4"/>
      <c r="L501" s="4"/>
      <c r="M501" s="4"/>
      <c r="N501" s="4"/>
      <c r="O501" s="4"/>
      <c r="P501" s="4"/>
      <c r="Q501" s="4"/>
      <c r="R501" s="4"/>
      <c r="S501" s="4"/>
      <c r="T501" s="4"/>
      <c r="U501" s="4"/>
      <c r="V501" s="4"/>
      <c r="W501" s="4"/>
      <c r="X501" s="4"/>
    </row>
    <row r="502" spans="1:24" ht="15.75" thickBot="1">
      <c r="A502" s="3"/>
      <c r="B502" s="4"/>
      <c r="C502" s="4"/>
      <c r="D502" s="4"/>
      <c r="E502" s="4"/>
      <c r="F502" s="4"/>
      <c r="G502" s="4"/>
      <c r="H502" s="4"/>
      <c r="I502" s="4"/>
      <c r="J502" s="4"/>
      <c r="K502" s="4"/>
      <c r="L502" s="4"/>
      <c r="M502" s="4"/>
      <c r="N502" s="4"/>
      <c r="O502" s="4"/>
      <c r="P502" s="4"/>
      <c r="Q502" s="4"/>
      <c r="R502" s="4"/>
      <c r="S502" s="4"/>
      <c r="T502" s="4"/>
      <c r="U502" s="4"/>
      <c r="V502" s="4"/>
      <c r="W502" s="4"/>
      <c r="X502" s="4"/>
    </row>
    <row r="503" spans="1:24" ht="15.75" thickBot="1">
      <c r="A503" s="3"/>
      <c r="B503" s="4"/>
      <c r="C503" s="4"/>
      <c r="D503" s="4"/>
      <c r="E503" s="4"/>
      <c r="F503" s="4"/>
      <c r="G503" s="4"/>
      <c r="H503" s="4"/>
      <c r="I503" s="4"/>
      <c r="J503" s="4"/>
      <c r="K503" s="4"/>
      <c r="L503" s="4"/>
      <c r="M503" s="4"/>
      <c r="N503" s="4"/>
      <c r="O503" s="4"/>
      <c r="P503" s="4"/>
      <c r="Q503" s="4"/>
      <c r="R503" s="4"/>
      <c r="S503" s="4"/>
      <c r="T503" s="4"/>
      <c r="U503" s="4"/>
      <c r="V503" s="4"/>
      <c r="W503" s="4"/>
      <c r="X503" s="4"/>
    </row>
    <row r="504" spans="1:24" ht="15.75" thickBot="1">
      <c r="A504" s="3"/>
      <c r="B504" s="4"/>
      <c r="C504" s="4"/>
      <c r="D504" s="4"/>
      <c r="E504" s="4"/>
      <c r="F504" s="4"/>
      <c r="G504" s="4"/>
      <c r="H504" s="4"/>
      <c r="I504" s="4"/>
      <c r="J504" s="4"/>
      <c r="K504" s="4"/>
      <c r="L504" s="4"/>
      <c r="M504" s="4"/>
      <c r="N504" s="4"/>
      <c r="O504" s="4"/>
      <c r="P504" s="4"/>
      <c r="Q504" s="4"/>
      <c r="R504" s="4"/>
      <c r="S504" s="4"/>
      <c r="T504" s="4"/>
      <c r="U504" s="4"/>
      <c r="V504" s="4"/>
      <c r="W504" s="4"/>
      <c r="X504" s="4"/>
    </row>
    <row r="505" spans="1:24" ht="15.75" thickBot="1">
      <c r="A505" s="3"/>
      <c r="B505" s="4"/>
      <c r="C505" s="4"/>
      <c r="D505" s="4"/>
      <c r="E505" s="4"/>
      <c r="F505" s="4"/>
      <c r="G505" s="4"/>
      <c r="H505" s="4"/>
      <c r="I505" s="4"/>
      <c r="J505" s="4"/>
      <c r="K505" s="4"/>
      <c r="L505" s="4"/>
      <c r="M505" s="4"/>
      <c r="N505" s="4"/>
      <c r="O505" s="4"/>
      <c r="P505" s="4"/>
      <c r="Q505" s="4"/>
      <c r="R505" s="4"/>
      <c r="S505" s="4"/>
      <c r="T505" s="4"/>
      <c r="U505" s="4"/>
      <c r="V505" s="4"/>
      <c r="W505" s="4"/>
      <c r="X505" s="4"/>
    </row>
    <row r="506" spans="1:24" ht="15.75" thickBot="1">
      <c r="A506" s="3"/>
      <c r="B506" s="4"/>
      <c r="C506" s="4"/>
      <c r="D506" s="4"/>
      <c r="E506" s="4"/>
      <c r="F506" s="4"/>
      <c r="G506" s="4"/>
      <c r="H506" s="4"/>
      <c r="I506" s="4"/>
      <c r="J506" s="4"/>
      <c r="K506" s="4"/>
      <c r="L506" s="4"/>
      <c r="M506" s="4"/>
      <c r="N506" s="4"/>
      <c r="O506" s="4"/>
      <c r="P506" s="4"/>
      <c r="Q506" s="4"/>
      <c r="R506" s="4"/>
      <c r="S506" s="4"/>
      <c r="T506" s="4"/>
      <c r="U506" s="4"/>
      <c r="V506" s="4"/>
      <c r="W506" s="4"/>
      <c r="X506" s="4"/>
    </row>
    <row r="507" spans="1:24" ht="15.75" thickBot="1">
      <c r="A507" s="3"/>
      <c r="B507" s="4"/>
      <c r="C507" s="4"/>
      <c r="D507" s="4"/>
      <c r="E507" s="4"/>
      <c r="F507" s="4"/>
      <c r="G507" s="4"/>
      <c r="H507" s="4"/>
      <c r="I507" s="4"/>
      <c r="J507" s="4"/>
      <c r="K507" s="4"/>
      <c r="L507" s="4"/>
      <c r="M507" s="4"/>
      <c r="N507" s="4"/>
      <c r="O507" s="4"/>
      <c r="P507" s="4"/>
      <c r="Q507" s="4"/>
      <c r="R507" s="4"/>
      <c r="S507" s="4"/>
      <c r="T507" s="4"/>
      <c r="U507" s="4"/>
      <c r="V507" s="4"/>
      <c r="W507" s="4"/>
      <c r="X507" s="4"/>
    </row>
    <row r="508" spans="1:24" ht="15.75" thickBot="1">
      <c r="A508" s="3"/>
      <c r="B508" s="4"/>
      <c r="C508" s="4"/>
      <c r="D508" s="4"/>
      <c r="E508" s="4"/>
      <c r="F508" s="4"/>
      <c r="G508" s="4"/>
      <c r="H508" s="4"/>
      <c r="I508" s="4"/>
      <c r="J508" s="4"/>
      <c r="K508" s="4"/>
      <c r="L508" s="4"/>
      <c r="M508" s="4"/>
      <c r="N508" s="4"/>
      <c r="O508" s="4"/>
      <c r="P508" s="4"/>
      <c r="Q508" s="4"/>
      <c r="R508" s="4"/>
      <c r="S508" s="4"/>
      <c r="T508" s="4"/>
      <c r="U508" s="4"/>
      <c r="V508" s="4"/>
      <c r="W508" s="4"/>
      <c r="X508" s="4"/>
    </row>
    <row r="509" spans="1:24" ht="15.75" thickBot="1">
      <c r="A509" s="3"/>
      <c r="B509" s="4"/>
      <c r="C509" s="4"/>
      <c r="D509" s="4"/>
      <c r="E509" s="4"/>
      <c r="F509" s="4"/>
      <c r="G509" s="4"/>
      <c r="H509" s="4"/>
      <c r="I509" s="4"/>
      <c r="J509" s="4"/>
      <c r="K509" s="4"/>
      <c r="L509" s="4"/>
      <c r="M509" s="4"/>
      <c r="N509" s="4"/>
      <c r="O509" s="4"/>
      <c r="P509" s="4"/>
      <c r="Q509" s="4"/>
      <c r="R509" s="4"/>
      <c r="S509" s="4"/>
      <c r="T509" s="4"/>
      <c r="U509" s="4"/>
      <c r="V509" s="4"/>
      <c r="W509" s="4"/>
      <c r="X509" s="4"/>
    </row>
    <row r="510" spans="1:24" ht="15.75" thickBot="1">
      <c r="A510" s="3"/>
      <c r="B510" s="4"/>
      <c r="C510" s="4"/>
      <c r="D510" s="4"/>
      <c r="E510" s="4"/>
      <c r="F510" s="4"/>
      <c r="G510" s="4"/>
      <c r="H510" s="4"/>
      <c r="I510" s="4"/>
      <c r="J510" s="4"/>
      <c r="K510" s="4"/>
      <c r="L510" s="4"/>
      <c r="M510" s="4"/>
      <c r="N510" s="4"/>
      <c r="O510" s="4"/>
      <c r="P510" s="4"/>
      <c r="Q510" s="4"/>
      <c r="R510" s="4"/>
      <c r="S510" s="4"/>
      <c r="T510" s="4"/>
      <c r="U510" s="4"/>
      <c r="V510" s="4"/>
      <c r="W510" s="4"/>
      <c r="X510" s="4"/>
    </row>
    <row r="511" spans="1:24" ht="15.75" thickBot="1">
      <c r="A511" s="3"/>
      <c r="B511" s="4"/>
      <c r="C511" s="4"/>
      <c r="D511" s="4"/>
      <c r="E511" s="4"/>
      <c r="F511" s="4"/>
      <c r="G511" s="4"/>
      <c r="H511" s="4"/>
      <c r="I511" s="4"/>
      <c r="J511" s="4"/>
      <c r="K511" s="4"/>
      <c r="L511" s="4"/>
      <c r="M511" s="4"/>
      <c r="N511" s="4"/>
      <c r="O511" s="4"/>
      <c r="P511" s="4"/>
      <c r="Q511" s="4"/>
      <c r="R511" s="4"/>
      <c r="S511" s="4"/>
      <c r="T511" s="4"/>
      <c r="U511" s="4"/>
      <c r="V511" s="4"/>
      <c r="W511" s="4"/>
      <c r="X511" s="4"/>
    </row>
    <row r="512" spans="1:24" ht="15.75" thickBot="1">
      <c r="A512" s="3"/>
      <c r="B512" s="4"/>
      <c r="C512" s="4"/>
      <c r="D512" s="4"/>
      <c r="E512" s="4"/>
      <c r="F512" s="4"/>
      <c r="G512" s="4"/>
      <c r="H512" s="4"/>
      <c r="I512" s="4"/>
      <c r="J512" s="4"/>
      <c r="K512" s="4"/>
      <c r="L512" s="4"/>
      <c r="M512" s="4"/>
      <c r="N512" s="4"/>
      <c r="O512" s="4"/>
      <c r="P512" s="4"/>
      <c r="Q512" s="4"/>
      <c r="R512" s="4"/>
      <c r="S512" s="4"/>
      <c r="T512" s="4"/>
      <c r="U512" s="4"/>
      <c r="V512" s="4"/>
      <c r="W512" s="4"/>
      <c r="X512" s="4"/>
    </row>
    <row r="513" spans="1:24" ht="15.75" thickBot="1">
      <c r="A513" s="3"/>
      <c r="B513" s="4"/>
      <c r="C513" s="4"/>
      <c r="D513" s="4"/>
      <c r="E513" s="4"/>
      <c r="F513" s="4"/>
      <c r="G513" s="4"/>
      <c r="H513" s="4"/>
      <c r="I513" s="4"/>
      <c r="J513" s="4"/>
      <c r="K513" s="4"/>
      <c r="L513" s="4"/>
      <c r="M513" s="4"/>
      <c r="N513" s="4"/>
      <c r="O513" s="4"/>
      <c r="P513" s="4"/>
      <c r="Q513" s="4"/>
      <c r="R513" s="4"/>
      <c r="S513" s="4"/>
      <c r="T513" s="4"/>
      <c r="U513" s="4"/>
      <c r="V513" s="4"/>
      <c r="W513" s="4"/>
      <c r="X513" s="4"/>
    </row>
    <row r="514" spans="1:24" ht="15.75" thickBot="1">
      <c r="A514" s="3"/>
      <c r="B514" s="4"/>
      <c r="C514" s="4"/>
      <c r="D514" s="4"/>
      <c r="E514" s="4"/>
      <c r="F514" s="4"/>
      <c r="G514" s="4"/>
      <c r="H514" s="4"/>
      <c r="I514" s="4"/>
      <c r="J514" s="4"/>
      <c r="K514" s="4"/>
      <c r="L514" s="4"/>
      <c r="M514" s="4"/>
      <c r="N514" s="4"/>
      <c r="O514" s="4"/>
      <c r="P514" s="4"/>
      <c r="Q514" s="4"/>
      <c r="R514" s="4"/>
      <c r="S514" s="4"/>
      <c r="T514" s="4"/>
      <c r="U514" s="4"/>
      <c r="V514" s="4"/>
      <c r="W514" s="4"/>
      <c r="X514" s="4"/>
    </row>
    <row r="515" spans="1:24" ht="15.75" thickBot="1">
      <c r="A515" s="3"/>
      <c r="B515" s="4"/>
      <c r="C515" s="4"/>
      <c r="D515" s="4"/>
      <c r="E515" s="4"/>
      <c r="F515" s="4"/>
      <c r="G515" s="4"/>
      <c r="H515" s="4"/>
      <c r="I515" s="4"/>
      <c r="J515" s="4"/>
      <c r="K515" s="4"/>
      <c r="L515" s="4"/>
      <c r="M515" s="4"/>
      <c r="N515" s="4"/>
      <c r="O515" s="4"/>
      <c r="P515" s="4"/>
      <c r="Q515" s="4"/>
      <c r="R515" s="4"/>
      <c r="S515" s="4"/>
      <c r="T515" s="4"/>
      <c r="U515" s="4"/>
      <c r="V515" s="4"/>
      <c r="W515" s="4"/>
      <c r="X515" s="4"/>
    </row>
    <row r="516" spans="1:24" ht="15.75" thickBot="1">
      <c r="A516" s="3"/>
      <c r="B516" s="4"/>
      <c r="C516" s="4"/>
      <c r="D516" s="4"/>
      <c r="E516" s="4"/>
      <c r="F516" s="4"/>
      <c r="G516" s="4"/>
      <c r="H516" s="4"/>
      <c r="I516" s="4"/>
      <c r="J516" s="4"/>
      <c r="K516" s="4"/>
      <c r="L516" s="4"/>
      <c r="M516" s="4"/>
      <c r="N516" s="4"/>
      <c r="O516" s="4"/>
      <c r="P516" s="4"/>
      <c r="Q516" s="4"/>
      <c r="R516" s="4"/>
      <c r="S516" s="4"/>
      <c r="T516" s="4"/>
      <c r="U516" s="4"/>
      <c r="V516" s="4"/>
      <c r="W516" s="4"/>
      <c r="X516" s="4"/>
    </row>
    <row r="517" spans="1:24" ht="15.75" thickBot="1">
      <c r="A517" s="3"/>
      <c r="B517" s="4"/>
      <c r="C517" s="4"/>
      <c r="D517" s="4"/>
      <c r="E517" s="4"/>
      <c r="F517" s="4"/>
      <c r="G517" s="4"/>
      <c r="H517" s="4"/>
      <c r="I517" s="4"/>
      <c r="J517" s="4"/>
      <c r="K517" s="4"/>
      <c r="L517" s="4"/>
      <c r="M517" s="4"/>
      <c r="N517" s="4"/>
      <c r="O517" s="4"/>
      <c r="P517" s="4"/>
      <c r="Q517" s="4"/>
      <c r="R517" s="4"/>
      <c r="S517" s="4"/>
      <c r="T517" s="4"/>
      <c r="U517" s="4"/>
      <c r="V517" s="4"/>
      <c r="W517" s="4"/>
      <c r="X517" s="4"/>
    </row>
    <row r="518" spans="1:24" ht="15.75" thickBot="1">
      <c r="A518" s="3"/>
      <c r="B518" s="4"/>
      <c r="C518" s="4"/>
      <c r="D518" s="4"/>
      <c r="E518" s="4"/>
      <c r="F518" s="4"/>
      <c r="G518" s="4"/>
      <c r="H518" s="4"/>
      <c r="I518" s="4"/>
      <c r="J518" s="4"/>
      <c r="K518" s="4"/>
      <c r="L518" s="4"/>
      <c r="M518" s="4"/>
      <c r="N518" s="4"/>
      <c r="O518" s="4"/>
      <c r="P518" s="4"/>
      <c r="Q518" s="4"/>
      <c r="R518" s="4"/>
      <c r="S518" s="4"/>
      <c r="T518" s="4"/>
      <c r="U518" s="4"/>
      <c r="V518" s="4"/>
      <c r="W518" s="4"/>
      <c r="X518" s="4"/>
    </row>
    <row r="519" spans="1:24" ht="15.75" thickBot="1">
      <c r="A519" s="3"/>
      <c r="B519" s="4"/>
      <c r="C519" s="4"/>
      <c r="D519" s="4"/>
      <c r="E519" s="4"/>
      <c r="F519" s="4"/>
      <c r="G519" s="4"/>
      <c r="H519" s="4"/>
      <c r="I519" s="4"/>
      <c r="J519" s="4"/>
      <c r="K519" s="4"/>
      <c r="L519" s="4"/>
      <c r="M519" s="4"/>
      <c r="N519" s="4"/>
      <c r="O519" s="4"/>
      <c r="P519" s="4"/>
      <c r="Q519" s="4"/>
      <c r="R519" s="4"/>
      <c r="S519" s="4"/>
      <c r="T519" s="4"/>
      <c r="U519" s="4"/>
      <c r="V519" s="4"/>
      <c r="W519" s="4"/>
      <c r="X519" s="4"/>
    </row>
    <row r="520" spans="1:24" ht="15.75" thickBot="1">
      <c r="A520" s="3"/>
      <c r="B520" s="4"/>
      <c r="C520" s="4"/>
      <c r="D520" s="4"/>
      <c r="E520" s="4"/>
      <c r="F520" s="4"/>
      <c r="G520" s="4"/>
      <c r="H520" s="4"/>
      <c r="I520" s="4"/>
      <c r="J520" s="4"/>
      <c r="K520" s="4"/>
      <c r="L520" s="4"/>
      <c r="M520" s="4"/>
      <c r="N520" s="4"/>
      <c r="O520" s="4"/>
      <c r="P520" s="4"/>
      <c r="Q520" s="4"/>
      <c r="R520" s="4"/>
      <c r="S520" s="4"/>
      <c r="T520" s="4"/>
      <c r="U520" s="4"/>
      <c r="V520" s="4"/>
      <c r="W520" s="4"/>
      <c r="X520" s="4"/>
    </row>
    <row r="521" spans="1:24" ht="15.75" thickBot="1">
      <c r="A521" s="3"/>
      <c r="B521" s="4"/>
      <c r="C521" s="4"/>
      <c r="D521" s="4"/>
      <c r="E521" s="4"/>
      <c r="F521" s="4"/>
      <c r="G521" s="4"/>
      <c r="H521" s="4"/>
      <c r="I521" s="4"/>
      <c r="J521" s="4"/>
      <c r="K521" s="4"/>
      <c r="L521" s="4"/>
      <c r="M521" s="4"/>
      <c r="N521" s="4"/>
      <c r="O521" s="4"/>
      <c r="P521" s="4"/>
      <c r="Q521" s="4"/>
      <c r="R521" s="4"/>
      <c r="S521" s="4"/>
      <c r="T521" s="4"/>
      <c r="U521" s="4"/>
      <c r="V521" s="4"/>
      <c r="W521" s="4"/>
      <c r="X521" s="4"/>
    </row>
    <row r="522" spans="1:24" ht="15.75" thickBot="1">
      <c r="A522" s="3"/>
      <c r="B522" s="4"/>
      <c r="C522" s="4"/>
      <c r="D522" s="4"/>
      <c r="E522" s="4"/>
      <c r="F522" s="4"/>
      <c r="G522" s="4"/>
      <c r="H522" s="4"/>
      <c r="I522" s="4"/>
      <c r="J522" s="4"/>
      <c r="K522" s="4"/>
      <c r="L522" s="4"/>
      <c r="M522" s="4"/>
      <c r="N522" s="4"/>
      <c r="O522" s="4"/>
      <c r="P522" s="4"/>
      <c r="Q522" s="4"/>
      <c r="R522" s="4"/>
      <c r="S522" s="4"/>
      <c r="T522" s="4"/>
      <c r="U522" s="4"/>
      <c r="V522" s="4"/>
      <c r="W522" s="4"/>
      <c r="X522" s="4"/>
    </row>
    <row r="523" spans="1:24" ht="15.75" thickBot="1">
      <c r="A523" s="3"/>
      <c r="B523" s="4"/>
      <c r="C523" s="4"/>
      <c r="D523" s="4"/>
      <c r="E523" s="4"/>
      <c r="F523" s="4"/>
      <c r="G523" s="4"/>
      <c r="H523" s="4"/>
      <c r="I523" s="4"/>
      <c r="J523" s="4"/>
      <c r="K523" s="4"/>
      <c r="L523" s="4"/>
      <c r="M523" s="4"/>
      <c r="N523" s="4"/>
      <c r="O523" s="4"/>
      <c r="P523" s="4"/>
      <c r="Q523" s="4"/>
      <c r="R523" s="4"/>
      <c r="S523" s="4"/>
      <c r="T523" s="4"/>
      <c r="U523" s="4"/>
      <c r="V523" s="4"/>
      <c r="W523" s="4"/>
      <c r="X523" s="4"/>
    </row>
    <row r="524" spans="1:24" ht="15.75" thickBot="1">
      <c r="A524" s="3"/>
      <c r="B524" s="4"/>
      <c r="C524" s="4"/>
      <c r="D524" s="4"/>
      <c r="E524" s="4"/>
      <c r="F524" s="4"/>
      <c r="G524" s="4"/>
      <c r="H524" s="4"/>
      <c r="I524" s="4"/>
      <c r="J524" s="4"/>
      <c r="K524" s="4"/>
      <c r="L524" s="4"/>
      <c r="M524" s="4"/>
      <c r="N524" s="4"/>
      <c r="O524" s="4"/>
      <c r="P524" s="4"/>
      <c r="Q524" s="4"/>
      <c r="R524" s="4"/>
      <c r="S524" s="4"/>
      <c r="T524" s="4"/>
      <c r="U524" s="4"/>
      <c r="V524" s="4"/>
      <c r="W524" s="4"/>
      <c r="X524" s="4"/>
    </row>
    <row r="525" spans="1:24" ht="15.75" thickBot="1">
      <c r="A525" s="3"/>
      <c r="B525" s="4"/>
      <c r="C525" s="4"/>
      <c r="D525" s="4"/>
      <c r="E525" s="4"/>
      <c r="F525" s="4"/>
      <c r="G525" s="4"/>
      <c r="H525" s="4"/>
      <c r="I525" s="4"/>
      <c r="J525" s="4"/>
      <c r="K525" s="4"/>
      <c r="L525" s="4"/>
      <c r="M525" s="4"/>
      <c r="N525" s="4"/>
      <c r="O525" s="4"/>
      <c r="P525" s="4"/>
      <c r="Q525" s="4"/>
      <c r="R525" s="4"/>
      <c r="S525" s="4"/>
      <c r="T525" s="4"/>
      <c r="U525" s="4"/>
      <c r="V525" s="4"/>
      <c r="W525" s="4"/>
      <c r="X525" s="4"/>
    </row>
    <row r="526" spans="1:24" ht="15.75" thickBot="1">
      <c r="A526" s="3"/>
      <c r="B526" s="4"/>
      <c r="C526" s="4"/>
      <c r="D526" s="4"/>
      <c r="E526" s="4"/>
      <c r="F526" s="4"/>
      <c r="G526" s="4"/>
      <c r="H526" s="4"/>
      <c r="I526" s="4"/>
      <c r="J526" s="4"/>
      <c r="K526" s="4"/>
      <c r="L526" s="4"/>
      <c r="M526" s="4"/>
      <c r="N526" s="4"/>
      <c r="O526" s="4"/>
      <c r="P526" s="4"/>
      <c r="Q526" s="4"/>
      <c r="R526" s="4"/>
      <c r="S526" s="4"/>
      <c r="T526" s="4"/>
      <c r="U526" s="4"/>
      <c r="V526" s="4"/>
      <c r="W526" s="4"/>
      <c r="X526" s="4"/>
    </row>
    <row r="527" spans="1:24" ht="15.75" thickBot="1">
      <c r="A527" s="3"/>
      <c r="B527" s="4"/>
      <c r="C527" s="4"/>
      <c r="D527" s="4"/>
      <c r="E527" s="4"/>
      <c r="F527" s="4"/>
      <c r="G527" s="4"/>
      <c r="H527" s="4"/>
      <c r="I527" s="4"/>
      <c r="J527" s="4"/>
      <c r="K527" s="4"/>
      <c r="L527" s="4"/>
      <c r="M527" s="4"/>
      <c r="N527" s="4"/>
      <c r="O527" s="4"/>
      <c r="P527" s="4"/>
      <c r="Q527" s="4"/>
      <c r="R527" s="4"/>
      <c r="S527" s="4"/>
      <c r="T527" s="4"/>
      <c r="U527" s="4"/>
      <c r="V527" s="4"/>
      <c r="W527" s="4"/>
      <c r="X527" s="4"/>
    </row>
    <row r="528" spans="1:24" ht="15.75" thickBot="1">
      <c r="A528" s="3"/>
      <c r="B528" s="4"/>
      <c r="C528" s="4"/>
      <c r="D528" s="4"/>
      <c r="E528" s="4"/>
      <c r="F528" s="4"/>
      <c r="G528" s="4"/>
      <c r="H528" s="4"/>
      <c r="I528" s="4"/>
      <c r="J528" s="4"/>
      <c r="K528" s="4"/>
      <c r="L528" s="4"/>
      <c r="M528" s="4"/>
      <c r="N528" s="4"/>
      <c r="O528" s="4"/>
      <c r="P528" s="4"/>
      <c r="Q528" s="4"/>
      <c r="R528" s="4"/>
      <c r="S528" s="4"/>
      <c r="T528" s="4"/>
      <c r="U528" s="4"/>
      <c r="V528" s="4"/>
      <c r="W528" s="4"/>
      <c r="X528" s="4"/>
    </row>
    <row r="529" spans="1:24" ht="15.75" thickBot="1">
      <c r="A529" s="3"/>
      <c r="B529" s="4"/>
      <c r="C529" s="4"/>
      <c r="D529" s="4"/>
      <c r="E529" s="4"/>
      <c r="F529" s="4"/>
      <c r="G529" s="4"/>
      <c r="H529" s="4"/>
      <c r="I529" s="4"/>
      <c r="J529" s="4"/>
      <c r="K529" s="4"/>
      <c r="L529" s="4"/>
      <c r="M529" s="4"/>
      <c r="N529" s="4"/>
      <c r="O529" s="4"/>
      <c r="P529" s="4"/>
      <c r="Q529" s="4"/>
      <c r="R529" s="4"/>
      <c r="S529" s="4"/>
      <c r="T529" s="4"/>
      <c r="U529" s="4"/>
      <c r="V529" s="4"/>
      <c r="W529" s="4"/>
      <c r="X529" s="4"/>
    </row>
    <row r="530" spans="1:24" ht="15.75" thickBot="1">
      <c r="A530" s="3"/>
      <c r="B530" s="4"/>
      <c r="C530" s="4"/>
      <c r="D530" s="4"/>
      <c r="E530" s="4"/>
      <c r="F530" s="4"/>
      <c r="G530" s="4"/>
      <c r="H530" s="4"/>
      <c r="I530" s="4"/>
      <c r="J530" s="4"/>
      <c r="K530" s="4"/>
      <c r="L530" s="4"/>
      <c r="M530" s="4"/>
      <c r="N530" s="4"/>
      <c r="O530" s="4"/>
      <c r="P530" s="4"/>
      <c r="Q530" s="4"/>
      <c r="R530" s="4"/>
      <c r="S530" s="4"/>
      <c r="T530" s="4"/>
      <c r="U530" s="4"/>
      <c r="V530" s="4"/>
      <c r="W530" s="4"/>
      <c r="X530" s="4"/>
    </row>
    <row r="531" spans="1:24" ht="15.75" thickBot="1">
      <c r="A531" s="3"/>
      <c r="B531" s="4"/>
      <c r="C531" s="4"/>
      <c r="D531" s="4"/>
      <c r="E531" s="4"/>
      <c r="F531" s="4"/>
      <c r="G531" s="4"/>
      <c r="H531" s="4"/>
      <c r="I531" s="4"/>
      <c r="J531" s="4"/>
      <c r="K531" s="4"/>
      <c r="L531" s="4"/>
      <c r="M531" s="4"/>
      <c r="N531" s="4"/>
      <c r="O531" s="4"/>
      <c r="P531" s="4"/>
      <c r="Q531" s="4"/>
      <c r="R531" s="4"/>
      <c r="S531" s="4"/>
      <c r="T531" s="4"/>
      <c r="U531" s="4"/>
      <c r="V531" s="4"/>
      <c r="W531" s="4"/>
      <c r="X531" s="4"/>
    </row>
    <row r="532" spans="1:24" ht="15.75" thickBot="1">
      <c r="A532" s="3"/>
      <c r="B532" s="4"/>
      <c r="C532" s="4"/>
      <c r="D532" s="4"/>
      <c r="E532" s="4"/>
      <c r="F532" s="4"/>
      <c r="G532" s="4"/>
      <c r="H532" s="4"/>
      <c r="I532" s="4"/>
      <c r="J532" s="4"/>
      <c r="K532" s="4"/>
      <c r="L532" s="4"/>
      <c r="M532" s="4"/>
      <c r="N532" s="4"/>
      <c r="O532" s="4"/>
      <c r="P532" s="4"/>
      <c r="Q532" s="4"/>
      <c r="R532" s="4"/>
      <c r="S532" s="4"/>
      <c r="T532" s="4"/>
      <c r="U532" s="4"/>
      <c r="V532" s="4"/>
      <c r="W532" s="4"/>
      <c r="X532" s="4"/>
    </row>
    <row r="533" spans="1:24" ht="15.75" thickBot="1">
      <c r="A533" s="3"/>
      <c r="B533" s="4"/>
      <c r="C533" s="4"/>
      <c r="D533" s="4"/>
      <c r="E533" s="4"/>
      <c r="F533" s="4"/>
      <c r="G533" s="4"/>
      <c r="H533" s="4"/>
      <c r="I533" s="4"/>
      <c r="J533" s="4"/>
      <c r="K533" s="4"/>
      <c r="L533" s="4"/>
      <c r="M533" s="4"/>
      <c r="N533" s="4"/>
      <c r="O533" s="4"/>
      <c r="P533" s="4"/>
      <c r="Q533" s="4"/>
      <c r="R533" s="4"/>
      <c r="S533" s="4"/>
      <c r="T533" s="4"/>
      <c r="U533" s="4"/>
      <c r="V533" s="4"/>
      <c r="W533" s="4"/>
      <c r="X533" s="4"/>
    </row>
    <row r="534" spans="1:24" ht="15.75" thickBot="1">
      <c r="A534" s="3"/>
      <c r="B534" s="4"/>
      <c r="C534" s="4"/>
      <c r="D534" s="4"/>
      <c r="E534" s="4"/>
      <c r="F534" s="4"/>
      <c r="G534" s="4"/>
      <c r="H534" s="4"/>
      <c r="I534" s="4"/>
      <c r="J534" s="4"/>
      <c r="K534" s="4"/>
      <c r="L534" s="4"/>
      <c r="M534" s="4"/>
      <c r="N534" s="4"/>
      <c r="O534" s="4"/>
      <c r="P534" s="4"/>
      <c r="Q534" s="4"/>
      <c r="R534" s="4"/>
      <c r="S534" s="4"/>
      <c r="T534" s="4"/>
      <c r="U534" s="4"/>
      <c r="V534" s="4"/>
      <c r="W534" s="4"/>
      <c r="X534" s="4"/>
    </row>
    <row r="535" spans="1:24" ht="15.75" thickBot="1">
      <c r="A535" s="3"/>
      <c r="B535" s="4"/>
      <c r="C535" s="4"/>
      <c r="D535" s="4"/>
      <c r="E535" s="4"/>
      <c r="F535" s="4"/>
      <c r="G535" s="4"/>
      <c r="H535" s="4"/>
      <c r="I535" s="4"/>
      <c r="J535" s="4"/>
      <c r="K535" s="4"/>
      <c r="L535" s="4"/>
      <c r="M535" s="4"/>
      <c r="N535" s="4"/>
      <c r="O535" s="4"/>
      <c r="P535" s="4"/>
      <c r="Q535" s="4"/>
      <c r="R535" s="4"/>
      <c r="S535" s="4"/>
      <c r="T535" s="4"/>
      <c r="U535" s="4"/>
      <c r="V535" s="4"/>
      <c r="W535" s="4"/>
      <c r="X535" s="4"/>
    </row>
    <row r="536" spans="1:24" ht="15.75" thickBot="1">
      <c r="A536" s="3"/>
      <c r="B536" s="4"/>
      <c r="C536" s="4"/>
      <c r="D536" s="4"/>
      <c r="E536" s="4"/>
      <c r="F536" s="4"/>
      <c r="G536" s="4"/>
      <c r="H536" s="4"/>
      <c r="I536" s="4"/>
      <c r="J536" s="4"/>
      <c r="K536" s="4"/>
      <c r="L536" s="4"/>
      <c r="M536" s="4"/>
      <c r="N536" s="4"/>
      <c r="O536" s="4"/>
      <c r="P536" s="4"/>
      <c r="Q536" s="4"/>
      <c r="R536" s="4"/>
      <c r="S536" s="4"/>
      <c r="T536" s="4"/>
      <c r="U536" s="4"/>
      <c r="V536" s="4"/>
      <c r="W536" s="4"/>
      <c r="X536" s="4"/>
    </row>
    <row r="537" spans="1:24" ht="15.75" thickBot="1">
      <c r="A537" s="3"/>
      <c r="B537" s="4"/>
      <c r="C537" s="4"/>
      <c r="D537" s="4"/>
      <c r="E537" s="4"/>
      <c r="F537" s="4"/>
      <c r="G537" s="4"/>
      <c r="H537" s="4"/>
      <c r="I537" s="4"/>
      <c r="J537" s="4"/>
      <c r="K537" s="4"/>
      <c r="L537" s="4"/>
      <c r="M537" s="4"/>
      <c r="N537" s="4"/>
      <c r="O537" s="4"/>
      <c r="P537" s="4"/>
      <c r="Q537" s="4"/>
      <c r="R537" s="4"/>
      <c r="S537" s="4"/>
      <c r="T537" s="4"/>
      <c r="U537" s="4"/>
      <c r="V537" s="4"/>
      <c r="W537" s="4"/>
      <c r="X537" s="4"/>
    </row>
    <row r="538" spans="1:24" ht="15.75" thickBot="1">
      <c r="A538" s="3"/>
      <c r="B538" s="4"/>
      <c r="C538" s="4"/>
      <c r="D538" s="4"/>
      <c r="E538" s="4"/>
      <c r="F538" s="4"/>
      <c r="G538" s="4"/>
      <c r="H538" s="4"/>
      <c r="I538" s="4"/>
      <c r="J538" s="4"/>
      <c r="K538" s="4"/>
      <c r="L538" s="4"/>
      <c r="M538" s="4"/>
      <c r="N538" s="4"/>
      <c r="O538" s="4"/>
      <c r="P538" s="4"/>
      <c r="Q538" s="4"/>
      <c r="R538" s="4"/>
      <c r="S538" s="4"/>
      <c r="T538" s="4"/>
      <c r="U538" s="4"/>
      <c r="V538" s="4"/>
      <c r="W538" s="4"/>
      <c r="X538" s="4"/>
    </row>
    <row r="539" spans="1:24" ht="15.75" thickBot="1">
      <c r="A539" s="3"/>
      <c r="B539" s="4"/>
      <c r="C539" s="4"/>
      <c r="D539" s="4"/>
      <c r="E539" s="4"/>
      <c r="F539" s="4"/>
      <c r="G539" s="4"/>
      <c r="H539" s="4"/>
      <c r="I539" s="4"/>
      <c r="J539" s="4"/>
      <c r="K539" s="4"/>
      <c r="L539" s="4"/>
      <c r="M539" s="4"/>
      <c r="N539" s="4"/>
      <c r="O539" s="4"/>
      <c r="P539" s="4"/>
      <c r="Q539" s="4"/>
      <c r="R539" s="4"/>
      <c r="S539" s="4"/>
      <c r="T539" s="4"/>
      <c r="U539" s="4"/>
      <c r="V539" s="4"/>
      <c r="W539" s="4"/>
      <c r="X539" s="4"/>
    </row>
    <row r="540" spans="1:24" ht="15.75" thickBot="1">
      <c r="A540" s="3"/>
      <c r="B540" s="4"/>
      <c r="C540" s="4"/>
      <c r="D540" s="4"/>
      <c r="E540" s="4"/>
      <c r="F540" s="4"/>
      <c r="G540" s="4"/>
      <c r="H540" s="4"/>
      <c r="I540" s="4"/>
      <c r="J540" s="4"/>
      <c r="K540" s="4"/>
      <c r="L540" s="4"/>
      <c r="M540" s="4"/>
      <c r="N540" s="4"/>
      <c r="O540" s="4"/>
      <c r="P540" s="4"/>
      <c r="Q540" s="4"/>
      <c r="R540" s="4"/>
      <c r="S540" s="4"/>
      <c r="T540" s="4"/>
      <c r="U540" s="4"/>
      <c r="V540" s="4"/>
      <c r="W540" s="4"/>
      <c r="X540" s="4"/>
    </row>
    <row r="541" spans="1:24" ht="15.75" thickBot="1">
      <c r="A541" s="3"/>
      <c r="B541" s="4"/>
      <c r="C541" s="4"/>
      <c r="D541" s="4"/>
      <c r="E541" s="4"/>
      <c r="F541" s="4"/>
      <c r="G541" s="4"/>
      <c r="H541" s="4"/>
      <c r="I541" s="4"/>
      <c r="J541" s="4"/>
      <c r="K541" s="4"/>
      <c r="L541" s="4"/>
      <c r="M541" s="4"/>
      <c r="N541" s="4"/>
      <c r="O541" s="4"/>
      <c r="P541" s="4"/>
      <c r="Q541" s="4"/>
      <c r="R541" s="4"/>
      <c r="S541" s="4"/>
      <c r="T541" s="4"/>
      <c r="U541" s="4"/>
      <c r="V541" s="4"/>
      <c r="W541" s="4"/>
      <c r="X541" s="4"/>
    </row>
    <row r="542" spans="1:24" ht="15.75" thickBot="1">
      <c r="A542" s="3"/>
      <c r="B542" s="4"/>
      <c r="C542" s="4"/>
      <c r="D542" s="4"/>
      <c r="E542" s="4"/>
      <c r="F542" s="4"/>
      <c r="G542" s="4"/>
      <c r="H542" s="4"/>
      <c r="I542" s="4"/>
      <c r="J542" s="4"/>
      <c r="K542" s="4"/>
      <c r="L542" s="4"/>
      <c r="M542" s="4"/>
      <c r="N542" s="4"/>
      <c r="O542" s="4"/>
      <c r="P542" s="4"/>
      <c r="Q542" s="4"/>
      <c r="R542" s="4"/>
      <c r="S542" s="4"/>
      <c r="T542" s="4"/>
      <c r="U542" s="4"/>
      <c r="V542" s="4"/>
      <c r="W542" s="4"/>
      <c r="X542" s="4"/>
    </row>
    <row r="543" spans="1:24" ht="15.75" thickBot="1">
      <c r="A543" s="3"/>
      <c r="B543" s="4"/>
      <c r="C543" s="4"/>
      <c r="D543" s="4"/>
      <c r="E543" s="4"/>
      <c r="F543" s="4"/>
      <c r="G543" s="4"/>
      <c r="H543" s="4"/>
      <c r="I543" s="4"/>
      <c r="J543" s="4"/>
      <c r="K543" s="4"/>
      <c r="L543" s="4"/>
      <c r="M543" s="4"/>
      <c r="N543" s="4"/>
      <c r="O543" s="4"/>
      <c r="P543" s="4"/>
      <c r="Q543" s="4"/>
      <c r="R543" s="4"/>
      <c r="S543" s="4"/>
      <c r="T543" s="4"/>
      <c r="U543" s="4"/>
      <c r="V543" s="4"/>
      <c r="W543" s="4"/>
      <c r="X543" s="4"/>
    </row>
    <row r="544" spans="1:24" ht="15.75" thickBot="1">
      <c r="A544" s="3"/>
      <c r="B544" s="4"/>
      <c r="C544" s="4"/>
      <c r="D544" s="4"/>
      <c r="E544" s="4"/>
      <c r="F544" s="4"/>
      <c r="G544" s="4"/>
      <c r="H544" s="4"/>
      <c r="I544" s="4"/>
      <c r="J544" s="4"/>
      <c r="K544" s="4"/>
      <c r="L544" s="4"/>
      <c r="M544" s="4"/>
      <c r="N544" s="4"/>
      <c r="O544" s="4"/>
      <c r="P544" s="4"/>
      <c r="Q544" s="4"/>
      <c r="R544" s="4"/>
      <c r="S544" s="4"/>
      <c r="T544" s="4"/>
      <c r="U544" s="4"/>
      <c r="V544" s="4"/>
      <c r="W544" s="4"/>
      <c r="X544" s="4"/>
    </row>
    <row r="545" spans="1:24" ht="15.75" thickBot="1">
      <c r="A545" s="3"/>
      <c r="B545" s="4"/>
      <c r="C545" s="4"/>
      <c r="D545" s="4"/>
      <c r="E545" s="4"/>
      <c r="F545" s="4"/>
      <c r="G545" s="4"/>
      <c r="H545" s="4"/>
      <c r="I545" s="4"/>
      <c r="J545" s="4"/>
      <c r="K545" s="4"/>
      <c r="L545" s="4"/>
      <c r="M545" s="4"/>
      <c r="N545" s="4"/>
      <c r="O545" s="4"/>
      <c r="P545" s="4"/>
      <c r="Q545" s="4"/>
      <c r="R545" s="4"/>
      <c r="S545" s="4"/>
      <c r="T545" s="4"/>
      <c r="U545" s="4"/>
      <c r="V545" s="4"/>
      <c r="W545" s="4"/>
      <c r="X545" s="4"/>
    </row>
    <row r="546" spans="1:24" ht="15.75" thickBot="1">
      <c r="A546" s="3"/>
      <c r="B546" s="4"/>
      <c r="C546" s="4"/>
      <c r="D546" s="4"/>
      <c r="E546" s="4"/>
      <c r="F546" s="4"/>
      <c r="G546" s="4"/>
      <c r="H546" s="4"/>
      <c r="I546" s="4"/>
      <c r="J546" s="4"/>
      <c r="K546" s="4"/>
      <c r="L546" s="4"/>
      <c r="M546" s="4"/>
      <c r="N546" s="4"/>
      <c r="O546" s="4"/>
      <c r="P546" s="4"/>
      <c r="Q546" s="4"/>
      <c r="R546" s="4"/>
      <c r="S546" s="4"/>
      <c r="T546" s="4"/>
      <c r="U546" s="4"/>
      <c r="V546" s="4"/>
      <c r="W546" s="4"/>
      <c r="X546" s="4"/>
    </row>
    <row r="547" spans="1:24" ht="15.75" thickBot="1">
      <c r="A547" s="3"/>
      <c r="B547" s="4"/>
      <c r="C547" s="4"/>
      <c r="D547" s="4"/>
      <c r="E547" s="4"/>
      <c r="F547" s="4"/>
      <c r="G547" s="4"/>
      <c r="H547" s="4"/>
      <c r="I547" s="4"/>
      <c r="J547" s="4"/>
      <c r="K547" s="4"/>
      <c r="L547" s="4"/>
      <c r="M547" s="4"/>
      <c r="N547" s="4"/>
      <c r="O547" s="4"/>
      <c r="P547" s="4"/>
      <c r="Q547" s="4"/>
      <c r="R547" s="4"/>
      <c r="S547" s="4"/>
      <c r="T547" s="4"/>
      <c r="U547" s="4"/>
      <c r="V547" s="4"/>
      <c r="W547" s="4"/>
      <c r="X547" s="4"/>
    </row>
    <row r="548" spans="1:24" ht="15.75" thickBot="1">
      <c r="A548" s="3"/>
      <c r="B548" s="4"/>
      <c r="C548" s="4"/>
      <c r="D548" s="4"/>
      <c r="E548" s="4"/>
      <c r="F548" s="4"/>
      <c r="G548" s="4"/>
      <c r="H548" s="4"/>
      <c r="I548" s="4"/>
      <c r="J548" s="4"/>
      <c r="K548" s="4"/>
      <c r="L548" s="4"/>
      <c r="M548" s="4"/>
      <c r="N548" s="4"/>
      <c r="O548" s="4"/>
      <c r="P548" s="4"/>
      <c r="Q548" s="4"/>
      <c r="R548" s="4"/>
      <c r="S548" s="4"/>
      <c r="T548" s="4"/>
      <c r="U548" s="4"/>
      <c r="V548" s="4"/>
      <c r="W548" s="4"/>
      <c r="X548" s="4"/>
    </row>
    <row r="549" spans="1:24" ht="15.75" thickBot="1">
      <c r="A549" s="3"/>
      <c r="B549" s="4"/>
      <c r="C549" s="4"/>
      <c r="D549" s="4"/>
      <c r="E549" s="4"/>
      <c r="F549" s="4"/>
      <c r="G549" s="4"/>
      <c r="H549" s="4"/>
      <c r="I549" s="4"/>
      <c r="J549" s="4"/>
      <c r="K549" s="4"/>
      <c r="L549" s="4"/>
      <c r="M549" s="4"/>
      <c r="N549" s="4"/>
      <c r="O549" s="4"/>
      <c r="P549" s="4"/>
      <c r="Q549" s="4"/>
      <c r="R549" s="4"/>
      <c r="S549" s="4"/>
      <c r="T549" s="4"/>
      <c r="U549" s="4"/>
      <c r="V549" s="4"/>
      <c r="W549" s="4"/>
      <c r="X549" s="4"/>
    </row>
    <row r="550" spans="1:24" ht="15.75" thickBot="1">
      <c r="A550" s="3"/>
      <c r="B550" s="4"/>
      <c r="C550" s="4"/>
      <c r="D550" s="4"/>
      <c r="E550" s="4"/>
      <c r="F550" s="4"/>
      <c r="G550" s="4"/>
      <c r="H550" s="4"/>
      <c r="I550" s="4"/>
      <c r="J550" s="4"/>
      <c r="K550" s="4"/>
      <c r="L550" s="4"/>
      <c r="M550" s="4"/>
      <c r="N550" s="4"/>
      <c r="O550" s="4"/>
      <c r="P550" s="4"/>
      <c r="Q550" s="4"/>
      <c r="R550" s="4"/>
      <c r="S550" s="4"/>
      <c r="T550" s="4"/>
      <c r="U550" s="4"/>
      <c r="V550" s="4"/>
      <c r="W550" s="4"/>
      <c r="X550" s="4"/>
    </row>
    <row r="551" spans="1:24" ht="15.75" thickBot="1">
      <c r="A551" s="3"/>
      <c r="B551" s="4"/>
      <c r="C551" s="4"/>
      <c r="D551" s="4"/>
      <c r="E551" s="4"/>
      <c r="F551" s="4"/>
      <c r="G551" s="4"/>
      <c r="H551" s="4"/>
      <c r="I551" s="4"/>
      <c r="J551" s="4"/>
      <c r="K551" s="4"/>
      <c r="L551" s="4"/>
      <c r="M551" s="4"/>
      <c r="N551" s="4"/>
      <c r="O551" s="4"/>
      <c r="P551" s="4"/>
      <c r="Q551" s="4"/>
      <c r="R551" s="4"/>
      <c r="S551" s="4"/>
      <c r="T551" s="4"/>
      <c r="U551" s="4"/>
      <c r="V551" s="4"/>
      <c r="W551" s="4"/>
      <c r="X551" s="4"/>
    </row>
    <row r="552" spans="1:24" ht="15.75" thickBot="1">
      <c r="A552" s="3"/>
      <c r="B552" s="4"/>
      <c r="C552" s="4"/>
      <c r="D552" s="4"/>
      <c r="E552" s="4"/>
      <c r="F552" s="4"/>
      <c r="G552" s="4"/>
      <c r="H552" s="4"/>
      <c r="I552" s="4"/>
      <c r="J552" s="4"/>
      <c r="K552" s="4"/>
      <c r="L552" s="4"/>
      <c r="M552" s="4"/>
      <c r="N552" s="4"/>
      <c r="O552" s="4"/>
      <c r="P552" s="4"/>
      <c r="Q552" s="4"/>
      <c r="R552" s="4"/>
      <c r="S552" s="4"/>
      <c r="T552" s="4"/>
      <c r="U552" s="4"/>
      <c r="V552" s="4"/>
      <c r="W552" s="4"/>
      <c r="X552" s="4"/>
    </row>
    <row r="553" spans="1:24" ht="15.75" thickBot="1">
      <c r="A553" s="3"/>
      <c r="B553" s="4"/>
      <c r="C553" s="4"/>
      <c r="D553" s="4"/>
      <c r="E553" s="4"/>
      <c r="F553" s="4"/>
      <c r="G553" s="4"/>
      <c r="H553" s="4"/>
      <c r="I553" s="4"/>
      <c r="J553" s="4"/>
      <c r="K553" s="4"/>
      <c r="L553" s="4"/>
      <c r="M553" s="4"/>
      <c r="N553" s="4"/>
      <c r="O553" s="4"/>
      <c r="P553" s="4"/>
      <c r="Q553" s="4"/>
      <c r="R553" s="4"/>
      <c r="S553" s="4"/>
      <c r="T553" s="4"/>
      <c r="U553" s="4"/>
      <c r="V553" s="4"/>
      <c r="W553" s="4"/>
      <c r="X553" s="4"/>
    </row>
    <row r="554" spans="1:24" ht="15.75" thickBot="1">
      <c r="A554" s="3"/>
      <c r="B554" s="4"/>
      <c r="C554" s="4"/>
      <c r="D554" s="4"/>
      <c r="E554" s="4"/>
      <c r="F554" s="4"/>
      <c r="G554" s="4"/>
      <c r="H554" s="4"/>
      <c r="I554" s="4"/>
      <c r="J554" s="4"/>
      <c r="K554" s="4"/>
      <c r="L554" s="4"/>
      <c r="M554" s="4"/>
      <c r="N554" s="4"/>
      <c r="O554" s="4"/>
      <c r="P554" s="4"/>
      <c r="Q554" s="4"/>
      <c r="R554" s="4"/>
      <c r="S554" s="4"/>
      <c r="T554" s="4"/>
      <c r="U554" s="4"/>
      <c r="V554" s="4"/>
      <c r="W554" s="4"/>
      <c r="X554" s="4"/>
    </row>
    <row r="555" spans="1:24" ht="15.75" thickBot="1">
      <c r="A555" s="3"/>
      <c r="B555" s="4"/>
      <c r="C555" s="4"/>
      <c r="D555" s="4"/>
      <c r="E555" s="4"/>
      <c r="F555" s="4"/>
      <c r="G555" s="4"/>
      <c r="H555" s="4"/>
      <c r="I555" s="4"/>
      <c r="J555" s="4"/>
      <c r="K555" s="4"/>
      <c r="L555" s="4"/>
      <c r="M555" s="4"/>
      <c r="N555" s="4"/>
      <c r="O555" s="4"/>
      <c r="P555" s="4"/>
      <c r="Q555" s="4"/>
      <c r="R555" s="4"/>
      <c r="S555" s="4"/>
      <c r="T555" s="4"/>
      <c r="U555" s="4"/>
      <c r="V555" s="4"/>
      <c r="W555" s="4"/>
      <c r="X555" s="4"/>
    </row>
    <row r="556" spans="1:24" ht="15.75" thickBot="1">
      <c r="A556" s="3"/>
      <c r="B556" s="4"/>
      <c r="C556" s="4"/>
      <c r="D556" s="4"/>
      <c r="E556" s="4"/>
      <c r="F556" s="4"/>
      <c r="G556" s="4"/>
      <c r="H556" s="4"/>
      <c r="I556" s="4"/>
      <c r="J556" s="4"/>
      <c r="K556" s="4"/>
      <c r="L556" s="4"/>
      <c r="M556" s="4"/>
      <c r="N556" s="4"/>
      <c r="O556" s="4"/>
      <c r="P556" s="4"/>
      <c r="Q556" s="4"/>
      <c r="R556" s="4"/>
      <c r="S556" s="4"/>
      <c r="T556" s="4"/>
      <c r="U556" s="4"/>
      <c r="V556" s="4"/>
      <c r="W556" s="4"/>
      <c r="X556" s="4"/>
    </row>
    <row r="557" spans="1:24" ht="15.75" thickBot="1">
      <c r="A557" s="3"/>
      <c r="B557" s="4"/>
      <c r="C557" s="4"/>
      <c r="D557" s="4"/>
      <c r="E557" s="4"/>
      <c r="F557" s="4"/>
      <c r="G557" s="4"/>
      <c r="H557" s="4"/>
      <c r="I557" s="4"/>
      <c r="J557" s="4"/>
      <c r="K557" s="4"/>
      <c r="L557" s="4"/>
      <c r="M557" s="4"/>
      <c r="N557" s="4"/>
      <c r="O557" s="4"/>
      <c r="P557" s="4"/>
      <c r="Q557" s="4"/>
      <c r="R557" s="4"/>
      <c r="S557" s="4"/>
      <c r="T557" s="4"/>
      <c r="U557" s="4"/>
      <c r="V557" s="4"/>
      <c r="W557" s="4"/>
      <c r="X557" s="4"/>
    </row>
    <row r="558" spans="1:24" ht="15.75" thickBot="1">
      <c r="A558" s="3"/>
      <c r="B558" s="4"/>
      <c r="C558" s="4"/>
      <c r="D558" s="4"/>
      <c r="E558" s="4"/>
      <c r="F558" s="4"/>
      <c r="G558" s="4"/>
      <c r="H558" s="4"/>
      <c r="I558" s="4"/>
      <c r="J558" s="4"/>
      <c r="K558" s="4"/>
      <c r="L558" s="4"/>
      <c r="M558" s="4"/>
      <c r="N558" s="4"/>
      <c r="O558" s="4"/>
      <c r="P558" s="4"/>
      <c r="Q558" s="4"/>
      <c r="R558" s="4"/>
      <c r="S558" s="4"/>
      <c r="T558" s="4"/>
      <c r="U558" s="4"/>
      <c r="V558" s="4"/>
      <c r="W558" s="4"/>
      <c r="X558" s="4"/>
    </row>
    <row r="559" spans="1:24" ht="15.75" thickBot="1">
      <c r="A559" s="3"/>
      <c r="B559" s="4"/>
      <c r="C559" s="4"/>
      <c r="D559" s="4"/>
      <c r="E559" s="4"/>
      <c r="F559" s="4"/>
      <c r="G559" s="4"/>
      <c r="H559" s="4"/>
      <c r="I559" s="4"/>
      <c r="J559" s="4"/>
      <c r="K559" s="4"/>
      <c r="L559" s="4"/>
      <c r="M559" s="4"/>
      <c r="N559" s="4"/>
      <c r="O559" s="4"/>
      <c r="P559" s="4"/>
      <c r="Q559" s="4"/>
      <c r="R559" s="4"/>
      <c r="S559" s="4"/>
      <c r="T559" s="4"/>
      <c r="U559" s="4"/>
      <c r="V559" s="4"/>
      <c r="W559" s="4"/>
      <c r="X559" s="4"/>
    </row>
    <row r="560" spans="1:24" ht="15.75" thickBot="1">
      <c r="A560" s="3"/>
      <c r="B560" s="4"/>
      <c r="C560" s="4"/>
      <c r="D560" s="4"/>
      <c r="E560" s="4"/>
      <c r="F560" s="4"/>
      <c r="G560" s="4"/>
      <c r="H560" s="4"/>
      <c r="I560" s="4"/>
      <c r="J560" s="4"/>
      <c r="K560" s="4"/>
      <c r="L560" s="4"/>
      <c r="M560" s="4"/>
      <c r="N560" s="4"/>
      <c r="O560" s="4"/>
      <c r="P560" s="4"/>
      <c r="Q560" s="4"/>
      <c r="R560" s="4"/>
      <c r="S560" s="4"/>
      <c r="T560" s="4"/>
      <c r="U560" s="4"/>
      <c r="V560" s="4"/>
      <c r="W560" s="4"/>
      <c r="X560" s="4"/>
    </row>
    <row r="561" spans="1:24" ht="15.75" thickBot="1">
      <c r="A561" s="3"/>
      <c r="B561" s="4"/>
      <c r="C561" s="4"/>
      <c r="D561" s="4"/>
      <c r="E561" s="4"/>
      <c r="F561" s="4"/>
      <c r="G561" s="4"/>
      <c r="H561" s="4"/>
      <c r="I561" s="4"/>
      <c r="J561" s="4"/>
      <c r="K561" s="4"/>
      <c r="L561" s="4"/>
      <c r="M561" s="4"/>
      <c r="N561" s="4"/>
      <c r="O561" s="4"/>
      <c r="P561" s="4"/>
      <c r="Q561" s="4"/>
      <c r="R561" s="4"/>
      <c r="S561" s="4"/>
      <c r="T561" s="4"/>
      <c r="U561" s="4"/>
      <c r="V561" s="4"/>
      <c r="W561" s="4"/>
      <c r="X561" s="4"/>
    </row>
    <row r="562" spans="1:24" ht="15.75" thickBot="1">
      <c r="A562" s="3"/>
      <c r="B562" s="4"/>
      <c r="C562" s="4"/>
      <c r="D562" s="4"/>
      <c r="E562" s="4"/>
      <c r="F562" s="4"/>
      <c r="G562" s="4"/>
      <c r="H562" s="4"/>
      <c r="I562" s="4"/>
      <c r="J562" s="4"/>
      <c r="K562" s="4"/>
      <c r="L562" s="4"/>
      <c r="M562" s="4"/>
      <c r="N562" s="4"/>
      <c r="O562" s="4"/>
      <c r="P562" s="4"/>
      <c r="Q562" s="4"/>
      <c r="R562" s="4"/>
      <c r="S562" s="4"/>
      <c r="T562" s="4"/>
      <c r="U562" s="4"/>
      <c r="V562" s="4"/>
      <c r="W562" s="4"/>
      <c r="X562" s="4"/>
    </row>
    <row r="563" spans="1:24" ht="15.75" thickBot="1">
      <c r="A563" s="3"/>
      <c r="B563" s="4"/>
      <c r="C563" s="4"/>
      <c r="D563" s="4"/>
      <c r="E563" s="4"/>
      <c r="F563" s="4"/>
      <c r="G563" s="4"/>
      <c r="H563" s="4"/>
      <c r="I563" s="4"/>
      <c r="J563" s="4"/>
      <c r="K563" s="4"/>
      <c r="L563" s="4"/>
      <c r="M563" s="4"/>
      <c r="N563" s="4"/>
      <c r="O563" s="4"/>
      <c r="P563" s="4"/>
      <c r="Q563" s="4"/>
      <c r="R563" s="4"/>
      <c r="S563" s="4"/>
      <c r="T563" s="4"/>
      <c r="U563" s="4"/>
      <c r="V563" s="4"/>
      <c r="W563" s="4"/>
      <c r="X563" s="4"/>
    </row>
    <row r="564" spans="1:24" ht="15.75" thickBot="1">
      <c r="A564" s="3"/>
      <c r="B564" s="4"/>
      <c r="C564" s="4"/>
      <c r="D564" s="4"/>
      <c r="E564" s="4"/>
      <c r="F564" s="4"/>
      <c r="G564" s="4"/>
      <c r="H564" s="4"/>
      <c r="I564" s="4"/>
      <c r="J564" s="4"/>
      <c r="K564" s="4"/>
      <c r="L564" s="4"/>
      <c r="M564" s="4"/>
      <c r="N564" s="4"/>
      <c r="O564" s="4"/>
      <c r="P564" s="4"/>
      <c r="Q564" s="4"/>
      <c r="R564" s="4"/>
      <c r="S564" s="4"/>
      <c r="T564" s="4"/>
      <c r="U564" s="4"/>
      <c r="V564" s="4"/>
      <c r="W564" s="4"/>
      <c r="X564" s="4"/>
    </row>
    <row r="565" spans="1:24" ht="15.75" thickBot="1">
      <c r="A565" s="3"/>
      <c r="B565" s="4"/>
      <c r="C565" s="4"/>
      <c r="D565" s="4"/>
      <c r="E565" s="4"/>
      <c r="F565" s="4"/>
      <c r="G565" s="4"/>
      <c r="H565" s="4"/>
      <c r="I565" s="4"/>
      <c r="J565" s="4"/>
      <c r="K565" s="4"/>
      <c r="L565" s="4"/>
      <c r="M565" s="4"/>
      <c r="N565" s="4"/>
      <c r="O565" s="4"/>
      <c r="P565" s="4"/>
      <c r="Q565" s="4"/>
      <c r="R565" s="4"/>
      <c r="S565" s="4"/>
      <c r="T565" s="4"/>
      <c r="U565" s="4"/>
      <c r="V565" s="4"/>
      <c r="W565" s="4"/>
      <c r="X565" s="4"/>
    </row>
    <row r="566" spans="1:24" ht="15.75" thickBot="1">
      <c r="A566" s="3"/>
      <c r="B566" s="4"/>
      <c r="C566" s="4"/>
      <c r="D566" s="4"/>
      <c r="E566" s="4"/>
      <c r="F566" s="4"/>
      <c r="G566" s="4"/>
      <c r="H566" s="4"/>
      <c r="I566" s="4"/>
      <c r="J566" s="4"/>
      <c r="K566" s="4"/>
      <c r="L566" s="4"/>
      <c r="M566" s="4"/>
      <c r="N566" s="4"/>
      <c r="O566" s="4"/>
      <c r="P566" s="4"/>
      <c r="Q566" s="4"/>
      <c r="R566" s="4"/>
      <c r="S566" s="4"/>
      <c r="T566" s="4"/>
      <c r="U566" s="4"/>
      <c r="V566" s="4"/>
      <c r="W566" s="4"/>
      <c r="X566" s="4"/>
    </row>
    <row r="567" spans="1:24" ht="15.75" thickBot="1">
      <c r="A567" s="3"/>
      <c r="B567" s="4"/>
      <c r="C567" s="4"/>
      <c r="D567" s="4"/>
      <c r="E567" s="4"/>
      <c r="F567" s="4"/>
      <c r="G567" s="4"/>
      <c r="H567" s="4"/>
      <c r="I567" s="4"/>
      <c r="J567" s="4"/>
      <c r="K567" s="4"/>
      <c r="L567" s="4"/>
      <c r="M567" s="4"/>
      <c r="N567" s="4"/>
      <c r="O567" s="4"/>
      <c r="P567" s="4"/>
      <c r="Q567" s="4"/>
      <c r="R567" s="4"/>
      <c r="S567" s="4"/>
      <c r="T567" s="4"/>
      <c r="U567" s="4"/>
      <c r="V567" s="4"/>
      <c r="W567" s="4"/>
      <c r="X567" s="4"/>
    </row>
    <row r="568" spans="1:24" ht="15.75" thickBot="1">
      <c r="A568" s="3"/>
      <c r="B568" s="4"/>
      <c r="C568" s="4"/>
      <c r="D568" s="4"/>
      <c r="E568" s="4"/>
      <c r="F568" s="4"/>
      <c r="G568" s="4"/>
      <c r="H568" s="4"/>
      <c r="I568" s="4"/>
      <c r="J568" s="4"/>
      <c r="K568" s="4"/>
      <c r="L568" s="4"/>
      <c r="M568" s="4"/>
      <c r="N568" s="4"/>
      <c r="O568" s="4"/>
      <c r="P568" s="4"/>
      <c r="Q568" s="4"/>
      <c r="R568" s="4"/>
      <c r="S568" s="4"/>
      <c r="T568" s="4"/>
      <c r="U568" s="4"/>
      <c r="V568" s="4"/>
      <c r="W568" s="4"/>
      <c r="X568" s="4"/>
    </row>
    <row r="569" spans="1:24" ht="15.75" thickBot="1">
      <c r="A569" s="3"/>
      <c r="B569" s="4"/>
      <c r="C569" s="4"/>
      <c r="D569" s="4"/>
      <c r="E569" s="4"/>
      <c r="F569" s="4"/>
      <c r="G569" s="4"/>
      <c r="H569" s="4"/>
      <c r="I569" s="4"/>
      <c r="J569" s="4"/>
      <c r="K569" s="4"/>
      <c r="L569" s="4"/>
      <c r="M569" s="4"/>
      <c r="N569" s="4"/>
      <c r="O569" s="4"/>
      <c r="P569" s="4"/>
      <c r="Q569" s="4"/>
      <c r="R569" s="4"/>
      <c r="S569" s="4"/>
      <c r="T569" s="4"/>
      <c r="U569" s="4"/>
      <c r="V569" s="4"/>
      <c r="W569" s="4"/>
      <c r="X569" s="4"/>
    </row>
    <row r="570" spans="1:24" ht="15.75" thickBot="1">
      <c r="A570" s="3"/>
      <c r="B570" s="4"/>
      <c r="C570" s="4"/>
      <c r="D570" s="4"/>
      <c r="E570" s="4"/>
      <c r="F570" s="4"/>
      <c r="G570" s="4"/>
      <c r="H570" s="4"/>
      <c r="I570" s="4"/>
      <c r="J570" s="4"/>
      <c r="K570" s="4"/>
      <c r="L570" s="4"/>
      <c r="M570" s="4"/>
      <c r="N570" s="4"/>
      <c r="O570" s="4"/>
      <c r="P570" s="4"/>
      <c r="Q570" s="4"/>
      <c r="R570" s="4"/>
      <c r="S570" s="4"/>
      <c r="T570" s="4"/>
      <c r="U570" s="4"/>
      <c r="V570" s="4"/>
      <c r="W570" s="4"/>
      <c r="X570" s="4"/>
    </row>
    <row r="571" spans="1:24" ht="15.75" thickBot="1">
      <c r="A571" s="3"/>
      <c r="B571" s="4"/>
      <c r="C571" s="4"/>
      <c r="D571" s="4"/>
      <c r="E571" s="4"/>
      <c r="F571" s="4"/>
      <c r="G571" s="4"/>
      <c r="H571" s="4"/>
      <c r="I571" s="4"/>
      <c r="J571" s="4"/>
      <c r="K571" s="4"/>
      <c r="L571" s="4"/>
      <c r="M571" s="4"/>
      <c r="N571" s="4"/>
      <c r="O571" s="4"/>
      <c r="P571" s="4"/>
      <c r="Q571" s="4"/>
      <c r="R571" s="4"/>
      <c r="S571" s="4"/>
      <c r="T571" s="4"/>
      <c r="U571" s="4"/>
      <c r="V571" s="4"/>
      <c r="W571" s="4"/>
      <c r="X571" s="4"/>
    </row>
    <row r="572" spans="1:24" ht="15.75" thickBot="1">
      <c r="A572" s="3"/>
      <c r="B572" s="4"/>
      <c r="C572" s="4"/>
      <c r="D572" s="4"/>
      <c r="E572" s="4"/>
      <c r="F572" s="4"/>
      <c r="G572" s="4"/>
      <c r="H572" s="4"/>
      <c r="I572" s="4"/>
      <c r="J572" s="4"/>
      <c r="K572" s="4"/>
      <c r="L572" s="4"/>
      <c r="M572" s="4"/>
      <c r="N572" s="4"/>
      <c r="O572" s="4"/>
      <c r="P572" s="4"/>
      <c r="Q572" s="4"/>
      <c r="R572" s="4"/>
      <c r="S572" s="4"/>
      <c r="T572" s="4"/>
      <c r="U572" s="4"/>
      <c r="V572" s="4"/>
      <c r="W572" s="4"/>
      <c r="X572" s="4"/>
    </row>
    <row r="573" spans="1:24" ht="15.75" thickBot="1">
      <c r="A573" s="3"/>
      <c r="B573" s="4"/>
      <c r="C573" s="4"/>
      <c r="D573" s="4"/>
      <c r="E573" s="4"/>
      <c r="F573" s="4"/>
      <c r="G573" s="4"/>
      <c r="H573" s="4"/>
      <c r="I573" s="4"/>
      <c r="J573" s="4"/>
      <c r="K573" s="4"/>
      <c r="L573" s="4"/>
      <c r="M573" s="4"/>
      <c r="N573" s="4"/>
      <c r="O573" s="4"/>
      <c r="P573" s="4"/>
      <c r="Q573" s="4"/>
      <c r="R573" s="4"/>
      <c r="S573" s="4"/>
      <c r="T573" s="4"/>
      <c r="U573" s="4"/>
      <c r="V573" s="4"/>
      <c r="W573" s="4"/>
      <c r="X573" s="4"/>
    </row>
    <row r="574" spans="1:24" ht="15.75" thickBot="1">
      <c r="A574" s="3"/>
      <c r="B574" s="4"/>
      <c r="C574" s="4"/>
      <c r="D574" s="4"/>
      <c r="E574" s="4"/>
      <c r="F574" s="4"/>
      <c r="G574" s="4"/>
      <c r="H574" s="4"/>
      <c r="I574" s="4"/>
      <c r="J574" s="4"/>
      <c r="K574" s="4"/>
      <c r="L574" s="4"/>
      <c r="M574" s="4"/>
      <c r="N574" s="4"/>
      <c r="O574" s="4"/>
      <c r="P574" s="4"/>
      <c r="Q574" s="4"/>
      <c r="R574" s="4"/>
      <c r="S574" s="4"/>
      <c r="T574" s="4"/>
      <c r="U574" s="4"/>
      <c r="V574" s="4"/>
      <c r="W574" s="4"/>
      <c r="X574" s="4"/>
    </row>
    <row r="575" spans="1:24" ht="15.75" thickBot="1">
      <c r="A575" s="3"/>
      <c r="B575" s="4"/>
      <c r="C575" s="4"/>
      <c r="D575" s="4"/>
      <c r="E575" s="4"/>
      <c r="F575" s="4"/>
      <c r="G575" s="4"/>
      <c r="H575" s="4"/>
      <c r="I575" s="4"/>
      <c r="J575" s="4"/>
      <c r="K575" s="4"/>
      <c r="L575" s="4"/>
      <c r="M575" s="4"/>
      <c r="N575" s="4"/>
      <c r="O575" s="4"/>
      <c r="P575" s="4"/>
      <c r="Q575" s="4"/>
      <c r="R575" s="4"/>
      <c r="S575" s="4"/>
      <c r="T575" s="4"/>
      <c r="U575" s="4"/>
      <c r="V575" s="4"/>
      <c r="W575" s="4"/>
      <c r="X575" s="4"/>
    </row>
    <row r="576" spans="1:24" ht="15.75" thickBot="1">
      <c r="A576" s="3"/>
      <c r="B576" s="4"/>
      <c r="C576" s="4"/>
      <c r="D576" s="4"/>
      <c r="E576" s="4"/>
      <c r="F576" s="4"/>
      <c r="G576" s="4"/>
      <c r="H576" s="4"/>
      <c r="I576" s="4"/>
      <c r="J576" s="4"/>
      <c r="K576" s="4"/>
      <c r="L576" s="4"/>
      <c r="M576" s="4"/>
      <c r="N576" s="4"/>
      <c r="O576" s="4"/>
      <c r="P576" s="4"/>
      <c r="Q576" s="4"/>
      <c r="R576" s="4"/>
      <c r="S576" s="4"/>
      <c r="T576" s="4"/>
      <c r="U576" s="4"/>
      <c r="V576" s="4"/>
      <c r="W576" s="4"/>
      <c r="X576" s="4"/>
    </row>
    <row r="577" spans="1:24" ht="15.75" thickBot="1">
      <c r="A577" s="3"/>
      <c r="B577" s="4"/>
      <c r="C577" s="4"/>
      <c r="D577" s="4"/>
      <c r="E577" s="4"/>
      <c r="F577" s="4"/>
      <c r="G577" s="4"/>
      <c r="H577" s="4"/>
      <c r="I577" s="4"/>
      <c r="J577" s="4"/>
      <c r="K577" s="4"/>
      <c r="L577" s="4"/>
      <c r="M577" s="4"/>
      <c r="N577" s="4"/>
      <c r="O577" s="4"/>
      <c r="P577" s="4"/>
      <c r="Q577" s="4"/>
      <c r="R577" s="4"/>
      <c r="S577" s="4"/>
      <c r="T577" s="4"/>
      <c r="U577" s="4"/>
      <c r="V577" s="4"/>
      <c r="W577" s="4"/>
      <c r="X577" s="4"/>
    </row>
    <row r="578" spans="1:24" ht="15.75" thickBot="1">
      <c r="A578" s="3"/>
      <c r="B578" s="4"/>
      <c r="C578" s="4"/>
      <c r="D578" s="4"/>
      <c r="E578" s="4"/>
      <c r="F578" s="4"/>
      <c r="G578" s="4"/>
      <c r="H578" s="4"/>
      <c r="I578" s="4"/>
      <c r="J578" s="4"/>
      <c r="K578" s="4"/>
      <c r="L578" s="4"/>
      <c r="M578" s="4"/>
      <c r="N578" s="4"/>
      <c r="O578" s="4"/>
      <c r="P578" s="4"/>
      <c r="Q578" s="4"/>
      <c r="R578" s="4"/>
      <c r="S578" s="4"/>
      <c r="T578" s="4"/>
      <c r="U578" s="4"/>
      <c r="V578" s="4"/>
      <c r="W578" s="4"/>
      <c r="X578" s="4"/>
    </row>
    <row r="579" spans="1:24" ht="15.75" thickBot="1">
      <c r="A579" s="3"/>
      <c r="B579" s="4"/>
      <c r="C579" s="4"/>
      <c r="D579" s="4"/>
      <c r="E579" s="4"/>
      <c r="F579" s="4"/>
      <c r="G579" s="4"/>
      <c r="H579" s="4"/>
      <c r="I579" s="4"/>
      <c r="J579" s="4"/>
      <c r="K579" s="4"/>
      <c r="L579" s="4"/>
      <c r="M579" s="4"/>
      <c r="N579" s="4"/>
      <c r="O579" s="4"/>
      <c r="P579" s="4"/>
      <c r="Q579" s="4"/>
      <c r="R579" s="4"/>
      <c r="S579" s="4"/>
      <c r="T579" s="4"/>
      <c r="U579" s="4"/>
      <c r="V579" s="4"/>
      <c r="W579" s="4"/>
      <c r="X579" s="4"/>
    </row>
    <row r="580" spans="1:24" ht="15.75" thickBot="1">
      <c r="A580" s="3"/>
      <c r="B580" s="4"/>
      <c r="C580" s="4"/>
      <c r="D580" s="4"/>
      <c r="E580" s="4"/>
      <c r="F580" s="4"/>
      <c r="G580" s="4"/>
      <c r="H580" s="4"/>
      <c r="I580" s="4"/>
      <c r="J580" s="4"/>
      <c r="K580" s="4"/>
      <c r="L580" s="4"/>
      <c r="M580" s="4"/>
      <c r="N580" s="4"/>
      <c r="O580" s="4"/>
      <c r="P580" s="4"/>
      <c r="Q580" s="4"/>
      <c r="R580" s="4"/>
      <c r="S580" s="4"/>
      <c r="T580" s="4"/>
      <c r="U580" s="4"/>
      <c r="V580" s="4"/>
      <c r="W580" s="4"/>
      <c r="X580" s="4"/>
    </row>
    <row r="581" spans="1:24" ht="15.75" thickBot="1">
      <c r="A581" s="3"/>
      <c r="B581" s="4"/>
      <c r="C581" s="4"/>
      <c r="D581" s="4"/>
      <c r="E581" s="4"/>
      <c r="F581" s="4"/>
      <c r="G581" s="4"/>
      <c r="H581" s="4"/>
      <c r="I581" s="4"/>
      <c r="J581" s="4"/>
      <c r="K581" s="4"/>
      <c r="L581" s="4"/>
      <c r="M581" s="4"/>
      <c r="N581" s="4"/>
      <c r="O581" s="4"/>
      <c r="P581" s="4"/>
      <c r="Q581" s="4"/>
      <c r="R581" s="4"/>
      <c r="S581" s="4"/>
      <c r="T581" s="4"/>
      <c r="U581" s="4"/>
      <c r="V581" s="4"/>
      <c r="W581" s="4"/>
      <c r="X581" s="4"/>
    </row>
    <row r="582" spans="1:24" ht="15.75" thickBot="1">
      <c r="A582" s="3"/>
      <c r="B582" s="4"/>
      <c r="C582" s="4"/>
      <c r="D582" s="4"/>
      <c r="E582" s="4"/>
      <c r="F582" s="4"/>
      <c r="G582" s="4"/>
      <c r="H582" s="4"/>
      <c r="I582" s="4"/>
      <c r="J582" s="4"/>
      <c r="K582" s="4"/>
      <c r="L582" s="4"/>
      <c r="M582" s="4"/>
      <c r="N582" s="4"/>
      <c r="O582" s="4"/>
      <c r="P582" s="4"/>
      <c r="Q582" s="4"/>
      <c r="R582" s="4"/>
      <c r="S582" s="4"/>
      <c r="T582" s="4"/>
      <c r="U582" s="4"/>
      <c r="V582" s="4"/>
      <c r="W582" s="4"/>
      <c r="X582" s="4"/>
    </row>
    <row r="583" spans="1:24" ht="15.75" thickBot="1">
      <c r="A583" s="3"/>
      <c r="B583" s="4"/>
      <c r="C583" s="4"/>
      <c r="D583" s="4"/>
      <c r="E583" s="4"/>
      <c r="F583" s="4"/>
      <c r="G583" s="4"/>
      <c r="H583" s="4"/>
      <c r="I583" s="4"/>
      <c r="J583" s="4"/>
      <c r="K583" s="4"/>
      <c r="L583" s="4"/>
      <c r="M583" s="4"/>
      <c r="N583" s="4"/>
      <c r="O583" s="4"/>
      <c r="P583" s="4"/>
      <c r="Q583" s="4"/>
      <c r="R583" s="4"/>
      <c r="S583" s="4"/>
      <c r="T583" s="4"/>
      <c r="U583" s="4"/>
      <c r="V583" s="4"/>
      <c r="W583" s="4"/>
      <c r="X583" s="4"/>
    </row>
    <row r="584" spans="1:24" ht="15.75" thickBot="1">
      <c r="A584" s="3"/>
      <c r="B584" s="4"/>
      <c r="C584" s="4"/>
      <c r="D584" s="4"/>
      <c r="E584" s="4"/>
      <c r="F584" s="4"/>
      <c r="G584" s="4"/>
      <c r="H584" s="4"/>
      <c r="I584" s="4"/>
      <c r="J584" s="4"/>
      <c r="K584" s="4"/>
      <c r="L584" s="4"/>
      <c r="M584" s="4"/>
      <c r="N584" s="4"/>
      <c r="O584" s="4"/>
      <c r="P584" s="4"/>
      <c r="Q584" s="4"/>
      <c r="R584" s="4"/>
      <c r="S584" s="4"/>
      <c r="T584" s="4"/>
      <c r="U584" s="4"/>
      <c r="V584" s="4"/>
      <c r="W584" s="4"/>
      <c r="X584" s="4"/>
    </row>
    <row r="585" spans="1:24" ht="15.75" thickBot="1">
      <c r="A585" s="3"/>
      <c r="B585" s="4"/>
      <c r="C585" s="4"/>
      <c r="D585" s="4"/>
      <c r="E585" s="4"/>
      <c r="F585" s="4"/>
      <c r="G585" s="4"/>
      <c r="H585" s="4"/>
      <c r="I585" s="4"/>
      <c r="J585" s="4"/>
      <c r="K585" s="4"/>
      <c r="L585" s="4"/>
      <c r="M585" s="4"/>
      <c r="N585" s="4"/>
      <c r="O585" s="4"/>
      <c r="P585" s="4"/>
      <c r="Q585" s="4"/>
      <c r="R585" s="4"/>
      <c r="S585" s="4"/>
      <c r="T585" s="4"/>
      <c r="U585" s="4"/>
      <c r="V585" s="4"/>
      <c r="W585" s="4"/>
      <c r="X585" s="4"/>
    </row>
    <row r="586" spans="1:24" ht="15.75" thickBot="1">
      <c r="A586" s="3"/>
      <c r="B586" s="4"/>
      <c r="C586" s="4"/>
      <c r="D586" s="4"/>
      <c r="E586" s="4"/>
      <c r="F586" s="4"/>
      <c r="G586" s="4"/>
      <c r="H586" s="4"/>
      <c r="I586" s="4"/>
      <c r="J586" s="4"/>
      <c r="K586" s="4"/>
      <c r="L586" s="4"/>
      <c r="M586" s="4"/>
      <c r="N586" s="4"/>
      <c r="O586" s="4"/>
      <c r="P586" s="4"/>
      <c r="Q586" s="4"/>
      <c r="R586" s="4"/>
      <c r="S586" s="4"/>
      <c r="T586" s="4"/>
      <c r="U586" s="4"/>
      <c r="V586" s="4"/>
      <c r="W586" s="4"/>
      <c r="X586" s="4"/>
    </row>
    <row r="587" spans="1:24" ht="15.75" thickBot="1">
      <c r="A587" s="3"/>
      <c r="B587" s="4"/>
      <c r="C587" s="4"/>
      <c r="D587" s="4"/>
      <c r="E587" s="4"/>
      <c r="F587" s="4"/>
      <c r="G587" s="4"/>
      <c r="H587" s="4"/>
      <c r="I587" s="4"/>
      <c r="J587" s="4"/>
      <c r="K587" s="4"/>
      <c r="L587" s="4"/>
      <c r="M587" s="4"/>
      <c r="N587" s="4"/>
      <c r="O587" s="4"/>
      <c r="P587" s="4"/>
      <c r="Q587" s="4"/>
      <c r="R587" s="4"/>
      <c r="S587" s="4"/>
      <c r="T587" s="4"/>
      <c r="U587" s="4"/>
      <c r="V587" s="4"/>
      <c r="W587" s="4"/>
      <c r="X587" s="4"/>
    </row>
    <row r="588" spans="1:24" ht="15.75" thickBot="1">
      <c r="A588" s="3"/>
      <c r="B588" s="4"/>
      <c r="C588" s="4"/>
      <c r="D588" s="4"/>
      <c r="E588" s="4"/>
      <c r="F588" s="4"/>
      <c r="G588" s="4"/>
      <c r="H588" s="4"/>
      <c r="I588" s="4"/>
      <c r="J588" s="4"/>
      <c r="K588" s="4"/>
      <c r="L588" s="4"/>
      <c r="M588" s="4"/>
      <c r="N588" s="4"/>
      <c r="O588" s="4"/>
      <c r="P588" s="4"/>
      <c r="Q588" s="4"/>
      <c r="R588" s="4"/>
      <c r="S588" s="4"/>
      <c r="T588" s="4"/>
      <c r="U588" s="4"/>
      <c r="V588" s="4"/>
      <c r="W588" s="4"/>
      <c r="X588" s="4"/>
    </row>
    <row r="589" spans="1:24" ht="15.75" thickBot="1">
      <c r="A589" s="3"/>
      <c r="B589" s="4"/>
      <c r="C589" s="4"/>
      <c r="D589" s="4"/>
      <c r="E589" s="4"/>
      <c r="F589" s="4"/>
      <c r="G589" s="4"/>
      <c r="H589" s="4"/>
      <c r="I589" s="4"/>
      <c r="J589" s="4"/>
      <c r="K589" s="4"/>
      <c r="L589" s="4"/>
      <c r="M589" s="4"/>
      <c r="N589" s="4"/>
      <c r="O589" s="4"/>
      <c r="P589" s="4"/>
      <c r="Q589" s="4"/>
      <c r="R589" s="4"/>
      <c r="S589" s="4"/>
      <c r="T589" s="4"/>
      <c r="U589" s="4"/>
      <c r="V589" s="4"/>
      <c r="W589" s="4"/>
      <c r="X589" s="4"/>
    </row>
    <row r="590" spans="1:24" ht="15.75" thickBot="1">
      <c r="A590" s="3"/>
      <c r="B590" s="4"/>
      <c r="C590" s="4"/>
      <c r="D590" s="4"/>
      <c r="E590" s="4"/>
      <c r="F590" s="4"/>
      <c r="G590" s="4"/>
      <c r="H590" s="4"/>
      <c r="I590" s="4"/>
      <c r="J590" s="4"/>
      <c r="K590" s="4"/>
      <c r="L590" s="4"/>
      <c r="M590" s="4"/>
      <c r="N590" s="4"/>
      <c r="O590" s="4"/>
      <c r="P590" s="4"/>
      <c r="Q590" s="4"/>
      <c r="R590" s="4"/>
      <c r="S590" s="4"/>
      <c r="T590" s="4"/>
      <c r="U590" s="4"/>
      <c r="V590" s="4"/>
      <c r="W590" s="4"/>
      <c r="X590" s="4"/>
    </row>
    <row r="591" spans="1:24" ht="15.75" thickBot="1">
      <c r="A591" s="3"/>
      <c r="B591" s="4"/>
      <c r="C591" s="4"/>
      <c r="D591" s="4"/>
      <c r="E591" s="4"/>
      <c r="F591" s="4"/>
      <c r="G591" s="4"/>
      <c r="H591" s="4"/>
      <c r="I591" s="4"/>
      <c r="J591" s="4"/>
      <c r="K591" s="4"/>
      <c r="L591" s="4"/>
      <c r="M591" s="4"/>
      <c r="N591" s="4"/>
      <c r="O591" s="4"/>
      <c r="P591" s="4"/>
      <c r="Q591" s="4"/>
      <c r="R591" s="4"/>
      <c r="S591" s="4"/>
      <c r="T591" s="4"/>
      <c r="U591" s="4"/>
      <c r="V591" s="4"/>
      <c r="W591" s="4"/>
      <c r="X591" s="4"/>
    </row>
    <row r="592" spans="1:24" ht="15.75" thickBot="1">
      <c r="A592" s="3"/>
      <c r="B592" s="4"/>
      <c r="C592" s="4"/>
      <c r="D592" s="4"/>
      <c r="E592" s="4"/>
      <c r="F592" s="4"/>
      <c r="G592" s="4"/>
      <c r="H592" s="4"/>
      <c r="I592" s="4"/>
      <c r="J592" s="4"/>
      <c r="K592" s="4"/>
      <c r="L592" s="4"/>
      <c r="M592" s="4"/>
      <c r="N592" s="4"/>
      <c r="O592" s="4"/>
      <c r="P592" s="4"/>
      <c r="Q592" s="4"/>
      <c r="R592" s="4"/>
      <c r="S592" s="4"/>
      <c r="T592" s="4"/>
      <c r="U592" s="4"/>
      <c r="V592" s="4"/>
      <c r="W592" s="4"/>
      <c r="X592" s="4"/>
    </row>
    <row r="593" spans="1:24" ht="15.75" thickBot="1">
      <c r="A593" s="3"/>
      <c r="B593" s="4"/>
      <c r="C593" s="4"/>
      <c r="D593" s="4"/>
      <c r="E593" s="4"/>
      <c r="F593" s="4"/>
      <c r="G593" s="4"/>
      <c r="H593" s="4"/>
      <c r="I593" s="4"/>
      <c r="J593" s="4"/>
      <c r="K593" s="4"/>
      <c r="L593" s="4"/>
      <c r="M593" s="4"/>
      <c r="N593" s="4"/>
      <c r="O593" s="4"/>
      <c r="P593" s="4"/>
      <c r="Q593" s="4"/>
      <c r="R593" s="4"/>
      <c r="S593" s="4"/>
      <c r="T593" s="4"/>
      <c r="U593" s="4"/>
      <c r="V593" s="4"/>
      <c r="W593" s="4"/>
      <c r="X593" s="4"/>
    </row>
    <row r="594" spans="1:24" ht="15.75" thickBot="1">
      <c r="A594" s="3"/>
      <c r="B594" s="4"/>
      <c r="C594" s="4"/>
      <c r="D594" s="4"/>
      <c r="E594" s="4"/>
      <c r="F594" s="4"/>
      <c r="G594" s="4"/>
      <c r="H594" s="4"/>
      <c r="I594" s="4"/>
      <c r="J594" s="4"/>
      <c r="K594" s="4"/>
      <c r="L594" s="4"/>
      <c r="M594" s="4"/>
      <c r="N594" s="4"/>
      <c r="O594" s="4"/>
      <c r="P594" s="4"/>
      <c r="Q594" s="4"/>
      <c r="R594" s="4"/>
      <c r="S594" s="4"/>
      <c r="T594" s="4"/>
      <c r="U594" s="4"/>
      <c r="V594" s="4"/>
      <c r="W594" s="4"/>
      <c r="X594" s="4"/>
    </row>
    <row r="595" spans="1:24" ht="15.75" thickBot="1">
      <c r="A595" s="3"/>
      <c r="B595" s="4"/>
      <c r="C595" s="4"/>
      <c r="D595" s="4"/>
      <c r="E595" s="4"/>
      <c r="F595" s="4"/>
      <c r="G595" s="4"/>
      <c r="H595" s="4"/>
      <c r="I595" s="4"/>
      <c r="J595" s="4"/>
      <c r="K595" s="4"/>
      <c r="L595" s="4"/>
      <c r="M595" s="4"/>
      <c r="N595" s="4"/>
      <c r="O595" s="4"/>
      <c r="P595" s="4"/>
      <c r="Q595" s="4"/>
      <c r="R595" s="4"/>
      <c r="S595" s="4"/>
      <c r="T595" s="4"/>
      <c r="U595" s="4"/>
      <c r="V595" s="4"/>
      <c r="W595" s="4"/>
      <c r="X595" s="4"/>
    </row>
    <row r="596" spans="1:24" ht="15.75" thickBot="1">
      <c r="A596" s="3"/>
      <c r="B596" s="4"/>
      <c r="C596" s="4"/>
      <c r="D596" s="4"/>
      <c r="E596" s="4"/>
      <c r="F596" s="4"/>
      <c r="G596" s="4"/>
      <c r="H596" s="4"/>
      <c r="I596" s="4"/>
      <c r="J596" s="4"/>
      <c r="K596" s="4"/>
      <c r="L596" s="4"/>
      <c r="M596" s="4"/>
      <c r="N596" s="4"/>
      <c r="O596" s="4"/>
      <c r="P596" s="4"/>
      <c r="Q596" s="4"/>
      <c r="R596" s="4"/>
      <c r="S596" s="4"/>
      <c r="T596" s="4"/>
      <c r="U596" s="4"/>
      <c r="V596" s="4"/>
      <c r="W596" s="4"/>
      <c r="X596" s="4"/>
    </row>
    <row r="597" spans="1:24" ht="15.75" thickBot="1">
      <c r="A597" s="3"/>
      <c r="B597" s="4"/>
      <c r="C597" s="4"/>
      <c r="D597" s="4"/>
      <c r="E597" s="4"/>
      <c r="F597" s="4"/>
      <c r="G597" s="4"/>
      <c r="H597" s="4"/>
      <c r="I597" s="4"/>
      <c r="J597" s="4"/>
      <c r="K597" s="4"/>
      <c r="L597" s="4"/>
      <c r="M597" s="4"/>
      <c r="N597" s="4"/>
      <c r="O597" s="4"/>
      <c r="P597" s="4"/>
      <c r="Q597" s="4"/>
      <c r="R597" s="4"/>
      <c r="S597" s="4"/>
      <c r="T597" s="4"/>
      <c r="U597" s="4"/>
      <c r="V597" s="4"/>
      <c r="W597" s="4"/>
      <c r="X597" s="4"/>
    </row>
    <row r="598" spans="1:24" ht="15.75" thickBot="1">
      <c r="A598" s="3"/>
      <c r="B598" s="4"/>
      <c r="C598" s="4"/>
      <c r="D598" s="4"/>
      <c r="E598" s="4"/>
      <c r="F598" s="4"/>
      <c r="G598" s="4"/>
      <c r="H598" s="4"/>
      <c r="I598" s="4"/>
      <c r="J598" s="4"/>
      <c r="K598" s="4"/>
      <c r="L598" s="4"/>
      <c r="M598" s="4"/>
      <c r="N598" s="4"/>
      <c r="O598" s="4"/>
      <c r="P598" s="4"/>
      <c r="Q598" s="4"/>
      <c r="R598" s="4"/>
      <c r="S598" s="4"/>
      <c r="T598" s="4"/>
      <c r="U598" s="4"/>
      <c r="V598" s="4"/>
      <c r="W598" s="4"/>
      <c r="X598" s="4"/>
    </row>
    <row r="599" spans="1:24" ht="15.75" thickBot="1">
      <c r="A599" s="3"/>
      <c r="B599" s="4"/>
      <c r="C599" s="4"/>
      <c r="D599" s="4"/>
      <c r="E599" s="4"/>
      <c r="F599" s="4"/>
      <c r="G599" s="4"/>
      <c r="H599" s="4"/>
      <c r="I599" s="4"/>
      <c r="J599" s="4"/>
      <c r="K599" s="4"/>
      <c r="L599" s="4"/>
      <c r="M599" s="4"/>
      <c r="N599" s="4"/>
      <c r="O599" s="4"/>
      <c r="P599" s="4"/>
      <c r="Q599" s="4"/>
      <c r="R599" s="4"/>
      <c r="S599" s="4"/>
      <c r="T599" s="4"/>
      <c r="U599" s="4"/>
      <c r="V599" s="4"/>
      <c r="W599" s="4"/>
      <c r="X599" s="4"/>
    </row>
    <row r="600" spans="1:24" ht="15.75" thickBot="1">
      <c r="A600" s="3"/>
      <c r="B600" s="4"/>
      <c r="C600" s="4"/>
      <c r="D600" s="4"/>
      <c r="E600" s="4"/>
      <c r="F600" s="4"/>
      <c r="G600" s="4"/>
      <c r="H600" s="4"/>
      <c r="I600" s="4"/>
      <c r="J600" s="4"/>
      <c r="K600" s="4"/>
      <c r="L600" s="4"/>
      <c r="M600" s="4"/>
      <c r="N600" s="4"/>
      <c r="O600" s="4"/>
      <c r="P600" s="4"/>
      <c r="Q600" s="4"/>
      <c r="R600" s="4"/>
      <c r="S600" s="4"/>
      <c r="T600" s="4"/>
      <c r="U600" s="4"/>
      <c r="V600" s="4"/>
      <c r="W600" s="4"/>
      <c r="X600" s="4"/>
    </row>
    <row r="601" spans="1:24" ht="15.75" thickBot="1">
      <c r="A601" s="3"/>
      <c r="B601" s="4"/>
      <c r="C601" s="4"/>
      <c r="D601" s="4"/>
      <c r="E601" s="4"/>
      <c r="F601" s="4"/>
      <c r="G601" s="4"/>
      <c r="H601" s="4"/>
      <c r="I601" s="4"/>
      <c r="J601" s="4"/>
      <c r="K601" s="4"/>
      <c r="L601" s="4"/>
      <c r="M601" s="4"/>
      <c r="N601" s="4"/>
      <c r="O601" s="4"/>
      <c r="P601" s="4"/>
      <c r="Q601" s="4"/>
      <c r="R601" s="4"/>
      <c r="S601" s="4"/>
      <c r="T601" s="4"/>
      <c r="U601" s="4"/>
      <c r="V601" s="4"/>
      <c r="W601" s="4"/>
      <c r="X601" s="4"/>
    </row>
    <row r="602" spans="1:24" ht="15.75" thickBot="1">
      <c r="A602" s="3"/>
      <c r="B602" s="4"/>
      <c r="C602" s="4"/>
      <c r="D602" s="4"/>
      <c r="E602" s="4"/>
      <c r="F602" s="4"/>
      <c r="G602" s="4"/>
      <c r="H602" s="4"/>
      <c r="I602" s="4"/>
      <c r="J602" s="4"/>
      <c r="K602" s="4"/>
      <c r="L602" s="4"/>
      <c r="M602" s="4"/>
      <c r="N602" s="4"/>
      <c r="O602" s="4"/>
      <c r="P602" s="4"/>
      <c r="Q602" s="4"/>
      <c r="R602" s="4"/>
      <c r="S602" s="4"/>
      <c r="T602" s="4"/>
      <c r="U602" s="4"/>
      <c r="V602" s="4"/>
      <c r="W602" s="4"/>
      <c r="X602" s="4"/>
    </row>
    <row r="603" spans="1:24" ht="15.75" thickBot="1">
      <c r="A603" s="3"/>
      <c r="B603" s="4"/>
      <c r="C603" s="4"/>
      <c r="D603" s="4"/>
      <c r="E603" s="4"/>
      <c r="F603" s="4"/>
      <c r="G603" s="4"/>
      <c r="H603" s="4"/>
      <c r="I603" s="4"/>
      <c r="J603" s="4"/>
      <c r="K603" s="4"/>
      <c r="L603" s="4"/>
      <c r="M603" s="4"/>
      <c r="N603" s="4"/>
      <c r="O603" s="4"/>
      <c r="P603" s="4"/>
      <c r="Q603" s="4"/>
      <c r="R603" s="4"/>
      <c r="S603" s="4"/>
      <c r="T603" s="4"/>
      <c r="U603" s="4"/>
      <c r="V603" s="4"/>
      <c r="W603" s="4"/>
      <c r="X603" s="4"/>
    </row>
    <row r="604" spans="1:24" ht="15.75" thickBot="1">
      <c r="A604" s="3"/>
      <c r="B604" s="4"/>
      <c r="C604" s="4"/>
      <c r="D604" s="4"/>
      <c r="E604" s="4"/>
      <c r="F604" s="4"/>
      <c r="G604" s="4"/>
      <c r="H604" s="4"/>
      <c r="I604" s="4"/>
      <c r="J604" s="4"/>
      <c r="K604" s="4"/>
      <c r="L604" s="4"/>
      <c r="M604" s="4"/>
      <c r="N604" s="4"/>
      <c r="O604" s="4"/>
      <c r="P604" s="4"/>
      <c r="Q604" s="4"/>
      <c r="R604" s="4"/>
      <c r="S604" s="4"/>
      <c r="T604" s="4"/>
      <c r="U604" s="4"/>
      <c r="V604" s="4"/>
      <c r="W604" s="4"/>
      <c r="X604" s="4"/>
    </row>
    <row r="605" spans="1:24" ht="15.75" thickBot="1">
      <c r="A605" s="3"/>
      <c r="B605" s="4"/>
      <c r="C605" s="4"/>
      <c r="D605" s="4"/>
      <c r="E605" s="4"/>
      <c r="F605" s="4"/>
      <c r="G605" s="4"/>
      <c r="H605" s="4"/>
      <c r="I605" s="4"/>
      <c r="J605" s="4"/>
      <c r="K605" s="4"/>
      <c r="L605" s="4"/>
      <c r="M605" s="4"/>
      <c r="N605" s="4"/>
      <c r="O605" s="4"/>
      <c r="P605" s="4"/>
      <c r="Q605" s="4"/>
      <c r="R605" s="4"/>
      <c r="S605" s="4"/>
      <c r="T605" s="4"/>
      <c r="U605" s="4"/>
      <c r="V605" s="4"/>
      <c r="W605" s="4"/>
      <c r="X605" s="4"/>
    </row>
    <row r="606" spans="1:24" ht="15.75" thickBot="1">
      <c r="A606" s="3"/>
      <c r="B606" s="4"/>
      <c r="C606" s="4"/>
      <c r="D606" s="4"/>
      <c r="E606" s="4"/>
      <c r="F606" s="4"/>
      <c r="G606" s="4"/>
      <c r="H606" s="4"/>
      <c r="I606" s="4"/>
      <c r="J606" s="4"/>
      <c r="K606" s="4"/>
      <c r="L606" s="4"/>
      <c r="M606" s="4"/>
      <c r="N606" s="4"/>
      <c r="O606" s="4"/>
      <c r="P606" s="4"/>
      <c r="Q606" s="4"/>
      <c r="R606" s="4"/>
      <c r="S606" s="4"/>
      <c r="T606" s="4"/>
      <c r="U606" s="4"/>
      <c r="V606" s="4"/>
      <c r="W606" s="4"/>
      <c r="X606" s="4"/>
    </row>
    <row r="607" spans="1:24" ht="15.75" thickBot="1">
      <c r="A607" s="3"/>
      <c r="B607" s="4"/>
      <c r="C607" s="4"/>
      <c r="D607" s="4"/>
      <c r="E607" s="4"/>
      <c r="F607" s="4"/>
      <c r="G607" s="4"/>
      <c r="H607" s="4"/>
      <c r="I607" s="4"/>
      <c r="J607" s="4"/>
      <c r="K607" s="4"/>
      <c r="L607" s="4"/>
      <c r="M607" s="4"/>
      <c r="N607" s="4"/>
      <c r="O607" s="4"/>
      <c r="P607" s="4"/>
      <c r="Q607" s="4"/>
      <c r="R607" s="4"/>
      <c r="S607" s="4"/>
      <c r="T607" s="4"/>
      <c r="U607" s="4"/>
      <c r="V607" s="4"/>
      <c r="W607" s="4"/>
      <c r="X607" s="4"/>
    </row>
    <row r="608" spans="1:24" ht="15.75" thickBot="1">
      <c r="A608" s="3"/>
      <c r="B608" s="4"/>
      <c r="C608" s="4"/>
      <c r="D608" s="4"/>
      <c r="E608" s="4"/>
      <c r="F608" s="4"/>
      <c r="G608" s="4"/>
      <c r="H608" s="4"/>
      <c r="I608" s="4"/>
      <c r="J608" s="4"/>
      <c r="K608" s="4"/>
      <c r="L608" s="4"/>
      <c r="M608" s="4"/>
      <c r="N608" s="4"/>
      <c r="O608" s="4"/>
      <c r="P608" s="4"/>
      <c r="Q608" s="4"/>
      <c r="R608" s="4"/>
      <c r="S608" s="4"/>
      <c r="T608" s="4"/>
      <c r="U608" s="4"/>
      <c r="V608" s="4"/>
      <c r="W608" s="4"/>
      <c r="X608" s="4"/>
    </row>
    <row r="609" spans="1:24" ht="15.75" thickBot="1">
      <c r="A609" s="3"/>
      <c r="B609" s="4"/>
      <c r="C609" s="4"/>
      <c r="D609" s="4"/>
      <c r="E609" s="4"/>
      <c r="F609" s="4"/>
      <c r="G609" s="4"/>
      <c r="H609" s="4"/>
      <c r="I609" s="4"/>
      <c r="J609" s="4"/>
      <c r="K609" s="4"/>
      <c r="L609" s="4"/>
      <c r="M609" s="4"/>
      <c r="N609" s="4"/>
      <c r="O609" s="4"/>
      <c r="P609" s="4"/>
      <c r="Q609" s="4"/>
      <c r="R609" s="4"/>
      <c r="S609" s="4"/>
      <c r="T609" s="4"/>
      <c r="U609" s="4"/>
      <c r="V609" s="4"/>
      <c r="W609" s="4"/>
      <c r="X609" s="4"/>
    </row>
    <row r="610" spans="1:24" ht="15.75" thickBot="1">
      <c r="A610" s="3"/>
      <c r="B610" s="4"/>
      <c r="C610" s="4"/>
      <c r="D610" s="4"/>
      <c r="E610" s="4"/>
      <c r="F610" s="4"/>
      <c r="G610" s="4"/>
      <c r="H610" s="4"/>
      <c r="I610" s="4"/>
      <c r="J610" s="4"/>
      <c r="K610" s="4"/>
      <c r="L610" s="4"/>
      <c r="M610" s="4"/>
      <c r="N610" s="4"/>
      <c r="O610" s="4"/>
      <c r="P610" s="4"/>
      <c r="Q610" s="4"/>
      <c r="R610" s="4"/>
      <c r="S610" s="4"/>
      <c r="T610" s="4"/>
      <c r="U610" s="4"/>
      <c r="V610" s="4"/>
      <c r="W610" s="4"/>
      <c r="X610" s="4"/>
    </row>
    <row r="611" spans="1:24" ht="15.75" thickBot="1">
      <c r="A611" s="3"/>
      <c r="B611" s="4"/>
      <c r="C611" s="4"/>
      <c r="D611" s="4"/>
      <c r="E611" s="4"/>
      <c r="F611" s="4"/>
      <c r="G611" s="4"/>
      <c r="H611" s="4"/>
      <c r="I611" s="4"/>
      <c r="J611" s="4"/>
      <c r="K611" s="4"/>
      <c r="L611" s="4"/>
      <c r="M611" s="4"/>
      <c r="N611" s="4"/>
      <c r="O611" s="4"/>
      <c r="P611" s="4"/>
      <c r="Q611" s="4"/>
      <c r="R611" s="4"/>
      <c r="S611" s="4"/>
      <c r="T611" s="4"/>
      <c r="U611" s="4"/>
      <c r="V611" s="4"/>
      <c r="W611" s="4"/>
      <c r="X611" s="4"/>
    </row>
    <row r="612" spans="1:24" ht="15.75" thickBot="1">
      <c r="A612" s="3"/>
      <c r="B612" s="4"/>
      <c r="C612" s="4"/>
      <c r="D612" s="4"/>
      <c r="E612" s="4"/>
      <c r="F612" s="4"/>
      <c r="G612" s="4"/>
      <c r="H612" s="4"/>
      <c r="I612" s="4"/>
      <c r="J612" s="4"/>
      <c r="K612" s="4"/>
      <c r="L612" s="4"/>
      <c r="M612" s="4"/>
      <c r="N612" s="4"/>
      <c r="O612" s="4"/>
      <c r="P612" s="4"/>
      <c r="Q612" s="4"/>
      <c r="R612" s="4"/>
      <c r="S612" s="4"/>
      <c r="T612" s="4"/>
      <c r="U612" s="4"/>
      <c r="V612" s="4"/>
      <c r="W612" s="4"/>
      <c r="X612" s="4"/>
    </row>
    <row r="613" spans="1:24" ht="15.75" thickBot="1">
      <c r="A613" s="3"/>
      <c r="B613" s="4"/>
      <c r="C613" s="4"/>
      <c r="D613" s="4"/>
      <c r="E613" s="4"/>
      <c r="F613" s="4"/>
      <c r="G613" s="4"/>
      <c r="H613" s="4"/>
      <c r="I613" s="4"/>
      <c r="J613" s="4"/>
      <c r="K613" s="4"/>
      <c r="L613" s="4"/>
      <c r="M613" s="4"/>
      <c r="N613" s="4"/>
      <c r="O613" s="4"/>
      <c r="P613" s="4"/>
      <c r="Q613" s="4"/>
      <c r="R613" s="4"/>
      <c r="S613" s="4"/>
      <c r="T613" s="4"/>
      <c r="U613" s="4"/>
      <c r="V613" s="4"/>
      <c r="W613" s="4"/>
      <c r="X613" s="4"/>
    </row>
    <row r="614" spans="1:24" ht="15.75" thickBot="1">
      <c r="A614" s="3"/>
      <c r="B614" s="4"/>
      <c r="C614" s="4"/>
      <c r="D614" s="4"/>
      <c r="E614" s="4"/>
      <c r="F614" s="4"/>
      <c r="G614" s="4"/>
      <c r="H614" s="4"/>
      <c r="I614" s="4"/>
      <c r="J614" s="4"/>
      <c r="K614" s="4"/>
      <c r="L614" s="4"/>
      <c r="M614" s="4"/>
      <c r="N614" s="4"/>
      <c r="O614" s="4"/>
      <c r="P614" s="4"/>
      <c r="Q614" s="4"/>
      <c r="R614" s="4"/>
      <c r="S614" s="4"/>
      <c r="T614" s="4"/>
      <c r="U614" s="4"/>
      <c r="V614" s="4"/>
      <c r="W614" s="4"/>
      <c r="X614" s="4"/>
    </row>
    <row r="615" spans="1:24" ht="15.75" thickBot="1">
      <c r="A615" s="3"/>
      <c r="B615" s="4"/>
      <c r="C615" s="4"/>
      <c r="D615" s="4"/>
      <c r="E615" s="4"/>
      <c r="F615" s="4"/>
      <c r="G615" s="4"/>
      <c r="H615" s="4"/>
      <c r="I615" s="4"/>
      <c r="J615" s="4"/>
      <c r="K615" s="4"/>
      <c r="L615" s="4"/>
      <c r="M615" s="4"/>
      <c r="N615" s="4"/>
      <c r="O615" s="4"/>
      <c r="P615" s="4"/>
      <c r="Q615" s="4"/>
      <c r="R615" s="4"/>
      <c r="S615" s="4"/>
      <c r="T615" s="4"/>
      <c r="U615" s="4"/>
      <c r="V615" s="4"/>
      <c r="W615" s="4"/>
      <c r="X615" s="4"/>
    </row>
    <row r="616" spans="1:24" ht="15.75" thickBot="1">
      <c r="A616" s="3"/>
      <c r="B616" s="4"/>
      <c r="C616" s="4"/>
      <c r="D616" s="4"/>
      <c r="E616" s="4"/>
      <c r="F616" s="4"/>
      <c r="G616" s="4"/>
      <c r="H616" s="4"/>
      <c r="I616" s="4"/>
      <c r="J616" s="4"/>
      <c r="K616" s="4"/>
      <c r="L616" s="4"/>
      <c r="M616" s="4"/>
      <c r="N616" s="4"/>
      <c r="O616" s="4"/>
      <c r="P616" s="4"/>
      <c r="Q616" s="4"/>
      <c r="R616" s="4"/>
      <c r="S616" s="4"/>
      <c r="T616" s="4"/>
      <c r="U616" s="4"/>
      <c r="V616" s="4"/>
      <c r="W616" s="4"/>
      <c r="X616" s="4"/>
    </row>
    <row r="617" spans="1:24" ht="15.75" thickBot="1">
      <c r="A617" s="3"/>
      <c r="B617" s="4"/>
      <c r="C617" s="4"/>
      <c r="D617" s="4"/>
      <c r="E617" s="4"/>
      <c r="F617" s="4"/>
      <c r="G617" s="4"/>
      <c r="H617" s="4"/>
      <c r="I617" s="4"/>
      <c r="J617" s="4"/>
      <c r="K617" s="4"/>
      <c r="L617" s="4"/>
      <c r="M617" s="4"/>
      <c r="N617" s="4"/>
      <c r="O617" s="4"/>
      <c r="P617" s="4"/>
      <c r="Q617" s="4"/>
      <c r="R617" s="4"/>
      <c r="S617" s="4"/>
      <c r="T617" s="4"/>
      <c r="U617" s="4"/>
      <c r="V617" s="4"/>
      <c r="W617" s="4"/>
      <c r="X617" s="4"/>
    </row>
    <row r="618" spans="1:24" ht="15.75" thickBot="1">
      <c r="A618" s="3"/>
      <c r="B618" s="4"/>
      <c r="C618" s="4"/>
      <c r="D618" s="4"/>
      <c r="E618" s="4"/>
      <c r="F618" s="4"/>
      <c r="G618" s="4"/>
      <c r="H618" s="4"/>
      <c r="I618" s="4"/>
      <c r="J618" s="4"/>
      <c r="K618" s="4"/>
      <c r="L618" s="4"/>
      <c r="M618" s="4"/>
      <c r="N618" s="4"/>
      <c r="O618" s="4"/>
      <c r="P618" s="4"/>
      <c r="Q618" s="4"/>
      <c r="R618" s="4"/>
      <c r="S618" s="4"/>
      <c r="T618" s="4"/>
      <c r="U618" s="4"/>
      <c r="V618" s="4"/>
      <c r="W618" s="4"/>
      <c r="X618" s="4"/>
    </row>
    <row r="619" spans="1:24" ht="15.75" thickBot="1">
      <c r="A619" s="3"/>
      <c r="B619" s="4"/>
      <c r="C619" s="4"/>
      <c r="D619" s="4"/>
      <c r="E619" s="4"/>
      <c r="F619" s="4"/>
      <c r="G619" s="4"/>
      <c r="H619" s="4"/>
      <c r="I619" s="4"/>
      <c r="J619" s="4"/>
      <c r="K619" s="4"/>
      <c r="L619" s="4"/>
      <c r="M619" s="4"/>
      <c r="N619" s="4"/>
      <c r="O619" s="4"/>
      <c r="P619" s="4"/>
      <c r="Q619" s="4"/>
      <c r="R619" s="4"/>
      <c r="S619" s="4"/>
      <c r="T619" s="4"/>
      <c r="U619" s="4"/>
      <c r="V619" s="4"/>
      <c r="W619" s="4"/>
      <c r="X619" s="4"/>
    </row>
    <row r="620" spans="1:24" ht="15.75" thickBot="1">
      <c r="A620" s="3"/>
      <c r="B620" s="4"/>
      <c r="C620" s="4"/>
      <c r="D620" s="4"/>
      <c r="E620" s="4"/>
      <c r="F620" s="4"/>
      <c r="G620" s="4"/>
      <c r="H620" s="4"/>
      <c r="I620" s="4"/>
      <c r="J620" s="4"/>
      <c r="K620" s="4"/>
      <c r="L620" s="4"/>
      <c r="M620" s="4"/>
      <c r="N620" s="4"/>
      <c r="O620" s="4"/>
      <c r="P620" s="4"/>
      <c r="Q620" s="4"/>
      <c r="R620" s="4"/>
      <c r="S620" s="4"/>
      <c r="T620" s="4"/>
      <c r="U620" s="4"/>
      <c r="V620" s="4"/>
      <c r="W620" s="4"/>
      <c r="X620" s="4"/>
    </row>
    <row r="621" spans="1:24" ht="15.75" thickBot="1">
      <c r="A621" s="3"/>
      <c r="B621" s="4"/>
      <c r="C621" s="4"/>
      <c r="D621" s="4"/>
      <c r="E621" s="4"/>
      <c r="F621" s="4"/>
      <c r="G621" s="4"/>
      <c r="H621" s="4"/>
      <c r="I621" s="4"/>
      <c r="J621" s="4"/>
      <c r="K621" s="4"/>
      <c r="L621" s="4"/>
      <c r="M621" s="4"/>
      <c r="N621" s="4"/>
      <c r="O621" s="4"/>
      <c r="P621" s="4"/>
      <c r="Q621" s="4"/>
      <c r="R621" s="4"/>
      <c r="S621" s="4"/>
      <c r="T621" s="4"/>
      <c r="U621" s="4"/>
      <c r="V621" s="4"/>
      <c r="W621" s="4"/>
      <c r="X621" s="4"/>
    </row>
    <row r="622" spans="1:24" ht="15.75" thickBot="1">
      <c r="A622" s="3"/>
      <c r="B622" s="4"/>
      <c r="C622" s="4"/>
      <c r="D622" s="4"/>
      <c r="E622" s="4"/>
      <c r="F622" s="4"/>
      <c r="G622" s="4"/>
      <c r="H622" s="4"/>
      <c r="I622" s="4"/>
      <c r="J622" s="4"/>
      <c r="K622" s="4"/>
      <c r="L622" s="4"/>
      <c r="M622" s="4"/>
      <c r="N622" s="4"/>
      <c r="O622" s="4"/>
      <c r="P622" s="4"/>
      <c r="Q622" s="4"/>
      <c r="R622" s="4"/>
      <c r="S622" s="4"/>
      <c r="T622" s="4"/>
      <c r="U622" s="4"/>
      <c r="V622" s="4"/>
      <c r="W622" s="4"/>
      <c r="X622" s="4"/>
    </row>
    <row r="623" spans="1:24" ht="15.75" thickBot="1">
      <c r="A623" s="3"/>
      <c r="B623" s="4"/>
      <c r="C623" s="4"/>
      <c r="D623" s="4"/>
      <c r="E623" s="4"/>
      <c r="F623" s="4"/>
      <c r="G623" s="4"/>
      <c r="H623" s="4"/>
      <c r="I623" s="4"/>
      <c r="J623" s="4"/>
      <c r="K623" s="4"/>
      <c r="L623" s="4"/>
      <c r="M623" s="4"/>
      <c r="N623" s="4"/>
      <c r="O623" s="4"/>
      <c r="P623" s="4"/>
      <c r="Q623" s="4"/>
      <c r="R623" s="4"/>
      <c r="S623" s="4"/>
      <c r="T623" s="4"/>
      <c r="U623" s="4"/>
      <c r="V623" s="4"/>
      <c r="W623" s="4"/>
      <c r="X623" s="4"/>
    </row>
    <row r="624" spans="1:24" ht="15.75" thickBot="1">
      <c r="A624" s="3"/>
      <c r="B624" s="4"/>
      <c r="C624" s="4"/>
      <c r="D624" s="4"/>
      <c r="E624" s="4"/>
      <c r="F624" s="4"/>
      <c r="G624" s="4"/>
      <c r="H624" s="4"/>
      <c r="I624" s="4"/>
      <c r="J624" s="4"/>
      <c r="K624" s="4"/>
      <c r="L624" s="4"/>
      <c r="M624" s="4"/>
      <c r="N624" s="4"/>
      <c r="O624" s="4"/>
      <c r="P624" s="4"/>
      <c r="Q624" s="4"/>
      <c r="R624" s="4"/>
      <c r="S624" s="4"/>
      <c r="T624" s="4"/>
      <c r="U624" s="4"/>
      <c r="V624" s="4"/>
      <c r="W624" s="4"/>
      <c r="X624" s="4"/>
    </row>
    <row r="625" spans="1:24" ht="15.75" thickBot="1">
      <c r="A625" s="3"/>
      <c r="B625" s="4"/>
      <c r="C625" s="4"/>
      <c r="D625" s="4"/>
      <c r="E625" s="4"/>
      <c r="F625" s="4"/>
      <c r="G625" s="4"/>
      <c r="H625" s="4"/>
      <c r="I625" s="4"/>
      <c r="J625" s="4"/>
      <c r="K625" s="4"/>
      <c r="L625" s="4"/>
      <c r="M625" s="4"/>
      <c r="N625" s="4"/>
      <c r="O625" s="4"/>
      <c r="P625" s="4"/>
      <c r="Q625" s="4"/>
      <c r="R625" s="4"/>
      <c r="S625" s="4"/>
      <c r="T625" s="4"/>
      <c r="U625" s="4"/>
      <c r="V625" s="4"/>
      <c r="W625" s="4"/>
      <c r="X625" s="4"/>
    </row>
    <row r="626" spans="1:24" ht="15.75" thickBot="1">
      <c r="A626" s="3"/>
      <c r="B626" s="4"/>
      <c r="C626" s="4"/>
      <c r="D626" s="4"/>
      <c r="E626" s="4"/>
      <c r="F626" s="4"/>
      <c r="G626" s="4"/>
      <c r="H626" s="4"/>
      <c r="I626" s="4"/>
      <c r="J626" s="4"/>
      <c r="K626" s="4"/>
      <c r="L626" s="4"/>
      <c r="M626" s="4"/>
      <c r="N626" s="4"/>
      <c r="O626" s="4"/>
      <c r="P626" s="4"/>
      <c r="Q626" s="4"/>
      <c r="R626" s="4"/>
      <c r="S626" s="4"/>
      <c r="T626" s="4"/>
      <c r="U626" s="4"/>
      <c r="V626" s="4"/>
      <c r="W626" s="4"/>
      <c r="X626" s="4"/>
    </row>
    <row r="627" spans="1:24" ht="15.75" thickBot="1">
      <c r="A627" s="3"/>
      <c r="B627" s="4"/>
      <c r="C627" s="4"/>
      <c r="D627" s="4"/>
      <c r="E627" s="4"/>
      <c r="F627" s="4"/>
      <c r="G627" s="4"/>
      <c r="H627" s="4"/>
      <c r="I627" s="4"/>
      <c r="J627" s="4"/>
      <c r="K627" s="4"/>
      <c r="L627" s="4"/>
      <c r="M627" s="4"/>
      <c r="N627" s="4"/>
      <c r="O627" s="4"/>
      <c r="P627" s="4"/>
      <c r="Q627" s="4"/>
      <c r="R627" s="4"/>
      <c r="S627" s="4"/>
      <c r="T627" s="4"/>
      <c r="U627" s="4"/>
      <c r="V627" s="4"/>
      <c r="W627" s="4"/>
      <c r="X627" s="4"/>
    </row>
    <row r="628" spans="1:24" ht="15.75" thickBot="1">
      <c r="A628" s="3"/>
      <c r="B628" s="4"/>
      <c r="C628" s="4"/>
      <c r="D628" s="4"/>
      <c r="E628" s="4"/>
      <c r="F628" s="4"/>
      <c r="G628" s="4"/>
      <c r="H628" s="4"/>
      <c r="I628" s="4"/>
      <c r="J628" s="4"/>
      <c r="K628" s="4"/>
      <c r="L628" s="4"/>
      <c r="M628" s="4"/>
      <c r="N628" s="4"/>
      <c r="O628" s="4"/>
      <c r="P628" s="4"/>
      <c r="Q628" s="4"/>
      <c r="R628" s="4"/>
      <c r="S628" s="4"/>
      <c r="T628" s="4"/>
      <c r="U628" s="4"/>
      <c r="V628" s="4"/>
      <c r="W628" s="4"/>
      <c r="X628" s="4"/>
    </row>
    <row r="629" spans="1:24" ht="15.75" thickBot="1">
      <c r="A629" s="3"/>
      <c r="B629" s="4"/>
      <c r="C629" s="4"/>
      <c r="D629" s="4"/>
      <c r="E629" s="4"/>
      <c r="F629" s="4"/>
      <c r="G629" s="4"/>
      <c r="H629" s="4"/>
      <c r="I629" s="4"/>
      <c r="J629" s="4"/>
      <c r="K629" s="4"/>
      <c r="L629" s="4"/>
      <c r="M629" s="4"/>
      <c r="N629" s="4"/>
      <c r="O629" s="4"/>
      <c r="P629" s="4"/>
      <c r="Q629" s="4"/>
      <c r="R629" s="4"/>
      <c r="S629" s="4"/>
      <c r="T629" s="4"/>
      <c r="U629" s="4"/>
      <c r="V629" s="4"/>
      <c r="W629" s="4"/>
      <c r="X629" s="4"/>
    </row>
    <row r="630" spans="1:24" ht="15.75" thickBot="1">
      <c r="A630" s="3"/>
      <c r="B630" s="4"/>
      <c r="C630" s="4"/>
      <c r="D630" s="4"/>
      <c r="E630" s="4"/>
      <c r="F630" s="4"/>
      <c r="G630" s="4"/>
      <c r="H630" s="4"/>
      <c r="I630" s="4"/>
      <c r="J630" s="4"/>
      <c r="K630" s="4"/>
      <c r="L630" s="4"/>
      <c r="M630" s="4"/>
      <c r="N630" s="4"/>
      <c r="O630" s="4"/>
      <c r="P630" s="4"/>
      <c r="Q630" s="4"/>
      <c r="R630" s="4"/>
      <c r="S630" s="4"/>
      <c r="T630" s="4"/>
      <c r="U630" s="4"/>
      <c r="V630" s="4"/>
      <c r="W630" s="4"/>
      <c r="X630" s="4"/>
    </row>
    <row r="631" spans="1:24" ht="15.75" thickBot="1">
      <c r="A631" s="3"/>
      <c r="B631" s="4"/>
      <c r="C631" s="4"/>
      <c r="D631" s="4"/>
      <c r="E631" s="4"/>
      <c r="F631" s="4"/>
      <c r="G631" s="4"/>
      <c r="H631" s="4"/>
      <c r="I631" s="4"/>
      <c r="J631" s="4"/>
      <c r="K631" s="4"/>
      <c r="L631" s="4"/>
      <c r="M631" s="4"/>
      <c r="N631" s="4"/>
      <c r="O631" s="4"/>
      <c r="P631" s="4"/>
      <c r="Q631" s="4"/>
      <c r="R631" s="4"/>
      <c r="S631" s="4"/>
      <c r="T631" s="4"/>
      <c r="U631" s="4"/>
      <c r="V631" s="4"/>
      <c r="W631" s="4"/>
      <c r="X631" s="4"/>
    </row>
    <row r="632" spans="1:24" ht="15.75" thickBot="1">
      <c r="A632" s="3"/>
      <c r="B632" s="4"/>
      <c r="C632" s="4"/>
      <c r="D632" s="4"/>
      <c r="E632" s="4"/>
      <c r="F632" s="4"/>
      <c r="G632" s="4"/>
      <c r="H632" s="4"/>
      <c r="I632" s="4"/>
      <c r="J632" s="4"/>
      <c r="K632" s="4"/>
      <c r="L632" s="4"/>
      <c r="M632" s="4"/>
      <c r="N632" s="4"/>
      <c r="O632" s="4"/>
      <c r="P632" s="4"/>
      <c r="Q632" s="4"/>
      <c r="R632" s="4"/>
      <c r="S632" s="4"/>
      <c r="T632" s="4"/>
      <c r="U632" s="4"/>
      <c r="V632" s="4"/>
      <c r="W632" s="4"/>
      <c r="X632" s="4"/>
    </row>
    <row r="633" spans="1:24" ht="15.75" thickBot="1">
      <c r="A633" s="3"/>
      <c r="B633" s="4"/>
      <c r="C633" s="4"/>
      <c r="D633" s="4"/>
      <c r="E633" s="4"/>
      <c r="F633" s="4"/>
      <c r="G633" s="4"/>
      <c r="H633" s="4"/>
      <c r="I633" s="4"/>
      <c r="J633" s="4"/>
      <c r="K633" s="4"/>
      <c r="L633" s="4"/>
      <c r="M633" s="4"/>
      <c r="N633" s="4"/>
      <c r="O633" s="4"/>
      <c r="P633" s="4"/>
      <c r="Q633" s="4"/>
      <c r="R633" s="4"/>
      <c r="S633" s="4"/>
      <c r="T633" s="4"/>
      <c r="U633" s="4"/>
      <c r="V633" s="4"/>
      <c r="W633" s="4"/>
      <c r="X633" s="4"/>
    </row>
    <row r="634" spans="1:24" ht="15.75" thickBot="1">
      <c r="A634" s="3"/>
      <c r="B634" s="4"/>
      <c r="C634" s="4"/>
      <c r="D634" s="4"/>
      <c r="E634" s="4"/>
      <c r="F634" s="4"/>
      <c r="G634" s="4"/>
      <c r="H634" s="4"/>
      <c r="I634" s="4"/>
      <c r="J634" s="4"/>
      <c r="K634" s="4"/>
      <c r="L634" s="4"/>
      <c r="M634" s="4"/>
      <c r="N634" s="4"/>
      <c r="O634" s="4"/>
      <c r="P634" s="4"/>
      <c r="Q634" s="4"/>
      <c r="R634" s="4"/>
      <c r="S634" s="4"/>
      <c r="T634" s="4"/>
      <c r="U634" s="4"/>
      <c r="V634" s="4"/>
      <c r="W634" s="4"/>
      <c r="X634" s="4"/>
    </row>
    <row r="635" spans="1:24" ht="15.75" thickBot="1">
      <c r="A635" s="3"/>
      <c r="B635" s="4"/>
      <c r="C635" s="4"/>
      <c r="D635" s="4"/>
      <c r="E635" s="4"/>
      <c r="F635" s="4"/>
      <c r="G635" s="4"/>
      <c r="H635" s="4"/>
      <c r="I635" s="4"/>
      <c r="J635" s="4"/>
      <c r="K635" s="4"/>
      <c r="L635" s="4"/>
      <c r="M635" s="4"/>
      <c r="N635" s="4"/>
      <c r="O635" s="4"/>
      <c r="P635" s="4"/>
      <c r="Q635" s="4"/>
      <c r="R635" s="4"/>
      <c r="S635" s="4"/>
      <c r="T635" s="4"/>
      <c r="U635" s="4"/>
      <c r="V635" s="4"/>
      <c r="W635" s="4"/>
      <c r="X635" s="4"/>
    </row>
    <row r="636" spans="1:24" ht="15.75" thickBot="1">
      <c r="A636" s="3"/>
      <c r="B636" s="4"/>
      <c r="C636" s="4"/>
      <c r="D636" s="4"/>
      <c r="E636" s="4"/>
      <c r="F636" s="4"/>
      <c r="G636" s="4"/>
      <c r="H636" s="4"/>
      <c r="I636" s="4"/>
      <c r="J636" s="4"/>
      <c r="K636" s="4"/>
      <c r="L636" s="4"/>
      <c r="M636" s="4"/>
      <c r="N636" s="4"/>
      <c r="O636" s="4"/>
      <c r="P636" s="4"/>
      <c r="Q636" s="4"/>
      <c r="R636" s="4"/>
      <c r="S636" s="4"/>
      <c r="T636" s="4"/>
      <c r="U636" s="4"/>
      <c r="V636" s="4"/>
      <c r="W636" s="4"/>
      <c r="X636" s="4"/>
    </row>
    <row r="637" spans="1:24" ht="15.75" thickBot="1">
      <c r="A637" s="3"/>
      <c r="B637" s="4"/>
      <c r="C637" s="4"/>
      <c r="D637" s="4"/>
      <c r="E637" s="4"/>
      <c r="F637" s="4"/>
      <c r="G637" s="4"/>
      <c r="H637" s="4"/>
      <c r="I637" s="4"/>
      <c r="J637" s="4"/>
      <c r="K637" s="4"/>
      <c r="L637" s="4"/>
      <c r="M637" s="4"/>
      <c r="N637" s="4"/>
      <c r="O637" s="4"/>
      <c r="P637" s="4"/>
      <c r="Q637" s="4"/>
      <c r="R637" s="4"/>
      <c r="S637" s="4"/>
      <c r="T637" s="4"/>
      <c r="U637" s="4"/>
      <c r="V637" s="4"/>
      <c r="W637" s="4"/>
      <c r="X637" s="4"/>
    </row>
    <row r="638" spans="1:24" ht="15.75" thickBot="1">
      <c r="A638" s="3"/>
      <c r="B638" s="4"/>
      <c r="C638" s="4"/>
      <c r="D638" s="4"/>
      <c r="E638" s="4"/>
      <c r="F638" s="4"/>
      <c r="G638" s="4"/>
      <c r="H638" s="4"/>
      <c r="I638" s="4"/>
      <c r="J638" s="4"/>
      <c r="K638" s="4"/>
      <c r="L638" s="4"/>
      <c r="M638" s="4"/>
      <c r="N638" s="4"/>
      <c r="O638" s="4"/>
      <c r="P638" s="4"/>
      <c r="Q638" s="4"/>
      <c r="R638" s="4"/>
      <c r="S638" s="4"/>
      <c r="T638" s="4"/>
      <c r="U638" s="4"/>
      <c r="V638" s="4"/>
      <c r="W638" s="4"/>
      <c r="X638" s="4"/>
    </row>
    <row r="639" spans="1:24" ht="15.75" thickBot="1">
      <c r="A639" s="3"/>
      <c r="B639" s="4"/>
      <c r="C639" s="4"/>
      <c r="D639" s="4"/>
      <c r="E639" s="4"/>
      <c r="F639" s="4"/>
      <c r="G639" s="4"/>
      <c r="H639" s="4"/>
      <c r="I639" s="4"/>
      <c r="J639" s="4"/>
      <c r="K639" s="4"/>
      <c r="L639" s="4"/>
      <c r="M639" s="4"/>
      <c r="N639" s="4"/>
      <c r="O639" s="4"/>
      <c r="P639" s="4"/>
      <c r="Q639" s="4"/>
      <c r="R639" s="4"/>
      <c r="S639" s="4"/>
      <c r="T639" s="4"/>
      <c r="U639" s="4"/>
      <c r="V639" s="4"/>
      <c r="W639" s="4"/>
      <c r="X639" s="4"/>
    </row>
    <row r="640" spans="1:24" ht="15.75" thickBot="1">
      <c r="A640" s="3"/>
      <c r="B640" s="4"/>
      <c r="C640" s="4"/>
      <c r="D640" s="4"/>
      <c r="E640" s="4"/>
      <c r="F640" s="4"/>
      <c r="G640" s="4"/>
      <c r="H640" s="4"/>
      <c r="I640" s="4"/>
      <c r="J640" s="4"/>
      <c r="K640" s="4"/>
      <c r="L640" s="4"/>
      <c r="M640" s="4"/>
      <c r="N640" s="4"/>
      <c r="O640" s="4"/>
      <c r="P640" s="4"/>
      <c r="Q640" s="4"/>
      <c r="R640" s="4"/>
      <c r="S640" s="4"/>
      <c r="T640" s="4"/>
      <c r="U640" s="4"/>
      <c r="V640" s="4"/>
      <c r="W640" s="4"/>
      <c r="X640" s="4"/>
    </row>
    <row r="641" spans="1:24" ht="15.75" thickBot="1">
      <c r="A641" s="3"/>
      <c r="B641" s="4"/>
      <c r="C641" s="4"/>
      <c r="D641" s="4"/>
      <c r="E641" s="4"/>
      <c r="F641" s="4"/>
      <c r="G641" s="4"/>
      <c r="H641" s="4"/>
      <c r="I641" s="4"/>
      <c r="J641" s="4"/>
      <c r="K641" s="4"/>
      <c r="L641" s="4"/>
      <c r="M641" s="4"/>
      <c r="N641" s="4"/>
      <c r="O641" s="4"/>
      <c r="P641" s="4"/>
      <c r="Q641" s="4"/>
      <c r="R641" s="4"/>
      <c r="S641" s="4"/>
      <c r="T641" s="4"/>
      <c r="U641" s="4"/>
      <c r="V641" s="4"/>
      <c r="W641" s="4"/>
      <c r="X641" s="4"/>
    </row>
    <row r="642" spans="1:24" ht="15.75" thickBot="1">
      <c r="A642" s="3"/>
      <c r="B642" s="4"/>
      <c r="C642" s="4"/>
      <c r="D642" s="4"/>
      <c r="E642" s="4"/>
      <c r="F642" s="4"/>
      <c r="G642" s="4"/>
      <c r="H642" s="4"/>
      <c r="I642" s="4"/>
      <c r="J642" s="4"/>
      <c r="K642" s="4"/>
      <c r="L642" s="4"/>
      <c r="M642" s="4"/>
      <c r="N642" s="4"/>
      <c r="O642" s="4"/>
      <c r="P642" s="4"/>
      <c r="Q642" s="4"/>
      <c r="R642" s="4"/>
      <c r="S642" s="4"/>
      <c r="T642" s="4"/>
      <c r="U642" s="4"/>
      <c r="V642" s="4"/>
      <c r="W642" s="4"/>
      <c r="X642" s="4"/>
    </row>
    <row r="643" spans="1:24" ht="15.75" thickBot="1">
      <c r="A643" s="3"/>
      <c r="B643" s="4"/>
      <c r="C643" s="4"/>
      <c r="D643" s="4"/>
      <c r="E643" s="4"/>
      <c r="F643" s="4"/>
      <c r="G643" s="4"/>
      <c r="H643" s="4"/>
      <c r="I643" s="4"/>
      <c r="J643" s="4"/>
      <c r="K643" s="4"/>
      <c r="L643" s="4"/>
      <c r="M643" s="4"/>
      <c r="N643" s="4"/>
      <c r="O643" s="4"/>
      <c r="P643" s="4"/>
      <c r="Q643" s="4"/>
      <c r="R643" s="4"/>
      <c r="S643" s="4"/>
      <c r="T643" s="4"/>
      <c r="U643" s="4"/>
      <c r="V643" s="4"/>
      <c r="W643" s="4"/>
      <c r="X643" s="4"/>
    </row>
    <row r="644" spans="1:24" ht="15.75" thickBot="1">
      <c r="A644" s="3"/>
      <c r="B644" s="4"/>
      <c r="C644" s="4"/>
      <c r="D644" s="4"/>
      <c r="E644" s="4"/>
      <c r="F644" s="4"/>
      <c r="G644" s="4"/>
      <c r="H644" s="4"/>
      <c r="I644" s="4"/>
      <c r="J644" s="4"/>
      <c r="K644" s="4"/>
      <c r="L644" s="4"/>
      <c r="M644" s="4"/>
      <c r="N644" s="4"/>
      <c r="O644" s="4"/>
      <c r="P644" s="4"/>
      <c r="Q644" s="4"/>
      <c r="R644" s="4"/>
      <c r="S644" s="4"/>
      <c r="T644" s="4"/>
      <c r="U644" s="4"/>
      <c r="V644" s="4"/>
      <c r="W644" s="4"/>
      <c r="X644" s="4"/>
    </row>
    <row r="645" spans="1:24" ht="15.75" thickBot="1">
      <c r="A645" s="3"/>
      <c r="B645" s="4"/>
      <c r="C645" s="4"/>
      <c r="D645" s="4"/>
      <c r="E645" s="4"/>
      <c r="F645" s="4"/>
      <c r="G645" s="4"/>
      <c r="H645" s="4"/>
      <c r="I645" s="4"/>
      <c r="J645" s="4"/>
      <c r="K645" s="4"/>
      <c r="L645" s="4"/>
      <c r="M645" s="4"/>
      <c r="N645" s="4"/>
      <c r="O645" s="4"/>
      <c r="P645" s="4"/>
      <c r="Q645" s="4"/>
      <c r="R645" s="4"/>
      <c r="S645" s="4"/>
      <c r="T645" s="4"/>
      <c r="U645" s="4"/>
      <c r="V645" s="4"/>
      <c r="W645" s="4"/>
      <c r="X645" s="4"/>
    </row>
    <row r="646" spans="1:24" ht="15.75" thickBot="1">
      <c r="A646" s="3"/>
      <c r="B646" s="4"/>
      <c r="C646" s="4"/>
      <c r="D646" s="4"/>
      <c r="E646" s="4"/>
      <c r="F646" s="4"/>
      <c r="G646" s="4"/>
      <c r="H646" s="4"/>
      <c r="I646" s="4"/>
      <c r="J646" s="4"/>
      <c r="K646" s="4"/>
      <c r="L646" s="4"/>
      <c r="M646" s="4"/>
      <c r="N646" s="4"/>
      <c r="O646" s="4"/>
      <c r="P646" s="4"/>
      <c r="Q646" s="4"/>
      <c r="R646" s="4"/>
      <c r="S646" s="4"/>
      <c r="T646" s="4"/>
      <c r="U646" s="4"/>
      <c r="V646" s="4"/>
      <c r="W646" s="4"/>
      <c r="X646" s="4"/>
    </row>
    <row r="647" spans="1:24" ht="15.75" thickBot="1">
      <c r="A647" s="3"/>
      <c r="B647" s="4"/>
      <c r="C647" s="4"/>
      <c r="D647" s="4"/>
      <c r="E647" s="4"/>
      <c r="F647" s="4"/>
      <c r="G647" s="4"/>
      <c r="H647" s="4"/>
      <c r="I647" s="4"/>
      <c r="J647" s="4"/>
      <c r="K647" s="4"/>
      <c r="L647" s="4"/>
      <c r="M647" s="4"/>
      <c r="N647" s="4"/>
      <c r="O647" s="4"/>
      <c r="P647" s="4"/>
      <c r="Q647" s="4"/>
      <c r="R647" s="4"/>
      <c r="S647" s="4"/>
      <c r="T647" s="4"/>
      <c r="U647" s="4"/>
      <c r="V647" s="4"/>
      <c r="W647" s="4"/>
      <c r="X647" s="4"/>
    </row>
    <row r="648" spans="1:24" ht="15.75" thickBot="1">
      <c r="A648" s="3"/>
      <c r="B648" s="4"/>
      <c r="C648" s="4"/>
      <c r="D648" s="4"/>
      <c r="E648" s="4"/>
      <c r="F648" s="4"/>
      <c r="G648" s="4"/>
      <c r="H648" s="4"/>
      <c r="I648" s="4"/>
      <c r="J648" s="4"/>
      <c r="K648" s="4"/>
      <c r="L648" s="4"/>
      <c r="M648" s="4"/>
      <c r="N648" s="4"/>
      <c r="O648" s="4"/>
      <c r="P648" s="4"/>
      <c r="Q648" s="4"/>
      <c r="R648" s="4"/>
      <c r="S648" s="4"/>
      <c r="T648" s="4"/>
      <c r="U648" s="4"/>
      <c r="V648" s="4"/>
      <c r="W648" s="4"/>
      <c r="X648" s="4"/>
    </row>
    <row r="649" spans="1:24" ht="15.75" thickBot="1">
      <c r="A649" s="3"/>
      <c r="B649" s="4"/>
      <c r="C649" s="4"/>
      <c r="D649" s="4"/>
      <c r="E649" s="4"/>
      <c r="F649" s="4"/>
      <c r="G649" s="4"/>
      <c r="H649" s="4"/>
      <c r="I649" s="4"/>
      <c r="J649" s="4"/>
      <c r="K649" s="4"/>
      <c r="L649" s="4"/>
      <c r="M649" s="4"/>
      <c r="N649" s="4"/>
      <c r="O649" s="4"/>
      <c r="P649" s="4"/>
      <c r="Q649" s="4"/>
      <c r="R649" s="4"/>
      <c r="S649" s="4"/>
      <c r="T649" s="4"/>
      <c r="U649" s="4"/>
      <c r="V649" s="4"/>
      <c r="W649" s="4"/>
      <c r="X649" s="4"/>
    </row>
    <row r="650" spans="1:24" ht="15.75" thickBot="1">
      <c r="A650" s="3"/>
      <c r="B650" s="4"/>
      <c r="C650" s="4"/>
      <c r="D650" s="4"/>
      <c r="E650" s="4"/>
      <c r="F650" s="4"/>
      <c r="G650" s="4"/>
      <c r="H650" s="4"/>
      <c r="I650" s="4"/>
      <c r="J650" s="4"/>
      <c r="K650" s="4"/>
      <c r="L650" s="4"/>
      <c r="M650" s="4"/>
      <c r="N650" s="4"/>
      <c r="O650" s="4"/>
      <c r="P650" s="4"/>
      <c r="Q650" s="4"/>
      <c r="R650" s="4"/>
      <c r="S650" s="4"/>
      <c r="T650" s="4"/>
      <c r="U650" s="4"/>
      <c r="V650" s="4"/>
      <c r="W650" s="4"/>
      <c r="X650" s="4"/>
    </row>
    <row r="651" spans="1:24" ht="15.75" thickBot="1">
      <c r="A651" s="3"/>
      <c r="B651" s="4"/>
      <c r="C651" s="4"/>
      <c r="D651" s="4"/>
      <c r="E651" s="4"/>
      <c r="F651" s="4"/>
      <c r="G651" s="4"/>
      <c r="H651" s="4"/>
      <c r="I651" s="4"/>
      <c r="J651" s="4"/>
      <c r="K651" s="4"/>
      <c r="L651" s="4"/>
      <c r="M651" s="4"/>
      <c r="N651" s="4"/>
      <c r="O651" s="4"/>
      <c r="P651" s="4"/>
      <c r="Q651" s="4"/>
      <c r="R651" s="4"/>
      <c r="S651" s="4"/>
      <c r="T651" s="4"/>
      <c r="U651" s="4"/>
      <c r="V651" s="4"/>
      <c r="W651" s="4"/>
      <c r="X651" s="4"/>
    </row>
    <row r="652" spans="1:24" ht="15.75" thickBot="1">
      <c r="A652" s="3"/>
      <c r="B652" s="4"/>
      <c r="C652" s="4"/>
      <c r="D652" s="4"/>
      <c r="E652" s="4"/>
      <c r="F652" s="4"/>
      <c r="G652" s="4"/>
      <c r="H652" s="4"/>
      <c r="I652" s="4"/>
      <c r="J652" s="4"/>
      <c r="K652" s="4"/>
      <c r="L652" s="4"/>
      <c r="M652" s="4"/>
      <c r="N652" s="4"/>
      <c r="O652" s="4"/>
      <c r="P652" s="4"/>
      <c r="Q652" s="4"/>
      <c r="R652" s="4"/>
      <c r="S652" s="4"/>
      <c r="T652" s="4"/>
      <c r="U652" s="4"/>
      <c r="V652" s="4"/>
      <c r="W652" s="4"/>
      <c r="X652" s="4"/>
    </row>
    <row r="653" spans="1:24" ht="15.75" thickBot="1">
      <c r="A653" s="3"/>
      <c r="B653" s="4"/>
      <c r="C653" s="4"/>
      <c r="D653" s="4"/>
      <c r="E653" s="4"/>
      <c r="F653" s="4"/>
      <c r="G653" s="4"/>
      <c r="H653" s="4"/>
      <c r="I653" s="4"/>
      <c r="J653" s="4"/>
      <c r="K653" s="4"/>
      <c r="L653" s="4"/>
      <c r="M653" s="4"/>
      <c r="N653" s="4"/>
      <c r="O653" s="4"/>
      <c r="P653" s="4"/>
      <c r="Q653" s="4"/>
      <c r="R653" s="4"/>
      <c r="S653" s="4"/>
      <c r="T653" s="4"/>
      <c r="U653" s="4"/>
      <c r="V653" s="4"/>
      <c r="W653" s="4"/>
      <c r="X653" s="4"/>
    </row>
    <row r="654" spans="1:24" ht="15.75" thickBot="1">
      <c r="A654" s="3"/>
      <c r="B654" s="4"/>
      <c r="C654" s="4"/>
      <c r="D654" s="4"/>
      <c r="E654" s="4"/>
      <c r="F654" s="4"/>
      <c r="G654" s="4"/>
      <c r="H654" s="4"/>
      <c r="I654" s="4"/>
      <c r="J654" s="4"/>
      <c r="K654" s="4"/>
      <c r="L654" s="4"/>
      <c r="M654" s="4"/>
      <c r="N654" s="4"/>
      <c r="O654" s="4"/>
      <c r="P654" s="4"/>
      <c r="Q654" s="4"/>
      <c r="R654" s="4"/>
      <c r="S654" s="4"/>
      <c r="T654" s="4"/>
      <c r="U654" s="4"/>
      <c r="V654" s="4"/>
      <c r="W654" s="4"/>
      <c r="X654" s="4"/>
    </row>
    <row r="655" spans="1:24" ht="15.75" thickBot="1">
      <c r="A655" s="3"/>
      <c r="B655" s="4"/>
      <c r="C655" s="4"/>
      <c r="D655" s="4"/>
      <c r="E655" s="4"/>
      <c r="F655" s="4"/>
      <c r="G655" s="4"/>
      <c r="H655" s="4"/>
      <c r="I655" s="4"/>
      <c r="J655" s="4"/>
      <c r="K655" s="4"/>
      <c r="L655" s="4"/>
      <c r="M655" s="4"/>
      <c r="N655" s="4"/>
      <c r="O655" s="4"/>
      <c r="P655" s="4"/>
      <c r="Q655" s="4"/>
      <c r="R655" s="4"/>
      <c r="S655" s="4"/>
      <c r="T655" s="4"/>
      <c r="U655" s="4"/>
      <c r="V655" s="4"/>
      <c r="W655" s="4"/>
      <c r="X655" s="4"/>
    </row>
    <row r="656" spans="1:24" ht="15.75" thickBot="1">
      <c r="A656" s="3"/>
      <c r="B656" s="4"/>
      <c r="C656" s="4"/>
      <c r="D656" s="4"/>
      <c r="E656" s="4"/>
      <c r="F656" s="4"/>
      <c r="G656" s="4"/>
      <c r="H656" s="4"/>
      <c r="I656" s="4"/>
      <c r="J656" s="4"/>
      <c r="K656" s="4"/>
      <c r="L656" s="4"/>
      <c r="M656" s="4"/>
      <c r="N656" s="4"/>
      <c r="O656" s="4"/>
      <c r="P656" s="4"/>
      <c r="Q656" s="4"/>
      <c r="R656" s="4"/>
      <c r="S656" s="4"/>
      <c r="T656" s="4"/>
      <c r="U656" s="4"/>
      <c r="V656" s="4"/>
      <c r="W656" s="4"/>
      <c r="X656" s="4"/>
    </row>
    <row r="657" spans="1:24" ht="15.75" thickBot="1">
      <c r="A657" s="3"/>
      <c r="B657" s="4"/>
      <c r="C657" s="4"/>
      <c r="D657" s="4"/>
      <c r="E657" s="4"/>
      <c r="F657" s="4"/>
      <c r="G657" s="4"/>
      <c r="H657" s="4"/>
      <c r="I657" s="4"/>
      <c r="J657" s="4"/>
      <c r="K657" s="4"/>
      <c r="L657" s="4"/>
      <c r="M657" s="4"/>
      <c r="N657" s="4"/>
      <c r="O657" s="4"/>
      <c r="P657" s="4"/>
      <c r="Q657" s="4"/>
      <c r="R657" s="4"/>
      <c r="S657" s="4"/>
      <c r="T657" s="4"/>
      <c r="U657" s="4"/>
      <c r="V657" s="4"/>
      <c r="W657" s="4"/>
      <c r="X657" s="4"/>
    </row>
    <row r="658" spans="1:24" ht="15.75" thickBot="1">
      <c r="A658" s="3"/>
      <c r="B658" s="4"/>
      <c r="C658" s="4"/>
      <c r="D658" s="4"/>
      <c r="E658" s="4"/>
      <c r="F658" s="4"/>
      <c r="G658" s="4"/>
      <c r="H658" s="4"/>
      <c r="I658" s="4"/>
      <c r="J658" s="4"/>
      <c r="K658" s="4"/>
      <c r="L658" s="4"/>
      <c r="M658" s="4"/>
      <c r="N658" s="4"/>
      <c r="O658" s="4"/>
      <c r="P658" s="4"/>
      <c r="Q658" s="4"/>
      <c r="R658" s="4"/>
      <c r="S658" s="4"/>
      <c r="T658" s="4"/>
      <c r="U658" s="4"/>
      <c r="V658" s="4"/>
      <c r="W658" s="4"/>
      <c r="X658" s="4"/>
    </row>
    <row r="659" spans="1:24" ht="15.75" thickBot="1">
      <c r="A659" s="3"/>
      <c r="B659" s="4"/>
      <c r="C659" s="4"/>
      <c r="D659" s="4"/>
      <c r="E659" s="4"/>
      <c r="F659" s="4"/>
      <c r="G659" s="4"/>
      <c r="H659" s="4"/>
      <c r="I659" s="4"/>
      <c r="J659" s="4"/>
      <c r="K659" s="4"/>
      <c r="L659" s="4"/>
      <c r="M659" s="4"/>
      <c r="N659" s="4"/>
      <c r="O659" s="4"/>
      <c r="P659" s="4"/>
      <c r="Q659" s="4"/>
      <c r="R659" s="4"/>
      <c r="S659" s="4"/>
      <c r="T659" s="4"/>
      <c r="U659" s="4"/>
      <c r="V659" s="4"/>
      <c r="W659" s="4"/>
      <c r="X659" s="4"/>
    </row>
    <row r="660" spans="1:24" ht="15.75" thickBot="1">
      <c r="A660" s="3"/>
      <c r="B660" s="4"/>
      <c r="C660" s="4"/>
      <c r="D660" s="4"/>
      <c r="E660" s="4"/>
      <c r="F660" s="4"/>
      <c r="G660" s="4"/>
      <c r="H660" s="4"/>
      <c r="I660" s="4"/>
      <c r="J660" s="4"/>
      <c r="K660" s="4"/>
      <c r="L660" s="4"/>
      <c r="M660" s="4"/>
      <c r="N660" s="4"/>
      <c r="O660" s="4"/>
      <c r="P660" s="4"/>
      <c r="Q660" s="4"/>
      <c r="R660" s="4"/>
      <c r="S660" s="4"/>
      <c r="T660" s="4"/>
      <c r="U660" s="4"/>
      <c r="V660" s="4"/>
      <c r="W660" s="4"/>
      <c r="X660" s="4"/>
    </row>
    <row r="661" spans="1:24" ht="15.75" thickBot="1">
      <c r="A661" s="3"/>
      <c r="B661" s="4"/>
      <c r="C661" s="4"/>
      <c r="D661" s="4"/>
      <c r="E661" s="4"/>
      <c r="F661" s="4"/>
      <c r="G661" s="4"/>
      <c r="H661" s="4"/>
      <c r="I661" s="4"/>
      <c r="J661" s="4"/>
      <c r="K661" s="4"/>
      <c r="L661" s="4"/>
      <c r="M661" s="4"/>
      <c r="N661" s="4"/>
      <c r="O661" s="4"/>
      <c r="P661" s="4"/>
      <c r="Q661" s="4"/>
      <c r="R661" s="4"/>
      <c r="S661" s="4"/>
      <c r="T661" s="4"/>
      <c r="U661" s="4"/>
      <c r="V661" s="4"/>
      <c r="W661" s="4"/>
      <c r="X661" s="4"/>
    </row>
    <row r="662" spans="1:24" ht="15.75" thickBot="1">
      <c r="A662" s="3"/>
      <c r="B662" s="4"/>
      <c r="C662" s="4"/>
      <c r="D662" s="4"/>
      <c r="E662" s="4"/>
      <c r="F662" s="4"/>
      <c r="G662" s="4"/>
      <c r="H662" s="4"/>
      <c r="I662" s="4"/>
      <c r="J662" s="4"/>
      <c r="K662" s="4"/>
      <c r="L662" s="4"/>
      <c r="M662" s="4"/>
      <c r="N662" s="4"/>
      <c r="O662" s="4"/>
      <c r="P662" s="4"/>
      <c r="Q662" s="4"/>
      <c r="R662" s="4"/>
      <c r="S662" s="4"/>
      <c r="T662" s="4"/>
      <c r="U662" s="4"/>
      <c r="V662" s="4"/>
      <c r="W662" s="4"/>
      <c r="X662" s="4"/>
    </row>
    <row r="663" spans="1:24" ht="15.75" thickBot="1">
      <c r="A663" s="3"/>
      <c r="B663" s="4"/>
      <c r="C663" s="4"/>
      <c r="D663" s="4"/>
      <c r="E663" s="4"/>
      <c r="F663" s="4"/>
      <c r="G663" s="4"/>
      <c r="H663" s="4"/>
      <c r="I663" s="4"/>
      <c r="J663" s="4"/>
      <c r="K663" s="4"/>
      <c r="L663" s="4"/>
      <c r="M663" s="4"/>
      <c r="N663" s="4"/>
      <c r="O663" s="4"/>
      <c r="P663" s="4"/>
      <c r="Q663" s="4"/>
      <c r="R663" s="4"/>
      <c r="S663" s="4"/>
      <c r="T663" s="4"/>
      <c r="U663" s="4"/>
      <c r="V663" s="4"/>
      <c r="W663" s="4"/>
      <c r="X663" s="4"/>
    </row>
    <row r="664" spans="1:24" ht="15.75" thickBot="1">
      <c r="A664" s="3"/>
      <c r="B664" s="4"/>
      <c r="C664" s="4"/>
      <c r="D664" s="4"/>
      <c r="E664" s="4"/>
      <c r="F664" s="4"/>
      <c r="G664" s="4"/>
      <c r="H664" s="4"/>
      <c r="I664" s="4"/>
      <c r="J664" s="4"/>
      <c r="K664" s="4"/>
      <c r="L664" s="4"/>
      <c r="M664" s="4"/>
      <c r="N664" s="4"/>
      <c r="O664" s="4"/>
      <c r="P664" s="4"/>
      <c r="Q664" s="4"/>
      <c r="R664" s="4"/>
      <c r="S664" s="4"/>
      <c r="T664" s="4"/>
      <c r="U664" s="4"/>
      <c r="V664" s="4"/>
      <c r="W664" s="4"/>
      <c r="X664" s="4"/>
    </row>
    <row r="665" spans="1:24" ht="15.75" thickBot="1">
      <c r="A665" s="3"/>
      <c r="B665" s="4"/>
      <c r="C665" s="4"/>
      <c r="D665" s="4"/>
      <c r="E665" s="4"/>
      <c r="F665" s="4"/>
      <c r="G665" s="4"/>
      <c r="H665" s="4"/>
      <c r="I665" s="4"/>
      <c r="J665" s="4"/>
      <c r="K665" s="4"/>
      <c r="L665" s="4"/>
      <c r="M665" s="4"/>
      <c r="N665" s="4"/>
      <c r="O665" s="4"/>
      <c r="P665" s="4"/>
      <c r="Q665" s="4"/>
      <c r="R665" s="4"/>
      <c r="S665" s="4"/>
      <c r="T665" s="4"/>
      <c r="U665" s="4"/>
      <c r="V665" s="4"/>
      <c r="W665" s="4"/>
      <c r="X665" s="4"/>
    </row>
    <row r="666" spans="1:24" ht="15.75" thickBot="1">
      <c r="A666" s="3"/>
      <c r="B666" s="4"/>
      <c r="C666" s="4"/>
      <c r="D666" s="4"/>
      <c r="E666" s="4"/>
      <c r="F666" s="4"/>
      <c r="G666" s="4"/>
      <c r="H666" s="4"/>
      <c r="I666" s="4"/>
      <c r="J666" s="4"/>
      <c r="K666" s="4"/>
      <c r="L666" s="4"/>
      <c r="M666" s="4"/>
      <c r="N666" s="4"/>
      <c r="O666" s="4"/>
      <c r="P666" s="4"/>
      <c r="Q666" s="4"/>
      <c r="R666" s="4"/>
      <c r="S666" s="4"/>
      <c r="T666" s="4"/>
      <c r="U666" s="4"/>
      <c r="V666" s="4"/>
      <c r="W666" s="4"/>
      <c r="X666" s="4"/>
    </row>
    <row r="667" spans="1:24" ht="15.75" thickBot="1">
      <c r="A667" s="3"/>
      <c r="B667" s="4"/>
      <c r="C667" s="4"/>
      <c r="D667" s="4"/>
      <c r="E667" s="4"/>
      <c r="F667" s="4"/>
      <c r="G667" s="4"/>
      <c r="H667" s="4"/>
      <c r="I667" s="4"/>
      <c r="J667" s="4"/>
      <c r="K667" s="4"/>
      <c r="L667" s="4"/>
      <c r="M667" s="4"/>
      <c r="N667" s="4"/>
      <c r="O667" s="4"/>
      <c r="P667" s="4"/>
      <c r="Q667" s="4"/>
      <c r="R667" s="4"/>
      <c r="S667" s="4"/>
      <c r="T667" s="4"/>
      <c r="U667" s="4"/>
      <c r="V667" s="4"/>
      <c r="W667" s="4"/>
      <c r="X667" s="4"/>
    </row>
    <row r="668" spans="1:24" ht="15.75" thickBot="1">
      <c r="A668" s="3"/>
      <c r="B668" s="4"/>
      <c r="C668" s="4"/>
      <c r="D668" s="4"/>
      <c r="E668" s="4"/>
      <c r="F668" s="4"/>
      <c r="G668" s="4"/>
      <c r="H668" s="4"/>
      <c r="I668" s="4"/>
      <c r="J668" s="4"/>
      <c r="K668" s="4"/>
      <c r="L668" s="4"/>
      <c r="M668" s="4"/>
      <c r="N668" s="4"/>
      <c r="O668" s="4"/>
      <c r="P668" s="4"/>
      <c r="Q668" s="4"/>
      <c r="R668" s="4"/>
      <c r="S668" s="4"/>
      <c r="T668" s="4"/>
      <c r="U668" s="4"/>
      <c r="V668" s="4"/>
      <c r="W668" s="4"/>
      <c r="X668" s="4"/>
    </row>
    <row r="669" spans="1:24" ht="15.75" thickBot="1">
      <c r="A669" s="3"/>
      <c r="B669" s="4"/>
      <c r="C669" s="4"/>
      <c r="D669" s="4"/>
      <c r="E669" s="4"/>
      <c r="F669" s="4"/>
      <c r="G669" s="4"/>
      <c r="H669" s="4"/>
      <c r="I669" s="4"/>
      <c r="J669" s="4"/>
      <c r="K669" s="4"/>
      <c r="L669" s="4"/>
      <c r="M669" s="4"/>
      <c r="N669" s="4"/>
      <c r="O669" s="4"/>
      <c r="P669" s="4"/>
      <c r="Q669" s="4"/>
      <c r="R669" s="4"/>
      <c r="S669" s="4"/>
      <c r="T669" s="4"/>
      <c r="U669" s="4"/>
      <c r="V669" s="4"/>
      <c r="W669" s="4"/>
      <c r="X669" s="4"/>
    </row>
    <row r="670" spans="1:24" ht="15.75" thickBot="1">
      <c r="A670" s="3"/>
      <c r="B670" s="4"/>
      <c r="C670" s="4"/>
      <c r="D670" s="4"/>
      <c r="E670" s="4"/>
      <c r="F670" s="4"/>
      <c r="G670" s="4"/>
      <c r="H670" s="4"/>
      <c r="I670" s="4"/>
      <c r="J670" s="4"/>
      <c r="K670" s="4"/>
      <c r="L670" s="4"/>
      <c r="M670" s="4"/>
      <c r="N670" s="4"/>
      <c r="O670" s="4"/>
      <c r="P670" s="4"/>
      <c r="Q670" s="4"/>
      <c r="R670" s="4"/>
      <c r="S670" s="4"/>
      <c r="T670" s="4"/>
      <c r="U670" s="4"/>
      <c r="V670" s="4"/>
      <c r="W670" s="4"/>
      <c r="X670" s="4"/>
    </row>
    <row r="671" spans="1:24" ht="15.75" thickBot="1">
      <c r="A671" s="3"/>
      <c r="B671" s="4"/>
      <c r="C671" s="4"/>
      <c r="D671" s="4"/>
      <c r="E671" s="4"/>
      <c r="F671" s="4"/>
      <c r="G671" s="4"/>
      <c r="H671" s="4"/>
      <c r="I671" s="4"/>
      <c r="J671" s="4"/>
      <c r="K671" s="4"/>
      <c r="L671" s="4"/>
      <c r="M671" s="4"/>
      <c r="N671" s="4"/>
      <c r="O671" s="4"/>
      <c r="P671" s="4"/>
      <c r="Q671" s="4"/>
      <c r="R671" s="4"/>
      <c r="S671" s="4"/>
      <c r="T671" s="4"/>
      <c r="U671" s="4"/>
      <c r="V671" s="4"/>
      <c r="W671" s="4"/>
      <c r="X671" s="4"/>
    </row>
    <row r="672" spans="1:24" ht="15.75" thickBot="1">
      <c r="A672" s="3"/>
      <c r="B672" s="4"/>
      <c r="C672" s="4"/>
      <c r="D672" s="4"/>
      <c r="E672" s="4"/>
      <c r="F672" s="4"/>
      <c r="G672" s="4"/>
      <c r="H672" s="4"/>
      <c r="I672" s="4"/>
      <c r="J672" s="4"/>
      <c r="K672" s="4"/>
      <c r="L672" s="4"/>
      <c r="M672" s="4"/>
      <c r="N672" s="4"/>
      <c r="O672" s="4"/>
      <c r="P672" s="4"/>
      <c r="Q672" s="4"/>
      <c r="R672" s="4"/>
      <c r="S672" s="4"/>
      <c r="T672" s="4"/>
      <c r="U672" s="4"/>
      <c r="V672" s="4"/>
      <c r="W672" s="4"/>
      <c r="X672" s="4"/>
    </row>
    <row r="673" spans="1:24" ht="15.75" thickBot="1">
      <c r="A673" s="3"/>
      <c r="B673" s="4"/>
      <c r="C673" s="4"/>
      <c r="D673" s="4"/>
      <c r="E673" s="4"/>
      <c r="F673" s="4"/>
      <c r="G673" s="4"/>
      <c r="H673" s="4"/>
      <c r="I673" s="4"/>
      <c r="J673" s="4"/>
      <c r="K673" s="4"/>
      <c r="L673" s="4"/>
      <c r="M673" s="4"/>
      <c r="N673" s="4"/>
      <c r="O673" s="4"/>
      <c r="P673" s="4"/>
      <c r="Q673" s="4"/>
      <c r="R673" s="4"/>
      <c r="S673" s="4"/>
      <c r="T673" s="4"/>
      <c r="U673" s="4"/>
      <c r="V673" s="4"/>
      <c r="W673" s="4"/>
      <c r="X673" s="4"/>
    </row>
    <row r="674" spans="1:24" ht="15.75" thickBot="1">
      <c r="A674" s="3"/>
      <c r="B674" s="4"/>
      <c r="C674" s="4"/>
      <c r="D674" s="4"/>
      <c r="E674" s="4"/>
      <c r="F674" s="4"/>
      <c r="G674" s="4"/>
      <c r="H674" s="4"/>
      <c r="I674" s="4"/>
      <c r="J674" s="4"/>
      <c r="K674" s="4"/>
      <c r="L674" s="4"/>
      <c r="M674" s="4"/>
      <c r="N674" s="4"/>
      <c r="O674" s="4"/>
      <c r="P674" s="4"/>
      <c r="Q674" s="4"/>
      <c r="R674" s="4"/>
      <c r="S674" s="4"/>
      <c r="T674" s="4"/>
      <c r="U674" s="4"/>
      <c r="V674" s="4"/>
      <c r="W674" s="4"/>
      <c r="X674" s="4"/>
    </row>
    <row r="675" spans="1:24" ht="15.75" thickBot="1">
      <c r="A675" s="3"/>
      <c r="B675" s="4"/>
      <c r="C675" s="4"/>
      <c r="D675" s="4"/>
      <c r="E675" s="4"/>
      <c r="F675" s="4"/>
      <c r="G675" s="4"/>
      <c r="H675" s="4"/>
      <c r="I675" s="4"/>
      <c r="J675" s="4"/>
      <c r="K675" s="4"/>
      <c r="L675" s="4"/>
      <c r="M675" s="4"/>
      <c r="N675" s="4"/>
      <c r="O675" s="4"/>
      <c r="P675" s="4"/>
      <c r="Q675" s="4"/>
      <c r="R675" s="4"/>
      <c r="S675" s="4"/>
      <c r="T675" s="4"/>
      <c r="U675" s="4"/>
      <c r="V675" s="4"/>
      <c r="W675" s="4"/>
      <c r="X675" s="4"/>
    </row>
    <row r="676" spans="1:24" ht="15.75" thickBot="1">
      <c r="A676" s="3"/>
      <c r="B676" s="4"/>
      <c r="C676" s="4"/>
      <c r="D676" s="4"/>
      <c r="E676" s="4"/>
      <c r="F676" s="4"/>
      <c r="G676" s="4"/>
      <c r="H676" s="4"/>
      <c r="I676" s="4"/>
      <c r="J676" s="4"/>
      <c r="K676" s="4"/>
      <c r="L676" s="4"/>
      <c r="M676" s="4"/>
      <c r="N676" s="4"/>
      <c r="O676" s="4"/>
      <c r="P676" s="4"/>
      <c r="Q676" s="4"/>
      <c r="R676" s="4"/>
      <c r="S676" s="4"/>
      <c r="T676" s="4"/>
      <c r="U676" s="4"/>
      <c r="V676" s="4"/>
      <c r="W676" s="4"/>
      <c r="X676" s="4"/>
    </row>
    <row r="677" spans="1:24" ht="15.75" thickBot="1">
      <c r="A677" s="3"/>
      <c r="B677" s="4"/>
      <c r="C677" s="4"/>
      <c r="D677" s="4"/>
      <c r="E677" s="4"/>
      <c r="F677" s="4"/>
      <c r="G677" s="4"/>
      <c r="H677" s="4"/>
      <c r="I677" s="4"/>
      <c r="J677" s="4"/>
      <c r="K677" s="4"/>
      <c r="L677" s="4"/>
      <c r="M677" s="4"/>
      <c r="N677" s="4"/>
      <c r="O677" s="4"/>
      <c r="P677" s="4"/>
      <c r="Q677" s="4"/>
      <c r="R677" s="4"/>
      <c r="S677" s="4"/>
      <c r="T677" s="4"/>
      <c r="U677" s="4"/>
      <c r="V677" s="4"/>
      <c r="W677" s="4"/>
      <c r="X677" s="4"/>
    </row>
    <row r="678" spans="1:24" ht="15.75" thickBot="1">
      <c r="A678" s="3"/>
      <c r="B678" s="4"/>
      <c r="C678" s="4"/>
      <c r="D678" s="4"/>
      <c r="E678" s="4"/>
      <c r="F678" s="4"/>
      <c r="G678" s="4"/>
      <c r="H678" s="4"/>
      <c r="I678" s="4"/>
      <c r="J678" s="4"/>
      <c r="K678" s="4"/>
      <c r="L678" s="4"/>
      <c r="M678" s="4"/>
      <c r="N678" s="4"/>
      <c r="O678" s="4"/>
      <c r="P678" s="4"/>
      <c r="Q678" s="4"/>
      <c r="R678" s="4"/>
      <c r="S678" s="4"/>
      <c r="T678" s="4"/>
      <c r="U678" s="4"/>
      <c r="V678" s="4"/>
      <c r="W678" s="4"/>
      <c r="X678" s="4"/>
    </row>
    <row r="679" spans="1:24" ht="15.75" thickBot="1">
      <c r="A679" s="3"/>
      <c r="B679" s="4"/>
      <c r="C679" s="4"/>
      <c r="D679" s="4"/>
      <c r="E679" s="4"/>
      <c r="F679" s="4"/>
      <c r="G679" s="4"/>
      <c r="H679" s="4"/>
      <c r="I679" s="4"/>
      <c r="J679" s="4"/>
      <c r="K679" s="4"/>
      <c r="L679" s="4"/>
      <c r="M679" s="4"/>
      <c r="N679" s="4"/>
      <c r="O679" s="4"/>
      <c r="P679" s="4"/>
      <c r="Q679" s="4"/>
      <c r="R679" s="4"/>
      <c r="S679" s="4"/>
      <c r="T679" s="4"/>
      <c r="U679" s="4"/>
      <c r="V679" s="4"/>
      <c r="W679" s="4"/>
      <c r="X679" s="4"/>
    </row>
    <row r="680" spans="1:24" ht="15.75" thickBot="1">
      <c r="A680" s="3"/>
      <c r="B680" s="4"/>
      <c r="C680" s="4"/>
      <c r="D680" s="4"/>
      <c r="E680" s="4"/>
      <c r="F680" s="4"/>
      <c r="G680" s="4"/>
      <c r="H680" s="4"/>
      <c r="I680" s="4"/>
      <c r="J680" s="4"/>
      <c r="K680" s="4"/>
      <c r="L680" s="4"/>
      <c r="M680" s="4"/>
      <c r="N680" s="4"/>
      <c r="O680" s="4"/>
      <c r="P680" s="4"/>
      <c r="Q680" s="4"/>
      <c r="R680" s="4"/>
      <c r="S680" s="4"/>
      <c r="T680" s="4"/>
      <c r="U680" s="4"/>
      <c r="V680" s="4"/>
      <c r="W680" s="4"/>
      <c r="X680" s="4"/>
    </row>
    <row r="681" spans="1:24" ht="15.75" thickBot="1">
      <c r="A681" s="3"/>
      <c r="B681" s="4"/>
      <c r="C681" s="4"/>
      <c r="D681" s="4"/>
      <c r="E681" s="4"/>
      <c r="F681" s="4"/>
      <c r="G681" s="4"/>
      <c r="H681" s="4"/>
      <c r="I681" s="4"/>
      <c r="J681" s="4"/>
      <c r="K681" s="4"/>
      <c r="L681" s="4"/>
      <c r="M681" s="4"/>
      <c r="N681" s="4"/>
      <c r="O681" s="4"/>
      <c r="P681" s="4"/>
      <c r="Q681" s="4"/>
      <c r="R681" s="4"/>
      <c r="S681" s="4"/>
      <c r="T681" s="4"/>
      <c r="U681" s="4"/>
      <c r="V681" s="4"/>
      <c r="W681" s="4"/>
      <c r="X681" s="4"/>
    </row>
    <row r="682" spans="1:24" ht="15.75" thickBot="1">
      <c r="A682" s="3"/>
      <c r="B682" s="4"/>
      <c r="C682" s="4"/>
      <c r="D682" s="4"/>
      <c r="E682" s="4"/>
      <c r="F682" s="4"/>
      <c r="G682" s="4"/>
      <c r="H682" s="4"/>
      <c r="I682" s="4"/>
      <c r="J682" s="4"/>
      <c r="K682" s="4"/>
      <c r="L682" s="4"/>
      <c r="M682" s="4"/>
      <c r="N682" s="4"/>
      <c r="O682" s="4"/>
      <c r="P682" s="4"/>
      <c r="Q682" s="4"/>
      <c r="R682" s="4"/>
      <c r="S682" s="4"/>
      <c r="T682" s="4"/>
      <c r="U682" s="4"/>
      <c r="V682" s="4"/>
      <c r="W682" s="4"/>
      <c r="X682" s="4"/>
    </row>
    <row r="683" spans="1:24" ht="15.75" thickBot="1">
      <c r="A683" s="3"/>
      <c r="B683" s="4"/>
      <c r="C683" s="4"/>
      <c r="D683" s="4"/>
      <c r="E683" s="4"/>
      <c r="F683" s="4"/>
      <c r="G683" s="4"/>
      <c r="H683" s="4"/>
      <c r="I683" s="4"/>
      <c r="J683" s="4"/>
      <c r="K683" s="4"/>
      <c r="L683" s="4"/>
      <c r="M683" s="4"/>
      <c r="N683" s="4"/>
      <c r="O683" s="4"/>
      <c r="P683" s="4"/>
      <c r="Q683" s="4"/>
      <c r="R683" s="4"/>
      <c r="S683" s="4"/>
      <c r="T683" s="4"/>
      <c r="U683" s="4"/>
      <c r="V683" s="4"/>
      <c r="W683" s="4"/>
      <c r="X683" s="4"/>
    </row>
    <row r="684" spans="1:24" ht="15.75" thickBot="1">
      <c r="A684" s="3"/>
      <c r="B684" s="4"/>
      <c r="C684" s="4"/>
      <c r="D684" s="4"/>
      <c r="E684" s="4"/>
      <c r="F684" s="4"/>
      <c r="G684" s="4"/>
      <c r="H684" s="4"/>
      <c r="I684" s="4"/>
      <c r="J684" s="4"/>
      <c r="K684" s="4"/>
      <c r="L684" s="4"/>
      <c r="M684" s="4"/>
      <c r="N684" s="4"/>
      <c r="O684" s="4"/>
      <c r="P684" s="4"/>
      <c r="Q684" s="4"/>
      <c r="R684" s="4"/>
      <c r="S684" s="4"/>
      <c r="T684" s="4"/>
      <c r="U684" s="4"/>
      <c r="V684" s="4"/>
      <c r="W684" s="4"/>
      <c r="X684" s="4"/>
    </row>
    <row r="685" spans="1:24" ht="15.75" thickBot="1">
      <c r="A685" s="3"/>
      <c r="B685" s="4"/>
      <c r="C685" s="4"/>
      <c r="D685" s="4"/>
      <c r="E685" s="4"/>
      <c r="F685" s="4"/>
      <c r="G685" s="4"/>
      <c r="H685" s="4"/>
      <c r="I685" s="4"/>
      <c r="J685" s="4"/>
      <c r="K685" s="4"/>
      <c r="L685" s="4"/>
      <c r="M685" s="4"/>
      <c r="N685" s="4"/>
      <c r="O685" s="4"/>
      <c r="P685" s="4"/>
      <c r="Q685" s="4"/>
      <c r="R685" s="4"/>
      <c r="S685" s="4"/>
      <c r="T685" s="4"/>
      <c r="U685" s="4"/>
      <c r="V685" s="4"/>
      <c r="W685" s="4"/>
      <c r="X685" s="4"/>
    </row>
    <row r="686" spans="1:24" ht="15.75" thickBot="1">
      <c r="A686" s="3"/>
      <c r="B686" s="4"/>
      <c r="C686" s="4"/>
      <c r="D686" s="4"/>
      <c r="E686" s="4"/>
      <c r="F686" s="4"/>
      <c r="G686" s="4"/>
      <c r="H686" s="4"/>
      <c r="I686" s="4"/>
      <c r="J686" s="4"/>
      <c r="K686" s="4"/>
      <c r="L686" s="4"/>
      <c r="M686" s="4"/>
      <c r="N686" s="4"/>
      <c r="O686" s="4"/>
      <c r="P686" s="4"/>
      <c r="Q686" s="4"/>
      <c r="R686" s="4"/>
      <c r="S686" s="4"/>
      <c r="T686" s="4"/>
      <c r="U686" s="4"/>
      <c r="V686" s="4"/>
      <c r="W686" s="4"/>
      <c r="X686" s="4"/>
    </row>
    <row r="687" spans="1:24" ht="15.75" thickBot="1">
      <c r="A687" s="3"/>
      <c r="B687" s="4"/>
      <c r="C687" s="4"/>
      <c r="D687" s="4"/>
      <c r="E687" s="4"/>
      <c r="F687" s="4"/>
      <c r="G687" s="4"/>
      <c r="H687" s="4"/>
      <c r="I687" s="4"/>
      <c r="J687" s="4"/>
      <c r="K687" s="4"/>
      <c r="L687" s="4"/>
      <c r="M687" s="4"/>
      <c r="N687" s="4"/>
      <c r="O687" s="4"/>
      <c r="P687" s="4"/>
      <c r="Q687" s="4"/>
      <c r="R687" s="4"/>
      <c r="S687" s="4"/>
      <c r="T687" s="4"/>
      <c r="U687" s="4"/>
      <c r="V687" s="4"/>
      <c r="W687" s="4"/>
      <c r="X687" s="4"/>
    </row>
    <row r="688" spans="1:24" ht="15.75" thickBot="1">
      <c r="A688" s="3"/>
      <c r="B688" s="4"/>
      <c r="C688" s="4"/>
      <c r="D688" s="4"/>
      <c r="E688" s="4"/>
      <c r="F688" s="4"/>
      <c r="G688" s="4"/>
      <c r="H688" s="4"/>
      <c r="I688" s="4"/>
      <c r="J688" s="4"/>
      <c r="K688" s="4"/>
      <c r="L688" s="4"/>
      <c r="M688" s="4"/>
      <c r="N688" s="4"/>
      <c r="O688" s="4"/>
      <c r="P688" s="4"/>
      <c r="Q688" s="4"/>
      <c r="R688" s="4"/>
      <c r="S688" s="4"/>
      <c r="T688" s="4"/>
      <c r="U688" s="4"/>
      <c r="V688" s="4"/>
      <c r="W688" s="4"/>
      <c r="X688" s="4"/>
    </row>
    <row r="689" spans="1:24" ht="15.75" thickBot="1">
      <c r="A689" s="3"/>
      <c r="B689" s="4"/>
      <c r="C689" s="4"/>
      <c r="D689" s="4"/>
      <c r="E689" s="4"/>
      <c r="F689" s="4"/>
      <c r="G689" s="4"/>
      <c r="H689" s="4"/>
      <c r="I689" s="4"/>
      <c r="J689" s="4"/>
      <c r="K689" s="4"/>
      <c r="L689" s="4"/>
      <c r="M689" s="4"/>
      <c r="N689" s="4"/>
      <c r="O689" s="4"/>
      <c r="P689" s="4"/>
      <c r="Q689" s="4"/>
      <c r="R689" s="4"/>
      <c r="S689" s="4"/>
      <c r="T689" s="4"/>
      <c r="U689" s="4"/>
      <c r="V689" s="4"/>
      <c r="W689" s="4"/>
      <c r="X689" s="4"/>
    </row>
    <row r="690" spans="1:24" ht="15.75" thickBot="1">
      <c r="A690" s="3"/>
      <c r="B690" s="4"/>
      <c r="C690" s="4"/>
      <c r="D690" s="4"/>
      <c r="E690" s="4"/>
      <c r="F690" s="4"/>
      <c r="G690" s="4"/>
      <c r="H690" s="4"/>
      <c r="I690" s="4"/>
      <c r="J690" s="4"/>
      <c r="K690" s="4"/>
      <c r="L690" s="4"/>
      <c r="M690" s="4"/>
      <c r="N690" s="4"/>
      <c r="O690" s="4"/>
      <c r="P690" s="4"/>
      <c r="Q690" s="4"/>
      <c r="R690" s="4"/>
      <c r="S690" s="4"/>
      <c r="T690" s="4"/>
      <c r="U690" s="4"/>
      <c r="V690" s="4"/>
      <c r="W690" s="4"/>
      <c r="X690" s="4"/>
    </row>
    <row r="691" spans="1:24" ht="15.75" thickBot="1">
      <c r="A691" s="3"/>
      <c r="B691" s="4"/>
      <c r="C691" s="4"/>
      <c r="D691" s="4"/>
      <c r="E691" s="4"/>
      <c r="F691" s="4"/>
      <c r="G691" s="4"/>
      <c r="H691" s="4"/>
      <c r="I691" s="4"/>
      <c r="J691" s="4"/>
      <c r="K691" s="4"/>
      <c r="L691" s="4"/>
      <c r="M691" s="4"/>
      <c r="N691" s="4"/>
      <c r="O691" s="4"/>
      <c r="P691" s="4"/>
      <c r="Q691" s="4"/>
      <c r="R691" s="4"/>
      <c r="S691" s="4"/>
      <c r="T691" s="4"/>
      <c r="U691" s="4"/>
      <c r="V691" s="4"/>
      <c r="W691" s="4"/>
      <c r="X691" s="4"/>
    </row>
    <row r="692" spans="1:24" ht="15.75" thickBot="1">
      <c r="A692" s="3"/>
      <c r="B692" s="4"/>
      <c r="C692" s="4"/>
      <c r="D692" s="4"/>
      <c r="E692" s="4"/>
      <c r="F692" s="4"/>
      <c r="G692" s="4"/>
      <c r="H692" s="4"/>
      <c r="I692" s="4"/>
      <c r="J692" s="4"/>
      <c r="K692" s="4"/>
      <c r="L692" s="4"/>
      <c r="M692" s="4"/>
      <c r="N692" s="4"/>
      <c r="O692" s="4"/>
      <c r="P692" s="4"/>
      <c r="Q692" s="4"/>
      <c r="R692" s="4"/>
      <c r="S692" s="4"/>
      <c r="T692" s="4"/>
      <c r="U692" s="4"/>
      <c r="V692" s="4"/>
      <c r="W692" s="4"/>
      <c r="X692" s="4"/>
    </row>
    <row r="693" spans="1:24" ht="15.75" thickBot="1">
      <c r="A693" s="3"/>
      <c r="B693" s="4"/>
      <c r="C693" s="4"/>
      <c r="D693" s="4"/>
      <c r="E693" s="4"/>
      <c r="F693" s="4"/>
      <c r="G693" s="4"/>
      <c r="H693" s="4"/>
      <c r="I693" s="4"/>
      <c r="J693" s="4"/>
      <c r="K693" s="4"/>
      <c r="L693" s="4"/>
      <c r="M693" s="4"/>
      <c r="N693" s="4"/>
      <c r="O693" s="4"/>
      <c r="P693" s="4"/>
      <c r="Q693" s="4"/>
      <c r="R693" s="4"/>
      <c r="S693" s="4"/>
      <c r="T693" s="4"/>
      <c r="U693" s="4"/>
      <c r="V693" s="4"/>
      <c r="W693" s="4"/>
      <c r="X693" s="4"/>
    </row>
    <row r="694" spans="1:24" ht="15.75" thickBot="1">
      <c r="A694" s="3"/>
      <c r="B694" s="4"/>
      <c r="C694" s="4"/>
      <c r="D694" s="4"/>
      <c r="E694" s="4"/>
      <c r="F694" s="4"/>
      <c r="G694" s="4"/>
      <c r="H694" s="4"/>
      <c r="I694" s="4"/>
      <c r="J694" s="4"/>
      <c r="K694" s="4"/>
      <c r="L694" s="4"/>
      <c r="M694" s="4"/>
      <c r="N694" s="4"/>
      <c r="O694" s="4"/>
      <c r="P694" s="4"/>
      <c r="Q694" s="4"/>
      <c r="R694" s="4"/>
      <c r="S694" s="4"/>
      <c r="T694" s="4"/>
      <c r="U694" s="4"/>
      <c r="V694" s="4"/>
      <c r="W694" s="4"/>
      <c r="X694" s="4"/>
    </row>
    <row r="695" spans="1:24" ht="15.75" thickBot="1">
      <c r="A695" s="3"/>
      <c r="B695" s="4"/>
      <c r="C695" s="4"/>
      <c r="D695" s="4"/>
      <c r="E695" s="4"/>
      <c r="F695" s="4"/>
      <c r="G695" s="4"/>
      <c r="H695" s="4"/>
      <c r="I695" s="4"/>
      <c r="J695" s="4"/>
      <c r="K695" s="4"/>
      <c r="L695" s="4"/>
      <c r="M695" s="4"/>
      <c r="N695" s="4"/>
      <c r="O695" s="4"/>
      <c r="P695" s="4"/>
      <c r="Q695" s="4"/>
      <c r="R695" s="4"/>
      <c r="S695" s="4"/>
      <c r="T695" s="4"/>
      <c r="U695" s="4"/>
      <c r="V695" s="4"/>
      <c r="W695" s="4"/>
      <c r="X695" s="4"/>
    </row>
    <row r="696" spans="1:24" ht="15.75" thickBot="1">
      <c r="A696" s="3"/>
      <c r="B696" s="4"/>
      <c r="C696" s="4"/>
      <c r="D696" s="4"/>
      <c r="E696" s="4"/>
      <c r="F696" s="4"/>
      <c r="G696" s="4"/>
      <c r="H696" s="4"/>
      <c r="I696" s="4"/>
      <c r="J696" s="4"/>
      <c r="K696" s="4"/>
      <c r="L696" s="4"/>
      <c r="M696" s="4"/>
      <c r="N696" s="4"/>
      <c r="O696" s="4"/>
      <c r="P696" s="4"/>
      <c r="Q696" s="4"/>
      <c r="R696" s="4"/>
      <c r="S696" s="4"/>
      <c r="T696" s="4"/>
      <c r="U696" s="4"/>
      <c r="V696" s="4"/>
      <c r="W696" s="4"/>
      <c r="X696" s="4"/>
    </row>
    <row r="697" spans="1:24" ht="15.75" thickBot="1">
      <c r="A697" s="3"/>
      <c r="B697" s="4"/>
      <c r="C697" s="4"/>
      <c r="D697" s="4"/>
      <c r="E697" s="4"/>
      <c r="F697" s="4"/>
      <c r="G697" s="4"/>
      <c r="H697" s="4"/>
      <c r="I697" s="4"/>
      <c r="J697" s="4"/>
      <c r="K697" s="4"/>
      <c r="L697" s="4"/>
      <c r="M697" s="4"/>
      <c r="N697" s="4"/>
      <c r="O697" s="4"/>
      <c r="P697" s="4"/>
      <c r="Q697" s="4"/>
      <c r="R697" s="4"/>
      <c r="S697" s="4"/>
      <c r="T697" s="4"/>
      <c r="U697" s="4"/>
      <c r="V697" s="4"/>
      <c r="W697" s="4"/>
      <c r="X697" s="4"/>
    </row>
    <row r="698" spans="1:24" ht="15.75" thickBot="1">
      <c r="A698" s="3"/>
      <c r="B698" s="4"/>
      <c r="C698" s="4"/>
      <c r="D698" s="4"/>
      <c r="E698" s="4"/>
      <c r="F698" s="4"/>
      <c r="G698" s="4"/>
      <c r="H698" s="4"/>
      <c r="I698" s="4"/>
      <c r="J698" s="4"/>
      <c r="K698" s="4"/>
      <c r="L698" s="4"/>
      <c r="M698" s="4"/>
      <c r="N698" s="4"/>
      <c r="O698" s="4"/>
      <c r="P698" s="4"/>
      <c r="Q698" s="4"/>
      <c r="R698" s="4"/>
      <c r="S698" s="4"/>
      <c r="T698" s="4"/>
      <c r="U698" s="4"/>
      <c r="V698" s="4"/>
      <c r="W698" s="4"/>
      <c r="X698" s="4"/>
    </row>
    <row r="699" spans="1:24" ht="15.75" thickBot="1">
      <c r="A699" s="3"/>
      <c r="B699" s="4"/>
      <c r="C699" s="4"/>
      <c r="D699" s="4"/>
      <c r="E699" s="4"/>
      <c r="F699" s="4"/>
      <c r="G699" s="4"/>
      <c r="H699" s="4"/>
      <c r="I699" s="4"/>
      <c r="J699" s="4"/>
      <c r="K699" s="4"/>
      <c r="L699" s="4"/>
      <c r="M699" s="4"/>
      <c r="N699" s="4"/>
      <c r="O699" s="4"/>
      <c r="P699" s="4"/>
      <c r="Q699" s="4"/>
      <c r="R699" s="4"/>
      <c r="S699" s="4"/>
      <c r="T699" s="4"/>
      <c r="U699" s="4"/>
      <c r="V699" s="4"/>
      <c r="W699" s="4"/>
      <c r="X699" s="4"/>
    </row>
    <row r="700" spans="1:24" ht="15.75" thickBot="1">
      <c r="A700" s="3"/>
      <c r="B700" s="4"/>
      <c r="C700" s="4"/>
      <c r="D700" s="4"/>
      <c r="E700" s="4"/>
      <c r="F700" s="4"/>
      <c r="G700" s="4"/>
      <c r="H700" s="4"/>
      <c r="I700" s="4"/>
      <c r="J700" s="4"/>
      <c r="K700" s="4"/>
      <c r="L700" s="4"/>
      <c r="M700" s="4"/>
      <c r="N700" s="4"/>
      <c r="O700" s="4"/>
      <c r="P700" s="4"/>
      <c r="Q700" s="4"/>
      <c r="R700" s="4"/>
      <c r="S700" s="4"/>
      <c r="T700" s="4"/>
      <c r="U700" s="4"/>
      <c r="V700" s="4"/>
      <c r="W700" s="4"/>
      <c r="X700" s="4"/>
    </row>
    <row r="701" spans="1:24" ht="15.75" thickBot="1">
      <c r="A701" s="3"/>
      <c r="B701" s="4"/>
      <c r="C701" s="4"/>
      <c r="D701" s="4"/>
      <c r="E701" s="4"/>
      <c r="F701" s="4"/>
      <c r="G701" s="4"/>
      <c r="H701" s="4"/>
      <c r="I701" s="4"/>
      <c r="J701" s="4"/>
      <c r="K701" s="4"/>
      <c r="L701" s="4"/>
      <c r="M701" s="4"/>
      <c r="N701" s="4"/>
      <c r="O701" s="4"/>
      <c r="P701" s="4"/>
      <c r="Q701" s="4"/>
      <c r="R701" s="4"/>
      <c r="S701" s="4"/>
      <c r="T701" s="4"/>
      <c r="U701" s="4"/>
      <c r="V701" s="4"/>
      <c r="W701" s="4"/>
      <c r="X701" s="4"/>
    </row>
    <row r="702" spans="1:24" ht="15.75" thickBot="1">
      <c r="A702" s="3"/>
      <c r="B702" s="4"/>
      <c r="C702" s="4"/>
      <c r="D702" s="4"/>
      <c r="E702" s="4"/>
      <c r="F702" s="4"/>
      <c r="G702" s="4"/>
      <c r="H702" s="4"/>
      <c r="I702" s="4"/>
      <c r="J702" s="4"/>
      <c r="K702" s="4"/>
      <c r="L702" s="4"/>
      <c r="M702" s="4"/>
      <c r="N702" s="4"/>
      <c r="O702" s="4"/>
      <c r="P702" s="4"/>
      <c r="Q702" s="4"/>
      <c r="R702" s="4"/>
      <c r="S702" s="4"/>
      <c r="T702" s="4"/>
      <c r="U702" s="4"/>
      <c r="V702" s="4"/>
      <c r="W702" s="4"/>
      <c r="X702" s="4"/>
    </row>
    <row r="703" spans="1:24" ht="15.75" thickBot="1">
      <c r="A703" s="3"/>
      <c r="B703" s="4"/>
      <c r="C703" s="4"/>
      <c r="D703" s="4"/>
      <c r="E703" s="4"/>
      <c r="F703" s="4"/>
      <c r="G703" s="4"/>
      <c r="H703" s="4"/>
      <c r="I703" s="4"/>
      <c r="J703" s="4"/>
      <c r="K703" s="4"/>
      <c r="L703" s="4"/>
      <c r="M703" s="4"/>
      <c r="N703" s="4"/>
      <c r="O703" s="4"/>
      <c r="P703" s="4"/>
      <c r="Q703" s="4"/>
      <c r="R703" s="4"/>
      <c r="S703" s="4"/>
      <c r="T703" s="4"/>
      <c r="U703" s="4"/>
      <c r="V703" s="4"/>
      <c r="W703" s="4"/>
      <c r="X703" s="4"/>
    </row>
    <row r="704" spans="1:24" ht="15.75" thickBot="1">
      <c r="A704" s="3"/>
      <c r="B704" s="4"/>
      <c r="C704" s="4"/>
      <c r="D704" s="4"/>
      <c r="E704" s="4"/>
      <c r="F704" s="4"/>
      <c r="G704" s="4"/>
      <c r="H704" s="4"/>
      <c r="I704" s="4"/>
      <c r="J704" s="4"/>
      <c r="K704" s="4"/>
      <c r="L704" s="4"/>
      <c r="M704" s="4"/>
      <c r="N704" s="4"/>
      <c r="O704" s="4"/>
      <c r="P704" s="4"/>
      <c r="Q704" s="4"/>
      <c r="R704" s="4"/>
      <c r="S704" s="4"/>
      <c r="T704" s="4"/>
      <c r="U704" s="4"/>
      <c r="V704" s="4"/>
      <c r="W704" s="4"/>
      <c r="X704" s="4"/>
    </row>
    <row r="705" spans="1:24" ht="15.75" thickBot="1">
      <c r="A705" s="3"/>
      <c r="B705" s="4"/>
      <c r="C705" s="4"/>
      <c r="D705" s="4"/>
      <c r="E705" s="4"/>
      <c r="F705" s="4"/>
      <c r="G705" s="4"/>
      <c r="H705" s="4"/>
      <c r="I705" s="4"/>
      <c r="J705" s="4"/>
      <c r="K705" s="4"/>
      <c r="L705" s="4"/>
      <c r="M705" s="4"/>
      <c r="N705" s="4"/>
      <c r="O705" s="4"/>
      <c r="P705" s="4"/>
      <c r="Q705" s="4"/>
      <c r="R705" s="4"/>
      <c r="S705" s="4"/>
      <c r="T705" s="4"/>
      <c r="U705" s="4"/>
      <c r="V705" s="4"/>
      <c r="W705" s="4"/>
      <c r="X705" s="4"/>
    </row>
    <row r="706" spans="1:24" ht="15.75" thickBot="1">
      <c r="A706" s="3"/>
      <c r="B706" s="4"/>
      <c r="C706" s="4"/>
      <c r="D706" s="4"/>
      <c r="E706" s="4"/>
      <c r="F706" s="4"/>
      <c r="G706" s="4"/>
      <c r="H706" s="4"/>
      <c r="I706" s="4"/>
      <c r="J706" s="4"/>
      <c r="K706" s="4"/>
      <c r="L706" s="4"/>
      <c r="M706" s="4"/>
      <c r="N706" s="4"/>
      <c r="O706" s="4"/>
      <c r="P706" s="4"/>
      <c r="Q706" s="4"/>
      <c r="R706" s="4"/>
      <c r="S706" s="4"/>
      <c r="T706" s="4"/>
      <c r="U706" s="4"/>
      <c r="V706" s="4"/>
      <c r="W706" s="4"/>
      <c r="X706" s="4"/>
    </row>
    <row r="707" spans="1:24" ht="15.75" thickBot="1">
      <c r="A707" s="3"/>
      <c r="B707" s="4"/>
      <c r="C707" s="4"/>
      <c r="D707" s="4"/>
      <c r="E707" s="4"/>
      <c r="F707" s="4"/>
      <c r="G707" s="4"/>
      <c r="H707" s="4"/>
      <c r="I707" s="4"/>
      <c r="J707" s="4"/>
      <c r="K707" s="4"/>
      <c r="L707" s="4"/>
      <c r="M707" s="4"/>
      <c r="N707" s="4"/>
      <c r="O707" s="4"/>
      <c r="P707" s="4"/>
      <c r="Q707" s="4"/>
      <c r="R707" s="4"/>
      <c r="S707" s="4"/>
      <c r="T707" s="4"/>
      <c r="U707" s="4"/>
      <c r="V707" s="4"/>
      <c r="W707" s="4"/>
      <c r="X707" s="4"/>
    </row>
    <row r="708" spans="1:24" ht="15.75" thickBot="1">
      <c r="A708" s="3"/>
      <c r="B708" s="4"/>
      <c r="C708" s="4"/>
      <c r="D708" s="4"/>
      <c r="E708" s="4"/>
      <c r="F708" s="4"/>
      <c r="G708" s="4"/>
      <c r="H708" s="4"/>
      <c r="I708" s="4"/>
      <c r="J708" s="4"/>
      <c r="K708" s="4"/>
      <c r="L708" s="4"/>
      <c r="M708" s="4"/>
      <c r="N708" s="4"/>
      <c r="O708" s="4"/>
      <c r="P708" s="4"/>
      <c r="Q708" s="4"/>
      <c r="R708" s="4"/>
      <c r="S708" s="4"/>
      <c r="T708" s="4"/>
      <c r="U708" s="4"/>
      <c r="V708" s="4"/>
      <c r="W708" s="4"/>
      <c r="X708" s="4"/>
    </row>
    <row r="709" spans="1:24" ht="15.75" thickBot="1">
      <c r="A709" s="3"/>
      <c r="B709" s="4"/>
      <c r="C709" s="4"/>
      <c r="D709" s="4"/>
      <c r="E709" s="4"/>
      <c r="F709" s="4"/>
      <c r="G709" s="4"/>
      <c r="H709" s="4"/>
      <c r="I709" s="4"/>
      <c r="J709" s="4"/>
      <c r="K709" s="4"/>
      <c r="L709" s="4"/>
      <c r="M709" s="4"/>
      <c r="N709" s="4"/>
      <c r="O709" s="4"/>
      <c r="P709" s="4"/>
      <c r="Q709" s="4"/>
      <c r="R709" s="4"/>
      <c r="S709" s="4"/>
      <c r="T709" s="4"/>
      <c r="U709" s="4"/>
      <c r="V709" s="4"/>
      <c r="W709" s="4"/>
      <c r="X709" s="4"/>
    </row>
    <row r="710" spans="1:24" ht="15.75" thickBot="1">
      <c r="A710" s="3"/>
      <c r="B710" s="4"/>
      <c r="C710" s="4"/>
      <c r="D710" s="4"/>
      <c r="E710" s="4"/>
      <c r="F710" s="4"/>
      <c r="G710" s="4"/>
      <c r="H710" s="4"/>
      <c r="I710" s="4"/>
      <c r="J710" s="4"/>
      <c r="K710" s="4"/>
      <c r="L710" s="4"/>
      <c r="M710" s="4"/>
      <c r="N710" s="4"/>
      <c r="O710" s="4"/>
      <c r="P710" s="4"/>
      <c r="Q710" s="4"/>
      <c r="R710" s="4"/>
      <c r="S710" s="4"/>
      <c r="T710" s="4"/>
      <c r="U710" s="4"/>
      <c r="V710" s="4"/>
      <c r="W710" s="4"/>
      <c r="X710" s="4"/>
    </row>
    <row r="711" spans="1:24" ht="15.75" thickBot="1">
      <c r="A711" s="3"/>
      <c r="B711" s="4"/>
      <c r="C711" s="4"/>
      <c r="D711" s="4"/>
      <c r="E711" s="4"/>
      <c r="F711" s="4"/>
      <c r="G711" s="4"/>
      <c r="H711" s="4"/>
      <c r="I711" s="4"/>
      <c r="J711" s="4"/>
      <c r="K711" s="4"/>
      <c r="L711" s="4"/>
      <c r="M711" s="4"/>
      <c r="N711" s="4"/>
      <c r="O711" s="4"/>
      <c r="P711" s="4"/>
      <c r="Q711" s="4"/>
      <c r="R711" s="4"/>
      <c r="S711" s="4"/>
      <c r="T711" s="4"/>
      <c r="U711" s="4"/>
      <c r="V711" s="4"/>
      <c r="W711" s="4"/>
      <c r="X711" s="4"/>
    </row>
    <row r="712" spans="1:24" ht="15.75" thickBot="1">
      <c r="A712" s="3"/>
      <c r="B712" s="4"/>
      <c r="C712" s="4"/>
      <c r="D712" s="4"/>
      <c r="E712" s="4"/>
      <c r="F712" s="4"/>
      <c r="G712" s="4"/>
      <c r="H712" s="4"/>
      <c r="I712" s="4"/>
      <c r="J712" s="4"/>
      <c r="K712" s="4"/>
      <c r="L712" s="4"/>
      <c r="M712" s="4"/>
      <c r="N712" s="4"/>
      <c r="O712" s="4"/>
      <c r="P712" s="4"/>
      <c r="Q712" s="4"/>
      <c r="R712" s="4"/>
      <c r="S712" s="4"/>
      <c r="T712" s="4"/>
      <c r="U712" s="4"/>
      <c r="V712" s="4"/>
      <c r="W712" s="4"/>
      <c r="X712" s="4"/>
    </row>
    <row r="713" spans="1:24" ht="15.75" thickBot="1">
      <c r="A713" s="3"/>
      <c r="B713" s="4"/>
      <c r="C713" s="4"/>
      <c r="D713" s="4"/>
      <c r="E713" s="4"/>
      <c r="F713" s="4"/>
      <c r="G713" s="4"/>
      <c r="H713" s="4"/>
      <c r="I713" s="4"/>
      <c r="J713" s="4"/>
      <c r="K713" s="4"/>
      <c r="L713" s="4"/>
      <c r="M713" s="4"/>
      <c r="N713" s="4"/>
      <c r="O713" s="4"/>
      <c r="P713" s="4"/>
      <c r="Q713" s="4"/>
      <c r="R713" s="4"/>
      <c r="S713" s="4"/>
      <c r="T713" s="4"/>
      <c r="U713" s="4"/>
      <c r="V713" s="4"/>
      <c r="W713" s="4"/>
      <c r="X713" s="4"/>
    </row>
    <row r="714" spans="1:24" ht="15.75" thickBot="1">
      <c r="A714" s="3"/>
      <c r="B714" s="4"/>
      <c r="C714" s="4"/>
      <c r="D714" s="4"/>
      <c r="E714" s="4"/>
      <c r="F714" s="4"/>
      <c r="G714" s="4"/>
      <c r="H714" s="4"/>
      <c r="I714" s="4"/>
      <c r="J714" s="4"/>
      <c r="K714" s="4"/>
      <c r="L714" s="4"/>
      <c r="M714" s="4"/>
      <c r="N714" s="4"/>
      <c r="O714" s="4"/>
      <c r="P714" s="4"/>
      <c r="Q714" s="4"/>
      <c r="R714" s="4"/>
      <c r="S714" s="4"/>
      <c r="T714" s="4"/>
      <c r="U714" s="4"/>
      <c r="V714" s="4"/>
      <c r="W714" s="4"/>
      <c r="X714" s="4"/>
    </row>
    <row r="715" spans="1:24" ht="15.75" thickBot="1">
      <c r="A715" s="3"/>
      <c r="B715" s="4"/>
      <c r="C715" s="4"/>
      <c r="D715" s="4"/>
      <c r="E715" s="4"/>
      <c r="F715" s="4"/>
      <c r="G715" s="4"/>
      <c r="H715" s="4"/>
      <c r="I715" s="4"/>
      <c r="J715" s="4"/>
      <c r="K715" s="4"/>
      <c r="L715" s="4"/>
      <c r="M715" s="4"/>
      <c r="N715" s="4"/>
      <c r="O715" s="4"/>
      <c r="P715" s="4"/>
      <c r="Q715" s="4"/>
      <c r="R715" s="4"/>
      <c r="S715" s="4"/>
      <c r="T715" s="4"/>
      <c r="U715" s="4"/>
      <c r="V715" s="4"/>
      <c r="W715" s="4"/>
      <c r="X715" s="4"/>
    </row>
    <row r="716" spans="1:24" ht="15.75" thickBot="1">
      <c r="A716" s="3"/>
      <c r="B716" s="4"/>
      <c r="C716" s="4"/>
      <c r="D716" s="4"/>
      <c r="E716" s="4"/>
      <c r="F716" s="4"/>
      <c r="G716" s="4"/>
      <c r="H716" s="4"/>
      <c r="I716" s="4"/>
      <c r="J716" s="4"/>
      <c r="K716" s="4"/>
      <c r="L716" s="4"/>
      <c r="M716" s="4"/>
      <c r="N716" s="4"/>
      <c r="O716" s="4"/>
      <c r="P716" s="4"/>
      <c r="Q716" s="4"/>
      <c r="R716" s="4"/>
      <c r="S716" s="4"/>
      <c r="T716" s="4"/>
      <c r="U716" s="4"/>
      <c r="V716" s="4"/>
      <c r="W716" s="4"/>
      <c r="X716" s="4"/>
    </row>
    <row r="717" spans="1:24" ht="15.75" thickBot="1">
      <c r="A717" s="3"/>
      <c r="B717" s="4"/>
      <c r="C717" s="4"/>
      <c r="D717" s="4"/>
      <c r="E717" s="4"/>
      <c r="F717" s="4"/>
      <c r="G717" s="4"/>
      <c r="H717" s="4"/>
      <c r="I717" s="4"/>
      <c r="J717" s="4"/>
      <c r="K717" s="4"/>
      <c r="L717" s="4"/>
      <c r="M717" s="4"/>
      <c r="N717" s="4"/>
      <c r="O717" s="4"/>
      <c r="P717" s="4"/>
      <c r="Q717" s="4"/>
      <c r="R717" s="4"/>
      <c r="S717" s="4"/>
      <c r="T717" s="4"/>
      <c r="U717" s="4"/>
      <c r="V717" s="4"/>
      <c r="W717" s="4"/>
      <c r="X717" s="4"/>
    </row>
    <row r="718" spans="1:24" ht="15.75" thickBot="1">
      <c r="A718" s="3"/>
      <c r="B718" s="4"/>
      <c r="C718" s="4"/>
      <c r="D718" s="4"/>
      <c r="E718" s="4"/>
      <c r="F718" s="4"/>
      <c r="G718" s="4"/>
      <c r="H718" s="4"/>
      <c r="I718" s="4"/>
      <c r="J718" s="4"/>
      <c r="K718" s="4"/>
      <c r="L718" s="4"/>
      <c r="M718" s="4"/>
      <c r="N718" s="4"/>
      <c r="O718" s="4"/>
      <c r="P718" s="4"/>
      <c r="Q718" s="4"/>
      <c r="R718" s="4"/>
      <c r="S718" s="4"/>
      <c r="T718" s="4"/>
      <c r="U718" s="4"/>
      <c r="V718" s="4"/>
      <c r="W718" s="4"/>
      <c r="X718" s="4"/>
    </row>
    <row r="719" spans="1:24" ht="15.75" thickBot="1">
      <c r="A719" s="3"/>
      <c r="B719" s="4"/>
      <c r="C719" s="4"/>
      <c r="D719" s="4"/>
      <c r="E719" s="4"/>
      <c r="F719" s="4"/>
      <c r="G719" s="4"/>
      <c r="H719" s="4"/>
      <c r="I719" s="4"/>
      <c r="J719" s="4"/>
      <c r="K719" s="4"/>
      <c r="L719" s="4"/>
      <c r="M719" s="4"/>
      <c r="N719" s="4"/>
      <c r="O719" s="4"/>
      <c r="P719" s="4"/>
      <c r="Q719" s="4"/>
      <c r="R719" s="4"/>
      <c r="S719" s="4"/>
      <c r="T719" s="4"/>
      <c r="U719" s="4"/>
      <c r="V719" s="4"/>
      <c r="W719" s="4"/>
      <c r="X719" s="4"/>
    </row>
    <row r="720" spans="1:24" ht="15.75" thickBot="1">
      <c r="A720" s="3"/>
      <c r="B720" s="4"/>
      <c r="C720" s="4"/>
      <c r="D720" s="4"/>
      <c r="E720" s="4"/>
      <c r="F720" s="4"/>
      <c r="G720" s="4"/>
      <c r="H720" s="4"/>
      <c r="I720" s="4"/>
      <c r="J720" s="4"/>
      <c r="K720" s="4"/>
      <c r="L720" s="4"/>
      <c r="M720" s="4"/>
      <c r="N720" s="4"/>
      <c r="O720" s="4"/>
      <c r="P720" s="4"/>
      <c r="Q720" s="4"/>
      <c r="R720" s="4"/>
      <c r="S720" s="4"/>
      <c r="T720" s="4"/>
      <c r="U720" s="4"/>
      <c r="V720" s="4"/>
      <c r="W720" s="4"/>
      <c r="X720" s="4"/>
    </row>
    <row r="721" spans="1:24" ht="15.75" thickBot="1">
      <c r="A721" s="3"/>
      <c r="B721" s="4"/>
      <c r="C721" s="4"/>
      <c r="D721" s="4"/>
      <c r="E721" s="4"/>
      <c r="F721" s="4"/>
      <c r="G721" s="4"/>
      <c r="H721" s="4"/>
      <c r="I721" s="4"/>
      <c r="J721" s="4"/>
      <c r="K721" s="4"/>
      <c r="L721" s="4"/>
      <c r="M721" s="4"/>
      <c r="N721" s="4"/>
      <c r="O721" s="4"/>
      <c r="P721" s="4"/>
      <c r="Q721" s="4"/>
      <c r="R721" s="4"/>
      <c r="S721" s="4"/>
      <c r="T721" s="4"/>
      <c r="U721" s="4"/>
      <c r="V721" s="4"/>
      <c r="W721" s="4"/>
      <c r="X721" s="4"/>
    </row>
    <row r="722" spans="1:24" ht="15.75" thickBot="1">
      <c r="A722" s="3"/>
      <c r="B722" s="4"/>
      <c r="C722" s="4"/>
      <c r="D722" s="4"/>
      <c r="E722" s="4"/>
      <c r="F722" s="4"/>
      <c r="G722" s="4"/>
      <c r="H722" s="4"/>
      <c r="I722" s="4"/>
      <c r="J722" s="4"/>
      <c r="K722" s="4"/>
      <c r="L722" s="4"/>
      <c r="M722" s="4"/>
      <c r="N722" s="4"/>
      <c r="O722" s="4"/>
      <c r="P722" s="4"/>
      <c r="Q722" s="4"/>
      <c r="R722" s="4"/>
      <c r="S722" s="4"/>
      <c r="T722" s="4"/>
      <c r="U722" s="4"/>
      <c r="V722" s="4"/>
      <c r="W722" s="4"/>
      <c r="X722" s="4"/>
    </row>
    <row r="723" spans="1:24" ht="15.75" thickBot="1">
      <c r="A723" s="3"/>
      <c r="B723" s="4"/>
      <c r="C723" s="4"/>
      <c r="D723" s="4"/>
      <c r="E723" s="4"/>
      <c r="F723" s="4"/>
      <c r="G723" s="4"/>
      <c r="H723" s="4"/>
      <c r="I723" s="4"/>
      <c r="J723" s="4"/>
      <c r="K723" s="4"/>
      <c r="L723" s="4"/>
      <c r="M723" s="4"/>
      <c r="N723" s="4"/>
      <c r="O723" s="4"/>
      <c r="P723" s="4"/>
      <c r="Q723" s="4"/>
      <c r="R723" s="4"/>
      <c r="S723" s="4"/>
      <c r="T723" s="4"/>
      <c r="U723" s="4"/>
      <c r="V723" s="4"/>
      <c r="W723" s="4"/>
      <c r="X723" s="4"/>
    </row>
    <row r="724" spans="1:24" ht="15.75" thickBot="1">
      <c r="A724" s="3"/>
      <c r="B724" s="4"/>
      <c r="C724" s="4"/>
      <c r="D724" s="4"/>
      <c r="E724" s="4"/>
      <c r="F724" s="4"/>
      <c r="G724" s="4"/>
      <c r="H724" s="4"/>
      <c r="I724" s="4"/>
      <c r="J724" s="4"/>
      <c r="K724" s="4"/>
      <c r="L724" s="4"/>
      <c r="M724" s="4"/>
      <c r="N724" s="4"/>
      <c r="O724" s="4"/>
      <c r="P724" s="4"/>
      <c r="Q724" s="4"/>
      <c r="R724" s="4"/>
      <c r="S724" s="4"/>
      <c r="T724" s="4"/>
      <c r="U724" s="4"/>
      <c r="V724" s="4"/>
      <c r="W724" s="4"/>
      <c r="X724" s="4"/>
    </row>
    <row r="725" spans="1:24" ht="15.75" thickBot="1">
      <c r="A725" s="3"/>
      <c r="B725" s="4"/>
      <c r="C725" s="4"/>
      <c r="D725" s="4"/>
      <c r="E725" s="4"/>
      <c r="F725" s="4"/>
      <c r="G725" s="4"/>
      <c r="H725" s="4"/>
      <c r="I725" s="4"/>
      <c r="J725" s="4"/>
      <c r="K725" s="4"/>
      <c r="L725" s="4"/>
      <c r="M725" s="4"/>
      <c r="N725" s="4"/>
      <c r="O725" s="4"/>
      <c r="P725" s="4"/>
      <c r="Q725" s="4"/>
      <c r="R725" s="4"/>
      <c r="S725" s="4"/>
      <c r="T725" s="4"/>
      <c r="U725" s="4"/>
      <c r="V725" s="4"/>
      <c r="W725" s="4"/>
      <c r="X725" s="4"/>
    </row>
    <row r="726" spans="1:24" ht="15.75" thickBot="1">
      <c r="A726" s="3"/>
      <c r="B726" s="4"/>
      <c r="C726" s="4"/>
      <c r="D726" s="4"/>
      <c r="E726" s="4"/>
      <c r="F726" s="4"/>
      <c r="G726" s="4"/>
      <c r="H726" s="4"/>
      <c r="I726" s="4"/>
      <c r="J726" s="4"/>
      <c r="K726" s="4"/>
      <c r="L726" s="4"/>
      <c r="M726" s="4"/>
      <c r="N726" s="4"/>
      <c r="O726" s="4"/>
      <c r="P726" s="4"/>
      <c r="Q726" s="4"/>
      <c r="R726" s="4"/>
      <c r="S726" s="4"/>
      <c r="T726" s="4"/>
      <c r="U726" s="4"/>
      <c r="V726" s="4"/>
      <c r="W726" s="4"/>
      <c r="X726" s="4"/>
    </row>
    <row r="727" spans="1:24" ht="15.75" thickBot="1">
      <c r="A727" s="3"/>
      <c r="B727" s="4"/>
      <c r="C727" s="4"/>
      <c r="D727" s="4"/>
      <c r="E727" s="4"/>
      <c r="F727" s="4"/>
      <c r="G727" s="4"/>
      <c r="H727" s="4"/>
      <c r="I727" s="4"/>
      <c r="J727" s="4"/>
      <c r="K727" s="4"/>
      <c r="L727" s="4"/>
      <c r="M727" s="4"/>
      <c r="N727" s="4"/>
      <c r="O727" s="4"/>
      <c r="P727" s="4"/>
      <c r="Q727" s="4"/>
      <c r="R727" s="4"/>
      <c r="S727" s="4"/>
      <c r="T727" s="4"/>
      <c r="U727" s="4"/>
      <c r="V727" s="4"/>
      <c r="W727" s="4"/>
      <c r="X727" s="4"/>
    </row>
    <row r="728" spans="1:24" ht="15.75" thickBot="1">
      <c r="A728" s="3"/>
      <c r="B728" s="4"/>
      <c r="C728" s="4"/>
      <c r="D728" s="4"/>
      <c r="E728" s="4"/>
      <c r="F728" s="4"/>
      <c r="G728" s="4"/>
      <c r="H728" s="4"/>
      <c r="I728" s="4"/>
      <c r="J728" s="4"/>
      <c r="K728" s="4"/>
      <c r="L728" s="4"/>
      <c r="M728" s="4"/>
      <c r="N728" s="4"/>
      <c r="O728" s="4"/>
      <c r="P728" s="4"/>
      <c r="Q728" s="4"/>
      <c r="R728" s="4"/>
      <c r="S728" s="4"/>
      <c r="T728" s="4"/>
      <c r="U728" s="4"/>
      <c r="V728" s="4"/>
      <c r="W728" s="4"/>
      <c r="X728" s="4"/>
    </row>
    <row r="729" spans="1:24" ht="15.75" thickBot="1">
      <c r="A729" s="3"/>
      <c r="B729" s="4"/>
      <c r="C729" s="4"/>
      <c r="D729" s="4"/>
      <c r="E729" s="4"/>
      <c r="F729" s="4"/>
      <c r="G729" s="4"/>
      <c r="H729" s="4"/>
      <c r="I729" s="4"/>
      <c r="J729" s="4"/>
      <c r="K729" s="4"/>
      <c r="L729" s="4"/>
      <c r="M729" s="4"/>
      <c r="N729" s="4"/>
      <c r="O729" s="4"/>
      <c r="P729" s="4"/>
      <c r="Q729" s="4"/>
      <c r="R729" s="4"/>
      <c r="S729" s="4"/>
      <c r="T729" s="4"/>
      <c r="U729" s="4"/>
      <c r="V729" s="4"/>
      <c r="W729" s="4"/>
      <c r="X729" s="4"/>
    </row>
    <row r="730" spans="1:24" ht="15.75" thickBot="1">
      <c r="A730" s="3"/>
      <c r="B730" s="4"/>
      <c r="C730" s="4"/>
      <c r="D730" s="4"/>
      <c r="E730" s="4"/>
      <c r="F730" s="4"/>
      <c r="G730" s="4"/>
      <c r="H730" s="4"/>
      <c r="I730" s="4"/>
      <c r="J730" s="4"/>
      <c r="K730" s="4"/>
      <c r="L730" s="4"/>
      <c r="M730" s="4"/>
      <c r="N730" s="4"/>
      <c r="O730" s="4"/>
      <c r="P730" s="4"/>
      <c r="Q730" s="4"/>
      <c r="R730" s="4"/>
      <c r="S730" s="4"/>
      <c r="T730" s="4"/>
      <c r="U730" s="4"/>
      <c r="V730" s="4"/>
      <c r="W730" s="4"/>
      <c r="X730" s="4"/>
    </row>
    <row r="731" spans="1:24" ht="15.75" thickBot="1">
      <c r="A731" s="3"/>
      <c r="B731" s="4"/>
      <c r="C731" s="4"/>
      <c r="D731" s="4"/>
      <c r="E731" s="4"/>
      <c r="F731" s="4"/>
      <c r="G731" s="4"/>
      <c r="H731" s="4"/>
      <c r="I731" s="4"/>
      <c r="J731" s="4"/>
      <c r="K731" s="4"/>
      <c r="L731" s="4"/>
      <c r="M731" s="4"/>
      <c r="N731" s="4"/>
      <c r="O731" s="4"/>
      <c r="P731" s="4"/>
      <c r="Q731" s="4"/>
      <c r="R731" s="4"/>
      <c r="S731" s="4"/>
      <c r="T731" s="4"/>
      <c r="U731" s="4"/>
      <c r="V731" s="4"/>
      <c r="W731" s="4"/>
      <c r="X731" s="4"/>
    </row>
    <row r="732" spans="1:24" ht="15.75" thickBot="1">
      <c r="A732" s="3"/>
      <c r="B732" s="4"/>
      <c r="C732" s="4"/>
      <c r="D732" s="4"/>
      <c r="E732" s="4"/>
      <c r="F732" s="4"/>
      <c r="G732" s="4"/>
      <c r="H732" s="4"/>
      <c r="I732" s="4"/>
      <c r="J732" s="4"/>
      <c r="K732" s="4"/>
      <c r="L732" s="4"/>
      <c r="M732" s="4"/>
      <c r="N732" s="4"/>
      <c r="O732" s="4"/>
      <c r="P732" s="4"/>
      <c r="Q732" s="4"/>
      <c r="R732" s="4"/>
      <c r="S732" s="4"/>
      <c r="T732" s="4"/>
      <c r="U732" s="4"/>
      <c r="V732" s="4"/>
      <c r="W732" s="4"/>
      <c r="X732" s="4"/>
    </row>
    <row r="733" spans="1:24" ht="15.75" thickBot="1">
      <c r="A733" s="3"/>
      <c r="B733" s="4"/>
      <c r="C733" s="4"/>
      <c r="D733" s="4"/>
      <c r="E733" s="4"/>
      <c r="F733" s="4"/>
      <c r="G733" s="4"/>
      <c r="H733" s="4"/>
      <c r="I733" s="4"/>
      <c r="J733" s="4"/>
      <c r="K733" s="4"/>
      <c r="L733" s="4"/>
      <c r="M733" s="4"/>
      <c r="N733" s="4"/>
      <c r="O733" s="4"/>
      <c r="P733" s="4"/>
      <c r="Q733" s="4"/>
      <c r="R733" s="4"/>
      <c r="S733" s="4"/>
      <c r="T733" s="4"/>
      <c r="U733" s="4"/>
      <c r="V733" s="4"/>
      <c r="W733" s="4"/>
      <c r="X733" s="4"/>
    </row>
    <row r="734" spans="1:24" ht="15.75" thickBot="1">
      <c r="A734" s="3"/>
      <c r="B734" s="4"/>
      <c r="C734" s="4"/>
      <c r="D734" s="4"/>
      <c r="E734" s="4"/>
      <c r="F734" s="4"/>
      <c r="G734" s="4"/>
      <c r="H734" s="4"/>
      <c r="I734" s="4"/>
      <c r="J734" s="4"/>
      <c r="K734" s="4"/>
      <c r="L734" s="4"/>
      <c r="M734" s="4"/>
      <c r="N734" s="4"/>
      <c r="O734" s="4"/>
      <c r="P734" s="4"/>
      <c r="Q734" s="4"/>
      <c r="R734" s="4"/>
      <c r="S734" s="4"/>
      <c r="T734" s="4"/>
      <c r="U734" s="4"/>
      <c r="V734" s="4"/>
      <c r="W734" s="4"/>
      <c r="X734" s="4"/>
    </row>
    <row r="735" spans="1:24" ht="15.75" thickBot="1">
      <c r="A735" s="3"/>
      <c r="B735" s="4"/>
      <c r="C735" s="4"/>
      <c r="D735" s="4"/>
      <c r="E735" s="4"/>
      <c r="F735" s="4"/>
      <c r="G735" s="4"/>
      <c r="H735" s="4"/>
      <c r="I735" s="4"/>
      <c r="J735" s="4"/>
      <c r="K735" s="4"/>
      <c r="L735" s="4"/>
      <c r="M735" s="4"/>
      <c r="N735" s="4"/>
      <c r="O735" s="4"/>
      <c r="P735" s="4"/>
      <c r="Q735" s="4"/>
      <c r="R735" s="4"/>
      <c r="S735" s="4"/>
      <c r="T735" s="4"/>
      <c r="U735" s="4"/>
      <c r="V735" s="4"/>
      <c r="W735" s="4"/>
      <c r="X735" s="4"/>
    </row>
    <row r="736" spans="1:24" ht="15.75" thickBot="1">
      <c r="A736" s="3"/>
      <c r="B736" s="4"/>
      <c r="C736" s="4"/>
      <c r="D736" s="4"/>
      <c r="E736" s="4"/>
      <c r="F736" s="4"/>
      <c r="G736" s="4"/>
      <c r="H736" s="4"/>
      <c r="I736" s="4"/>
      <c r="J736" s="4"/>
      <c r="K736" s="4"/>
      <c r="L736" s="4"/>
      <c r="M736" s="4"/>
      <c r="N736" s="4"/>
      <c r="O736" s="4"/>
      <c r="P736" s="4"/>
      <c r="Q736" s="4"/>
      <c r="R736" s="4"/>
      <c r="S736" s="4"/>
      <c r="T736" s="4"/>
      <c r="U736" s="4"/>
      <c r="V736" s="4"/>
      <c r="W736" s="4"/>
      <c r="X736" s="4"/>
    </row>
    <row r="737" spans="1:24" ht="15.75" thickBot="1">
      <c r="A737" s="3"/>
      <c r="B737" s="4"/>
      <c r="C737" s="4"/>
      <c r="D737" s="4"/>
      <c r="E737" s="4"/>
      <c r="F737" s="4"/>
      <c r="G737" s="4"/>
      <c r="H737" s="4"/>
      <c r="I737" s="4"/>
      <c r="J737" s="4"/>
      <c r="K737" s="4"/>
      <c r="L737" s="4"/>
      <c r="M737" s="4"/>
      <c r="N737" s="4"/>
      <c r="O737" s="4"/>
      <c r="P737" s="4"/>
      <c r="Q737" s="4"/>
      <c r="R737" s="4"/>
      <c r="S737" s="4"/>
      <c r="T737" s="4"/>
      <c r="U737" s="4"/>
      <c r="V737" s="4"/>
      <c r="W737" s="4"/>
      <c r="X737" s="4"/>
    </row>
    <row r="738" spans="1:24" ht="15.75" thickBot="1">
      <c r="A738" s="3"/>
      <c r="B738" s="4"/>
      <c r="C738" s="4"/>
      <c r="D738" s="4"/>
      <c r="E738" s="4"/>
      <c r="F738" s="4"/>
      <c r="G738" s="4"/>
      <c r="H738" s="4"/>
      <c r="I738" s="4"/>
      <c r="J738" s="4"/>
      <c r="K738" s="4"/>
      <c r="L738" s="4"/>
      <c r="M738" s="4"/>
      <c r="N738" s="4"/>
      <c r="O738" s="4"/>
      <c r="P738" s="4"/>
      <c r="Q738" s="4"/>
      <c r="R738" s="4"/>
      <c r="S738" s="4"/>
      <c r="T738" s="4"/>
      <c r="U738" s="4"/>
      <c r="V738" s="4"/>
      <c r="W738" s="4"/>
      <c r="X738" s="4"/>
    </row>
    <row r="739" spans="1:24" ht="15.75" thickBot="1">
      <c r="A739" s="3"/>
      <c r="B739" s="4"/>
      <c r="C739" s="4"/>
      <c r="D739" s="4"/>
      <c r="E739" s="4"/>
      <c r="F739" s="4"/>
      <c r="G739" s="4"/>
      <c r="H739" s="4"/>
      <c r="I739" s="4"/>
      <c r="J739" s="4"/>
      <c r="K739" s="4"/>
      <c r="L739" s="4"/>
      <c r="M739" s="4"/>
      <c r="N739" s="4"/>
      <c r="O739" s="4"/>
      <c r="P739" s="4"/>
      <c r="Q739" s="4"/>
      <c r="R739" s="4"/>
      <c r="S739" s="4"/>
      <c r="T739" s="4"/>
      <c r="U739" s="4"/>
      <c r="V739" s="4"/>
      <c r="W739" s="4"/>
      <c r="X739" s="4"/>
    </row>
    <row r="740" spans="1:24" ht="15.75" thickBot="1">
      <c r="A740" s="3"/>
      <c r="B740" s="4"/>
      <c r="C740" s="4"/>
      <c r="D740" s="4"/>
      <c r="E740" s="4"/>
      <c r="F740" s="4"/>
      <c r="G740" s="4"/>
      <c r="H740" s="4"/>
      <c r="I740" s="4"/>
      <c r="J740" s="4"/>
      <c r="K740" s="4"/>
      <c r="L740" s="4"/>
      <c r="M740" s="4"/>
      <c r="N740" s="4"/>
      <c r="O740" s="4"/>
      <c r="P740" s="4"/>
      <c r="Q740" s="4"/>
      <c r="R740" s="4"/>
      <c r="S740" s="4"/>
      <c r="T740" s="4"/>
      <c r="U740" s="4"/>
      <c r="V740" s="4"/>
      <c r="W740" s="4"/>
      <c r="X740" s="4"/>
    </row>
    <row r="741" spans="1:24" ht="15.75" thickBot="1">
      <c r="A741" s="3"/>
      <c r="B741" s="4"/>
      <c r="C741" s="4"/>
      <c r="D741" s="4"/>
      <c r="E741" s="4"/>
      <c r="F741" s="4"/>
      <c r="G741" s="4"/>
      <c r="H741" s="4"/>
      <c r="I741" s="4"/>
      <c r="J741" s="4"/>
      <c r="K741" s="4"/>
      <c r="L741" s="4"/>
      <c r="M741" s="4"/>
      <c r="N741" s="4"/>
      <c r="O741" s="4"/>
      <c r="P741" s="4"/>
      <c r="Q741" s="4"/>
      <c r="R741" s="4"/>
      <c r="S741" s="4"/>
      <c r="T741" s="4"/>
      <c r="U741" s="4"/>
      <c r="V741" s="4"/>
      <c r="W741" s="4"/>
      <c r="X741" s="4"/>
    </row>
    <row r="742" spans="1:24" ht="15.75" thickBot="1">
      <c r="A742" s="3"/>
      <c r="B742" s="4"/>
      <c r="C742" s="4"/>
      <c r="D742" s="4"/>
      <c r="E742" s="4"/>
      <c r="F742" s="4"/>
      <c r="G742" s="4"/>
      <c r="H742" s="4"/>
      <c r="I742" s="4"/>
      <c r="J742" s="4"/>
      <c r="K742" s="4"/>
      <c r="L742" s="4"/>
      <c r="M742" s="4"/>
      <c r="N742" s="4"/>
      <c r="O742" s="4"/>
      <c r="P742" s="4"/>
      <c r="Q742" s="4"/>
      <c r="R742" s="4"/>
      <c r="S742" s="4"/>
      <c r="T742" s="4"/>
      <c r="U742" s="4"/>
      <c r="V742" s="4"/>
      <c r="W742" s="4"/>
      <c r="X742" s="4"/>
    </row>
    <row r="743" spans="1:24" ht="15.75" thickBot="1">
      <c r="A743" s="3"/>
      <c r="B743" s="4"/>
      <c r="C743" s="4"/>
      <c r="D743" s="4"/>
      <c r="E743" s="4"/>
      <c r="F743" s="4"/>
      <c r="G743" s="4"/>
      <c r="H743" s="4"/>
      <c r="I743" s="4"/>
      <c r="J743" s="4"/>
      <c r="K743" s="4"/>
      <c r="L743" s="4"/>
      <c r="M743" s="4"/>
      <c r="N743" s="4"/>
      <c r="O743" s="4"/>
      <c r="P743" s="4"/>
      <c r="Q743" s="4"/>
      <c r="R743" s="4"/>
      <c r="S743" s="4"/>
      <c r="T743" s="4"/>
      <c r="U743" s="4"/>
      <c r="V743" s="4"/>
      <c r="W743" s="4"/>
      <c r="X743" s="4"/>
    </row>
    <row r="744" spans="1:24" ht="15.75" thickBot="1">
      <c r="A744" s="3"/>
      <c r="B744" s="4"/>
      <c r="C744" s="4"/>
      <c r="D744" s="4"/>
      <c r="E744" s="4"/>
      <c r="F744" s="4"/>
      <c r="G744" s="4"/>
      <c r="H744" s="4"/>
      <c r="I744" s="4"/>
      <c r="J744" s="4"/>
      <c r="K744" s="4"/>
      <c r="L744" s="4"/>
      <c r="M744" s="4"/>
      <c r="N744" s="4"/>
      <c r="O744" s="4"/>
      <c r="P744" s="4"/>
      <c r="Q744" s="4"/>
      <c r="R744" s="4"/>
      <c r="S744" s="4"/>
      <c r="T744" s="4"/>
      <c r="U744" s="4"/>
      <c r="V744" s="4"/>
      <c r="W744" s="4"/>
      <c r="X744" s="4"/>
    </row>
    <row r="745" spans="1:24" ht="15.75" thickBot="1">
      <c r="A745" s="3"/>
      <c r="B745" s="4"/>
      <c r="C745" s="4"/>
      <c r="D745" s="4"/>
      <c r="E745" s="4"/>
      <c r="F745" s="4"/>
      <c r="G745" s="4"/>
      <c r="H745" s="4"/>
      <c r="I745" s="4"/>
      <c r="J745" s="4"/>
      <c r="K745" s="4"/>
      <c r="L745" s="4"/>
      <c r="M745" s="4"/>
      <c r="N745" s="4"/>
      <c r="O745" s="4"/>
      <c r="P745" s="4"/>
      <c r="Q745" s="4"/>
      <c r="R745" s="4"/>
      <c r="S745" s="4"/>
      <c r="T745" s="4"/>
      <c r="U745" s="4"/>
      <c r="V745" s="4"/>
      <c r="W745" s="4"/>
      <c r="X745" s="4"/>
    </row>
    <row r="746" spans="1:24" ht="15.75" thickBot="1">
      <c r="A746" s="3"/>
      <c r="B746" s="4"/>
      <c r="C746" s="4"/>
      <c r="D746" s="4"/>
      <c r="E746" s="4"/>
      <c r="F746" s="4"/>
      <c r="G746" s="4"/>
      <c r="H746" s="4"/>
      <c r="I746" s="4"/>
      <c r="J746" s="4"/>
      <c r="K746" s="4"/>
      <c r="L746" s="4"/>
      <c r="M746" s="4"/>
      <c r="N746" s="4"/>
      <c r="O746" s="4"/>
      <c r="P746" s="4"/>
      <c r="Q746" s="4"/>
      <c r="R746" s="4"/>
      <c r="S746" s="4"/>
      <c r="T746" s="4"/>
      <c r="U746" s="4"/>
      <c r="V746" s="4"/>
      <c r="W746" s="4"/>
      <c r="X746" s="4"/>
    </row>
    <row r="747" spans="1:24" ht="15.75" thickBot="1">
      <c r="A747" s="3"/>
      <c r="B747" s="4"/>
      <c r="C747" s="4"/>
      <c r="D747" s="4"/>
      <c r="E747" s="4"/>
      <c r="F747" s="4"/>
      <c r="G747" s="4"/>
      <c r="H747" s="4"/>
      <c r="I747" s="4"/>
      <c r="J747" s="4"/>
      <c r="K747" s="4"/>
      <c r="L747" s="4"/>
      <c r="M747" s="4"/>
      <c r="N747" s="4"/>
      <c r="O747" s="4"/>
      <c r="P747" s="4"/>
      <c r="Q747" s="4"/>
      <c r="R747" s="4"/>
      <c r="S747" s="4"/>
      <c r="T747" s="4"/>
      <c r="U747" s="4"/>
      <c r="V747" s="4"/>
      <c r="W747" s="4"/>
      <c r="X747" s="4"/>
    </row>
    <row r="748" spans="1:24" ht="15.75" thickBot="1">
      <c r="A748" s="3"/>
      <c r="B748" s="4"/>
      <c r="C748" s="4"/>
      <c r="D748" s="4"/>
      <c r="E748" s="4"/>
      <c r="F748" s="4"/>
      <c r="G748" s="4"/>
      <c r="H748" s="4"/>
      <c r="I748" s="4"/>
      <c r="J748" s="4"/>
      <c r="K748" s="4"/>
      <c r="L748" s="4"/>
      <c r="M748" s="4"/>
      <c r="N748" s="4"/>
      <c r="O748" s="4"/>
      <c r="P748" s="4"/>
      <c r="Q748" s="4"/>
      <c r="R748" s="4"/>
      <c r="S748" s="4"/>
      <c r="T748" s="4"/>
      <c r="U748" s="4"/>
      <c r="V748" s="4"/>
      <c r="W748" s="4"/>
      <c r="X748" s="4"/>
    </row>
    <row r="749" spans="1:24" ht="15.75" thickBot="1">
      <c r="A749" s="3"/>
      <c r="B749" s="4"/>
      <c r="C749" s="4"/>
      <c r="D749" s="4"/>
      <c r="E749" s="4"/>
      <c r="F749" s="4"/>
      <c r="G749" s="4"/>
      <c r="H749" s="4"/>
      <c r="I749" s="4"/>
      <c r="J749" s="4"/>
      <c r="K749" s="4"/>
      <c r="L749" s="4"/>
      <c r="M749" s="4"/>
      <c r="N749" s="4"/>
      <c r="O749" s="4"/>
      <c r="P749" s="4"/>
      <c r="Q749" s="4"/>
      <c r="R749" s="4"/>
      <c r="S749" s="4"/>
      <c r="T749" s="4"/>
      <c r="U749" s="4"/>
      <c r="V749" s="4"/>
      <c r="W749" s="4"/>
      <c r="X749" s="4"/>
    </row>
    <row r="750" spans="1:24" ht="15.75" thickBot="1">
      <c r="A750" s="3"/>
      <c r="B750" s="4"/>
      <c r="C750" s="4"/>
      <c r="D750" s="4"/>
      <c r="E750" s="4"/>
      <c r="F750" s="4"/>
      <c r="G750" s="4"/>
      <c r="H750" s="4"/>
      <c r="I750" s="4"/>
      <c r="J750" s="4"/>
      <c r="K750" s="4"/>
      <c r="L750" s="4"/>
      <c r="M750" s="4"/>
      <c r="N750" s="4"/>
      <c r="O750" s="4"/>
      <c r="P750" s="4"/>
      <c r="Q750" s="4"/>
      <c r="R750" s="4"/>
      <c r="S750" s="4"/>
      <c r="T750" s="4"/>
      <c r="U750" s="4"/>
      <c r="V750" s="4"/>
      <c r="W750" s="4"/>
      <c r="X750" s="4"/>
    </row>
    <row r="751" spans="1:24" ht="15.75" thickBot="1">
      <c r="A751" s="3"/>
      <c r="B751" s="4"/>
      <c r="C751" s="4"/>
      <c r="D751" s="4"/>
      <c r="E751" s="4"/>
      <c r="F751" s="4"/>
      <c r="G751" s="4"/>
      <c r="H751" s="4"/>
      <c r="I751" s="4"/>
      <c r="J751" s="4"/>
      <c r="K751" s="4"/>
      <c r="L751" s="4"/>
      <c r="M751" s="4"/>
      <c r="N751" s="4"/>
      <c r="O751" s="4"/>
      <c r="P751" s="4"/>
      <c r="Q751" s="4"/>
      <c r="R751" s="4"/>
      <c r="S751" s="4"/>
      <c r="T751" s="4"/>
      <c r="U751" s="4"/>
      <c r="V751" s="4"/>
      <c r="W751" s="4"/>
      <c r="X751" s="4"/>
    </row>
    <row r="752" spans="1:24" ht="15.75" thickBot="1">
      <c r="A752" s="3"/>
      <c r="B752" s="4"/>
      <c r="C752" s="4"/>
      <c r="D752" s="4"/>
      <c r="E752" s="4"/>
      <c r="F752" s="4"/>
      <c r="G752" s="4"/>
      <c r="H752" s="4"/>
      <c r="I752" s="4"/>
      <c r="J752" s="4"/>
      <c r="K752" s="4"/>
      <c r="L752" s="4"/>
      <c r="M752" s="4"/>
      <c r="N752" s="4"/>
      <c r="O752" s="4"/>
      <c r="P752" s="4"/>
      <c r="Q752" s="4"/>
      <c r="R752" s="4"/>
      <c r="S752" s="4"/>
      <c r="T752" s="4"/>
      <c r="U752" s="4"/>
      <c r="V752" s="4"/>
      <c r="W752" s="4"/>
      <c r="X752" s="4"/>
    </row>
    <row r="753" spans="1:24" ht="15.75" thickBot="1">
      <c r="A753" s="3"/>
      <c r="B753" s="4"/>
      <c r="C753" s="4"/>
      <c r="D753" s="4"/>
      <c r="E753" s="4"/>
      <c r="F753" s="4"/>
      <c r="G753" s="4"/>
      <c r="H753" s="4"/>
      <c r="I753" s="4"/>
      <c r="J753" s="4"/>
      <c r="K753" s="4"/>
      <c r="L753" s="4"/>
      <c r="M753" s="4"/>
      <c r="N753" s="4"/>
      <c r="O753" s="4"/>
      <c r="P753" s="4"/>
      <c r="Q753" s="4"/>
      <c r="R753" s="4"/>
      <c r="S753" s="4"/>
      <c r="T753" s="4"/>
      <c r="U753" s="4"/>
      <c r="V753" s="4"/>
      <c r="W753" s="4"/>
      <c r="X753" s="4"/>
    </row>
    <row r="754" spans="1:24" ht="15.75" thickBot="1">
      <c r="A754" s="3"/>
      <c r="B754" s="4"/>
      <c r="C754" s="4"/>
      <c r="D754" s="4"/>
      <c r="E754" s="4"/>
      <c r="F754" s="4"/>
      <c r="G754" s="4"/>
      <c r="H754" s="4"/>
      <c r="I754" s="4"/>
      <c r="J754" s="4"/>
      <c r="K754" s="4"/>
      <c r="L754" s="4"/>
      <c r="M754" s="4"/>
      <c r="N754" s="4"/>
      <c r="O754" s="4"/>
      <c r="P754" s="4"/>
      <c r="Q754" s="4"/>
      <c r="R754" s="4"/>
      <c r="S754" s="4"/>
      <c r="T754" s="4"/>
      <c r="U754" s="4"/>
      <c r="V754" s="4"/>
      <c r="W754" s="4"/>
      <c r="X754" s="4"/>
    </row>
    <row r="755" spans="1:24" ht="15.75" thickBot="1">
      <c r="A755" s="3"/>
      <c r="B755" s="4"/>
      <c r="C755" s="4"/>
      <c r="D755" s="4"/>
      <c r="E755" s="4"/>
      <c r="F755" s="4"/>
      <c r="G755" s="4"/>
      <c r="H755" s="4"/>
      <c r="I755" s="4"/>
      <c r="J755" s="4"/>
      <c r="K755" s="4"/>
      <c r="L755" s="4"/>
      <c r="M755" s="4"/>
      <c r="N755" s="4"/>
      <c r="O755" s="4"/>
      <c r="P755" s="4"/>
      <c r="Q755" s="4"/>
      <c r="R755" s="4"/>
      <c r="S755" s="4"/>
      <c r="T755" s="4"/>
      <c r="U755" s="4"/>
      <c r="V755" s="4"/>
      <c r="W755" s="4"/>
      <c r="X755" s="4"/>
    </row>
    <row r="756" spans="1:24" ht="15.75" thickBot="1">
      <c r="A756" s="3"/>
      <c r="B756" s="4"/>
      <c r="C756" s="4"/>
      <c r="D756" s="4"/>
      <c r="E756" s="4"/>
      <c r="F756" s="4"/>
      <c r="G756" s="4"/>
      <c r="H756" s="4"/>
      <c r="I756" s="4"/>
      <c r="J756" s="4"/>
      <c r="K756" s="4"/>
      <c r="L756" s="4"/>
      <c r="M756" s="4"/>
      <c r="N756" s="4"/>
      <c r="O756" s="4"/>
      <c r="P756" s="4"/>
      <c r="Q756" s="4"/>
      <c r="R756" s="4"/>
      <c r="S756" s="4"/>
      <c r="T756" s="4"/>
      <c r="U756" s="4"/>
      <c r="V756" s="4"/>
      <c r="W756" s="4"/>
      <c r="X756" s="4"/>
    </row>
    <row r="757" spans="1:24" ht="15.75" thickBot="1">
      <c r="A757" s="3"/>
      <c r="B757" s="4"/>
      <c r="C757" s="4"/>
      <c r="D757" s="4"/>
      <c r="E757" s="4"/>
      <c r="F757" s="4"/>
      <c r="G757" s="4"/>
      <c r="H757" s="4"/>
      <c r="I757" s="4"/>
      <c r="J757" s="4"/>
      <c r="K757" s="4"/>
      <c r="L757" s="4"/>
      <c r="M757" s="4"/>
      <c r="N757" s="4"/>
      <c r="O757" s="4"/>
      <c r="P757" s="4"/>
      <c r="Q757" s="4"/>
      <c r="R757" s="4"/>
      <c r="S757" s="4"/>
      <c r="T757" s="4"/>
      <c r="U757" s="4"/>
      <c r="V757" s="4"/>
      <c r="W757" s="4"/>
      <c r="X757" s="4"/>
    </row>
    <row r="758" spans="1:24" ht="15.75" thickBot="1">
      <c r="A758" s="3"/>
      <c r="B758" s="4"/>
      <c r="C758" s="4"/>
      <c r="D758" s="4"/>
      <c r="E758" s="4"/>
      <c r="F758" s="4"/>
      <c r="G758" s="4"/>
      <c r="H758" s="4"/>
      <c r="I758" s="4"/>
      <c r="J758" s="4"/>
      <c r="K758" s="4"/>
      <c r="L758" s="4"/>
      <c r="M758" s="4"/>
      <c r="N758" s="4"/>
      <c r="O758" s="4"/>
      <c r="P758" s="4"/>
      <c r="Q758" s="4"/>
      <c r="R758" s="4"/>
      <c r="S758" s="4"/>
      <c r="T758" s="4"/>
      <c r="U758" s="4"/>
      <c r="V758" s="4"/>
      <c r="W758" s="4"/>
      <c r="X758" s="4"/>
    </row>
    <row r="759" spans="1:24" ht="15.75" thickBot="1">
      <c r="A759" s="3"/>
      <c r="B759" s="4"/>
      <c r="C759" s="4"/>
      <c r="D759" s="4"/>
      <c r="E759" s="4"/>
      <c r="F759" s="4"/>
      <c r="G759" s="4"/>
      <c r="H759" s="4"/>
      <c r="I759" s="4"/>
      <c r="J759" s="4"/>
      <c r="K759" s="4"/>
      <c r="L759" s="4"/>
      <c r="M759" s="4"/>
      <c r="N759" s="4"/>
      <c r="O759" s="4"/>
      <c r="P759" s="4"/>
      <c r="Q759" s="4"/>
      <c r="R759" s="4"/>
      <c r="S759" s="4"/>
      <c r="T759" s="4"/>
      <c r="U759" s="4"/>
      <c r="V759" s="4"/>
      <c r="W759" s="4"/>
      <c r="X759" s="4"/>
    </row>
    <row r="760" spans="1:24" ht="15.75" thickBot="1">
      <c r="A760" s="3"/>
      <c r="B760" s="4"/>
      <c r="C760" s="4"/>
      <c r="D760" s="4"/>
      <c r="E760" s="4"/>
      <c r="F760" s="4"/>
      <c r="G760" s="4"/>
      <c r="H760" s="4"/>
      <c r="I760" s="4"/>
      <c r="J760" s="4"/>
      <c r="K760" s="4"/>
      <c r="L760" s="4"/>
      <c r="M760" s="4"/>
      <c r="N760" s="4"/>
      <c r="O760" s="4"/>
      <c r="P760" s="4"/>
      <c r="Q760" s="4"/>
      <c r="R760" s="4"/>
      <c r="S760" s="4"/>
      <c r="T760" s="4"/>
      <c r="U760" s="4"/>
      <c r="V760" s="4"/>
      <c r="W760" s="4"/>
      <c r="X760" s="4"/>
    </row>
    <row r="761" spans="1:24" ht="15.75" thickBot="1">
      <c r="A761" s="3"/>
      <c r="B761" s="4"/>
      <c r="C761" s="4"/>
      <c r="D761" s="4"/>
      <c r="E761" s="4"/>
      <c r="F761" s="4"/>
      <c r="G761" s="4"/>
      <c r="H761" s="4"/>
      <c r="I761" s="4"/>
      <c r="J761" s="4"/>
      <c r="K761" s="4"/>
      <c r="L761" s="4"/>
      <c r="M761" s="4"/>
      <c r="N761" s="4"/>
      <c r="O761" s="4"/>
      <c r="P761" s="4"/>
      <c r="Q761" s="4"/>
      <c r="R761" s="4"/>
      <c r="S761" s="4"/>
      <c r="T761" s="4"/>
      <c r="U761" s="4"/>
      <c r="V761" s="4"/>
      <c r="W761" s="4"/>
      <c r="X761" s="4"/>
    </row>
    <row r="762" spans="1:24" ht="15.75" thickBot="1">
      <c r="A762" s="3"/>
      <c r="B762" s="4"/>
      <c r="C762" s="4"/>
      <c r="D762" s="4"/>
      <c r="E762" s="4"/>
      <c r="F762" s="4"/>
      <c r="G762" s="4"/>
      <c r="H762" s="4"/>
      <c r="I762" s="4"/>
      <c r="J762" s="4"/>
      <c r="K762" s="4"/>
      <c r="L762" s="4"/>
      <c r="M762" s="4"/>
      <c r="N762" s="4"/>
      <c r="O762" s="4"/>
      <c r="P762" s="4"/>
      <c r="Q762" s="4"/>
      <c r="R762" s="4"/>
      <c r="S762" s="4"/>
      <c r="T762" s="4"/>
      <c r="U762" s="4"/>
      <c r="V762" s="4"/>
      <c r="W762" s="4"/>
      <c r="X762" s="4"/>
    </row>
    <row r="763" spans="1:24" ht="15.75" thickBot="1">
      <c r="A763" s="3"/>
      <c r="B763" s="4"/>
      <c r="C763" s="4"/>
      <c r="D763" s="4"/>
      <c r="E763" s="4"/>
      <c r="F763" s="4"/>
      <c r="G763" s="4"/>
      <c r="H763" s="4"/>
      <c r="I763" s="4"/>
      <c r="J763" s="4"/>
      <c r="K763" s="4"/>
      <c r="L763" s="4"/>
      <c r="M763" s="4"/>
      <c r="N763" s="4"/>
      <c r="O763" s="4"/>
      <c r="P763" s="4"/>
      <c r="Q763" s="4"/>
      <c r="R763" s="4"/>
      <c r="S763" s="4"/>
      <c r="T763" s="4"/>
      <c r="U763" s="4"/>
      <c r="V763" s="4"/>
      <c r="W763" s="4"/>
      <c r="X763" s="4"/>
    </row>
    <row r="764" spans="1:24" ht="15.75" thickBot="1">
      <c r="A764" s="3"/>
      <c r="B764" s="4"/>
      <c r="C764" s="4"/>
      <c r="D764" s="4"/>
      <c r="E764" s="4"/>
      <c r="F764" s="4"/>
      <c r="G764" s="4"/>
      <c r="H764" s="4"/>
      <c r="I764" s="4"/>
      <c r="J764" s="4"/>
      <c r="K764" s="4"/>
      <c r="L764" s="4"/>
      <c r="M764" s="4"/>
      <c r="N764" s="4"/>
      <c r="O764" s="4"/>
      <c r="P764" s="4"/>
      <c r="Q764" s="4"/>
      <c r="R764" s="4"/>
      <c r="S764" s="4"/>
      <c r="T764" s="4"/>
      <c r="U764" s="4"/>
      <c r="V764" s="4"/>
      <c r="W764" s="4"/>
      <c r="X764" s="4"/>
    </row>
    <row r="765" spans="1:24" ht="15.75" thickBot="1">
      <c r="A765" s="3"/>
      <c r="B765" s="4"/>
      <c r="C765" s="4"/>
      <c r="D765" s="4"/>
      <c r="E765" s="4"/>
      <c r="F765" s="4"/>
      <c r="G765" s="4"/>
      <c r="H765" s="4"/>
      <c r="I765" s="4"/>
      <c r="J765" s="4"/>
      <c r="K765" s="4"/>
      <c r="L765" s="4"/>
      <c r="M765" s="4"/>
      <c r="N765" s="4"/>
      <c r="O765" s="4"/>
      <c r="P765" s="4"/>
      <c r="Q765" s="4"/>
      <c r="R765" s="4"/>
      <c r="S765" s="4"/>
      <c r="T765" s="4"/>
      <c r="U765" s="4"/>
      <c r="V765" s="4"/>
      <c r="W765" s="4"/>
      <c r="X765" s="4"/>
    </row>
    <row r="766" spans="1:24" ht="15.75" thickBot="1">
      <c r="A766" s="3"/>
      <c r="B766" s="4"/>
      <c r="C766" s="4"/>
      <c r="D766" s="4"/>
      <c r="E766" s="4"/>
      <c r="F766" s="4"/>
      <c r="G766" s="4"/>
      <c r="H766" s="4"/>
      <c r="I766" s="4"/>
      <c r="J766" s="4"/>
      <c r="K766" s="4"/>
      <c r="L766" s="4"/>
      <c r="M766" s="4"/>
      <c r="N766" s="4"/>
      <c r="O766" s="4"/>
      <c r="P766" s="4"/>
      <c r="Q766" s="4"/>
      <c r="R766" s="4"/>
      <c r="S766" s="4"/>
      <c r="T766" s="4"/>
      <c r="U766" s="4"/>
      <c r="V766" s="4"/>
      <c r="W766" s="4"/>
      <c r="X766" s="4"/>
    </row>
    <row r="767" spans="1:24" ht="15.75" thickBot="1">
      <c r="A767" s="3"/>
      <c r="B767" s="4"/>
      <c r="C767" s="4"/>
      <c r="D767" s="4"/>
      <c r="E767" s="4"/>
      <c r="F767" s="4"/>
      <c r="G767" s="4"/>
      <c r="H767" s="4"/>
      <c r="I767" s="4"/>
      <c r="J767" s="4"/>
      <c r="K767" s="4"/>
      <c r="L767" s="4"/>
      <c r="M767" s="4"/>
      <c r="N767" s="4"/>
      <c r="O767" s="4"/>
      <c r="P767" s="4"/>
      <c r="Q767" s="4"/>
      <c r="R767" s="4"/>
      <c r="S767" s="4"/>
      <c r="T767" s="4"/>
      <c r="U767" s="4"/>
      <c r="V767" s="4"/>
      <c r="W767" s="4"/>
      <c r="X767" s="4"/>
    </row>
    <row r="768" spans="1:24" ht="15.75" thickBot="1">
      <c r="A768" s="3"/>
      <c r="B768" s="4"/>
      <c r="C768" s="4"/>
      <c r="D768" s="4"/>
      <c r="E768" s="4"/>
      <c r="F768" s="4"/>
      <c r="G768" s="4"/>
      <c r="H768" s="4"/>
      <c r="I768" s="4"/>
      <c r="J768" s="4"/>
      <c r="K768" s="4"/>
      <c r="L768" s="4"/>
      <c r="M768" s="4"/>
      <c r="N768" s="4"/>
      <c r="O768" s="4"/>
      <c r="P768" s="4"/>
      <c r="Q768" s="4"/>
      <c r="R768" s="4"/>
      <c r="S768" s="4"/>
      <c r="T768" s="4"/>
      <c r="U768" s="4"/>
      <c r="V768" s="4"/>
      <c r="W768" s="4"/>
      <c r="X768" s="4"/>
    </row>
    <row r="769" spans="1:24" ht="15.75" thickBot="1">
      <c r="A769" s="3"/>
      <c r="B769" s="4"/>
      <c r="C769" s="4"/>
      <c r="D769" s="4"/>
      <c r="E769" s="4"/>
      <c r="F769" s="4"/>
      <c r="G769" s="4"/>
      <c r="H769" s="4"/>
      <c r="I769" s="4"/>
      <c r="J769" s="4"/>
      <c r="K769" s="4"/>
      <c r="L769" s="4"/>
      <c r="M769" s="4"/>
      <c r="N769" s="4"/>
      <c r="O769" s="4"/>
      <c r="P769" s="4"/>
      <c r="Q769" s="4"/>
      <c r="R769" s="4"/>
      <c r="S769" s="4"/>
      <c r="T769" s="4"/>
      <c r="U769" s="4"/>
      <c r="V769" s="4"/>
      <c r="W769" s="4"/>
      <c r="X769" s="4"/>
    </row>
    <row r="770" spans="1:24" ht="15.75" thickBot="1">
      <c r="A770" s="3"/>
      <c r="B770" s="4"/>
      <c r="C770" s="4"/>
      <c r="D770" s="4"/>
      <c r="E770" s="4"/>
      <c r="F770" s="4"/>
      <c r="G770" s="4"/>
      <c r="H770" s="4"/>
      <c r="I770" s="4"/>
      <c r="J770" s="4"/>
      <c r="K770" s="4"/>
      <c r="L770" s="4"/>
      <c r="M770" s="4"/>
      <c r="N770" s="4"/>
      <c r="O770" s="4"/>
      <c r="P770" s="4"/>
      <c r="Q770" s="4"/>
      <c r="R770" s="4"/>
      <c r="S770" s="4"/>
      <c r="T770" s="4"/>
      <c r="U770" s="4"/>
      <c r="V770" s="4"/>
      <c r="W770" s="4"/>
      <c r="X770" s="4"/>
    </row>
    <row r="771" spans="1:24" ht="15.75" thickBot="1">
      <c r="A771" s="3"/>
      <c r="B771" s="4"/>
      <c r="C771" s="4"/>
      <c r="D771" s="4"/>
      <c r="E771" s="4"/>
      <c r="F771" s="4"/>
      <c r="G771" s="4"/>
      <c r="H771" s="4"/>
      <c r="I771" s="4"/>
      <c r="J771" s="4"/>
      <c r="K771" s="4"/>
      <c r="L771" s="4"/>
      <c r="M771" s="4"/>
      <c r="N771" s="4"/>
      <c r="O771" s="4"/>
      <c r="P771" s="4"/>
      <c r="Q771" s="4"/>
      <c r="R771" s="4"/>
      <c r="S771" s="4"/>
      <c r="T771" s="4"/>
      <c r="U771" s="4"/>
      <c r="V771" s="4"/>
      <c r="W771" s="4"/>
      <c r="X771" s="4"/>
    </row>
    <row r="772" spans="1:24" ht="15.75" thickBot="1">
      <c r="A772" s="3"/>
      <c r="B772" s="4"/>
      <c r="C772" s="4"/>
      <c r="D772" s="4"/>
      <c r="E772" s="4"/>
      <c r="F772" s="4"/>
      <c r="G772" s="4"/>
      <c r="H772" s="4"/>
      <c r="I772" s="4"/>
      <c r="J772" s="4"/>
      <c r="K772" s="4"/>
      <c r="L772" s="4"/>
      <c r="M772" s="4"/>
      <c r="N772" s="4"/>
      <c r="O772" s="4"/>
      <c r="P772" s="4"/>
      <c r="Q772" s="4"/>
      <c r="R772" s="4"/>
      <c r="S772" s="4"/>
      <c r="T772" s="4"/>
      <c r="U772" s="4"/>
      <c r="V772" s="4"/>
      <c r="W772" s="4"/>
      <c r="X772" s="4"/>
    </row>
    <row r="773" spans="1:24" ht="15.75" thickBot="1">
      <c r="A773" s="3"/>
      <c r="B773" s="4"/>
      <c r="C773" s="4"/>
      <c r="D773" s="4"/>
      <c r="E773" s="4"/>
      <c r="F773" s="4"/>
      <c r="G773" s="4"/>
      <c r="H773" s="4"/>
      <c r="I773" s="4"/>
      <c r="J773" s="4"/>
      <c r="K773" s="4"/>
      <c r="L773" s="4"/>
      <c r="M773" s="4"/>
      <c r="N773" s="4"/>
      <c r="O773" s="4"/>
      <c r="P773" s="4"/>
      <c r="Q773" s="4"/>
      <c r="R773" s="4"/>
      <c r="S773" s="4"/>
      <c r="T773" s="4"/>
      <c r="U773" s="4"/>
      <c r="V773" s="4"/>
      <c r="W773" s="4"/>
      <c r="X773" s="4"/>
    </row>
    <row r="774" spans="1:24" ht="15.75" thickBot="1">
      <c r="A774" s="3"/>
      <c r="B774" s="4"/>
      <c r="C774" s="4"/>
      <c r="D774" s="4"/>
      <c r="E774" s="4"/>
      <c r="F774" s="4"/>
      <c r="G774" s="4"/>
      <c r="H774" s="4"/>
      <c r="I774" s="4"/>
      <c r="J774" s="4"/>
      <c r="K774" s="4"/>
      <c r="L774" s="4"/>
      <c r="M774" s="4"/>
      <c r="N774" s="4"/>
      <c r="O774" s="4"/>
      <c r="P774" s="4"/>
      <c r="Q774" s="4"/>
      <c r="R774" s="4"/>
      <c r="S774" s="4"/>
      <c r="T774" s="4"/>
      <c r="U774" s="4"/>
      <c r="V774" s="4"/>
      <c r="W774" s="4"/>
      <c r="X774" s="4"/>
    </row>
    <row r="775" spans="1:24" ht="15.75" thickBot="1">
      <c r="A775" s="3"/>
      <c r="B775" s="4"/>
      <c r="C775" s="4"/>
      <c r="D775" s="4"/>
      <c r="E775" s="4"/>
      <c r="F775" s="4"/>
      <c r="G775" s="4"/>
      <c r="H775" s="4"/>
      <c r="I775" s="4"/>
      <c r="J775" s="4"/>
      <c r="K775" s="4"/>
      <c r="L775" s="4"/>
      <c r="M775" s="4"/>
      <c r="N775" s="4"/>
      <c r="O775" s="4"/>
      <c r="P775" s="4"/>
      <c r="Q775" s="4"/>
      <c r="R775" s="4"/>
      <c r="S775" s="4"/>
      <c r="T775" s="4"/>
      <c r="U775" s="4"/>
      <c r="V775" s="4"/>
      <c r="W775" s="4"/>
      <c r="X775" s="4"/>
    </row>
    <row r="776" spans="1:24" ht="15.75" thickBot="1">
      <c r="A776" s="3"/>
      <c r="B776" s="4"/>
      <c r="C776" s="4"/>
      <c r="D776" s="4"/>
      <c r="E776" s="4"/>
      <c r="F776" s="4"/>
      <c r="G776" s="4"/>
      <c r="H776" s="4"/>
      <c r="I776" s="4"/>
      <c r="J776" s="4"/>
      <c r="K776" s="4"/>
      <c r="L776" s="4"/>
      <c r="M776" s="4"/>
      <c r="N776" s="4"/>
      <c r="O776" s="4"/>
      <c r="P776" s="4"/>
      <c r="Q776" s="4"/>
      <c r="R776" s="4"/>
      <c r="S776" s="4"/>
      <c r="T776" s="4"/>
      <c r="U776" s="4"/>
      <c r="V776" s="4"/>
      <c r="W776" s="4"/>
      <c r="X776" s="4"/>
    </row>
    <row r="777" spans="1:24" ht="15.75" thickBot="1">
      <c r="A777" s="3"/>
      <c r="B777" s="4"/>
      <c r="C777" s="4"/>
      <c r="D777" s="4"/>
      <c r="E777" s="4"/>
      <c r="F777" s="4"/>
      <c r="G777" s="4"/>
      <c r="H777" s="4"/>
      <c r="I777" s="4"/>
      <c r="J777" s="4"/>
      <c r="K777" s="4"/>
      <c r="L777" s="4"/>
      <c r="M777" s="4"/>
      <c r="N777" s="4"/>
      <c r="O777" s="4"/>
      <c r="P777" s="4"/>
      <c r="Q777" s="4"/>
      <c r="R777" s="4"/>
      <c r="S777" s="4"/>
      <c r="T777" s="4"/>
      <c r="U777" s="4"/>
      <c r="V777" s="4"/>
      <c r="W777" s="4"/>
      <c r="X777" s="4"/>
    </row>
    <row r="778" spans="1:24" ht="15.75" thickBot="1">
      <c r="A778" s="3"/>
      <c r="B778" s="4"/>
      <c r="C778" s="4"/>
      <c r="D778" s="4"/>
      <c r="E778" s="4"/>
      <c r="F778" s="4"/>
      <c r="G778" s="4"/>
      <c r="H778" s="4"/>
      <c r="I778" s="4"/>
      <c r="J778" s="4"/>
      <c r="K778" s="4"/>
      <c r="L778" s="4"/>
      <c r="M778" s="4"/>
      <c r="N778" s="4"/>
      <c r="O778" s="4"/>
      <c r="P778" s="4"/>
      <c r="Q778" s="4"/>
      <c r="R778" s="4"/>
      <c r="S778" s="4"/>
      <c r="T778" s="4"/>
      <c r="U778" s="4"/>
      <c r="V778" s="4"/>
      <c r="W778" s="4"/>
      <c r="X778" s="4"/>
    </row>
    <row r="779" spans="1:24" ht="15.75" thickBot="1">
      <c r="A779" s="3"/>
      <c r="B779" s="4"/>
      <c r="C779" s="4"/>
      <c r="D779" s="4"/>
      <c r="E779" s="4"/>
      <c r="F779" s="4"/>
      <c r="G779" s="4"/>
      <c r="H779" s="4"/>
      <c r="I779" s="4"/>
      <c r="J779" s="4"/>
      <c r="K779" s="4"/>
      <c r="L779" s="4"/>
      <c r="M779" s="4"/>
      <c r="N779" s="4"/>
      <c r="O779" s="4"/>
      <c r="P779" s="4"/>
      <c r="Q779" s="4"/>
      <c r="R779" s="4"/>
      <c r="S779" s="4"/>
      <c r="T779" s="4"/>
      <c r="U779" s="4"/>
      <c r="V779" s="4"/>
      <c r="W779" s="4"/>
      <c r="X779" s="4"/>
    </row>
    <row r="780" spans="1:24" ht="15.75" thickBot="1">
      <c r="A780" s="3"/>
      <c r="B780" s="4"/>
      <c r="C780" s="4"/>
      <c r="D780" s="4"/>
      <c r="E780" s="4"/>
      <c r="F780" s="4"/>
      <c r="G780" s="4"/>
      <c r="H780" s="4"/>
      <c r="I780" s="4"/>
      <c r="J780" s="4"/>
      <c r="K780" s="4"/>
      <c r="L780" s="4"/>
      <c r="M780" s="4"/>
      <c r="N780" s="4"/>
      <c r="O780" s="4"/>
      <c r="P780" s="4"/>
      <c r="Q780" s="4"/>
      <c r="R780" s="4"/>
      <c r="S780" s="4"/>
      <c r="T780" s="4"/>
      <c r="U780" s="4"/>
      <c r="V780" s="4"/>
      <c r="W780" s="4"/>
      <c r="X780" s="4"/>
    </row>
    <row r="781" spans="1:24" ht="15.75" thickBot="1">
      <c r="A781" s="3"/>
      <c r="B781" s="4"/>
      <c r="C781" s="4"/>
      <c r="D781" s="4"/>
      <c r="E781" s="4"/>
      <c r="F781" s="4"/>
      <c r="G781" s="4"/>
      <c r="H781" s="4"/>
      <c r="I781" s="4"/>
      <c r="J781" s="4"/>
      <c r="K781" s="4"/>
      <c r="L781" s="4"/>
      <c r="M781" s="4"/>
      <c r="N781" s="4"/>
      <c r="O781" s="4"/>
      <c r="P781" s="4"/>
      <c r="Q781" s="4"/>
      <c r="R781" s="4"/>
      <c r="S781" s="4"/>
      <c r="T781" s="4"/>
      <c r="U781" s="4"/>
      <c r="V781" s="4"/>
      <c r="W781" s="4"/>
      <c r="X781" s="4"/>
    </row>
    <row r="782" spans="1:24" ht="15.75" thickBot="1">
      <c r="A782" s="3"/>
      <c r="B782" s="4"/>
      <c r="C782" s="4"/>
      <c r="D782" s="4"/>
      <c r="E782" s="4"/>
      <c r="F782" s="4"/>
      <c r="G782" s="4"/>
      <c r="H782" s="4"/>
      <c r="I782" s="4"/>
      <c r="J782" s="4"/>
      <c r="K782" s="4"/>
      <c r="L782" s="4"/>
      <c r="M782" s="4"/>
      <c r="N782" s="4"/>
      <c r="O782" s="4"/>
      <c r="P782" s="4"/>
      <c r="Q782" s="4"/>
      <c r="R782" s="4"/>
      <c r="S782" s="4"/>
      <c r="T782" s="4"/>
      <c r="U782" s="4"/>
      <c r="V782" s="4"/>
      <c r="W782" s="4"/>
      <c r="X782" s="4"/>
    </row>
    <row r="783" spans="1:24" ht="15.75" thickBot="1">
      <c r="A783" s="3"/>
      <c r="B783" s="4"/>
      <c r="C783" s="4"/>
      <c r="D783" s="4"/>
      <c r="E783" s="4"/>
      <c r="F783" s="4"/>
      <c r="G783" s="4"/>
      <c r="H783" s="4"/>
      <c r="I783" s="4"/>
      <c r="J783" s="4"/>
      <c r="K783" s="4"/>
      <c r="L783" s="4"/>
      <c r="M783" s="4"/>
      <c r="N783" s="4"/>
      <c r="O783" s="4"/>
      <c r="P783" s="4"/>
      <c r="Q783" s="4"/>
      <c r="R783" s="4"/>
      <c r="S783" s="4"/>
      <c r="T783" s="4"/>
      <c r="U783" s="4"/>
      <c r="V783" s="4"/>
      <c r="W783" s="4"/>
      <c r="X783" s="4"/>
    </row>
    <row r="784" spans="1:24" ht="15.75" thickBot="1">
      <c r="A784" s="3"/>
      <c r="B784" s="4"/>
      <c r="C784" s="4"/>
      <c r="D784" s="4"/>
      <c r="E784" s="4"/>
      <c r="F784" s="4"/>
      <c r="G784" s="4"/>
      <c r="H784" s="4"/>
      <c r="I784" s="4"/>
      <c r="J784" s="4"/>
      <c r="K784" s="4"/>
      <c r="L784" s="4"/>
      <c r="M784" s="4"/>
      <c r="N784" s="4"/>
      <c r="O784" s="4"/>
      <c r="P784" s="4"/>
      <c r="Q784" s="4"/>
      <c r="R784" s="4"/>
      <c r="S784" s="4"/>
      <c r="T784" s="4"/>
      <c r="U784" s="4"/>
      <c r="V784" s="4"/>
      <c r="W784" s="4"/>
      <c r="X784" s="4"/>
    </row>
    <row r="785" spans="1:24" ht="15.75" thickBot="1">
      <c r="A785" s="3"/>
      <c r="B785" s="4"/>
      <c r="C785" s="4"/>
      <c r="D785" s="4"/>
      <c r="E785" s="4"/>
      <c r="F785" s="4"/>
      <c r="G785" s="4"/>
      <c r="H785" s="4"/>
      <c r="I785" s="4"/>
      <c r="J785" s="4"/>
      <c r="K785" s="4"/>
      <c r="L785" s="4"/>
      <c r="M785" s="4"/>
      <c r="N785" s="4"/>
      <c r="O785" s="4"/>
      <c r="P785" s="4"/>
      <c r="Q785" s="4"/>
      <c r="R785" s="4"/>
      <c r="S785" s="4"/>
      <c r="T785" s="4"/>
      <c r="U785" s="4"/>
      <c r="V785" s="4"/>
      <c r="W785" s="4"/>
      <c r="X785" s="4"/>
    </row>
    <row r="786" spans="1:24" ht="15.75" thickBot="1">
      <c r="A786" s="3"/>
      <c r="B786" s="4"/>
      <c r="C786" s="4"/>
      <c r="D786" s="4"/>
      <c r="E786" s="4"/>
      <c r="F786" s="4"/>
      <c r="G786" s="4"/>
      <c r="H786" s="4"/>
      <c r="I786" s="4"/>
      <c r="J786" s="4"/>
      <c r="K786" s="4"/>
      <c r="L786" s="4"/>
      <c r="M786" s="4"/>
      <c r="N786" s="4"/>
      <c r="O786" s="4"/>
      <c r="P786" s="4"/>
      <c r="Q786" s="4"/>
      <c r="R786" s="4"/>
      <c r="S786" s="4"/>
      <c r="T786" s="4"/>
      <c r="U786" s="4"/>
      <c r="V786" s="4"/>
      <c r="W786" s="4"/>
      <c r="X786" s="4"/>
    </row>
    <row r="787" spans="1:24" ht="15.75" thickBot="1">
      <c r="A787" s="3"/>
      <c r="B787" s="4"/>
      <c r="C787" s="4"/>
      <c r="D787" s="4"/>
      <c r="E787" s="4"/>
      <c r="F787" s="4"/>
      <c r="G787" s="4"/>
      <c r="H787" s="4"/>
      <c r="I787" s="4"/>
      <c r="J787" s="4"/>
      <c r="K787" s="4"/>
      <c r="L787" s="4"/>
      <c r="M787" s="4"/>
      <c r="N787" s="4"/>
      <c r="O787" s="4"/>
      <c r="P787" s="4"/>
      <c r="Q787" s="4"/>
      <c r="R787" s="4"/>
      <c r="S787" s="4"/>
      <c r="T787" s="4"/>
      <c r="U787" s="4"/>
      <c r="V787" s="4"/>
      <c r="W787" s="4"/>
      <c r="X787" s="4"/>
    </row>
    <row r="788" spans="1:24" ht="15.75" thickBot="1">
      <c r="A788" s="3"/>
      <c r="B788" s="4"/>
      <c r="C788" s="4"/>
      <c r="D788" s="4"/>
      <c r="E788" s="4"/>
      <c r="F788" s="4"/>
      <c r="G788" s="4"/>
      <c r="H788" s="4"/>
      <c r="I788" s="4"/>
      <c r="J788" s="4"/>
      <c r="K788" s="4"/>
      <c r="L788" s="4"/>
      <c r="M788" s="4"/>
      <c r="N788" s="4"/>
      <c r="O788" s="4"/>
      <c r="P788" s="4"/>
      <c r="Q788" s="4"/>
      <c r="R788" s="4"/>
      <c r="S788" s="4"/>
      <c r="T788" s="4"/>
      <c r="U788" s="4"/>
      <c r="V788" s="4"/>
      <c r="W788" s="4"/>
      <c r="X788" s="4"/>
    </row>
    <row r="789" spans="1:24" ht="15.75" thickBot="1">
      <c r="A789" s="3"/>
      <c r="B789" s="4"/>
      <c r="C789" s="4"/>
      <c r="D789" s="4"/>
      <c r="E789" s="4"/>
      <c r="F789" s="4"/>
      <c r="G789" s="4"/>
      <c r="H789" s="4"/>
      <c r="I789" s="4"/>
      <c r="J789" s="4"/>
      <c r="K789" s="4"/>
      <c r="L789" s="4"/>
      <c r="M789" s="4"/>
      <c r="N789" s="4"/>
      <c r="O789" s="4"/>
      <c r="P789" s="4"/>
      <c r="Q789" s="4"/>
      <c r="R789" s="4"/>
      <c r="S789" s="4"/>
      <c r="T789" s="4"/>
      <c r="U789" s="4"/>
      <c r="V789" s="4"/>
      <c r="W789" s="4"/>
      <c r="X789" s="4"/>
    </row>
    <row r="790" spans="1:24" ht="15.75" thickBot="1">
      <c r="A790" s="3"/>
      <c r="B790" s="4"/>
      <c r="C790" s="4"/>
      <c r="D790" s="4"/>
      <c r="E790" s="4"/>
      <c r="F790" s="4"/>
      <c r="G790" s="4"/>
      <c r="H790" s="4"/>
      <c r="I790" s="4"/>
      <c r="J790" s="4"/>
      <c r="K790" s="4"/>
      <c r="L790" s="4"/>
      <c r="M790" s="4"/>
      <c r="N790" s="4"/>
      <c r="O790" s="4"/>
      <c r="P790" s="4"/>
      <c r="Q790" s="4"/>
      <c r="R790" s="4"/>
      <c r="S790" s="4"/>
      <c r="T790" s="4"/>
      <c r="U790" s="4"/>
      <c r="V790" s="4"/>
      <c r="W790" s="4"/>
      <c r="X790" s="4"/>
    </row>
    <row r="791" spans="1:24" ht="15.75" thickBot="1">
      <c r="A791" s="3"/>
      <c r="B791" s="4"/>
      <c r="C791" s="4"/>
      <c r="D791" s="4"/>
      <c r="E791" s="4"/>
      <c r="F791" s="4"/>
      <c r="G791" s="4"/>
      <c r="H791" s="4"/>
      <c r="I791" s="4"/>
      <c r="J791" s="4"/>
      <c r="K791" s="4"/>
      <c r="L791" s="4"/>
      <c r="M791" s="4"/>
      <c r="N791" s="4"/>
      <c r="O791" s="4"/>
      <c r="P791" s="4"/>
      <c r="Q791" s="4"/>
      <c r="R791" s="4"/>
      <c r="S791" s="4"/>
      <c r="T791" s="4"/>
      <c r="U791" s="4"/>
      <c r="V791" s="4"/>
      <c r="W791" s="4"/>
      <c r="X791" s="4"/>
    </row>
    <row r="792" spans="1:24" ht="15.75" thickBot="1">
      <c r="A792" s="3"/>
      <c r="B792" s="4"/>
      <c r="C792" s="4"/>
      <c r="D792" s="4"/>
      <c r="E792" s="4"/>
      <c r="F792" s="4"/>
      <c r="G792" s="4"/>
      <c r="H792" s="4"/>
      <c r="I792" s="4"/>
      <c r="J792" s="4"/>
      <c r="K792" s="4"/>
      <c r="L792" s="4"/>
      <c r="M792" s="4"/>
      <c r="N792" s="4"/>
      <c r="O792" s="4"/>
      <c r="P792" s="4"/>
      <c r="Q792" s="4"/>
      <c r="R792" s="4"/>
      <c r="S792" s="4"/>
      <c r="T792" s="4"/>
      <c r="U792" s="4"/>
      <c r="V792" s="4"/>
      <c r="W792" s="4"/>
      <c r="X792" s="4"/>
    </row>
    <row r="793" spans="1:24" ht="15.75" thickBot="1">
      <c r="A793" s="3"/>
      <c r="B793" s="4"/>
      <c r="C793" s="4"/>
      <c r="D793" s="4"/>
      <c r="E793" s="4"/>
      <c r="F793" s="4"/>
      <c r="G793" s="4"/>
      <c r="H793" s="4"/>
      <c r="I793" s="4"/>
      <c r="J793" s="4"/>
      <c r="K793" s="4"/>
      <c r="L793" s="4"/>
      <c r="M793" s="4"/>
      <c r="N793" s="4"/>
      <c r="O793" s="4"/>
      <c r="P793" s="4"/>
      <c r="Q793" s="4"/>
      <c r="R793" s="4"/>
      <c r="S793" s="4"/>
      <c r="T793" s="4"/>
      <c r="U793" s="4"/>
      <c r="V793" s="4"/>
      <c r="W793" s="4"/>
      <c r="X793" s="4"/>
    </row>
    <row r="794" spans="1:24" ht="15.75" thickBot="1">
      <c r="A794" s="3"/>
      <c r="B794" s="4"/>
      <c r="C794" s="4"/>
      <c r="D794" s="4"/>
      <c r="E794" s="4"/>
      <c r="F794" s="4"/>
      <c r="G794" s="4"/>
      <c r="H794" s="4"/>
      <c r="I794" s="4"/>
      <c r="J794" s="4"/>
      <c r="K794" s="4"/>
      <c r="L794" s="4"/>
      <c r="M794" s="4"/>
      <c r="N794" s="4"/>
      <c r="O794" s="4"/>
      <c r="P794" s="4"/>
      <c r="Q794" s="4"/>
      <c r="R794" s="4"/>
      <c r="S794" s="4"/>
      <c r="T794" s="4"/>
      <c r="U794" s="4"/>
      <c r="V794" s="4"/>
      <c r="W794" s="4"/>
      <c r="X794" s="4"/>
    </row>
    <row r="795" spans="1:24" ht="15.75" thickBot="1">
      <c r="A795" s="3"/>
      <c r="B795" s="4"/>
      <c r="C795" s="4"/>
      <c r="D795" s="4"/>
      <c r="E795" s="4"/>
      <c r="F795" s="4"/>
      <c r="G795" s="4"/>
      <c r="H795" s="4"/>
      <c r="I795" s="4"/>
      <c r="J795" s="4"/>
      <c r="K795" s="4"/>
      <c r="L795" s="4"/>
      <c r="M795" s="4"/>
      <c r="N795" s="4"/>
      <c r="O795" s="4"/>
      <c r="P795" s="4"/>
      <c r="Q795" s="4"/>
      <c r="R795" s="4"/>
      <c r="S795" s="4"/>
      <c r="T795" s="4"/>
      <c r="U795" s="4"/>
      <c r="V795" s="4"/>
      <c r="W795" s="4"/>
      <c r="X795" s="4"/>
    </row>
    <row r="796" spans="1:24" ht="15.75" thickBot="1">
      <c r="A796" s="3"/>
      <c r="B796" s="4"/>
      <c r="C796" s="4"/>
      <c r="D796" s="4"/>
      <c r="E796" s="4"/>
      <c r="F796" s="4"/>
      <c r="G796" s="4"/>
      <c r="H796" s="4"/>
      <c r="I796" s="4"/>
      <c r="J796" s="4"/>
      <c r="K796" s="4"/>
      <c r="L796" s="4"/>
      <c r="M796" s="4"/>
      <c r="N796" s="4"/>
      <c r="O796" s="4"/>
      <c r="P796" s="4"/>
      <c r="Q796" s="4"/>
      <c r="R796" s="4"/>
      <c r="S796" s="4"/>
      <c r="T796" s="4"/>
      <c r="U796" s="4"/>
      <c r="V796" s="4"/>
      <c r="W796" s="4"/>
      <c r="X796" s="4"/>
    </row>
    <row r="797" spans="1:24" ht="15.75" thickBot="1">
      <c r="A797" s="3"/>
      <c r="B797" s="4"/>
      <c r="C797" s="4"/>
      <c r="D797" s="4"/>
      <c r="E797" s="4"/>
      <c r="F797" s="4"/>
      <c r="G797" s="4"/>
      <c r="H797" s="4"/>
      <c r="I797" s="4"/>
      <c r="J797" s="4"/>
      <c r="K797" s="4"/>
      <c r="L797" s="4"/>
      <c r="M797" s="4"/>
      <c r="N797" s="4"/>
      <c r="O797" s="4"/>
      <c r="P797" s="4"/>
      <c r="Q797" s="4"/>
      <c r="R797" s="4"/>
      <c r="S797" s="4"/>
      <c r="T797" s="4"/>
      <c r="U797" s="4"/>
      <c r="V797" s="4"/>
      <c r="W797" s="4"/>
      <c r="X797" s="4"/>
    </row>
    <row r="798" spans="1:24" ht="15.75" thickBot="1">
      <c r="A798" s="3"/>
      <c r="B798" s="4"/>
      <c r="C798" s="4"/>
      <c r="D798" s="4"/>
      <c r="E798" s="4"/>
      <c r="F798" s="4"/>
      <c r="G798" s="4"/>
      <c r="H798" s="4"/>
      <c r="I798" s="4"/>
      <c r="J798" s="4"/>
      <c r="K798" s="4"/>
      <c r="L798" s="4"/>
      <c r="M798" s="4"/>
      <c r="N798" s="4"/>
      <c r="O798" s="4"/>
      <c r="P798" s="4"/>
      <c r="Q798" s="4"/>
      <c r="R798" s="4"/>
      <c r="S798" s="4"/>
      <c r="T798" s="4"/>
      <c r="U798" s="4"/>
      <c r="V798" s="4"/>
      <c r="W798" s="4"/>
      <c r="X798" s="4"/>
    </row>
    <row r="799" spans="1:24" ht="15.75" thickBot="1">
      <c r="A799" s="3"/>
      <c r="B799" s="4"/>
      <c r="C799" s="4"/>
      <c r="D799" s="4"/>
      <c r="E799" s="4"/>
      <c r="F799" s="4"/>
      <c r="G799" s="4"/>
      <c r="H799" s="4"/>
      <c r="I799" s="4"/>
      <c r="J799" s="4"/>
      <c r="K799" s="4"/>
      <c r="L799" s="4"/>
      <c r="M799" s="4"/>
      <c r="N799" s="4"/>
      <c r="O799" s="4"/>
      <c r="P799" s="4"/>
      <c r="Q799" s="4"/>
      <c r="R799" s="4"/>
      <c r="S799" s="4"/>
      <c r="T799" s="4"/>
      <c r="U799" s="4"/>
      <c r="V799" s="4"/>
      <c r="W799" s="4"/>
      <c r="X799" s="4"/>
    </row>
    <row r="800" spans="1:24" ht="15.75" thickBot="1">
      <c r="A800" s="3"/>
      <c r="B800" s="4"/>
      <c r="C800" s="4"/>
      <c r="D800" s="4"/>
      <c r="E800" s="4"/>
      <c r="F800" s="4"/>
      <c r="G800" s="4"/>
      <c r="H800" s="4"/>
      <c r="I800" s="4"/>
      <c r="J800" s="4"/>
      <c r="K800" s="4"/>
      <c r="L800" s="4"/>
      <c r="M800" s="4"/>
      <c r="N800" s="4"/>
      <c r="O800" s="4"/>
      <c r="P800" s="4"/>
      <c r="Q800" s="4"/>
      <c r="R800" s="4"/>
      <c r="S800" s="4"/>
      <c r="T800" s="4"/>
      <c r="U800" s="4"/>
      <c r="V800" s="4"/>
      <c r="W800" s="4"/>
      <c r="X800" s="4"/>
    </row>
    <row r="801" spans="1:24" ht="15.75" thickBot="1">
      <c r="A801" s="3"/>
      <c r="B801" s="4"/>
      <c r="C801" s="4"/>
      <c r="D801" s="4"/>
      <c r="E801" s="4"/>
      <c r="F801" s="4"/>
      <c r="G801" s="4"/>
      <c r="H801" s="4"/>
      <c r="I801" s="4"/>
      <c r="J801" s="4"/>
      <c r="K801" s="4"/>
      <c r="L801" s="4"/>
      <c r="M801" s="4"/>
      <c r="N801" s="4"/>
      <c r="O801" s="4"/>
      <c r="P801" s="4"/>
      <c r="Q801" s="4"/>
      <c r="R801" s="4"/>
      <c r="S801" s="4"/>
      <c r="T801" s="4"/>
      <c r="U801" s="4"/>
      <c r="V801" s="4"/>
      <c r="W801" s="4"/>
      <c r="X801" s="4"/>
    </row>
    <row r="802" spans="1:24" ht="15.75" thickBot="1">
      <c r="A802" s="3"/>
      <c r="B802" s="4"/>
      <c r="C802" s="4"/>
      <c r="D802" s="4"/>
      <c r="E802" s="4"/>
      <c r="F802" s="4"/>
      <c r="G802" s="4"/>
      <c r="H802" s="4"/>
      <c r="I802" s="4"/>
      <c r="J802" s="4"/>
      <c r="K802" s="4"/>
      <c r="L802" s="4"/>
      <c r="M802" s="4"/>
      <c r="N802" s="4"/>
      <c r="O802" s="4"/>
      <c r="P802" s="4"/>
      <c r="Q802" s="4"/>
      <c r="R802" s="4"/>
      <c r="S802" s="4"/>
      <c r="T802" s="4"/>
      <c r="U802" s="4"/>
      <c r="V802" s="4"/>
      <c r="W802" s="4"/>
      <c r="X802" s="4"/>
    </row>
    <row r="803" spans="1:24" ht="15.75" thickBot="1">
      <c r="A803" s="3"/>
      <c r="B803" s="4"/>
      <c r="C803" s="4"/>
      <c r="D803" s="4"/>
      <c r="E803" s="4"/>
      <c r="F803" s="4"/>
      <c r="G803" s="4"/>
      <c r="H803" s="4"/>
      <c r="I803" s="4"/>
      <c r="J803" s="4"/>
      <c r="K803" s="4"/>
      <c r="L803" s="4"/>
      <c r="M803" s="4"/>
      <c r="N803" s="4"/>
      <c r="O803" s="4"/>
      <c r="P803" s="4"/>
      <c r="Q803" s="4"/>
      <c r="R803" s="4"/>
      <c r="S803" s="4"/>
      <c r="T803" s="4"/>
      <c r="U803" s="4"/>
      <c r="V803" s="4"/>
      <c r="W803" s="4"/>
      <c r="X803" s="4"/>
    </row>
    <row r="804" spans="1:24" ht="15.75" thickBot="1">
      <c r="A804" s="3"/>
      <c r="B804" s="4"/>
      <c r="C804" s="4"/>
      <c r="D804" s="4"/>
      <c r="E804" s="4"/>
      <c r="F804" s="4"/>
      <c r="G804" s="4"/>
      <c r="H804" s="4"/>
      <c r="I804" s="4"/>
      <c r="J804" s="4"/>
      <c r="K804" s="4"/>
      <c r="L804" s="4"/>
      <c r="M804" s="4"/>
      <c r="N804" s="4"/>
      <c r="O804" s="4"/>
      <c r="P804" s="4"/>
      <c r="Q804" s="4"/>
      <c r="R804" s="4"/>
      <c r="S804" s="4"/>
      <c r="T804" s="4"/>
      <c r="U804" s="4"/>
      <c r="V804" s="4"/>
      <c r="W804" s="4"/>
      <c r="X804" s="4"/>
    </row>
    <row r="805" spans="1:24" ht="15.75" thickBot="1">
      <c r="A805" s="3"/>
      <c r="B805" s="4"/>
      <c r="C805" s="4"/>
      <c r="D805" s="4"/>
      <c r="E805" s="4"/>
      <c r="F805" s="4"/>
      <c r="G805" s="4"/>
      <c r="H805" s="4"/>
      <c r="I805" s="4"/>
      <c r="J805" s="4"/>
      <c r="K805" s="4"/>
      <c r="L805" s="4"/>
      <c r="M805" s="4"/>
      <c r="N805" s="4"/>
      <c r="O805" s="4"/>
      <c r="P805" s="4"/>
      <c r="Q805" s="4"/>
      <c r="R805" s="4"/>
      <c r="S805" s="4"/>
      <c r="T805" s="4"/>
      <c r="U805" s="4"/>
      <c r="V805" s="4"/>
      <c r="W805" s="4"/>
      <c r="X805" s="4"/>
    </row>
    <row r="806" spans="1:24" ht="15.75" thickBot="1">
      <c r="A806" s="3"/>
      <c r="B806" s="4"/>
      <c r="C806" s="4"/>
      <c r="D806" s="4"/>
      <c r="E806" s="4"/>
      <c r="F806" s="4"/>
      <c r="G806" s="4"/>
      <c r="H806" s="4"/>
      <c r="I806" s="4"/>
      <c r="J806" s="4"/>
      <c r="K806" s="4"/>
      <c r="L806" s="4"/>
      <c r="M806" s="4"/>
      <c r="N806" s="4"/>
      <c r="O806" s="4"/>
      <c r="P806" s="4"/>
      <c r="Q806" s="4"/>
      <c r="R806" s="4"/>
      <c r="S806" s="4"/>
      <c r="T806" s="4"/>
      <c r="U806" s="4"/>
      <c r="V806" s="4"/>
      <c r="W806" s="4"/>
      <c r="X806" s="4"/>
    </row>
    <row r="807" spans="1:24" ht="15.75" thickBot="1">
      <c r="A807" s="3"/>
      <c r="B807" s="4"/>
      <c r="C807" s="4"/>
      <c r="D807" s="4"/>
      <c r="E807" s="4"/>
      <c r="F807" s="4"/>
      <c r="G807" s="4"/>
      <c r="H807" s="4"/>
      <c r="I807" s="4"/>
      <c r="J807" s="4"/>
      <c r="K807" s="4"/>
      <c r="L807" s="4"/>
      <c r="M807" s="4"/>
      <c r="N807" s="4"/>
      <c r="O807" s="4"/>
      <c r="P807" s="4"/>
      <c r="Q807" s="4"/>
      <c r="R807" s="4"/>
      <c r="S807" s="4"/>
      <c r="T807" s="4"/>
      <c r="U807" s="4"/>
      <c r="V807" s="4"/>
      <c r="W807" s="4"/>
      <c r="X807" s="4"/>
    </row>
    <row r="808" spans="1:24" ht="15.75" thickBot="1">
      <c r="A808" s="3"/>
      <c r="B808" s="4"/>
      <c r="C808" s="4"/>
      <c r="D808" s="4"/>
      <c r="E808" s="4"/>
      <c r="F808" s="4"/>
      <c r="G808" s="4"/>
      <c r="H808" s="4"/>
      <c r="I808" s="4"/>
      <c r="J808" s="4"/>
      <c r="K808" s="4"/>
      <c r="L808" s="4"/>
      <c r="M808" s="4"/>
      <c r="N808" s="4"/>
      <c r="O808" s="4"/>
      <c r="P808" s="4"/>
      <c r="Q808" s="4"/>
      <c r="R808" s="4"/>
      <c r="S808" s="4"/>
      <c r="T808" s="4"/>
      <c r="U808" s="4"/>
      <c r="V808" s="4"/>
      <c r="W808" s="4"/>
      <c r="X808" s="4"/>
    </row>
    <row r="809" spans="1:24" ht="15.75" thickBot="1">
      <c r="A809" s="3"/>
      <c r="B809" s="4"/>
      <c r="C809" s="4"/>
      <c r="D809" s="4"/>
      <c r="E809" s="4"/>
      <c r="F809" s="4"/>
      <c r="G809" s="4"/>
      <c r="H809" s="4"/>
      <c r="I809" s="4"/>
      <c r="J809" s="4"/>
      <c r="K809" s="4"/>
      <c r="L809" s="4"/>
      <c r="M809" s="4"/>
      <c r="N809" s="4"/>
      <c r="O809" s="4"/>
      <c r="P809" s="4"/>
      <c r="Q809" s="4"/>
      <c r="R809" s="4"/>
      <c r="S809" s="4"/>
      <c r="T809" s="4"/>
      <c r="U809" s="4"/>
      <c r="V809" s="4"/>
      <c r="W809" s="4"/>
      <c r="X809" s="4"/>
    </row>
    <row r="810" spans="1:24" ht="15.75" thickBot="1">
      <c r="A810" s="3"/>
      <c r="B810" s="4"/>
      <c r="C810" s="4"/>
      <c r="D810" s="4"/>
      <c r="E810" s="4"/>
      <c r="F810" s="4"/>
      <c r="G810" s="4"/>
      <c r="H810" s="4"/>
      <c r="I810" s="4"/>
      <c r="J810" s="4"/>
      <c r="K810" s="4"/>
      <c r="L810" s="4"/>
      <c r="M810" s="4"/>
      <c r="N810" s="4"/>
      <c r="O810" s="4"/>
      <c r="P810" s="4"/>
      <c r="Q810" s="4"/>
      <c r="R810" s="4"/>
      <c r="S810" s="4"/>
      <c r="T810" s="4"/>
      <c r="U810" s="4"/>
      <c r="V810" s="4"/>
      <c r="W810" s="4"/>
      <c r="X810" s="4"/>
    </row>
    <row r="811" spans="1:24" ht="15.75" thickBot="1">
      <c r="A811" s="3"/>
      <c r="B811" s="4"/>
      <c r="C811" s="4"/>
      <c r="D811" s="4"/>
      <c r="E811" s="4"/>
      <c r="F811" s="4"/>
      <c r="G811" s="4"/>
      <c r="H811" s="4"/>
      <c r="I811" s="4"/>
      <c r="J811" s="4"/>
      <c r="K811" s="4"/>
      <c r="L811" s="4"/>
      <c r="M811" s="4"/>
      <c r="N811" s="4"/>
      <c r="O811" s="4"/>
      <c r="P811" s="4"/>
      <c r="Q811" s="4"/>
      <c r="R811" s="4"/>
      <c r="S811" s="4"/>
      <c r="T811" s="4"/>
      <c r="U811" s="4"/>
      <c r="V811" s="4"/>
      <c r="W811" s="4"/>
      <c r="X811" s="4"/>
    </row>
    <row r="812" spans="1:24" ht="15.75" thickBot="1">
      <c r="A812" s="3"/>
      <c r="B812" s="4"/>
      <c r="C812" s="4"/>
      <c r="D812" s="4"/>
      <c r="E812" s="4"/>
      <c r="F812" s="4"/>
      <c r="G812" s="4"/>
      <c r="H812" s="4"/>
      <c r="I812" s="4"/>
      <c r="J812" s="4"/>
      <c r="K812" s="4"/>
      <c r="L812" s="4"/>
      <c r="M812" s="4"/>
      <c r="N812" s="4"/>
      <c r="O812" s="4"/>
      <c r="P812" s="4"/>
      <c r="Q812" s="4"/>
      <c r="R812" s="4"/>
      <c r="S812" s="4"/>
      <c r="T812" s="4"/>
      <c r="U812" s="4"/>
      <c r="V812" s="4"/>
      <c r="W812" s="4"/>
      <c r="X812" s="4"/>
    </row>
    <row r="813" spans="1:24" ht="15.75" thickBot="1">
      <c r="A813" s="3"/>
      <c r="B813" s="4"/>
      <c r="C813" s="4"/>
      <c r="D813" s="4"/>
      <c r="E813" s="4"/>
      <c r="F813" s="4"/>
      <c r="G813" s="4"/>
      <c r="H813" s="4"/>
      <c r="I813" s="4"/>
      <c r="J813" s="4"/>
      <c r="K813" s="4"/>
      <c r="L813" s="4"/>
      <c r="M813" s="4"/>
      <c r="N813" s="4"/>
      <c r="O813" s="4"/>
      <c r="P813" s="4"/>
      <c r="Q813" s="4"/>
      <c r="R813" s="4"/>
      <c r="S813" s="4"/>
      <c r="T813" s="4"/>
      <c r="U813" s="4"/>
      <c r="V813" s="4"/>
      <c r="W813" s="4"/>
      <c r="X813" s="4"/>
    </row>
    <row r="814" spans="1:24" ht="15.75" thickBot="1">
      <c r="A814" s="3"/>
      <c r="B814" s="4"/>
      <c r="C814" s="4"/>
      <c r="D814" s="4"/>
      <c r="E814" s="4"/>
      <c r="F814" s="4"/>
      <c r="G814" s="4"/>
      <c r="H814" s="4"/>
      <c r="I814" s="4"/>
      <c r="J814" s="4"/>
      <c r="K814" s="4"/>
      <c r="L814" s="4"/>
      <c r="M814" s="4"/>
      <c r="N814" s="4"/>
      <c r="O814" s="4"/>
      <c r="P814" s="4"/>
      <c r="Q814" s="4"/>
      <c r="R814" s="4"/>
      <c r="S814" s="4"/>
      <c r="T814" s="4"/>
      <c r="U814" s="4"/>
      <c r="V814" s="4"/>
      <c r="W814" s="4"/>
      <c r="X814" s="4"/>
    </row>
    <row r="815" spans="1:24" ht="15.75" thickBot="1">
      <c r="A815" s="3"/>
      <c r="B815" s="4"/>
      <c r="C815" s="4"/>
      <c r="D815" s="4"/>
      <c r="E815" s="4"/>
      <c r="F815" s="4"/>
      <c r="G815" s="4"/>
      <c r="H815" s="4"/>
      <c r="I815" s="4"/>
      <c r="J815" s="4"/>
      <c r="K815" s="4"/>
      <c r="L815" s="4"/>
      <c r="M815" s="4"/>
      <c r="N815" s="4"/>
      <c r="O815" s="4"/>
      <c r="P815" s="4"/>
      <c r="Q815" s="4"/>
      <c r="R815" s="4"/>
      <c r="S815" s="4"/>
      <c r="T815" s="4"/>
      <c r="U815" s="4"/>
      <c r="V815" s="4"/>
      <c r="W815" s="4"/>
      <c r="X815" s="4"/>
    </row>
    <row r="816" spans="1:24" ht="15.75" thickBot="1">
      <c r="A816" s="3"/>
      <c r="B816" s="4"/>
      <c r="C816" s="4"/>
      <c r="D816" s="4"/>
      <c r="E816" s="4"/>
      <c r="F816" s="4"/>
      <c r="G816" s="4"/>
      <c r="H816" s="4"/>
      <c r="I816" s="4"/>
      <c r="J816" s="4"/>
      <c r="K816" s="4"/>
      <c r="L816" s="4"/>
      <c r="M816" s="4"/>
      <c r="N816" s="4"/>
      <c r="O816" s="4"/>
      <c r="P816" s="4"/>
      <c r="Q816" s="4"/>
      <c r="R816" s="4"/>
      <c r="S816" s="4"/>
      <c r="T816" s="4"/>
      <c r="U816" s="4"/>
      <c r="V816" s="4"/>
      <c r="W816" s="4"/>
      <c r="X816" s="4"/>
    </row>
    <row r="817" spans="1:24" ht="15.75" thickBot="1">
      <c r="A817" s="3"/>
      <c r="B817" s="4"/>
      <c r="C817" s="4"/>
      <c r="D817" s="4"/>
      <c r="E817" s="4"/>
      <c r="F817" s="4"/>
      <c r="G817" s="4"/>
      <c r="H817" s="4"/>
      <c r="I817" s="4"/>
      <c r="J817" s="4"/>
      <c r="K817" s="4"/>
      <c r="L817" s="4"/>
      <c r="M817" s="4"/>
      <c r="N817" s="4"/>
      <c r="O817" s="4"/>
      <c r="P817" s="4"/>
      <c r="Q817" s="4"/>
      <c r="R817" s="4"/>
      <c r="S817" s="4"/>
      <c r="T817" s="4"/>
      <c r="U817" s="4"/>
      <c r="V817" s="4"/>
      <c r="W817" s="4"/>
      <c r="X817" s="4"/>
    </row>
    <row r="818" spans="1:24" ht="15.75" thickBot="1">
      <c r="A818" s="3"/>
      <c r="B818" s="4"/>
      <c r="C818" s="4"/>
      <c r="D818" s="4"/>
      <c r="E818" s="4"/>
      <c r="F818" s="4"/>
      <c r="G818" s="4"/>
      <c r="H818" s="4"/>
      <c r="I818" s="4"/>
      <c r="J818" s="4"/>
      <c r="K818" s="4"/>
      <c r="L818" s="4"/>
      <c r="M818" s="4"/>
      <c r="N818" s="4"/>
      <c r="O818" s="4"/>
      <c r="P818" s="4"/>
      <c r="Q818" s="4"/>
      <c r="R818" s="4"/>
      <c r="S818" s="4"/>
      <c r="T818" s="4"/>
      <c r="U818" s="4"/>
      <c r="V818" s="4"/>
      <c r="W818" s="4"/>
      <c r="X818" s="4"/>
    </row>
    <row r="819" spans="1:24" ht="15.75" thickBot="1">
      <c r="A819" s="3"/>
      <c r="B819" s="4"/>
      <c r="C819" s="4"/>
      <c r="D819" s="4"/>
      <c r="E819" s="4"/>
      <c r="F819" s="4"/>
      <c r="G819" s="4"/>
      <c r="H819" s="4"/>
      <c r="I819" s="4"/>
      <c r="J819" s="4"/>
      <c r="K819" s="4"/>
      <c r="L819" s="4"/>
      <c r="M819" s="4"/>
      <c r="N819" s="4"/>
      <c r="O819" s="4"/>
      <c r="P819" s="4"/>
      <c r="Q819" s="4"/>
      <c r="R819" s="4"/>
      <c r="S819" s="4"/>
      <c r="T819" s="4"/>
      <c r="U819" s="4"/>
      <c r="V819" s="4"/>
      <c r="W819" s="4"/>
      <c r="X819" s="4"/>
    </row>
    <row r="820" spans="1:24" ht="15.75" thickBot="1">
      <c r="A820" s="3"/>
      <c r="B820" s="4"/>
      <c r="C820" s="4"/>
      <c r="D820" s="4"/>
      <c r="E820" s="4"/>
      <c r="F820" s="4"/>
      <c r="G820" s="4"/>
      <c r="H820" s="4"/>
      <c r="I820" s="4"/>
      <c r="J820" s="4"/>
      <c r="K820" s="4"/>
      <c r="L820" s="4"/>
      <c r="M820" s="4"/>
      <c r="N820" s="4"/>
      <c r="O820" s="4"/>
      <c r="P820" s="4"/>
      <c r="Q820" s="4"/>
      <c r="R820" s="4"/>
      <c r="S820" s="4"/>
      <c r="T820" s="4"/>
      <c r="U820" s="4"/>
      <c r="V820" s="4"/>
      <c r="W820" s="4"/>
      <c r="X820" s="4"/>
    </row>
    <row r="821" spans="1:24" ht="15.75" thickBot="1">
      <c r="A821" s="3"/>
      <c r="B821" s="4"/>
      <c r="C821" s="4"/>
      <c r="D821" s="4"/>
      <c r="E821" s="4"/>
      <c r="F821" s="4"/>
      <c r="G821" s="4"/>
      <c r="H821" s="4"/>
      <c r="I821" s="4"/>
      <c r="J821" s="4"/>
      <c r="K821" s="4"/>
      <c r="L821" s="4"/>
      <c r="M821" s="4"/>
      <c r="N821" s="4"/>
      <c r="O821" s="4"/>
      <c r="P821" s="4"/>
      <c r="Q821" s="4"/>
      <c r="R821" s="4"/>
      <c r="S821" s="4"/>
      <c r="T821" s="4"/>
      <c r="U821" s="4"/>
      <c r="V821" s="4"/>
      <c r="W821" s="4"/>
      <c r="X821" s="4"/>
    </row>
    <row r="822" spans="1:24" ht="15.75" thickBot="1">
      <c r="A822" s="3"/>
      <c r="B822" s="4"/>
      <c r="C822" s="4"/>
      <c r="D822" s="4"/>
      <c r="E822" s="4"/>
      <c r="F822" s="4"/>
      <c r="G822" s="4"/>
      <c r="H822" s="4"/>
      <c r="I822" s="4"/>
      <c r="J822" s="4"/>
      <c r="K822" s="4"/>
      <c r="L822" s="4"/>
      <c r="M822" s="4"/>
      <c r="N822" s="4"/>
      <c r="O822" s="4"/>
      <c r="P822" s="4"/>
      <c r="Q822" s="4"/>
      <c r="R822" s="4"/>
      <c r="S822" s="4"/>
      <c r="T822" s="4"/>
      <c r="U822" s="4"/>
      <c r="V822" s="4"/>
      <c r="W822" s="4"/>
      <c r="X822" s="4"/>
    </row>
    <row r="823" spans="1:24" ht="15.75" thickBot="1">
      <c r="A823" s="3"/>
      <c r="B823" s="4"/>
      <c r="C823" s="4"/>
      <c r="D823" s="4"/>
      <c r="E823" s="4"/>
      <c r="F823" s="4"/>
      <c r="G823" s="4"/>
      <c r="H823" s="4"/>
      <c r="I823" s="4"/>
      <c r="J823" s="4"/>
      <c r="K823" s="4"/>
      <c r="L823" s="4"/>
      <c r="M823" s="4"/>
      <c r="N823" s="4"/>
      <c r="O823" s="4"/>
      <c r="P823" s="4"/>
      <c r="Q823" s="4"/>
      <c r="R823" s="4"/>
      <c r="S823" s="4"/>
      <c r="T823" s="4"/>
      <c r="U823" s="4"/>
      <c r="V823" s="4"/>
      <c r="W823" s="4"/>
      <c r="X823" s="4"/>
    </row>
    <row r="824" spans="1:24" ht="15.75" thickBot="1">
      <c r="A824" s="3"/>
      <c r="B824" s="4"/>
      <c r="C824" s="4"/>
      <c r="D824" s="4"/>
      <c r="E824" s="4"/>
      <c r="F824" s="4"/>
      <c r="G824" s="4"/>
      <c r="H824" s="4"/>
      <c r="I824" s="4"/>
      <c r="J824" s="4"/>
      <c r="K824" s="4"/>
      <c r="L824" s="4"/>
      <c r="M824" s="4"/>
      <c r="N824" s="4"/>
      <c r="O824" s="4"/>
      <c r="P824" s="4"/>
      <c r="Q824" s="4"/>
      <c r="R824" s="4"/>
      <c r="S824" s="4"/>
      <c r="T824" s="4"/>
      <c r="U824" s="4"/>
      <c r="V824" s="4"/>
      <c r="W824" s="4"/>
      <c r="X824" s="4"/>
    </row>
    <row r="825" spans="1:24" ht="15.75" thickBot="1">
      <c r="A825" s="3"/>
      <c r="B825" s="4"/>
      <c r="C825" s="4"/>
      <c r="D825" s="4"/>
      <c r="E825" s="4"/>
      <c r="F825" s="4"/>
      <c r="G825" s="4"/>
      <c r="H825" s="4"/>
      <c r="I825" s="4"/>
      <c r="J825" s="4"/>
      <c r="K825" s="4"/>
      <c r="L825" s="4"/>
      <c r="M825" s="4"/>
      <c r="N825" s="4"/>
      <c r="O825" s="4"/>
      <c r="P825" s="4"/>
      <c r="Q825" s="4"/>
      <c r="R825" s="4"/>
      <c r="S825" s="4"/>
      <c r="T825" s="4"/>
      <c r="U825" s="4"/>
      <c r="V825" s="4"/>
      <c r="W825" s="4"/>
      <c r="X825" s="4"/>
    </row>
    <row r="826" spans="1:24" ht="15.75" thickBot="1">
      <c r="A826" s="3"/>
      <c r="B826" s="4"/>
      <c r="C826" s="4"/>
      <c r="D826" s="4"/>
      <c r="E826" s="4"/>
      <c r="F826" s="4"/>
      <c r="G826" s="4"/>
      <c r="H826" s="4"/>
      <c r="I826" s="4"/>
      <c r="J826" s="4"/>
      <c r="K826" s="4"/>
      <c r="L826" s="4"/>
      <c r="M826" s="4"/>
      <c r="N826" s="4"/>
      <c r="O826" s="4"/>
      <c r="P826" s="4"/>
      <c r="Q826" s="4"/>
      <c r="R826" s="4"/>
      <c r="S826" s="4"/>
      <c r="T826" s="4"/>
      <c r="U826" s="4"/>
      <c r="V826" s="4"/>
      <c r="W826" s="4"/>
      <c r="X826" s="4"/>
    </row>
    <row r="827" spans="1:24" ht="15.75" thickBot="1">
      <c r="A827" s="3"/>
      <c r="B827" s="4"/>
      <c r="C827" s="4"/>
      <c r="D827" s="4"/>
      <c r="E827" s="4"/>
      <c r="F827" s="4"/>
      <c r="G827" s="4"/>
      <c r="H827" s="4"/>
      <c r="I827" s="4"/>
      <c r="J827" s="4"/>
      <c r="K827" s="4"/>
      <c r="L827" s="4"/>
      <c r="M827" s="4"/>
      <c r="N827" s="4"/>
      <c r="O827" s="4"/>
      <c r="P827" s="4"/>
      <c r="Q827" s="4"/>
      <c r="R827" s="4"/>
      <c r="S827" s="4"/>
      <c r="T827" s="4"/>
      <c r="U827" s="4"/>
      <c r="V827" s="4"/>
      <c r="W827" s="4"/>
      <c r="X827" s="4"/>
    </row>
    <row r="828" spans="1:24" ht="15.75" thickBot="1">
      <c r="A828" s="3"/>
      <c r="B828" s="4"/>
      <c r="C828" s="4"/>
      <c r="D828" s="4"/>
      <c r="E828" s="4"/>
      <c r="F828" s="4"/>
      <c r="G828" s="4"/>
      <c r="H828" s="4"/>
      <c r="I828" s="4"/>
      <c r="J828" s="4"/>
      <c r="K828" s="4"/>
      <c r="L828" s="4"/>
      <c r="M828" s="4"/>
      <c r="N828" s="4"/>
      <c r="O828" s="4"/>
      <c r="P828" s="4"/>
      <c r="Q828" s="4"/>
      <c r="R828" s="4"/>
      <c r="S828" s="4"/>
      <c r="T828" s="4"/>
      <c r="U828" s="4"/>
      <c r="V828" s="4"/>
      <c r="W828" s="4"/>
      <c r="X828" s="4"/>
    </row>
    <row r="829" spans="1:24" ht="15.75" thickBot="1">
      <c r="A829" s="3"/>
      <c r="B829" s="4"/>
      <c r="C829" s="4"/>
      <c r="D829" s="4"/>
      <c r="E829" s="4"/>
      <c r="F829" s="4"/>
      <c r="G829" s="4"/>
      <c r="H829" s="4"/>
      <c r="I829" s="4"/>
      <c r="J829" s="4"/>
      <c r="K829" s="4"/>
      <c r="L829" s="4"/>
      <c r="M829" s="4"/>
      <c r="N829" s="4"/>
      <c r="O829" s="4"/>
      <c r="P829" s="4"/>
      <c r="Q829" s="4"/>
      <c r="R829" s="4"/>
      <c r="S829" s="4"/>
      <c r="T829" s="4"/>
      <c r="U829" s="4"/>
      <c r="V829" s="4"/>
      <c r="W829" s="4"/>
      <c r="X829" s="4"/>
    </row>
    <row r="830" spans="1:24" ht="15.75" thickBot="1">
      <c r="A830" s="3"/>
      <c r="B830" s="4"/>
      <c r="C830" s="4"/>
      <c r="D830" s="4"/>
      <c r="E830" s="4"/>
      <c r="F830" s="4"/>
      <c r="G830" s="4"/>
      <c r="H830" s="4"/>
      <c r="I830" s="4"/>
      <c r="J830" s="4"/>
      <c r="K830" s="4"/>
      <c r="L830" s="4"/>
      <c r="M830" s="4"/>
      <c r="N830" s="4"/>
      <c r="O830" s="4"/>
      <c r="P830" s="4"/>
      <c r="Q830" s="4"/>
      <c r="R830" s="4"/>
      <c r="S830" s="4"/>
      <c r="T830" s="4"/>
      <c r="U830" s="4"/>
      <c r="V830" s="4"/>
      <c r="W830" s="4"/>
      <c r="X830" s="4"/>
    </row>
    <row r="831" spans="1:24" ht="15.75" thickBot="1">
      <c r="A831" s="3"/>
      <c r="B831" s="4"/>
      <c r="C831" s="4"/>
      <c r="D831" s="4"/>
      <c r="E831" s="4"/>
      <c r="F831" s="4"/>
      <c r="G831" s="4"/>
      <c r="H831" s="4"/>
      <c r="I831" s="4"/>
      <c r="J831" s="4"/>
      <c r="K831" s="4"/>
      <c r="L831" s="4"/>
      <c r="M831" s="4"/>
      <c r="N831" s="4"/>
      <c r="O831" s="4"/>
      <c r="P831" s="4"/>
      <c r="Q831" s="4"/>
      <c r="R831" s="4"/>
      <c r="S831" s="4"/>
      <c r="T831" s="4"/>
      <c r="U831" s="4"/>
      <c r="V831" s="4"/>
      <c r="W831" s="4"/>
      <c r="X831" s="4"/>
    </row>
    <row r="832" spans="1:24" ht="15.75" thickBot="1">
      <c r="A832" s="3"/>
      <c r="B832" s="4"/>
      <c r="C832" s="4"/>
      <c r="D832" s="4"/>
      <c r="E832" s="4"/>
      <c r="F832" s="4"/>
      <c r="G832" s="4"/>
      <c r="H832" s="4"/>
      <c r="I832" s="4"/>
      <c r="J832" s="4"/>
      <c r="K832" s="4"/>
      <c r="L832" s="4"/>
      <c r="M832" s="4"/>
      <c r="N832" s="4"/>
      <c r="O832" s="4"/>
      <c r="P832" s="4"/>
      <c r="Q832" s="4"/>
      <c r="R832" s="4"/>
      <c r="S832" s="4"/>
      <c r="T832" s="4"/>
      <c r="U832" s="4"/>
      <c r="V832" s="4"/>
      <c r="W832" s="4"/>
      <c r="X832" s="4"/>
    </row>
    <row r="833" spans="1:24" ht="15.75" thickBot="1">
      <c r="A833" s="3"/>
      <c r="B833" s="4"/>
      <c r="C833" s="4"/>
      <c r="D833" s="4"/>
      <c r="E833" s="4"/>
      <c r="F833" s="4"/>
      <c r="G833" s="4"/>
      <c r="H833" s="4"/>
      <c r="I833" s="4"/>
      <c r="J833" s="4"/>
      <c r="K833" s="4"/>
      <c r="L833" s="4"/>
      <c r="M833" s="4"/>
      <c r="N833" s="4"/>
      <c r="O833" s="4"/>
      <c r="P833" s="4"/>
      <c r="Q833" s="4"/>
      <c r="R833" s="4"/>
      <c r="S833" s="4"/>
      <c r="T833" s="4"/>
      <c r="U833" s="4"/>
      <c r="V833" s="4"/>
      <c r="W833" s="4"/>
      <c r="X833" s="4"/>
    </row>
    <row r="834" spans="1:24" ht="15.75" thickBot="1">
      <c r="A834" s="3"/>
      <c r="B834" s="4"/>
      <c r="C834" s="4"/>
      <c r="D834" s="4"/>
      <c r="E834" s="4"/>
      <c r="F834" s="4"/>
      <c r="G834" s="4"/>
      <c r="H834" s="4"/>
      <c r="I834" s="4"/>
      <c r="J834" s="4"/>
      <c r="K834" s="4"/>
      <c r="L834" s="4"/>
      <c r="M834" s="4"/>
      <c r="N834" s="4"/>
      <c r="O834" s="4"/>
      <c r="P834" s="4"/>
      <c r="Q834" s="4"/>
      <c r="R834" s="4"/>
      <c r="S834" s="4"/>
      <c r="T834" s="4"/>
      <c r="U834" s="4"/>
      <c r="V834" s="4"/>
      <c r="W834" s="4"/>
      <c r="X834" s="4"/>
    </row>
    <row r="835" spans="1:24" ht="15.75" thickBot="1">
      <c r="A835" s="3"/>
      <c r="B835" s="4"/>
      <c r="C835" s="4"/>
      <c r="D835" s="4"/>
      <c r="E835" s="4"/>
      <c r="F835" s="4"/>
      <c r="G835" s="4"/>
      <c r="H835" s="4"/>
      <c r="I835" s="4"/>
      <c r="J835" s="4"/>
      <c r="K835" s="4"/>
      <c r="L835" s="4"/>
      <c r="M835" s="4"/>
      <c r="N835" s="4"/>
      <c r="O835" s="4"/>
      <c r="P835" s="4"/>
      <c r="Q835" s="4"/>
      <c r="R835" s="4"/>
      <c r="S835" s="4"/>
      <c r="T835" s="4"/>
      <c r="U835" s="4"/>
      <c r="V835" s="4"/>
      <c r="W835" s="4"/>
      <c r="X835" s="4"/>
    </row>
    <row r="836" spans="1:24" ht="15.75" thickBot="1">
      <c r="A836" s="3"/>
      <c r="B836" s="4"/>
      <c r="C836" s="4"/>
      <c r="D836" s="4"/>
      <c r="E836" s="4"/>
      <c r="F836" s="4"/>
      <c r="G836" s="4"/>
      <c r="H836" s="4"/>
      <c r="I836" s="4"/>
      <c r="J836" s="4"/>
      <c r="K836" s="4"/>
      <c r="L836" s="4"/>
      <c r="M836" s="4"/>
      <c r="N836" s="4"/>
      <c r="O836" s="4"/>
      <c r="P836" s="4"/>
      <c r="Q836" s="4"/>
      <c r="R836" s="4"/>
      <c r="S836" s="4"/>
      <c r="T836" s="4"/>
      <c r="U836" s="4"/>
      <c r="V836" s="4"/>
      <c r="W836" s="4"/>
      <c r="X836" s="4"/>
    </row>
    <row r="837" spans="1:24" ht="15.75" thickBot="1">
      <c r="A837" s="3"/>
      <c r="B837" s="4"/>
      <c r="C837" s="4"/>
      <c r="D837" s="4"/>
      <c r="E837" s="4"/>
      <c r="F837" s="4"/>
      <c r="G837" s="4"/>
      <c r="H837" s="4"/>
      <c r="I837" s="4"/>
      <c r="J837" s="4"/>
      <c r="K837" s="4"/>
      <c r="L837" s="4"/>
      <c r="M837" s="4"/>
      <c r="N837" s="4"/>
      <c r="O837" s="4"/>
      <c r="P837" s="4"/>
      <c r="Q837" s="4"/>
      <c r="R837" s="4"/>
      <c r="S837" s="4"/>
      <c r="T837" s="4"/>
      <c r="U837" s="4"/>
      <c r="V837" s="4"/>
      <c r="W837" s="4"/>
      <c r="X837" s="4"/>
    </row>
    <row r="838" spans="1:24" ht="15.75" thickBot="1">
      <c r="A838" s="3"/>
      <c r="B838" s="4"/>
      <c r="C838" s="4"/>
      <c r="D838" s="4"/>
      <c r="E838" s="4"/>
      <c r="F838" s="4"/>
      <c r="G838" s="4"/>
      <c r="H838" s="4"/>
      <c r="I838" s="4"/>
      <c r="J838" s="4"/>
      <c r="K838" s="4"/>
      <c r="L838" s="4"/>
      <c r="M838" s="4"/>
      <c r="N838" s="4"/>
      <c r="O838" s="4"/>
      <c r="P838" s="4"/>
      <c r="Q838" s="4"/>
      <c r="R838" s="4"/>
      <c r="S838" s="4"/>
      <c r="T838" s="4"/>
      <c r="U838" s="4"/>
      <c r="V838" s="4"/>
      <c r="W838" s="4"/>
      <c r="X838" s="4"/>
    </row>
    <row r="839" spans="1:24" ht="15.75" thickBot="1">
      <c r="A839" s="3"/>
      <c r="B839" s="4"/>
      <c r="C839" s="4"/>
      <c r="D839" s="4"/>
      <c r="E839" s="4"/>
      <c r="F839" s="4"/>
      <c r="G839" s="4"/>
      <c r="H839" s="4"/>
      <c r="I839" s="4"/>
      <c r="J839" s="4"/>
      <c r="K839" s="4"/>
      <c r="L839" s="4"/>
      <c r="M839" s="4"/>
      <c r="N839" s="4"/>
      <c r="O839" s="4"/>
      <c r="P839" s="4"/>
      <c r="Q839" s="4"/>
      <c r="R839" s="4"/>
      <c r="S839" s="4"/>
      <c r="T839" s="4"/>
      <c r="U839" s="4"/>
      <c r="V839" s="4"/>
      <c r="W839" s="4"/>
      <c r="X839" s="4"/>
    </row>
    <row r="840" spans="1:24" ht="15.75" thickBot="1">
      <c r="A840" s="3"/>
      <c r="B840" s="4"/>
      <c r="C840" s="4"/>
      <c r="D840" s="4"/>
      <c r="E840" s="4"/>
      <c r="F840" s="4"/>
      <c r="G840" s="4"/>
      <c r="H840" s="4"/>
      <c r="I840" s="4"/>
      <c r="J840" s="4"/>
      <c r="K840" s="4"/>
      <c r="L840" s="4"/>
      <c r="M840" s="4"/>
      <c r="N840" s="4"/>
      <c r="O840" s="4"/>
      <c r="P840" s="4"/>
      <c r="Q840" s="4"/>
      <c r="R840" s="4"/>
      <c r="S840" s="4"/>
      <c r="T840" s="4"/>
      <c r="U840" s="4"/>
      <c r="V840" s="4"/>
      <c r="W840" s="4"/>
      <c r="X840" s="4"/>
    </row>
    <row r="841" spans="1:24" ht="15.75" thickBot="1">
      <c r="A841" s="3"/>
      <c r="B841" s="4"/>
      <c r="C841" s="4"/>
      <c r="D841" s="4"/>
      <c r="E841" s="4"/>
      <c r="F841" s="4"/>
      <c r="G841" s="4"/>
      <c r="H841" s="4"/>
      <c r="I841" s="4"/>
      <c r="J841" s="4"/>
      <c r="K841" s="4"/>
      <c r="L841" s="4"/>
      <c r="M841" s="4"/>
      <c r="N841" s="4"/>
      <c r="O841" s="4"/>
      <c r="P841" s="4"/>
      <c r="Q841" s="4"/>
      <c r="R841" s="4"/>
      <c r="S841" s="4"/>
      <c r="T841" s="4"/>
      <c r="U841" s="4"/>
      <c r="V841" s="4"/>
      <c r="W841" s="4"/>
      <c r="X841" s="4"/>
    </row>
    <row r="842" spans="1:24" ht="15.75" thickBot="1">
      <c r="A842" s="3"/>
      <c r="B842" s="4"/>
      <c r="C842" s="4"/>
      <c r="D842" s="4"/>
      <c r="E842" s="4"/>
      <c r="F842" s="4"/>
      <c r="G842" s="4"/>
      <c r="H842" s="4"/>
      <c r="I842" s="4"/>
      <c r="J842" s="4"/>
      <c r="K842" s="4"/>
      <c r="L842" s="4"/>
      <c r="M842" s="4"/>
      <c r="N842" s="4"/>
      <c r="O842" s="4"/>
      <c r="P842" s="4"/>
      <c r="Q842" s="4"/>
      <c r="R842" s="4"/>
      <c r="S842" s="4"/>
      <c r="T842" s="4"/>
      <c r="U842" s="4"/>
      <c r="V842" s="4"/>
      <c r="W842" s="4"/>
      <c r="X842" s="4"/>
    </row>
    <row r="843" spans="1:24" ht="15.75" thickBot="1">
      <c r="A843" s="3"/>
      <c r="B843" s="4"/>
      <c r="C843" s="4"/>
      <c r="D843" s="4"/>
      <c r="E843" s="4"/>
      <c r="F843" s="4"/>
      <c r="G843" s="4"/>
      <c r="H843" s="4"/>
      <c r="I843" s="4"/>
      <c r="J843" s="4"/>
      <c r="K843" s="4"/>
      <c r="L843" s="4"/>
      <c r="M843" s="4"/>
      <c r="N843" s="4"/>
      <c r="O843" s="4"/>
      <c r="P843" s="4"/>
      <c r="Q843" s="4"/>
      <c r="R843" s="4"/>
      <c r="S843" s="4"/>
      <c r="T843" s="4"/>
      <c r="U843" s="4"/>
      <c r="V843" s="4"/>
      <c r="W843" s="4"/>
      <c r="X843" s="4"/>
    </row>
    <row r="844" spans="1:24" ht="15.75" thickBot="1">
      <c r="A844" s="3"/>
      <c r="B844" s="4"/>
      <c r="C844" s="4"/>
      <c r="D844" s="4"/>
      <c r="E844" s="4"/>
      <c r="F844" s="4"/>
      <c r="G844" s="4"/>
      <c r="H844" s="4"/>
      <c r="I844" s="4"/>
      <c r="J844" s="4"/>
      <c r="K844" s="4"/>
      <c r="L844" s="4"/>
      <c r="M844" s="4"/>
      <c r="N844" s="4"/>
      <c r="O844" s="4"/>
      <c r="P844" s="4"/>
      <c r="Q844" s="4"/>
      <c r="R844" s="4"/>
      <c r="S844" s="4"/>
      <c r="T844" s="4"/>
      <c r="U844" s="4"/>
      <c r="V844" s="4"/>
      <c r="W844" s="4"/>
      <c r="X844" s="4"/>
    </row>
    <row r="845" spans="1:24" ht="15.75" thickBot="1">
      <c r="A845" s="3"/>
      <c r="B845" s="4"/>
      <c r="C845" s="4"/>
      <c r="D845" s="4"/>
      <c r="E845" s="4"/>
      <c r="F845" s="4"/>
      <c r="G845" s="4"/>
      <c r="H845" s="4"/>
      <c r="I845" s="4"/>
      <c r="J845" s="4"/>
      <c r="K845" s="4"/>
      <c r="L845" s="4"/>
      <c r="M845" s="4"/>
      <c r="N845" s="4"/>
      <c r="O845" s="4"/>
      <c r="P845" s="4"/>
      <c r="Q845" s="4"/>
      <c r="R845" s="4"/>
      <c r="S845" s="4"/>
      <c r="T845" s="4"/>
      <c r="U845" s="4"/>
      <c r="V845" s="4"/>
      <c r="W845" s="4"/>
      <c r="X845" s="4"/>
    </row>
    <row r="846" spans="1:24" ht="15.75" thickBot="1">
      <c r="A846" s="3"/>
      <c r="B846" s="4"/>
      <c r="C846" s="4"/>
      <c r="D846" s="4"/>
      <c r="E846" s="4"/>
      <c r="F846" s="4"/>
      <c r="G846" s="4"/>
      <c r="H846" s="4"/>
      <c r="I846" s="4"/>
      <c r="J846" s="4"/>
      <c r="K846" s="4"/>
      <c r="L846" s="4"/>
      <c r="M846" s="4"/>
      <c r="N846" s="4"/>
      <c r="O846" s="4"/>
      <c r="P846" s="4"/>
      <c r="Q846" s="4"/>
      <c r="R846" s="4"/>
      <c r="S846" s="4"/>
      <c r="T846" s="4"/>
      <c r="U846" s="4"/>
      <c r="V846" s="4"/>
      <c r="W846" s="4"/>
      <c r="X846" s="4"/>
    </row>
    <row r="847" spans="1:24" ht="15.75" thickBot="1">
      <c r="A847" s="3"/>
      <c r="B847" s="4"/>
      <c r="C847" s="4"/>
      <c r="D847" s="4"/>
      <c r="E847" s="4"/>
      <c r="F847" s="4"/>
      <c r="G847" s="4"/>
      <c r="H847" s="4"/>
      <c r="I847" s="4"/>
      <c r="J847" s="4"/>
      <c r="K847" s="4"/>
      <c r="L847" s="4"/>
      <c r="M847" s="4"/>
      <c r="N847" s="4"/>
      <c r="O847" s="4"/>
      <c r="P847" s="4"/>
      <c r="Q847" s="4"/>
      <c r="R847" s="4"/>
      <c r="S847" s="4"/>
      <c r="T847" s="4"/>
      <c r="U847" s="4"/>
      <c r="V847" s="4"/>
      <c r="W847" s="4"/>
      <c r="X847" s="4"/>
    </row>
    <row r="848" spans="1:24" ht="15.75" thickBot="1">
      <c r="A848" s="3"/>
      <c r="B848" s="4"/>
      <c r="C848" s="4"/>
      <c r="D848" s="4"/>
      <c r="E848" s="4"/>
      <c r="F848" s="4"/>
      <c r="G848" s="4"/>
      <c r="H848" s="4"/>
      <c r="I848" s="4"/>
      <c r="J848" s="4"/>
      <c r="K848" s="4"/>
      <c r="L848" s="4"/>
      <c r="M848" s="4"/>
      <c r="N848" s="4"/>
      <c r="O848" s="4"/>
      <c r="P848" s="4"/>
      <c r="Q848" s="4"/>
      <c r="R848" s="4"/>
      <c r="S848" s="4"/>
      <c r="T848" s="4"/>
      <c r="U848" s="4"/>
      <c r="V848" s="4"/>
      <c r="W848" s="4"/>
      <c r="X848" s="4"/>
    </row>
    <row r="849" spans="1:24" ht="15.75" thickBot="1">
      <c r="A849" s="3"/>
      <c r="B849" s="4"/>
      <c r="C849" s="4"/>
      <c r="D849" s="4"/>
      <c r="E849" s="4"/>
      <c r="F849" s="4"/>
      <c r="G849" s="4"/>
      <c r="H849" s="4"/>
      <c r="I849" s="4"/>
      <c r="J849" s="4"/>
      <c r="K849" s="4"/>
      <c r="L849" s="4"/>
      <c r="M849" s="4"/>
      <c r="N849" s="4"/>
      <c r="O849" s="4"/>
      <c r="P849" s="4"/>
      <c r="Q849" s="4"/>
      <c r="R849" s="4"/>
      <c r="S849" s="4"/>
      <c r="T849" s="4"/>
      <c r="U849" s="4"/>
      <c r="V849" s="4"/>
      <c r="W849" s="4"/>
      <c r="X849" s="4"/>
    </row>
    <row r="850" spans="1:24" ht="15.75" thickBot="1">
      <c r="A850" s="3"/>
      <c r="B850" s="4"/>
      <c r="C850" s="4"/>
      <c r="D850" s="4"/>
      <c r="E850" s="4"/>
      <c r="F850" s="4"/>
      <c r="G850" s="4"/>
      <c r="H850" s="4"/>
      <c r="I850" s="4"/>
      <c r="J850" s="4"/>
      <c r="K850" s="4"/>
      <c r="L850" s="4"/>
      <c r="M850" s="4"/>
      <c r="N850" s="4"/>
      <c r="O850" s="4"/>
      <c r="P850" s="4"/>
      <c r="Q850" s="4"/>
      <c r="R850" s="4"/>
      <c r="S850" s="4"/>
      <c r="T850" s="4"/>
      <c r="U850" s="4"/>
      <c r="V850" s="4"/>
      <c r="W850" s="4"/>
      <c r="X850" s="4"/>
    </row>
    <row r="851" spans="1:24" ht="15.75" thickBot="1">
      <c r="A851" s="3"/>
      <c r="B851" s="4"/>
      <c r="C851" s="4"/>
      <c r="D851" s="4"/>
      <c r="E851" s="4"/>
      <c r="F851" s="4"/>
      <c r="G851" s="4"/>
      <c r="H851" s="4"/>
      <c r="I851" s="4"/>
      <c r="J851" s="4"/>
      <c r="K851" s="4"/>
      <c r="L851" s="4"/>
      <c r="M851" s="4"/>
      <c r="N851" s="4"/>
      <c r="O851" s="4"/>
      <c r="P851" s="4"/>
      <c r="Q851" s="4"/>
      <c r="R851" s="4"/>
      <c r="S851" s="4"/>
      <c r="T851" s="4"/>
      <c r="U851" s="4"/>
      <c r="V851" s="4"/>
      <c r="W851" s="4"/>
      <c r="X851" s="4"/>
    </row>
    <row r="852" spans="1:24" ht="15.75" thickBot="1">
      <c r="A852" s="3"/>
      <c r="B852" s="4"/>
      <c r="C852" s="4"/>
      <c r="D852" s="4"/>
      <c r="E852" s="4"/>
      <c r="F852" s="4"/>
      <c r="G852" s="4"/>
      <c r="H852" s="4"/>
      <c r="I852" s="4"/>
      <c r="J852" s="4"/>
      <c r="K852" s="4"/>
      <c r="L852" s="4"/>
      <c r="M852" s="4"/>
      <c r="N852" s="4"/>
      <c r="O852" s="4"/>
      <c r="P852" s="4"/>
      <c r="Q852" s="4"/>
      <c r="R852" s="4"/>
      <c r="S852" s="4"/>
      <c r="T852" s="4"/>
      <c r="U852" s="4"/>
      <c r="V852" s="4"/>
      <c r="W852" s="4"/>
      <c r="X852" s="4"/>
    </row>
    <row r="853" spans="1:24" ht="15.75" thickBot="1">
      <c r="A853" s="3"/>
      <c r="B853" s="4"/>
      <c r="C853" s="4"/>
      <c r="D853" s="4"/>
      <c r="E853" s="4"/>
      <c r="F853" s="4"/>
      <c r="G853" s="4"/>
      <c r="H853" s="4"/>
      <c r="I853" s="4"/>
      <c r="J853" s="4"/>
      <c r="K853" s="4"/>
      <c r="L853" s="4"/>
      <c r="M853" s="4"/>
      <c r="N853" s="4"/>
      <c r="O853" s="4"/>
      <c r="P853" s="4"/>
      <c r="Q853" s="4"/>
      <c r="R853" s="4"/>
      <c r="S853" s="4"/>
      <c r="T853" s="4"/>
      <c r="U853" s="4"/>
      <c r="V853" s="4"/>
      <c r="W853" s="4"/>
      <c r="X853" s="4"/>
    </row>
    <row r="854" spans="1:24" ht="15.75" thickBot="1">
      <c r="A854" s="3"/>
      <c r="B854" s="4"/>
      <c r="C854" s="4"/>
      <c r="D854" s="4"/>
      <c r="E854" s="4"/>
      <c r="F854" s="4"/>
      <c r="G854" s="4"/>
      <c r="H854" s="4"/>
      <c r="I854" s="4"/>
      <c r="J854" s="4"/>
      <c r="K854" s="4"/>
      <c r="L854" s="4"/>
      <c r="M854" s="4"/>
      <c r="N854" s="4"/>
      <c r="O854" s="4"/>
      <c r="P854" s="4"/>
      <c r="Q854" s="4"/>
      <c r="R854" s="4"/>
      <c r="S854" s="4"/>
      <c r="T854" s="4"/>
      <c r="U854" s="4"/>
      <c r="V854" s="4"/>
      <c r="W854" s="4"/>
      <c r="X854" s="4"/>
    </row>
    <row r="855" spans="1:24" ht="15.75" thickBot="1">
      <c r="A855" s="3"/>
      <c r="B855" s="4"/>
      <c r="C855" s="4"/>
      <c r="D855" s="4"/>
      <c r="E855" s="4"/>
      <c r="F855" s="4"/>
      <c r="G855" s="4"/>
      <c r="H855" s="4"/>
      <c r="I855" s="4"/>
      <c r="J855" s="4"/>
      <c r="K855" s="4"/>
      <c r="L855" s="4"/>
      <c r="M855" s="4"/>
      <c r="N855" s="4"/>
      <c r="O855" s="4"/>
      <c r="P855" s="4"/>
      <c r="Q855" s="4"/>
      <c r="R855" s="4"/>
      <c r="S855" s="4"/>
      <c r="T855" s="4"/>
      <c r="U855" s="4"/>
      <c r="V855" s="4"/>
      <c r="W855" s="4"/>
      <c r="X855" s="4"/>
    </row>
    <row r="856" spans="1:24" ht="15.75" thickBot="1">
      <c r="A856" s="3"/>
      <c r="B856" s="4"/>
      <c r="C856" s="4"/>
      <c r="D856" s="4"/>
      <c r="E856" s="4"/>
      <c r="F856" s="4"/>
      <c r="G856" s="4"/>
      <c r="H856" s="4"/>
      <c r="I856" s="4"/>
      <c r="J856" s="4"/>
      <c r="K856" s="4"/>
      <c r="L856" s="4"/>
      <c r="M856" s="4"/>
      <c r="N856" s="4"/>
      <c r="O856" s="4"/>
      <c r="P856" s="4"/>
      <c r="Q856" s="4"/>
      <c r="R856" s="4"/>
      <c r="S856" s="4"/>
      <c r="T856" s="4"/>
      <c r="U856" s="4"/>
      <c r="V856" s="4"/>
      <c r="W856" s="4"/>
      <c r="X856" s="4"/>
    </row>
    <row r="857" spans="1:24" ht="15.75" thickBot="1">
      <c r="A857" s="3"/>
      <c r="B857" s="4"/>
      <c r="C857" s="4"/>
      <c r="D857" s="4"/>
      <c r="E857" s="4"/>
      <c r="F857" s="4"/>
      <c r="G857" s="4"/>
      <c r="H857" s="4"/>
      <c r="I857" s="4"/>
      <c r="J857" s="4"/>
      <c r="K857" s="4"/>
      <c r="L857" s="4"/>
      <c r="M857" s="4"/>
      <c r="N857" s="4"/>
      <c r="O857" s="4"/>
      <c r="P857" s="4"/>
      <c r="Q857" s="4"/>
      <c r="R857" s="4"/>
      <c r="S857" s="4"/>
      <c r="T857" s="4"/>
      <c r="U857" s="4"/>
      <c r="V857" s="4"/>
      <c r="W857" s="4"/>
      <c r="X857" s="4"/>
    </row>
    <row r="858" spans="1:24" ht="15.75" thickBot="1">
      <c r="A858" s="3"/>
      <c r="B858" s="4"/>
      <c r="C858" s="4"/>
      <c r="D858" s="4"/>
      <c r="E858" s="4"/>
      <c r="F858" s="4"/>
      <c r="G858" s="4"/>
      <c r="H858" s="4"/>
      <c r="I858" s="4"/>
      <c r="J858" s="4"/>
      <c r="K858" s="4"/>
      <c r="L858" s="4"/>
      <c r="M858" s="4"/>
      <c r="N858" s="4"/>
      <c r="O858" s="4"/>
      <c r="P858" s="4"/>
      <c r="Q858" s="4"/>
      <c r="R858" s="4"/>
      <c r="S858" s="4"/>
      <c r="T858" s="4"/>
      <c r="U858" s="4"/>
      <c r="V858" s="4"/>
      <c r="W858" s="4"/>
      <c r="X858" s="4"/>
    </row>
    <row r="859" spans="1:24" ht="15.75" thickBot="1">
      <c r="A859" s="3"/>
      <c r="B859" s="4"/>
      <c r="C859" s="4"/>
      <c r="D859" s="4"/>
      <c r="E859" s="4"/>
      <c r="F859" s="4"/>
      <c r="G859" s="4"/>
      <c r="H859" s="4"/>
      <c r="I859" s="4"/>
      <c r="J859" s="4"/>
      <c r="K859" s="4"/>
      <c r="L859" s="4"/>
      <c r="M859" s="4"/>
      <c r="N859" s="4"/>
      <c r="O859" s="4"/>
      <c r="P859" s="4"/>
      <c r="Q859" s="4"/>
      <c r="R859" s="4"/>
      <c r="S859" s="4"/>
      <c r="T859" s="4"/>
      <c r="U859" s="4"/>
      <c r="V859" s="4"/>
      <c r="W859" s="4"/>
      <c r="X859" s="4"/>
    </row>
    <row r="860" spans="1:24" ht="15.75" thickBot="1">
      <c r="A860" s="3"/>
      <c r="B860" s="4"/>
      <c r="C860" s="4"/>
      <c r="D860" s="4"/>
      <c r="E860" s="4"/>
      <c r="F860" s="4"/>
      <c r="G860" s="4"/>
      <c r="H860" s="4"/>
      <c r="I860" s="4"/>
      <c r="J860" s="4"/>
      <c r="K860" s="4"/>
      <c r="L860" s="4"/>
      <c r="M860" s="4"/>
      <c r="N860" s="4"/>
      <c r="O860" s="4"/>
      <c r="P860" s="4"/>
      <c r="Q860" s="4"/>
      <c r="R860" s="4"/>
      <c r="S860" s="4"/>
      <c r="T860" s="4"/>
      <c r="U860" s="4"/>
      <c r="V860" s="4"/>
      <c r="W860" s="4"/>
      <c r="X860" s="4"/>
    </row>
    <row r="861" spans="1:24" ht="15.75" thickBot="1">
      <c r="A861" s="3"/>
      <c r="B861" s="4"/>
      <c r="C861" s="4"/>
      <c r="D861" s="4"/>
      <c r="E861" s="4"/>
      <c r="F861" s="4"/>
      <c r="G861" s="4"/>
      <c r="H861" s="4"/>
      <c r="I861" s="4"/>
      <c r="J861" s="4"/>
      <c r="K861" s="4"/>
      <c r="L861" s="4"/>
      <c r="M861" s="4"/>
      <c r="N861" s="4"/>
      <c r="O861" s="4"/>
      <c r="P861" s="4"/>
      <c r="Q861" s="4"/>
      <c r="R861" s="4"/>
      <c r="S861" s="4"/>
      <c r="T861" s="4"/>
      <c r="U861" s="4"/>
      <c r="V861" s="4"/>
      <c r="W861" s="4"/>
      <c r="X861" s="4"/>
    </row>
    <row r="862" spans="1:24" ht="15.75" thickBot="1">
      <c r="A862" s="3"/>
      <c r="B862" s="4"/>
      <c r="C862" s="4"/>
      <c r="D862" s="4"/>
      <c r="E862" s="4"/>
      <c r="F862" s="4"/>
      <c r="G862" s="4"/>
      <c r="H862" s="4"/>
      <c r="I862" s="4"/>
      <c r="J862" s="4"/>
      <c r="K862" s="4"/>
      <c r="L862" s="4"/>
      <c r="M862" s="4"/>
      <c r="N862" s="4"/>
      <c r="O862" s="4"/>
      <c r="P862" s="4"/>
      <c r="Q862" s="4"/>
      <c r="R862" s="4"/>
      <c r="S862" s="4"/>
      <c r="T862" s="4"/>
      <c r="U862" s="4"/>
      <c r="V862" s="4"/>
      <c r="W862" s="4"/>
      <c r="X862" s="4"/>
    </row>
    <row r="863" spans="1:24" ht="15.75" thickBot="1">
      <c r="A863" s="3"/>
      <c r="B863" s="4"/>
      <c r="C863" s="4"/>
      <c r="D863" s="4"/>
      <c r="E863" s="4"/>
      <c r="F863" s="4"/>
      <c r="G863" s="4"/>
      <c r="H863" s="4"/>
      <c r="I863" s="4"/>
      <c r="J863" s="4"/>
      <c r="K863" s="4"/>
      <c r="L863" s="4"/>
      <c r="M863" s="4"/>
      <c r="N863" s="4"/>
      <c r="O863" s="4"/>
      <c r="P863" s="4"/>
      <c r="Q863" s="4"/>
      <c r="R863" s="4"/>
      <c r="S863" s="4"/>
      <c r="T863" s="4"/>
      <c r="U863" s="4"/>
      <c r="V863" s="4"/>
      <c r="W863" s="4"/>
      <c r="X863" s="4"/>
    </row>
    <row r="864" spans="1:24" ht="15.75" thickBot="1">
      <c r="A864" s="3"/>
      <c r="B864" s="4"/>
      <c r="C864" s="4"/>
      <c r="D864" s="4"/>
      <c r="E864" s="4"/>
      <c r="F864" s="4"/>
      <c r="G864" s="4"/>
      <c r="H864" s="4"/>
      <c r="I864" s="4"/>
      <c r="J864" s="4"/>
      <c r="K864" s="4"/>
      <c r="L864" s="4"/>
      <c r="M864" s="4"/>
      <c r="N864" s="4"/>
      <c r="O864" s="4"/>
      <c r="P864" s="4"/>
      <c r="Q864" s="4"/>
      <c r="R864" s="4"/>
      <c r="S864" s="4"/>
      <c r="T864" s="4"/>
      <c r="U864" s="4"/>
      <c r="V864" s="4"/>
      <c r="W864" s="4"/>
      <c r="X864" s="4"/>
    </row>
    <row r="865" spans="1:24" ht="15.75" thickBot="1">
      <c r="A865" s="3"/>
      <c r="B865" s="4"/>
      <c r="C865" s="4"/>
      <c r="D865" s="4"/>
      <c r="E865" s="4"/>
      <c r="F865" s="4"/>
      <c r="G865" s="4"/>
      <c r="H865" s="4"/>
      <c r="I865" s="4"/>
      <c r="J865" s="4"/>
      <c r="K865" s="4"/>
      <c r="L865" s="4"/>
      <c r="M865" s="4"/>
      <c r="N865" s="4"/>
      <c r="O865" s="4"/>
      <c r="P865" s="4"/>
      <c r="Q865" s="4"/>
      <c r="R865" s="4"/>
      <c r="S865" s="4"/>
      <c r="T865" s="4"/>
      <c r="U865" s="4"/>
      <c r="V865" s="4"/>
      <c r="W865" s="4"/>
      <c r="X865" s="4"/>
    </row>
    <row r="866" spans="1:24" ht="15.75" thickBot="1">
      <c r="A866" s="3"/>
      <c r="B866" s="4"/>
      <c r="C866" s="4"/>
      <c r="D866" s="4"/>
      <c r="E866" s="4"/>
      <c r="F866" s="4"/>
      <c r="G866" s="4"/>
      <c r="H866" s="4"/>
      <c r="I866" s="4"/>
      <c r="J866" s="4"/>
      <c r="K866" s="4"/>
      <c r="L866" s="4"/>
      <c r="M866" s="4"/>
      <c r="N866" s="4"/>
      <c r="O866" s="4"/>
      <c r="P866" s="4"/>
      <c r="Q866" s="4"/>
      <c r="R866" s="4"/>
      <c r="S866" s="4"/>
      <c r="T866" s="4"/>
      <c r="U866" s="4"/>
      <c r="V866" s="4"/>
      <c r="W866" s="4"/>
      <c r="X866" s="4"/>
    </row>
    <row r="867" spans="1:24" ht="15.75" thickBot="1">
      <c r="A867" s="3"/>
      <c r="B867" s="4"/>
      <c r="C867" s="4"/>
      <c r="D867" s="4"/>
      <c r="E867" s="4"/>
      <c r="F867" s="4"/>
      <c r="G867" s="4"/>
      <c r="H867" s="4"/>
      <c r="I867" s="4"/>
      <c r="J867" s="4"/>
      <c r="K867" s="4"/>
      <c r="L867" s="4"/>
      <c r="M867" s="4"/>
      <c r="N867" s="4"/>
      <c r="O867" s="4"/>
      <c r="P867" s="4"/>
      <c r="Q867" s="4"/>
      <c r="R867" s="4"/>
      <c r="S867" s="4"/>
      <c r="T867" s="4"/>
      <c r="U867" s="4"/>
      <c r="V867" s="4"/>
      <c r="W867" s="4"/>
      <c r="X867" s="4"/>
    </row>
    <row r="868" spans="1:24" ht="15.75" thickBot="1">
      <c r="A868" s="3"/>
      <c r="B868" s="4"/>
      <c r="C868" s="4"/>
      <c r="D868" s="4"/>
      <c r="E868" s="4"/>
      <c r="F868" s="4"/>
      <c r="G868" s="4"/>
      <c r="H868" s="4"/>
      <c r="I868" s="4"/>
      <c r="J868" s="4"/>
      <c r="K868" s="4"/>
      <c r="L868" s="4"/>
      <c r="M868" s="4"/>
      <c r="N868" s="4"/>
      <c r="O868" s="4"/>
      <c r="P868" s="4"/>
      <c r="Q868" s="4"/>
      <c r="R868" s="4"/>
      <c r="S868" s="4"/>
      <c r="T868" s="4"/>
      <c r="U868" s="4"/>
      <c r="V868" s="4"/>
      <c r="W868" s="4"/>
      <c r="X868" s="4"/>
    </row>
    <row r="869" spans="1:24" ht="15.75" thickBot="1">
      <c r="A869" s="3"/>
      <c r="B869" s="4"/>
      <c r="C869" s="4"/>
      <c r="D869" s="4"/>
      <c r="E869" s="4"/>
      <c r="F869" s="4"/>
      <c r="G869" s="4"/>
      <c r="H869" s="4"/>
      <c r="I869" s="4"/>
      <c r="J869" s="4"/>
      <c r="K869" s="4"/>
      <c r="L869" s="4"/>
      <c r="M869" s="4"/>
      <c r="N869" s="4"/>
      <c r="O869" s="4"/>
      <c r="P869" s="4"/>
      <c r="Q869" s="4"/>
      <c r="R869" s="4"/>
      <c r="S869" s="4"/>
      <c r="T869" s="4"/>
      <c r="U869" s="4"/>
      <c r="V869" s="4"/>
      <c r="W869" s="4"/>
      <c r="X869" s="4"/>
    </row>
    <row r="870" spans="1:24" ht="15.75" thickBot="1">
      <c r="A870" s="3"/>
      <c r="B870" s="4"/>
      <c r="C870" s="4"/>
      <c r="D870" s="4"/>
      <c r="E870" s="4"/>
      <c r="F870" s="4"/>
      <c r="G870" s="4"/>
      <c r="H870" s="4"/>
      <c r="I870" s="4"/>
      <c r="J870" s="4"/>
      <c r="K870" s="4"/>
      <c r="L870" s="4"/>
      <c r="M870" s="4"/>
      <c r="N870" s="4"/>
      <c r="O870" s="4"/>
      <c r="P870" s="4"/>
      <c r="Q870" s="4"/>
      <c r="R870" s="4"/>
      <c r="S870" s="4"/>
      <c r="T870" s="4"/>
      <c r="U870" s="4"/>
      <c r="V870" s="4"/>
      <c r="W870" s="4"/>
      <c r="X870" s="4"/>
    </row>
    <row r="871" spans="1:24" ht="15.75" thickBot="1">
      <c r="A871" s="3"/>
      <c r="B871" s="4"/>
      <c r="C871" s="4"/>
      <c r="D871" s="4"/>
      <c r="E871" s="4"/>
      <c r="F871" s="4"/>
      <c r="G871" s="4"/>
      <c r="H871" s="4"/>
      <c r="I871" s="4"/>
      <c r="J871" s="4"/>
      <c r="K871" s="4"/>
      <c r="L871" s="4"/>
      <c r="M871" s="4"/>
      <c r="N871" s="4"/>
      <c r="O871" s="4"/>
      <c r="P871" s="4"/>
      <c r="Q871" s="4"/>
      <c r="R871" s="4"/>
      <c r="S871" s="4"/>
      <c r="T871" s="4"/>
      <c r="U871" s="4"/>
      <c r="V871" s="4"/>
      <c r="W871" s="4"/>
      <c r="X871" s="4"/>
    </row>
    <row r="872" spans="1:24" ht="15.75" thickBot="1">
      <c r="A872" s="3"/>
      <c r="B872" s="4"/>
      <c r="C872" s="4"/>
      <c r="D872" s="4"/>
      <c r="E872" s="4"/>
      <c r="F872" s="4"/>
      <c r="G872" s="4"/>
      <c r="H872" s="4"/>
      <c r="I872" s="4"/>
      <c r="J872" s="4"/>
      <c r="K872" s="4"/>
      <c r="L872" s="4"/>
      <c r="M872" s="4"/>
      <c r="N872" s="4"/>
      <c r="O872" s="4"/>
      <c r="P872" s="4"/>
      <c r="Q872" s="4"/>
      <c r="R872" s="4"/>
      <c r="S872" s="4"/>
      <c r="T872" s="4"/>
      <c r="U872" s="4"/>
      <c r="V872" s="4"/>
      <c r="W872" s="4"/>
      <c r="X872" s="4"/>
    </row>
    <row r="873" spans="1:24" ht="15.75" thickBot="1">
      <c r="A873" s="3"/>
      <c r="B873" s="4"/>
      <c r="C873" s="4"/>
      <c r="D873" s="4"/>
      <c r="E873" s="4"/>
      <c r="F873" s="4"/>
      <c r="G873" s="4"/>
      <c r="H873" s="4"/>
      <c r="I873" s="4"/>
      <c r="J873" s="4"/>
      <c r="K873" s="4"/>
      <c r="L873" s="4"/>
      <c r="M873" s="4"/>
      <c r="N873" s="4"/>
      <c r="O873" s="4"/>
      <c r="P873" s="4"/>
      <c r="Q873" s="4"/>
      <c r="R873" s="4"/>
      <c r="S873" s="4"/>
      <c r="T873" s="4"/>
      <c r="U873" s="4"/>
      <c r="V873" s="4"/>
      <c r="W873" s="4"/>
      <c r="X873" s="4"/>
    </row>
    <row r="874" spans="1:24" ht="15.75" thickBot="1">
      <c r="A874" s="3"/>
      <c r="B874" s="4"/>
      <c r="C874" s="4"/>
      <c r="D874" s="4"/>
      <c r="E874" s="4"/>
      <c r="F874" s="4"/>
      <c r="G874" s="4"/>
      <c r="H874" s="4"/>
      <c r="I874" s="4"/>
      <c r="J874" s="4"/>
      <c r="K874" s="4"/>
      <c r="L874" s="4"/>
      <c r="M874" s="4"/>
      <c r="N874" s="4"/>
      <c r="O874" s="4"/>
      <c r="P874" s="4"/>
      <c r="Q874" s="4"/>
      <c r="R874" s="4"/>
      <c r="S874" s="4"/>
      <c r="T874" s="4"/>
      <c r="U874" s="4"/>
      <c r="V874" s="4"/>
      <c r="W874" s="4"/>
      <c r="X874" s="4"/>
    </row>
    <row r="875" spans="1:24" ht="15.75" thickBot="1">
      <c r="A875" s="3"/>
      <c r="B875" s="4"/>
      <c r="C875" s="4"/>
      <c r="D875" s="4"/>
      <c r="E875" s="4"/>
      <c r="F875" s="4"/>
      <c r="G875" s="4"/>
      <c r="H875" s="4"/>
      <c r="I875" s="4"/>
      <c r="J875" s="4"/>
      <c r="K875" s="4"/>
      <c r="L875" s="4"/>
      <c r="M875" s="4"/>
      <c r="N875" s="4"/>
      <c r="O875" s="4"/>
      <c r="P875" s="4"/>
      <c r="Q875" s="4"/>
      <c r="R875" s="4"/>
      <c r="S875" s="4"/>
      <c r="T875" s="4"/>
      <c r="U875" s="4"/>
      <c r="V875" s="4"/>
      <c r="W875" s="4"/>
      <c r="X875" s="4"/>
    </row>
    <row r="876" spans="1:24" ht="15.75" thickBot="1">
      <c r="A876" s="3"/>
      <c r="B876" s="4"/>
      <c r="C876" s="4"/>
      <c r="D876" s="4"/>
      <c r="E876" s="4"/>
      <c r="F876" s="4"/>
      <c r="G876" s="4"/>
      <c r="H876" s="4"/>
      <c r="I876" s="4"/>
      <c r="J876" s="4"/>
      <c r="K876" s="4"/>
      <c r="L876" s="4"/>
      <c r="M876" s="4"/>
      <c r="N876" s="4"/>
      <c r="O876" s="4"/>
      <c r="P876" s="4"/>
      <c r="Q876" s="4"/>
      <c r="R876" s="4"/>
      <c r="S876" s="4"/>
      <c r="T876" s="4"/>
      <c r="U876" s="4"/>
      <c r="V876" s="4"/>
      <c r="W876" s="4"/>
      <c r="X876" s="4"/>
    </row>
    <row r="877" spans="1:24" ht="15.75" thickBot="1">
      <c r="A877" s="3"/>
      <c r="B877" s="4"/>
      <c r="C877" s="4"/>
      <c r="D877" s="4"/>
      <c r="E877" s="4"/>
      <c r="F877" s="4"/>
      <c r="G877" s="4"/>
      <c r="H877" s="4"/>
      <c r="I877" s="4"/>
      <c r="J877" s="4"/>
      <c r="K877" s="4"/>
      <c r="L877" s="4"/>
      <c r="M877" s="4"/>
      <c r="N877" s="4"/>
      <c r="O877" s="4"/>
      <c r="P877" s="4"/>
      <c r="Q877" s="4"/>
      <c r="R877" s="4"/>
      <c r="S877" s="4"/>
      <c r="T877" s="4"/>
      <c r="U877" s="4"/>
      <c r="V877" s="4"/>
      <c r="W877" s="4"/>
      <c r="X877" s="4"/>
    </row>
    <row r="878" spans="1:24" ht="15.75" thickBot="1">
      <c r="A878" s="3"/>
      <c r="B878" s="4"/>
      <c r="C878" s="4"/>
      <c r="D878" s="4"/>
      <c r="E878" s="4"/>
      <c r="F878" s="4"/>
      <c r="G878" s="4"/>
      <c r="H878" s="4"/>
      <c r="I878" s="4"/>
      <c r="J878" s="4"/>
      <c r="K878" s="4"/>
      <c r="L878" s="4"/>
      <c r="M878" s="4"/>
      <c r="N878" s="4"/>
      <c r="O878" s="4"/>
      <c r="P878" s="4"/>
      <c r="Q878" s="4"/>
      <c r="R878" s="4"/>
      <c r="S878" s="4"/>
      <c r="T878" s="4"/>
      <c r="U878" s="4"/>
      <c r="V878" s="4"/>
      <c r="W878" s="4"/>
      <c r="X878" s="4"/>
    </row>
    <row r="879" spans="1:24" ht="15.75" thickBot="1">
      <c r="A879" s="3"/>
      <c r="B879" s="4"/>
      <c r="C879" s="4"/>
      <c r="D879" s="4"/>
      <c r="E879" s="4"/>
      <c r="F879" s="4"/>
      <c r="G879" s="4"/>
      <c r="H879" s="4"/>
      <c r="I879" s="4"/>
      <c r="J879" s="4"/>
      <c r="K879" s="4"/>
      <c r="L879" s="4"/>
      <c r="M879" s="4"/>
      <c r="N879" s="4"/>
      <c r="O879" s="4"/>
      <c r="P879" s="4"/>
      <c r="Q879" s="4"/>
      <c r="R879" s="4"/>
      <c r="S879" s="4"/>
      <c r="T879" s="4"/>
      <c r="U879" s="4"/>
      <c r="V879" s="4"/>
      <c r="W879" s="4"/>
      <c r="X879" s="4"/>
    </row>
    <row r="880" spans="1:24" ht="15.75" thickBot="1">
      <c r="A880" s="3"/>
      <c r="B880" s="4"/>
      <c r="C880" s="4"/>
      <c r="D880" s="4"/>
      <c r="E880" s="4"/>
      <c r="F880" s="4"/>
      <c r="G880" s="4"/>
      <c r="H880" s="4"/>
      <c r="I880" s="4"/>
      <c r="J880" s="4"/>
      <c r="K880" s="4"/>
      <c r="L880" s="4"/>
      <c r="M880" s="4"/>
      <c r="N880" s="4"/>
      <c r="O880" s="4"/>
      <c r="P880" s="4"/>
      <c r="Q880" s="4"/>
      <c r="R880" s="4"/>
      <c r="S880" s="4"/>
      <c r="T880" s="4"/>
      <c r="U880" s="4"/>
      <c r="V880" s="4"/>
      <c r="W880" s="4"/>
      <c r="X880" s="4"/>
    </row>
    <row r="881" spans="1:24" ht="15.75" thickBot="1">
      <c r="A881" s="3"/>
      <c r="B881" s="4"/>
      <c r="C881" s="4"/>
      <c r="D881" s="4"/>
      <c r="E881" s="4"/>
      <c r="F881" s="4"/>
      <c r="G881" s="4"/>
      <c r="H881" s="4"/>
      <c r="I881" s="4"/>
      <c r="J881" s="4"/>
      <c r="K881" s="4"/>
      <c r="L881" s="4"/>
      <c r="M881" s="4"/>
      <c r="N881" s="4"/>
      <c r="O881" s="4"/>
      <c r="P881" s="4"/>
      <c r="Q881" s="4"/>
      <c r="R881" s="4"/>
      <c r="S881" s="4"/>
      <c r="T881" s="4"/>
      <c r="U881" s="4"/>
      <c r="V881" s="4"/>
      <c r="W881" s="4"/>
      <c r="X881" s="4"/>
    </row>
    <row r="882" spans="1:24" ht="15.75" thickBot="1">
      <c r="A882" s="3"/>
      <c r="B882" s="4"/>
      <c r="C882" s="4"/>
      <c r="D882" s="4"/>
      <c r="E882" s="4"/>
      <c r="F882" s="4"/>
      <c r="G882" s="4"/>
      <c r="H882" s="4"/>
      <c r="I882" s="4"/>
      <c r="J882" s="4"/>
      <c r="K882" s="4"/>
      <c r="L882" s="4"/>
      <c r="M882" s="4"/>
      <c r="N882" s="4"/>
      <c r="O882" s="4"/>
      <c r="P882" s="4"/>
      <c r="Q882" s="4"/>
      <c r="R882" s="4"/>
      <c r="S882" s="4"/>
      <c r="T882" s="4"/>
      <c r="U882" s="4"/>
      <c r="V882" s="4"/>
      <c r="W882" s="4"/>
      <c r="X882" s="4"/>
    </row>
    <row r="883" spans="1:24" ht="15.75" thickBot="1">
      <c r="A883" s="3"/>
      <c r="B883" s="4"/>
      <c r="C883" s="4"/>
      <c r="D883" s="4"/>
      <c r="E883" s="4"/>
      <c r="F883" s="4"/>
      <c r="G883" s="4"/>
      <c r="H883" s="4"/>
      <c r="I883" s="4"/>
      <c r="J883" s="4"/>
      <c r="K883" s="4"/>
      <c r="L883" s="4"/>
      <c r="M883" s="4"/>
      <c r="N883" s="4"/>
      <c r="O883" s="4"/>
      <c r="P883" s="4"/>
      <c r="Q883" s="4"/>
      <c r="R883" s="4"/>
      <c r="S883" s="4"/>
      <c r="T883" s="4"/>
      <c r="U883" s="4"/>
      <c r="V883" s="4"/>
      <c r="W883" s="4"/>
      <c r="X883" s="4"/>
    </row>
    <row r="884" spans="1:24" ht="15.75" thickBot="1">
      <c r="A884" s="3"/>
      <c r="B884" s="4"/>
      <c r="C884" s="4"/>
      <c r="D884" s="4"/>
      <c r="E884" s="4"/>
      <c r="F884" s="4"/>
      <c r="G884" s="4"/>
      <c r="H884" s="4"/>
      <c r="I884" s="4"/>
      <c r="J884" s="4"/>
      <c r="K884" s="4"/>
      <c r="L884" s="4"/>
      <c r="M884" s="4"/>
      <c r="N884" s="4"/>
      <c r="O884" s="4"/>
      <c r="P884" s="4"/>
      <c r="Q884" s="4"/>
      <c r="R884" s="4"/>
      <c r="S884" s="4"/>
      <c r="T884" s="4"/>
      <c r="U884" s="4"/>
      <c r="V884" s="4"/>
      <c r="W884" s="4"/>
      <c r="X884" s="4"/>
    </row>
    <row r="885" spans="1:24" ht="15.75" thickBot="1">
      <c r="A885" s="3"/>
      <c r="B885" s="4"/>
      <c r="C885" s="4"/>
      <c r="D885" s="4"/>
      <c r="E885" s="4"/>
      <c r="F885" s="4"/>
      <c r="G885" s="4"/>
      <c r="H885" s="4"/>
      <c r="I885" s="4"/>
      <c r="J885" s="4"/>
      <c r="K885" s="4"/>
      <c r="L885" s="4"/>
      <c r="M885" s="4"/>
      <c r="N885" s="4"/>
      <c r="O885" s="4"/>
      <c r="P885" s="4"/>
      <c r="Q885" s="4"/>
      <c r="R885" s="4"/>
      <c r="S885" s="4"/>
      <c r="T885" s="4"/>
      <c r="U885" s="4"/>
      <c r="V885" s="4"/>
      <c r="W885" s="4"/>
      <c r="X885" s="4"/>
    </row>
    <row r="886" spans="1:24" ht="15.75" thickBot="1">
      <c r="A886" s="3"/>
      <c r="B886" s="4"/>
      <c r="C886" s="4"/>
      <c r="D886" s="4"/>
      <c r="E886" s="4"/>
      <c r="F886" s="4"/>
      <c r="G886" s="4"/>
      <c r="H886" s="4"/>
      <c r="I886" s="4"/>
      <c r="J886" s="4"/>
      <c r="K886" s="4"/>
      <c r="L886" s="4"/>
      <c r="M886" s="4"/>
      <c r="N886" s="4"/>
      <c r="O886" s="4"/>
      <c r="P886" s="4"/>
      <c r="Q886" s="4"/>
      <c r="R886" s="4"/>
      <c r="S886" s="4"/>
      <c r="T886" s="4"/>
      <c r="U886" s="4"/>
      <c r="V886" s="4"/>
      <c r="W886" s="4"/>
      <c r="X886" s="4"/>
    </row>
    <row r="887" spans="1:24" ht="15.75" thickBot="1">
      <c r="A887" s="3"/>
      <c r="B887" s="4"/>
      <c r="C887" s="4"/>
      <c r="D887" s="4"/>
      <c r="E887" s="4"/>
      <c r="F887" s="4"/>
      <c r="G887" s="4"/>
      <c r="H887" s="4"/>
      <c r="I887" s="4"/>
      <c r="J887" s="4"/>
      <c r="K887" s="4"/>
      <c r="L887" s="4"/>
      <c r="M887" s="4"/>
      <c r="N887" s="4"/>
      <c r="O887" s="4"/>
      <c r="P887" s="4"/>
      <c r="Q887" s="4"/>
      <c r="R887" s="4"/>
      <c r="S887" s="4"/>
      <c r="T887" s="4"/>
      <c r="U887" s="4"/>
      <c r="V887" s="4"/>
      <c r="W887" s="4"/>
      <c r="X887" s="4"/>
    </row>
    <row r="888" spans="1:24" ht="15.75" thickBot="1">
      <c r="A888" s="3"/>
      <c r="B888" s="4"/>
      <c r="C888" s="4"/>
      <c r="D888" s="4"/>
      <c r="E888" s="4"/>
      <c r="F888" s="4"/>
      <c r="G888" s="4"/>
      <c r="H888" s="4"/>
      <c r="I888" s="4"/>
      <c r="J888" s="4"/>
      <c r="K888" s="4"/>
      <c r="L888" s="4"/>
      <c r="M888" s="4"/>
      <c r="N888" s="4"/>
      <c r="O888" s="4"/>
      <c r="P888" s="4"/>
      <c r="Q888" s="4"/>
      <c r="R888" s="4"/>
      <c r="S888" s="4"/>
      <c r="T888" s="4"/>
      <c r="U888" s="4"/>
      <c r="V888" s="4"/>
      <c r="W888" s="4"/>
      <c r="X888" s="4"/>
    </row>
    <row r="889" spans="1:24" ht="15.75" thickBot="1">
      <c r="A889" s="3"/>
      <c r="B889" s="4"/>
      <c r="C889" s="4"/>
      <c r="D889" s="4"/>
      <c r="E889" s="4"/>
      <c r="F889" s="4"/>
      <c r="G889" s="4"/>
      <c r="H889" s="4"/>
      <c r="I889" s="4"/>
      <c r="J889" s="4"/>
      <c r="K889" s="4"/>
      <c r="L889" s="4"/>
      <c r="M889" s="4"/>
      <c r="N889" s="4"/>
      <c r="O889" s="4"/>
      <c r="P889" s="4"/>
      <c r="Q889" s="4"/>
      <c r="R889" s="4"/>
      <c r="S889" s="4"/>
      <c r="T889" s="4"/>
      <c r="U889" s="4"/>
      <c r="V889" s="4"/>
      <c r="W889" s="4"/>
      <c r="X889" s="4"/>
    </row>
    <row r="890" spans="1:24" ht="15.75" thickBot="1">
      <c r="A890" s="3"/>
      <c r="B890" s="4"/>
      <c r="C890" s="4"/>
      <c r="D890" s="4"/>
      <c r="E890" s="4"/>
      <c r="F890" s="4"/>
      <c r="G890" s="4"/>
      <c r="H890" s="4"/>
      <c r="I890" s="4"/>
      <c r="J890" s="4"/>
      <c r="K890" s="4"/>
      <c r="L890" s="4"/>
      <c r="M890" s="4"/>
      <c r="N890" s="4"/>
      <c r="O890" s="4"/>
      <c r="P890" s="4"/>
      <c r="Q890" s="4"/>
      <c r="R890" s="4"/>
      <c r="S890" s="4"/>
      <c r="T890" s="4"/>
      <c r="U890" s="4"/>
      <c r="V890" s="4"/>
      <c r="W890" s="4"/>
      <c r="X890" s="4"/>
    </row>
    <row r="891" spans="1:24" ht="15.75" thickBot="1">
      <c r="A891" s="3"/>
      <c r="B891" s="4"/>
      <c r="C891" s="4"/>
      <c r="D891" s="4"/>
      <c r="E891" s="4"/>
      <c r="F891" s="4"/>
      <c r="G891" s="4"/>
      <c r="H891" s="4"/>
      <c r="I891" s="4"/>
      <c r="J891" s="4"/>
      <c r="K891" s="4"/>
      <c r="L891" s="4"/>
      <c r="M891" s="4"/>
      <c r="N891" s="4"/>
      <c r="O891" s="4"/>
      <c r="P891" s="4"/>
      <c r="Q891" s="4"/>
      <c r="R891" s="4"/>
      <c r="S891" s="4"/>
      <c r="T891" s="4"/>
      <c r="U891" s="4"/>
      <c r="V891" s="4"/>
      <c r="W891" s="4"/>
      <c r="X891" s="4"/>
    </row>
    <row r="892" spans="1:24" ht="15.75" thickBot="1">
      <c r="A892" s="3"/>
      <c r="B892" s="4"/>
      <c r="C892" s="4"/>
      <c r="D892" s="4"/>
      <c r="E892" s="4"/>
      <c r="F892" s="4"/>
      <c r="G892" s="4"/>
      <c r="H892" s="4"/>
      <c r="I892" s="4"/>
      <c r="J892" s="4"/>
      <c r="K892" s="4"/>
      <c r="L892" s="4"/>
      <c r="M892" s="4"/>
      <c r="N892" s="4"/>
      <c r="O892" s="4"/>
      <c r="P892" s="4"/>
      <c r="Q892" s="4"/>
      <c r="R892" s="4"/>
      <c r="S892" s="4"/>
      <c r="T892" s="4"/>
      <c r="U892" s="4"/>
      <c r="V892" s="4"/>
      <c r="W892" s="4"/>
      <c r="X892" s="4"/>
    </row>
    <row r="893" spans="1:24" ht="15.75" thickBot="1">
      <c r="A893" s="3"/>
      <c r="B893" s="4"/>
      <c r="C893" s="4"/>
      <c r="D893" s="4"/>
      <c r="E893" s="4"/>
      <c r="F893" s="4"/>
      <c r="G893" s="4"/>
      <c r="H893" s="4"/>
      <c r="I893" s="4"/>
      <c r="J893" s="4"/>
      <c r="K893" s="4"/>
      <c r="L893" s="4"/>
      <c r="M893" s="4"/>
      <c r="N893" s="4"/>
      <c r="O893" s="4"/>
      <c r="P893" s="4"/>
      <c r="Q893" s="4"/>
      <c r="R893" s="4"/>
      <c r="S893" s="4"/>
      <c r="T893" s="4"/>
      <c r="U893" s="4"/>
      <c r="V893" s="4"/>
      <c r="W893" s="4"/>
      <c r="X893" s="4"/>
    </row>
    <row r="894" spans="1:24" ht="15.75" thickBot="1">
      <c r="A894" s="3"/>
      <c r="B894" s="4"/>
      <c r="C894" s="4"/>
      <c r="D894" s="4"/>
      <c r="E894" s="4"/>
      <c r="F894" s="4"/>
      <c r="G894" s="4"/>
      <c r="H894" s="4"/>
      <c r="I894" s="4"/>
      <c r="J894" s="4"/>
      <c r="K894" s="4"/>
      <c r="L894" s="4"/>
      <c r="M894" s="4"/>
      <c r="N894" s="4"/>
      <c r="O894" s="4"/>
      <c r="P894" s="4"/>
      <c r="Q894" s="4"/>
      <c r="R894" s="4"/>
      <c r="S894" s="4"/>
      <c r="T894" s="4"/>
      <c r="U894" s="4"/>
      <c r="V894" s="4"/>
      <c r="W894" s="4"/>
      <c r="X894" s="4"/>
    </row>
    <row r="895" spans="1:24" ht="15.75" thickBot="1">
      <c r="A895" s="3"/>
      <c r="B895" s="4"/>
      <c r="C895" s="4"/>
      <c r="D895" s="4"/>
      <c r="E895" s="4"/>
      <c r="F895" s="4"/>
      <c r="G895" s="4"/>
      <c r="H895" s="4"/>
      <c r="I895" s="4"/>
      <c r="J895" s="4"/>
      <c r="K895" s="4"/>
      <c r="L895" s="4"/>
      <c r="M895" s="4"/>
      <c r="N895" s="4"/>
      <c r="O895" s="4"/>
      <c r="P895" s="4"/>
      <c r="Q895" s="4"/>
      <c r="R895" s="4"/>
      <c r="S895" s="4"/>
      <c r="T895" s="4"/>
      <c r="U895" s="4"/>
      <c r="V895" s="4"/>
      <c r="W895" s="4"/>
      <c r="X895" s="4"/>
    </row>
    <row r="896" spans="1:24" ht="15.75" thickBot="1">
      <c r="A896" s="3"/>
      <c r="B896" s="4"/>
      <c r="C896" s="4"/>
      <c r="D896" s="4"/>
      <c r="E896" s="4"/>
      <c r="F896" s="4"/>
      <c r="G896" s="4"/>
      <c r="H896" s="4"/>
      <c r="I896" s="4"/>
      <c r="J896" s="4"/>
      <c r="K896" s="4"/>
      <c r="L896" s="4"/>
      <c r="M896" s="4"/>
      <c r="N896" s="4"/>
      <c r="O896" s="4"/>
      <c r="P896" s="4"/>
      <c r="Q896" s="4"/>
      <c r="R896" s="4"/>
      <c r="S896" s="4"/>
      <c r="T896" s="4"/>
      <c r="U896" s="4"/>
      <c r="V896" s="4"/>
      <c r="W896" s="4"/>
      <c r="X896" s="4"/>
    </row>
    <row r="897" spans="1:24" ht="15.75" thickBot="1">
      <c r="A897" s="3"/>
      <c r="B897" s="4"/>
      <c r="C897" s="4"/>
      <c r="D897" s="4"/>
      <c r="E897" s="4"/>
      <c r="F897" s="4"/>
      <c r="G897" s="4"/>
      <c r="H897" s="4"/>
      <c r="I897" s="4"/>
      <c r="J897" s="4"/>
      <c r="K897" s="4"/>
      <c r="L897" s="4"/>
      <c r="M897" s="4"/>
      <c r="N897" s="4"/>
      <c r="O897" s="4"/>
      <c r="P897" s="4"/>
      <c r="Q897" s="4"/>
      <c r="R897" s="4"/>
      <c r="S897" s="4"/>
      <c r="T897" s="4"/>
      <c r="U897" s="4"/>
      <c r="V897" s="4"/>
      <c r="W897" s="4"/>
      <c r="X897" s="4"/>
    </row>
    <row r="898" spans="1:24" ht="15.75" thickBot="1">
      <c r="A898" s="3"/>
      <c r="B898" s="4"/>
      <c r="C898" s="4"/>
      <c r="D898" s="4"/>
      <c r="E898" s="4"/>
      <c r="F898" s="4"/>
      <c r="G898" s="4"/>
      <c r="H898" s="4"/>
      <c r="I898" s="4"/>
      <c r="J898" s="4"/>
      <c r="K898" s="4"/>
      <c r="L898" s="4"/>
      <c r="M898" s="4"/>
      <c r="N898" s="4"/>
      <c r="O898" s="4"/>
      <c r="P898" s="4"/>
      <c r="Q898" s="4"/>
      <c r="R898" s="4"/>
      <c r="S898" s="4"/>
      <c r="T898" s="4"/>
      <c r="U898" s="4"/>
      <c r="V898" s="4"/>
      <c r="W898" s="4"/>
      <c r="X898" s="4"/>
    </row>
    <row r="899" spans="1:24" ht="15.75" thickBot="1">
      <c r="A899" s="3"/>
      <c r="B899" s="4"/>
      <c r="C899" s="4"/>
      <c r="D899" s="4"/>
      <c r="E899" s="4"/>
      <c r="F899" s="4"/>
      <c r="G899" s="4"/>
      <c r="H899" s="4"/>
      <c r="I899" s="4"/>
      <c r="J899" s="4"/>
      <c r="K899" s="4"/>
      <c r="L899" s="4"/>
      <c r="M899" s="4"/>
      <c r="N899" s="4"/>
      <c r="O899" s="4"/>
      <c r="P899" s="4"/>
      <c r="Q899" s="4"/>
      <c r="R899" s="4"/>
      <c r="S899" s="4"/>
      <c r="T899" s="4"/>
      <c r="U899" s="4"/>
      <c r="V899" s="4"/>
      <c r="W899" s="4"/>
      <c r="X899" s="4"/>
    </row>
    <row r="900" spans="1:24" ht="15.75" thickBot="1">
      <c r="A900" s="3"/>
      <c r="B900" s="4"/>
      <c r="C900" s="4"/>
      <c r="D900" s="4"/>
      <c r="E900" s="4"/>
      <c r="F900" s="4"/>
      <c r="G900" s="4"/>
      <c r="H900" s="4"/>
      <c r="I900" s="4"/>
      <c r="J900" s="4"/>
      <c r="K900" s="4"/>
      <c r="L900" s="4"/>
      <c r="M900" s="4"/>
      <c r="N900" s="4"/>
      <c r="O900" s="4"/>
      <c r="P900" s="4"/>
      <c r="Q900" s="4"/>
      <c r="R900" s="4"/>
      <c r="S900" s="4"/>
      <c r="T900" s="4"/>
      <c r="U900" s="4"/>
      <c r="V900" s="4"/>
      <c r="W900" s="4"/>
      <c r="X900" s="4"/>
    </row>
    <row r="901" spans="1:24" ht="15.75" thickBot="1">
      <c r="A901" s="3"/>
      <c r="B901" s="4"/>
      <c r="C901" s="4"/>
      <c r="D901" s="4"/>
      <c r="E901" s="4"/>
      <c r="F901" s="4"/>
      <c r="G901" s="4"/>
      <c r="H901" s="4"/>
      <c r="I901" s="4"/>
      <c r="J901" s="4"/>
      <c r="K901" s="4"/>
      <c r="L901" s="4"/>
      <c r="M901" s="4"/>
      <c r="N901" s="4"/>
      <c r="O901" s="4"/>
      <c r="P901" s="4"/>
      <c r="Q901" s="4"/>
      <c r="R901" s="4"/>
      <c r="S901" s="4"/>
      <c r="T901" s="4"/>
      <c r="U901" s="4"/>
      <c r="V901" s="4"/>
      <c r="W901" s="4"/>
      <c r="X901" s="4"/>
    </row>
    <row r="902" spans="1:24" ht="15.75" thickBot="1">
      <c r="A902" s="3"/>
      <c r="B902" s="4"/>
      <c r="C902" s="4"/>
      <c r="D902" s="4"/>
      <c r="E902" s="4"/>
      <c r="F902" s="4"/>
      <c r="G902" s="4"/>
      <c r="H902" s="4"/>
      <c r="I902" s="4"/>
      <c r="J902" s="4"/>
      <c r="K902" s="4"/>
      <c r="L902" s="4"/>
      <c r="M902" s="4"/>
      <c r="N902" s="4"/>
      <c r="O902" s="4"/>
      <c r="P902" s="4"/>
      <c r="Q902" s="4"/>
      <c r="R902" s="4"/>
      <c r="S902" s="4"/>
      <c r="T902" s="4"/>
      <c r="U902" s="4"/>
      <c r="V902" s="4"/>
      <c r="W902" s="4"/>
      <c r="X902" s="4"/>
    </row>
    <row r="903" spans="1:24" ht="15.75" thickBot="1">
      <c r="A903" s="3"/>
      <c r="B903" s="4"/>
      <c r="C903" s="4"/>
      <c r="D903" s="4"/>
      <c r="E903" s="4"/>
      <c r="F903" s="4"/>
      <c r="G903" s="4"/>
      <c r="H903" s="4"/>
      <c r="I903" s="4"/>
      <c r="J903" s="4"/>
      <c r="K903" s="4"/>
      <c r="L903" s="4"/>
      <c r="M903" s="4"/>
      <c r="N903" s="4"/>
      <c r="O903" s="4"/>
      <c r="P903" s="4"/>
      <c r="Q903" s="4"/>
      <c r="R903" s="4"/>
      <c r="S903" s="4"/>
      <c r="T903" s="4"/>
      <c r="U903" s="4"/>
      <c r="V903" s="4"/>
      <c r="W903" s="4"/>
      <c r="X903" s="4"/>
    </row>
    <row r="904" spans="1:24" ht="15.75" thickBot="1">
      <c r="A904" s="3"/>
      <c r="B904" s="4"/>
      <c r="C904" s="4"/>
      <c r="D904" s="4"/>
      <c r="E904" s="4"/>
      <c r="F904" s="4"/>
      <c r="G904" s="4"/>
      <c r="H904" s="4"/>
      <c r="I904" s="4"/>
      <c r="J904" s="4"/>
      <c r="K904" s="4"/>
      <c r="L904" s="4"/>
      <c r="M904" s="4"/>
      <c r="N904" s="4"/>
      <c r="O904" s="4"/>
      <c r="P904" s="4"/>
      <c r="Q904" s="4"/>
      <c r="R904" s="4"/>
      <c r="S904" s="4"/>
      <c r="T904" s="4"/>
      <c r="U904" s="4"/>
      <c r="V904" s="4"/>
      <c r="W904" s="4"/>
      <c r="X904" s="4"/>
    </row>
    <row r="905" spans="1:24" ht="15.75" thickBot="1">
      <c r="A905" s="3"/>
      <c r="B905" s="4"/>
      <c r="C905" s="4"/>
      <c r="D905" s="4"/>
      <c r="E905" s="4"/>
      <c r="F905" s="4"/>
      <c r="G905" s="4"/>
      <c r="H905" s="4"/>
      <c r="I905" s="4"/>
      <c r="J905" s="4"/>
      <c r="K905" s="4"/>
      <c r="L905" s="4"/>
      <c r="M905" s="4"/>
      <c r="N905" s="4"/>
      <c r="O905" s="4"/>
      <c r="P905" s="4"/>
      <c r="Q905" s="4"/>
      <c r="R905" s="4"/>
      <c r="S905" s="4"/>
      <c r="T905" s="4"/>
      <c r="U905" s="4"/>
      <c r="V905" s="4"/>
      <c r="W905" s="4"/>
      <c r="X905" s="4"/>
    </row>
    <row r="906" spans="1:24" ht="15.75" thickBot="1">
      <c r="A906" s="3"/>
      <c r="B906" s="4"/>
      <c r="C906" s="4"/>
      <c r="D906" s="4"/>
      <c r="E906" s="4"/>
      <c r="F906" s="4"/>
      <c r="G906" s="4"/>
      <c r="H906" s="4"/>
      <c r="I906" s="4"/>
      <c r="J906" s="4"/>
      <c r="K906" s="4"/>
      <c r="L906" s="4"/>
      <c r="M906" s="4"/>
      <c r="N906" s="4"/>
      <c r="O906" s="4"/>
      <c r="P906" s="4"/>
      <c r="Q906" s="4"/>
      <c r="R906" s="4"/>
      <c r="S906" s="4"/>
      <c r="T906" s="4"/>
      <c r="U906" s="4"/>
      <c r="V906" s="4"/>
      <c r="W906" s="4"/>
      <c r="X906" s="4"/>
    </row>
    <row r="907" spans="1:24" ht="15.75" thickBot="1">
      <c r="A907" s="3"/>
      <c r="B907" s="4"/>
      <c r="C907" s="4"/>
      <c r="D907" s="4"/>
      <c r="E907" s="4"/>
      <c r="F907" s="4"/>
      <c r="G907" s="4"/>
      <c r="H907" s="4"/>
      <c r="I907" s="4"/>
      <c r="J907" s="4"/>
      <c r="K907" s="4"/>
      <c r="L907" s="4"/>
      <c r="M907" s="4"/>
      <c r="N907" s="4"/>
      <c r="O907" s="4"/>
      <c r="P907" s="4"/>
      <c r="Q907" s="4"/>
      <c r="R907" s="4"/>
      <c r="S907" s="4"/>
      <c r="T907" s="4"/>
      <c r="U907" s="4"/>
      <c r="V907" s="4"/>
      <c r="W907" s="4"/>
      <c r="X907" s="4"/>
    </row>
    <row r="908" spans="1:24" ht="15.75" thickBot="1">
      <c r="A908" s="3"/>
      <c r="B908" s="4"/>
      <c r="C908" s="4"/>
      <c r="D908" s="4"/>
      <c r="E908" s="4"/>
      <c r="F908" s="4"/>
      <c r="G908" s="4"/>
      <c r="H908" s="4"/>
      <c r="I908" s="4"/>
      <c r="J908" s="4"/>
      <c r="K908" s="4"/>
      <c r="L908" s="4"/>
      <c r="M908" s="4"/>
      <c r="N908" s="4"/>
      <c r="O908" s="4"/>
      <c r="P908" s="4"/>
      <c r="Q908" s="4"/>
      <c r="R908" s="4"/>
      <c r="S908" s="4"/>
      <c r="T908" s="4"/>
      <c r="U908" s="4"/>
      <c r="V908" s="4"/>
      <c r="W908" s="4"/>
      <c r="X908" s="4"/>
    </row>
    <row r="909" spans="1:24" ht="15.75" thickBot="1">
      <c r="A909" s="3"/>
      <c r="B909" s="4"/>
      <c r="C909" s="4"/>
      <c r="D909" s="4"/>
      <c r="E909" s="4"/>
      <c r="F909" s="4"/>
      <c r="G909" s="4"/>
      <c r="H909" s="4"/>
      <c r="I909" s="4"/>
      <c r="J909" s="4"/>
      <c r="K909" s="4"/>
      <c r="L909" s="4"/>
      <c r="M909" s="4"/>
      <c r="N909" s="4"/>
      <c r="O909" s="4"/>
      <c r="P909" s="4"/>
      <c r="Q909" s="4"/>
      <c r="R909" s="4"/>
      <c r="S909" s="4"/>
      <c r="T909" s="4"/>
      <c r="U909" s="4"/>
      <c r="V909" s="4"/>
      <c r="W909" s="4"/>
      <c r="X909" s="4"/>
    </row>
    <row r="910" spans="1:24" ht="15.75" thickBot="1">
      <c r="A910" s="3"/>
      <c r="B910" s="4"/>
      <c r="C910" s="4"/>
      <c r="D910" s="4"/>
      <c r="E910" s="4"/>
      <c r="F910" s="4"/>
      <c r="G910" s="4"/>
      <c r="H910" s="4"/>
      <c r="I910" s="4"/>
      <c r="J910" s="4"/>
      <c r="K910" s="4"/>
      <c r="L910" s="4"/>
      <c r="M910" s="4"/>
      <c r="N910" s="4"/>
      <c r="O910" s="4"/>
      <c r="P910" s="4"/>
      <c r="Q910" s="4"/>
      <c r="R910" s="4"/>
      <c r="S910" s="4"/>
      <c r="T910" s="4"/>
      <c r="U910" s="4"/>
      <c r="V910" s="4"/>
      <c r="W910" s="4"/>
      <c r="X910" s="4"/>
    </row>
    <row r="911" spans="1:24" ht="15.75" thickBot="1">
      <c r="A911" s="3"/>
      <c r="B911" s="4"/>
      <c r="C911" s="4"/>
      <c r="D911" s="4"/>
      <c r="E911" s="4"/>
      <c r="F911" s="4"/>
      <c r="G911" s="4"/>
      <c r="H911" s="4"/>
      <c r="I911" s="4"/>
      <c r="J911" s="4"/>
      <c r="K911" s="4"/>
      <c r="L911" s="4"/>
      <c r="M911" s="4"/>
      <c r="N911" s="4"/>
      <c r="O911" s="4"/>
      <c r="P911" s="4"/>
      <c r="Q911" s="4"/>
      <c r="R911" s="4"/>
      <c r="S911" s="4"/>
      <c r="T911" s="4"/>
      <c r="U911" s="4"/>
      <c r="V911" s="4"/>
      <c r="W911" s="4"/>
      <c r="X911" s="4"/>
    </row>
    <row r="912" spans="1:24" ht="15.75" thickBot="1">
      <c r="A912" s="3"/>
      <c r="B912" s="4"/>
      <c r="C912" s="4"/>
      <c r="D912" s="4"/>
      <c r="E912" s="4"/>
      <c r="F912" s="4"/>
      <c r="G912" s="4"/>
      <c r="H912" s="4"/>
      <c r="I912" s="4"/>
      <c r="J912" s="4"/>
      <c r="K912" s="4"/>
      <c r="L912" s="4"/>
      <c r="M912" s="4"/>
      <c r="N912" s="4"/>
      <c r="O912" s="4"/>
      <c r="P912" s="4"/>
      <c r="Q912" s="4"/>
      <c r="R912" s="4"/>
      <c r="S912" s="4"/>
      <c r="T912" s="4"/>
      <c r="U912" s="4"/>
      <c r="V912" s="4"/>
      <c r="W912" s="4"/>
      <c r="X912" s="4"/>
    </row>
    <row r="913" spans="1:24" ht="15.75" thickBot="1">
      <c r="A913" s="3"/>
      <c r="B913" s="4"/>
      <c r="C913" s="4"/>
      <c r="D913" s="4"/>
      <c r="E913" s="4"/>
      <c r="F913" s="4"/>
      <c r="G913" s="4"/>
      <c r="H913" s="4"/>
      <c r="I913" s="4"/>
      <c r="J913" s="4"/>
      <c r="K913" s="4"/>
      <c r="L913" s="4"/>
      <c r="M913" s="4"/>
      <c r="N913" s="4"/>
      <c r="O913" s="4"/>
      <c r="P913" s="4"/>
      <c r="Q913" s="4"/>
      <c r="R913" s="4"/>
      <c r="S913" s="4"/>
      <c r="T913" s="4"/>
      <c r="U913" s="4"/>
      <c r="V913" s="4"/>
      <c r="W913" s="4"/>
      <c r="X913" s="4"/>
    </row>
    <row r="914" spans="1:24" ht="15.75" thickBot="1">
      <c r="A914" s="3"/>
      <c r="B914" s="4"/>
      <c r="C914" s="4"/>
      <c r="D914" s="4"/>
      <c r="E914" s="4"/>
      <c r="F914" s="4"/>
      <c r="G914" s="4"/>
      <c r="H914" s="4"/>
      <c r="I914" s="4"/>
      <c r="J914" s="4"/>
      <c r="K914" s="4"/>
      <c r="L914" s="4"/>
      <c r="M914" s="4"/>
      <c r="N914" s="4"/>
      <c r="O914" s="4"/>
      <c r="P914" s="4"/>
      <c r="Q914" s="4"/>
      <c r="R914" s="4"/>
      <c r="S914" s="4"/>
      <c r="T914" s="4"/>
      <c r="U914" s="4"/>
      <c r="V914" s="4"/>
      <c r="W914" s="4"/>
      <c r="X914" s="4"/>
    </row>
    <row r="915" spans="1:24" ht="15.75" thickBot="1">
      <c r="A915" s="3"/>
      <c r="B915" s="4"/>
      <c r="C915" s="4"/>
      <c r="D915" s="4"/>
      <c r="E915" s="4"/>
      <c r="F915" s="4"/>
      <c r="G915" s="4"/>
      <c r="H915" s="4"/>
      <c r="I915" s="4"/>
      <c r="J915" s="4"/>
      <c r="K915" s="4"/>
      <c r="L915" s="4"/>
      <c r="M915" s="4"/>
      <c r="N915" s="4"/>
      <c r="O915" s="4"/>
      <c r="P915" s="4"/>
      <c r="Q915" s="4"/>
      <c r="R915" s="4"/>
      <c r="S915" s="4"/>
      <c r="T915" s="4"/>
      <c r="U915" s="4"/>
      <c r="V915" s="4"/>
      <c r="W915" s="4"/>
      <c r="X915" s="4"/>
    </row>
    <row r="916" spans="1:24" ht="15.75" thickBot="1">
      <c r="A916" s="3"/>
      <c r="B916" s="4"/>
      <c r="C916" s="4"/>
      <c r="D916" s="4"/>
      <c r="E916" s="4"/>
      <c r="F916" s="4"/>
      <c r="G916" s="4"/>
      <c r="H916" s="4"/>
      <c r="I916" s="4"/>
      <c r="J916" s="4"/>
      <c r="K916" s="4"/>
      <c r="L916" s="4"/>
      <c r="M916" s="4"/>
      <c r="N916" s="4"/>
      <c r="O916" s="4"/>
      <c r="P916" s="4"/>
      <c r="Q916" s="4"/>
      <c r="R916" s="4"/>
      <c r="S916" s="4"/>
      <c r="T916" s="4"/>
      <c r="U916" s="4"/>
      <c r="V916" s="4"/>
      <c r="W916" s="4"/>
      <c r="X916" s="4"/>
    </row>
    <row r="917" spans="1:24" ht="15.75" thickBot="1">
      <c r="A917" s="3"/>
      <c r="B917" s="4"/>
      <c r="C917" s="4"/>
      <c r="D917" s="4"/>
      <c r="E917" s="4"/>
      <c r="F917" s="4"/>
      <c r="G917" s="4"/>
      <c r="H917" s="4"/>
      <c r="I917" s="4"/>
      <c r="J917" s="4"/>
      <c r="K917" s="4"/>
      <c r="L917" s="4"/>
      <c r="M917" s="4"/>
      <c r="N917" s="4"/>
      <c r="O917" s="4"/>
      <c r="P917" s="4"/>
      <c r="Q917" s="4"/>
      <c r="R917" s="4"/>
      <c r="S917" s="4"/>
      <c r="T917" s="4"/>
      <c r="U917" s="4"/>
      <c r="V917" s="4"/>
      <c r="W917" s="4"/>
      <c r="X917" s="4"/>
    </row>
    <row r="918" spans="1:24" ht="15.75" thickBot="1">
      <c r="A918" s="3"/>
      <c r="B918" s="4"/>
      <c r="C918" s="4"/>
      <c r="D918" s="4"/>
      <c r="E918" s="4"/>
      <c r="F918" s="4"/>
      <c r="G918" s="4"/>
      <c r="H918" s="4"/>
      <c r="I918" s="4"/>
      <c r="J918" s="4"/>
      <c r="K918" s="4"/>
      <c r="L918" s="4"/>
      <c r="M918" s="4"/>
      <c r="N918" s="4"/>
      <c r="O918" s="4"/>
      <c r="P918" s="4"/>
      <c r="Q918" s="4"/>
      <c r="R918" s="4"/>
      <c r="S918" s="4"/>
      <c r="T918" s="4"/>
      <c r="U918" s="4"/>
      <c r="V918" s="4"/>
      <c r="W918" s="4"/>
      <c r="X918" s="4"/>
    </row>
    <row r="919" spans="1:24" ht="15.75" thickBot="1">
      <c r="A919" s="3"/>
      <c r="B919" s="4"/>
      <c r="C919" s="4"/>
      <c r="D919" s="4"/>
      <c r="E919" s="4"/>
      <c r="F919" s="4"/>
      <c r="G919" s="4"/>
      <c r="H919" s="4"/>
      <c r="I919" s="4"/>
      <c r="J919" s="4"/>
      <c r="K919" s="4"/>
      <c r="L919" s="4"/>
      <c r="M919" s="4"/>
      <c r="N919" s="4"/>
      <c r="O919" s="4"/>
      <c r="P919" s="4"/>
      <c r="Q919" s="4"/>
      <c r="R919" s="4"/>
      <c r="S919" s="4"/>
      <c r="T919" s="4"/>
      <c r="U919" s="4"/>
      <c r="V919" s="4"/>
      <c r="W919" s="4"/>
      <c r="X919" s="4"/>
    </row>
    <row r="920" spans="1:24" ht="15.75" thickBot="1">
      <c r="A920" s="3"/>
      <c r="B920" s="4"/>
      <c r="C920" s="4"/>
      <c r="D920" s="4"/>
      <c r="E920" s="4"/>
      <c r="F920" s="4"/>
      <c r="G920" s="4"/>
      <c r="H920" s="4"/>
      <c r="I920" s="4"/>
      <c r="J920" s="4"/>
      <c r="K920" s="4"/>
      <c r="L920" s="4"/>
      <c r="M920" s="4"/>
      <c r="N920" s="4"/>
      <c r="O920" s="4"/>
      <c r="P920" s="4"/>
      <c r="Q920" s="4"/>
      <c r="R920" s="4"/>
      <c r="S920" s="4"/>
      <c r="T920" s="4"/>
      <c r="U920" s="4"/>
      <c r="V920" s="4"/>
      <c r="W920" s="4"/>
      <c r="X920" s="4"/>
    </row>
    <row r="921" spans="1:24" ht="15.75" thickBot="1">
      <c r="A921" s="3"/>
      <c r="B921" s="4"/>
      <c r="C921" s="4"/>
      <c r="D921" s="4"/>
      <c r="E921" s="4"/>
      <c r="F921" s="4"/>
      <c r="G921" s="4"/>
      <c r="H921" s="4"/>
      <c r="I921" s="4"/>
      <c r="J921" s="4"/>
      <c r="K921" s="4"/>
      <c r="L921" s="4"/>
      <c r="M921" s="4"/>
      <c r="N921" s="4"/>
      <c r="O921" s="4"/>
      <c r="P921" s="4"/>
      <c r="Q921" s="4"/>
      <c r="R921" s="4"/>
      <c r="S921" s="4"/>
      <c r="T921" s="4"/>
      <c r="U921" s="4"/>
      <c r="V921" s="4"/>
      <c r="W921" s="4"/>
      <c r="X921" s="4"/>
    </row>
    <row r="922" spans="1:24" ht="15.75" thickBot="1">
      <c r="A922" s="3"/>
      <c r="B922" s="4"/>
      <c r="C922" s="4"/>
      <c r="D922" s="4"/>
      <c r="E922" s="4"/>
      <c r="F922" s="4"/>
      <c r="G922" s="4"/>
      <c r="H922" s="4"/>
      <c r="I922" s="4"/>
      <c r="J922" s="4"/>
      <c r="K922" s="4"/>
      <c r="L922" s="4"/>
      <c r="M922" s="4"/>
      <c r="N922" s="4"/>
      <c r="O922" s="4"/>
      <c r="P922" s="4"/>
      <c r="Q922" s="4"/>
      <c r="R922" s="4"/>
      <c r="S922" s="4"/>
      <c r="T922" s="4"/>
      <c r="U922" s="4"/>
      <c r="V922" s="4"/>
      <c r="W922" s="4"/>
      <c r="X922" s="4"/>
    </row>
    <row r="923" spans="1:24" ht="15.75" thickBot="1">
      <c r="A923" s="3"/>
      <c r="B923" s="4"/>
      <c r="C923" s="4"/>
      <c r="D923" s="4"/>
      <c r="E923" s="4"/>
      <c r="F923" s="4"/>
      <c r="G923" s="4"/>
      <c r="H923" s="4"/>
      <c r="I923" s="4"/>
      <c r="J923" s="4"/>
      <c r="K923" s="4"/>
      <c r="L923" s="4"/>
      <c r="M923" s="4"/>
      <c r="N923" s="4"/>
      <c r="O923" s="4"/>
      <c r="P923" s="4"/>
      <c r="Q923" s="4"/>
      <c r="R923" s="4"/>
      <c r="S923" s="4"/>
      <c r="T923" s="4"/>
      <c r="U923" s="4"/>
      <c r="V923" s="4"/>
      <c r="W923" s="4"/>
      <c r="X923" s="4"/>
    </row>
    <row r="924" spans="1:24" ht="15.75" thickBot="1">
      <c r="A924" s="3"/>
      <c r="B924" s="4"/>
      <c r="C924" s="4"/>
      <c r="D924" s="4"/>
      <c r="E924" s="4"/>
      <c r="F924" s="4"/>
      <c r="G924" s="4"/>
      <c r="H924" s="4"/>
      <c r="I924" s="4"/>
      <c r="J924" s="4"/>
      <c r="K924" s="4"/>
      <c r="L924" s="4"/>
      <c r="M924" s="4"/>
      <c r="N924" s="4"/>
      <c r="O924" s="4"/>
      <c r="P924" s="4"/>
      <c r="Q924" s="4"/>
      <c r="R924" s="4"/>
      <c r="S924" s="4"/>
      <c r="T924" s="4"/>
      <c r="U924" s="4"/>
      <c r="V924" s="4"/>
      <c r="W924" s="4"/>
      <c r="X924" s="4"/>
    </row>
    <row r="925" spans="1:24" ht="15.75" thickBot="1">
      <c r="A925" s="3"/>
      <c r="B925" s="4"/>
      <c r="C925" s="4"/>
      <c r="D925" s="4"/>
      <c r="E925" s="4"/>
      <c r="F925" s="4"/>
      <c r="G925" s="4"/>
      <c r="H925" s="4"/>
      <c r="I925" s="4"/>
      <c r="J925" s="4"/>
      <c r="K925" s="4"/>
      <c r="L925" s="4"/>
      <c r="M925" s="4"/>
      <c r="N925" s="4"/>
      <c r="O925" s="4"/>
      <c r="P925" s="4"/>
      <c r="Q925" s="4"/>
      <c r="R925" s="4"/>
      <c r="S925" s="4"/>
      <c r="T925" s="4"/>
      <c r="U925" s="4"/>
      <c r="V925" s="4"/>
      <c r="W925" s="4"/>
      <c r="X925" s="4"/>
    </row>
    <row r="926" spans="1:24" ht="15.75" thickBot="1">
      <c r="A926" s="3"/>
      <c r="B926" s="4"/>
      <c r="C926" s="4"/>
      <c r="D926" s="4"/>
      <c r="E926" s="4"/>
      <c r="F926" s="4"/>
      <c r="G926" s="4"/>
      <c r="H926" s="4"/>
      <c r="I926" s="4"/>
      <c r="J926" s="4"/>
      <c r="K926" s="4"/>
      <c r="L926" s="4"/>
      <c r="M926" s="4"/>
      <c r="N926" s="4"/>
      <c r="O926" s="4"/>
      <c r="P926" s="4"/>
      <c r="Q926" s="4"/>
      <c r="R926" s="4"/>
      <c r="S926" s="4"/>
      <c r="T926" s="4"/>
      <c r="U926" s="4"/>
      <c r="V926" s="4"/>
      <c r="W926" s="4"/>
      <c r="X926" s="4"/>
    </row>
    <row r="927" spans="1:24" ht="15.75" thickBot="1">
      <c r="A927" s="3"/>
      <c r="B927" s="4"/>
      <c r="C927" s="4"/>
      <c r="D927" s="4"/>
      <c r="E927" s="4"/>
      <c r="F927" s="4"/>
      <c r="G927" s="4"/>
      <c r="H927" s="4"/>
      <c r="I927" s="4"/>
      <c r="J927" s="4"/>
      <c r="K927" s="4"/>
      <c r="L927" s="4"/>
      <c r="M927" s="4"/>
      <c r="N927" s="4"/>
      <c r="O927" s="4"/>
      <c r="P927" s="4"/>
      <c r="Q927" s="4"/>
      <c r="R927" s="4"/>
      <c r="S927" s="4"/>
      <c r="T927" s="4"/>
      <c r="U927" s="4"/>
      <c r="V927" s="4"/>
      <c r="W927" s="4"/>
      <c r="X927" s="4"/>
    </row>
    <row r="928" spans="1:24" ht="15.75" thickBot="1">
      <c r="A928" s="3"/>
      <c r="B928" s="4"/>
      <c r="C928" s="4"/>
      <c r="D928" s="4"/>
      <c r="E928" s="4"/>
      <c r="F928" s="4"/>
      <c r="G928" s="4"/>
      <c r="H928" s="4"/>
      <c r="I928" s="4"/>
      <c r="J928" s="4"/>
      <c r="K928" s="4"/>
      <c r="L928" s="4"/>
      <c r="M928" s="4"/>
      <c r="N928" s="4"/>
      <c r="O928" s="4"/>
      <c r="P928" s="4"/>
      <c r="Q928" s="4"/>
      <c r="R928" s="4"/>
      <c r="S928" s="4"/>
      <c r="T928" s="4"/>
      <c r="U928" s="4"/>
      <c r="V928" s="4"/>
      <c r="W928" s="4"/>
      <c r="X928" s="4"/>
    </row>
    <row r="929" spans="1:24" ht="15.75" thickBot="1">
      <c r="A929" s="3"/>
      <c r="B929" s="4"/>
      <c r="C929" s="4"/>
      <c r="D929" s="4"/>
      <c r="E929" s="4"/>
      <c r="F929" s="4"/>
      <c r="G929" s="4"/>
      <c r="H929" s="4"/>
      <c r="I929" s="4"/>
      <c r="J929" s="4"/>
      <c r="K929" s="4"/>
      <c r="L929" s="4"/>
      <c r="M929" s="4"/>
      <c r="N929" s="4"/>
      <c r="O929" s="4"/>
      <c r="P929" s="4"/>
      <c r="Q929" s="4"/>
      <c r="R929" s="4"/>
      <c r="S929" s="4"/>
      <c r="T929" s="4"/>
      <c r="U929" s="4"/>
      <c r="V929" s="4"/>
      <c r="W929" s="4"/>
      <c r="X929" s="4"/>
    </row>
    <row r="930" spans="1:24" ht="15.75" thickBot="1">
      <c r="A930" s="3"/>
      <c r="B930" s="4"/>
      <c r="C930" s="4"/>
      <c r="D930" s="4"/>
      <c r="E930" s="4"/>
      <c r="F930" s="4"/>
      <c r="G930" s="4"/>
      <c r="H930" s="4"/>
      <c r="I930" s="4"/>
      <c r="J930" s="4"/>
      <c r="K930" s="4"/>
      <c r="L930" s="4"/>
      <c r="M930" s="4"/>
      <c r="N930" s="4"/>
      <c r="O930" s="4"/>
      <c r="P930" s="4"/>
      <c r="Q930" s="4"/>
      <c r="R930" s="4"/>
      <c r="S930" s="4"/>
      <c r="T930" s="4"/>
      <c r="U930" s="4"/>
      <c r="V930" s="4"/>
      <c r="W930" s="4"/>
      <c r="X930" s="4"/>
    </row>
    <row r="931" spans="1:24" ht="15.75" thickBot="1">
      <c r="A931" s="3"/>
      <c r="B931" s="4"/>
      <c r="C931" s="4"/>
      <c r="D931" s="4"/>
      <c r="E931" s="4"/>
      <c r="F931" s="4"/>
      <c r="G931" s="4"/>
      <c r="H931" s="4"/>
      <c r="I931" s="4"/>
      <c r="J931" s="4"/>
      <c r="K931" s="4"/>
      <c r="L931" s="4"/>
      <c r="M931" s="4"/>
      <c r="N931" s="4"/>
      <c r="O931" s="4"/>
      <c r="P931" s="4"/>
      <c r="Q931" s="4"/>
      <c r="R931" s="4"/>
      <c r="S931" s="4"/>
      <c r="T931" s="4"/>
      <c r="U931" s="4"/>
      <c r="V931" s="4"/>
      <c r="W931" s="4"/>
      <c r="X931" s="4"/>
    </row>
    <row r="932" spans="1:24" ht="15.75" thickBot="1">
      <c r="A932" s="3"/>
      <c r="B932" s="4"/>
      <c r="C932" s="4"/>
      <c r="D932" s="4"/>
      <c r="E932" s="4"/>
      <c r="F932" s="4"/>
      <c r="G932" s="4"/>
      <c r="H932" s="4"/>
      <c r="I932" s="4"/>
      <c r="J932" s="4"/>
      <c r="K932" s="4"/>
      <c r="L932" s="4"/>
      <c r="M932" s="4"/>
      <c r="N932" s="4"/>
      <c r="O932" s="4"/>
      <c r="P932" s="4"/>
      <c r="Q932" s="4"/>
      <c r="R932" s="4"/>
      <c r="S932" s="4"/>
      <c r="T932" s="4"/>
      <c r="U932" s="4"/>
      <c r="V932" s="4"/>
      <c r="W932" s="4"/>
      <c r="X932" s="4"/>
    </row>
    <row r="933" spans="1:24" ht="15.75" thickBot="1">
      <c r="A933" s="3"/>
      <c r="B933" s="4"/>
      <c r="C933" s="4"/>
      <c r="D933" s="4"/>
      <c r="E933" s="4"/>
      <c r="F933" s="4"/>
      <c r="G933" s="4"/>
      <c r="H933" s="4"/>
      <c r="I933" s="4"/>
      <c r="J933" s="4"/>
      <c r="K933" s="4"/>
      <c r="L933" s="4"/>
      <c r="M933" s="4"/>
      <c r="N933" s="4"/>
      <c r="O933" s="4"/>
      <c r="P933" s="4"/>
      <c r="Q933" s="4"/>
      <c r="R933" s="4"/>
      <c r="S933" s="4"/>
      <c r="T933" s="4"/>
      <c r="U933" s="4"/>
      <c r="V933" s="4"/>
      <c r="W933" s="4"/>
      <c r="X933" s="4"/>
    </row>
    <row r="934" spans="1:24" ht="15.75" thickBot="1">
      <c r="A934" s="3"/>
      <c r="B934" s="4"/>
      <c r="C934" s="4"/>
      <c r="D934" s="4"/>
      <c r="E934" s="4"/>
      <c r="F934" s="4"/>
      <c r="G934" s="4"/>
      <c r="H934" s="4"/>
      <c r="I934" s="4"/>
      <c r="J934" s="4"/>
      <c r="K934" s="4"/>
      <c r="L934" s="4"/>
      <c r="M934" s="4"/>
      <c r="N934" s="4"/>
      <c r="O934" s="4"/>
      <c r="P934" s="4"/>
      <c r="Q934" s="4"/>
      <c r="R934" s="4"/>
      <c r="S934" s="4"/>
      <c r="T934" s="4"/>
      <c r="U934" s="4"/>
      <c r="V934" s="4"/>
      <c r="W934" s="4"/>
      <c r="X934" s="4"/>
    </row>
    <row r="935" spans="1:24" ht="15.75" thickBot="1">
      <c r="A935" s="3"/>
      <c r="B935" s="4"/>
      <c r="C935" s="4"/>
      <c r="D935" s="4"/>
      <c r="E935" s="4"/>
      <c r="F935" s="4"/>
      <c r="G935" s="4"/>
      <c r="H935" s="4"/>
      <c r="I935" s="4"/>
      <c r="J935" s="4"/>
      <c r="K935" s="4"/>
      <c r="L935" s="4"/>
      <c r="M935" s="4"/>
      <c r="N935" s="4"/>
      <c r="O935" s="4"/>
      <c r="P935" s="4"/>
      <c r="Q935" s="4"/>
      <c r="R935" s="4"/>
      <c r="S935" s="4"/>
      <c r="T935" s="4"/>
      <c r="U935" s="4"/>
      <c r="V935" s="4"/>
      <c r="W935" s="4"/>
      <c r="X935" s="4"/>
    </row>
    <row r="936" spans="1:24" ht="15.75" thickBot="1">
      <c r="A936" s="3"/>
      <c r="B936" s="4"/>
      <c r="C936" s="4"/>
      <c r="D936" s="4"/>
      <c r="E936" s="4"/>
      <c r="F936" s="4"/>
      <c r="G936" s="4"/>
      <c r="H936" s="4"/>
      <c r="I936" s="4"/>
      <c r="J936" s="4"/>
      <c r="K936" s="4"/>
      <c r="L936" s="4"/>
      <c r="M936" s="4"/>
      <c r="N936" s="4"/>
      <c r="O936" s="4"/>
      <c r="P936" s="4"/>
      <c r="Q936" s="4"/>
      <c r="R936" s="4"/>
      <c r="S936" s="4"/>
      <c r="T936" s="4"/>
      <c r="U936" s="4"/>
      <c r="V936" s="4"/>
      <c r="W936" s="4"/>
      <c r="X936" s="4"/>
    </row>
    <row r="937" spans="1:24" ht="15.75" thickBot="1">
      <c r="A937" s="3"/>
      <c r="B937" s="4"/>
      <c r="C937" s="4"/>
      <c r="D937" s="4"/>
      <c r="E937" s="4"/>
      <c r="F937" s="4"/>
      <c r="G937" s="4"/>
      <c r="H937" s="4"/>
      <c r="I937" s="4"/>
      <c r="J937" s="4"/>
      <c r="K937" s="4"/>
      <c r="L937" s="4"/>
      <c r="M937" s="4"/>
      <c r="N937" s="4"/>
      <c r="O937" s="4"/>
      <c r="P937" s="4"/>
      <c r="Q937" s="4"/>
      <c r="R937" s="4"/>
      <c r="S937" s="4"/>
      <c r="T937" s="4"/>
      <c r="U937" s="4"/>
      <c r="V937" s="4"/>
      <c r="W937" s="4"/>
      <c r="X937" s="4"/>
    </row>
    <row r="938" spans="1:24" ht="15.75" thickBot="1">
      <c r="A938" s="3"/>
      <c r="B938" s="4"/>
      <c r="C938" s="4"/>
      <c r="D938" s="4"/>
      <c r="E938" s="4"/>
      <c r="F938" s="4"/>
      <c r="G938" s="4"/>
      <c r="H938" s="4"/>
      <c r="I938" s="4"/>
      <c r="J938" s="4"/>
      <c r="K938" s="4"/>
      <c r="L938" s="4"/>
      <c r="M938" s="4"/>
      <c r="N938" s="4"/>
      <c r="O938" s="4"/>
      <c r="P938" s="4"/>
      <c r="Q938" s="4"/>
      <c r="R938" s="4"/>
      <c r="S938" s="4"/>
      <c r="T938" s="4"/>
      <c r="U938" s="4"/>
      <c r="V938" s="4"/>
      <c r="W938" s="4"/>
      <c r="X938" s="4"/>
    </row>
    <row r="939" spans="1:24" ht="15.75" thickBot="1">
      <c r="A939" s="3"/>
      <c r="B939" s="4"/>
      <c r="C939" s="4"/>
      <c r="D939" s="4"/>
      <c r="E939" s="4"/>
      <c r="F939" s="4"/>
      <c r="G939" s="4"/>
      <c r="H939" s="4"/>
      <c r="I939" s="4"/>
      <c r="J939" s="4"/>
      <c r="K939" s="4"/>
      <c r="L939" s="4"/>
      <c r="M939" s="4"/>
      <c r="N939" s="4"/>
      <c r="O939" s="4"/>
      <c r="P939" s="4"/>
      <c r="Q939" s="4"/>
      <c r="R939" s="4"/>
      <c r="S939" s="4"/>
      <c r="T939" s="4"/>
      <c r="U939" s="4"/>
      <c r="V939" s="4"/>
      <c r="W939" s="4"/>
      <c r="X939" s="4"/>
    </row>
    <row r="940" spans="1:24" ht="15.75" thickBot="1">
      <c r="A940" s="3"/>
      <c r="B940" s="4"/>
      <c r="C940" s="4"/>
      <c r="D940" s="4"/>
      <c r="E940" s="4"/>
      <c r="F940" s="4"/>
      <c r="G940" s="4"/>
      <c r="H940" s="4"/>
      <c r="I940" s="4"/>
      <c r="J940" s="4"/>
      <c r="K940" s="4"/>
      <c r="L940" s="4"/>
      <c r="M940" s="4"/>
      <c r="N940" s="4"/>
      <c r="O940" s="4"/>
      <c r="P940" s="4"/>
      <c r="Q940" s="4"/>
      <c r="R940" s="4"/>
      <c r="S940" s="4"/>
      <c r="T940" s="4"/>
      <c r="U940" s="4"/>
      <c r="V940" s="4"/>
      <c r="W940" s="4"/>
      <c r="X940" s="4"/>
    </row>
    <row r="941" spans="1:24" ht="15.75" thickBot="1">
      <c r="A941" s="3"/>
      <c r="B941" s="4"/>
      <c r="C941" s="4"/>
      <c r="D941" s="4"/>
      <c r="E941" s="4"/>
      <c r="F941" s="4"/>
      <c r="G941" s="4"/>
      <c r="H941" s="4"/>
      <c r="I941" s="4"/>
      <c r="J941" s="4"/>
      <c r="K941" s="4"/>
      <c r="L941" s="4"/>
      <c r="M941" s="4"/>
      <c r="N941" s="4"/>
      <c r="O941" s="4"/>
      <c r="P941" s="4"/>
      <c r="Q941" s="4"/>
      <c r="R941" s="4"/>
      <c r="S941" s="4"/>
      <c r="T941" s="4"/>
      <c r="U941" s="4"/>
      <c r="V941" s="4"/>
      <c r="W941" s="4"/>
      <c r="X941" s="4"/>
    </row>
    <row r="942" spans="1:24" ht="15.75" thickBot="1">
      <c r="A942" s="3"/>
      <c r="B942" s="4"/>
      <c r="C942" s="4"/>
      <c r="D942" s="4"/>
      <c r="E942" s="4"/>
      <c r="F942" s="4"/>
      <c r="G942" s="4"/>
      <c r="H942" s="4"/>
      <c r="I942" s="4"/>
      <c r="J942" s="4"/>
      <c r="K942" s="4"/>
      <c r="L942" s="4"/>
      <c r="M942" s="4"/>
      <c r="N942" s="4"/>
      <c r="O942" s="4"/>
      <c r="P942" s="4"/>
      <c r="Q942" s="4"/>
      <c r="R942" s="4"/>
      <c r="S942" s="4"/>
      <c r="T942" s="4"/>
      <c r="U942" s="4"/>
      <c r="V942" s="4"/>
      <c r="W942" s="4"/>
      <c r="X942" s="4"/>
    </row>
    <row r="943" spans="1:24" ht="15.75" thickBot="1">
      <c r="A943" s="3"/>
      <c r="B943" s="4"/>
      <c r="C943" s="4"/>
      <c r="D943" s="4"/>
      <c r="E943" s="4"/>
      <c r="F943" s="4"/>
      <c r="G943" s="4"/>
      <c r="H943" s="4"/>
      <c r="I943" s="4"/>
      <c r="J943" s="4"/>
      <c r="K943" s="4"/>
      <c r="L943" s="4"/>
      <c r="M943" s="4"/>
      <c r="N943" s="4"/>
      <c r="O943" s="4"/>
      <c r="P943" s="4"/>
      <c r="Q943" s="4"/>
      <c r="R943" s="4"/>
      <c r="S943" s="4"/>
      <c r="T943" s="4"/>
      <c r="U943" s="4"/>
      <c r="V943" s="4"/>
      <c r="W943" s="4"/>
      <c r="X943" s="4"/>
    </row>
    <row r="944" spans="1:24" ht="15.75" thickBot="1">
      <c r="A944" s="3"/>
      <c r="B944" s="4"/>
      <c r="C944" s="4"/>
      <c r="D944" s="4"/>
      <c r="E944" s="4"/>
      <c r="F944" s="4"/>
      <c r="G944" s="4"/>
      <c r="H944" s="4"/>
      <c r="I944" s="4"/>
      <c r="J944" s="4"/>
      <c r="K944" s="4"/>
      <c r="L944" s="4"/>
      <c r="M944" s="4"/>
      <c r="N944" s="4"/>
      <c r="O944" s="4"/>
      <c r="P944" s="4"/>
      <c r="Q944" s="4"/>
      <c r="R944" s="4"/>
      <c r="S944" s="4"/>
      <c r="T944" s="4"/>
      <c r="U944" s="4"/>
      <c r="V944" s="4"/>
      <c r="W944" s="4"/>
      <c r="X944" s="4"/>
    </row>
    <row r="945" spans="1:24" ht="15.75" thickBot="1">
      <c r="A945" s="3"/>
      <c r="B945" s="4"/>
      <c r="C945" s="4"/>
      <c r="D945" s="4"/>
      <c r="E945" s="4"/>
      <c r="F945" s="4"/>
      <c r="G945" s="4"/>
      <c r="H945" s="4"/>
      <c r="I945" s="4"/>
      <c r="J945" s="4"/>
      <c r="K945" s="4"/>
      <c r="L945" s="4"/>
      <c r="M945" s="4"/>
      <c r="N945" s="4"/>
      <c r="O945" s="4"/>
      <c r="P945" s="4"/>
      <c r="Q945" s="4"/>
      <c r="R945" s="4"/>
      <c r="S945" s="4"/>
      <c r="T945" s="4"/>
      <c r="U945" s="4"/>
      <c r="V945" s="4"/>
      <c r="W945" s="4"/>
      <c r="X945" s="4"/>
    </row>
    <row r="946" spans="1:24" ht="15.75" thickBot="1">
      <c r="A946" s="3"/>
      <c r="B946" s="4"/>
      <c r="C946" s="4"/>
      <c r="D946" s="4"/>
      <c r="E946" s="4"/>
      <c r="F946" s="4"/>
      <c r="G946" s="4"/>
      <c r="H946" s="4"/>
      <c r="I946" s="4"/>
      <c r="J946" s="4"/>
      <c r="K946" s="4"/>
      <c r="L946" s="4"/>
      <c r="M946" s="4"/>
      <c r="N946" s="4"/>
      <c r="O946" s="4"/>
      <c r="P946" s="4"/>
      <c r="Q946" s="4"/>
      <c r="R946" s="4"/>
      <c r="S946" s="4"/>
      <c r="T946" s="4"/>
      <c r="U946" s="4"/>
      <c r="V946" s="4"/>
      <c r="W946" s="4"/>
      <c r="X946" s="4"/>
    </row>
    <row r="947" spans="1:24" ht="15.75" thickBot="1">
      <c r="A947" s="3"/>
      <c r="B947" s="4"/>
      <c r="C947" s="4"/>
      <c r="D947" s="4"/>
      <c r="E947" s="4"/>
      <c r="F947" s="4"/>
      <c r="G947" s="4"/>
      <c r="H947" s="4"/>
      <c r="I947" s="4"/>
      <c r="J947" s="4"/>
      <c r="K947" s="4"/>
      <c r="L947" s="4"/>
      <c r="M947" s="4"/>
      <c r="N947" s="4"/>
      <c r="O947" s="4"/>
      <c r="P947" s="4"/>
      <c r="Q947" s="4"/>
      <c r="R947" s="4"/>
      <c r="S947" s="4"/>
      <c r="T947" s="4"/>
      <c r="U947" s="4"/>
      <c r="V947" s="4"/>
      <c r="W947" s="4"/>
      <c r="X947" s="4"/>
    </row>
    <row r="948" spans="1:24" ht="15.75" thickBot="1">
      <c r="A948" s="3"/>
      <c r="B948" s="4"/>
      <c r="C948" s="4"/>
      <c r="D948" s="4"/>
      <c r="E948" s="4"/>
      <c r="F948" s="4"/>
      <c r="G948" s="4"/>
      <c r="H948" s="4"/>
      <c r="I948" s="4"/>
      <c r="J948" s="4"/>
      <c r="K948" s="4"/>
      <c r="L948" s="4"/>
      <c r="M948" s="4"/>
      <c r="N948" s="4"/>
      <c r="O948" s="4"/>
      <c r="P948" s="4"/>
      <c r="Q948" s="4"/>
      <c r="R948" s="4"/>
      <c r="S948" s="4"/>
      <c r="T948" s="4"/>
      <c r="U948" s="4"/>
      <c r="V948" s="4"/>
      <c r="W948" s="4"/>
      <c r="X948" s="4"/>
    </row>
    <row r="949" spans="1:24" ht="15.75" thickBot="1">
      <c r="A949" s="3"/>
      <c r="B949" s="4"/>
      <c r="C949" s="4"/>
      <c r="D949" s="4"/>
      <c r="E949" s="4"/>
      <c r="F949" s="4"/>
      <c r="G949" s="4"/>
      <c r="H949" s="4"/>
      <c r="I949" s="4"/>
      <c r="J949" s="4"/>
      <c r="K949" s="4"/>
      <c r="L949" s="4"/>
      <c r="M949" s="4"/>
      <c r="N949" s="4"/>
      <c r="O949" s="4"/>
      <c r="P949" s="4"/>
      <c r="Q949" s="4"/>
      <c r="R949" s="4"/>
      <c r="S949" s="4"/>
      <c r="T949" s="4"/>
      <c r="U949" s="4"/>
      <c r="V949" s="4"/>
      <c r="W949" s="4"/>
      <c r="X949" s="4"/>
    </row>
    <row r="950" spans="1:24" ht="15.75" thickBot="1">
      <c r="A950" s="3"/>
      <c r="B950" s="4"/>
      <c r="C950" s="4"/>
      <c r="D950" s="4"/>
      <c r="E950" s="4"/>
      <c r="F950" s="4"/>
      <c r="G950" s="4"/>
      <c r="H950" s="4"/>
      <c r="I950" s="4"/>
      <c r="J950" s="4"/>
      <c r="K950" s="4"/>
      <c r="L950" s="4"/>
      <c r="M950" s="4"/>
      <c r="N950" s="4"/>
      <c r="O950" s="4"/>
      <c r="P950" s="4"/>
      <c r="Q950" s="4"/>
      <c r="R950" s="4"/>
      <c r="S950" s="4"/>
      <c r="T950" s="4"/>
      <c r="U950" s="4"/>
      <c r="V950" s="4"/>
      <c r="W950" s="4"/>
      <c r="X950" s="4"/>
    </row>
    <row r="951" spans="1:24" ht="15.75" thickBot="1">
      <c r="A951" s="3"/>
      <c r="B951" s="4"/>
      <c r="C951" s="4"/>
      <c r="D951" s="4"/>
      <c r="E951" s="4"/>
      <c r="F951" s="4"/>
      <c r="G951" s="4"/>
      <c r="H951" s="4"/>
      <c r="I951" s="4"/>
      <c r="J951" s="4"/>
      <c r="K951" s="4"/>
      <c r="L951" s="4"/>
      <c r="M951" s="4"/>
      <c r="N951" s="4"/>
      <c r="O951" s="4"/>
      <c r="P951" s="4"/>
      <c r="Q951" s="4"/>
      <c r="R951" s="4"/>
      <c r="S951" s="4"/>
      <c r="T951" s="4"/>
      <c r="U951" s="4"/>
      <c r="V951" s="4"/>
      <c r="W951" s="4"/>
      <c r="X951" s="4"/>
    </row>
    <row r="952" spans="1:24" ht="15.75" thickBot="1">
      <c r="A952" s="3"/>
      <c r="B952" s="4"/>
      <c r="C952" s="4"/>
      <c r="D952" s="4"/>
      <c r="E952" s="4"/>
      <c r="F952" s="4"/>
      <c r="G952" s="4"/>
      <c r="H952" s="4"/>
      <c r="I952" s="4"/>
      <c r="J952" s="4"/>
      <c r="K952" s="4"/>
      <c r="L952" s="4"/>
      <c r="M952" s="4"/>
      <c r="N952" s="4"/>
      <c r="O952" s="4"/>
      <c r="P952" s="4"/>
      <c r="Q952" s="4"/>
      <c r="R952" s="4"/>
      <c r="S952" s="4"/>
      <c r="T952" s="4"/>
      <c r="U952" s="4"/>
      <c r="V952" s="4"/>
      <c r="W952" s="4"/>
      <c r="X952" s="4"/>
    </row>
    <row r="953" spans="1:24" ht="15.75" thickBot="1">
      <c r="A953" s="3"/>
      <c r="B953" s="4"/>
      <c r="C953" s="4"/>
      <c r="D953" s="4"/>
      <c r="E953" s="4"/>
      <c r="F953" s="4"/>
      <c r="G953" s="4"/>
      <c r="H953" s="4"/>
      <c r="I953" s="4"/>
      <c r="J953" s="4"/>
      <c r="K953" s="4"/>
      <c r="L953" s="4"/>
      <c r="M953" s="4"/>
      <c r="N953" s="4"/>
      <c r="O953" s="4"/>
      <c r="P953" s="4"/>
      <c r="Q953" s="4"/>
      <c r="R953" s="4"/>
      <c r="S953" s="4"/>
      <c r="T953" s="4"/>
      <c r="U953" s="4"/>
      <c r="V953" s="4"/>
      <c r="W953" s="4"/>
      <c r="X953" s="4"/>
    </row>
    <row r="954" spans="1:24" ht="15.75" thickBot="1">
      <c r="A954" s="3"/>
      <c r="B954" s="4"/>
      <c r="C954" s="4"/>
      <c r="D954" s="4"/>
      <c r="E954" s="4"/>
      <c r="F954" s="4"/>
      <c r="G954" s="4"/>
      <c r="H954" s="4"/>
      <c r="I954" s="4"/>
      <c r="J954" s="4"/>
      <c r="K954" s="4"/>
      <c r="L954" s="4"/>
      <c r="M954" s="4"/>
      <c r="N954" s="4"/>
      <c r="O954" s="4"/>
      <c r="P954" s="4"/>
      <c r="Q954" s="4"/>
      <c r="R954" s="4"/>
      <c r="S954" s="4"/>
      <c r="T954" s="4"/>
      <c r="U954" s="4"/>
      <c r="V954" s="4"/>
      <c r="W954" s="4"/>
      <c r="X954" s="4"/>
    </row>
    <row r="955" spans="1:24" ht="15.75" thickBot="1">
      <c r="A955" s="3"/>
      <c r="B955" s="4"/>
      <c r="C955" s="4"/>
      <c r="D955" s="4"/>
      <c r="E955" s="4"/>
      <c r="F955" s="4"/>
      <c r="G955" s="4"/>
      <c r="H955" s="4"/>
      <c r="I955" s="4"/>
      <c r="J955" s="4"/>
      <c r="K955" s="4"/>
      <c r="L955" s="4"/>
      <c r="M955" s="4"/>
      <c r="N955" s="4"/>
      <c r="O955" s="4"/>
      <c r="P955" s="4"/>
      <c r="Q955" s="4"/>
      <c r="R955" s="4"/>
      <c r="S955" s="4"/>
      <c r="T955" s="4"/>
      <c r="U955" s="4"/>
      <c r="V955" s="4"/>
      <c r="W955" s="4"/>
      <c r="X955" s="4"/>
    </row>
    <row r="956" spans="1:24" ht="15.75" thickBot="1">
      <c r="A956" s="3"/>
      <c r="B956" s="4"/>
      <c r="C956" s="4"/>
      <c r="D956" s="4"/>
      <c r="E956" s="4"/>
      <c r="F956" s="4"/>
      <c r="G956" s="4"/>
      <c r="H956" s="4"/>
      <c r="I956" s="4"/>
      <c r="J956" s="4"/>
      <c r="K956" s="4"/>
      <c r="L956" s="4"/>
      <c r="M956" s="4"/>
      <c r="N956" s="4"/>
      <c r="O956" s="4"/>
      <c r="P956" s="4"/>
      <c r="Q956" s="4"/>
      <c r="R956" s="4"/>
      <c r="S956" s="4"/>
      <c r="T956" s="4"/>
      <c r="U956" s="4"/>
      <c r="V956" s="4"/>
      <c r="W956" s="4"/>
      <c r="X956" s="4"/>
    </row>
    <row r="957" spans="1:24" ht="15.75" thickBot="1">
      <c r="A957" s="3"/>
      <c r="B957" s="4"/>
      <c r="C957" s="4"/>
      <c r="D957" s="4"/>
      <c r="E957" s="4"/>
      <c r="F957" s="4"/>
      <c r="G957" s="4"/>
      <c r="H957" s="4"/>
      <c r="I957" s="4"/>
      <c r="J957" s="4"/>
      <c r="K957" s="4"/>
      <c r="L957" s="4"/>
      <c r="M957" s="4"/>
      <c r="N957" s="4"/>
      <c r="O957" s="4"/>
      <c r="P957" s="4"/>
      <c r="Q957" s="4"/>
      <c r="R957" s="4"/>
      <c r="S957" s="4"/>
      <c r="T957" s="4"/>
      <c r="U957" s="4"/>
      <c r="V957" s="4"/>
      <c r="W957" s="4"/>
      <c r="X957" s="4"/>
    </row>
    <row r="958" spans="1:24" ht="15.75" thickBot="1">
      <c r="A958" s="3"/>
      <c r="B958" s="4"/>
      <c r="C958" s="4"/>
      <c r="D958" s="4"/>
      <c r="E958" s="4"/>
      <c r="F958" s="4"/>
      <c r="G958" s="4"/>
      <c r="H958" s="4"/>
      <c r="I958" s="4"/>
      <c r="J958" s="4"/>
      <c r="K958" s="4"/>
      <c r="L958" s="4"/>
      <c r="M958" s="4"/>
      <c r="N958" s="4"/>
      <c r="O958" s="4"/>
      <c r="P958" s="4"/>
      <c r="Q958" s="4"/>
      <c r="R958" s="4"/>
      <c r="S958" s="4"/>
      <c r="T958" s="4"/>
      <c r="U958" s="4"/>
      <c r="V958" s="4"/>
      <c r="W958" s="4"/>
      <c r="X958" s="4"/>
    </row>
    <row r="959" spans="1:24" ht="15.75" thickBot="1">
      <c r="A959" s="3"/>
      <c r="B959" s="4"/>
      <c r="C959" s="4"/>
      <c r="D959" s="4"/>
      <c r="E959" s="4"/>
      <c r="F959" s="4"/>
      <c r="G959" s="4"/>
      <c r="H959" s="4"/>
      <c r="I959" s="4"/>
      <c r="J959" s="4"/>
      <c r="K959" s="4"/>
      <c r="L959" s="4"/>
      <c r="M959" s="4"/>
      <c r="N959" s="4"/>
      <c r="O959" s="4"/>
      <c r="P959" s="4"/>
      <c r="Q959" s="4"/>
      <c r="R959" s="4"/>
      <c r="S959" s="4"/>
      <c r="T959" s="4"/>
      <c r="U959" s="4"/>
      <c r="V959" s="4"/>
      <c r="W959" s="4"/>
      <c r="X959" s="4"/>
    </row>
    <row r="960" spans="1:24" ht="15.75" thickBot="1">
      <c r="A960" s="3"/>
      <c r="B960" s="4"/>
      <c r="C960" s="4"/>
      <c r="D960" s="4"/>
      <c r="E960" s="4"/>
      <c r="F960" s="4"/>
      <c r="G960" s="4"/>
      <c r="H960" s="4"/>
      <c r="I960" s="4"/>
      <c r="J960" s="4"/>
      <c r="K960" s="4"/>
      <c r="L960" s="4"/>
      <c r="M960" s="4"/>
      <c r="N960" s="4"/>
      <c r="O960" s="4"/>
      <c r="P960" s="4"/>
      <c r="Q960" s="4"/>
      <c r="R960" s="4"/>
      <c r="S960" s="4"/>
      <c r="T960" s="4"/>
      <c r="U960" s="4"/>
      <c r="V960" s="4"/>
      <c r="W960" s="4"/>
      <c r="X960" s="4"/>
    </row>
    <row r="961" spans="1:24" ht="15.75" thickBot="1">
      <c r="A961" s="3"/>
      <c r="B961" s="4"/>
      <c r="C961" s="4"/>
      <c r="D961" s="4"/>
      <c r="E961" s="4"/>
      <c r="F961" s="4"/>
      <c r="G961" s="4"/>
      <c r="H961" s="4"/>
      <c r="I961" s="4"/>
      <c r="J961" s="4"/>
      <c r="K961" s="4"/>
      <c r="L961" s="4"/>
      <c r="M961" s="4"/>
      <c r="N961" s="4"/>
      <c r="O961" s="4"/>
      <c r="P961" s="4"/>
      <c r="Q961" s="4"/>
      <c r="R961" s="4"/>
      <c r="S961" s="4"/>
      <c r="T961" s="4"/>
      <c r="U961" s="4"/>
      <c r="V961" s="4"/>
      <c r="W961" s="4"/>
      <c r="X961" s="4"/>
    </row>
    <row r="962" spans="1:24" ht="15.75" thickBot="1">
      <c r="A962" s="3"/>
      <c r="B962" s="4"/>
      <c r="C962" s="4"/>
      <c r="D962" s="4"/>
      <c r="E962" s="4"/>
      <c r="F962" s="4"/>
      <c r="G962" s="4"/>
      <c r="H962" s="4"/>
      <c r="I962" s="4"/>
      <c r="J962" s="4"/>
      <c r="K962" s="4"/>
      <c r="L962" s="4"/>
      <c r="M962" s="4"/>
      <c r="N962" s="4"/>
      <c r="O962" s="4"/>
      <c r="P962" s="4"/>
      <c r="Q962" s="4"/>
      <c r="R962" s="4"/>
      <c r="S962" s="4"/>
      <c r="T962" s="4"/>
      <c r="U962" s="4"/>
      <c r="V962" s="4"/>
      <c r="W962" s="4"/>
      <c r="X962" s="4"/>
    </row>
    <row r="963" spans="1:24" ht="15.75" thickBot="1">
      <c r="A963" s="3"/>
      <c r="B963" s="4"/>
      <c r="C963" s="4"/>
      <c r="D963" s="4"/>
      <c r="E963" s="4"/>
      <c r="F963" s="4"/>
      <c r="G963" s="4"/>
      <c r="H963" s="4"/>
      <c r="I963" s="4"/>
      <c r="J963" s="4"/>
      <c r="K963" s="4"/>
      <c r="L963" s="4"/>
      <c r="M963" s="4"/>
      <c r="N963" s="4"/>
      <c r="O963" s="4"/>
      <c r="P963" s="4"/>
      <c r="Q963" s="4"/>
      <c r="R963" s="4"/>
      <c r="S963" s="4"/>
      <c r="T963" s="4"/>
      <c r="U963" s="4"/>
      <c r="V963" s="4"/>
      <c r="W963" s="4"/>
      <c r="X963" s="4"/>
    </row>
    <row r="964" spans="1:24" ht="15.75" thickBot="1">
      <c r="A964" s="3"/>
      <c r="B964" s="4"/>
      <c r="C964" s="4"/>
      <c r="D964" s="4"/>
      <c r="E964" s="4"/>
      <c r="F964" s="4"/>
      <c r="G964" s="4"/>
      <c r="H964" s="4"/>
      <c r="I964" s="4"/>
      <c r="J964" s="4"/>
      <c r="K964" s="4"/>
      <c r="L964" s="4"/>
      <c r="M964" s="4"/>
      <c r="N964" s="4"/>
      <c r="O964" s="4"/>
      <c r="P964" s="4"/>
      <c r="Q964" s="4"/>
      <c r="R964" s="4"/>
      <c r="S964" s="4"/>
      <c r="T964" s="4"/>
      <c r="U964" s="4"/>
      <c r="V964" s="4"/>
      <c r="W964" s="4"/>
      <c r="X964" s="4"/>
    </row>
    <row r="965" spans="1:24" ht="15.75" thickBot="1">
      <c r="A965" s="3"/>
      <c r="B965" s="4"/>
      <c r="C965" s="4"/>
      <c r="D965" s="4"/>
      <c r="E965" s="4"/>
      <c r="F965" s="4"/>
      <c r="G965" s="4"/>
      <c r="H965" s="4"/>
      <c r="I965" s="4"/>
      <c r="J965" s="4"/>
      <c r="K965" s="4"/>
      <c r="L965" s="4"/>
      <c r="M965" s="4"/>
      <c r="N965" s="4"/>
      <c r="O965" s="4"/>
      <c r="P965" s="4"/>
      <c r="Q965" s="4"/>
      <c r="R965" s="4"/>
      <c r="S965" s="4"/>
      <c r="T965" s="4"/>
      <c r="U965" s="4"/>
      <c r="V965" s="4"/>
      <c r="W965" s="4"/>
      <c r="X965" s="4"/>
    </row>
    <row r="966" spans="1:24" ht="15.75" thickBot="1">
      <c r="A966" s="3"/>
      <c r="B966" s="4"/>
      <c r="C966" s="4"/>
      <c r="D966" s="4"/>
      <c r="E966" s="4"/>
      <c r="F966" s="4"/>
      <c r="G966" s="4"/>
      <c r="H966" s="4"/>
      <c r="I966" s="4"/>
      <c r="J966" s="4"/>
      <c r="K966" s="4"/>
      <c r="L966" s="4"/>
      <c r="M966" s="4"/>
      <c r="N966" s="4"/>
      <c r="O966" s="4"/>
      <c r="P966" s="4"/>
      <c r="Q966" s="4"/>
      <c r="R966" s="4"/>
      <c r="S966" s="4"/>
      <c r="T966" s="4"/>
      <c r="U966" s="4"/>
      <c r="V966" s="4"/>
      <c r="W966" s="4"/>
      <c r="X966" s="4"/>
    </row>
    <row r="967" spans="1:24" ht="15.75" thickBot="1">
      <c r="A967" s="3"/>
      <c r="B967" s="4"/>
      <c r="C967" s="4"/>
      <c r="D967" s="4"/>
      <c r="E967" s="4"/>
      <c r="F967" s="4"/>
      <c r="G967" s="4"/>
      <c r="H967" s="4"/>
      <c r="I967" s="4"/>
      <c r="J967" s="4"/>
      <c r="K967" s="4"/>
      <c r="L967" s="4"/>
      <c r="M967" s="4"/>
      <c r="N967" s="4"/>
      <c r="O967" s="4"/>
      <c r="P967" s="4"/>
      <c r="Q967" s="4"/>
      <c r="R967" s="4"/>
      <c r="S967" s="4"/>
      <c r="T967" s="4"/>
      <c r="U967" s="4"/>
      <c r="V967" s="4"/>
      <c r="W967" s="4"/>
      <c r="X967" s="4"/>
    </row>
    <row r="968" spans="1:24" ht="15.75" thickBot="1">
      <c r="A968" s="3"/>
      <c r="B968" s="4"/>
      <c r="C968" s="4"/>
      <c r="D968" s="4"/>
      <c r="E968" s="4"/>
      <c r="F968" s="4"/>
      <c r="G968" s="4"/>
      <c r="H968" s="4"/>
      <c r="I968" s="4"/>
      <c r="J968" s="4"/>
      <c r="K968" s="4"/>
      <c r="L968" s="4"/>
      <c r="M968" s="4"/>
      <c r="N968" s="4"/>
      <c r="O968" s="4"/>
      <c r="P968" s="4"/>
      <c r="Q968" s="4"/>
      <c r="R968" s="4"/>
      <c r="S968" s="4"/>
      <c r="T968" s="4"/>
      <c r="U968" s="4"/>
      <c r="V968" s="4"/>
      <c r="W968" s="4"/>
      <c r="X968" s="4"/>
    </row>
    <row r="969" spans="1:24" ht="15.75" thickBot="1">
      <c r="A969" s="3"/>
      <c r="B969" s="4"/>
      <c r="C969" s="4"/>
      <c r="D969" s="4"/>
      <c r="E969" s="4"/>
      <c r="F969" s="4"/>
      <c r="G969" s="4"/>
      <c r="H969" s="4"/>
      <c r="I969" s="4"/>
      <c r="J969" s="4"/>
      <c r="K969" s="4"/>
      <c r="L969" s="4"/>
      <c r="M969" s="4"/>
      <c r="N969" s="4"/>
      <c r="O969" s="4"/>
      <c r="P969" s="4"/>
      <c r="Q969" s="4"/>
      <c r="R969" s="4"/>
      <c r="S969" s="4"/>
      <c r="T969" s="4"/>
      <c r="U969" s="4"/>
      <c r="V969" s="4"/>
      <c r="W969" s="4"/>
      <c r="X969" s="4"/>
    </row>
    <row r="970" spans="1:24" ht="15.75" thickBot="1">
      <c r="A970" s="3"/>
      <c r="B970" s="4"/>
      <c r="C970" s="4"/>
      <c r="D970" s="4"/>
      <c r="E970" s="4"/>
      <c r="F970" s="4"/>
      <c r="G970" s="4"/>
      <c r="H970" s="4"/>
      <c r="I970" s="4"/>
      <c r="J970" s="4"/>
      <c r="K970" s="4"/>
      <c r="L970" s="4"/>
      <c r="M970" s="4"/>
      <c r="N970" s="4"/>
      <c r="O970" s="4"/>
      <c r="P970" s="4"/>
      <c r="Q970" s="4"/>
      <c r="R970" s="4"/>
      <c r="S970" s="4"/>
      <c r="T970" s="4"/>
      <c r="U970" s="4"/>
      <c r="V970" s="4"/>
      <c r="W970" s="4"/>
      <c r="X970" s="4"/>
    </row>
    <row r="971" spans="1:24" ht="15.75" thickBot="1">
      <c r="A971" s="3"/>
      <c r="B971" s="4"/>
      <c r="C971" s="4"/>
      <c r="D971" s="4"/>
      <c r="E971" s="4"/>
      <c r="F971" s="4"/>
      <c r="G971" s="4"/>
      <c r="H971" s="4"/>
      <c r="I971" s="4"/>
      <c r="J971" s="4"/>
      <c r="K971" s="4"/>
      <c r="L971" s="4"/>
      <c r="M971" s="4"/>
      <c r="N971" s="4"/>
      <c r="O971" s="4"/>
      <c r="P971" s="4"/>
      <c r="Q971" s="4"/>
      <c r="R971" s="4"/>
      <c r="S971" s="4"/>
      <c r="T971" s="4"/>
      <c r="U971" s="4"/>
      <c r="V971" s="4"/>
      <c r="W971" s="4"/>
      <c r="X971" s="4"/>
    </row>
    <row r="972" spans="1:24" ht="15.75" thickBot="1">
      <c r="A972" s="3"/>
      <c r="B972" s="4"/>
      <c r="C972" s="4"/>
      <c r="D972" s="4"/>
      <c r="E972" s="4"/>
      <c r="F972" s="4"/>
      <c r="G972" s="4"/>
      <c r="H972" s="4"/>
      <c r="I972" s="4"/>
      <c r="J972" s="4"/>
      <c r="K972" s="4"/>
      <c r="L972" s="4"/>
      <c r="M972" s="4"/>
      <c r="N972" s="4"/>
      <c r="O972" s="4"/>
      <c r="P972" s="4"/>
      <c r="Q972" s="4"/>
      <c r="R972" s="4"/>
      <c r="S972" s="4"/>
      <c r="T972" s="4"/>
      <c r="U972" s="4"/>
      <c r="V972" s="4"/>
      <c r="W972" s="4"/>
      <c r="X972" s="4"/>
    </row>
    <row r="973" spans="1:24" ht="15.75" thickBot="1">
      <c r="A973" s="3"/>
      <c r="B973" s="4"/>
      <c r="C973" s="4"/>
      <c r="D973" s="4"/>
      <c r="E973" s="4"/>
      <c r="F973" s="4"/>
      <c r="G973" s="4"/>
      <c r="H973" s="4"/>
      <c r="I973" s="4"/>
      <c r="J973" s="4"/>
      <c r="K973" s="4"/>
      <c r="L973" s="4"/>
      <c r="M973" s="4"/>
      <c r="N973" s="4"/>
      <c r="O973" s="4"/>
      <c r="P973" s="4"/>
      <c r="Q973" s="4"/>
      <c r="R973" s="4"/>
      <c r="S973" s="4"/>
      <c r="T973" s="4"/>
      <c r="U973" s="4"/>
      <c r="V973" s="4"/>
      <c r="W973" s="4"/>
      <c r="X973" s="4"/>
    </row>
    <row r="974" spans="1:24" ht="15.75" thickBot="1">
      <c r="A974" s="3"/>
      <c r="B974" s="4"/>
      <c r="C974" s="4"/>
      <c r="D974" s="4"/>
      <c r="E974" s="4"/>
      <c r="F974" s="4"/>
      <c r="G974" s="4"/>
      <c r="H974" s="4"/>
      <c r="I974" s="4"/>
      <c r="J974" s="4"/>
      <c r="K974" s="4"/>
      <c r="L974" s="4"/>
      <c r="M974" s="4"/>
      <c r="N974" s="4"/>
      <c r="O974" s="4"/>
      <c r="P974" s="4"/>
      <c r="Q974" s="4"/>
      <c r="R974" s="4"/>
      <c r="S974" s="4"/>
      <c r="T974" s="4"/>
      <c r="U974" s="4"/>
      <c r="V974" s="4"/>
      <c r="W974" s="4"/>
      <c r="X974" s="4"/>
    </row>
    <row r="975" spans="1:24" ht="15.75" thickBot="1">
      <c r="A975" s="3"/>
      <c r="B975" s="4"/>
      <c r="C975" s="4"/>
      <c r="D975" s="4"/>
      <c r="E975" s="4"/>
      <c r="F975" s="4"/>
      <c r="G975" s="4"/>
      <c r="H975" s="4"/>
      <c r="I975" s="4"/>
      <c r="J975" s="4"/>
      <c r="K975" s="4"/>
      <c r="L975" s="4"/>
      <c r="M975" s="4"/>
      <c r="N975" s="4"/>
      <c r="O975" s="4"/>
      <c r="P975" s="4"/>
      <c r="Q975" s="4"/>
      <c r="R975" s="4"/>
      <c r="S975" s="4"/>
      <c r="T975" s="4"/>
      <c r="U975" s="4"/>
      <c r="V975" s="4"/>
      <c r="W975" s="4"/>
      <c r="X975" s="4"/>
    </row>
    <row r="976" spans="1:24" ht="15.75" thickBot="1">
      <c r="A976" s="3"/>
      <c r="B976" s="4"/>
      <c r="C976" s="4"/>
      <c r="D976" s="4"/>
      <c r="E976" s="4"/>
      <c r="F976" s="4"/>
      <c r="G976" s="4"/>
      <c r="H976" s="4"/>
      <c r="I976" s="4"/>
      <c r="J976" s="4"/>
      <c r="K976" s="4"/>
      <c r="L976" s="4"/>
      <c r="M976" s="4"/>
      <c r="N976" s="4"/>
      <c r="O976" s="4"/>
      <c r="P976" s="4"/>
      <c r="Q976" s="4"/>
      <c r="R976" s="4"/>
      <c r="S976" s="4"/>
      <c r="T976" s="4"/>
      <c r="U976" s="4"/>
      <c r="V976" s="4"/>
      <c r="W976" s="4"/>
      <c r="X976" s="4"/>
    </row>
    <row r="977" spans="1:24" ht="15.75" thickBot="1">
      <c r="A977" s="3"/>
      <c r="B977" s="4"/>
      <c r="C977" s="4"/>
      <c r="D977" s="4"/>
      <c r="E977" s="4"/>
      <c r="F977" s="4"/>
      <c r="G977" s="4"/>
      <c r="H977" s="4"/>
      <c r="I977" s="4"/>
      <c r="J977" s="4"/>
      <c r="K977" s="4"/>
      <c r="L977" s="4"/>
      <c r="M977" s="4"/>
      <c r="N977" s="4"/>
      <c r="O977" s="4"/>
      <c r="P977" s="4"/>
      <c r="Q977" s="4"/>
      <c r="R977" s="4"/>
      <c r="S977" s="4"/>
      <c r="T977" s="4"/>
      <c r="U977" s="4"/>
      <c r="V977" s="4"/>
      <c r="W977" s="4"/>
      <c r="X977" s="4"/>
    </row>
    <row r="978" spans="1:24" ht="15.75" thickBot="1">
      <c r="A978" s="3"/>
      <c r="B978" s="4"/>
      <c r="C978" s="4"/>
      <c r="D978" s="4"/>
      <c r="E978" s="4"/>
      <c r="F978" s="4"/>
      <c r="G978" s="4"/>
      <c r="H978" s="4"/>
      <c r="I978" s="4"/>
      <c r="J978" s="4"/>
      <c r="K978" s="4"/>
      <c r="L978" s="4"/>
      <c r="M978" s="4"/>
      <c r="N978" s="4"/>
      <c r="O978" s="4"/>
      <c r="P978" s="4"/>
      <c r="Q978" s="4"/>
      <c r="R978" s="4"/>
      <c r="S978" s="4"/>
      <c r="T978" s="4"/>
      <c r="U978" s="4"/>
      <c r="V978" s="4"/>
      <c r="W978" s="4"/>
      <c r="X978" s="4"/>
    </row>
    <row r="979" spans="1:24" ht="15.75" thickBot="1">
      <c r="A979" s="3"/>
      <c r="B979" s="4"/>
      <c r="C979" s="4"/>
      <c r="D979" s="4"/>
      <c r="E979" s="4"/>
      <c r="F979" s="4"/>
      <c r="G979" s="4"/>
      <c r="H979" s="4"/>
      <c r="I979" s="4"/>
      <c r="J979" s="4"/>
      <c r="K979" s="4"/>
      <c r="L979" s="4"/>
      <c r="M979" s="4"/>
      <c r="N979" s="4"/>
      <c r="O979" s="4"/>
      <c r="P979" s="4"/>
      <c r="Q979" s="4"/>
      <c r="R979" s="4"/>
      <c r="S979" s="4"/>
      <c r="T979" s="4"/>
      <c r="U979" s="4"/>
      <c r="V979" s="4"/>
      <c r="W979" s="4"/>
      <c r="X979" s="4"/>
    </row>
    <row r="980" spans="1:24" ht="15.75" thickBot="1">
      <c r="A980" s="3"/>
      <c r="B980" s="4"/>
      <c r="C980" s="4"/>
      <c r="D980" s="4"/>
      <c r="E980" s="4"/>
      <c r="F980" s="4"/>
      <c r="G980" s="4"/>
      <c r="H980" s="4"/>
      <c r="I980" s="4"/>
      <c r="J980" s="4"/>
      <c r="K980" s="4"/>
      <c r="L980" s="4"/>
      <c r="M980" s="4"/>
      <c r="N980" s="4"/>
      <c r="O980" s="4"/>
      <c r="P980" s="4"/>
      <c r="Q980" s="4"/>
      <c r="R980" s="4"/>
      <c r="S980" s="4"/>
      <c r="T980" s="4"/>
      <c r="U980" s="4"/>
      <c r="V980" s="4"/>
      <c r="W980" s="4"/>
      <c r="X980" s="4"/>
    </row>
    <row r="981" spans="1:24" ht="15.75" thickBot="1">
      <c r="A981" s="3"/>
      <c r="B981" s="4"/>
      <c r="C981" s="4"/>
      <c r="D981" s="4"/>
      <c r="E981" s="4"/>
      <c r="F981" s="4"/>
      <c r="G981" s="4"/>
      <c r="H981" s="4"/>
      <c r="I981" s="4"/>
      <c r="J981" s="4"/>
      <c r="K981" s="4"/>
      <c r="L981" s="4"/>
      <c r="M981" s="4"/>
      <c r="N981" s="4"/>
      <c r="O981" s="4"/>
      <c r="P981" s="4"/>
      <c r="Q981" s="4"/>
      <c r="R981" s="4"/>
      <c r="S981" s="4"/>
      <c r="T981" s="4"/>
      <c r="U981" s="4"/>
      <c r="V981" s="4"/>
      <c r="W981" s="4"/>
      <c r="X981" s="4"/>
    </row>
    <row r="982" spans="1:24" ht="15.75" thickBot="1">
      <c r="A982" s="3"/>
      <c r="B982" s="4"/>
      <c r="C982" s="4"/>
      <c r="D982" s="4"/>
      <c r="E982" s="4"/>
      <c r="F982" s="4"/>
      <c r="G982" s="4"/>
      <c r="H982" s="4"/>
      <c r="I982" s="4"/>
      <c r="J982" s="4"/>
      <c r="K982" s="4"/>
      <c r="L982" s="4"/>
      <c r="M982" s="4"/>
      <c r="N982" s="4"/>
      <c r="O982" s="4"/>
      <c r="P982" s="4"/>
      <c r="Q982" s="4"/>
      <c r="R982" s="4"/>
      <c r="S982" s="4"/>
      <c r="T982" s="4"/>
      <c r="U982" s="4"/>
      <c r="V982" s="4"/>
      <c r="W982" s="4"/>
      <c r="X982" s="4"/>
    </row>
    <row r="983" spans="1:24" ht="15.75" thickBot="1">
      <c r="A983" s="3"/>
      <c r="B983" s="4"/>
      <c r="C983" s="4"/>
      <c r="D983" s="4"/>
      <c r="E983" s="4"/>
      <c r="F983" s="4"/>
      <c r="G983" s="4"/>
      <c r="H983" s="4"/>
      <c r="I983" s="4"/>
      <c r="J983" s="4"/>
      <c r="K983" s="4"/>
      <c r="L983" s="4"/>
      <c r="M983" s="4"/>
      <c r="N983" s="4"/>
      <c r="O983" s="4"/>
      <c r="P983" s="4"/>
      <c r="Q983" s="4"/>
      <c r="R983" s="4"/>
      <c r="S983" s="4"/>
      <c r="T983" s="4"/>
      <c r="U983" s="4"/>
      <c r="V983" s="4"/>
      <c r="W983" s="4"/>
      <c r="X983" s="4"/>
    </row>
    <row r="984" spans="1:24" ht="15.75" thickBot="1">
      <c r="A984" s="3"/>
      <c r="B984" s="4"/>
      <c r="C984" s="4"/>
      <c r="D984" s="4"/>
      <c r="E984" s="4"/>
      <c r="F984" s="4"/>
      <c r="G984" s="4"/>
      <c r="H984" s="4"/>
      <c r="I984" s="4"/>
      <c r="J984" s="4"/>
      <c r="K984" s="4"/>
      <c r="L984" s="4"/>
      <c r="M984" s="4"/>
      <c r="N984" s="4"/>
      <c r="O984" s="4"/>
      <c r="P984" s="4"/>
      <c r="Q984" s="4"/>
      <c r="R984" s="4"/>
      <c r="S984" s="4"/>
      <c r="T984" s="4"/>
      <c r="U984" s="4"/>
      <c r="V984" s="4"/>
      <c r="W984" s="4"/>
      <c r="X984" s="4"/>
    </row>
    <row r="985" spans="1:24" ht="15.75" thickBot="1">
      <c r="A985" s="3"/>
      <c r="B985" s="4"/>
      <c r="C985" s="4"/>
      <c r="D985" s="4"/>
      <c r="E985" s="4"/>
      <c r="F985" s="4"/>
      <c r="G985" s="4"/>
      <c r="H985" s="4"/>
      <c r="I985" s="4"/>
      <c r="J985" s="4"/>
      <c r="K985" s="4"/>
      <c r="L985" s="4"/>
      <c r="M985" s="4"/>
      <c r="N985" s="4"/>
      <c r="O985" s="4"/>
      <c r="P985" s="4"/>
      <c r="Q985" s="4"/>
      <c r="R985" s="4"/>
      <c r="S985" s="4"/>
      <c r="T985" s="4"/>
      <c r="U985" s="4"/>
      <c r="V985" s="4"/>
      <c r="W985" s="4"/>
      <c r="X985" s="4"/>
    </row>
    <row r="986" spans="1:24" ht="15.75" thickBot="1">
      <c r="A986" s="3"/>
      <c r="B986" s="4"/>
      <c r="C986" s="4"/>
      <c r="D986" s="4"/>
      <c r="E986" s="4"/>
      <c r="F986" s="4"/>
      <c r="G986" s="4"/>
      <c r="H986" s="4"/>
      <c r="I986" s="4"/>
      <c r="J986" s="4"/>
      <c r="K986" s="4"/>
      <c r="L986" s="4"/>
      <c r="M986" s="4"/>
      <c r="N986" s="4"/>
      <c r="O986" s="4"/>
      <c r="P986" s="4"/>
      <c r="Q986" s="4"/>
      <c r="R986" s="4"/>
      <c r="S986" s="4"/>
      <c r="T986" s="4"/>
      <c r="U986" s="4"/>
      <c r="V986" s="4"/>
      <c r="W986" s="4"/>
      <c r="X986" s="4"/>
    </row>
    <row r="987" spans="1:24" ht="15.75" thickBot="1">
      <c r="A987" s="3"/>
      <c r="B987" s="4"/>
      <c r="C987" s="4"/>
      <c r="D987" s="4"/>
      <c r="E987" s="4"/>
      <c r="F987" s="4"/>
      <c r="G987" s="4"/>
      <c r="H987" s="4"/>
      <c r="I987" s="4"/>
      <c r="J987" s="4"/>
      <c r="K987" s="4"/>
      <c r="L987" s="4"/>
      <c r="M987" s="4"/>
      <c r="N987" s="4"/>
      <c r="O987" s="4"/>
      <c r="P987" s="4"/>
      <c r="Q987" s="4"/>
      <c r="R987" s="4"/>
      <c r="S987" s="4"/>
      <c r="T987" s="4"/>
      <c r="U987" s="4"/>
      <c r="V987" s="4"/>
      <c r="W987" s="4"/>
      <c r="X987" s="4"/>
    </row>
    <row r="988" spans="1:24" ht="15.75" thickBot="1">
      <c r="A988" s="3"/>
      <c r="B988" s="4"/>
      <c r="C988" s="4"/>
      <c r="D988" s="4"/>
      <c r="E988" s="4"/>
      <c r="F988" s="4"/>
      <c r="G988" s="4"/>
      <c r="H988" s="4"/>
      <c r="I988" s="4"/>
      <c r="J988" s="4"/>
      <c r="K988" s="4"/>
      <c r="L988" s="4"/>
      <c r="M988" s="4"/>
      <c r="N988" s="4"/>
      <c r="O988" s="4"/>
      <c r="P988" s="4"/>
      <c r="Q988" s="4"/>
      <c r="R988" s="4"/>
      <c r="S988" s="4"/>
      <c r="T988" s="4"/>
      <c r="U988" s="4"/>
      <c r="V988" s="4"/>
      <c r="W988" s="4"/>
      <c r="X988" s="4"/>
    </row>
    <row r="989" spans="1:24" ht="15.75" thickBot="1">
      <c r="A989" s="3"/>
      <c r="B989" s="4"/>
      <c r="C989" s="4"/>
      <c r="D989" s="4"/>
      <c r="E989" s="4"/>
      <c r="F989" s="4"/>
      <c r="G989" s="4"/>
      <c r="H989" s="4"/>
      <c r="I989" s="4"/>
      <c r="J989" s="4"/>
      <c r="K989" s="4"/>
      <c r="L989" s="4"/>
      <c r="M989" s="4"/>
      <c r="N989" s="4"/>
      <c r="O989" s="4"/>
      <c r="P989" s="4"/>
      <c r="Q989" s="4"/>
      <c r="R989" s="4"/>
      <c r="S989" s="4"/>
      <c r="T989" s="4"/>
      <c r="U989" s="4"/>
      <c r="V989" s="4"/>
      <c r="W989" s="4"/>
      <c r="X989" s="4"/>
    </row>
    <row r="990" spans="1:24" ht="15.75" thickBot="1">
      <c r="A990" s="3"/>
      <c r="B990" s="4"/>
      <c r="C990" s="4"/>
      <c r="D990" s="4"/>
      <c r="E990" s="4"/>
      <c r="F990" s="4"/>
      <c r="G990" s="4"/>
      <c r="H990" s="4"/>
      <c r="I990" s="4"/>
      <c r="J990" s="4"/>
      <c r="K990" s="4"/>
      <c r="L990" s="4"/>
      <c r="M990" s="4"/>
      <c r="N990" s="4"/>
      <c r="O990" s="4"/>
      <c r="P990" s="4"/>
      <c r="Q990" s="4"/>
      <c r="R990" s="4"/>
      <c r="S990" s="4"/>
      <c r="T990" s="4"/>
      <c r="U990" s="4"/>
      <c r="V990" s="4"/>
      <c r="W990" s="4"/>
      <c r="X990" s="4"/>
    </row>
    <row r="991" spans="1:24" ht="15.75" thickBot="1">
      <c r="A991" s="3"/>
      <c r="B991" s="4"/>
      <c r="C991" s="4"/>
      <c r="D991" s="4"/>
      <c r="E991" s="4"/>
      <c r="F991" s="4"/>
      <c r="G991" s="4"/>
      <c r="H991" s="4"/>
      <c r="I991" s="4"/>
      <c r="J991" s="4"/>
      <c r="K991" s="4"/>
      <c r="L991" s="4"/>
      <c r="M991" s="4"/>
      <c r="N991" s="4"/>
      <c r="O991" s="4"/>
      <c r="P991" s="4"/>
      <c r="Q991" s="4"/>
      <c r="R991" s="4"/>
      <c r="S991" s="4"/>
      <c r="T991" s="4"/>
      <c r="U991" s="4"/>
      <c r="V991" s="4"/>
      <c r="W991" s="4"/>
      <c r="X991" s="4"/>
    </row>
  </sheetData>
  <autoFilter ref="A1:E161" xr:uid="{00000000-0009-0000-0000-00000F000000}">
    <sortState xmlns:xlrd2="http://schemas.microsoft.com/office/spreadsheetml/2017/richdata2" ref="A2:E161">
      <sortCondition ref="E1:E161"/>
    </sortState>
  </autoFilter>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1"/>
  <sheetViews>
    <sheetView workbookViewId="0">
      <selection activeCell="G6" sqref="G6"/>
    </sheetView>
  </sheetViews>
  <sheetFormatPr defaultColWidth="8.85546875" defaultRowHeight="15"/>
  <cols>
    <col min="1" max="1" width="15.140625" style="2" bestFit="1" customWidth="1"/>
    <col min="2" max="2" width="16.28515625" style="2" bestFit="1" customWidth="1"/>
    <col min="3" max="3" width="13.140625" style="2" bestFit="1" customWidth="1"/>
    <col min="4" max="16384" width="8.85546875" style="6"/>
  </cols>
  <sheetData>
    <row r="1" spans="1:3">
      <c r="A1" s="10" t="s">
        <v>378</v>
      </c>
      <c r="B1" s="10" t="s">
        <v>375</v>
      </c>
      <c r="C1" s="10" t="s">
        <v>380</v>
      </c>
    </row>
    <row r="2" spans="1:3">
      <c r="A2" s="2" t="s">
        <v>97</v>
      </c>
      <c r="B2" s="2" t="s">
        <v>1</v>
      </c>
      <c r="C2" s="2">
        <v>3</v>
      </c>
    </row>
    <row r="3" spans="1:3">
      <c r="A3" s="2" t="s">
        <v>97</v>
      </c>
      <c r="B3" s="2" t="s">
        <v>382</v>
      </c>
      <c r="C3" s="2">
        <v>9</v>
      </c>
    </row>
    <row r="4" spans="1:3">
      <c r="A4" s="2" t="s">
        <v>58</v>
      </c>
      <c r="B4" s="2" t="s">
        <v>151</v>
      </c>
      <c r="C4" s="2">
        <v>4</v>
      </c>
    </row>
    <row r="5" spans="1:3">
      <c r="A5" s="2" t="s">
        <v>58</v>
      </c>
      <c r="B5" s="2" t="s">
        <v>24</v>
      </c>
      <c r="C5" s="2">
        <v>8</v>
      </c>
    </row>
    <row r="6" spans="1:3">
      <c r="A6" s="2" t="s">
        <v>181</v>
      </c>
      <c r="B6" s="2" t="s">
        <v>381</v>
      </c>
      <c r="C6" s="2">
        <v>5</v>
      </c>
    </row>
    <row r="7" spans="1:3">
      <c r="A7" s="2" t="s">
        <v>181</v>
      </c>
      <c r="B7" s="2" t="s">
        <v>156</v>
      </c>
      <c r="C7" s="2">
        <v>10</v>
      </c>
    </row>
    <row r="8" spans="1:3">
      <c r="A8" s="2" t="s">
        <v>131</v>
      </c>
      <c r="B8" s="2" t="s">
        <v>141</v>
      </c>
      <c r="C8" s="2">
        <v>5</v>
      </c>
    </row>
    <row r="9" spans="1:3">
      <c r="A9" s="2" t="s">
        <v>131</v>
      </c>
      <c r="B9" s="2" t="s">
        <v>189</v>
      </c>
      <c r="C9" s="2">
        <v>12</v>
      </c>
    </row>
    <row r="10" spans="1:3">
      <c r="A10" s="2" t="s">
        <v>0</v>
      </c>
      <c r="B10" s="2" t="s">
        <v>138</v>
      </c>
      <c r="C10" s="2">
        <v>5</v>
      </c>
    </row>
    <row r="11" spans="1:3">
      <c r="A11" s="2" t="s">
        <v>0</v>
      </c>
      <c r="B11" s="2" t="s">
        <v>190</v>
      </c>
      <c r="C11" s="2">
        <v>10</v>
      </c>
    </row>
    <row r="12" spans="1:3">
      <c r="A12" s="2" t="s">
        <v>149</v>
      </c>
      <c r="B12" s="2" t="s">
        <v>154</v>
      </c>
      <c r="C12" s="2">
        <v>6</v>
      </c>
    </row>
    <row r="13" spans="1:3">
      <c r="A13" s="2" t="s">
        <v>149</v>
      </c>
      <c r="B13" s="2" t="s">
        <v>152</v>
      </c>
      <c r="C13" s="2">
        <v>8</v>
      </c>
    </row>
    <row r="14" spans="1:3">
      <c r="A14" s="2" t="s">
        <v>114</v>
      </c>
      <c r="B14" s="2" t="s">
        <v>85</v>
      </c>
      <c r="C14" s="2">
        <v>8</v>
      </c>
    </row>
    <row r="15" spans="1:3">
      <c r="A15" s="2" t="s">
        <v>114</v>
      </c>
      <c r="B15" s="2" t="s">
        <v>124</v>
      </c>
      <c r="C15" s="2">
        <v>10</v>
      </c>
    </row>
    <row r="16" spans="1:3">
      <c r="A16" s="2" t="s">
        <v>37</v>
      </c>
      <c r="B16" s="2" t="s">
        <v>383</v>
      </c>
      <c r="C16" s="2">
        <v>9</v>
      </c>
    </row>
    <row r="17" spans="1:3">
      <c r="A17" s="2" t="s">
        <v>37</v>
      </c>
      <c r="B17" s="2" t="s">
        <v>384</v>
      </c>
      <c r="C17" s="2">
        <v>11</v>
      </c>
    </row>
    <row r="18" spans="1:3">
      <c r="A18" s="2" t="s">
        <v>165</v>
      </c>
      <c r="B18" s="2" t="s">
        <v>174</v>
      </c>
      <c r="C18" s="2">
        <v>10</v>
      </c>
    </row>
    <row r="19" spans="1:3">
      <c r="A19" s="2" t="s">
        <v>165</v>
      </c>
      <c r="B19" s="2" t="s">
        <v>117</v>
      </c>
      <c r="C19" s="2">
        <v>11</v>
      </c>
    </row>
    <row r="20" spans="1:3">
      <c r="A20" s="2" t="s">
        <v>385</v>
      </c>
    </row>
    <row r="21" spans="1:3">
      <c r="A21" s="2" t="s">
        <v>385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7"/>
  <sheetViews>
    <sheetView workbookViewId="0">
      <selection activeCell="G6" sqref="G6"/>
    </sheetView>
  </sheetViews>
  <sheetFormatPr defaultRowHeight="15"/>
  <cols>
    <col min="1" max="1" width="15.140625" bestFit="1" customWidth="1"/>
    <col min="2" max="2" width="16.28515625" bestFit="1" customWidth="1"/>
    <col min="3" max="3" width="13.140625" bestFit="1" customWidth="1"/>
    <col min="4" max="4" width="13.140625" style="2" bestFit="1" customWidth="1"/>
    <col min="5" max="6" width="15.5703125" style="2" bestFit="1" customWidth="1"/>
  </cols>
  <sheetData>
    <row r="1" spans="1:6">
      <c r="A1" s="10" t="s">
        <v>378</v>
      </c>
      <c r="B1" s="10" t="s">
        <v>375</v>
      </c>
      <c r="C1" s="10" t="s">
        <v>380</v>
      </c>
      <c r="D1" s="10" t="s">
        <v>386</v>
      </c>
      <c r="E1" s="10" t="s">
        <v>388</v>
      </c>
      <c r="F1" s="10" t="s">
        <v>403</v>
      </c>
    </row>
    <row r="2" spans="1:6">
      <c r="A2" s="2" t="s">
        <v>97</v>
      </c>
      <c r="B2" s="2" t="s">
        <v>1</v>
      </c>
      <c r="C2" s="2">
        <v>3</v>
      </c>
      <c r="D2" s="2" t="s">
        <v>387</v>
      </c>
      <c r="E2" s="2" t="s">
        <v>387</v>
      </c>
      <c r="F2" s="12"/>
    </row>
    <row r="3" spans="1:6">
      <c r="A3" s="2" t="s">
        <v>97</v>
      </c>
      <c r="B3" s="2" t="s">
        <v>382</v>
      </c>
      <c r="C3" s="2">
        <v>9</v>
      </c>
      <c r="D3" s="2" t="s">
        <v>387</v>
      </c>
      <c r="E3" s="2" t="s">
        <v>387</v>
      </c>
      <c r="F3" s="12"/>
    </row>
    <row r="4" spans="1:6">
      <c r="A4" s="2" t="s">
        <v>97</v>
      </c>
      <c r="B4" s="2" t="s">
        <v>108</v>
      </c>
      <c r="C4" s="2" t="s">
        <v>387</v>
      </c>
      <c r="D4" s="2">
        <v>10</v>
      </c>
      <c r="E4" s="12"/>
      <c r="F4" s="12"/>
    </row>
    <row r="5" spans="1:6">
      <c r="A5" s="2" t="s">
        <v>97</v>
      </c>
      <c r="B5" s="2" t="s">
        <v>110</v>
      </c>
      <c r="C5" s="2" t="s">
        <v>387</v>
      </c>
      <c r="D5" s="2">
        <v>12</v>
      </c>
      <c r="E5" s="12"/>
      <c r="F5" s="12"/>
    </row>
    <row r="6" spans="1:6">
      <c r="A6" s="2" t="s">
        <v>58</v>
      </c>
      <c r="B6" s="2" t="s">
        <v>151</v>
      </c>
      <c r="C6" s="2">
        <v>4</v>
      </c>
      <c r="D6" s="2" t="s">
        <v>387</v>
      </c>
      <c r="E6" s="2" t="s">
        <v>387</v>
      </c>
      <c r="F6" s="12"/>
    </row>
    <row r="7" spans="1:6">
      <c r="A7" s="2" t="s">
        <v>58</v>
      </c>
      <c r="B7" s="2" t="s">
        <v>24</v>
      </c>
      <c r="C7" s="2">
        <v>8</v>
      </c>
      <c r="D7" s="2" t="s">
        <v>387</v>
      </c>
      <c r="E7" s="2" t="s">
        <v>387</v>
      </c>
      <c r="F7" s="12"/>
    </row>
    <row r="8" spans="1:6">
      <c r="A8" s="2" t="s">
        <v>58</v>
      </c>
      <c r="B8" s="2" t="s">
        <v>381</v>
      </c>
      <c r="C8" s="2" t="s">
        <v>387</v>
      </c>
      <c r="D8" s="2">
        <v>4</v>
      </c>
      <c r="E8" s="12"/>
      <c r="F8" s="12"/>
    </row>
    <row r="9" spans="1:6">
      <c r="A9" s="2" t="s">
        <v>58</v>
      </c>
      <c r="B9" s="2" t="s">
        <v>70</v>
      </c>
      <c r="C9" s="2" t="s">
        <v>387</v>
      </c>
      <c r="D9" s="2">
        <v>10</v>
      </c>
      <c r="E9" s="12"/>
      <c r="F9" s="12"/>
    </row>
    <row r="10" spans="1:6">
      <c r="A10" s="2" t="s">
        <v>181</v>
      </c>
      <c r="B10" s="2" t="s">
        <v>381</v>
      </c>
      <c r="C10" s="2">
        <v>5</v>
      </c>
      <c r="D10" s="2" t="s">
        <v>387</v>
      </c>
      <c r="E10" s="12"/>
      <c r="F10" s="12"/>
    </row>
    <row r="11" spans="1:6">
      <c r="A11" s="2" t="s">
        <v>181</v>
      </c>
      <c r="B11" s="2" t="s">
        <v>156</v>
      </c>
      <c r="C11" s="2">
        <v>10</v>
      </c>
      <c r="D11" s="2" t="s">
        <v>387</v>
      </c>
      <c r="E11" s="2" t="s">
        <v>387</v>
      </c>
      <c r="F11" s="12"/>
    </row>
    <row r="12" spans="1:6">
      <c r="A12" s="2" t="s">
        <v>181</v>
      </c>
      <c r="B12" s="2" t="s">
        <v>185</v>
      </c>
      <c r="C12" s="2" t="s">
        <v>387</v>
      </c>
      <c r="D12" s="2">
        <v>4</v>
      </c>
      <c r="E12" s="12"/>
      <c r="F12" s="12"/>
    </row>
    <row r="13" spans="1:6">
      <c r="A13" s="2" t="s">
        <v>181</v>
      </c>
      <c r="B13" s="2" t="s">
        <v>191</v>
      </c>
      <c r="C13" s="2" t="s">
        <v>387</v>
      </c>
      <c r="D13" s="2">
        <v>10</v>
      </c>
      <c r="E13" s="12"/>
      <c r="F13" s="12"/>
    </row>
    <row r="14" spans="1:6">
      <c r="A14" s="2" t="s">
        <v>131</v>
      </c>
      <c r="B14" s="2" t="s">
        <v>141</v>
      </c>
      <c r="C14" s="2">
        <v>5</v>
      </c>
      <c r="D14" s="2" t="s">
        <v>387</v>
      </c>
      <c r="E14" s="2" t="s">
        <v>387</v>
      </c>
      <c r="F14" s="12"/>
    </row>
    <row r="15" spans="1:6">
      <c r="A15" s="2" t="s">
        <v>131</v>
      </c>
      <c r="B15" s="2" t="s">
        <v>189</v>
      </c>
      <c r="C15" s="2">
        <v>12</v>
      </c>
      <c r="D15" s="2" t="s">
        <v>387</v>
      </c>
      <c r="E15" s="2" t="s">
        <v>387</v>
      </c>
      <c r="F15" s="12"/>
    </row>
    <row r="16" spans="1:6">
      <c r="A16" s="2" t="s">
        <v>131</v>
      </c>
      <c r="B16" s="2" t="s">
        <v>147</v>
      </c>
      <c r="C16" s="2" t="s">
        <v>387</v>
      </c>
      <c r="D16" s="2">
        <v>14</v>
      </c>
      <c r="E16" s="2">
        <v>13</v>
      </c>
      <c r="F16" s="2">
        <v>12</v>
      </c>
    </row>
    <row r="17" spans="1:6">
      <c r="A17" s="2" t="s">
        <v>0</v>
      </c>
      <c r="B17" s="2" t="s">
        <v>138</v>
      </c>
      <c r="C17" s="2">
        <v>5</v>
      </c>
      <c r="D17" s="2" t="s">
        <v>387</v>
      </c>
      <c r="E17" s="2" t="s">
        <v>387</v>
      </c>
      <c r="F17" s="12"/>
    </row>
    <row r="18" spans="1:6">
      <c r="A18" s="2" t="s">
        <v>0</v>
      </c>
      <c r="B18" s="2" t="s">
        <v>190</v>
      </c>
      <c r="C18" s="2">
        <v>10</v>
      </c>
      <c r="D18" s="2" t="s">
        <v>387</v>
      </c>
      <c r="E18" s="2" t="s">
        <v>387</v>
      </c>
      <c r="F18" s="12"/>
    </row>
    <row r="19" spans="1:6">
      <c r="A19" s="2" t="s">
        <v>0</v>
      </c>
      <c r="B19" s="2" t="s">
        <v>389</v>
      </c>
      <c r="C19" s="2" t="s">
        <v>387</v>
      </c>
      <c r="D19" s="2">
        <v>7</v>
      </c>
      <c r="E19" s="12"/>
      <c r="F19" s="12"/>
    </row>
    <row r="20" spans="1:6">
      <c r="A20" s="2" t="s">
        <v>0</v>
      </c>
      <c r="B20" s="2" t="s">
        <v>384</v>
      </c>
      <c r="C20" s="2" t="s">
        <v>387</v>
      </c>
      <c r="D20" s="2">
        <v>10</v>
      </c>
      <c r="E20" s="12"/>
      <c r="F20" s="12"/>
    </row>
    <row r="21" spans="1:6">
      <c r="A21" s="2" t="s">
        <v>149</v>
      </c>
      <c r="B21" s="2" t="s">
        <v>154</v>
      </c>
      <c r="C21" s="2">
        <v>6</v>
      </c>
      <c r="D21" s="2">
        <v>5</v>
      </c>
      <c r="E21" s="2" t="s">
        <v>387</v>
      </c>
      <c r="F21" s="2" t="s">
        <v>387</v>
      </c>
    </row>
    <row r="22" spans="1:6">
      <c r="A22" s="2" t="s">
        <v>149</v>
      </c>
      <c r="B22" s="2" t="s">
        <v>152</v>
      </c>
      <c r="C22" s="2">
        <v>8</v>
      </c>
      <c r="D22" s="2" t="s">
        <v>387</v>
      </c>
      <c r="E22" s="2" t="s">
        <v>387</v>
      </c>
      <c r="F22" s="12"/>
    </row>
    <row r="23" spans="1:6">
      <c r="A23" s="2" t="s">
        <v>149</v>
      </c>
      <c r="B23" s="2" t="s">
        <v>161</v>
      </c>
      <c r="C23" s="2" t="s">
        <v>387</v>
      </c>
      <c r="D23" s="2">
        <v>12</v>
      </c>
      <c r="E23" s="2">
        <v>11</v>
      </c>
      <c r="F23" s="2" t="s">
        <v>387</v>
      </c>
    </row>
    <row r="24" spans="1:6">
      <c r="A24" s="2" t="s">
        <v>114</v>
      </c>
      <c r="B24" s="2" t="s">
        <v>85</v>
      </c>
      <c r="C24" s="2">
        <v>8</v>
      </c>
      <c r="D24" s="2" t="s">
        <v>387</v>
      </c>
      <c r="E24" s="2" t="s">
        <v>387</v>
      </c>
      <c r="F24" s="12"/>
    </row>
    <row r="25" spans="1:6">
      <c r="A25" s="2" t="s">
        <v>114</v>
      </c>
      <c r="B25" s="2" t="s">
        <v>124</v>
      </c>
      <c r="C25" s="2">
        <v>10</v>
      </c>
      <c r="D25" s="2">
        <v>9</v>
      </c>
      <c r="E25" s="2" t="s">
        <v>387</v>
      </c>
      <c r="F25" s="2" t="s">
        <v>387</v>
      </c>
    </row>
    <row r="26" spans="1:6">
      <c r="A26" s="2" t="s">
        <v>114</v>
      </c>
      <c r="B26" s="2" t="s">
        <v>125</v>
      </c>
      <c r="C26" s="2" t="s">
        <v>387</v>
      </c>
      <c r="D26" s="2">
        <v>10</v>
      </c>
      <c r="E26" s="12"/>
      <c r="F26" s="12"/>
    </row>
    <row r="27" spans="1:6">
      <c r="A27" s="2" t="s">
        <v>37</v>
      </c>
      <c r="B27" s="2" t="s">
        <v>383</v>
      </c>
      <c r="C27" s="2">
        <v>9</v>
      </c>
      <c r="D27" s="2" t="s">
        <v>387</v>
      </c>
      <c r="E27" s="2" t="s">
        <v>387</v>
      </c>
      <c r="F27" s="12"/>
    </row>
    <row r="28" spans="1:6">
      <c r="A28" s="2" t="s">
        <v>37</v>
      </c>
      <c r="B28" s="2" t="s">
        <v>384</v>
      </c>
      <c r="C28" s="2">
        <v>11</v>
      </c>
      <c r="D28" s="2" t="s">
        <v>387</v>
      </c>
      <c r="E28" s="2" t="s">
        <v>387</v>
      </c>
      <c r="F28" s="12"/>
    </row>
    <row r="29" spans="1:6">
      <c r="A29" s="2" t="s">
        <v>37</v>
      </c>
      <c r="B29" s="2" t="s">
        <v>44</v>
      </c>
      <c r="C29" s="2" t="s">
        <v>387</v>
      </c>
      <c r="D29" s="2">
        <v>5</v>
      </c>
      <c r="E29" s="2">
        <v>4</v>
      </c>
      <c r="F29" s="12"/>
    </row>
    <row r="30" spans="1:6">
      <c r="A30" s="2" t="s">
        <v>37</v>
      </c>
      <c r="B30" s="2" t="s">
        <v>47</v>
      </c>
      <c r="C30" s="2" t="s">
        <v>387</v>
      </c>
      <c r="D30" s="2">
        <v>7</v>
      </c>
      <c r="E30" s="2" t="s">
        <v>387</v>
      </c>
      <c r="F30" s="12"/>
    </row>
    <row r="31" spans="1:6">
      <c r="A31" s="2" t="s">
        <v>165</v>
      </c>
      <c r="B31" s="2" t="s">
        <v>174</v>
      </c>
      <c r="C31" s="2">
        <v>10</v>
      </c>
      <c r="D31" s="2">
        <v>9</v>
      </c>
      <c r="E31" s="12"/>
      <c r="F31" s="12"/>
    </row>
    <row r="32" spans="1:6">
      <c r="A32" s="2" t="s">
        <v>165</v>
      </c>
      <c r="B32" s="2" t="s">
        <v>117</v>
      </c>
      <c r="C32" s="2">
        <v>11</v>
      </c>
      <c r="D32" s="2" t="s">
        <v>387</v>
      </c>
      <c r="E32" s="2" t="s">
        <v>387</v>
      </c>
      <c r="F32" s="12"/>
    </row>
    <row r="33" spans="1:6">
      <c r="A33" s="2" t="s">
        <v>165</v>
      </c>
      <c r="B33" s="2" t="s">
        <v>169</v>
      </c>
      <c r="C33" s="2" t="s">
        <v>387</v>
      </c>
      <c r="D33" s="2">
        <v>4</v>
      </c>
      <c r="E33" s="2">
        <v>3</v>
      </c>
      <c r="F33" s="12"/>
    </row>
    <row r="34" spans="1:6">
      <c r="A34" s="2" t="s">
        <v>385</v>
      </c>
      <c r="B34" s="2"/>
      <c r="C34" s="2"/>
      <c r="F34" s="12"/>
    </row>
    <row r="35" spans="1:6">
      <c r="A35" s="2" t="s">
        <v>385</v>
      </c>
      <c r="B35" s="2"/>
      <c r="C35" s="2"/>
      <c r="F35" s="12"/>
    </row>
    <row r="36" spans="1:6">
      <c r="A36" s="2" t="s">
        <v>385</v>
      </c>
      <c r="B36" s="2" t="s">
        <v>90</v>
      </c>
      <c r="C36" s="11"/>
      <c r="D36" s="2">
        <v>10</v>
      </c>
      <c r="E36" s="12"/>
      <c r="F36" s="12"/>
    </row>
    <row r="37" spans="1:6">
      <c r="A37" s="2" t="s">
        <v>385</v>
      </c>
      <c r="B37" s="2" t="s">
        <v>92</v>
      </c>
      <c r="C37" s="11"/>
      <c r="D37" s="2">
        <v>11</v>
      </c>
      <c r="E37" s="12"/>
      <c r="F37" s="1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7"/>
  <sheetViews>
    <sheetView workbookViewId="0">
      <selection activeCell="G6" sqref="G6"/>
    </sheetView>
  </sheetViews>
  <sheetFormatPr defaultRowHeight="15"/>
  <cols>
    <col min="1" max="1" width="15.140625" bestFit="1" customWidth="1"/>
    <col min="2" max="2" width="16.28515625" bestFit="1" customWidth="1"/>
    <col min="3" max="4" width="13.140625" bestFit="1" customWidth="1"/>
    <col min="5" max="6" width="15.5703125" bestFit="1" customWidth="1"/>
  </cols>
  <sheetData>
    <row r="1" spans="1:6">
      <c r="A1" s="10" t="s">
        <v>378</v>
      </c>
      <c r="B1" s="10" t="s">
        <v>375</v>
      </c>
      <c r="C1" s="10" t="s">
        <v>380</v>
      </c>
      <c r="D1" s="10" t="s">
        <v>386</v>
      </c>
      <c r="E1" s="10" t="s">
        <v>388</v>
      </c>
      <c r="F1" s="10" t="s">
        <v>403</v>
      </c>
    </row>
    <row r="2" spans="1:6">
      <c r="A2" s="2" t="s">
        <v>97</v>
      </c>
      <c r="B2" s="2" t="s">
        <v>1</v>
      </c>
      <c r="C2" s="2">
        <v>3</v>
      </c>
      <c r="D2" s="2" t="s">
        <v>387</v>
      </c>
      <c r="E2" s="2" t="s">
        <v>387</v>
      </c>
      <c r="F2" s="12"/>
    </row>
    <row r="3" spans="1:6">
      <c r="A3" s="2" t="s">
        <v>97</v>
      </c>
      <c r="B3" s="2" t="s">
        <v>382</v>
      </c>
      <c r="C3" s="2">
        <v>9</v>
      </c>
      <c r="D3" s="2" t="s">
        <v>387</v>
      </c>
      <c r="E3" s="2" t="s">
        <v>387</v>
      </c>
      <c r="F3" s="12"/>
    </row>
    <row r="4" spans="1:6">
      <c r="A4" s="2" t="s">
        <v>97</v>
      </c>
      <c r="B4" s="2" t="s">
        <v>108</v>
      </c>
      <c r="C4" s="2" t="s">
        <v>387</v>
      </c>
      <c r="D4" s="2">
        <v>10</v>
      </c>
      <c r="E4" s="12"/>
      <c r="F4" s="12"/>
    </row>
    <row r="5" spans="1:6">
      <c r="A5" s="2" t="s">
        <v>97</v>
      </c>
      <c r="B5" s="2" t="s">
        <v>110</v>
      </c>
      <c r="C5" s="2" t="s">
        <v>387</v>
      </c>
      <c r="D5" s="2">
        <v>12</v>
      </c>
      <c r="E5" s="12"/>
      <c r="F5" s="12"/>
    </row>
    <row r="6" spans="1:6">
      <c r="A6" s="2" t="s">
        <v>58</v>
      </c>
      <c r="B6" s="2" t="s">
        <v>151</v>
      </c>
      <c r="C6" s="2">
        <v>4</v>
      </c>
      <c r="D6" s="2" t="s">
        <v>387</v>
      </c>
      <c r="E6" s="2" t="s">
        <v>387</v>
      </c>
      <c r="F6" s="12"/>
    </row>
    <row r="7" spans="1:6">
      <c r="A7" s="2" t="s">
        <v>58</v>
      </c>
      <c r="B7" s="2" t="s">
        <v>24</v>
      </c>
      <c r="C7" s="2">
        <v>8</v>
      </c>
      <c r="D7" s="2" t="s">
        <v>387</v>
      </c>
      <c r="E7" s="2" t="s">
        <v>387</v>
      </c>
      <c r="F7" s="12"/>
    </row>
    <row r="8" spans="1:6">
      <c r="A8" s="2" t="s">
        <v>58</v>
      </c>
      <c r="B8" s="2" t="s">
        <v>381</v>
      </c>
      <c r="C8" s="2" t="s">
        <v>387</v>
      </c>
      <c r="D8" s="2">
        <v>4</v>
      </c>
      <c r="E8" s="12"/>
      <c r="F8" s="12"/>
    </row>
    <row r="9" spans="1:6">
      <c r="A9" s="2" t="s">
        <v>58</v>
      </c>
      <c r="B9" s="2" t="s">
        <v>70</v>
      </c>
      <c r="C9" s="2" t="s">
        <v>387</v>
      </c>
      <c r="D9" s="2">
        <v>10</v>
      </c>
      <c r="E9" s="12"/>
      <c r="F9" s="12"/>
    </row>
    <row r="10" spans="1:6">
      <c r="A10" s="2" t="s">
        <v>181</v>
      </c>
      <c r="B10" s="2" t="s">
        <v>381</v>
      </c>
      <c r="C10" s="2">
        <v>5</v>
      </c>
      <c r="D10" s="2" t="s">
        <v>387</v>
      </c>
      <c r="E10" s="12"/>
      <c r="F10" s="12"/>
    </row>
    <row r="11" spans="1:6">
      <c r="A11" s="2" t="s">
        <v>181</v>
      </c>
      <c r="B11" s="2" t="s">
        <v>156</v>
      </c>
      <c r="C11" s="2">
        <v>10</v>
      </c>
      <c r="D11" s="2" t="s">
        <v>387</v>
      </c>
      <c r="E11" s="2" t="s">
        <v>387</v>
      </c>
      <c r="F11" s="12"/>
    </row>
    <row r="12" spans="1:6">
      <c r="A12" s="2" t="s">
        <v>181</v>
      </c>
      <c r="B12" s="2" t="s">
        <v>185</v>
      </c>
      <c r="C12" s="2" t="s">
        <v>387</v>
      </c>
      <c r="D12" s="2">
        <v>4</v>
      </c>
      <c r="E12" s="12"/>
      <c r="F12" s="12"/>
    </row>
    <row r="13" spans="1:6">
      <c r="A13" s="2" t="s">
        <v>181</v>
      </c>
      <c r="B13" s="2" t="s">
        <v>191</v>
      </c>
      <c r="C13" s="2" t="s">
        <v>387</v>
      </c>
      <c r="D13" s="2">
        <v>10</v>
      </c>
      <c r="E13" s="12"/>
      <c r="F13" s="12"/>
    </row>
    <row r="14" spans="1:6">
      <c r="A14" s="2" t="s">
        <v>131</v>
      </c>
      <c r="B14" s="2" t="s">
        <v>141</v>
      </c>
      <c r="C14" s="2">
        <v>5</v>
      </c>
      <c r="D14" s="2" t="s">
        <v>387</v>
      </c>
      <c r="E14" s="2" t="s">
        <v>387</v>
      </c>
      <c r="F14" s="12"/>
    </row>
    <row r="15" spans="1:6">
      <c r="A15" s="2" t="s">
        <v>131</v>
      </c>
      <c r="B15" s="2" t="s">
        <v>189</v>
      </c>
      <c r="C15" s="2">
        <v>12</v>
      </c>
      <c r="D15" s="2" t="s">
        <v>387</v>
      </c>
      <c r="E15" s="2" t="s">
        <v>387</v>
      </c>
      <c r="F15" s="12"/>
    </row>
    <row r="16" spans="1:6">
      <c r="A16" s="2" t="s">
        <v>131</v>
      </c>
      <c r="B16" s="2" t="s">
        <v>147</v>
      </c>
      <c r="C16" s="2" t="s">
        <v>387</v>
      </c>
      <c r="D16" s="2">
        <v>14</v>
      </c>
      <c r="E16" s="2">
        <v>13</v>
      </c>
      <c r="F16" s="2">
        <v>12</v>
      </c>
    </row>
    <row r="17" spans="1:6">
      <c r="A17" s="2" t="s">
        <v>0</v>
      </c>
      <c r="B17" s="2" t="s">
        <v>138</v>
      </c>
      <c r="C17" s="2">
        <v>5</v>
      </c>
      <c r="D17" s="2" t="s">
        <v>387</v>
      </c>
      <c r="E17" s="2" t="s">
        <v>387</v>
      </c>
      <c r="F17" s="12"/>
    </row>
    <row r="18" spans="1:6">
      <c r="A18" s="2" t="s">
        <v>0</v>
      </c>
      <c r="B18" s="2" t="s">
        <v>190</v>
      </c>
      <c r="C18" s="2">
        <v>10</v>
      </c>
      <c r="D18" s="2" t="s">
        <v>387</v>
      </c>
      <c r="E18" s="2" t="s">
        <v>387</v>
      </c>
      <c r="F18" s="12"/>
    </row>
    <row r="19" spans="1:6">
      <c r="A19" s="2" t="s">
        <v>0</v>
      </c>
      <c r="B19" s="2" t="s">
        <v>389</v>
      </c>
      <c r="C19" s="2" t="s">
        <v>387</v>
      </c>
      <c r="D19" s="2">
        <v>7</v>
      </c>
      <c r="E19" s="12"/>
      <c r="F19" s="12"/>
    </row>
    <row r="20" spans="1:6">
      <c r="A20" s="2" t="s">
        <v>0</v>
      </c>
      <c r="B20" s="2" t="s">
        <v>384</v>
      </c>
      <c r="C20" s="2" t="s">
        <v>387</v>
      </c>
      <c r="D20" s="2">
        <v>10</v>
      </c>
      <c r="E20" s="12"/>
      <c r="F20" s="12"/>
    </row>
    <row r="21" spans="1:6">
      <c r="A21" s="2" t="s">
        <v>149</v>
      </c>
      <c r="B21" s="2" t="s">
        <v>154</v>
      </c>
      <c r="C21" s="2">
        <v>6</v>
      </c>
      <c r="D21" s="2">
        <v>5</v>
      </c>
      <c r="E21" s="2" t="s">
        <v>387</v>
      </c>
      <c r="F21" s="2" t="s">
        <v>387</v>
      </c>
    </row>
    <row r="22" spans="1:6">
      <c r="A22" s="2" t="s">
        <v>149</v>
      </c>
      <c r="B22" s="2" t="s">
        <v>152</v>
      </c>
      <c r="C22" s="2">
        <v>8</v>
      </c>
      <c r="D22" s="2" t="s">
        <v>387</v>
      </c>
      <c r="E22" s="2" t="s">
        <v>387</v>
      </c>
      <c r="F22" s="12"/>
    </row>
    <row r="23" spans="1:6">
      <c r="A23" s="2" t="s">
        <v>149</v>
      </c>
      <c r="B23" s="2" t="s">
        <v>161</v>
      </c>
      <c r="C23" s="2" t="s">
        <v>387</v>
      </c>
      <c r="D23" s="2">
        <v>12</v>
      </c>
      <c r="E23" s="2">
        <v>11</v>
      </c>
      <c r="F23" s="2" t="s">
        <v>387</v>
      </c>
    </row>
    <row r="24" spans="1:6">
      <c r="A24" s="2" t="s">
        <v>114</v>
      </c>
      <c r="B24" s="2" t="s">
        <v>85</v>
      </c>
      <c r="C24" s="2">
        <v>8</v>
      </c>
      <c r="D24" s="2" t="s">
        <v>387</v>
      </c>
      <c r="E24" s="2" t="s">
        <v>387</v>
      </c>
      <c r="F24" s="12"/>
    </row>
    <row r="25" spans="1:6">
      <c r="A25" s="2" t="s">
        <v>114</v>
      </c>
      <c r="B25" s="2" t="s">
        <v>124</v>
      </c>
      <c r="C25" s="2">
        <v>10</v>
      </c>
      <c r="D25" s="2">
        <v>9</v>
      </c>
      <c r="E25" s="2" t="s">
        <v>387</v>
      </c>
      <c r="F25" s="2" t="s">
        <v>387</v>
      </c>
    </row>
    <row r="26" spans="1:6">
      <c r="A26" s="2" t="s">
        <v>114</v>
      </c>
      <c r="B26" s="2" t="s">
        <v>125</v>
      </c>
      <c r="C26" s="2" t="s">
        <v>387</v>
      </c>
      <c r="D26" s="2">
        <v>10</v>
      </c>
      <c r="E26" s="12"/>
      <c r="F26" s="12"/>
    </row>
    <row r="27" spans="1:6">
      <c r="A27" s="2" t="s">
        <v>37</v>
      </c>
      <c r="B27" s="2" t="s">
        <v>383</v>
      </c>
      <c r="C27" s="2">
        <v>9</v>
      </c>
      <c r="D27" s="2" t="s">
        <v>387</v>
      </c>
      <c r="E27" s="2" t="s">
        <v>387</v>
      </c>
      <c r="F27" s="12"/>
    </row>
    <row r="28" spans="1:6">
      <c r="A28" s="2" t="s">
        <v>37</v>
      </c>
      <c r="B28" s="2" t="s">
        <v>384</v>
      </c>
      <c r="C28" s="2">
        <v>11</v>
      </c>
      <c r="D28" s="2" t="s">
        <v>387</v>
      </c>
      <c r="E28" s="2" t="s">
        <v>387</v>
      </c>
      <c r="F28" s="12"/>
    </row>
    <row r="29" spans="1:6">
      <c r="A29" s="2" t="s">
        <v>37</v>
      </c>
      <c r="B29" s="2" t="s">
        <v>44</v>
      </c>
      <c r="C29" s="2" t="s">
        <v>387</v>
      </c>
      <c r="D29" s="2">
        <v>5</v>
      </c>
      <c r="E29" s="2">
        <v>4</v>
      </c>
      <c r="F29" s="12"/>
    </row>
    <row r="30" spans="1:6">
      <c r="A30" s="2" t="s">
        <v>37</v>
      </c>
      <c r="B30" s="2" t="s">
        <v>47</v>
      </c>
      <c r="C30" s="2" t="s">
        <v>387</v>
      </c>
      <c r="D30" s="2">
        <v>7</v>
      </c>
      <c r="E30" s="2" t="s">
        <v>387</v>
      </c>
      <c r="F30" s="12"/>
    </row>
    <row r="31" spans="1:6">
      <c r="A31" s="2" t="s">
        <v>165</v>
      </c>
      <c r="B31" s="2" t="s">
        <v>174</v>
      </c>
      <c r="C31" s="2">
        <v>10</v>
      </c>
      <c r="D31" s="2">
        <v>9</v>
      </c>
      <c r="E31" s="12"/>
      <c r="F31" s="12"/>
    </row>
    <row r="32" spans="1:6">
      <c r="A32" s="2" t="s">
        <v>165</v>
      </c>
      <c r="B32" s="2" t="s">
        <v>117</v>
      </c>
      <c r="C32" s="2">
        <v>11</v>
      </c>
      <c r="D32" s="2" t="s">
        <v>387</v>
      </c>
      <c r="E32" s="2" t="s">
        <v>387</v>
      </c>
      <c r="F32" s="12"/>
    </row>
    <row r="33" spans="1:6">
      <c r="A33" s="2" t="s">
        <v>165</v>
      </c>
      <c r="B33" s="2" t="s">
        <v>169</v>
      </c>
      <c r="C33" s="2" t="s">
        <v>387</v>
      </c>
      <c r="D33" s="2">
        <v>4</v>
      </c>
      <c r="E33" s="2">
        <v>3</v>
      </c>
      <c r="F33" s="12"/>
    </row>
    <row r="34" spans="1:6">
      <c r="A34" s="2" t="s">
        <v>385</v>
      </c>
      <c r="B34" s="2"/>
      <c r="C34" s="2"/>
      <c r="D34" s="2"/>
      <c r="E34" s="2"/>
      <c r="F34" s="12"/>
    </row>
    <row r="35" spans="1:6">
      <c r="A35" s="2" t="s">
        <v>385</v>
      </c>
      <c r="B35" s="2"/>
      <c r="C35" s="2"/>
      <c r="D35" s="2"/>
      <c r="E35" s="2"/>
      <c r="F35" s="12"/>
    </row>
    <row r="36" spans="1:6">
      <c r="A36" s="2" t="s">
        <v>385</v>
      </c>
      <c r="B36" s="2" t="s">
        <v>90</v>
      </c>
      <c r="C36" s="11"/>
      <c r="D36" s="2">
        <v>10</v>
      </c>
      <c r="E36" s="12"/>
      <c r="F36" s="12"/>
    </row>
    <row r="37" spans="1:6">
      <c r="A37" s="2" t="s">
        <v>385</v>
      </c>
      <c r="B37" s="2" t="s">
        <v>92</v>
      </c>
      <c r="C37" s="11"/>
      <c r="D37" s="2">
        <v>11</v>
      </c>
      <c r="E37" s="12"/>
      <c r="F37"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KEEPER LIST for 2026</vt:lpstr>
      <vt:lpstr>2025 Draft</vt:lpstr>
      <vt:lpstr>KEEPER LIST for 2025</vt:lpstr>
      <vt:lpstr>2024 Draft</vt:lpstr>
      <vt:lpstr>KEEPER LIST for 2024</vt:lpstr>
      <vt:lpstr>2023 Draft</vt:lpstr>
      <vt:lpstr>Roster</vt:lpstr>
      <vt:lpstr>KEEPER LIST for 2022</vt:lpstr>
      <vt:lpstr>2021 Draft</vt:lpstr>
      <vt:lpstr>KEEPER LIST for 2021</vt:lpstr>
      <vt:lpstr>KEEPER LIST for 2020</vt:lpstr>
      <vt:lpstr>2020 Draft</vt:lpstr>
      <vt:lpstr>KEEPER LIST for 2019</vt:lpstr>
      <vt:lpstr>KEEPER LIST for 2018</vt:lpstr>
      <vt:lpstr>2019 Draft by Round</vt:lpstr>
      <vt:lpstr>2018 Draft by Round</vt:lpstr>
      <vt:lpstr>2018 Team after Draft</vt:lpstr>
      <vt:lpstr>By Round 2017</vt:lpstr>
      <vt:lpstr>Team after draft 2017</vt:lpstr>
      <vt:lpstr>2016 Keeper</vt:lpstr>
      <vt:lpstr>2017 Keeper</vt:lpstr>
      <vt:lpstr>2018 Keeper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Mertens</dc:creator>
  <cp:lastModifiedBy>Kyle Mertens</cp:lastModifiedBy>
  <cp:lastPrinted>2025-08-22T16:35:01Z</cp:lastPrinted>
  <dcterms:created xsi:type="dcterms:W3CDTF">2018-08-06T16:23:53Z</dcterms:created>
  <dcterms:modified xsi:type="dcterms:W3CDTF">2026-07-31T20:06:17Z</dcterms:modified>
</cp:coreProperties>
</file>